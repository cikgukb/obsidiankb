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743ef34d0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a2b4f6efa34926"/>
    <x:sheet xmlns:r="http://schemas.openxmlformats.org/officeDocument/2006/relationships" name="Clean Unique" sheetId="2" r:id="R7186dc3f309c4623"/>
    <x:sheet xmlns:r="http://schemas.openxmlformats.org/officeDocument/2006/relationships" name="Duplicates" sheetId="3" r:id="R9ffc6ba730624ff4"/>
    <x:sheet xmlns:r="http://schemas.openxmlformats.org/officeDocument/2006/relationships" name="Missing or Invalid" sheetId="4" r:id="R0a14ebfc220c4a7f"/>
    <x:sheet xmlns:r="http://schemas.openxmlformats.org/officeDocument/2006/relationships" name="Phone Issues" sheetId="5" r:id="R65cfe4cc72b445d9"/>
    <x:sheet xmlns:r="http://schemas.openxmlformats.org/officeDocument/2006/relationships" name="Audit Log" sheetId="6" r:id="R29212583930b45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424C"/>
      <x:name val="Carlito"/>
    </x:font>
    <x:font>
      <x:b/>
      <x:sz val="11"/>
      <x:color rgb="FFFFFFFF"/>
      <x:name val="Carlito"/>
    </x:font>
    <x:font>
      <x:sz val="10"/>
      <x:color rgb="FF20323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D5C"/>
      </x:patternFill>
    </x:fill>
    <x:fill>
      <x:patternFill patternType="solid">
        <x:fgColor rgb="FFEAF2F5"/>
      </x:patternFill>
    </x:fill>
    <x:fill>
      <x:patternFill patternType="solid">
        <x:fgColor rgb="FF163A47"/>
      </x:patternFill>
    </x:fill>
  </x:fills>
  <x:borders count="3">
    <x:border/>
    <x:border>
      <x:left style="thin">
        <x:color rgb="FFB7C7CC"/>
      </x:left>
      <x:right style="thin">
        <x:color rgb="FFB7C7CC"/>
      </x:right>
      <x:top style="thin">
        <x:color rgb="FFB7C7CC"/>
      </x:top>
      <x:bottom style="thin">
        <x:color rgb="FFB7C7CC"/>
      </x:bottom>
    </x:border>
    <x:border>
      <x:left style="thin">
        <x:color rgb="FFD8E2E5"/>
      </x:left>
      <x:right style="thin">
        <x:color rgb="FFD8E2E5"/>
      </x:right>
      <x:top style="thin">
        <x:color rgb="FFD8E2E5"/>
      </x:top>
      <x:bottom style="thin">
        <x:color rgb="FFD8E2E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4104beafb4bf3" /><Relationship Type="http://schemas.openxmlformats.org/officeDocument/2006/relationships/theme" Target="/xl/theme/theme1.xml" Id="R6017d49db84f4a8c" /><Relationship Type="http://schemas.openxmlformats.org/officeDocument/2006/relationships/sharedStrings" Target="/xl/sharedStrings.xml" Id="R4111bd1e32904cf3" /><Relationship Type="http://schemas.openxmlformats.org/officeDocument/2006/relationships/worksheet" Target="/xl/worksheets/sheet1.xml" Id="Rf5a2b4f6efa34926" /><Relationship Type="http://schemas.openxmlformats.org/officeDocument/2006/relationships/worksheet" Target="/xl/worksheets/sheet2.xml" Id="R7186dc3f309c4623" /><Relationship Type="http://schemas.openxmlformats.org/officeDocument/2006/relationships/worksheet" Target="/xl/worksheets/sheet3.xml" Id="R9ffc6ba730624ff4" /><Relationship Type="http://schemas.openxmlformats.org/officeDocument/2006/relationships/worksheet" Target="/xl/worksheets/sheet4.xml" Id="R0a14ebfc220c4a7f" /><Relationship Type="http://schemas.openxmlformats.org/officeDocument/2006/relationships/worksheet" Target="/xl/worksheets/sheet5.xml" Id="R65cfe4cc72b445d9" /><Relationship Type="http://schemas.openxmlformats.org/officeDocument/2006/relationships/worksheet" Target="/xl/worksheets/sheet6.xml" Id="R29212583930b45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30" customHeight="1">
      <x:c r="A1" s="3" t="str">
        <x:v>Google Contacts Audit — 17 July 2026</x:v>
      </x:c>
      <x:c r="B1" s="3"/>
    </x:row>
    <x:row r="2" ht="28" customHeight="1">
      <x:c r="A2" s="6" t="str">
        <x:v>Technical audit only. Consent status is Unknown; no messages were sent.</x:v>
      </x:c>
      <x:c r="B2" s="6"/>
    </x:row>
    <x:row r="4" ht="28" customHeight="1">
      <x:c r="A4" s="12" t="str">
        <x:v>Metric</x:v>
      </x:c>
      <x:c r="B4" s="12" t="str">
        <x:v>Value</x:v>
      </x:c>
    </x:row>
    <x:row r="5">
      <x:c r="A5" s="16" t="str">
        <x:v>Source contacts</x:v>
      </x:c>
      <x:c r="B5" s="17" t="n">
        <x:v>7311</x:v>
      </x:c>
    </x:row>
    <x:row r="6">
      <x:c r="A6" s="16" t="str">
        <x:v>Email records before deduplication</x:v>
      </x:c>
      <x:c r="B6" s="17" t="n">
        <x:v>260</x:v>
      </x:c>
    </x:row>
    <x:row r="7">
      <x:c r="A7" s="16" t="str">
        <x:v>Unique valid emails</x:v>
      </x:c>
      <x:c r="B7" s="17" t="n">
        <x:v>250</x:v>
      </x:c>
    </x:row>
    <x:row r="8">
      <x:c r="A8" s="16" t="str">
        <x:v>Duplicate email source records</x:v>
      </x:c>
      <x:c r="B8" s="17" t="n">
        <x:v>10</x:v>
      </x:c>
    </x:row>
    <x:row r="9">
      <x:c r="A9" s="16" t="str">
        <x:v>Contacts excluded or incomplete</x:v>
      </x:c>
      <x:c r="B9" s="17" t="n">
        <x:v>7064</x:v>
      </x:c>
    </x:row>
    <x:row r="10">
      <x:c r="A10" s="16" t="str">
        <x:v>Phone issues</x:v>
      </x:c>
      <x:c r="B10" s="17" t="n">
        <x:v>22</x:v>
      </x:c>
    </x:row>
    <x:row r="11">
      <x:c r="A11" s="16" t="str">
        <x:v>Maximum additional mobile columns</x:v>
      </x:c>
      <x:c r="B11" s="17" t="n">
        <x:v>2</x:v>
      </x:c>
    </x:row>
    <x:row r="12">
      <x:c r="A12" s="16" t="str">
        <x:v>Consent status</x:v>
      </x:c>
      <x:c r="B12" s="17" t="str">
        <x:v>Unknown</x:v>
      </x:c>
    </x:row>
    <x:row r="13">
      <x:c r="A13" s="16" t="str">
        <x:v>Processing date</x:v>
      </x:c>
      <x:c r="B13" s="16" t="str">
        <x:v>2026-07-17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Clean Unique Name + Email</x:v>
      </x:c>
      <x:c r="B1" s="3"/>
      <x:c r="C1" s="3"/>
      <x:c r="D1" s="3"/>
      <x:c r="E1" s="3"/>
      <x:c r="F1" s="3"/>
    </x:row>
    <x:row r="2" ht="28" customHeight="1">
      <x:c r="A2" s="6" t="str">
        <x:v>One row per unique email. Phone Number is primary; subsequent columns contain mobile numbers only.</x:v>
      </x:c>
      <x:c r="B2" s="6"/>
      <x:c r="C2" s="6"/>
      <x:c r="D2" s="6"/>
      <x:c r="E2" s="6"/>
      <x:c r="F2" s="6"/>
    </x:row>
    <x:row r="4" ht="28" customHeight="1">
      <x:c r="A4" s="12" t="str">
        <x:v>Name</x:v>
      </x:c>
      <x:c r="B4" s="12" t="str">
        <x:v>Email</x:v>
      </x:c>
      <x:c r="C4" s="12" t="str">
        <x:v>Labels</x:v>
      </x:c>
      <x:c r="D4" s="12" t="str">
        <x:v>Phone Number</x:v>
      </x:c>
      <x:c r="E4" s="12" t="str">
        <x:v>Mobile Phone 2</x:v>
      </x:c>
      <x:c r="F4" s="12" t="str">
        <x:v>Mobile Phone 3</x:v>
      </x:c>
    </x:row>
    <x:row r="5">
      <x:c r="A5" s="16" t="str">
        <x:v>Abang Khairul Stavic</x:v>
      </x:c>
      <x:c r="B5" s="16" t="str">
        <x:v>cilidonut@gmail.com</x:v>
      </x:c>
      <x:c r="C5" s="16" t="str">
        <x:v>* myContacts</x:v>
      </x:c>
      <x:c r="D5" s="16" t="str">
        <x:f>"+60122205225"</x:f>
        <x:v>+60122205225</x:v>
      </x:c>
      <x:c r="E5" s="16" t="str"/>
      <x:c r="F5" s="16" t="str"/>
    </x:row>
    <x:row r="6">
      <x:c r="A6" s="16" t="str">
        <x:v>ABD MALEK SAYUTI</x:v>
      </x:c>
      <x:c r="B6" s="16" t="str">
        <x:v>ibnsoyutl@gmail.com</x:v>
      </x:c>
      <x:c r="C6" s="16" t="str">
        <x:v>* myContacts</x:v>
      </x:c>
      <x:c r="D6" s="16" t="str">
        <x:f>"+60360112033"</x:f>
        <x:v>+60360112033</x:v>
      </x:c>
      <x:c r="E6" s="16" t="str"/>
      <x:c r="F6" s="16" t="str"/>
    </x:row>
    <x:row r="7">
      <x:c r="A7" s="16" t="str">
        <x:v>Abdul Muin Abdul Rahman</x:v>
      </x:c>
      <x:c r="B7" s="16" t="str">
        <x:v>muin@ilflac.com</x:v>
      </x:c>
      <x:c r="C7" s="16" t="str">
        <x:v>* myContacts</x:v>
      </x:c>
      <x:c r="D7" s="16" t="str">
        <x:f>"+601111117259"</x:f>
        <x:v>+601111117259</x:v>
      </x:c>
      <x:c r="E7" s="16" t="str"/>
      <x:c r="F7" s="16" t="str"/>
    </x:row>
    <x:row r="8">
      <x:c r="A8" s="16" t="str">
        <x:v>Abdul Razif Bin Abdul Rahman Student</x:v>
      </x:c>
      <x:c r="B8" s="16" t="str">
        <x:v>orga786@yahoo.com</x:v>
      </x:c>
      <x:c r="C8" s="16" t="str">
        <x:v>* myContacts</x:v>
      </x:c>
      <x:c r="D8" s="16" t="str">
        <x:f>"+60162711005"</x:f>
        <x:v>+60162711005</x:v>
      </x:c>
      <x:c r="E8" s="16" t="str"/>
      <x:c r="F8" s="16" t="str"/>
    </x:row>
    <x:row r="9">
      <x:c r="A9" s="16" t="str">
        <x:v>ADAM KHOO</x:v>
      </x:c>
      <x:c r="B9" s="16" t="str">
        <x:v>adam.khoo@linecleorexpress.com</x:v>
      </x:c>
      <x:c r="C9" s="16" t="str">
        <x:v>* myContacts</x:v>
      </x:c>
      <x:c r="D9" s="16" t="str">
        <x:f>"+60122905130"</x:f>
        <x:v>+60122905130</x:v>
      </x:c>
      <x:c r="E9" s="16" t="str"/>
      <x:c r="F9" s="16" t="str"/>
    </x:row>
    <x:row r="10">
      <x:c r="A10" s="16" t="str">
        <x:v>Ahmad Fikri Videoman</x:v>
      </x:c>
      <x:c r="B10" s="16" t="str">
        <x:v>fikri246@gmail.com</x:v>
      </x:c>
      <x:c r="C10" s="16" t="str">
        <x:v>* myContacts</x:v>
      </x:c>
      <x:c r="D10" s="16" t="str">
        <x:f>"+60126561949"</x:f>
        <x:v>+60126561949</x:v>
      </x:c>
      <x:c r="E10" s="16" t="str"/>
      <x:c r="F10" s="16" t="str"/>
    </x:row>
    <x:row r="11">
      <x:c r="A11" s="16" t="str">
        <x:v>AHMAD HAZWAN SYAHMI BIN WAGINOH</x:v>
      </x:c>
      <x:c r="B11" s="16" t="str">
        <x:v>hazwansyahmi@gmail.com</x:v>
      </x:c>
      <x:c r="C11" s="16" t="str">
        <x:v>* myContacts</x:v>
      </x:c>
      <x:c r="D11" s="16" t="str">
        <x:f>"+60137067254"</x:f>
        <x:v>+60137067254</x:v>
      </x:c>
      <x:c r="E11" s="16" t="str"/>
      <x:c r="F11" s="16" t="str"/>
    </x:row>
    <x:row r="12">
      <x:c r="A12" s="16" t="str">
        <x:v>AHMAD SHAH</x:v>
      </x:c>
      <x:c r="B12" s="16" t="str">
        <x:v>ahmad@zen-courier.com</x:v>
      </x:c>
      <x:c r="C12" s="16" t="str">
        <x:v>* myContacts</x:v>
      </x:c>
      <x:c r="D12" s="16" t="str">
        <x:f>"+60162127327"</x:f>
        <x:v>+60162127327</x:v>
      </x:c>
      <x:c r="E12" s="16" t="str"/>
      <x:c r="F12" s="16" t="str"/>
    </x:row>
    <x:row r="13">
      <x:c r="A13" s="16" t="str">
        <x:v>Ahmad Shah Wadood</x:v>
      </x:c>
      <x:c r="B13" s="16" t="str">
        <x:v>aswmetro@gmail.com</x:v>
      </x:c>
      <x:c r="C13" s="16" t="str">
        <x:v>* myContacts</x:v>
      </x:c>
      <x:c r="D13" s="16" t="str">
        <x:f>"+60193399933"</x:f>
        <x:v>+60193399933</x:v>
      </x:c>
      <x:c r="E13" s="16" t="str"/>
      <x:c r="F13" s="16" t="str"/>
    </x:row>
    <x:row r="14">
      <x:c r="A14" s="16" t="str">
        <x:v>Ahmad Shah Wadood</x:v>
      </x:c>
      <x:c r="B14" s="16" t="str">
        <x:v>aswmetrobus@yahoo.com</x:v>
      </x:c>
      <x:c r="C14" s="16" t="str">
        <x:v>* myContacts</x:v>
      </x:c>
      <x:c r="D14" s="16" t="str">
        <x:f>"+60193399933"</x:f>
        <x:v>+60193399933</x:v>
      </x:c>
      <x:c r="E14" s="16" t="str"/>
      <x:c r="F14" s="16" t="str"/>
    </x:row>
    <x:row r="15">
      <x:c r="A15" s="16" t="str">
        <x:v>Al ansar mohd baktiar CEO</x:v>
      </x:c>
      <x:c r="B15" s="16" t="str">
        <x:v>mbakhtiar76@gmail.com</x:v>
      </x:c>
      <x:c r="C15" s="16" t="str">
        <x:v>* myContacts</x:v>
      </x:c>
      <x:c r="D15" s="16" t="str">
        <x:f>"+60139477165"</x:f>
        <x:v>+60139477165</x:v>
      </x:c>
      <x:c r="E15" s="16" t="str"/>
      <x:c r="F15" s="16" t="str"/>
    </x:row>
    <x:row r="16">
      <x:c r="A16" s="16" t="str">
        <x:v>Aliff</x:v>
      </x:c>
      <x:c r="B16" s="16" t="str">
        <x:v>sehanzu87@yahoo.com</x:v>
      </x:c>
      <x:c r="C16" s="16" t="str">
        <x:v>* myContacts</x:v>
      </x:c>
      <x:c r="D16" s="16" t="str">
        <x:f>"+601162509183"</x:f>
        <x:v>+601162509183</x:v>
      </x:c>
      <x:c r="E16" s="16" t="str">
        <x:f>"+601110721347"</x:f>
        <x:v>+601110721347</x:v>
      </x:c>
      <x:c r="F16" s="16" t="str"/>
    </x:row>
    <x:row r="17">
      <x:c r="A17" s="16" t="str">
        <x:v>Alikhsan IOI</x:v>
      </x:c>
      <x:c r="B17" s="16" t="str">
        <x:v>ioi@al-ikhsan.com.my</x:v>
      </x:c>
      <x:c r="C17" s="16" t="str">
        <x:v>* myContacts</x:v>
      </x:c>
      <x:c r="D17" s="16" t="str">
        <x:f>"+60137498422"</x:f>
        <x:v>+60137498422</x:v>
      </x:c>
      <x:c r="E17" s="16" t="str"/>
      <x:c r="F17" s="16" t="str"/>
    </x:row>
    <x:row r="18">
      <x:c r="A18" s="16" t="str">
        <x:v>AMIN ABDULLAH</x:v>
      </x:c>
      <x:c r="B18" s="16" t="str">
        <x:v>ams_amenk@gmail.com</x:v>
      </x:c>
      <x:c r="C18" s="16" t="str">
        <x:v>* myContacts</x:v>
      </x:c>
      <x:c r="D18" s="16" t="str">
        <x:f>"+60173000986"</x:f>
        <x:v>+60173000986</x:v>
      </x:c>
      <x:c r="E18" s="16" t="str"/>
      <x:c r="F18" s="16" t="str"/>
    </x:row>
    <x:row r="19">
      <x:c r="A19" s="16" t="str">
        <x:v>Amin Shukry</x:v>
      </x:c>
      <x:c r="B19" s="16" t="str">
        <x:v>amin@biskut.tv</x:v>
      </x:c>
      <x:c r="C19" s="16" t="str">
        <x:v>* myContacts</x:v>
      </x:c>
      <x:c r="D19" s="16" t="str">
        <x:f>"+60195655089"</x:f>
        <x:v>+60195655089</x:v>
      </x:c>
      <x:c r="E19" s="16" t="str">
        <x:f>"+60196911821"</x:f>
        <x:v>+60196911821</x:v>
      </x:c>
      <x:c r="F19" s="16" t="str"/>
    </x:row>
    <x:row r="20">
      <x:c r="A20" s="16" t="str">
        <x:v>Amir</x:v>
      </x:c>
      <x:c r="B20" s="16" t="str">
        <x:v>amir@funnelevo.com</x:v>
      </x:c>
      <x:c r="C20" s="16" t="str">
        <x:v>* myContacts</x:v>
      </x:c>
      <x:c r="D20" s="16" t="str">
        <x:f>"+60135923492"</x:f>
        <x:v>+60135923492</x:v>
      </x:c>
      <x:c r="E20" s="16" t="str"/>
      <x:c r="F20" s="16" t="str"/>
    </x:row>
    <x:row r="21">
      <x:c r="A21" s="16" t="str">
        <x:v>Amira R Evo Dagang</x:v>
      </x:c>
      <x:c r="B21" s="16" t="str">
        <x:v>amirar@evodagang.con</x:v>
      </x:c>
      <x:c r="C21" s="16" t="str">
        <x:v>* myContacts</x:v>
      </x:c>
      <x:c r="D21" s="16" t="str">
        <x:f>"+60125280046"</x:f>
        <x:v>+60125280046</x:v>
      </x:c>
      <x:c r="E21" s="16" t="str"/>
      <x:c r="F21" s="16" t="str"/>
    </x:row>
    <x:row r="22">
      <x:c r="A22" s="16" t="str">
        <x:v>Amran Jamalis Otai</x:v>
      </x:c>
      <x:c r="B22" s="16" t="str">
        <x:v>amranjamalia@gmail.com</x:v>
      </x:c>
      <x:c r="C22" s="16" t="str">
        <x:v>* myContacts</x:v>
      </x:c>
      <x:c r="D22" s="16" t="str">
        <x:f>"+60137009585"</x:f>
        <x:v>+60137009585</x:v>
      </x:c>
      <x:c r="E22" s="16" t="str"/>
      <x:c r="F22" s="16" t="str"/>
    </x:row>
    <x:row r="23">
      <x:c r="A23" s="16" t="str">
        <x:v>Ashran Dato' Ghazi</x:v>
      </x:c>
      <x:c r="B23" s="16" t="str">
        <x:v>ashran@dattel.asia</x:v>
      </x:c>
      <x:c r="C23" s="16" t="str">
        <x:v>* myContacts</x:v>
      </x:c>
      <x:c r="D23" s="16" t="str">
        <x:f>"+60193193800"</x:f>
        <x:v>+60193193800</x:v>
      </x:c>
      <x:c r="E23" s="16" t="str"/>
      <x:c r="F23" s="16" t="str"/>
    </x:row>
    <x:row r="24">
      <x:c r="A24" s="16" t="str">
        <x:v>Asri Bin Arshad BDA</x:v>
      </x:c>
      <x:c r="B24" s="16" t="str">
        <x:v>asriarshad@gmail.com</x:v>
      </x:c>
      <x:c r="C24" s="16" t="str">
        <x:v>* myContacts</x:v>
      </x:c>
      <x:c r="D24" s="16" t="str">
        <x:f>"+60122982856"</x:f>
        <x:v>+60122982856</x:v>
      </x:c>
      <x:c r="E24" s="16" t="str"/>
      <x:c r="F24" s="16" t="str"/>
    </x:row>
    <x:row r="25">
      <x:c r="A25" s="16" t="str">
        <x:v>Atikah Zakaria</x:v>
      </x:c>
      <x:c r="B25" s="16" t="str">
        <x:v>atikahzakaria3105@gmail.com</x:v>
      </x:c>
      <x:c r="C25" s="16" t="str">
        <x:v>* myContacts</x:v>
      </x:c>
      <x:c r="D25" s="16" t="str">
        <x:f>"+60134540968"</x:f>
        <x:v>+60134540968</x:v>
      </x:c>
      <x:c r="E25" s="16" t="str"/>
      <x:c r="F25" s="16" t="str"/>
    </x:row>
    <x:row r="26">
      <x:c r="A26" s="16" t="str">
        <x:v>ayie IM</x:v>
      </x:c>
      <x:c r="B26" s="16" t="str">
        <x:v>aeyiedotcom@gmail.com</x:v>
      </x:c>
      <x:c r="C26" s="16" t="str">
        <x:v>* myContacts</x:v>
      </x:c>
      <x:c r="D26" s="16" t="str">
        <x:f>"+60106336036"</x:f>
        <x:v>+60106336036</x:v>
      </x:c>
      <x:c r="E26" s="16" t="str">
        <x:f>"+60107047100"</x:f>
        <x:v>+60107047100</x:v>
      </x:c>
      <x:c r="F26" s="16" t="str"/>
    </x:row>
    <x:row r="27">
      <x:c r="A27" s="16" t="str">
        <x:v>Ayu Adik Beradik Abg Abu</x:v>
      </x:c>
      <x:c r="B27" s="16" t="str">
        <x:v>majesticeventssb@gmail.com</x:v>
      </x:c>
      <x:c r="C27" s="16" t="str">
        <x:v>* myContacts</x:v>
      </x:c>
      <x:c r="D27" s="16" t="str">
        <x:f>"+60122978417"</x:f>
        <x:v>+60122978417</x:v>
      </x:c>
      <x:c r="E27" s="16" t="str"/>
      <x:c r="F27" s="16" t="str"/>
    </x:row>
    <x:row r="28">
      <x:c r="A28" s="16" t="str">
        <x:v>aziz uitm</x:v>
      </x:c>
      <x:c r="B28" s="16" t="str">
        <x:v>zis_ajis@ymail.com</x:v>
      </x:c>
      <x:c r="C28" s="16" t="str">
        <x:v>* myContacts</x:v>
      </x:c>
      <x:c r="D28" s="16" t="str">
        <x:f>"+601125039256"</x:f>
        <x:v>+601125039256</x:v>
      </x:c>
      <x:c r="E28" s="16" t="str"/>
      <x:c r="F28" s="16" t="str"/>
    </x:row>
    <x:row r="29">
      <x:c r="A29" s="16" t="str">
        <x:v>Bahagian Kementerian Pembangunan Usahawan</x:v>
      </x:c>
      <x:c r="B29" s="16" t="str">
        <x:v>webmaster@mdec.gov.my</x:v>
      </x:c>
      <x:c r="C29" s="16" t="str">
        <x:v>* myContacts</x:v>
      </x:c>
      <x:c r="D29" s="16" t="str"/>
      <x:c r="E29" s="16" t="str"/>
      <x:c r="F29" s="16" t="str"/>
    </x:row>
    <x:row r="30">
      <x:c r="A30" s="16" t="str">
        <x:v>Benjamin</x:v>
      </x:c>
      <x:c r="B30" s="16" t="str">
        <x:v>ben@getslurp.com</x:v>
      </x:c>
      <x:c r="C30" s="16" t="str">
        <x:v>* myContacts</x:v>
      </x:c>
      <x:c r="D30" s="16" t="str">
        <x:f>"+60173998196"</x:f>
        <x:v>+60173998196</x:v>
      </x:c>
      <x:c r="E30" s="16" t="str"/>
      <x:c r="F30" s="16" t="str"/>
    </x:row>
    <x:row r="31">
      <x:c r="A31" s="16" t="str">
        <x:v>Chan Kit Kheong</x:v>
      </x:c>
      <x:c r="B31" s="16" t="str">
        <x:v>kitkheong@kitkheong.com</x:v>
      </x:c>
      <x:c r="C31" s="16" t="str">
        <x:v>* myContacts</x:v>
      </x:c>
      <x:c r="D31" s="16" t="str">
        <x:f>"+60164420851"</x:f>
        <x:v>+60164420851</x:v>
      </x:c>
      <x:c r="E31" s="16" t="str"/>
      <x:c r="F31" s="16" t="str"/>
    </x:row>
    <x:row r="32">
      <x:c r="A32" s="16" t="str">
        <x:v>Chef Apek Tow Truck</x:v>
      </x:c>
      <x:c r="B32" s="16" t="str">
        <x:v>chefapek93@gmail.com</x:v>
      </x:c>
      <x:c r="C32" s="16" t="str">
        <x:v>* myContacts</x:v>
      </x:c>
      <x:c r="D32" s="16" t="str">
        <x:f>"+60176374513"</x:f>
        <x:v>+60176374513</x:v>
      </x:c>
      <x:c r="E32" s="16" t="str"/>
      <x:c r="F32" s="16" t="str"/>
    </x:row>
    <x:row r="33">
      <x:c r="A33" s="16" t="str">
        <x:v>CHEF MUHAMMAD SHAZWAN BIN HJ. RUSL\N</x:v>
      </x:c>
      <x:c r="B33" s="16" t="str">
        <x:v>shazwan@paktam.com.my</x:v>
      </x:c>
      <x:c r="C33" s="16" t="str">
        <x:v>* myContacts</x:v>
      </x:c>
      <x:c r="D33" s="16" t="str">
        <x:f>"+60361388388"</x:f>
        <x:v>+60361388388</x:v>
      </x:c>
      <x:c r="E33" s="16" t="str">
        <x:f>"+601128892358"</x:f>
        <x:v>+601128892358</x:v>
      </x:c>
      <x:c r="F33" s="16" t="str">
        <x:f>"+60108997936"</x:f>
        <x:v>+60108997936</x:v>
      </x:c>
    </x:row>
    <x:row r="34">
      <x:c r="A34" s="16" t="str">
        <x:v>Chin Je Mein</x:v>
      </x:c>
      <x:c r="B34" s="16" t="str">
        <x:v>jemein@panpiagr-.com</x:v>
      </x:c>
      <x:c r="C34" s="16" t="str">
        <x:v>* myContacts</x:v>
      </x:c>
      <x:c r="D34" s="16" t="str">
        <x:f>"+60124516418"</x:f>
        <x:v>+60124516418</x:v>
      </x:c>
      <x:c r="E34" s="16" t="str"/>
      <x:c r="F34" s="16" t="str"/>
    </x:row>
    <x:row r="35">
      <x:c r="A35" s="16" t="str">
        <x:v>Clair Deevy</x:v>
      </x:c>
      <x:c r="B35" s="16" t="str">
        <x:v>claird@fb.com</x:v>
      </x:c>
      <x:c r="C35" s="16" t="str">
        <x:v>* myContacts</x:v>
      </x:c>
      <x:c r="D35" s="16" t="str">
        <x:f>"+6564206653"</x:f>
        <x:v>+6564206653</x:v>
      </x:c>
      <x:c r="E35" s="16" t="str">
        <x:f>"+6588690396"</x:f>
        <x:v>+6588690396</x:v>
      </x:c>
      <x:c r="F35" s="16" t="str"/>
    </x:row>
    <x:row r="36">
      <x:c r="A36" s="16" t="str">
        <x:v>Coach Are Key</x:v>
      </x:c>
      <x:c r="B36" s="16" t="str">
        <x:v>kieno1443h@gmail.com</x:v>
      </x:c>
      <x:c r="C36" s="16" t="str">
        <x:v>* myContacts | Trainer</x:v>
      </x:c>
      <x:c r="D36" s="16" t="str">
        <x:f>"+60122926120"</x:f>
        <x:v>+60122926120</x:v>
      </x:c>
      <x:c r="E36" s="16" t="str"/>
      <x:c r="F36" s="16" t="str"/>
    </x:row>
    <x:row r="37">
      <x:c r="A37" s="16" t="str">
        <x:v>Coach Ira Aziz TikTok Consultant</x:v>
      </x:c>
      <x:c r="B37" s="16" t="str">
        <x:v>coachiraaziz@gmail.com</x:v>
      </x:c>
      <x:c r="C37" s="16" t="str">
        <x:v>* myContacts | Trainer</x:v>
      </x:c>
      <x:c r="D37" s="16" t="str">
        <x:f>"+60173260045"</x:f>
        <x:v>+60173260045</x:v>
      </x:c>
      <x:c r="E37" s="16" t="str"/>
      <x:c r="F37" s="16" t="str"/>
    </x:row>
    <x:row r="38">
      <x:c r="A38" s="16" t="str">
        <x:v>Darvin Nair</x:v>
      </x:c>
      <x:c r="B38" s="16" t="str">
        <x:v>darvintheboss@gmail.com</x:v>
      </x:c>
      <x:c r="C38" s="16" t="str">
        <x:v>* myContacts</x:v>
      </x:c>
      <x:c r="D38" s="16" t="str">
        <x:f>"+60103671675"</x:f>
        <x:v>+60103671675</x:v>
      </x:c>
      <x:c r="E38" s="16" t="str"/>
      <x:c r="F38" s="16" t="str"/>
    </x:row>
    <x:row r="39">
      <x:c r="A39" s="16" t="str">
        <x:v>Dato Shahrul Naser</x:v>
      </x:c>
      <x:c r="B39" s="16" t="str">
        <x:v>datoshahrulnaser.yayasanyapenk@gmail.com</x:v>
      </x:c>
      <x:c r="C39" s="16" t="str">
        <x:v>* myContacts</x:v>
      </x:c>
      <x:c r="D39" s="16" t="str">
        <x:f>"+601126473277"</x:f>
        <x:v>+601126473277</x:v>
      </x:c>
      <x:c r="E39" s="16" t="str"/>
      <x:c r="F39" s="16" t="str"/>
    </x:row>
    <x:row r="40">
      <x:c r="A40" s="16" t="str">
        <x:v>Dayat Ahmad Hidayat Abdul Rahman</x:v>
      </x:c>
      <x:c r="B40" s="16" t="str">
        <x:v>hidayat@powerbiz.my</x:v>
      </x:c>
      <x:c r="C40" s="16" t="str">
        <x:v>* myContacts</x:v>
      </x:c>
      <x:c r="D40" s="16" t="str">
        <x:f>"+60374966751"</x:f>
        <x:v>+60374966751</x:v>
      </x:c>
      <x:c r="E40" s="16" t="str">
        <x:f>"+60162237082"</x:f>
        <x:v>+60162237082</x:v>
      </x:c>
      <x:c r="F40" s="16" t="str"/>
    </x:row>
    <x:row r="41">
      <x:c r="A41" s="16" t="str">
        <x:v>Dr ABDUL HAKIM JAAFAR</x:v>
      </x:c>
      <x:c r="B41" s="16" t="str">
        <x:v>info@marhakim.com</x:v>
      </x:c>
      <x:c r="C41" s="16" t="str">
        <x:v>* myContacts</x:v>
      </x:c>
      <x:c r="D41" s="16" t="str">
        <x:f>"+601110927168"</x:f>
        <x:v>+601110927168</x:v>
      </x:c>
      <x:c r="E41" s="16" t="str"/>
      <x:c r="F41" s="16" t="str"/>
    </x:row>
    <x:row r="42">
      <x:c r="A42" s="16" t="str">
        <x:v>Dr ABDUL HAKIM JAAFAR</x:v>
      </x:c>
      <x:c r="B42" s="16" t="str">
        <x:v>lullhakim@marhakimc.or</x:v>
      </x:c>
      <x:c r="C42" s="16" t="str">
        <x:v>* myContacts</x:v>
      </x:c>
      <x:c r="D42" s="16" t="str">
        <x:f>"+601110927168"</x:f>
        <x:v>+601110927168</x:v>
      </x:c>
      <x:c r="E42" s="16" t="str"/>
      <x:c r="F42" s="16" t="str"/>
    </x:row>
    <x:row r="43">
      <x:c r="A43" s="16" t="str">
        <x:v>Dr Hakim</x:v>
      </x:c>
      <x:c r="B43" s="16" t="str">
        <x:v>giinfo@mymuna.com</x:v>
      </x:c>
      <x:c r="C43" s="16" t="str">
        <x:v>* myContacts</x:v>
      </x:c>
      <x:c r="D43" s="16" t="str">
        <x:f>"+60377317648"</x:f>
        <x:v>+60377317648</x:v>
      </x:c>
      <x:c r="E43" s="16" t="str">
        <x:f>"+601110861889"</x:f>
        <x:v>+601110861889</x:v>
      </x:c>
      <x:c r="F43" s="16" t="str"/>
    </x:row>
    <x:row r="44">
      <x:c r="A44" s="16" t="str">
        <x:v>Duke Naim</x:v>
      </x:c>
      <x:c r="B44" s="16" t="str">
        <x:v>dukenaim@gmail.com</x:v>
      </x:c>
      <x:c r="C44" s="16" t="str">
        <x:v>* myContacts</x:v>
      </x:c>
      <x:c r="D44" s="16" t="str">
        <x:f>"+60196196964"</x:f>
        <x:v>+60196196964</x:v>
      </x:c>
      <x:c r="E44" s="16" t="str">
        <x:f>"+601125605645"</x:f>
        <x:v>+601125605645</x:v>
      </x:c>
      <x:c r="F44" s="16" t="str"/>
    </x:row>
    <x:row r="45">
      <x:c r="A45" s="16" t="str">
        <x:v>Dzarul Farhan bin Dzahar</x:v>
      </x:c>
      <x:c r="B45" s="16" t="str">
        <x:v>dzarul@teraju.gov.my</x:v>
      </x:c>
      <x:c r="C45" s="16" t="str">
        <x:v>* myContacts</x:v>
      </x:c>
      <x:c r="D45" s="16" t="str">
        <x:f>"+60378398096"</x:f>
        <x:v>+60378398096</x:v>
      </x:c>
      <x:c r="E45" s="16" t="str">
        <x:f>"+60194284180"</x:f>
        <x:v>+60194284180</x:v>
      </x:c>
      <x:c r="F45" s="16" t="str"/>
    </x:row>
    <x:row r="46">
      <x:c r="A46" s="16" t="str">
        <x:v>DZULFADHLI ZAINAL ABIDIN</x:v>
      </x:c>
      <x:c r="B46" s="16" t="str">
        <x:v>dzulfadhli@shardglobal.com</x:v>
      </x:c>
      <x:c r="C46" s="16" t="str">
        <x:v>* myContacts</x:v>
      </x:c>
      <x:c r="D46" s="16" t="str">
        <x:f>"+60196910377"</x:f>
        <x:v>+60196910377</x:v>
      </x:c>
      <x:c r="E46" s="16" t="str"/>
      <x:c r="F46" s="16" t="str"/>
    </x:row>
    <x:row r="47">
      <x:c r="A47" s="16" t="str">
        <x:v>En Zaki Bda</x:v>
      </x:c>
      <x:c r="B47" s="16" t="str">
        <x:v>zaki@jontraining.com.my</x:v>
      </x:c>
      <x:c r="C47" s="16" t="str">
        <x:v>* myContacts</x:v>
      </x:c>
      <x:c r="D47" s="16" t="str">
        <x:f>"+60192626101"</x:f>
        <x:v>+60192626101</x:v>
      </x:c>
      <x:c r="E47" s="16" t="str"/>
      <x:c r="F47" s="16" t="str"/>
    </x:row>
    <x:row r="48">
      <x:c r="A48" s="16" t="str">
        <x:v>eu abdul razak 18112023</x:v>
      </x:c>
      <x:c r="B48" s="16" t="str">
        <x:v>razakhasan6017@gmail.com</x:v>
      </x:c>
      <x:c r="C48" s="16" t="str">
        <x:v>* myContacts | Alumni eUsahawan</x:v>
      </x:c>
      <x:c r="D48" s="16" t="str">
        <x:f>"+60139380715"</x:f>
        <x:v>+60139380715</x:v>
      </x:c>
      <x:c r="E48" s="16" t="str"/>
      <x:c r="F48" s="16" t="str"/>
    </x:row>
    <x:row r="49">
      <x:c r="A49" s="16" t="str">
        <x:v>eu ahamad phahamin 04112023</x:v>
      </x:c>
      <x:c r="B49" s="16" t="str">
        <x:v>ahamadphahamin99@gmail.com</x:v>
      </x:c>
      <x:c r="C49" s="16" t="str">
        <x:v>* myContacts | Alumni eUsahawan</x:v>
      </x:c>
      <x:c r="D49" s="16" t="str">
        <x:f>"+601161090107"</x:f>
        <x:v>+601161090107</x:v>
      </x:c>
      <x:c r="E49" s="16" t="str"/>
      <x:c r="F49" s="16" t="str"/>
    </x:row>
    <x:row r="50">
      <x:c r="A50" s="16" t="str">
        <x:v>eu ahmad izat 18112023</x:v>
      </x:c>
      <x:c r="B50" s="16" t="str">
        <x:v>izatafifi69@gmail.com</x:v>
      </x:c>
      <x:c r="C50" s="16" t="str">
        <x:v>* myContacts | Alumni eUsahawan</x:v>
      </x:c>
      <x:c r="D50" s="16" t="str">
        <x:f>"+60179697469"</x:f>
        <x:v>+60179697469</x:v>
      </x:c>
      <x:c r="E50" s="16" t="str"/>
      <x:c r="F50" s="16" t="str"/>
    </x:row>
    <x:row r="51">
      <x:c r="A51" s="16" t="str">
        <x:v>eu ahmad mustakim 04112023</x:v>
      </x:c>
      <x:c r="B51" s="16" t="str">
        <x:v>mustakim.azhan@yahoo.com</x:v>
      </x:c>
      <x:c r="C51" s="16" t="str">
        <x:v>* myContacts | Alumni eUsahawan</x:v>
      </x:c>
      <x:c r="D51" s="16" t="str">
        <x:f>"+601338996187"</x:f>
        <x:v>+601338996187</x:v>
      </x:c>
      <x:c r="E51" s="16" t="str">
        <x:f>"+60138996187"</x:f>
        <x:v>+60138996187</x:v>
      </x:c>
      <x:c r="F51" s="16" t="str"/>
    </x:row>
    <x:row r="52">
      <x:c r="A52" s="16" t="str">
        <x:v>eu aina 04112023</x:v>
      </x:c>
      <x:c r="B52" s="16" t="str">
        <x:v>ainamardiyah0203@gmail.com</x:v>
      </x:c>
      <x:c r="C52" s="16" t="str">
        <x:v>* myContacts | Alumni eUsahawan</x:v>
      </x:c>
      <x:c r="D52" s="16" t="str">
        <x:f>"+60145027563"</x:f>
        <x:v>+60145027563</x:v>
      </x:c>
      <x:c r="E52" s="16" t="str"/>
      <x:c r="F52" s="16" t="str"/>
    </x:row>
    <x:row r="53">
      <x:c r="A53" s="16" t="str">
        <x:v>eu anida 18112023</x:v>
      </x:c>
      <x:c r="B53" s="16" t="str">
        <x:v>anidamohdzainuddin@gmail.com</x:v>
      </x:c>
      <x:c r="C53" s="16" t="str">
        <x:v>* myContacts | Alumni eUsahawan</x:v>
      </x:c>
      <x:c r="D53" s="16" t="str">
        <x:f>"+601137526298"</x:f>
        <x:v>+601137526298</x:v>
      </x:c>
      <x:c r="E53" s="16" t="str"/>
      <x:c r="F53" s="16" t="str"/>
    </x:row>
    <x:row r="54">
      <x:c r="A54" s="16" t="str">
        <x:v>eu anis amila 18112023</x:v>
      </x:c>
      <x:c r="B54" s="16" t="str">
        <x:v>annmill.10@gmail.com</x:v>
      </x:c>
      <x:c r="C54" s="16" t="str">
        <x:v>* myContacts | Alumni eUsahawan</x:v>
      </x:c>
      <x:c r="D54" s="16" t="str">
        <x:f>"+60199111601"</x:f>
        <x:v>+60199111601</x:v>
      </x:c>
      <x:c r="E54" s="16" t="str"/>
      <x:c r="F54" s="16" t="str"/>
    </x:row>
    <x:row r="55">
      <x:c r="A55" s="16" t="str">
        <x:v>eu engku suraya 04112023</x:v>
      </x:c>
      <x:c r="B55" s="16" t="str">
        <x:v>ayarusimail@gmail.com</x:v>
      </x:c>
      <x:c r="C55" s="16" t="str">
        <x:v>* myContacts | Alumni eUsahawan</x:v>
      </x:c>
      <x:c r="D55" s="16" t="str">
        <x:f>"+601135681643"</x:f>
        <x:v>+601135681643</x:v>
      </x:c>
      <x:c r="E55" s="16" t="str"/>
      <x:c r="F55" s="16" t="str"/>
    </x:row>
    <x:row r="56">
      <x:c r="A56" s="16" t="str">
        <x:v>eu fauziah yaakob 18112023</x:v>
      </x:c>
      <x:c r="B56" s="16" t="str">
        <x:v>mhzamhza97@gmail.com</x:v>
      </x:c>
      <x:c r="C56" s="16" t="str">
        <x:v>* myContacts | Alumni eUsahawan</x:v>
      </x:c>
      <x:c r="D56" s="16" t="str">
        <x:f>"+60179095281"</x:f>
        <x:v>+60179095281</x:v>
      </x:c>
      <x:c r="E56" s="16" t="str"/>
      <x:c r="F56" s="16" t="str"/>
    </x:row>
    <x:row r="57">
      <x:c r="A57" s="16" t="str">
        <x:v>eu haslina 18112023</x:v>
      </x:c>
      <x:c r="B57" s="16" t="str">
        <x:v>ahaslina89@gmail.com</x:v>
      </x:c>
      <x:c r="C57" s="16" t="str">
        <x:v>* myContacts | Alumni eUsahawan</x:v>
      </x:c>
      <x:c r="D57" s="16" t="str">
        <x:f>"+60178748505"</x:f>
        <x:v>+60178748505</x:v>
      </x:c>
      <x:c r="E57" s="16" t="str"/>
      <x:c r="F57" s="16" t="str"/>
    </x:row>
    <x:row r="58">
      <x:c r="A58" s="16" t="str">
        <x:v>eu hasmah 18112023</x:v>
      </x:c>
      <x:c r="B58" s="16" t="str">
        <x:v>hasmahmatjais32@gmail.com</x:v>
      </x:c>
      <x:c r="C58" s="16" t="str">
        <x:v>* myContacts | Alumni eUsahawan</x:v>
      </x:c>
      <x:c r="D58" s="16" t="str">
        <x:f>"+60139942981"</x:f>
        <x:v>+60139942981</x:v>
      </x:c>
      <x:c r="E58" s="16" t="str"/>
      <x:c r="F58" s="16" t="str"/>
    </x:row>
    <x:row r="59">
      <x:c r="A59" s="16" t="str">
        <x:v>eu hazwani 04112023</x:v>
      </x:c>
      <x:c r="B59" s="16" t="str">
        <x:v>hazwani_cheabrahman@yahoo.com</x:v>
      </x:c>
      <x:c r="C59" s="16" t="str">
        <x:v>* myContacts | Alumni eUsahawan</x:v>
      </x:c>
      <x:c r="D59" s="16" t="str">
        <x:f>"+60102949864"</x:f>
        <x:v>+60102949864</x:v>
      </x:c>
      <x:c r="E59" s="16" t="str"/>
      <x:c r="F59" s="16" t="str"/>
    </x:row>
    <x:row r="60">
      <x:c r="A60" s="16" t="str">
        <x:v>eu iqmal khair 04112023</x:v>
      </x:c>
      <x:c r="B60" s="16" t="str">
        <x:v>iqmaluchiha98@gmail.com</x:v>
      </x:c>
      <x:c r="C60" s="16" t="str">
        <x:v>* myContacts | Alumni eUsahawan</x:v>
      </x:c>
      <x:c r="D60" s="16" t="str">
        <x:f>"+60148064039"</x:f>
        <x:v>+60148064039</x:v>
      </x:c>
      <x:c r="E60" s="16" t="str"/>
      <x:c r="F60" s="16" t="str"/>
    </x:row>
    <x:row r="61">
      <x:c r="A61" s="16" t="str">
        <x:v>eu izzatil akmal</x:v>
      </x:c>
      <x:c r="B61" s="16" t="str">
        <x:v>izzmal25@gmail.com</x:v>
      </x:c>
      <x:c r="C61" s="16" t="str">
        <x:v>* myContacts | Alumni eUsahawan</x:v>
      </x:c>
      <x:c r="D61" s="16" t="str">
        <x:f>"+60169577374"</x:f>
        <x:v>+60169577374</x:v>
      </x:c>
      <x:c r="E61" s="16" t="str"/>
      <x:c r="F61" s="16" t="str"/>
    </x:row>
    <x:row r="62">
      <x:c r="A62" s="16" t="str">
        <x:v>eu kasma dewi 18112023</x:v>
      </x:c>
      <x:c r="B62" s="16" t="str">
        <x:v>kasmadewikek9@gmail.com</x:v>
      </x:c>
      <x:c r="C62" s="16" t="str">
        <x:v>* myContacts | Alumni eUsahawan</x:v>
      </x:c>
      <x:c r="D62" s="16" t="str">
        <x:f>"+60139822050"</x:f>
        <x:v>+60139822050</x:v>
      </x:c>
      <x:c r="E62" s="16" t="str"/>
      <x:c r="F62" s="16" t="str"/>
    </x:row>
    <x:row r="63">
      <x:c r="A63" s="16" t="str">
        <x:v>Eu Md Hidhir Bin Mohamed Z 170823</x:v>
      </x:c>
      <x:c r="B63" s="16" t="str">
        <x:v>edaysan1980@gmail.com</x:v>
      </x:c>
      <x:c r="C63" s="16" t="str">
        <x:v>* myContacts | Alumni eUsahawan</x:v>
      </x:c>
      <x:c r="D63" s="16" t="str">
        <x:f>"+601111345498"</x:f>
        <x:v>+601111345498</x:v>
      </x:c>
      <x:c r="E63" s="16" t="str"/>
      <x:c r="F63" s="16" t="str"/>
    </x:row>
    <x:row r="64">
      <x:c r="A64" s="16" t="str">
        <x:v>eu mohamad albab 04112023</x:v>
      </x:c>
      <x:c r="B64" s="16" t="str">
        <x:v>mohdalbab6227@gmail.com</x:v>
      </x:c>
      <x:c r="C64" s="16" t="str">
        <x:v>* myContacts | Alumni eUsahawan</x:v>
      </x:c>
      <x:c r="D64" s="16" t="str">
        <x:f>"+60177253848"</x:f>
        <x:v>+60177253848</x:v>
      </x:c>
      <x:c r="E64" s="16" t="str"/>
      <x:c r="F64" s="16" t="str"/>
    </x:row>
    <x:row r="65">
      <x:c r="A65" s="16" t="str">
        <x:v>eu mohammad danish iqmal</x:v>
      </x:c>
      <x:c r="B65" s="16" t="str">
        <x:v>danishiqmal103@gmail.com</x:v>
      </x:c>
      <x:c r="C65" s="16" t="str">
        <x:v>* myContacts | Alumni eUsahawan</x:v>
      </x:c>
      <x:c r="D65" s="16" t="str">
        <x:f>"+601110892123"</x:f>
        <x:v>+601110892123</x:v>
      </x:c>
      <x:c r="E65" s="16" t="str"/>
      <x:c r="F65" s="16" t="str"/>
    </x:row>
    <x:row r="66">
      <x:c r="A66" s="16" t="str">
        <x:v>eu mohd razak 18112023</x:v>
      </x:c>
      <x:c r="B66" s="16" t="str">
        <x:v>mohdrazak.mohdzuki@gmail.com</x:v>
      </x:c>
      <x:c r="C66" s="16" t="str">
        <x:v>* myContacts | Alumni eUsahawan</x:v>
      </x:c>
      <x:c r="D66" s="16" t="str">
        <x:f>"+601137606073"</x:f>
        <x:v>+601137606073</x:v>
      </x:c>
      <x:c r="E66" s="16" t="str"/>
      <x:c r="F66" s="16" t="str"/>
    </x:row>
    <x:row r="67">
      <x:c r="A67" s="16" t="str">
        <x:v>eu mohd rosli 04112023</x:v>
      </x:c>
      <x:c r="B67" s="16" t="str">
        <x:v>mrosli801806@gmail.com</x:v>
      </x:c>
      <x:c r="C67" s="16" t="str">
        <x:v>* myContacts | Alumni eUsahawan</x:v>
      </x:c>
      <x:c r="D67" s="16" t="str">
        <x:f>"+601118758010"</x:f>
        <x:v>+601118758010</x:v>
      </x:c>
      <x:c r="E67" s="16" t="str"/>
      <x:c r="F67" s="16" t="str"/>
    </x:row>
    <x:row r="68">
      <x:c r="A68" s="16" t="str">
        <x:v>eu mohd zairul 18112023</x:v>
      </x:c>
      <x:c r="B68" s="16" t="str">
        <x:v>mzh201258@gmail.com</x:v>
      </x:c>
      <x:c r="C68" s="16" t="str">
        <x:v>* myContacts | Alumni eUsahawan</x:v>
      </x:c>
      <x:c r="D68" s="16" t="str">
        <x:f>"+601155572696"</x:f>
        <x:v>+601155572696</x:v>
      </x:c>
      <x:c r="E68" s="16" t="str"/>
      <x:c r="F68" s="16" t="str"/>
    </x:row>
    <x:row r="69">
      <x:c r="A69" s="16" t="str">
        <x:v>eu muhamad bukhari 04112023</x:v>
      </x:c>
      <x:c r="B69" s="16" t="str">
        <x:v>mbmj31@gmail.com</x:v>
      </x:c>
      <x:c r="C69" s="16" t="str">
        <x:v>* myContacts | Alumni eUsahawan</x:v>
      </x:c>
      <x:c r="D69" s="16" t="str">
        <x:f>"+60169503556"</x:f>
        <x:v>+60169503556</x:v>
      </x:c>
      <x:c r="E69" s="16" t="str"/>
      <x:c r="F69" s="16" t="str"/>
    </x:row>
    <x:row r="70">
      <x:c r="A70" s="16" t="str">
        <x:v>eu muhamad kamarul 04112023</x:v>
      </x:c>
      <x:c r="B70" s="16" t="str">
        <x:v>yoeskodar@gmail.com</x:v>
      </x:c>
      <x:c r="C70" s="16" t="str">
        <x:v>* myContacts | Alumni eUsahawan</x:v>
      </x:c>
      <x:c r="D70" s="16" t="str">
        <x:f>"+60134172529"</x:f>
        <x:v>+60134172529</x:v>
      </x:c>
      <x:c r="E70" s="16" t="str"/>
      <x:c r="F70" s="16" t="str"/>
    </x:row>
    <x:row r="71">
      <x:c r="A71" s="16" t="str">
        <x:v>eu muhammad 18112023</x:v>
      </x:c>
      <x:c r="B71" s="16" t="str">
        <x:v>hanif.nasir236@gmail.com</x:v>
      </x:c>
      <x:c r="C71" s="16" t="str">
        <x:v>* myContacts | Alumni eUsahawan</x:v>
      </x:c>
      <x:c r="D71" s="16" t="str">
        <x:f>"+601118544627"</x:f>
        <x:v>+601118544627</x:v>
      </x:c>
      <x:c r="E71" s="16" t="str"/>
      <x:c r="F71" s="16" t="str"/>
    </x:row>
    <x:row r="72">
      <x:c r="A72" s="16" t="str">
        <x:v>eu muzaidi 04112023</x:v>
      </x:c>
      <x:c r="B72" s="16" t="str">
        <x:v>muzaidimohamad19@gmail.com</x:v>
      </x:c>
      <x:c r="C72" s="16" t="str">
        <x:v>* myContacts | Alumni eUsahawan</x:v>
      </x:c>
      <x:c r="D72" s="16" t="str">
        <x:f>"+601110612797"</x:f>
        <x:v>+601110612797</x:v>
      </x:c>
      <x:c r="E72" s="16" t="str"/>
      <x:c r="F72" s="16" t="str"/>
    </x:row>
    <x:row r="73">
      <x:c r="A73" s="16" t="str">
        <x:v>eu nooranis sofia 04112023</x:v>
      </x:c>
      <x:c r="B73" s="16" t="str">
        <x:v>anissofia992@gmail.com</x:v>
      </x:c>
      <x:c r="C73" s="16" t="str">
        <x:v>* myContacts | Alumni eUsahawan</x:v>
      </x:c>
      <x:c r="D73" s="16" t="str">
        <x:f>"+601136092530"</x:f>
        <x:v>+601136092530</x:v>
      </x:c>
      <x:c r="E73" s="16" t="str"/>
      <x:c r="F73" s="16" t="str"/>
    </x:row>
    <x:row r="74">
      <x:c r="A74" s="16" t="str">
        <x:v>eu noormaliza 04112023</x:v>
      </x:c>
      <x:c r="B74" s="16" t="str">
        <x:v>normalizaghazali@gmail.com</x:v>
      </x:c>
      <x:c r="C74" s="16" t="str">
        <x:v>* myContacts | Alumni eUsahawan</x:v>
      </x:c>
      <x:c r="D74" s="16" t="str">
        <x:f>"+60164303857"</x:f>
        <x:v>+60164303857</x:v>
      </x:c>
      <x:c r="E74" s="16" t="str"/>
      <x:c r="F74" s="16" t="str"/>
    </x:row>
    <x:row r="75">
      <x:c r="A75" s="16" t="str">
        <x:v>eu nor asiah haron 04112023</x:v>
      </x:c>
      <x:c r="B75" s="16" t="str">
        <x:v>suenorasiah69@gmail.com</x:v>
      </x:c>
      <x:c r="C75" s="16" t="str">
        <x:v>* myContacts | Alumni eUsahawan</x:v>
      </x:c>
      <x:c r="D75" s="16" t="str">
        <x:f>"+60136031069"</x:f>
        <x:v>+60136031069</x:v>
      </x:c>
      <x:c r="E75" s="16" t="str"/>
      <x:c r="F75" s="16" t="str"/>
    </x:row>
    <x:row r="76">
      <x:c r="A76" s="16" t="str">
        <x:v>eu nor fatihah 04112023</x:v>
      </x:c>
      <x:c r="B76" s="16" t="str">
        <x:v>acikdecoration@gmail.com</x:v>
      </x:c>
      <x:c r="C76" s="16" t="str">
        <x:v>* myContacts | Alumni eUsahawan</x:v>
      </x:c>
      <x:c r="D76" s="16" t="str">
        <x:f>"+60133070047"</x:f>
        <x:v>+60133070047</x:v>
      </x:c>
      <x:c r="E76" s="16" t="str"/>
      <x:c r="F76" s="16" t="str"/>
    </x:row>
    <x:row r="77">
      <x:c r="A77" s="16" t="str">
        <x:v>eu nor hadinah 04112023</x:v>
      </x:c>
      <x:c r="B77" s="16" t="str">
        <x:v>norhaidahramly9@gmail.com</x:v>
      </x:c>
      <x:c r="C77" s="16" t="str">
        <x:v>* myContacts | Alumni eUsahawan</x:v>
      </x:c>
      <x:c r="D77" s="16" t="str">
        <x:f>"+60139473117"</x:f>
        <x:v>+60139473117</x:v>
      </x:c>
      <x:c r="E77" s="16" t="str"/>
      <x:c r="F77" s="16" t="str"/>
    </x:row>
    <x:row r="78">
      <x:c r="A78" s="16" t="str">
        <x:v>eu nora 04112023</x:v>
      </x:c>
      <x:c r="B78" s="16" t="str">
        <x:v>noramseho@gmail.com</x:v>
      </x:c>
      <x:c r="C78" s="16" t="str">
        <x:v>* myContacts | Alumni eUsahawan</x:v>
      </x:c>
      <x:c r="D78" s="16" t="str">
        <x:f>"+60139471051"</x:f>
        <x:v>+60139471051</x:v>
      </x:c>
      <x:c r="E78" s="16" t="str"/>
      <x:c r="F78" s="16" t="str"/>
    </x:row>
    <x:row r="79">
      <x:c r="A79" s="16" t="str">
        <x:v>eu noranaliza 04112023</x:v>
      </x:c>
      <x:c r="B79" s="16" t="str">
        <x:v>mohdnorkhairi96@gmail.com</x:v>
      </x:c>
      <x:c r="C79" s="16" t="str">
        <x:v>* myContacts | Alumni eUsahawan</x:v>
      </x:c>
      <x:c r="D79" s="16" t="str">
        <x:f>"+60179654384"</x:f>
        <x:v>+60179654384</x:v>
      </x:c>
      <x:c r="E79" s="16" t="str"/>
      <x:c r="F79" s="16" t="str"/>
    </x:row>
    <x:row r="80">
      <x:c r="A80" s="16" t="str">
        <x:v>eu norhayati 04112023</x:v>
      </x:c>
      <x:c r="B80" s="16" t="str">
        <x:v>yatidin1986@gmail.com</x:v>
      </x:c>
      <x:c r="C80" s="16" t="str">
        <x:v>* myContacts | Alumni eUsahawan</x:v>
      </x:c>
      <x:c r="D80" s="16" t="str">
        <x:f>"+60179632889"</x:f>
        <x:v>+60179632889</x:v>
      </x:c>
      <x:c r="E80" s="16" t="str"/>
      <x:c r="F80" s="16" t="str"/>
    </x:row>
    <x:row r="81">
      <x:c r="A81" s="16" t="str">
        <x:v>eu noridnyu 04112023</x:v>
      </x:c>
      <x:c r="B81" s="16" t="str">
        <x:v>ayueda@yahoo.com</x:v>
      </x:c>
      <x:c r="C81" s="16" t="str">
        <x:v>* myContacts | Alumni eUsahawan</x:v>
      </x:c>
      <x:c r="D81" s="16" t="str">
        <x:f>"+60126260340"</x:f>
        <x:v>+60126260340</x:v>
      </x:c>
      <x:c r="E81" s="16" t="str"/>
      <x:c r="F81" s="16" t="str"/>
    </x:row>
    <x:row r="82">
      <x:c r="A82" s="16" t="str">
        <x:v>eu norisya 04112023</x:v>
      </x:c>
      <x:c r="B82" s="16" t="str">
        <x:v>norisyahaznam@gmail.com</x:v>
      </x:c>
      <x:c r="C82" s="16" t="str">
        <x:v>* myContacts | Alumni eUsahawan</x:v>
      </x:c>
      <x:c r="D82" s="16" t="str">
        <x:f>"+60139496446"</x:f>
        <x:v>+60139496446</x:v>
      </x:c>
      <x:c r="E82" s="16" t="str"/>
      <x:c r="F82" s="16" t="str"/>
    </x:row>
    <x:row r="83">
      <x:c r="A83" s="16" t="str">
        <x:v>eu norlisa 18112023</x:v>
      </x:c>
      <x:c r="B83" s="16" t="str">
        <x:v>norlisabintinordin@gmail.com</x:v>
      </x:c>
      <x:c r="C83" s="16" t="str">
        <x:v>* myContacts | Alumni eUsahawan</x:v>
      </x:c>
      <x:c r="D83" s="16" t="str">
        <x:f>"+60123114982"</x:f>
        <x:v>+60123114982</x:v>
      </x:c>
      <x:c r="E83" s="16" t="str"/>
      <x:c r="F83" s="16" t="str"/>
    </x:row>
    <x:row r="84">
      <x:c r="A84" s="16" t="str">
        <x:v>eu nur basirah 04112023</x:v>
      </x:c>
      <x:c r="B84" s="16" t="str">
        <x:v>basirakaziz@gmail.com</x:v>
      </x:c>
      <x:c r="C84" s="16" t="str">
        <x:v>* myContacts | Alumni eUsahawan</x:v>
      </x:c>
      <x:c r="D84" s="16" t="str">
        <x:f>"+60129869416"</x:f>
        <x:v>+60129869416</x:v>
      </x:c>
      <x:c r="E84" s="16" t="str"/>
      <x:c r="F84" s="16" t="str"/>
    </x:row>
    <x:row r="85">
      <x:c r="A85" s="16" t="str">
        <x:v>eu nur farzana 18112023</x:v>
      </x:c>
      <x:c r="B85" s="16" t="str">
        <x:v>nana.farzana226@gmail.com</x:v>
      </x:c>
      <x:c r="C85" s="16" t="str">
        <x:v>* myContacts | Alumni eUsahawan</x:v>
      </x:c>
      <x:c r="D85" s="16" t="str">
        <x:f>"+60182584828"</x:f>
        <x:v>+60182584828</x:v>
      </x:c>
      <x:c r="E85" s="16" t="str"/>
      <x:c r="F85" s="16" t="str"/>
    </x:row>
    <x:row r="86">
      <x:c r="A86" s="16" t="str">
        <x:v>eu nur fatihah 04112023</x:v>
      </x:c>
      <x:c r="B86" s="16" t="str">
        <x:v>faizfahhah95@gmail.com</x:v>
      </x:c>
      <x:c r="C86" s="16" t="str">
        <x:v>* myContacts | Alumni eUsahawan</x:v>
      </x:c>
      <x:c r="D86" s="16" t="str">
        <x:f>"+60124851519"</x:f>
        <x:v>+60124851519</x:v>
      </x:c>
      <x:c r="E86" s="16" t="str"/>
      <x:c r="F86" s="16" t="str"/>
    </x:row>
    <x:row r="87">
      <x:c r="A87" s="16" t="str">
        <x:v>eu nur hassanal hakkim 04112023</x:v>
      </x:c>
      <x:c r="B87" s="16" t="str">
        <x:v>hasanalhakkim93@icloud.com</x:v>
      </x:c>
      <x:c r="C87" s="16" t="str">
        <x:v>* myContacts | Alumni eUsahawan</x:v>
      </x:c>
      <x:c r="D87" s="16" t="str">
        <x:f>"+60179874908"</x:f>
        <x:v>+60179874908</x:v>
      </x:c>
      <x:c r="E87" s="16" t="str"/>
      <x:c r="F87" s="16" t="str"/>
    </x:row>
    <x:row r="88">
      <x:c r="A88" s="16" t="str">
        <x:v>eu nur zulika 04112023</x:v>
      </x:c>
      <x:c r="B88" s="16" t="str">
        <x:v>nurleyka95@gmail.com</x:v>
      </x:c>
      <x:c r="C88" s="16" t="str">
        <x:v>* myContacts | Alumni eUsahawan</x:v>
      </x:c>
      <x:c r="D88" s="16" t="str">
        <x:f>"+60199264626"</x:f>
        <x:v>+60199264626</x:v>
      </x:c>
      <x:c r="E88" s="16" t="str"/>
      <x:c r="F88" s="16" t="str"/>
    </x:row>
    <x:row r="89">
      <x:c r="A89" s="16" t="str">
        <x:v>eu nurul ainie 04112023</x:v>
      </x:c>
      <x:c r="B89" s="16" t="str">
        <x:v>ainie930816@icloud.com</x:v>
      </x:c>
      <x:c r="C89" s="16" t="str">
        <x:v>* myContacts | Alumni eUsahawan</x:v>
      </x:c>
      <x:c r="D89" s="16" t="str">
        <x:f>"+60142166875"</x:f>
        <x:v>+60142166875</x:v>
      </x:c>
      <x:c r="E89" s="16" t="str"/>
      <x:c r="F89" s="16" t="str"/>
    </x:row>
    <x:row r="90">
      <x:c r="A90" s="16" t="str">
        <x:v>eu nurul hafizah 18112023</x:v>
      </x:c>
      <x:c r="B90" s="16" t="str">
        <x:v>nurulhafizahmahusin@gmail.com</x:v>
      </x:c>
      <x:c r="C90" s="16" t="str">
        <x:v>* myContacts | Alumni eUsahawan</x:v>
      </x:c>
      <x:c r="D90" s="16" t="str">
        <x:f>"+60129684467"</x:f>
        <x:v>+60129684467</x:v>
      </x:c>
      <x:c r="E90" s="16" t="str"/>
      <x:c r="F90" s="16" t="str"/>
    </x:row>
    <x:row r="91">
      <x:c r="A91" s="16" t="str">
        <x:v>eu nuur auji 04112023</x:v>
      </x:c>
      <x:c r="B91" s="16" t="str">
        <x:v>aujimohamad95@gmail.com</x:v>
      </x:c>
      <x:c r="C91" s="16" t="str">
        <x:v>* myContacts | Alumni eUsahawan</x:v>
      </x:c>
      <x:c r="D91" s="16" t="str">
        <x:f>"+601127625160"</x:f>
        <x:v>+601127625160</x:v>
      </x:c>
      <x:c r="E91" s="16" t="str"/>
      <x:c r="F91" s="16" t="str"/>
    </x:row>
    <x:row r="92">
      <x:c r="A92" s="16" t="str">
        <x:v>eu raidah 04112023</x:v>
      </x:c>
      <x:c r="B92" s="16" t="str">
        <x:v>raidahcheamran@gmail.com</x:v>
      </x:c>
      <x:c r="C92" s="16" t="str">
        <x:v>* myContacts | Alumni eUsahawan</x:v>
      </x:c>
      <x:c r="D92" s="16" t="str">
        <x:f>"+601121955639"</x:f>
        <x:v>+601121955639</x:v>
      </x:c>
      <x:c r="E92" s="16" t="str"/>
      <x:c r="F92" s="16" t="str"/>
    </x:row>
    <x:row r="93">
      <x:c r="A93" s="16" t="str">
        <x:v>eu raja nur akila 18112023</x:v>
      </x:c>
      <x:c r="B93" s="16" t="str">
        <x:v>rajaakila98@gmail.com</x:v>
      </x:c>
      <x:c r="C93" s="16" t="str">
        <x:v>* myContacts | Alumni eUsahawan</x:v>
      </x:c>
      <x:c r="D93" s="16" t="str">
        <x:f>"+601131836796"</x:f>
        <x:v>+601131836796</x:v>
      </x:c>
      <x:c r="E93" s="16" t="str"/>
      <x:c r="F93" s="16" t="str"/>
    </x:row>
    <x:row r="94">
      <x:c r="A94" s="16" t="str">
        <x:v>eu rasidah 04112023</x:v>
      </x:c>
      <x:c r="B94" s="16" t="str">
        <x:v>syazwanzainal@gmail.com</x:v>
      </x:c>
      <x:c r="C94" s="16" t="str">
        <x:v>* myContacts | Alumni eUsahawan</x:v>
      </x:c>
      <x:c r="D94" s="16" t="str">
        <x:f>"+60199454857"</x:f>
        <x:v>+60199454857</x:v>
      </x:c>
      <x:c r="E94" s="16" t="str"/>
      <x:c r="F94" s="16" t="str"/>
    </x:row>
    <x:row r="95">
      <x:c r="A95" s="16" t="str">
        <x:v>eu rosilawati 04112023</x:v>
      </x:c>
      <x:c r="B95" s="16" t="str">
        <x:v>ilodila040@gmail.com</x:v>
      </x:c>
      <x:c r="C95" s="16" t="str">
        <x:v>* myContacts | Alumni eUsahawan</x:v>
      </x:c>
      <x:c r="D95" s="16" t="str">
        <x:f>"+601130297412"</x:f>
        <x:v>+601130297412</x:v>
      </x:c>
      <x:c r="E95" s="16" t="str"/>
      <x:c r="F95" s="16" t="str"/>
    </x:row>
    <x:row r="96">
      <x:c r="A96" s="16" t="str">
        <x:v>eu rusmariam 04112023</x:v>
      </x:c>
      <x:c r="B96" s="16" t="str">
        <x:v>sayawakk84@gmail.com</x:v>
      </x:c>
      <x:c r="C96" s="16" t="str">
        <x:v>* myContacts | Alumni eUsahawan</x:v>
      </x:c>
      <x:c r="D96" s="16" t="str">
        <x:f>"+60179427902"</x:f>
        <x:v>+60179427902</x:v>
      </x:c>
      <x:c r="E96" s="16" t="str"/>
      <x:c r="F96" s="16" t="str"/>
    </x:row>
    <x:row r="97">
      <x:c r="A97" s="16" t="str">
        <x:v>eu salmah 18112023</x:v>
      </x:c>
      <x:c r="B97" s="16" t="str">
        <x:v>amiza970324@gmail.com</x:v>
      </x:c>
      <x:c r="C97" s="16" t="str">
        <x:v>* myContacts | Alumni eUsahawan</x:v>
      </x:c>
      <x:c r="D97" s="16" t="str">
        <x:f>"+60139055723"</x:f>
        <x:v>+60139055723</x:v>
      </x:c>
      <x:c r="E97" s="16" t="str"/>
      <x:c r="F97" s="16" t="str"/>
    </x:row>
    <x:row r="98">
      <x:c r="A98" s="16" t="str">
        <x:v>eu siti nokmarinee 18112023</x:v>
      </x:c>
      <x:c r="B98" s="16" t="str">
        <x:v>siti7002@gmail.com</x:v>
      </x:c>
      <x:c r="C98" s="16" t="str">
        <x:v>* myContacts | Alumni eUsahawan</x:v>
      </x:c>
      <x:c r="D98" s="16" t="str">
        <x:f>"+601162682086"</x:f>
        <x:v>+601162682086</x:v>
      </x:c>
      <x:c r="E98" s="16" t="str"/>
      <x:c r="F98" s="16" t="str"/>
    </x:row>
    <x:row r="99">
      <x:c r="A99" s="16" t="str">
        <x:v>eu siti nora isha 04112023</x:v>
      </x:c>
      <x:c r="B99" s="16" t="str">
        <x:v>kasehsejati11985@gmail.com</x:v>
      </x:c>
      <x:c r="C99" s="16" t="str">
        <x:v>* myContacts | Alumni eUsahawan</x:v>
      </x:c>
      <x:c r="D99" s="16" t="str">
        <x:f>"+60145304441"</x:f>
        <x:v>+60145304441</x:v>
      </x:c>
      <x:c r="E99" s="16" t="str"/>
      <x:c r="F99" s="16" t="str"/>
    </x:row>
    <x:row r="100">
      <x:c r="A100" s="16" t="str">
        <x:v>eu siti nur hafiezaty</x:v>
      </x:c>
      <x:c r="B100" s="16" t="str">
        <x:v>cthafiezerty@yahoo.com</x:v>
      </x:c>
      <x:c r="C100" s="16" t="str">
        <x:v>* myContacts | Alumni eUsahawan</x:v>
      </x:c>
      <x:c r="D100" s="16" t="str">
        <x:f>"+601163668334"</x:f>
        <x:v>+601163668334</x:v>
      </x:c>
      <x:c r="E100" s="16" t="str"/>
      <x:c r="F100" s="16" t="str"/>
    </x:row>
    <x:row r="101">
      <x:c r="A101" s="16" t="str">
        <x:v>eu siti nur zulaikha 04112023</x:v>
      </x:c>
      <x:c r="B101" s="16" t="str">
        <x:v>eykahisum3@gmail.com</x:v>
      </x:c>
      <x:c r="C101" s="16" t="str">
        <x:v>* myContacts | Alumni eUsahawan</x:v>
      </x:c>
      <x:c r="D101" s="16" t="str">
        <x:f>"+60145728013"</x:f>
        <x:v>+60145728013</x:v>
      </x:c>
      <x:c r="E101" s="16" t="str"/>
      <x:c r="F101" s="16" t="str"/>
    </x:row>
    <x:row r="102">
      <x:c r="A102" s="16" t="str">
        <x:v>eu siti suriani 18112023</x:v>
      </x:c>
      <x:c r="B102" s="16" t="str">
        <x:v>putrizafran1012@gmail.com</x:v>
      </x:c>
      <x:c r="C102" s="16" t="str">
        <x:v>* myContacts | Alumni eUsahawan</x:v>
      </x:c>
      <x:c r="D102" s="16" t="str">
        <x:f>"+60193336462"</x:f>
        <x:v>+60193336462</x:v>
      </x:c>
      <x:c r="E102" s="16" t="str"/>
      <x:c r="F102" s="16" t="str"/>
    </x:row>
    <x:row r="103">
      <x:c r="A103" s="16" t="str">
        <x:v>eu syarifah 18112023</x:v>
      </x:c>
      <x:c r="B103" s="16" t="str">
        <x:v>syarifahfatimah8@yahoo.com</x:v>
      </x:c>
      <x:c r="C103" s="16" t="str">
        <x:v>* myContacts | Alumni eUsahawan</x:v>
      </x:c>
      <x:c r="D103" s="16" t="str">
        <x:f>"+60143012893"</x:f>
        <x:v>+60143012893</x:v>
      </x:c>
      <x:c r="E103" s="16" t="str"/>
      <x:c r="F103" s="16" t="str"/>
    </x:row>
    <x:row r="104">
      <x:c r="A104" s="16" t="str">
        <x:v>eu tuan fatimah 18112023</x:v>
      </x:c>
      <x:c r="B104" s="16" t="str">
        <x:v>effaazfa82@gmail.com</x:v>
      </x:c>
      <x:c r="C104" s="16" t="str">
        <x:v>* myContacts | Alumni eUsahawan</x:v>
      </x:c>
      <x:c r="D104" s="16" t="str">
        <x:f>"+60177529747"</x:f>
        <x:v>+60177529747</x:v>
      </x:c>
      <x:c r="E104" s="16" t="str"/>
      <x:c r="F104" s="16" t="str"/>
    </x:row>
    <x:row r="105">
      <x:c r="A105" s="16" t="str">
        <x:v>eu tuan noor 04112023</x:v>
      </x:c>
      <x:c r="B105" s="16" t="str">
        <x:v>aidawati4884@gmail.com</x:v>
      </x:c>
      <x:c r="C105" s="16" t="str">
        <x:v>* myContacts | Alumni eUsahawan</x:v>
      </x:c>
      <x:c r="D105" s="16" t="str">
        <x:f>"+60148074884"</x:f>
        <x:v>+60148074884</x:v>
      </x:c>
      <x:c r="E105" s="16" t="str"/>
      <x:c r="F105" s="16" t="str"/>
    </x:row>
    <x:row r="106">
      <x:c r="A106" s="16" t="str">
        <x:v>eu wan asmah 04112023</x:v>
      </x:c>
      <x:c r="B106" s="16" t="str">
        <x:v>waasma9574@gmail.com</x:v>
      </x:c>
      <x:c r="C106" s="16" t="str">
        <x:v>* myContacts | Alumni eUsahawan</x:v>
      </x:c>
      <x:c r="D106" s="16" t="str"/>
      <x:c r="E106" s="16" t="str"/>
      <x:c r="F106" s="16" t="str"/>
    </x:row>
    <x:row r="107">
      <x:c r="A107" s="16" t="str">
        <x:v>eu wannabihah 04112023</x:v>
      </x:c>
      <x:c r="B107" s="16" t="str">
        <x:v>affhansalihaim@gmail.com</x:v>
      </x:c>
      <x:c r="C107" s="16" t="str">
        <x:v>* myContacts | Alumni eUsahawan</x:v>
      </x:c>
      <x:c r="D107" s="16" t="str">
        <x:f>"+60136550955"</x:f>
        <x:v>+60136550955</x:v>
      </x:c>
      <x:c r="E107" s="16" t="str"/>
      <x:c r="F107" s="16" t="str"/>
    </x:row>
    <x:row r="108">
      <x:c r="A108" s="16" t="str">
        <x:v>eu yusnita 04112023</x:v>
      </x:c>
      <x:c r="B108" s="16" t="str">
        <x:v>yusnita1977@gmail.com</x:v>
      </x:c>
      <x:c r="C108" s="16" t="str">
        <x:v>* myContacts | Alumni eUsahawan</x:v>
      </x:c>
      <x:c r="D108" s="16" t="str">
        <x:f>"+601136025316"</x:f>
        <x:v>+601136025316</x:v>
      </x:c>
      <x:c r="E108" s="16" t="str"/>
      <x:c r="F108" s="16" t="str"/>
    </x:row>
    <x:row r="109">
      <x:c r="A109" s="16" t="str">
        <x:v>eu zaudawati ab wahab 04112023</x:v>
      </x:c>
      <x:c r="B109" s="16" t="str">
        <x:v>mymediczarida@gmail.com</x:v>
      </x:c>
      <x:c r="C109" s="16" t="str">
        <x:v>* myContacts | Alumni eUsahawan</x:v>
      </x:c>
      <x:c r="D109" s="16" t="str">
        <x:f>"+60139648968"</x:f>
        <x:v>+60139648968</x:v>
      </x:c>
      <x:c r="E109" s="16" t="str"/>
      <x:c r="F109" s="16" t="str"/>
    </x:row>
    <x:row r="110">
      <x:c r="A110" s="16" t="str">
        <x:v>eu zur aida che mat</x:v>
      </x:c>
      <x:c r="B110" s="16" t="str">
        <x:v>zuraida1224@gmail.com</x:v>
      </x:c>
      <x:c r="C110" s="16" t="str">
        <x:v>* myContacts | Alumni eUsahawan</x:v>
      </x:c>
      <x:c r="D110" s="16" t="str">
        <x:f>"+60139726686"</x:f>
        <x:v>+60139726686</x:v>
      </x:c>
      <x:c r="E110" s="16" t="str"/>
      <x:c r="F110" s="16" t="str"/>
    </x:row>
    <x:row r="111">
      <x:c r="A111" s="16" t="str">
        <x:v>Faizal Bin Mohamad Hassan Mukhtar</x:v>
      </x:c>
      <x:c r="B111" s="16" t="str">
        <x:v>faizal.mhassan@gmail.com</x:v>
      </x:c>
      <x:c r="C111" s="16" t="str">
        <x:v>* myContacts</x:v>
      </x:c>
      <x:c r="D111" s="16" t="str">
        <x:f>"+60361402911"</x:f>
        <x:v>+60361402911</x:v>
      </x:c>
      <x:c r="E111" s="16" t="str">
        <x:f>"+60133883966"</x:f>
        <x:v>+60133883966</x:v>
      </x:c>
      <x:c r="F111" s="16" t="str"/>
    </x:row>
    <x:row r="112">
      <x:c r="A112" s="16" t="str">
        <x:v>Faizal Bin Mohamad Hassan Mukhtar</x:v>
      </x:c>
      <x:c r="B112" s="16" t="str">
        <x:v>nuradventureservices@gmail.com</x:v>
      </x:c>
      <x:c r="C112" s="16" t="str">
        <x:v>* myContacts</x:v>
      </x:c>
      <x:c r="D112" s="16" t="str">
        <x:f>"+60361402911"</x:f>
        <x:v>+60361402911</x:v>
      </x:c>
      <x:c r="E112" s="16" t="str">
        <x:f>"+60133883966"</x:f>
        <x:v>+60133883966</x:v>
      </x:c>
      <x:c r="F112" s="16" t="str"/>
    </x:row>
    <x:row r="113">
      <x:c r="A113" s="16" t="str">
        <x:v>Faizal Sultan Kelapa</x:v>
      </x:c>
      <x:c r="B113" s="16" t="str">
        <x:v>faizalsultan66@gmail.com</x:v>
      </x:c>
      <x:c r="C113" s="16" t="str">
        <x:v>* myContacts</x:v>
      </x:c>
      <x:c r="D113" s="16" t="str">
        <x:f>"+60166664766"</x:f>
        <x:v>+60166664766</x:v>
      </x:c>
      <x:c r="E113" s="16" t="str"/>
      <x:c r="F113" s="16" t="str"/>
    </x:row>
    <x:row r="114">
      <x:c r="A114" s="16" t="str">
        <x:v>Farah Tudung &amp; Adhwa'</x:v>
      </x:c>
      <x:c r="B114" s="16" t="str">
        <x:v>azmierafarah@gmail.com</x:v>
      </x:c>
      <x:c r="C114" s="16" t="str">
        <x:v>* myContacts</x:v>
      </x:c>
      <x:c r="D114" s="16" t="str">
        <x:f>"+60139774801"</x:f>
        <x:v>+60139774801</x:v>
      </x:c>
      <x:c r="E114" s="16" t="str"/>
      <x:c r="F114" s="16" t="str"/>
    </x:row>
    <x:row r="115">
      <x:c r="A115" s="16" t="str">
        <x:v>Farid Izani Tanamera</x:v>
      </x:c>
      <x:c r="B115" s="16" t="str">
        <x:v>farid5izani@gmail.com</x:v>
      </x:c>
      <x:c r="C115" s="16" t="str">
        <x:v>* myContacts</x:v>
      </x:c>
      <x:c r="D115" s="16" t="str">
        <x:f>"+60128003404"</x:f>
        <x:v>+60128003404</x:v>
      </x:c>
      <x:c r="E115" s="16" t="str"/>
      <x:c r="F115" s="16" t="str"/>
    </x:row>
    <x:row r="116">
      <x:c r="A116" s="16" t="str">
        <x:v>Faridah BDA</x:v>
      </x:c>
      <x:c r="B116" s="16" t="str">
        <x:v>faridah@jomtraining.com.my</x:v>
      </x:c>
      <x:c r="C116" s="16" t="str">
        <x:v>* myContacts</x:v>
      </x:c>
      <x:c r="D116" s="16" t="str">
        <x:f>"+60162636101"</x:f>
        <x:v>+60162636101</x:v>
      </x:c>
      <x:c r="E116" s="16" t="str"/>
      <x:c r="F116" s="16" t="str"/>
    </x:row>
    <x:row r="117">
      <x:c r="A117" s="16" t="str">
        <x:v>Faridah Salmi Mohd Mokhtar MIDA</x:v>
      </x:c>
      <x:c r="B117" s="16" t="str">
        <x:v>salmi@mida.gov.my</x:v>
      </x:c>
      <x:c r="C117" s="16" t="str">
        <x:v>* myContacts</x:v>
      </x:c>
      <x:c r="D117" s="16" t="str">
        <x:f>"+60162186955"</x:f>
        <x:v>+60162186955</x:v>
      </x:c>
      <x:c r="E117" s="16" t="str"/>
      <x:c r="F117" s="16" t="str"/>
    </x:row>
    <x:row r="118">
      <x:c r="A118" s="16" t="str">
        <x:v>Fitri Samlan</x:v>
      </x:c>
      <x:c r="B118" s="16" t="str">
        <x:v>pino.design@yahoo.com</x:v>
      </x:c>
      <x:c r="C118" s="16" t="str">
        <x:v>* myContacts</x:v>
      </x:c>
      <x:c r="D118" s="16" t="str">
        <x:f>"+60123843023"</x:f>
        <x:v>+60123843023</x:v>
      </x:c>
      <x:c r="E118" s="16" t="str"/>
      <x:c r="F118" s="16" t="str"/>
    </x:row>
    <x:row r="119">
      <x:c r="A119" s="16" t="str">
        <x:v>Fizal</x:v>
      </x:c>
      <x:c r="B119" s="16" t="str">
        <x:v>eat.it.halal@gmail.com</x:v>
      </x:c>
      <x:c r="C119" s="16" t="str">
        <x:v>* myContacts</x:v>
      </x:c>
      <x:c r="D119" s="16" t="str">
        <x:f>"+60161141469"</x:f>
        <x:v>+60161141469</x:v>
      </x:c>
      <x:c r="E119" s="16" t="str"/>
      <x:c r="F119" s="16" t="str"/>
    </x:row>
    <x:row r="120">
      <x:c r="A120" s="16" t="str">
        <x:v>FRANCIS LUI</x:v>
      </x:c>
      <x:c r="B120" s="16" t="str">
        <x:v>francis@nexusmedlaworks.corri</x:v>
      </x:c>
      <x:c r="C120" s="16" t="str">
        <x:v>* myContacts</x:v>
      </x:c>
      <x:c r="D120" s="16" t="str">
        <x:f>"+60380700392"</x:f>
        <x:v>+60380700392</x:v>
      </x:c>
      <x:c r="E120" s="16" t="str"/>
      <x:c r="F120" s="16" t="str"/>
    </x:row>
    <x:row r="121">
      <x:c r="A121" s="16" t="str">
        <x:v>Hafiz Solahuddin Associate</x:v>
      </x:c>
      <x:c r="B121" s="16" t="str">
        <x:v>hafizadam.saa@gmail.com</x:v>
      </x:c>
      <x:c r="C121" s="16" t="str">
        <x:v>* myContacts</x:v>
      </x:c>
      <x:c r="D121" s="16" t="str">
        <x:f>"+60142789784"</x:f>
        <x:v>+60142789784</x:v>
      </x:c>
      <x:c r="E121" s="16" t="str"/>
      <x:c r="F121" s="16" t="str"/>
    </x:row>
    <x:row r="122">
      <x:c r="A122" s="16" t="str">
        <x:v>Hafizzy Shubari</x:v>
      </x:c>
      <x:c r="B122" s="16" t="str">
        <x:v>hafizzy.shubari@digitalroute.com</x:v>
      </x:c>
      <x:c r="C122" s="16" t="str">
        <x:v>* myContacts</x:v>
      </x:c>
      <x:c r="D122" s="16" t="str">
        <x:f>"+60122079782"</x:f>
        <x:v>+60122079782</x:v>
      </x:c>
      <x:c r="E122" s="16" t="str"/>
      <x:c r="F122" s="16" t="str"/>
    </x:row>
    <x:row r="123">
      <x:c r="A123" s="16" t="str">
        <x:v>HAMDAN ISA</x:v>
      </x:c>
      <x:c r="B123" s="16" t="str">
        <x:v>safamarwa2u@gmail.com</x:v>
      </x:c>
      <x:c r="C123" s="16" t="str">
        <x:v>* myContacts</x:v>
      </x:c>
      <x:c r="D123" s="16" t="str">
        <x:f>"+60179533262"</x:f>
        <x:v>+60179533262</x:v>
      </x:c>
      <x:c r="E123" s="16" t="str"/>
      <x:c r="F123" s="16" t="str"/>
    </x:row>
    <x:row r="124">
      <x:c r="A124" s="16" t="str">
        <x:v>Hanis Nadiah Binti Padli</x:v>
      </x:c>
      <x:c r="B124" s="16" t="str">
        <x:v>hanis.padli@mdec.com.my</x:v>
      </x:c>
      <x:c r="C124" s="16" t="str">
        <x:v>* myContacts</x:v>
      </x:c>
      <x:c r="D124" s="16" t="str"/>
      <x:c r="E124" s="16" t="str"/>
      <x:c r="F124" s="16" t="str"/>
    </x:row>
    <x:row r="125">
      <x:c r="A125" s="16" t="str">
        <x:v>Hanizam Auditor</x:v>
      </x:c>
      <x:c r="B125" s="16" t="str">
        <x:v>enquiry@syamnco.com</x:v>
      </x:c>
      <x:c r="C125" s="16" t="str">
        <x:v>* myContacts</x:v>
      </x:c>
      <x:c r="D125" s="16" t="str">
        <x:f>"+60194445000"</x:f>
        <x:v>+60194445000</x:v>
      </x:c>
      <x:c r="E125" s="16" t="str"/>
      <x:c r="F125" s="16" t="str"/>
    </x:row>
    <x:row r="126">
      <x:c r="A126" s="16" t="str">
        <x:v>HASBUL ' ARIFF</x:v>
      </x:c>
      <x:c r="B126" s="16" t="str">
        <x:v>iariff@majalahnlaga.com</x:v>
      </x:c>
      <x:c r="C126" s="16" t="str">
        <x:v>* myContacts</x:v>
      </x:c>
      <x:c r="D126" s="16" t="str">
        <x:f>"+60193837794"</x:f>
        <x:v>+60193837794</x:v>
      </x:c>
      <x:c r="E126" s="16" t="str"/>
      <x:c r="F126" s="16" t="str"/>
    </x:row>
    <x:row r="127">
      <x:c r="A127" s="16" t="str">
        <x:v>HJ ABDUL HAKIM JAAFAR</x:v>
      </x:c>
      <x:c r="B127" s="16" t="str">
        <x:v>drabdullhakim@innohear.com</x:v>
      </x:c>
      <x:c r="C127" s="16" t="str">
        <x:v>* myContacts</x:v>
      </x:c>
      <x:c r="D127" s="16" t="str">
        <x:f>"+60340412663"</x:f>
        <x:v>+60340412663</x:v>
      </x:c>
      <x:c r="E127" s="16" t="str">
        <x:f>"+60100678066"</x:f>
        <x:v>+60100678066</x:v>
      </x:c>
      <x:c r="F127" s="16" t="str">
        <x:f>"+60176387247"</x:f>
        <x:v>+60176387247</x:v>
      </x:c>
    </x:row>
    <x:row r="128">
      <x:c r="A128" s="16" t="str">
        <x:v>Husna Hanafi Amoura</x:v>
      </x:c>
      <x:c r="B128" s="16" t="str">
        <x:v>husnaazri@gmail.com</x:v>
      </x:c>
      <x:c r="C128" s="16" t="str">
        <x:v>* myContacts</x:v>
      </x:c>
      <x:c r="D128" s="16" t="str">
        <x:f>"+601114934084"</x:f>
        <x:v>+601114934084</x:v>
      </x:c>
      <x:c r="E128" s="16" t="str"/>
      <x:c r="F128" s="16" t="str"/>
    </x:row>
    <x:row r="129">
      <x:c r="A129" s="16" t="str">
        <x:v>HUZAIREEN BIN HASSAN ASRI</x:v>
      </x:c>
      <x:c r="B129" s="16" t="str">
        <x:v>huzaireen@ikmas.edu.my</x:v>
      </x:c>
      <x:c r="C129" s="16" t="str">
        <x:v>* myContacts</x:v>
      </x:c>
      <x:c r="D129" s="16" t="str">
        <x:f>"+6047729940"</x:f>
        <x:v>+6047729940</x:v>
      </x:c>
      <x:c r="E129" s="16" t="str">
        <x:f>"+60194889801"</x:f>
        <x:v>+60194889801</x:v>
      </x:c>
      <x:c r="F129" s="16" t="str"/>
    </x:row>
    <x:row r="130">
      <x:c r="A130" s="16" t="str">
        <x:v>HUZAIREEN BIN HASSAN ASRI</x:v>
      </x:c>
      <x:c r="B130" s="16" t="str">
        <x:v>reenstrp@yahoo.com</x:v>
      </x:c>
      <x:c r="C130" s="16" t="str">
        <x:v>* myContacts</x:v>
      </x:c>
      <x:c r="D130" s="16" t="str">
        <x:f>"+6047729940"</x:f>
        <x:v>+6047729940</x:v>
      </x:c>
      <x:c r="E130" s="16" t="str">
        <x:f>"+60194889801"</x:f>
        <x:v>+60194889801</x:v>
      </x:c>
      <x:c r="F130" s="16" t="str"/>
    </x:row>
    <x:row r="131">
      <x:c r="A131" s="16" t="str">
        <x:v>Ir Sofian</x:v>
      </x:c>
      <x:c r="B131" s="16" t="str">
        <x:v>irsofiankezo@gmail.com</x:v>
      </x:c>
      <x:c r="C131" s="16" t="str">
        <x:v>* myContacts</x:v>
      </x:c>
      <x:c r="D131" s="16" t="str">
        <x:f>"+60192696368"</x:f>
        <x:v>+60192696368</x:v>
      </x:c>
      <x:c r="E131" s="16" t="str"/>
      <x:c r="F131" s="16" t="str"/>
    </x:row>
    <x:row r="132">
      <x:c r="A132" s="16" t="str">
        <x:v>ismail shukri musak</x:v>
      </x:c>
      <x:c r="B132" s="16" t="str">
        <x:v>isma.sucre@gmail.com</x:v>
      </x:c>
      <x:c r="C132" s="16" t="str">
        <x:v>* myContacts</x:v>
      </x:c>
      <x:c r="D132" s="16" t="str">
        <x:f>"+60162100025"</x:f>
        <x:v>+60162100025</x:v>
      </x:c>
      <x:c r="E132" s="16" t="str"/>
      <x:c r="F132" s="16" t="str"/>
    </x:row>
    <x:row r="133">
      <x:c r="A133" s="16" t="str">
        <x:v>Its Kalin</x:v>
      </x:c>
      <x:c r="B133" s="16" t="str">
        <x:v>bizkalin@gmail.com</x:v>
      </x:c>
      <x:c r="C133" s="16" t="str">
        <x:v>* myContacts</x:v>
      </x:c>
      <x:c r="D133" s="16" t="str">
        <x:f>"+601113218291"</x:f>
        <x:v>+601113218291</x:v>
      </x:c>
      <x:c r="E133" s="16" t="str"/>
      <x:c r="F133" s="16" t="str"/>
    </x:row>
    <x:row r="134">
      <x:c r="A134" s="16" t="str">
        <x:v>izat Uitm</x:v>
      </x:c>
      <x:c r="B134" s="16" t="str">
        <x:v>ijotazzi95@gmail.com</x:v>
      </x:c>
      <x:c r="C134" s="16" t="str">
        <x:v>* myContacts</x:v>
      </x:c>
      <x:c r="D134" s="16" t="str">
        <x:f>"+601125213941"</x:f>
        <x:v>+601125213941</x:v>
      </x:c>
      <x:c r="E134" s="16" t="str"/>
      <x:c r="F134" s="16" t="str"/>
    </x:row>
    <x:row r="135">
      <x:c r="A135" s="16" t="str">
        <x:v>Jaharudin Mat Ron</x:v>
      </x:c>
      <x:c r="B135" s="16" t="str">
        <x:v>jazatech2016@gmail.com</x:v>
      </x:c>
      <x:c r="C135" s="16" t="str">
        <x:v>* myContacts</x:v>
      </x:c>
      <x:c r="D135" s="16" t="str">
        <x:f>"+60192146995"</x:f>
        <x:v>+60192146995</x:v>
      </x:c>
      <x:c r="E135" s="16" t="str">
        <x:f>"+60106309938"</x:f>
        <x:v>+60106309938</x:v>
      </x:c>
      <x:c r="F135" s="16" t="str"/>
    </x:row>
    <x:row r="136">
      <x:c r="A136" s="16" t="str">
        <x:v>James Bagah Student</x:v>
      </x:c>
      <x:c r="B136" s="16" t="str">
        <x:v>sabahcaps@guard.com</x:v>
      </x:c>
      <x:c r="C136" s="16" t="str">
        <x:v>* myContacts</x:v>
      </x:c>
      <x:c r="D136" s="16" t="str">
        <x:f>"+60143734343"</x:f>
        <x:v>+60143734343</x:v>
      </x:c>
      <x:c r="E136" s="16" t="str"/>
      <x:c r="F136" s="16" t="str"/>
    </x:row>
    <x:row r="137">
      <x:c r="A137" s="16" t="str">
        <x:v>Jason innovative</x:v>
      </x:c>
      <x:c r="B137" s="16" t="str">
        <x:v>lailianglong@gmail.com</x:v>
      </x:c>
      <x:c r="C137" s="16" t="str">
        <x:v>* myContacts</x:v>
      </x:c>
      <x:c r="D137" s="16" t="str">
        <x:f>"+60162664083"</x:f>
        <x:v>+60162664083</x:v>
      </x:c>
      <x:c r="E137" s="16" t="str"/>
      <x:c r="F137" s="16" t="str"/>
    </x:row>
    <x:row r="138">
      <x:c r="A138" s="16" t="str">
        <x:v>Jegan Vintech Fast Prints &amp; Advertising</x:v>
      </x:c>
      <x:c r="B138" s="16" t="str">
        <x:v>1vsprints@gmail.com</x:v>
      </x:c>
      <x:c r="C138" s="16" t="str">
        <x:v>* myContacts</x:v>
      </x:c>
      <x:c r="D138" s="16" t="str">
        <x:f>"+60163867715"</x:f>
        <x:v>+60163867715</x:v>
      </x:c>
      <x:c r="E138" s="16" t="str"/>
      <x:c r="F138" s="16" t="str"/>
    </x:row>
    <x:row r="139">
      <x:c r="A139" s="16" t="str">
        <x:v>kak inaz rjb</x:v>
      </x:c>
      <x:c r="B139" s="16" t="str">
        <x:v>safinaznasrakin@yahoo.com</x:v>
      </x:c>
      <x:c r="C139" s="16" t="str">
        <x:v>* myContacts</x:v>
      </x:c>
      <x:c r="D139" s="16" t="str">
        <x:f>"+60192782672"</x:f>
        <x:v>+60192782672</x:v>
      </x:c>
      <x:c r="E139" s="16" t="str"/>
      <x:c r="F139" s="16" t="str"/>
    </x:row>
    <x:row r="140">
      <x:c r="A140" s="16" t="str">
        <x:v>Kak zawiyah dpim selangor</x:v>
      </x:c>
      <x:c r="B140" s="16" t="str">
        <x:v>zackdzario@gmail.com</x:v>
      </x:c>
      <x:c r="C140" s="16" t="str">
        <x:v>* myContacts</x:v>
      </x:c>
      <x:c r="D140" s="16" t="str">
        <x:f>"+60123157358"</x:f>
        <x:v>+60123157358</x:v>
      </x:c>
      <x:c r="E140" s="16" t="str"/>
      <x:c r="F140" s="16" t="str"/>
    </x:row>
    <x:row r="141">
      <x:c r="A141" s="16" t="str">
        <x:v>Kamarul Bahareen Kamarudin</x:v>
      </x:c>
      <x:c r="B141" s="16" t="str">
        <x:v>kamarul.kamarudin@mdec.com.my</x:v>
      </x:c>
      <x:c r="C141" s="16" t="str">
        <x:v>* myContacts</x:v>
      </x:c>
      <x:c r="D141" s="16" t="str">
        <x:f>"+60133815817"</x:f>
        <x:v>+60133815817</x:v>
      </x:c>
      <x:c r="E141" s="16" t="str"/>
      <x:c r="F141" s="16" t="str"/>
    </x:row>
    <x:row r="142">
      <x:c r="A142" s="16" t="str">
        <x:v>Kamarul Bahareen Kamarudin</x:v>
      </x:c>
      <x:c r="B142" s="16" t="str">
        <x:v>kbcimb@gmail.com</x:v>
      </x:c>
      <x:c r="C142" s="16" t="str">
        <x:v>* myContacts</x:v>
      </x:c>
      <x:c r="D142" s="16" t="str">
        <x:f>"+60133815817"</x:f>
        <x:v>+60133815817</x:v>
      </x:c>
      <x:c r="E142" s="16" t="str"/>
      <x:c r="F142" s="16" t="str"/>
    </x:row>
    <x:row r="143">
      <x:c r="A143" s="16" t="str">
        <x:v>Kassim Abdullah @ Vignes</x:v>
      </x:c>
      <x:c r="B143" s="16" t="str">
        <x:v>vignes_k@tunjangjaya.com</x:v>
      </x:c>
      <x:c r="C143" s="16" t="str">
        <x:v>* myContacts</x:v>
      </x:c>
      <x:c r="D143" s="16" t="str">
        <x:f>"+60196011148"</x:f>
        <x:v>+60196011148</x:v>
      </x:c>
      <x:c r="E143" s="16" t="str"/>
      <x:c r="F143" s="16" t="str"/>
    </x:row>
    <x:row r="144">
      <x:c r="A144" s="16" t="str">
        <x:v>Keith Lee</x:v>
      </x:c>
      <x:c r="B144" s="16" t="str">
        <x:v>keithlee.fmx@freightmark.com.my</x:v>
      </x:c>
      <x:c r="C144" s="16" t="str">
        <x:v>* myContacts</x:v>
      </x:c>
      <x:c r="D144" s="16" t="str">
        <x:f>"+60164455775"</x:f>
        <x:v>+60164455775</x:v>
      </x:c>
      <x:c r="E144" s="16" t="str">
        <x:f>"+60196001932"</x:f>
        <x:v>+60196001932</x:v>
      </x:c>
      <x:c r="F144" s="16" t="str"/>
    </x:row>
    <x:row r="145">
      <x:c r="A145" s="16" t="str">
        <x:v>Khairi | LikeMethod</x:v>
      </x:c>
      <x:c r="B145" s="16" t="str">
        <x:v>khairi@likemethod.com</x:v>
      </x:c>
      <x:c r="C145" s="16" t="str">
        <x:v>* myContacts</x:v>
      </x:c>
      <x:c r="D145" s="16" t="str"/>
      <x:c r="E145" s="16" t="str"/>
      <x:c r="F145" s="16" t="str"/>
    </x:row>
    <x:row r="146">
      <x:c r="A146" s="16" t="str">
        <x:v>Khairi | LikeMethod</x:v>
      </x:c>
      <x:c r="B146" s="16" t="str">
        <x:v>wow@likemethod.com</x:v>
      </x:c>
      <x:c r="C146" s="16" t="str">
        <x:v>* myContacts</x:v>
      </x:c>
      <x:c r="D146" s="16" t="str"/>
      <x:c r="E146" s="16" t="str"/>
      <x:c r="F146" s="16" t="str"/>
    </x:row>
    <x:row r="147">
      <x:c r="A147" s="16" t="str">
        <x:v>Khalid Bin Kalil</x:v>
      </x:c>
      <x:c r="B147" s="16" t="str">
        <x:v>mkhalidkhalil@gmail.com</x:v>
      </x:c>
      <x:c r="C147" s="16" t="str">
        <x:v>* myContacts</x:v>
      </x:c>
      <x:c r="D147" s="16" t="str">
        <x:f>"+60105512017"</x:f>
        <x:v>+60105512017</x:v>
      </x:c>
      <x:c r="E147" s="16" t="str"/>
      <x:c r="F147" s="16" t="str"/>
    </x:row>
    <x:row r="148">
      <x:c r="A148" s="16" t="str">
        <x:v>Lenny chiah len fong</x:v>
      </x:c>
      <x:c r="B148" s="16" t="str">
        <x:v>lenny@sinchew.com.mx</x:v>
      </x:c>
      <x:c r="C148" s="16" t="str">
        <x:v>* myContacts</x:v>
      </x:c>
      <x:c r="D148" s="16" t="str">
        <x:f>"+60193863880"</x:f>
        <x:v>+60193863880</x:v>
      </x:c>
      <x:c r="E148" s="16" t="str"/>
      <x:c r="F148" s="16" t="str"/>
    </x:row>
    <x:row r="149">
      <x:c r="A149" s="16" t="str">
        <x:v>Luqman tikok incubation team</x:v>
      </x:c>
      <x:c r="B149" s="16" t="str">
        <x:v>loqman.firdauz@bytedance.com</x:v>
      </x:c>
      <x:c r="C149" s="16" t="str">
        <x:v>* myContacts</x:v>
      </x:c>
      <x:c r="D149" s="16" t="str"/>
      <x:c r="E149" s="16" t="str"/>
      <x:c r="F149" s="16" t="str"/>
    </x:row>
    <x:row r="150">
      <x:c r="A150" s="16" t="str">
        <x:v>Malik Trader</x:v>
      </x:c>
      <x:c r="B150" s="16" t="str">
        <x:v>coach.maliki@gmail.com</x:v>
      </x:c>
      <x:c r="C150" s="16" t="str">
        <x:v>* myContacts</x:v>
      </x:c>
      <x:c r="D150" s="16" t="str"/>
      <x:c r="E150" s="16" t="str"/>
      <x:c r="F150" s="16" t="str"/>
    </x:row>
    <x:row r="151">
      <x:c r="A151" s="16" t="str">
        <x:v>Matjepp Abu Bakar</x:v>
      </x:c>
      <x:c r="B151" s="16" t="str">
        <x:v>sifubranding@gmail.com</x:v>
      </x:c>
      <x:c r="C151" s="16" t="str">
        <x:v>* myContacts</x:v>
      </x:c>
      <x:c r="D151" s="16" t="str">
        <x:f>"+60182016431"</x:f>
        <x:v>+60182016431</x:v>
      </x:c>
      <x:c r="E151" s="16" t="str">
        <x:f>"+60123809494"</x:f>
        <x:v>+60123809494</x:v>
      </x:c>
      <x:c r="F151" s="16" t="str"/>
    </x:row>
    <x:row r="152">
      <x:c r="A152" s="16" t="str">
        <x:v>Matjepp Abu Bakar</x:v>
      </x:c>
      <x:c r="B152" s="16" t="str">
        <x:v>yb@sifubranding.com</x:v>
      </x:c>
      <x:c r="C152" s="16" t="str">
        <x:v>* myContacts</x:v>
      </x:c>
      <x:c r="D152" s="16" t="str">
        <x:f>"+60182016431"</x:f>
        <x:v>+60182016431</x:v>
      </x:c>
      <x:c r="E152" s="16" t="str">
        <x:f>"+60123809494"</x:f>
        <x:v>+60123809494</x:v>
      </x:c>
      <x:c r="F152" s="16" t="str"/>
    </x:row>
    <x:row r="153">
      <x:c r="A153" s="16" t="str">
        <x:v>Md Dom BDA</x:v>
      </x:c>
      <x:c r="B153" s="16" t="str">
        <x:v>mdomsb@gmail.com</x:v>
      </x:c>
      <x:c r="C153" s="16" t="str">
        <x:v>* myContacts</x:v>
      </x:c>
      <x:c r="D153" s="16" t="str">
        <x:f>"+60166854501"</x:f>
        <x:v>+60166854501</x:v>
      </x:c>
      <x:c r="E153" s="16" t="str"/>
      <x:c r="F153" s="16" t="str"/>
    </x:row>
    <x:row r="154">
      <x:c r="A154" s="16" t="str">
        <x:v>Mohamad Akmal Bin Mohamad Anuar</x:v>
      </x:c>
      <x:c r="B154" s="16" t="str">
        <x:v>akmalfas92@gmail.com</x:v>
      </x:c>
      <x:c r="C154" s="16" t="str">
        <x:v>* myContacts</x:v>
      </x:c>
      <x:c r="D154" s="16" t="str">
        <x:f>"+60173095773"</x:f>
        <x:v>+60173095773</x:v>
      </x:c>
      <x:c r="E154" s="16" t="str"/>
      <x:c r="F154" s="16" t="str"/>
    </x:row>
    <x:row r="155">
      <x:c r="A155" s="16" t="str">
        <x:v>Mohamad Azad Ali b. Mohd Wafa</x:v>
      </x:c>
      <x:c r="B155" s="16" t="str">
        <x:v>azad.ali@ttdiresources.co.cc</x:v>
      </x:c>
      <x:c r="C155" s="16" t="str">
        <x:v>* myContacts</x:v>
      </x:c>
      <x:c r="D155" s="16" t="str">
        <x:f>"+60133097163"</x:f>
        <x:v>+60133097163</x:v>
      </x:c>
      <x:c r="E155" s="16" t="str"/>
      <x:c r="F155" s="16" t="str"/>
    </x:row>
    <x:row r="156">
      <x:c r="A156" s="16" t="str">
        <x:v>Mohd Arif</x:v>
      </x:c>
      <x:c r="B156" s="16" t="str">
        <x:v>mohd_arif22@ymail.com</x:v>
      </x:c>
      <x:c r="C156" s="16" t="str">
        <x:v>* myContacts</x:v>
      </x:c>
      <x:c r="D156" s="16" t="str">
        <x:f>"+60198364977"</x:f>
        <x:v>+60198364977</x:v>
      </x:c>
      <x:c r="E156" s="16" t="str"/>
      <x:c r="F156" s="16" t="str"/>
    </x:row>
    <x:row r="157">
      <x:c r="A157" s="16" t="str">
        <x:v>Mohd Azizul</x:v>
      </x:c>
      <x:c r="B157" s="16" t="str">
        <x:v>azizul@mitacademy.edu.my</x:v>
      </x:c>
      <x:c r="C157" s="16" t="str">
        <x:v>* myContacts</x:v>
      </x:c>
      <x:c r="D157" s="16" t="str">
        <x:f>"+60123878711"</x:f>
        <x:v>+60123878711</x:v>
      </x:c>
      <x:c r="E157" s="16" t="str"/>
      <x:c r="F157" s="16" t="str"/>
    </x:row>
    <x:row r="158">
      <x:c r="A158" s="16" t="str">
        <x:v>Mohd Azreen</x:v>
      </x:c>
      <x:c r="B158" s="16" t="str">
        <x:v>motionbeyond.azreen@gmail.com</x:v>
      </x:c>
      <x:c r="C158" s="16" t="str">
        <x:v>* myContacts</x:v>
      </x:c>
      <x:c r="D158" s="16" t="str">
        <x:f>"+60127680027"</x:f>
        <x:v>+60127680027</x:v>
      </x:c>
      <x:c r="E158" s="16" t="str">
        <x:f>"+60168667437"</x:f>
        <x:v>+60168667437</x:v>
      </x:c>
      <x:c r="F158" s="16" t="str"/>
    </x:row>
    <x:row r="159">
      <x:c r="A159" s="16" t="str">
        <x:v>MOHD FAZLANSHAH BIN MOHD ZIN C. A. ( M</x:v>
      </x:c>
      <x:c r="B159" s="16" t="str">
        <x:v>fazlanshah@maraexcellent.com.my</x:v>
      </x:c>
      <x:c r="C159" s="16" t="str">
        <x:v>* myContacts</x:v>
      </x:c>
      <x:c r="D159" s="16" t="str">
        <x:f>"+60124519746"</x:f>
        <x:v>+60124519746</x:v>
      </x:c>
      <x:c r="E159" s="16" t="str"/>
      <x:c r="F159" s="16" t="str"/>
    </x:row>
    <x:row r="160">
      <x:c r="A160" s="16" t="str">
        <x:v>Mohd Fazreen bin Maslan</x:v>
      </x:c>
      <x:c r="B160" s="16" t="str">
        <x:v>fazreen.maslan@mdec.com.my</x:v>
      </x:c>
      <x:c r="C160" s="16" t="str">
        <x:v>* myContacts</x:v>
      </x:c>
      <x:c r="D160" s="16" t="str"/>
      <x:c r="E160" s="16" t="str"/>
      <x:c r="F160" s="16" t="str"/>
    </x:row>
    <x:row r="161">
      <x:c r="A161" s="16" t="str">
        <x:v>Mohd Hariz Bin Karip Student</x:v>
      </x:c>
      <x:c r="B161" s="16" t="str">
        <x:v>mharizk@gmail.com</x:v>
      </x:c>
      <x:c r="C161" s="16" t="str">
        <x:v>* myContacts</x:v>
      </x:c>
      <x:c r="D161" s="16" t="str">
        <x:f>"+601127256385"</x:f>
        <x:v>+601127256385</x:v>
      </x:c>
      <x:c r="E161" s="16" t="str"/>
      <x:c r="F161" s="16" t="str"/>
    </x:row>
    <x:row r="162">
      <x:c r="A162" s="16" t="str">
        <x:v>Mohd Hilmi Hasan</x:v>
      </x:c>
      <x:c r="B162" s="16" t="str">
        <x:v>himihasan@gmail.com</x:v>
      </x:c>
      <x:c r="C162" s="16" t="str">
        <x:v>* myContacts</x:v>
      </x:c>
      <x:c r="D162" s="16" t="str">
        <x:f>"+60199591979"</x:f>
        <x:v>+60199591979</x:v>
      </x:c>
      <x:c r="E162" s="16" t="str"/>
      <x:c r="F162" s="16" t="str"/>
    </x:row>
    <x:row r="163">
      <x:c r="A163" s="16" t="str">
        <x:v>MOHD NAJIB HAJi JAAFAR</x:v>
      </x:c>
      <x:c r="B163" s="16" t="str">
        <x:v>najibjaf@gmail.com</x:v>
      </x:c>
      <x:c r="C163" s="16" t="str">
        <x:v>* myContacts</x:v>
      </x:c>
      <x:c r="D163" s="16" t="str">
        <x:f>"+60122160203"</x:f>
        <x:v>+60122160203</x:v>
      </x:c>
      <x:c r="E163" s="16" t="str"/>
      <x:c r="F163" s="16" t="str"/>
    </x:row>
    <x:row r="164">
      <x:c r="A164" s="16" t="str">
        <x:v>Mohd Raqib Ketua Pmeuda Umno Kedah</x:v>
      </x:c>
      <x:c r="B164" s="16" t="str">
        <x:v>avargado@gmail.com</x:v>
      </x:c>
      <x:c r="C164" s="16" t="str">
        <x:v>* myContacts</x:v>
      </x:c>
      <x:c r="D164" s="16" t="str">
        <x:f>"+60124799652"</x:f>
        <x:v>+60124799652</x:v>
      </x:c>
      <x:c r="E164" s="16" t="str"/>
      <x:c r="F164" s="16" t="str"/>
    </x:row>
    <x:row r="165">
      <x:c r="A165" s="16" t="str">
        <x:v>Mohd Rashidi Isa</x:v>
      </x:c>
      <x:c r="B165" s="16" t="str">
        <x:v>mohd.rashidi.isa@gmail.com</x:v>
      </x:c>
      <x:c r="C165" s="16" t="str">
        <x:v>* myContacts</x:v>
      </x:c>
      <x:c r="D165" s="16" t="str">
        <x:f>"+601165158435"</x:f>
        <x:v>+601165158435</x:v>
      </x:c>
      <x:c r="E165" s="16" t="str"/>
      <x:c r="F165" s="16" t="str"/>
    </x:row>
    <x:row r="166">
      <x:c r="A166" s="16" t="str">
        <x:v>Mohd sabri abd rajee</x:v>
      </x:c>
      <x:c r="B166" s="16" t="str">
        <x:v>sabri.rajee@gmail.com</x:v>
      </x:c>
      <x:c r="C166" s="16" t="str">
        <x:v>* myContacts</x:v>
      </x:c>
      <x:c r="D166" s="16" t="str">
        <x:f>"+60377341001"</x:f>
        <x:v>+60377341001</x:v>
      </x:c>
      <x:c r="E166" s="16" t="str">
        <x:f>"+60102595211"</x:f>
        <x:v>+60102595211</x:v>
      </x:c>
      <x:c r="F166" s="16" t="str"/>
    </x:row>
    <x:row r="167">
      <x:c r="A167" s="16" t="str">
        <x:v>Mohd sabri abd rajee</x:v>
      </x:c>
      <x:c r="B167" s="16" t="str">
        <x:v>sabri@pakariaq.com</x:v>
      </x:c>
      <x:c r="C167" s="16" t="str">
        <x:v>* myContacts</x:v>
      </x:c>
      <x:c r="D167" s="16" t="str">
        <x:f>"+60377341001"</x:f>
        <x:v>+60377341001</x:v>
      </x:c>
      <x:c r="E167" s="16" t="str">
        <x:f>"+60102595211"</x:f>
        <x:v>+60102595211</x:v>
      </x:c>
      <x:c r="F167" s="16" t="str"/>
    </x:row>
    <x:row r="168">
      <x:c r="A168" s="16" t="str">
        <x:v>Mohd Shafiq EFFINDI</x:v>
      </x:c>
      <x:c r="B168" s="16" t="str">
        <x:v>sharqfx@gmail.com</x:v>
      </x:c>
      <x:c r="C168" s="16" t="str">
        <x:v>* myContacts</x:v>
      </x:c>
      <x:c r="D168" s="16" t="str">
        <x:f>"+601111701711"</x:f>
        <x:v>+601111701711</x:v>
      </x:c>
      <x:c r="E168" s="16" t="str"/>
      <x:c r="F168" s="16" t="str"/>
    </x:row>
    <x:row r="169">
      <x:c r="A169" s="16" t="str">
        <x:v>Mohd Shahril Shaik Mohd Hussain</x:v>
      </x:c>
      <x:c r="B169" s="16" t="str">
        <x:v>shahril.myventures@gmail.com</x:v>
      </x:c>
      <x:c r="C169" s="16" t="str">
        <x:v>* myContacts</x:v>
      </x:c>
      <x:c r="D169" s="16" t="str">
        <x:f>"+60124219000"</x:f>
        <x:v>+60124219000</x:v>
      </x:c>
      <x:c r="E169" s="16" t="str">
        <x:f>"+60182211150"</x:f>
        <x:v>+60182211150</x:v>
      </x:c>
      <x:c r="F169" s="16" t="str"/>
    </x:row>
    <x:row r="170">
      <x:c r="A170" s="16" t="str">
        <x:v>Mohd Zairee Mohd Zairee Bin Zakaria</x:v>
      </x:c>
      <x:c r="B170" s="16" t="str">
        <x:v>mzairee@mara.gov.my</x:v>
      </x:c>
      <x:c r="C170" s="16" t="str">
        <x:v>* myContacts</x:v>
      </x:c>
      <x:c r="D170" s="16" t="str">
        <x:f>"+60126349125"</x:f>
        <x:v>+60126349125</x:v>
      </x:c>
      <x:c r="E170" s="16" t="str"/>
      <x:c r="F170" s="16" t="str"/>
    </x:row>
    <x:row r="171">
      <x:c r="A171" s="16" t="str">
        <x:v>Muhammad Nazri Lokman Phytogold RJB MTDC</x:v>
      </x:c>
      <x:c r="B171" s="16" t="str">
        <x:v>nazri@phytogold.com</x:v>
      </x:c>
      <x:c r="C171" s="16" t="str">
        <x:v>* myContacts</x:v>
      </x:c>
      <x:c r="D171" s="16" t="str">
        <x:f>"+60173374207"</x:f>
        <x:v>+60173374207</x:v>
      </x:c>
      <x:c r="E171" s="16" t="str"/>
      <x:c r="F171" s="16" t="str"/>
    </x:row>
    <x:row r="172">
      <x:c r="A172" s="16" t="str">
        <x:v>Muhammad Syazwan</x:v>
      </x:c>
      <x:c r="B172" s="16" t="str">
        <x:v>denzel_leonhart@yahoo.com</x:v>
      </x:c>
      <x:c r="C172" s="16" t="str">
        <x:v>* myContacts</x:v>
      </x:c>
      <x:c r="D172" s="16" t="str">
        <x:f>"+60176827503"</x:f>
        <x:v>+60176827503</x:v>
      </x:c>
      <x:c r="E172" s="16" t="str"/>
      <x:c r="F172" s="16" t="str"/>
    </x:row>
    <x:row r="173">
      <x:c r="A173" s="16" t="str">
        <x:v>Muhammad Wafiq Bin Khairul Anuar</x:v>
      </x:c>
      <x:c r="B173" s="16" t="str">
        <x:v>ruang_idea@yahoo.com</x:v>
      </x:c>
      <x:c r="C173" s="16" t="str">
        <x:v>* myContacts</x:v>
      </x:c>
      <x:c r="D173" s="16" t="str">
        <x:f>"+60361403885"</x:f>
        <x:v>+60361403885</x:v>
      </x:c>
      <x:c r="E173" s="16" t="str">
        <x:f>"+60108904415"</x:f>
        <x:v>+60108904415</x:v>
      </x:c>
      <x:c r="F173" s="16" t="str"/>
    </x:row>
    <x:row r="174">
      <x:c r="A174" s="16" t="str">
        <x:v>Muhammad Wafiq Bin Khairul Anuar</x:v>
      </x:c>
      <x:c r="B174" s="16" t="str">
        <x:v>wafiqawa@gmail.com</x:v>
      </x:c>
      <x:c r="C174" s="16" t="str">
        <x:v>* myContacts</x:v>
      </x:c>
      <x:c r="D174" s="16" t="str">
        <x:f>"+60361403885"</x:f>
        <x:v>+60361403885</x:v>
      </x:c>
      <x:c r="E174" s="16" t="str">
        <x:f>"+60108904415"</x:f>
        <x:v>+60108904415</x:v>
      </x:c>
      <x:c r="F174" s="16" t="str"/>
    </x:row>
    <x:row r="175">
      <x:c r="A175" s="16" t="str">
        <x:v>Nazrin Program Manager</x:v>
      </x:c>
      <x:c r="B175" s="16" t="str">
        <x:v>nazrinshah@jnjgroup.com.my</x:v>
      </x:c>
      <x:c r="C175" s="16" t="str">
        <x:v>* myContacts</x:v>
      </x:c>
      <x:c r="D175" s="16" t="str">
        <x:f>"+60173008847"</x:f>
        <x:v>+60173008847</x:v>
      </x:c>
      <x:c r="E175" s="16" t="str"/>
      <x:c r="F175" s="16" t="str"/>
    </x:row>
    <x:row r="176">
      <x:c r="A176" s="16" t="str">
        <x:v>Nik Hazreesyam Zahari</x:v>
      </x:c>
      <x:c r="B176" s="16" t="str">
        <x:v>nhazree@gmail.com</x:v>
      </x:c>
      <x:c r="C176" s="16" t="str">
        <x:v>* myContacts</x:v>
      </x:c>
      <x:c r="D176" s="16" t="str">
        <x:f>"+60172337177"</x:f>
        <x:v>+60172337177</x:v>
      </x:c>
      <x:c r="E176" s="16" t="str"/>
      <x:c r="F176" s="16" t="str"/>
    </x:row>
    <x:row r="177">
      <x:c r="A177" s="16" t="str">
        <x:v>Noor Azimah Binti Hassan</x:v>
      </x:c>
      <x:c r="B177" s="16" t="str">
        <x:v>aniazeka@yahoo.com</x:v>
      </x:c>
      <x:c r="C177" s="16" t="str">
        <x:v>* myContacts</x:v>
      </x:c>
      <x:c r="D177" s="16" t="str">
        <x:f>"+60193474981"</x:f>
        <x:v>+60193474981</x:v>
      </x:c>
      <x:c r="E177" s="16" t="str"/>
      <x:c r="F177" s="16" t="str"/>
    </x:row>
    <x:row r="178">
      <x:c r="A178" s="16" t="str">
        <x:v>Nor Fatin Kbbc Agent</x:v>
      </x:c>
      <x:c r="B178" s="16" t="str">
        <x:v>fatin89cute@gmail.com</x:v>
      </x:c>
      <x:c r="C178" s="16" t="str">
        <x:v>* myContacts</x:v>
      </x:c>
      <x:c r="D178" s="16" t="str">
        <x:f>"+60189889728"</x:f>
        <x:v>+60189889728</x:v>
      </x:c>
      <x:c r="E178" s="16" t="str"/>
      <x:c r="F178" s="16" t="str"/>
    </x:row>
    <x:row r="179">
      <x:c r="A179" s="16" t="str">
        <x:v>noraini bt haji ahmad</x:v>
      </x:c>
      <x:c r="B179" s="16" t="str">
        <x:v>a1-1-1ayer@8.jalanp8g</x:v>
      </x:c>
      <x:c r="C179" s="16" t="str">
        <x:v>* myContacts</x:v>
      </x:c>
      <x:c r="D179" s="16" t="str">
        <x:f>"+60388616325"</x:f>
        <x:v>+60388616325</x:v>
      </x:c>
      <x:c r="E179" s="16" t="str">
        <x:f>"+60177530396"</x:f>
        <x:v>+60177530396</x:v>
      </x:c>
      <x:c r="F179" s="16" t="str"/>
    </x:row>
    <x:row r="180">
      <x:c r="A180" s="16" t="str">
        <x:v>noraini bt haji ahmad</x:v>
      </x:c>
      <x:c r="B180" s="16" t="str">
        <x:v>na@umt.edu.mx</x:v>
      </x:c>
      <x:c r="C180" s="16" t="str">
        <x:v>* myContacts</x:v>
      </x:c>
      <x:c r="D180" s="16" t="str">
        <x:f>"+60388616325"</x:f>
        <x:v>+60388616325</x:v>
      </x:c>
      <x:c r="E180" s="16" t="str">
        <x:f>"+60177530396"</x:f>
        <x:v>+60177530396</x:v>
      </x:c>
      <x:c r="F180" s="16" t="str"/>
    </x:row>
    <x:row r="181">
      <x:c r="A181" s="16" t="str">
        <x:v>Nur Aqeela INSKEN</x:v>
      </x:c>
      <x:c r="B181" s="16" t="str">
        <x:v>aqeela@insken.gov.my</x:v>
      </x:c>
      <x:c r="C181" s="16" t="str">
        <x:v>* myContacts | Alumni INSKEN</x:v>
      </x:c>
      <x:c r="D181" s="16" t="str">
        <x:f>"+60177670627"</x:f>
        <x:v>+60177670627</x:v>
      </x:c>
      <x:c r="E181" s="16" t="str"/>
      <x:c r="F181" s="16" t="str"/>
    </x:row>
    <x:row r="182">
      <x:c r="A182" s="16" t="str">
        <x:v>Nur Azre Tiktok Officer</x:v>
      </x:c>
      <x:c r="B182" s="16" t="str">
        <x:v>nurazre@bytedance.com</x:v>
      </x:c>
      <x:c r="C182" s="16" t="str">
        <x:v>* myContacts</x:v>
      </x:c>
      <x:c r="D182" s="16" t="str">
        <x:f>"+60122843457"</x:f>
        <x:v>+60122843457</x:v>
      </x:c>
      <x:c r="E182" s="16" t="str"/>
      <x:c r="F182" s="16" t="str"/>
    </x:row>
    <x:row r="183">
      <x:c r="A183" s="16" t="str">
        <x:v>Nur Ul wife shahrul</x:v>
      </x:c>
      <x:c r="B183" s="16" t="str">
        <x:v>nurulafzan82@gmail.com</x:v>
      </x:c>
      <x:c r="C183" s="16" t="str">
        <x:v>* myContacts</x:v>
      </x:c>
      <x:c r="D183" s="16" t="str">
        <x:f>"+60193010602"</x:f>
        <x:v>+60193010602</x:v>
      </x:c>
      <x:c r="E183" s="16" t="str"/>
      <x:c r="F183" s="16" t="str"/>
    </x:row>
    <x:row r="184">
      <x:c r="A184" s="16" t="str">
        <x:v>Nurezali Osman</x:v>
      </x:c>
      <x:c r="B184" s="16" t="str">
        <x:v>nurezali@gmail.com</x:v>
      </x:c>
      <x:c r="C184" s="16" t="str">
        <x:v>* myContacts</x:v>
      </x:c>
      <x:c r="D184" s="16" t="str">
        <x:f>"+60192727727"</x:f>
        <x:v>+60192727727</x:v>
      </x:c>
      <x:c r="E184" s="16" t="str"/>
      <x:c r="F184" s="16" t="str"/>
    </x:row>
    <x:row r="185">
      <x:c r="A185" s="16" t="str">
        <x:v>Nurfatihah Atie</x:v>
      </x:c>
      <x:c r="B185" s="16" t="str">
        <x:v>nurfatihah@gab-corporation.com</x:v>
      </x:c>
      <x:c r="C185" s="16" t="str">
        <x:v>* myContacts</x:v>
      </x:c>
      <x:c r="D185" s="16" t="str">
        <x:f>"+60143947393"</x:f>
        <x:v>+60143947393</x:v>
      </x:c>
      <x:c r="E185" s="16" t="str"/>
      <x:c r="F185" s="16" t="str"/>
    </x:row>
    <x:row r="186">
      <x:c r="A186" s="16" t="str">
        <x:v>Nurul Hidayah</x:v>
      </x:c>
      <x:c r="B186" s="16" t="str">
        <x:v>nurulhidayah@charisma-cwa.com</x:v>
      </x:c>
      <x:c r="C186" s="16" t="str">
        <x:v>* myContacts</x:v>
      </x:c>
      <x:c r="D186" s="16" t="str">
        <x:f>"+60174790004"</x:f>
        <x:v>+60174790004</x:v>
      </x:c>
      <x:c r="E186" s="16" t="str"/>
      <x:c r="F186" s="16" t="str"/>
    </x:row>
    <x:row r="187">
      <x:c r="A187" s="16" t="str">
        <x:v>Nurul Huda Student</x:v>
      </x:c>
      <x:c r="B187" s="16" t="str">
        <x:v>nurulh01@gmail.com</x:v>
      </x:c>
      <x:c r="C187" s="16" t="str">
        <x:v>* myContacts</x:v>
      </x:c>
      <x:c r="D187" s="16" t="str">
        <x:f>"+60123112559"</x:f>
        <x:v>+60123112559</x:v>
      </x:c>
      <x:c r="E187" s="16" t="str"/>
      <x:c r="F187" s="16" t="str"/>
    </x:row>
    <x:row r="188">
      <x:c r="A188" s="16" t="str">
        <x:v>Nurul Izzati Bt Abdul Halim Student</x:v>
      </x:c>
      <x:c r="B188" s="16" t="str">
        <x:v>izzatiabdhalim@gmail.com</x:v>
      </x:c>
      <x:c r="C188" s="16" t="str">
        <x:v>* myContacts</x:v>
      </x:c>
      <x:c r="D188" s="16" t="str">
        <x:f>"+60193153119"</x:f>
        <x:v>+60193153119</x:v>
      </x:c>
      <x:c r="E188" s="16" t="str"/>
      <x:c r="F188" s="16" t="str"/>
    </x:row>
    <x:row r="189">
      <x:c r="A189" s="16" t="str">
        <x:v>Pak Abdul Latif Shaari DPIM</x:v>
      </x:c>
      <x:c r="B189" s="16" t="str">
        <x:v>latif.ampang@gmail.com</x:v>
      </x:c>
      <x:c r="C189" s="16" t="str">
        <x:v>* myContacts</x:v>
      </x:c>
      <x:c r="D189" s="16" t="str">
        <x:f>"+60133808822"</x:f>
        <x:v>+60133808822</x:v>
      </x:c>
      <x:c r="E189" s="16" t="str"/>
      <x:c r="F189" s="16" t="str"/>
    </x:row>
    <x:row r="190">
      <x:c r="A190" s="16" t="str">
        <x:v>Pakukarat Enterprise</x:v>
      </x:c>
      <x:c r="B190" s="16" t="str">
        <x:v>pakukaratent@gmail.com</x:v>
      </x:c>
      <x:c r="C190" s="16" t="str">
        <x:v>* myContacts</x:v>
      </x:c>
      <x:c r="D190" s="16" t="str">
        <x:f>"+601133408954"</x:f>
        <x:v>+601133408954</x:v>
      </x:c>
      <x:c r="E190" s="16" t="str"/>
      <x:c r="F190" s="16" t="str"/>
    </x:row>
    <x:row r="191">
      <x:c r="A191" s="16" t="str">
        <x:v>Pn Hafida Uda Holding</x:v>
      </x:c>
      <x:c r="B191" s="16" t="str">
        <x:v>noorafidah@udanet.com</x:v>
      </x:c>
      <x:c r="C191" s="16" t="str">
        <x:v>* myContacts</x:v>
      </x:c>
      <x:c r="D191" s="16" t="str"/>
      <x:c r="E191" s="16" t="str"/>
      <x:c r="F191" s="16" t="str"/>
    </x:row>
    <x:row r="192">
      <x:c r="A192" s="16" t="str">
        <x:v>Pn Hanim Kejora</x:v>
      </x:c>
      <x:c r="B192" s="16" t="str">
        <x:v>syahaneen@kejora.gov.my</x:v>
      </x:c>
      <x:c r="C192" s="16" t="str">
        <x:v>* myContacts</x:v>
      </x:c>
      <x:c r="D192" s="16" t="str">
        <x:f>"+60137796445"</x:f>
        <x:v>+60137796445</x:v>
      </x:c>
      <x:c r="E192" s="16" t="str"/>
      <x:c r="F192" s="16" t="str"/>
    </x:row>
    <x:row r="193">
      <x:c r="A193" s="16" t="str">
        <x:v>pn nora power cable ministry</x:v>
      </x:c>
      <x:c r="B193" s="16" t="str">
        <x:v>nora@apwanshah.com</x:v>
      </x:c>
      <x:c r="C193" s="16" t="str">
        <x:v>* myContacts</x:v>
      </x:c>
      <x:c r="D193" s="16" t="str"/>
      <x:c r="E193" s="16" t="str"/>
      <x:c r="F193" s="16" t="str"/>
    </x:row>
    <x:row r="194">
      <x:c r="A194" s="16" t="str">
        <x:v>Prasad Babu Ramulu</x:v>
      </x:c>
      <x:c r="B194" s="16" t="str">
        <x:v>prosod@mdec.com.mx</x:v>
      </x:c>
      <x:c r="C194" s="16" t="str">
        <x:v>* myContacts</x:v>
      </x:c>
      <x:c r="D194" s="16" t="str">
        <x:f>"+60383189216"</x:f>
        <x:v>+60383189216</x:v>
      </x:c>
      <x:c r="E194" s="16" t="str">
        <x:f>"+60122031381"</x:f>
        <x:v>+60122031381</x:v>
      </x:c>
      <x:c r="F194" s="16" t="str"/>
    </x:row>
    <x:row r="195">
      <x:c r="A195" s="16" t="str">
        <x:v>Prof. (A) Kamaruzaman Jahidin</x:v>
      </x:c>
      <x:c r="B195" s="16" t="str">
        <x:v>kzaman660114@gmail.com</x:v>
      </x:c>
      <x:c r="C195" s="16" t="str">
        <x:v>* myContacts | * starred</x:v>
      </x:c>
      <x:c r="D195" s="16" t="str">
        <x:f>"+60192496103"</x:f>
        <x:v>+60192496103</x:v>
      </x:c>
      <x:c r="E195" s="16" t="str"/>
      <x:c r="F195" s="16" t="str"/>
    </x:row>
    <x:row r="196">
      <x:c r="A196" s="16" t="str">
        <x:v>Puan hasnah HRDF Accreditation</x:v>
      </x:c>
      <x:c r="B196" s="16" t="str">
        <x:v>norasnatasnim@hrdcorp.gov.my</x:v>
      </x:c>
      <x:c r="C196" s="16" t="str">
        <x:v>* myContacts | * starred</x:v>
      </x:c>
      <x:c r="D196" s="16" t="str"/>
      <x:c r="E196" s="16" t="str"/>
      <x:c r="F196" s="16" t="str"/>
    </x:row>
    <x:row r="197">
      <x:c r="A197" s="16" t="str">
        <x:v>Puan Hidayah Huri Kolej Komuniti Hulu Langat</x:v>
      </x:c>
      <x:c r="B197" s="16" t="str">
        <x:v>dayahuri@gmail.com</x:v>
      </x:c>
      <x:c r="C197" s="16" t="str">
        <x:v>* myContacts</x:v>
      </x:c>
      <x:c r="D197" s="16" t="str">
        <x:f>"+60124191200"</x:f>
        <x:v>+60124191200</x:v>
      </x:c>
      <x:c r="E197" s="16" t="str"/>
      <x:c r="F197" s="16" t="str"/>
    </x:row>
    <x:row r="198">
      <x:c r="A198" s="16" t="str">
        <x:v>Qm Helpdesk</x:v>
      </x:c>
      <x:c r="B198" s="16" t="str">
        <x:v>qmhelpdesk00@gmail.com</x:v>
      </x:c>
      <x:c r="C198" s="16" t="str">
        <x:v>* myContacts</x:v>
      </x:c>
      <x:c r="D198" s="16" t="str">
        <x:f>"+60143180237"</x:f>
        <x:v>+60143180237</x:v>
      </x:c>
      <x:c r="E198" s="16" t="str"/>
      <x:c r="F198" s="16" t="str"/>
    </x:row>
    <x:row r="199">
      <x:c r="A199" s="16" t="str">
        <x:v>Radzi Harun SIRIM</x:v>
      </x:c>
      <x:c r="B199" s="16" t="str">
        <x:v>mrh.2303@gmail.com</x:v>
      </x:c>
      <x:c r="C199" s="16" t="str">
        <x:v>* myContacts</x:v>
      </x:c>
      <x:c r="D199" s="16" t="str">
        <x:f>"+60193963532"</x:f>
        <x:v>+60193963532</x:v>
      </x:c>
      <x:c r="E199" s="16" t="str"/>
      <x:c r="F199" s="16" t="str"/>
    </x:row>
    <x:row r="200">
      <x:c r="A200" s="16" t="str">
        <x:v>Rahizan Maybank Digital Solution</x:v>
      </x:c>
      <x:c r="B200" s="16" t="str">
        <x:v>rahizan.ra@maybank.com</x:v>
      </x:c>
      <x:c r="C200" s="16" t="str">
        <x:v>* myContacts</x:v>
      </x:c>
      <x:c r="D200" s="16" t="str"/>
      <x:c r="E200" s="16" t="str"/>
      <x:c r="F200" s="16" t="str"/>
    </x:row>
    <x:row r="201">
      <x:c r="A201" s="16" t="str">
        <x:v>Raja Syamsinar Team NGO Program Usahawan Incubator Malaysia Madani</x:v>
      </x:c>
      <x:c r="B201" s="16" t="str">
        <x:v>rajasyamsinar0@gmail.com</x:v>
      </x:c>
      <x:c r="C201" s="16" t="str">
        <x:v>* myContacts</x:v>
      </x:c>
      <x:c r="D201" s="16" t="str">
        <x:f>"+60164199041"</x:f>
        <x:v>+60164199041</x:v>
      </x:c>
      <x:c r="E201" s="16" t="str"/>
      <x:c r="F201" s="16" t="str"/>
    </x:row>
    <x:row r="202">
      <x:c r="A202" s="16" t="str">
        <x:v>razali tanamera</x:v>
      </x:c>
      <x:c r="B202" s="16" t="str">
        <x:v>razalihalimi@gmail.com</x:v>
      </x:c>
      <x:c r="C202" s="16" t="str">
        <x:v>* myContacts</x:v>
      </x:c>
      <x:c r="D202" s="16" t="str">
        <x:f>"+60126111674"</x:f>
        <x:v>+60126111674</x:v>
      </x:c>
      <x:c r="E202" s="16" t="str"/>
      <x:c r="F202" s="16" t="str"/>
    </x:row>
    <x:row r="203">
      <x:c r="A203" s="16" t="str">
        <x:v>Reha Aziz</x:v>
      </x:c>
      <x:c r="B203" s="16" t="str">
        <x:v>info@hijrahalam.my</x:v>
      </x:c>
      <x:c r="C203" s="16" t="str">
        <x:v>* myContacts</x:v>
      </x:c>
      <x:c r="D203" s="16" t="str">
        <x:f>"+60389269853"</x:f>
        <x:v>+60389269853</x:v>
      </x:c>
      <x:c r="E203" s="16" t="str">
        <x:f>"+60192533830"</x:f>
        <x:v>+60192533830</x:v>
      </x:c>
      <x:c r="F203" s="16" t="str"/>
    </x:row>
    <x:row r="204">
      <x:c r="A204" s="16" t="str">
        <x:v>Reha Aziz</x:v>
      </x:c>
      <x:c r="B204" s="16" t="str">
        <x:v>reha@hijrahalam.my</x:v>
      </x:c>
      <x:c r="C204" s="16" t="str">
        <x:v>* myContacts</x:v>
      </x:c>
      <x:c r="D204" s="16" t="str">
        <x:f>"+60389269853"</x:f>
        <x:v>+60389269853</x:v>
      </x:c>
      <x:c r="E204" s="16" t="str">
        <x:f>"+60192533830"</x:f>
        <x:v>+60192533830</x:v>
      </x:c>
      <x:c r="F204" s="16" t="str"/>
    </x:row>
    <x:row r="205">
      <x:c r="A205" s="16" t="str">
        <x:v>Reza Razali</x:v>
      </x:c>
      <x:c r="B205" s="16" t="str">
        <x:v>reza@getslurp.com</x:v>
      </x:c>
      <x:c r="C205" s="16" t="str">
        <x:v>* myContacts</x:v>
      </x:c>
      <x:c r="D205" s="16" t="str">
        <x:f>"+60162196929"</x:f>
        <x:v>+60162196929</x:v>
      </x:c>
      <x:c r="E205" s="16" t="str"/>
      <x:c r="F205" s="16" t="str"/>
    </x:row>
    <x:row r="206">
      <x:c r="A206" s="16" t="str">
        <x:v>rfp insken</x:v>
      </x:c>
      <x:c r="B206" s="16" t="str">
        <x:v>rfp@insken.gov.my</x:v>
      </x:c>
      <x:c r="C206" s="16" t="str">
        <x:v>* myContacts | Alumni INSKEN</x:v>
      </x:c>
      <x:c r="D206" s="16" t="str"/>
      <x:c r="E206" s="16" t="str"/>
      <x:c r="F206" s="16" t="str"/>
    </x:row>
    <x:row r="207">
      <x:c r="A207" s="16" t="str">
        <x:v>Rochan Tan Chong Service</x:v>
      </x:c>
      <x:c r="B207" s="16" t="str">
        <x:v>rgfishtank93@gmail.com</x:v>
      </x:c>
      <x:c r="C207" s="16" t="str">
        <x:v>* myContacts</x:v>
      </x:c>
      <x:c r="D207" s="16" t="str">
        <x:f>"+60125696171"</x:f>
        <x:v>+60125696171</x:v>
      </x:c>
      <x:c r="E207" s="16" t="str"/>
      <x:c r="F207" s="16" t="str"/>
    </x:row>
    <x:row r="208">
      <x:c r="A208" s="16" t="str">
        <x:v>ROSNAH BUANG</x:v>
      </x:c>
      <x:c r="B208" s="16" t="str">
        <x:v>ceoedi@yahoo.com</x:v>
      </x:c>
      <x:c r="C208" s="16" t="str">
        <x:v>* myContacts</x:v>
      </x:c>
      <x:c r="D208" s="16" t="str">
        <x:f>"+60166444116"</x:f>
        <x:v>+60166444116</x:v>
      </x:c>
      <x:c r="E208" s="16" t="str"/>
      <x:c r="F208" s="16" t="str"/>
    </x:row>
    <x:row r="209">
      <x:c r="A209" s="16" t="str">
        <x:v>Roy Shazrol Suhaime Pocket Production</x:v>
      </x:c>
      <x:c r="B209" s="16" t="str">
        <x:v>iw.shazrol@gmail.com</x:v>
      </x:c>
      <x:c r="C209" s="16" t="str">
        <x:v>* myContacts</x:v>
      </x:c>
      <x:c r="D209" s="16" t="str">
        <x:f>"+60122075049"</x:f>
        <x:v>+60122075049</x:v>
      </x:c>
      <x:c r="E209" s="16" t="str"/>
      <x:c r="F209" s="16" t="str"/>
    </x:row>
    <x:row r="210">
      <x:c r="A210" s="16" t="str">
        <x:v>Rudy Sareman Bin Abdul Hamid Student</x:v>
      </x:c>
      <x:c r="B210" s="16" t="str">
        <x:v>rudy_future@yahoo.com</x:v>
      </x:c>
      <x:c r="C210" s="16" t="str">
        <x:v>* myContacts</x:v>
      </x:c>
      <x:c r="D210" s="16" t="str">
        <x:f>"+60192272465"</x:f>
        <x:v>+60192272465</x:v>
      </x:c>
      <x:c r="E210" s="16" t="str"/>
      <x:c r="F210" s="16" t="str"/>
    </x:row>
    <x:row r="211">
      <x:c r="A211" s="16" t="str">
        <x:v>Rush Ganesan Indonesia</x:v>
      </x:c>
      <x:c r="B211" s="16" t="str">
        <x:v>appleboy05rush6@gmail.com</x:v>
      </x:c>
      <x:c r="C211" s="16" t="str">
        <x:v>* myContacts</x:v>
      </x:c>
      <x:c r="D211" s="16" t="str">
        <x:f>"+628176888375"</x:f>
        <x:v>+628176888375</x:v>
      </x:c>
      <x:c r="E211" s="16" t="str"/>
      <x:c r="F211" s="16" t="str"/>
    </x:row>
    <x:row r="212">
      <x:c r="A212" s="16" t="str">
        <x:v>Saidi Agent AGP</x:v>
      </x:c>
      <x:c r="B212" s="16" t="str">
        <x:v>saidy@netboxs.com</x:v>
      </x:c>
      <x:c r="C212" s="16" t="str">
        <x:v>* myContacts</x:v>
      </x:c>
      <x:c r="D212" s="16" t="str">
        <x:f>"+60172388058"</x:f>
        <x:v>+60172388058</x:v>
      </x:c>
      <x:c r="E212" s="16" t="str"/>
      <x:c r="F212" s="16" t="str"/>
    </x:row>
    <x:row r="213">
      <x:c r="A213" s="16" t="str">
        <x:v>Sapiei koop</x:v>
      </x:c>
      <x:c r="B213" s="16" t="str">
        <x:v>sapiei@sapieiagency.com</x:v>
      </x:c>
      <x:c r="C213" s="16" t="str">
        <x:v>* myContacts</x:v>
      </x:c>
      <x:c r="D213" s="16" t="str">
        <x:f>"+60122240042"</x:f>
        <x:v>+60122240042</x:v>
      </x:c>
      <x:c r="E213" s="16" t="str"/>
      <x:c r="F213" s="16" t="str"/>
    </x:row>
    <x:row r="214">
      <x:c r="A214" s="16" t="str">
        <x:v>Sapiei koop</x:v>
      </x:c>
      <x:c r="B214" s="16" t="str">
        <x:v>sapieiabidin@gmail.com</x:v>
      </x:c>
      <x:c r="C214" s="16" t="str">
        <x:v>* myContacts</x:v>
      </x:c>
      <x:c r="D214" s="16" t="str">
        <x:f>"+60122240042"</x:f>
        <x:v>+60122240042</x:v>
      </x:c>
      <x:c r="E214" s="16" t="str"/>
      <x:c r="F214" s="16" t="str"/>
    </x:row>
    <x:row r="215">
      <x:c r="A215" s="16" t="str">
        <x:v>Sarah Aqilah Rinah</x:v>
      </x:c>
      <x:c r="B215" s="16" t="str">
        <x:v>sarinah@unikl.edu.my</x:v>
      </x:c>
      <x:c r="C215" s="16" t="str">
        <x:v>* myContacts</x:v>
      </x:c>
      <x:c r="D215" s="16" t="str">
        <x:f>"+60165872382"</x:f>
        <x:v>+60165872382</x:v>
      </x:c>
      <x:c r="E215" s="16" t="str"/>
      <x:c r="F215" s="16" t="str"/>
    </x:row>
    <x:row r="216">
      <x:c r="A216" s="16" t="str">
        <x:v>Seah Mike Tauke Tiktok Live</x:v>
      </x:c>
      <x:c r="B216" s="16" t="str">
        <x:v>mike.szc87@gmail.com</x:v>
      </x:c>
      <x:c r="C216" s="16" t="str">
        <x:v>* myContacts</x:v>
      </x:c>
      <x:c r="D216" s="16" t="str">
        <x:f>"+60103898968"</x:f>
        <x:v>+60103898968</x:v>
      </x:c>
      <x:c r="E216" s="16" t="str"/>
      <x:c r="F216" s="16" t="str"/>
    </x:row>
    <x:row r="217">
      <x:c r="A217" s="16" t="str">
        <x:v>Shahariman Bin Mamat Student</x:v>
      </x:c>
      <x:c r="B217" s="16" t="str">
        <x:v>shaharimanmamat@yahoo.com</x:v>
      </x:c>
      <x:c r="C217" s="16" t="str">
        <x:v>* myContacts</x:v>
      </x:c>
      <x:c r="D217" s="16" t="str">
        <x:f>"+60179444438"</x:f>
        <x:v>+60179444438</x:v>
      </x:c>
      <x:c r="E217" s="16" t="str"/>
      <x:c r="F217" s="16" t="str"/>
    </x:row>
    <x:row r="218">
      <x:c r="A218" s="16" t="str">
        <x:v>Shakir uitm</x:v>
      </x:c>
      <x:c r="B218" s="16" t="str">
        <x:v>justinkenny13@gmail.com</x:v>
      </x:c>
      <x:c r="C218" s="16" t="str">
        <x:v>* myContacts</x:v>
      </x:c>
      <x:c r="D218" s="16" t="str">
        <x:f>"+60109587306"</x:f>
        <x:v>+60109587306</x:v>
      </x:c>
      <x:c r="E218" s="16" t="str"/>
      <x:c r="F218" s="16" t="str"/>
    </x:row>
    <x:row r="219">
      <x:c r="A219" s="16" t="str">
        <x:v>Shamsul Shaari</x:v>
      </x:c>
      <x:c r="B219" s="16" t="str">
        <x:v>shamsul@tm.com.my</x:v>
      </x:c>
      <x:c r="C219" s="16" t="str">
        <x:v>* myContacts</x:v>
      </x:c>
      <x:c r="D219" s="16" t="str">
        <x:f>"+603177128107"</x:f>
        <x:v>+603177128107</x:v>
      </x:c>
      <x:c r="E219" s="16" t="str">
        <x:f>"+60133646751"</x:f>
        <x:v>+60133646751</x:v>
      </x:c>
      <x:c r="F219" s="16" t="str"/>
    </x:row>
    <x:row r="220">
      <x:c r="A220" s="16" t="str">
        <x:v>Shazmie Mohammad Nadziri Student</x:v>
      </x:c>
      <x:c r="B220" s="16" t="str">
        <x:v>shazmie83@gmail.com</x:v>
      </x:c>
      <x:c r="C220" s="16" t="str">
        <x:v>* myContacts</x:v>
      </x:c>
      <x:c r="D220" s="16" t="str">
        <x:f>"+60139044200"</x:f>
        <x:v>+60139044200</x:v>
      </x:c>
      <x:c r="E220" s="16" t="str"/>
      <x:c r="F220" s="16" t="str"/>
    </x:row>
    <x:row r="221">
      <x:c r="A221" s="16" t="str">
        <x:v>SHERMAN ONG</x:v>
      </x:c>
      <x:c r="B221" s="16" t="str">
        <x:v>sherman.ong@freightmark.com.my</x:v>
      </x:c>
      <x:c r="C221" s="16" t="str">
        <x:v>* myContacts</x:v>
      </x:c>
      <x:c r="D221" s="16" t="str">
        <x:f>"+60166611721"</x:f>
        <x:v>+60166611721</x:v>
      </x:c>
      <x:c r="E221" s="16" t="str">
        <x:f>"+60196001932"</x:f>
        <x:v>+60196001932</x:v>
      </x:c>
      <x:c r="F221" s="16" t="str"/>
    </x:row>
    <x:row r="222">
      <x:c r="A222" s="16" t="str">
        <x:v>Shida Mat Shah Uitm Student Praktikal</x:v>
      </x:c>
      <x:c r="B222" s="16" t="str">
        <x:v>adeihays@yahoo.com</x:v>
      </x:c>
      <x:c r="C222" s="16" t="str">
        <x:v>* myContacts</x:v>
      </x:c>
      <x:c r="D222" s="16" t="str">
        <x:f>"+60196492576"</x:f>
        <x:v>+60196492576</x:v>
      </x:c>
      <x:c r="E222" s="16" t="str"/>
      <x:c r="F222" s="16" t="str"/>
    </x:row>
    <x:row r="223">
      <x:c r="A223" s="16" t="str">
        <x:v>Shukri Saleh herbalife penang</x:v>
      </x:c>
      <x:c r="B223" s="16" t="str">
        <x:v>syukrisalleh44@gmail.com</x:v>
      </x:c>
      <x:c r="C223" s="16" t="str">
        <x:v>* myContacts</x:v>
      </x:c>
      <x:c r="D223" s="16" t="str">
        <x:f>"+60194662307"</x:f>
        <x:v>+60194662307</x:v>
      </x:c>
      <x:c r="E223" s="16" t="str"/>
      <x:c r="F223" s="16" t="str"/>
    </x:row>
    <x:row r="224">
      <x:c r="A224" s="16" t="str">
        <x:v>Sifu Magiey</x:v>
      </x:c>
      <x:c r="B224" s="16" t="str">
        <x:v>espritt8@gmail.com</x:v>
      </x:c>
      <x:c r="C224" s="16" t="str">
        <x:v>* myContacts | Trainer</x:v>
      </x:c>
      <x:c r="D224" s="16" t="str">
        <x:f>"+60138673975"</x:f>
        <x:v>+60138673975</x:v>
      </x:c>
      <x:c r="E224" s="16" t="str"/>
      <x:c r="F224" s="16" t="str"/>
    </x:row>
    <x:row r="225">
      <x:c r="A225" s="16" t="str">
        <x:v>Siti Khadinah Ghazali</x:v>
      </x:c>
      <x:c r="B225" s="16" t="str">
        <x:v>katniico@gmail.com</x:v>
      </x:c>
      <x:c r="C225" s="16" t="str">
        <x:v>* myContacts</x:v>
      </x:c>
      <x:c r="D225" s="16" t="str">
        <x:f>"+60193462693"</x:f>
        <x:v>+60193462693</x:v>
      </x:c>
      <x:c r="E225" s="16" t="str"/>
      <x:c r="F225" s="16" t="str"/>
    </x:row>
    <x:row r="226">
      <x:c r="A226" s="16" t="str">
        <x:v>siti mazni shakor student</x:v>
      </x:c>
      <x:c r="B226" s="16" t="str">
        <x:v>maznishakor@hotmail.com</x:v>
      </x:c>
      <x:c r="C226" s="16" t="str">
        <x:v>* myContacts</x:v>
      </x:c>
      <x:c r="D226" s="16" t="str">
        <x:f>"+60192828076"</x:f>
        <x:v>+60192828076</x:v>
      </x:c>
      <x:c r="E226" s="16" t="str"/>
      <x:c r="F226" s="16" t="str"/>
    </x:row>
    <x:row r="227">
      <x:c r="A227" s="16" t="str">
        <x:v>Siti Zuraida Kadir student</x:v>
      </x:c>
      <x:c r="B227" s="16" t="str">
        <x:v>sitizuraidakadir@gmail.com</x:v>
      </x:c>
      <x:c r="C227" s="16" t="str">
        <x:v>* myContacts</x:v>
      </x:c>
      <x:c r="D227" s="16" t="str">
        <x:f>"+60125928861"</x:f>
        <x:v>+60125928861</x:v>
      </x:c>
      <x:c r="E227" s="16" t="str"/>
      <x:c r="F227" s="16" t="str"/>
    </x:row>
    <x:row r="228">
      <x:c r="A228" s="16" t="str">
        <x:v>Song Hock Kc</x:v>
      </x:c>
      <x:c r="B228" s="16" t="str">
        <x:v>song@yoolk.com</x:v>
      </x:c>
      <x:c r="C228" s="16" t="str">
        <x:v>* myContacts</x:v>
      </x:c>
      <x:c r="D228" s="16" t="str">
        <x:f>"+60122985960"</x:f>
        <x:v>+60122985960</x:v>
      </x:c>
      <x:c r="E228" s="16" t="str"/>
      <x:c r="F228" s="16" t="str"/>
    </x:row>
    <x:row r="229">
      <x:c r="A229" s="16" t="str">
        <x:v>Sopian BDA</x:v>
      </x:c>
      <x:c r="B229" s="16" t="str">
        <x:v>my.offhegoes@gmail.com</x:v>
      </x:c>
      <x:c r="C229" s="16" t="str">
        <x:v>* myContacts</x:v>
      </x:c>
      <x:c r="D229" s="16" t="str">
        <x:f>"+60167760824"</x:f>
        <x:v>+60167760824</x:v>
      </x:c>
      <x:c r="E229" s="16" t="str">
        <x:f>"+601110210824"</x:f>
        <x:v>+601110210824</x:v>
      </x:c>
      <x:c r="F229" s="16" t="str"/>
    </x:row>
    <x:row r="230">
      <x:c r="A230" s="16" t="str">
        <x:v>Suh Wei Teang (sherly jiran kati apak)</x:v>
      </x:c>
      <x:c r="B230" s="16" t="str">
        <x:v>shirs.ding@gmail.com</x:v>
      </x:c>
      <x:c r="C230" s="16" t="str">
        <x:v>* myContacts</x:v>
      </x:c>
      <x:c r="D230" s="16" t="str">
        <x:f>"+60122147226"</x:f>
        <x:v>+60122147226</x:v>
      </x:c>
      <x:c r="E230" s="16" t="str"/>
      <x:c r="F230" s="16" t="str"/>
    </x:row>
    <x:row r="231">
      <x:c r="A231" s="16" t="str">
        <x:v>Sulaiman Avana</x:v>
      </x:c>
      <x:c r="B231" s="16" t="str">
        <x:v>superslaymo@gmail.com</x:v>
      </x:c>
      <x:c r="C231" s="16" t="str">
        <x:v>* myContacts</x:v>
      </x:c>
      <x:c r="D231" s="16" t="str">
        <x:f>"+60123460531"</x:f>
        <x:v>+60123460531</x:v>
      </x:c>
      <x:c r="E231" s="16" t="str"/>
      <x:c r="F231" s="16" t="str"/>
    </x:row>
    <x:row r="232">
      <x:c r="A232" s="16" t="str">
        <x:v>Summit Capital</x:v>
      </x:c>
      <x:c r="B232" s="16" t="str">
        <x:v>info.my@summitmy.net</x:v>
      </x:c>
      <x:c r="C232" s="16" t="str">
        <x:v>* myContacts</x:v>
      </x:c>
      <x:c r="D232" s="16" t="str"/>
      <x:c r="E232" s="16" t="str"/>
      <x:c r="F232" s="16" t="str"/>
    </x:row>
    <x:row r="233">
      <x:c r="A233" s="16" t="str">
        <x:v>Syahirah Surani Student</x:v>
      </x:c>
      <x:c r="B233" s="16" t="str">
        <x:v>surani.syahirah@gmail.com</x:v>
      </x:c>
      <x:c r="C233" s="16" t="str">
        <x:v>* myContacts</x:v>
      </x:c>
      <x:c r="D233" s="16" t="str">
        <x:f>"+601123519190"</x:f>
        <x:v>+601123519190</x:v>
      </x:c>
      <x:c r="E233" s="16" t="str"/>
      <x:c r="F233" s="16" t="str"/>
    </x:row>
    <x:row r="234">
      <x:c r="A234" s="16" t="str">
        <x:v>Syahman Trainer</x:v>
      </x:c>
      <x:c r="B234" s="16" t="str">
        <x:v>swastaglobal@gmail.com</x:v>
      </x:c>
      <x:c r="C234" s="16" t="str">
        <x:v>* myContacts | Trainer</x:v>
      </x:c>
      <x:c r="D234" s="16" t="str">
        <x:f>"+601123712935"</x:f>
        <x:v>+601123712935</x:v>
      </x:c>
      <x:c r="E234" s="16" t="str"/>
      <x:c r="F234" s="16" t="str"/>
    </x:row>
    <x:row r="235">
      <x:c r="A235" s="16" t="str">
        <x:v>Syaiful Naim BDA</x:v>
      </x:c>
      <x:c r="B235" s="16" t="str">
        <x:v>syaiful@amilin.tv</x:v>
      </x:c>
      <x:c r="C235" s="16" t="str">
        <x:v>* myContacts</x:v>
      </x:c>
      <x:c r="D235" s="16" t="str">
        <x:f>"+60196370007"</x:f>
        <x:v>+60196370007</x:v>
      </x:c>
      <x:c r="E235" s="16" t="str"/>
      <x:c r="F235" s="16" t="str"/>
    </x:row>
    <x:row r="236">
      <x:c r="A236" s="16" t="str">
        <x:v>Syaz Khalil Finanshere</x:v>
      </x:c>
      <x:c r="B236" s="16" t="str">
        <x:v>syazali@gmail.com</x:v>
      </x:c>
      <x:c r="C236" s="16" t="str">
        <x:v>* myContacts</x:v>
      </x:c>
      <x:c r="D236" s="16" t="str">
        <x:f>"+60124527969"</x:f>
        <x:v>+60124527969</x:v>
      </x:c>
      <x:c r="E236" s="16" t="str"/>
      <x:c r="F236" s="16" t="str"/>
    </x:row>
    <x:row r="237">
      <x:c r="A237" s="16" t="str">
        <x:v>Syuk Coach</x:v>
      </x:c>
      <x:c r="B237" s="16" t="str">
        <x:v>syukrihh@ppmm.com.my</x:v>
      </x:c>
      <x:c r="C237" s="16" t="str">
        <x:v>* myContacts | Trainer</x:v>
      </x:c>
      <x:c r="D237" s="16" t="str">
        <x:f>"+60192228315"</x:f>
        <x:v>+60192228315</x:v>
      </x:c>
      <x:c r="E237" s="16" t="str"/>
      <x:c r="F237" s="16" t="str"/>
    </x:row>
    <x:row r="238">
      <x:c r="A238" s="16" t="str">
        <x:v>Tanti TIR BDA</x:v>
      </x:c>
      <x:c r="B238" s="16" t="str">
        <x:v>tanti@tir.com.my</x:v>
      </x:c>
      <x:c r="C238" s="16" t="str">
        <x:v>* myContacts</x:v>
      </x:c>
      <x:c r="D238" s="16" t="str">
        <x:f>"+60192802434"</x:f>
        <x:v>+60192802434</x:v>
      </x:c>
      <x:c r="E238" s="16" t="str"/>
      <x:c r="F238" s="16" t="str"/>
    </x:row>
    <x:row r="239">
      <x:c r="A239" s="16" t="str">
        <x:v>Teva Luwe Boss Tunetalk</x:v>
      </x:c>
      <x:c r="B239" s="16" t="str">
        <x:v>tevaluwe@gmail.com</x:v>
      </x:c>
      <x:c r="C239" s="16" t="str">
        <x:v>* myContacts</x:v>
      </x:c>
      <x:c r="D239" s="16" t="str">
        <x:f>"+601110999933"</x:f>
        <x:v>+601110999933</x:v>
      </x:c>
      <x:c r="E239" s="16" t="str"/>
      <x:c r="F239" s="16" t="str"/>
    </x:row>
    <x:row r="240">
      <x:c r="A240" s="16" t="str">
        <x:v>Tow Truck Nazim Umi</x:v>
      </x:c>
      <x:c r="B240" s="16" t="str">
        <x:v>nazimumi97@gmail.com</x:v>
      </x:c>
      <x:c r="C240" s="16" t="str">
        <x:v>* myContacts</x:v>
      </x:c>
      <x:c r="D240" s="16" t="str">
        <x:f>"+601137902883"</x:f>
        <x:v>+601137902883</x:v>
      </x:c>
      <x:c r="E240" s="16" t="str"/>
      <x:c r="F240" s="16" t="str"/>
    </x:row>
    <x:row r="241">
      <x:c r="A241" s="16" t="str">
        <x:v>Tuan Abdullah AGP</x:v>
      </x:c>
      <x:c r="B241" s="16" t="str">
        <x:v>abdullah@terasaki.com.my</x:v>
      </x:c>
      <x:c r="C241" s="16" t="str">
        <x:v>* myContacts</x:v>
      </x:c>
      <x:c r="D241" s="16" t="str">
        <x:f>"+60172943248"</x:f>
        <x:v>+60172943248</x:v>
      </x:c>
      <x:c r="E241" s="16" t="str"/>
      <x:c r="F241" s="16" t="str"/>
    </x:row>
    <x:row r="242">
      <x:c r="A242" s="16" t="str">
        <x:v>Tuan Fahmi Training Department</x:v>
      </x:c>
      <x:c r="B242" s="16" t="str">
        <x:v>fahmi@fama.gov.ny</x:v>
      </x:c>
      <x:c r="C242" s="16" t="str">
        <x:v>* myContacts</x:v>
      </x:c>
      <x:c r="D242" s="16" t="str">
        <x:f>"+60126925644"</x:f>
        <x:v>+60126925644</x:v>
      </x:c>
      <x:c r="E242" s="16" t="str"/>
      <x:c r="F242" s="16" t="str"/>
    </x:row>
    <x:row r="243">
      <x:c r="A243" s="16" t="str">
        <x:v>Tuan Farid Wmn</x:v>
      </x:c>
      <x:c r="B243" s="16" t="str">
        <x:v>faridklang@gmail.com</x:v>
      </x:c>
      <x:c r="C243" s="16" t="str">
        <x:v>* myContacts</x:v>
      </x:c>
      <x:c r="D243" s="16" t="str">
        <x:f>"+60126371987"</x:f>
        <x:v>+60126371987</x:v>
      </x:c>
      <x:c r="E243" s="16" t="str"/>
      <x:c r="F243" s="16" t="str"/>
    </x:row>
    <x:row r="244">
      <x:c r="A244" s="16" t="str">
        <x:v>Tuan Firdaus Fama Training Department</x:v>
      </x:c>
      <x:c r="B244" s="16" t="str">
        <x:v>firdaus.mnoor@fama.gov.my</x:v>
      </x:c>
      <x:c r="C244" s="16" t="str">
        <x:v>* myContacts</x:v>
      </x:c>
      <x:c r="D244" s="16" t="str">
        <x:f>"+60132036345"</x:f>
        <x:v>+60132036345</x:v>
      </x:c>
      <x:c r="E244" s="16" t="str"/>
      <x:c r="F244" s="16" t="str"/>
    </x:row>
    <x:row r="245">
      <x:c r="A245" s="16" t="str">
        <x:v>TUAN TAJUDIN BIN MOHD SAP</x:v>
      </x:c>
      <x:c r="B245" s="16" t="str">
        <x:v>pertubuhanmts@gmail.com</x:v>
      </x:c>
      <x:c r="C245" s="16" t="str">
        <x:v>* myContacts</x:v>
      </x:c>
      <x:c r="D245" s="16" t="str">
        <x:f>"+60162255270"</x:f>
        <x:v>+60162255270</x:v>
      </x:c>
      <x:c r="E245" s="16" t="str"/>
      <x:c r="F245" s="16" t="str"/>
    </x:row>
    <x:row r="246">
      <x:c r="A246" s="16" t="str">
        <x:v>Umie Sakura Hijrah Sabak Bernam</x:v>
      </x:c>
      <x:c r="B246" s="16" t="str">
        <x:v>umiefatimah@gmail.com</x:v>
      </x:c>
      <x:c r="C246" s="16" t="str">
        <x:v>* myContacts | Alumni eUsahawan</x:v>
      </x:c>
      <x:c r="D246" s="16" t="str">
        <x:f>"+60176787122"</x:f>
        <x:v>+60176787122</x:v>
      </x:c>
      <x:c r="E246" s="16" t="str"/>
      <x:c r="F246" s="16" t="str"/>
    </x:row>
    <x:row r="247">
      <x:c r="A247" s="16" t="str">
        <x:v>wanchu Mdec Trainer Team Leader</x:v>
      </x:c>
      <x:c r="B247" s="16" t="str">
        <x:v>wanchu.pmo3@gmail.com</x:v>
      </x:c>
      <x:c r="C247" s="16" t="str">
        <x:v>* myContacts | Trainer</x:v>
      </x:c>
      <x:c r="D247" s="16" t="str">
        <x:f>"+60179246365"</x:f>
        <x:v>+60179246365</x:v>
      </x:c>
      <x:c r="E247" s="16" t="str"/>
      <x:c r="F247" s="16" t="str"/>
    </x:row>
    <x:row r="248">
      <x:c r="A248" s="16" t="str">
        <x:v>Wife Aishah</x:v>
      </x:c>
      <x:c r="B248" s="16" t="str">
        <x:v>nwaishah-mh@unisel.edu.my</x:v>
      </x:c>
      <x:c r="C248" s="16" t="str">
        <x:v>* family | * myContacts</x:v>
      </x:c>
      <x:c r="D248" s="16" t="str">
        <x:f>"+60133700200"</x:f>
        <x:v>+60133700200</x:v>
      </x:c>
      <x:c r="E248" s="16" t="str"/>
      <x:c r="F248" s="16" t="str"/>
    </x:row>
    <x:row r="249">
      <x:c r="A249" s="16" t="str">
        <x:v>Workshop Saliza</x:v>
      </x:c>
      <x:c r="B249" s="16" t="str">
        <x:v>mamajeem.ss@gmail.com</x:v>
      </x:c>
      <x:c r="C249" s="16" t="str">
        <x:v>* myContacts</x:v>
      </x:c>
      <x:c r="D249" s="16" t="str">
        <x:f>"+60122329405"</x:f>
        <x:v>+60122329405</x:v>
      </x:c>
      <x:c r="E249" s="16" t="str"/>
      <x:c r="F249" s="16" t="str"/>
    </x:row>
    <x:row r="250">
      <x:c r="A250" s="16" t="str">
        <x:v>Workshop Saliza</x:v>
      </x:c>
      <x:c r="B250" s="16" t="str">
        <x:v>saliza2u@yahoo.com</x:v>
      </x:c>
      <x:c r="C250" s="16" t="str">
        <x:v>* myContacts</x:v>
      </x:c>
      <x:c r="D250" s="16" t="str">
        <x:f>"+60122329405"</x:f>
        <x:v>+60122329405</x:v>
      </x:c>
      <x:c r="E250" s="16" t="str"/>
      <x:c r="F250" s="16" t="str"/>
    </x:row>
    <x:row r="251">
      <x:c r="A251" s="16" t="str">
        <x:v>Yasir Mary Jardin</x:v>
      </x:c>
      <x:c r="B251" s="16" t="str">
        <x:v>yasir.ayeop@gmail.com</x:v>
      </x:c>
      <x:c r="C251" s="16" t="str">
        <x:v>* myContacts</x:v>
      </x:c>
      <x:c r="D251" s="16" t="str">
        <x:f>"+60142625159"</x:f>
        <x:v>+60142625159</x:v>
      </x:c>
      <x:c r="E251" s="16" t="str"/>
      <x:c r="F251" s="16" t="str"/>
    </x:row>
    <x:row r="252">
      <x:c r="A252" s="16" t="str">
        <x:v>Zafri Pkns</x:v>
      </x:c>
      <x:c r="B252" s="16" t="str">
        <x:v>zhafri@pkns.gov.my</x:v>
      </x:c>
      <x:c r="C252" s="16" t="str">
        <x:v>* myContacts</x:v>
      </x:c>
      <x:c r="D252" s="16" t="str">
        <x:f>"+601133874266"</x:f>
        <x:v>+601133874266</x:v>
      </x:c>
      <x:c r="E252" s="16" t="str"/>
      <x:c r="F252" s="16" t="str"/>
    </x:row>
    <x:row r="253">
      <x:c r="A253" s="16" t="str">
        <x:v>ZAIDI MOHAMED</x:v>
      </x:c>
      <x:c r="B253" s="16" t="str">
        <x:v>zaidi@ppmm.com.my</x:v>
      </x:c>
      <x:c r="C253" s="16" t="str">
        <x:v>* myContacts</x:v>
      </x:c>
      <x:c r="D253" s="16" t="str">
        <x:f>"+60104339946"</x:f>
        <x:v>+60104339946</x:v>
      </x:c>
      <x:c r="E253" s="16" t="str">
        <x:f>"+601132007455"</x:f>
        <x:v>+601132007455</x:v>
      </x:c>
      <x:c r="F253" s="16" t="str"/>
    </x:row>
    <x:row r="254">
      <x:c r="A254" s="16" t="str">
        <x:v>ZURAI BINTI ABD RAZAK</x:v>
      </x:c>
      <x:c r="B254" s="16" t="str">
        <x:v>zurai_razak@yahoo.com</x:v>
      </x:c>
      <x:c r="C254" s="16" t="str">
        <x:v>* myContacts</x:v>
      </x:c>
      <x:c r="D254" s="16" t="str">
        <x:f>"+60195558797"</x:f>
        <x:v>+60195558797</x:v>
      </x:c>
      <x:c r="E254" s="16" t="str"/>
      <x:c r="F254" s="1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2" hidden="0" customWidth="1"/>
    <x:col min="4" max="4" width="20" hidden="0" customWidth="1"/>
    <x:col min="5" max="5" width="28" hidden="0" customWidth="1"/>
    <x:col min="6" max="6" width="28" hidden="0" customWidth="1"/>
  </x:cols>
  <x:sheetData>
    <x:row r="1" ht="30" customHeight="1">
      <x:c r="A1" s="3" t="str">
        <x:v>Duplicate Email Records</x:v>
      </x:c>
      <x:c r="B1" s="3"/>
      <x:c r="C1" s="3"/>
      <x:c r="D1" s="3"/>
      <x:c r="E1" s="3"/>
      <x:c r="F1" s="3"/>
    </x:row>
    <x:row r="2" ht="28" customHeight="1">
      <x:c r="A2" s="6" t="str">
        <x:v>Duplicate contacts were merged case-insensitively by normalized email.</x:v>
      </x:c>
      <x:c r="B2" s="6"/>
      <x:c r="C2" s="6"/>
      <x:c r="D2" s="6"/>
      <x:c r="E2" s="6"/>
      <x:c r="F2" s="6"/>
    </x:row>
    <x:row r="4" ht="28" customHeight="1">
      <x:c r="A4" s="12" t="str">
        <x:v>Email</x:v>
      </x:c>
      <x:c r="B4" s="12" t="str">
        <x:v>Source Row</x:v>
      </x:c>
      <x:c r="C4" s="12" t="str">
        <x:v>Name</x:v>
      </x:c>
      <x:c r="D4" s="12" t="str">
        <x:v>Disposition</x:v>
      </x:c>
      <x:c r="E4" s="12" t="str">
        <x:v>Labels</x:v>
      </x:c>
      <x:c r="F4" s="12" t="str">
        <x:v>Normalized Phones</x:v>
      </x:c>
    </x:row>
    <x:row r="5">
      <x:c r="A5" s="16" t="str">
        <x:v>amin@biskut.tv</x:v>
      </x:c>
      <x:c r="B5" s="16" t="n">
        <x:v>719</x:v>
      </x:c>
      <x:c r="C5" s="16" t="str">
        <x:v>Amin Shukry</x:v>
      </x:c>
      <x:c r="D5" s="16" t="str">
        <x:v>Kept as canonical</x:v>
      </x:c>
      <x:c r="E5" s="16" t="str">
        <x:v>* myContacts</x:v>
      </x:c>
      <x:c r="F5" s="16" t="str">
        <x:v>+60195655089 | +60196911821</x:v>
      </x:c>
    </x:row>
    <x:row r="6">
      <x:c r="A6" s="16" t="str">
        <x:v>amin@biskut.tv</x:v>
      </x:c>
      <x:c r="B6" s="16" t="n">
        <x:v>720</x:v>
      </x:c>
      <x:c r="C6" s="16" t="str">
        <x:v>Amin Shukry</x:v>
      </x:c>
      <x:c r="D6" s="16" t="str">
        <x:v>Merged duplicate</x:v>
      </x:c>
      <x:c r="E6" s="16" t="str">
        <x:v>* myContacts</x:v>
      </x:c>
      <x:c r="F6" s="16" t="str">
        <x:v>+60195655089 | +60196911821</x:v>
      </x:c>
    </x:row>
    <x:row r="7">
      <x:c r="A7" s="16" t="str">
        <x:v>shazwan@paktam.com.my</x:v>
      </x:c>
      <x:c r="B7" s="16" t="n">
        <x:v>1560</x:v>
      </x:c>
      <x:c r="C7" s="16" t="str">
        <x:v>CHEF MUHAMMAD SHAZWAN BIN HJ. RUSL\N</x:v>
      </x:c>
      <x:c r="D7" s="16" t="str">
        <x:v>Kept as canonical</x:v>
      </x:c>
      <x:c r="E7" s="16" t="str">
        <x:v>* myContacts</x:v>
      </x:c>
      <x:c r="F7" s="16" t="str">
        <x:v>+60361388388 | +60361271795 | +601128892358 | +60108997936</x:v>
      </x:c>
    </x:row>
    <x:row r="8">
      <x:c r="A8" s="16" t="str">
        <x:v>shazwan@paktam.com.my</x:v>
      </x:c>
      <x:c r="B8" s="16" t="n">
        <x:v>1561</x:v>
      </x:c>
      <x:c r="C8" s="16" t="str">
        <x:v>CHEF MUHAMMAD SHAZWAN BIN HJ. RUSL\N</x:v>
      </x:c>
      <x:c r="D8" s="16" t="str">
        <x:v>Merged duplicate</x:v>
      </x:c>
      <x:c r="E8" s="16" t="str">
        <x:v>* myContacts</x:v>
      </x:c>
      <x:c r="F8" s="16" t="str">
        <x:v>+60361388388 | +60361271795 | +601128892358 | +60108997936</x:v>
      </x:c>
    </x:row>
    <x:row r="9">
      <x:c r="A9" s="16" t="str">
        <x:v>dzarul@teraju.gov.my</x:v>
      </x:c>
      <x:c r="B9" s="16" t="n">
        <x:v>1955</x:v>
      </x:c>
      <x:c r="C9" s="16" t="str">
        <x:v>Dzarul Farhan bin Dzahar</x:v>
      </x:c>
      <x:c r="D9" s="16" t="str">
        <x:v>Kept as canonical</x:v>
      </x:c>
      <x:c r="E9" s="16" t="str">
        <x:v>* myContacts</x:v>
      </x:c>
      <x:c r="F9" s="16" t="str">
        <x:v>+60378398096 | +60194284180 | +60378398000 | +60378398100</x:v>
      </x:c>
    </x:row>
    <x:row r="10">
      <x:c r="A10" s="16" t="str">
        <x:v>dzarul@teraju.gov.my</x:v>
      </x:c>
      <x:c r="B10" s="16" t="n">
        <x:v>1956</x:v>
      </x:c>
      <x:c r="C10" s="16" t="str">
        <x:v>Dzarul Farhan bin Dzahar</x:v>
      </x:c>
      <x:c r="D10" s="16" t="str">
        <x:v>Merged duplicate</x:v>
      </x:c>
      <x:c r="E10" s="16" t="str">
        <x:v>* myContacts</x:v>
      </x:c>
      <x:c r="F10" s="16" t="str">
        <x:v>+60378398096 | +60194284180 | +60378398000 | +60378398100</x:v>
      </x:c>
    </x:row>
    <x:row r="11">
      <x:c r="A11" s="16" t="str">
        <x:v>mustakim.azhan@yahoo.com</x:v>
      </x:c>
      <x:c r="B11" s="16" t="n">
        <x:v>2288</x:v>
      </x:c>
      <x:c r="C11" s="16" t="str">
        <x:v>eu ahmad mustakim 04112023</x:v>
      </x:c>
      <x:c r="D11" s="16" t="str">
        <x:v>Kept as canonical</x:v>
      </x:c>
      <x:c r="E11" s="16" t="str">
        <x:v>* myContacts</x:v>
      </x:c>
      <x:c r="F11" s="16" t="str">
        <x:v>+601338996187 | +60138996187</x:v>
      </x:c>
    </x:row>
    <x:row r="12">
      <x:c r="A12" s="16" t="str">
        <x:v>mustakim.azhan@yahoo.com</x:v>
      </x:c>
      <x:c r="B12" s="16" t="n">
        <x:v>2289</x:v>
      </x:c>
      <x:c r="C12" s="16" t="str">
        <x:v>eu ahmad mustakim 04112023</x:v>
      </x:c>
      <x:c r="D12" s="16" t="str">
        <x:v>Merged duplicate</x:v>
      </x:c>
      <x:c r="E12" s="16" t="str">
        <x:v>Alumni eUsahawan | * myContacts</x:v>
      </x:c>
      <x:c r="F12" s="16" t="str">
        <x:v>+601338996187 | +60138996187</x:v>
      </x:c>
    </x:row>
    <x:row r="13">
      <x:c r="A13" s="16" t="str">
        <x:v>faizal.mhassan@gmail.com</x:v>
      </x:c>
      <x:c r="B13" s="16" t="n">
        <x:v>2571</x:v>
      </x:c>
      <x:c r="C13" s="16" t="str">
        <x:v>Faizal Bin Mohamad Hassan Mukhtar</x:v>
      </x:c>
      <x:c r="D13" s="16" t="str">
        <x:v>Kept as canonical</x:v>
      </x:c>
      <x:c r="E13" s="16" t="str">
        <x:v>* myContacts</x:v>
      </x:c>
      <x:c r="F13" s="16" t="str">
        <x:v>+60361402911 | +60361516095 | +60133883966 | +6086151805</x:v>
      </x:c>
    </x:row>
    <x:row r="14">
      <x:c r="A14" s="16" t="str">
        <x:v>faizal.mhassan@gmail.com</x:v>
      </x:c>
      <x:c r="B14" s="16" t="n">
        <x:v>2572</x:v>
      </x:c>
      <x:c r="C14" s="16" t="str">
        <x:v>Faizal Bin Mohamad Hassan Mukhtar</x:v>
      </x:c>
      <x:c r="D14" s="16" t="str">
        <x:v>Merged duplicate</x:v>
      </x:c>
      <x:c r="E14" s="16" t="str">
        <x:v>* myContacts</x:v>
      </x:c>
      <x:c r="F14" s="16" t="str">
        <x:v>+60361402911 | +60361516095 | +60133883966 | +6086151805</x:v>
      </x:c>
    </x:row>
    <x:row r="15">
      <x:c r="A15" s="16" t="str">
        <x:v>faizal.mhassan@gmail.com</x:v>
      </x:c>
      <x:c r="B15" s="16" t="n">
        <x:v>2578</x:v>
      </x:c>
      <x:c r="C15" s="16" t="str">
        <x:v>Faizal Hassan Student</x:v>
      </x:c>
      <x:c r="D15" s="16" t="str">
        <x:v>Merged duplicate</x:v>
      </x:c>
      <x:c r="E15" s="16" t="str">
        <x:v>* myContacts</x:v>
      </x:c>
      <x:c r="F15" s="16" t="str">
        <x:v>+60133883966 | +60133883966</x:v>
      </x:c>
    </x:row>
    <x:row r="16">
      <x:c r="A16" s="16" t="str">
        <x:v>shahril.myventures@gmail.com</x:v>
      </x:c>
      <x:c r="B16" s="16" t="n">
        <x:v>4642</x:v>
      </x:c>
      <x:c r="C16" s="16" t="str">
        <x:v>Mohd Shahril Shaik Mohd Hussain</x:v>
      </x:c>
      <x:c r="D16" s="16" t="str">
        <x:v>Kept as canonical</x:v>
      </x:c>
      <x:c r="E16" s="16" t="str">
        <x:v>* myContacts</x:v>
      </x:c>
      <x:c r="F16" s="16" t="str">
        <x:v>+60124219000 | +60182211150</x:v>
      </x:c>
    </x:row>
    <x:row r="17">
      <x:c r="A17" s="16" t="str">
        <x:v>shahril.myventures@gmail.com</x:v>
      </x:c>
      <x:c r="B17" s="16" t="n">
        <x:v>4643</x:v>
      </x:c>
      <x:c r="C17" s="16" t="str">
        <x:v>Mohd Shahril Shaik Mohd Hussain</x:v>
      </x:c>
      <x:c r="D17" s="16" t="str">
        <x:v>Merged duplicate</x:v>
      </x:c>
      <x:c r="E17" s="16" t="str">
        <x:v>* myContacts</x:v>
      </x:c>
      <x:c r="F17" s="16" t="str">
        <x:v>+60124219000 | +60182211150</x:v>
      </x:c>
    </x:row>
    <x:row r="18">
      <x:c r="A18" s="16" t="str">
        <x:v>ceoedi@yahoo.com</x:v>
      </x:c>
      <x:c r="B18" s="16" t="n">
        <x:v>5965</x:v>
      </x:c>
      <x:c r="C18" s="16" t="str">
        <x:v>ROSNAH BUANG</x:v>
      </x:c>
      <x:c r="D18" s="16" t="str">
        <x:v>Kept as canonical</x:v>
      </x:c>
      <x:c r="E18" s="16" t="str">
        <x:v>* myContacts</x:v>
      </x:c>
      <x:c r="F18" s="16" t="str">
        <x:v>+60166444116 | +60166444116</x:v>
      </x:c>
    </x:row>
    <x:row r="19">
      <x:c r="A19" s="16" t="str">
        <x:v>ceoedi@yahoo.com</x:v>
      </x:c>
      <x:c r="B19" s="16" t="n">
        <x:v>5966</x:v>
      </x:c>
      <x:c r="C19" s="16" t="str">
        <x:v>ROSNAH BUANG</x:v>
      </x:c>
      <x:c r="D19" s="16" t="str">
        <x:v>Merged duplicate</x:v>
      </x:c>
      <x:c r="E19" s="16" t="str">
        <x:v>* myContacts</x:v>
      </x:c>
      <x:c r="F19" s="16" t="str">
        <x:v>+60166444116 | +60166444116</x:v>
      </x:c>
    </x:row>
    <x:row r="20">
      <x:c r="A20" s="16" t="str">
        <x:v>sapieiabidin@gmail.com</x:v>
      </x:c>
      <x:c r="B20" s="16" t="n">
        <x:v>6108</x:v>
      </x:c>
      <x:c r="C20" s="16" t="str">
        <x:v>Sapiei koop</x:v>
      </x:c>
      <x:c r="D20" s="16" t="str">
        <x:v>Kept as canonical</x:v>
      </x:c>
      <x:c r="E20" s="16" t="str">
        <x:v>* myContacts</x:v>
      </x:c>
      <x:c r="F20" s="16" t="str">
        <x:v>+60122240042</x:v>
      </x:c>
    </x:row>
    <x:row r="21">
      <x:c r="A21" s="16" t="str">
        <x:v>sapieiabidin@gmail.com</x:v>
      </x:c>
      <x:c r="B21" s="16" t="n">
        <x:v>6109</x:v>
      </x:c>
      <x:c r="C21" s="16" t="str">
        <x:v>Sapiei koop</x:v>
      </x:c>
      <x:c r="D21" s="16" t="str">
        <x:v>Merged duplicate</x:v>
      </x:c>
      <x:c r="E21" s="16" t="str">
        <x:v>* myContacts</x:v>
      </x:c>
      <x:c r="F21" s="16" t="str">
        <x:v>+60122240042</x:v>
      </x:c>
    </x:row>
    <x:row r="22">
      <x:c r="A22" s="16" t="str">
        <x:v>pertubuhanmts@gmail.com</x:v>
      </x:c>
      <x:c r="B22" s="16" t="n">
        <x:v>6652</x:v>
      </x:c>
      <x:c r="C22" s="16" t="str">
        <x:v>TUAN TAJUDIN BIN MOHD SAP</x:v>
      </x:c>
      <x:c r="D22" s="16" t="str">
        <x:v>Kept as canonical</x:v>
      </x:c>
      <x:c r="E22" s="16" t="str">
        <x:v>* myContacts</x:v>
      </x:c>
      <x:c r="F22" s="16" t="str">
        <x:v>+60162255270 | +60333411261</x:v>
      </x:c>
    </x:row>
    <x:row r="23">
      <x:c r="A23" s="16" t="str">
        <x:v>pertubuhanmts@gmail.com</x:v>
      </x:c>
      <x:c r="B23" s="16" t="n">
        <x:v>6651</x:v>
      </x:c>
      <x:c r="C23" s="16" t="str">
        <x:v>TAJUDIN BIN MOHD SAP</x:v>
      </x:c>
      <x:c r="D23" s="16" t="str">
        <x:v>Merged duplicate</x:v>
      </x:c>
      <x:c r="E23" s="16" t="str">
        <x:v>* myContacts</x:v>
      </x:c>
      <x:c r="F23" s="16" t="str">
        <x:v>+60162255270 | +60333411261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28" hidden="0" customWidth="1"/>
    <x:col min="5" max="5" width="42" hidden="0" customWidth="1"/>
  </x:cols>
  <x:sheetData>
    <x:row r="1" ht="30" customHeight="1">
      <x:c r="A1" s="3" t="str">
        <x:v>Missing or Invalid Name/Email</x:v>
      </x:c>
      <x:c r="B1" s="3"/>
      <x:c r="C1" s="3"/>
      <x:c r="D1" s="3"/>
      <x:c r="E1" s="3"/>
    </x:row>
    <x:row r="2" ht="28" customHeight="1">
      <x:c r="A2" s="6" t="str">
        <x:v>Excluded from the clean CSV until the listed data issue is corrected.</x:v>
      </x:c>
      <x:c r="B2" s="6"/>
      <x:c r="C2" s="6"/>
      <x:c r="D2" s="6"/>
      <x:c r="E2" s="6"/>
    </x:row>
    <x:row r="4" ht="28" customHeight="1">
      <x:c r="A4" s="12" t="str">
        <x:v>Source Row</x:v>
      </x:c>
      <x:c r="B4" s="12" t="str">
        <x:v>Name</x:v>
      </x:c>
      <x:c r="C4" s="12" t="str">
        <x:v>Raw Emails</x:v>
      </x:c>
      <x:c r="D4" s="12" t="str">
        <x:v>Labels</x:v>
      </x:c>
      <x:c r="E4" s="12" t="str">
        <x:v>Reason</x:v>
      </x:c>
    </x:row>
    <x:row r="5">
      <x:c r="A5" s="16" t="n">
        <x:v>2</x:v>
      </x:c>
      <x:c r="B5" s="16" t="str">
        <x:v>!!ايريس iris</x:v>
      </x:c>
      <x:c r="C5" s="16" t="str"/>
      <x:c r="D5" s="16" t="str">
        <x:v>* myContacts</x:v>
      </x:c>
      <x:c r="E5" s="16" t="str">
        <x:v>Missing email</x:v>
      </x:c>
    </x:row>
    <x:row r="6">
      <x:c r="A6" s="16" t="n">
        <x:v>3</x:v>
      </x:c>
      <x:c r="B6" s="16" t="str">
        <x:v>..Anak anuar</x:v>
      </x:c>
      <x:c r="C6" s="16" t="str"/>
      <x:c r="D6" s="16" t="str">
        <x:v>* myContacts</x:v>
      </x:c>
      <x:c r="E6" s="16" t="str">
        <x:v>Missing email</x:v>
      </x:c>
    </x:row>
    <x:row r="7">
      <x:c r="A7" s="16" t="n">
        <x:v>4</x:v>
      </x:c>
      <x:c r="B7" s="16" t="str">
        <x:v>@Thy KK kok Lanas</x:v>
      </x:c>
      <x:c r="C7" s="16" t="str"/>
      <x:c r="D7" s="16" t="str">
        <x:v>* myContacts</x:v>
      </x:c>
      <x:c r="E7" s="16" t="str">
        <x:v>Missing email</x:v>
      </x:c>
    </x:row>
    <x:row r="8">
      <x:c r="A8" s="16" t="n">
        <x:v>5</x:v>
      </x:c>
      <x:c r="B8" s="16" t="str"/>
      <x:c r="C8" s="16" t="str"/>
      <x:c r="D8" s="16" t="str">
        <x:v>* myContacts</x:v>
      </x:c>
      <x:c r="E8" s="16" t="str">
        <x:v>Missing name; Missing email</x:v>
      </x:c>
    </x:row>
    <x:row r="9">
      <x:c r="A9" s="16" t="n">
        <x:v>6</x:v>
      </x:c>
      <x:c r="B9" s="16" t="str"/>
      <x:c r="C9" s="16" t="str"/>
      <x:c r="D9" s="16" t="str">
        <x:v>* myContacts</x:v>
      </x:c>
      <x:c r="E9" s="16" t="str">
        <x:v>Missing name; Missing email</x:v>
      </x:c>
    </x:row>
    <x:row r="10">
      <x:c r="A10" s="16" t="n">
        <x:v>7</x:v>
      </x:c>
      <x:c r="B10" s="16" t="str"/>
      <x:c r="C10" s="16" t="str"/>
      <x:c r="D10" s="16" t="str">
        <x:v>* myContacts</x:v>
      </x:c>
      <x:c r="E10" s="16" t="str">
        <x:v>Missing name; Missing email</x:v>
      </x:c>
    </x:row>
    <x:row r="11">
      <x:c r="A11" s="16" t="n">
        <x:v>8</x:v>
      </x:c>
      <x:c r="B11" s="16" t="str"/>
      <x:c r="C11" s="16" t="str"/>
      <x:c r="D11" s="16" t="str">
        <x:v>* myContacts</x:v>
      </x:c>
      <x:c r="E11" s="16" t="str">
        <x:v>Missing name; Missing email</x:v>
      </x:c>
    </x:row>
    <x:row r="12">
      <x:c r="A12" s="16" t="n">
        <x:v>9</x:v>
      </x:c>
      <x:c r="B12" s="16" t="str"/>
      <x:c r="C12" s="16" t="str"/>
      <x:c r="D12" s="16" t="str">
        <x:v>* myContacts</x:v>
      </x:c>
      <x:c r="E12" s="16" t="str">
        <x:v>Missing name; Missing email</x:v>
      </x:c>
    </x:row>
    <x:row r="13">
      <x:c r="A13" s="16" t="n">
        <x:v>10</x:v>
      </x:c>
      <x:c r="B13" s="16" t="str"/>
      <x:c r="C13" s="16" t="str"/>
      <x:c r="D13" s="16" t="str">
        <x:v>* myContacts</x:v>
      </x:c>
      <x:c r="E13" s="16" t="str">
        <x:v>Missing name; Missing email</x:v>
      </x:c>
    </x:row>
    <x:row r="14">
      <x:c r="A14" s="16" t="n">
        <x:v>11</x:v>
      </x:c>
      <x:c r="B14" s="16" t="str"/>
      <x:c r="C14" s="16" t="str"/>
      <x:c r="D14" s="16" t="str">
        <x:v>* myContacts</x:v>
      </x:c>
      <x:c r="E14" s="16" t="str">
        <x:v>Missing name; Missing email</x:v>
      </x:c>
    </x:row>
    <x:row r="15">
      <x:c r="A15" s="16" t="n">
        <x:v>12</x:v>
      </x:c>
      <x:c r="B15" s="16" t="str">
        <x:v>pro himah niaga</x:v>
      </x:c>
      <x:c r="C15" s="16" t="str"/>
      <x:c r="D15" s="16" t="str">
        <x:v>* myContacts</x:v>
      </x:c>
      <x:c r="E15" s="16" t="str">
        <x:v>Missing email</x:v>
      </x:c>
    </x:row>
    <x:row r="16">
      <x:c r="A16" s="16" t="n">
        <x:v>13</x:v>
      </x:c>
      <x:c r="B16" s="16" t="str">
        <x:v>~ ARINA Kampung Baru 𝑸𝒂𝒔𝒊𝒎 𝒔𝒉𝒆𝒊𝒌𝒉</x:v>
      </x:c>
      <x:c r="C16" s="16" t="str"/>
      <x:c r="D16" s="16" t="str">
        <x:v>* myContacts</x:v>
      </x:c>
      <x:c r="E16" s="16" t="str">
        <x:v>Missing email</x:v>
      </x:c>
    </x:row>
    <x:row r="17">
      <x:c r="A17" s="16" t="n">
        <x:v>14</x:v>
      </x:c>
      <x:c r="B17" s="16" t="str">
        <x:v>~~!!</x:v>
      </x:c>
      <x:c r="C17" s="16" t="str"/>
      <x:c r="D17" s="16" t="str">
        <x:v>* myContacts</x:v>
      </x:c>
      <x:c r="E17" s="16" t="str">
        <x:v>Missing email</x:v>
      </x:c>
    </x:row>
    <x:row r="18">
      <x:c r="A18" s="16" t="n">
        <x:v>15</x:v>
      </x:c>
      <x:c r="B18" s="16" t="str">
        <x:v>🌹 AMANI</x:v>
      </x:c>
      <x:c r="C18" s="16" t="str"/>
      <x:c r="D18" s="16" t="str">
        <x:v>* myContacts</x:v>
      </x:c>
      <x:c r="E18" s="16" t="str">
        <x:v>Missing email</x:v>
      </x:c>
    </x:row>
    <x:row r="19">
      <x:c r="A19" s="16" t="n">
        <x:v>16</x:v>
      </x:c>
      <x:c r="B19" s="16" t="str">
        <x:v>1 Emak 011</x:v>
      </x:c>
      <x:c r="C19" s="16" t="str"/>
      <x:c r="D19" s="16" t="str">
        <x:v>* myContacts</x:v>
      </x:c>
      <x:c r="E19" s="16" t="str">
        <x:v>Missing email</x:v>
      </x:c>
    </x:row>
    <x:row r="20">
      <x:c r="A20" s="16" t="n">
        <x:v>17</x:v>
      </x:c>
      <x:c r="B20" s="16" t="str">
        <x:v>1 Emak 011</x:v>
      </x:c>
      <x:c r="C20" s="16" t="str"/>
      <x:c r="D20" s="16" t="str">
        <x:v>* myContacts</x:v>
      </x:c>
      <x:c r="E20" s="16" t="str">
        <x:v>Missing email</x:v>
      </x:c>
    </x:row>
    <x:row r="21">
      <x:c r="A21" s="16" t="n">
        <x:v>18</x:v>
      </x:c>
      <x:c r="B21" s="16" t="str">
        <x:v>21052019anaanak2raihanpros</x:v>
      </x:c>
      <x:c r="C21" s="16" t="str"/>
      <x:c r="D21" s="16" t="str">
        <x:v>* myContacts</x:v>
      </x:c>
      <x:c r="E21" s="16" t="str">
        <x:v>Missing email</x:v>
      </x:c>
    </x:row>
    <x:row r="22">
      <x:c r="A22" s="16" t="n">
        <x:v>19</x:v>
      </x:c>
      <x:c r="B22" s="16" t="str">
        <x:v>21052019nanianak2raihan</x:v>
      </x:c>
      <x:c r="C22" s="16" t="str"/>
      <x:c r="D22" s="16" t="str">
        <x:v>* myContacts</x:v>
      </x:c>
      <x:c r="E22" s="16" t="str">
        <x:v>Missing email</x:v>
      </x:c>
    </x:row>
    <x:row r="23">
      <x:c r="A23" s="16" t="n">
        <x:v>20</x:v>
      </x:c>
      <x:c r="B23" s="16" t="str">
        <x:v>21052019noriahanak2raihanpros</x:v>
      </x:c>
      <x:c r="C23" s="16" t="str"/>
      <x:c r="D23" s="16" t="str">
        <x:v>* myContacts</x:v>
      </x:c>
      <x:c r="E23" s="16" t="str">
        <x:v>Missing email</x:v>
      </x:c>
    </x:row>
    <x:row r="24">
      <x:c r="A24" s="16" t="n">
        <x:v>21</x:v>
      </x:c>
      <x:c r="B24" s="16" t="str">
        <x:v>21052019prosAanak2raihanpros</x:v>
      </x:c>
      <x:c r="C24" s="16" t="str"/>
      <x:c r="D24" s="16" t="str">
        <x:v>* myContacts</x:v>
      </x:c>
      <x:c r="E24" s="16" t="str">
        <x:v>Missing email</x:v>
      </x:c>
    </x:row>
    <x:row r="25">
      <x:c r="A25" s="16" t="n">
        <x:v>22</x:v>
      </x:c>
      <x:c r="B25" s="16" t="str">
        <x:v>21052019prosBanak2raihanpros</x:v>
      </x:c>
      <x:c r="C25" s="16" t="str"/>
      <x:c r="D25" s="16" t="str">
        <x:v>* myContacts</x:v>
      </x:c>
      <x:c r="E25" s="16" t="str">
        <x:v>Missing email</x:v>
      </x:c>
    </x:row>
    <x:row r="26">
      <x:c r="A26" s="16" t="n">
        <x:v>23</x:v>
      </x:c>
      <x:c r="B26" s="16" t="str">
        <x:v>21052019prosCanak2raihanpros</x:v>
      </x:c>
      <x:c r="C26" s="16" t="str"/>
      <x:c r="D26" s="16" t="str">
        <x:v>* myContacts</x:v>
      </x:c>
      <x:c r="E26" s="16" t="str">
        <x:v>Missing email</x:v>
      </x:c>
    </x:row>
    <x:row r="27">
      <x:c r="A27" s="16" t="n">
        <x:v>24</x:v>
      </x:c>
      <x:c r="B27" s="16" t="str">
        <x:v>21052019ProsDanak2raihanpros</x:v>
      </x:c>
      <x:c r="C27" s="16" t="str"/>
      <x:c r="D27" s="16" t="str">
        <x:v>* myContacts</x:v>
      </x:c>
      <x:c r="E27" s="16" t="str">
        <x:v>Missing email</x:v>
      </x:c>
    </x:row>
    <x:row r="28">
      <x:c r="A28" s="16" t="n">
        <x:v>25</x:v>
      </x:c>
      <x:c r="B28" s="16" t="str">
        <x:v>21052019prosEanak2raihanpros</x:v>
      </x:c>
      <x:c r="C28" s="16" t="str"/>
      <x:c r="D28" s="16" t="str">
        <x:v>* myContacts</x:v>
      </x:c>
      <x:c r="E28" s="16" t="str">
        <x:v>Missing email</x:v>
      </x:c>
    </x:row>
    <x:row r="29">
      <x:c r="A29" s="16" t="n">
        <x:v>26</x:v>
      </x:c>
      <x:c r="B29" s="16" t="str">
        <x:v>21052019ProsJanak2raihanpros</x:v>
      </x:c>
      <x:c r="C29" s="16" t="str"/>
      <x:c r="D29" s="16" t="str">
        <x:v>* myContacts</x:v>
      </x:c>
      <x:c r="E29" s="16" t="str">
        <x:v>Missing email</x:v>
      </x:c>
    </x:row>
    <x:row r="30">
      <x:c r="A30" s="16" t="n">
        <x:v>27</x:v>
      </x:c>
      <x:c r="B30" s="16" t="str">
        <x:v>21052019ProsKanak2raihanpros</x:v>
      </x:c>
      <x:c r="C30" s="16" t="str"/>
      <x:c r="D30" s="16" t="str">
        <x:v>* myContacts</x:v>
      </x:c>
      <x:c r="E30" s="16" t="str">
        <x:v>Missing email</x:v>
      </x:c>
    </x:row>
    <x:row r="31">
      <x:c r="A31" s="16" t="n">
        <x:v>28</x:v>
      </x:c>
      <x:c r="B31" s="16" t="str">
        <x:v>21052019ProsLanak2raihanpros</x:v>
      </x:c>
      <x:c r="C31" s="16" t="str"/>
      <x:c r="D31" s="16" t="str">
        <x:v>* myContacts</x:v>
      </x:c>
      <x:c r="E31" s="16" t="str">
        <x:v>Missing email</x:v>
      </x:c>
    </x:row>
    <x:row r="32">
      <x:c r="A32" s="16" t="n">
        <x:v>29</x:v>
      </x:c>
      <x:c r="B32" s="16" t="str">
        <x:v>21052019prosManak2raihanpros</x:v>
      </x:c>
      <x:c r="C32" s="16" t="str"/>
      <x:c r="D32" s="16" t="str">
        <x:v>* myContacts</x:v>
      </x:c>
      <x:c r="E32" s="16" t="str">
        <x:v>Missing email</x:v>
      </x:c>
    </x:row>
    <x:row r="33">
      <x:c r="A33" s="16" t="n">
        <x:v>30</x:v>
      </x:c>
      <x:c r="B33" s="16" t="str">
        <x:v>21052019sitianakanakraihanpros</x:v>
      </x:c>
      <x:c r="C33" s="16" t="str"/>
      <x:c r="D33" s="16" t="str">
        <x:v>* myContacts</x:v>
      </x:c>
      <x:c r="E33" s="16" t="str">
        <x:v>Missing email</x:v>
      </x:c>
    </x:row>
    <x:row r="34">
      <x:c r="A34" s="16" t="n">
        <x:v>31</x:v>
      </x:c>
      <x:c r="B34" s="16" t="str">
        <x:v>21052019sitianakraihanpros</x:v>
      </x:c>
      <x:c r="C34" s="16" t="str"/>
      <x:c r="D34" s="16" t="str">
        <x:v>* myContacts</x:v>
      </x:c>
      <x:c r="E34" s="16" t="str">
        <x:v>Missing email</x:v>
      </x:c>
    </x:row>
    <x:row r="35">
      <x:c r="A35" s="16" t="n">
        <x:v>32</x:v>
      </x:c>
      <x:c r="B35" s="16" t="str">
        <x:v>A Amir Suami Kak Sofie</x:v>
      </x:c>
      <x:c r="C35" s="16" t="str"/>
      <x:c r="D35" s="16" t="str">
        <x:v>* myContacts</x:v>
      </x:c>
      <x:c r="E35" s="16" t="str">
        <x:v>Missing email</x:v>
      </x:c>
    </x:row>
    <x:row r="36">
      <x:c r="A36" s="16" t="n">
        <x:v>33</x:v>
      </x:c>
      <x:c r="B36" s="16" t="str">
        <x:v>A malik Sambal Samba</x:v>
      </x:c>
      <x:c r="C36" s="16" t="str"/>
      <x:c r="D36" s="16" t="str">
        <x:v>* myContacts</x:v>
      </x:c>
      <x:c r="E36" s="16" t="str">
        <x:v>Missing email</x:v>
      </x:c>
    </x:row>
    <x:row r="37">
      <x:c r="A37" s="16" t="n">
        <x:v>34</x:v>
      </x:c>
      <x:c r="B37" s="16" t="str">
        <x:v>A Yantea Suzan</x:v>
      </x:c>
      <x:c r="C37" s="16" t="str"/>
      <x:c r="D37" s="16" t="str">
        <x:v>* myContacts</x:v>
      </x:c>
      <x:c r="E37" s="16" t="str">
        <x:v>Missing email</x:v>
      </x:c>
    </x:row>
    <x:row r="38">
      <x:c r="A38" s="16" t="n">
        <x:v>35</x:v>
      </x:c>
      <x:c r="B38" s="16" t="str">
        <x:v>Aaf</x:v>
      </x:c>
      <x:c r="C38" s="16" t="str"/>
      <x:c r="D38" s="16" t="str">
        <x:v>* myContacts</x:v>
      </x:c>
      <x:c r="E38" s="16" t="str">
        <x:v>Missing email</x:v>
      </x:c>
    </x:row>
    <x:row r="39">
      <x:c r="A39" s="16" t="n">
        <x:v>36</x:v>
      </x:c>
      <x:c r="B39" s="16" t="str">
        <x:v>Aam Aircorn</x:v>
      </x:c>
      <x:c r="C39" s="16" t="str"/>
      <x:c r="D39" s="16" t="str">
        <x:v>* myContacts</x:v>
      </x:c>
      <x:c r="E39" s="16" t="str">
        <x:v>Missing email</x:v>
      </x:c>
    </x:row>
    <x:row r="40">
      <x:c r="A40" s="16" t="n">
        <x:v>37</x:v>
      </x:c>
      <x:c r="B40" s="16" t="str">
        <x:v>Aamal Iema</x:v>
      </x:c>
      <x:c r="C40" s="16" t="str"/>
      <x:c r="D40" s="16" t="str">
        <x:v>* myContacts</x:v>
      </x:c>
      <x:c r="E40" s="16" t="str">
        <x:v>Missing email</x:v>
      </x:c>
    </x:row>
    <x:row r="41">
      <x:c r="A41" s="16" t="n">
        <x:v>38</x:v>
      </x:c>
      <x:c r="B41" s="16" t="str">
        <x:v>Aamuhamad Ikhtiaruddin</x:v>
      </x:c>
      <x:c r="C41" s="16" t="str"/>
      <x:c r="D41" s="16" t="str">
        <x:v>* myContacts</x:v>
      </x:c>
      <x:c r="E41" s="16" t="str">
        <x:v>Missing email</x:v>
      </x:c>
    </x:row>
    <x:row r="42">
      <x:c r="A42" s="16" t="n">
        <x:v>39</x:v>
      </x:c>
      <x:c r="B42" s="16" t="str">
        <x:v>Aan Putra</x:v>
      </x:c>
      <x:c r="C42" s="16" t="str"/>
      <x:c r="D42" s="16" t="str">
        <x:v>* myContacts</x:v>
      </x:c>
      <x:c r="E42" s="16" t="str">
        <x:v>Missing email</x:v>
      </x:c>
    </x:row>
    <x:row r="43">
      <x:c r="A43" s="16" t="n">
        <x:v>40</x:v>
      </x:c>
      <x:c r="B43" s="16" t="str">
        <x:v>Aaryya Gurung</x:v>
      </x:c>
      <x:c r="C43" s="16" t="str"/>
      <x:c r="D43" s="16" t="str">
        <x:v>* myContacts</x:v>
      </x:c>
      <x:c r="E43" s="16" t="str">
        <x:v>Missing email</x:v>
      </x:c>
    </x:row>
    <x:row r="44">
      <x:c r="A44" s="16" t="n">
        <x:v>41</x:v>
      </x:c>
      <x:c r="B44" s="16" t="str">
        <x:v>Ab Sepet</x:v>
      </x:c>
      <x:c r="C44" s="16" t="str"/>
      <x:c r="D44" s="16" t="str">
        <x:v>* myContacts</x:v>
      </x:c>
      <x:c r="E44" s="16" t="str">
        <x:v>Missing email</x:v>
      </x:c>
    </x:row>
    <x:row r="45">
      <x:c r="A45" s="16" t="n">
        <x:v>42</x:v>
      </x:c>
      <x:c r="B45" s="16" t="str">
        <x:v>Abadi Tours Bukittinggi</x:v>
      </x:c>
      <x:c r="C45" s="16" t="str"/>
      <x:c r="D45" s="16" t="str">
        <x:v>* myContacts</x:v>
      </x:c>
      <x:c r="E45" s="16" t="str">
        <x:v>Missing email</x:v>
      </x:c>
    </x:row>
    <x:row r="46">
      <x:c r="A46" s="16" t="n">
        <x:v>43</x:v>
      </x:c>
      <x:c r="B46" s="16" t="str">
        <x:v>Abah Angkat RB Ahmad</x:v>
      </x:c>
      <x:c r="C46" s="16" t="str"/>
      <x:c r="D46" s="16" t="str">
        <x:v>* myContacts</x:v>
      </x:c>
      <x:c r="E46" s="16" t="str">
        <x:v>Missing email</x:v>
      </x:c>
    </x:row>
    <x:row r="47">
      <x:c r="A47" s="16" t="n">
        <x:v>44</x:v>
      </x:c>
      <x:c r="B47" s="16" t="str">
        <x:v>Abamsir Encer</x:v>
      </x:c>
      <x:c r="C47" s="16" t="str"/>
      <x:c r="D47" s="16" t="str">
        <x:v>* myContacts</x:v>
      </x:c>
      <x:c r="E47" s="16" t="str">
        <x:v>Missing email</x:v>
      </x:c>
    </x:row>
    <x:row r="48">
      <x:c r="A48" s="16" t="n">
        <x:v>45</x:v>
      </x:c>
      <x:c r="B48" s="16" t="str">
        <x:v>Abang Abu Tok Guru</x:v>
      </x:c>
      <x:c r="C48" s="16" t="str"/>
      <x:c r="D48" s="16" t="str">
        <x:v>* myContacts</x:v>
      </x:c>
      <x:c r="E48" s="16" t="str">
        <x:v>Missing email</x:v>
      </x:c>
    </x:row>
    <x:row r="49">
      <x:c r="A49" s="16" t="n">
        <x:v>46</x:v>
      </x:c>
      <x:c r="B49" s="16" t="str">
        <x:v>Abang Hanafiah XOX</x:v>
      </x:c>
      <x:c r="C49" s="16" t="str"/>
      <x:c r="D49" s="16" t="str">
        <x:v>* myContacts</x:v>
      </x:c>
      <x:c r="E49" s="16" t="str">
        <x:v>Missing email</x:v>
      </x:c>
    </x:row>
    <x:row r="50">
      <x:c r="A50" s="16" t="n">
        <x:v>47</x:v>
      </x:c>
      <x:c r="B50" s="16" t="str">
        <x:v>Abang Indra Tukang Rumah</x:v>
      </x:c>
      <x:c r="C50" s="16" t="str"/>
      <x:c r="D50" s="16" t="str">
        <x:v>* myContacts</x:v>
      </x:c>
      <x:c r="E50" s="16" t="str">
        <x:v>Missing email</x:v>
      </x:c>
    </x:row>
    <x:row r="51">
      <x:c r="A51" s="16" t="n">
        <x:v>48</x:v>
      </x:c>
      <x:c r="B51" s="16" t="str">
        <x:v>Abang Kamilidris AJK Masjid</x:v>
      </x:c>
      <x:c r="C51" s="16" t="str"/>
      <x:c r="D51" s="16" t="str">
        <x:v>* myContacts</x:v>
      </x:c>
      <x:c r="E51" s="16" t="str">
        <x:v>Missing email</x:v>
      </x:c>
    </x:row>
    <x:row r="52">
      <x:c r="A52" s="16" t="n">
        <x:v>50</x:v>
      </x:c>
      <x:c r="B52" s="16" t="str">
        <x:v>Abang Mie</x:v>
      </x:c>
      <x:c r="C52" s="16" t="str"/>
      <x:c r="D52" s="16" t="str">
        <x:v>* myContacts</x:v>
      </x:c>
      <x:c r="E52" s="16" t="str">
        <x:v>Missing email</x:v>
      </x:c>
    </x:row>
    <x:row r="53">
      <x:c r="A53" s="16" t="n">
        <x:v>51</x:v>
      </x:c>
      <x:c r="B53" s="16" t="str">
        <x:v>Abang Saat</x:v>
      </x:c>
      <x:c r="C53" s="16" t="str"/>
      <x:c r="D53" s="16" t="str">
        <x:v>* myContacts</x:v>
      </x:c>
      <x:c r="E53" s="16" t="str">
        <x:v>Missing email</x:v>
      </x:c>
    </x:row>
    <x:row r="54">
      <x:c r="A54" s="16" t="n">
        <x:v>52</x:v>
      </x:c>
      <x:c r="B54" s="16" t="str">
        <x:v>Abang Ujang Kedai Halfcut</x:v>
      </x:c>
      <x:c r="C54" s="16" t="str"/>
      <x:c r="D54" s="16" t="str">
        <x:v>* myContacts</x:v>
      </x:c>
      <x:c r="E54" s="16" t="str">
        <x:v>Missing email</x:v>
      </x:c>
    </x:row>
    <x:row r="55">
      <x:c r="A55" s="16" t="n">
        <x:v>53</x:v>
      </x:c>
      <x:c r="B55" s="16" t="str">
        <x:v>Abang Wan</x:v>
      </x:c>
      <x:c r="C55" s="16" t="str"/>
      <x:c r="D55" s="16" t="str">
        <x:v>* myContacts</x:v>
      </x:c>
      <x:c r="E55" s="16" t="str">
        <x:v>Missing email</x:v>
      </x:c>
    </x:row>
    <x:row r="56">
      <x:c r="A56" s="16" t="n">
        <x:v>54</x:v>
      </x:c>
      <x:c r="B56" s="16" t="str">
        <x:v>AbAs Acuw</x:v>
      </x:c>
      <x:c r="C56" s="16" t="str"/>
      <x:c r="D56" s="16" t="str">
        <x:v>* myContacts</x:v>
      </x:c>
      <x:c r="E56" s="16" t="str">
        <x:v>Missing email</x:v>
      </x:c>
    </x:row>
    <x:row r="57">
      <x:c r="A57" s="16" t="n">
        <x:v>55</x:v>
      </x:c>
      <x:c r="B57" s="16" t="str">
        <x:v>Abban Ummih Ummih Ishaq</x:v>
      </x:c>
      <x:c r="C57" s="16" t="str"/>
      <x:c r="D57" s="16" t="str">
        <x:v>* myContacts</x:v>
      </x:c>
      <x:c r="E57" s="16" t="str">
        <x:v>Missing email</x:v>
      </x:c>
    </x:row>
    <x:row r="58">
      <x:c r="A58" s="16" t="n">
        <x:v>56</x:v>
      </x:c>
      <x:c r="B58" s="16" t="str">
        <x:v>Abby SUK Puteri Umno</x:v>
      </x:c>
      <x:c r="C58" s="16" t="str"/>
      <x:c r="D58" s="16" t="str">
        <x:v>* myContacts</x:v>
      </x:c>
      <x:c r="E58" s="16" t="str">
        <x:v>Missing email</x:v>
      </x:c>
    </x:row>
    <x:row r="59">
      <x:c r="A59" s="16" t="n">
        <x:v>57</x:v>
      </x:c>
      <x:c r="B59" s="16" t="str">
        <x:v>Abd Aamir</x:v>
      </x:c>
      <x:c r="C59" s="16" t="str"/>
      <x:c r="D59" s="16" t="str">
        <x:v>* myContacts</x:v>
      </x:c>
      <x:c r="E59" s="16" t="str">
        <x:v>Missing email</x:v>
      </x:c>
    </x:row>
    <x:row r="60">
      <x:c r="A60" s="16" t="n">
        <x:v>58</x:v>
      </x:c>
      <x:c r="B60" s="16" t="str">
        <x:v>Abd Bashir Abd Rashid</x:v>
      </x:c>
      <x:c r="C60" s="16" t="str"/>
      <x:c r="D60" s="16" t="str">
        <x:v>* myContacts</x:v>
      </x:c>
      <x:c r="E60" s="16" t="str">
        <x:v>Missing email</x:v>
      </x:c>
    </x:row>
    <x:row r="61">
      <x:c r="A61" s="16" t="n">
        <x:v>59</x:v>
      </x:c>
      <x:c r="B61" s="16" t="str">
        <x:v>Abd Ghani Yunus AGP</x:v>
      </x:c>
      <x:c r="C61" s="16" t="str"/>
      <x:c r="D61" s="16" t="str">
        <x:v>* myContacts</x:v>
      </x:c>
      <x:c r="E61" s="16" t="str">
        <x:v>Missing email</x:v>
      </x:c>
    </x:row>
    <x:row r="62">
      <x:c r="A62" s="16" t="n">
        <x:v>60</x:v>
      </x:c>
      <x:c r="B62" s="16" t="str">
        <x:v>Abd Halim</x:v>
      </x:c>
      <x:c r="C62" s="16" t="str"/>
      <x:c r="D62" s="16" t="str">
        <x:v>* myContacts</x:v>
      </x:c>
      <x:c r="E62" s="16" t="str">
        <x:v>Missing email</x:v>
      </x:c>
    </x:row>
    <x:row r="63">
      <x:c r="A63" s="16" t="n">
        <x:v>61</x:v>
      </x:c>
      <x:c r="B63" s="16" t="str">
        <x:v>Abd Halim AGP</x:v>
      </x:c>
      <x:c r="C63" s="16" t="str"/>
      <x:c r="D63" s="16" t="str">
        <x:v>* myContacts</x:v>
      </x:c>
      <x:c r="E63" s="16" t="str">
        <x:v>Missing email</x:v>
      </x:c>
    </x:row>
    <x:row r="64">
      <x:c r="A64" s="16" t="n">
        <x:v>62</x:v>
      </x:c>
      <x:c r="B64" s="16" t="str">
        <x:v>Abd Kadir AGP</x:v>
      </x:c>
      <x:c r="C64" s="16" t="str"/>
      <x:c r="D64" s="16" t="str">
        <x:v>* myContacts</x:v>
      </x:c>
      <x:c r="E64" s="16" t="str">
        <x:v>Missing email</x:v>
      </x:c>
    </x:row>
    <x:row r="65">
      <x:c r="A65" s="16" t="n">
        <x:v>63</x:v>
      </x:c>
      <x:c r="B65" s="16" t="str">
        <x:v>Abd Latif Plumbing</x:v>
      </x:c>
      <x:c r="C65" s="16" t="str"/>
      <x:c r="D65" s="16" t="str">
        <x:v>* myContacts</x:v>
      </x:c>
      <x:c r="E65" s="16" t="str">
        <x:v>Missing email</x:v>
      </x:c>
    </x:row>
    <x:row r="66">
      <x:c r="A66" s="16" t="n">
        <x:v>65</x:v>
      </x:c>
      <x:c r="B66" s="16" t="str">
        <x:v>Abd Rahman Seman</x:v>
      </x:c>
      <x:c r="C66" s="16" t="str"/>
      <x:c r="D66" s="16" t="str">
        <x:v>* myContacts</x:v>
      </x:c>
      <x:c r="E66" s="16" t="str">
        <x:v>Missing email</x:v>
      </x:c>
    </x:row>
    <x:row r="67">
      <x:c r="A67" s="16" t="n">
        <x:v>66</x:v>
      </x:c>
      <x:c r="B67" s="16" t="str">
        <x:v>Abd Rasid Mohd Sawai</x:v>
      </x:c>
      <x:c r="C67" s="16" t="str"/>
      <x:c r="D67" s="16" t="str">
        <x:v>* myContacts</x:v>
      </x:c>
      <x:c r="E67" s="16" t="str">
        <x:v>Missing email</x:v>
      </x:c>
    </x:row>
    <x:row r="68">
      <x:c r="A68" s="16" t="n">
        <x:v>67</x:v>
      </x:c>
      <x:c r="B68" s="16" t="str">
        <x:v>Abd Salam</x:v>
      </x:c>
      <x:c r="C68" s="16" t="str"/>
      <x:c r="D68" s="16" t="str">
        <x:v>* myContacts</x:v>
      </x:c>
      <x:c r="E68" s="16" t="str">
        <x:v>Missing email</x:v>
      </x:c>
    </x:row>
    <x:row r="69">
      <x:c r="A69" s="16" t="n">
        <x:v>68</x:v>
      </x:c>
      <x:c r="B69" s="16" t="str">
        <x:v>Abd Samad Bin Abd Rashid Khairi Agent AGP</x:v>
      </x:c>
      <x:c r="C69" s="16" t="str"/>
      <x:c r="D69" s="16" t="str">
        <x:v>* myContacts</x:v>
      </x:c>
      <x:c r="E69" s="16" t="str">
        <x:v>Missing email</x:v>
      </x:c>
    </x:row>
    <x:row r="70">
      <x:c r="A70" s="16" t="n">
        <x:v>69</x:v>
      </x:c>
      <x:c r="B70" s="16" t="str">
        <x:v>Abd Shukor</x:v>
      </x:c>
      <x:c r="C70" s="16" t="str"/>
      <x:c r="D70" s="16" t="str">
        <x:v>* myContacts</x:v>
      </x:c>
      <x:c r="E70" s="16" t="str">
        <x:v>Missing email</x:v>
      </x:c>
    </x:row>
    <x:row r="71">
      <x:c r="A71" s="16" t="n">
        <x:v>70</x:v>
      </x:c>
      <x:c r="B71" s="16" t="str">
        <x:v>Abd's Syackur CowBoy'n</x:v>
      </x:c>
      <x:c r="C71" s="16" t="str"/>
      <x:c r="D71" s="16" t="str">
        <x:v>* myContacts</x:v>
      </x:c>
      <x:c r="E71" s="16" t="str">
        <x:v>Missing email</x:v>
      </x:c>
    </x:row>
    <x:row r="72">
      <x:c r="A72" s="16" t="n">
        <x:v>71</x:v>
      </x:c>
      <x:c r="B72" s="16" t="str">
        <x:v>Abdel Jabbar</x:v>
      </x:c>
      <x:c r="C72" s="16" t="str"/>
      <x:c r="D72" s="16" t="str">
        <x:v>* myContacts</x:v>
      </x:c>
      <x:c r="E72" s="16" t="str">
        <x:v>Missing email</x:v>
      </x:c>
    </x:row>
    <x:row r="73">
      <x:c r="A73" s="16" t="n">
        <x:v>72</x:v>
      </x:c>
      <x:c r="B73" s="16" t="str">
        <x:v>Abdl-khadir Abdl-aziz Abu-sa'id Abdl-aziz Abu-sa'id Al-khudri</x:v>
      </x:c>
      <x:c r="C73" s="16" t="str"/>
      <x:c r="D73" s="16" t="str">
        <x:v>* myContacts</x:v>
      </x:c>
      <x:c r="E73" s="16" t="str">
        <x:v>Missing email</x:v>
      </x:c>
    </x:row>
    <x:row r="74">
      <x:c r="A74" s="16" t="n">
        <x:v>73</x:v>
      </x:c>
      <x:c r="B74" s="16" t="str">
        <x:v>Abdo El Hachimi</x:v>
      </x:c>
      <x:c r="C74" s="16" t="str"/>
      <x:c r="D74" s="16" t="str">
        <x:v>* myContacts</x:v>
      </x:c>
      <x:c r="E74" s="16" t="str">
        <x:v>Missing email</x:v>
      </x:c>
    </x:row>
    <x:row r="75">
      <x:c r="A75" s="16" t="n">
        <x:v>74</x:v>
      </x:c>
      <x:c r="B75" s="16" t="str">
        <x:v>Abdrahimani Takaful</x:v>
      </x:c>
      <x:c r="C75" s="16" t="str"/>
      <x:c r="D75" s="16" t="str">
        <x:v>* myContacts</x:v>
      </x:c>
      <x:c r="E75" s="16" t="str">
        <x:v>Missing email</x:v>
      </x:c>
    </x:row>
    <x:row r="76">
      <x:c r="A76" s="16" t="n">
        <x:v>75</x:v>
      </x:c>
      <x:c r="B76" s="16" t="str">
        <x:v>Abdul Azim</x:v>
      </x:c>
      <x:c r="C76" s="16" t="str"/>
      <x:c r="D76" s="16" t="str">
        <x:v>* myContacts</x:v>
      </x:c>
      <x:c r="E76" s="16" t="str">
        <x:v>Missing email</x:v>
      </x:c>
    </x:row>
    <x:row r="77">
      <x:c r="A77" s="16" t="n">
        <x:v>76</x:v>
      </x:c>
      <x:c r="B77" s="16" t="str">
        <x:v>Abdul Aziz</x:v>
      </x:c>
      <x:c r="C77" s="16" t="str"/>
      <x:c r="D77" s="16" t="str">
        <x:v>* myContacts</x:v>
      </x:c>
      <x:c r="E77" s="16" t="str">
        <x:v>Missing email</x:v>
      </x:c>
    </x:row>
    <x:row r="78">
      <x:c r="A78" s="16" t="n">
        <x:v>77</x:v>
      </x:c>
      <x:c r="B78" s="16" t="str">
        <x:v>Abdul Aziz Ahmad</x:v>
      </x:c>
      <x:c r="C78" s="16" t="str"/>
      <x:c r="D78" s="16" t="str">
        <x:v>* myContacts</x:v>
      </x:c>
      <x:c r="E78" s="16" t="str">
        <x:v>Missing email</x:v>
      </x:c>
    </x:row>
    <x:row r="79">
      <x:c r="A79" s="16" t="n">
        <x:v>78</x:v>
      </x:c>
      <x:c r="B79" s="16" t="str">
        <x:v>Abdul Basiq</x:v>
      </x:c>
      <x:c r="C79" s="16" t="str"/>
      <x:c r="D79" s="16" t="str">
        <x:v>* myContacts</x:v>
      </x:c>
      <x:c r="E79" s="16" t="str">
        <x:v>Missing email</x:v>
      </x:c>
    </x:row>
    <x:row r="80">
      <x:c r="A80" s="16" t="n">
        <x:v>79</x:v>
      </x:c>
      <x:c r="B80" s="16" t="str">
        <x:v>Abdul Basit Just Sengat</x:v>
      </x:c>
      <x:c r="C80" s="16" t="str"/>
      <x:c r="D80" s="16" t="str">
        <x:v>* myContacts</x:v>
      </x:c>
      <x:c r="E80" s="16" t="str">
        <x:v>Missing email</x:v>
      </x:c>
    </x:row>
    <x:row r="81">
      <x:c r="A81" s="16" t="n">
        <x:v>80</x:v>
      </x:c>
      <x:c r="B81" s="16" t="str">
        <x:v>Abdul Fatah Abdul Halim</x:v>
      </x:c>
      <x:c r="C81" s="16" t="str"/>
      <x:c r="D81" s="16" t="str">
        <x:v>* myContacts</x:v>
      </x:c>
      <x:c r="E81" s="16" t="str">
        <x:v>Missing email</x:v>
      </x:c>
    </x:row>
    <x:row r="82">
      <x:c r="A82" s="16" t="n">
        <x:v>81</x:v>
      </x:c>
      <x:c r="B82" s="16" t="str">
        <x:v>Abdul Fuad</x:v>
      </x:c>
      <x:c r="C82" s="16" t="str"/>
      <x:c r="D82" s="16" t="str">
        <x:v>* myContacts</x:v>
      </x:c>
      <x:c r="E82" s="16" t="str">
        <x:v>Missing email</x:v>
      </x:c>
    </x:row>
    <x:row r="83">
      <x:c r="A83" s="16" t="n">
        <x:v>82</x:v>
      </x:c>
      <x:c r="B83" s="16" t="str">
        <x:v>Abdul Hakim</x:v>
      </x:c>
      <x:c r="C83" s="16" t="str"/>
      <x:c r="D83" s="16" t="str">
        <x:v>* myContacts</x:v>
      </x:c>
      <x:c r="E83" s="16" t="str">
        <x:v>Missing email</x:v>
      </x:c>
    </x:row>
    <x:row r="84">
      <x:c r="A84" s="16" t="n">
        <x:v>83</x:v>
      </x:c>
      <x:c r="B84" s="16" t="str">
        <x:v>Abdul Halim AirCond</x:v>
      </x:c>
      <x:c r="C84" s="16" t="str"/>
      <x:c r="D84" s="16" t="str">
        <x:v>* myContacts</x:v>
      </x:c>
      <x:c r="E84" s="16" t="str">
        <x:v>Missing email</x:v>
      </x:c>
    </x:row>
    <x:row r="85">
      <x:c r="A85" s="16" t="n">
        <x:v>84</x:v>
      </x:c>
      <x:c r="B85" s="16" t="str">
        <x:v>Abdul Halim Yayasan Wakaf</x:v>
      </x:c>
      <x:c r="C85" s="16" t="str"/>
      <x:c r="D85" s="16" t="str">
        <x:v>* myContacts</x:v>
      </x:c>
      <x:c r="E85" s="16" t="str">
        <x:v>Missing email</x:v>
      </x:c>
    </x:row>
    <x:row r="86">
      <x:c r="A86" s="16" t="n">
        <x:v>85</x:v>
      </x:c>
      <x:c r="B86" s="16" t="str">
        <x:v>Abdul Jabar Awang</x:v>
      </x:c>
      <x:c r="C86" s="16" t="str"/>
      <x:c r="D86" s="16" t="str">
        <x:v>* myContacts</x:v>
      </x:c>
      <x:c r="E86" s="16" t="str">
        <x:v>Missing email</x:v>
      </x:c>
    </x:row>
    <x:row r="87">
      <x:c r="A87" s="16" t="n">
        <x:v>86</x:v>
      </x:c>
      <x:c r="B87" s="16" t="str">
        <x:v>Abdul Jabbar Abd Aziz</x:v>
      </x:c>
      <x:c r="C87" s="16" t="str"/>
      <x:c r="D87" s="16" t="str">
        <x:v>* myContacts</x:v>
      </x:c>
      <x:c r="E87" s="16" t="str">
        <x:v>Missing email</x:v>
      </x:c>
    </x:row>
    <x:row r="88">
      <x:c r="A88" s="16" t="n">
        <x:v>87</x:v>
      </x:c>
      <x:c r="B88" s="16" t="str">
        <x:v>Abdul Japar Judin</x:v>
      </x:c>
      <x:c r="C88" s="16" t="str"/>
      <x:c r="D88" s="16" t="str">
        <x:v>* myContacts</x:v>
      </x:c>
      <x:c r="E88" s="16" t="str">
        <x:v>Missing email</x:v>
      </x:c>
    </x:row>
    <x:row r="89">
      <x:c r="A89" s="16" t="n">
        <x:v>88</x:v>
      </x:c>
      <x:c r="B89" s="16" t="str">
        <x:v>Abdul Kadir Abdul Kadir</x:v>
      </x:c>
      <x:c r="C89" s="16" t="str"/>
      <x:c r="D89" s="16" t="str">
        <x:v>* myContacts</x:v>
      </x:c>
      <x:c r="E89" s="16" t="str">
        <x:v>Missing email</x:v>
      </x:c>
    </x:row>
    <x:row r="90">
      <x:c r="A90" s="16" t="n">
        <x:v>89</x:v>
      </x:c>
      <x:c r="B90" s="16" t="str">
        <x:v>Abdul Karim</x:v>
      </x:c>
      <x:c r="C90" s="16" t="str"/>
      <x:c r="D90" s="16" t="str">
        <x:v>* myContacts</x:v>
      </x:c>
      <x:c r="E90" s="16" t="str">
        <x:v>Missing email</x:v>
      </x:c>
    </x:row>
    <x:row r="91">
      <x:c r="A91" s="16" t="n">
        <x:v>90</x:v>
      </x:c>
      <x:c r="B91" s="16" t="str">
        <x:v>Abdul Latip Bin Shamsuddin AGP</x:v>
      </x:c>
      <x:c r="C91" s="16" t="str"/>
      <x:c r="D91" s="16" t="str">
        <x:v>* myContacts</x:v>
      </x:c>
      <x:c r="E91" s="16" t="str">
        <x:v>Missing email</x:v>
      </x:c>
    </x:row>
    <x:row r="92">
      <x:c r="A92" s="16" t="n">
        <x:v>91</x:v>
      </x:c>
      <x:c r="B92" s="16" t="str">
        <x:v>Abdul Malik Abdul Rahman</x:v>
      </x:c>
      <x:c r="C92" s="16" t="str"/>
      <x:c r="D92" s="16" t="str">
        <x:v>* myContacts</x:v>
      </x:c>
      <x:c r="E92" s="16" t="str">
        <x:v>Missing email</x:v>
      </x:c>
    </x:row>
    <x:row r="93">
      <x:c r="A93" s="16" t="n">
        <x:v>92</x:v>
      </x:c>
      <x:c r="B93" s="16" t="str">
        <x:v>Abdul Mu'min Abdul Rahim</x:v>
      </x:c>
      <x:c r="C93" s="16" t="str"/>
      <x:c r="D93" s="16" t="str">
        <x:v>* myContacts</x:v>
      </x:c>
      <x:c r="E93" s="16" t="str">
        <x:v>Missing email</x:v>
      </x:c>
    </x:row>
    <x:row r="94">
      <x:c r="A94" s="16" t="n">
        <x:v>93</x:v>
      </x:c>
      <x:c r="B94" s="16" t="str">
        <x:v>Abdul Mubarak</x:v>
      </x:c>
      <x:c r="C94" s="16" t="str"/>
      <x:c r="D94" s="16" t="str">
        <x:v>* myContacts</x:v>
      </x:c>
      <x:c r="E94" s="16" t="str">
        <x:v>Missing email</x:v>
      </x:c>
    </x:row>
    <x:row r="95">
      <x:c r="A95" s="16" t="n">
        <x:v>95</x:v>
      </x:c>
      <x:c r="B95" s="16" t="str">
        <x:v>Abdul Murhaizad</x:v>
      </x:c>
      <x:c r="C95" s="16" t="str"/>
      <x:c r="D95" s="16" t="str">
        <x:v>* myContacts</x:v>
      </x:c>
      <x:c r="E95" s="16" t="str">
        <x:v>Missing email</x:v>
      </x:c>
    </x:row>
    <x:row r="96">
      <x:c r="A96" s="16" t="n">
        <x:v>96</x:v>
      </x:c>
      <x:c r="B96" s="16" t="str">
        <x:v>Abdul Rahim</x:v>
      </x:c>
      <x:c r="C96" s="16" t="str"/>
      <x:c r="D96" s="16" t="str">
        <x:v>* myContacts</x:v>
      </x:c>
      <x:c r="E96" s="16" t="str">
        <x:v>Missing email</x:v>
      </x:c>
    </x:row>
    <x:row r="97">
      <x:c r="A97" s="16" t="n">
        <x:v>97</x:v>
      </x:c>
      <x:c r="B97" s="16" t="str">
        <x:v>Abdul Rahim Rahimbhai</x:v>
      </x:c>
      <x:c r="C97" s="16" t="str"/>
      <x:c r="D97" s="16" t="str">
        <x:v>* myContacts</x:v>
      </x:c>
      <x:c r="E97" s="16" t="str">
        <x:v>Missing email</x:v>
      </x:c>
    </x:row>
    <x:row r="98">
      <x:c r="A98" s="16" t="n">
        <x:v>98</x:v>
      </x:c>
      <x:c r="B98" s="16" t="str">
        <x:v>Abdul Rahim Shamsudin Fx</x:v>
      </x:c>
      <x:c r="C98" s="16" t="str"/>
      <x:c r="D98" s="16" t="str">
        <x:v>* myContacts</x:v>
      </x:c>
      <x:c r="E98" s="16" t="str">
        <x:v>Missing email</x:v>
      </x:c>
    </x:row>
    <x:row r="99">
      <x:c r="A99" s="16" t="n">
        <x:v>99</x:v>
      </x:c>
      <x:c r="B99" s="16" t="str">
        <x:v>Abdul Rahman</x:v>
      </x:c>
      <x:c r="C99" s="16" t="str"/>
      <x:c r="D99" s="16" t="str">
        <x:v>* myContacts</x:v>
      </x:c>
      <x:c r="E99" s="16" t="str">
        <x:v>Missing email</x:v>
      </x:c>
    </x:row>
    <x:row r="100">
      <x:c r="A100" s="16" t="n">
        <x:v>100</x:v>
      </x:c>
      <x:c r="B100" s="16" t="str">
        <x:v>Abdul rahman IM</x:v>
      </x:c>
      <x:c r="C100" s="16" t="str"/>
      <x:c r="D100" s="16" t="str">
        <x:v>* myContacts</x:v>
      </x:c>
      <x:c r="E100" s="16" t="str">
        <x:v>Missing email</x:v>
      </x:c>
    </x:row>
    <x:row r="101">
      <x:c r="A101" s="16" t="n">
        <x:v>101</x:v>
      </x:c>
      <x:c r="B101" s="16" t="str">
        <x:v>Abdul Rahman Kamaruzaman</x:v>
      </x:c>
      <x:c r="C101" s="16" t="str"/>
      <x:c r="D101" s="16" t="str">
        <x:v>* myContacts</x:v>
      </x:c>
      <x:c r="E101" s="16" t="str">
        <x:v>Missing email</x:v>
      </x:c>
    </x:row>
    <x:row r="102">
      <x:c r="A102" s="16" t="n">
        <x:v>102</x:v>
      </x:c>
      <x:c r="B102" s="16" t="str">
        <x:v>Abdul Rahman Rahman</x:v>
      </x:c>
      <x:c r="C102" s="16" t="str"/>
      <x:c r="D102" s="16" t="str">
        <x:v>* myContacts</x:v>
      </x:c>
      <x:c r="E102" s="16" t="str">
        <x:v>Missing email</x:v>
      </x:c>
    </x:row>
    <x:row r="103">
      <x:c r="A103" s="16" t="n">
        <x:v>103</x:v>
      </x:c>
      <x:c r="B103" s="16" t="str">
        <x:v>Abdul Rahman Wan Rashid</x:v>
      </x:c>
      <x:c r="C103" s="16" t="str"/>
      <x:c r="D103" s="16" t="str">
        <x:v>* myContacts</x:v>
      </x:c>
      <x:c r="E103" s="16" t="str">
        <x:v>Missing email</x:v>
      </x:c>
    </x:row>
    <x:row r="104">
      <x:c r="A104" s="16" t="n">
        <x:v>104</x:v>
      </x:c>
      <x:c r="B104" s="16" t="str">
        <x:v>Abdul Rani Jaafar</x:v>
      </x:c>
      <x:c r="C104" s="16" t="str"/>
      <x:c r="D104" s="16" t="str">
        <x:v>* myContacts</x:v>
      </x:c>
      <x:c r="E104" s="16" t="str">
        <x:v>Missing email</x:v>
      </x:c>
    </x:row>
    <x:row r="105">
      <x:c r="A105" s="16" t="n">
        <x:v>105</x:v>
      </x:c>
      <x:c r="B105" s="16" t="str">
        <x:v>Abdul Rasyid Abd Manap</x:v>
      </x:c>
      <x:c r="C105" s="16" t="str"/>
      <x:c r="D105" s="16" t="str">
        <x:v>* myContacts</x:v>
      </x:c>
      <x:c r="E105" s="16" t="str">
        <x:v>Missing email</x:v>
      </x:c>
    </x:row>
    <x:row r="106">
      <x:c r="A106" s="16" t="n">
        <x:v>106</x:v>
      </x:c>
      <x:c r="B106" s="16" t="str">
        <x:v>Abdul Razak</x:v>
      </x:c>
      <x:c r="C106" s="16" t="str"/>
      <x:c r="D106" s="16" t="str">
        <x:v>* myContacts</x:v>
      </x:c>
      <x:c r="E106" s="16" t="str">
        <x:v>Missing email</x:v>
      </x:c>
    </x:row>
    <x:row r="107">
      <x:c r="A107" s="16" t="n">
        <x:v>108</x:v>
      </x:c>
      <x:c r="B107" s="16" t="str">
        <x:v>Abdul Wahid</x:v>
      </x:c>
      <x:c r="C107" s="16" t="str"/>
      <x:c r="D107" s="16" t="str">
        <x:v>* myContacts</x:v>
      </x:c>
      <x:c r="E107" s="16" t="str">
        <x:v>Missing email</x:v>
      </x:c>
    </x:row>
    <x:row r="108">
      <x:c r="A108" s="16" t="n">
        <x:v>109</x:v>
      </x:c>
      <x:c r="B108" s="16" t="str">
        <x:v>Abdulfatayassinbaka Abdulfatayassin</x:v>
      </x:c>
      <x:c r="C108" s="16" t="str"/>
      <x:c r="D108" s="16" t="str">
        <x:v>* myContacts</x:v>
      </x:c>
      <x:c r="E108" s="16" t="str">
        <x:v>Missing email</x:v>
      </x:c>
    </x:row>
    <x:row r="109">
      <x:c r="A109" s="16" t="n">
        <x:v>110</x:v>
      </x:c>
      <x:c r="B109" s="16" t="str">
        <x:v>Abdullah Finas</x:v>
      </x:c>
      <x:c r="C109" s="16" t="str"/>
      <x:c r="D109" s="16" t="str">
        <x:v>* myContacts</x:v>
      </x:c>
      <x:c r="E109" s="16" t="str">
        <x:v>Missing email</x:v>
      </x:c>
    </x:row>
    <x:row r="110">
      <x:c r="A110" s="16" t="n">
        <x:v>111</x:v>
      </x:c>
      <x:c r="B110" s="16" t="str">
        <x:v>Abdullah Ghazlann</x:v>
      </x:c>
      <x:c r="C110" s="16" t="str"/>
      <x:c r="D110" s="16" t="str">
        <x:v>* myContacts</x:v>
      </x:c>
      <x:c r="E110" s="16" t="str">
        <x:v>Missing email</x:v>
      </x:c>
    </x:row>
    <x:row r="111">
      <x:c r="A111" s="16" t="n">
        <x:v>112</x:v>
      </x:c>
      <x:c r="B111" s="16" t="str">
        <x:v>Abdullah Luqman Osman Albo</x:v>
      </x:c>
      <x:c r="C111" s="16" t="str"/>
      <x:c r="D111" s="16" t="str">
        <x:v>* myContacts</x:v>
      </x:c>
      <x:c r="E111" s="16" t="str">
        <x:v>Missing email</x:v>
      </x:c>
    </x:row>
    <x:row r="112">
      <x:c r="A112" s="16" t="n">
        <x:v>113</x:v>
      </x:c>
      <x:c r="B112" s="16" t="str">
        <x:v>Abdullah Rahman</x:v>
      </x:c>
      <x:c r="C112" s="16" t="str"/>
      <x:c r="D112" s="16" t="str">
        <x:v>* myContacts</x:v>
      </x:c>
      <x:c r="E112" s="16" t="str">
        <x:v>Missing email</x:v>
      </x:c>
    </x:row>
    <x:row r="113">
      <x:c r="A113" s="16" t="n">
        <x:v>114</x:v>
      </x:c>
      <x:c r="B113" s="16" t="str">
        <x:v>Abdullah Rashid Mad response</x:v>
      </x:c>
      <x:c r="C113" s="16" t="str"/>
      <x:c r="D113" s="16" t="str">
        <x:v>* myContacts</x:v>
      </x:c>
      <x:c r="E113" s="16" t="str">
        <x:v>Missing email</x:v>
      </x:c>
    </x:row>
    <x:row r="114">
      <x:c r="A114" s="16" t="n">
        <x:v>115</x:v>
      </x:c>
      <x:c r="B114" s="16" t="str">
        <x:v>Abdullah Syarafe Usman</x:v>
      </x:c>
      <x:c r="C114" s="16" t="str"/>
      <x:c r="D114" s="16" t="str">
        <x:v>* myContacts</x:v>
      </x:c>
      <x:c r="E114" s="16" t="str">
        <x:v>Missing email</x:v>
      </x:c>
    </x:row>
    <x:row r="115">
      <x:c r="A115" s="16" t="n">
        <x:v>116</x:v>
      </x:c>
      <x:c r="B115" s="16" t="str">
        <x:v>Abdulloh Chelaeh</x:v>
      </x:c>
      <x:c r="C115" s="16" t="str"/>
      <x:c r="D115" s="16" t="str">
        <x:v>* myContacts</x:v>
      </x:c>
      <x:c r="E115" s="16" t="str">
        <x:v>Missing email</x:v>
      </x:c>
    </x:row>
    <x:row r="116">
      <x:c r="A116" s="16" t="n">
        <x:v>117</x:v>
      </x:c>
      <x:c r="B116" s="16" t="str">
        <x:v>abdun noor IM</x:v>
      </x:c>
      <x:c r="C116" s="16" t="str"/>
      <x:c r="D116" s="16" t="str">
        <x:v>* myContacts</x:v>
      </x:c>
      <x:c r="E116" s="16" t="str">
        <x:v>Missing email</x:v>
      </x:c>
    </x:row>
    <x:row r="117">
      <x:c r="A117" s="16" t="n">
        <x:v>118</x:v>
      </x:c>
      <x:c r="B117" s="16" t="str">
        <x:v>ABE ADAM abg afi ngan anas</x:v>
      </x:c>
      <x:c r="C117" s="16" t="str"/>
      <x:c r="D117" s="16" t="str">
        <x:v>* myContacts</x:v>
      </x:c>
      <x:c r="E117" s="16" t="str">
        <x:v>Missing email</x:v>
      </x:c>
    </x:row>
    <x:row r="118">
      <x:c r="A118" s="16" t="n">
        <x:v>119</x:v>
      </x:c>
      <x:c r="B118" s="16" t="str">
        <x:v>Abe Chik</x:v>
      </x:c>
      <x:c r="C118" s="16" t="str"/>
      <x:c r="D118" s="16" t="str">
        <x:v>* myContacts</x:v>
      </x:c>
      <x:c r="E118" s="16" t="str">
        <x:v>Missing email</x:v>
      </x:c>
    </x:row>
    <x:row r="119">
      <x:c r="A119" s="16" t="n">
        <x:v>120</x:v>
      </x:c>
      <x:c r="B119" s="16" t="str">
        <x:v>Abe Din</x:v>
      </x:c>
      <x:c r="C119" s="16" t="str"/>
      <x:c r="D119" s="16" t="str">
        <x:v>* myContacts</x:v>
      </x:c>
      <x:c r="E119" s="16" t="str">
        <x:v>Missing email</x:v>
      </x:c>
    </x:row>
    <x:row r="120">
      <x:c r="A120" s="16" t="n">
        <x:v>121</x:v>
      </x:c>
      <x:c r="B120" s="16" t="str">
        <x:v>abe eh</x:v>
      </x:c>
      <x:c r="C120" s="16" t="str"/>
      <x:c r="D120" s="16" t="str">
        <x:v>* myContacts</x:v>
      </x:c>
      <x:c r="E120" s="16" t="str">
        <x:v>Missing email</x:v>
      </x:c>
    </x:row>
    <x:row r="121">
      <x:c r="A121" s="16" t="n">
        <x:v>122</x:v>
      </x:c>
      <x:c r="B121" s="16" t="str">
        <x:v>Abe Lie Abe Lie</x:v>
      </x:c>
      <x:c r="C121" s="16" t="str"/>
      <x:c r="D121" s="16" t="str">
        <x:v>* myContacts</x:v>
      </x:c>
      <x:c r="E121" s="16" t="str">
        <x:v>Missing email</x:v>
      </x:c>
    </x:row>
    <x:row r="122">
      <x:c r="A122" s="16" t="n">
        <x:v>123</x:v>
      </x:c>
      <x:c r="B122" s="16" t="str">
        <x:v>Abe Mat Rayyan</x:v>
      </x:c>
      <x:c r="C122" s="16" t="str"/>
      <x:c r="D122" s="16" t="str">
        <x:v>* myContacts</x:v>
      </x:c>
      <x:c r="E122" s="16" t="str">
        <x:v>Missing email</x:v>
      </x:c>
    </x:row>
    <x:row r="123">
      <x:c r="A123" s="16" t="n">
        <x:v>124</x:v>
      </x:c>
      <x:c r="B123" s="16" t="str">
        <x:v>Abe Nuddin IM</x:v>
      </x:c>
      <x:c r="C123" s="16" t="str"/>
      <x:c r="D123" s="16" t="str">
        <x:v>* myContacts</x:v>
      </x:c>
      <x:c r="E123" s="16" t="str">
        <x:v>Missing email</x:v>
      </x:c>
    </x:row>
    <x:row r="124">
      <x:c r="A124" s="16" t="n">
        <x:v>125</x:v>
      </x:c>
      <x:c r="B124" s="16" t="str">
        <x:v>Abe Sham</x:v>
      </x:c>
      <x:c r="C124" s="16" t="str"/>
      <x:c r="D124" s="16" t="str">
        <x:v>* myContacts</x:v>
      </x:c>
      <x:c r="E124" s="16" t="str">
        <x:v>Missing email</x:v>
      </x:c>
    </x:row>
    <x:row r="125">
      <x:c r="A125" s="16" t="n">
        <x:v>126</x:v>
      </x:c>
      <x:c r="B125" s="16" t="str">
        <x:v>Abe Wan</x:v>
      </x:c>
      <x:c r="C125" s="16" t="str"/>
      <x:c r="D125" s="16" t="str">
        <x:v>* myContacts</x:v>
      </x:c>
      <x:c r="E125" s="16" t="str">
        <x:v>Missing email</x:v>
      </x:c>
    </x:row>
    <x:row r="126">
      <x:c r="A126" s="16" t="n">
        <x:v>127</x:v>
      </x:c>
      <x:c r="B126" s="16" t="str">
        <x:v>Abe We Redzuan</x:v>
      </x:c>
      <x:c r="C126" s="16" t="str"/>
      <x:c r="D126" s="16" t="str">
        <x:v>* myContacts</x:v>
      </x:c>
      <x:c r="E126" s="16" t="str">
        <x:v>Missing email</x:v>
      </x:c>
    </x:row>
    <x:row r="127">
      <x:c r="A127" s="16" t="n">
        <x:v>128</x:v>
      </x:c>
      <x:c r="B127" s="16" t="str">
        <x:v>Abeay Mark II</x:v>
      </x:c>
      <x:c r="C127" s="16" t="str"/>
      <x:c r="D127" s="16" t="str">
        <x:v>* myContacts</x:v>
      </x:c>
      <x:c r="E127" s="16" t="str">
        <x:v>Missing email</x:v>
      </x:c>
    </x:row>
    <x:row r="128">
      <x:c r="A128" s="16" t="n">
        <x:v>129</x:v>
      </x:c>
      <x:c r="B128" s="16" t="str">
        <x:v>Abeesh Nalakath Abi</x:v>
      </x:c>
      <x:c r="C128" s="16" t="str"/>
      <x:c r="D128" s="16" t="str">
        <x:v>* myContacts</x:v>
      </x:c>
      <x:c r="E128" s="16" t="str">
        <x:v>Missing email</x:v>
      </x:c>
    </x:row>
    <x:row r="129">
      <x:c r="A129" s="16" t="n">
        <x:v>130</x:v>
      </x:c>
      <x:c r="B129" s="16" t="str">
        <x:v>AbeLong Hisham</x:v>
      </x:c>
      <x:c r="C129" s="16" t="str"/>
      <x:c r="D129" s="16" t="str">
        <x:v>* myContacts</x:v>
      </x:c>
      <x:c r="E129" s="16" t="str">
        <x:v>Missing email</x:v>
      </x:c>
    </x:row>
    <x:row r="130">
      <x:c r="A130" s="16" t="n">
        <x:v>131</x:v>
      </x:c>
      <x:c r="B130" s="16" t="str">
        <x:v>Abey Anaqi</x:v>
      </x:c>
      <x:c r="C130" s="16" t="str"/>
      <x:c r="D130" s="16" t="str">
        <x:v>* myContacts</x:v>
      </x:c>
      <x:c r="E130" s="16" t="str">
        <x:v>Missing email</x:v>
      </x:c>
    </x:row>
    <x:row r="131">
      <x:c r="A131" s="16" t="n">
        <x:v>132</x:v>
      </x:c>
      <x:c r="B131" s="16" t="str">
        <x:v>Abey Cuci Kusyen</x:v>
      </x:c>
      <x:c r="C131" s="16" t="str"/>
      <x:c r="D131" s="16" t="str">
        <x:v>* myContacts</x:v>
      </x:c>
      <x:c r="E131" s="16" t="str">
        <x:v>Missing email</x:v>
      </x:c>
    </x:row>
    <x:row r="132">
      <x:c r="A132" s="16" t="n">
        <x:v>133</x:v>
      </x:c>
      <x:c r="B132" s="16" t="str">
        <x:v>Abg Aggy Trainer Sabah</x:v>
      </x:c>
      <x:c r="C132" s="16" t="str"/>
      <x:c r="D132" s="16" t="str">
        <x:v>* myContacts</x:v>
      </x:c>
      <x:c r="E132" s="16" t="str">
        <x:v>Missing email</x:v>
      </x:c>
    </x:row>
    <x:row r="133">
      <x:c r="A133" s="16" t="n">
        <x:v>134</x:v>
      </x:c>
      <x:c r="B133" s="16" t="str">
        <x:v>Abg Ali JomJamban</x:v>
      </x:c>
      <x:c r="C133" s="16" t="str"/>
      <x:c r="D133" s="16" t="str">
        <x:v>* myContacts</x:v>
      </x:c>
      <x:c r="E133" s="16" t="str">
        <x:v>Missing email</x:v>
      </x:c>
    </x:row>
    <x:row r="134">
      <x:c r="A134" s="16" t="n">
        <x:v>135</x:v>
      </x:c>
      <x:c r="B134" s="16" t="str">
        <x:v>Abg Amir Catering DPIM PERAK</x:v>
      </x:c>
      <x:c r="C134" s="16" t="str"/>
      <x:c r="D134" s="16" t="str">
        <x:v>* myContacts</x:v>
      </x:c>
      <x:c r="E134" s="16" t="str">
        <x:v>Missing email</x:v>
      </x:c>
    </x:row>
    <x:row r="135">
      <x:c r="A135" s="16" t="n">
        <x:v>136</x:v>
      </x:c>
      <x:c r="B135" s="16" t="str">
        <x:v>Abg Amiruddin Ramlan</x:v>
      </x:c>
      <x:c r="C135" s="16" t="str"/>
      <x:c r="D135" s="16" t="str">
        <x:v>* myContacts</x:v>
      </x:c>
      <x:c r="E135" s="16" t="str">
        <x:v>Missing email</x:v>
      </x:c>
    </x:row>
    <x:row r="136">
      <x:c r="A136" s="16" t="n">
        <x:v>137</x:v>
      </x:c>
      <x:c r="B136" s="16" t="str">
        <x:v>Abg Awie Customer Cgc</x:v>
      </x:c>
      <x:c r="C136" s="16" t="str"/>
      <x:c r="D136" s="16" t="str">
        <x:v>* myContacts</x:v>
      </x:c>
      <x:c r="E136" s="16" t="str">
        <x:v>Missing email</x:v>
      </x:c>
    </x:row>
    <x:row r="137">
      <x:c r="A137" s="16" t="n">
        <x:v>138</x:v>
      </x:c>
      <x:c r="B137" s="16" t="str">
        <x:v>abg azhar agent agp</x:v>
      </x:c>
      <x:c r="C137" s="16" t="str"/>
      <x:c r="D137" s="16" t="str">
        <x:v>* myContacts</x:v>
      </x:c>
      <x:c r="E137" s="16" t="str">
        <x:v>Missing email</x:v>
      </x:c>
    </x:row>
    <x:row r="138">
      <x:c r="A138" s="16" t="n">
        <x:v>139</x:v>
      </x:c>
      <x:c r="B138" s="16" t="str">
        <x:v>Abg Azmi Raof Broker Tanah</x:v>
      </x:c>
      <x:c r="C138" s="16" t="str"/>
      <x:c r="D138" s="16" t="str">
        <x:v>* myContacts</x:v>
      </x:c>
      <x:c r="E138" s="16" t="str">
        <x:v>Missing email</x:v>
      </x:c>
    </x:row>
    <x:row r="139">
      <x:c r="A139" s="16" t="n">
        <x:v>140</x:v>
      </x:c>
      <x:c r="B139" s="16" t="str">
        <x:v>Abg Azrul Bestari Jaya</x:v>
      </x:c>
      <x:c r="C139" s="16" t="str"/>
      <x:c r="D139" s="16" t="str">
        <x:v>* myContacts</x:v>
      </x:c>
      <x:c r="E139" s="16" t="str">
        <x:v>Missing email</x:v>
      </x:c>
    </x:row>
    <x:row r="140">
      <x:c r="A140" s="16" t="n">
        <x:v>141</x:v>
      </x:c>
      <x:c r="B140" s="16" t="str">
        <x:v>abg bob  benjo mekanik ttdi jaya</x:v>
      </x:c>
      <x:c r="C140" s="16" t="str"/>
      <x:c r="D140" s="16" t="str">
        <x:v>* myContacts</x:v>
      </x:c>
      <x:c r="E140" s="16" t="str">
        <x:v>Missing email</x:v>
      </x:c>
    </x:row>
    <x:row r="141">
      <x:c r="A141" s="16" t="n">
        <x:v>142</x:v>
      </x:c>
      <x:c r="B141" s="16" t="str">
        <x:v>Abg Coway Seremban</x:v>
      </x:c>
      <x:c r="C141" s="16" t="str"/>
      <x:c r="D141" s="16" t="str">
        <x:v>* myContacts</x:v>
      </x:c>
      <x:c r="E141" s="16" t="str">
        <x:v>Missing email</x:v>
      </x:c>
    </x:row>
    <x:row r="142">
      <x:c r="A142" s="16" t="n">
        <x:v>143</x:v>
      </x:c>
      <x:c r="B142" s="16" t="str">
        <x:v>Abg Derus Tukang Urut</x:v>
      </x:c>
      <x:c r="C142" s="16" t="str"/>
      <x:c r="D142" s="16" t="str">
        <x:v>* myContacts</x:v>
      </x:c>
      <x:c r="E142" s="16" t="str">
        <x:v>Missing email</x:v>
      </x:c>
    </x:row>
    <x:row r="143">
      <x:c r="A143" s="16" t="n">
        <x:v>144</x:v>
      </x:c>
      <x:c r="B143" s="16" t="str">
        <x:v>Abg Din kambing golek ppmm</x:v>
      </x:c>
      <x:c r="C143" s="16" t="str"/>
      <x:c r="D143" s="16" t="str">
        <x:v>* myContacts</x:v>
      </x:c>
      <x:c r="E143" s="16" t="str">
        <x:v>Missing email</x:v>
      </x:c>
    </x:row>
    <x:row r="144">
      <x:c r="A144" s="16" t="n">
        <x:v>145</x:v>
      </x:c>
      <x:c r="B144" s="16" t="str">
        <x:v>Abg Fendi AGENT</x:v>
      </x:c>
      <x:c r="C144" s="16" t="str"/>
      <x:c r="D144" s="16" t="str">
        <x:v>* myContacts</x:v>
      </x:c>
      <x:c r="E144" s="16" t="str">
        <x:v>Missing email</x:v>
      </x:c>
    </x:row>
    <x:row r="145">
      <x:c r="A145" s="16" t="n">
        <x:v>146</x:v>
      </x:c>
      <x:c r="B145" s="16" t="str">
        <x:v>Abg Firdaus</x:v>
      </x:c>
      <x:c r="C145" s="16" t="str"/>
      <x:c r="D145" s="16" t="str">
        <x:v>* myContacts</x:v>
      </x:c>
      <x:c r="E145" s="16" t="str">
        <x:v>Missing email</x:v>
      </x:c>
    </x:row>
    <x:row r="146">
      <x:c r="A146" s="16" t="n">
        <x:v>147</x:v>
      </x:c>
      <x:c r="B146" s="16" t="str">
        <x:v>Abg Hadi PPMM</x:v>
      </x:c>
      <x:c r="C146" s="16" t="str"/>
      <x:c r="D146" s="16" t="str">
        <x:v>* myContacts</x:v>
      </x:c>
      <x:c r="E146" s="16" t="str">
        <x:v>Missing email</x:v>
      </x:c>
    </x:row>
    <x:row r="147">
      <x:c r="A147" s="16" t="n">
        <x:v>148</x:v>
      </x:c>
      <x:c r="B147" s="16" t="str">
        <x:v>Abg Halim</x:v>
      </x:c>
      <x:c r="C147" s="16" t="str"/>
      <x:c r="D147" s="16" t="str">
        <x:v>* myContacts</x:v>
      </x:c>
      <x:c r="E147" s="16" t="str">
        <x:v>Missing email</x:v>
      </x:c>
    </x:row>
    <x:row r="148">
      <x:c r="A148" s="16" t="n">
        <x:v>149</x:v>
      </x:c>
      <x:c r="B148" s="16" t="str">
        <x:v>Abg Halim Taman Pancaran</x:v>
      </x:c>
      <x:c r="C148" s="16" t="str"/>
      <x:c r="D148" s="16" t="str">
        <x:v>* myContacts</x:v>
      </x:c>
      <x:c r="E148" s="16" t="str">
        <x:v>Missing email</x:v>
      </x:c>
    </x:row>
    <x:row r="149">
      <x:c r="A149" s="16" t="n">
        <x:v>150</x:v>
      </x:c>
      <x:c r="B149" s="16" t="str">
        <x:v>Abg Hashnan IQPS</x:v>
      </x:c>
      <x:c r="C149" s="16" t="str"/>
      <x:c r="D149" s="16" t="str">
        <x:v>* myContacts</x:v>
      </x:c>
      <x:c r="E149" s="16" t="str">
        <x:v>Missing email</x:v>
      </x:c>
    </x:row>
    <x:row r="150">
      <x:c r="A150" s="16" t="n">
        <x:v>151</x:v>
      </x:c>
      <x:c r="B150" s="16" t="str">
        <x:v>Abg Hasnan</x:v>
      </x:c>
      <x:c r="C150" s="16" t="str"/>
      <x:c r="D150" s="16" t="str">
        <x:v>* myContacts</x:v>
      </x:c>
      <x:c r="E150" s="16" t="str">
        <x:v>Missing email</x:v>
      </x:c>
    </x:row>
    <x:row r="151">
      <x:c r="A151" s="16" t="n">
        <x:v>152</x:v>
      </x:c>
      <x:c r="B151" s="16" t="str">
        <x:v>Abg Hilmi PruBSN Takaful</x:v>
      </x:c>
      <x:c r="C151" s="16" t="str"/>
      <x:c r="D151" s="16" t="str">
        <x:v>* myContacts</x:v>
      </x:c>
      <x:c r="E151" s="16" t="str">
        <x:v>Missing email</x:v>
      </x:c>
    </x:row>
    <x:row r="152">
      <x:c r="A152" s="16" t="n">
        <x:v>153</x:v>
      </x:c>
      <x:c r="B152" s="16" t="str">
        <x:v>Abg Jepp Sifu Brand</x:v>
      </x:c>
      <x:c r="C152" s="16" t="str"/>
      <x:c r="D152" s="16" t="str">
        <x:v>* myContacts</x:v>
      </x:c>
      <x:c r="E152" s="16" t="str">
        <x:v>Missing email</x:v>
      </x:c>
    </x:row>
    <x:row r="153">
      <x:c r="A153" s="16" t="n">
        <x:v>154</x:v>
      </x:c>
      <x:c r="B153" s="16" t="str">
        <x:v>Abg Jepp Sifu Branding Training</x:v>
      </x:c>
      <x:c r="C153" s="16" t="str"/>
      <x:c r="D153" s="16" t="str">
        <x:v>Trainer | * myContacts</x:v>
      </x:c>
      <x:c r="E153" s="16" t="str">
        <x:v>Missing email</x:v>
      </x:c>
    </x:row>
    <x:row r="154">
      <x:c r="A154" s="16" t="n">
        <x:v>155</x:v>
      </x:c>
      <x:c r="B154" s="16" t="str">
        <x:v>Abg Jo Komando Special Force</x:v>
      </x:c>
      <x:c r="C154" s="16" t="str"/>
      <x:c r="D154" s="16" t="str">
        <x:v>* myContacts</x:v>
      </x:c>
      <x:c r="E154" s="16" t="str">
        <x:v>Missing email</x:v>
      </x:c>
    </x:row>
    <x:row r="155">
      <x:c r="A155" s="16" t="n">
        <x:v>156</x:v>
      </x:c>
      <x:c r="B155" s="16" t="str">
        <x:v>Abg JOHANN MA</x:v>
      </x:c>
      <x:c r="C155" s="16" t="str"/>
      <x:c r="D155" s="16" t="str">
        <x:v>* myContacts</x:v>
      </x:c>
      <x:c r="E155" s="16" t="str">
        <x:v>Missing email</x:v>
      </x:c>
    </x:row>
    <x:row r="156">
      <x:c r="A156" s="16" t="n">
        <x:v>157</x:v>
      </x:c>
      <x:c r="B156" s="16" t="str">
        <x:v>Abg Kamal CWA AL Kauthar</x:v>
      </x:c>
      <x:c r="C156" s="16" t="str"/>
      <x:c r="D156" s="16" t="str">
        <x:v>* myContacts</x:v>
      </x:c>
      <x:c r="E156" s="16" t="str">
        <x:v>Missing email</x:v>
      </x:c>
    </x:row>
    <x:row r="157">
      <x:c r="A157" s="16" t="n">
        <x:v>158</x:v>
      </x:c>
      <x:c r="B157" s="16" t="str">
        <x:v>Abg Kamil Taman Pancaran</x:v>
      </x:c>
      <x:c r="C157" s="16" t="str"/>
      <x:c r="D157" s="16" t="str">
        <x:v>* myContacts</x:v>
      </x:c>
      <x:c r="E157" s="16" t="str">
        <x:v>Missing email</x:v>
      </x:c>
    </x:row>
    <x:row r="158">
      <x:c r="A158" s="16" t="n">
        <x:v>159</x:v>
      </x:c>
      <x:c r="B158" s="16" t="str">
        <x:v>Abg ky puteri dewi</x:v>
      </x:c>
      <x:c r="C158" s="16" t="str"/>
      <x:c r="D158" s="16" t="str">
        <x:v>* myContacts</x:v>
      </x:c>
      <x:c r="E158" s="16" t="str">
        <x:v>Missing email</x:v>
      </x:c>
    </x:row>
    <x:row r="159">
      <x:c r="A159" s="16" t="n">
        <x:v>160</x:v>
      </x:c>
      <x:c r="B159" s="16" t="str">
        <x:v>Abg Nasir Trader Gold Copy Trader</x:v>
      </x:c>
      <x:c r="C159" s="16" t="str"/>
      <x:c r="D159" s="16" t="str">
        <x:v>* myContacts</x:v>
      </x:c>
      <x:c r="E159" s="16" t="str">
        <x:v>Missing email</x:v>
      </x:c>
    </x:row>
    <x:row r="160">
      <x:c r="A160" s="16" t="n">
        <x:v>161</x:v>
      </x:c>
      <x:c r="B160" s="16" t="str">
        <x:v>abg nazrin suami kak booci</x:v>
      </x:c>
      <x:c r="C160" s="16" t="str"/>
      <x:c r="D160" s="16" t="str">
        <x:v>* myContacts</x:v>
      </x:c>
      <x:c r="E160" s="16" t="str">
        <x:v>Missing email</x:v>
      </x:c>
    </x:row>
    <x:row r="161">
      <x:c r="A161" s="16" t="n">
        <x:v>162</x:v>
      </x:c>
      <x:c r="B161" s="16" t="str">
        <x:v>Abg Perdana</x:v>
      </x:c>
      <x:c r="C161" s="16" t="str"/>
      <x:c r="D161" s="16" t="str">
        <x:v>* myContacts</x:v>
      </x:c>
      <x:c r="E161" s="16" t="str">
        <x:v>Missing email</x:v>
      </x:c>
    </x:row>
    <x:row r="162">
      <x:c r="A162" s="16" t="n">
        <x:v>163</x:v>
      </x:c>
      <x:c r="B162" s="16" t="str">
        <x:v>Abg Rahmat PPMM</x:v>
      </x:c>
      <x:c r="C162" s="16" t="str"/>
      <x:c r="D162" s="16" t="str">
        <x:v>* myContacts</x:v>
      </x:c>
      <x:c r="E162" s="16" t="str">
        <x:v>Missing email</x:v>
      </x:c>
    </x:row>
    <x:row r="163">
      <x:c r="A163" s="16" t="n">
        <x:v>164</x:v>
      </x:c>
      <x:c r="B163" s="16" t="str">
        <x:v>Abg Raja idris Bilal Masjid Al Awwabin</x:v>
      </x:c>
      <x:c r="C163" s="16" t="str"/>
      <x:c r="D163" s="16" t="str">
        <x:v>* myContacts</x:v>
      </x:c>
      <x:c r="E163" s="16" t="str">
        <x:v>Missing email</x:v>
      </x:c>
    </x:row>
    <x:row r="164">
      <x:c r="A164" s="16" t="n">
        <x:v>165</x:v>
      </x:c>
      <x:c r="B164" s="16" t="str">
        <x:v>Abg Razak DPIM</x:v>
      </x:c>
      <x:c r="C164" s="16" t="str"/>
      <x:c r="D164" s="16" t="str">
        <x:v>* myContacts</x:v>
      </x:c>
      <x:c r="E164" s="16" t="str">
        <x:v>Missing email</x:v>
      </x:c>
    </x:row>
    <x:row r="165">
      <x:c r="A165" s="16" t="n">
        <x:v>166</x:v>
      </x:c>
      <x:c r="B165" s="16" t="str">
        <x:v>Abg Razak Salleh Singapore</x:v>
      </x:c>
      <x:c r="C165" s="16" t="str"/>
      <x:c r="D165" s="16" t="str">
        <x:v>* myContacts</x:v>
      </x:c>
      <x:c r="E165" s="16" t="str">
        <x:v>Missing email</x:v>
      </x:c>
    </x:row>
    <x:row r="166">
      <x:c r="A166" s="16" t="n">
        <x:v>167</x:v>
      </x:c>
      <x:c r="B166" s="16" t="str">
        <x:v>Abg Razif DPIM</x:v>
      </x:c>
      <x:c r="C166" s="16" t="str"/>
      <x:c r="D166" s="16" t="str">
        <x:v>* myContacts</x:v>
      </x:c>
      <x:c r="E166" s="16" t="str">
        <x:v>Missing email</x:v>
      </x:c>
    </x:row>
    <x:row r="167">
      <x:c r="A167" s="16" t="n">
        <x:v>168</x:v>
      </x:c>
      <x:c r="B167" s="16" t="str">
        <x:v>Abg Shamsul Kahar IM</x:v>
      </x:c>
      <x:c r="C167" s="16" t="str"/>
      <x:c r="D167" s="16" t="str">
        <x:v>* myContacts</x:v>
      </x:c>
      <x:c r="E167" s="16" t="str">
        <x:v>Missing email</x:v>
      </x:c>
    </x:row>
    <x:row r="168">
      <x:c r="A168" s="16" t="n">
        <x:v>169</x:v>
      </x:c>
      <x:c r="B168" s="16" t="str">
        <x:v>abg suhairi merchant payment</x:v>
      </x:c>
      <x:c r="C168" s="16" t="str"/>
      <x:c r="D168" s="16" t="str">
        <x:v>* myContacts</x:v>
      </x:c>
      <x:c r="E168" s="16" t="str">
        <x:v>Missing email</x:v>
      </x:c>
    </x:row>
    <x:row r="169">
      <x:c r="A169" s="16" t="n">
        <x:v>170</x:v>
      </x:c>
      <x:c r="B169" s="16" t="str">
        <x:v>Abg Toha Consultant Pergi Indonesia</x:v>
      </x:c>
      <x:c r="C169" s="16" t="str"/>
      <x:c r="D169" s="16" t="str">
        <x:v>* myContacts</x:v>
      </x:c>
      <x:c r="E169" s="16" t="str">
        <x:v>Missing email</x:v>
      </x:c>
    </x:row>
    <x:row r="170">
      <x:c r="A170" s="16" t="n">
        <x:v>171</x:v>
      </x:c>
      <x:c r="B170" s="16" t="str">
        <x:v>abg tukang jahit mara</x:v>
      </x:c>
      <x:c r="C170" s="16" t="str"/>
      <x:c r="D170" s="16" t="str">
        <x:v>* myContacts</x:v>
      </x:c>
      <x:c r="E170" s="16" t="str">
        <x:v>Missing email</x:v>
      </x:c>
    </x:row>
    <x:row r="171">
      <x:c r="A171" s="16" t="n">
        <x:v>172</x:v>
      </x:c>
      <x:c r="B171" s="16" t="str">
        <x:v>Abg Zamani Spire</x:v>
      </x:c>
      <x:c r="C171" s="16" t="str"/>
      <x:c r="D171" s="16" t="str">
        <x:v>* myContacts</x:v>
      </x:c>
      <x:c r="E171" s="16" t="str">
        <x:v>Missing email</x:v>
      </x:c>
    </x:row>
    <x:row r="172">
      <x:c r="A172" s="16" t="n">
        <x:v>173</x:v>
      </x:c>
      <x:c r="B172" s="16" t="str">
        <x:v>Abg zul bapak ku punya tv</x:v>
      </x:c>
      <x:c r="C172" s="16" t="str"/>
      <x:c r="D172" s="16" t="str">
        <x:v>* myContacts</x:v>
      </x:c>
      <x:c r="E172" s="16" t="str">
        <x:v>Missing email</x:v>
      </x:c>
    </x:row>
    <x:row r="173">
      <x:c r="A173" s="16" t="n">
        <x:v>174</x:v>
      </x:c>
      <x:c r="B173" s="16" t="str">
        <x:v>Abg Zul CWA</x:v>
      </x:c>
      <x:c r="C173" s="16" t="str"/>
      <x:c r="D173" s="16" t="str">
        <x:v>* myContacts</x:v>
      </x:c>
      <x:c r="E173" s="16" t="str">
        <x:v>Missing email</x:v>
      </x:c>
    </x:row>
    <x:row r="174">
      <x:c r="A174" s="16" t="n">
        <x:v>175</x:v>
      </x:c>
      <x:c r="B174" s="16" t="str">
        <x:v>Abg Zul neighbour</x:v>
      </x:c>
      <x:c r="C174" s="16" t="str"/>
      <x:c r="D174" s="16" t="str">
        <x:v>* myContacts</x:v>
      </x:c>
      <x:c r="E174" s="16" t="str">
        <x:v>Missing email</x:v>
      </x:c>
    </x:row>
    <x:row r="175">
      <x:c r="A175" s="16" t="n">
        <x:v>176</x:v>
      </x:c>
      <x:c r="B175" s="16" t="str">
        <x:v>Abg Zul Teha Sweet Bites</x:v>
      </x:c>
      <x:c r="C175" s="16" t="str"/>
      <x:c r="D175" s="16" t="str">
        <x:v>* myContacts</x:v>
      </x:c>
      <x:c r="E175" s="16" t="str">
        <x:v>Missing email</x:v>
      </x:c>
    </x:row>
    <x:row r="176">
      <x:c r="A176" s="16" t="n">
        <x:v>177</x:v>
      </x:c>
      <x:c r="B176" s="16" t="str">
        <x:v>Abg Zulkhis P2</x:v>
      </x:c>
      <x:c r="C176" s="16" t="str"/>
      <x:c r="D176" s="16" t="str">
        <x:v>* myContacts</x:v>
      </x:c>
      <x:c r="E176" s="16" t="str">
        <x:v>Missing email</x:v>
      </x:c>
    </x:row>
    <x:row r="177">
      <x:c r="A177" s="16" t="n">
        <x:v>178</x:v>
      </x:c>
      <x:c r="B177" s="16" t="str">
        <x:v>AbgChik Eyzam</x:v>
      </x:c>
      <x:c r="C177" s="16" t="str"/>
      <x:c r="D177" s="16" t="str">
        <x:v>* myContacts</x:v>
      </x:c>
      <x:c r="E177" s="16" t="str">
        <x:v>Missing email</x:v>
      </x:c>
    </x:row>
    <x:row r="178">
      <x:c r="A178" s="16" t="n">
        <x:v>179</x:v>
      </x:c>
      <x:c r="B178" s="16" t="str">
        <x:v>Abgmahadi De</x:v>
      </x:c>
      <x:c r="C178" s="16" t="str"/>
      <x:c r="D178" s="16" t="str">
        <x:v>* myContacts</x:v>
      </x:c>
      <x:c r="E178" s="16" t="str">
        <x:v>Missing email</x:v>
      </x:c>
    </x:row>
    <x:row r="179">
      <x:c r="A179" s="16" t="n">
        <x:v>180</x:v>
      </x:c>
      <x:c r="B179" s="16" t="str">
        <x:v>Abi Hafizal</x:v>
      </x:c>
      <x:c r="C179" s="16" t="str"/>
      <x:c r="D179" s="16" t="str">
        <x:v>* myContacts</x:v>
      </x:c>
      <x:c r="E179" s="16" t="str">
        <x:v>Missing email</x:v>
      </x:c>
    </x:row>
    <x:row r="180">
      <x:c r="A180" s="16" t="n">
        <x:v>181</x:v>
      </x:c>
      <x:c r="B180" s="16" t="str">
        <x:v>Abid Ahmed</x:v>
      </x:c>
      <x:c r="C180" s="16" t="str"/>
      <x:c r="D180" s="16" t="str">
        <x:v>* myContacts</x:v>
      </x:c>
      <x:c r="E180" s="16" t="str">
        <x:v>Missing email</x:v>
      </x:c>
    </x:row>
    <x:row r="181">
      <x:c r="A181" s="16" t="n">
        <x:v>182</x:v>
      </x:c>
      <x:c r="B181" s="16" t="str">
        <x:v>Abid Hussain Hussain</x:v>
      </x:c>
      <x:c r="C181" s="16" t="str"/>
      <x:c r="D181" s="16" t="str">
        <x:v>* myContacts</x:v>
      </x:c>
      <x:c r="E181" s="16" t="str">
        <x:v>Missing email</x:v>
      </x:c>
    </x:row>
    <x:row r="182">
      <x:c r="A182" s="16" t="n">
        <x:v>183</x:v>
      </x:c>
      <x:c r="B182" s="16" t="str">
        <x:v>Abidin Bin Sharif AGP</x:v>
      </x:c>
      <x:c r="C182" s="16" t="str"/>
      <x:c r="D182" s="16" t="str">
        <x:v>* myContacts</x:v>
      </x:c>
      <x:c r="E182" s="16" t="str">
        <x:v>Missing email</x:v>
      </x:c>
    </x:row>
    <x:row r="183">
      <x:c r="A183" s="16" t="n">
        <x:v>184</x:v>
      </x:c>
      <x:c r="B183" s="16" t="str">
        <x:v>Abou Ahmad</x:v>
      </x:c>
      <x:c r="C183" s="16" t="str"/>
      <x:c r="D183" s="16" t="str">
        <x:v>* myContacts</x:v>
      </x:c>
      <x:c r="E183" s="16" t="str">
        <x:v>Missing email</x:v>
      </x:c>
    </x:row>
    <x:row r="184">
      <x:c r="A184" s="16" t="n">
        <x:v>185</x:v>
      </x:c>
      <x:c r="B184" s="16" t="str">
        <x:v>Aboy IM</x:v>
      </x:c>
      <x:c r="C184" s="16" t="str"/>
      <x:c r="D184" s="16" t="str">
        <x:v>* myContacts</x:v>
      </x:c>
      <x:c r="E184" s="16" t="str">
        <x:v>Missing email</x:v>
      </x:c>
    </x:row>
    <x:row r="185">
      <x:c r="A185" s="16" t="n">
        <x:v>186</x:v>
      </x:c>
      <x:c r="B185" s="16" t="str">
        <x:v>Abs Cuci Karpet HomeDelivery</x:v>
      </x:c>
      <x:c r="C185" s="16" t="str"/>
      <x:c r="D185" s="16" t="str">
        <x:v>* myContacts</x:v>
      </x:c>
      <x:c r="E185" s="16" t="str">
        <x:v>Missing email</x:v>
      </x:c>
    </x:row>
    <x:row r="186">
      <x:c r="A186" s="16" t="n">
        <x:v>187</x:v>
      </x:c>
      <x:c r="B186" s="16" t="str">
        <x:v>Abu Bakar</x:v>
      </x:c>
      <x:c r="C186" s="16" t="str"/>
      <x:c r="D186" s="16" t="str">
        <x:v>* myContacts</x:v>
      </x:c>
      <x:c r="E186" s="16" t="str">
        <x:v>Missing email</x:v>
      </x:c>
    </x:row>
    <x:row r="187">
      <x:c r="A187" s="16" t="n">
        <x:v>188</x:v>
      </x:c>
      <x:c r="B187" s="16" t="str">
        <x:v>Abu Bakar Ahmad Abbm</x:v>
      </x:c>
      <x:c r="C187" s="16" t="str"/>
      <x:c r="D187" s="16" t="str">
        <x:v>* myContacts</x:v>
      </x:c>
      <x:c r="E187" s="16" t="str">
        <x:v>Missing email</x:v>
      </x:c>
    </x:row>
    <x:row r="188">
      <x:c r="A188" s="16" t="n">
        <x:v>189</x:v>
      </x:c>
      <x:c r="B188" s="16" t="str">
        <x:v>Abu Bakar Nordin</x:v>
      </x:c>
      <x:c r="C188" s="16" t="str"/>
      <x:c r="D188" s="16" t="str">
        <x:v>* myContacts</x:v>
      </x:c>
      <x:c r="E188" s="16" t="str">
        <x:v>Missing email</x:v>
      </x:c>
    </x:row>
    <x:row r="189">
      <x:c r="A189" s="16" t="n">
        <x:v>190</x:v>
      </x:c>
      <x:c r="B189" s="16" t="str">
        <x:v>Abu Barzakh AGP IM</x:v>
      </x:c>
      <x:c r="C189" s="16" t="str"/>
      <x:c r="D189" s="16" t="str">
        <x:v>* myContacts</x:v>
      </x:c>
      <x:c r="E189" s="16" t="str">
        <x:v>Missing email</x:v>
      </x:c>
    </x:row>
    <x:row r="190">
      <x:c r="A190" s="16" t="n">
        <x:v>191</x:v>
      </x:c>
      <x:c r="B190" s="16" t="str">
        <x:v>Abu Hanafiah FlyHearth</x:v>
      </x:c>
      <x:c r="C190" s="16" t="str"/>
      <x:c r="D190" s="16" t="str">
        <x:v>* myContacts</x:v>
      </x:c>
      <x:c r="E190" s="16" t="str">
        <x:v>Missing email</x:v>
      </x:c>
    </x:row>
    <x:row r="191">
      <x:c r="A191" s="16" t="n">
        <x:v>192</x:v>
      </x:c>
      <x:c r="B191" s="16" t="str">
        <x:v>Abu IM</x:v>
      </x:c>
      <x:c r="C191" s="16" t="str"/>
      <x:c r="D191" s="16" t="str">
        <x:v>* myContacts</x:v>
      </x:c>
      <x:c r="E191" s="16" t="str">
        <x:v>Missing email</x:v>
      </x:c>
    </x:row>
    <x:row r="192">
      <x:c r="A192" s="16" t="n">
        <x:v>193</x:v>
      </x:c>
      <x:c r="B192" s="16" t="str">
        <x:v>Abu Kassim Tcj</x:v>
      </x:c>
      <x:c r="C192" s="16" t="str"/>
      <x:c r="D192" s="16" t="str">
        <x:v>* myContacts</x:v>
      </x:c>
      <x:c r="E192" s="16" t="str">
        <x:v>Missing email</x:v>
      </x:c>
    </x:row>
    <x:row r="193">
      <x:c r="A193" s="16" t="n">
        <x:v>194</x:v>
      </x:c>
      <x:c r="B193" s="16" t="str">
        <x:v>Abu Khafiey</x:v>
      </x:c>
      <x:c r="C193" s="16" t="str"/>
      <x:c r="D193" s="16" t="str">
        <x:v>* myContacts</x:v>
      </x:c>
      <x:c r="E193" s="16" t="str">
        <x:v>Missing email</x:v>
      </x:c>
    </x:row>
    <x:row r="194">
      <x:c r="A194" s="16" t="n">
        <x:v>195</x:v>
      </x:c>
      <x:c r="B194" s="16" t="str">
        <x:v>Abu MustoffaMikhael</x:v>
      </x:c>
      <x:c r="C194" s="16" t="str"/>
      <x:c r="D194" s="16" t="str">
        <x:v>* myContacts</x:v>
      </x:c>
      <x:c r="E194" s="16" t="str">
        <x:v>Missing email</x:v>
      </x:c>
    </x:row>
    <x:row r="195">
      <x:c r="A195" s="16" t="n">
        <x:v>196</x:v>
      </x:c>
      <x:c r="B195" s="16" t="str">
        <x:v>Abu samah AGP</x:v>
      </x:c>
      <x:c r="C195" s="16" t="str"/>
      <x:c r="D195" s="16" t="str">
        <x:v>* myContacts</x:v>
      </x:c>
      <x:c r="E195" s="16" t="str">
        <x:v>Missing email</x:v>
      </x:c>
    </x:row>
    <x:row r="196">
      <x:c r="A196" s="16" t="n">
        <x:v>197</x:v>
      </x:c>
      <x:c r="B196" s="16" t="str">
        <x:v>Abuzar Ghaffari AGP</x:v>
      </x:c>
      <x:c r="C196" s="16" t="str"/>
      <x:c r="D196" s="16" t="str">
        <x:v>* myContacts</x:v>
      </x:c>
      <x:c r="E196" s="16" t="str">
        <x:v>Missing email</x:v>
      </x:c>
    </x:row>
    <x:row r="197">
      <x:c r="A197" s="16" t="n">
        <x:v>198</x:v>
      </x:c>
      <x:c r="B197" s="16" t="str">
        <x:v>Ac Punk</x:v>
      </x:c>
      <x:c r="C197" s="16" t="str"/>
      <x:c r="D197" s="16" t="str">
        <x:v>* myContacts</x:v>
      </x:c>
      <x:c r="E197" s="16" t="str">
        <x:v>Missing email</x:v>
      </x:c>
    </x:row>
    <x:row r="198">
      <x:c r="A198" s="16" t="n">
        <x:v>199</x:v>
      </x:c>
      <x:c r="B198" s="16" t="str">
        <x:v>Acai Apx</x:v>
      </x:c>
      <x:c r="C198" s="16" t="str"/>
      <x:c r="D198" s="16" t="str">
        <x:v>* myContacts</x:v>
      </x:c>
      <x:c r="E198" s="16" t="str">
        <x:v>Missing email</x:v>
      </x:c>
    </x:row>
    <x:row r="199">
      <x:c r="A199" s="16" t="n">
        <x:v>200</x:v>
      </x:c>
      <x:c r="B199" s="16" t="str">
        <x:v>Acaii Tiger</x:v>
      </x:c>
      <x:c r="C199" s="16" t="str"/>
      <x:c r="D199" s="16" t="str">
        <x:v>* myContacts</x:v>
      </x:c>
      <x:c r="E199" s="16" t="str">
        <x:v>Missing email</x:v>
      </x:c>
    </x:row>
    <x:row r="200">
      <x:c r="A200" s="16" t="n">
        <x:v>201</x:v>
      </x:c>
      <x:c r="B200" s="16" t="str">
        <x:v>acap im kl</x:v>
      </x:c>
      <x:c r="C200" s="16" t="str"/>
      <x:c r="D200" s="16" t="str">
        <x:v>* myContacts</x:v>
      </x:c>
      <x:c r="E200" s="16" t="str">
        <x:v>Missing email</x:v>
      </x:c>
    </x:row>
    <x:row r="201">
      <x:c r="A201" s="16" t="n">
        <x:v>202</x:v>
      </x:c>
      <x:c r="B201" s="16" t="str">
        <x:v>Acap Marcello</x:v>
      </x:c>
      <x:c r="C201" s="16" t="str"/>
      <x:c r="D201" s="16" t="str">
        <x:v>* myContacts</x:v>
      </x:c>
      <x:c r="E201" s="16" t="str">
        <x:v>Missing email</x:v>
      </x:c>
    </x:row>
    <x:row r="202">
      <x:c r="A202" s="16" t="n">
        <x:v>203</x:v>
      </x:c>
      <x:c r="B202" s="16" t="str">
        <x:v>Acap Wady</x:v>
      </x:c>
      <x:c r="C202" s="16" t="str"/>
      <x:c r="D202" s="16" t="str">
        <x:v>* myContacts</x:v>
      </x:c>
      <x:c r="E202" s="16" t="str">
        <x:v>Missing email</x:v>
      </x:c>
    </x:row>
    <x:row r="203">
      <x:c r="A203" s="16" t="n">
        <x:v>204</x:v>
      </x:c>
      <x:c r="B203" s="16" t="str">
        <x:v>Accoung manager NADIA AMIR AVANA</x:v>
      </x:c>
      <x:c r="C203" s="16" t="str"/>
      <x:c r="D203" s="16" t="str">
        <x:v>* myContacts</x:v>
      </x:c>
      <x:c r="E203" s="16" t="str">
        <x:v>Missing email</x:v>
      </x:c>
    </x:row>
    <x:row r="204">
      <x:c r="A204" s="16" t="n">
        <x:v>205</x:v>
      </x:c>
      <x:c r="B204" s="16" t="str">
        <x:v>Ace Etol Songalia</x:v>
      </x:c>
      <x:c r="C204" s="16" t="str"/>
      <x:c r="D204" s="16" t="str">
        <x:v>* myContacts</x:v>
      </x:c>
      <x:c r="E204" s="16" t="str">
        <x:v>Missing email</x:v>
      </x:c>
    </x:row>
    <x:row r="205">
      <x:c r="A205" s="16" t="n">
        <x:v>206</x:v>
      </x:c>
      <x:c r="B205" s="16" t="str">
        <x:v>Achik Asmah</x:v>
      </x:c>
      <x:c r="C205" s="16" t="str"/>
      <x:c r="D205" s="16" t="str">
        <x:v>* myContacts</x:v>
      </x:c>
      <x:c r="E205" s="16" t="str">
        <x:v>Missing email</x:v>
      </x:c>
    </x:row>
    <x:row r="206">
      <x:c r="A206" s="16" t="n">
        <x:v>207</x:v>
      </x:c>
      <x:c r="B206" s="16" t="str">
        <x:v>Achik Dan Hakimi</x:v>
      </x:c>
      <x:c r="C206" s="16" t="str"/>
      <x:c r="D206" s="16" t="str">
        <x:v>* myContacts</x:v>
      </x:c>
      <x:c r="E206" s="16" t="str">
        <x:v>Missing email</x:v>
      </x:c>
    </x:row>
    <x:row r="207">
      <x:c r="A207" s="16" t="n">
        <x:v>208</x:v>
      </x:c>
      <x:c r="B207" s="16" t="str">
        <x:v>Achik Gee Lumut</x:v>
      </x:c>
      <x:c r="C207" s="16" t="str"/>
      <x:c r="D207" s="16" t="str">
        <x:v>* myContacts</x:v>
      </x:c>
      <x:c r="E207" s="16" t="str">
        <x:v>Missing email</x:v>
      </x:c>
    </x:row>
    <x:row r="208">
      <x:c r="A208" s="16" t="n">
        <x:v>209</x:v>
      </x:c>
      <x:c r="B208" s="16" t="str">
        <x:v>Achik Ila</x:v>
      </x:c>
      <x:c r="C208" s="16" t="str"/>
      <x:c r="D208" s="16" t="str">
        <x:v>* myContacts</x:v>
      </x:c>
      <x:c r="E208" s="16" t="str">
        <x:v>Missing email</x:v>
      </x:c>
    </x:row>
    <x:row r="209">
      <x:c r="A209" s="16" t="n">
        <x:v>210</x:v>
      </x:c>
      <x:c r="B209" s="16" t="str">
        <x:v>Achik Midah</x:v>
      </x:c>
      <x:c r="C209" s="16" t="str"/>
      <x:c r="D209" s="16" t="str">
        <x:v>* myContacts</x:v>
      </x:c>
      <x:c r="E209" s="16" t="str">
        <x:v>Missing email</x:v>
      </x:c>
    </x:row>
    <x:row r="210">
      <x:c r="A210" s="16" t="n">
        <x:v>211</x:v>
      </x:c>
      <x:c r="B210" s="16" t="str">
        <x:v>Achmad Bolenk Putrachnduwesow</x:v>
      </x:c>
      <x:c r="C210" s="16" t="str"/>
      <x:c r="D210" s="16" t="str">
        <x:v>* myContacts</x:v>
      </x:c>
      <x:c r="E210" s="16" t="str">
        <x:v>Missing email</x:v>
      </x:c>
    </x:row>
    <x:row r="211">
      <x:c r="A211" s="16" t="n">
        <x:v>212</x:v>
      </x:c>
      <x:c r="B211" s="16" t="str">
        <x:v>Achu</x:v>
      </x:c>
      <x:c r="C211" s="16" t="str"/>
      <x:c r="D211" s="16" t="str">
        <x:v>* myContacts</x:v>
      </x:c>
      <x:c r="E211" s="16" t="str">
        <x:v>Missing email</x:v>
      </x:c>
    </x:row>
    <x:row r="212">
      <x:c r="A212" s="16" t="n">
        <x:v>213</x:v>
      </x:c>
      <x:c r="B212" s="16" t="str">
        <x:v>Acik</x:v>
      </x:c>
      <x:c r="C212" s="16" t="str"/>
      <x:c r="D212" s="16" t="str">
        <x:v>* myContacts</x:v>
      </x:c>
      <x:c r="E212" s="16" t="str">
        <x:v>Missing email</x:v>
      </x:c>
    </x:row>
    <x:row r="213">
      <x:c r="A213" s="16" t="n">
        <x:v>214</x:v>
      </x:c>
      <x:c r="B213" s="16" t="str">
        <x:v>Acik Hafiz</x:v>
      </x:c>
      <x:c r="C213" s="16" t="str"/>
      <x:c r="D213" s="16" t="str">
        <x:v>* myContacts</x:v>
      </x:c>
      <x:c r="E213" s="16" t="str">
        <x:v>Missing email</x:v>
      </x:c>
    </x:row>
    <x:row r="214">
      <x:c r="A214" s="16" t="n">
        <x:v>215</x:v>
      </x:c>
      <x:c r="B214" s="16" t="str">
        <x:v>Acik Ida Acik</x:v>
      </x:c>
      <x:c r="C214" s="16" t="str"/>
      <x:c r="D214" s="16" t="str">
        <x:v>* myContacts</x:v>
      </x:c>
      <x:c r="E214" s="16" t="str">
        <x:v>Missing email</x:v>
      </x:c>
    </x:row>
    <x:row r="215">
      <x:c r="A215" s="16" t="n">
        <x:v>216</x:v>
      </x:c>
      <x:c r="B215" s="16" t="str">
        <x:v>Acik Norfadhilah Maulut</x:v>
      </x:c>
      <x:c r="C215" s="16" t="str"/>
      <x:c r="D215" s="16" t="str">
        <x:v>* myContacts</x:v>
      </x:c>
      <x:c r="E215" s="16" t="str">
        <x:v>Missing email</x:v>
      </x:c>
    </x:row>
    <x:row r="216">
      <x:c r="A216" s="16" t="n">
        <x:v>217</x:v>
      </x:c>
      <x:c r="B216" s="16" t="str">
        <x:v>AD Hatta</x:v>
      </x:c>
      <x:c r="C216" s="16" t="str"/>
      <x:c r="D216" s="16" t="str">
        <x:v>* myContacts</x:v>
      </x:c>
      <x:c r="E216" s="16" t="str">
        <x:v>Missing email</x:v>
      </x:c>
    </x:row>
    <x:row r="217">
      <x:c r="A217" s="16" t="n">
        <x:v>218</x:v>
      </x:c>
      <x:c r="B217" s="16" t="str">
        <x:v>AD Omar Tokan Installer</x:v>
      </x:c>
      <x:c r="C217" s="16" t="str"/>
      <x:c r="D217" s="16" t="str">
        <x:v>* myContacts</x:v>
      </x:c>
      <x:c r="E217" s="16" t="str">
        <x:v>Missing email</x:v>
      </x:c>
    </x:row>
    <x:row r="218">
      <x:c r="A218" s="16" t="n">
        <x:v>219</x:v>
      </x:c>
      <x:c r="B218" s="16" t="str">
        <x:v>Adaa Rozmi</x:v>
      </x:c>
      <x:c r="C218" s="16" t="str"/>
      <x:c r="D218" s="16" t="str">
        <x:v>* myContacts</x:v>
      </x:c>
      <x:c r="E218" s="16" t="str">
        <x:v>Missing email</x:v>
      </x:c>
    </x:row>
    <x:row r="219">
      <x:c r="A219" s="16" t="n">
        <x:v>220</x:v>
      </x:c>
      <x:c r="B219" s="16" t="str">
        <x:v>Adam Akmal</x:v>
      </x:c>
      <x:c r="C219" s="16" t="str"/>
      <x:c r="D219" s="16" t="str">
        <x:v>* myContacts</x:v>
      </x:c>
      <x:c r="E219" s="16" t="str">
        <x:v>Missing email</x:v>
      </x:c>
    </x:row>
    <x:row r="220">
      <x:c r="A220" s="16" t="n">
        <x:v>221</x:v>
      </x:c>
      <x:c r="B220" s="16" t="str">
        <x:v>adam audio plus</x:v>
      </x:c>
      <x:c r="C220" s="16" t="str"/>
      <x:c r="D220" s="16" t="str">
        <x:v>* myContacts</x:v>
      </x:c>
      <x:c r="E220" s="16" t="str">
        <x:v>Missing email</x:v>
      </x:c>
    </x:row>
    <x:row r="221">
      <x:c r="A221" s="16" t="n">
        <x:v>222</x:v>
      </x:c>
      <x:c r="B221" s="16" t="str">
        <x:v>Adam Aziz Ahmad</x:v>
      </x:c>
      <x:c r="C221" s="16" t="str"/>
      <x:c r="D221" s="16" t="str">
        <x:v>* myContacts</x:v>
      </x:c>
      <x:c r="E221" s="16" t="str">
        <x:v>Missing email</x:v>
      </x:c>
    </x:row>
    <x:row r="222">
      <x:c r="A222" s="16" t="n">
        <x:v>223</x:v>
      </x:c>
      <x:c r="B222" s="16" t="str">
        <x:v>Adam Firash</x:v>
      </x:c>
      <x:c r="C222" s="16" t="str"/>
      <x:c r="D222" s="16" t="str">
        <x:v>* myContacts</x:v>
      </x:c>
      <x:c r="E222" s="16" t="str">
        <x:v>Missing email</x:v>
      </x:c>
    </x:row>
    <x:row r="223">
      <x:c r="A223" s="16" t="n">
        <x:v>224</x:v>
      </x:c>
      <x:c r="B223" s="16" t="str">
        <x:v>Adam Firdaus</x:v>
      </x:c>
      <x:c r="C223" s="16" t="str"/>
      <x:c r="D223" s="16" t="str">
        <x:v>* myContacts</x:v>
      </x:c>
      <x:c r="E223" s="16" t="str">
        <x:v>Missing email</x:v>
      </x:c>
    </x:row>
    <x:row r="224">
      <x:c r="A224" s="16" t="n">
        <x:v>225</x:v>
      </x:c>
      <x:c r="B224" s="16" t="str">
        <x:v>Adam Haliza Jbey</x:v>
      </x:c>
      <x:c r="C224" s="16" t="str"/>
      <x:c r="D224" s="16" t="str">
        <x:v>* myContacts</x:v>
      </x:c>
      <x:c r="E224" s="16" t="str">
        <x:v>Missing email</x:v>
      </x:c>
    </x:row>
    <x:row r="225">
      <x:c r="A225" s="16" t="n">
        <x:v>226</x:v>
      </x:c>
      <x:c r="B225" s="16" t="str">
        <x:v>Adam Jamaludin @ Oppa AJ</x:v>
      </x:c>
      <x:c r="C225" s="16" t="str"/>
      <x:c r="D225" s="16" t="str">
        <x:v>* myContacts</x:v>
      </x:c>
      <x:c r="E225" s="16" t="str">
        <x:v>Missing email</x:v>
      </x:c>
    </x:row>
    <x:row r="226">
      <x:c r="A226" s="16" t="n">
        <x:v>227</x:v>
      </x:c>
      <x:c r="B226" s="16" t="str">
        <x:v>Adam Jaringan Pakar</x:v>
      </x:c>
      <x:c r="C226" s="16" t="str"/>
      <x:c r="D226" s="16" t="str">
        <x:v>* myContacts</x:v>
      </x:c>
      <x:c r="E226" s="16" t="str">
        <x:v>Missing email</x:v>
      </x:c>
    </x:row>
    <x:row r="227">
      <x:c r="A227" s="16" t="n">
        <x:v>228</x:v>
      </x:c>
      <x:c r="B227" s="16" t="str">
        <x:v>Adam Jnj</x:v>
      </x:c>
      <x:c r="C227" s="16" t="str"/>
      <x:c r="D227" s="16" t="str">
        <x:v>* myContacts</x:v>
      </x:c>
      <x:c r="E227" s="16" t="str">
        <x:v>Missing email</x:v>
      </x:c>
    </x:row>
    <x:row r="228">
      <x:c r="A228" s="16" t="n">
        <x:v>229</x:v>
      </x:c>
      <x:c r="B228" s="16" t="str">
        <x:v>Adam Keyna</x:v>
      </x:c>
      <x:c r="C228" s="16" t="str"/>
      <x:c r="D228" s="16" t="str">
        <x:v>* myContacts</x:v>
      </x:c>
      <x:c r="E228" s="16" t="str">
        <x:v>Missing email</x:v>
      </x:c>
    </x:row>
    <x:row r="229">
      <x:c r="A229" s="16" t="n">
        <x:v>231</x:v>
      </x:c>
      <x:c r="B229" s="16" t="str">
        <x:v>Adam Perodua</x:v>
      </x:c>
      <x:c r="C229" s="16" t="str"/>
      <x:c r="D229" s="16" t="str">
        <x:v>* myContacts</x:v>
      </x:c>
      <x:c r="E229" s="16" t="str">
        <x:v>Missing email</x:v>
      </x:c>
    </x:row>
    <x:row r="230">
      <x:c r="A230" s="16" t="n">
        <x:v>232</x:v>
      </x:c>
      <x:c r="B230" s="16" t="str">
        <x:v>Adam Raffi</x:v>
      </x:c>
      <x:c r="C230" s="16" t="str"/>
      <x:c r="D230" s="16" t="str">
        <x:v>* myContacts</x:v>
      </x:c>
      <x:c r="E230" s="16" t="str">
        <x:v>Missing email</x:v>
      </x:c>
    </x:row>
    <x:row r="231">
      <x:c r="A231" s="16" t="n">
        <x:v>233</x:v>
      </x:c>
      <x:c r="B231" s="16" t="str">
        <x:v>Adam Ryan</x:v>
      </x:c>
      <x:c r="C231" s="16" t="str"/>
      <x:c r="D231" s="16" t="str">
        <x:v>* myContacts</x:v>
      </x:c>
      <x:c r="E231" s="16" t="str">
        <x:v>Missing email</x:v>
      </x:c>
    </x:row>
    <x:row r="232">
      <x:c r="A232" s="16" t="n">
        <x:v>234</x:v>
      </x:c>
      <x:c r="B232" s="16" t="str">
        <x:v>Adam Sanni</x:v>
      </x:c>
      <x:c r="C232" s="16" t="str"/>
      <x:c r="D232" s="16" t="str">
        <x:v>* myContacts</x:v>
      </x:c>
      <x:c r="E232" s="16" t="str">
        <x:v>Missing email</x:v>
      </x:c>
    </x:row>
    <x:row r="233">
      <x:c r="A233" s="16" t="n">
        <x:v>235</x:v>
      </x:c>
      <x:c r="B233" s="16" t="str">
        <x:v>Adam Seman</x:v>
      </x:c>
      <x:c r="C233" s="16" t="str"/>
      <x:c r="D233" s="16" t="str">
        <x:v>* myContacts</x:v>
      </x:c>
      <x:c r="E233" s="16" t="str">
        <x:v>Missing email</x:v>
      </x:c>
    </x:row>
    <x:row r="234">
      <x:c r="A234" s="16" t="n">
        <x:v>236</x:v>
      </x:c>
      <x:c r="B234" s="16" t="str">
        <x:v>Adam Tauke Restoran Sidah</x:v>
      </x:c>
      <x:c r="C234" s="16" t="str"/>
      <x:c r="D234" s="16" t="str">
        <x:v>* myContacts</x:v>
      </x:c>
      <x:c r="E234" s="16" t="str">
        <x:v>Missing email</x:v>
      </x:c>
    </x:row>
    <x:row r="235">
      <x:c r="A235" s="16" t="n">
        <x:v>237</x:v>
      </x:c>
      <x:c r="B235" s="16" t="str">
        <x:v>Adam Yeoh</x:v>
      </x:c>
      <x:c r="C235" s="16" t="str"/>
      <x:c r="D235" s="16" t="str">
        <x:v>* myContacts</x:v>
      </x:c>
      <x:c r="E235" s="16" t="str">
        <x:v>Missing email</x:v>
      </x:c>
    </x:row>
    <x:row r="236">
      <x:c r="A236" s="16" t="n">
        <x:v>238</x:v>
      </x:c>
      <x:c r="B236" s="16" t="str">
        <x:v>Adami Faqeh</x:v>
      </x:c>
      <x:c r="C236" s="16" t="str"/>
      <x:c r="D236" s="16" t="str">
        <x:v>* myContacts</x:v>
      </x:c>
      <x:c r="E236" s="16" t="str">
        <x:v>Missing email</x:v>
      </x:c>
    </x:row>
    <x:row r="237">
      <x:c r="A237" s="16" t="n">
        <x:v>239</x:v>
      </x:c>
      <x:c r="B237" s="16" t="str">
        <x:v>Adawiyah Amir</x:v>
      </x:c>
      <x:c r="C237" s="16" t="str"/>
      <x:c r="D237" s="16" t="str">
        <x:v>* myContacts</x:v>
      </x:c>
      <x:c r="E237" s="16" t="str">
        <x:v>Missing email</x:v>
      </x:c>
    </x:row>
    <x:row r="238">
      <x:c r="A238" s="16" t="n">
        <x:v>240</x:v>
      </x:c>
      <x:c r="B238" s="16" t="str">
        <x:v>Adda (Coach Syahril)</x:v>
      </x:c>
      <x:c r="C238" s="16" t="str"/>
      <x:c r="D238" s="16" t="str">
        <x:v>Trainer | * myContacts</x:v>
      </x:c>
      <x:c r="E238" s="16" t="str">
        <x:v>Missing email</x:v>
      </x:c>
    </x:row>
    <x:row r="239">
      <x:c r="A239" s="16" t="n">
        <x:v>241</x:v>
      </x:c>
      <x:c r="B239" s="16" t="str">
        <x:v>Addie Flavian</x:v>
      </x:c>
      <x:c r="C239" s="16" t="str"/>
      <x:c r="D239" s="16" t="str">
        <x:v>* myContacts</x:v>
      </x:c>
      <x:c r="E239" s="16" t="str">
        <x:v>Missing email</x:v>
      </x:c>
    </x:row>
    <x:row r="240">
      <x:c r="A240" s="16" t="n">
        <x:v>242</x:v>
      </x:c>
      <x:c r="B240" s="16" t="str">
        <x:v>Addylim Uni</x:v>
      </x:c>
      <x:c r="C240" s="16" t="str"/>
      <x:c r="D240" s="16" t="str">
        <x:v>* myContacts</x:v>
      </x:c>
      <x:c r="E240" s="16" t="str">
        <x:v>Missing email</x:v>
      </x:c>
    </x:row>
    <x:row r="241">
      <x:c r="A241" s="16" t="n">
        <x:v>243</x:v>
      </x:c>
      <x:c r="B241" s="16" t="str">
        <x:v>Aden Mazz Dhawi</x:v>
      </x:c>
      <x:c r="C241" s="16" t="str"/>
      <x:c r="D241" s="16" t="str">
        <x:v>* myContacts</x:v>
      </x:c>
      <x:c r="E241" s="16" t="str">
        <x:v>Missing email</x:v>
      </x:c>
    </x:row>
    <x:row r="242">
      <x:c r="A242" s="16" t="n">
        <x:v>244</x:v>
      </x:c>
      <x:c r="B242" s="16" t="str">
        <x:v>Adhi Azahra</x:v>
      </x:c>
      <x:c r="C242" s="16" t="str"/>
      <x:c r="D242" s="16" t="str">
        <x:v>* myContacts</x:v>
      </x:c>
      <x:c r="E242" s="16" t="str">
        <x:v>Missing email</x:v>
      </x:c>
    </x:row>
    <x:row r="243">
      <x:c r="A243" s="16" t="n">
        <x:v>245</x:v>
      </x:c>
      <x:c r="B243" s="16" t="str">
        <x:v>Adhi Mishary Al Afasy</x:v>
      </x:c>
      <x:c r="C243" s="16" t="str"/>
      <x:c r="D243" s="16" t="str">
        <x:v>* myContacts</x:v>
      </x:c>
      <x:c r="E243" s="16" t="str">
        <x:v>Missing email</x:v>
      </x:c>
    </x:row>
    <x:row r="244">
      <x:c r="A244" s="16" t="n">
        <x:v>246</x:v>
      </x:c>
      <x:c r="B244" s="16" t="str">
        <x:v>Adi Copywriter</x:v>
      </x:c>
      <x:c r="C244" s="16" t="str"/>
      <x:c r="D244" s="16" t="str">
        <x:v>* myContacts</x:v>
      </x:c>
      <x:c r="E244" s="16" t="str">
        <x:v>Missing email</x:v>
      </x:c>
    </x:row>
    <x:row r="245">
      <x:c r="A245" s="16" t="n">
        <x:v>247</x:v>
      </x:c>
      <x:c r="B245" s="16" t="str">
        <x:v>Adi Indra</x:v>
      </x:c>
      <x:c r="C245" s="16" t="str"/>
      <x:c r="D245" s="16" t="str">
        <x:v>* myContacts</x:v>
      </x:c>
      <x:c r="E245" s="16" t="str">
        <x:v>Missing email</x:v>
      </x:c>
    </x:row>
    <x:row r="246">
      <x:c r="A246" s="16" t="n">
        <x:v>248</x:v>
      </x:c>
      <x:c r="B246" s="16" t="str">
        <x:v>Adi Kontraktor</x:v>
      </x:c>
      <x:c r="C246" s="16" t="str"/>
      <x:c r="D246" s="16" t="str">
        <x:v>* myContacts</x:v>
      </x:c>
      <x:c r="E246" s="16" t="str">
        <x:v>Missing email</x:v>
      </x:c>
    </x:row>
    <x:row r="247">
      <x:c r="A247" s="16" t="n">
        <x:v>249</x:v>
      </x:c>
      <x:c r="B247" s="16" t="str">
        <x:v>Adi Rahcmat</x:v>
      </x:c>
      <x:c r="C247" s="16" t="str"/>
      <x:c r="D247" s="16" t="str">
        <x:v>* myContacts</x:v>
      </x:c>
      <x:c r="E247" s="16" t="str">
        <x:v>Missing email</x:v>
      </x:c>
    </x:row>
    <x:row r="248">
      <x:c r="A248" s="16" t="n">
        <x:v>250</x:v>
      </x:c>
      <x:c r="B248" s="16" t="str">
        <x:v>Adi senang la</x:v>
      </x:c>
      <x:c r="C248" s="16" t="str"/>
      <x:c r="D248" s="16" t="str">
        <x:v>* myContacts</x:v>
      </x:c>
      <x:c r="E248" s="16" t="str">
        <x:v>Missing email</x:v>
      </x:c>
    </x:row>
    <x:row r="249">
      <x:c r="A249" s="16" t="n">
        <x:v>251</x:v>
      </x:c>
      <x:c r="B249" s="16" t="str">
        <x:v>Adi Widodo</x:v>
      </x:c>
      <x:c r="C249" s="16" t="str"/>
      <x:c r="D249" s="16" t="str">
        <x:v>* myContacts</x:v>
      </x:c>
      <x:c r="E249" s="16" t="str">
        <x:v>Missing email</x:v>
      </x:c>
    </x:row>
    <x:row r="250">
      <x:c r="A250" s="16" t="n">
        <x:v>252</x:v>
      </x:c>
      <x:c r="B250" s="16" t="str">
        <x:v>Adib Nurudin</x:v>
      </x:c>
      <x:c r="C250" s="16" t="str"/>
      <x:c r="D250" s="16" t="str">
        <x:v>* myContacts</x:v>
      </x:c>
      <x:c r="E250" s="16" t="str">
        <x:v>Missing email</x:v>
      </x:c>
    </x:row>
    <x:row r="251">
      <x:c r="A251" s="16" t="n">
        <x:v>253</x:v>
      </x:c>
      <x:c r="B251" s="16" t="str">
        <x:v>Adibah Abdullah</x:v>
      </x:c>
      <x:c r="C251" s="16" t="str"/>
      <x:c r="D251" s="16" t="str">
        <x:v>* myContacts</x:v>
      </x:c>
      <x:c r="E251" s="16" t="str">
        <x:v>Missing email</x:v>
      </x:c>
    </x:row>
    <x:row r="252">
      <x:c r="A252" s="16" t="n">
        <x:v>254</x:v>
      </x:c>
      <x:c r="B252" s="16" t="str">
        <x:v>Adibah Binti Ramli</x:v>
      </x:c>
      <x:c r="C252" s="16" t="str"/>
      <x:c r="D252" s="16" t="str">
        <x:v>* myContacts</x:v>
      </x:c>
      <x:c r="E252" s="16" t="str">
        <x:v>Missing email</x:v>
      </x:c>
    </x:row>
    <x:row r="253">
      <x:c r="A253" s="16" t="n">
        <x:v>255</x:v>
      </x:c>
      <x:c r="B253" s="16" t="str">
        <x:v>Adibah Palazzo</x:v>
      </x:c>
      <x:c r="C253" s="16" t="str"/>
      <x:c r="D253" s="16" t="str">
        <x:v>* myContacts</x:v>
      </x:c>
      <x:c r="E253" s="16" t="str">
        <x:v>Missing email</x:v>
      </x:c>
    </x:row>
    <x:row r="254">
      <x:c r="A254" s="16" t="n">
        <x:v>256</x:v>
      </x:c>
      <x:c r="B254" s="16" t="str">
        <x:v>Adid Taufiq</x:v>
      </x:c>
      <x:c r="C254" s="16" t="str"/>
      <x:c r="D254" s="16" t="str">
        <x:v>* myContacts</x:v>
      </x:c>
      <x:c r="E254" s="16" t="str">
        <x:v>Missing email</x:v>
      </x:c>
    </x:row>
    <x:row r="255">
      <x:c r="A255" s="16" t="n">
        <x:v>257</x:v>
      </x:c>
      <x:c r="B255" s="16" t="str">
        <x:v>Adie Coway</x:v>
      </x:c>
      <x:c r="C255" s="16" t="str"/>
      <x:c r="D255" s="16" t="str">
        <x:v>* myContacts</x:v>
      </x:c>
      <x:c r="E255" s="16" t="str">
        <x:v>Missing email</x:v>
      </x:c>
    </x:row>
    <x:row r="256">
      <x:c r="A256" s="16" t="n">
        <x:v>258</x:v>
      </x:c>
      <x:c r="B256" s="16" t="str">
        <x:v>Adie Ryechyee Richiee</x:v>
      </x:c>
      <x:c r="C256" s="16" t="str"/>
      <x:c r="D256" s="16" t="str">
        <x:v>* myContacts</x:v>
      </x:c>
      <x:c r="E256" s="16" t="str">
        <x:v>Missing email</x:v>
      </x:c>
    </x:row>
    <x:row r="257">
      <x:c r="A257" s="16" t="n">
        <x:v>259</x:v>
      </x:c>
      <x:c r="B257" s="16" t="str">
        <x:v>Adie Yadie</x:v>
      </x:c>
      <x:c r="C257" s="16" t="str"/>
      <x:c r="D257" s="16" t="str">
        <x:v>* myContacts</x:v>
      </x:c>
      <x:c r="E257" s="16" t="str">
        <x:v>Missing email</x:v>
      </x:c>
    </x:row>
    <x:row r="258">
      <x:c r="A258" s="16" t="n">
        <x:v>260</x:v>
      </x:c>
      <x:c r="B258" s="16" t="str">
        <x:v>Adien Lsm</x:v>
      </x:c>
      <x:c r="C258" s="16" t="str"/>
      <x:c r="D258" s="16" t="str">
        <x:v>* myContacts</x:v>
      </x:c>
      <x:c r="E258" s="16" t="str">
        <x:v>Missing email</x:v>
      </x:c>
    </x:row>
    <x:row r="259">
      <x:c r="A259" s="16" t="n">
        <x:v>261</x:v>
      </x:c>
      <x:c r="B259" s="16" t="str">
        <x:v>Adik Suhaila Agent Essens</x:v>
      </x:c>
      <x:c r="C259" s="16" t="str"/>
      <x:c r="D259" s="16" t="str">
        <x:v>* myContacts</x:v>
      </x:c>
      <x:c r="E259" s="16" t="str">
        <x:v>Missing email</x:v>
      </x:c>
    </x:row>
    <x:row r="260">
      <x:c r="A260" s="16" t="n">
        <x:v>262</x:v>
      </x:c>
      <x:c r="B260" s="16" t="str">
        <x:v>Adil Anis Uitm</x:v>
      </x:c>
      <x:c r="C260" s="16" t="str"/>
      <x:c r="D260" s="16" t="str">
        <x:v>* myContacts</x:v>
      </x:c>
      <x:c r="E260" s="16" t="str">
        <x:v>Missing email</x:v>
      </x:c>
    </x:row>
    <x:row r="261">
      <x:c r="A261" s="16" t="n">
        <x:v>263</x:v>
      </x:c>
      <x:c r="B261" s="16" t="str">
        <x:v>Adila Azwa</x:v>
      </x:c>
      <x:c r="C261" s="16" t="str"/>
      <x:c r="D261" s="16" t="str">
        <x:v>* myContacts</x:v>
      </x:c>
      <x:c r="E261" s="16" t="str">
        <x:v>Missing email</x:v>
      </x:c>
    </x:row>
    <x:row r="262">
      <x:c r="A262" s="16" t="n">
        <x:v>264</x:v>
      </x:c>
      <x:c r="B262" s="16" t="str">
        <x:v>Adila Lavender</x:v>
      </x:c>
      <x:c r="C262" s="16" t="str"/>
      <x:c r="D262" s="16" t="str">
        <x:v>* myContacts</x:v>
      </x:c>
      <x:c r="E262" s="16" t="str">
        <x:v>Missing email</x:v>
      </x:c>
    </x:row>
    <x:row r="263">
      <x:c r="A263" s="16" t="n">
        <x:v>265</x:v>
      </x:c>
      <x:c r="B263" s="16" t="str">
        <x:v>Adilla Syafia Akilla</x:v>
      </x:c>
      <x:c r="C263" s="16" t="str"/>
      <x:c r="D263" s="16" t="str">
        <x:v>* myContacts</x:v>
      </x:c>
      <x:c r="E263" s="16" t="str">
        <x:v>Missing email</x:v>
      </x:c>
    </x:row>
    <x:row r="264">
      <x:c r="A264" s="16" t="n">
        <x:v>266</x:v>
      </x:c>
      <x:c r="B264" s="16" t="str">
        <x:v>Adin Putra</x:v>
      </x:c>
      <x:c r="C264" s="16" t="str"/>
      <x:c r="D264" s="16" t="str">
        <x:v>* myContacts</x:v>
      </x:c>
      <x:c r="E264" s="16" t="str">
        <x:v>Missing email</x:v>
      </x:c>
    </x:row>
    <x:row r="265">
      <x:c r="A265" s="16" t="n">
        <x:v>267</x:v>
      </x:c>
      <x:c r="B265" s="16" t="str">
        <x:v>Adindanor Albanjari</x:v>
      </x:c>
      <x:c r="C265" s="16" t="str"/>
      <x:c r="D265" s="16" t="str">
        <x:v>* myContacts</x:v>
      </x:c>
      <x:c r="E265" s="16" t="str">
        <x:v>Missing email</x:v>
      </x:c>
    </x:row>
    <x:row r="266">
      <x:c r="A266" s="16" t="n">
        <x:v>268</x:v>
      </x:c>
      <x:c r="B266" s="16" t="str">
        <x:v>Adit Wiranata Pratama</x:v>
      </x:c>
      <x:c r="C266" s="16" t="str"/>
      <x:c r="D266" s="16" t="str">
        <x:v>* myContacts</x:v>
      </x:c>
      <x:c r="E266" s="16" t="str">
        <x:v>Missing email</x:v>
      </x:c>
    </x:row>
    <x:row r="267">
      <x:c r="A267" s="16" t="n">
        <x:v>269</x:v>
      </x:c>
      <x:c r="B267" s="16" t="str">
        <x:v>Adiwana Otopidik</x:v>
      </x:c>
      <x:c r="C267" s="16" t="str"/>
      <x:c r="D267" s="16" t="str">
        <x:v>* myContacts</x:v>
      </x:c>
      <x:c r="E267" s="16" t="str">
        <x:v>Missing email</x:v>
      </x:c>
    </x:row>
    <x:row r="268">
      <x:c r="A268" s="16" t="n">
        <x:v>270</x:v>
      </x:c>
      <x:c r="B268" s="16" t="str">
        <x:v>Adjut Raey Anderson</x:v>
      </x:c>
      <x:c r="C268" s="16" t="str"/>
      <x:c r="D268" s="16" t="str">
        <x:v>* myContacts</x:v>
      </x:c>
      <x:c r="E268" s="16" t="str">
        <x:v>Missing email</x:v>
      </x:c>
    </x:row>
    <x:row r="269">
      <x:c r="A269" s="16" t="n">
        <x:v>271</x:v>
      </x:c>
      <x:c r="B269" s="16" t="str">
        <x:v>Adli Abd Halim</x:v>
      </x:c>
      <x:c r="C269" s="16" t="str"/>
      <x:c r="D269" s="16" t="str">
        <x:v>* myContacts</x:v>
      </x:c>
      <x:c r="E269" s="16" t="str">
        <x:v>Missing email</x:v>
      </x:c>
    </x:row>
    <x:row r="270">
      <x:c r="A270" s="16" t="n">
        <x:v>272</x:v>
      </x:c>
      <x:c r="B270" s="16" t="str">
        <x:v>Adli Bin Salahuddin</x:v>
      </x:c>
      <x:c r="C270" s="16" t="str"/>
      <x:c r="D270" s="16" t="str">
        <x:v>* myContacts</x:v>
      </x:c>
      <x:c r="E270" s="16" t="str">
        <x:v>Missing email</x:v>
      </x:c>
    </x:row>
    <x:row r="271">
      <x:c r="A271" s="16" t="n">
        <x:v>273</x:v>
      </x:c>
      <x:c r="B271" s="16" t="str">
        <x:v>Adli Designer Graphic</x:v>
      </x:c>
      <x:c r="C271" s="16" t="str"/>
      <x:c r="D271" s="16" t="str">
        <x:v>* myContacts</x:v>
      </x:c>
      <x:c r="E271" s="16" t="str">
        <x:v>Missing email</x:v>
      </x:c>
    </x:row>
    <x:row r="272">
      <x:c r="A272" s="16" t="n">
        <x:v>274</x:v>
      </x:c>
      <x:c r="B272" s="16" t="str">
        <x:v>Adli Dpim Secretary</x:v>
      </x:c>
      <x:c r="C272" s="16" t="str"/>
      <x:c r="D272" s="16" t="str">
        <x:v>* myContacts</x:v>
      </x:c>
      <x:c r="E272" s="16" t="str">
        <x:v>Missing email</x:v>
      </x:c>
    </x:row>
    <x:row r="273">
      <x:c r="A273" s="16" t="n">
        <x:v>275</x:v>
      </x:c>
      <x:c r="B273" s="16" t="str">
        <x:v>Adli Executive Secretarial DPIM</x:v>
      </x:c>
      <x:c r="C273" s="16" t="str"/>
      <x:c r="D273" s="16" t="str">
        <x:v>* myContacts</x:v>
      </x:c>
      <x:c r="E273" s="16" t="str">
        <x:v>Missing email</x:v>
      </x:c>
    </x:row>
    <x:row r="274">
      <x:c r="A274" s="16" t="n">
        <x:v>276</x:v>
      </x:c>
      <x:c r="B274" s="16" t="str">
        <x:v>Adli Harith Secretary Dpim</x:v>
      </x:c>
      <x:c r="C274" s="16" t="str"/>
      <x:c r="D274" s="16" t="str">
        <x:v>* myContacts</x:v>
      </x:c>
      <x:c r="E274" s="16" t="str">
        <x:v>Missing email</x:v>
      </x:c>
    </x:row>
    <x:row r="275">
      <x:c r="A275" s="16" t="n">
        <x:v>277</x:v>
      </x:c>
      <x:c r="B275" s="16" t="str">
        <x:v>Adly Cheetah Safety Sho</x:v>
      </x:c>
      <x:c r="C275" s="16" t="str"/>
      <x:c r="D275" s="16" t="str">
        <x:v>* myContacts</x:v>
      </x:c>
      <x:c r="E275" s="16" t="str">
        <x:v>Missing email</x:v>
      </x:c>
    </x:row>
    <x:row r="276">
      <x:c r="A276" s="16" t="n">
        <x:v>278</x:v>
      </x:c>
      <x:c r="B276" s="16" t="str">
        <x:v>Admin Program BEEP</x:v>
      </x:c>
      <x:c r="C276" s="16" t="str"/>
      <x:c r="D276" s="16" t="str">
        <x:v>* myContacts</x:v>
      </x:c>
      <x:c r="E276" s="16" t="str">
        <x:v>Missing email</x:v>
      </x:c>
    </x:row>
    <x:row r="277">
      <x:c r="A277" s="16" t="n">
        <x:v>279</x:v>
      </x:c>
      <x:c r="B277" s="16" t="str">
        <x:v>ADMIN Richworks</x:v>
      </x:c>
      <x:c r="C277" s="16" t="str"/>
      <x:c r="D277" s="16" t="str">
        <x:v>* myContacts</x:v>
      </x:c>
      <x:c r="E277" s="16" t="str">
        <x:v>Missing email</x:v>
      </x:c>
    </x:row>
    <x:row r="278">
      <x:c r="A278" s="16" t="n">
        <x:v>280</x:v>
      </x:c>
      <x:c r="B278" s="16" t="str">
        <x:v>Adnan Jani</x:v>
      </x:c>
      <x:c r="C278" s="16" t="str"/>
      <x:c r="D278" s="16" t="str">
        <x:v>* myContacts</x:v>
      </x:c>
      <x:c r="E278" s="16" t="str">
        <x:v>Missing email</x:v>
      </x:c>
    </x:row>
    <x:row r="279">
      <x:c r="A279" s="16" t="n">
        <x:v>281</x:v>
      </x:c>
      <x:c r="B279" s="16" t="str">
        <x:v>Adnan Kasogi</x:v>
      </x:c>
      <x:c r="C279" s="16" t="str"/>
      <x:c r="D279" s="16" t="str">
        <x:v>* myContacts</x:v>
      </x:c>
      <x:c r="E279" s="16" t="str">
        <x:v>Missing email</x:v>
      </x:c>
    </x:row>
    <x:row r="280">
      <x:c r="A280" s="16" t="n">
        <x:v>282</x:v>
      </x:c>
      <x:c r="B280" s="16" t="str">
        <x:v>Adni Flexi Print</x:v>
      </x:c>
      <x:c r="C280" s="16" t="str"/>
      <x:c r="D280" s="16" t="str">
        <x:v>* myContacts</x:v>
      </x:c>
      <x:c r="E280" s="16" t="str">
        <x:v>Missing email</x:v>
      </x:c>
    </x:row>
    <x:row r="281">
      <x:c r="A281" s="16" t="n">
        <x:v>283</x:v>
      </x:c>
      <x:c r="B281" s="16" t="str">
        <x:v>Adri XS</x:v>
      </x:c>
      <x:c r="C281" s="16" t="str"/>
      <x:c r="D281" s="16" t="str">
        <x:v>* myContacts</x:v>
      </x:c>
      <x:c r="E281" s="16" t="str">
        <x:v>Missing email</x:v>
      </x:c>
    </x:row>
    <x:row r="282">
      <x:c r="A282" s="16" t="n">
        <x:v>284</x:v>
      </x:c>
      <x:c r="B282" s="16" t="str">
        <x:v>Adri Yanto</x:v>
      </x:c>
      <x:c r="C282" s="16" t="str"/>
      <x:c r="D282" s="16" t="str">
        <x:v>* myContacts</x:v>
      </x:c>
      <x:c r="E282" s="16" t="str">
        <x:v>Missing email</x:v>
      </x:c>
    </x:row>
    <x:row r="283">
      <x:c r="A283" s="16" t="n">
        <x:v>285</x:v>
      </x:c>
      <x:c r="B283" s="16" t="str">
        <x:v>Adrian Adnan</x:v>
      </x:c>
      <x:c r="C283" s="16" t="str"/>
      <x:c r="D283" s="16" t="str">
        <x:v>* myContacts</x:v>
      </x:c>
      <x:c r="E283" s="16" t="str">
        <x:v>Missing email</x:v>
      </x:c>
    </x:row>
    <x:row r="284">
      <x:c r="A284" s="16" t="n">
        <x:v>286</x:v>
      </x:c>
      <x:c r="B284" s="16" t="str">
        <x:v>Adrian Webstar</x:v>
      </x:c>
      <x:c r="C284" s="16" t="str"/>
      <x:c r="D284" s="16" t="str">
        <x:v>* myContacts</x:v>
      </x:c>
      <x:c r="E284" s="16" t="str">
        <x:v>Missing email</x:v>
      </x:c>
    </x:row>
    <x:row r="285">
      <x:c r="A285" s="16" t="n">
        <x:v>287</x:v>
      </x:c>
      <x:c r="B285" s="16" t="str">
        <x:v>Adriana SKKM</x:v>
      </x:c>
      <x:c r="C285" s="16" t="str"/>
      <x:c r="D285" s="16" t="str">
        <x:v>* myContacts</x:v>
      </x:c>
      <x:c r="E285" s="16" t="str">
        <x:v>Missing email</x:v>
      </x:c>
    </x:row>
    <x:row r="286">
      <x:c r="A286" s="16" t="n">
        <x:v>288</x:v>
      </x:c>
      <x:c r="B286" s="16" t="str">
        <x:v>Adriesha Krkeanz</x:v>
      </x:c>
      <x:c r="C286" s="16" t="str"/>
      <x:c r="D286" s="16" t="str">
        <x:v>* myContacts</x:v>
      </x:c>
      <x:c r="E286" s="16" t="str">
        <x:v>Missing email</x:v>
      </x:c>
    </x:row>
    <x:row r="287">
      <x:c r="A287" s="16" t="n">
        <x:v>289</x:v>
      </x:c>
      <x:c r="B287" s="16" t="str">
        <x:v>Adry Coach</x:v>
      </x:c>
      <x:c r="C287" s="16" t="str"/>
      <x:c r="D287" s="16" t="str">
        <x:v>Trainer | * myContacts</x:v>
      </x:c>
      <x:c r="E287" s="16" t="str">
        <x:v>Missing email</x:v>
      </x:c>
    </x:row>
    <x:row r="288">
      <x:c r="A288" s="16" t="n">
        <x:v>290</x:v>
      </x:c>
      <x:c r="B288" s="16" t="str">
        <x:v>Aduan Trafik JPJ</x:v>
      </x:c>
      <x:c r="C288" s="16" t="str"/>
      <x:c r="D288" s="16" t="str">
        <x:v>* myContacts</x:v>
      </x:c>
      <x:c r="E288" s="16" t="str">
        <x:v>Missing email</x:v>
      </x:c>
    </x:row>
    <x:row r="289">
      <x:c r="A289" s="16" t="n">
        <x:v>291</x:v>
      </x:c>
      <x:c r="B289" s="16" t="str">
        <x:v>Adukaboy Qtn</x:v>
      </x:c>
      <x:c r="C289" s="16" t="str"/>
      <x:c r="D289" s="16" t="str">
        <x:v>* myContacts</x:v>
      </x:c>
      <x:c r="E289" s="16" t="str">
        <x:v>Missing email</x:v>
      </x:c>
    </x:row>
    <x:row r="290">
      <x:c r="A290" s="16" t="n">
        <x:v>292</x:v>
      </x:c>
      <x:c r="B290" s="16" t="str">
        <x:v>Adwin Lam</x:v>
      </x:c>
      <x:c r="C290" s="16" t="str"/>
      <x:c r="D290" s="16" t="str">
        <x:v>* myContacts</x:v>
      </x:c>
      <x:c r="E290" s="16" t="str">
        <x:v>Missing email</x:v>
      </x:c>
    </x:row>
    <x:row r="291">
      <x:c r="A291" s="16" t="n">
        <x:v>293</x:v>
      </x:c>
      <x:c r="B291" s="16" t="str">
        <x:v>Ady Tauke Pop Cheez</x:v>
      </x:c>
      <x:c r="C291" s="16" t="str"/>
      <x:c r="D291" s="16" t="str">
        <x:v>* myContacts</x:v>
      </x:c>
      <x:c r="E291" s="16" t="str">
        <x:v>Missing email</x:v>
      </x:c>
    </x:row>
    <x:row r="292">
      <x:c r="A292" s="16" t="n">
        <x:v>294</x:v>
      </x:c>
      <x:c r="B292" s="16" t="str">
        <x:v>Ady Ukich</x:v>
      </x:c>
      <x:c r="C292" s="16" t="str"/>
      <x:c r="D292" s="16" t="str">
        <x:v>* myContacts</x:v>
      </x:c>
      <x:c r="E292" s="16" t="str">
        <x:v>Missing email</x:v>
      </x:c>
    </x:row>
    <x:row r="293">
      <x:c r="A293" s="16" t="n">
        <x:v>295</x:v>
      </x:c>
      <x:c r="B293" s="16" t="str">
        <x:v>Adynor Azrin Abd Kadir</x:v>
      </x:c>
      <x:c r="C293" s="16" t="str"/>
      <x:c r="D293" s="16" t="str">
        <x:v>* myContacts</x:v>
      </x:c>
      <x:c r="E293" s="16" t="str">
        <x:v>Missing email</x:v>
      </x:c>
    </x:row>
    <x:row r="294">
      <x:c r="A294" s="16" t="n">
        <x:v>296</x:v>
      </x:c>
      <x:c r="B294" s="16" t="str">
        <x:v>Adzam CIAST</x:v>
      </x:c>
      <x:c r="C294" s="16" t="str"/>
      <x:c r="D294" s="16" t="str">
        <x:v>* myContacts</x:v>
      </x:c>
      <x:c r="E294" s="16" t="str">
        <x:v>Missing email</x:v>
      </x:c>
    </x:row>
    <x:row r="295">
      <x:c r="A295" s="16" t="n">
        <x:v>297</x:v>
      </x:c>
      <x:c r="B295" s="16" t="str">
        <x:v>Adzhar Osman</x:v>
      </x:c>
      <x:c r="C295" s="16" t="str"/>
      <x:c r="D295" s="16" t="str">
        <x:v>* myContacts</x:v>
      </x:c>
      <x:c r="E295" s="16" t="str">
        <x:v>Missing email</x:v>
      </x:c>
    </x:row>
    <x:row r="296">
      <x:c r="A296" s="16" t="n">
        <x:v>298</x:v>
      </x:c>
      <x:c r="B296" s="16" t="str">
        <x:v>Adzrai Ceo TMIM</x:v>
      </x:c>
      <x:c r="C296" s="16" t="str"/>
      <x:c r="D296" s="16" t="str">
        <x:v>* myContacts</x:v>
      </x:c>
      <x:c r="E296" s="16" t="str">
        <x:v>Missing email</x:v>
      </x:c>
    </x:row>
    <x:row r="297">
      <x:c r="A297" s="16" t="n">
        <x:v>299</x:v>
      </x:c>
      <x:c r="B297" s="16" t="str">
        <x:v>adzura dpim</x:v>
      </x:c>
      <x:c r="C297" s="16" t="str"/>
      <x:c r="D297" s="16" t="str">
        <x:v>* myContacts</x:v>
      </x:c>
      <x:c r="E297" s="16" t="str">
        <x:v>Missing email</x:v>
      </x:c>
    </x:row>
    <x:row r="298">
      <x:c r="A298" s="16" t="n">
        <x:v>300</x:v>
      </x:c>
      <x:c r="B298" s="16" t="str">
        <x:v>Aeiri Abas</x:v>
      </x:c>
      <x:c r="C298" s="16" t="str"/>
      <x:c r="D298" s="16" t="str">
        <x:v>* myContacts</x:v>
      </x:c>
      <x:c r="E298" s="16" t="str">
        <x:v>Missing email</x:v>
      </x:c>
    </x:row>
    <x:row r="299">
      <x:c r="A299" s="16" t="n">
        <x:v>301</x:v>
      </x:c>
      <x:c r="B299" s="16" t="str">
        <x:v>Aen Pete DahLia</x:v>
      </x:c>
      <x:c r="C299" s="16" t="str"/>
      <x:c r="D299" s="16" t="str">
        <x:v>* myContacts</x:v>
      </x:c>
      <x:c r="E299" s="16" t="str">
        <x:v>Missing email</x:v>
      </x:c>
    </x:row>
    <x:row r="300">
      <x:c r="A300" s="16" t="n">
        <x:v>302</x:v>
      </x:c>
      <x:c r="B300" s="16" t="str">
        <x:v>Aent Cuckoo JohorBahru</x:v>
      </x:c>
      <x:c r="C300" s="16" t="str"/>
      <x:c r="D300" s="16" t="str">
        <x:v>* myContacts</x:v>
      </x:c>
      <x:c r="E300" s="16" t="str">
        <x:v>Missing email</x:v>
      </x:c>
    </x:row>
    <x:row r="301">
      <x:c r="A301" s="16" t="n">
        <x:v>303</x:v>
      </x:c>
      <x:c r="B301" s="16" t="str">
        <x:v>Afandi Saripi Teg</x:v>
      </x:c>
      <x:c r="C301" s="16" t="str"/>
      <x:c r="D301" s="16" t="str">
        <x:v>* myContacts</x:v>
      </x:c>
      <x:c r="E301" s="16" t="str">
        <x:v>Missing email</x:v>
      </x:c>
    </x:row>
    <x:row r="302">
      <x:c r="A302" s="16" t="n">
        <x:v>304</x:v>
      </x:c>
      <x:c r="B302" s="16" t="str">
        <x:v>Afeez ezry bin azami</x:v>
      </x:c>
      <x:c r="C302" s="16" t="str"/>
      <x:c r="D302" s="16" t="str">
        <x:v>* myContacts</x:v>
      </x:c>
      <x:c r="E302" s="16" t="str">
        <x:v>Missing email</x:v>
      </x:c>
    </x:row>
    <x:row r="303">
      <x:c r="A303" s="16" t="n">
        <x:v>305</x:v>
      </x:c>
      <x:c r="B303" s="16" t="str">
        <x:v>Affa Arena</x:v>
      </x:c>
      <x:c r="C303" s="16" t="str"/>
      <x:c r="D303" s="16" t="str">
        <x:v>* myContacts</x:v>
      </x:c>
      <x:c r="E303" s="16" t="str">
        <x:v>Missing email</x:v>
      </x:c>
    </x:row>
    <x:row r="304">
      <x:c r="A304" s="16" t="n">
        <x:v>306</x:v>
      </x:c>
      <x:c r="B304" s="16" t="str">
        <x:v>Affendy Fendyy</x:v>
      </x:c>
      <x:c r="C304" s="16" t="str"/>
      <x:c r="D304" s="16" t="str">
        <x:v>* myContacts</x:v>
      </x:c>
      <x:c r="E304" s="16" t="str">
        <x:v>Missing email</x:v>
      </x:c>
    </x:row>
    <x:row r="305">
      <x:c r="A305" s="16" t="n">
        <x:v>307</x:v>
      </x:c>
      <x:c r="B305" s="16" t="str">
        <x:v>Affin Azmee</x:v>
      </x:c>
      <x:c r="C305" s="16" t="str"/>
      <x:c r="D305" s="16" t="str">
        <x:v>* myContacts</x:v>
      </x:c>
      <x:c r="E305" s="16" t="str">
        <x:v>Missing email</x:v>
      </x:c>
    </x:row>
    <x:row r="306">
      <x:c r="A306" s="16" t="n">
        <x:v>308</x:v>
      </x:c>
      <x:c r="B306" s="16" t="str">
        <x:v>Affiq Shahmey</x:v>
      </x:c>
      <x:c r="C306" s="16" t="str"/>
      <x:c r="D306" s="16" t="str">
        <x:v>* myContacts</x:v>
      </x:c>
      <x:c r="E306" s="16" t="str">
        <x:v>Missing email</x:v>
      </x:c>
    </x:row>
    <x:row r="307">
      <x:c r="A307" s="16" t="n">
        <x:v>309</x:v>
      </x:c>
      <x:c r="B307" s="16" t="str">
        <x:v>Affiqah Akauntan INSKEN</x:v>
      </x:c>
      <x:c r="C307" s="16" t="str"/>
      <x:c r="D307" s="16" t="str">
        <x:v>Alumni INSKEN | * myContacts</x:v>
      </x:c>
      <x:c r="E307" s="16" t="str">
        <x:v>Missing email</x:v>
      </x:c>
    </x:row>
    <x:row r="308">
      <x:c r="A308" s="16" t="n">
        <x:v>310</x:v>
      </x:c>
      <x:c r="B308" s="16" t="str">
        <x:v>Affis Adnan</x:v>
      </x:c>
      <x:c r="C308" s="16" t="str"/>
      <x:c r="D308" s="16" t="str">
        <x:v>* myContacts</x:v>
      </x:c>
      <x:c r="E308" s="16" t="str">
        <x:v>Missing email</x:v>
      </x:c>
    </x:row>
    <x:row r="309">
      <x:c r="A309" s="16" t="n">
        <x:v>311</x:v>
      </x:c>
      <x:c r="B309" s="16" t="str">
        <x:v>Affizah Sukor</x:v>
      </x:c>
      <x:c r="C309" s="16" t="str"/>
      <x:c r="D309" s="16" t="str">
        <x:v>* myContacts</x:v>
      </x:c>
      <x:c r="E309" s="16" t="str">
        <x:v>Missing email</x:v>
      </x:c>
    </x:row>
    <x:row r="310">
      <x:c r="A310" s="16" t="n">
        <x:v>312</x:v>
      </x:c>
      <x:c r="B310" s="16" t="str">
        <x:v>Afi muaz</x:v>
      </x:c>
      <x:c r="C310" s="16" t="str"/>
      <x:c r="D310" s="16" t="str">
        <x:v>* myContacts</x:v>
      </x:c>
      <x:c r="E310" s="16" t="str">
        <x:v>Missing email</x:v>
      </x:c>
    </x:row>
    <x:row r="311">
      <x:c r="A311" s="16" t="n">
        <x:v>313</x:v>
      </x:c>
      <x:c r="B311" s="16" t="str">
        <x:v>Afian AGP</x:v>
      </x:c>
      <x:c r="C311" s="16" t="str"/>
      <x:c r="D311" s="16" t="str">
        <x:v>* myContacts</x:v>
      </x:c>
      <x:c r="E311" s="16" t="str">
        <x:v>Missing email</x:v>
      </x:c>
    </x:row>
    <x:row r="312">
      <x:c r="A312" s="16" t="n">
        <x:v>314</x:v>
      </x:c>
      <x:c r="B312" s="16" t="str">
        <x:v>Afidah Mohd Dinie Fydafye</x:v>
      </x:c>
      <x:c r="C312" s="16" t="str"/>
      <x:c r="D312" s="16" t="str">
        <x:v>* myContacts</x:v>
      </x:c>
      <x:c r="E312" s="16" t="str">
        <x:v>Missing email</x:v>
      </x:c>
    </x:row>
    <x:row r="313">
      <x:c r="A313" s="16" t="n">
        <x:v>315</x:v>
      </x:c>
      <x:c r="B313" s="16" t="str">
        <x:v>Afif Akmal</x:v>
      </x:c>
      <x:c r="C313" s="16" t="str"/>
      <x:c r="D313" s="16" t="str">
        <x:v>* myContacts</x:v>
      </x:c>
      <x:c r="E313" s="16" t="str">
        <x:v>Missing email</x:v>
      </x:c>
    </x:row>
    <x:row r="314">
      <x:c r="A314" s="16" t="n">
        <x:v>316</x:v>
      </x:c>
      <x:c r="B314" s="16" t="str">
        <x:v>Afifi Harman</x:v>
      </x:c>
      <x:c r="C314" s="16" t="str"/>
      <x:c r="D314" s="16" t="str">
        <x:v>* myContacts</x:v>
      </x:c>
      <x:c r="E314" s="16" t="str">
        <x:v>Missing email</x:v>
      </x:c>
    </x:row>
    <x:row r="315">
      <x:c r="A315" s="16" t="n">
        <x:v>317</x:v>
      </x:c>
      <x:c r="B315" s="16" t="str">
        <x:v>Afikah Mustapa</x:v>
      </x:c>
      <x:c r="C315" s="16" t="str"/>
      <x:c r="D315" s="16" t="str">
        <x:v>* myContacts</x:v>
      </x:c>
      <x:c r="E315" s="16" t="str">
        <x:v>Missing email</x:v>
      </x:c>
    </x:row>
    <x:row r="316">
      <x:c r="A316" s="16" t="n">
        <x:v>318</x:v>
      </x:c>
      <x:c r="B316" s="16" t="str">
        <x:v>Afina Kamal</x:v>
      </x:c>
      <x:c r="C316" s="16" t="str"/>
      <x:c r="D316" s="16" t="str">
        <x:v>* myContacts</x:v>
      </x:c>
      <x:c r="E316" s="16" t="str">
        <x:v>Missing email</x:v>
      </x:c>
    </x:row>
    <x:row r="317">
      <x:c r="A317" s="16" t="n">
        <x:v>319</x:v>
      </x:c>
      <x:c r="B317" s="16" t="str">
        <x:v>Afiq Anshary</x:v>
      </x:c>
      <x:c r="C317" s="16" t="str"/>
      <x:c r="D317" s="16" t="str">
        <x:v>* myContacts</x:v>
      </x:c>
      <x:c r="E317" s="16" t="str">
        <x:v>Missing email</x:v>
      </x:c>
    </x:row>
    <x:row r="318">
      <x:c r="A318" s="16" t="n">
        <x:v>320</x:v>
      </x:c>
      <x:c r="B318" s="16" t="str">
        <x:v>Afiq Hazim</x:v>
      </x:c>
      <x:c r="C318" s="16" t="str"/>
      <x:c r="D318" s="16" t="str">
        <x:v>* myContacts</x:v>
      </x:c>
      <x:c r="E318" s="16" t="str">
        <x:v>Missing email</x:v>
      </x:c>
    </x:row>
    <x:row r="319">
      <x:c r="A319" s="16" t="n">
        <x:v>321</x:v>
      </x:c>
      <x:c r="B319" s="16" t="str">
        <x:v>Afiq Manab Peneraju Media</x:v>
      </x:c>
      <x:c r="C319" s="16" t="str"/>
      <x:c r="D319" s="16" t="str">
        <x:v>* myContacts</x:v>
      </x:c>
      <x:c r="E319" s="16" t="str">
        <x:v>Missing email</x:v>
      </x:c>
    </x:row>
    <x:row r="320">
      <x:c r="A320" s="16" t="n">
        <x:v>322</x:v>
      </x:c>
      <x:c r="B320" s="16" t="str">
        <x:v>afiq phms</x:v>
      </x:c>
      <x:c r="C320" s="16" t="str"/>
      <x:c r="D320" s="16" t="str">
        <x:v>* myContacts</x:v>
      </x:c>
      <x:c r="E320" s="16" t="str">
        <x:v>Missing email</x:v>
      </x:c>
    </x:row>
    <x:row r="321">
      <x:c r="A321" s="16" t="n">
        <x:v>323</x:v>
      </x:c>
      <x:c r="B321" s="16" t="str">
        <x:v>Afiq Potential Buyer GoPro</x:v>
      </x:c>
      <x:c r="C321" s="16" t="str"/>
      <x:c r="D321" s="16" t="str">
        <x:v>* myContacts</x:v>
      </x:c>
      <x:c r="E321" s="16" t="str">
        <x:v>Missing email</x:v>
      </x:c>
    </x:row>
    <x:row r="322">
      <x:c r="A322" s="16" t="n">
        <x:v>324</x:v>
      </x:c>
      <x:c r="B322" s="16" t="str">
        <x:v>Afiq web designer from Sarawak</x:v>
      </x:c>
      <x:c r="C322" s="16" t="str"/>
      <x:c r="D322" s="16" t="str">
        <x:v>* myContacts</x:v>
      </x:c>
      <x:c r="E322" s="16" t="str">
        <x:v>Missing email</x:v>
      </x:c>
    </x:row>
    <x:row r="323">
      <x:c r="A323" s="16" t="n">
        <x:v>325</x:v>
      </x:c>
      <x:c r="B323" s="16" t="str">
        <x:v>Afiq Zakwan</x:v>
      </x:c>
      <x:c r="C323" s="16" t="str"/>
      <x:c r="D323" s="16" t="str">
        <x:v>* myContacts</x:v>
      </x:c>
      <x:c r="E323" s="16" t="str">
        <x:v>Missing email</x:v>
      </x:c>
    </x:row>
    <x:row r="324">
      <x:c r="A324" s="16" t="n">
        <x:v>326</x:v>
      </x:c>
      <x:c r="B324" s="16" t="str">
        <x:v>Afiqah Jasman</x:v>
      </x:c>
      <x:c r="C324" s="16" t="str"/>
      <x:c r="D324" s="16" t="str">
        <x:v>* myContacts</x:v>
      </x:c>
      <x:c r="E324" s="16" t="str">
        <x:v>Missing email</x:v>
      </x:c>
    </x:row>
    <x:row r="325">
      <x:c r="A325" s="16" t="n">
        <x:v>327</x:v>
      </x:c>
      <x:c r="B325" s="16" t="str">
        <x:v>Afiqah Khairani</x:v>
      </x:c>
      <x:c r="C325" s="16" t="str"/>
      <x:c r="D325" s="16" t="str">
        <x:v>* myContacts</x:v>
      </x:c>
      <x:c r="E325" s="16" t="str">
        <x:v>Missing email</x:v>
      </x:c>
    </x:row>
    <x:row r="326">
      <x:c r="A326" s="16" t="n">
        <x:v>328</x:v>
      </x:c>
      <x:c r="B326" s="16" t="str">
        <x:v>Afizah Mohd Nor</x:v>
      </x:c>
      <x:c r="C326" s="16" t="str"/>
      <x:c r="D326" s="16" t="str">
        <x:v>* myContacts</x:v>
      </x:c>
      <x:c r="E326" s="16" t="str">
        <x:v>Missing email</x:v>
      </x:c>
    </x:row>
    <x:row r="327">
      <x:c r="A327" s="16" t="n">
        <x:v>329</x:v>
      </x:c>
      <x:c r="B327" s="16" t="str">
        <x:v>Afizuddin Afizuddin</x:v>
      </x:c>
      <x:c r="C327" s="16" t="str"/>
      <x:c r="D327" s="16" t="str">
        <x:v>* myContacts</x:v>
      </x:c>
      <x:c r="E327" s="16" t="str">
        <x:v>Missing email</x:v>
      </x:c>
    </x:row>
    <x:row r="328">
      <x:c r="A328" s="16" t="n">
        <x:v>330</x:v>
      </x:c>
      <x:c r="B328" s="16" t="str">
        <x:v>Afrina Aida Azmi</x:v>
      </x:c>
      <x:c r="C328" s="16" t="str"/>
      <x:c r="D328" s="16" t="str">
        <x:v>* myContacts</x:v>
      </x:c>
      <x:c r="E328" s="16" t="str">
        <x:v>Missing email</x:v>
      </x:c>
    </x:row>
    <x:row r="329">
      <x:c r="A329" s="16" t="n">
        <x:v>331</x:v>
      </x:c>
      <x:c r="B329" s="16" t="str">
        <x:v>Afwan JNJ Coordinator</x:v>
      </x:c>
      <x:c r="C329" s="16" t="str"/>
      <x:c r="D329" s="16" t="str">
        <x:v>* myContacts</x:v>
      </x:c>
      <x:c r="E329" s="16" t="str">
        <x:v>Missing email</x:v>
      </x:c>
    </x:row>
    <x:row r="330">
      <x:c r="A330" s="16" t="n">
        <x:v>332</x:v>
      </x:c>
      <x:c r="B330" s="16" t="str">
        <x:v>Afzainizam Ismail</x:v>
      </x:c>
      <x:c r="C330" s="16" t="str"/>
      <x:c r="D330" s="16" t="str">
        <x:v>* myContacts</x:v>
      </x:c>
      <x:c r="E330" s="16" t="str">
        <x:v>Missing email</x:v>
      </x:c>
    </x:row>
    <x:row r="331">
      <x:c r="A331" s="16" t="n">
        <x:v>333</x:v>
      </x:c>
      <x:c r="B331" s="16" t="str">
        <x:v>AG Zulhisham Zain</x:v>
      </x:c>
      <x:c r="C331" s="16" t="str"/>
      <x:c r="D331" s="16" t="str">
        <x:v>* myContacts</x:v>
      </x:c>
      <x:c r="E331" s="16" t="str">
        <x:v>Missing email</x:v>
      </x:c>
    </x:row>
    <x:row r="332">
      <x:c r="A332" s="16" t="n">
        <x:v>334</x:v>
      </x:c>
      <x:c r="B332" s="16" t="str">
        <x:v>Agen Clarissa Floria</x:v>
      </x:c>
      <x:c r="C332" s="16" t="str"/>
      <x:c r="D332" s="16" t="str">
        <x:v>* myContacts</x:v>
      </x:c>
      <x:c r="E332" s="16" t="str">
        <x:v>Missing email</x:v>
      </x:c>
    </x:row>
    <x:row r="333">
      <x:c r="A333" s="16" t="n">
        <x:v>335</x:v>
      </x:c>
      <x:c r="B333" s="16" t="str">
        <x:v>Agen Topup</x:v>
      </x:c>
      <x:c r="C333" s="16" t="str"/>
      <x:c r="D333" s="16" t="str">
        <x:v>* myContacts</x:v>
      </x:c>
      <x:c r="E333" s="16" t="str">
        <x:v>Missing email</x:v>
      </x:c>
    </x:row>
    <x:row r="334">
      <x:c r="A334" s="16" t="n">
        <x:v>336</x:v>
      </x:c>
      <x:c r="B334" s="16" t="str">
        <x:v>Agil Sgd</x:v>
      </x:c>
      <x:c r="C334" s="16" t="str"/>
      <x:c r="D334" s="16" t="str">
        <x:v>* myContacts</x:v>
      </x:c>
      <x:c r="E334" s="16" t="str">
        <x:v>Missing email</x:v>
      </x:c>
    </x:row>
    <x:row r="335">
      <x:c r="A335" s="16" t="n">
        <x:v>337</x:v>
      </x:c>
      <x:c r="B335" s="16" t="str">
        <x:v>Agnes HRDF</x:v>
      </x:c>
      <x:c r="C335" s="16" t="str"/>
      <x:c r="D335" s="16" t="str">
        <x:v>* myContacts</x:v>
      </x:c>
      <x:c r="E335" s="16" t="str">
        <x:v>Missing email</x:v>
      </x:c>
    </x:row>
    <x:row r="336">
      <x:c r="A336" s="16" t="n">
        <x:v>338</x:v>
      </x:c>
      <x:c r="B336" s="16" t="str">
        <x:v>Ah Chad</x:v>
      </x:c>
      <x:c r="C336" s="16" t="str"/>
      <x:c r="D336" s="16" t="str">
        <x:v>* myContacts</x:v>
      </x:c>
      <x:c r="E336" s="16" t="str">
        <x:v>Missing email</x:v>
      </x:c>
    </x:row>
    <x:row r="337">
      <x:c r="A337" s="16" t="n">
        <x:v>339</x:v>
      </x:c>
      <x:c r="B337" s="16" t="str">
        <x:v>Ah Moi Chan Tek</x:v>
      </x:c>
      <x:c r="C337" s="16" t="str"/>
      <x:c r="D337" s="16" t="str">
        <x:v>* myContacts</x:v>
      </x:c>
      <x:c r="E337" s="16" t="str">
        <x:v>Missing email</x:v>
      </x:c>
    </x:row>
    <x:row r="338">
      <x:c r="A338" s="16" t="n">
        <x:v>340</x:v>
      </x:c>
      <x:c r="B338" s="16" t="str">
        <x:v>Ah Seng Rim Tayar</x:v>
      </x:c>
      <x:c r="C338" s="16" t="str"/>
      <x:c r="D338" s="16" t="str">
        <x:v>* myContacts</x:v>
      </x:c>
      <x:c r="E338" s="16" t="str">
        <x:v>Missing email</x:v>
      </x:c>
    </x:row>
    <x:row r="339">
      <x:c r="A339" s="16" t="n">
        <x:v>341</x:v>
      </x:c>
      <x:c r="B339" s="16" t="str">
        <x:v>Ah Tong</x:v>
      </x:c>
      <x:c r="C339" s="16" t="str"/>
      <x:c r="D339" s="16" t="str">
        <x:v>* myContacts</x:v>
      </x:c>
      <x:c r="E339" s="16" t="str">
        <x:v>Missing email</x:v>
      </x:c>
    </x:row>
    <x:row r="340">
      <x:c r="A340" s="16" t="n">
        <x:v>342</x:v>
      </x:c>
      <x:c r="B340" s="16" t="str">
        <x:v>Ahh Yek Naga</x:v>
      </x:c>
      <x:c r="C340" s="16" t="str"/>
      <x:c r="D340" s="16" t="str">
        <x:v>* myContacts</x:v>
      </x:c>
      <x:c r="E340" s="16" t="str">
        <x:v>Missing email</x:v>
      </x:c>
    </x:row>
    <x:row r="341">
      <x:c r="A341" s="16" t="n">
        <x:v>343</x:v>
      </x:c>
      <x:c r="B341" s="16" t="str">
        <x:v>Ahli Nujum</x:v>
      </x:c>
      <x:c r="C341" s="16" t="str"/>
      <x:c r="D341" s="16" t="str">
        <x:v>* myContacts</x:v>
      </x:c>
      <x:c r="E341" s="16" t="str">
        <x:v>Missing email</x:v>
      </x:c>
    </x:row>
    <x:row r="342">
      <x:c r="A342" s="16" t="n">
        <x:v>344</x:v>
      </x:c>
      <x:c r="B342" s="16" t="str">
        <x:v>Ahmad Aiman Azhar</x:v>
      </x:c>
      <x:c r="C342" s="16" t="str"/>
      <x:c r="D342" s="16" t="str">
        <x:v>* myContacts</x:v>
      </x:c>
      <x:c r="E342" s="16" t="str">
        <x:v>Missing email</x:v>
      </x:c>
    </x:row>
    <x:row r="343">
      <x:c r="A343" s="16" t="n">
        <x:v>345</x:v>
      </x:c>
      <x:c r="B343" s="16" t="str">
        <x:v>Ahmad Ali Aqbar</x:v>
      </x:c>
      <x:c r="C343" s="16" t="str"/>
      <x:c r="D343" s="16" t="str">
        <x:v>* myContacts</x:v>
      </x:c>
      <x:c r="E343" s="16" t="str">
        <x:v>Missing email</x:v>
      </x:c>
    </x:row>
    <x:row r="344">
      <x:c r="A344" s="16" t="n">
        <x:v>346</x:v>
      </x:c>
      <x:c r="B344" s="16" t="str">
        <x:v>Ahmad Amad</x:v>
      </x:c>
      <x:c r="C344" s="16" t="str"/>
      <x:c r="D344" s="16" t="str">
        <x:v>* myContacts</x:v>
      </x:c>
      <x:c r="E344" s="16" t="str">
        <x:v>Missing email</x:v>
      </x:c>
    </x:row>
    <x:row r="345">
      <x:c r="A345" s="16" t="n">
        <x:v>347</x:v>
      </x:c>
      <x:c r="B345" s="16" t="str">
        <x:v>Ahmad Amzar</x:v>
      </x:c>
      <x:c r="C345" s="16" t="str"/>
      <x:c r="D345" s="16" t="str">
        <x:v>* myContacts</x:v>
      </x:c>
      <x:c r="E345" s="16" t="str">
        <x:v>Missing email</x:v>
      </x:c>
    </x:row>
    <x:row r="346">
      <x:c r="A346" s="16" t="n">
        <x:v>348</x:v>
      </x:c>
      <x:c r="B346" s="16" t="str">
        <x:v>Ahmad Asyraf</x:v>
      </x:c>
      <x:c r="C346" s="16" t="str"/>
      <x:c r="D346" s="16" t="str">
        <x:v>* myContacts</x:v>
      </x:c>
      <x:c r="E346" s="16" t="str">
        <x:v>Missing email</x:v>
      </x:c>
    </x:row>
    <x:row r="347">
      <x:c r="A347" s="16" t="n">
        <x:v>349</x:v>
      </x:c>
      <x:c r="B347" s="16" t="str">
        <x:v>Ahmad Azhar Maarif</x:v>
      </x:c>
      <x:c r="C347" s="16" t="str"/>
      <x:c r="D347" s="16" t="str">
        <x:v>* myContacts</x:v>
      </x:c>
      <x:c r="E347" s="16" t="str">
        <x:v>Missing email</x:v>
      </x:c>
    </x:row>
    <x:row r="348">
      <x:c r="A348" s="16" t="n">
        <x:v>350</x:v>
      </x:c>
      <x:c r="B348" s="16" t="str">
        <x:v>Ahmad Baahir Mdec</x:v>
      </x:c>
      <x:c r="C348" s="16" t="str"/>
      <x:c r="D348" s="16" t="str">
        <x:v>* myContacts</x:v>
      </x:c>
      <x:c r="E348" s="16" t="str">
        <x:v>Missing email</x:v>
      </x:c>
    </x:row>
    <x:row r="349">
      <x:c r="A349" s="16" t="n">
        <x:v>351</x:v>
      </x:c>
      <x:c r="B349" s="16" t="str">
        <x:v>AHMAD BADRUL SANI BIN BAHARUDIN</x:v>
      </x:c>
      <x:c r="C349" s="16" t="str"/>
      <x:c r="D349" s="16" t="str">
        <x:v>* myContacts</x:v>
      </x:c>
      <x:c r="E349" s="16" t="str">
        <x:v>Missing email</x:v>
      </x:c>
    </x:row>
    <x:row r="350">
      <x:c r="A350" s="16" t="n">
        <x:v>352</x:v>
      </x:c>
      <x:c r="B350" s="16" t="str">
        <x:v>Ahmad Bahrain Bin Sahani</x:v>
      </x:c>
      <x:c r="C350" s="16" t="str"/>
      <x:c r="D350" s="16" t="str">
        <x:v>* myContacts</x:v>
      </x:c>
      <x:c r="E350" s="16" t="str">
        <x:v>Missing email</x:v>
      </x:c>
    </x:row>
    <x:row r="351">
      <x:c r="A351" s="16" t="n">
        <x:v>353</x:v>
      </x:c>
      <x:c r="B351" s="16" t="str">
        <x:v>Ahmad Baihaqi</x:v>
      </x:c>
      <x:c r="C351" s="16" t="str"/>
      <x:c r="D351" s="16" t="str">
        <x:v>* myContacts</x:v>
      </x:c>
      <x:c r="E351" s="16" t="str">
        <x:v>Missing email</x:v>
      </x:c>
    </x:row>
    <x:row r="352">
      <x:c r="A352" s="16" t="n">
        <x:v>354</x:v>
      </x:c>
      <x:c r="B352" s="16" t="str">
        <x:v>Ahmad Basri</x:v>
      </x:c>
      <x:c r="C352" s="16" t="str"/>
      <x:c r="D352" s="16" t="str">
        <x:v>* myContacts</x:v>
      </x:c>
      <x:c r="E352" s="16" t="str">
        <x:v>Missing email</x:v>
      </x:c>
    </x:row>
    <x:row r="353">
      <x:c r="A353" s="16" t="n">
        <x:v>355</x:v>
      </x:c>
      <x:c r="B353" s="16" t="str">
        <x:v>Ahmad Dur Ihsan</x:v>
      </x:c>
      <x:c r="C353" s="16" t="str"/>
      <x:c r="D353" s="16" t="str">
        <x:v>* myContacts</x:v>
      </x:c>
      <x:c r="E353" s="16" t="str">
        <x:v>Missing email</x:v>
      </x:c>
    </x:row>
    <x:row r="354">
      <x:c r="A354" s="16" t="n">
        <x:v>356</x:v>
      </x:c>
      <x:c r="B354" s="16" t="str">
        <x:v>Ahmad Fadli</x:v>
      </x:c>
      <x:c r="C354" s="16" t="str"/>
      <x:c r="D354" s="16" t="str">
        <x:v>* myContacts</x:v>
      </x:c>
      <x:c r="E354" s="16" t="str">
        <x:v>Missing email</x:v>
      </x:c>
    </x:row>
    <x:row r="355">
      <x:c r="A355" s="16" t="n">
        <x:v>357</x:v>
      </x:c>
      <x:c r="B355" s="16" t="str">
        <x:v>Ahmad Fadzlie</x:v>
      </x:c>
      <x:c r="C355" s="16" t="str"/>
      <x:c r="D355" s="16" t="str">
        <x:v>* myContacts</x:v>
      </x:c>
      <x:c r="E355" s="16" t="str">
        <x:v>Missing email</x:v>
      </x:c>
    </x:row>
    <x:row r="356">
      <x:c r="A356" s="16" t="n">
        <x:v>358</x:v>
      </x:c>
      <x:c r="B356" s="16" t="str">
        <x:v>Ahmad Fahmi HALUAN</x:v>
      </x:c>
      <x:c r="C356" s="16" t="str"/>
      <x:c r="D356" s="16" t="str">
        <x:v>* myContacts</x:v>
      </x:c>
      <x:c r="E356" s="16" t="str">
        <x:v>Missing email</x:v>
      </x:c>
    </x:row>
    <x:row r="357">
      <x:c r="A357" s="16" t="n">
        <x:v>359</x:v>
      </x:c>
      <x:c r="B357" s="16" t="str">
        <x:v>Ahmad Fairuz Mdec</x:v>
      </x:c>
      <x:c r="C357" s="16" t="str"/>
      <x:c r="D357" s="16" t="str">
        <x:v>* myContacts</x:v>
      </x:c>
      <x:c r="E357" s="16" t="str">
        <x:v>Missing email</x:v>
      </x:c>
    </x:row>
    <x:row r="358">
      <x:c r="A358" s="16" t="n">
        <x:v>360</x:v>
      </x:c>
      <x:c r="B358" s="16" t="str">
        <x:v>Ahmad Faizal Murtadza</x:v>
      </x:c>
      <x:c r="C358" s="16" t="str"/>
      <x:c r="D358" s="16" t="str">
        <x:v>* myContacts</x:v>
      </x:c>
      <x:c r="E358" s="16" t="str">
        <x:v>Missing email</x:v>
      </x:c>
    </x:row>
    <x:row r="359">
      <x:c r="A359" s="16" t="n">
        <x:v>361</x:v>
      </x:c>
      <x:c r="B359" s="16" t="str">
        <x:v>Ahmad Fau Zan</x:v>
      </x:c>
      <x:c r="C359" s="16" t="str"/>
      <x:c r="D359" s="16" t="str">
        <x:v>* myContacts</x:v>
      </x:c>
      <x:c r="E359" s="16" t="str">
        <x:v>Missing email</x:v>
      </x:c>
    </x:row>
    <x:row r="360">
      <x:c r="A360" s="16" t="n">
        <x:v>362</x:v>
      </x:c>
      <x:c r="B360" s="16" t="str">
        <x:v>Ahmad Fauzi Mohamed Hashim</x:v>
      </x:c>
      <x:c r="C360" s="16" t="str"/>
      <x:c r="D360" s="16" t="str">
        <x:v>* myContacts</x:v>
      </x:c>
      <x:c r="E360" s="16" t="str">
        <x:v>Missing email</x:v>
      </x:c>
    </x:row>
    <x:row r="361">
      <x:c r="A361" s="16" t="n">
        <x:v>363</x:v>
      </x:c>
      <x:c r="B361" s="16" t="str">
        <x:v>Ahmad Fikri Aseri</x:v>
      </x:c>
      <x:c r="C361" s="16" t="str"/>
      <x:c r="D361" s="16" t="str">
        <x:v>* myContacts</x:v>
      </x:c>
      <x:c r="E361" s="16" t="str">
        <x:v>Missing email</x:v>
      </x:c>
    </x:row>
    <x:row r="362">
      <x:c r="A362" s="16" t="n">
        <x:v>365</x:v>
      </x:c>
      <x:c r="B362" s="16" t="str">
        <x:v>Ahmad Firdaus</x:v>
      </x:c>
      <x:c r="C362" s="16" t="str"/>
      <x:c r="D362" s="16" t="str">
        <x:v>* myContacts</x:v>
      </x:c>
      <x:c r="E362" s="16" t="str">
        <x:v>Missing email</x:v>
      </x:c>
    </x:row>
    <x:row r="363">
      <x:c r="A363" s="16" t="n">
        <x:v>366</x:v>
      </x:c>
      <x:c r="B363" s="16" t="str">
        <x:v>Ahmad Firdaus Senong</x:v>
      </x:c>
      <x:c r="C363" s="16" t="str"/>
      <x:c r="D363" s="16" t="str">
        <x:v>* myContacts</x:v>
      </x:c>
      <x:c r="E363" s="16" t="str">
        <x:v>Missing email</x:v>
      </x:c>
    </x:row>
    <x:row r="364">
      <x:c r="A364" s="16" t="n">
        <x:v>367</x:v>
      </x:c>
      <x:c r="B364" s="16" t="str">
        <x:v>Ahmad Fuad III</x:v>
      </x:c>
      <x:c r="C364" s="16" t="str"/>
      <x:c r="D364" s="16" t="str">
        <x:v>* myContacts</x:v>
      </x:c>
      <x:c r="E364" s="16" t="str">
        <x:v>Missing email</x:v>
      </x:c>
    </x:row>
    <x:row r="365">
      <x:c r="A365" s="16" t="n">
        <x:v>368</x:v>
      </x:c>
      <x:c r="B365" s="16" t="str">
        <x:v>Ahmad Hadi Nur Awan</x:v>
      </x:c>
      <x:c r="C365" s="16" t="str"/>
      <x:c r="D365" s="16" t="str">
        <x:v>* myContacts</x:v>
      </x:c>
      <x:c r="E365" s="16" t="str">
        <x:v>Missing email</x:v>
      </x:c>
    </x:row>
    <x:row r="366">
      <x:c r="A366" s="16" t="n">
        <x:v>369</x:v>
      </x:c>
      <x:c r="B366" s="16" t="str">
        <x:v>Ahmad Hanapiah</x:v>
      </x:c>
      <x:c r="C366" s="16" t="str"/>
      <x:c r="D366" s="16" t="str">
        <x:v>* myContacts</x:v>
      </x:c>
      <x:c r="E366" s="16" t="str">
        <x:v>Missing email</x:v>
      </x:c>
    </x:row>
    <x:row r="367">
      <x:c r="A367" s="16" t="n">
        <x:v>371</x:v>
      </x:c>
      <x:c r="B367" s="16" t="str">
        <x:v>Ahmad Humaizi Ibrahim</x:v>
      </x:c>
      <x:c r="C367" s="16" t="str"/>
      <x:c r="D367" s="16" t="str">
        <x:v>* myContacts</x:v>
      </x:c>
      <x:c r="E367" s="16" t="str">
        <x:v>Missing email</x:v>
      </x:c>
    </x:row>
    <x:row r="368">
      <x:c r="A368" s="16" t="n">
        <x:v>372</x:v>
      </x:c>
      <x:c r="B368" s="16" t="str">
        <x:v>Ahmad ILham</x:v>
      </x:c>
      <x:c r="C368" s="16" t="str"/>
      <x:c r="D368" s="16" t="str">
        <x:v>* myContacts</x:v>
      </x:c>
      <x:c r="E368" s="16" t="str">
        <x:v>Missing email</x:v>
      </x:c>
    </x:row>
    <x:row r="369">
      <x:c r="A369" s="16" t="n">
        <x:v>373</x:v>
      </x:c>
      <x:c r="B369" s="16" t="str">
        <x:v>Ahmad Izuddin</x:v>
      </x:c>
      <x:c r="C369" s="16" t="str"/>
      <x:c r="D369" s="16" t="str">
        <x:v>* myContacts</x:v>
      </x:c>
      <x:c r="E369" s="16" t="str">
        <x:v>Missing email</x:v>
      </x:c>
    </x:row>
    <x:row r="370">
      <x:c r="A370" s="16" t="n">
        <x:v>374</x:v>
      </x:c>
      <x:c r="B370" s="16" t="str">
        <x:v>Ahmad Izzran</x:v>
      </x:c>
      <x:c r="C370" s="16" t="str"/>
      <x:c r="D370" s="16" t="str">
        <x:v>* myContacts</x:v>
      </x:c>
      <x:c r="E370" s="16" t="str">
        <x:v>Missing email</x:v>
      </x:c>
    </x:row>
    <x:row r="371">
      <x:c r="A371" s="16" t="n">
        <x:v>375</x:v>
      </x:c>
      <x:c r="B371" s="16" t="str">
        <x:v>Ahmad Izzul Islam</x:v>
      </x:c>
      <x:c r="C371" s="16" t="str"/>
      <x:c r="D371" s="16" t="str">
        <x:v>* myContacts</x:v>
      </x:c>
      <x:c r="E371" s="16" t="str">
        <x:v>Missing email</x:v>
      </x:c>
    </x:row>
    <x:row r="372">
      <x:c r="A372" s="16" t="n">
        <x:v>376</x:v>
      </x:c>
      <x:c r="B372" s="16" t="str">
        <x:v>Ahmad Jimmy</x:v>
      </x:c>
      <x:c r="C372" s="16" t="str"/>
      <x:c r="D372" s="16" t="str">
        <x:v>* myContacts</x:v>
      </x:c>
      <x:c r="E372" s="16" t="str">
        <x:v>Missing email</x:v>
      </x:c>
    </x:row>
    <x:row r="373">
      <x:c r="A373" s="16" t="n">
        <x:v>377</x:v>
      </x:c>
      <x:c r="B373" s="16" t="str">
        <x:v>Ahmad JNJ</x:v>
      </x:c>
      <x:c r="C373" s="16" t="str"/>
      <x:c r="D373" s="16" t="str">
        <x:v>* myContacts</x:v>
      </x:c>
      <x:c r="E373" s="16" t="str">
        <x:v>Missing email</x:v>
      </x:c>
    </x:row>
    <x:row r="374">
      <x:c r="A374" s="16" t="n">
        <x:v>378</x:v>
      </x:c>
      <x:c r="B374" s="16" t="str">
        <x:v>AHMAD KAMAL AGP</x:v>
      </x:c>
      <x:c r="C374" s="16" t="str"/>
      <x:c r="D374" s="16" t="str">
        <x:v>* myContacts</x:v>
      </x:c>
      <x:c r="E374" s="16" t="str">
        <x:v>Missing email</x:v>
      </x:c>
    </x:row>
    <x:row r="375">
      <x:c r="A375" s="16" t="n">
        <x:v>379</x:v>
      </x:c>
      <x:c r="B375" s="16" t="str">
        <x:v>Ahmad Kamal Mahnoon</x:v>
      </x:c>
      <x:c r="C375" s="16" t="str"/>
      <x:c r="D375" s="16" t="str">
        <x:v>* myContacts</x:v>
      </x:c>
      <x:c r="E375" s="16" t="str">
        <x:v>Missing email</x:v>
      </x:c>
    </x:row>
    <x:row r="376">
      <x:c r="A376" s="16" t="n">
        <x:v>380</x:v>
      </x:c>
      <x:c r="B376" s="16" t="str">
        <x:v>Ahmad Kamil</x:v>
      </x:c>
      <x:c r="C376" s="16" t="str"/>
      <x:c r="D376" s="16" t="str">
        <x:v>* myContacts</x:v>
      </x:c>
      <x:c r="E376" s="16" t="str">
        <x:v>Missing email</x:v>
      </x:c>
    </x:row>
    <x:row r="377">
      <x:c r="A377" s="16" t="n">
        <x:v>381</x:v>
      </x:c>
      <x:c r="B377" s="16" t="str">
        <x:v>Ahmad Kamil Nawi</x:v>
      </x:c>
      <x:c r="C377" s="16" t="str"/>
      <x:c r="D377" s="16" t="str">
        <x:v>* myContacts</x:v>
      </x:c>
      <x:c r="E377" s="16" t="str">
        <x:v>Missing email</x:v>
      </x:c>
    </x:row>
    <x:row r="378">
      <x:c r="A378" s="16" t="n">
        <x:v>382</x:v>
      </x:c>
      <x:c r="B378" s="16" t="str">
        <x:v>Ahmad Mohamad Bin Bachek</x:v>
      </x:c>
      <x:c r="C378" s="16" t="str"/>
      <x:c r="D378" s="16" t="str">
        <x:v>* myContacts</x:v>
      </x:c>
      <x:c r="E378" s="16" t="str">
        <x:v>Missing email</x:v>
      </x:c>
    </x:row>
    <x:row r="379">
      <x:c r="A379" s="16" t="n">
        <x:v>383</x:v>
      </x:c>
      <x:c r="B379" s="16" t="str">
        <x:v>Ahmad Nabil</x:v>
      </x:c>
      <x:c r="C379" s="16" t="str"/>
      <x:c r="D379" s="16" t="str">
        <x:v>* myContacts</x:v>
      </x:c>
      <x:c r="E379" s="16" t="str">
        <x:v>Missing email</x:v>
      </x:c>
    </x:row>
    <x:row r="380">
      <x:c r="A380" s="16" t="n">
        <x:v>384</x:v>
      </x:c>
      <x:c r="B380" s="16" t="str">
        <x:v>Ahmad Nor Fahmi</x:v>
      </x:c>
      <x:c r="C380" s="16" t="str"/>
      <x:c r="D380" s="16" t="str">
        <x:v>* myContacts</x:v>
      </x:c>
      <x:c r="E380" s="16" t="str">
        <x:v>Missing email</x:v>
      </x:c>
    </x:row>
    <x:row r="381">
      <x:c r="A381" s="16" t="n">
        <x:v>385</x:v>
      </x:c>
      <x:c r="B381" s="16" t="str">
        <x:v>Ahmad Rabani Mat Aris</x:v>
      </x:c>
      <x:c r="C381" s="16" t="str"/>
      <x:c r="D381" s="16" t="str">
        <x:v>* myContacts</x:v>
      </x:c>
      <x:c r="E381" s="16" t="str">
        <x:v>Missing email</x:v>
      </x:c>
    </x:row>
    <x:row r="382">
      <x:c r="A382" s="16" t="n">
        <x:v>386</x:v>
      </x:c>
      <x:c r="B382" s="16" t="str">
        <x:v>Ahmad Rasyadi</x:v>
      </x:c>
      <x:c r="C382" s="16" t="str"/>
      <x:c r="D382" s="16" t="str">
        <x:v>* myContacts</x:v>
      </x:c>
      <x:c r="E382" s="16" t="str">
        <x:v>Missing email</x:v>
      </x:c>
    </x:row>
    <x:row r="383">
      <x:c r="A383" s="16" t="n">
        <x:v>387</x:v>
      </x:c>
      <x:c r="B383" s="16" t="str">
        <x:v>Ahmad Razaleigh</x:v>
      </x:c>
      <x:c r="C383" s="16" t="str"/>
      <x:c r="D383" s="16" t="str">
        <x:v>* myContacts</x:v>
      </x:c>
      <x:c r="E383" s="16" t="str">
        <x:v>Missing email</x:v>
      </x:c>
    </x:row>
    <x:row r="384">
      <x:c r="A384" s="16" t="n">
        <x:v>388</x:v>
      </x:c>
      <x:c r="B384" s="16" t="str">
        <x:v>Ahmad Redzuan</x:v>
      </x:c>
      <x:c r="C384" s="16" t="str"/>
      <x:c r="D384" s="16" t="str">
        <x:v>* myContacts</x:v>
      </x:c>
      <x:c r="E384" s="16" t="str">
        <x:v>Missing email</x:v>
      </x:c>
    </x:row>
    <x:row r="385">
      <x:c r="A385" s="16" t="n">
        <x:v>389</x:v>
      </x:c>
      <x:c r="B385" s="16" t="str">
        <x:v>Ahmad Ridwan AGP</x:v>
      </x:c>
      <x:c r="C385" s="16" t="str"/>
      <x:c r="D385" s="16" t="str">
        <x:v>* myContacts</x:v>
      </x:c>
      <x:c r="E385" s="16" t="str">
        <x:v>Missing email</x:v>
      </x:c>
    </x:row>
    <x:row r="386">
      <x:c r="A386" s="16" t="n">
        <x:v>390</x:v>
      </x:c>
      <x:c r="B386" s="16" t="str">
        <x:v>Ahmad Rizal Bin Mat Noh</x:v>
      </x:c>
      <x:c r="C386" s="16" t="str"/>
      <x:c r="D386" s="16" t="str">
        <x:v>* myContacts</x:v>
      </x:c>
      <x:c r="E386" s="16" t="str">
        <x:v>Missing email</x:v>
      </x:c>
    </x:row>
    <x:row r="387">
      <x:c r="A387" s="16" t="n">
        <x:v>391</x:v>
      </x:c>
      <x:c r="B387" s="16" t="str">
        <x:v>Ahmad Safar Lagama</x:v>
      </x:c>
      <x:c r="C387" s="16" t="str"/>
      <x:c r="D387" s="16" t="str">
        <x:v>* myContacts</x:v>
      </x:c>
      <x:c r="E387" s="16" t="str">
        <x:v>Missing email</x:v>
      </x:c>
    </x:row>
    <x:row r="388">
      <x:c r="A388" s="16" t="n">
        <x:v>392</x:v>
      </x:c>
      <x:c r="B388" s="16" t="str">
        <x:v>Ahmad Safiq</x:v>
      </x:c>
      <x:c r="C388" s="16" t="str"/>
      <x:c r="D388" s="16" t="str">
        <x:v>* myContacts</x:v>
      </x:c>
      <x:c r="E388" s="16" t="str">
        <x:v>Missing email</x:v>
      </x:c>
    </x:row>
    <x:row r="389">
      <x:c r="A389" s="16" t="n">
        <x:v>393</x:v>
      </x:c>
      <x:c r="B389" s="16" t="str">
        <x:v>Ahmad Saiful Nizam</x:v>
      </x:c>
      <x:c r="C389" s="16" t="str"/>
      <x:c r="D389" s="16" t="str">
        <x:v>* myContacts</x:v>
      </x:c>
      <x:c r="E389" s="16" t="str">
        <x:v>Missing email</x:v>
      </x:c>
    </x:row>
    <x:row r="390">
      <x:c r="A390" s="16" t="n">
        <x:v>394</x:v>
      </x:c>
      <x:c r="B390" s="16" t="str">
        <x:v>Ahmad Shafiq</x:v>
      </x:c>
      <x:c r="C390" s="16" t="str"/>
      <x:c r="D390" s="16" t="str">
        <x:v>* myContacts</x:v>
      </x:c>
      <x:c r="E390" s="16" t="str">
        <x:v>Missing email</x:v>
      </x:c>
    </x:row>
    <x:row r="391">
      <x:c r="A391" s="16" t="n">
        <x:v>395</x:v>
      </x:c>
      <x:c r="B391" s="16" t="str">
        <x:v>Ahmad Shafrizal</x:v>
      </x:c>
      <x:c r="C391" s="16" t="str"/>
      <x:c r="D391" s="16" t="str">
        <x:v>* myContacts</x:v>
      </x:c>
      <x:c r="E391" s="16" t="str">
        <x:v>Missing email</x:v>
      </x:c>
    </x:row>
    <x:row r="392">
      <x:c r="A392" s="16" t="n">
        <x:v>398</x:v>
      </x:c>
      <x:c r="B392" s="16" t="str">
        <x:v>Ahmad Shazran Ariff Shah</x:v>
      </x:c>
      <x:c r="C392" s="16" t="str"/>
      <x:c r="D392" s="16" t="str">
        <x:v>* myContacts</x:v>
      </x:c>
      <x:c r="E392" s="16" t="str">
        <x:v>Missing email</x:v>
      </x:c>
    </x:row>
    <x:row r="393">
      <x:c r="A393" s="16" t="n">
        <x:v>399</x:v>
      </x:c>
      <x:c r="B393" s="16" t="str">
        <x:v>Ahmad Sihat</x:v>
      </x:c>
      <x:c r="C393" s="16" t="str"/>
      <x:c r="D393" s="16" t="str">
        <x:v>* myContacts</x:v>
      </x:c>
      <x:c r="E393" s="16" t="str">
        <x:v>Missing email</x:v>
      </x:c>
    </x:row>
    <x:row r="394">
      <x:c r="A394" s="16" t="n">
        <x:v>400</x:v>
      </x:c>
      <x:c r="B394" s="16" t="str">
        <x:v>Ahmad Sufyan</x:v>
      </x:c>
      <x:c r="C394" s="16" t="str"/>
      <x:c r="D394" s="16" t="str">
        <x:v>* myContacts</x:v>
      </x:c>
      <x:c r="E394" s="16" t="str">
        <x:v>Missing email</x:v>
      </x:c>
    </x:row>
    <x:row r="395">
      <x:c r="A395" s="16" t="n">
        <x:v>401</x:v>
      </x:c>
      <x:c r="B395" s="16" t="str">
        <x:v>Ahmad Syahrir</x:v>
      </x:c>
      <x:c r="C395" s="16" t="str"/>
      <x:c r="D395" s="16" t="str">
        <x:v>* myContacts</x:v>
      </x:c>
      <x:c r="E395" s="16" t="str">
        <x:v>Missing email</x:v>
      </x:c>
    </x:row>
    <x:row r="396">
      <x:c r="A396" s="16" t="n">
        <x:v>402</x:v>
      </x:c>
      <x:c r="B396" s="16" t="str">
        <x:v>Ahmad Syazwan</x:v>
      </x:c>
      <x:c r="C396" s="16" t="str"/>
      <x:c r="D396" s="16" t="str">
        <x:v>* myContacts</x:v>
      </x:c>
      <x:c r="E396" s="16" t="str">
        <x:v>Missing email</x:v>
      </x:c>
    </x:row>
    <x:row r="397">
      <x:c r="A397" s="16" t="n">
        <x:v>403</x:v>
      </x:c>
      <x:c r="B397" s="16" t="str">
        <x:v>Ahmad Zaki Beetmal</x:v>
      </x:c>
      <x:c r="C397" s="16" t="str"/>
      <x:c r="D397" s="16" t="str">
        <x:v>* myContacts</x:v>
      </x:c>
      <x:c r="E397" s="16" t="str">
        <x:v>Missing email</x:v>
      </x:c>
    </x:row>
    <x:row r="398">
      <x:c r="A398" s="16" t="n">
        <x:v>404</x:v>
      </x:c>
      <x:c r="B398" s="16" t="str">
        <x:v>Ahmad Zamzulhairy</x:v>
      </x:c>
      <x:c r="C398" s="16" t="str"/>
      <x:c r="D398" s="16" t="str">
        <x:v>* myContacts</x:v>
      </x:c>
      <x:c r="E398" s="16" t="str">
        <x:v>Missing email</x:v>
      </x:c>
    </x:row>
    <x:row r="399">
      <x:c r="A399" s="16" t="n">
        <x:v>405</x:v>
      </x:c>
      <x:c r="B399" s="16" t="str">
        <x:v>Ahmad Zikri BDA</x:v>
      </x:c>
      <x:c r="C399" s="16" t="str"/>
      <x:c r="D399" s="16" t="str">
        <x:v>* myContacts</x:v>
      </x:c>
      <x:c r="E399" s="16" t="str">
        <x:v>Missing email</x:v>
      </x:c>
    </x:row>
    <x:row r="400">
      <x:c r="A400" s="16" t="n">
        <x:v>406</x:v>
      </x:c>
      <x:c r="B400" s="16" t="str">
        <x:v>Ahmad Zuhaili</x:v>
      </x:c>
      <x:c r="C400" s="16" t="str"/>
      <x:c r="D400" s="16" t="str">
        <x:v>* myContacts</x:v>
      </x:c>
      <x:c r="E400" s="16" t="str">
        <x:v>Missing email</x:v>
      </x:c>
    </x:row>
    <x:row r="401">
      <x:c r="A401" s="16" t="n">
        <x:v>407</x:v>
      </x:c>
      <x:c r="B401" s="16" t="str">
        <x:v>Ahmadul Aulah</x:v>
      </x:c>
      <x:c r="C401" s="16" t="str"/>
      <x:c r="D401" s="16" t="str">
        <x:v>* myContacts</x:v>
      </x:c>
      <x:c r="E401" s="16" t="str">
        <x:v>Missing email</x:v>
      </x:c>
    </x:row>
    <x:row r="402">
      <x:c r="A402" s="16" t="n">
        <x:v>408</x:v>
      </x:c>
      <x:c r="B402" s="16" t="str">
        <x:v>Ahmed Redha Abdullah</x:v>
      </x:c>
      <x:c r="C402" s="16" t="str"/>
      <x:c r="D402" s="16" t="str">
        <x:v>* myContacts</x:v>
      </x:c>
      <x:c r="E402" s="16" t="str">
        <x:v>Missing email</x:v>
      </x:c>
    </x:row>
    <x:row r="403">
      <x:c r="A403" s="16" t="n">
        <x:v>409</x:v>
      </x:c>
      <x:c r="B403" s="16" t="str">
        <x:v>Ahmed Yousef Mitwali Badraia</x:v>
      </x:c>
      <x:c r="C403" s="16" t="str"/>
      <x:c r="D403" s="16" t="str">
        <x:v>* myContacts</x:v>
      </x:c>
      <x:c r="E403" s="16" t="str">
        <x:v>Missing email</x:v>
      </x:c>
    </x:row>
    <x:row r="404">
      <x:c r="A404" s="16" t="n">
        <x:v>410</x:v>
      </x:c>
      <x:c r="B404" s="16" t="str">
        <x:v>Ahmed Zaki</x:v>
      </x:c>
      <x:c r="C404" s="16" t="str"/>
      <x:c r="D404" s="16" t="str">
        <x:v>* myContacts</x:v>
      </x:c>
      <x:c r="E404" s="16" t="str">
        <x:v>Missing email</x:v>
      </x:c>
    </x:row>
    <x:row r="405">
      <x:c r="A405" s="16" t="n">
        <x:v>411</x:v>
      </x:c>
      <x:c r="B405" s="16" t="str">
        <x:v>Ahnaf Czedro</x:v>
      </x:c>
      <x:c r="C405" s="16" t="str"/>
      <x:c r="D405" s="16" t="str">
        <x:v>* myContacts</x:v>
      </x:c>
      <x:c r="E405" s="16" t="str">
        <x:v>Missing email</x:v>
      </x:c>
    </x:row>
    <x:row r="406">
      <x:c r="A406" s="16" t="n">
        <x:v>412</x:v>
      </x:c>
      <x:c r="B406" s="16" t="str">
        <x:v>Ahnaf Czedro II</x:v>
      </x:c>
      <x:c r="C406" s="16" t="str"/>
      <x:c r="D406" s="16" t="str">
        <x:v>* myContacts</x:v>
      </x:c>
      <x:c r="E406" s="16" t="str">
        <x:v>Missing email</x:v>
      </x:c>
    </x:row>
    <x:row r="407">
      <x:c r="A407" s="16" t="n">
        <x:v>413</x:v>
      </x:c>
      <x:c r="B407" s="16" t="str">
        <x:v>Ahsan Ali Kunbher</x:v>
      </x:c>
      <x:c r="C407" s="16" t="str"/>
      <x:c r="D407" s="16" t="str">
        <x:v>* myContacts</x:v>
      </x:c>
      <x:c r="E407" s="16" t="str">
        <x:v>Missing email</x:v>
      </x:c>
    </x:row>
    <x:row r="408">
      <x:c r="A408" s="16" t="n">
        <x:v>414</x:v>
      </x:c>
      <x:c r="B408" s="16" t="str">
        <x:v>Ai pekerja 1</x:v>
      </x:c>
      <x:c r="C408" s="16" t="str"/>
      <x:c r="D408" s="16" t="str">
        <x:v>* myContacts | * starred</x:v>
      </x:c>
      <x:c r="E408" s="16" t="str">
        <x:v>Missing email</x:v>
      </x:c>
    </x:row>
    <x:row r="409">
      <x:c r="A409" s="16" t="n">
        <x:v>415</x:v>
      </x:c>
      <x:c r="B409" s="16" t="str">
        <x:v>Ai pekerja 3</x:v>
      </x:c>
      <x:c r="C409" s="16" t="str"/>
      <x:c r="D409" s="16" t="str">
        <x:v>* myContacts</x:v>
      </x:c>
      <x:c r="E409" s="16" t="str">
        <x:v>Missing email</x:v>
      </x:c>
    </x:row>
    <x:row r="410">
      <x:c r="A410" s="16" t="n">
        <x:v>416</x:v>
      </x:c>
      <x:c r="B410" s="16" t="str">
        <x:v>Ai pekerja 4</x:v>
      </x:c>
      <x:c r="C410" s="16" t="str"/>
      <x:c r="D410" s="16" t="str">
        <x:v>* myContacts</x:v>
      </x:c>
      <x:c r="E410" s="16" t="str">
        <x:v>Missing email</x:v>
      </x:c>
    </x:row>
    <x:row r="411">
      <x:c r="A411" s="16" t="n">
        <x:v>417</x:v>
      </x:c>
      <x:c r="B411" s="16" t="str">
        <x:v>Ai Pekerja Pekerja 2</x:v>
      </x:c>
      <x:c r="C411" s="16" t="str"/>
      <x:c r="D411" s="16" t="str">
        <x:v>* myContacts</x:v>
      </x:c>
      <x:c r="E411" s="16" t="str">
        <x:v>Missing email</x:v>
      </x:c>
    </x:row>
    <x:row r="412">
      <x:c r="A412" s="16" t="n">
        <x:v>418</x:v>
      </x:c>
      <x:c r="B412" s="16" t="str">
        <x:v>AIA Anderson Lim</x:v>
      </x:c>
      <x:c r="C412" s="16" t="str"/>
      <x:c r="D412" s="16" t="str">
        <x:v>* myContacts</x:v>
      </x:c>
      <x:c r="E412" s="16" t="str">
        <x:v>Missing email</x:v>
      </x:c>
    </x:row>
    <x:row r="413">
      <x:c r="A413" s="16" t="n">
        <x:v>419</x:v>
      </x:c>
      <x:c r="B413" s="16" t="str">
        <x:v>Aida</x:v>
      </x:c>
      <x:c r="C413" s="16" t="str"/>
      <x:c r="D413" s="16" t="str">
        <x:v>* myContacts</x:v>
      </x:c>
      <x:c r="E413" s="16" t="str">
        <x:v>Missing email</x:v>
      </x:c>
    </x:row>
    <x:row r="414">
      <x:c r="A414" s="16" t="n">
        <x:v>420</x:v>
      </x:c>
      <x:c r="B414" s="16" t="str">
        <x:v>Aida Afrinaz</x:v>
      </x:c>
      <x:c r="C414" s="16" t="str"/>
      <x:c r="D414" s="16" t="str">
        <x:v>* myContacts</x:v>
      </x:c>
      <x:c r="E414" s="16" t="str">
        <x:v>Missing email</x:v>
      </x:c>
    </x:row>
    <x:row r="415">
      <x:c r="A415" s="16" t="n">
        <x:v>421</x:v>
      </x:c>
      <x:c r="B415" s="16" t="str">
        <x:v>Aida Azman</x:v>
      </x:c>
      <x:c r="C415" s="16" t="str"/>
      <x:c r="D415" s="16" t="str">
        <x:v>* myContacts</x:v>
      </x:c>
      <x:c r="E415" s="16" t="str">
        <x:v>Missing email</x:v>
      </x:c>
    </x:row>
    <x:row r="416">
      <x:c r="A416" s="16" t="n">
        <x:v>422</x:v>
      </x:c>
      <x:c r="B416" s="16" t="str">
        <x:v>Aida Baju &amp;Tudung</x:v>
      </x:c>
      <x:c r="C416" s="16" t="str"/>
      <x:c r="D416" s="16" t="str">
        <x:v>* myContacts</x:v>
      </x:c>
      <x:c r="E416" s="16" t="str">
        <x:v>Missing email</x:v>
      </x:c>
    </x:row>
    <x:row r="417">
      <x:c r="A417" s="16" t="n">
        <x:v>423</x:v>
      </x:c>
      <x:c r="B417" s="16" t="str">
        <x:v>Aida Idayu Abdul Aziz</x:v>
      </x:c>
      <x:c r="C417" s="16" t="str"/>
      <x:c r="D417" s="16" t="str">
        <x:v>* myContacts</x:v>
      </x:c>
      <x:c r="E417" s="16" t="str">
        <x:v>Missing email</x:v>
      </x:c>
    </x:row>
    <x:row r="418">
      <x:c r="A418" s="16" t="n">
        <x:v>424</x:v>
      </x:c>
      <x:c r="B418" s="16" t="str">
        <x:v>Aida Ismail</x:v>
      </x:c>
      <x:c r="C418" s="16" t="str"/>
      <x:c r="D418" s="16" t="str">
        <x:v>* myContacts</x:v>
      </x:c>
      <x:c r="E418" s="16" t="str">
        <x:v>Missing email</x:v>
      </x:c>
    </x:row>
    <x:row r="419">
      <x:c r="A419" s="16" t="n">
        <x:v>425</x:v>
      </x:c>
      <x:c r="B419" s="16" t="str">
        <x:v>Aida Saadah</x:v>
      </x:c>
      <x:c r="C419" s="16" t="str"/>
      <x:c r="D419" s="16" t="str">
        <x:v>* myContacts</x:v>
      </x:c>
      <x:c r="E419" s="16" t="str">
        <x:v>Missing email</x:v>
      </x:c>
    </x:row>
    <x:row r="420">
      <x:c r="A420" s="16" t="n">
        <x:v>426</x:v>
      </x:c>
      <x:c r="B420" s="16" t="str">
        <x:v>Aida Syarmila Othman</x:v>
      </x:c>
      <x:c r="C420" s="16" t="str"/>
      <x:c r="D420" s="16" t="str">
        <x:v>* myContacts</x:v>
      </x:c>
      <x:c r="E420" s="16" t="str">
        <x:v>Missing email</x:v>
      </x:c>
    </x:row>
    <x:row r="421">
      <x:c r="A421" s="16" t="n">
        <x:v>427</x:v>
      </x:c>
      <x:c r="B421" s="16" t="str">
        <x:v>Aidaa Aziz</x:v>
      </x:c>
      <x:c r="C421" s="16" t="str"/>
      <x:c r="D421" s="16" t="str">
        <x:v>* myContacts</x:v>
      </x:c>
      <x:c r="E421" s="16" t="str">
        <x:v>Missing email</x:v>
      </x:c>
    </x:row>
    <x:row r="422">
      <x:c r="A422" s="16" t="n">
        <x:v>428</x:v>
      </x:c>
      <x:c r="B422" s="16" t="str">
        <x:v>Aidamai Mohammad</x:v>
      </x:c>
      <x:c r="C422" s="16" t="str"/>
      <x:c r="D422" s="16" t="str">
        <x:v>* myContacts</x:v>
      </x:c>
      <x:c r="E422" s="16" t="str">
        <x:v>Missing email</x:v>
      </x:c>
    </x:row>
    <x:row r="423">
      <x:c r="A423" s="16" t="n">
        <x:v>429</x:v>
      </x:c>
      <x:c r="B423" s="16" t="str">
        <x:v>Aidatul Akmar Ahmad</x:v>
      </x:c>
      <x:c r="C423" s="16" t="str"/>
      <x:c r="D423" s="16" t="str">
        <x:v>* myContacts</x:v>
      </x:c>
      <x:c r="E423" s="16" t="str">
        <x:v>Missing email</x:v>
      </x:c>
    </x:row>
    <x:row r="424">
      <x:c r="A424" s="16" t="n">
        <x:v>430</x:v>
      </x:c>
      <x:c r="B424" s="16" t="str">
        <x:v>Aidi Guslan</x:v>
      </x:c>
      <x:c r="C424" s="16" t="str"/>
      <x:c r="D424" s="16" t="str">
        <x:v>* myContacts</x:v>
      </x:c>
      <x:c r="E424" s="16" t="str">
        <x:v>Missing email</x:v>
      </x:c>
    </x:row>
    <x:row r="425">
      <x:c r="A425" s="16" t="n">
        <x:v>431</x:v>
      </x:c>
      <x:c r="B425" s="16" t="str">
        <x:v>Aidi Traveller</x:v>
      </x:c>
      <x:c r="C425" s="16" t="str"/>
      <x:c r="D425" s="16" t="str">
        <x:v>* myContacts</x:v>
      </x:c>
      <x:c r="E425" s="16" t="str">
        <x:v>Missing email</x:v>
      </x:c>
    </x:row>
    <x:row r="426">
      <x:c r="A426" s="16" t="n">
        <x:v>432</x:v>
      </x:c>
      <x:c r="B426" s="16" t="str">
        <x:v>Aidil Adham Azhan</x:v>
      </x:c>
      <x:c r="C426" s="16" t="str"/>
      <x:c r="D426" s="16" t="str">
        <x:v>* myContacts</x:v>
      </x:c>
      <x:c r="E426" s="16" t="str">
        <x:v>Missing email</x:v>
      </x:c>
    </x:row>
    <x:row r="427">
      <x:c r="A427" s="16" t="n">
        <x:v>433</x:v>
      </x:c>
      <x:c r="B427" s="16" t="str">
        <x:v>Aidil Ashraf Kru</x:v>
      </x:c>
      <x:c r="C427" s="16" t="str"/>
      <x:c r="D427" s="16" t="str">
        <x:v>* myContacts</x:v>
      </x:c>
      <x:c r="E427" s="16" t="str">
        <x:v>Missing email</x:v>
      </x:c>
    </x:row>
    <x:row r="428">
      <x:c r="A428" s="16" t="n">
        <x:v>434</x:v>
      </x:c>
      <x:c r="B428" s="16" t="str">
        <x:v>Aidil Iffat</x:v>
      </x:c>
      <x:c r="C428" s="16" t="str"/>
      <x:c r="D428" s="16" t="str">
        <x:v>* myContacts</x:v>
      </x:c>
      <x:c r="E428" s="16" t="str">
        <x:v>Missing email</x:v>
      </x:c>
    </x:row>
    <x:row r="429">
      <x:c r="A429" s="16" t="n">
        <x:v>435</x:v>
      </x:c>
      <x:c r="B429" s="16" t="str">
        <x:v>Aie Garage</x:v>
      </x:c>
      <x:c r="C429" s="16" t="str"/>
      <x:c r="D429" s="16" t="str">
        <x:v>* myContacts</x:v>
      </x:c>
      <x:c r="E429" s="16" t="str">
        <x:v>Missing email</x:v>
      </x:c>
    </x:row>
    <x:row r="430">
      <x:c r="A430" s="16" t="n">
        <x:v>436</x:v>
      </x:c>
      <x:c r="B430" s="16" t="str">
        <x:v>Aien Didie</x:v>
      </x:c>
      <x:c r="C430" s="16" t="str"/>
      <x:c r="D430" s="16" t="str">
        <x:v>* myContacts</x:v>
      </x:c>
      <x:c r="E430" s="16" t="str">
        <x:v>Missing email</x:v>
      </x:c>
    </x:row>
    <x:row r="431">
      <x:c r="A431" s="16" t="n">
        <x:v>437</x:v>
      </x:c>
      <x:c r="B431" s="16" t="str">
        <x:v>Aienn Latifi</x:v>
      </x:c>
      <x:c r="C431" s="16" t="str"/>
      <x:c r="D431" s="16" t="str">
        <x:v>* myContacts</x:v>
      </x:c>
      <x:c r="E431" s="16" t="str">
        <x:v>Missing email</x:v>
      </x:c>
    </x:row>
    <x:row r="432">
      <x:c r="A432" s="16" t="n">
        <x:v>438</x:v>
      </x:c>
      <x:c r="B432" s="16" t="str">
        <x:v>Aienora MiEn</x:v>
      </x:c>
      <x:c r="C432" s="16" t="str"/>
      <x:c r="D432" s="16" t="str">
        <x:v>* myContacts</x:v>
      </x:c>
      <x:c r="E432" s="16" t="str">
        <x:v>Missing email</x:v>
      </x:c>
    </x:row>
    <x:row r="433">
      <x:c r="A433" s="16" t="n">
        <x:v>439</x:v>
      </x:c>
      <x:c r="B433" s="16" t="str">
        <x:v>Aierya Fara</x:v>
      </x:c>
      <x:c r="C433" s="16" t="str"/>
      <x:c r="D433" s="16" t="str">
        <x:v>* myContacts</x:v>
      </x:c>
      <x:c r="E433" s="16" t="str">
        <x:v>Missing email</x:v>
      </x:c>
    </x:row>
    <x:row r="434">
      <x:c r="A434" s="16" t="n">
        <x:v>440</x:v>
      </x:c>
      <x:c r="B434" s="16" t="str">
        <x:v>Aiey Moiye</x:v>
      </x:c>
      <x:c r="C434" s="16" t="str"/>
      <x:c r="D434" s="16" t="str">
        <x:v>* myContacts</x:v>
      </x:c>
      <x:c r="E434" s="16" t="str">
        <x:v>Missing email</x:v>
      </x:c>
    </x:row>
    <x:row r="435">
      <x:c r="A435" s="16" t="n">
        <x:v>441</x:v>
      </x:c>
      <x:c r="B435" s="16" t="str">
        <x:v>Aieyta Ayob</x:v>
      </x:c>
      <x:c r="C435" s="16" t="str"/>
      <x:c r="D435" s="16" t="str">
        <x:v>* myContacts</x:v>
      </x:c>
      <x:c r="E435" s="16" t="str">
        <x:v>Missing email</x:v>
      </x:c>
    </x:row>
    <x:row r="436">
      <x:c r="A436" s="16" t="n">
        <x:v>442</x:v>
      </x:c>
      <x:c r="B436" s="16" t="str">
        <x:v>Aifa Manufacturing</x:v>
      </x:c>
      <x:c r="C436" s="16" t="str"/>
      <x:c r="D436" s="16" t="str">
        <x:v>* myContacts</x:v>
      </x:c>
      <x:c r="E436" s="16" t="str">
        <x:v>Missing email</x:v>
      </x:c>
    </x:row>
    <x:row r="437">
      <x:c r="A437" s="16" t="n">
        <x:v>443</x:v>
      </x:c>
      <x:c r="B437" s="16" t="str">
        <x:v>Aikal Sa</x:v>
      </x:c>
      <x:c r="C437" s="16" t="str"/>
      <x:c r="D437" s="16" t="str">
        <x:v>* myContacts</x:v>
      </x:c>
      <x:c r="E437" s="16" t="str">
        <x:v>Missing email</x:v>
      </x:c>
    </x:row>
    <x:row r="438">
      <x:c r="A438" s="16" t="n">
        <x:v>444</x:v>
      </x:c>
      <x:c r="B438" s="16" t="str">
        <x:v>Aila Hashim</x:v>
      </x:c>
      <x:c r="C438" s="16" t="str"/>
      <x:c r="D438" s="16" t="str">
        <x:v>* myContacts</x:v>
      </x:c>
      <x:c r="E438" s="16" t="str">
        <x:v>Missing email</x:v>
      </x:c>
    </x:row>
    <x:row r="439">
      <x:c r="A439" s="16" t="n">
        <x:v>445</x:v>
      </x:c>
      <x:c r="B439" s="16" t="str">
        <x:v>Aiman Adikku</x:v>
      </x:c>
      <x:c r="C439" s="16" t="str"/>
      <x:c r="D439" s="16" t="str">
        <x:v>* myContacts</x:v>
      </x:c>
      <x:c r="E439" s="16" t="str">
        <x:v>Missing email</x:v>
      </x:c>
    </x:row>
    <x:row r="440">
      <x:c r="A440" s="16" t="n">
        <x:v>446</x:v>
      </x:c>
      <x:c r="B440" s="16" t="str">
        <x:v>Aiman Adli</x:v>
      </x:c>
      <x:c r="C440" s="16" t="str"/>
      <x:c r="D440" s="16" t="str">
        <x:v>* myContacts</x:v>
      </x:c>
      <x:c r="E440" s="16" t="str">
        <x:v>Missing email</x:v>
      </x:c>
    </x:row>
    <x:row r="441">
      <x:c r="A441" s="16" t="n">
        <x:v>447</x:v>
      </x:c>
      <x:c r="B441" s="16" t="str">
        <x:v>Aiman Affendi II</x:v>
      </x:c>
      <x:c r="C441" s="16" t="str"/>
      <x:c r="D441" s="16" t="str">
        <x:v>* myContacts</x:v>
      </x:c>
      <x:c r="E441" s="16" t="str">
        <x:v>Missing email</x:v>
      </x:c>
    </x:row>
    <x:row r="442">
      <x:c r="A442" s="16" t="n">
        <x:v>448</x:v>
      </x:c>
      <x:c r="B442" s="16" t="str">
        <x:v>Aiman Bank Rakyat Kuala Selangor</x:v>
      </x:c>
      <x:c r="C442" s="16" t="str"/>
      <x:c r="D442" s="16" t="str">
        <x:v>* myContacts</x:v>
      </x:c>
      <x:c r="E442" s="16" t="str">
        <x:v>Missing email</x:v>
      </x:c>
    </x:row>
    <x:row r="443">
      <x:c r="A443" s="16" t="n">
        <x:v>449</x:v>
      </x:c>
      <x:c r="B443" s="16" t="str">
        <x:v>Aiman Cempoiy</x:v>
      </x:c>
      <x:c r="C443" s="16" t="str"/>
      <x:c r="D443" s="16" t="str">
        <x:v>* myContacts</x:v>
      </x:c>
      <x:c r="E443" s="16" t="str">
        <x:v>Missing email</x:v>
      </x:c>
    </x:row>
    <x:row r="444">
      <x:c r="A444" s="16" t="n">
        <x:v>450</x:v>
      </x:c>
      <x:c r="B444" s="16" t="str">
        <x:v>Aiman Cikgu Copywriting</x:v>
      </x:c>
      <x:c r="C444" s="16" t="str"/>
      <x:c r="D444" s="16" t="str">
        <x:v>* myContacts</x:v>
      </x:c>
      <x:c r="E444" s="16" t="str">
        <x:v>Missing email</x:v>
      </x:c>
    </x:row>
    <x:row r="445">
      <x:c r="A445" s="16" t="n">
        <x:v>451</x:v>
      </x:c>
      <x:c r="B445" s="16" t="str">
        <x:v>Aiman Eman</x:v>
      </x:c>
      <x:c r="C445" s="16" t="str"/>
      <x:c r="D445" s="16" t="str">
        <x:v>* myContacts</x:v>
      </x:c>
      <x:c r="E445" s="16" t="str">
        <x:v>Missing email</x:v>
      </x:c>
    </x:row>
    <x:row r="446">
      <x:c r="A446" s="16" t="n">
        <x:v>452</x:v>
      </x:c>
      <x:c r="B446" s="16" t="str">
        <x:v>Aiman Hanis</x:v>
      </x:c>
      <x:c r="C446" s="16" t="str"/>
      <x:c r="D446" s="16" t="str">
        <x:v>* myContacts</x:v>
      </x:c>
      <x:c r="E446" s="16" t="str">
        <x:v>Missing email</x:v>
      </x:c>
    </x:row>
    <x:row r="447">
      <x:c r="A447" s="16" t="n">
        <x:v>453</x:v>
      </x:c>
      <x:c r="B447" s="16" t="str">
        <x:v>Aiman Mazlan</x:v>
      </x:c>
      <x:c r="C447" s="16" t="str"/>
      <x:c r="D447" s="16" t="str">
        <x:v>* myContacts</x:v>
      </x:c>
      <x:c r="E447" s="16" t="str">
        <x:v>Missing email</x:v>
      </x:c>
    </x:row>
    <x:row r="448">
      <x:c r="A448" s="16" t="n">
        <x:v>454</x:v>
      </x:c>
      <x:c r="B448" s="16" t="str">
        <x:v>Aiman Mohammad</x:v>
      </x:c>
      <x:c r="C448" s="16" t="str"/>
      <x:c r="D448" s="16" t="str">
        <x:v>* myContacts</x:v>
      </x:c>
      <x:c r="E448" s="16" t="str">
        <x:v>Missing email</x:v>
      </x:c>
    </x:row>
    <x:row r="449">
      <x:c r="A449" s="16" t="n">
        <x:v>455</x:v>
      </x:c>
      <x:c r="B449" s="16" t="str">
        <x:v>Aiman Mohd Zan</x:v>
      </x:c>
      <x:c r="C449" s="16" t="str"/>
      <x:c r="D449" s="16" t="str">
        <x:v>* myContacts</x:v>
      </x:c>
      <x:c r="E449" s="16" t="str">
        <x:v>Missing email</x:v>
      </x:c>
    </x:row>
    <x:row r="450">
      <x:c r="A450" s="16" t="n">
        <x:v>456</x:v>
      </x:c>
      <x:c r="B450" s="16" t="str">
        <x:v>AIMAN Muthu</x:v>
      </x:c>
      <x:c r="C450" s="16" t="str"/>
      <x:c r="D450" s="16" t="str">
        <x:v>* myContacts</x:v>
      </x:c>
      <x:c r="E450" s="16" t="str">
        <x:v>Missing email</x:v>
      </x:c>
    </x:row>
    <x:row r="451">
      <x:c r="A451" s="16" t="n">
        <x:v>457</x:v>
      </x:c>
      <x:c r="B451" s="16" t="str">
        <x:v>Aiman Nasram</x:v>
      </x:c>
      <x:c r="C451" s="16" t="str"/>
      <x:c r="D451" s="16" t="str">
        <x:v>* myContacts</x:v>
      </x:c>
      <x:c r="E451" s="16" t="str">
        <x:v>Missing email</x:v>
      </x:c>
    </x:row>
    <x:row r="452">
      <x:c r="A452" s="16" t="n">
        <x:v>458</x:v>
      </x:c>
      <x:c r="B452" s="16" t="str">
        <x:v>Aiman Owner</x:v>
      </x:c>
      <x:c r="C452" s="16" t="str"/>
      <x:c r="D452" s="16" t="str">
        <x:v>* myContacts</x:v>
      </x:c>
      <x:c r="E452" s="16" t="str">
        <x:v>Missing email</x:v>
      </x:c>
    </x:row>
    <x:row r="453">
      <x:c r="A453" s="16" t="n">
        <x:v>459</x:v>
      </x:c>
      <x:c r="B453" s="16" t="str">
        <x:v>Aiman Pancaran</x:v>
      </x:c>
      <x:c r="C453" s="16" t="str"/>
      <x:c r="D453" s="16" t="str">
        <x:v>* myContacts</x:v>
      </x:c>
      <x:c r="E453" s="16" t="str">
        <x:v>Missing email</x:v>
      </x:c>
    </x:row>
    <x:row r="454">
      <x:c r="A454" s="16" t="n">
        <x:v>460</x:v>
      </x:c>
      <x:c r="B454" s="16" t="str">
        <x:v>Aiman Yunus</x:v>
      </x:c>
      <x:c r="C454" s="16" t="str"/>
      <x:c r="D454" s="16" t="str">
        <x:v>* myContacts</x:v>
      </x:c>
      <x:c r="E454" s="16" t="str">
        <x:v>Missing email</x:v>
      </x:c>
    </x:row>
    <x:row r="455">
      <x:c r="A455" s="16" t="n">
        <x:v>461</x:v>
      </x:c>
      <x:c r="B455" s="16" t="str">
        <x:v>Aimeen Nurashid</x:v>
      </x:c>
      <x:c r="C455" s="16" t="str"/>
      <x:c r="D455" s="16" t="str">
        <x:v>* myContacts</x:v>
      </x:c>
      <x:c r="E455" s="16" t="str">
        <x:v>Missing email</x:v>
      </x:c>
    </x:row>
    <x:row r="456">
      <x:c r="A456" s="16" t="n">
        <x:v>462</x:v>
      </x:c>
      <x:c r="B456" s="16" t="str">
        <x:v>Aimi Eusahawan Coordinator</x:v>
      </x:c>
      <x:c r="C456" s="16" t="str"/>
      <x:c r="D456" s="16" t="str">
        <x:v>* myContacts</x:v>
      </x:c>
      <x:c r="E456" s="16" t="str">
        <x:v>Missing email</x:v>
      </x:c>
    </x:row>
    <x:row r="457">
      <x:c r="A457" s="16" t="n">
        <x:v>463</x:v>
      </x:c>
      <x:c r="B457" s="16" t="str">
        <x:v>Ain Aien</x:v>
      </x:c>
      <x:c r="C457" s="16" t="str"/>
      <x:c r="D457" s="16" t="str">
        <x:v>* myContacts</x:v>
      </x:c>
      <x:c r="E457" s="16" t="str">
        <x:v>Missing email</x:v>
      </x:c>
    </x:row>
    <x:row r="458">
      <x:c r="A458" s="16" t="n">
        <x:v>464</x:v>
      </x:c>
      <x:c r="B458" s="16" t="str">
        <x:v>Ain Aziz</x:v>
      </x:c>
      <x:c r="C458" s="16" t="str"/>
      <x:c r="D458" s="16" t="str">
        <x:v>* myContacts</x:v>
      </x:c>
      <x:c r="E458" s="16" t="str">
        <x:v>Missing email</x:v>
      </x:c>
    </x:row>
    <x:row r="459">
      <x:c r="A459" s="16" t="n">
        <x:v>465</x:v>
      </x:c>
      <x:c r="B459" s="16" t="str">
        <x:v>Ain Basirul</x:v>
      </x:c>
      <x:c r="C459" s="16" t="str"/>
      <x:c r="D459" s="16" t="str">
        <x:v>* myContacts</x:v>
      </x:c>
      <x:c r="E459" s="16" t="str">
        <x:v>Missing email</x:v>
      </x:c>
    </x:row>
    <x:row r="460">
      <x:c r="A460" s="16" t="n">
        <x:v>466</x:v>
      </x:c>
      <x:c r="B460" s="16" t="str">
        <x:v>Ain Nur Mardhiah</x:v>
      </x:c>
      <x:c r="C460" s="16" t="str"/>
      <x:c r="D460" s="16" t="str">
        <x:v>* myContacts</x:v>
      </x:c>
      <x:c r="E460" s="16" t="str">
        <x:v>Missing email</x:v>
      </x:c>
    </x:row>
    <x:row r="461">
      <x:c r="A461" s="16" t="n">
        <x:v>467</x:v>
      </x:c>
      <x:c r="B461" s="16" t="str">
        <x:v>Ain staff zainuddin agp agent</x:v>
      </x:c>
      <x:c r="C461" s="16" t="str"/>
      <x:c r="D461" s="16" t="str">
        <x:v>* myContacts</x:v>
      </x:c>
      <x:c r="E461" s="16" t="str">
        <x:v>Missing email</x:v>
      </x:c>
    </x:row>
    <x:row r="462">
      <x:c r="A462" s="16" t="n">
        <x:v>468</x:v>
      </x:c>
      <x:c r="B462" s="16" t="str">
        <x:v>Ain Sulaiman</x:v>
      </x:c>
      <x:c r="C462" s="16" t="str"/>
      <x:c r="D462" s="16" t="str">
        <x:v>* myContacts</x:v>
      </x:c>
      <x:c r="E462" s="16" t="str">
        <x:v>Missing email</x:v>
      </x:c>
    </x:row>
    <x:row r="463">
      <x:c r="A463" s="16" t="n">
        <x:v>469</x:v>
      </x:c>
      <x:c r="B463" s="16" t="str">
        <x:v>Ain Zuria</x:v>
      </x:c>
      <x:c r="C463" s="16" t="str"/>
      <x:c r="D463" s="16" t="str">
        <x:v>* myContacts</x:v>
      </x:c>
      <x:c r="E463" s="16" t="str">
        <x:v>Missing email</x:v>
      </x:c>
    </x:row>
    <x:row r="464">
      <x:c r="A464" s="16" t="n">
        <x:v>470</x:v>
      </x:c>
      <x:c r="B464" s="16" t="str">
        <x:v>Aina Adieq</x:v>
      </x:c>
      <x:c r="C464" s="16" t="str"/>
      <x:c r="D464" s="16" t="str">
        <x:v>* myContacts</x:v>
      </x:c>
      <x:c r="E464" s="16" t="str">
        <x:v>Missing email</x:v>
      </x:c>
    </x:row>
    <x:row r="465">
      <x:c r="A465" s="16" t="n">
        <x:v>471</x:v>
      </x:c>
      <x:c r="B465" s="16" t="str">
        <x:v>Aina G-are</x:v>
      </x:c>
      <x:c r="C465" s="16" t="str"/>
      <x:c r="D465" s="16" t="str">
        <x:v>* myContacts</x:v>
      </x:c>
      <x:c r="E465" s="16" t="str">
        <x:v>Missing email</x:v>
      </x:c>
    </x:row>
    <x:row r="466">
      <x:c r="A466" s="16" t="n">
        <x:v>472</x:v>
      </x:c>
      <x:c r="B466" s="16" t="str">
        <x:v>Aina Spire Richwork</x:v>
      </x:c>
      <x:c r="C466" s="16" t="str"/>
      <x:c r="D466" s="16" t="str">
        <x:v>* myContacts</x:v>
      </x:c>
      <x:c r="E466" s="16" t="str">
        <x:v>Missing email</x:v>
      </x:c>
    </x:row>
    <x:row r="467">
      <x:c r="A467" s="16" t="n">
        <x:v>473</x:v>
      </x:c>
      <x:c r="B467" s="16" t="str">
        <x:v>Aina Syakirah Kakak</x:v>
      </x:c>
      <x:c r="C467" s="16" t="str"/>
      <x:c r="D467" s="16" t="str">
        <x:v>* myContacts</x:v>
      </x:c>
      <x:c r="E467" s="16" t="str">
        <x:v>Missing email</x:v>
      </x:c>
    </x:row>
    <x:row r="468">
      <x:c r="A468" s="16" t="n">
        <x:v>474</x:v>
      </x:c>
      <x:c r="B468" s="16" t="str">
        <x:v>Ainaa Farhah</x:v>
      </x:c>
      <x:c r="C468" s="16" t="str"/>
      <x:c r="D468" s="16" t="str">
        <x:v>* myContacts</x:v>
      </x:c>
      <x:c r="E468" s="16" t="str">
        <x:v>Missing email</x:v>
      </x:c>
    </x:row>
    <x:row r="469">
      <x:c r="A469" s="16" t="n">
        <x:v>475</x:v>
      </x:c>
      <x:c r="B469" s="16" t="str">
        <x:v>Aini Antz</x:v>
      </x:c>
      <x:c r="C469" s="16" t="str"/>
      <x:c r="D469" s="16" t="str">
        <x:v>* myContacts</x:v>
      </x:c>
      <x:c r="E469" s="16" t="str">
        <x:v>Missing email</x:v>
      </x:c>
    </x:row>
    <x:row r="470">
      <x:c r="A470" s="16" t="n">
        <x:v>476</x:v>
      </x:c>
      <x:c r="B470" s="16" t="str">
        <x:v>Aini Nlp Seremban</x:v>
      </x:c>
      <x:c r="C470" s="16" t="str"/>
      <x:c r="D470" s="16" t="str">
        <x:v>* myContacts</x:v>
      </x:c>
      <x:c r="E470" s="16" t="str">
        <x:v>Missing email</x:v>
      </x:c>
    </x:row>
    <x:row r="471">
      <x:c r="A471" s="16" t="n">
        <x:v>477</x:v>
      </x:c>
      <x:c r="B471" s="16" t="str">
        <x:v>Ainie Azizan</x:v>
      </x:c>
      <x:c r="C471" s="16" t="str"/>
      <x:c r="D471" s="16" t="str">
        <x:v>* myContacts</x:v>
      </x:c>
      <x:c r="E471" s="16" t="str">
        <x:v>Missing email</x:v>
      </x:c>
    </x:row>
    <x:row r="472">
      <x:c r="A472" s="16" t="n">
        <x:v>478</x:v>
      </x:c>
      <x:c r="B472" s="16" t="str">
        <x:v>Ainika Lee</x:v>
      </x:c>
      <x:c r="C472" s="16" t="str"/>
      <x:c r="D472" s="16" t="str">
        <x:v>* myContacts</x:v>
      </x:c>
      <x:c r="E472" s="16" t="str">
        <x:v>Missing email</x:v>
      </x:c>
    </x:row>
    <x:row r="473">
      <x:c r="A473" s="16" t="n">
        <x:v>479</x:v>
      </x:c>
      <x:c r="B473" s="16" t="str">
        <x:v>Ainil Montaj Event</x:v>
      </x:c>
      <x:c r="C473" s="16" t="str"/>
      <x:c r="D473" s="16" t="str">
        <x:v>* myContacts</x:v>
      </x:c>
      <x:c r="E473" s="16" t="str">
        <x:v>Missing email</x:v>
      </x:c>
    </x:row>
    <x:row r="474">
      <x:c r="A474" s="16" t="n">
        <x:v>480</x:v>
      </x:c>
      <x:c r="B474" s="16" t="str">
        <x:v>Ainnie Nadiera</x:v>
      </x:c>
      <x:c r="C474" s="16" t="str"/>
      <x:c r="D474" s="16" t="str">
        <x:v>* myContacts</x:v>
      </x:c>
      <x:c r="E474" s="16" t="str">
        <x:v>Missing email</x:v>
      </x:c>
    </x:row>
    <x:row r="475">
      <x:c r="A475" s="16" t="n">
        <x:v>481</x:v>
      </x:c>
      <x:c r="B475" s="16" t="str">
        <x:v>Ainnor Mardiah Md Sani</x:v>
      </x:c>
      <x:c r="C475" s="16" t="str"/>
      <x:c r="D475" s="16" t="str">
        <x:v>* myContacts</x:v>
      </x:c>
      <x:c r="E475" s="16" t="str">
        <x:v>Missing email</x:v>
      </x:c>
    </x:row>
    <x:row r="476">
      <x:c r="A476" s="16" t="n">
        <x:v>482</x:v>
      </x:c>
      <x:c r="B476" s="16" t="str">
        <x:v>Ainshah Yahya</x:v>
      </x:c>
      <x:c r="C476" s="16" t="str"/>
      <x:c r="D476" s="16" t="str">
        <x:v>* myContacts</x:v>
      </x:c>
      <x:c r="E476" s="16" t="str">
        <x:v>Missing email</x:v>
      </x:c>
    </x:row>
    <x:row r="477">
      <x:c r="A477" s="16" t="n">
        <x:v>483</x:v>
      </x:c>
      <x:c r="B477" s="16" t="str">
        <x:v>AinSyah Saharani</x:v>
      </x:c>
      <x:c r="C477" s="16" t="str"/>
      <x:c r="D477" s="16" t="str">
        <x:v>* myContacts</x:v>
      </x:c>
      <x:c r="E477" s="16" t="str">
        <x:v>Missing email</x:v>
      </x:c>
    </x:row>
    <x:row r="478">
      <x:c r="A478" s="16" t="n">
        <x:v>484</x:v>
      </x:c>
      <x:c r="B478" s="16" t="str">
        <x:v>Ainsyah Wan Rashid</x:v>
      </x:c>
      <x:c r="C478" s="16" t="str"/>
      <x:c r="D478" s="16" t="str">
        <x:v>* myContacts</x:v>
      </x:c>
      <x:c r="E478" s="16" t="str">
        <x:v>Missing email</x:v>
      </x:c>
    </x:row>
    <x:row r="479">
      <x:c r="A479" s="16" t="n">
        <x:v>485</x:v>
      </x:c>
      <x:c r="B479" s="16" t="str">
        <x:v>Ainul Merdhiyah</x:v>
      </x:c>
      <x:c r="C479" s="16" t="str"/>
      <x:c r="D479" s="16" t="str">
        <x:v>* myContacts</x:v>
      </x:c>
      <x:c r="E479" s="16" t="str">
        <x:v>Missing email</x:v>
      </x:c>
    </x:row>
    <x:row r="480">
      <x:c r="A480" s="16" t="n">
        <x:v>486</x:v>
      </x:c>
      <x:c r="B480" s="16" t="str">
        <x:v>Ainun Kamila</x:v>
      </x:c>
      <x:c r="C480" s="16" t="str"/>
      <x:c r="D480" s="16" t="str">
        <x:v>* myContacts</x:v>
      </x:c>
      <x:c r="E480" s="16" t="str">
        <x:v>Missing email</x:v>
      </x:c>
    </x:row>
    <x:row r="481">
      <x:c r="A481" s="16" t="n">
        <x:v>487</x:v>
      </x:c>
      <x:c r="B481" s="16" t="str">
        <x:v>Ainun Mastura</x:v>
      </x:c>
      <x:c r="C481" s="16" t="str"/>
      <x:c r="D481" s="16" t="str">
        <x:v>* myContacts</x:v>
      </x:c>
      <x:c r="E481" s="16" t="str">
        <x:v>Missing email</x:v>
      </x:c>
    </x:row>
    <x:row r="482">
      <x:c r="A482" s="16" t="n">
        <x:v>488</x:v>
      </x:c>
      <x:c r="B482" s="16" t="str">
        <x:v>Ainun YB</x:v>
      </x:c>
      <x:c r="C482" s="16" t="str"/>
      <x:c r="D482" s="16" t="str">
        <x:v>* myContacts</x:v>
      </x:c>
      <x:c r="E482" s="16" t="str">
        <x:v>Missing email</x:v>
      </x:c>
    </x:row>
    <x:row r="483">
      <x:c r="A483" s="16" t="n">
        <x:v>489</x:v>
      </x:c>
      <x:c r="B483" s="16" t="str">
        <x:v>Aira Rizqi</x:v>
      </x:c>
      <x:c r="C483" s="16" t="str"/>
      <x:c r="D483" s="16" t="str">
        <x:v>* myContacts</x:v>
      </x:c>
      <x:c r="E483" s="16" t="str">
        <x:v>Missing email</x:v>
      </x:c>
    </x:row>
    <x:row r="484">
      <x:c r="A484" s="16" t="n">
        <x:v>490</x:v>
      </x:c>
      <x:c r="B484" s="16" t="str">
        <x:v>Airen Vaendela Dekson</x:v>
      </x:c>
      <x:c r="C484" s="16" t="str"/>
      <x:c r="D484" s="16" t="str">
        <x:v>* myContacts</x:v>
      </x:c>
      <x:c r="E484" s="16" t="str">
        <x:v>Missing email</x:v>
      </x:c>
    </x:row>
    <x:row r="485">
      <x:c r="A485" s="16" t="n">
        <x:v>491</x:v>
      </x:c>
      <x:c r="B485" s="16" t="str">
        <x:v>Airie Azmi</x:v>
      </x:c>
      <x:c r="C485" s="16" t="str"/>
      <x:c r="D485" s="16" t="str">
        <x:v>* myContacts</x:v>
      </x:c>
      <x:c r="E485" s="16" t="str">
        <x:v>Missing email</x:v>
      </x:c>
    </x:row>
    <x:row r="486">
      <x:c r="A486" s="16" t="n">
        <x:v>492</x:v>
      </x:c>
      <x:c r="B486" s="16" t="str">
        <x:v>Airisya Suffya Full II</x:v>
      </x:c>
      <x:c r="C486" s="16" t="str"/>
      <x:c r="D486" s="16" t="str">
        <x:v>* myContacts</x:v>
      </x:c>
      <x:c r="E486" s="16" t="str">
        <x:v>Missing email</x:v>
      </x:c>
    </x:row>
    <x:row r="487">
      <x:c r="A487" s="16" t="n">
        <x:v>493</x:v>
      </x:c>
      <x:c r="B487" s="16" t="str">
        <x:v>Airpak Sandakan</x:v>
      </x:c>
      <x:c r="C487" s="16" t="str"/>
      <x:c r="D487" s="16" t="str">
        <x:v>* myContacts</x:v>
      </x:c>
      <x:c r="E487" s="16" t="str">
        <x:v>Missing email</x:v>
      </x:c>
    </x:row>
    <x:row r="488">
      <x:c r="A488" s="16" t="n">
        <x:v>494</x:v>
      </x:c>
      <x:c r="B488" s="16" t="str">
        <x:v>Airul Irin</x:v>
      </x:c>
      <x:c r="C488" s="16" t="str"/>
      <x:c r="D488" s="16" t="str">
        <x:v>* myContacts</x:v>
      </x:c>
      <x:c r="E488" s="16" t="str">
        <x:v>Missing email</x:v>
      </x:c>
    </x:row>
    <x:row r="489">
      <x:c r="A489" s="16" t="n">
        <x:v>495</x:v>
      </x:c>
      <x:c r="B489" s="16" t="str">
        <x:v>Aiscrim Aisyah Syuhadah</x:v>
      </x:c>
      <x:c r="C489" s="16" t="str"/>
      <x:c r="D489" s="16" t="str">
        <x:v>* myContacts</x:v>
      </x:c>
      <x:c r="E489" s="16" t="str">
        <x:v>Missing email</x:v>
      </x:c>
    </x:row>
    <x:row r="490">
      <x:c r="A490" s="16" t="n">
        <x:v>496</x:v>
      </x:c>
      <x:c r="B490" s="16" t="str">
        <x:v>Aish</x:v>
      </x:c>
      <x:c r="C490" s="16" t="str"/>
      <x:c r="D490" s="16" t="str">
        <x:v>* myContacts</x:v>
      </x:c>
      <x:c r="E490" s="16" t="str">
        <x:v>Missing email</x:v>
      </x:c>
    </x:row>
    <x:row r="491">
      <x:c r="A491" s="16" t="n">
        <x:v>497</x:v>
      </x:c>
      <x:c r="B491" s="16" t="str">
        <x:v>Aishah Agent AGP Tabung Haji</x:v>
      </x:c>
      <x:c r="C491" s="16" t="str"/>
      <x:c r="D491" s="16" t="str">
        <x:v>* myContacts</x:v>
      </x:c>
      <x:c r="E491" s="16" t="str">
        <x:v>Missing email</x:v>
      </x:c>
    </x:row>
    <x:row r="492">
      <x:c r="A492" s="16" t="n">
        <x:v>498</x:v>
      </x:c>
      <x:c r="B492" s="16" t="str">
        <x:v>Aishah AGP</x:v>
      </x:c>
      <x:c r="C492" s="16" t="str"/>
      <x:c r="D492" s="16" t="str">
        <x:v>* myContacts</x:v>
      </x:c>
      <x:c r="E492" s="16" t="str">
        <x:v>Missing email</x:v>
      </x:c>
    </x:row>
    <x:row r="493">
      <x:c r="A493" s="16" t="n">
        <x:v>499</x:v>
      </x:c>
      <x:c r="B493" s="16" t="str">
        <x:v>Aishah Discovery Services</x:v>
      </x:c>
      <x:c r="C493" s="16" t="str"/>
      <x:c r="D493" s="16" t="str">
        <x:v>* myContacts</x:v>
      </x:c>
      <x:c r="E493" s="16" t="str">
        <x:v>Missing email</x:v>
      </x:c>
    </x:row>
    <x:row r="494">
      <x:c r="A494" s="16" t="n">
        <x:v>500</x:v>
      </x:c>
      <x:c r="B494" s="16" t="str">
        <x:v>Aishah Hatta</x:v>
      </x:c>
      <x:c r="C494" s="16" t="str"/>
      <x:c r="D494" s="16" t="str">
        <x:v>* myContacts</x:v>
      </x:c>
      <x:c r="E494" s="16" t="str">
        <x:v>Missing email</x:v>
      </x:c>
    </x:row>
    <x:row r="495">
      <x:c r="A495" s="16" t="n">
        <x:v>501</x:v>
      </x:c>
      <x:c r="B495" s="16" t="str">
        <x:v>Aishah Isa</x:v>
      </x:c>
      <x:c r="C495" s="16" t="str"/>
      <x:c r="D495" s="16" t="str">
        <x:v>* myContacts</x:v>
      </x:c>
      <x:c r="E495" s="16" t="str">
        <x:v>Missing email</x:v>
      </x:c>
    </x:row>
    <x:row r="496">
      <x:c r="A496" s="16" t="n">
        <x:v>502</x:v>
      </x:c>
      <x:c r="B496" s="16" t="str">
        <x:v>Aishah Jaafar</x:v>
      </x:c>
      <x:c r="C496" s="16" t="str"/>
      <x:c r="D496" s="16" t="str">
        <x:v>* myContacts</x:v>
      </x:c>
      <x:c r="E496" s="16" t="str">
        <x:v>Missing email</x:v>
      </x:c>
    </x:row>
    <x:row r="497">
      <x:c r="A497" s="16" t="n">
        <x:v>503</x:v>
      </x:c>
      <x:c r="B497" s="16" t="str">
        <x:v>Aishah Mardhiah A</x:v>
      </x:c>
      <x:c r="C497" s="16" t="str"/>
      <x:c r="D497" s="16" t="str">
        <x:v>* myContacts</x:v>
      </x:c>
      <x:c r="E497" s="16" t="str">
        <x:v>Missing email</x:v>
      </x:c>
    </x:row>
    <x:row r="498">
      <x:c r="A498" s="16" t="n">
        <x:v>504</x:v>
      </x:c>
      <x:c r="B498" s="16" t="str">
        <x:v>Aishah Mohd</x:v>
      </x:c>
      <x:c r="C498" s="16" t="str"/>
      <x:c r="D498" s="16" t="str">
        <x:v>* myContacts</x:v>
      </x:c>
      <x:c r="E498" s="16" t="str">
        <x:v>Missing email</x:v>
      </x:c>
    </x:row>
    <x:row r="499">
      <x:c r="A499" s="16" t="n">
        <x:v>505</x:v>
      </x:c>
      <x:c r="B499" s="16" t="str">
        <x:v>Aishah Rosli</x:v>
      </x:c>
      <x:c r="C499" s="16" t="str"/>
      <x:c r="D499" s="16" t="str">
        <x:v>* myContacts</x:v>
      </x:c>
      <x:c r="E499" s="16" t="str">
        <x:v>Missing email</x:v>
      </x:c>
    </x:row>
    <x:row r="500">
      <x:c r="A500" s="16" t="n">
        <x:v>506</x:v>
      </x:c>
      <x:c r="B500" s="16" t="str">
        <x:v>Aishah Samsudin</x:v>
      </x:c>
      <x:c r="C500" s="16" t="str"/>
      <x:c r="D500" s="16" t="str">
        <x:v>* myContacts</x:v>
      </x:c>
      <x:c r="E500" s="16" t="str">
        <x:v>Missing email</x:v>
      </x:c>
    </x:row>
    <x:row r="501">
      <x:c r="A501" s="16" t="n">
        <x:v>507</x:v>
      </x:c>
      <x:c r="B501" s="16" t="str">
        <x:v>Aishah The Red Studio</x:v>
      </x:c>
      <x:c r="C501" s="16" t="str"/>
      <x:c r="D501" s="16" t="str">
        <x:v>* myContacts</x:v>
      </x:c>
      <x:c r="E501" s="16" t="str">
        <x:v>Missing email</x:v>
      </x:c>
    </x:row>
    <x:row r="502">
      <x:c r="A502" s="16" t="n">
        <x:v>508</x:v>
      </x:c>
      <x:c r="B502" s="16" t="str">
        <x:v>Aishah-reen Aishah-Reen</x:v>
      </x:c>
      <x:c r="C502" s="16" t="str"/>
      <x:c r="D502" s="16" t="str">
        <x:v>* myContacts</x:v>
      </x:c>
      <x:c r="E502" s="16" t="str">
        <x:v>Missing email</x:v>
      </x:c>
    </x:row>
    <x:row r="503">
      <x:c r="A503" s="16" t="n">
        <x:v>509</x:v>
      </x:c>
      <x:c r="B503" s="16" t="str">
        <x:v>Aisya Anggun</x:v>
      </x:c>
      <x:c r="C503" s="16" t="str"/>
      <x:c r="D503" s="16" t="str">
        <x:v>* myContacts</x:v>
      </x:c>
      <x:c r="E503" s="16" t="str">
        <x:v>Missing email</x:v>
      </x:c>
    </x:row>
    <x:row r="504">
      <x:c r="A504" s="16" t="n">
        <x:v>510</x:v>
      </x:c>
      <x:c r="B504" s="16" t="str">
        <x:v>Aisya Ept</x:v>
      </x:c>
      <x:c r="C504" s="16" t="str"/>
      <x:c r="D504" s="16" t="str">
        <x:v>* myContacts</x:v>
      </x:c>
      <x:c r="E504" s="16" t="str">
        <x:v>Missing email</x:v>
      </x:c>
    </x:row>
    <x:row r="505">
      <x:c r="A505" s="16" t="n">
        <x:v>511</x:v>
      </x:c>
      <x:c r="B505" s="16" t="str">
        <x:v>Aisya Zahra</x:v>
      </x:c>
      <x:c r="C505" s="16" t="str"/>
      <x:c r="D505" s="16" t="str">
        <x:v>* myContacts</x:v>
      </x:c>
      <x:c r="E505" s="16" t="str">
        <x:v>Missing email</x:v>
      </x:c>
    </x:row>
    <x:row r="506">
      <x:c r="A506" s="16" t="n">
        <x:v>512</x:v>
      </x:c>
      <x:c r="B506" s="16" t="str">
        <x:v>Aisyah Abdullahadi</x:v>
      </x:c>
      <x:c r="C506" s="16" t="str"/>
      <x:c r="D506" s="16" t="str">
        <x:v>* myContacts</x:v>
      </x:c>
      <x:c r="E506" s="16" t="str">
        <x:v>Missing email</x:v>
      </x:c>
    </x:row>
    <x:row r="507">
      <x:c r="A507" s="16" t="n">
        <x:v>513</x:v>
      </x:c>
      <x:c r="B507" s="16" t="str">
        <x:v>Aisyah Fahmi</x:v>
      </x:c>
      <x:c r="C507" s="16" t="str"/>
      <x:c r="D507" s="16" t="str">
        <x:v>* myContacts</x:v>
      </x:c>
      <x:c r="E507" s="16" t="str">
        <x:v>Missing email</x:v>
      </x:c>
    </x:row>
    <x:row r="508">
      <x:c r="A508" s="16" t="n">
        <x:v>514</x:v>
      </x:c>
      <x:c r="B508" s="16" t="str">
        <x:v>Aisyah Shayunk</x:v>
      </x:c>
      <x:c r="C508" s="16" t="str"/>
      <x:c r="D508" s="16" t="str">
        <x:v>* myContacts</x:v>
      </x:c>
      <x:c r="E508" s="16" t="str">
        <x:v>Missing email</x:v>
      </x:c>
    </x:row>
    <x:row r="509">
      <x:c r="A509" s="16" t="n">
        <x:v>515</x:v>
      </x:c>
      <x:c r="B509" s="16" t="str">
        <x:v>Aizaiscaflee Cafly</x:v>
      </x:c>
      <x:c r="C509" s="16" t="str"/>
      <x:c r="D509" s="16" t="str">
        <x:v>* myContacts</x:v>
      </x:c>
      <x:c r="E509" s="16" t="str">
        <x:v>Missing email</x:v>
      </x:c>
    </x:row>
    <x:row r="510">
      <x:c r="A510" s="16" t="n">
        <x:v>516</x:v>
      </x:c>
      <x:c r="B510" s="16" t="str">
        <x:v>Aizan</x:v>
      </x:c>
      <x:c r="C510" s="16" t="str"/>
      <x:c r="D510" s="16" t="str">
        <x:v>* myContacts</x:v>
      </x:c>
      <x:c r="E510" s="16" t="str">
        <x:v>Missing email</x:v>
      </x:c>
    </x:row>
    <x:row r="511">
      <x:c r="A511" s="16" t="n">
        <x:v>517</x:v>
      </x:c>
      <x:c r="B511" s="16" t="str">
        <x:v>Aizat Ismail</x:v>
      </x:c>
      <x:c r="C511" s="16" t="str"/>
      <x:c r="D511" s="16" t="str">
        <x:v>* myContacts</x:v>
      </x:c>
      <x:c r="E511" s="16" t="str">
        <x:v>Missing email</x:v>
      </x:c>
    </x:row>
    <x:row r="512">
      <x:c r="A512" s="16" t="n">
        <x:v>518</x:v>
      </x:c>
      <x:c r="B512" s="16" t="str">
        <x:v>Aizat Ismail</x:v>
      </x:c>
      <x:c r="C512" s="16" t="str"/>
      <x:c r="D512" s="16" t="str">
        <x:v>* myContacts</x:v>
      </x:c>
      <x:c r="E512" s="16" t="str">
        <x:v>Missing email</x:v>
      </x:c>
    </x:row>
    <x:row r="513">
      <x:c r="A513" s="16" t="n">
        <x:v>519</x:v>
      </x:c>
      <x:c r="B513" s="16" t="str">
        <x:v>Aizat PPMM</x:v>
      </x:c>
      <x:c r="C513" s="16" t="str"/>
      <x:c r="D513" s="16" t="str">
        <x:v>* myContacts</x:v>
      </x:c>
      <x:c r="E513" s="16" t="str">
        <x:v>Missing email</x:v>
      </x:c>
    </x:row>
    <x:row r="514">
      <x:c r="A514" s="16" t="n">
        <x:v>520</x:v>
      </x:c>
      <x:c r="B514" s="16" t="str">
        <x:v>Aizat Teratak Riverview</x:v>
      </x:c>
      <x:c r="C514" s="16" t="str"/>
      <x:c r="D514" s="16" t="str">
        <x:v>* myContacts</x:v>
      </x:c>
      <x:c r="E514" s="16" t="str">
        <x:v>Missing email</x:v>
      </x:c>
    </x:row>
    <x:row r="515">
      <x:c r="A515" s="16" t="n">
        <x:v>521</x:v>
      </x:c>
      <x:c r="B515" s="16" t="str">
        <x:v>Aizilah Zilah</x:v>
      </x:c>
      <x:c r="C515" s="16" t="str"/>
      <x:c r="D515" s="16" t="str">
        <x:v>* myContacts</x:v>
      </x:c>
      <x:c r="E515" s="16" t="str">
        <x:v>Missing email</x:v>
      </x:c>
    </x:row>
    <x:row r="516">
      <x:c r="A516" s="16" t="n">
        <x:v>522</x:v>
      </x:c>
      <x:c r="B516" s="16" t="str">
        <x:v>Aizuddin Rafli</x:v>
      </x:c>
      <x:c r="C516" s="16" t="str"/>
      <x:c r="D516" s="16" t="str">
        <x:v>* myContacts</x:v>
      </x:c>
      <x:c r="E516" s="16" t="str">
        <x:v>Missing email</x:v>
      </x:c>
    </x:row>
    <x:row r="517">
      <x:c r="A517" s="16" t="n">
        <x:v>523</x:v>
      </x:c>
      <x:c r="B517" s="16" t="str">
        <x:v>Aizzuddin Jul</x:v>
      </x:c>
      <x:c r="C517" s="16" t="str"/>
      <x:c r="D517" s="16" t="str">
        <x:v>* myContacts</x:v>
      </x:c>
      <x:c r="E517" s="16" t="str">
        <x:v>Missing email</x:v>
      </x:c>
    </x:row>
    <x:row r="518">
      <x:c r="A518" s="16" t="n">
        <x:v>524</x:v>
      </x:c>
      <x:c r="B518" s="16" t="str">
        <x:v>Aizzul Aiman</x:v>
      </x:c>
      <x:c r="C518" s="16" t="str"/>
      <x:c r="D518" s="16" t="str">
        <x:v>* myContacts</x:v>
      </x:c>
      <x:c r="E518" s="16" t="str">
        <x:v>Missing email</x:v>
      </x:c>
    </x:row>
    <x:row r="519">
      <x:c r="A519" s="16" t="n">
        <x:v>525</x:v>
      </x:c>
      <x:c r="B519" s="16" t="str">
        <x:v>AJ ToneExcel</x:v>
      </x:c>
      <x:c r="C519" s="16" t="str"/>
      <x:c r="D519" s="16" t="str">
        <x:v>* myContacts</x:v>
      </x:c>
      <x:c r="E519" s="16" t="str">
        <x:v>Missing email</x:v>
      </x:c>
    </x:row>
    <x:row r="520">
      <x:c r="A520" s="16" t="n">
        <x:v>526</x:v>
      </x:c>
      <x:c r="B520" s="16" t="str">
        <x:v>AJ Vending</x:v>
      </x:c>
      <x:c r="C520" s="16" t="str"/>
      <x:c r="D520" s="16" t="str">
        <x:v>* myContacts</x:v>
      </x:c>
      <x:c r="E520" s="16" t="str">
        <x:v>Missing email</x:v>
      </x:c>
    </x:row>
    <x:row r="521">
      <x:c r="A521" s="16" t="n">
        <x:v>527</x:v>
      </x:c>
      <x:c r="B521" s="16" t="str">
        <x:v>Aja Gugu</x:v>
      </x:c>
      <x:c r="C521" s="16" t="str"/>
      <x:c r="D521" s="16" t="str">
        <x:v>* myContacts</x:v>
      </x:c>
      <x:c r="E521" s="16" t="str">
        <x:v>Missing email</x:v>
      </x:c>
    </x:row>
    <x:row r="522">
      <x:c r="A522" s="16" t="n">
        <x:v>528</x:v>
      </x:c>
      <x:c r="B522" s="16" t="str">
        <x:v>Aja Omar Hajar</x:v>
      </x:c>
      <x:c r="C522" s="16" t="str"/>
      <x:c r="D522" s="16" t="str">
        <x:v>* myContacts</x:v>
      </x:c>
      <x:c r="E522" s="16" t="str">
        <x:v>Missing email</x:v>
      </x:c>
    </x:row>
    <x:row r="523">
      <x:c r="A523" s="16" t="n">
        <x:v>529</x:v>
      </x:c>
      <x:c r="B523" s="16" t="str">
        <x:v>Ajar Tsk</x:v>
      </x:c>
      <x:c r="C523" s="16" t="str"/>
      <x:c r="D523" s="16" t="str">
        <x:v>* myContacts</x:v>
      </x:c>
      <x:c r="E523" s="16" t="str">
        <x:v>Missing email</x:v>
      </x:c>
    </x:row>
    <x:row r="524">
      <x:c r="A524" s="16" t="n">
        <x:v>530</x:v>
      </x:c>
      <x:c r="B524" s="16" t="str">
        <x:v>Ajay Maulana</x:v>
      </x:c>
      <x:c r="C524" s="16" t="str"/>
      <x:c r="D524" s="16" t="str">
        <x:v>* myContacts</x:v>
      </x:c>
      <x:c r="E524" s="16" t="str">
        <x:v>Missing email</x:v>
      </x:c>
    </x:row>
    <x:row r="525">
      <x:c r="A525" s="16" t="n">
        <x:v>531</x:v>
      </x:c>
      <x:c r="B525" s="16" t="str">
        <x:v>Ajeerah Rais</x:v>
      </x:c>
      <x:c r="C525" s="16" t="str"/>
      <x:c r="D525" s="16" t="str">
        <x:v>* myContacts</x:v>
      </x:c>
      <x:c r="E525" s="16" t="str">
        <x:v>Missing email</x:v>
      </x:c>
    </x:row>
    <x:row r="526">
      <x:c r="A526" s="16" t="n">
        <x:v>532</x:v>
      </x:c>
      <x:c r="B526" s="16" t="str">
        <x:v>Ajib Osman Mrbo</x:v>
      </x:c>
      <x:c r="C526" s="16" t="str"/>
      <x:c r="D526" s="16" t="str">
        <x:v>* myContacts</x:v>
      </x:c>
      <x:c r="E526" s="16" t="str">
        <x:v>Missing email</x:v>
      </x:c>
    </x:row>
    <x:row r="527">
      <x:c r="A527" s="16" t="n">
        <x:v>533</x:v>
      </x:c>
      <x:c r="B527" s="16" t="str">
        <x:v>Ajib Radzi</x:v>
      </x:c>
      <x:c r="C527" s="16" t="str"/>
      <x:c r="D527" s="16" t="str">
        <x:v>* myContacts</x:v>
      </x:c>
      <x:c r="E527" s="16" t="str">
        <x:v>Missing email</x:v>
      </x:c>
    </x:row>
    <x:row r="528">
      <x:c r="A528" s="16" t="n">
        <x:v>534</x:v>
      </x:c>
      <x:c r="B528" s="16" t="str">
        <x:v>Ajib Student PPKK</x:v>
      </x:c>
      <x:c r="C528" s="16" t="str"/>
      <x:c r="D528" s="16" t="str">
        <x:v>* myContacts</x:v>
      </x:c>
      <x:c r="E528" s="16" t="str">
        <x:v>Missing email</x:v>
      </x:c>
    </x:row>
    <x:row r="529">
      <x:c r="A529" s="16" t="n">
        <x:v>535</x:v>
      </x:c>
      <x:c r="B529" s="16" t="str">
        <x:v>Ajib Transporter Singapore ikm</x:v>
      </x:c>
      <x:c r="C529" s="16" t="str"/>
      <x:c r="D529" s="16" t="str">
        <x:v>* myContacts</x:v>
      </x:c>
      <x:c r="E529" s="16" t="str">
        <x:v>Missing email</x:v>
      </x:c>
    </x:row>
    <x:row r="530">
      <x:c r="A530" s="16" t="n">
        <x:v>536</x:v>
      </x:c>
      <x:c r="B530" s="16" t="str">
        <x:v>Ajmal Smile Awang Jamaluddin</x:v>
      </x:c>
      <x:c r="C530" s="16" t="str"/>
      <x:c r="D530" s="16" t="str">
        <x:v>* myContacts</x:v>
      </x:c>
      <x:c r="E530" s="16" t="str">
        <x:v>Missing email</x:v>
      </x:c>
    </x:row>
    <x:row r="531">
      <x:c r="A531" s="16" t="n">
        <x:v>537</x:v>
      </x:c>
      <x:c r="B531" s="16" t="str">
        <x:v>Ajui Ahmad</x:v>
      </x:c>
      <x:c r="C531" s="16" t="str"/>
      <x:c r="D531" s="16" t="str">
        <x:v>* myContacts</x:v>
      </x:c>
      <x:c r="E531" s="16" t="str">
        <x:v>Missing email</x:v>
      </x:c>
    </x:row>
    <x:row r="532">
      <x:c r="A532" s="16" t="n">
        <x:v>538</x:v>
      </x:c>
      <x:c r="B532" s="16" t="str">
        <x:v>AJunz Zul</x:v>
      </x:c>
      <x:c r="C532" s="16" t="str"/>
      <x:c r="D532" s="16" t="str">
        <x:v>* myContacts</x:v>
      </x:c>
      <x:c r="E532" s="16" t="str">
        <x:v>Missing email</x:v>
      </x:c>
    </x:row>
    <x:row r="533">
      <x:c r="A533" s="16" t="n">
        <x:v>539</x:v>
      </x:c>
      <x:c r="B533" s="16" t="str">
        <x:v>Ajz Maeen</x:v>
      </x:c>
      <x:c r="C533" s="16" t="str"/>
      <x:c r="D533" s="16" t="str">
        <x:v>* myContacts</x:v>
      </x:c>
      <x:c r="E533" s="16" t="str">
        <x:v>Missing email</x:v>
      </x:c>
    </x:row>
    <x:row r="534">
      <x:c r="A534" s="16" t="n">
        <x:v>540</x:v>
      </x:c>
      <x:c r="B534" s="16" t="str">
        <x:v>AK Jep</x:v>
      </x:c>
      <x:c r="C534" s="16" t="str"/>
      <x:c r="D534" s="16" t="str">
        <x:v>* myContacts</x:v>
      </x:c>
      <x:c r="E534" s="16" t="str">
        <x:v>Missing email</x:v>
      </x:c>
    </x:row>
    <x:row r="535">
      <x:c r="A535" s="16" t="n">
        <x:v>541</x:v>
      </x:c>
      <x:c r="B535" s="16" t="str">
        <x:v>Ak Mohd Yahya</x:v>
      </x:c>
      <x:c r="C535" s="16" t="str"/>
      <x:c r="D535" s="16" t="str">
        <x:v>* myContacts</x:v>
      </x:c>
      <x:c r="E535" s="16" t="str">
        <x:v>Missing email</x:v>
      </x:c>
    </x:row>
    <x:row r="536">
      <x:c r="A536" s="16" t="n">
        <x:v>542</x:v>
      </x:c>
      <x:c r="B536" s="16" t="str">
        <x:v>Ak Trainer</x:v>
      </x:c>
      <x:c r="C536" s="16" t="str"/>
      <x:c r="D536" s="16" t="str">
        <x:v>Trainer | * myContacts</x:v>
      </x:c>
      <x:c r="E536" s="16" t="str">
        <x:v>Missing email</x:v>
      </x:c>
    </x:row>
    <x:row r="537">
      <x:c r="A537" s="16" t="n">
        <x:v>543</x:v>
      </x:c>
      <x:c r="B537" s="16" t="str">
        <x:v>Akak Azizah</x:v>
      </x:c>
      <x:c r="C537" s="16" t="str"/>
      <x:c r="D537" s="16" t="str">
        <x:v>* myContacts</x:v>
      </x:c>
      <x:c r="E537" s="16" t="str">
        <x:v>Missing email</x:v>
      </x:c>
    </x:row>
    <x:row r="538">
      <x:c r="A538" s="16" t="n">
        <x:v>544</x:v>
      </x:c>
      <x:c r="B538" s="16" t="str">
        <x:v>Akak Comell</x:v>
      </x:c>
      <x:c r="C538" s="16" t="str"/>
      <x:c r="D538" s="16" t="str">
        <x:v>* myContacts</x:v>
      </x:c>
      <x:c r="E538" s="16" t="str">
        <x:v>Missing email</x:v>
      </x:c>
    </x:row>
    <x:row r="539">
      <x:c r="A539" s="16" t="n">
        <x:v>545</x:v>
      </x:c>
      <x:c r="B539" s="16" t="str">
        <x:v>Akak Rohana AGP</x:v>
      </x:c>
      <x:c r="C539" s="16" t="str"/>
      <x:c r="D539" s="16" t="str">
        <x:v>* myContacts</x:v>
      </x:c>
      <x:c r="E539" s="16" t="str">
        <x:v>Missing email</x:v>
      </x:c>
    </x:row>
    <x:row r="540">
      <x:c r="A540" s="16" t="n">
        <x:v>546</x:v>
      </x:c>
      <x:c r="B540" s="16" t="str">
        <x:v>Akamal Student Eu 2019</x:v>
      </x:c>
      <x:c r="C540" s="16" t="str"/>
      <x:c r="D540" s="16" t="str">
        <x:v>Alumni eUsahawan | * myContacts</x:v>
      </x:c>
      <x:c r="E540" s="16" t="str">
        <x:v>Missing email</x:v>
      </x:c>
    </x:row>
    <x:row r="541">
      <x:c r="A541" s="16" t="n">
        <x:v>547</x:v>
      </x:c>
      <x:c r="B541" s="16" t="str">
        <x:v>Akay IM</x:v>
      </x:c>
      <x:c r="C541" s="16" t="str"/>
      <x:c r="D541" s="16" t="str">
        <x:v>* myContacts</x:v>
      </x:c>
      <x:c r="E541" s="16" t="str">
        <x:v>Missing email</x:v>
      </x:c>
    </x:row>
    <x:row r="542">
      <x:c r="A542" s="16" t="n">
        <x:v>548</x:v>
      </x:c>
      <x:c r="B542" s="16" t="str">
        <x:v>Akbar booth premis interior designer</x:v>
      </x:c>
      <x:c r="C542" s="16" t="str"/>
      <x:c r="D542" s="16" t="str">
        <x:v>* myContacts</x:v>
      </x:c>
      <x:c r="E542" s="16" t="str">
        <x:v>Missing email</x:v>
      </x:c>
    </x:row>
    <x:row r="543">
      <x:c r="A543" s="16" t="n">
        <x:v>549</x:v>
      </x:c>
      <x:c r="B543" s="16" t="str">
        <x:v>Akedemi AMPAC</x:v>
      </x:c>
      <x:c r="C543" s="16" t="str"/>
      <x:c r="D543" s="16" t="str">
        <x:v>* myContacts</x:v>
      </x:c>
      <x:c r="E543" s="16" t="str">
        <x:v>Missing email</x:v>
      </x:c>
    </x:row>
    <x:row r="544">
      <x:c r="A544" s="16" t="n">
        <x:v>550</x:v>
      </x:c>
      <x:c r="B544" s="16" t="str">
        <x:v>Aken Khin</x:v>
      </x:c>
      <x:c r="C544" s="16" t="str"/>
      <x:c r="D544" s="16" t="str">
        <x:v>* myContacts</x:v>
      </x:c>
      <x:c r="E544" s="16" t="str">
        <x:v>Missing email</x:v>
      </x:c>
    </x:row>
    <x:row r="545">
      <x:c r="A545" s="16" t="n">
        <x:v>551</x:v>
      </x:c>
      <x:c r="B545" s="16" t="str">
        <x:v>Akhi Wan Hafidz</x:v>
      </x:c>
      <x:c r="C545" s="16" t="str"/>
      <x:c r="D545" s="16" t="str">
        <x:v>* myContacts</x:v>
      </x:c>
      <x:c r="E545" s="16" t="str">
        <x:v>Missing email</x:v>
      </x:c>
    </x:row>
    <x:row r="546">
      <x:c r="A546" s="16" t="n">
        <x:v>552</x:v>
      </x:c>
      <x:c r="B546" s="16" t="str">
        <x:v>Akhu Î—Î±Î²Îµâ""â""Î± Sep</x:v>
      </x:c>
      <x:c r="C546" s="16" t="str"/>
      <x:c r="D546" s="16" t="str">
        <x:v>* myContacts</x:v>
      </x:c>
      <x:c r="E546" s="16" t="str">
        <x:v>Missing email</x:v>
      </x:c>
    </x:row>
    <x:row r="547">
      <x:c r="A547" s="16" t="n">
        <x:v>553</x:v>
      </x:c>
      <x:c r="B547" s="16" t="str">
        <x:v>Aki Kimi</x:v>
      </x:c>
      <x:c r="C547" s="16" t="str"/>
      <x:c r="D547" s="16" t="str">
        <x:v>* myContacts</x:v>
      </x:c>
      <x:c r="E547" s="16" t="str">
        <x:v>Missing email</x:v>
      </x:c>
    </x:row>
    <x:row r="548">
      <x:c r="A548" s="16" t="n">
        <x:v>554</x:v>
      </x:c>
      <x:c r="B548" s="16" t="str">
        <x:v>Akie Guru Nlp</x:v>
      </x:c>
      <x:c r="C548" s="16" t="str"/>
      <x:c r="D548" s="16" t="str">
        <x:v>* myContacts</x:v>
      </x:c>
      <x:c r="E548" s="16" t="str">
        <x:v>Missing email</x:v>
      </x:c>
    </x:row>
    <x:row r="549">
      <x:c r="A549" s="16" t="n">
        <x:v>555</x:v>
      </x:c>
      <x:c r="B549" s="16" t="str">
        <x:v>Akim Kabinet</x:v>
      </x:c>
      <x:c r="C549" s="16" t="str"/>
      <x:c r="D549" s="16" t="str">
        <x:v>* myContacts</x:v>
      </x:c>
      <x:c r="E549" s="16" t="str">
        <x:v>Missing email</x:v>
      </x:c>
    </x:row>
    <x:row r="550">
      <x:c r="A550" s="16" t="n">
        <x:v>556</x:v>
      </x:c>
      <x:c r="B550" s="16" t="str">
        <x:v>Akiya Zairy</x:v>
      </x:c>
      <x:c r="C550" s="16" t="str"/>
      <x:c r="D550" s="16" t="str">
        <x:v>* myContacts</x:v>
      </x:c>
      <x:c r="E550" s="16" t="str">
        <x:v>Missing email</x:v>
      </x:c>
    </x:row>
    <x:row r="551">
      <x:c r="A551" s="16" t="n">
        <x:v>557</x:v>
      </x:c>
      <x:c r="B551" s="16" t="str">
        <x:v>Akma Aziz</x:v>
      </x:c>
      <x:c r="C551" s="16" t="str"/>
      <x:c r="D551" s="16" t="str">
        <x:v>* myContacts</x:v>
      </x:c>
      <x:c r="E551" s="16" t="str">
        <x:v>Missing email</x:v>
      </x:c>
    </x:row>
    <x:row r="552">
      <x:c r="A552" s="16" t="n">
        <x:v>558</x:v>
      </x:c>
      <x:c r="B552" s="16" t="str">
        <x:v>Akma Cyunk Ridzuan</x:v>
      </x:c>
      <x:c r="C552" s="16" t="str"/>
      <x:c r="D552" s="16" t="str">
        <x:v>* myContacts</x:v>
      </x:c>
      <x:c r="E552" s="16" t="str">
        <x:v>Missing email</x:v>
      </x:c>
    </x:row>
    <x:row r="553">
      <x:c r="A553" s="16" t="n">
        <x:v>559</x:v>
      </x:c>
      <x:c r="B553" s="16" t="str">
        <x:v>Akma Essens Agent</x:v>
      </x:c>
      <x:c r="C553" s="16" t="str"/>
      <x:c r="D553" s="16" t="str">
        <x:v>* myContacts</x:v>
      </x:c>
      <x:c r="E553" s="16" t="str">
        <x:v>Missing email</x:v>
      </x:c>
    </x:row>
    <x:row r="554">
      <x:c r="A554" s="16" t="n">
        <x:v>560</x:v>
      </x:c>
      <x:c r="B554" s="16" t="str">
        <x:v>Akma IM</x:v>
      </x:c>
      <x:c r="C554" s="16" t="str"/>
      <x:c r="D554" s="16" t="str">
        <x:v>* myContacts</x:v>
      </x:c>
      <x:c r="E554" s="16" t="str">
        <x:v>Missing email</x:v>
      </x:c>
    </x:row>
    <x:row r="555">
      <x:c r="A555" s="16" t="n">
        <x:v>561</x:v>
      </x:c>
      <x:c r="B555" s="16" t="str">
        <x:v>Akmal Aeron</x:v>
      </x:c>
      <x:c r="C555" s="16" t="str"/>
      <x:c r="D555" s="16" t="str">
        <x:v>* myContacts</x:v>
      </x:c>
      <x:c r="E555" s="16" t="str">
        <x:v>Missing email</x:v>
      </x:c>
    </x:row>
    <x:row r="556">
      <x:c r="A556" s="16" t="n">
        <x:v>562</x:v>
      </x:c>
      <x:c r="B556" s="16" t="str">
        <x:v>Akmal Dafinnah Delights</x:v>
      </x:c>
      <x:c r="C556" s="16" t="str"/>
      <x:c r="D556" s="16" t="str">
        <x:v>* myContacts</x:v>
      </x:c>
      <x:c r="E556" s="16" t="str">
        <x:v>Missing email</x:v>
      </x:c>
    </x:row>
    <x:row r="557">
      <x:c r="A557" s="16" t="n">
        <x:v>563</x:v>
      </x:c>
      <x:c r="B557" s="16" t="str">
        <x:v>Akmal Hakim</x:v>
      </x:c>
      <x:c r="C557" s="16" t="str"/>
      <x:c r="D557" s="16" t="str">
        <x:v>* myContacts</x:v>
      </x:c>
      <x:c r="E557" s="16" t="str">
        <x:v>Missing email</x:v>
      </x:c>
    </x:row>
    <x:row r="558">
      <x:c r="A558" s="16" t="n">
        <x:v>564</x:v>
      </x:c>
      <x:c r="B558" s="16" t="str">
        <x:v>Akmal Hakim Nubahari</x:v>
      </x:c>
      <x:c r="C558" s="16" t="str"/>
      <x:c r="D558" s="16" t="str">
        <x:v>* myContacts</x:v>
      </x:c>
      <x:c r="E558" s="16" t="str">
        <x:v>Missing email</x:v>
      </x:c>
    </x:row>
    <x:row r="559">
      <x:c r="A559" s="16" t="n">
        <x:v>565</x:v>
      </x:c>
      <x:c r="B559" s="16" t="str">
        <x:v>Akmal Koko</x:v>
      </x:c>
      <x:c r="C559" s="16" t="str"/>
      <x:c r="D559" s="16" t="str">
        <x:v>* myContacts</x:v>
      </x:c>
      <x:c r="E559" s="16" t="str">
        <x:v>Missing email</x:v>
      </x:c>
    </x:row>
    <x:row r="560">
      <x:c r="A560" s="16" t="n">
        <x:v>566</x:v>
      </x:c>
      <x:c r="B560" s="16" t="str">
        <x:v>Akmal Pegawai Insken</x:v>
      </x:c>
      <x:c r="C560" s="16" t="str"/>
      <x:c r="D560" s="16" t="str">
        <x:v>Alumni INSKEN | * myContacts</x:v>
      </x:c>
      <x:c r="E560" s="16" t="str">
        <x:v>Missing email</x:v>
      </x:c>
    </x:row>
    <x:row r="561">
      <x:c r="A561" s="16" t="n">
        <x:v>567</x:v>
      </x:c>
      <x:c r="B561" s="16" t="str">
        <x:v>akmal politeknik behrang</x:v>
      </x:c>
      <x:c r="C561" s="16" t="str"/>
      <x:c r="D561" s="16" t="str">
        <x:v>* myContacts</x:v>
      </x:c>
      <x:c r="E561" s="16" t="str">
        <x:v>Missing email</x:v>
      </x:c>
    </x:row>
    <x:row r="562">
      <x:c r="A562" s="16" t="n">
        <x:v>568</x:v>
      </x:c>
      <x:c r="B562" s="16" t="str">
        <x:v>Akmal Zidane</x:v>
      </x:c>
      <x:c r="C562" s="16" t="str"/>
      <x:c r="D562" s="16" t="str">
        <x:v>* myContacts</x:v>
      </x:c>
      <x:c r="E562" s="16" t="str">
        <x:v>Missing email</x:v>
      </x:c>
    </x:row>
    <x:row r="563">
      <x:c r="A563" s="16" t="n">
        <x:v>569</x:v>
      </x:c>
      <x:c r="B563" s="16" t="str">
        <x:v>Akmal Zulkifli</x:v>
      </x:c>
      <x:c r="C563" s="16" t="str"/>
      <x:c r="D563" s="16" t="str">
        <x:v>* myContacts</x:v>
      </x:c>
      <x:c r="E563" s="16" t="str">
        <x:v>Missing email</x:v>
      </x:c>
    </x:row>
    <x:row r="564">
      <x:c r="A564" s="16" t="n">
        <x:v>570</x:v>
      </x:c>
      <x:c r="B564" s="16" t="str">
        <x:v>Akmam Wanie</x:v>
      </x:c>
      <x:c r="C564" s="16" t="str"/>
      <x:c r="D564" s="16" t="str">
        <x:v>* myContacts</x:v>
      </x:c>
      <x:c r="E564" s="16" t="str">
        <x:v>Missing email</x:v>
      </x:c>
    </x:row>
    <x:row r="565">
      <x:c r="A565" s="16" t="n">
        <x:v>571</x:v>
      </x:c>
      <x:c r="B565" s="16" t="str">
        <x:v>Akram Mabsah</x:v>
      </x:c>
      <x:c r="C565" s="16" t="str"/>
      <x:c r="D565" s="16" t="str">
        <x:v>* myContacts</x:v>
      </x:c>
      <x:c r="E565" s="16" t="str">
        <x:v>Missing email</x:v>
      </x:c>
    </x:row>
    <x:row r="566">
      <x:c r="A566" s="16" t="n">
        <x:v>572</x:v>
      </x:c>
      <x:c r="B566" s="16" t="str">
        <x:v>Akuadalahaku Akuadalahaku Akuadalahaku</x:v>
      </x:c>
      <x:c r="C566" s="16" t="str"/>
      <x:c r="D566" s="16" t="str">
        <x:v>* myContacts</x:v>
      </x:c>
      <x:c r="E566" s="16" t="str">
        <x:v>Missing email</x:v>
      </x:c>
    </x:row>
    <x:row r="567">
      <x:c r="A567" s="16" t="n">
        <x:v>573</x:v>
      </x:c>
      <x:c r="B567" s="16" t="str">
        <x:v>Al</x:v>
      </x:c>
      <x:c r="C567" s="16" t="str"/>
      <x:c r="D567" s="16" t="str">
        <x:v>* myContacts</x:v>
      </x:c>
      <x:c r="E567" s="16" t="str">
        <x:v>Missing email</x:v>
      </x:c>
    </x:row>
    <x:row r="568">
      <x:c r="A568" s="16" t="n">
        <x:v>575</x:v>
      </x:c>
      <x:c r="B568" s="16" t="str">
        <x:v>Al Azam</x:v>
      </x:c>
      <x:c r="C568" s="16" t="str"/>
      <x:c r="D568" s="16" t="str">
        <x:v>* myContacts</x:v>
      </x:c>
      <x:c r="E568" s="16" t="str">
        <x:v>Missing email</x:v>
      </x:c>
    </x:row>
    <x:row r="569">
      <x:c r="A569" s="16" t="n">
        <x:v>576</x:v>
      </x:c>
      <x:c r="B569" s="16" t="str">
        <x:v>Al Aziz Fatih</x:v>
      </x:c>
      <x:c r="C569" s="16" t="str"/>
      <x:c r="D569" s="16" t="str">
        <x:v>* myContacts</x:v>
      </x:c>
      <x:c r="E569" s="16" t="str">
        <x:v>Missing email</x:v>
      </x:c>
    </x:row>
    <x:row r="570">
      <x:c r="A570" s="16" t="n">
        <x:v>577</x:v>
      </x:c>
      <x:c r="B570" s="16" t="str">
        <x:v>Al Hafiz Runner</x:v>
      </x:c>
      <x:c r="C570" s="16" t="str"/>
      <x:c r="D570" s="16" t="str">
        <x:v>* myContacts</x:v>
      </x:c>
      <x:c r="E570" s="16" t="str">
        <x:v>Missing email</x:v>
      </x:c>
    </x:row>
    <x:row r="571">
      <x:c r="A571" s="16" t="n">
        <x:v>578</x:v>
      </x:c>
      <x:c r="B571" s="16" t="str">
        <x:v>Al Hijrah</x:v>
      </x:c>
      <x:c r="C571" s="16" t="str"/>
      <x:c r="D571" s="16" t="str">
        <x:v>Alumni eUsahawan | * myContacts</x:v>
      </x:c>
      <x:c r="E571" s="16" t="str">
        <x:v>Missing email</x:v>
      </x:c>
    </x:row>
    <x:row r="572">
      <x:c r="A572" s="16" t="n">
        <x:v>579</x:v>
      </x:c>
      <x:c r="B572" s="16" t="str">
        <x:v>Al Khalilah Kzu</x:v>
      </x:c>
      <x:c r="C572" s="16" t="str"/>
      <x:c r="D572" s="16" t="str">
        <x:v>* myContacts</x:v>
      </x:c>
      <x:c r="E572" s="16" t="str">
        <x:v>Missing email</x:v>
      </x:c>
    </x:row>
    <x:row r="573">
      <x:c r="A573" s="16" t="n">
        <x:v>580</x:v>
      </x:c>
      <x:c r="B573" s="16" t="str">
        <x:v>Al Mer Nhana Seventes</x:v>
      </x:c>
      <x:c r="C573" s="16" t="str"/>
      <x:c r="D573" s="16" t="str">
        <x:v>* myContacts</x:v>
      </x:c>
      <x:c r="E573" s="16" t="str">
        <x:v>Missing email</x:v>
      </x:c>
    </x:row>
    <x:row r="574">
      <x:c r="A574" s="16" t="n">
        <x:v>581</x:v>
      </x:c>
      <x:c r="B574" s="16" t="str">
        <x:v>Al Nasir Customer AGP</x:v>
      </x:c>
      <x:c r="C574" s="16" t="str"/>
      <x:c r="D574" s="16" t="str">
        <x:v>* myContacts</x:v>
      </x:c>
      <x:c r="E574" s="16" t="str">
        <x:v>Missing email</x:v>
      </x:c>
    </x:row>
    <x:row r="575">
      <x:c r="A575" s="16" t="n">
        <x:v>582</x:v>
      </x:c>
      <x:c r="B575" s="16" t="str">
        <x:v>AL Pacino</x:v>
      </x:c>
      <x:c r="C575" s="16" t="str"/>
      <x:c r="D575" s="16" t="str">
        <x:v>* myContacts</x:v>
      </x:c>
      <x:c r="E575" s="16" t="str">
        <x:v>Missing email</x:v>
      </x:c>
    </x:row>
    <x:row r="576">
      <x:c r="A576" s="16" t="n">
        <x:v>583</x:v>
      </x:c>
      <x:c r="B576" s="16" t="str">
        <x:v>Al Syafira Allicee Christopher</x:v>
      </x:c>
      <x:c r="C576" s="16" t="str"/>
      <x:c r="D576" s="16" t="str">
        <x:v>* myContacts</x:v>
      </x:c>
      <x:c r="E576" s="16" t="str">
        <x:v>Missing email</x:v>
      </x:c>
    </x:row>
    <x:row r="577">
      <x:c r="A577" s="16" t="n">
        <x:v>584</x:v>
      </x:c>
      <x:c r="B577" s="16" t="str">
        <x:v>Al-Mysier Faisal</x:v>
      </x:c>
      <x:c r="C577" s="16" t="str"/>
      <x:c r="D577" s="16" t="str">
        <x:v>* myContacts</x:v>
      </x:c>
      <x:c r="E577" s="16" t="str">
        <x:v>Missing email</x:v>
      </x:c>
    </x:row>
    <x:row r="578">
      <x:c r="A578" s="16" t="n">
        <x:v>585</x:v>
      </x:c>
      <x:c r="B578" s="16" t="str">
        <x:v>Al'Amin Bin Ahmad</x:v>
      </x:c>
      <x:c r="C578" s="16" t="str"/>
      <x:c r="D578" s="16" t="str">
        <x:v>* myContacts</x:v>
      </x:c>
      <x:c r="E578" s="16" t="str">
        <x:v>Missing email</x:v>
      </x:c>
    </x:row>
    <x:row r="579">
      <x:c r="A579" s="16" t="n">
        <x:v>586</x:v>
      </x:c>
      <x:c r="B579" s="16" t="str">
        <x:v>Alaiketatuk Poyo</x:v>
      </x:c>
      <x:c r="C579" s="16" t="str"/>
      <x:c r="D579" s="16" t="str">
        <x:v>* myContacts</x:v>
      </x:c>
      <x:c r="E579" s="16" t="str">
        <x:v>Missing email</x:v>
      </x:c>
    </x:row>
    <x:row r="580">
      <x:c r="A580" s="16" t="n">
        <x:v>587</x:v>
      </x:c>
      <x:c r="B580" s="16" t="str">
        <x:v>Alal Sarock Tea</x:v>
      </x:c>
      <x:c r="C580" s="16" t="str"/>
      <x:c r="D580" s="16" t="str">
        <x:v>* myContacts</x:v>
      </x:c>
      <x:c r="E580" s="16" t="str">
        <x:v>Missing email</x:v>
      </x:c>
    </x:row>
    <x:row r="581">
      <x:c r="A581" s="16" t="n">
        <x:v>588</x:v>
      </x:c>
      <x:c r="B581" s="16" t="str">
        <x:v>Alamgir Ameen</x:v>
      </x:c>
      <x:c r="C581" s="16" t="str"/>
      <x:c r="D581" s="16" t="str">
        <x:v>* myContacts</x:v>
      </x:c>
      <x:c r="E581" s="16" t="str">
        <x:v>Missing email</x:v>
      </x:c>
    </x:row>
    <x:row r="582">
      <x:c r="A582" s="16" t="n">
        <x:v>589</x:v>
      </x:c>
      <x:c r="B582" s="16" t="str">
        <x:v>Alamgir Khan</x:v>
      </x:c>
      <x:c r="C582" s="16" t="str"/>
      <x:c r="D582" s="16" t="str">
        <x:v>* myContacts</x:v>
      </x:c>
      <x:c r="E582" s="16" t="str">
        <x:v>Missing email</x:v>
      </x:c>
    </x:row>
    <x:row r="583">
      <x:c r="A583" s="16" t="n">
        <x:v>590</x:v>
      </x:c>
      <x:c r="B583" s="16" t="str">
        <x:v>Alan Lam</x:v>
      </x:c>
      <x:c r="C583" s="16" t="str"/>
      <x:c r="D583" s="16" t="str">
        <x:v>* myContacts</x:v>
      </x:c>
      <x:c r="E583" s="16" t="str">
        <x:v>Missing email</x:v>
      </x:c>
    </x:row>
    <x:row r="584">
      <x:c r="A584" s="16" t="n">
        <x:v>591</x:v>
      </x:c>
      <x:c r="B584" s="16" t="str">
        <x:v>Alan Phone Specialist</x:v>
      </x:c>
      <x:c r="C584" s="16" t="str"/>
      <x:c r="D584" s="16" t="str">
        <x:v>* myContacts</x:v>
      </x:c>
      <x:c r="E584" s="16" t="str">
        <x:v>Missing email</x:v>
      </x:c>
    </x:row>
    <x:row r="585">
      <x:c r="A585" s="16" t="n">
        <x:v>592</x:v>
      </x:c>
      <x:c r="B585" s="16" t="str">
        <x:v>Alang Khair</x:v>
      </x:c>
      <x:c r="C585" s="16" t="str"/>
      <x:c r="D585" s="16" t="str">
        <x:v>* myContacts</x:v>
      </x:c>
      <x:c r="E585" s="16" t="str">
        <x:v>Missing email</x:v>
      </x:c>
    </x:row>
    <x:row r="586">
      <x:c r="A586" s="16" t="n">
        <x:v>593</x:v>
      </x:c>
      <x:c r="B586" s="16" t="str">
        <x:v>Albo rawatan stroke</x:v>
      </x:c>
      <x:c r="C586" s="16" t="str"/>
      <x:c r="D586" s="16" t="str">
        <x:v>* myContacts</x:v>
      </x:c>
      <x:c r="E586" s="16" t="str">
        <x:v>Missing email</x:v>
      </x:c>
    </x:row>
    <x:row r="587">
      <x:c r="A587" s="16" t="n">
        <x:v>594</x:v>
      </x:c>
      <x:c r="B587" s="16" t="str">
        <x:v>Aldi Baron</x:v>
      </x:c>
      <x:c r="C587" s="16" t="str"/>
      <x:c r="D587" s="16" t="str">
        <x:v>* myContacts</x:v>
      </x:c>
      <x:c r="E587" s="16" t="str">
        <x:v>Missing email</x:v>
      </x:c>
    </x:row>
    <x:row r="588">
      <x:c r="A588" s="16" t="n">
        <x:v>595</x:v>
      </x:c>
      <x:c r="B588" s="16" t="str">
        <x:v>Aldi Wibowo</x:v>
      </x:c>
      <x:c r="C588" s="16" t="str"/>
      <x:c r="D588" s="16" t="str">
        <x:v>* myContacts</x:v>
      </x:c>
      <x:c r="E588" s="16" t="str">
        <x:v>Missing email</x:v>
      </x:c>
    </x:row>
    <x:row r="589">
      <x:c r="A589" s="16" t="n">
        <x:v>596</x:v>
      </x:c>
      <x:c r="B589" s="16" t="str">
        <x:v>aldiohonan</x:v>
      </x:c>
      <x:c r="C589" s="16" t="str"/>
      <x:c r="D589" s="16" t="str">
        <x:v>* myContacts</x:v>
      </x:c>
      <x:c r="E589" s="16" t="str">
        <x:v>Missing email</x:v>
      </x:c>
    </x:row>
    <x:row r="590">
      <x:c r="A590" s="16" t="n">
        <x:v>597</x:v>
      </x:c>
      <x:c r="B590" s="16" t="str">
        <x:v>Aleef Daniel Wellness Concept</x:v>
      </x:c>
      <x:c r="C590" s="16" t="str"/>
      <x:c r="D590" s="16" t="str">
        <x:v>* myContacts</x:v>
      </x:c>
      <x:c r="E590" s="16" t="str">
        <x:v>Missing email</x:v>
      </x:c>
    </x:row>
    <x:row r="591">
      <x:c r="A591" s="16" t="n">
        <x:v>598</x:v>
      </x:c>
      <x:c r="B591" s="16" t="str">
        <x:v>Alep Nu'man</x:v>
      </x:c>
      <x:c r="C591" s="16" t="str"/>
      <x:c r="D591" s="16" t="str">
        <x:v>* myContacts</x:v>
      </x:c>
      <x:c r="E591" s="16" t="str">
        <x:v>Missing email</x:v>
      </x:c>
    </x:row>
    <x:row r="592">
      <x:c r="A592" s="16" t="n">
        <x:v>599</x:v>
      </x:c>
      <x:c r="B592" s="16" t="str">
        <x:v>Alep San</x:v>
      </x:c>
      <x:c r="C592" s="16" t="str"/>
      <x:c r="D592" s="16" t="str">
        <x:v>* myContacts</x:v>
      </x:c>
      <x:c r="E592" s="16" t="str">
        <x:v>Missing email</x:v>
      </x:c>
    </x:row>
    <x:row r="593">
      <x:c r="A593" s="16" t="n">
        <x:v>600</x:v>
      </x:c>
      <x:c r="B593" s="16" t="str">
        <x:v>Alex</x:v>
      </x:c>
      <x:c r="C593" s="16" t="str"/>
      <x:c r="D593" s="16" t="str">
        <x:v>* myContacts</x:v>
      </x:c>
      <x:c r="E593" s="16" t="str">
        <x:v>Missing email</x:v>
      </x:c>
    </x:row>
    <x:row r="594">
      <x:c r="A594" s="16" t="n">
        <x:v>601</x:v>
      </x:c>
      <x:c r="B594" s="16" t="str">
        <x:v>Alex Lex</x:v>
      </x:c>
      <x:c r="C594" s="16" t="str"/>
      <x:c r="D594" s="16" t="str">
        <x:v>* myContacts</x:v>
      </x:c>
      <x:c r="E594" s="16" t="str">
        <x:v>Missing email</x:v>
      </x:c>
    </x:row>
    <x:row r="595">
      <x:c r="A595" s="16" t="n">
        <x:v>602</x:v>
      </x:c>
      <x:c r="B595" s="16" t="str">
        <x:v>Aleysha Aqis</x:v>
      </x:c>
      <x:c r="C595" s="16" t="str"/>
      <x:c r="D595" s="16" t="str">
        <x:v>* myContacts</x:v>
      </x:c>
      <x:c r="E595" s="16" t="str">
        <x:v>Missing email</x:v>
      </x:c>
    </x:row>
    <x:row r="596">
      <x:c r="A596" s="16" t="n">
        <x:v>603</x:v>
      </x:c>
      <x:c r="B596" s="16" t="str">
        <x:v>Alfian HP Network</x:v>
      </x:c>
      <x:c r="C596" s="16" t="str"/>
      <x:c r="D596" s="16" t="str">
        <x:v>* myContacts</x:v>
      </x:c>
      <x:c r="E596" s="16" t="str">
        <x:v>Missing email</x:v>
      </x:c>
    </x:row>
    <x:row r="597">
      <x:c r="A597" s="16" t="n">
        <x:v>604</x:v>
      </x:c>
      <x:c r="B597" s="16" t="str">
        <x:v>Algh Faizzal Ahmad</x:v>
      </x:c>
      <x:c r="C597" s="16" t="str"/>
      <x:c r="D597" s="16" t="str">
        <x:v>* myContacts</x:v>
      </x:c>
      <x:c r="E597" s="16" t="str">
        <x:v>Missing email</x:v>
      </x:c>
    </x:row>
    <x:row r="598">
      <x:c r="A598" s="16" t="n">
        <x:v>605</x:v>
      </x:c>
      <x:c r="B598" s="16" t="str">
        <x:v>Alha Nora</x:v>
      </x:c>
      <x:c r="C598" s="16" t="str"/>
      <x:c r="D598" s="16" t="str">
        <x:v>* myContacts</x:v>
      </x:c>
      <x:c r="E598" s="16" t="str">
        <x:v>Missing email</x:v>
      </x:c>
    </x:row>
    <x:row r="599">
      <x:c r="A599" s="16" t="n">
        <x:v>606</x:v>
      </x:c>
      <x:c r="B599" s="16" t="str">
        <x:v>Ali</x:v>
      </x:c>
      <x:c r="C599" s="16" t="str"/>
      <x:c r="D599" s="16" t="str">
        <x:v>* myContacts</x:v>
      </x:c>
      <x:c r="E599" s="16" t="str">
        <x:v>Missing email</x:v>
      </x:c>
    </x:row>
    <x:row r="600">
      <x:c r="A600" s="16" t="n">
        <x:v>607</x:v>
      </x:c>
      <x:c r="B600" s="16" t="str">
        <x:v>Ali Hasan</x:v>
      </x:c>
      <x:c r="C600" s="16" t="str"/>
      <x:c r="D600" s="16" t="str">
        <x:v>* myContacts</x:v>
      </x:c>
      <x:c r="E600" s="16" t="str">
        <x:v>Missing email</x:v>
      </x:c>
    </x:row>
    <x:row r="601">
      <x:c r="A601" s="16" t="n">
        <x:v>608</x:v>
      </x:c>
      <x:c r="B601" s="16" t="str">
        <x:v>Ali Kamis</x:v>
      </x:c>
      <x:c r="C601" s="16" t="str"/>
      <x:c r="D601" s="16" t="str">
        <x:v>* myContacts</x:v>
      </x:c>
      <x:c r="E601" s="16" t="str">
        <x:v>Missing email</x:v>
      </x:c>
    </x:row>
    <x:row r="602">
      <x:c r="A602" s="16" t="n">
        <x:v>609</x:v>
      </x:c>
      <x:c r="B602" s="16" t="str">
        <x:v>Ali Kimie</x:v>
      </x:c>
      <x:c r="C602" s="16" t="str"/>
      <x:c r="D602" s="16" t="str">
        <x:v>* myContacts</x:v>
      </x:c>
      <x:c r="E602" s="16" t="str">
        <x:v>Missing email</x:v>
      </x:c>
    </x:row>
    <x:row r="603">
      <x:c r="A603" s="16" t="n">
        <x:v>610</x:v>
      </x:c>
      <x:c r="B603" s="16" t="str">
        <x:v>Ali Maslina</x:v>
      </x:c>
      <x:c r="C603" s="16" t="str"/>
      <x:c r="D603" s="16" t="str">
        <x:v>* myContacts</x:v>
      </x:c>
      <x:c r="E603" s="16" t="str">
        <x:v>Missing email</x:v>
      </x:c>
    </x:row>
    <x:row r="604">
      <x:c r="A604" s="16" t="n">
        <x:v>611</x:v>
      </x:c>
      <x:c r="B604" s="16" t="str">
        <x:v>Ali Sanoosi</x:v>
      </x:c>
      <x:c r="C604" s="16" t="str"/>
      <x:c r="D604" s="16" t="str">
        <x:v>* myContacts</x:v>
      </x:c>
      <x:c r="E604" s="16" t="str">
        <x:v>Missing email</x:v>
      </x:c>
    </x:row>
    <x:row r="605">
      <x:c r="A605" s="16" t="n">
        <x:v>612</x:v>
      </x:c>
      <x:c r="B605" s="16" t="str">
        <x:v>Ali ST III</x:v>
      </x:c>
      <x:c r="C605" s="16" t="str"/>
      <x:c r="D605" s="16" t="str">
        <x:v>* myContacts</x:v>
      </x:c>
      <x:c r="E605" s="16" t="str">
        <x:v>Missing email</x:v>
      </x:c>
    </x:row>
    <x:row r="606">
      <x:c r="A606" s="16" t="n">
        <x:v>613</x:v>
      </x:c>
      <x:c r="B606" s="16" t="str">
        <x:v>Alia Ainaa</x:v>
      </x:c>
      <x:c r="C606" s="16" t="str"/>
      <x:c r="D606" s="16" t="str">
        <x:v>* myContacts</x:v>
      </x:c>
      <x:c r="E606" s="16" t="str">
        <x:v>Missing email</x:v>
      </x:c>
    </x:row>
    <x:row r="607">
      <x:c r="A607" s="16" t="n">
        <x:v>614</x:v>
      </x:c>
      <x:c r="B607" s="16" t="str">
        <x:v>Alia Amira Trainer Provider</x:v>
      </x:c>
      <x:c r="C607" s="16" t="str"/>
      <x:c r="D607" s="16" t="str">
        <x:v>Trainer | * myContacts</x:v>
      </x:c>
      <x:c r="E607" s="16" t="str">
        <x:v>Missing email</x:v>
      </x:c>
    </x:row>
    <x:row r="608">
      <x:c r="A608" s="16" t="n">
        <x:v>615</x:v>
      </x:c>
      <x:c r="B608" s="16" t="str">
        <x:v>Alia Diana Ahmad</x:v>
      </x:c>
      <x:c r="C608" s="16" t="str"/>
      <x:c r="D608" s="16" t="str">
        <x:v>* myContacts</x:v>
      </x:c>
      <x:c r="E608" s="16" t="str">
        <x:v>Missing email</x:v>
      </x:c>
    </x:row>
    <x:row r="609">
      <x:c r="A609" s="16" t="n">
        <x:v>616</x:v>
      </x:c>
      <x:c r="B609" s="16" t="str">
        <x:v>Alia Natasya</x:v>
      </x:c>
      <x:c r="C609" s="16" t="str"/>
      <x:c r="D609" s="16" t="str">
        <x:v>* myContacts</x:v>
      </x:c>
      <x:c r="E609" s="16" t="str">
        <x:v>Missing email</x:v>
      </x:c>
    </x:row>
    <x:row r="610">
      <x:c r="A610" s="16" t="n">
        <x:v>617</x:v>
      </x:c>
      <x:c r="B610" s="16" t="str">
        <x:v>Alias Yusof</x:v>
      </x:c>
      <x:c r="C610" s="16" t="str"/>
      <x:c r="D610" s="16" t="str">
        <x:v>* myContacts</x:v>
      </x:c>
      <x:c r="E610" s="16" t="str">
        <x:v>Missing email</x:v>
      </x:c>
    </x:row>
    <x:row r="611">
      <x:c r="A611" s="16" t="n">
        <x:v>618</x:v>
      </x:c>
      <x:c r="B611" s="16" t="str">
        <x:v>Alice CECE Digital Trainer Specialist</x:v>
      </x:c>
      <x:c r="C611" s="16" t="str"/>
      <x:c r="D611" s="16" t="str">
        <x:v>* myContacts</x:v>
      </x:c>
      <x:c r="E611" s="16" t="str">
        <x:v>Missing email</x:v>
      </x:c>
    </x:row>
    <x:row r="612">
      <x:c r="A612" s="16" t="n">
        <x:v>619</x:v>
      </x:c>
      <x:c r="B612" s="16" t="str">
        <x:v>Alie Cynkk Idha</x:v>
      </x:c>
      <x:c r="C612" s="16" t="str"/>
      <x:c r="D612" s="16" t="str">
        <x:v>* myContacts</x:v>
      </x:c>
      <x:c r="E612" s="16" t="str">
        <x:v>Missing email</x:v>
      </x:c>
    </x:row>
    <x:row r="613">
      <x:c r="A613" s="16" t="n">
        <x:v>620</x:v>
      </x:c>
      <x:c r="B613" s="16" t="str">
        <x:v>Aliesha Nabiela</x:v>
      </x:c>
      <x:c r="C613" s="16" t="str"/>
      <x:c r="D613" s="16" t="str">
        <x:v>* myContacts</x:v>
      </x:c>
      <x:c r="E613" s="16" t="str">
        <x:v>Missing email</x:v>
      </x:c>
    </x:row>
    <x:row r="614">
      <x:c r="A614" s="16" t="n">
        <x:v>621</x:v>
      </x:c>
      <x:c r="B614" s="16" t="str">
        <x:v>Alif Alfa</x:v>
      </x:c>
      <x:c r="C614" s="16" t="str"/>
      <x:c r="D614" s="16" t="str">
        <x:v>* myContacts</x:v>
      </x:c>
      <x:c r="E614" s="16" t="str">
        <x:v>Missing email</x:v>
      </x:c>
    </x:row>
    <x:row r="615">
      <x:c r="A615" s="16" t="n">
        <x:v>622</x:v>
      </x:c>
      <x:c r="B615" s="16" t="str">
        <x:v>Alif Alif</x:v>
      </x:c>
      <x:c r="C615" s="16" t="str"/>
      <x:c r="D615" s="16" t="str">
        <x:v>* myContacts</x:v>
      </x:c>
      <x:c r="E615" s="16" t="str">
        <x:v>Missing email</x:v>
      </x:c>
    </x:row>
    <x:row r="616">
      <x:c r="A616" s="16" t="n">
        <x:v>623</x:v>
      </x:c>
      <x:c r="B616" s="16" t="str">
        <x:v>Alif Ikhwan</x:v>
      </x:c>
      <x:c r="C616" s="16" t="str"/>
      <x:c r="D616" s="16" t="str">
        <x:v>* myContacts</x:v>
      </x:c>
      <x:c r="E616" s="16" t="str">
        <x:v>Missing email</x:v>
      </x:c>
    </x:row>
    <x:row r="617">
      <x:c r="A617" s="16" t="n">
        <x:v>624</x:v>
      </x:c>
      <x:c r="B617" s="16" t="str">
        <x:v>Alif Iskandar Ghazalli</x:v>
      </x:c>
      <x:c r="C617" s="16" t="str"/>
      <x:c r="D617" s="16" t="str">
        <x:v>* myContacts</x:v>
      </x:c>
      <x:c r="E617" s="16" t="str">
        <x:v>Missing email</x:v>
      </x:c>
    </x:row>
    <x:row r="618">
      <x:c r="A618" s="16" t="n">
        <x:v>625</x:v>
      </x:c>
      <x:c r="B618" s="16" t="str">
        <x:v>Alif Mdec IM</x:v>
      </x:c>
      <x:c r="C618" s="16" t="str"/>
      <x:c r="D618" s="16" t="str">
        <x:v>* myContacts</x:v>
      </x:c>
      <x:c r="E618" s="16" t="str">
        <x:v>Missing email</x:v>
      </x:c>
    </x:row>
    <x:row r="619">
      <x:c r="A619" s="16" t="n">
        <x:v>626</x:v>
      </x:c>
      <x:c r="B619" s="16" t="str">
        <x:v>Alif Onpay</x:v>
      </x:c>
      <x:c r="C619" s="16" t="str"/>
      <x:c r="D619" s="16" t="str">
        <x:v>* myContacts</x:v>
      </x:c>
      <x:c r="E619" s="16" t="str">
        <x:v>Missing email</x:v>
      </x:c>
    </x:row>
    <x:row r="620">
      <x:c r="A620" s="16" t="n">
        <x:v>627</x:v>
      </x:c>
      <x:c r="B620" s="16" t="str">
        <x:v>Alif Programmer</x:v>
      </x:c>
      <x:c r="C620" s="16" t="str"/>
      <x:c r="D620" s="16" t="str">
        <x:v>* myContacts</x:v>
      </x:c>
      <x:c r="E620" s="16" t="str">
        <x:v>Missing email</x:v>
      </x:c>
    </x:row>
    <x:row r="621">
      <x:c r="A621" s="16" t="n">
        <x:v>628</x:v>
      </x:c>
      <x:c r="B621" s="16" t="str">
        <x:v>Alif Rahimi</x:v>
      </x:c>
      <x:c r="C621" s="16" t="str"/>
      <x:c r="D621" s="16" t="str">
        <x:v>* myContacts</x:v>
      </x:c>
      <x:c r="E621" s="16" t="str">
        <x:v>Missing email</x:v>
      </x:c>
    </x:row>
    <x:row r="622">
      <x:c r="A622" s="16" t="n">
        <x:v>629</x:v>
      </x:c>
      <x:c r="B622" s="16" t="str">
        <x:v>Alif Saparpey Spieeu</x:v>
      </x:c>
      <x:c r="C622" s="16" t="str"/>
      <x:c r="D622" s="16" t="str">
        <x:v>* myContacts</x:v>
      </x:c>
      <x:c r="E622" s="16" t="str">
        <x:v>Missing email</x:v>
      </x:c>
    </x:row>
    <x:row r="623">
      <x:c r="A623" s="16" t="n">
        <x:v>630</x:v>
      </x:c>
      <x:c r="B623" s="16" t="str">
        <x:v>Alif Shafik</x:v>
      </x:c>
      <x:c r="C623" s="16" t="str"/>
      <x:c r="D623" s="16" t="str">
        <x:v>* myContacts</x:v>
      </x:c>
      <x:c r="E623" s="16" t="str">
        <x:v>Missing email</x:v>
      </x:c>
    </x:row>
    <x:row r="624">
      <x:c r="A624" s="16" t="n">
        <x:v>631</x:v>
      </x:c>
      <x:c r="B624" s="16" t="str">
        <x:v>Alif Yu</x:v>
      </x:c>
      <x:c r="C624" s="16" t="str"/>
      <x:c r="D624" s="16" t="str">
        <x:v>* myContacts</x:v>
      </x:c>
      <x:c r="E624" s="16" t="str">
        <x:v>Missing email</x:v>
      </x:c>
    </x:row>
    <x:row r="625">
      <x:c r="A625" s="16" t="n">
        <x:v>633</x:v>
      </x:c>
      <x:c r="B625" s="16" t="str">
        <x:v>Aliff Chubbie</x:v>
      </x:c>
      <x:c r="C625" s="16" t="str"/>
      <x:c r="D625" s="16" t="str">
        <x:v>* myContacts</x:v>
      </x:c>
      <x:c r="E625" s="16" t="str">
        <x:v>Missing email</x:v>
      </x:c>
    </x:row>
    <x:row r="626">
      <x:c r="A626" s="16" t="n">
        <x:v>634</x:v>
      </x:c>
      <x:c r="B626" s="16" t="str">
        <x:v>Aliff Ifzlan</x:v>
      </x:c>
      <x:c r="C626" s="16" t="str"/>
      <x:c r="D626" s="16" t="str">
        <x:v>* myContacts</x:v>
      </x:c>
      <x:c r="E626" s="16" t="str">
        <x:v>Missing email</x:v>
      </x:c>
    </x:row>
    <x:row r="627">
      <x:c r="A627" s="16" t="n">
        <x:v>635</x:v>
      </x:c>
      <x:c r="B627" s="16" t="str">
        <x:v>Aliff Kechik</x:v>
      </x:c>
      <x:c r="C627" s="16" t="str"/>
      <x:c r="D627" s="16" t="str">
        <x:v>* myContacts</x:v>
      </x:c>
      <x:c r="E627" s="16" t="str">
        <x:v>Missing email</x:v>
      </x:c>
    </x:row>
    <x:row r="628">
      <x:c r="A628" s="16" t="n">
        <x:v>636</x:v>
      </x:c>
      <x:c r="B628" s="16" t="str">
        <x:v>Aliff Kechix</x:v>
      </x:c>
      <x:c r="C628" s="16" t="str"/>
      <x:c r="D628" s="16" t="str">
        <x:v>* myContacts</x:v>
      </x:c>
      <x:c r="E628" s="16" t="str">
        <x:v>Missing email</x:v>
      </x:c>
    </x:row>
    <x:row r="629">
      <x:c r="A629" s="16" t="n">
        <x:v>637</x:v>
      </x:c>
      <x:c r="B629" s="16" t="str">
        <x:v>Aliff Qushairy</x:v>
      </x:c>
      <x:c r="C629" s="16" t="str"/>
      <x:c r="D629" s="16" t="str">
        <x:v>* myContacts</x:v>
      </x:c>
      <x:c r="E629" s="16" t="str">
        <x:v>Missing email</x:v>
      </x:c>
    </x:row>
    <x:row r="630">
      <x:c r="A630" s="16" t="n">
        <x:v>638</x:v>
      </x:c>
      <x:c r="B630" s="16" t="str">
        <x:v>Aliff Shahh</x:v>
      </x:c>
      <x:c r="C630" s="16" t="str"/>
      <x:c r="D630" s="16" t="str">
        <x:v>* myContacts</x:v>
      </x:c>
      <x:c r="E630" s="16" t="str">
        <x:v>Missing email</x:v>
      </x:c>
    </x:row>
    <x:row r="631">
      <x:c r="A631" s="16" t="n">
        <x:v>639</x:v>
      </x:c>
      <x:c r="B631" s="16" t="str">
        <x:v>Aliff Zainal</x:v>
      </x:c>
      <x:c r="C631" s="16" t="str"/>
      <x:c r="D631" s="16" t="str">
        <x:v>* myContacts</x:v>
      </x:c>
      <x:c r="E631" s="16" t="str">
        <x:v>Missing email</x:v>
      </x:c>
    </x:row>
    <x:row r="632">
      <x:c r="A632" s="16" t="n">
        <x:v>640</x:v>
      </x:c>
      <x:c r="B632" s="16" t="str">
        <x:v>Aliffaqiss Tentang Dia</x:v>
      </x:c>
      <x:c r="C632" s="16" t="str"/>
      <x:c r="D632" s="16" t="str">
        <x:v>* myContacts</x:v>
      </x:c>
      <x:c r="E632" s="16" t="str">
        <x:v>Missing email</x:v>
      </x:c>
    </x:row>
    <x:row r="633">
      <x:c r="A633" s="16" t="n">
        <x:v>641</x:v>
      </x:c>
      <x:c r="B633" s="16" t="str">
        <x:v>Alijaan Work</x:v>
      </x:c>
      <x:c r="C633" s="16" t="str"/>
      <x:c r="D633" s="16" t="str">
        <x:v>* myContacts</x:v>
      </x:c>
      <x:c r="E633" s="16" t="str">
        <x:v>Missing email</x:v>
      </x:c>
    </x:row>
    <x:row r="634">
      <x:c r="A634" s="16" t="n">
        <x:v>643</x:v>
      </x:c>
      <x:c r="B634" s="16" t="str">
        <x:v>Alimin Aja</x:v>
      </x:c>
      <x:c r="C634" s="16" t="str"/>
      <x:c r="D634" s="16" t="str">
        <x:v>* myContacts</x:v>
      </x:c>
      <x:c r="E634" s="16" t="str">
        <x:v>Missing email</x:v>
      </x:c>
    </x:row>
    <x:row r="635">
      <x:c r="A635" s="16" t="n">
        <x:v>644</x:v>
      </x:c>
      <x:c r="B635" s="16" t="str">
        <x:v>Alin Azlin</x:v>
      </x:c>
      <x:c r="C635" s="16" t="str"/>
      <x:c r="D635" s="16" t="str">
        <x:v>* myContacts</x:v>
      </x:c>
      <x:c r="E635" s="16" t="str">
        <x:v>Missing email</x:v>
      </x:c>
    </x:row>
    <x:row r="636">
      <x:c r="A636" s="16" t="n">
        <x:v>645</x:v>
      </x:c>
      <x:c r="B636" s="16" t="str">
        <x:v>Alin Mhd Noor</x:v>
      </x:c>
      <x:c r="C636" s="16" t="str"/>
      <x:c r="D636" s="16" t="str">
        <x:v>* myContacts</x:v>
      </x:c>
      <x:c r="E636" s="16" t="str">
        <x:v>Missing email</x:v>
      </x:c>
    </x:row>
    <x:row r="637">
      <x:c r="A637" s="16" t="n">
        <x:v>646</x:v>
      </x:c>
      <x:c r="B637" s="16" t="str">
        <x:v>Alin Sylen</x:v>
      </x:c>
      <x:c r="C637" s="16" t="str"/>
      <x:c r="D637" s="16" t="str">
        <x:v>* myContacts</x:v>
      </x:c>
      <x:c r="E637" s="16" t="str">
        <x:v>Missing email</x:v>
      </x:c>
    </x:row>
    <x:row r="638">
      <x:c r="A638" s="16" t="n">
        <x:v>647</x:v>
      </x:c>
      <x:c r="B638" s="16" t="str">
        <x:v>Alip Uitm Practical</x:v>
      </x:c>
      <x:c r="C638" s="16" t="str"/>
      <x:c r="D638" s="16" t="str">
        <x:v>* myContacts</x:v>
      </x:c>
      <x:c r="E638" s="16" t="str">
        <x:v>Missing email</x:v>
      </x:c>
    </x:row>
    <x:row r="639">
      <x:c r="A639" s="16" t="n">
        <x:v>648</x:v>
      </x:c>
      <x:c r="B639" s="16" t="str">
        <x:v>Aliya Atasha</x:v>
      </x:c>
      <x:c r="C639" s="16" t="str"/>
      <x:c r="D639" s="16" t="str">
        <x:v>* myContacts</x:v>
      </x:c>
      <x:c r="E639" s="16" t="str">
        <x:v>Missing email</x:v>
      </x:c>
    </x:row>
    <x:row r="640">
      <x:c r="A640" s="16" t="n">
        <x:v>649</x:v>
      </x:c>
      <x:c r="B640" s="16" t="str">
        <x:v>Aliyn Lyn</x:v>
      </x:c>
      <x:c r="C640" s="16" t="str"/>
      <x:c r="D640" s="16" t="str">
        <x:v>* myContacts</x:v>
      </x:c>
      <x:c r="E640" s="16" t="str">
        <x:v>Missing email</x:v>
      </x:c>
    </x:row>
    <x:row r="641">
      <x:c r="A641" s="16" t="n">
        <x:v>650</x:v>
      </x:c>
      <x:c r="B641" s="16" t="str">
        <x:v>Aliza Mansor</x:v>
      </x:c>
      <x:c r="C641" s="16" t="str"/>
      <x:c r="D641" s="16" t="str">
        <x:v>* myContacts</x:v>
      </x:c>
      <x:c r="E641" s="16" t="str">
        <x:v>Missing email</x:v>
      </x:c>
    </x:row>
    <x:row r="642">
      <x:c r="A642" s="16" t="n">
        <x:v>651</x:v>
      </x:c>
      <x:c r="B642" s="16" t="str">
        <x:v>Alizam Harun</x:v>
      </x:c>
      <x:c r="C642" s="16" t="str"/>
      <x:c r="D642" s="16" t="str">
        <x:v>* myContacts</x:v>
      </x:c>
      <x:c r="E642" s="16" t="str">
        <x:v>Missing email</x:v>
      </x:c>
    </x:row>
    <x:row r="643">
      <x:c r="A643" s="16" t="n">
        <x:v>652</x:v>
      </x:c>
      <x:c r="B643" s="16" t="str">
        <x:v>All Season</x:v>
      </x:c>
      <x:c r="C643" s="16" t="str"/>
      <x:c r="D643" s="16" t="str">
        <x:v>* myContacts</x:v>
      </x:c>
      <x:c r="E643" s="16" t="str">
        <x:v>Missing email</x:v>
      </x:c>
    </x:row>
    <x:row r="644">
      <x:c r="A644" s="16" t="n">
        <x:v>653</x:v>
      </x:c>
      <x:c r="B644" s="16" t="str">
        <x:v>Allan Insken</x:v>
      </x:c>
      <x:c r="C644" s="16" t="str"/>
      <x:c r="D644" s="16" t="str">
        <x:v>Alumni INSKEN | * myContacts</x:v>
      </x:c>
      <x:c r="E644" s="16" t="str">
        <x:v>Missing email</x:v>
      </x:c>
    </x:row>
    <x:row r="645">
      <x:c r="A645" s="16" t="n">
        <x:v>654</x:v>
      </x:c>
      <x:c r="B645" s="16" t="str">
        <x:v>Allan Lai Siau Loon</x:v>
      </x:c>
      <x:c r="C645" s="16" t="str"/>
      <x:c r="D645" s="16" t="str">
        <x:v>* myContacts</x:v>
      </x:c>
      <x:c r="E645" s="16" t="str">
        <x:v>Missing email</x:v>
      </x:c>
    </x:row>
    <x:row r="646">
      <x:c r="A646" s="16" t="n">
        <x:v>655</x:v>
      </x:c>
      <x:c r="B646" s="16" t="str">
        <x:v>Allan Putra Sulung</x:v>
      </x:c>
      <x:c r="C646" s="16" t="str"/>
      <x:c r="D646" s="16" t="str">
        <x:v>* myContacts</x:v>
      </x:c>
      <x:c r="E646" s="16" t="str">
        <x:v>Missing email</x:v>
      </x:c>
    </x:row>
    <x:row r="647">
      <x:c r="A647" s="16" t="n">
        <x:v>656</x:v>
      </x:c>
      <x:c r="B647" s="16" t="str">
        <x:v>Alo AnVirus</x:v>
      </x:c>
      <x:c r="C647" s="16" t="str"/>
      <x:c r="D647" s="16" t="str">
        <x:v>* myContacts</x:v>
      </x:c>
      <x:c r="E647" s="16" t="str">
        <x:v>Missing email</x:v>
      </x:c>
    </x:row>
    <x:row r="648">
      <x:c r="A648" s="16" t="n">
        <x:v>657</x:v>
      </x:c>
      <x:c r="B648" s="16" t="str">
        <x:v>Along Pakar Cuci</x:v>
      </x:c>
      <x:c r="C648" s="16" t="str"/>
      <x:c r="D648" s="16" t="str">
        <x:v>* myContacts</x:v>
      </x:c>
      <x:c r="E648" s="16" t="str">
        <x:v>Missing email</x:v>
      </x:c>
    </x:row>
    <x:row r="649">
      <x:c r="A649" s="16" t="n">
        <x:v>658</x:v>
      </x:c>
      <x:c r="B649" s="16" t="str">
        <x:v>Along Wahab</x:v>
      </x:c>
      <x:c r="C649" s="16" t="str"/>
      <x:c r="D649" s="16" t="str">
        <x:v>* myContacts</x:v>
      </x:c>
      <x:c r="E649" s="16" t="str">
        <x:v>Missing email</x:v>
      </x:c>
    </x:row>
    <x:row r="650">
      <x:c r="A650" s="16" t="n">
        <x:v>659</x:v>
      </x:c>
      <x:c r="B650" s="16" t="str">
        <x:v>Alshibal Bin Eddie</x:v>
      </x:c>
      <x:c r="C650" s="16" t="str"/>
      <x:c r="D650" s="16" t="str">
        <x:v>* myContacts</x:v>
      </x:c>
      <x:c r="E650" s="16" t="str">
        <x:v>Missing email</x:v>
      </x:c>
    </x:row>
    <x:row r="651">
      <x:c r="A651" s="16" t="n">
        <x:v>660</x:v>
      </x:c>
      <x:c r="B651" s="16" t="str">
        <x:v>Alvin Ralph</x:v>
      </x:c>
      <x:c r="C651" s="16" t="str"/>
      <x:c r="D651" s="16" t="str">
        <x:v>* myContacts</x:v>
      </x:c>
      <x:c r="E651" s="16" t="str">
        <x:v>Missing email</x:v>
      </x:c>
    </x:row>
    <x:row r="652">
      <x:c r="A652" s="16" t="n">
        <x:v>661</x:v>
      </x:c>
      <x:c r="B652" s="16" t="str">
        <x:v>Alya Alysa Alyce</x:v>
      </x:c>
      <x:c r="C652" s="16" t="str"/>
      <x:c r="D652" s="16" t="str">
        <x:v>* myContacts</x:v>
      </x:c>
      <x:c r="E652" s="16" t="str">
        <x:v>Missing email</x:v>
      </x:c>
    </x:row>
    <x:row r="653">
      <x:c r="A653" s="16" t="n">
        <x:v>662</x:v>
      </x:c>
      <x:c r="B653" s="16" t="str">
        <x:v>Alya Nabil</x:v>
      </x:c>
      <x:c r="C653" s="16" t="str"/>
      <x:c r="D653" s="16" t="str">
        <x:v>* myContacts</x:v>
      </x:c>
      <x:c r="E653" s="16" t="str">
        <x:v>Missing email</x:v>
      </x:c>
    </x:row>
    <x:row r="654">
      <x:c r="A654" s="16" t="n">
        <x:v>663</x:v>
      </x:c>
      <x:c r="B654" s="16" t="str">
        <x:v>Alya Nie</x:v>
      </x:c>
      <x:c r="C654" s="16" t="str"/>
      <x:c r="D654" s="16" t="str">
        <x:v>* myContacts</x:v>
      </x:c>
      <x:c r="E654" s="16" t="str">
        <x:v>Missing email</x:v>
      </x:c>
    </x:row>
    <x:row r="655">
      <x:c r="A655" s="16" t="n">
        <x:v>664</x:v>
      </x:c>
      <x:c r="B655" s="16" t="str">
        <x:v>Alyssa Abdullah</x:v>
      </x:c>
      <x:c r="C655" s="16" t="str"/>
      <x:c r="D655" s="16" t="str">
        <x:v>* myContacts</x:v>
      </x:c>
      <x:c r="E655" s="16" t="str">
        <x:v>Missing email</x:v>
      </x:c>
    </x:row>
    <x:row r="656">
      <x:c r="A656" s="16" t="n">
        <x:v>665</x:v>
      </x:c>
      <x:c r="B656" s="16" t="str">
        <x:v>Amad Dpim Perak</x:v>
      </x:c>
      <x:c r="C656" s="16" t="str"/>
      <x:c r="D656" s="16" t="str">
        <x:v>* myContacts</x:v>
      </x:c>
      <x:c r="E656" s="16" t="str">
        <x:v>Missing email</x:v>
      </x:c>
    </x:row>
    <x:row r="657">
      <x:c r="A657" s="16" t="n">
        <x:v>666</x:v>
      </x:c>
      <x:c r="B657" s="16" t="str">
        <x:v>Amaleena Sarjan Zol</x:v>
      </x:c>
      <x:c r="C657" s="16" t="str"/>
      <x:c r="D657" s="16" t="str">
        <x:v>* myContacts</x:v>
      </x:c>
      <x:c r="E657" s="16" t="str">
        <x:v>Missing email</x:v>
      </x:c>
    </x:row>
    <x:row r="658">
      <x:c r="A658" s="16" t="n">
        <x:v>667</x:v>
      </x:c>
      <x:c r="B658" s="16" t="str">
        <x:v>Amalina Aim terengganu</x:v>
      </x:c>
      <x:c r="C658" s="16" t="str"/>
      <x:c r="D658" s="16" t="str">
        <x:v>* myContacts</x:v>
      </x:c>
      <x:c r="E658" s="16" t="str">
        <x:v>Missing email</x:v>
      </x:c>
    </x:row>
    <x:row r="659">
      <x:c r="A659" s="16" t="n">
        <x:v>668</x:v>
      </x:c>
      <x:c r="B659" s="16" t="str">
        <x:v>Amalina Alin</x:v>
      </x:c>
      <x:c r="C659" s="16" t="str"/>
      <x:c r="D659" s="16" t="str">
        <x:v>* myContacts</x:v>
      </x:c>
      <x:c r="E659" s="16" t="str">
        <x:v>Missing email</x:v>
      </x:c>
    </x:row>
    <x:row r="660">
      <x:c r="A660" s="16" t="n">
        <x:v>669</x:v>
      </x:c>
      <x:c r="B660" s="16" t="str">
        <x:v>Amalina Azhar</x:v>
      </x:c>
      <x:c r="C660" s="16" t="str"/>
      <x:c r="D660" s="16" t="str">
        <x:v>* myContacts</x:v>
      </x:c>
      <x:c r="E660" s="16" t="str">
        <x:v>Missing email</x:v>
      </x:c>
    </x:row>
    <x:row r="661">
      <x:c r="A661" s="16" t="n">
        <x:v>670</x:v>
      </x:c>
      <x:c r="B661" s="16" t="str">
        <x:v>Amalina Joe AVANA</x:v>
      </x:c>
      <x:c r="C661" s="16" t="str"/>
      <x:c r="D661" s="16" t="str">
        <x:v>* myContacts</x:v>
      </x:c>
      <x:c r="E661" s="16" t="str">
        <x:v>Missing email</x:v>
      </x:c>
    </x:row>
    <x:row r="662">
      <x:c r="A662" s="16" t="n">
        <x:v>671</x:v>
      </x:c>
      <x:c r="B662" s="16" t="str">
        <x:v>Amalina Lina Karisma Cosmetic</x:v>
      </x:c>
      <x:c r="C662" s="16" t="str"/>
      <x:c r="D662" s="16" t="str">
        <x:v>* myContacts</x:v>
      </x:c>
      <x:c r="E662" s="16" t="str">
        <x:v>Missing email</x:v>
      </x:c>
    </x:row>
    <x:row r="663">
      <x:c r="A663" s="16" t="n">
        <x:v>672</x:v>
      </x:c>
      <x:c r="B663" s="16" t="str">
        <x:v>Amalina Student</x:v>
      </x:c>
      <x:c r="C663" s="16" t="str"/>
      <x:c r="D663" s="16" t="str">
        <x:v>* myContacts</x:v>
      </x:c>
      <x:c r="E663" s="16" t="str">
        <x:v>Missing email</x:v>
      </x:c>
    </x:row>
    <x:row r="664">
      <x:c r="A664" s="16" t="n">
        <x:v>673</x:v>
      </x:c>
      <x:c r="B664" s="16" t="str">
        <x:v>Amalina Unaizah</x:v>
      </x:c>
      <x:c r="C664" s="16" t="str"/>
      <x:c r="D664" s="16" t="str">
        <x:v>* myContacts</x:v>
      </x:c>
      <x:c r="E664" s="16" t="str">
        <x:v>Missing email</x:v>
      </x:c>
    </x:row>
    <x:row r="665">
      <x:c r="A665" s="16" t="n">
        <x:v>674</x:v>
      </x:c>
      <x:c r="B665" s="16" t="str">
        <x:v>Aman Ismail</x:v>
      </x:c>
      <x:c r="C665" s="16" t="str"/>
      <x:c r="D665" s="16" t="str">
        <x:v>* myContacts</x:v>
      </x:c>
      <x:c r="E665" s="16" t="str">
        <x:v>Missing email</x:v>
      </x:c>
    </x:row>
    <x:row r="666">
      <x:c r="A666" s="16" t="n">
        <x:v>675</x:v>
      </x:c>
      <x:c r="B666" s="16" t="str">
        <x:v>Aman Man</x:v>
      </x:c>
      <x:c r="C666" s="16" t="str"/>
      <x:c r="D666" s="16" t="str">
        <x:v>* myContacts</x:v>
      </x:c>
      <x:c r="E666" s="16" t="str">
        <x:v>Missing email</x:v>
      </x:c>
    </x:row>
    <x:row r="667">
      <x:c r="A667" s="16" t="n">
        <x:v>676</x:v>
      </x:c>
      <x:c r="B667" s="16" t="str">
        <x:v>Aman Nami</x:v>
      </x:c>
      <x:c r="C667" s="16" t="str"/>
      <x:c r="D667" s="16" t="str">
        <x:v>* myContacts</x:v>
      </x:c>
      <x:c r="E667" s="16" t="str">
        <x:v>Missing email</x:v>
      </x:c>
    </x:row>
    <x:row r="668">
      <x:c r="A668" s="16" t="n">
        <x:v>677</x:v>
      </x:c>
      <x:c r="B668" s="16" t="str">
        <x:v>Aman Shah Padzushah</x:v>
      </x:c>
      <x:c r="C668" s="16" t="str"/>
      <x:c r="D668" s="16" t="str">
        <x:v>* myContacts</x:v>
      </x:c>
      <x:c r="E668" s="16" t="str">
        <x:v>Missing email</x:v>
      </x:c>
    </x:row>
    <x:row r="669">
      <x:c r="A669" s="16" t="n">
        <x:v>678</x:v>
      </x:c>
      <x:c r="B669" s="16" t="str">
        <x:v>Aman Tubillah</x:v>
      </x:c>
      <x:c r="C669" s="16" t="str"/>
      <x:c r="D669" s="16" t="str">
        <x:v>* myContacts</x:v>
      </x:c>
      <x:c r="E669" s="16" t="str">
        <x:v>Missing email</x:v>
      </x:c>
    </x:row>
    <x:row r="670">
      <x:c r="A670" s="16" t="n">
        <x:v>679</x:v>
      </x:c>
      <x:c r="B670" s="16" t="str">
        <x:v>Amanina Abu Bakar</x:v>
      </x:c>
      <x:c r="C670" s="16" t="str"/>
      <x:c r="D670" s="16" t="str">
        <x:v>* myContacts</x:v>
      </x:c>
      <x:c r="E670" s="16" t="str">
        <x:v>Missing email</x:v>
      </x:c>
    </x:row>
    <x:row r="671">
      <x:c r="A671" s="16" t="n">
        <x:v>680</x:v>
      </x:c>
      <x:c r="B671" s="16" t="str">
        <x:v>Amar kawan zakwan</x:v>
      </x:c>
      <x:c r="C671" s="16" t="str"/>
      <x:c r="D671" s="16" t="str">
        <x:v>* myContacts</x:v>
      </x:c>
      <x:c r="E671" s="16" t="str">
        <x:v>Missing email</x:v>
      </x:c>
    </x:row>
    <x:row r="672">
      <x:c r="A672" s="16" t="n">
        <x:v>681</x:v>
      </x:c>
      <x:c r="B672" s="16" t="str">
        <x:v>Amar Rusydi Hashim</x:v>
      </x:c>
      <x:c r="C672" s="16" t="str"/>
      <x:c r="D672" s="16" t="str">
        <x:v>* myContacts</x:v>
      </x:c>
      <x:c r="E672" s="16" t="str">
        <x:v>Missing email</x:v>
      </x:c>
    </x:row>
    <x:row r="673">
      <x:c r="A673" s="16" t="n">
        <x:v>682</x:v>
      </x:c>
      <x:c r="B673" s="16" t="str">
        <x:v>Amar Yus</x:v>
      </x:c>
      <x:c r="C673" s="16" t="str"/>
      <x:c r="D673" s="16" t="str">
        <x:v>* myContacts</x:v>
      </x:c>
      <x:c r="E673" s="16" t="str">
        <x:v>Missing email</x:v>
      </x:c>
    </x:row>
    <x:row r="674">
      <x:c r="A674" s="16" t="n">
        <x:v>683</x:v>
      </x:c>
      <x:c r="B674" s="16" t="str">
        <x:v>Amar Zack</x:v>
      </x:c>
      <x:c r="C674" s="16" t="str"/>
      <x:c r="D674" s="16" t="str">
        <x:v>* myContacts</x:v>
      </x:c>
      <x:c r="E674" s="16" t="str">
        <x:v>Missing email</x:v>
      </x:c>
    </x:row>
    <x:row r="675">
      <x:c r="A675" s="16" t="n">
        <x:v>684</x:v>
      </x:c>
      <x:c r="B675" s="16" t="str">
        <x:v>Amar Zaw</x:v>
      </x:c>
      <x:c r="C675" s="16" t="str"/>
      <x:c r="D675" s="16" t="str">
        <x:v>* myContacts</x:v>
      </x:c>
      <x:c r="E675" s="16" t="str">
        <x:v>Missing email</x:v>
      </x:c>
    </x:row>
    <x:row r="676">
      <x:c r="A676" s="16" t="n">
        <x:v>685</x:v>
      </x:c>
      <x:c r="B676" s="16" t="str">
        <x:v>Amaresh Attiva</x:v>
      </x:c>
      <x:c r="C676" s="16" t="str"/>
      <x:c r="D676" s="16" t="str">
        <x:v>* myContacts</x:v>
      </x:c>
      <x:c r="E676" s="16" t="str">
        <x:v>Missing email</x:v>
      </x:c>
    </x:row>
    <x:row r="677">
      <x:c r="A677" s="16" t="n">
        <x:v>686</x:v>
      </x:c>
      <x:c r="B677" s="16" t="str">
        <x:v>AmarYasir Amar</x:v>
      </x:c>
      <x:c r="C677" s="16" t="str"/>
      <x:c r="D677" s="16" t="str">
        <x:v>* myContacts</x:v>
      </x:c>
      <x:c r="E677" s="16" t="str">
        <x:v>Missing email</x:v>
      </x:c>
    </x:row>
    <x:row r="678">
      <x:c r="A678" s="16" t="n">
        <x:v>687</x:v>
      </x:c>
      <x:c r="B678" s="16" t="str">
        <x:v>Ambiz Print</x:v>
      </x:c>
      <x:c r="C678" s="16" t="str"/>
      <x:c r="D678" s="16" t="str">
        <x:v>* myContacts</x:v>
      </x:c>
      <x:c r="E678" s="16" t="str">
        <x:v>Missing email</x:v>
      </x:c>
    </x:row>
    <x:row r="679">
      <x:c r="A679" s="16" t="n">
        <x:v>688</x:v>
      </x:c>
      <x:c r="B679" s="16" t="str">
        <x:v>ambok kharol azhar AGP</x:v>
      </x:c>
      <x:c r="C679" s="16" t="str"/>
      <x:c r="D679" s="16" t="str">
        <x:v>* myContacts</x:v>
      </x:c>
      <x:c r="E679" s="16" t="str">
        <x:v>Missing email</x:v>
      </x:c>
    </x:row>
    <x:row r="680">
      <x:c r="A680" s="16" t="n">
        <x:v>689</x:v>
      </x:c>
      <x:c r="B680" s="16" t="str">
        <x:v>Ameer Che Mat</x:v>
      </x:c>
      <x:c r="C680" s="16" t="str"/>
      <x:c r="D680" s="16" t="str">
        <x:v>* myContacts</x:v>
      </x:c>
      <x:c r="E680" s="16" t="str">
        <x:v>Missing email</x:v>
      </x:c>
    </x:row>
    <x:row r="681">
      <x:c r="A681" s="16" t="n">
        <x:v>690</x:v>
      </x:c>
      <x:c r="B681" s="16" t="str">
        <x:v>ameer im</x:v>
      </x:c>
      <x:c r="C681" s="16" t="str"/>
      <x:c r="D681" s="16" t="str">
        <x:v>* myContacts</x:v>
      </x:c>
      <x:c r="E681" s="16" t="str">
        <x:v>Missing email</x:v>
      </x:c>
    </x:row>
    <x:row r="682">
      <x:c r="A682" s="16" t="n">
        <x:v>691</x:v>
      </x:c>
      <x:c r="B682" s="16" t="str">
        <x:v>Ameera T&amp;C</x:v>
      </x:c>
      <x:c r="C682" s="16" t="str"/>
      <x:c r="D682" s="16" t="str">
        <x:v>* myContacts</x:v>
      </x:c>
      <x:c r="E682" s="16" t="str">
        <x:v>Missing email</x:v>
      </x:c>
    </x:row>
    <x:row r="683">
      <x:c r="A683" s="16" t="n">
        <x:v>692</x:v>
      </x:c>
      <x:c r="B683" s="16" t="str">
        <x:v>AmeErul NjeMy</x:v>
      </x:c>
      <x:c r="C683" s="16" t="str"/>
      <x:c r="D683" s="16" t="str">
        <x:v>* myContacts</x:v>
      </x:c>
      <x:c r="E683" s="16" t="str">
        <x:v>Missing email</x:v>
      </x:c>
    </x:row>
    <x:row r="684">
      <x:c r="A684" s="16" t="n">
        <x:v>693</x:v>
      </x:c>
      <x:c r="B684" s="16" t="str">
        <x:v>Ameng Meng</x:v>
      </x:c>
      <x:c r="C684" s="16" t="str"/>
      <x:c r="D684" s="16" t="str">
        <x:v>* myContacts</x:v>
      </x:c>
      <x:c r="E684" s="16" t="str">
        <x:v>Missing email</x:v>
      </x:c>
    </x:row>
    <x:row r="685">
      <x:c r="A685" s="16" t="n">
        <x:v>694</x:v>
      </x:c>
      <x:c r="B685" s="16" t="str">
        <x:v>Amer Ahmad</x:v>
      </x:c>
      <x:c r="C685" s="16" t="str"/>
      <x:c r="D685" s="16" t="str">
        <x:v>* myContacts</x:v>
      </x:c>
      <x:c r="E685" s="16" t="str">
        <x:v>Missing email</x:v>
      </x:c>
    </x:row>
    <x:row r="686">
      <x:c r="A686" s="16" t="n">
        <x:v>695</x:v>
      </x:c>
      <x:c r="B686" s="16" t="str">
        <x:v>Amer Mohd</x:v>
      </x:c>
      <x:c r="C686" s="16" t="str"/>
      <x:c r="D686" s="16" t="str">
        <x:v>* myContacts</x:v>
      </x:c>
      <x:c r="E686" s="16" t="str">
        <x:v>Missing email</x:v>
      </x:c>
    </x:row>
    <x:row r="687">
      <x:c r="A687" s="16" t="n">
        <x:v>696</x:v>
      </x:c>
      <x:c r="B687" s="16" t="str">
        <x:v>Amer Ohara</x:v>
      </x:c>
      <x:c r="C687" s="16" t="str"/>
      <x:c r="D687" s="16" t="str">
        <x:v>* myContacts</x:v>
      </x:c>
      <x:c r="E687" s="16" t="str">
        <x:v>Missing email</x:v>
      </x:c>
    </x:row>
    <x:row r="688">
      <x:c r="A688" s="16" t="n">
        <x:v>697</x:v>
      </x:c>
      <x:c r="B688" s="16" t="str">
        <x:v>Amer Yusuf</x:v>
      </x:c>
      <x:c r="C688" s="16" t="str"/>
      <x:c r="D688" s="16" t="str">
        <x:v>* myContacts</x:v>
      </x:c>
      <x:c r="E688" s="16" t="str">
        <x:v>Missing email</x:v>
      </x:c>
    </x:row>
    <x:row r="689">
      <x:c r="A689" s="16" t="n">
        <x:v>698</x:v>
      </x:c>
      <x:c r="B689" s="16" t="str">
        <x:v>Amer Zulkarnain</x:v>
      </x:c>
      <x:c r="C689" s="16" t="str"/>
      <x:c r="D689" s="16" t="str">
        <x:v>* myContacts</x:v>
      </x:c>
      <x:c r="E689" s="16" t="str">
        <x:v>Missing email</x:v>
      </x:c>
    </x:row>
    <x:row r="690">
      <x:c r="A690" s="16" t="n">
        <x:v>699</x:v>
      </x:c>
      <x:c r="B690" s="16" t="str">
        <x:v>Amerul kementerian komunikasi multimedia</x:v>
      </x:c>
      <x:c r="C690" s="16" t="str"/>
      <x:c r="D690" s="16" t="str">
        <x:v>* myContacts</x:v>
      </x:c>
      <x:c r="E690" s="16" t="str">
        <x:v>Missing email</x:v>
      </x:c>
    </x:row>
    <x:row r="691">
      <x:c r="A691" s="16" t="n">
        <x:v>700</x:v>
      </x:c>
      <x:c r="B691" s="16" t="str">
        <x:v>Amerullah Abdul Razak</x:v>
      </x:c>
      <x:c r="C691" s="16" t="str"/>
      <x:c r="D691" s="16" t="str">
        <x:v>* myContacts</x:v>
      </x:c>
      <x:c r="E691" s="16" t="str">
        <x:v>Missing email</x:v>
      </x:c>
    </x:row>
    <x:row r="692">
      <x:c r="A692" s="16" t="n">
        <x:v>701</x:v>
      </x:c>
      <x:c r="B692" s="16" t="str">
        <x:v>Amh Rezqi</x:v>
      </x:c>
      <x:c r="C692" s="16" t="str"/>
      <x:c r="D692" s="16" t="str">
        <x:v>* myContacts</x:v>
      </x:c>
      <x:c r="E692" s="16" t="str">
        <x:v>Missing email</x:v>
      </x:c>
    </x:row>
    <x:row r="693">
      <x:c r="A693" s="16" t="n">
        <x:v>702</x:v>
      </x:c>
      <x:c r="B693" s="16" t="str">
        <x:v>Amie Ami</x:v>
      </x:c>
      <x:c r="C693" s="16" t="str"/>
      <x:c r="D693" s="16" t="str">
        <x:v>* myContacts</x:v>
      </x:c>
      <x:c r="E693" s="16" t="str">
        <x:v>Missing email</x:v>
      </x:c>
    </x:row>
    <x:row r="694">
      <x:c r="A694" s="16" t="n">
        <x:v>703</x:v>
      </x:c>
      <x:c r="B694" s="16" t="str">
        <x:v>Amie Aminah</x:v>
      </x:c>
      <x:c r="C694" s="16" t="str"/>
      <x:c r="D694" s="16" t="str">
        <x:v>* myContacts</x:v>
      </x:c>
      <x:c r="E694" s="16" t="str">
        <x:v>Missing email</x:v>
      </x:c>
    </x:row>
    <x:row r="695">
      <x:c r="A695" s="16" t="n">
        <x:v>704</x:v>
      </x:c>
      <x:c r="B695" s="16" t="str">
        <x:v>Amie Ismail AFK</x:v>
      </x:c>
      <x:c r="C695" s="16" t="str"/>
      <x:c r="D695" s="16" t="str">
        <x:v>* myContacts</x:v>
      </x:c>
      <x:c r="E695" s="16" t="str">
        <x:v>Missing email</x:v>
      </x:c>
    </x:row>
    <x:row r="696">
      <x:c r="A696" s="16" t="n">
        <x:v>705</x:v>
      </x:c>
      <x:c r="B696" s="16" t="str">
        <x:v>Amiera Natasha</x:v>
      </x:c>
      <x:c r="C696" s="16" t="str"/>
      <x:c r="D696" s="16" t="str">
        <x:v>* myContacts</x:v>
      </x:c>
      <x:c r="E696" s="16" t="str">
        <x:v>Missing email</x:v>
      </x:c>
    </x:row>
    <x:row r="697">
      <x:c r="A697" s="16" t="n">
        <x:v>707</x:v>
      </x:c>
      <x:c r="B697" s="16" t="str">
        <x:v>Amin cybernik</x:v>
      </x:c>
      <x:c r="C697" s="16" t="str"/>
      <x:c r="D697" s="16" t="str">
        <x:v>* myContacts</x:v>
      </x:c>
      <x:c r="E697" s="16" t="str">
        <x:v>Missing email</x:v>
      </x:c>
    </x:row>
    <x:row r="698">
      <x:c r="A698" s="16" t="n">
        <x:v>708</x:v>
      </x:c>
      <x:c r="B698" s="16" t="str">
        <x:v>Amin Din</x:v>
      </x:c>
      <x:c r="C698" s="16" t="str"/>
      <x:c r="D698" s="16" t="str">
        <x:v>* myContacts</x:v>
      </x:c>
      <x:c r="E698" s="16" t="str">
        <x:v>Missing email</x:v>
      </x:c>
    </x:row>
    <x:row r="699">
      <x:c r="A699" s="16" t="n">
        <x:v>709</x:v>
      </x:c>
      <x:c r="B699" s="16" t="str">
        <x:v>Amin Ibrahim</x:v>
      </x:c>
      <x:c r="C699" s="16" t="str"/>
      <x:c r="D699" s="16" t="str">
        <x:v>* myContacts</x:v>
      </x:c>
      <x:c r="E699" s="16" t="str">
        <x:v>Missing email</x:v>
      </x:c>
    </x:row>
    <x:row r="700">
      <x:c r="A700" s="16" t="n">
        <x:v>710</x:v>
      </x:c>
      <x:c r="B700" s="16" t="str">
        <x:v>Amin IM</x:v>
      </x:c>
      <x:c r="C700" s="16" t="str"/>
      <x:c r="D700" s="16" t="str">
        <x:v>* myContacts</x:v>
      </x:c>
      <x:c r="E700" s="16" t="str">
        <x:v>Missing email</x:v>
      </x:c>
    </x:row>
    <x:row r="701">
      <x:c r="A701" s="16" t="n">
        <x:v>711</x:v>
      </x:c>
      <x:c r="B701" s="16" t="str">
        <x:v>Amin Jengka</x:v>
      </x:c>
      <x:c r="C701" s="16" t="str"/>
      <x:c r="D701" s="16" t="str">
        <x:v>* myContacts</x:v>
      </x:c>
      <x:c r="E701" s="16" t="str">
        <x:v>Missing email</x:v>
      </x:c>
    </x:row>
    <x:row r="702">
      <x:c r="A702" s="16" t="n">
        <x:v>712</x:v>
      </x:c>
      <x:c r="B702" s="16" t="str">
        <x:v>Amin JSTUDIO</x:v>
      </x:c>
      <x:c r="C702" s="16" t="str"/>
      <x:c r="D702" s="16" t="str">
        <x:v>* myContacts</x:v>
      </x:c>
      <x:c r="E702" s="16" t="str">
        <x:v>Missing email</x:v>
      </x:c>
    </x:row>
    <x:row r="703">
      <x:c r="A703" s="16" t="n">
        <x:v>713</x:v>
      </x:c>
      <x:c r="B703" s="16" t="str">
        <x:v>Amin Kepak</x:v>
      </x:c>
      <x:c r="C703" s="16" t="str"/>
      <x:c r="D703" s="16" t="str">
        <x:v>* myContacts</x:v>
      </x:c>
      <x:c r="E703" s="16" t="str">
        <x:v>Missing email</x:v>
      </x:c>
    </x:row>
    <x:row r="704">
      <x:c r="A704" s="16" t="n">
        <x:v>714</x:v>
      </x:c>
      <x:c r="B704" s="16" t="str">
        <x:v>Amin Klatee</x:v>
      </x:c>
      <x:c r="C704" s="16" t="str"/>
      <x:c r="D704" s="16" t="str">
        <x:v>* myContacts</x:v>
      </x:c>
      <x:c r="E704" s="16" t="str">
        <x:v>Missing email</x:v>
      </x:c>
    </x:row>
    <x:row r="705">
      <x:c r="A705" s="16" t="n">
        <x:v>715</x:v>
      </x:c>
      <x:c r="B705" s="16" t="str">
        <x:v>Amin Othman</x:v>
      </x:c>
      <x:c r="C705" s="16" t="str"/>
      <x:c r="D705" s="16" t="str">
        <x:v>* myContacts</x:v>
      </x:c>
      <x:c r="E705" s="16" t="str">
        <x:v>Missing email</x:v>
      </x:c>
    </x:row>
    <x:row r="706">
      <x:c r="A706" s="16" t="n">
        <x:v>716</x:v>
      </x:c>
      <x:c r="B706" s="16" t="str">
        <x:v>Amin RJB</x:v>
      </x:c>
      <x:c r="C706" s="16" t="str"/>
      <x:c r="D706" s="16" t="str">
        <x:v>* myContacts</x:v>
      </x:c>
      <x:c r="E706" s="16" t="str">
        <x:v>Missing email</x:v>
      </x:c>
    </x:row>
    <x:row r="707">
      <x:c r="A707" s="16" t="n">
        <x:v>717</x:v>
      </x:c>
      <x:c r="B707" s="16" t="str">
        <x:v>Amin Shahrul</x:v>
      </x:c>
      <x:c r="C707" s="16" t="str"/>
      <x:c r="D707" s="16" t="str">
        <x:v>* myContacts</x:v>
      </x:c>
      <x:c r="E707" s="16" t="str">
        <x:v>Missing email</x:v>
      </x:c>
    </x:row>
    <x:row r="708">
      <x:c r="A708" s="16" t="n">
        <x:v>718</x:v>
      </x:c>
      <x:c r="B708" s="16" t="str">
        <x:v>Amin Shikin</x:v>
      </x:c>
      <x:c r="C708" s="16" t="str"/>
      <x:c r="D708" s="16" t="str">
        <x:v>* myContacts</x:v>
      </x:c>
      <x:c r="E708" s="16" t="str">
        <x:v>Missing email</x:v>
      </x:c>
    </x:row>
    <x:row r="709">
      <x:c r="A709" s="16" t="n">
        <x:v>721</x:v>
      </x:c>
      <x:c r="B709" s="16" t="str">
        <x:v>Amin Solahuddin Associates Sdn Bhd</x:v>
      </x:c>
      <x:c r="C709" s="16" t="str"/>
      <x:c r="D709" s="16" t="str">
        <x:v>* myContacts</x:v>
      </x:c>
      <x:c r="E709" s="16" t="str">
        <x:v>Missing email</x:v>
      </x:c>
    </x:row>
    <x:row r="710">
      <x:c r="A710" s="16" t="n">
        <x:v>722</x:v>
      </x:c>
      <x:c r="B710" s="16" t="str">
        <x:v>Amin Suryadi</x:v>
      </x:c>
      <x:c r="C710" s="16" t="str"/>
      <x:c r="D710" s="16" t="str">
        <x:v>* myContacts</x:v>
      </x:c>
      <x:c r="E710" s="16" t="str">
        <x:v>Missing email</x:v>
      </x:c>
    </x:row>
    <x:row r="711">
      <x:c r="A711" s="16" t="n">
        <x:v>723</x:v>
      </x:c>
      <x:c r="B711" s="16" t="str">
        <x:v>Aminurasyid Mazlan</x:v>
      </x:c>
      <x:c r="C711" s="16" t="str"/>
      <x:c r="D711" s="16" t="str">
        <x:v>* myContacts</x:v>
      </x:c>
      <x:c r="E711" s="16" t="str">
        <x:v>Missing email</x:v>
      </x:c>
    </x:row>
    <x:row r="712">
      <x:c r="A712" s="16" t="n">
        <x:v>725</x:v>
      </x:c>
      <x:c r="B712" s="16" t="str">
        <x:v>Amir Agent AGP Tier 1</x:v>
      </x:c>
      <x:c r="C712" s="16" t="str"/>
      <x:c r="D712" s="16" t="str">
        <x:v>* myContacts</x:v>
      </x:c>
      <x:c r="E712" s="16" t="str">
        <x:v>Missing email</x:v>
      </x:c>
    </x:row>
    <x:row r="713">
      <x:c r="A713" s="16" t="n">
        <x:v>726</x:v>
      </x:c>
      <x:c r="B713" s="16" t="str">
        <x:v>Amir Amiruljefri</x:v>
      </x:c>
      <x:c r="C713" s="16" t="str"/>
      <x:c r="D713" s="16" t="str">
        <x:v>* myContacts</x:v>
      </x:c>
      <x:c r="E713" s="16" t="str">
        <x:v>Missing email</x:v>
      </x:c>
    </x:row>
    <x:row r="714">
      <x:c r="A714" s="16" t="n">
        <x:v>727</x:v>
      </x:c>
      <x:c r="B714" s="16" t="str">
        <x:v>Amir As-cdq</x:v>
      </x:c>
      <x:c r="C714" s="16" t="str"/>
      <x:c r="D714" s="16" t="str">
        <x:v>* myContacts</x:v>
      </x:c>
      <x:c r="E714" s="16" t="str">
        <x:v>Missing email</x:v>
      </x:c>
    </x:row>
    <x:row r="715">
      <x:c r="A715" s="16" t="n">
        <x:v>728</x:v>
      </x:c>
      <x:c r="B715" s="16" t="str">
        <x:v>Amir Asyraaf Abd Rahman</x:v>
      </x:c>
      <x:c r="C715" s="16" t="str"/>
      <x:c r="D715" s="16" t="str">
        <x:v>* myContacts</x:v>
      </x:c>
      <x:c r="E715" s="16" t="str">
        <x:v>Missing email</x:v>
      </x:c>
    </x:row>
    <x:row r="716">
      <x:c r="A716" s="16" t="n">
        <x:v>729</x:v>
      </x:c>
      <x:c r="B716" s="16" t="str">
        <x:v>Amir Faiz Husaini</x:v>
      </x:c>
      <x:c r="C716" s="16" t="str"/>
      <x:c r="D716" s="16" t="str">
        <x:v>* myContacts</x:v>
      </x:c>
      <x:c r="E716" s="16" t="str">
        <x:v>Missing email</x:v>
      </x:c>
    </x:row>
    <x:row r="717">
      <x:c r="A717" s="16" t="n">
        <x:v>730</x:v>
      </x:c>
      <x:c r="B717" s="16" t="str">
        <x:v>Amir Fakhri Kbbc Practical</x:v>
      </x:c>
      <x:c r="C717" s="16" t="str"/>
      <x:c r="D717" s="16" t="str">
        <x:v>* myContacts</x:v>
      </x:c>
      <x:c r="E717" s="16" t="str">
        <x:v>Missing email</x:v>
      </x:c>
    </x:row>
    <x:row r="718">
      <x:c r="A718" s="16" t="n">
        <x:v>731</x:v>
      </x:c>
      <x:c r="B718" s="16" t="str">
        <x:v>Amir Firdaus</x:v>
      </x:c>
      <x:c r="C718" s="16" t="str"/>
      <x:c r="D718" s="16" t="str">
        <x:v>* myContacts</x:v>
      </x:c>
      <x:c r="E718" s="16" t="str">
        <x:v>Missing email</x:v>
      </x:c>
    </x:row>
    <x:row r="719">
      <x:c r="A719" s="16" t="n">
        <x:v>732</x:v>
      </x:c>
      <x:c r="B719" s="16" t="str">
        <x:v>Amir Hakimi</x:v>
      </x:c>
      <x:c r="C719" s="16" t="str"/>
      <x:c r="D719" s="16" t="str">
        <x:v>* myContacts</x:v>
      </x:c>
      <x:c r="E719" s="16" t="str">
        <x:v>Missing email</x:v>
      </x:c>
    </x:row>
    <x:row r="720">
      <x:c r="A720" s="16" t="n">
        <x:v>733</x:v>
      </x:c>
      <x:c r="B720" s="16" t="str">
        <x:v>Amir Hijrah Selangor</x:v>
      </x:c>
      <x:c r="C720" s="16" t="str"/>
      <x:c r="D720" s="16" t="str">
        <x:v>Alumni eUsahawan | * myContacts</x:v>
      </x:c>
      <x:c r="E720" s="16" t="str">
        <x:v>Missing email</x:v>
      </x:c>
    </x:row>
    <x:row r="721">
      <x:c r="A721" s="16" t="n">
        <x:v>734</x:v>
      </x:c>
      <x:c r="B721" s="16" t="str">
        <x:v>Amir Iqbal Putra</x:v>
      </x:c>
      <x:c r="C721" s="16" t="str"/>
      <x:c r="D721" s="16" t="str">
        <x:v>* myContacts</x:v>
      </x:c>
      <x:c r="E721" s="16" t="str">
        <x:v>Missing email</x:v>
      </x:c>
    </x:row>
    <x:row r="722">
      <x:c r="A722" s="16" t="n">
        <x:v>735</x:v>
      </x:c>
      <x:c r="B722" s="16" t="str">
        <x:v>Amir Izzaty</x:v>
      </x:c>
      <x:c r="C722" s="16" t="str"/>
      <x:c r="D722" s="16" t="str">
        <x:v>* myContacts</x:v>
      </x:c>
      <x:c r="E722" s="16" t="str">
        <x:v>Missing email</x:v>
      </x:c>
    </x:row>
    <x:row r="723">
      <x:c r="A723" s="16" t="n">
        <x:v>736</x:v>
      </x:c>
      <x:c r="B723" s="16" t="str">
        <x:v>Amir Izzuddin Azwan</x:v>
      </x:c>
      <x:c r="C723" s="16" t="str"/>
      <x:c r="D723" s="16" t="str">
        <x:v>* myContacts</x:v>
      </x:c>
      <x:c r="E723" s="16" t="str">
        <x:v>Missing email</x:v>
      </x:c>
    </x:row>
    <x:row r="724">
      <x:c r="A724" s="16" t="n">
        <x:v>737</x:v>
      </x:c>
      <x:c r="B724" s="16" t="str">
        <x:v>Amir Printing Baju</x:v>
      </x:c>
      <x:c r="C724" s="16" t="str"/>
      <x:c r="D724" s="16" t="str">
        <x:v>* myContacts</x:v>
      </x:c>
      <x:c r="E724" s="16" t="str">
        <x:v>Missing email</x:v>
      </x:c>
    </x:row>
    <x:row r="725">
      <x:c r="A725" s="16" t="n">
        <x:v>738</x:v>
      </x:c>
      <x:c r="B725" s="16" t="str">
        <x:v>Amir Ramli</x:v>
      </x:c>
      <x:c r="C725" s="16" t="str"/>
      <x:c r="D725" s="16" t="str">
        <x:v>* myContacts</x:v>
      </x:c>
      <x:c r="E725" s="16" t="str">
        <x:v>Missing email</x:v>
      </x:c>
    </x:row>
    <x:row r="726">
      <x:c r="A726" s="16" t="n">
        <x:v>739</x:v>
      </x:c>
      <x:c r="B726" s="16" t="str">
        <x:v>Amir Ruslan Puzi</x:v>
      </x:c>
      <x:c r="C726" s="16" t="str"/>
      <x:c r="D726" s="16" t="str">
        <x:v>* myContacts</x:v>
      </x:c>
      <x:c r="E726" s="16" t="str">
        <x:v>Missing email</x:v>
      </x:c>
    </x:row>
    <x:row r="727">
      <x:c r="A727" s="16" t="n">
        <x:v>740</x:v>
      </x:c>
      <x:c r="B727" s="16" t="str">
        <x:v>Amira Azhan</x:v>
      </x:c>
      <x:c r="C727" s="16" t="str"/>
      <x:c r="D727" s="16" t="str">
        <x:v>* myContacts</x:v>
      </x:c>
      <x:c r="E727" s="16" t="str">
        <x:v>Missing email</x:v>
      </x:c>
    </x:row>
    <x:row r="728">
      <x:c r="A728" s="16" t="n">
        <x:v>741</x:v>
      </x:c>
      <x:c r="B728" s="16" t="str">
        <x:v>Amira Isteri Sofian</x:v>
      </x:c>
      <x:c r="C728" s="16" t="str"/>
      <x:c r="D728" s="16" t="str">
        <x:v>* myContacts</x:v>
      </x:c>
      <x:c r="E728" s="16" t="str">
        <x:v>Missing email</x:v>
      </x:c>
    </x:row>
    <x:row r="729">
      <x:c r="A729" s="16" t="n">
        <x:v>742</x:v>
      </x:c>
      <x:c r="B729" s="16" t="str">
        <x:v>Amira Omar</x:v>
      </x:c>
      <x:c r="C729" s="16" t="str"/>
      <x:c r="D729" s="16" t="str">
        <x:v>* myContacts</x:v>
      </x:c>
      <x:c r="E729" s="16" t="str">
        <x:v>Missing email</x:v>
      </x:c>
    </x:row>
    <x:row r="730">
      <x:c r="A730" s="16" t="n">
        <x:v>744</x:v>
      </x:c>
      <x:c r="B730" s="16" t="str">
        <x:v>Amirah AB</x:v>
      </x:c>
      <x:c r="C730" s="16" t="str"/>
      <x:c r="D730" s="16" t="str">
        <x:v>* myContacts</x:v>
      </x:c>
      <x:c r="E730" s="16" t="str">
        <x:v>Missing email</x:v>
      </x:c>
    </x:row>
    <x:row r="731">
      <x:c r="A731" s="16" t="n">
        <x:v>745</x:v>
      </x:c>
      <x:c r="B731" s="16" t="str">
        <x:v>Amirah Afiqah</x:v>
      </x:c>
      <x:c r="C731" s="16" t="str"/>
      <x:c r="D731" s="16" t="str">
        <x:v>* myContacts</x:v>
      </x:c>
      <x:c r="E731" s="16" t="str">
        <x:v>Missing email</x:v>
      </x:c>
    </x:row>
    <x:row r="732">
      <x:c r="A732" s="16" t="n">
        <x:v>746</x:v>
      </x:c>
      <x:c r="B732" s="16" t="str">
        <x:v>Amirah Mirah Era</x:v>
      </x:c>
      <x:c r="C732" s="16" t="str"/>
      <x:c r="D732" s="16" t="str">
        <x:v>* myContacts</x:v>
      </x:c>
      <x:c r="E732" s="16" t="str">
        <x:v>Missing email</x:v>
      </x:c>
    </x:row>
    <x:row r="733">
      <x:c r="A733" s="16" t="n">
        <x:v>747</x:v>
      </x:c>
      <x:c r="B733" s="16" t="str">
        <x:v>Amirah Mywin</x:v>
      </x:c>
      <x:c r="C733" s="16" t="str"/>
      <x:c r="D733" s="16" t="str">
        <x:v>* myContacts</x:v>
      </x:c>
      <x:c r="E733" s="16" t="str">
        <x:v>Missing email</x:v>
      </x:c>
    </x:row>
    <x:row r="734">
      <x:c r="A734" s="16" t="n">
        <x:v>748</x:v>
      </x:c>
      <x:c r="B734" s="16" t="str">
        <x:v>Amiramokhtaza Amira</x:v>
      </x:c>
      <x:c r="C734" s="16" t="str"/>
      <x:c r="D734" s="16" t="str">
        <x:v>* myContacts</x:v>
      </x:c>
      <x:c r="E734" s="16" t="str">
        <x:v>Missing email</x:v>
      </x:c>
    </x:row>
    <x:row r="735">
      <x:c r="A735" s="16" t="n">
        <x:v>749</x:v>
      </x:c>
      <x:c r="B735" s="16" t="str">
        <x:v>Amirhamzahjoned Ahj</x:v>
      </x:c>
      <x:c r="C735" s="16" t="str"/>
      <x:c r="D735" s="16" t="str">
        <x:v>* myContacts</x:v>
      </x:c>
      <x:c r="E735" s="16" t="str">
        <x:v>Missing email</x:v>
      </x:c>
    </x:row>
    <x:row r="736">
      <x:c r="A736" s="16" t="n">
        <x:v>750</x:v>
      </x:c>
      <x:c r="B736" s="16" t="str">
        <x:v>amirhaziq</x:v>
      </x:c>
      <x:c r="C736" s="16" t="str"/>
      <x:c r="D736" s="16" t="str">
        <x:v>* myContacts</x:v>
      </x:c>
      <x:c r="E736" s="16" t="str">
        <x:v>Missing email</x:v>
      </x:c>
    </x:row>
    <x:row r="737">
      <x:c r="A737" s="16" t="n">
        <x:v>751</x:v>
      </x:c>
      <x:c r="B737" s="16" t="str">
        <x:v>Amiril Mukminin</x:v>
      </x:c>
      <x:c r="C737" s="16" t="str"/>
      <x:c r="D737" s="16" t="str">
        <x:v>* myContacts</x:v>
      </x:c>
      <x:c r="E737" s="16" t="str">
        <x:v>Missing email</x:v>
      </x:c>
    </x:row>
    <x:row r="738">
      <x:c r="A738" s="16" t="n">
        <x:v>752</x:v>
      </x:c>
      <x:c r="B738" s="16" t="str">
        <x:v>Amirrah Ibrahim</x:v>
      </x:c>
      <x:c r="C738" s="16" t="str"/>
      <x:c r="D738" s="16" t="str">
        <x:v>* myContacts</x:v>
      </x:c>
      <x:c r="E738" s="16" t="str">
        <x:v>Missing email</x:v>
      </x:c>
    </x:row>
    <x:row r="739">
      <x:c r="A739" s="16" t="n">
        <x:v>753</x:v>
      </x:c>
      <x:c r="B739" s="16" t="str">
        <x:v>Amirrudin Jamaludin</x:v>
      </x:c>
      <x:c r="C739" s="16" t="str"/>
      <x:c r="D739" s="16" t="str">
        <x:v>* myContacts</x:v>
      </x:c>
      <x:c r="E739" s="16" t="str">
        <x:v>Missing email</x:v>
      </x:c>
    </x:row>
    <x:row r="740">
      <x:c r="A740" s="16" t="n">
        <x:v>754</x:v>
      </x:c>
      <x:c r="B740" s="16" t="str">
        <x:v>Amiruddin Kamaruddin</x:v>
      </x:c>
      <x:c r="C740" s="16" t="str"/>
      <x:c r="D740" s="16" t="str">
        <x:v>* myContacts</x:v>
      </x:c>
      <x:c r="E740" s="16" t="str">
        <x:v>Missing email</x:v>
      </x:c>
    </x:row>
    <x:row r="741">
      <x:c r="A741" s="16" t="n">
        <x:v>755</x:v>
      </x:c>
      <x:c r="B741" s="16" t="str">
        <x:v>Amiruddin Kamaruddin II</x:v>
      </x:c>
      <x:c r="C741" s="16" t="str"/>
      <x:c r="D741" s="16" t="str">
        <x:v>* myContacts</x:v>
      </x:c>
      <x:c r="E741" s="16" t="str">
        <x:v>Missing email</x:v>
      </x:c>
    </x:row>
    <x:row r="742">
      <x:c r="A742" s="16" t="n">
        <x:v>756</x:v>
      </x:c>
      <x:c r="B742" s="16" t="str">
        <x:v>Amiruddin Mat Noor</x:v>
      </x:c>
      <x:c r="C742" s="16" t="str"/>
      <x:c r="D742" s="16" t="str">
        <x:v>* myContacts</x:v>
      </x:c>
      <x:c r="E742" s="16" t="str">
        <x:v>Missing email</x:v>
      </x:c>
    </x:row>
    <x:row r="743">
      <x:c r="A743" s="16" t="n">
        <x:v>757</x:v>
      </x:c>
      <x:c r="B743" s="16" t="str">
        <x:v>Amirul Abdullah</x:v>
      </x:c>
      <x:c r="C743" s="16" t="str"/>
      <x:c r="D743" s="16" t="str">
        <x:v>* myContacts</x:v>
      </x:c>
      <x:c r="E743" s="16" t="str">
        <x:v>Missing email</x:v>
      </x:c>
    </x:row>
    <x:row r="744">
      <x:c r="A744" s="16" t="n">
        <x:v>758</x:v>
      </x:c>
      <x:c r="B744" s="16" t="str">
        <x:v>Amirul Akmal Muay Thai</x:v>
      </x:c>
      <x:c r="C744" s="16" t="str"/>
      <x:c r="D744" s="16" t="str">
        <x:v>* myContacts</x:v>
      </x:c>
      <x:c r="E744" s="16" t="str">
        <x:v>Missing email</x:v>
      </x:c>
    </x:row>
    <x:row r="745">
      <x:c r="A745" s="16" t="n">
        <x:v>759</x:v>
      </x:c>
      <x:c r="B745" s="16" t="str">
        <x:v>Amirul Amin</x:v>
      </x:c>
      <x:c r="C745" s="16" t="str"/>
      <x:c r="D745" s="16" t="str">
        <x:v>* myContacts</x:v>
      </x:c>
      <x:c r="E745" s="16" t="str">
        <x:v>Missing email</x:v>
      </x:c>
    </x:row>
    <x:row r="746">
      <x:c r="A746" s="16" t="n">
        <x:v>760</x:v>
      </x:c>
      <x:c r="B746" s="16" t="str">
        <x:v>Amirul Arif Nadzory</x:v>
      </x:c>
      <x:c r="C746" s="16" t="str"/>
      <x:c r="D746" s="16" t="str">
        <x:v>* myContacts</x:v>
      </x:c>
      <x:c r="E746" s="16" t="str">
        <x:v>Missing email</x:v>
      </x:c>
    </x:row>
    <x:row r="747">
      <x:c r="A747" s="16" t="n">
        <x:v>761</x:v>
      </x:c>
      <x:c r="B747" s="16" t="str">
        <x:v>Amirul Arif Nadzory II</x:v>
      </x:c>
      <x:c r="C747" s="16" t="str"/>
      <x:c r="D747" s="16" t="str">
        <x:v>* myContacts</x:v>
      </x:c>
      <x:c r="E747" s="16" t="str">
        <x:v>Missing email</x:v>
      </x:c>
    </x:row>
    <x:row r="748">
      <x:c r="A748" s="16" t="n">
        <x:v>762</x:v>
      </x:c>
      <x:c r="B748" s="16" t="str">
        <x:v>Amirul Ashraf Mazlan</x:v>
      </x:c>
      <x:c r="C748" s="16" t="str"/>
      <x:c r="D748" s="16" t="str">
        <x:v>* myContacts</x:v>
      </x:c>
      <x:c r="E748" s="16" t="str">
        <x:v>Missing email</x:v>
      </x:c>
    </x:row>
    <x:row r="749">
      <x:c r="A749" s="16" t="n">
        <x:v>763</x:v>
      </x:c>
      <x:c r="B749" s="16" t="str">
        <x:v>Amirul Asyraf</x:v>
      </x:c>
      <x:c r="C749" s="16" t="str"/>
      <x:c r="D749" s="16" t="str">
        <x:v>* myContacts</x:v>
      </x:c>
      <x:c r="E749" s="16" t="str">
        <x:v>Missing email</x:v>
      </x:c>
    </x:row>
    <x:row r="750">
      <x:c r="A750" s="16" t="n">
        <x:v>764</x:v>
      </x:c>
      <x:c r="B750" s="16" t="str">
        <x:v>Amirul Aziz II</x:v>
      </x:c>
      <x:c r="C750" s="16" t="str"/>
      <x:c r="D750" s="16" t="str">
        <x:v>* myContacts</x:v>
      </x:c>
      <x:c r="E750" s="16" t="str">
        <x:v>Missing email</x:v>
      </x:c>
    </x:row>
    <x:row r="751">
      <x:c r="A751" s="16" t="n">
        <x:v>765</x:v>
      </x:c>
      <x:c r="B751" s="16" t="str">
        <x:v>Amirul Fadhlan</x:v>
      </x:c>
      <x:c r="C751" s="16" t="str"/>
      <x:c r="D751" s="16" t="str">
        <x:v>* myContacts</x:v>
      </x:c>
      <x:c r="E751" s="16" t="str">
        <x:v>Missing email</x:v>
      </x:c>
    </x:row>
    <x:row r="752">
      <x:c r="A752" s="16" t="n">
        <x:v>766</x:v>
      </x:c>
      <x:c r="B752" s="16" t="str">
        <x:v>Amirul Firdaus</x:v>
      </x:c>
      <x:c r="C752" s="16" t="str"/>
      <x:c r="D752" s="16" t="str">
        <x:v>* myContacts</x:v>
      </x:c>
      <x:c r="E752" s="16" t="str">
        <x:v>Missing email</x:v>
      </x:c>
    </x:row>
    <x:row r="753">
      <x:c r="A753" s="16" t="n">
        <x:v>767</x:v>
      </x:c>
      <x:c r="B753" s="16" t="str">
        <x:v>Amirul Hafiq sewa kereta langkawi</x:v>
      </x:c>
      <x:c r="C753" s="16" t="str"/>
      <x:c r="D753" s="16" t="str">
        <x:v>* myContacts</x:v>
      </x:c>
      <x:c r="E753" s="16" t="str">
        <x:v>Missing email</x:v>
      </x:c>
    </x:row>
    <x:row r="754">
      <x:c r="A754" s="16" t="n">
        <x:v>768</x:v>
      </x:c>
      <x:c r="B754" s="16" t="str">
        <x:v>Amirul Haidi</x:v>
      </x:c>
      <x:c r="C754" s="16" t="str"/>
      <x:c r="D754" s="16" t="str">
        <x:v>* myContacts</x:v>
      </x:c>
      <x:c r="E754" s="16" t="str">
        <x:v>Missing email</x:v>
      </x:c>
    </x:row>
    <x:row r="755">
      <x:c r="A755" s="16" t="n">
        <x:v>769</x:v>
      </x:c>
      <x:c r="B755" s="16" t="str">
        <x:v>Amirul Izhar Ahmad Shahime</x:v>
      </x:c>
      <x:c r="C755" s="16" t="str"/>
      <x:c r="D755" s="16" t="str">
        <x:v>* myContacts</x:v>
      </x:c>
      <x:c r="E755" s="16" t="str">
        <x:v>Missing email</x:v>
      </x:c>
    </x:row>
    <x:row r="756">
      <x:c r="A756" s="16" t="n">
        <x:v>770</x:v>
      </x:c>
      <x:c r="B756" s="16" t="str">
        <x:v>Amirul Naim</x:v>
      </x:c>
      <x:c r="C756" s="16" t="str"/>
      <x:c r="D756" s="16" t="str">
        <x:v>* myContacts</x:v>
      </x:c>
      <x:c r="E756" s="16" t="str">
        <x:v>Missing email</x:v>
      </x:c>
    </x:row>
    <x:row r="757">
      <x:c r="A757" s="16" t="n">
        <x:v>771</x:v>
      </x:c>
      <x:c r="B757" s="16" t="str">
        <x:v>Amirul Oh Yeah</x:v>
      </x:c>
      <x:c r="C757" s="16" t="str"/>
      <x:c r="D757" s="16" t="str">
        <x:v>* myContacts</x:v>
      </x:c>
      <x:c r="E757" s="16" t="str">
        <x:v>Missing email</x:v>
      </x:c>
    </x:row>
    <x:row r="758">
      <x:c r="A758" s="16" t="n">
        <x:v>772</x:v>
      </x:c>
      <x:c r="B758" s="16" t="str">
        <x:v>Amirul Rushaidi</x:v>
      </x:c>
      <x:c r="C758" s="16" t="str"/>
      <x:c r="D758" s="16" t="str">
        <x:v>* myContacts</x:v>
      </x:c>
      <x:c r="E758" s="16" t="str">
        <x:v>Missing email</x:v>
      </x:c>
    </x:row>
    <x:row r="759">
      <x:c r="A759" s="16" t="n">
        <x:v>773</x:v>
      </x:c>
      <x:c r="B759" s="16" t="str">
        <x:v>Amirul Solahuddin Associate COSEC Office</x:v>
      </x:c>
      <x:c r="C759" s="16" t="str"/>
      <x:c r="D759" s="16" t="str">
        <x:v>* myContacts</x:v>
      </x:c>
      <x:c r="E759" s="16" t="str">
        <x:v>Missing email</x:v>
      </x:c>
    </x:row>
    <x:row r="760">
      <x:c r="A760" s="16" t="n">
        <x:v>774</x:v>
      </x:c>
      <x:c r="B760" s="16" t="str">
        <x:v>Amirul Syafiq</x:v>
      </x:c>
      <x:c r="C760" s="16" t="str"/>
      <x:c r="D760" s="16" t="str">
        <x:v>* myContacts</x:v>
      </x:c>
      <x:c r="E760" s="16" t="str">
        <x:v>Missing email</x:v>
      </x:c>
    </x:row>
    <x:row r="761">
      <x:c r="A761" s="16" t="n">
        <x:v>775</x:v>
      </x:c>
      <x:c r="B761" s="16" t="str">
        <x:v>Amirul Syahmi Yon</x:v>
      </x:c>
      <x:c r="C761" s="16" t="str"/>
      <x:c r="D761" s="16" t="str">
        <x:v>* myContacts</x:v>
      </x:c>
      <x:c r="E761" s="16" t="str">
        <x:v>Missing email</x:v>
      </x:c>
    </x:row>
    <x:row r="762">
      <x:c r="A762" s="16" t="n">
        <x:v>776</x:v>
      </x:c>
      <x:c r="B762" s="16" t="str">
        <x:v>Amirul Wiring</x:v>
      </x:c>
      <x:c r="C762" s="16" t="str"/>
      <x:c r="D762" s="16" t="str">
        <x:v>* myContacts</x:v>
      </x:c>
      <x:c r="E762" s="16" t="str">
        <x:v>Missing email</x:v>
      </x:c>
    </x:row>
    <x:row r="763">
      <x:c r="A763" s="16" t="n">
        <x:v>777</x:v>
      </x:c>
      <x:c r="B763" s="16" t="str">
        <x:v>Amirul Yusof Solahuddin</x:v>
      </x:c>
      <x:c r="C763" s="16" t="str"/>
      <x:c r="D763" s="16" t="str">
        <x:v>* myContacts</x:v>
      </x:c>
      <x:c r="E763" s="16" t="str">
        <x:v>Missing email</x:v>
      </x:c>
    </x:row>
    <x:row r="764">
      <x:c r="A764" s="16" t="n">
        <x:v>778</x:v>
      </x:c>
      <x:c r="B764" s="16" t="str">
        <x:v>Amirul Zikri</x:v>
      </x:c>
      <x:c r="C764" s="16" t="str"/>
      <x:c r="D764" s="16" t="str">
        <x:v>* myContacts</x:v>
      </x:c>
      <x:c r="E764" s="16" t="str">
        <x:v>Missing email</x:v>
      </x:c>
    </x:row>
    <x:row r="765">
      <x:c r="A765" s="16" t="n">
        <x:v>779</x:v>
      </x:c>
      <x:c r="B765" s="16" t="str">
        <x:v>Amirul Zulkefli</x:v>
      </x:c>
      <x:c r="C765" s="16" t="str"/>
      <x:c r="D765" s="16" t="str">
        <x:v>* myContacts</x:v>
      </x:c>
      <x:c r="E765" s="16" t="str">
        <x:v>Missing email</x:v>
      </x:c>
    </x:row>
    <x:row r="766">
      <x:c r="A766" s="16" t="n">
        <x:v>780</x:v>
      </x:c>
      <x:c r="B766" s="16" t="str">
        <x:v>Amit Bhalla</x:v>
      </x:c>
      <x:c r="C766" s="16" t="str"/>
      <x:c r="D766" s="16" t="str">
        <x:v>* myContacts</x:v>
      </x:c>
      <x:c r="E766" s="16" t="str">
        <x:v>Missing email</x:v>
      </x:c>
    </x:row>
    <x:row r="767">
      <x:c r="A767" s="16" t="n">
        <x:v>781</x:v>
      </x:c>
      <x:c r="B767" s="16" t="str">
        <x:v>Ammar Hapiq</x:v>
      </x:c>
      <x:c r="C767" s="16" t="str"/>
      <x:c r="D767" s="16" t="str">
        <x:v>* myContacts</x:v>
      </x:c>
      <x:c r="E767" s="16" t="str">
        <x:v>Missing email</x:v>
      </x:c>
    </x:row>
    <x:row r="768">
      <x:c r="A768" s="16" t="n">
        <x:v>782</x:v>
      </x:c>
      <x:c r="B768" s="16" t="str">
        <x:v>Ammar Rabbani</x:v>
      </x:c>
      <x:c r="C768" s="16" t="str"/>
      <x:c r="D768" s="16" t="str">
        <x:v>* myContacts</x:v>
      </x:c>
      <x:c r="E768" s="16" t="str">
        <x:v>Missing email</x:v>
      </x:c>
    </x:row>
    <x:row r="769">
      <x:c r="A769" s="16" t="n">
        <x:v>783</x:v>
      </x:c>
      <x:c r="B769" s="16" t="str">
        <x:v>Ammar Rahim</x:v>
      </x:c>
      <x:c r="C769" s="16" t="str"/>
      <x:c r="D769" s="16" t="str">
        <x:v>* myContacts</x:v>
      </x:c>
      <x:c r="E769" s="16" t="str">
        <x:v>Missing email</x:v>
      </x:c>
    </x:row>
    <x:row r="770">
      <x:c r="A770" s="16" t="n">
        <x:v>784</x:v>
      </x:c>
      <x:c r="B770" s="16" t="str">
        <x:v>Amnah Mohamad</x:v>
      </x:c>
      <x:c r="C770" s="16" t="str"/>
      <x:c r="D770" s="16" t="str">
        <x:v>* myContacts</x:v>
      </x:c>
      <x:c r="E770" s="16" t="str">
        <x:v>Missing email</x:v>
      </x:c>
    </x:row>
    <x:row r="771">
      <x:c r="A771" s="16" t="n">
        <x:v>785</x:v>
      </x:c>
      <x:c r="B771" s="16" t="str">
        <x:v>Amni Nasuha</x:v>
      </x:c>
      <x:c r="C771" s="16" t="str"/>
      <x:c r="D771" s="16" t="str">
        <x:v>* myContacts</x:v>
      </x:c>
      <x:c r="E771" s="16" t="str">
        <x:v>Missing email</x:v>
      </x:c>
    </x:row>
    <x:row r="772">
      <x:c r="A772" s="16" t="n">
        <x:v>786</x:v>
      </x:c>
      <x:c r="B772" s="16" t="str">
        <x:v>Amoy Hydah</x:v>
      </x:c>
      <x:c r="C772" s="16" t="str"/>
      <x:c r="D772" s="16" t="str">
        <x:v>* myContacts</x:v>
      </x:c>
      <x:c r="E772" s="16" t="str">
        <x:v>Missing email</x:v>
      </x:c>
    </x:row>
    <x:row r="773">
      <x:c r="A773" s="16" t="n">
        <x:v>787</x:v>
      </x:c>
      <x:c r="B773" s="16" t="str">
        <x:v>AMP</x:v>
      </x:c>
      <x:c r="C773" s="16" t="str"/>
      <x:c r="D773" s="16" t="str">
        <x:v>* myContacts</x:v>
      </x:c>
      <x:c r="E773" s="16" t="str">
        <x:v>Missing email</x:v>
      </x:c>
    </x:row>
    <x:row r="774">
      <x:c r="A774" s="16" t="n">
        <x:v>788</x:v>
      </x:c>
      <x:c r="B774" s="16" t="str">
        <x:v>Ampong Lang</x:v>
      </x:c>
      <x:c r="C774" s="16" t="str"/>
      <x:c r="D774" s="16" t="str">
        <x:v>* myContacts</x:v>
      </x:c>
      <x:c r="E774" s="16" t="str">
        <x:v>Missing email</x:v>
      </x:c>
    </x:row>
    <x:row r="775">
      <x:c r="A775" s="16" t="n">
        <x:v>789</x:v>
      </x:c>
      <x:c r="B775" s="16" t="str">
        <x:v>Amran Ab Ghani</x:v>
      </x:c>
      <x:c r="C775" s="16" t="str"/>
      <x:c r="D775" s="16" t="str">
        <x:v>* myContacts</x:v>
      </x:c>
      <x:c r="E775" s="16" t="str">
        <x:v>Missing email</x:v>
      </x:c>
    </x:row>
    <x:row r="776">
      <x:c r="A776" s="16" t="n">
        <x:v>790</x:v>
      </x:c>
      <x:c r="B776" s="16" t="str">
        <x:v>Amran Bin Kanin Iemran</x:v>
      </x:c>
      <x:c r="C776" s="16" t="str"/>
      <x:c r="D776" s="16" t="str">
        <x:v>* myContacts</x:v>
      </x:c>
      <x:c r="E776" s="16" t="str">
        <x:v>Missing email</x:v>
      </x:c>
    </x:row>
    <x:row r="777">
      <x:c r="A777" s="16" t="n">
        <x:v>792</x:v>
      </x:c>
      <x:c r="B777" s="16" t="str">
        <x:v>Amri Unyil</x:v>
      </x:c>
      <x:c r="C777" s="16" t="str"/>
      <x:c r="D777" s="16" t="str">
        <x:v>* myContacts</x:v>
      </x:c>
      <x:c r="E777" s="16" t="str">
        <x:v>Missing email</x:v>
      </x:c>
    </x:row>
    <x:row r="778">
      <x:c r="A778" s="16" t="n">
        <x:v>793</x:v>
      </x:c>
      <x:c r="B778" s="16" t="str">
        <x:v>Amrina Rashida</x:v>
      </x:c>
      <x:c r="C778" s="16" t="str"/>
      <x:c r="D778" s="16" t="str">
        <x:v>* myContacts</x:v>
      </x:c>
      <x:c r="E778" s="16" t="str">
        <x:v>Missing email</x:v>
      </x:c>
    </x:row>
    <x:row r="779">
      <x:c r="A779" s="16" t="n">
        <x:v>794</x:v>
      </x:c>
      <x:c r="B779" s="16" t="str">
        <x:v>Amutha AGP</x:v>
      </x:c>
      <x:c r="C779" s="16" t="str"/>
      <x:c r="D779" s="16" t="str">
        <x:v>* myContacts</x:v>
      </x:c>
      <x:c r="E779" s="16" t="str">
        <x:v>Missing email</x:v>
      </x:c>
    </x:row>
    <x:row r="780">
      <x:c r="A780" s="16" t="n">
        <x:v>795</x:v>
      </x:c>
      <x:c r="B780" s="16" t="str">
        <x:v>Amy Amy</x:v>
      </x:c>
      <x:c r="C780" s="16" t="str"/>
      <x:c r="D780" s="16" t="str">
        <x:v>* myContacts</x:v>
      </x:c>
      <x:c r="E780" s="16" t="str">
        <x:v>Missing email</x:v>
      </x:c>
    </x:row>
    <x:row r="781">
      <x:c r="A781" s="16" t="n">
        <x:v>796</x:v>
      </x:c>
      <x:c r="B781" s="16" t="str">
        <x:v>Amy Ayu</x:v>
      </x:c>
      <x:c r="C781" s="16" t="str"/>
      <x:c r="D781" s="16" t="str">
        <x:v>* myContacts</x:v>
      </x:c>
      <x:c r="E781" s="16" t="str">
        <x:v>Missing email</x:v>
      </x:c>
    </x:row>
    <x:row r="782">
      <x:c r="A782" s="16" t="n">
        <x:v>797</x:v>
      </x:c>
      <x:c r="B782" s="16" t="str">
        <x:v>Amy Azeanty Aziz</x:v>
      </x:c>
      <x:c r="C782" s="16" t="str"/>
      <x:c r="D782" s="16" t="str">
        <x:v>* myContacts</x:v>
      </x:c>
      <x:c r="E782" s="16" t="str">
        <x:v>Missing email</x:v>
      </x:c>
    </x:row>
    <x:row r="783">
      <x:c r="A783" s="16" t="n">
        <x:v>798</x:v>
      </x:c>
      <x:c r="B783" s="16" t="str">
        <x:v>Amy Azie</x:v>
      </x:c>
      <x:c r="C783" s="16" t="str"/>
      <x:c r="D783" s="16" t="str">
        <x:v>* myContacts</x:v>
      </x:c>
      <x:c r="E783" s="16" t="str">
        <x:v>Missing email</x:v>
      </x:c>
    </x:row>
    <x:row r="784">
      <x:c r="A784" s="16" t="n">
        <x:v>799</x:v>
      </x:c>
      <x:c r="B784" s="16" t="str">
        <x:v>Amy Emilda Shoshonis</x:v>
      </x:c>
      <x:c r="C784" s="16" t="str"/>
      <x:c r="D784" s="16" t="str">
        <x:v>* myContacts</x:v>
      </x:c>
      <x:c r="E784" s="16" t="str">
        <x:v>Missing email</x:v>
      </x:c>
    </x:row>
    <x:row r="785">
      <x:c r="A785" s="16" t="n">
        <x:v>800</x:v>
      </x:c>
      <x:c r="B785" s="16" t="str">
        <x:v>Amy Hasmieza</x:v>
      </x:c>
      <x:c r="C785" s="16" t="str"/>
      <x:c r="D785" s="16" t="str">
        <x:v>* myContacts</x:v>
      </x:c>
      <x:c r="E785" s="16" t="str">
        <x:v>Missing email</x:v>
      </x:c>
    </x:row>
    <x:row r="786">
      <x:c r="A786" s="16" t="n">
        <x:v>801</x:v>
      </x:c>
      <x:c r="B786" s="16" t="str">
        <x:v>Amy Musa</x:v>
      </x:c>
      <x:c r="C786" s="16" t="str"/>
      <x:c r="D786" s="16" t="str">
        <x:v>* myContacts</x:v>
      </x:c>
      <x:c r="E786" s="16" t="str">
        <x:v>Missing email</x:v>
      </x:c>
    </x:row>
    <x:row r="787">
      <x:c r="A787" s="16" t="n">
        <x:v>802</x:v>
      </x:c>
      <x:c r="B787" s="16" t="str">
        <x:v>Amy Nuar</x:v>
      </x:c>
      <x:c r="C787" s="16" t="str"/>
      <x:c r="D787" s="16" t="str">
        <x:v>* myContacts</x:v>
      </x:c>
      <x:c r="E787" s="16" t="str">
        <x:v>Missing email</x:v>
      </x:c>
    </x:row>
    <x:row r="788">
      <x:c r="A788" s="16" t="n">
        <x:v>803</x:v>
      </x:c>
      <x:c r="B788" s="16" t="str">
        <x:v>Amyliena Abdullah</x:v>
      </x:c>
      <x:c r="C788" s="16" t="str"/>
      <x:c r="D788" s="16" t="str">
        <x:v>* myContacts</x:v>
      </x:c>
      <x:c r="E788" s="16" t="str">
        <x:v>Missing email</x:v>
      </x:c>
    </x:row>
    <x:row r="789">
      <x:c r="A789" s="16" t="n">
        <x:v>804</x:v>
      </x:c>
      <x:c r="B789" s="16" t="str">
        <x:v>Amyr Shaja</x:v>
      </x:c>
      <x:c r="C789" s="16" t="str"/>
      <x:c r="D789" s="16" t="str">
        <x:v>* myContacts</x:v>
      </x:c>
      <x:c r="E789" s="16" t="str">
        <x:v>Missing email</x:v>
      </x:c>
    </x:row>
    <x:row r="790">
      <x:c r="A790" s="16" t="n">
        <x:v>805</x:v>
      </x:c>
      <x:c r="B790" s="16" t="str">
        <x:v>Amzari Zamri</x:v>
      </x:c>
      <x:c r="C790" s="16" t="str"/>
      <x:c r="D790" s="16" t="str">
        <x:v>* myContacts</x:v>
      </x:c>
      <x:c r="E790" s="16" t="str">
        <x:v>Missing email</x:v>
      </x:c>
    </x:row>
    <x:row r="791">
      <x:c r="A791" s="16" t="n">
        <x:v>806</x:v>
      </x:c>
      <x:c r="B791" s="16" t="str">
        <x:v>An Anisah</x:v>
      </x:c>
      <x:c r="C791" s="16" t="str"/>
      <x:c r="D791" s="16" t="str">
        <x:v>* myContacts</x:v>
      </x:c>
      <x:c r="E791" s="16" t="str">
        <x:v>Missing email</x:v>
      </x:c>
    </x:row>
    <x:row r="792">
      <x:c r="A792" s="16" t="n">
        <x:v>807</x:v>
      </x:c>
      <x:c r="B792" s="16" t="str">
        <x:v>Ana Amynahilhamku</x:v>
      </x:c>
      <x:c r="C792" s="16" t="str"/>
      <x:c r="D792" s="16" t="str">
        <x:v>* myContacts</x:v>
      </x:c>
      <x:c r="E792" s="16" t="str">
        <x:v>Missing email</x:v>
      </x:c>
    </x:row>
    <x:row r="793">
      <x:c r="A793" s="16" t="n">
        <x:v>808</x:v>
      </x:c>
      <x:c r="B793" s="16" t="str">
        <x:v>Ana Farhana</x:v>
      </x:c>
      <x:c r="C793" s="16" t="str"/>
      <x:c r="D793" s="16" t="str">
        <x:v>* myContacts</x:v>
      </x:c>
      <x:c r="E793" s="16" t="str">
        <x:v>Missing email</x:v>
      </x:c>
    </x:row>
    <x:row r="794">
      <x:c r="A794" s="16" t="n">
        <x:v>809</x:v>
      </x:c>
      <x:c r="B794" s="16" t="str">
        <x:v>Ana Jusni</x:v>
      </x:c>
      <x:c r="C794" s="16" t="str"/>
      <x:c r="D794" s="16" t="str">
        <x:v>* myContacts</x:v>
      </x:c>
      <x:c r="E794" s="16" t="str">
        <x:v>Missing email</x:v>
      </x:c>
    </x:row>
    <x:row r="795">
      <x:c r="A795" s="16" t="n">
        <x:v>810</x:v>
      </x:c>
      <x:c r="B795" s="16" t="str">
        <x:v>Ana Nur Hana</x:v>
      </x:c>
      <x:c r="C795" s="16" t="str"/>
      <x:c r="D795" s="16" t="str">
        <x:v>* myContacts</x:v>
      </x:c>
      <x:c r="E795" s="16" t="str">
        <x:v>Missing email</x:v>
      </x:c>
    </x:row>
    <x:row r="796">
      <x:c r="A796" s="16" t="n">
        <x:v>811</x:v>
      </x:c>
      <x:c r="B796" s="16" t="str">
        <x:v>Ana Suhana</x:v>
      </x:c>
      <x:c r="C796" s="16" t="str"/>
      <x:c r="D796" s="16" t="str">
        <x:v>* myContacts</x:v>
      </x:c>
      <x:c r="E796" s="16" t="str">
        <x:v>Missing email</x:v>
      </x:c>
    </x:row>
    <x:row r="797">
      <x:c r="A797" s="16" t="n">
        <x:v>812</x:v>
      </x:c>
      <x:c r="B797" s="16" t="str">
        <x:v>Ana Suryani</x:v>
      </x:c>
      <x:c r="C797" s="16" t="str"/>
      <x:c r="D797" s="16" t="str">
        <x:v>* myContacts</x:v>
      </x:c>
      <x:c r="E797" s="16" t="str">
        <x:v>Missing email</x:v>
      </x:c>
    </x:row>
    <x:row r="798">
      <x:c r="A798" s="16" t="n">
        <x:v>813</x:v>
      </x:c>
      <x:c r="B798" s="16" t="str">
        <x:v>Anafi Copler Stell Enjhoy</x:v>
      </x:c>
      <x:c r="C798" s="16" t="str"/>
      <x:c r="D798" s="16" t="str">
        <x:v>* myContacts</x:v>
      </x:c>
      <x:c r="E798" s="16" t="str">
        <x:v>Missing email</x:v>
      </x:c>
    </x:row>
    <x:row r="799">
      <x:c r="A799" s="16" t="n">
        <x:v>814</x:v>
      </x:c>
      <x:c r="B799" s="16" t="str">
        <x:v>Anak Alang Fizlah Amoi</x:v>
      </x:c>
      <x:c r="C799" s="16" t="str"/>
      <x:c r="D799" s="16" t="str">
        <x:v>* myContacts</x:v>
      </x:c>
      <x:c r="E799" s="16" t="str">
        <x:v>Missing email</x:v>
      </x:c>
    </x:row>
    <x:row r="800">
      <x:c r="A800" s="16" t="n">
        <x:v>815</x:v>
      </x:c>
      <x:c r="B800" s="16" t="str">
        <x:v>anak en azmi</x:v>
      </x:c>
      <x:c r="C800" s="16" t="str"/>
      <x:c r="D800" s="16" t="str">
        <x:v>* myContacts</x:v>
      </x:c>
      <x:c r="E800" s="16" t="str">
        <x:v>Missing email</x:v>
      </x:c>
    </x:row>
    <x:row r="801">
      <x:c r="A801" s="16" t="n">
        <x:v>816</x:v>
      </x:c>
      <x:c r="B801" s="16" t="str">
        <x:v>Anak Salim Abas</x:v>
      </x:c>
      <x:c r="C801" s="16" t="str"/>
      <x:c r="D801" s="16" t="str">
        <x:v>* myContacts</x:v>
      </x:c>
      <x:c r="E801" s="16" t="str">
        <x:v>Missing email</x:v>
      </x:c>
    </x:row>
    <x:row r="802">
      <x:c r="A802" s="16" t="n">
        <x:v>817</x:v>
      </x:c>
      <x:c r="B802" s="16" t="str">
        <x:v>Anam Muhammad Khairul</x:v>
      </x:c>
      <x:c r="C802" s="16" t="str"/>
      <x:c r="D802" s="16" t="str">
        <x:v>* myContacts</x:v>
      </x:c>
      <x:c r="E802" s="16" t="str">
        <x:v>Missing email</x:v>
      </x:c>
    </x:row>
    <x:row r="803">
      <x:c r="A803" s="16" t="n">
        <x:v>818</x:v>
      </x:c>
      <x:c r="B803" s="16" t="str">
        <x:v>Anam Sifu Website</x:v>
      </x:c>
      <x:c r="C803" s="16" t="str"/>
      <x:c r="D803" s="16" t="str">
        <x:v>* myContacts</x:v>
      </x:c>
      <x:c r="E803" s="16" t="str">
        <x:v>Missing email</x:v>
      </x:c>
    </x:row>
    <x:row r="804">
      <x:c r="A804" s="16" t="n">
        <x:v>819</x:v>
      </x:c>
      <x:c r="B804" s="16" t="str">
        <x:v>Anarie Fianni</x:v>
      </x:c>
      <x:c r="C804" s="16" t="str"/>
      <x:c r="D804" s="16" t="str">
        <x:v>* myContacts</x:v>
      </x:c>
      <x:c r="E804" s="16" t="str">
        <x:v>Missing email</x:v>
      </x:c>
    </x:row>
    <x:row r="805">
      <x:c r="A805" s="16" t="n">
        <x:v>820</x:v>
      </x:c>
      <x:c r="B805" s="16" t="str">
        <x:v>Anas Agent Essens Jb</x:v>
      </x:c>
      <x:c r="C805" s="16" t="str"/>
      <x:c r="D805" s="16" t="str">
        <x:v>* myContacts</x:v>
      </x:c>
      <x:c r="E805" s="16" t="str">
        <x:v>Missing email</x:v>
      </x:c>
    </x:row>
    <x:row r="806">
      <x:c r="A806" s="16" t="n">
        <x:v>821</x:v>
      </x:c>
      <x:c r="B806" s="16" t="str">
        <x:v>Anas anak ACIK AMIN</x:v>
      </x:c>
      <x:c r="C806" s="16" t="str"/>
      <x:c r="D806" s="16" t="str">
        <x:v>* myContacts</x:v>
      </x:c>
      <x:c r="E806" s="16" t="str">
        <x:v>Missing email</x:v>
      </x:c>
    </x:row>
    <x:row r="807">
      <x:c r="A807" s="16" t="n">
        <x:v>822</x:v>
      </x:c>
      <x:c r="B807" s="16" t="str">
        <x:v>Anas kawan zakwan</x:v>
      </x:c>
      <x:c r="C807" s="16" t="str"/>
      <x:c r="D807" s="16" t="str">
        <x:v>* myContacts</x:v>
      </x:c>
      <x:c r="E807" s="16" t="str">
        <x:v>Missing email</x:v>
      </x:c>
    </x:row>
    <x:row r="808">
      <x:c r="A808" s="16" t="n">
        <x:v>823</x:v>
      </x:c>
      <x:c r="B808" s="16" t="str">
        <x:v>ANAS mok²</x:v>
      </x:c>
      <x:c r="C808" s="16" t="str"/>
      <x:c r="D808" s="16" t="str">
        <x:v>* myContacts</x:v>
      </x:c>
      <x:c r="E808" s="16" t="str">
        <x:v>Missing email</x:v>
      </x:c>
    </x:row>
    <x:row r="809">
      <x:c r="A809" s="16" t="n">
        <x:v>824</x:v>
      </x:c>
      <x:c r="B809" s="16" t="str">
        <x:v>AnasTacia AmaniAfrina</x:v>
      </x:c>
      <x:c r="C809" s="16" t="str"/>
      <x:c r="D809" s="16" t="str">
        <x:v>* myContacts</x:v>
      </x:c>
      <x:c r="E809" s="16" t="str">
        <x:v>Missing email</x:v>
      </x:c>
    </x:row>
    <x:row r="810">
      <x:c r="A810" s="16" t="n">
        <x:v>825</x:v>
      </x:c>
      <x:c r="B810" s="16" t="str">
        <x:v>Andankuso Mak Jga</x:v>
      </x:c>
      <x:c r="C810" s="16" t="str"/>
      <x:c r="D810" s="16" t="str">
        <x:v>* myContacts</x:v>
      </x:c>
      <x:c r="E810" s="16" t="str">
        <x:v>Missing email</x:v>
      </x:c>
    </x:row>
    <x:row r="811">
      <x:c r="A811" s="16" t="n">
        <x:v>826</x:v>
      </x:c>
      <x:c r="B811" s="16" t="str">
        <x:v>Anderson Andy</x:v>
      </x:c>
      <x:c r="C811" s="16" t="str"/>
      <x:c r="D811" s="16" t="str">
        <x:v>* myContacts</x:v>
      </x:c>
      <x:c r="E811" s="16" t="str">
        <x:v>Missing email</x:v>
      </x:c>
    </x:row>
    <x:row r="812">
      <x:c r="A812" s="16" t="n">
        <x:v>827</x:v>
      </x:c>
      <x:c r="B812" s="16" t="str">
        <x:v>Andi</x:v>
      </x:c>
      <x:c r="C812" s="16" t="str"/>
      <x:c r="D812" s="16" t="str">
        <x:v>* myContacts</x:v>
      </x:c>
      <x:c r="E812" s="16" t="str">
        <x:v>Missing email</x:v>
      </x:c>
    </x:row>
    <x:row r="813">
      <x:c r="A813" s="16" t="n">
        <x:v>828</x:v>
      </x:c>
      <x:c r="B813" s="16" t="str">
        <x:v>Andi Bandot</x:v>
      </x:c>
      <x:c r="C813" s="16" t="str"/>
      <x:c r="D813" s="16" t="str">
        <x:v>* myContacts</x:v>
      </x:c>
      <x:c r="E813" s="16" t="str">
        <x:v>Missing email</x:v>
      </x:c>
    </x:row>
    <x:row r="814">
      <x:c r="A814" s="16" t="n">
        <x:v>829</x:v>
      </x:c>
      <x:c r="B814" s="16" t="str">
        <x:v>Andi Ferra Daeng'Bani</x:v>
      </x:c>
      <x:c r="C814" s="16" t="str"/>
      <x:c r="D814" s="16" t="str">
        <x:v>* myContacts</x:v>
      </x:c>
      <x:c r="E814" s="16" t="str">
        <x:v>Missing email</x:v>
      </x:c>
    </x:row>
    <x:row r="815">
      <x:c r="A815" s="16" t="n">
        <x:v>830</x:v>
      </x:c>
      <x:c r="B815" s="16" t="str">
        <x:v>Andi Nazri COO HumanQ</x:v>
      </x:c>
      <x:c r="C815" s="16" t="str"/>
      <x:c r="D815" s="16" t="str">
        <x:v>* myContacts</x:v>
      </x:c>
      <x:c r="E815" s="16" t="str">
        <x:v>Missing email</x:v>
      </x:c>
    </x:row>
    <x:row r="816">
      <x:c r="A816" s="16" t="n">
        <x:v>831</x:v>
      </x:c>
      <x:c r="B816" s="16" t="str">
        <x:v>Andi Saifudin</x:v>
      </x:c>
      <x:c r="C816" s="16" t="str"/>
      <x:c r="D816" s="16" t="str">
        <x:v>* myContacts</x:v>
      </x:c>
      <x:c r="E816" s="16" t="str">
        <x:v>Missing email</x:v>
      </x:c>
    </x:row>
    <x:row r="817">
      <x:c r="A817" s="16" t="n">
        <x:v>832</x:v>
      </x:c>
      <x:c r="B817" s="16" t="str">
        <x:v>Andi Syah Rhizal</x:v>
      </x:c>
      <x:c r="C817" s="16" t="str"/>
      <x:c r="D817" s="16" t="str">
        <x:v>* myContacts</x:v>
      </x:c>
      <x:c r="E817" s="16" t="str">
        <x:v>Missing email</x:v>
      </x:c>
    </x:row>
    <x:row r="818">
      <x:c r="A818" s="16" t="n">
        <x:v>833</x:v>
      </x:c>
      <x:c r="B818" s="16" t="str">
        <x:v>Andini Munthe</x:v>
      </x:c>
      <x:c r="C818" s="16" t="str"/>
      <x:c r="D818" s="16" t="str">
        <x:v>* myContacts</x:v>
      </x:c>
      <x:c r="E818" s="16" t="str">
        <x:v>Missing email</x:v>
      </x:c>
    </x:row>
    <x:row r="819">
      <x:c r="A819" s="16" t="n">
        <x:v>834</x:v>
      </x:c>
      <x:c r="B819" s="16" t="str">
        <x:v>andrew</x:v>
      </x:c>
      <x:c r="C819" s="16" t="str"/>
      <x:c r="D819" s="16" t="str">
        <x:v>* myContacts</x:v>
      </x:c>
      <x:c r="E819" s="16" t="str">
        <x:v>Missing email</x:v>
      </x:c>
    </x:row>
    <x:row r="820">
      <x:c r="A820" s="16" t="n">
        <x:v>835</x:v>
      </x:c>
      <x:c r="B820" s="16" t="str">
        <x:v>Andy Dhani Avana</x:v>
      </x:c>
      <x:c r="C820" s="16" t="str"/>
      <x:c r="D820" s="16" t="str">
        <x:v>* myContacts</x:v>
      </x:c>
      <x:c r="E820" s="16" t="str">
        <x:v>Missing email</x:v>
      </x:c>
    </x:row>
    <x:row r="821">
      <x:c r="A821" s="16" t="n">
        <x:v>836</x:v>
      </x:c>
      <x:c r="B821" s="16" t="str">
        <x:v>Anep Giler</x:v>
      </x:c>
      <x:c r="C821" s="16" t="str"/>
      <x:c r="D821" s="16" t="str">
        <x:v>* myContacts</x:v>
      </x:c>
      <x:c r="E821" s="16" t="str">
        <x:v>Missing email</x:v>
      </x:c>
    </x:row>
    <x:row r="822">
      <x:c r="A822" s="16" t="n">
        <x:v>837</x:v>
      </x:c>
      <x:c r="B822" s="16" t="str">
        <x:v>ang kena video man</x:v>
      </x:c>
      <x:c r="C822" s="16" t="str"/>
      <x:c r="D822" s="16" t="str">
        <x:v>* myContacts</x:v>
      </x:c>
      <x:c r="E822" s="16" t="str">
        <x:v>Missing email</x:v>
      </x:c>
    </x:row>
    <x:row r="823">
      <x:c r="A823" s="16" t="n">
        <x:v>838</x:v>
      </x:c>
      <x:c r="B823" s="16" t="str">
        <x:v>Angah Crew</x:v>
      </x:c>
      <x:c r="C823" s="16" t="str"/>
      <x:c r="D823" s="16" t="str">
        <x:v>* myContacts</x:v>
      </x:c>
      <x:c r="E823" s="16" t="str">
        <x:v>Missing email</x:v>
      </x:c>
    </x:row>
    <x:row r="824">
      <x:c r="A824" s="16" t="n">
        <x:v>839</x:v>
      </x:c>
      <x:c r="B824" s="16" t="str">
        <x:v>Angah PD</x:v>
      </x:c>
      <x:c r="C824" s="16" t="str"/>
      <x:c r="D824" s="16" t="str">
        <x:v>* myContacts</x:v>
      </x:c>
      <x:c r="E824" s="16" t="str">
        <x:v>Missing email</x:v>
      </x:c>
    </x:row>
    <x:row r="825">
      <x:c r="A825" s="16" t="n">
        <x:v>840</x:v>
      </x:c>
      <x:c r="B825" s="16" t="str">
        <x:v>Angah Rozaimi</x:v>
      </x:c>
      <x:c r="C825" s="16" t="str"/>
      <x:c r="D825" s="16" t="str">
        <x:v>* myContacts</x:v>
      </x:c>
      <x:c r="E825" s="16" t="str">
        <x:v>Missing email</x:v>
      </x:c>
    </x:row>
    <x:row r="826">
      <x:c r="A826" s="16" t="n">
        <x:v>841</x:v>
      </x:c>
      <x:c r="B826" s="16" t="str">
        <x:v>AnGah Sepet</x:v>
      </x:c>
      <x:c r="C826" s="16" t="str"/>
      <x:c r="D826" s="16" t="str">
        <x:v>* myContacts</x:v>
      </x:c>
      <x:c r="E826" s="16" t="str">
        <x:v>Missing email</x:v>
      </x:c>
    </x:row>
    <x:row r="827">
      <x:c r="A827" s="16" t="n">
        <x:v>842</x:v>
      </x:c>
      <x:c r="B827" s="16" t="str">
        <x:v>Angel</x:v>
      </x:c>
      <x:c r="C827" s="16" t="str"/>
      <x:c r="D827" s="16" t="str">
        <x:v>* myContacts</x:v>
      </x:c>
      <x:c r="E827" s="16" t="str">
        <x:v>Missing email</x:v>
      </x:c>
    </x:row>
    <x:row r="828">
      <x:c r="A828" s="16" t="n">
        <x:v>843</x:v>
      </x:c>
      <x:c r="B828" s="16" t="str">
        <x:v>Angel Chee</x:v>
      </x:c>
      <x:c r="C828" s="16" t="str"/>
      <x:c r="D828" s="16" t="str">
        <x:v>* myContacts</x:v>
      </x:c>
      <x:c r="E828" s="16" t="str">
        <x:v>Missing email</x:v>
      </x:c>
    </x:row>
    <x:row r="829">
      <x:c r="A829" s="16" t="n">
        <x:v>844</x:v>
      </x:c>
      <x:c r="B829" s="16" t="str">
        <x:v>Angel Fiza</x:v>
      </x:c>
      <x:c r="C829" s="16" t="str"/>
      <x:c r="D829" s="16" t="str">
        <x:v>* myContacts</x:v>
      </x:c>
      <x:c r="E829" s="16" t="str">
        <x:v>Missing email</x:v>
      </x:c>
    </x:row>
    <x:row r="830">
      <x:c r="A830" s="16" t="n">
        <x:v>845</x:v>
      </x:c>
      <x:c r="B830" s="16" t="str">
        <x:v>Angel Lova</x:v>
      </x:c>
      <x:c r="C830" s="16" t="str"/>
      <x:c r="D830" s="16" t="str">
        <x:v>* myContacts</x:v>
      </x:c>
      <x:c r="E830" s="16" t="str">
        <x:v>Missing email</x:v>
      </x:c>
    </x:row>
    <x:row r="831">
      <x:c r="A831" s="16" t="n">
        <x:v>846</x:v>
      </x:c>
      <x:c r="B831" s="16" t="str">
        <x:v>Angel MirMaju</x:v>
      </x:c>
      <x:c r="C831" s="16" t="str"/>
      <x:c r="D831" s="16" t="str">
        <x:v>* myContacts</x:v>
      </x:c>
      <x:c r="E831" s="16" t="str">
        <x:v>Missing email</x:v>
      </x:c>
    </x:row>
    <x:row r="832">
      <x:c r="A832" s="16" t="n">
        <x:v>847</x:v>
      </x:c>
      <x:c r="B832" s="16" t="str">
        <x:v>Anggun Jelita</x:v>
      </x:c>
      <x:c r="C832" s="16" t="str"/>
      <x:c r="D832" s="16" t="str">
        <x:v>* myContacts</x:v>
      </x:c>
      <x:c r="E832" s="16" t="str">
        <x:v>Missing email</x:v>
      </x:c>
    </x:row>
    <x:row r="833">
      <x:c r="A833" s="16" t="n">
        <x:v>848</x:v>
      </x:c>
      <x:c r="B833" s="16" t="str">
        <x:v>Angra Listari Listari</x:v>
      </x:c>
      <x:c r="C833" s="16" t="str"/>
      <x:c r="D833" s="16" t="str">
        <x:v>* myContacts</x:v>
      </x:c>
      <x:c r="E833" s="16" t="str">
        <x:v>Missing email</x:v>
      </x:c>
    </x:row>
    <x:row r="834">
      <x:c r="A834" s="16" t="n">
        <x:v>849</x:v>
      </x:c>
      <x:c r="B834" s="16" t="str">
        <x:v>Angsa Ganas</x:v>
      </x:c>
      <x:c r="C834" s="16" t="str"/>
      <x:c r="D834" s="16" t="str">
        <x:v>* myContacts</x:v>
      </x:c>
      <x:c r="E834" s="16" t="str">
        <x:v>Missing email</x:v>
      </x:c>
    </x:row>
    <x:row r="835">
      <x:c r="A835" s="16" t="n">
        <x:v>850</x:v>
      </x:c>
      <x:c r="B835" s="16" t="str">
        <x:v>Ani Amanjad</x:v>
      </x:c>
      <x:c r="C835" s="16" t="str"/>
      <x:c r="D835" s="16" t="str">
        <x:v>* myContacts</x:v>
      </x:c>
      <x:c r="E835" s="16" t="str">
        <x:v>Missing email</x:v>
      </x:c>
    </x:row>
    <x:row r="836">
      <x:c r="A836" s="16" t="n">
        <x:v>851</x:v>
      </x:c>
      <x:c r="B836" s="16" t="str">
        <x:v>Ani Izzahra</x:v>
      </x:c>
      <x:c r="C836" s="16" t="str"/>
      <x:c r="D836" s="16" t="str">
        <x:v>* myContacts</x:v>
      </x:c>
      <x:c r="E836" s="16" t="str">
        <x:v>Missing email</x:v>
      </x:c>
    </x:row>
    <x:row r="837">
      <x:c r="A837" s="16" t="n">
        <x:v>852</x:v>
      </x:c>
      <x:c r="B837" s="16" t="str">
        <x:v>Ani Jaafar</x:v>
      </x:c>
      <x:c r="C837" s="16" t="str"/>
      <x:c r="D837" s="16" t="str">
        <x:v>* myContacts</x:v>
      </x:c>
      <x:c r="E837" s="16" t="str">
        <x:v>Missing email</x:v>
      </x:c>
    </x:row>
    <x:row r="838">
      <x:c r="A838" s="16" t="n">
        <x:v>853</x:v>
      </x:c>
      <x:c r="B838" s="16" t="str">
        <x:v>Ani Lestari</x:v>
      </x:c>
      <x:c r="C838" s="16" t="str"/>
      <x:c r="D838" s="16" t="str">
        <x:v>* myContacts</x:v>
      </x:c>
      <x:c r="E838" s="16" t="str">
        <x:v>Missing email</x:v>
      </x:c>
    </x:row>
    <x:row r="839">
      <x:c r="A839" s="16" t="n">
        <x:v>854</x:v>
      </x:c>
      <x:c r="B839" s="16" t="str">
        <x:v>Ani Nasa</x:v>
      </x:c>
      <x:c r="C839" s="16" t="str"/>
      <x:c r="D839" s="16" t="str">
        <x:v>* myContacts</x:v>
      </x:c>
      <x:c r="E839" s="16" t="str">
        <x:v>Missing email</x:v>
      </x:c>
    </x:row>
    <x:row r="840">
      <x:c r="A840" s="16" t="n">
        <x:v>855</x:v>
      </x:c>
      <x:c r="B840" s="16" t="str">
        <x:v>Anida Ajid</x:v>
      </x:c>
      <x:c r="C840" s="16" t="str"/>
      <x:c r="D840" s="16" t="str">
        <x:v>* myContacts</x:v>
      </x:c>
      <x:c r="E840" s="16" t="str">
        <x:v>Missing email</x:v>
      </x:c>
    </x:row>
    <x:row r="841">
      <x:c r="A841" s="16" t="n">
        <x:v>856</x:v>
      </x:c>
      <x:c r="B841" s="16" t="str">
        <x:v>Anie Ba'im</x:v>
      </x:c>
      <x:c r="C841" s="16" t="str"/>
      <x:c r="D841" s="16" t="str">
        <x:v>* myContacts</x:v>
      </x:c>
      <x:c r="E841" s="16" t="str">
        <x:v>Missing email</x:v>
      </x:c>
    </x:row>
    <x:row r="842">
      <x:c r="A842" s="16" t="n">
        <x:v>857</x:v>
      </x:c>
      <x:c r="B842" s="16" t="str">
        <x:v>Anie Idris</x:v>
      </x:c>
      <x:c r="C842" s="16" t="str"/>
      <x:c r="D842" s="16" t="str">
        <x:v>* myContacts</x:v>
      </x:c>
      <x:c r="E842" s="16" t="str">
        <x:v>Missing email</x:v>
      </x:c>
    </x:row>
    <x:row r="843">
      <x:c r="A843" s="16" t="n">
        <x:v>858</x:v>
      </x:c>
      <x:c r="B843" s="16" t="str">
        <x:v>Anie Mohd</x:v>
      </x:c>
      <x:c r="C843" s="16" t="str"/>
      <x:c r="D843" s="16" t="str">
        <x:v>* myContacts</x:v>
      </x:c>
      <x:c r="E843" s="16" t="str">
        <x:v>Missing email</x:v>
      </x:c>
    </x:row>
    <x:row r="844">
      <x:c r="A844" s="16" t="n">
        <x:v>859</x:v>
      </x:c>
      <x:c r="B844" s="16" t="str">
        <x:v>Anies Ann</x:v>
      </x:c>
      <x:c r="C844" s="16" t="str"/>
      <x:c r="D844" s="16" t="str">
        <x:v>* myContacts</x:v>
      </x:c>
      <x:c r="E844" s="16" t="str">
        <x:v>Missing email</x:v>
      </x:c>
    </x:row>
    <x:row r="845">
      <x:c r="A845" s="16" t="n">
        <x:v>860</x:v>
      </x:c>
      <x:c r="B845" s="16" t="str">
        <x:v>Anies Shukor</x:v>
      </x:c>
      <x:c r="C845" s="16" t="str"/>
      <x:c r="D845" s="16" t="str">
        <x:v>* myContacts</x:v>
      </x:c>
      <x:c r="E845" s="16" t="str">
        <x:v>Missing email</x:v>
      </x:c>
    </x:row>
    <x:row r="846">
      <x:c r="A846" s="16" t="n">
        <x:v>861</x:v>
      </x:c>
      <x:c r="B846" s="16" t="str">
        <x:v>Aniesa Alias</x:v>
      </x:c>
      <x:c r="C846" s="16" t="str"/>
      <x:c r="D846" s="16" t="str">
        <x:v>* myContacts</x:v>
      </x:c>
      <x:c r="E846" s="16" t="str">
        <x:v>Missing email</x:v>
      </x:c>
    </x:row>
    <x:row r="847">
      <x:c r="A847" s="16" t="n">
        <x:v>862</x:v>
      </x:c>
      <x:c r="B847" s="16" t="str">
        <x:v>Anieyl Cr</x:v>
      </x:c>
      <x:c r="C847" s="16" t="str"/>
      <x:c r="D847" s="16" t="str">
        <x:v>* myContacts</x:v>
      </x:c>
      <x:c r="E847" s="16" t="str">
        <x:v>Missing email</x:v>
      </x:c>
    </x:row>
    <x:row r="848">
      <x:c r="A848" s="16" t="n">
        <x:v>863</x:v>
      </x:c>
      <x:c r="B848" s="16" t="str">
        <x:v>Aniez Asy</x:v>
      </x:c>
      <x:c r="C848" s="16" t="str"/>
      <x:c r="D848" s="16" t="str">
        <x:v>* myContacts</x:v>
      </x:c>
      <x:c r="E848" s="16" t="str">
        <x:v>Missing email</x:v>
      </x:c>
    </x:row>
    <x:row r="849">
      <x:c r="A849" s="16" t="n">
        <x:v>864</x:v>
      </x:c>
      <x:c r="B849" s="16" t="str">
        <x:v>Anim Azizi</x:v>
      </x:c>
      <x:c r="C849" s="16" t="str"/>
      <x:c r="D849" s="16" t="str">
        <x:v>* myContacts</x:v>
      </x:c>
      <x:c r="E849" s="16" t="str">
        <x:v>Missing email</x:v>
      </x:c>
    </x:row>
    <x:row r="850">
      <x:c r="A850" s="16" t="n">
        <x:v>865</x:v>
      </x:c>
      <x:c r="B850" s="16" t="str">
        <x:v>Aning Raffi</x:v>
      </x:c>
      <x:c r="C850" s="16" t="str"/>
      <x:c r="D850" s="16" t="str">
        <x:v>* myContacts</x:v>
      </x:c>
      <x:c r="E850" s="16" t="str">
        <x:v>Missing email</x:v>
      </x:c>
    </x:row>
    <x:row r="851">
      <x:c r="A851" s="16" t="n">
        <x:v>866</x:v>
      </x:c>
      <x:c r="B851" s="16" t="str">
        <x:v>Aniq Qurban Aid</x:v>
      </x:c>
      <x:c r="C851" s="16" t="str"/>
      <x:c r="D851" s="16" t="str">
        <x:v>* myContacts</x:v>
      </x:c>
      <x:c r="E851" s="16" t="str">
        <x:v>Missing email</x:v>
      </x:c>
    </x:row>
    <x:row r="852">
      <x:c r="A852" s="16" t="n">
        <x:v>867</x:v>
      </x:c>
      <x:c r="B852" s="16" t="str">
        <x:v>Anira Alina Liena NieRa</x:v>
      </x:c>
      <x:c r="C852" s="16" t="str"/>
      <x:c r="D852" s="16" t="str">
        <x:v>* myContacts</x:v>
      </x:c>
      <x:c r="E852" s="16" t="str">
        <x:v>Missing email</x:v>
      </x:c>
    </x:row>
    <x:row r="853">
      <x:c r="A853" s="16" t="n">
        <x:v>868</x:v>
      </x:c>
      <x:c r="B853" s="16" t="str">
        <x:v>Anis Agent AGP</x:v>
      </x:c>
      <x:c r="C853" s="16" t="str"/>
      <x:c r="D853" s="16" t="str">
        <x:v>* myContacts</x:v>
      </x:c>
      <x:c r="E853" s="16" t="str">
        <x:v>Missing email</x:v>
      </x:c>
    </x:row>
    <x:row r="854">
      <x:c r="A854" s="16" t="n">
        <x:v>869</x:v>
      </x:c>
      <x:c r="B854" s="16" t="str">
        <x:v>Anis Amar</x:v>
      </x:c>
      <x:c r="C854" s="16" t="str"/>
      <x:c r="D854" s="16" t="str">
        <x:v>* myContacts</x:v>
      </x:c>
      <x:c r="E854" s="16" t="str">
        <x:v>Missing email</x:v>
      </x:c>
    </x:row>
    <x:row r="855">
      <x:c r="A855" s="16" t="n">
        <x:v>870</x:v>
      </x:c>
      <x:c r="B855" s="16" t="str">
        <x:v>Anis Anisa</x:v>
      </x:c>
      <x:c r="C855" s="16" t="str"/>
      <x:c r="D855" s="16" t="str">
        <x:v>* myContacts</x:v>
      </x:c>
      <x:c r="E855" s="16" t="str">
        <x:v>Missing email</x:v>
      </x:c>
    </x:row>
    <x:row r="856">
      <x:c r="A856" s="16" t="n">
        <x:v>871</x:v>
      </x:c>
      <x:c r="B856" s="16" t="str">
        <x:v>Anis Athirah</x:v>
      </x:c>
      <x:c r="C856" s="16" t="str"/>
      <x:c r="D856" s="16" t="str">
        <x:v>* myContacts</x:v>
      </x:c>
      <x:c r="E856" s="16" t="str">
        <x:v>Missing email</x:v>
      </x:c>
    </x:row>
    <x:row r="857">
      <x:c r="A857" s="16" t="n">
        <x:v>872</x:v>
      </x:c>
      <x:c r="B857" s="16" t="str">
        <x:v>Anis Azura</x:v>
      </x:c>
      <x:c r="C857" s="16" t="str"/>
      <x:c r="D857" s="16" t="str">
        <x:v>* myContacts</x:v>
      </x:c>
      <x:c r="E857" s="16" t="str">
        <x:v>Missing email</x:v>
      </x:c>
    </x:row>
    <x:row r="858">
      <x:c r="A858" s="16" t="n">
        <x:v>873</x:v>
      </x:c>
      <x:c r="B858" s="16" t="str">
        <x:v>Anis Fazidah</x:v>
      </x:c>
      <x:c r="C858" s="16" t="str"/>
      <x:c r="D858" s="16" t="str">
        <x:v>* myContacts</x:v>
      </x:c>
      <x:c r="E858" s="16" t="str">
        <x:v>Missing email</x:v>
      </x:c>
    </x:row>
    <x:row r="859">
      <x:c r="A859" s="16" t="n">
        <x:v>874</x:v>
      </x:c>
      <x:c r="B859" s="16" t="str">
        <x:v>Anis Finessetouch Full</x:v>
      </x:c>
      <x:c r="C859" s="16" t="str"/>
      <x:c r="D859" s="16" t="str">
        <x:v>* myContacts</x:v>
      </x:c>
      <x:c r="E859" s="16" t="str">
        <x:v>Missing email</x:v>
      </x:c>
    </x:row>
    <x:row r="860">
      <x:c r="A860" s="16" t="n">
        <x:v>875</x:v>
      </x:c>
      <x:c r="B860" s="16" t="str">
        <x:v>Anis Hamizah</x:v>
      </x:c>
      <x:c r="C860" s="16" t="str"/>
      <x:c r="D860" s="16" t="str">
        <x:v>* myContacts</x:v>
      </x:c>
      <x:c r="E860" s="16" t="str">
        <x:v>Missing email</x:v>
      </x:c>
    </x:row>
    <x:row r="861">
      <x:c r="A861" s="16" t="n">
        <x:v>876</x:v>
      </x:c>
      <x:c r="B861" s="16" t="str">
        <x:v>Anis Hani</x:v>
      </x:c>
      <x:c r="C861" s="16" t="str"/>
      <x:c r="D861" s="16" t="str">
        <x:v>* myContacts</x:v>
      </x:c>
      <x:c r="E861" s="16" t="str">
        <x:v>Missing email</x:v>
      </x:c>
    </x:row>
    <x:row r="862">
      <x:c r="A862" s="16" t="n">
        <x:v>877</x:v>
      </x:c>
      <x:c r="B862" s="16" t="str">
        <x:v>AnIs KoRu</x:v>
      </x:c>
      <x:c r="C862" s="16" t="str"/>
      <x:c r="D862" s="16" t="str">
        <x:v>* myContacts</x:v>
      </x:c>
      <x:c r="E862" s="16" t="str">
        <x:v>Missing email</x:v>
      </x:c>
    </x:row>
    <x:row r="863">
      <x:c r="A863" s="16" t="n">
        <x:v>878</x:v>
      </x:c>
      <x:c r="B863" s="16" t="str">
        <x:v>Anis Mtasflix</x:v>
      </x:c>
      <x:c r="C863" s="16" t="str"/>
      <x:c r="D863" s="16" t="str">
        <x:v>* myContacts</x:v>
      </x:c>
      <x:c r="E863" s="16" t="str">
        <x:v>Missing email</x:v>
      </x:c>
    </x:row>
    <x:row r="864">
      <x:c r="A864" s="16" t="n">
        <x:v>879</x:v>
      </x:c>
      <x:c r="B864" s="16" t="str">
        <x:v>Anis Razak</x:v>
      </x:c>
      <x:c r="C864" s="16" t="str"/>
      <x:c r="D864" s="16" t="str">
        <x:v>* myContacts</x:v>
      </x:c>
      <x:c r="E864" s="16" t="str">
        <x:v>Missing email</x:v>
      </x:c>
    </x:row>
    <x:row r="865">
      <x:c r="A865" s="16" t="n">
        <x:v>880</x:v>
      </x:c>
      <x:c r="B865" s="16" t="str">
        <x:v>Anissa Puteri Selatan</x:v>
      </x:c>
      <x:c r="C865" s="16" t="str"/>
      <x:c r="D865" s="16" t="str">
        <x:v>* myContacts</x:v>
      </x:c>
      <x:c r="E865" s="16" t="str">
        <x:v>Missing email</x:v>
      </x:c>
    </x:row>
    <x:row r="866">
      <x:c r="A866" s="16" t="n">
        <x:v>881</x:v>
      </x:c>
      <x:c r="B866" s="16" t="str">
        <x:v>Anissofilia Adan</x:v>
      </x:c>
      <x:c r="C866" s="16" t="str"/>
      <x:c r="D866" s="16" t="str">
        <x:v>* myContacts</x:v>
      </x:c>
      <x:c r="E866" s="16" t="str">
        <x:v>Missing email</x:v>
      </x:c>
    </x:row>
    <x:row r="867">
      <x:c r="A867" s="16" t="n">
        <x:v>882</x:v>
      </x:c>
      <x:c r="B867" s="16" t="str">
        <x:v>Anita Farida</x:v>
      </x:c>
      <x:c r="C867" s="16" t="str"/>
      <x:c r="D867" s="16" t="str">
        <x:v>* myContacts</x:v>
      </x:c>
      <x:c r="E867" s="16" t="str">
        <x:v>Missing email</x:v>
      </x:c>
    </x:row>
    <x:row r="868">
      <x:c r="A868" s="16" t="n">
        <x:v>883</x:v>
      </x:c>
      <x:c r="B868" s="16" t="str">
        <x:v>Anita Manita</x:v>
      </x:c>
      <x:c r="C868" s="16" t="str"/>
      <x:c r="D868" s="16" t="str">
        <x:v>* myContacts</x:v>
      </x:c>
      <x:c r="E868" s="16" t="str">
        <x:v>Missing email</x:v>
      </x:c>
    </x:row>
    <x:row r="869">
      <x:c r="A869" s="16" t="n">
        <x:v>884</x:v>
      </x:c>
      <x:c r="B869" s="16" t="str">
        <x:v>Anita Seman</x:v>
      </x:c>
      <x:c r="C869" s="16" t="str"/>
      <x:c r="D869" s="16" t="str">
        <x:v>* myContacts</x:v>
      </x:c>
      <x:c r="E869" s="16" t="str">
        <x:v>Missing email</x:v>
      </x:c>
    </x:row>
    <x:row r="870">
      <x:c r="A870" s="16" t="n">
        <x:v>885</x:v>
      </x:c>
      <x:c r="B870" s="16" t="str">
        <x:v>Anitha Attiva</x:v>
      </x:c>
      <x:c r="C870" s="16" t="str"/>
      <x:c r="D870" s="16" t="str">
        <x:v>* myContacts</x:v>
      </x:c>
      <x:c r="E870" s="16" t="str">
        <x:v>Missing email</x:v>
      </x:c>
    </x:row>
    <x:row r="871">
      <x:c r="A871" s="16" t="n">
        <x:v>886</x:v>
      </x:c>
      <x:c r="B871" s="16" t="str">
        <x:v>Aniza Dan Rashid Melaka</x:v>
      </x:c>
      <x:c r="C871" s="16" t="str"/>
      <x:c r="D871" s="16" t="str">
        <x:v>* myContacts</x:v>
      </x:c>
      <x:c r="E871" s="16" t="str">
        <x:v>Missing email</x:v>
      </x:c>
    </x:row>
    <x:row r="872">
      <x:c r="A872" s="16" t="n">
        <x:v>887</x:v>
      </x:c>
      <x:c r="B872" s="16" t="str">
        <x:v>Aniza Hailani</x:v>
      </x:c>
      <x:c r="C872" s="16" t="str"/>
      <x:c r="D872" s="16" t="str">
        <x:v>* myContacts</x:v>
      </x:c>
      <x:c r="E872" s="16" t="str">
        <x:v>Missing email</x:v>
      </x:c>
    </x:row>
    <x:row r="873">
      <x:c r="A873" s="16" t="n">
        <x:v>888</x:v>
      </x:c>
      <x:c r="B873" s="16" t="str">
        <x:v>Anizah Bt Mustaffa</x:v>
      </x:c>
      <x:c r="C873" s="16" t="str"/>
      <x:c r="D873" s="16" t="str">
        <x:v>* myContacts</x:v>
      </x:c>
      <x:c r="E873" s="16" t="str">
        <x:v>Missing email</x:v>
      </x:c>
    </x:row>
    <x:row r="874">
      <x:c r="A874" s="16" t="n">
        <x:v>889</x:v>
      </x:c>
      <x:c r="B874" s="16" t="str">
        <x:v>Anjas Doang</x:v>
      </x:c>
      <x:c r="C874" s="16" t="str"/>
      <x:c r="D874" s="16" t="str">
        <x:v>* myContacts</x:v>
      </x:c>
      <x:c r="E874" s="16" t="str">
        <x:v>Missing email</x:v>
      </x:c>
    </x:row>
    <x:row r="875">
      <x:c r="A875" s="16" t="n">
        <x:v>890</x:v>
      </x:c>
      <x:c r="B875" s="16" t="str">
        <x:v>Anjas Husain SalesUmroh</x:v>
      </x:c>
      <x:c r="C875" s="16" t="str"/>
      <x:c r="D875" s="16" t="str">
        <x:v>* myContacts</x:v>
      </x:c>
      <x:c r="E875" s="16" t="str">
        <x:v>Missing email</x:v>
      </x:c>
    </x:row>
    <x:row r="876">
      <x:c r="A876" s="16" t="n">
        <x:v>891</x:v>
      </x:c>
      <x:c r="B876" s="16" t="str">
        <x:v>Anje Panacea</x:v>
      </x:c>
      <x:c r="C876" s="16" t="str"/>
      <x:c r="D876" s="16" t="str">
        <x:v>* myContacts</x:v>
      </x:c>
      <x:c r="E876" s="16" t="str">
        <x:v>Missing email</x:v>
      </x:c>
    </x:row>
    <x:row r="877">
      <x:c r="A877" s="16" t="n">
        <x:v>892</x:v>
      </x:c>
      <x:c r="B877" s="16" t="str">
        <x:v>Anjee Bibieyy</x:v>
      </x:c>
      <x:c r="C877" s="16" t="str"/>
      <x:c r="D877" s="16" t="str">
        <x:v>* myContacts</x:v>
      </x:c>
      <x:c r="E877" s="16" t="str">
        <x:v>Missing email</x:v>
      </x:c>
    </x:row>
    <x:row r="878">
      <x:c r="A878" s="16" t="n">
        <x:v>893</x:v>
      </x:c>
      <x:c r="B878" s="16" t="str">
        <x:v>Anjung Amir</x:v>
      </x:c>
      <x:c r="C878" s="16" t="str"/>
      <x:c r="D878" s="16" t="str">
        <x:v>* myContacts</x:v>
      </x:c>
      <x:c r="E878" s="16" t="str">
        <x:v>Missing email</x:v>
      </x:c>
    </x:row>
    <x:row r="879">
      <x:c r="A879" s="16" t="n">
        <x:v>894</x:v>
      </x:c>
      <x:c r="B879" s="16" t="str">
        <x:v>Ankit Jain</x:v>
      </x:c>
      <x:c r="C879" s="16" t="str"/>
      <x:c r="D879" s="16" t="str">
        <x:v>* myContacts</x:v>
      </x:c>
      <x:c r="E879" s="16" t="str">
        <x:v>Missing email</x:v>
      </x:c>
    </x:row>
    <x:row r="880">
      <x:c r="A880" s="16" t="n">
        <x:v>895</x:v>
      </x:c>
      <x:c r="B880" s="16" t="str">
        <x:v>Ann Dengkil Absorber</x:v>
      </x:c>
      <x:c r="C880" s="16" t="str"/>
      <x:c r="D880" s="16" t="str">
        <x:v>* myContacts</x:v>
      </x:c>
      <x:c r="E880" s="16" t="str">
        <x:v>Missing email</x:v>
      </x:c>
    </x:row>
    <x:row r="881">
      <x:c r="A881" s="16" t="n">
        <x:v>896</x:v>
      </x:c>
      <x:c r="B881" s="16" t="str">
        <x:v>Ann Merpati Uniq</x:v>
      </x:c>
      <x:c r="C881" s="16" t="str"/>
      <x:c r="D881" s="16" t="str">
        <x:v>* myContacts</x:v>
      </x:c>
      <x:c r="E881" s="16" t="str">
        <x:v>Missing email</x:v>
      </x:c>
    </x:row>
    <x:row r="882">
      <x:c r="A882" s="16" t="n">
        <x:v>897</x:v>
      </x:c>
      <x:c r="B882" s="16" t="str">
        <x:v>Anna Ikhsan</x:v>
      </x:c>
      <x:c r="C882" s="16" t="str"/>
      <x:c r="D882" s="16" t="str">
        <x:v>* myContacts</x:v>
      </x:c>
      <x:c r="E882" s="16" t="str">
        <x:v>Missing email</x:v>
      </x:c>
    </x:row>
    <x:row r="883">
      <x:c r="A883" s="16" t="n">
        <x:v>898</x:v>
      </x:c>
      <x:c r="B883" s="16" t="str">
        <x:v>Anna Paulinchas</x:v>
      </x:c>
      <x:c r="C883" s="16" t="str"/>
      <x:c r="D883" s="16" t="str">
        <x:v>* myContacts</x:v>
      </x:c>
      <x:c r="E883" s="16" t="str">
        <x:v>Missing email</x:v>
      </x:c>
    </x:row>
    <x:row r="884">
      <x:c r="A884" s="16" t="n">
        <x:v>899</x:v>
      </x:c>
      <x:c r="B884" s="16" t="str">
        <x:v>Anna Rd</x:v>
      </x:c>
      <x:c r="C884" s="16" t="str"/>
      <x:c r="D884" s="16" t="str">
        <x:v>* myContacts</x:v>
      </x:c>
      <x:c r="E884" s="16" t="str">
        <x:v>Missing email</x:v>
      </x:c>
    </x:row>
    <x:row r="885">
      <x:c r="A885" s="16" t="n">
        <x:v>900</x:v>
      </x:c>
      <x:c r="B885" s="16" t="str">
        <x:v>AnNa SHu'haNna</x:v>
      </x:c>
      <x:c r="C885" s="16" t="str"/>
      <x:c r="D885" s="16" t="str">
        <x:v>* myContacts</x:v>
      </x:c>
      <x:c r="E885" s="16" t="str">
        <x:v>Missing email</x:v>
      </x:c>
    </x:row>
    <x:row r="886">
      <x:c r="A886" s="16" t="n">
        <x:v>901</x:v>
      </x:c>
      <x:c r="B886" s="16" t="str">
        <x:v>Annah Mardhiah</x:v>
      </x:c>
      <x:c r="C886" s="16" t="str"/>
      <x:c r="D886" s="16" t="str">
        <x:v>* myContacts</x:v>
      </x:c>
      <x:c r="E886" s="16" t="str">
        <x:v>Missing email</x:v>
      </x:c>
    </x:row>
    <x:row r="887">
      <x:c r="A887" s="16" t="n">
        <x:v>902</x:v>
      </x:c>
      <x:c r="B887" s="16" t="str">
        <x:v>Anne Solvy</x:v>
      </x:c>
      <x:c r="C887" s="16" t="str"/>
      <x:c r="D887" s="16" t="str">
        <x:v>* myContacts</x:v>
      </x:c>
      <x:c r="E887" s="16" t="str">
        <x:v>Missing email</x:v>
      </x:c>
    </x:row>
    <x:row r="888">
      <x:c r="A888" s="16" t="n">
        <x:v>903</x:v>
      </x:c>
      <x:c r="B888" s="16" t="str">
        <x:v>Anne Tahir AGP</x:v>
      </x:c>
      <x:c r="C888" s="16" t="str"/>
      <x:c r="D888" s="16" t="str">
        <x:v>* myContacts</x:v>
      </x:c>
      <x:c r="E888" s="16" t="str">
        <x:v>Missing email</x:v>
      </x:c>
    </x:row>
    <x:row r="889">
      <x:c r="A889" s="16" t="n">
        <x:v>904</x:v>
      </x:c>
      <x:c r="B889" s="16" t="str">
        <x:v>Anney Hartanah Kelantan</x:v>
      </x:c>
      <x:c r="C889" s="16" t="str"/>
      <x:c r="D889" s="16" t="str">
        <x:v>* myContacts</x:v>
      </x:c>
      <x:c r="E889" s="16" t="str">
        <x:v>Missing email</x:v>
      </x:c>
    </x:row>
    <x:row r="890">
      <x:c r="A890" s="16" t="n">
        <x:v>905</x:v>
      </x:c>
      <x:c r="B890" s="16" t="str">
        <x:v>Annie Solvy</x:v>
      </x:c>
      <x:c r="C890" s="16" t="str"/>
      <x:c r="D890" s="16" t="str">
        <x:v>* myContacts</x:v>
      </x:c>
      <x:c r="E890" s="16" t="str">
        <x:v>Missing email</x:v>
      </x:c>
    </x:row>
    <x:row r="891">
      <x:c r="A891" s="16" t="n">
        <x:v>906</x:v>
      </x:c>
      <x:c r="B891" s="16" t="str">
        <x:v>Annur Izzah Abdul Razak</x:v>
      </x:c>
      <x:c r="C891" s="16" t="str"/>
      <x:c r="D891" s="16" t="str">
        <x:v>* myContacts</x:v>
      </x:c>
      <x:c r="E891" s="16" t="str">
        <x:v>Missing email</x:v>
      </x:c>
    </x:row>
    <x:row r="892">
      <x:c r="A892" s="16" t="n">
        <x:v>907</x:v>
      </x:c>
      <x:c r="B892" s="16" t="str">
        <x:v>Annur Shoope</x:v>
      </x:c>
      <x:c r="C892" s="16" t="str"/>
      <x:c r="D892" s="16" t="str">
        <x:v>* myContacts</x:v>
      </x:c>
      <x:c r="E892" s="16" t="str">
        <x:v>Missing email</x:v>
      </x:c>
    </x:row>
    <x:row r="893">
      <x:c r="A893" s="16" t="n">
        <x:v>908</x:v>
      </x:c>
      <x:c r="B893" s="16" t="str">
        <x:v>Annur Syuhadah</x:v>
      </x:c>
      <x:c r="C893" s="16" t="str"/>
      <x:c r="D893" s="16" t="str">
        <x:v>* myContacts</x:v>
      </x:c>
      <x:c r="E893" s="16" t="str">
        <x:v>Missing email</x:v>
      </x:c>
    </x:row>
    <x:row r="894">
      <x:c r="A894" s="16" t="n">
        <x:v>909</x:v>
      </x:c>
      <x:c r="B894" s="16" t="str">
        <x:v>Anny Fazil</x:v>
      </x:c>
      <x:c r="C894" s="16" t="str"/>
      <x:c r="D894" s="16" t="str">
        <x:v>* myContacts</x:v>
      </x:c>
      <x:c r="E894" s="16" t="str">
        <x:v>Missing email</x:v>
      </x:c>
    </x:row>
    <x:row r="895">
      <x:c r="A895" s="16" t="n">
        <x:v>910</x:v>
      </x:c>
      <x:c r="B895" s="16" t="str">
        <x:v>Anuar @ KARL Cromok</x:v>
      </x:c>
      <x:c r="C895" s="16" t="str"/>
      <x:c r="D895" s="16" t="str">
        <x:v>* myContacts</x:v>
      </x:c>
      <x:c r="E895" s="16" t="str">
        <x:v>Missing email</x:v>
      </x:c>
    </x:row>
    <x:row r="896">
      <x:c r="A896" s="16" t="n">
        <x:v>911</x:v>
      </x:c>
      <x:c r="B896" s="16" t="str">
        <x:v>Anuar Abdullah</x:v>
      </x:c>
      <x:c r="C896" s="16" t="str"/>
      <x:c r="D896" s="16" t="str">
        <x:v>* myContacts</x:v>
      </x:c>
      <x:c r="E896" s="16" t="str">
        <x:v>Missing email</x:v>
      </x:c>
    </x:row>
    <x:row r="897">
      <x:c r="A897" s="16" t="n">
        <x:v>912</x:v>
      </x:c>
      <x:c r="B897" s="16" t="str">
        <x:v>Anuar Ahmad</x:v>
      </x:c>
      <x:c r="C897" s="16" t="str"/>
      <x:c r="D897" s="16" t="str">
        <x:v>* myContacts</x:v>
      </x:c>
      <x:c r="E897" s="16" t="str">
        <x:v>Missing email</x:v>
      </x:c>
    </x:row>
    <x:row r="898">
      <x:c r="A898" s="16" t="n">
        <x:v>913</x:v>
      </x:c>
      <x:c r="B898" s="16" t="str">
        <x:v>Anuar AIMI ACADEMY</x:v>
      </x:c>
      <x:c r="C898" s="16" t="str"/>
      <x:c r="D898" s="16" t="str">
        <x:v>* myContacts</x:v>
      </x:c>
      <x:c r="E898" s="16" t="str">
        <x:v>Missing email</x:v>
      </x:c>
    </x:row>
    <x:row r="899">
      <x:c r="A899" s="16" t="n">
        <x:v>914</x:v>
      </x:c>
      <x:c r="B899" s="16" t="str">
        <x:v>Anuar ATG Network</x:v>
      </x:c>
      <x:c r="C899" s="16" t="str"/>
      <x:c r="D899" s="16" t="str">
        <x:v>* myContacts</x:v>
      </x:c>
      <x:c r="E899" s="16" t="str">
        <x:v>Missing email</x:v>
      </x:c>
    </x:row>
    <x:row r="900">
      <x:c r="A900" s="16" t="n">
        <x:v>915</x:v>
      </x:c>
      <x:c r="B900" s="16" t="str">
        <x:v>Anuar Hashim</x:v>
      </x:c>
      <x:c r="C900" s="16" t="str"/>
      <x:c r="D900" s="16" t="str">
        <x:v>* myContacts</x:v>
      </x:c>
      <x:c r="E900" s="16" t="str">
        <x:v>Missing email</x:v>
      </x:c>
    </x:row>
    <x:row r="901">
      <x:c r="A901" s="16" t="n">
        <x:v>916</x:v>
      </x:c>
      <x:c r="B901" s="16" t="str">
        <x:v>Anum Wahab AGP</x:v>
      </x:c>
      <x:c r="C901" s="16" t="str"/>
      <x:c r="D901" s="16" t="str">
        <x:v>* myContacts</x:v>
      </x:c>
      <x:c r="E901" s="16" t="str">
        <x:v>Missing email</x:v>
      </x:c>
    </x:row>
    <x:row r="902">
      <x:c r="A902" s="16" t="n">
        <x:v>917</x:v>
      </x:c>
      <x:c r="B902" s="16" t="str">
        <x:v>Anuprakash habib Jewels</x:v>
      </x:c>
      <x:c r="C902" s="16" t="str"/>
      <x:c r="D902" s="16" t="str">
        <x:v>* myContacts</x:v>
      </x:c>
      <x:c r="E902" s="16" t="str">
        <x:v>Missing email</x:v>
      </x:c>
    </x:row>
    <x:row r="903">
      <x:c r="A903" s="16" t="n">
        <x:v>918</x:v>
      </x:c>
      <x:c r="B903" s="16" t="str">
        <x:v>Anur Dahari AGP</x:v>
      </x:c>
      <x:c r="C903" s="16" t="str"/>
      <x:c r="D903" s="16" t="str">
        <x:v>* myContacts</x:v>
      </x:c>
      <x:c r="E903" s="16" t="str">
        <x:v>Missing email</x:v>
      </x:c>
    </x:row>
    <x:row r="904">
      <x:c r="A904" s="16" t="n">
        <x:v>919</x:v>
      </x:c>
      <x:c r="B904" s="16" t="str">
        <x:v>Anwar Shah</x:v>
      </x:c>
      <x:c r="C904" s="16" t="str"/>
      <x:c r="D904" s="16" t="str">
        <x:v>* myContacts</x:v>
      </x:c>
      <x:c r="E904" s="16" t="str">
        <x:v>Missing email</x:v>
      </x:c>
    </x:row>
    <x:row r="905">
      <x:c r="A905" s="16" t="n">
        <x:v>920</x:v>
      </x:c>
      <x:c r="B905" s="16" t="str">
        <x:v>Any Erni</x:v>
      </x:c>
      <x:c r="C905" s="16" t="str"/>
      <x:c r="D905" s="16" t="str">
        <x:v>* myContacts</x:v>
      </x:c>
      <x:c r="E905" s="16" t="str">
        <x:v>Missing email</x:v>
      </x:c>
    </x:row>
    <x:row r="906">
      <x:c r="A906" s="16" t="n">
        <x:v>921</x:v>
      </x:c>
      <x:c r="B906" s="16" t="str">
        <x:v>Apak Chai Nazrol</x:v>
      </x:c>
      <x:c r="C906" s="16" t="str"/>
      <x:c r="D906" s="16" t="str">
        <x:v>* myContacts</x:v>
      </x:c>
      <x:c r="E906" s="16" t="str">
        <x:v>Missing email</x:v>
      </x:c>
    </x:row>
    <x:row r="907">
      <x:c r="A907" s="16" t="n">
        <x:v>922</x:v>
      </x:c>
      <x:c r="B907" s="16" t="str">
        <x:v>apak dengkil pancing</x:v>
      </x:c>
      <x:c r="C907" s="16" t="str"/>
      <x:c r="D907" s="16" t="str">
        <x:v>* myContacts</x:v>
      </x:c>
      <x:c r="E907" s="16" t="str">
        <x:v>Missing email</x:v>
      </x:c>
    </x:row>
    <x:row r="908">
      <x:c r="A908" s="16" t="n">
        <x:v>923</x:v>
      </x:c>
      <x:c r="B908" s="16" t="str">
        <x:v>Apak Kamarudin</x:v>
      </x:c>
      <x:c r="C908" s="16" t="str"/>
      <x:c r="D908" s="16" t="str">
        <x:v>* myContacts</x:v>
      </x:c>
      <x:c r="E908" s="16" t="str">
        <x:v>Missing email</x:v>
      </x:c>
    </x:row>
    <x:row r="909">
      <x:c r="A909" s="16" t="n">
        <x:v>924</x:v>
      </x:c>
      <x:c r="B909" s="16" t="str">
        <x:v>Apek Sapaprap</x:v>
      </x:c>
      <x:c r="C909" s="16" t="str"/>
      <x:c r="D909" s="16" t="str">
        <x:v>* myContacts</x:v>
      </x:c>
      <x:c r="E909" s="16" t="str">
        <x:v>Missing email</x:v>
      </x:c>
    </x:row>
    <x:row r="910">
      <x:c r="A910" s="16" t="n">
        <x:v>925</x:v>
      </x:c>
      <x:c r="B910" s="16" t="str">
        <x:v>Apeng</x:v>
      </x:c>
      <x:c r="C910" s="16" t="str"/>
      <x:c r="D910" s="16" t="str">
        <x:v>* myContacts</x:v>
      </x:c>
      <x:c r="E910" s="16" t="str">
        <x:v>Missing email</x:v>
      </x:c>
    </x:row>
    <x:row r="911">
      <x:c r="A911" s="16" t="n">
        <x:v>926</x:v>
      </x:c>
      <x:c r="B911" s="16" t="str">
        <x:v>API Consultant-Isqandar</x:v>
      </x:c>
      <x:c r="C911" s="16" t="str"/>
      <x:c r="D911" s="16" t="str">
        <x:v>* myContacts</x:v>
      </x:c>
      <x:c r="E911" s="16" t="str">
        <x:v>Missing email</x:v>
      </x:c>
    </x:row>
    <x:row r="912">
      <x:c r="A912" s="16" t="n">
        <x:v>927</x:v>
      </x:c>
      <x:c r="B912" s="16" t="str">
        <x:v>Apih Marang II</x:v>
      </x:c>
      <x:c r="C912" s="16" t="str"/>
      <x:c r="D912" s="16" t="str">
        <x:v>* myContacts</x:v>
      </x:c>
      <x:c r="E912" s="16" t="str">
        <x:v>Missing email</x:v>
      </x:c>
    </x:row>
    <x:row r="913">
      <x:c r="A913" s="16" t="n">
        <x:v>928</x:v>
      </x:c>
      <x:c r="B913" s="16" t="str">
        <x:v>Apik Setiu</x:v>
      </x:c>
      <x:c r="C913" s="16" t="str"/>
      <x:c r="D913" s="16" t="str">
        <x:v>* myContacts</x:v>
      </x:c>
      <x:c r="E913" s="16" t="str">
        <x:v>Missing email</x:v>
      </x:c>
    </x:row>
    <x:row r="914">
      <x:c r="A914" s="16" t="n">
        <x:v>929</x:v>
      </x:c>
      <x:c r="B914" s="16" t="str">
        <x:v>Apiq Beck Fawwaz</x:v>
      </x:c>
      <x:c r="C914" s="16" t="str"/>
      <x:c r="D914" s="16" t="str">
        <x:v>* myContacts</x:v>
      </x:c>
      <x:c r="E914" s="16" t="str">
        <x:v>Missing email</x:v>
      </x:c>
    </x:row>
    <x:row r="915">
      <x:c r="A915" s="16" t="n">
        <x:v>930</x:v>
      </x:c>
      <x:c r="B915" s="16" t="str">
        <x:v>Apiq Pudin</x:v>
      </x:c>
      <x:c r="C915" s="16" t="str"/>
      <x:c r="D915" s="16" t="str">
        <x:v>* myContacts</x:v>
      </x:c>
      <x:c r="E915" s="16" t="str">
        <x:v>Missing email</x:v>
      </x:c>
    </x:row>
    <x:row r="916">
      <x:c r="A916" s="16" t="n">
        <x:v>931</x:v>
      </x:c>
      <x:c r="B916" s="16" t="str">
        <x:v>Apit Isny</x:v>
      </x:c>
      <x:c r="C916" s="16" t="str"/>
      <x:c r="D916" s="16" t="str">
        <x:v>* myContacts</x:v>
      </x:c>
      <x:c r="E916" s="16" t="str">
        <x:v>Missing email</x:v>
      </x:c>
    </x:row>
    <x:row r="917">
      <x:c r="A917" s="16" t="n">
        <x:v>932</x:v>
      </x:c>
      <x:c r="B917" s="16" t="str">
        <x:v>Apit Pakya</x:v>
      </x:c>
      <x:c r="C917" s="16" t="str"/>
      <x:c r="D917" s="16" t="str">
        <x:v>* myContacts</x:v>
      </x:c>
      <x:c r="E917" s="16" t="str">
        <x:v>Missing email</x:v>
      </x:c>
    </x:row>
    <x:row r="918">
      <x:c r="A918" s="16" t="n">
        <x:v>933</x:v>
      </x:c>
      <x:c r="B918" s="16" t="str">
        <x:v>Apit Wan Lebo Youtube Celebrity</x:v>
      </x:c>
      <x:c r="C918" s="16" t="str"/>
      <x:c r="D918" s="16" t="str">
        <x:v>* myContacts</x:v>
      </x:c>
      <x:c r="E918" s="16" t="str">
        <x:v>Missing email</x:v>
      </x:c>
    </x:row>
    <x:row r="919">
      <x:c r="A919" s="16" t="n">
        <x:v>934</x:v>
      </x:c>
      <x:c r="B919" s="16" t="str">
        <x:v>Apot Fikenggol</x:v>
      </x:c>
      <x:c r="C919" s="16" t="str"/>
      <x:c r="D919" s="16" t="str">
        <x:v>* myContacts</x:v>
      </x:c>
      <x:c r="E919" s="16" t="str">
        <x:v>Missing email</x:v>
      </x:c>
    </x:row>
    <x:row r="920">
      <x:c r="A920" s="16" t="n">
        <x:v>935</x:v>
      </x:c>
      <x:c r="B920" s="16" t="str">
        <x:v>Apphie Chyntia Nur FarahHani</x:v>
      </x:c>
      <x:c r="C920" s="16" t="str"/>
      <x:c r="D920" s="16" t="str">
        <x:v>* myContacts</x:v>
      </x:c>
      <x:c r="E920" s="16" t="str">
        <x:v>Missing email</x:v>
      </x:c>
    </x:row>
    <x:row r="921">
      <x:c r="A921" s="16" t="n">
        <x:v>936</x:v>
      </x:c>
      <x:c r="B921" s="16" t="str">
        <x:v>Apple Cyber Printer</x:v>
      </x:c>
      <x:c r="C921" s="16" t="str"/>
      <x:c r="D921" s="16" t="str">
        <x:v>* myContacts</x:v>
      </x:c>
      <x:c r="E921" s="16" t="str">
        <x:v>Missing email</x:v>
      </x:c>
    </x:row>
    <x:row r="922">
      <x:c r="A922" s="16" t="n">
        <x:v>937</x:v>
      </x:c>
      <x:c r="B922" s="16" t="str">
        <x:v>Apple Kikie Ahmad</x:v>
      </x:c>
      <x:c r="C922" s="16" t="str"/>
      <x:c r="D922" s="16" t="str">
        <x:v>* myContacts</x:v>
      </x:c>
      <x:c r="E922" s="16" t="str">
        <x:v>Missing email</x:v>
      </x:c>
    </x:row>
    <x:row r="923">
      <x:c r="A923" s="16" t="n">
        <x:v>938</x:v>
      </x:c>
      <x:c r="B923" s="16" t="str">
        <x:v>Apriliyanti Tuch NaxTebink</x:v>
      </x:c>
      <x:c r="C923" s="16" t="str"/>
      <x:c r="D923" s="16" t="str">
        <x:v>* myContacts</x:v>
      </x:c>
      <x:c r="E923" s="16" t="str">
        <x:v>Missing email</x:v>
      </x:c>
    </x:row>
    <x:row r="924">
      <x:c r="A924" s="16" t="n">
        <x:v>939</x:v>
      </x:c>
      <x:c r="B924" s="16" t="str">
        <x:v>AQ Classic Here</x:v>
      </x:c>
      <x:c r="C924" s="16" t="str"/>
      <x:c r="D924" s="16" t="str">
        <x:v>* myContacts</x:v>
      </x:c>
      <x:c r="E924" s="16" t="str">
        <x:v>Missing email</x:v>
      </x:c>
    </x:row>
    <x:row r="925">
      <x:c r="A925" s="16" t="n">
        <x:v>940</x:v>
      </x:c>
      <x:c r="B925" s="16" t="str">
        <x:v>AQ Rafik Fhami</x:v>
      </x:c>
      <x:c r="C925" s="16" t="str"/>
      <x:c r="D925" s="16" t="str">
        <x:v>* myContacts</x:v>
      </x:c>
      <x:c r="E925" s="16" t="str">
        <x:v>Missing email</x:v>
      </x:c>
    </x:row>
    <x:row r="926">
      <x:c r="A926" s="16" t="n">
        <x:v>941</x:v>
      </x:c>
      <x:c r="B926" s="16" t="str">
        <x:v>AQ Xie'adikxrina Sentiasa Setia</x:v>
      </x:c>
      <x:c r="C926" s="16" t="str"/>
      <x:c r="D926" s="16" t="str">
        <x:v>* myContacts</x:v>
      </x:c>
      <x:c r="E926" s="16" t="str">
        <x:v>Missing email</x:v>
      </x:c>
    </x:row>
    <x:row r="927">
      <x:c r="A927" s="16" t="n">
        <x:v>942</x:v>
      </x:c>
      <x:c r="B927" s="16" t="str">
        <x:v>Aqif Azizan STP</x:v>
      </x:c>
      <x:c r="C927" s="16" t="str"/>
      <x:c r="D927" s="16" t="str">
        <x:v>* myContacts</x:v>
      </x:c>
      <x:c r="E927" s="16" t="str">
        <x:v>Missing email</x:v>
      </x:c>
    </x:row>
    <x:row r="928">
      <x:c r="A928" s="16" t="n">
        <x:v>943</x:v>
      </x:c>
      <x:c r="B928" s="16" t="str">
        <x:v>Aqil Black</x:v>
      </x:c>
      <x:c r="C928" s="16" t="str"/>
      <x:c r="D928" s="16" t="str">
        <x:v>* myContacts</x:v>
      </x:c>
      <x:c r="E928" s="16" t="str">
        <x:v>Missing email</x:v>
      </x:c>
    </x:row>
    <x:row r="929">
      <x:c r="A929" s="16" t="n">
        <x:v>944</x:v>
      </x:c>
      <x:c r="B929" s="16" t="str">
        <x:v>‭Aqil KasutAnakMuda</x:v>
      </x:c>
      <x:c r="C929" s="16" t="str"/>
      <x:c r="D929" s="16" t="str">
        <x:v>* myContacts</x:v>
      </x:c>
      <x:c r="E929" s="16" t="str">
        <x:v>Missing email</x:v>
      </x:c>
    </x:row>
    <x:row r="930">
      <x:c r="A930" s="16" t="n">
        <x:v>945</x:v>
      </x:c>
      <x:c r="B930" s="16" t="str">
        <x:v>Aquh Buwdaq Single</x:v>
      </x:c>
      <x:c r="C930" s="16" t="str"/>
      <x:c r="D930" s="16" t="str">
        <x:v>* myContacts</x:v>
      </x:c>
      <x:c r="E930" s="16" t="str">
        <x:v>Missing email</x:v>
      </x:c>
    </x:row>
    <x:row r="931">
      <x:c r="A931" s="16" t="n">
        <x:v>946</x:v>
      </x:c>
      <x:c r="B931" s="16" t="str">
        <x:v>Ar Hanif</x:v>
      </x:c>
      <x:c r="C931" s="16" t="str"/>
      <x:c r="D931" s="16" t="str">
        <x:v>* myContacts</x:v>
      </x:c>
      <x:c r="E931" s="16" t="str">
        <x:v>Missing email</x:v>
      </x:c>
    </x:row>
    <x:row r="932">
      <x:c r="A932" s="16" t="n">
        <x:v>947</x:v>
      </x:c>
      <x:c r="B932" s="16" t="str">
        <x:v>Ar Jee Musa</x:v>
      </x:c>
      <x:c r="C932" s="16" t="str"/>
      <x:c r="D932" s="16" t="str">
        <x:v>* myContacts</x:v>
      </x:c>
      <x:c r="E932" s="16" t="str">
        <x:v>Missing email</x:v>
      </x:c>
    </x:row>
    <x:row r="933">
      <x:c r="A933" s="16" t="n">
        <x:v>948</x:v>
      </x:c>
      <x:c r="B933" s="16" t="str">
        <x:v>Ara Car Rental</x:v>
      </x:c>
      <x:c r="C933" s="16" t="str"/>
      <x:c r="D933" s="16" t="str">
        <x:v>* myContacts</x:v>
      </x:c>
      <x:c r="E933" s="16" t="str">
        <x:v>Missing email</x:v>
      </x:c>
    </x:row>
    <x:row r="934">
      <x:c r="A934" s="16" t="n">
        <x:v>949</x:v>
      </x:c>
      <x:c r="B934" s="16" t="str">
        <x:v>Ara Wzr</x:v>
      </x:c>
      <x:c r="C934" s="16" t="str"/>
      <x:c r="D934" s="16" t="str">
        <x:v>* myContacts</x:v>
      </x:c>
      <x:c r="E934" s="16" t="str">
        <x:v>Missing email</x:v>
      </x:c>
    </x:row>
    <x:row r="935">
      <x:c r="A935" s="16" t="n">
        <x:v>950</x:v>
      </x:c>
      <x:c r="B935" s="16" t="str">
        <x:v>Arafik Coach</x:v>
      </x:c>
      <x:c r="C935" s="16" t="str"/>
      <x:c r="D935" s="16" t="str">
        <x:v>Trainer | * myContacts</x:v>
      </x:c>
      <x:c r="E935" s="16" t="str">
        <x:v>Missing email</x:v>
      </x:c>
    </x:row>
    <x:row r="936">
      <x:c r="A936" s="16" t="n">
        <x:v>951</x:v>
      </x:c>
      <x:c r="B936" s="16" t="str">
        <x:v>Aravinthan Manoharan</x:v>
      </x:c>
      <x:c r="C936" s="16" t="str"/>
      <x:c r="D936" s="16" t="str">
        <x:v>* myContacts</x:v>
      </x:c>
      <x:c r="E936" s="16" t="str">
        <x:v>Missing email</x:v>
      </x:c>
    </x:row>
    <x:row r="937">
      <x:c r="A937" s="16" t="n">
        <x:v>952</x:v>
      </x:c>
      <x:c r="B937" s="16" t="str">
        <x:v>Ardha Teaaw</x:v>
      </x:c>
      <x:c r="C937" s="16" t="str"/>
      <x:c r="D937" s="16" t="str">
        <x:v>* myContacts</x:v>
      </x:c>
      <x:c r="E937" s="16" t="str">
        <x:v>Missing email</x:v>
      </x:c>
    </x:row>
    <x:row r="938">
      <x:c r="A938" s="16" t="n">
        <x:v>953</x:v>
      </x:c>
      <x:c r="B938" s="16" t="str">
        <x:v>Ardhiey Kelly Widman</x:v>
      </x:c>
      <x:c r="C938" s="16" t="str"/>
      <x:c r="D938" s="16" t="str">
        <x:v>* myContacts</x:v>
      </x:c>
      <x:c r="E938" s="16" t="str">
        <x:v>Missing email</x:v>
      </x:c>
    </x:row>
    <x:row r="939">
      <x:c r="A939" s="16" t="n">
        <x:v>954</x:v>
      </x:c>
      <x:c r="B939" s="16" t="str">
        <x:v>Ardi</x:v>
      </x:c>
      <x:c r="C939" s="16" t="str"/>
      <x:c r="D939" s="16" t="str">
        <x:v>* myContacts</x:v>
      </x:c>
      <x:c r="E939" s="16" t="str">
        <x:v>Missing email</x:v>
      </x:c>
    </x:row>
    <x:row r="940">
      <x:c r="A940" s="16" t="n">
        <x:v>955</x:v>
      </x:c>
      <x:c r="B940" s="16" t="str">
        <x:v>Ardila Sofa Iwan</x:v>
      </x:c>
      <x:c r="C940" s="16" t="str"/>
      <x:c r="D940" s="16" t="str">
        <x:v>* myContacts</x:v>
      </x:c>
      <x:c r="E940" s="16" t="str">
        <x:v>Missing email</x:v>
      </x:c>
    </x:row>
    <x:row r="941">
      <x:c r="A941" s="16" t="n">
        <x:v>956</x:v>
      </x:c>
      <x:c r="B941" s="16" t="str">
        <x:v>Are Chik</x:v>
      </x:c>
      <x:c r="C941" s="16" t="str"/>
      <x:c r="D941" s="16" t="str">
        <x:v>* myContacts</x:v>
      </x:c>
      <x:c r="E941" s="16" t="str">
        <x:v>Missing email</x:v>
      </x:c>
    </x:row>
    <x:row r="942">
      <x:c r="A942" s="16" t="n">
        <x:v>957</x:v>
      </x:c>
      <x:c r="B942" s="16" t="str">
        <x:v>Are Dey</x:v>
      </x:c>
      <x:c r="C942" s="16" t="str"/>
      <x:c r="D942" s="16" t="str">
        <x:v>* myContacts</x:v>
      </x:c>
      <x:c r="E942" s="16" t="str">
        <x:v>Missing email</x:v>
      </x:c>
    </x:row>
    <x:row r="943">
      <x:c r="A943" s="16" t="n">
        <x:v>958</x:v>
      </x:c>
      <x:c r="B943" s="16" t="str">
        <x:v>Are Jey</x:v>
      </x:c>
      <x:c r="C943" s="16" t="str"/>
      <x:c r="D943" s="16" t="str">
        <x:v>* myContacts</x:v>
      </x:c>
      <x:c r="E943" s="16" t="str">
        <x:v>Missing email</x:v>
      </x:c>
    </x:row>
    <x:row r="944">
      <x:c r="A944" s="16" t="n">
        <x:v>959</x:v>
      </x:c>
      <x:c r="B944" s="16" t="str">
        <x:v>Are Liff</x:v>
      </x:c>
      <x:c r="C944" s="16" t="str"/>
      <x:c r="D944" s="16" t="str">
        <x:v>* myContacts</x:v>
      </x:c>
      <x:c r="E944" s="16" t="str">
        <x:v>Missing email</x:v>
      </x:c>
    </x:row>
    <x:row r="945">
      <x:c r="A945" s="16" t="n">
        <x:v>960</x:v>
      </x:c>
      <x:c r="B945" s="16" t="str">
        <x:v>ARe Man</x:v>
      </x:c>
      <x:c r="C945" s="16" t="str"/>
      <x:c r="D945" s="16" t="str">
        <x:v>* myContacts</x:v>
      </x:c>
      <x:c r="E945" s="16" t="str">
        <x:v>Missing email</x:v>
      </x:c>
    </x:row>
    <x:row r="946">
      <x:c r="A946" s="16" t="n">
        <x:v>961</x:v>
      </x:c>
      <x:c r="B946" s="16" t="str">
        <x:v>Are Ngah</x:v>
      </x:c>
      <x:c r="C946" s="16" t="str"/>
      <x:c r="D946" s="16" t="str">
        <x:v>* myContacts</x:v>
      </x:c>
      <x:c r="E946" s="16" t="str">
        <x:v>Missing email</x:v>
      </x:c>
    </x:row>
    <x:row r="947">
      <x:c r="A947" s="16" t="n">
        <x:v>962</x:v>
      </x:c>
      <x:c r="B947" s="16" t="str">
        <x:v>Are Yein</x:v>
      </x:c>
      <x:c r="C947" s="16" t="str"/>
      <x:c r="D947" s="16" t="str">
        <x:v>* myContacts</x:v>
      </x:c>
      <x:c r="E947" s="16" t="str">
        <x:v>Missing email</x:v>
      </x:c>
    </x:row>
    <x:row r="948">
      <x:c r="A948" s="16" t="n">
        <x:v>963</x:v>
      </x:c>
      <x:c r="B948" s="16" t="str">
        <x:v>Are-peace Gayong</x:v>
      </x:c>
      <x:c r="C948" s="16" t="str"/>
      <x:c r="D948" s="16" t="str">
        <x:v>* myContacts</x:v>
      </x:c>
      <x:c r="E948" s="16" t="str">
        <x:v>Missing email</x:v>
      </x:c>
    </x:row>
    <x:row r="949">
      <x:c r="A949" s="16" t="n">
        <x:v>964</x:v>
      </x:c>
      <x:c r="B949" s="16" t="str">
        <x:v>Arecit MuStakim</x:v>
      </x:c>
      <x:c r="C949" s="16" t="str"/>
      <x:c r="D949" s="16" t="str">
        <x:v>* myContacts</x:v>
      </x:c>
      <x:c r="E949" s="16" t="str">
        <x:v>Missing email</x:v>
      </x:c>
    </x:row>
    <x:row r="950">
      <x:c r="A950" s="16" t="n">
        <x:v>965</x:v>
      </x:c>
      <x:c r="B950" s="16" t="str">
        <x:v>Arelong Azmy</x:v>
      </x:c>
      <x:c r="C950" s="16" t="str"/>
      <x:c r="D950" s="16" t="str">
        <x:v>* myContacts</x:v>
      </x:c>
      <x:c r="E950" s="16" t="str">
        <x:v>Missing email</x:v>
      </x:c>
    </x:row>
    <x:row r="951">
      <x:c r="A951" s="16" t="n">
        <x:v>966</x:v>
      </x:c>
      <x:c r="B951" s="16" t="str">
        <x:v>Aremay Kecik</x:v>
      </x:c>
      <x:c r="C951" s="16" t="str"/>
      <x:c r="D951" s="16" t="str">
        <x:v>* myContacts</x:v>
      </x:c>
      <x:c r="E951" s="16" t="str">
        <x:v>Missing email</x:v>
      </x:c>
    </x:row>
    <x:row r="952">
      <x:c r="A952" s="16" t="n">
        <x:v>967</x:v>
      </x:c>
      <x:c r="B952" s="16" t="str">
        <x:v>Arena Harta</x:v>
      </x:c>
      <x:c r="C952" s="16" t="str"/>
      <x:c r="D952" s="16" t="str">
        <x:v>* myContacts</x:v>
      </x:c>
      <x:c r="E952" s="16" t="str">
        <x:v>Missing email</x:v>
      </x:c>
    </x:row>
    <x:row r="953">
      <x:c r="A953" s="16" t="n">
        <x:v>968</x:v>
      </x:c>
      <x:c r="B953" s="16" t="str">
        <x:v>ArFah AdNi</x:v>
      </x:c>
      <x:c r="C953" s="16" t="str"/>
      <x:c r="D953" s="16" t="str">
        <x:v>* myContacts</x:v>
      </x:c>
      <x:c r="E953" s="16" t="str">
        <x:v>Missing email</x:v>
      </x:c>
    </x:row>
    <x:row r="954">
      <x:c r="A954" s="16" t="n">
        <x:v>969</x:v>
      </x:c>
      <x:c r="B954" s="16" t="str">
        <x:v>Ariana Qasih Aslam</x:v>
      </x:c>
      <x:c r="C954" s="16" t="str"/>
      <x:c r="D954" s="16" t="str">
        <x:v>* myContacts</x:v>
      </x:c>
      <x:c r="E954" s="16" t="str">
        <x:v>Missing email</x:v>
      </x:c>
    </x:row>
    <x:row r="955">
      <x:c r="A955" s="16" t="n">
        <x:v>970</x:v>
      </x:c>
      <x:c r="B955" s="16" t="str">
        <x:v>Ariana Tasha</x:v>
      </x:c>
      <x:c r="C955" s="16" t="str"/>
      <x:c r="D955" s="16" t="str">
        <x:v>* myContacts</x:v>
      </x:c>
      <x:c r="E955" s="16" t="str">
        <x:v>Missing email</x:v>
      </x:c>
    </x:row>
    <x:row r="956">
      <x:c r="A956" s="16" t="n">
        <x:v>971</x:v>
      </x:c>
      <x:c r="B956" s="16" t="str">
        <x:v>Arie Otai</x:v>
      </x:c>
      <x:c r="C956" s="16" t="str"/>
      <x:c r="D956" s="16" t="str">
        <x:v>* myContacts</x:v>
      </x:c>
      <x:c r="E956" s="16" t="str">
        <x:v>Missing email</x:v>
      </x:c>
    </x:row>
    <x:row r="957">
      <x:c r="A957" s="16" t="n">
        <x:v>972</x:v>
      </x:c>
      <x:c r="B957" s="16" t="str">
        <x:v>ArielEngineering AE</x:v>
      </x:c>
      <x:c r="C957" s="16" t="str"/>
      <x:c r="D957" s="16" t="str">
        <x:v>* myContacts</x:v>
      </x:c>
      <x:c r="E957" s="16" t="str">
        <x:v>Missing email</x:v>
      </x:c>
    </x:row>
    <x:row r="958">
      <x:c r="A958" s="16" t="n">
        <x:v>973</x:v>
      </x:c>
      <x:c r="B958" s="16" t="str">
        <x:v>Aries Gurlz</x:v>
      </x:c>
      <x:c r="C958" s="16" t="str"/>
      <x:c r="D958" s="16" t="str">
        <x:v>* myContacts</x:v>
      </x:c>
      <x:c r="E958" s="16" t="str">
        <x:v>Missing email</x:v>
      </x:c>
    </x:row>
    <x:row r="959">
      <x:c r="A959" s="16" t="n">
        <x:v>974</x:v>
      </x:c>
      <x:c r="B959" s="16" t="str">
        <x:v>Arieya SantoSe</x:v>
      </x:c>
      <x:c r="C959" s="16" t="str"/>
      <x:c r="D959" s="16" t="str">
        <x:v>* myContacts</x:v>
      </x:c>
      <x:c r="E959" s="16" t="str">
        <x:v>Missing email</x:v>
      </x:c>
    </x:row>
    <x:row r="960">
      <x:c r="A960" s="16" t="n">
        <x:v>975</x:v>
      </x:c>
      <x:c r="B960" s="16" t="str">
        <x:v>Arif Afifi</x:v>
      </x:c>
      <x:c r="C960" s="16" t="str"/>
      <x:c r="D960" s="16" t="str">
        <x:v>* myContacts</x:v>
      </x:c>
      <x:c r="E960" s="16" t="str">
        <x:v>Missing email</x:v>
      </x:c>
    </x:row>
    <x:row r="961">
      <x:c r="A961" s="16" t="n">
        <x:v>976</x:v>
      </x:c>
      <x:c r="B961" s="16" t="str">
        <x:v>Arif Asyraf Anuar</x:v>
      </x:c>
      <x:c r="C961" s="16" t="str"/>
      <x:c r="D961" s="16" t="str">
        <x:v>* myContacts</x:v>
      </x:c>
      <x:c r="E961" s="16" t="str">
        <x:v>Missing email</x:v>
      </x:c>
    </x:row>
    <x:row r="962">
      <x:c r="A962" s="16" t="n">
        <x:v>977</x:v>
      </x:c>
      <x:c r="B962" s="16" t="str">
        <x:v>arif dr mechanic</x:v>
      </x:c>
      <x:c r="C962" s="16" t="str"/>
      <x:c r="D962" s="16" t="str">
        <x:v>* myContacts</x:v>
      </x:c>
      <x:c r="E962" s="16" t="str">
        <x:v>Missing email</x:v>
      </x:c>
    </x:row>
    <x:row r="963">
      <x:c r="A963" s="16" t="n">
        <x:v>978</x:v>
      </x:c>
      <x:c r="B963" s="16" t="str">
        <x:v>Arif Fikri Mohamed</x:v>
      </x:c>
      <x:c r="C963" s="16" t="str"/>
      <x:c r="D963" s="16" t="str">
        <x:v>* myContacts</x:v>
      </x:c>
      <x:c r="E963" s="16" t="str">
        <x:v>Missing email</x:v>
      </x:c>
    </x:row>
    <x:row r="964">
      <x:c r="A964" s="16" t="n">
        <x:v>979</x:v>
      </x:c>
      <x:c r="B964" s="16" t="str">
        <x:v>Arif Hoyos Jibril</x:v>
      </x:c>
      <x:c r="C964" s="16" t="str"/>
      <x:c r="D964" s="16" t="str">
        <x:v>* myContacts</x:v>
      </x:c>
      <x:c r="E964" s="16" t="str">
        <x:v>Missing email</x:v>
      </x:c>
    </x:row>
    <x:row r="965">
      <x:c r="A965" s="16" t="n">
        <x:v>980</x:v>
      </x:c>
      <x:c r="B965" s="16" t="str">
        <x:v>Arif Irfan</x:v>
      </x:c>
      <x:c r="C965" s="16" t="str"/>
      <x:c r="D965" s="16" t="str">
        <x:v>* myContacts</x:v>
      </x:c>
      <x:c r="E965" s="16" t="str">
        <x:v>Missing email</x:v>
      </x:c>
    </x:row>
    <x:row r="966">
      <x:c r="A966" s="16" t="n">
        <x:v>981</x:v>
      </x:c>
      <x:c r="B966" s="16" t="str">
        <x:v>Arif Msa</x:v>
      </x:c>
      <x:c r="C966" s="16" t="str"/>
      <x:c r="D966" s="16" t="str">
        <x:v>* myContacts</x:v>
      </x:c>
      <x:c r="E966" s="16" t="str">
        <x:v>Missing email</x:v>
      </x:c>
    </x:row>
    <x:row r="967">
      <x:c r="A967" s="16" t="n">
        <x:v>982</x:v>
      </x:c>
      <x:c r="B967" s="16" t="str">
        <x:v>Arif Pokka</x:v>
      </x:c>
      <x:c r="C967" s="16" t="str"/>
      <x:c r="D967" s="16" t="str">
        <x:v>* myContacts</x:v>
      </x:c>
      <x:c r="E967" s="16" t="str">
        <x:v>Missing email</x:v>
      </x:c>
    </x:row>
    <x:row r="968">
      <x:c r="A968" s="16" t="n">
        <x:v>983</x:v>
      </x:c>
      <x:c r="B968" s="16" t="str">
        <x:v>Arif Prudential Bsn Takaful</x:v>
      </x:c>
      <x:c r="C968" s="16" t="str"/>
      <x:c r="D968" s="16" t="str">
        <x:v>* myContacts</x:v>
      </x:c>
      <x:c r="E968" s="16" t="str">
        <x:v>Missing email</x:v>
      </x:c>
    </x:row>
    <x:row r="969">
      <x:c r="A969" s="16" t="n">
        <x:v>984</x:v>
      </x:c>
      <x:c r="B969" s="16" t="str">
        <x:v>Arif Tuah</x:v>
      </x:c>
      <x:c r="C969" s="16" t="str"/>
      <x:c r="D969" s="16" t="str">
        <x:v>* myContacts</x:v>
      </x:c>
      <x:c r="E969" s="16" t="str">
        <x:v>Missing email</x:v>
      </x:c>
    </x:row>
    <x:row r="970">
      <x:c r="A970" s="16" t="n">
        <x:v>985</x:v>
      </x:c>
      <x:c r="B970" s="16" t="str">
        <x:v>Ariff Hakimi</x:v>
      </x:c>
      <x:c r="C970" s="16" t="str"/>
      <x:c r="D970" s="16" t="str">
        <x:v>* myContacts</x:v>
      </x:c>
      <x:c r="E970" s="16" t="str">
        <x:v>Missing email</x:v>
      </x:c>
    </x:row>
    <x:row r="971">
      <x:c r="A971" s="16" t="n">
        <x:v>986</x:v>
      </x:c>
      <x:c r="B971" s="16" t="str">
        <x:v>Ariff Husfi</x:v>
      </x:c>
      <x:c r="C971" s="16" t="str"/>
      <x:c r="D971" s="16" t="str">
        <x:v>* myContacts</x:v>
      </x:c>
      <x:c r="E971" s="16" t="str">
        <x:v>Missing email</x:v>
      </x:c>
    </x:row>
    <x:row r="972">
      <x:c r="A972" s="16" t="n">
        <x:v>987</x:v>
      </x:c>
      <x:c r="B972" s="16" t="str">
        <x:v>Arifin Kamarul</x:v>
      </x:c>
      <x:c r="C972" s="16" t="str"/>
      <x:c r="D972" s="16" t="str">
        <x:v>* myContacts</x:v>
      </x:c>
      <x:c r="E972" s="16" t="str">
        <x:v>Missing email</x:v>
      </x:c>
    </x:row>
    <x:row r="973">
      <x:c r="A973" s="16" t="n">
        <x:v>988</x:v>
      </x:c>
      <x:c r="B973" s="16" t="str">
        <x:v>Arifin Nordin</x:v>
      </x:c>
      <x:c r="C973" s="16" t="str"/>
      <x:c r="D973" s="16" t="str">
        <x:v>* myContacts</x:v>
      </x:c>
      <x:c r="E973" s="16" t="str">
        <x:v>Missing email</x:v>
      </x:c>
    </x:row>
    <x:row r="974">
      <x:c r="A974" s="16" t="n">
        <x:v>989</x:v>
      </x:c>
      <x:c r="B974" s="16" t="str">
        <x:v>Arika Ismail</x:v>
      </x:c>
      <x:c r="C974" s="16" t="str"/>
      <x:c r="D974" s="16" t="str">
        <x:v>* myContacts</x:v>
      </x:c>
      <x:c r="E974" s="16" t="str">
        <x:v>Missing email</x:v>
      </x:c>
    </x:row>
    <x:row r="975">
      <x:c r="A975" s="16" t="n">
        <x:v>990</x:v>
      </x:c>
      <x:c r="B975" s="16" t="str">
        <x:v>Arill Rockers Penang Mari</x:v>
      </x:c>
      <x:c r="C975" s="16" t="str"/>
      <x:c r="D975" s="16" t="str">
        <x:v>* myContacts</x:v>
      </x:c>
      <x:c r="E975" s="16" t="str">
        <x:v>Missing email</x:v>
      </x:c>
    </x:row>
    <x:row r="976">
      <x:c r="A976" s="16" t="n">
        <x:v>991</x:v>
      </x:c>
      <x:c r="B976" s="16" t="str">
        <x:v>Arils Centre</x:v>
      </x:c>
      <x:c r="C976" s="16" t="str"/>
      <x:c r="D976" s="16" t="str">
        <x:v>* myContacts</x:v>
      </x:c>
      <x:c r="E976" s="16" t="str">
        <x:v>Missing email</x:v>
      </x:c>
    </x:row>
    <x:row r="977">
      <x:c r="A977" s="16" t="n">
        <x:v>992</x:v>
      </x:c>
      <x:c r="B977" s="16" t="str">
        <x:v>Aris Tukang Urut Kubu Gajah</x:v>
      </x:c>
      <x:c r="C977" s="16" t="str"/>
      <x:c r="D977" s="16" t="str">
        <x:v>* myContacts</x:v>
      </x:c>
      <x:c r="E977" s="16" t="str">
        <x:v>Missing email</x:v>
      </x:c>
    </x:row>
    <x:row r="978">
      <x:c r="A978" s="16" t="n">
        <x:v>993</x:v>
      </x:c>
      <x:c r="B978" s="16" t="str">
        <x:v>Arisco Risalmi</x:v>
      </x:c>
      <x:c r="C978" s="16" t="str"/>
      <x:c r="D978" s="16" t="str">
        <x:v>* myContacts</x:v>
      </x:c>
      <x:c r="E978" s="16" t="str">
        <x:v>Missing email</x:v>
      </x:c>
    </x:row>
    <x:row r="979">
      <x:c r="A979" s="16" t="n">
        <x:v>994</x:v>
      </x:c>
      <x:c r="B979" s="16" t="str">
        <x:v>Ariy Madri</x:v>
      </x:c>
      <x:c r="C979" s="16" t="str"/>
      <x:c r="D979" s="16" t="str">
        <x:v>* myContacts</x:v>
      </x:c>
      <x:c r="E979" s="16" t="str">
        <x:v>Missing email</x:v>
      </x:c>
    </x:row>
    <x:row r="980">
      <x:c r="A980" s="16" t="n">
        <x:v>995</x:v>
      </x:c>
      <x:c r="B980" s="16" t="str">
        <x:v>Arm Hassons</x:v>
      </x:c>
      <x:c r="C980" s="16" t="str"/>
      <x:c r="D980" s="16" t="str">
        <x:v>* myContacts</x:v>
      </x:c>
      <x:c r="E980" s="16" t="str">
        <x:v>Missing email</x:v>
      </x:c>
    </x:row>
    <x:row r="981">
      <x:c r="A981" s="16" t="n">
        <x:v>996</x:v>
      </x:c>
      <x:c r="B981" s="16" t="str">
        <x:v>Armada Delima</x:v>
      </x:c>
      <x:c r="C981" s="16" t="str"/>
      <x:c r="D981" s="16" t="str">
        <x:v>* myContacts</x:v>
      </x:c>
      <x:c r="E981" s="16" t="str">
        <x:v>Missing email</x:v>
      </x:c>
    </x:row>
    <x:row r="982">
      <x:c r="A982" s="16" t="n">
        <x:v>997</x:v>
      </x:c>
      <x:c r="B982" s="16" t="str">
        <x:v>Arman Manda</x:v>
      </x:c>
      <x:c r="C982" s="16" t="str"/>
      <x:c r="D982" s="16" t="str">
        <x:v>* myContacts</x:v>
      </x:c>
      <x:c r="E982" s="16" t="str">
        <x:v>Missing email</x:v>
      </x:c>
    </x:row>
    <x:row r="983">
      <x:c r="A983" s="16" t="n">
        <x:v>998</x:v>
      </x:c>
      <x:c r="B983" s="16" t="str">
        <x:v>Armin Saabat</x:v>
      </x:c>
      <x:c r="C983" s="16" t="str"/>
      <x:c r="D983" s="16" t="str">
        <x:v>* myContacts</x:v>
      </x:c>
      <x:c r="E983" s="16" t="str">
        <x:v>Missing email</x:v>
      </x:c>
    </x:row>
    <x:row r="984">
      <x:c r="A984" s="16" t="n">
        <x:v>999</x:v>
      </x:c>
      <x:c r="B984" s="16" t="str">
        <x:v>Armyza Mailes JamiLos</x:v>
      </x:c>
      <x:c r="C984" s="16" t="str"/>
      <x:c r="D984" s="16" t="str">
        <x:v>* myContacts</x:v>
      </x:c>
      <x:c r="E984" s="16" t="str">
        <x:v>Missing email</x:v>
      </x:c>
    </x:row>
    <x:row r="985">
      <x:c r="A985" s="16" t="n">
        <x:v>1000</x:v>
      </x:c>
      <x:c r="B985" s="16" t="str">
        <x:v>Arnieyz Cintaku Shahz</x:v>
      </x:c>
      <x:c r="C985" s="16" t="str"/>
      <x:c r="D985" s="16" t="str">
        <x:v>* myContacts</x:v>
      </x:c>
      <x:c r="E985" s="16" t="str">
        <x:v>Missing email</x:v>
      </x:c>
    </x:row>
    <x:row r="986">
      <x:c r="A986" s="16" t="n">
        <x:v>1001</x:v>
      </x:c>
      <x:c r="B986" s="16" t="str">
        <x:v>Arnold Anthony</x:v>
      </x:c>
      <x:c r="C986" s="16" t="str"/>
      <x:c r="D986" s="16" t="str">
        <x:v>* myContacts</x:v>
      </x:c>
      <x:c r="E986" s="16" t="str">
        <x:v>Missing email</x:v>
      </x:c>
    </x:row>
    <x:row r="987">
      <x:c r="A987" s="16" t="n">
        <x:v>1002</x:v>
      </x:c>
      <x:c r="B987" s="16" t="str">
        <x:v>Arnoura Printing</x:v>
      </x:c>
      <x:c r="C987" s="16" t="str"/>
      <x:c r="D987" s="16" t="str">
        <x:v>* myContacts</x:v>
      </x:c>
      <x:c r="E987" s="16" t="str">
        <x:v>Missing email</x:v>
      </x:c>
    </x:row>
    <x:row r="988">
      <x:c r="A988" s="16" t="n">
        <x:v>1003</x:v>
      </x:c>
      <x:c r="B988" s="16" t="str">
        <x:v>Arol Zam</x:v>
      </x:c>
      <x:c r="C988" s="16" t="str"/>
      <x:c r="D988" s="16" t="str">
        <x:v>* myContacts</x:v>
      </x:c>
      <x:c r="E988" s="16" t="str">
        <x:v>Missing email</x:v>
      </x:c>
    </x:row>
    <x:row r="989">
      <x:c r="A989" s="16" t="n">
        <x:v>1004</x:v>
      </x:c>
      <x:c r="B989" s="16" t="str">
        <x:v>Aroma Kelantan Katering</x:v>
      </x:c>
      <x:c r="C989" s="16" t="str"/>
      <x:c r="D989" s="16" t="str">
        <x:v>* myContacts</x:v>
      </x:c>
      <x:c r="E989" s="16" t="str">
        <x:v>Missing email</x:v>
      </x:c>
    </x:row>
    <x:row r="990">
      <x:c r="A990" s="16" t="n">
        <x:v>1005</x:v>
      </x:c>
      <x:c r="B990" s="16" t="str">
        <x:v>Arpian Web's</x:v>
      </x:c>
      <x:c r="C990" s="16" t="str"/>
      <x:c r="D990" s="16" t="str">
        <x:v>* myContacts</x:v>
      </x:c>
      <x:c r="E990" s="16" t="str">
        <x:v>Missing email</x:v>
      </x:c>
    </x:row>
    <x:row r="991">
      <x:c r="A991" s="16" t="n">
        <x:v>1006</x:v>
      </x:c>
      <x:c r="B991" s="16" t="str">
        <x:v>Arra Ilham Vy</x:v>
      </x:c>
      <x:c r="C991" s="16" t="str"/>
      <x:c r="D991" s="16" t="str">
        <x:v>* myContacts</x:v>
      </x:c>
      <x:c r="E991" s="16" t="str">
        <x:v>Missing email</x:v>
      </x:c>
    </x:row>
    <x:row r="992">
      <x:c r="A992" s="16" t="n">
        <x:v>1007</x:v>
      </x:c>
      <x:c r="B992" s="16" t="str">
        <x:v>Arrian Copywriter Jalanan</x:v>
      </x:c>
      <x:c r="C992" s="16" t="str"/>
      <x:c r="D992" s="16" t="str">
        <x:v>* myContacts</x:v>
      </x:c>
      <x:c r="E992" s="16" t="str">
        <x:v>Missing email</x:v>
      </x:c>
    </x:row>
    <x:row r="993">
      <x:c r="A993" s="16" t="n">
        <x:v>1008</x:v>
      </x:c>
      <x:c r="B993" s="16" t="str">
        <x:v>Arriana Amri</x:v>
      </x:c>
      <x:c r="C993" s="16" t="str"/>
      <x:c r="D993" s="16" t="str">
        <x:v>* myContacts</x:v>
      </x:c>
      <x:c r="E993" s="16" t="str">
        <x:v>Missing email</x:v>
      </x:c>
    </x:row>
    <x:row r="994">
      <x:c r="A994" s="16" t="n">
        <x:v>1009</x:v>
      </x:c>
      <x:c r="B994" s="16" t="str">
        <x:v>Arrianna Rosse</x:v>
      </x:c>
      <x:c r="C994" s="16" t="str"/>
      <x:c r="D994" s="16" t="str">
        <x:v>* myContacts</x:v>
      </x:c>
      <x:c r="E994" s="16" t="str">
        <x:v>Missing email</x:v>
      </x:c>
    </x:row>
    <x:row r="995">
      <x:c r="A995" s="16" t="n">
        <x:v>1010</x:v>
      </x:c>
      <x:c r="B995" s="16" t="str">
        <x:v>Arsan Mawal</x:v>
      </x:c>
      <x:c r="C995" s="16" t="str"/>
      <x:c r="D995" s="16" t="str">
        <x:v>* myContacts</x:v>
      </x:c>
      <x:c r="E995" s="16" t="str">
        <x:v>Missing email</x:v>
      </x:c>
    </x:row>
    <x:row r="996">
      <x:c r="A996" s="16" t="n">
        <x:v>1011</x:v>
      </x:c>
      <x:c r="B996" s="16" t="str">
        <x:v>Arshad Collagen</x:v>
      </x:c>
      <x:c r="C996" s="16" t="str"/>
      <x:c r="D996" s="16" t="str">
        <x:v>* myContacts</x:v>
      </x:c>
      <x:c r="E996" s="16" t="str">
        <x:v>Missing email</x:v>
      </x:c>
    </x:row>
    <x:row r="997">
      <x:c r="A997" s="16" t="n">
        <x:v>1012</x:v>
      </x:c>
      <x:c r="B997" s="16" t="str">
        <x:v>Arsyad INSKEN</x:v>
      </x:c>
      <x:c r="C997" s="16" t="str"/>
      <x:c r="D997" s="16" t="str">
        <x:v>Alumni INSKEN | * myContacts</x:v>
      </x:c>
      <x:c r="E997" s="16" t="str">
        <x:v>Missing email</x:v>
      </x:c>
    </x:row>
    <x:row r="998">
      <x:c r="A998" s="16" t="n">
        <x:v>1013</x:v>
      </x:c>
      <x:c r="B998" s="16" t="str">
        <x:v>Art Seriwalis</x:v>
      </x:c>
      <x:c r="C998" s="16" t="str"/>
      <x:c r="D998" s="16" t="str">
        <x:v>* myContacts</x:v>
      </x:c>
      <x:c r="E998" s="16" t="str">
        <x:v>Missing email</x:v>
      </x:c>
    </x:row>
    <x:row r="999">
      <x:c r="A999" s="16" t="n">
        <x:v>1014</x:v>
      </x:c>
      <x:c r="B999" s="16" t="str">
        <x:v>Artemiz Ho</x:v>
      </x:c>
      <x:c r="C999" s="16" t="str"/>
      <x:c r="D999" s="16" t="str">
        <x:v>* myContacts</x:v>
      </x:c>
      <x:c r="E999" s="16" t="str">
        <x:v>Missing email</x:v>
      </x:c>
    </x:row>
    <x:row r="1000">
      <x:c r="A1000" s="16" t="n">
        <x:v>1015</x:v>
      </x:c>
      <x:c r="B1000" s="16" t="str">
        <x:v>Arun Shah</x:v>
      </x:c>
      <x:c r="C1000" s="16" t="str"/>
      <x:c r="D1000" s="16" t="str">
        <x:v>* myContacts</x:v>
      </x:c>
      <x:c r="E1000" s="16" t="str">
        <x:v>Missing email</x:v>
      </x:c>
    </x:row>
    <x:row r="1001">
      <x:c r="A1001" s="16" t="n">
        <x:v>1016</x:v>
      </x:c>
      <x:c r="B1001" s="16" t="str">
        <x:v>Arwah Pak Ngah Faharuddin</x:v>
      </x:c>
      <x:c r="C1001" s="16" t="str"/>
      <x:c r="D1001" s="16" t="str">
        <x:v>* myContacts</x:v>
      </x:c>
      <x:c r="E1001" s="16" t="str">
        <x:v>Missing email</x:v>
      </x:c>
    </x:row>
    <x:row r="1002">
      <x:c r="A1002" s="16" t="n">
        <x:v>1017</x:v>
      </x:c>
      <x:c r="B1002" s="16" t="str">
        <x:v>Arya Dwipangga Wijaya Putra</x:v>
      </x:c>
      <x:c r="C1002" s="16" t="str"/>
      <x:c r="D1002" s="16" t="str">
        <x:v>* myContacts</x:v>
      </x:c>
      <x:c r="E1002" s="16" t="str">
        <x:v>Missing email</x:v>
      </x:c>
    </x:row>
    <x:row r="1003">
      <x:c r="A1003" s="16" t="n">
        <x:v>1018</x:v>
      </x:c>
      <x:c r="B1003" s="16" t="str">
        <x:v>Aryan Omar Azhari</x:v>
      </x:c>
      <x:c r="C1003" s="16" t="str"/>
      <x:c r="D1003" s="16" t="str">
        <x:v>* myContacts</x:v>
      </x:c>
      <x:c r="E1003" s="16" t="str">
        <x:v>Missing email</x:v>
      </x:c>
    </x:row>
    <x:row r="1004">
      <x:c r="A1004" s="16" t="n">
        <x:v>1019</x:v>
      </x:c>
      <x:c r="B1004" s="16" t="str">
        <x:v>Aryatie Zyainal</x:v>
      </x:c>
      <x:c r="C1004" s="16" t="str"/>
      <x:c r="D1004" s="16" t="str">
        <x:v>* myContacts</x:v>
      </x:c>
      <x:c r="E1004" s="16" t="str">
        <x:v>Missing email</x:v>
      </x:c>
    </x:row>
    <x:row r="1005">
      <x:c r="A1005" s="16" t="n">
        <x:v>1020</x:v>
      </x:c>
      <x:c r="B1005" s="16" t="str">
        <x:v>Aryn C'rain</x:v>
      </x:c>
      <x:c r="C1005" s="16" t="str"/>
      <x:c r="D1005" s="16" t="str">
        <x:v>* myContacts</x:v>
      </x:c>
      <x:c r="E1005" s="16" t="str">
        <x:v>Missing email</x:v>
      </x:c>
    </x:row>
    <x:row r="1006">
      <x:c r="A1006" s="16" t="n">
        <x:v>1021</x:v>
      </x:c>
      <x:c r="B1006" s="16" t="str">
        <x:v>Arzachael Iman</x:v>
      </x:c>
      <x:c r="C1006" s="16" t="str"/>
      <x:c r="D1006" s="16" t="str">
        <x:v>* myContacts</x:v>
      </x:c>
      <x:c r="E1006" s="16" t="str">
        <x:v>Missing email</x:v>
      </x:c>
    </x:row>
    <x:row r="1007">
      <x:c r="A1007" s="16" t="n">
        <x:v>1022</x:v>
      </x:c>
      <x:c r="B1007" s="16" t="str">
        <x:v>As</x:v>
      </x:c>
      <x:c r="C1007" s="16" t="str"/>
      <x:c r="D1007" s="16" t="str">
        <x:v>* myContacts</x:v>
      </x:c>
      <x:c r="E1007" s="16" t="str">
        <x:v>Missing email</x:v>
      </x:c>
    </x:row>
    <x:row r="1008">
      <x:c r="A1008" s="16" t="n">
        <x:v>1023</x:v>
      </x:c>
      <x:c r="B1008" s="16" t="str">
        <x:v>As Liwon</x:v>
      </x:c>
      <x:c r="C1008" s="16" t="str"/>
      <x:c r="D1008" s="16" t="str">
        <x:v>* myContacts</x:v>
      </x:c>
      <x:c r="E1008" s="16" t="str">
        <x:v>Missing email</x:v>
      </x:c>
    </x:row>
    <x:row r="1009">
      <x:c r="A1009" s="16" t="n">
        <x:v>1024</x:v>
      </x:c>
      <x:c r="B1009" s="16" t="str">
        <x:v>Asam Pedas Claypot LimaBeradik</x:v>
      </x:c>
      <x:c r="C1009" s="16" t="str"/>
      <x:c r="D1009" s="16" t="str">
        <x:v>* myContacts</x:v>
      </x:c>
      <x:c r="E1009" s="16" t="str">
        <x:v>Missing email</x:v>
      </x:c>
    </x:row>
    <x:row r="1010">
      <x:c r="A1010" s="16" t="n">
        <x:v>1025</x:v>
      </x:c>
      <x:c r="B1010" s="16" t="str">
        <x:v>Asha Alias</x:v>
      </x:c>
      <x:c r="C1010" s="16" t="str"/>
      <x:c r="D1010" s="16" t="str">
        <x:v>* myContacts</x:v>
      </x:c>
      <x:c r="E1010" s="16" t="str">
        <x:v>Missing email</x:v>
      </x:c>
    </x:row>
    <x:row r="1011">
      <x:c r="A1011" s="16" t="n">
        <x:v>1026</x:v>
      </x:c>
      <x:c r="B1011" s="16" t="str">
        <x:v>Ashary</x:v>
      </x:c>
      <x:c r="C1011" s="16" t="str"/>
      <x:c r="D1011" s="16" t="str">
        <x:v>* myContacts</x:v>
      </x:c>
      <x:c r="E1011" s="16" t="str">
        <x:v>Missing email</x:v>
      </x:c>
    </x:row>
    <x:row r="1012">
      <x:c r="A1012" s="16" t="n">
        <x:v>1027</x:v>
      </x:c>
      <x:c r="B1012" s="16" t="str">
        <x:v>Ashi Aisy</x:v>
      </x:c>
      <x:c r="C1012" s="16" t="str"/>
      <x:c r="D1012" s="16" t="str">
        <x:v>* myContacts</x:v>
      </x:c>
      <x:c r="E1012" s="16" t="str">
        <x:v>Missing email</x:v>
      </x:c>
    </x:row>
    <x:row r="1013">
      <x:c r="A1013" s="16" t="n">
        <x:v>1028</x:v>
      </x:c>
      <x:c r="B1013" s="16" t="str">
        <x:v>Ashiqin Hassan</x:v>
      </x:c>
      <x:c r="C1013" s="16" t="str"/>
      <x:c r="D1013" s="16" t="str">
        <x:v>* myContacts</x:v>
      </x:c>
      <x:c r="E1013" s="16" t="str">
        <x:v>Missing email</x:v>
      </x:c>
    </x:row>
    <x:row r="1014">
      <x:c r="A1014" s="16" t="n">
        <x:v>1029</x:v>
      </x:c>
      <x:c r="B1014" s="16" t="str">
        <x:v>Ashnan CWA</x:v>
      </x:c>
      <x:c r="C1014" s="16" t="str"/>
      <x:c r="D1014" s="16" t="str">
        <x:v>* myContacts</x:v>
      </x:c>
      <x:c r="E1014" s="16" t="str">
        <x:v>Missing email</x:v>
      </x:c>
    </x:row>
    <x:row r="1015">
      <x:c r="A1015" s="16" t="n">
        <x:v>1030</x:v>
      </x:c>
      <x:c r="B1015" s="16" t="str">
        <x:v>Ashraf</x:v>
      </x:c>
      <x:c r="C1015" s="16" t="str"/>
      <x:c r="D1015" s="16" t="str">
        <x:v>* myContacts</x:v>
      </x:c>
      <x:c r="E1015" s="16" t="str">
        <x:v>Missing email</x:v>
      </x:c>
    </x:row>
    <x:row r="1016">
      <x:c r="A1016" s="16" t="n">
        <x:v>1031</x:v>
      </x:c>
      <x:c r="B1016" s="16" t="str">
        <x:v>Ashraf Coway Utara</x:v>
      </x:c>
      <x:c r="C1016" s="16" t="str"/>
      <x:c r="D1016" s="16" t="str">
        <x:v>* myContacts</x:v>
      </x:c>
      <x:c r="E1016" s="16" t="str">
        <x:v>Missing email</x:v>
      </x:c>
    </x:row>
    <x:row r="1017">
      <x:c r="A1017" s="16" t="n">
        <x:v>1032</x:v>
      </x:c>
      <x:c r="B1017" s="16" t="str">
        <x:v>Ashraf EUsahawanMY Mdec</x:v>
      </x:c>
      <x:c r="C1017" s="16" t="str"/>
      <x:c r="D1017" s="16" t="str">
        <x:v>* myContacts</x:v>
      </x:c>
      <x:c r="E1017" s="16" t="str">
        <x:v>Missing email</x:v>
      </x:c>
    </x:row>
    <x:row r="1018">
      <x:c r="A1018" s="16" t="n">
        <x:v>1033</x:v>
      </x:c>
      <x:c r="B1018" s="16" t="str">
        <x:v>Ashraf Macintosh</x:v>
      </x:c>
      <x:c r="C1018" s="16" t="str"/>
      <x:c r="D1018" s="16" t="str">
        <x:v>* myContacts</x:v>
      </x:c>
      <x:c r="E1018" s="16" t="str">
        <x:v>Missing email</x:v>
      </x:c>
    </x:row>
    <x:row r="1019">
      <x:c r="A1019" s="16" t="n">
        <x:v>1034</x:v>
      </x:c>
      <x:c r="B1019" s="16" t="str">
        <x:v>Ashraf Mansor AGP</x:v>
      </x:c>
      <x:c r="C1019" s="16" t="str"/>
      <x:c r="D1019" s="16" t="str">
        <x:v>* myContacts</x:v>
      </x:c>
      <x:c r="E1019" s="16" t="str">
        <x:v>Missing email</x:v>
      </x:c>
    </x:row>
    <x:row r="1020">
      <x:c r="A1020" s="16" t="n">
        <x:v>1035</x:v>
      </x:c>
      <x:c r="B1020" s="16" t="str">
        <x:v>Ashraf Munza</x:v>
      </x:c>
      <x:c r="C1020" s="16" t="str"/>
      <x:c r="D1020" s="16" t="str">
        <x:v>* myContacts</x:v>
      </x:c>
      <x:c r="E1020" s="16" t="str">
        <x:v>Missing email</x:v>
      </x:c>
    </x:row>
    <x:row r="1021">
      <x:c r="A1021" s="16" t="n">
        <x:v>1036</x:v>
      </x:c>
      <x:c r="B1021" s="16" t="str">
        <x:v>ashraf mynic</x:v>
      </x:c>
      <x:c r="C1021" s="16" t="str"/>
      <x:c r="D1021" s="16" t="str">
        <x:v>* myContacts</x:v>
      </x:c>
      <x:c r="E1021" s="16" t="str">
        <x:v>Missing email</x:v>
      </x:c>
    </x:row>
    <x:row r="1022">
      <x:c r="A1022" s="16" t="n">
        <x:v>1037</x:v>
      </x:c>
      <x:c r="B1022" s="16" t="str">
        <x:v>Ashraf Rahman Support LMS MDEC</x:v>
      </x:c>
      <x:c r="C1022" s="16" t="str"/>
      <x:c r="D1022" s="16" t="str">
        <x:v>* myContacts</x:v>
      </x:c>
      <x:c r="E1022" s="16" t="str">
        <x:v>Missing email</x:v>
      </x:c>
    </x:row>
    <x:row r="1023">
      <x:c r="A1023" s="16" t="n">
        <x:v>1038</x:v>
      </x:c>
      <x:c r="B1023" s="16" t="str">
        <x:v>Ashraf Unifi DMS</x:v>
      </x:c>
      <x:c r="C1023" s="16" t="str"/>
      <x:c r="D1023" s="16" t="str">
        <x:v>* myContacts</x:v>
      </x:c>
      <x:c r="E1023" s="16" t="str">
        <x:v>Missing email</x:v>
      </x:c>
    </x:row>
    <x:row r="1024">
      <x:c r="A1024" s="16" t="n">
        <x:v>1039</x:v>
      </x:c>
      <x:c r="B1024" s="16" t="str">
        <x:v>Ashraff Junior</x:v>
      </x:c>
      <x:c r="C1024" s="16" t="str"/>
      <x:c r="D1024" s="16" t="str">
        <x:v>* myContacts</x:v>
      </x:c>
      <x:c r="E1024" s="16" t="str">
        <x:v>Missing email</x:v>
      </x:c>
    </x:row>
    <x:row r="1025">
      <x:c r="A1025" s="16" t="n">
        <x:v>1041</x:v>
      </x:c>
      <x:c r="B1025" s="16" t="str">
        <x:v>Ashreena Azmi</x:v>
      </x:c>
      <x:c r="C1025" s="16" t="str"/>
      <x:c r="D1025" s="16" t="str">
        <x:v>* myContacts</x:v>
      </x:c>
      <x:c r="E1025" s="16" t="str">
        <x:v>Missing email</x:v>
      </x:c>
    </x:row>
    <x:row r="1026">
      <x:c r="A1026" s="16" t="n">
        <x:v>1042</x:v>
      </x:c>
      <x:c r="B1026" s="16" t="str">
        <x:v>Ashril cwa client</x:v>
      </x:c>
      <x:c r="C1026" s="16" t="str"/>
      <x:c r="D1026" s="16" t="str">
        <x:v>* myContacts</x:v>
      </x:c>
      <x:c r="E1026" s="16" t="str">
        <x:v>Missing email</x:v>
      </x:c>
    </x:row>
    <x:row r="1027">
      <x:c r="A1027" s="16" t="n">
        <x:v>1043</x:v>
      </x:c>
      <x:c r="B1027" s="16" t="str">
        <x:v>Ashrol PPMM</x:v>
      </x:c>
      <x:c r="C1027" s="16" t="str"/>
      <x:c r="D1027" s="16" t="str">
        <x:v>* myContacts</x:v>
      </x:c>
      <x:c r="E1027" s="16" t="str">
        <x:v>Missing email</x:v>
      </x:c>
    </x:row>
    <x:row r="1028">
      <x:c r="A1028" s="16" t="n">
        <x:v>1044</x:v>
      </x:c>
      <x:c r="B1028" s="16" t="str">
        <x:v>Ashrul Ashrul</x:v>
      </x:c>
      <x:c r="C1028" s="16" t="str"/>
      <x:c r="D1028" s="16" t="str">
        <x:v>* myContacts</x:v>
      </x:c>
      <x:c r="E1028" s="16" t="str">
        <x:v>Missing email</x:v>
      </x:c>
    </x:row>
    <x:row r="1029">
      <x:c r="A1029" s="16" t="n">
        <x:v>1045</x:v>
      </x:c>
      <x:c r="B1029" s="16" t="str">
        <x:v>Asiah Idris</x:v>
      </x:c>
      <x:c r="C1029" s="16" t="str"/>
      <x:c r="D1029" s="16" t="str">
        <x:v>* myContacts</x:v>
      </x:c>
      <x:c r="E1029" s="16" t="str">
        <x:v>Missing email</x:v>
      </x:c>
    </x:row>
    <x:row r="1030">
      <x:c r="A1030" s="16" t="n">
        <x:v>1046</x:v>
      </x:c>
      <x:c r="B1030" s="16" t="str">
        <x:v>Asiah Tokichor</x:v>
      </x:c>
      <x:c r="C1030" s="16" t="str"/>
      <x:c r="D1030" s="16" t="str">
        <x:v>* myContacts</x:v>
      </x:c>
      <x:c r="E1030" s="16" t="str">
        <x:v>Missing email</x:v>
      </x:c>
    </x:row>
    <x:row r="1031">
      <x:c r="A1031" s="16" t="n">
        <x:v>1047</x:v>
      </x:c>
      <x:c r="B1031" s="16" t="str">
        <x:v>Asif Shan</x:v>
      </x:c>
      <x:c r="C1031" s="16" t="str"/>
      <x:c r="D1031" s="16" t="str">
        <x:v>* myContacts</x:v>
      </x:c>
      <x:c r="E1031" s="16" t="str">
        <x:v>Missing email</x:v>
      </x:c>
    </x:row>
    <x:row r="1032">
      <x:c r="A1032" s="16" t="n">
        <x:v>1048</x:v>
      </x:c>
      <x:c r="B1032" s="16" t="str">
        <x:v>Asikin Arzimi</x:v>
      </x:c>
      <x:c r="C1032" s="16" t="str"/>
      <x:c r="D1032" s="16" t="str">
        <x:v>* myContacts</x:v>
      </x:c>
      <x:c r="E1032" s="16" t="str">
        <x:v>Missing email</x:v>
      </x:c>
    </x:row>
    <x:row r="1033">
      <x:c r="A1033" s="16" t="n">
        <x:v>1049</x:v>
      </x:c>
      <x:c r="B1033" s="16" t="str">
        <x:v>Aslan Sahat</x:v>
      </x:c>
      <x:c r="C1033" s="16" t="str"/>
      <x:c r="D1033" s="16" t="str">
        <x:v>* myContacts</x:v>
      </x:c>
      <x:c r="E1033" s="16" t="str">
        <x:v>Missing email</x:v>
      </x:c>
    </x:row>
    <x:row r="1034">
      <x:c r="A1034" s="16" t="n">
        <x:v>1050</x:v>
      </x:c>
      <x:c r="B1034" s="16" t="str">
        <x:v>Aslinda Pedas Tanjung Malim</x:v>
      </x:c>
      <x:c r="C1034" s="16" t="str"/>
      <x:c r="D1034" s="16" t="str">
        <x:v>* myContacts</x:v>
      </x:c>
      <x:c r="E1034" s="16" t="str">
        <x:v>Missing email</x:v>
      </x:c>
    </x:row>
    <x:row r="1035">
      <x:c r="A1035" s="16" t="n">
        <x:v>1051</x:v>
      </x:c>
      <x:c r="B1035" s="16" t="str">
        <x:v>Asmaa Farhani</x:v>
      </x:c>
      <x:c r="C1035" s="16" t="str"/>
      <x:c r="D1035" s="16" t="str">
        <x:v>* myContacts</x:v>
      </x:c>
      <x:c r="E1035" s="16" t="str">
        <x:v>Missing email</x:v>
      </x:c>
    </x:row>
    <x:row r="1036">
      <x:c r="A1036" s="16" t="n">
        <x:v>1052</x:v>
      </x:c>
      <x:c r="B1036" s="16" t="str">
        <x:v>Asmad Pejabat Tanah Johari</x:v>
      </x:c>
      <x:c r="C1036" s="16" t="str"/>
      <x:c r="D1036" s="16" t="str">
        <x:v>* myContacts</x:v>
      </x:c>
      <x:c r="E1036" s="16" t="str">
        <x:v>Missing email</x:v>
      </x:c>
    </x:row>
    <x:row r="1037">
      <x:c r="A1037" s="16" t="n">
        <x:v>1053</x:v>
      </x:c>
      <x:c r="B1037" s="16" t="str">
        <x:v>Asmadi Esa</x:v>
      </x:c>
      <x:c r="C1037" s="16" t="str"/>
      <x:c r="D1037" s="16" t="str">
        <x:v>* myContacts</x:v>
      </x:c>
      <x:c r="E1037" s="16" t="str">
        <x:v>Missing email</x:v>
      </x:c>
    </x:row>
    <x:row r="1038">
      <x:c r="A1038" s="16" t="n">
        <x:v>1054</x:v>
      </x:c>
      <x:c r="B1038" s="16" t="str">
        <x:v>Asmadi Ibrahim</x:v>
      </x:c>
      <x:c r="C1038" s="16" t="str"/>
      <x:c r="D1038" s="16" t="str">
        <x:v>* myContacts</x:v>
      </x:c>
      <x:c r="E1038" s="16" t="str">
        <x:v>Missing email</x:v>
      </x:c>
    </x:row>
    <x:row r="1039">
      <x:c r="A1039" s="16" t="n">
        <x:v>1055</x:v>
      </x:c>
      <x:c r="B1039" s="16" t="str">
        <x:v>Asmah AGP</x:v>
      </x:c>
      <x:c r="C1039" s="16" t="str"/>
      <x:c r="D1039" s="16" t="str">
        <x:v>* myContacts</x:v>
      </x:c>
      <x:c r="E1039" s="16" t="str">
        <x:v>Missing email</x:v>
      </x:c>
    </x:row>
    <x:row r="1040">
      <x:c r="A1040" s="16" t="n">
        <x:v>1056</x:v>
      </x:c>
      <x:c r="B1040" s="16" t="str">
        <x:v>Asmali Mali</x:v>
      </x:c>
      <x:c r="C1040" s="16" t="str"/>
      <x:c r="D1040" s="16" t="str">
        <x:v>* myContacts</x:v>
      </x:c>
      <x:c r="E1040" s="16" t="str">
        <x:v>Missing email</x:v>
      </x:c>
    </x:row>
    <x:row r="1041">
      <x:c r="A1041" s="16" t="n">
        <x:v>1057</x:v>
      </x:c>
      <x:c r="B1041" s="16" t="str">
        <x:v>Asmanuri Ali</x:v>
      </x:c>
      <x:c r="C1041" s="16" t="str"/>
      <x:c r="D1041" s="16" t="str">
        <x:v>* myContacts</x:v>
      </x:c>
      <x:c r="E1041" s="16" t="str">
        <x:v>Missing email</x:v>
      </x:c>
    </x:row>
    <x:row r="1042">
      <x:c r="A1042" s="16" t="n">
        <x:v>1058</x:v>
      </x:c>
      <x:c r="B1042" s="16" t="str">
        <x:v>Asmida Zabori</x:v>
      </x:c>
      <x:c r="C1042" s="16" t="str"/>
      <x:c r="D1042" s="16" t="str">
        <x:v>* myContacts</x:v>
      </x:c>
      <x:c r="E1042" s="16" t="str">
        <x:v>Missing email</x:v>
      </x:c>
    </x:row>
    <x:row r="1043">
      <x:c r="A1043" s="16" t="n">
        <x:v>1059</x:v>
      </x:c>
      <x:c r="B1043" s="16" t="str">
        <x:v>Asmimi AGP</x:v>
      </x:c>
      <x:c r="C1043" s="16" t="str"/>
      <x:c r="D1043" s="16" t="str">
        <x:v>* myContacts</x:v>
      </x:c>
      <x:c r="E1043" s="16" t="str">
        <x:v>Missing email</x:v>
      </x:c>
    </x:row>
    <x:row r="1044">
      <x:c r="A1044" s="16" t="n">
        <x:v>1060</x:v>
      </x:c>
      <x:c r="B1044" s="16" t="str">
        <x:v>Asmira Ahmad</x:v>
      </x:c>
      <x:c r="C1044" s="16" t="str"/>
      <x:c r="D1044" s="16" t="str">
        <x:v>* myContacts</x:v>
      </x:c>
      <x:c r="E1044" s="16" t="str">
        <x:v>Missing email</x:v>
      </x:c>
    </x:row>
    <x:row r="1045">
      <x:c r="A1045" s="16" t="n">
        <x:v>1061</x:v>
      </x:c>
      <x:c r="B1045" s="16" t="str">
        <x:v>Asmira Hassan</x:v>
      </x:c>
      <x:c r="C1045" s="16" t="str"/>
      <x:c r="D1045" s="16" t="str">
        <x:v>* myContacts</x:v>
      </x:c>
      <x:c r="E1045" s="16" t="str">
        <x:v>Missing email</x:v>
      </x:c>
    </x:row>
    <x:row r="1046">
      <x:c r="A1046" s="16" t="n">
        <x:v>1062</x:v>
      </x:c>
      <x:c r="B1046" s="16" t="str">
        <x:v>Asmita Alias Eita</x:v>
      </x:c>
      <x:c r="C1046" s="16" t="str"/>
      <x:c r="D1046" s="16" t="str">
        <x:v>* myContacts</x:v>
      </x:c>
      <x:c r="E1046" s="16" t="str">
        <x:v>Missing email</x:v>
      </x:c>
    </x:row>
    <x:row r="1047">
      <x:c r="A1047" s="16" t="n">
        <x:v>1063</x:v>
      </x:c>
      <x:c r="B1047" s="16" t="str">
        <x:v>Asnawi Isa</x:v>
      </x:c>
      <x:c r="C1047" s="16" t="str"/>
      <x:c r="D1047" s="16" t="str">
        <x:v>* myContacts</x:v>
      </x:c>
      <x:c r="E1047" s="16" t="str">
        <x:v>Missing email</x:v>
      </x:c>
    </x:row>
    <x:row r="1048">
      <x:c r="A1048" s="16" t="n">
        <x:v>1064</x:v>
      </x:c>
      <x:c r="B1048" s="16" t="str">
        <x:v>Asnie Asrie</x:v>
      </x:c>
      <x:c r="C1048" s="16" t="str"/>
      <x:c r="D1048" s="16" t="str">
        <x:v>* myContacts</x:v>
      </x:c>
      <x:c r="E1048" s="16" t="str">
        <x:v>Missing email</x:v>
      </x:c>
    </x:row>
    <x:row r="1049">
      <x:c r="A1049" s="16" t="n">
        <x:v>1065</x:v>
      </x:c>
      <x:c r="B1049" s="16" t="str">
        <x:v>Asnita Azmi</x:v>
      </x:c>
      <x:c r="C1049" s="16" t="str"/>
      <x:c r="D1049" s="16" t="str">
        <x:v>* myContacts</x:v>
      </x:c>
      <x:c r="E1049" s="16" t="str">
        <x:v>Missing email</x:v>
      </x:c>
    </x:row>
    <x:row r="1050">
      <x:c r="A1050" s="16" t="n">
        <x:v>1066</x:v>
      </x:c>
      <x:c r="B1050" s="16" t="str">
        <x:v>Asnul Lazada C6</x:v>
      </x:c>
      <x:c r="C1050" s="16" t="str"/>
      <x:c r="D1050" s="16" t="str">
        <x:v>* myContacts</x:v>
      </x:c>
      <x:c r="E1050" s="16" t="str">
        <x:v>Missing email</x:v>
      </x:c>
    </x:row>
    <x:row r="1051">
      <x:c r="A1051" s="16" t="n">
        <x:v>1067</x:v>
      </x:c>
      <x:c r="B1051" s="16" t="str">
        <x:v>Asraf Afrizal</x:v>
      </x:c>
      <x:c r="C1051" s="16" t="str"/>
      <x:c r="D1051" s="16" t="str">
        <x:v>* myContacts</x:v>
      </x:c>
      <x:c r="E1051" s="16" t="str">
        <x:v>Missing email</x:v>
      </x:c>
    </x:row>
    <x:row r="1052">
      <x:c r="A1052" s="16" t="n">
        <x:v>1068</x:v>
      </x:c>
      <x:c r="B1052" s="16" t="str">
        <x:v>Asraf Ngadinin</x:v>
      </x:c>
      <x:c r="C1052" s="16" t="str"/>
      <x:c r="D1052" s="16" t="str">
        <x:v>* myContacts</x:v>
      </x:c>
      <x:c r="E1052" s="16" t="str">
        <x:v>Missing email</x:v>
      </x:c>
    </x:row>
    <x:row r="1053">
      <x:c r="A1053" s="16" t="n">
        <x:v>1069</x:v>
      </x:c>
      <x:c r="B1053" s="16" t="str">
        <x:v>Asrar</x:v>
      </x:c>
      <x:c r="C1053" s="16" t="str"/>
      <x:c r="D1053" s="16" t="str">
        <x:v>* myContacts</x:v>
      </x:c>
      <x:c r="E1053" s="16" t="str">
        <x:v>Missing email</x:v>
      </x:c>
    </x:row>
    <x:row r="1054">
      <x:c r="A1054" s="16" t="n">
        <x:v>1071</x:v>
      </x:c>
      <x:c r="B1054" s="16" t="str">
        <x:v>Asri Ghani</x:v>
      </x:c>
      <x:c r="C1054" s="16" t="str"/>
      <x:c r="D1054" s="16" t="str">
        <x:v>* myContacts</x:v>
      </x:c>
      <x:c r="E1054" s="16" t="str">
        <x:v>Missing email</x:v>
      </x:c>
    </x:row>
    <x:row r="1055">
      <x:c r="A1055" s="16" t="n">
        <x:v>1072</x:v>
      </x:c>
      <x:c r="B1055" s="16" t="str">
        <x:v>Asri Hamid</x:v>
      </x:c>
      <x:c r="C1055" s="16" t="str"/>
      <x:c r="D1055" s="16" t="str">
        <x:v>* myContacts</x:v>
      </x:c>
      <x:c r="E1055" s="16" t="str">
        <x:v>Missing email</x:v>
      </x:c>
    </x:row>
    <x:row r="1056">
      <x:c r="A1056" s="16" t="n">
        <x:v>1073</x:v>
      </x:c>
      <x:c r="B1056" s="16" t="str">
        <x:v>Asri Samian</x:v>
      </x:c>
      <x:c r="C1056" s="16" t="str"/>
      <x:c r="D1056" s="16" t="str">
        <x:v>* myContacts</x:v>
      </x:c>
      <x:c r="E1056" s="16" t="str">
        <x:v>Missing email</x:v>
      </x:c>
    </x:row>
    <x:row r="1057">
      <x:c r="A1057" s="16" t="n">
        <x:v>1074</x:v>
      </x:c>
      <x:c r="B1057" s="16" t="str">
        <x:v>Asri  Trainer Tvet Mdec</x:v>
      </x:c>
      <x:c r="C1057" s="16" t="str"/>
      <x:c r="D1057" s="16" t="str">
        <x:v>Trainer | * myContacts</x:v>
      </x:c>
      <x:c r="E1057" s="16" t="str">
        <x:v>Missing email</x:v>
      </x:c>
    </x:row>
    <x:row r="1058">
      <x:c r="A1058" s="16" t="n">
        <x:v>1075</x:v>
      </x:c>
      <x:c r="B1058" s="16" t="str">
        <x:v>Asril Hjn Btlg</x:v>
      </x:c>
      <x:c r="C1058" s="16" t="str"/>
      <x:c r="D1058" s="16" t="str">
        <x:v>* myContacts</x:v>
      </x:c>
      <x:c r="E1058" s="16" t="str">
        <x:v>Missing email</x:v>
      </x:c>
    </x:row>
    <x:row r="1059">
      <x:c r="A1059" s="16" t="n">
        <x:v>1076</x:v>
      </x:c>
      <x:c r="B1059" s="16" t="str">
        <x:v>Asririn Rinz</x:v>
      </x:c>
      <x:c r="C1059" s="16" t="str"/>
      <x:c r="D1059" s="16" t="str">
        <x:v>* myContacts</x:v>
      </x:c>
      <x:c r="E1059" s="16" t="str">
        <x:v>Missing email</x:v>
      </x:c>
    </x:row>
    <x:row r="1060">
      <x:c r="A1060" s="16" t="n">
        <x:v>1077</x:v>
      </x:c>
      <x:c r="B1060" s="16" t="str">
        <x:v>Asrul Afandi</x:v>
      </x:c>
      <x:c r="C1060" s="16" t="str"/>
      <x:c r="D1060" s="16" t="str">
        <x:v>* myContacts</x:v>
      </x:c>
      <x:c r="E1060" s="16" t="str">
        <x:v>Missing email</x:v>
      </x:c>
    </x:row>
    <x:row r="1061">
      <x:c r="A1061" s="16" t="n">
        <x:v>1078</x:v>
      </x:c>
      <x:c r="B1061" s="16" t="str">
        <x:v>Asrul Mahamud</x:v>
      </x:c>
      <x:c r="C1061" s="16" t="str"/>
      <x:c r="D1061" s="16" t="str">
        <x:v>* myContacts</x:v>
      </x:c>
      <x:c r="E1061" s="16" t="str">
        <x:v>Missing email</x:v>
      </x:c>
    </x:row>
    <x:row r="1062">
      <x:c r="A1062" s="16" t="n">
        <x:v>1079</x:v>
      </x:c>
      <x:c r="B1062" s="16" t="str">
        <x:v>Assyikkin Ibrahim</x:v>
      </x:c>
      <x:c r="C1062" s="16" t="str"/>
      <x:c r="D1062" s="16" t="str">
        <x:v>* myContacts</x:v>
      </x:c>
      <x:c r="E1062" s="16" t="str">
        <x:v>Missing email</x:v>
      </x:c>
    </x:row>
    <x:row r="1063">
      <x:c r="A1063" s="16" t="n">
        <x:v>1080</x:v>
      </x:c>
      <x:c r="B1063" s="16" t="str">
        <x:v>Astana Drmz</x:v>
      </x:c>
      <x:c r="C1063" s="16" t="str"/>
      <x:c r="D1063" s="16" t="str">
        <x:v>* myContacts</x:v>
      </x:c>
      <x:c r="E1063" s="16" t="str">
        <x:v>Missing email</x:v>
      </x:c>
    </x:row>
    <x:row r="1064">
      <x:c r="A1064" s="16" t="n">
        <x:v>1081</x:v>
      </x:c>
      <x:c r="B1064" s="16" t="str">
        <x:v>Astika Citra Ananda Putri</x:v>
      </x:c>
      <x:c r="C1064" s="16" t="str"/>
      <x:c r="D1064" s="16" t="str">
        <x:v>* myContacts</x:v>
      </x:c>
      <x:c r="E1064" s="16" t="str">
        <x:v>Missing email</x:v>
      </x:c>
    </x:row>
    <x:row r="1065">
      <x:c r="A1065" s="16" t="n">
        <x:v>1082</x:v>
      </x:c>
      <x:c r="B1065" s="16" t="str">
        <x:v>Aswadhy Rahadhy Reihand</x:v>
      </x:c>
      <x:c r="C1065" s="16" t="str"/>
      <x:c r="D1065" s="16" t="str">
        <x:v>* myContacts</x:v>
      </x:c>
      <x:c r="E1065" s="16" t="str">
        <x:v>Missing email</x:v>
      </x:c>
    </x:row>
    <x:row r="1066">
      <x:c r="A1066" s="16" t="n">
        <x:v>1083</x:v>
      </x:c>
      <x:c r="B1066" s="16" t="str">
        <x:v>Asyifa PuriLia AzZahra</x:v>
      </x:c>
      <x:c r="C1066" s="16" t="str"/>
      <x:c r="D1066" s="16" t="str">
        <x:v>* myContacts</x:v>
      </x:c>
      <x:c r="E1066" s="16" t="str">
        <x:v>Missing email</x:v>
      </x:c>
    </x:row>
    <x:row r="1067">
      <x:c r="A1067" s="16" t="n">
        <x:v>1084</x:v>
      </x:c>
      <x:c r="B1067" s="16" t="str">
        <x:v>Asyraf Bakri</x:v>
      </x:c>
      <x:c r="C1067" s="16" t="str"/>
      <x:c r="D1067" s="16" t="str">
        <x:v>* myContacts</x:v>
      </x:c>
      <x:c r="E1067" s="16" t="str">
        <x:v>Missing email</x:v>
      </x:c>
    </x:row>
    <x:row r="1068">
      <x:c r="A1068" s="16" t="n">
        <x:v>1085</x:v>
      </x:c>
      <x:c r="B1068" s="16" t="str">
        <x:v>Asyraf Fadli</x:v>
      </x:c>
      <x:c r="C1068" s="16" t="str"/>
      <x:c r="D1068" s="16" t="str">
        <x:v>* myContacts</x:v>
      </x:c>
      <x:c r="E1068" s="16" t="str">
        <x:v>Missing email</x:v>
      </x:c>
    </x:row>
    <x:row r="1069">
      <x:c r="A1069" s="16" t="n">
        <x:v>1086</x:v>
      </x:c>
      <x:c r="B1069" s="16" t="str">
        <x:v>Asyraf Farysa</x:v>
      </x:c>
      <x:c r="C1069" s="16" t="str"/>
      <x:c r="D1069" s="16" t="str">
        <x:v>* myContacts</x:v>
      </x:c>
      <x:c r="E1069" s="16" t="str">
        <x:v>Missing email</x:v>
      </x:c>
    </x:row>
    <x:row r="1070">
      <x:c r="A1070" s="16" t="n">
        <x:v>1087</x:v>
      </x:c>
      <x:c r="B1070" s="16" t="str">
        <x:v>Asyraf Fauzi</x:v>
      </x:c>
      <x:c r="C1070" s="16" t="str"/>
      <x:c r="D1070" s="16" t="str">
        <x:v>* myContacts</x:v>
      </x:c>
      <x:c r="E1070" s="16" t="str">
        <x:v>Missing email</x:v>
      </x:c>
    </x:row>
    <x:row r="1071">
      <x:c r="A1071" s="16" t="n">
        <x:v>1088</x:v>
      </x:c>
      <x:c r="B1071" s="16" t="str">
        <x:v>Asyraf Fixz</x:v>
      </x:c>
      <x:c r="C1071" s="16" t="str"/>
      <x:c r="D1071" s="16" t="str">
        <x:v>* myContacts</x:v>
      </x:c>
      <x:c r="E1071" s="16" t="str">
        <x:v>Missing email</x:v>
      </x:c>
    </x:row>
    <x:row r="1072">
      <x:c r="A1072" s="16" t="n">
        <x:v>1089</x:v>
      </x:c>
      <x:c r="B1072" s="16" t="str">
        <x:v>Asyraf Jamal</x:v>
      </x:c>
      <x:c r="C1072" s="16" t="str"/>
      <x:c r="D1072" s="16" t="str">
        <x:v>* myContacts</x:v>
      </x:c>
      <x:c r="E1072" s="16" t="str">
        <x:v>Missing email</x:v>
      </x:c>
    </x:row>
    <x:row r="1073">
      <x:c r="A1073" s="16" t="n">
        <x:v>1090</x:v>
      </x:c>
      <x:c r="B1073" s="16" t="str">
        <x:v>Asyraf Kamal</x:v>
      </x:c>
      <x:c r="C1073" s="16" t="str"/>
      <x:c r="D1073" s="16" t="str">
        <x:v>* myContacts</x:v>
      </x:c>
      <x:c r="E1073" s="16" t="str">
        <x:v>Missing email</x:v>
      </x:c>
    </x:row>
    <x:row r="1074">
      <x:c r="A1074" s="16" t="n">
        <x:v>1091</x:v>
      </x:c>
      <x:c r="B1074" s="16" t="str">
        <x:v>Asyraf Khairi</x:v>
      </x:c>
      <x:c r="C1074" s="16" t="str"/>
      <x:c r="D1074" s="16" t="str">
        <x:v>* myContacts</x:v>
      </x:c>
      <x:c r="E1074" s="16" t="str">
        <x:v>Missing email</x:v>
      </x:c>
    </x:row>
    <x:row r="1075">
      <x:c r="A1075" s="16" t="n">
        <x:v>1092</x:v>
      </x:c>
      <x:c r="B1075" s="16" t="str">
        <x:v>Asyraf Nasir</x:v>
      </x:c>
      <x:c r="C1075" s="16" t="str"/>
      <x:c r="D1075" s="16" t="str">
        <x:v>* myContacts</x:v>
      </x:c>
      <x:c r="E1075" s="16" t="str">
        <x:v>Missing email</x:v>
      </x:c>
    </x:row>
    <x:row r="1076">
      <x:c r="A1076" s="16" t="n">
        <x:v>1093</x:v>
      </x:c>
      <x:c r="B1076" s="16" t="str">
        <x:v>Asyraf Urut dan Jaga Strok</x:v>
      </x:c>
      <x:c r="C1076" s="16" t="str"/>
      <x:c r="D1076" s="16" t="str">
        <x:v>* myContacts</x:v>
      </x:c>
      <x:c r="E1076" s="16" t="str">
        <x:v>Missing email</x:v>
      </x:c>
    </x:row>
    <x:row r="1077">
      <x:c r="A1077" s="16" t="n">
        <x:v>1094</x:v>
      </x:c>
      <x:c r="B1077" s="16" t="str">
        <x:v>Aszmida Mida</x:v>
      </x:c>
      <x:c r="C1077" s="16" t="str"/>
      <x:c r="D1077" s="16" t="str">
        <x:v>* myContacts</x:v>
      </x:c>
      <x:c r="E1077" s="16" t="str">
        <x:v>Missing email</x:v>
      </x:c>
    </x:row>
    <x:row r="1078">
      <x:c r="A1078" s="16" t="n">
        <x:v>1095</x:v>
      </x:c>
      <x:c r="B1078" s="16" t="str">
        <x:v>Atan Adik Wife</x:v>
      </x:c>
      <x:c r="C1078" s="16" t="str"/>
      <x:c r="D1078" s="16" t="str">
        <x:v>* myContacts</x:v>
      </x:c>
      <x:c r="E1078" s="16" t="str">
        <x:v>Missing email</x:v>
      </x:c>
    </x:row>
    <x:row r="1079">
      <x:c r="A1079" s="16" t="n">
        <x:v>1096</x:v>
      </x:c>
      <x:c r="B1079" s="16" t="str">
        <x:v>ATAN Edly</x:v>
      </x:c>
      <x:c r="C1079" s="16" t="str"/>
      <x:c r="D1079" s="16" t="str">
        <x:v>* myContacts</x:v>
      </x:c>
      <x:c r="E1079" s="16" t="str">
        <x:v>Missing email</x:v>
      </x:c>
    </x:row>
    <x:row r="1080">
      <x:c r="A1080" s="16" t="n">
        <x:v>1097</x:v>
      </x:c>
      <x:c r="B1080" s="16" t="str">
        <x:v>Atan Watomey</x:v>
      </x:c>
      <x:c r="C1080" s="16" t="str"/>
      <x:c r="D1080" s="16" t="str">
        <x:v>* myContacts</x:v>
      </x:c>
      <x:c r="E1080" s="16" t="str">
        <x:v>Missing email</x:v>
      </x:c>
    </x:row>
    <x:row r="1081">
      <x:c r="A1081" s="16" t="n">
        <x:v>1098</x:v>
      </x:c>
      <x:c r="B1081" s="16" t="str">
        <x:v>Athey Hansthey Jr.</x:v>
      </x:c>
      <x:c r="C1081" s="16" t="str"/>
      <x:c r="D1081" s="16" t="str">
        <x:v>* myContacts</x:v>
      </x:c>
      <x:c r="E1081" s="16" t="str">
        <x:v>Missing email</x:v>
      </x:c>
    </x:row>
    <x:row r="1082">
      <x:c r="A1082" s="16" t="n">
        <x:v>1099</x:v>
      </x:c>
      <x:c r="B1082" s="16" t="str">
        <x:v>Atie Samat</x:v>
      </x:c>
      <x:c r="C1082" s="16" t="str"/>
      <x:c r="D1082" s="16" t="str">
        <x:v>* myContacts</x:v>
      </x:c>
      <x:c r="E1082" s="16" t="str">
        <x:v>Missing email</x:v>
      </x:c>
    </x:row>
    <x:row r="1083">
      <x:c r="A1083" s="16" t="n">
        <x:v>1100</x:v>
      </x:c>
      <x:c r="B1083" s="16" t="str">
        <x:v>Atif Aisyah</x:v>
      </x:c>
      <x:c r="C1083" s="16" t="str"/>
      <x:c r="D1083" s="16" t="str">
        <x:v>* myContacts</x:v>
      </x:c>
      <x:c r="E1083" s="16" t="str">
        <x:v>Missing email</x:v>
      </x:c>
    </x:row>
    <x:row r="1084">
      <x:c r="A1084" s="16" t="n">
        <x:v>1101</x:v>
      </x:c>
      <x:c r="B1084" s="16" t="str">
        <x:v>atif nasdaq</x:v>
      </x:c>
      <x:c r="C1084" s="16" t="str"/>
      <x:c r="D1084" s="16" t="str">
        <x:v>* myContacts</x:v>
      </x:c>
      <x:c r="E1084" s="16" t="str">
        <x:v>Missing email</x:v>
      </x:c>
    </x:row>
    <x:row r="1085">
      <x:c r="A1085" s="16" t="n">
        <x:v>1102</x:v>
      </x:c>
      <x:c r="B1085" s="16" t="str">
        <x:v>Atif Shamsuddin</x:v>
      </x:c>
      <x:c r="C1085" s="16" t="str"/>
      <x:c r="D1085" s="16" t="str">
        <x:v>* myContacts</x:v>
      </x:c>
      <x:c r="E1085" s="16" t="str">
        <x:v>Missing email</x:v>
      </x:c>
    </x:row>
    <x:row r="1086">
      <x:c r="A1086" s="16" t="n">
        <x:v>1103</x:v>
      </x:c>
      <x:c r="B1086" s="16" t="str">
        <x:v>Atifah Sumari</x:v>
      </x:c>
      <x:c r="C1086" s="16" t="str"/>
      <x:c r="D1086" s="16" t="str">
        <x:v>* myContacts</x:v>
      </x:c>
      <x:c r="E1086" s="16" t="str">
        <x:v>Missing email</x:v>
      </x:c>
    </x:row>
    <x:row r="1087">
      <x:c r="A1087" s="16" t="n">
        <x:v>1104</x:v>
      </x:c>
      <x:c r="B1087" s="16" t="str">
        <x:v>Atika Kamronny</x:v>
      </x:c>
      <x:c r="C1087" s="16" t="str"/>
      <x:c r="D1087" s="16" t="str">
        <x:v>* myContacts</x:v>
      </x:c>
      <x:c r="E1087" s="16" t="str">
        <x:v>Missing email</x:v>
      </x:c>
    </x:row>
    <x:row r="1088">
      <x:c r="A1088" s="16" t="n">
        <x:v>1105</x:v>
      </x:c>
      <x:c r="B1088" s="16" t="str">
        <x:v>Atika Remimurni</x:v>
      </x:c>
      <x:c r="C1088" s="16" t="str"/>
      <x:c r="D1088" s="16" t="str">
        <x:v>* myContacts</x:v>
      </x:c>
      <x:c r="E1088" s="16" t="str">
        <x:v>Missing email</x:v>
      </x:c>
    </x:row>
    <x:row r="1089">
      <x:c r="A1089" s="16" t="n">
        <x:v>1106</x:v>
      </x:c>
      <x:c r="B1089" s="16" t="str">
        <x:v>Atikah Yusoff</x:v>
      </x:c>
      <x:c r="C1089" s="16" t="str"/>
      <x:c r="D1089" s="16" t="str">
        <x:v>* myContacts</x:v>
      </x:c>
      <x:c r="E1089" s="16" t="str">
        <x:v>Missing email</x:v>
      </x:c>
    </x:row>
    <x:row r="1090">
      <x:c r="A1090" s="16" t="n">
        <x:v>1108</x:v>
      </x:c>
      <x:c r="B1090" s="16" t="str">
        <x:v>Atiqah Norshahfandi</x:v>
      </x:c>
      <x:c r="C1090" s="16" t="str"/>
      <x:c r="D1090" s="16" t="str">
        <x:v>* myContacts</x:v>
      </x:c>
      <x:c r="E1090" s="16" t="str">
        <x:v>Missing email</x:v>
      </x:c>
    </x:row>
    <x:row r="1091">
      <x:c r="A1091" s="16" t="n">
        <x:v>1109</x:v>
      </x:c>
      <x:c r="B1091" s="16" t="str">
        <x:v>atiqqahhatta Mdec</x:v>
      </x:c>
      <x:c r="C1091" s="16" t="str"/>
      <x:c r="D1091" s="16" t="str">
        <x:v>* myContacts</x:v>
      </x:c>
      <x:c r="E1091" s="16" t="str">
        <x:v>Missing email</x:v>
      </x:c>
    </x:row>
    <x:row r="1092">
      <x:c r="A1092" s="16" t="n">
        <x:v>1110</x:v>
      </x:c>
      <x:c r="B1092" s="16" t="str">
        <x:v>Atok Wan</x:v>
      </x:c>
      <x:c r="C1092" s="16" t="str"/>
      <x:c r="D1092" s="16" t="str">
        <x:v>* myContacts</x:v>
      </x:c>
      <x:c r="E1092" s="16" t="str">
        <x:v>Missing email</x:v>
      </x:c>
    </x:row>
    <x:row r="1093">
      <x:c r="A1093" s="16" t="n">
        <x:v>1111</x:v>
      </x:c>
      <x:c r="B1093" s="16" t="str">
        <x:v>ATOMY MOHD HAILME B HASSAN</x:v>
      </x:c>
      <x:c r="C1093" s="16" t="str"/>
      <x:c r="D1093" s="16" t="str">
        <x:v>* myContacts</x:v>
      </x:c>
      <x:c r="E1093" s="16" t="str">
        <x:v>Missing email</x:v>
      </x:c>
    </x:row>
    <x:row r="1094">
      <x:c r="A1094" s="16" t="n">
        <x:v>1112</x:v>
      </x:c>
      <x:c r="B1094" s="16" t="str">
        <x:v>Atomy Mohd Ramly Bin Ngah Idris</x:v>
      </x:c>
      <x:c r="C1094" s="16" t="str"/>
      <x:c r="D1094" s="16" t="str">
        <x:v>* myContacts</x:v>
      </x:c>
      <x:c r="E1094" s="16" t="str">
        <x:v>Missing email</x:v>
      </x:c>
    </x:row>
    <x:row r="1095">
      <x:c r="A1095" s="16" t="n">
        <x:v>1113</x:v>
      </x:c>
      <x:c r="B1095" s="16" t="str">
        <x:v>Atomy SAMSOL B HUSSIN</x:v>
      </x:c>
      <x:c r="C1095" s="16" t="str"/>
      <x:c r="D1095" s="16" t="str">
        <x:v>* myContacts</x:v>
      </x:c>
      <x:c r="E1095" s="16" t="str">
        <x:v>Missing email</x:v>
      </x:c>
    </x:row>
    <x:row r="1096">
      <x:c r="A1096" s="16" t="n">
        <x:v>1114</x:v>
      </x:c>
      <x:c r="B1096" s="16" t="str">
        <x:v>Atomy Samsul</x:v>
      </x:c>
      <x:c r="C1096" s="16" t="str"/>
      <x:c r="D1096" s="16" t="str">
        <x:v>* myContacts</x:v>
      </x:c>
      <x:c r="E1096" s="16" t="str">
        <x:v>Missing email</x:v>
      </x:c>
    </x:row>
    <x:row r="1097">
      <x:c r="A1097" s="16" t="n">
        <x:v>1115</x:v>
      </x:c>
      <x:c r="B1097" s="16" t="str">
        <x:v>Atomy Yani Tauke Thea Binti Abdul Rahman</x:v>
      </x:c>
      <x:c r="C1097" s="16" t="str"/>
      <x:c r="D1097" s="16" t="str">
        <x:v>* myContacts</x:v>
      </x:c>
      <x:c r="E1097" s="16" t="str">
        <x:v>Missing email</x:v>
      </x:c>
    </x:row>
    <x:row r="1098">
      <x:c r="A1098" s="16" t="n">
        <x:v>1116</x:v>
      </x:c>
      <x:c r="B1098" s="16" t="str">
        <x:v>Attie Lee</x:v>
      </x:c>
      <x:c r="C1098" s="16" t="str"/>
      <x:c r="D1098" s="16" t="str">
        <x:v>* myContacts</x:v>
      </x:c>
      <x:c r="E1098" s="16" t="str">
        <x:v>Missing email</x:v>
      </x:c>
    </x:row>
    <x:row r="1099">
      <x:c r="A1099" s="16" t="n">
        <x:v>1117</x:v>
      </x:c>
      <x:c r="B1099" s="16" t="str">
        <x:v>Attirah Kbbc Agent</x:v>
      </x:c>
      <x:c r="C1099" s="16" t="str"/>
      <x:c r="D1099" s="16" t="str">
        <x:v>* myContacts</x:v>
      </x:c>
      <x:c r="E1099" s="16" t="str">
        <x:v>Missing email</x:v>
      </x:c>
    </x:row>
    <x:row r="1100">
      <x:c r="A1100" s="16" t="n">
        <x:v>1118</x:v>
      </x:c>
      <x:c r="B1100" s="16" t="str">
        <x:v>Aulia Rosa Liya</x:v>
      </x:c>
      <x:c r="C1100" s="16" t="str"/>
      <x:c r="D1100" s="16" t="str">
        <x:v>* myContacts</x:v>
      </x:c>
      <x:c r="E1100" s="16" t="str">
        <x:v>Missing email</x:v>
      </x:c>
    </x:row>
    <x:row r="1101">
      <x:c r="A1101" s="16" t="n">
        <x:v>1119</x:v>
      </x:c>
      <x:c r="B1101" s="16" t="str">
        <x:v>Aunee Putry</x:v>
      </x:c>
      <x:c r="C1101" s="16" t="str"/>
      <x:c r="D1101" s="16" t="str">
        <x:v>* myContacts</x:v>
      </x:c>
      <x:c r="E1101" s="16" t="str">
        <x:v>Missing email</x:v>
      </x:c>
    </x:row>
    <x:row r="1102">
      <x:c r="A1102" s="16" t="n">
        <x:v>1120</x:v>
      </x:c>
      <x:c r="B1102" s="16" t="str">
        <x:v>Auni Najihah</x:v>
      </x:c>
      <x:c r="C1102" s="16" t="str"/>
      <x:c r="D1102" s="16" t="str">
        <x:v>* myContacts</x:v>
      </x:c>
      <x:c r="E1102" s="16" t="str">
        <x:v>Missing email</x:v>
      </x:c>
    </x:row>
    <x:row r="1103">
      <x:c r="A1103" s="16" t="n">
        <x:v>1121</x:v>
      </x:c>
      <x:c r="B1103" s="16" t="str">
        <x:v>auntie homestay</x:v>
      </x:c>
      <x:c r="C1103" s="16" t="str"/>
      <x:c r="D1103" s="16" t="str">
        <x:v>* myContacts</x:v>
      </x:c>
      <x:c r="E1103" s="16" t="str">
        <x:v>Missing email</x:v>
      </x:c>
    </x:row>
    <x:row r="1104">
      <x:c r="A1104" s="16" t="n">
        <x:v>1122</x:v>
      </x:c>
      <x:c r="B1104" s="16" t="str">
        <x:v>Aunty Yati AGP</x:v>
      </x:c>
      <x:c r="C1104" s="16" t="str"/>
      <x:c r="D1104" s="16" t="str">
        <x:v>* myContacts</x:v>
      </x:c>
      <x:c r="E1104" s="16" t="str">
        <x:v>Missing email</x:v>
      </x:c>
    </x:row>
    <x:row r="1105">
      <x:c r="A1105" s="16" t="n">
        <x:v>1123</x:v>
      </x:c>
      <x:c r="B1105" s="16" t="str">
        <x:v>Auralens Seremban</x:v>
      </x:c>
      <x:c r="C1105" s="16" t="str"/>
      <x:c r="D1105" s="16" t="str">
        <x:v>* myContacts</x:v>
      </x:c>
      <x:c r="E1105" s="16" t="str">
        <x:v>Missing email</x:v>
      </x:c>
    </x:row>
    <x:row r="1106">
      <x:c r="A1106" s="16" t="n">
        <x:v>1124</x:v>
      </x:c>
      <x:c r="B1106" s="16" t="str">
        <x:v>Auto whatsapp</x:v>
      </x:c>
      <x:c r="C1106" s="16" t="str"/>
      <x:c r="D1106" s="16" t="str">
        <x:v>* myContacts</x:v>
      </x:c>
      <x:c r="E1106" s="16" t="str">
        <x:v>Missing email</x:v>
      </x:c>
    </x:row>
    <x:row r="1107">
      <x:c r="A1107" s="16" t="n">
        <x:v>1125</x:v>
      </x:c>
      <x:c r="B1107" s="16" t="str">
        <x:v>AutoPM Jootawan</x:v>
      </x:c>
      <x:c r="C1107" s="16" t="str"/>
      <x:c r="D1107" s="16" t="str">
        <x:v>* myContacts</x:v>
      </x:c>
      <x:c r="E1107" s="16" t="str">
        <x:v>Missing email</x:v>
      </x:c>
    </x:row>
    <x:row r="1108">
      <x:c r="A1108" s="16" t="n">
        <x:v>1126</x:v>
      </x:c>
      <x:c r="B1108" s="16" t="str">
        <x:v>Auzaie Azraien</x:v>
      </x:c>
      <x:c r="C1108" s="16" t="str"/>
      <x:c r="D1108" s="16" t="str">
        <x:v>* myContacts</x:v>
      </x:c>
      <x:c r="E1108" s="16" t="str">
        <x:v>Missing email</x:v>
      </x:c>
    </x:row>
    <x:row r="1109">
      <x:c r="A1109" s="16" t="n">
        <x:v>1127</x:v>
      </x:c>
      <x:c r="B1109" s="16" t="str">
        <x:v>Awaken Roslan</x:v>
      </x:c>
      <x:c r="C1109" s="16" t="str"/>
      <x:c r="D1109" s="16" t="str">
        <x:v>* myContacts</x:v>
      </x:c>
      <x:c r="E1109" s="16" t="str">
        <x:v>Missing email</x:v>
      </x:c>
    </x:row>
    <x:row r="1110">
      <x:c r="A1110" s="16" t="n">
        <x:v>1128</x:v>
      </x:c>
      <x:c r="B1110" s="16" t="str">
        <x:v>Awal Mat Nawi</x:v>
      </x:c>
      <x:c r="C1110" s="16" t="str"/>
      <x:c r="D1110" s="16" t="str">
        <x:v>* myContacts</x:v>
      </x:c>
      <x:c r="E1110" s="16" t="str">
        <x:v>Missing email</x:v>
      </x:c>
    </x:row>
    <x:row r="1111">
      <x:c r="A1111" s="16" t="n">
        <x:v>1129</x:v>
      </x:c>
      <x:c r="B1111" s="16" t="str">
        <x:v>Awalus Syawali</x:v>
      </x:c>
      <x:c r="C1111" s="16" t="str"/>
      <x:c r="D1111" s="16" t="str">
        <x:v>* myContacts</x:v>
      </x:c>
      <x:c r="E1111" s="16" t="str">
        <x:v>Missing email</x:v>
      </x:c>
    </x:row>
    <x:row r="1112">
      <x:c r="A1112" s="16" t="n">
        <x:v>1130</x:v>
      </x:c>
      <x:c r="B1112" s="16" t="str">
        <x:v>Awan Nano Full</x:v>
      </x:c>
      <x:c r="C1112" s="16" t="str"/>
      <x:c r="D1112" s="16" t="str">
        <x:v>* myContacts</x:v>
      </x:c>
      <x:c r="E1112" s="16" t="str">
        <x:v>Missing email</x:v>
      </x:c>
    </x:row>
    <x:row r="1113">
      <x:c r="A1113" s="16" t="n">
        <x:v>1131</x:v>
      </x:c>
      <x:c r="B1113" s="16" t="str">
        <x:v>Awana Mdec</x:v>
      </x:c>
      <x:c r="C1113" s="16" t="str"/>
      <x:c r="D1113" s="16" t="str">
        <x:v>* myContacts</x:v>
      </x:c>
      <x:c r="E1113" s="16" t="str">
        <x:v>Missing email</x:v>
      </x:c>
    </x:row>
    <x:row r="1114">
      <x:c r="A1114" s="16" t="n">
        <x:v>1132</x:v>
      </x:c>
      <x:c r="B1114" s="16" t="str">
        <x:v>Awang Azly Awang</x:v>
      </x:c>
      <x:c r="C1114" s="16" t="str"/>
      <x:c r="D1114" s="16" t="str">
        <x:v>* myContacts</x:v>
      </x:c>
      <x:c r="E1114" s="16" t="str">
        <x:v>Missing email</x:v>
      </x:c>
    </x:row>
    <x:row r="1115">
      <x:c r="A1115" s="16" t="n">
        <x:v>1133</x:v>
      </x:c>
      <x:c r="B1115" s="16" t="str">
        <x:v>Awang Zaki</x:v>
      </x:c>
      <x:c r="C1115" s="16" t="str"/>
      <x:c r="D1115" s="16" t="str">
        <x:v>* myContacts</x:v>
      </x:c>
      <x:c r="E1115" s="16" t="str">
        <x:v>Missing email</x:v>
      </x:c>
    </x:row>
    <x:row r="1116">
      <x:c r="A1116" s="16" t="n">
        <x:v>1134</x:v>
      </x:c>
      <x:c r="B1116" s="16" t="str">
        <x:v>AwangAdibsyafwan Awangsham</x:v>
      </x:c>
      <x:c r="C1116" s="16" t="str"/>
      <x:c r="D1116" s="16" t="str">
        <x:v>* myContacts</x:v>
      </x:c>
      <x:c r="E1116" s="16" t="str">
        <x:v>Missing email</x:v>
      </x:c>
    </x:row>
    <x:row r="1117">
      <x:c r="A1117" s="16" t="n">
        <x:v>1135</x:v>
      </x:c>
      <x:c r="B1117" s="16" t="str">
        <x:v>Awangku Ahmad Zaidi</x:v>
      </x:c>
      <x:c r="C1117" s="16" t="str"/>
      <x:c r="D1117" s="16" t="str">
        <x:v>* myContacts</x:v>
      </x:c>
      <x:c r="E1117" s="16" t="str">
        <x:v>Missing email</x:v>
      </x:c>
    </x:row>
    <x:row r="1118">
      <x:c r="A1118" s="16" t="n">
        <x:v>1136</x:v>
      </x:c>
      <x:c r="B1118" s="16" t="str">
        <x:v>Awe Hakim</x:v>
      </x:c>
      <x:c r="C1118" s="16" t="str"/>
      <x:c r="D1118" s="16" t="str">
        <x:v>* myContacts</x:v>
      </x:c>
      <x:c r="E1118" s="16" t="str">
        <x:v>Missing email</x:v>
      </x:c>
    </x:row>
    <x:row r="1119">
      <x:c r="A1119" s="16" t="n">
        <x:v>1137</x:v>
      </x:c>
      <x:c r="B1119" s="16" t="str">
        <x:v>Awe Kelate</x:v>
      </x:c>
      <x:c r="C1119" s="16" t="str"/>
      <x:c r="D1119" s="16" t="str">
        <x:v>* myContacts</x:v>
      </x:c>
      <x:c r="E1119" s="16" t="str">
        <x:v>Missing email</x:v>
      </x:c>
    </x:row>
    <x:row r="1120">
      <x:c r="A1120" s="16" t="n">
        <x:v>1138</x:v>
      </x:c>
      <x:c r="B1120" s="16" t="str">
        <x:v>Awgku Azman AdieyBadz</x:v>
      </x:c>
      <x:c r="C1120" s="16" t="str"/>
      <x:c r="D1120" s="16" t="str">
        <x:v>* myContacts</x:v>
      </x:c>
      <x:c r="E1120" s="16" t="str">
        <x:v>Missing email</x:v>
      </x:c>
    </x:row>
    <x:row r="1121">
      <x:c r="A1121" s="16" t="n">
        <x:v>1139</x:v>
      </x:c>
      <x:c r="B1121" s="16" t="str">
        <x:v>Awi Ahmad</x:v>
      </x:c>
      <x:c r="C1121" s="16" t="str"/>
      <x:c r="D1121" s="16" t="str">
        <x:v>* myContacts</x:v>
      </x:c>
      <x:c r="E1121" s="16" t="str">
        <x:v>Missing email</x:v>
      </x:c>
    </x:row>
    <x:row r="1122">
      <x:c r="A1122" s="16" t="n">
        <x:v>1140</x:v>
      </x:c>
      <x:c r="B1122" s="16" t="str">
        <x:v>Awikman Lamase</x:v>
      </x:c>
      <x:c r="C1122" s="16" t="str"/>
      <x:c r="D1122" s="16" t="str">
        <x:v>* myContacts</x:v>
      </x:c>
      <x:c r="E1122" s="16" t="str">
        <x:v>Missing email</x:v>
      </x:c>
    </x:row>
    <x:row r="1123">
      <x:c r="A1123" s="16" t="n">
        <x:v>1141</x:v>
      </x:c>
      <x:c r="B1123" s="16" t="str">
        <x:v>Ayah</x:v>
      </x:c>
      <x:c r="C1123" s="16" t="str"/>
      <x:c r="D1123" s="16" t="str">
        <x:v>* myContacts</x:v>
      </x:c>
      <x:c r="E1123" s="16" t="str">
        <x:v>Missing email</x:v>
      </x:c>
    </x:row>
    <x:row r="1124">
      <x:c r="A1124" s="16" t="n">
        <x:v>1142</x:v>
      </x:c>
      <x:c r="B1124" s="16" t="str">
        <x:v>ayah mat ketereh</x:v>
      </x:c>
      <x:c r="C1124" s="16" t="str"/>
      <x:c r="D1124" s="16" t="str">
        <x:v>* myContacts</x:v>
      </x:c>
      <x:c r="E1124" s="16" t="str">
        <x:v>Missing email</x:v>
      </x:c>
    </x:row>
    <x:row r="1125">
      <x:c r="A1125" s="16" t="n">
        <x:v>1143</x:v>
      </x:c>
      <x:c r="B1125" s="16" t="str">
        <x:v>Ayah Md Hisham</x:v>
      </x:c>
      <x:c r="C1125" s="16" t="str"/>
      <x:c r="D1125" s="16" t="str">
        <x:v>* myContacts</x:v>
      </x:c>
      <x:c r="E1125" s="16" t="str">
        <x:v>Missing email</x:v>
      </x:c>
    </x:row>
    <x:row r="1126">
      <x:c r="A1126" s="16" t="n">
        <x:v>1144</x:v>
      </x:c>
      <x:c r="B1126" s="16" t="str">
        <x:v>Ayah Zam Merah Bongsu</x:v>
      </x:c>
      <x:c r="C1126" s="16" t="str"/>
      <x:c r="D1126" s="16" t="str">
        <x:v>* myContacts</x:v>
      </x:c>
      <x:c r="E1126" s="16" t="str">
        <x:v>Missing email</x:v>
      </x:c>
    </x:row>
    <x:row r="1127">
      <x:c r="A1127" s="16" t="n">
        <x:v>1145</x:v>
      </x:c>
      <x:c r="B1127" s="16" t="str">
        <x:v>Ayahputri</x:v>
      </x:c>
      <x:c r="C1127" s="16" t="str"/>
      <x:c r="D1127" s="16" t="str">
        <x:v>* myContacts</x:v>
      </x:c>
      <x:c r="E1127" s="16" t="str">
        <x:v>Missing email</x:v>
      </x:c>
    </x:row>
    <x:row r="1128">
      <x:c r="A1128" s="16" t="n">
        <x:v>1146</x:v>
      </x:c>
      <x:c r="B1128" s="16" t="str">
        <x:v>Ayang Komeng</x:v>
      </x:c>
      <x:c r="C1128" s="16" t="str"/>
      <x:c r="D1128" s="16" t="str">
        <x:v>* myContacts</x:v>
      </x:c>
      <x:c r="E1128" s="16" t="str">
        <x:v>Missing email</x:v>
      </x:c>
    </x:row>
    <x:row r="1129">
      <x:c r="A1129" s="16" t="n">
        <x:v>1147</x:v>
      </x:c>
      <x:c r="B1129" s="16" t="str">
        <x:v>Ayangejay Ag Jaafar</x:v>
      </x:c>
      <x:c r="C1129" s="16" t="str"/>
      <x:c r="D1129" s="16" t="str">
        <x:v>* myContacts</x:v>
      </x:c>
      <x:c r="E1129" s="16" t="str">
        <x:v>Missing email</x:v>
      </x:c>
    </x:row>
    <x:row r="1130">
      <x:c r="A1130" s="16" t="n">
        <x:v>1148</x:v>
      </x:c>
      <x:c r="B1130" s="16" t="str">
        <x:v>Ayaww Yau</x:v>
      </x:c>
      <x:c r="C1130" s="16" t="str"/>
      <x:c r="D1130" s="16" t="str">
        <x:v>* myContacts</x:v>
      </x:c>
      <x:c r="E1130" s="16" t="str">
        <x:v>Missing email</x:v>
      </x:c>
    </x:row>
    <x:row r="1131">
      <x:c r="A1131" s="16" t="n">
        <x:v>1149</x:v>
      </x:c>
      <x:c r="B1131" s="16" t="str">
        <x:v>Ayee KojEt</x:v>
      </x:c>
      <x:c r="C1131" s="16" t="str"/>
      <x:c r="D1131" s="16" t="str">
        <x:v>* myContacts</x:v>
      </x:c>
      <x:c r="E1131" s="16" t="str">
        <x:v>Missing email</x:v>
      </x:c>
    </x:row>
    <x:row r="1132">
      <x:c r="A1132" s="16" t="n">
        <x:v>1150</x:v>
      </x:c>
      <x:c r="B1132" s="16" t="str">
        <x:v>Ayesha Matt</x:v>
      </x:c>
      <x:c r="C1132" s="16" t="str"/>
      <x:c r="D1132" s="16" t="str">
        <x:v>* myContacts</x:v>
      </x:c>
      <x:c r="E1132" s="16" t="str">
        <x:v>Missing email</x:v>
      </x:c>
    </x:row>
    <x:row r="1133">
      <x:c r="A1133" s="16" t="n">
        <x:v>1152</x:v>
      </x:c>
      <x:c r="B1133" s="16" t="str">
        <x:v>Ayie Pino Arts</x:v>
      </x:c>
      <x:c r="C1133" s="16" t="str"/>
      <x:c r="D1133" s="16" t="str">
        <x:v>* myContacts</x:v>
      </x:c>
      <x:c r="E1133" s="16" t="str">
        <x:v>Missing email</x:v>
      </x:c>
    </x:row>
    <x:row r="1134">
      <x:c r="A1134" s="16" t="n">
        <x:v>1153</x:v>
      </x:c>
      <x:c r="B1134" s="16" t="str">
        <x:v>Ayie Pomen</x:v>
      </x:c>
      <x:c r="C1134" s="16" t="str"/>
      <x:c r="D1134" s="16" t="str">
        <x:v>* myContacts</x:v>
      </x:c>
      <x:c r="E1134" s="16" t="str">
        <x:v>Missing email</x:v>
      </x:c>
    </x:row>
    <x:row r="1135">
      <x:c r="A1135" s="16" t="n">
        <x:v>1154</x:v>
      </x:c>
      <x:c r="B1135" s="16" t="str">
        <x:v>Ayie Rasau</x:v>
      </x:c>
      <x:c r="C1135" s="16" t="str"/>
      <x:c r="D1135" s="16" t="str">
        <x:v>* myContacts</x:v>
      </x:c>
      <x:c r="E1135" s="16" t="str">
        <x:v>Missing email</x:v>
      </x:c>
    </x:row>
    <x:row r="1136">
      <x:c r="A1136" s="16" t="n">
        <x:v>1155</x:v>
      </x:c>
      <x:c r="B1136" s="16" t="str">
        <x:v>Ayie UPs</x:v>
      </x:c>
      <x:c r="C1136" s="16" t="str"/>
      <x:c r="D1136" s="16" t="str">
        <x:v>* myContacts</x:v>
      </x:c>
      <x:c r="E1136" s="16" t="str">
        <x:v>Missing email</x:v>
      </x:c>
    </x:row>
    <x:row r="1137">
      <x:c r="A1137" s="16" t="n">
        <x:v>1156</x:v>
      </x:c>
      <x:c r="B1137" s="16" t="str">
        <x:v>Ayie Zuzu</x:v>
      </x:c>
      <x:c r="C1137" s="16" t="str"/>
      <x:c r="D1137" s="16" t="str">
        <x:v>* myContacts</x:v>
      </x:c>
      <x:c r="E1137" s="16" t="str">
        <x:v>Missing email</x:v>
      </x:c>
    </x:row>
    <x:row r="1138">
      <x:c r="A1138" s="16" t="n">
        <x:v>1157</x:v>
      </x:c>
      <x:c r="B1138" s="16" t="str">
        <x:v>Ayin Kjal</x:v>
      </x:c>
      <x:c r="C1138" s="16" t="str"/>
      <x:c r="D1138" s="16" t="str">
        <x:v>* myContacts</x:v>
      </x:c>
      <x:c r="E1138" s="16" t="str">
        <x:v>Missing email</x:v>
      </x:c>
    </x:row>
    <x:row r="1139">
      <x:c r="A1139" s="16" t="n">
        <x:v>1158</x:v>
      </x:c>
      <x:c r="B1139" s="16" t="str">
        <x:v>ayoi bapak ku punya tv</x:v>
      </x:c>
      <x:c r="C1139" s="16" t="str"/>
      <x:c r="D1139" s="16" t="str">
        <x:v>* myContacts</x:v>
      </x:c>
      <x:c r="E1139" s="16" t="str">
        <x:v>Missing email</x:v>
      </x:c>
    </x:row>
    <x:row r="1140">
      <x:c r="A1140" s="16" t="n">
        <x:v>1159</x:v>
      </x:c>
      <x:c r="B1140" s="16" t="str">
        <x:v>Ayong Utara</x:v>
      </x:c>
      <x:c r="C1140" s="16" t="str"/>
      <x:c r="D1140" s="16" t="str">
        <x:v>* myContacts</x:v>
      </x:c>
      <x:c r="E1140" s="16" t="str">
        <x:v>Missing email</x:v>
      </x:c>
    </x:row>
    <x:row r="1141">
      <x:c r="A1141" s="16" t="n">
        <x:v>1160</x:v>
      </x:c>
      <x:c r="B1141" s="16" t="str">
        <x:v>Ayong Zul</x:v>
      </x:c>
      <x:c r="C1141" s="16" t="str"/>
      <x:c r="D1141" s="16" t="str">
        <x:v>* myContacts</x:v>
      </x:c>
      <x:c r="E1141" s="16" t="str">
        <x:v>Missing email</x:v>
      </x:c>
    </x:row>
    <x:row r="1142">
      <x:c r="A1142" s="16" t="n">
        <x:v>1161</x:v>
      </x:c>
      <x:c r="B1142" s="16" t="str">
        <x:v>Ayong Zul Mdec</x:v>
      </x:c>
      <x:c r="C1142" s="16" t="str"/>
      <x:c r="D1142" s="16" t="str">
        <x:v>* myContacts</x:v>
      </x:c>
      <x:c r="E1142" s="16" t="str">
        <x:v>Missing email</x:v>
      </x:c>
    </x:row>
    <x:row r="1143">
      <x:c r="A1143" s="16" t="n">
        <x:v>1162</x:v>
      </x:c>
      <x:c r="B1143" s="16" t="str">
        <x:v>Ayongzul Smart Solution</x:v>
      </x:c>
      <x:c r="C1143" s="16" t="str"/>
      <x:c r="D1143" s="16" t="str">
        <x:v>* myContacts</x:v>
      </x:c>
      <x:c r="E1143" s="16" t="str">
        <x:v>Missing email</x:v>
      </x:c>
    </x:row>
    <x:row r="1144">
      <x:c r="A1144" s="16" t="n">
        <x:v>1163</x:v>
      </x:c>
      <x:c r="B1144" s="16" t="str">
        <x:v>Ayrief Gold</x:v>
      </x:c>
      <x:c r="C1144" s="16" t="str"/>
      <x:c r="D1144" s="16" t="str">
        <x:v>* myContacts</x:v>
      </x:c>
      <x:c r="E1144" s="16" t="str">
        <x:v>Missing email</x:v>
      </x:c>
    </x:row>
    <x:row r="1145">
      <x:c r="A1145" s="16" t="n">
        <x:v>1165</x:v>
      </x:c>
      <x:c r="B1145" s="16" t="str">
        <x:v>Ayu Adila</x:v>
      </x:c>
      <x:c r="C1145" s="16" t="str"/>
      <x:c r="D1145" s="16" t="str">
        <x:v>* myContacts</x:v>
      </x:c>
      <x:c r="E1145" s="16" t="str">
        <x:v>Missing email</x:v>
      </x:c>
    </x:row>
    <x:row r="1146">
      <x:c r="A1146" s="16" t="n">
        <x:v>1166</x:v>
      </x:c>
      <x:c r="B1146" s="16" t="str">
        <x:v>Ayu Farhana</x:v>
      </x:c>
      <x:c r="C1146" s="16" t="str"/>
      <x:c r="D1146" s="16" t="str">
        <x:v>* myContacts</x:v>
      </x:c>
      <x:c r="E1146" s="16" t="str">
        <x:v>Missing email</x:v>
      </x:c>
    </x:row>
    <x:row r="1147">
      <x:c r="A1147" s="16" t="n">
        <x:v>1167</x:v>
      </x:c>
      <x:c r="B1147" s="16" t="str">
        <x:v>Ayu JnJ</x:v>
      </x:c>
      <x:c r="C1147" s="16" t="str"/>
      <x:c r="D1147" s="16" t="str">
        <x:v>* myContacts</x:v>
      </x:c>
      <x:c r="E1147" s="16" t="str">
        <x:v>Missing email</x:v>
      </x:c>
    </x:row>
    <x:row r="1148">
      <x:c r="A1148" s="16" t="n">
        <x:v>1168</x:v>
      </x:c>
      <x:c r="B1148" s="16" t="str">
        <x:v>AyuCake House</x:v>
      </x:c>
      <x:c r="C1148" s="16" t="str"/>
      <x:c r="D1148" s="16" t="str">
        <x:v>* myContacts</x:v>
      </x:c>
      <x:c r="E1148" s="16" t="str">
        <x:v>Missing email</x:v>
      </x:c>
    </x:row>
    <x:row r="1149">
      <x:c r="A1149" s="16" t="n">
        <x:v>1169</x:v>
      </x:c>
      <x:c r="B1149" s="16" t="str">
        <x:v>Ayum Kadir</x:v>
      </x:c>
      <x:c r="C1149" s="16" t="str"/>
      <x:c r="D1149" s="16" t="str">
        <x:v>* myContacts</x:v>
      </x:c>
      <x:c r="E1149" s="16" t="str">
        <x:v>Missing email</x:v>
      </x:c>
    </x:row>
    <x:row r="1150">
      <x:c r="A1150" s="16" t="n">
        <x:v>1170</x:v>
      </x:c>
      <x:c r="B1150" s="16" t="str">
        <x:v>Ayumia Mia</x:v>
      </x:c>
      <x:c r="C1150" s="16" t="str"/>
      <x:c r="D1150" s="16" t="str">
        <x:v>* myContacts</x:v>
      </x:c>
      <x:c r="E1150" s="16" t="str">
        <x:v>Missing email</x:v>
      </x:c>
    </x:row>
    <x:row r="1151">
      <x:c r="A1151" s="16" t="n">
        <x:v>1171</x:v>
      </x:c>
      <x:c r="B1151" s="16" t="str">
        <x:v>Ayuni Anam</x:v>
      </x:c>
      <x:c r="C1151" s="16" t="str"/>
      <x:c r="D1151" s="16" t="str">
        <x:v>* myContacts</x:v>
      </x:c>
      <x:c r="E1151" s="16" t="str">
        <x:v>Missing email</x:v>
      </x:c>
    </x:row>
    <x:row r="1152">
      <x:c r="A1152" s="16" t="n">
        <x:v>1172</x:v>
      </x:c>
      <x:c r="B1152" s="16" t="str">
        <x:v>Ayuni Pemborong Kosmetik Murah</x:v>
      </x:c>
      <x:c r="C1152" s="16" t="str"/>
      <x:c r="D1152" s="16" t="str">
        <x:v>* myContacts</x:v>
      </x:c>
      <x:c r="E1152" s="16" t="str">
        <x:v>Missing email</x:v>
      </x:c>
    </x:row>
    <x:row r="1153">
      <x:c r="A1153" s="16" t="n">
        <x:v>1173</x:v>
      </x:c>
      <x:c r="B1153" s="16" t="str">
        <x:v>Ayuvvi Yanti</x:v>
      </x:c>
      <x:c r="C1153" s="16" t="str"/>
      <x:c r="D1153" s="16" t="str">
        <x:v>* myContacts</x:v>
      </x:c>
      <x:c r="E1153" s="16" t="str">
        <x:v>Missing email</x:v>
      </x:c>
    </x:row>
    <x:row r="1154">
      <x:c r="A1154" s="16" t="n">
        <x:v>1174</x:v>
      </x:c>
      <x:c r="B1154" s="16" t="str">
        <x:v>Az Afiq</x:v>
      </x:c>
      <x:c r="C1154" s="16" t="str"/>
      <x:c r="D1154" s="16" t="str">
        <x:v>* myContacts</x:v>
      </x:c>
      <x:c r="E1154" s="16" t="str">
        <x:v>Missing email</x:v>
      </x:c>
    </x:row>
    <x:row r="1155">
      <x:c r="A1155" s="16" t="n">
        <x:v>1175</x:v>
      </x:c>
      <x:c r="B1155" s="16" t="str">
        <x:v>Aza Cantek</x:v>
      </x:c>
      <x:c r="C1155" s="16" t="str"/>
      <x:c r="D1155" s="16" t="str">
        <x:v>* myContacts</x:v>
      </x:c>
      <x:c r="E1155" s="16" t="str">
        <x:v>Missing email</x:v>
      </x:c>
    </x:row>
    <x:row r="1156">
      <x:c r="A1156" s="16" t="n">
        <x:v>1176</x:v>
      </x:c>
      <x:c r="B1156" s="16" t="str">
        <x:v>Azad Jasmi</x:v>
      </x:c>
      <x:c r="C1156" s="16" t="str"/>
      <x:c r="D1156" s="16" t="str">
        <x:v>* myContacts</x:v>
      </x:c>
      <x:c r="E1156" s="16" t="str">
        <x:v>Missing email</x:v>
      </x:c>
    </x:row>
    <x:row r="1157">
      <x:c r="A1157" s="16" t="n">
        <x:v>1177</x:v>
      </x:c>
      <x:c r="B1157" s="16" t="str">
        <x:v>Azahari Mansor Arie</x:v>
      </x:c>
      <x:c r="C1157" s="16" t="str"/>
      <x:c r="D1157" s="16" t="str">
        <x:v>* myContacts</x:v>
      </x:c>
      <x:c r="E1157" s="16" t="str">
        <x:v>Missing email</x:v>
      </x:c>
    </x:row>
    <x:row r="1158">
      <x:c r="A1158" s="16" t="n">
        <x:v>1178</x:v>
      </x:c>
      <x:c r="B1158" s="16" t="str">
        <x:v>Azal Dropship Baju Baby</x:v>
      </x:c>
      <x:c r="C1158" s="16" t="str"/>
      <x:c r="D1158" s="16" t="str">
        <x:v>* myContacts</x:v>
      </x:c>
      <x:c r="E1158" s="16" t="str">
        <x:v>Missing email</x:v>
      </x:c>
    </x:row>
    <x:row r="1159">
      <x:c r="A1159" s="16" t="n">
        <x:v>1179</x:v>
      </x:c>
      <x:c r="B1159" s="16" t="str">
        <x:v>Azalan Derasit</x:v>
      </x:c>
      <x:c r="C1159" s="16" t="str"/>
      <x:c r="D1159" s="16" t="str">
        <x:v>* myContacts</x:v>
      </x:c>
      <x:c r="E1159" s="16" t="str">
        <x:v>Missing email</x:v>
      </x:c>
    </x:row>
    <x:row r="1160">
      <x:c r="A1160" s="16" t="n">
        <x:v>1180</x:v>
      </x:c>
      <x:c r="B1160" s="16" t="str">
        <x:v>Azali Firdaus AJ</x:v>
      </x:c>
      <x:c r="C1160" s="16" t="str"/>
      <x:c r="D1160" s="16" t="str">
        <x:v>* myContacts</x:v>
      </x:c>
      <x:c r="E1160" s="16" t="str">
        <x:v>Missing email</x:v>
      </x:c>
    </x:row>
    <x:row r="1161">
      <x:c r="A1161" s="16" t="n">
        <x:v>1181</x:v>
      </x:c>
      <x:c r="B1161" s="16" t="str">
        <x:v>Azalina AGP</x:v>
      </x:c>
      <x:c r="C1161" s="16" t="str"/>
      <x:c r="D1161" s="16" t="str">
        <x:v>* myContacts</x:v>
      </x:c>
      <x:c r="E1161" s="16" t="str">
        <x:v>Missing email</x:v>
      </x:c>
    </x:row>
    <x:row r="1162">
      <x:c r="A1162" s="16" t="n">
        <x:v>1182</x:v>
      </x:c>
      <x:c r="B1162" s="16" t="str">
        <x:v>Azalina Muhamad</x:v>
      </x:c>
      <x:c r="C1162" s="16" t="str"/>
      <x:c r="D1162" s="16" t="str">
        <x:v>* myContacts</x:v>
      </x:c>
      <x:c r="E1162" s="16" t="str">
        <x:v>Missing email</x:v>
      </x:c>
    </x:row>
    <x:row r="1163">
      <x:c r="A1163" s="16" t="n">
        <x:v>1183</x:v>
      </x:c>
      <x:c r="B1163" s="16" t="str">
        <x:v>Azam Kumoten Business Development</x:v>
      </x:c>
      <x:c r="C1163" s="16" t="str"/>
      <x:c r="D1163" s="16" t="str">
        <x:v>* myContacts</x:v>
      </x:c>
      <x:c r="E1163" s="16" t="str">
        <x:v>Missing email</x:v>
      </x:c>
    </x:row>
    <x:row r="1164">
      <x:c r="A1164" s="16" t="n">
        <x:v>1184</x:v>
      </x:c>
      <x:c r="B1164" s="16" t="str">
        <x:v>Azam M Norazm</x:v>
      </x:c>
      <x:c r="C1164" s="16" t="str"/>
      <x:c r="D1164" s="16" t="str">
        <x:v>* myContacts</x:v>
      </x:c>
      <x:c r="E1164" s="16" t="str">
        <x:v>Missing email</x:v>
      </x:c>
    </x:row>
    <x:row r="1165">
      <x:c r="A1165" s="16" t="n">
        <x:v>1185</x:v>
      </x:c>
      <x:c r="B1165" s="16" t="str">
        <x:v>Azam Saeni</x:v>
      </x:c>
      <x:c r="C1165" s="16" t="str"/>
      <x:c r="D1165" s="16" t="str">
        <x:v>* myContacts</x:v>
      </x:c>
      <x:c r="E1165" s="16" t="str">
        <x:v>Missing email</x:v>
      </x:c>
    </x:row>
    <x:row r="1166">
      <x:c r="A1166" s="16" t="n">
        <x:v>1186</x:v>
      </x:c>
      <x:c r="B1166" s="16" t="str">
        <x:v>Azam Said</x:v>
      </x:c>
      <x:c r="C1166" s="16" t="str"/>
      <x:c r="D1166" s="16" t="str">
        <x:v>* myContacts</x:v>
      </x:c>
      <x:c r="E1166" s="16" t="str">
        <x:v>Missing email</x:v>
      </x:c>
    </x:row>
    <x:row r="1167">
      <x:c r="A1167" s="16" t="n">
        <x:v>1187</x:v>
      </x:c>
      <x:c r="B1167" s="16" t="str">
        <x:v>Azam Sarlan</x:v>
      </x:c>
      <x:c r="C1167" s="16" t="str"/>
      <x:c r="D1167" s="16" t="str">
        <x:v>* myContacts</x:v>
      </x:c>
      <x:c r="E1167" s="16" t="str">
        <x:v>Missing email</x:v>
      </x:c>
    </x:row>
    <x:row r="1168">
      <x:c r="A1168" s="16" t="n">
        <x:v>1188</x:v>
      </x:c>
      <x:c r="B1168" s="16" t="str">
        <x:v>Azam Udin</x:v>
      </x:c>
      <x:c r="C1168" s="16" t="str"/>
      <x:c r="D1168" s="16" t="str">
        <x:v>* myContacts</x:v>
      </x:c>
      <x:c r="E1168" s="16" t="str">
        <x:v>Missing email</x:v>
      </x:c>
    </x:row>
    <x:row r="1169">
      <x:c r="A1169" s="16" t="n">
        <x:v>1189</x:v>
      </x:c>
      <x:c r="B1169" s="16" t="str">
        <x:v>Azamil Izzat Nazlan Ozizi</x:v>
      </x:c>
      <x:c r="C1169" s="16" t="str"/>
      <x:c r="D1169" s="16" t="str">
        <x:v>* myContacts</x:v>
      </x:c>
      <x:c r="E1169" s="16" t="str">
        <x:v>Missing email</x:v>
      </x:c>
    </x:row>
    <x:row r="1170">
      <x:c r="A1170" s="16" t="n">
        <x:v>1190</x:v>
      </x:c>
      <x:c r="B1170" s="16" t="str">
        <x:v>Azan Aiman</x:v>
      </x:c>
      <x:c r="C1170" s="16" t="str"/>
      <x:c r="D1170" s="16" t="str">
        <x:v>* myContacts</x:v>
      </x:c>
      <x:c r="E1170" s="16" t="str">
        <x:v>Missing email</x:v>
      </x:c>
    </x:row>
    <x:row r="1171">
      <x:c r="A1171" s="16" t="n">
        <x:v>1191</x:v>
      </x:c>
      <x:c r="B1171" s="16" t="str">
        <x:v>Azaneen TMNET</x:v>
      </x:c>
      <x:c r="C1171" s="16" t="str"/>
      <x:c r="D1171" s="16" t="str">
        <x:v>* myContacts</x:v>
      </x:c>
      <x:c r="E1171" s="16" t="str">
        <x:v>Missing email</x:v>
      </x:c>
    </x:row>
    <x:row r="1172">
      <x:c r="A1172" s="16" t="n">
        <x:v>1192</x:v>
      </x:c>
      <x:c r="B1172" s="16" t="str">
        <x:v>Azeem Candidate</x:v>
      </x:c>
      <x:c r="C1172" s="16" t="str"/>
      <x:c r="D1172" s="16" t="str">
        <x:v>* myContacts</x:v>
      </x:c>
      <x:c r="E1172" s="16" t="str">
        <x:v>Missing email</x:v>
      </x:c>
    </x:row>
    <x:row r="1173">
      <x:c r="A1173" s="16" t="n">
        <x:v>1193</x:v>
      </x:c>
      <x:c r="B1173" s="16" t="str">
        <x:v>azeem IM</x:v>
      </x:c>
      <x:c r="C1173" s="16" t="str"/>
      <x:c r="D1173" s="16" t="str">
        <x:v>* myContacts</x:v>
      </x:c>
      <x:c r="E1173" s="16" t="str">
        <x:v>Missing email</x:v>
      </x:c>
    </x:row>
    <x:row r="1174">
      <x:c r="A1174" s="16" t="n">
        <x:v>1194</x:v>
      </x:c>
      <x:c r="B1174" s="16" t="str">
        <x:v>Azeera Azmi</x:v>
      </x:c>
      <x:c r="C1174" s="16" t="str"/>
      <x:c r="D1174" s="16" t="str">
        <x:v>* myContacts</x:v>
      </x:c>
      <x:c r="E1174" s="16" t="str">
        <x:v>Missing email</x:v>
      </x:c>
    </x:row>
    <x:row r="1175">
      <x:c r="A1175" s="16" t="n">
        <x:v>1195</x:v>
      </x:c>
      <x:c r="B1175" s="16" t="str">
        <x:v>Azeim Abu Bakar</x:v>
      </x:c>
      <x:c r="C1175" s="16" t="str"/>
      <x:c r="D1175" s="16" t="str">
        <x:v>* myContacts</x:v>
      </x:c>
      <x:c r="E1175" s="16" t="str">
        <x:v>Missing email</x:v>
      </x:c>
    </x:row>
    <x:row r="1176">
      <x:c r="A1176" s="16" t="n">
        <x:v>1196</x:v>
      </x:c>
      <x:c r="B1176" s="16" t="str">
        <x:v>Azfar</x:v>
      </x:c>
      <x:c r="C1176" s="16" t="str"/>
      <x:c r="D1176" s="16" t="str">
        <x:v>* myContacts</x:v>
      </x:c>
      <x:c r="E1176" s="16" t="str">
        <x:v>Missing email</x:v>
      </x:c>
    </x:row>
    <x:row r="1177">
      <x:c r="A1177" s="16" t="n">
        <x:v>1197</x:v>
      </x:c>
      <x:c r="B1177" s="16" t="str">
        <x:v>Azgar</x:v>
      </x:c>
      <x:c r="C1177" s="16" t="str"/>
      <x:c r="D1177" s="16" t="str">
        <x:v>* myContacts</x:v>
      </x:c>
      <x:c r="E1177" s="16" t="str">
        <x:v>Missing email</x:v>
      </x:c>
    </x:row>
    <x:row r="1178">
      <x:c r="A1178" s="16" t="n">
        <x:v>1198</x:v>
      </x:c>
      <x:c r="B1178" s="16" t="str">
        <x:v>Azh Azh Dendra</x:v>
      </x:c>
      <x:c r="C1178" s="16" t="str"/>
      <x:c r="D1178" s="16" t="str">
        <x:v>* myContacts</x:v>
      </x:c>
      <x:c r="E1178" s="16" t="str">
        <x:v>Missing email</x:v>
      </x:c>
    </x:row>
    <x:row r="1179">
      <x:c r="A1179" s="16" t="n">
        <x:v>1199</x:v>
      </x:c>
      <x:c r="B1179" s="16" t="str">
        <x:v>Azhar Azam</x:v>
      </x:c>
      <x:c r="C1179" s="16" t="str"/>
      <x:c r="D1179" s="16" t="str">
        <x:v>* myContacts</x:v>
      </x:c>
      <x:c r="E1179" s="16" t="str">
        <x:v>Missing email</x:v>
      </x:c>
    </x:row>
    <x:row r="1180">
      <x:c r="A1180" s="16" t="n">
        <x:v>1200</x:v>
      </x:c>
      <x:c r="B1180" s="16" t="str">
        <x:v>Azhar B. Arsad</x:v>
      </x:c>
      <x:c r="C1180" s="16" t="str"/>
      <x:c r="D1180" s="16" t="str">
        <x:v>* myContacts</x:v>
      </x:c>
      <x:c r="E1180" s="16" t="str">
        <x:v>Missing email</x:v>
      </x:c>
    </x:row>
    <x:row r="1181">
      <x:c r="A1181" s="16" t="n">
        <x:v>1201</x:v>
      </x:c>
      <x:c r="B1181" s="16" t="str">
        <x:v>Azhar Fitness Trainer</x:v>
      </x:c>
      <x:c r="C1181" s="16" t="str"/>
      <x:c r="D1181" s="16" t="str">
        <x:v>Trainer | * myContacts</x:v>
      </x:c>
      <x:c r="E1181" s="16" t="str">
        <x:v>Missing email</x:v>
      </x:c>
    </x:row>
    <x:row r="1182">
      <x:c r="A1182" s="16" t="n">
        <x:v>1202</x:v>
      </x:c>
      <x:c r="B1182" s="16" t="str">
        <x:v>Azhar IM</x:v>
      </x:c>
      <x:c r="C1182" s="16" t="str"/>
      <x:c r="D1182" s="16" t="str">
        <x:v>* myContacts</x:v>
      </x:c>
      <x:c r="E1182" s="16" t="str">
        <x:v>Missing email</x:v>
      </x:c>
    </x:row>
    <x:row r="1183">
      <x:c r="A1183" s="16" t="n">
        <x:v>1203</x:v>
      </x:c>
      <x:c r="B1183" s="16" t="str">
        <x:v>Azhar Jaai</x:v>
      </x:c>
      <x:c r="C1183" s="16" t="str"/>
      <x:c r="D1183" s="16" t="str">
        <x:v>* myContacts</x:v>
      </x:c>
      <x:c r="E1183" s="16" t="str">
        <x:v>Missing email</x:v>
      </x:c>
    </x:row>
    <x:row r="1184">
      <x:c r="A1184" s="16" t="n">
        <x:v>1204</x:v>
      </x:c>
      <x:c r="B1184" s="16" t="str">
        <x:v>Azhar Md Ali AGP</x:v>
      </x:c>
      <x:c r="C1184" s="16" t="str"/>
      <x:c r="D1184" s="16" t="str">
        <x:v>* myContacts</x:v>
      </x:c>
      <x:c r="E1184" s="16" t="str">
        <x:v>Missing email</x:v>
      </x:c>
    </x:row>
    <x:row r="1185">
      <x:c r="A1185" s="16" t="n">
        <x:v>1205</x:v>
      </x:c>
      <x:c r="B1185" s="16" t="str">
        <x:v>Azhar Online</x:v>
      </x:c>
      <x:c r="C1185" s="16" t="str"/>
      <x:c r="D1185" s="16" t="str">
        <x:v>* myContacts</x:v>
      </x:c>
      <x:c r="E1185" s="16" t="str">
        <x:v>Missing email</x:v>
      </x:c>
    </x:row>
    <x:row r="1186">
      <x:c r="A1186" s="16" t="n">
        <x:v>1206</x:v>
      </x:c>
      <x:c r="B1186" s="16" t="str">
        <x:v>Azhari Buku</x:v>
      </x:c>
      <x:c r="C1186" s="16" t="str"/>
      <x:c r="D1186" s="16" t="str">
        <x:v>* myContacts</x:v>
      </x:c>
      <x:c r="E1186" s="16" t="str">
        <x:v>Missing email</x:v>
      </x:c>
    </x:row>
    <x:row r="1187">
      <x:c r="A1187" s="16" t="n">
        <x:v>1207</x:v>
      </x:c>
      <x:c r="B1187" s="16" t="str">
        <x:v>Azharina IKM KL</x:v>
      </x:c>
      <x:c r="C1187" s="16" t="str"/>
      <x:c r="D1187" s="16" t="str">
        <x:v>* myContacts</x:v>
      </x:c>
      <x:c r="E1187" s="16" t="str">
        <x:v>Missing email</x:v>
      </x:c>
    </x:row>
    <x:row r="1188">
      <x:c r="A1188" s="16" t="n">
        <x:v>1208</x:v>
      </x:c>
      <x:c r="B1188" s="16" t="str">
        <x:v>Azharruladha Saal</x:v>
      </x:c>
      <x:c r="C1188" s="16" t="str"/>
      <x:c r="D1188" s="16" t="str">
        <x:v>* myContacts</x:v>
      </x:c>
      <x:c r="E1188" s="16" t="str">
        <x:v>Missing email</x:v>
      </x:c>
    </x:row>
    <x:row r="1189">
      <x:c r="A1189" s="16" t="n">
        <x:v>1209</x:v>
      </x:c>
      <x:c r="B1189" s="16" t="str">
        <x:v>Azian Yaacob</x:v>
      </x:c>
      <x:c r="C1189" s="16" t="str"/>
      <x:c r="D1189" s="16" t="str">
        <x:v>* myContacts</x:v>
      </x:c>
      <x:c r="E1189" s="16" t="str">
        <x:v>Missing email</x:v>
      </x:c>
    </x:row>
    <x:row r="1190">
      <x:c r="A1190" s="16" t="n">
        <x:v>1210</x:v>
      </x:c>
      <x:c r="B1190" s="16" t="str">
        <x:v>Azie</x:v>
      </x:c>
      <x:c r="C1190" s="16" t="str"/>
      <x:c r="D1190" s="16" t="str">
        <x:v>* myContacts</x:v>
      </x:c>
      <x:c r="E1190" s="16" t="str">
        <x:v>Missing email</x:v>
      </x:c>
    </x:row>
    <x:row r="1191">
      <x:c r="A1191" s="16" t="n">
        <x:v>1211</x:v>
      </x:c>
      <x:c r="B1191" s="16" t="str">
        <x:v>Azie Abd Rahim</x:v>
      </x:c>
      <x:c r="C1191" s="16" t="str"/>
      <x:c r="D1191" s="16" t="str">
        <x:v>* myContacts</x:v>
      </x:c>
      <x:c r="E1191" s="16" t="str">
        <x:v>Missing email</x:v>
      </x:c>
    </x:row>
    <x:row r="1192">
      <x:c r="A1192" s="16" t="n">
        <x:v>1212</x:v>
      </x:c>
      <x:c r="B1192" s="16" t="str">
        <x:v>Azie Abdullah</x:v>
      </x:c>
      <x:c r="C1192" s="16" t="str"/>
      <x:c r="D1192" s="16" t="str">
        <x:v>* myContacts</x:v>
      </x:c>
      <x:c r="E1192" s="16" t="str">
        <x:v>Missing email</x:v>
      </x:c>
    </x:row>
    <x:row r="1193">
      <x:c r="A1193" s="16" t="n">
        <x:v>1213</x:v>
      </x:c>
      <x:c r="B1193" s="16" t="str">
        <x:v>Azie Asmida</x:v>
      </x:c>
      <x:c r="C1193" s="16" t="str"/>
      <x:c r="D1193" s="16" t="str">
        <x:v>* myContacts</x:v>
      </x:c>
      <x:c r="E1193" s="16" t="str">
        <x:v>Missing email</x:v>
      </x:c>
    </x:row>
    <x:row r="1194">
      <x:c r="A1194" s="16" t="n">
        <x:v>1214</x:v>
      </x:c>
      <x:c r="B1194" s="16" t="str">
        <x:v>Azie Kay</x:v>
      </x:c>
      <x:c r="C1194" s="16" t="str"/>
      <x:c r="D1194" s="16" t="str">
        <x:v>* myContacts</x:v>
      </x:c>
      <x:c r="E1194" s="16" t="str">
        <x:v>Missing email</x:v>
      </x:c>
    </x:row>
    <x:row r="1195">
      <x:c r="A1195" s="16" t="n">
        <x:v>1215</x:v>
      </x:c>
      <x:c r="B1195" s="16" t="str">
        <x:v>Azie Mirza</x:v>
      </x:c>
      <x:c r="C1195" s="16" t="str"/>
      <x:c r="D1195" s="16" t="str">
        <x:v>* myContacts</x:v>
      </x:c>
      <x:c r="E1195" s="16" t="str">
        <x:v>Missing email</x:v>
      </x:c>
    </x:row>
    <x:row r="1196">
      <x:c r="A1196" s="16" t="n">
        <x:v>1216</x:v>
      </x:c>
      <x:c r="B1196" s="16" t="str">
        <x:v>Azie Mohamad Yusuf</x:v>
      </x:c>
      <x:c r="C1196" s="16" t="str"/>
      <x:c r="D1196" s="16" t="str">
        <x:v>* myContacts</x:v>
      </x:c>
      <x:c r="E1196" s="16" t="str">
        <x:v>Missing email</x:v>
      </x:c>
    </x:row>
    <x:row r="1197">
      <x:c r="A1197" s="16" t="n">
        <x:v>1217</x:v>
      </x:c>
      <x:c r="B1197" s="16" t="str">
        <x:v>Azie Salima</x:v>
      </x:c>
      <x:c r="C1197" s="16" t="str"/>
      <x:c r="D1197" s="16" t="str">
        <x:v>* myContacts</x:v>
      </x:c>
      <x:c r="E1197" s="16" t="str">
        <x:v>Missing email</x:v>
      </x:c>
    </x:row>
    <x:row r="1198">
      <x:c r="A1198" s="16" t="n">
        <x:v>1218</x:v>
      </x:c>
      <x:c r="B1198" s="16" t="str">
        <x:v>Aziem Mieza</x:v>
      </x:c>
      <x:c r="C1198" s="16" t="str"/>
      <x:c r="D1198" s="16" t="str">
        <x:v>* myContacts</x:v>
      </x:c>
      <x:c r="E1198" s="16" t="str">
        <x:v>Missing email</x:v>
      </x:c>
    </x:row>
    <x:row r="1199">
      <x:c r="A1199" s="16" t="n">
        <x:v>1219</x:v>
      </x:c>
      <x:c r="B1199" s="16" t="str">
        <x:v>Dr Azihan Pakar Excel Focal Expect</x:v>
      </x:c>
      <x:c r="C1199" s="16" t="str"/>
      <x:c r="D1199" s="16" t="str">
        <x:v>* myContacts</x:v>
      </x:c>
      <x:c r="E1199" s="16" t="str">
        <x:v>Missing email</x:v>
      </x:c>
    </x:row>
    <x:row r="1200">
      <x:c r="A1200" s="16" t="n">
        <x:v>1220</x:v>
      </x:c>
      <x:c r="B1200" s="16" t="str">
        <x:v>Azila Mahmood</x:v>
      </x:c>
      <x:c r="C1200" s="16" t="str"/>
      <x:c r="D1200" s="16" t="str">
        <x:v>* myContacts</x:v>
      </x:c>
      <x:c r="E1200" s="16" t="str">
        <x:v>Missing email</x:v>
      </x:c>
    </x:row>
    <x:row r="1201">
      <x:c r="A1201" s="16" t="n">
        <x:v>1221</x:v>
      </x:c>
      <x:c r="B1201" s="16" t="str">
        <x:v>Azim Burger Kite</x:v>
      </x:c>
      <x:c r="C1201" s="16" t="str"/>
      <x:c r="D1201" s="16" t="str">
        <x:v>* myContacts</x:v>
      </x:c>
      <x:c r="E1201" s="16" t="str">
        <x:v>Missing email</x:v>
      </x:c>
    </x:row>
    <x:row r="1202">
      <x:c r="A1202" s="16" t="n">
        <x:v>1222</x:v>
      </x:c>
      <x:c r="B1202" s="16" t="str">
        <x:v>Azim DPIM</x:v>
      </x:c>
      <x:c r="C1202" s="16" t="str"/>
      <x:c r="D1202" s="16" t="str">
        <x:v>* myContacts</x:v>
      </x:c>
      <x:c r="E1202" s="16" t="str">
        <x:v>Missing email</x:v>
      </x:c>
    </x:row>
    <x:row r="1203">
      <x:c r="A1203" s="16" t="n">
        <x:v>1223</x:v>
      </x:c>
      <x:c r="B1203" s="16" t="str">
        <x:v>Azim Ismail</x:v>
      </x:c>
      <x:c r="C1203" s="16" t="str"/>
      <x:c r="D1203" s="16" t="str">
        <x:v>* myContacts</x:v>
      </x:c>
      <x:c r="E1203" s="16" t="str">
        <x:v>Missing email</x:v>
      </x:c>
    </x:row>
    <x:row r="1204">
      <x:c r="A1204" s="16" t="n">
        <x:v>1224</x:v>
      </x:c>
      <x:c r="B1204" s="16" t="str">
        <x:v>Azim Jem</x:v>
      </x:c>
      <x:c r="C1204" s="16" t="str"/>
      <x:c r="D1204" s="16" t="str">
        <x:v>* myContacts</x:v>
      </x:c>
      <x:c r="E1204" s="16" t="str">
        <x:v>Missing email</x:v>
      </x:c>
    </x:row>
    <x:row r="1205">
      <x:c r="A1205" s="16" t="n">
        <x:v>1225</x:v>
      </x:c>
      <x:c r="B1205" s="16" t="str">
        <x:v>Azimah Zainudin</x:v>
      </x:c>
      <x:c r="C1205" s="16" t="str"/>
      <x:c r="D1205" s="16" t="str">
        <x:v>* myContacts</x:v>
      </x:c>
      <x:c r="E1205" s="16" t="str">
        <x:v>Missing email</x:v>
      </x:c>
    </x:row>
    <x:row r="1206">
      <x:c r="A1206" s="16" t="n">
        <x:v>1226</x:v>
      </x:c>
      <x:c r="B1206" s="16" t="str">
        <x:v>Azipi Ahmad Proton</x:v>
      </x:c>
      <x:c r="C1206" s="16" t="str"/>
      <x:c r="D1206" s="16" t="str">
        <x:v>* myContacts</x:v>
      </x:c>
      <x:c r="E1206" s="16" t="str">
        <x:v>Missing email</x:v>
      </x:c>
    </x:row>
    <x:row r="1207">
      <x:c r="A1207" s="16" t="n">
        <x:v>1227</x:v>
      </x:c>
      <x:c r="B1207" s="16" t="str">
        <x:v>Aziqri Muhammad</x:v>
      </x:c>
      <x:c r="C1207" s="16" t="str"/>
      <x:c r="D1207" s="16" t="str">
        <x:v>* myContacts</x:v>
      </x:c>
      <x:c r="E1207" s="16" t="str">
        <x:v>Missing email</x:v>
      </x:c>
    </x:row>
    <x:row r="1208">
      <x:c r="A1208" s="16" t="n">
        <x:v>1228</x:v>
      </x:c>
      <x:c r="B1208" s="16" t="str">
        <x:v>Aziz Ahmad Aani</x:v>
      </x:c>
      <x:c r="C1208" s="16" t="str"/>
      <x:c r="D1208" s="16" t="str">
        <x:v>* myContacts</x:v>
      </x:c>
      <x:c r="E1208" s="16" t="str">
        <x:v>Missing email</x:v>
      </x:c>
    </x:row>
    <x:row r="1209">
      <x:c r="A1209" s="16" t="n">
        <x:v>1229</x:v>
      </x:c>
      <x:c r="B1209" s="16" t="str">
        <x:v>Aziz MK</x:v>
      </x:c>
      <x:c r="C1209" s="16" t="str"/>
      <x:c r="D1209" s="16" t="str">
        <x:v>* myContacts</x:v>
      </x:c>
      <x:c r="E1209" s="16" t="str">
        <x:v>Missing email</x:v>
      </x:c>
    </x:row>
    <x:row r="1210">
      <x:c r="A1210" s="16" t="n">
        <x:v>1230</x:v>
      </x:c>
      <x:c r="B1210" s="16" t="str">
        <x:v>Aziz Mont Cabana</x:v>
      </x:c>
      <x:c r="C1210" s="16" t="str"/>
      <x:c r="D1210" s="16" t="str">
        <x:v>* myContacts</x:v>
      </x:c>
      <x:c r="E1210" s="16" t="str">
        <x:v>Missing email</x:v>
      </x:c>
    </x:row>
    <x:row r="1211">
      <x:c r="A1211" s="16" t="n">
        <x:v>1232</x:v>
      </x:c>
      <x:c r="B1211" s="16" t="str">
        <x:v>Azizah Binti Amirhamzah</x:v>
      </x:c>
      <x:c r="C1211" s="16" t="str"/>
      <x:c r="D1211" s="16" t="str">
        <x:v>* myContacts</x:v>
      </x:c>
      <x:c r="E1211" s="16" t="str">
        <x:v>Missing email</x:v>
      </x:c>
    </x:row>
    <x:row r="1212">
      <x:c r="A1212" s="16" t="n">
        <x:v>1233</x:v>
      </x:c>
      <x:c r="B1212" s="16" t="str">
        <x:v>Azizah Jija</x:v>
      </x:c>
      <x:c r="C1212" s="16" t="str"/>
      <x:c r="D1212" s="16" t="str">
        <x:v>* myContacts</x:v>
      </x:c>
      <x:c r="E1212" s="16" t="str">
        <x:v>Missing email</x:v>
      </x:c>
    </x:row>
    <x:row r="1213">
      <x:c r="A1213" s="16" t="n">
        <x:v>1234</x:v>
      </x:c>
      <x:c r="B1213" s="16" t="str">
        <x:v>Azizah Sadut Client CWA</x:v>
      </x:c>
      <x:c r="C1213" s="16" t="str"/>
      <x:c r="D1213" s="16" t="str">
        <x:v>* myContacts</x:v>
      </x:c>
      <x:c r="E1213" s="16" t="str">
        <x:v>Missing email</x:v>
      </x:c>
    </x:row>
    <x:row r="1214">
      <x:c r="A1214" s="16" t="n">
        <x:v>1235</x:v>
      </x:c>
      <x:c r="B1214" s="16" t="str">
        <x:v>Azizan Jan</x:v>
      </x:c>
      <x:c r="C1214" s="16" t="str"/>
      <x:c r="D1214" s="16" t="str">
        <x:v>* myContacts</x:v>
      </x:c>
      <x:c r="E1214" s="16" t="str">
        <x:v>Missing email</x:v>
      </x:c>
    </x:row>
    <x:row r="1215">
      <x:c r="A1215" s="16" t="n">
        <x:v>1236</x:v>
      </x:c>
      <x:c r="B1215" s="16" t="str">
        <x:v>Azizan Mansor Agp Agent Tier 1</x:v>
      </x:c>
      <x:c r="C1215" s="16" t="str"/>
      <x:c r="D1215" s="16" t="str">
        <x:v>* myContacts</x:v>
      </x:c>
      <x:c r="E1215" s="16" t="str">
        <x:v>Missing email</x:v>
      </x:c>
    </x:row>
    <x:row r="1216">
      <x:c r="A1216" s="16" t="n">
        <x:v>1237</x:v>
      </x:c>
      <x:c r="B1216" s="16" t="str">
        <x:v>Azizi Ariffin</x:v>
      </x:c>
      <x:c r="C1216" s="16" t="str"/>
      <x:c r="D1216" s="16" t="str">
        <x:v>* myContacts</x:v>
      </x:c>
      <x:c r="E1216" s="16" t="str">
        <x:v>Missing email</x:v>
      </x:c>
    </x:row>
    <x:row r="1217">
      <x:c r="A1217" s="16" t="n">
        <x:v>1238</x:v>
      </x:c>
      <x:c r="B1217" s="16" t="str">
        <x:v>Azizi Aziz Anjur</x:v>
      </x:c>
      <x:c r="C1217" s="16" t="str"/>
      <x:c r="D1217" s="16" t="str">
        <x:v>* myContacts</x:v>
      </x:c>
      <x:c r="E1217" s="16" t="str">
        <x:v>Missing email</x:v>
      </x:c>
    </x:row>
    <x:row r="1218">
      <x:c r="A1218" s="16" t="n">
        <x:v>1239</x:v>
      </x:c>
      <x:c r="B1218" s="16" t="str">
        <x:v>Azizi Dahalan</x:v>
      </x:c>
      <x:c r="C1218" s="16" t="str"/>
      <x:c r="D1218" s="16" t="str">
        <x:v>* myContacts</x:v>
      </x:c>
      <x:c r="E1218" s="16" t="str">
        <x:v>Missing email</x:v>
      </x:c>
    </x:row>
    <x:row r="1219">
      <x:c r="A1219" s="16" t="n">
        <x:v>1240</x:v>
      </x:c>
      <x:c r="B1219" s="16" t="str">
        <x:v>Azizi Hakimi</x:v>
      </x:c>
      <x:c r="C1219" s="16" t="str"/>
      <x:c r="D1219" s="16" t="str">
        <x:v>* myContacts</x:v>
      </x:c>
      <x:c r="E1219" s="16" t="str">
        <x:v>Missing email</x:v>
      </x:c>
    </x:row>
    <x:row r="1220">
      <x:c r="A1220" s="16" t="n">
        <x:v>1241</x:v>
      </x:c>
      <x:c r="B1220" s="16" t="str">
        <x:v>Azizi Web Master Ultra</x:v>
      </x:c>
      <x:c r="C1220" s="16" t="str"/>
      <x:c r="D1220" s="16" t="str">
        <x:v>* myContacts</x:v>
      </x:c>
      <x:c r="E1220" s="16" t="str">
        <x:v>Missing email</x:v>
      </x:c>
    </x:row>
    <x:row r="1221">
      <x:c r="A1221" s="16" t="n">
        <x:v>1242</x:v>
      </x:c>
      <x:c r="B1221" s="16" t="str">
        <x:v>Azizol Kamal</x:v>
      </x:c>
      <x:c r="C1221" s="16" t="str"/>
      <x:c r="D1221" s="16" t="str">
        <x:v>* myContacts</x:v>
      </x:c>
      <x:c r="E1221" s="16" t="str">
        <x:v>Missing email</x:v>
      </x:c>
    </x:row>
    <x:row r="1222">
      <x:c r="A1222" s="16" t="n">
        <x:v>1243</x:v>
      </x:c>
      <x:c r="B1222" s="16" t="str">
        <x:v>Azizul Hanapi</x:v>
      </x:c>
      <x:c r="C1222" s="16" t="str"/>
      <x:c r="D1222" s="16" t="str">
        <x:v>* myContacts</x:v>
      </x:c>
      <x:c r="E1222" s="16" t="str">
        <x:v>Missing email</x:v>
      </x:c>
    </x:row>
    <x:row r="1223">
      <x:c r="A1223" s="16" t="n">
        <x:v>1244</x:v>
      </x:c>
      <x:c r="B1223" s="16" t="str">
        <x:v>Azla IM</x:v>
      </x:c>
      <x:c r="C1223" s="16" t="str"/>
      <x:c r="D1223" s="16" t="str">
        <x:v>* myContacts</x:v>
      </x:c>
      <x:c r="E1223" s="16" t="str">
        <x:v>Missing email</x:v>
      </x:c>
    </x:row>
    <x:row r="1224">
      <x:c r="A1224" s="16" t="n">
        <x:v>1245</x:v>
      </x:c>
      <x:c r="B1224" s="16" t="str">
        <x:v>Azlan Abdullah</x:v>
      </x:c>
      <x:c r="C1224" s="16" t="str"/>
      <x:c r="D1224" s="16" t="str">
        <x:v>* myContacts</x:v>
      </x:c>
      <x:c r="E1224" s="16" t="str">
        <x:v>Missing email</x:v>
      </x:c>
    </x:row>
    <x:row r="1225">
      <x:c r="A1225" s="16" t="n">
        <x:v>1246</x:v>
      </x:c>
      <x:c r="B1225" s="16" t="str">
        <x:v>Azlan Agp</x:v>
      </x:c>
      <x:c r="C1225" s="16" t="str"/>
      <x:c r="D1225" s="16" t="str">
        <x:v>* myContacts</x:v>
      </x:c>
      <x:c r="E1225" s="16" t="str">
        <x:v>Missing email</x:v>
      </x:c>
    </x:row>
    <x:row r="1226">
      <x:c r="A1226" s="16" t="n">
        <x:v>1247</x:v>
      </x:c>
      <x:c r="B1226" s="16" t="str">
        <x:v>Azlan Aidil</x:v>
      </x:c>
      <x:c r="C1226" s="16" t="str"/>
      <x:c r="D1226" s="16" t="str">
        <x:v>* myContacts</x:v>
      </x:c>
      <x:c r="E1226" s="16" t="str">
        <x:v>Missing email</x:v>
      </x:c>
    </x:row>
    <x:row r="1227">
      <x:c r="A1227" s="16" t="n">
        <x:v>1248</x:v>
      </x:c>
      <x:c r="B1227" s="16" t="str">
        <x:v>Azlan Azhar</x:v>
      </x:c>
      <x:c r="C1227" s="16" t="str"/>
      <x:c r="D1227" s="16" t="str">
        <x:v>* myContacts</x:v>
      </x:c>
      <x:c r="E1227" s="16" t="str">
        <x:v>Missing email</x:v>
      </x:c>
    </x:row>
    <x:row r="1228">
      <x:c r="A1228" s="16" t="n">
        <x:v>1249</x:v>
      </x:c>
      <x:c r="B1228" s="16" t="str">
        <x:v>Azlan Harun</x:v>
      </x:c>
      <x:c r="C1228" s="16" t="str"/>
      <x:c r="D1228" s="16" t="str">
        <x:v>* myContacts</x:v>
      </x:c>
      <x:c r="E1228" s="16" t="str">
        <x:v>Missing email</x:v>
      </x:c>
    </x:row>
    <x:row r="1229">
      <x:c r="A1229" s="16" t="n">
        <x:v>1250</x:v>
      </x:c>
      <x:c r="B1229" s="16" t="str">
        <x:v>Azlan IM</x:v>
      </x:c>
      <x:c r="C1229" s="16" t="str"/>
      <x:c r="D1229" s="16" t="str">
        <x:v>* myContacts</x:v>
      </x:c>
      <x:c r="E1229" s="16" t="str">
        <x:v>Missing email</x:v>
      </x:c>
    </x:row>
    <x:row r="1230">
      <x:c r="A1230" s="16" t="n">
        <x:v>1251</x:v>
      </x:c>
      <x:c r="B1230" s="16" t="str">
        <x:v>Azlan Jdt Runner</x:v>
      </x:c>
      <x:c r="C1230" s="16" t="str"/>
      <x:c r="D1230" s="16" t="str">
        <x:v>* myContacts</x:v>
      </x:c>
      <x:c r="E1230" s="16" t="str">
        <x:v>Missing email</x:v>
      </x:c>
    </x:row>
    <x:row r="1231">
      <x:c r="A1231" s="16" t="n">
        <x:v>1252</x:v>
      </x:c>
      <x:c r="B1231" s="16" t="str">
        <x:v>Azlan Lan</x:v>
      </x:c>
      <x:c r="C1231" s="16" t="str"/>
      <x:c r="D1231" s="16" t="str">
        <x:v>* myContacts</x:v>
      </x:c>
      <x:c r="E1231" s="16" t="str">
        <x:v>Missing email</x:v>
      </x:c>
    </x:row>
    <x:row r="1232">
      <x:c r="A1232" s="16" t="n">
        <x:v>1253</x:v>
      </x:c>
      <x:c r="B1232" s="16" t="str">
        <x:v>Azlan Muhami</x:v>
      </x:c>
      <x:c r="C1232" s="16" t="str"/>
      <x:c r="D1232" s="16" t="str">
        <x:v>* myContacts</x:v>
      </x:c>
      <x:c r="E1232" s="16" t="str">
        <x:v>Missing email</x:v>
      </x:c>
    </x:row>
    <x:row r="1233">
      <x:c r="A1233" s="16" t="n">
        <x:v>1254</x:v>
      </x:c>
      <x:c r="B1233" s="16" t="str">
        <x:v>Azlan Photographer</x:v>
      </x:c>
      <x:c r="C1233" s="16" t="str"/>
      <x:c r="D1233" s="16" t="str">
        <x:v>* myContacts</x:v>
      </x:c>
      <x:c r="E1233" s="16" t="str">
        <x:v>Missing email</x:v>
      </x:c>
    </x:row>
    <x:row r="1234">
      <x:c r="A1234" s="16" t="n">
        <x:v>1255</x:v>
      </x:c>
      <x:c r="B1234" s="16" t="str">
        <x:v>Azlan PUBM</x:v>
      </x:c>
      <x:c r="C1234" s="16" t="str"/>
      <x:c r="D1234" s="16" t="str">
        <x:v>* myContacts</x:v>
      </x:c>
      <x:c r="E1234" s="16" t="str">
        <x:v>Missing email</x:v>
      </x:c>
    </x:row>
    <x:row r="1235">
      <x:c r="A1235" s="16" t="n">
        <x:v>1256</x:v>
      </x:c>
      <x:c r="B1235" s="16" t="str">
        <x:v>Azlan Teksi Taiping</x:v>
      </x:c>
      <x:c r="C1235" s="16" t="str"/>
      <x:c r="D1235" s="16" t="str">
        <x:v>* myContacts</x:v>
      </x:c>
      <x:c r="E1235" s="16" t="str">
        <x:v>Missing email</x:v>
      </x:c>
    </x:row>
    <x:row r="1236">
      <x:c r="A1236" s="16" t="n">
        <x:v>1257</x:v>
      </x:c>
      <x:c r="B1236" s="16" t="str">
        <x:v>Azlan Zolkeply</x:v>
      </x:c>
      <x:c r="C1236" s="16" t="str"/>
      <x:c r="D1236" s="16" t="str">
        <x:v>* myContacts</x:v>
      </x:c>
      <x:c r="E1236" s="16" t="str">
        <x:v>Missing email</x:v>
      </x:c>
    </x:row>
    <x:row r="1237">
      <x:c r="A1237" s="16" t="n">
        <x:v>1258</x:v>
      </x:c>
      <x:c r="B1237" s="16" t="str">
        <x:v>Azlee Tauke Sambal Ghasoo</x:v>
      </x:c>
      <x:c r="C1237" s="16" t="str"/>
      <x:c r="D1237" s="16" t="str">
        <x:v>* myContacts</x:v>
      </x:c>
      <x:c r="E1237" s="16" t="str">
        <x:v>Missing email</x:v>
      </x:c>
    </x:row>
    <x:row r="1238">
      <x:c r="A1238" s="16" t="n">
        <x:v>1259</x:v>
      </x:c>
      <x:c r="B1238" s="16" t="str">
        <x:v>Azli HEALTH FACTORY</x:v>
      </x:c>
      <x:c r="C1238" s="16" t="str"/>
      <x:c r="D1238" s="16" t="str">
        <x:v>* myContacts</x:v>
      </x:c>
      <x:c r="E1238" s="16" t="str">
        <x:v>Missing email</x:v>
      </x:c>
    </x:row>
    <x:row r="1239">
      <x:c r="A1239" s="16" t="n">
        <x:v>1260</x:v>
      </x:c>
      <x:c r="B1239" s="16" t="str">
        <x:v>azli nu empire</x:v>
      </x:c>
      <x:c r="C1239" s="16" t="str"/>
      <x:c r="D1239" s="16" t="str">
        <x:v>* myContacts</x:v>
      </x:c>
      <x:c r="E1239" s="16" t="str">
        <x:v>Missing email</x:v>
      </x:c>
    </x:row>
    <x:row r="1240">
      <x:c r="A1240" s="16" t="n">
        <x:v>1261</x:v>
      </x:c>
      <x:c r="B1240" s="16" t="str">
        <x:v>Azlie Awj</x:v>
      </x:c>
      <x:c r="C1240" s="16" t="str"/>
      <x:c r="D1240" s="16" t="str">
        <x:v>* myContacts</x:v>
      </x:c>
      <x:c r="E1240" s="16" t="str">
        <x:v>Missing email</x:v>
      </x:c>
    </x:row>
    <x:row r="1241">
      <x:c r="A1241" s="16" t="n">
        <x:v>1262</x:v>
      </x:c>
      <x:c r="B1241" s="16" t="str">
        <x:v>Azlin Bt Azmi Shaz</x:v>
      </x:c>
      <x:c r="C1241" s="16" t="str"/>
      <x:c r="D1241" s="16" t="str">
        <x:v>* myContacts</x:v>
      </x:c>
      <x:c r="E1241" s="16" t="str">
        <x:v>Missing email</x:v>
      </x:c>
    </x:row>
    <x:row r="1242">
      <x:c r="A1242" s="16" t="n">
        <x:v>1263</x:v>
      </x:c>
      <x:c r="B1242" s="16" t="str">
        <x:v>Azlin Hashim</x:v>
      </x:c>
      <x:c r="C1242" s="16" t="str"/>
      <x:c r="D1242" s="16" t="str">
        <x:v>* myContacts</x:v>
      </x:c>
      <x:c r="E1242" s="16" t="str">
        <x:v>Missing email</x:v>
      </x:c>
    </x:row>
    <x:row r="1243">
      <x:c r="A1243" s="16" t="n">
        <x:v>1264</x:v>
      </x:c>
      <x:c r="B1243" s="16" t="str">
        <x:v>Azlin Suhana</x:v>
      </x:c>
      <x:c r="C1243" s="16" t="str"/>
      <x:c r="D1243" s="16" t="str">
        <x:v>* myContacts</x:v>
      </x:c>
      <x:c r="E1243" s="16" t="str">
        <x:v>Missing email</x:v>
      </x:c>
    </x:row>
    <x:row r="1244">
      <x:c r="A1244" s="16" t="n">
        <x:v>1265</x:v>
      </x:c>
      <x:c r="B1244" s="16" t="str">
        <x:v>Azlina Lynn</x:v>
      </x:c>
      <x:c r="C1244" s="16" t="str"/>
      <x:c r="D1244" s="16" t="str">
        <x:v>* myContacts</x:v>
      </x:c>
      <x:c r="E1244" s="16" t="str">
        <x:v>Missing email</x:v>
      </x:c>
    </x:row>
    <x:row r="1245">
      <x:c r="A1245" s="16" t="n">
        <x:v>1266</x:v>
      </x:c>
      <x:c r="B1245" s="16" t="str">
        <x:v>Azlina Majlis Koperasi Malaysia</x:v>
      </x:c>
      <x:c r="C1245" s="16" t="str"/>
      <x:c r="D1245" s="16" t="str">
        <x:v>* myContacts</x:v>
      </x:c>
      <x:c r="E1245" s="16" t="str">
        <x:v>Missing email</x:v>
      </x:c>
    </x:row>
    <x:row r="1246">
      <x:c r="A1246" s="16" t="n">
        <x:v>1267</x:v>
      </x:c>
      <x:c r="B1246" s="16" t="str">
        <x:v>Azlina Trainer</x:v>
      </x:c>
      <x:c r="C1246" s="16" t="str"/>
      <x:c r="D1246" s="16" t="str">
        <x:v>Trainer | * myContacts</x:v>
      </x:c>
      <x:c r="E1246" s="16" t="str">
        <x:v>Missing email</x:v>
      </x:c>
    </x:row>
    <x:row r="1247">
      <x:c r="A1247" s="16" t="n">
        <x:v>1268</x:v>
      </x:c>
      <x:c r="B1247" s="16" t="str">
        <x:v>Azlinah Lasah</x:v>
      </x:c>
      <x:c r="C1247" s="16" t="str"/>
      <x:c r="D1247" s="16" t="str">
        <x:v>* myContacts</x:v>
      </x:c>
      <x:c r="E1247" s="16" t="str">
        <x:v>Missing email</x:v>
      </x:c>
    </x:row>
    <x:row r="1248">
      <x:c r="A1248" s="16" t="n">
        <x:v>1269</x:v>
      </x:c>
      <x:c r="B1248" s="16" t="str">
        <x:v>Azlong Kona</x:v>
      </x:c>
      <x:c r="C1248" s="16" t="str"/>
      <x:c r="D1248" s="16" t="str">
        <x:v>* myContacts</x:v>
      </x:c>
      <x:c r="E1248" s="16" t="str">
        <x:v>Missing email</x:v>
      </x:c>
    </x:row>
    <x:row r="1249">
      <x:c r="A1249" s="16" t="n">
        <x:v>1270</x:v>
      </x:c>
      <x:c r="B1249" s="16" t="str">
        <x:v>Azlyn Sambaleena</x:v>
      </x:c>
      <x:c r="C1249" s="16" t="str"/>
      <x:c r="D1249" s="16" t="str">
        <x:v>* myContacts</x:v>
      </x:c>
      <x:c r="E1249" s="16" t="str">
        <x:v>Missing email</x:v>
      </x:c>
    </x:row>
    <x:row r="1250">
      <x:c r="A1250" s="16" t="n">
        <x:v>1271</x:v>
      </x:c>
      <x:c r="B1250" s="16" t="str">
        <x:v>Azman AZ</x:v>
      </x:c>
      <x:c r="C1250" s="16" t="str"/>
      <x:c r="D1250" s="16" t="str">
        <x:v>* myContacts</x:v>
      </x:c>
      <x:c r="E1250" s="16" t="str">
        <x:v>Missing email</x:v>
      </x:c>
    </x:row>
    <x:row r="1251">
      <x:c r="A1251" s="16" t="n">
        <x:v>1272</x:v>
      </x:c>
      <x:c r="B1251" s="16" t="str">
        <x:v>Azman Haron</x:v>
      </x:c>
      <x:c r="C1251" s="16" t="str"/>
      <x:c r="D1251" s="16" t="str">
        <x:v>* myContacts</x:v>
      </x:c>
      <x:c r="E1251" s="16" t="str">
        <x:v>Missing email</x:v>
      </x:c>
    </x:row>
    <x:row r="1252">
      <x:c r="A1252" s="16" t="n">
        <x:v>1273</x:v>
      </x:c>
      <x:c r="B1252" s="16" t="str">
        <x:v>Azman Husin</x:v>
      </x:c>
      <x:c r="C1252" s="16" t="str"/>
      <x:c r="D1252" s="16" t="str">
        <x:v>* myContacts</x:v>
      </x:c>
      <x:c r="E1252" s="16" t="str">
        <x:v>Missing email</x:v>
      </x:c>
    </x:row>
    <x:row r="1253">
      <x:c r="A1253" s="16" t="n">
        <x:v>1274</x:v>
      </x:c>
      <x:c r="B1253" s="16" t="str">
        <x:v>Azman Md Yusof</x:v>
      </x:c>
      <x:c r="C1253" s="16" t="str"/>
      <x:c r="D1253" s="16" t="str">
        <x:v>* myContacts</x:v>
      </x:c>
      <x:c r="E1253" s="16" t="str">
        <x:v>Missing email</x:v>
      </x:c>
    </x:row>
    <x:row r="1254">
      <x:c r="A1254" s="16" t="n">
        <x:v>1275</x:v>
      </x:c>
      <x:c r="B1254" s="16" t="str">
        <x:v>Azman Mohd Umar</x:v>
      </x:c>
      <x:c r="C1254" s="16" t="str"/>
      <x:c r="D1254" s="16" t="str">
        <x:v>* myContacts</x:v>
      </x:c>
      <x:c r="E1254" s="16" t="str">
        <x:v>Missing email</x:v>
      </x:c>
    </x:row>
    <x:row r="1255">
      <x:c r="A1255" s="16" t="n">
        <x:v>1276</x:v>
      </x:c>
      <x:c r="B1255" s="16" t="str">
        <x:v>Azmi Agent AGP</x:v>
      </x:c>
      <x:c r="C1255" s="16" t="str"/>
      <x:c r="D1255" s="16" t="str">
        <x:v>* myContacts</x:v>
      </x:c>
      <x:c r="E1255" s="16" t="str">
        <x:v>Missing email</x:v>
      </x:c>
    </x:row>
    <x:row r="1256">
      <x:c r="A1256" s="16" t="n">
        <x:v>1277</x:v>
      </x:c>
      <x:c r="B1256" s="16" t="str">
        <x:v>Azmi AGP</x:v>
      </x:c>
      <x:c r="C1256" s="16" t="str"/>
      <x:c r="D1256" s="16" t="str">
        <x:v>* myContacts</x:v>
      </x:c>
      <x:c r="E1256" s="16" t="str">
        <x:v>Missing email</x:v>
      </x:c>
    </x:row>
    <x:row r="1257">
      <x:c r="A1257" s="16" t="n">
        <x:v>1278</x:v>
      </x:c>
      <x:c r="B1257" s="16" t="str">
        <x:v>Azmi Aida</x:v>
      </x:c>
      <x:c r="C1257" s="16" t="str"/>
      <x:c r="D1257" s="16" t="str">
        <x:v>* myContacts</x:v>
      </x:c>
      <x:c r="E1257" s="16" t="str">
        <x:v>Missing email</x:v>
      </x:c>
    </x:row>
    <x:row r="1258">
      <x:c r="A1258" s="16" t="n">
        <x:v>1279</x:v>
      </x:c>
      <x:c r="B1258" s="16" t="str">
        <x:v>Azmi Awang AGP</x:v>
      </x:c>
      <x:c r="C1258" s="16" t="str"/>
      <x:c r="D1258" s="16" t="str">
        <x:v>* myContacts</x:v>
      </x:c>
      <x:c r="E1258" s="16" t="str">
        <x:v>Missing email</x:v>
      </x:c>
    </x:row>
    <x:row r="1259">
      <x:c r="A1259" s="16" t="n">
        <x:v>1280</x:v>
      </x:c>
      <x:c r="B1259" s="16" t="str">
        <x:v>Azmi Civic</x:v>
      </x:c>
      <x:c r="C1259" s="16" t="str"/>
      <x:c r="D1259" s="16" t="str">
        <x:v>* myContacts</x:v>
      </x:c>
      <x:c r="E1259" s="16" t="str">
        <x:v>Missing email</x:v>
      </x:c>
    </x:row>
    <x:row r="1260">
      <x:c r="A1260" s="16" t="n">
        <x:v>1281</x:v>
      </x:c>
      <x:c r="B1260" s="16" t="str">
        <x:v>Azmi Ghani</x:v>
      </x:c>
      <x:c r="C1260" s="16" t="str"/>
      <x:c r="D1260" s="16" t="str">
        <x:v>* myContacts</x:v>
      </x:c>
      <x:c r="E1260" s="16" t="str">
        <x:v>Missing email</x:v>
      </x:c>
    </x:row>
    <x:row r="1261">
      <x:c r="A1261" s="16" t="n">
        <x:v>1282</x:v>
      </x:c>
      <x:c r="B1261" s="16" t="str">
        <x:v>AZMI IM</x:v>
      </x:c>
      <x:c r="C1261" s="16" t="str"/>
      <x:c r="D1261" s="16" t="str">
        <x:v>* myContacts</x:v>
      </x:c>
      <x:c r="E1261" s="16" t="str">
        <x:v>Missing email</x:v>
      </x:c>
    </x:row>
    <x:row r="1262">
      <x:c r="A1262" s="16" t="n">
        <x:v>1283</x:v>
      </x:c>
      <x:c r="B1262" s="16" t="str">
        <x:v>Azmi Jookepli Graphic Designer</x:v>
      </x:c>
      <x:c r="C1262" s="16" t="str"/>
      <x:c r="D1262" s="16" t="str">
        <x:v>* myContacts</x:v>
      </x:c>
      <x:c r="E1262" s="16" t="str">
        <x:v>Missing email</x:v>
      </x:c>
    </x:row>
    <x:row r="1263">
      <x:c r="A1263" s="16" t="n">
        <x:v>1284</x:v>
      </x:c>
      <x:c r="B1263" s="16" t="str">
        <x:v>Azmi Mat Sari</x:v>
      </x:c>
      <x:c r="C1263" s="16" t="str"/>
      <x:c r="D1263" s="16" t="str">
        <x:v>* myContacts</x:v>
      </x:c>
      <x:c r="E1263" s="16" t="str">
        <x:v>Missing email</x:v>
      </x:c>
    </x:row>
    <x:row r="1264">
      <x:c r="A1264" s="16" t="n">
        <x:v>1285</x:v>
      </x:c>
      <x:c r="B1264" s="16" t="str">
        <x:v>Azmi Mdec IM</x:v>
      </x:c>
      <x:c r="C1264" s="16" t="str"/>
      <x:c r="D1264" s="16" t="str">
        <x:v>* myContacts</x:v>
      </x:c>
      <x:c r="E1264" s="16" t="str">
        <x:v>Missing email</x:v>
      </x:c>
    </x:row>
    <x:row r="1265">
      <x:c r="A1265" s="16" t="n">
        <x:v>1286</x:v>
      </x:c>
      <x:c r="B1265" s="16" t="str">
        <x:v>Azmi Trainer MDEC</x:v>
      </x:c>
      <x:c r="C1265" s="16" t="str"/>
      <x:c r="D1265" s="16" t="str">
        <x:v>Trainer | * myContacts</x:v>
      </x:c>
      <x:c r="E1265" s="16" t="str">
        <x:v>Missing email</x:v>
      </x:c>
    </x:row>
    <x:row r="1266">
      <x:c r="A1266" s="16" t="n">
        <x:v>1287</x:v>
      </x:c>
      <x:c r="B1266" s="16" t="str">
        <x:v>Azmi Yahya Ac</x:v>
      </x:c>
      <x:c r="C1266" s="16" t="str"/>
      <x:c r="D1266" s="16" t="str">
        <x:v>* myContacts</x:v>
      </x:c>
      <x:c r="E1266" s="16" t="str">
        <x:v>Missing email</x:v>
      </x:c>
    </x:row>
    <x:row r="1267">
      <x:c r="A1267" s="16" t="n">
        <x:v>1288</x:v>
      </x:c>
      <x:c r="B1267" s="16" t="str">
        <x:v>Azmil Aznan</x:v>
      </x:c>
      <x:c r="C1267" s="16" t="str"/>
      <x:c r="D1267" s="16" t="str">
        <x:v>* myContacts</x:v>
      </x:c>
      <x:c r="E1267" s="16" t="str">
        <x:v>Missing email</x:v>
      </x:c>
    </x:row>
    <x:row r="1268">
      <x:c r="A1268" s="16" t="n">
        <x:v>1289</x:v>
      </x:c>
      <x:c r="B1268" s="16" t="str">
        <x:v>Azmil Kamsani</x:v>
      </x:c>
      <x:c r="C1268" s="16" t="str"/>
      <x:c r="D1268" s="16" t="str">
        <x:v>* myContacts</x:v>
      </x:c>
      <x:c r="E1268" s="16" t="str">
        <x:v>Missing email</x:v>
      </x:c>
    </x:row>
    <x:row r="1269">
      <x:c r="A1269" s="16" t="n">
        <x:v>1290</x:v>
      </x:c>
      <x:c r="B1269" s="16" t="str">
        <x:v>Azmir Simon</x:v>
      </x:c>
      <x:c r="C1269" s="16" t="str"/>
      <x:c r="D1269" s="16" t="str">
        <x:v>* myContacts</x:v>
      </x:c>
      <x:c r="E1269" s="16" t="str">
        <x:v>Missing email</x:v>
      </x:c>
    </x:row>
    <x:row r="1270">
      <x:c r="A1270" s="16" t="n">
        <x:v>1291</x:v>
      </x:c>
      <x:c r="B1270" s="16" t="str">
        <x:v>Azmir Water Filter</x:v>
      </x:c>
      <x:c r="C1270" s="16" t="str"/>
      <x:c r="D1270" s="16" t="str">
        <x:v>* myContacts</x:v>
      </x:c>
      <x:c r="E1270" s="16" t="str">
        <x:v>Missing email</x:v>
      </x:c>
    </x:row>
    <x:row r="1271">
      <x:c r="A1271" s="16" t="n">
        <x:v>1292</x:v>
      </x:c>
      <x:c r="B1271" s="16" t="str">
        <x:v>Azmira Ab Moin</x:v>
      </x:c>
      <x:c r="C1271" s="16" t="str"/>
      <x:c r="D1271" s="16" t="str">
        <x:v>* myContacts</x:v>
      </x:c>
      <x:c r="E1271" s="16" t="str">
        <x:v>Missing email</x:v>
      </x:c>
    </x:row>
    <x:row r="1272">
      <x:c r="A1272" s="16" t="n">
        <x:v>1293</x:v>
      </x:c>
      <x:c r="B1272" s="16" t="str">
        <x:v>Azmira iCEPs Uitm</x:v>
      </x:c>
      <x:c r="C1272" s="16" t="str"/>
      <x:c r="D1272" s="16" t="str">
        <x:v>* myContacts</x:v>
      </x:c>
      <x:c r="E1272" s="16" t="str">
        <x:v>Missing email</x:v>
      </x:c>
    </x:row>
    <x:row r="1273">
      <x:c r="A1273" s="16" t="n">
        <x:v>1294</x:v>
      </x:c>
      <x:c r="B1273" s="16" t="str">
        <x:v>Azmirul Shafiq</x:v>
      </x:c>
      <x:c r="C1273" s="16" t="str"/>
      <x:c r="D1273" s="16" t="str">
        <x:v>* myContacts</x:v>
      </x:c>
      <x:c r="E1273" s="16" t="str">
        <x:v>Missing email</x:v>
      </x:c>
    </x:row>
    <x:row r="1274">
      <x:c r="A1274" s="16" t="n">
        <x:v>1295</x:v>
      </x:c>
      <x:c r="B1274" s="16" t="str">
        <x:v>Aznihatin Mohammad Asmani</x:v>
      </x:c>
      <x:c r="C1274" s="16" t="str"/>
      <x:c r="D1274" s="16" t="str">
        <x:v>* myContacts</x:v>
      </x:c>
      <x:c r="E1274" s="16" t="str">
        <x:v>Missing email</x:v>
      </x:c>
    </x:row>
    <x:row r="1275">
      <x:c r="A1275" s="16" t="n">
        <x:v>1296</x:v>
      </x:c>
      <x:c r="B1275" s="16" t="str">
        <x:v>Aznur Aida</x:v>
      </x:c>
      <x:c r="C1275" s="16" t="str"/>
      <x:c r="D1275" s="16" t="str">
        <x:v>* myContacts</x:v>
      </x:c>
      <x:c r="E1275" s="16" t="str">
        <x:v>Missing email</x:v>
      </x:c>
    </x:row>
    <x:row r="1276">
      <x:c r="A1276" s="16" t="n">
        <x:v>1297</x:v>
      </x:c>
      <x:c r="B1276" s="16" t="str">
        <x:v>Azpin Melaka</x:v>
      </x:c>
      <x:c r="C1276" s="16" t="str"/>
      <x:c r="D1276" s="16" t="str">
        <x:v>* myContacts</x:v>
      </x:c>
      <x:c r="E1276" s="16" t="str">
        <x:v>Missing email</x:v>
      </x:c>
    </x:row>
    <x:row r="1277">
      <x:c r="A1277" s="16" t="n">
        <x:v>1298</x:v>
      </x:c>
      <x:c r="B1277" s="16" t="str">
        <x:v>Azra Rahman</x:v>
      </x:c>
      <x:c r="C1277" s="16" t="str"/>
      <x:c r="D1277" s="16" t="str">
        <x:v>* myContacts</x:v>
      </x:c>
      <x:c r="E1277" s="16" t="str">
        <x:v>Missing email</x:v>
      </x:c>
    </x:row>
    <x:row r="1278">
      <x:c r="A1278" s="16" t="n">
        <x:v>1299</x:v>
      </x:c>
      <x:c r="B1278" s="16" t="str">
        <x:v>Azran Husaip Student</x:v>
      </x:c>
      <x:c r="C1278" s="16" t="str"/>
      <x:c r="D1278" s="16" t="str">
        <x:v>* myContacts</x:v>
      </x:c>
      <x:c r="E1278" s="16" t="str">
        <x:v>Missing email</x:v>
      </x:c>
    </x:row>
    <x:row r="1279">
      <x:c r="A1279" s="16" t="n">
        <x:v>1300</x:v>
      </x:c>
      <x:c r="B1279" s="16" t="str">
        <x:v>Azreez Kaunselor</x:v>
      </x:c>
      <x:c r="C1279" s="16" t="str"/>
      <x:c r="D1279" s="16" t="str">
        <x:v>* myContacts</x:v>
      </x:c>
      <x:c r="E1279" s="16" t="str">
        <x:v>Missing email</x:v>
      </x:c>
    </x:row>
    <x:row r="1280">
      <x:c r="A1280" s="16" t="n">
        <x:v>1301</x:v>
      </x:c>
      <x:c r="B1280" s="16" t="str">
        <x:v>Azri HerbX</x:v>
      </x:c>
      <x:c r="C1280" s="16" t="str"/>
      <x:c r="D1280" s="16" t="str">
        <x:v>* myContacts</x:v>
      </x:c>
      <x:c r="E1280" s="16" t="str">
        <x:v>Missing email</x:v>
      </x:c>
    </x:row>
    <x:row r="1281">
      <x:c r="A1281" s="16" t="n">
        <x:v>1302</x:v>
      </x:c>
      <x:c r="B1281" s="16" t="str">
        <x:v>Azri Jon mekanik kereta</x:v>
      </x:c>
      <x:c r="C1281" s="16" t="str"/>
      <x:c r="D1281" s="16" t="str">
        <x:v>* myContacts</x:v>
      </x:c>
      <x:c r="E1281" s="16" t="str">
        <x:v>Missing email</x:v>
      </x:c>
    </x:row>
    <x:row r="1282">
      <x:c r="A1282" s="16" t="n">
        <x:v>1303</x:v>
      </x:c>
      <x:c r="B1282" s="16" t="str">
        <x:v>Azri Nazri</x:v>
      </x:c>
      <x:c r="C1282" s="16" t="str"/>
      <x:c r="D1282" s="16" t="str">
        <x:v>* myContacts</x:v>
      </x:c>
      <x:c r="E1282" s="16" t="str">
        <x:v>Missing email</x:v>
      </x:c>
    </x:row>
    <x:row r="1283">
      <x:c r="A1283" s="16" t="n">
        <x:v>1304</x:v>
      </x:c>
      <x:c r="B1283" s="16" t="str">
        <x:v>Azri Osman</x:v>
      </x:c>
      <x:c r="C1283" s="16" t="str"/>
      <x:c r="D1283" s="16" t="str">
        <x:v>* myContacts</x:v>
      </x:c>
      <x:c r="E1283" s="16" t="str">
        <x:v>Missing email</x:v>
      </x:c>
    </x:row>
    <x:row r="1284">
      <x:c r="A1284" s="16" t="n">
        <x:v>1305</x:v>
      </x:c>
      <x:c r="B1284" s="16" t="str">
        <x:v>Azrian Alamin AGP</x:v>
      </x:c>
      <x:c r="C1284" s="16" t="str"/>
      <x:c r="D1284" s="16" t="str">
        <x:v>* myContacts</x:v>
      </x:c>
      <x:c r="E1284" s="16" t="str">
        <x:v>Missing email</x:v>
      </x:c>
    </x:row>
    <x:row r="1285">
      <x:c r="A1285" s="16" t="n">
        <x:v>1306</x:v>
      </x:c>
      <x:c r="B1285" s="16" t="str">
        <x:v>Azrie Samaq RJB</x:v>
      </x:c>
      <x:c r="C1285" s="16" t="str"/>
      <x:c r="D1285" s="16" t="str">
        <x:v>* myContacts</x:v>
      </x:c>
      <x:c r="E1285" s="16" t="str">
        <x:v>Missing email</x:v>
      </x:c>
    </x:row>
    <x:row r="1286">
      <x:c r="A1286" s="16" t="n">
        <x:v>1307</x:v>
      </x:c>
      <x:c r="B1286" s="16" t="str">
        <x:v>azriehusainy Trainer</x:v>
      </x:c>
      <x:c r="C1286" s="16" t="str"/>
      <x:c r="D1286" s="16" t="str">
        <x:v>Trainer | * myContacts</x:v>
      </x:c>
      <x:c r="E1286" s="16" t="str">
        <x:v>Missing email</x:v>
      </x:c>
    </x:row>
    <x:row r="1287">
      <x:c r="A1287" s="16" t="n">
        <x:v>1308</x:v>
      </x:c>
      <x:c r="B1287" s="16" t="str">
        <x:v>Azril Binti Yaakob</x:v>
      </x:c>
      <x:c r="C1287" s="16" t="str"/>
      <x:c r="D1287" s="16" t="str">
        <x:v>* myContacts</x:v>
      </x:c>
      <x:c r="E1287" s="16" t="str">
        <x:v>Missing email</x:v>
      </x:c>
    </x:row>
    <x:row r="1288">
      <x:c r="A1288" s="16" t="n">
        <x:v>1309</x:v>
      </x:c>
      <x:c r="B1288" s="16" t="str">
        <x:v>Azril Hisham Kamal Bashah</x:v>
      </x:c>
      <x:c r="C1288" s="16" t="str"/>
      <x:c r="D1288" s="16" t="str">
        <x:v>* myContacts</x:v>
      </x:c>
      <x:c r="E1288" s="16" t="str">
        <x:v>Missing email</x:v>
      </x:c>
    </x:row>
    <x:row r="1289">
      <x:c r="A1289" s="16" t="n">
        <x:v>1310</x:v>
      </x:c>
      <x:c r="B1289" s="16" t="str">
        <x:v>Azril Je</x:v>
      </x:c>
      <x:c r="C1289" s="16" t="str"/>
      <x:c r="D1289" s="16" t="str">
        <x:v>* myContacts</x:v>
      </x:c>
      <x:c r="E1289" s="16" t="str">
        <x:v>Missing email</x:v>
      </x:c>
    </x:row>
    <x:row r="1290">
      <x:c r="A1290" s="16" t="n">
        <x:v>1311</x:v>
      </x:c>
      <x:c r="B1290" s="16" t="str">
        <x:v>Azrina Md Juari</x:v>
      </x:c>
      <x:c r="C1290" s="16" t="str"/>
      <x:c r="D1290" s="16" t="str">
        <x:v>* myContacts</x:v>
      </x:c>
      <x:c r="E1290" s="16" t="str">
        <x:v>Missing email</x:v>
      </x:c>
    </x:row>
    <x:row r="1291">
      <x:c r="A1291" s="16" t="n">
        <x:v>1312</x:v>
      </x:c>
      <x:c r="B1291" s="16" t="str">
        <x:v>Azroi PJC Dewan</x:v>
      </x:c>
      <x:c r="C1291" s="16" t="str"/>
      <x:c r="D1291" s="16" t="str">
        <x:v>* myContacts</x:v>
      </x:c>
      <x:c r="E1291" s="16" t="str">
        <x:v>Missing email</x:v>
      </x:c>
    </x:row>
    <x:row r="1292">
      <x:c r="A1292" s="16" t="n">
        <x:v>1313</x:v>
      </x:c>
      <x:c r="B1292" s="16" t="str">
        <x:v>Azrol AGP IM</x:v>
      </x:c>
      <x:c r="C1292" s="16" t="str"/>
      <x:c r="D1292" s="16" t="str">
        <x:v>* myContacts</x:v>
      </x:c>
      <x:c r="E1292" s="16" t="str">
        <x:v>Missing email</x:v>
      </x:c>
    </x:row>
    <x:row r="1293">
      <x:c r="A1293" s="16" t="n">
        <x:v>1314</x:v>
      </x:c>
      <x:c r="B1293" s="16" t="str">
        <x:v>Azrol Azizan</x:v>
      </x:c>
      <x:c r="C1293" s="16" t="str"/>
      <x:c r="D1293" s="16" t="str">
        <x:v>* myContacts</x:v>
      </x:c>
      <x:c r="E1293" s="16" t="str">
        <x:v>Missing email</x:v>
      </x:c>
    </x:row>
    <x:row r="1294">
      <x:c r="A1294" s="16" t="n">
        <x:v>1315</x:v>
      </x:c>
      <x:c r="B1294" s="16" t="str">
        <x:v>azrol minda trafic</x:v>
      </x:c>
      <x:c r="C1294" s="16" t="str"/>
      <x:c r="D1294" s="16" t="str">
        <x:v>* myContacts</x:v>
      </x:c>
      <x:c r="E1294" s="16" t="str">
        <x:v>Missing email</x:v>
      </x:c>
    </x:row>
    <x:row r="1295">
      <x:c r="A1295" s="16" t="n">
        <x:v>1316</x:v>
      </x:c>
      <x:c r="B1295" s="16" t="str">
        <x:v>Azroll Paker</x:v>
      </x:c>
      <x:c r="C1295" s="16" t="str"/>
      <x:c r="D1295" s="16" t="str">
        <x:v>* myContacts</x:v>
      </x:c>
      <x:c r="E1295" s="16" t="str">
        <x:v>Missing email</x:v>
      </x:c>
    </x:row>
    <x:row r="1296">
      <x:c r="A1296" s="16" t="n">
        <x:v>1317</x:v>
      </x:c>
      <x:c r="B1296" s="16" t="str">
        <x:v>Azroy Azham Nhf</x:v>
      </x:c>
      <x:c r="C1296" s="16" t="str"/>
      <x:c r="D1296" s="16" t="str">
        <x:v>* myContacts</x:v>
      </x:c>
      <x:c r="E1296" s="16" t="str">
        <x:v>Missing email</x:v>
      </x:c>
    </x:row>
    <x:row r="1297">
      <x:c r="A1297" s="16" t="n">
        <x:v>1318</x:v>
      </x:c>
      <x:c r="B1297" s="16" t="str">
        <x:v>Azrul Azman AGP</x:v>
      </x:c>
      <x:c r="C1297" s="16" t="str"/>
      <x:c r="D1297" s="16" t="str">
        <x:v>* myContacts</x:v>
      </x:c>
      <x:c r="E1297" s="16" t="str">
        <x:v>Missing email</x:v>
      </x:c>
    </x:row>
    <x:row r="1298">
      <x:c r="A1298" s="16" t="n">
        <x:v>1319</x:v>
      </x:c>
      <x:c r="B1298" s="16" t="str">
        <x:v>Azrul Azwan</x:v>
      </x:c>
      <x:c r="C1298" s="16" t="str"/>
      <x:c r="D1298" s="16" t="str">
        <x:v>* myContacts</x:v>
      </x:c>
      <x:c r="E1298" s="16" t="str">
        <x:v>Missing email</x:v>
      </x:c>
    </x:row>
    <x:row r="1299">
      <x:c r="A1299" s="16" t="n">
        <x:v>1320</x:v>
      </x:c>
      <x:c r="B1299" s="16" t="str">
        <x:v>Azrul Fidel</x:v>
      </x:c>
      <x:c r="C1299" s="16" t="str"/>
      <x:c r="D1299" s="16" t="str">
        <x:v>* myContacts</x:v>
      </x:c>
      <x:c r="E1299" s="16" t="str">
        <x:v>Missing email</x:v>
      </x:c>
    </x:row>
    <x:row r="1300">
      <x:c r="A1300" s="16" t="n">
        <x:v>1321</x:v>
      </x:c>
      <x:c r="B1300" s="16" t="str">
        <x:v>Azrul GPS</x:v>
      </x:c>
      <x:c r="C1300" s="16" t="str"/>
      <x:c r="D1300" s="16" t="str">
        <x:v>* myContacts</x:v>
      </x:c>
      <x:c r="E1300" s="16" t="str">
        <x:v>Missing email</x:v>
      </x:c>
    </x:row>
    <x:row r="1301">
      <x:c r="A1301" s="16" t="n">
        <x:v>1322</x:v>
      </x:c>
      <x:c r="B1301" s="16" t="str">
        <x:v>Azrul Hazmil</x:v>
      </x:c>
      <x:c r="C1301" s="16" t="str"/>
      <x:c r="D1301" s="16" t="str">
        <x:v>* myContacts</x:v>
      </x:c>
      <x:c r="E1301" s="16" t="str">
        <x:v>Missing email</x:v>
      </x:c>
    </x:row>
    <x:row r="1302">
      <x:c r="A1302" s="16" t="n">
        <x:v>1323</x:v>
      </x:c>
      <x:c r="B1302" s="16" t="str">
        <x:v>Azrul Lc</x:v>
      </x:c>
      <x:c r="C1302" s="16" t="str"/>
      <x:c r="D1302" s="16" t="str">
        <x:v>* myContacts</x:v>
      </x:c>
      <x:c r="E1302" s="16" t="str">
        <x:v>Missing email</x:v>
      </x:c>
    </x:row>
    <x:row r="1303">
      <x:c r="A1303" s="16" t="n">
        <x:v>1324</x:v>
      </x:c>
      <x:c r="B1303" s="16" t="str">
        <x:v>Azrul LetChat</x:v>
      </x:c>
      <x:c r="C1303" s="16" t="str"/>
      <x:c r="D1303" s="16" t="str">
        <x:v>* myContacts</x:v>
      </x:c>
      <x:c r="E1303" s="16" t="str">
        <x:v>Missing email</x:v>
      </x:c>
    </x:row>
    <x:row r="1304">
      <x:c r="A1304" s="16" t="n">
        <x:v>1325</x:v>
      </x:c>
      <x:c r="B1304" s="16" t="str">
        <x:v>Azrull Hisham Ahmad</x:v>
      </x:c>
      <x:c r="C1304" s="16" t="str"/>
      <x:c r="D1304" s="16" t="str">
        <x:v>* myContacts</x:v>
      </x:c>
      <x:c r="E1304" s="16" t="str">
        <x:v>Missing email</x:v>
      </x:c>
    </x:row>
    <x:row r="1305">
      <x:c r="A1305" s="16" t="n">
        <x:v>1326</x:v>
      </x:c>
      <x:c r="B1305" s="16" t="str">
        <x:v>Azry Wak Jony Workshop</x:v>
      </x:c>
      <x:c r="C1305" s="16" t="str"/>
      <x:c r="D1305" s="16" t="str">
        <x:v>* myContacts</x:v>
      </x:c>
      <x:c r="E1305" s="16" t="str">
        <x:v>Missing email</x:v>
      </x:c>
    </x:row>
    <x:row r="1306">
      <x:c r="A1306" s="16" t="n">
        <x:v>1327</x:v>
      </x:c>
      <x:c r="B1306" s="16" t="str">
        <x:v>Azura Azizan</x:v>
      </x:c>
      <x:c r="C1306" s="16" t="str"/>
      <x:c r="D1306" s="16" t="str">
        <x:v>* myContacts</x:v>
      </x:c>
      <x:c r="E1306" s="16" t="str">
        <x:v>Missing email</x:v>
      </x:c>
    </x:row>
    <x:row r="1307">
      <x:c r="A1307" s="16" t="n">
        <x:v>1328</x:v>
      </x:c>
      <x:c r="B1307" s="16" t="str">
        <x:v>Azura Katering</x:v>
      </x:c>
      <x:c r="C1307" s="16" t="str"/>
      <x:c r="D1307" s="16" t="str">
        <x:v>* myContacts</x:v>
      </x:c>
      <x:c r="E1307" s="16" t="str">
        <x:v>Missing email</x:v>
      </x:c>
    </x:row>
    <x:row r="1308">
      <x:c r="A1308" s="16" t="n">
        <x:v>1329</x:v>
      </x:c>
      <x:c r="B1308" s="16" t="str">
        <x:v>Azura Zura</x:v>
      </x:c>
      <x:c r="C1308" s="16" t="str"/>
      <x:c r="D1308" s="16" t="str">
        <x:v>* myContacts</x:v>
      </x:c>
      <x:c r="E1308" s="16" t="str">
        <x:v>Missing email</x:v>
      </x:c>
    </x:row>
    <x:row r="1309">
      <x:c r="A1309" s="16" t="n">
        <x:v>1330</x:v>
      </x:c>
      <x:c r="B1309" s="16" t="str">
        <x:v>Azureen ILM</x:v>
      </x:c>
      <x:c r="C1309" s="16" t="str"/>
      <x:c r="D1309" s="16" t="str">
        <x:v>* myContacts</x:v>
      </x:c>
      <x:c r="E1309" s="16" t="str">
        <x:v>Missing email</x:v>
      </x:c>
    </x:row>
    <x:row r="1310">
      <x:c r="A1310" s="16" t="n">
        <x:v>1331</x:v>
      </x:c>
      <x:c r="B1310" s="16" t="str">
        <x:v>Azuwanmiskam Belang R</x:v>
      </x:c>
      <x:c r="C1310" s="16" t="str"/>
      <x:c r="D1310" s="16" t="str">
        <x:v>* myContacts</x:v>
      </x:c>
      <x:c r="E1310" s="16" t="str">
        <x:v>Missing email</x:v>
      </x:c>
    </x:row>
    <x:row r="1311">
      <x:c r="A1311" s="16" t="n">
        <x:v>1332</x:v>
      </x:c>
      <x:c r="B1311" s="16" t="str">
        <x:v>Azwan Mdec Tracker</x:v>
      </x:c>
      <x:c r="C1311" s="16" t="str"/>
      <x:c r="D1311" s="16" t="str">
        <x:v>* myContacts</x:v>
      </x:c>
      <x:c r="E1311" s="16" t="str">
        <x:v>Missing email</x:v>
      </x:c>
    </x:row>
    <x:row r="1312">
      <x:c r="A1312" s="16" t="n">
        <x:v>1333</x:v>
      </x:c>
      <x:c r="B1312" s="16" t="str">
        <x:v>Azwan Nawza</x:v>
      </x:c>
      <x:c r="C1312" s="16" t="str"/>
      <x:c r="D1312" s="16" t="str">
        <x:v>* myContacts</x:v>
      </x:c>
      <x:c r="E1312" s="16" t="str">
        <x:v>Missing email</x:v>
      </x:c>
    </x:row>
    <x:row r="1313">
      <x:c r="A1313" s="16" t="n">
        <x:v>1334</x:v>
      </x:c>
      <x:c r="B1313" s="16" t="str">
        <x:v>Azwan Sprinter</x:v>
      </x:c>
      <x:c r="C1313" s="16" t="str"/>
      <x:c r="D1313" s="16" t="str">
        <x:v>* myContacts</x:v>
      </x:c>
      <x:c r="E1313" s="16" t="str">
        <x:v>Missing email</x:v>
      </x:c>
    </x:row>
    <x:row r="1314">
      <x:c r="A1314" s="16" t="n">
        <x:v>1335</x:v>
      </x:c>
      <x:c r="B1314" s="16" t="str">
        <x:v>Azwani Ismail</x:v>
      </x:c>
      <x:c r="C1314" s="16" t="str"/>
      <x:c r="D1314" s="16" t="str">
        <x:v>* myContacts</x:v>
      </x:c>
      <x:c r="E1314" s="16" t="str">
        <x:v>Missing email</x:v>
      </x:c>
    </x:row>
    <x:row r="1315">
      <x:c r="A1315" s="16" t="n">
        <x:v>1336</x:v>
      </x:c>
      <x:c r="B1315" s="16" t="str">
        <x:v>Azyanti Aziz</x:v>
      </x:c>
      <x:c r="C1315" s="16" t="str"/>
      <x:c r="D1315" s="16" t="str">
        <x:v>* myContacts</x:v>
      </x:c>
      <x:c r="E1315" s="16" t="str">
        <x:v>Missing email</x:v>
      </x:c>
    </x:row>
    <x:row r="1316">
      <x:c r="A1316" s="16" t="n">
        <x:v>1337</x:v>
      </x:c>
      <x:c r="B1316" s="16" t="str">
        <x:v>Azyyati Zahari</x:v>
      </x:c>
      <x:c r="C1316" s="16" t="str"/>
      <x:c r="D1316" s="16" t="str">
        <x:v>* myContacts</x:v>
      </x:c>
      <x:c r="E1316" s="16" t="str">
        <x:v>Missing email</x:v>
      </x:c>
    </x:row>
    <x:row r="1317">
      <x:c r="A1317" s="16" t="n">
        <x:v>1338</x:v>
      </x:c>
      <x:c r="B1317" s="16" t="str">
        <x:v>Azzurri Sp</x:v>
      </x:c>
      <x:c r="C1317" s="16" t="str"/>
      <x:c r="D1317" s="16" t="str">
        <x:v>* myContacts</x:v>
      </x:c>
      <x:c r="E1317" s="16" t="str">
        <x:v>Missing email</x:v>
      </x:c>
    </x:row>
    <x:row r="1318">
      <x:c r="A1318" s="16" t="n">
        <x:v>1339</x:v>
      </x:c>
      <x:c r="B1318" s="16" t="str">
        <x:v>Ba Li Kitchen Cabinet</x:v>
      </x:c>
      <x:c r="C1318" s="16" t="str"/>
      <x:c r="D1318" s="16" t="str">
        <x:v>* myContacts</x:v>
      </x:c>
      <x:c r="E1318" s="16" t="str">
        <x:v>Missing email</x:v>
      </x:c>
    </x:row>
    <x:row r="1319">
      <x:c r="A1319" s="16" t="n">
        <x:v>1340</x:v>
      </x:c>
      <x:c r="B1319" s="16" t="str">
        <x:v>BAAN TIKUS 4s</x:v>
      </x:c>
      <x:c r="C1319" s="16" t="str"/>
      <x:c r="D1319" s="16" t="str">
        <x:v>* myContacts</x:v>
      </x:c>
      <x:c r="E1319" s="16" t="str">
        <x:v>Missing email</x:v>
      </x:c>
    </x:row>
    <x:row r="1320">
      <x:c r="A1320" s="16" t="n">
        <x:v>1341</x:v>
      </x:c>
      <x:c r="B1320" s="16" t="str">
        <x:v>Baasit Insurans Merlimau</x:v>
      </x:c>
      <x:c r="C1320" s="16" t="str"/>
      <x:c r="D1320" s="16" t="str">
        <x:v>* myContacts</x:v>
      </x:c>
      <x:c r="E1320" s="16" t="str">
        <x:v>Missing email</x:v>
      </x:c>
    </x:row>
    <x:row r="1321">
      <x:c r="A1321" s="16" t="n">
        <x:v>1342</x:v>
      </x:c>
      <x:c r="B1321" s="16" t="str">
        <x:v>Baayah Rozani</x:v>
      </x:c>
      <x:c r="C1321" s="16" t="str"/>
      <x:c r="D1321" s="16" t="str">
        <x:v>* myContacts</x:v>
      </x:c>
      <x:c r="E1321" s="16" t="str">
        <x:v>Missing email</x:v>
      </x:c>
    </x:row>
    <x:row r="1322">
      <x:c r="A1322" s="16" t="n">
        <x:v>1343</x:v>
      </x:c>
      <x:c r="B1322" s="16" t="str">
        <x:v>Babarock Syariman Nazar</x:v>
      </x:c>
      <x:c r="C1322" s="16" t="str"/>
      <x:c r="D1322" s="16" t="str">
        <x:v>* myContacts</x:v>
      </x:c>
      <x:c r="E1322" s="16" t="str">
        <x:v>Missing email</x:v>
      </x:c>
    </x:row>
    <x:row r="1323">
      <x:c r="A1323" s="16" t="n">
        <x:v>1344</x:v>
      </x:c>
      <x:c r="B1323" s="16" t="str">
        <x:v>Baber PA System</x:v>
      </x:c>
      <x:c r="C1323" s="16" t="str"/>
      <x:c r="D1323" s="16" t="str">
        <x:v>* myContacts</x:v>
      </x:c>
      <x:c r="E1323" s="16" t="str">
        <x:v>Missing email</x:v>
      </x:c>
    </x:row>
    <x:row r="1324">
      <x:c r="A1324" s="16" t="n">
        <x:v>1345</x:v>
      </x:c>
      <x:c r="B1324" s="16" t="str">
        <x:v>Babullah Putra Pratasik</x:v>
      </x:c>
      <x:c r="C1324" s="16" t="str"/>
      <x:c r="D1324" s="16" t="str">
        <x:v>* myContacts</x:v>
      </x:c>
      <x:c r="E1324" s="16" t="str">
        <x:v>Missing email</x:v>
      </x:c>
    </x:row>
    <x:row r="1325">
      <x:c r="A1325" s="16" t="n">
        <x:v>1346</x:v>
      </x:c>
      <x:c r="B1325" s="16" t="str">
        <x:v>Babur Butler</x:v>
      </x:c>
      <x:c r="C1325" s="16" t="str"/>
      <x:c r="D1325" s="16" t="str">
        <x:v>* myContacts</x:v>
      </x:c>
      <x:c r="E1325" s="16" t="str">
        <x:v>Missing email</x:v>
      </x:c>
    </x:row>
    <x:row r="1326">
      <x:c r="A1326" s="16" t="n">
        <x:v>1347</x:v>
      </x:c>
      <x:c r="B1326" s="16" t="str">
        <x:v>BabyChubbs Adm</x:v>
      </x:c>
      <x:c r="C1326" s="16" t="str"/>
      <x:c r="D1326" s="16" t="str">
        <x:v>* myContacts</x:v>
      </x:c>
      <x:c r="E1326" s="16" t="str">
        <x:v>Missing email</x:v>
      </x:c>
    </x:row>
    <x:row r="1327">
      <x:c r="A1327" s="16" t="n">
        <x:v>1348</x:v>
      </x:c>
      <x:c r="B1327" s="16" t="str">
        <x:v>Badrin Arinnur</x:v>
      </x:c>
      <x:c r="C1327" s="16" t="str"/>
      <x:c r="D1327" s="16" t="str">
        <x:v>* myContacts</x:v>
      </x:c>
      <x:c r="E1327" s="16" t="str">
        <x:v>Missing email</x:v>
      </x:c>
    </x:row>
    <x:row r="1328">
      <x:c r="A1328" s="16" t="n">
        <x:v>1349</x:v>
      </x:c>
      <x:c r="B1328" s="16" t="str">
        <x:v>Badrul Anuar</x:v>
      </x:c>
      <x:c r="C1328" s="16" t="str"/>
      <x:c r="D1328" s="16" t="str">
        <x:v>* myContacts</x:v>
      </x:c>
      <x:c r="E1328" s="16" t="str">
        <x:v>Missing email</x:v>
      </x:c>
    </x:row>
    <x:row r="1329">
      <x:c r="A1329" s="16" t="n">
        <x:v>1350</x:v>
      </x:c>
      <x:c r="B1329" s="16" t="str">
        <x:v>Badrul Bella</x:v>
      </x:c>
      <x:c r="C1329" s="16" t="str"/>
      <x:c r="D1329" s="16" t="str">
        <x:v>* myContacts</x:v>
      </x:c>
      <x:c r="E1329" s="16" t="str">
        <x:v>Missing email</x:v>
      </x:c>
    </x:row>
    <x:row r="1330">
      <x:c r="A1330" s="16" t="n">
        <x:v>1351</x:v>
      </x:c>
      <x:c r="B1330" s="16" t="str">
        <x:v>Badrul Kulitas Pilot Taiwan</x:v>
      </x:c>
      <x:c r="C1330" s="16" t="str"/>
      <x:c r="D1330" s="16" t="str">
        <x:v>* myContacts</x:v>
      </x:c>
      <x:c r="E1330" s="16" t="str">
        <x:v>Missing email</x:v>
      </x:c>
    </x:row>
    <x:row r="1331">
      <x:c r="A1331" s="16" t="n">
        <x:v>1352</x:v>
      </x:c>
      <x:c r="B1331" s="16" t="str">
        <x:v>Badrul Munir Donn</x:v>
      </x:c>
      <x:c r="C1331" s="16" t="str"/>
      <x:c r="D1331" s="16" t="str">
        <x:v>* myContacts</x:v>
      </x:c>
      <x:c r="E1331" s="16" t="str">
        <x:v>Missing email</x:v>
      </x:c>
    </x:row>
    <x:row r="1332">
      <x:c r="A1332" s="16" t="n">
        <x:v>1353</x:v>
      </x:c>
      <x:c r="B1332" s="16" t="str">
        <x:v>Baem Ashrawi</x:v>
      </x:c>
      <x:c r="C1332" s="16" t="str"/>
      <x:c r="D1332" s="16" t="str">
        <x:v>* myContacts</x:v>
      </x:c>
      <x:c r="E1332" s="16" t="str">
        <x:v>Missing email</x:v>
      </x:c>
    </x:row>
    <x:row r="1333">
      <x:c r="A1333" s="16" t="n">
        <x:v>1354</x:v>
      </x:c>
      <x:c r="B1333" s="16" t="str">
        <x:v>Bagir Alkaff</x:v>
      </x:c>
      <x:c r="C1333" s="16" t="str"/>
      <x:c r="D1333" s="16" t="str">
        <x:v>* myContacts</x:v>
      </x:c>
      <x:c r="E1333" s="16" t="str">
        <x:v>Missing email</x:v>
      </x:c>
    </x:row>
    <x:row r="1334">
      <x:c r="A1334" s="16" t="n">
        <x:v>1355</x:v>
      </x:c>
      <x:c r="B1334" s="16" t="str">
        <x:v>Baha Kusyen</x:v>
      </x:c>
      <x:c r="C1334" s="16" t="str"/>
      <x:c r="D1334" s="16" t="str">
        <x:v>* myContacts</x:v>
      </x:c>
      <x:c r="E1334" s="16" t="str">
        <x:v>Missing email</x:v>
      </x:c>
    </x:row>
    <x:row r="1335">
      <x:c r="A1335" s="16" t="n">
        <x:v>1357</x:v>
      </x:c>
      <x:c r="B1335" s="16" t="str">
        <x:v>Bahagian Korporat Kias</x:v>
      </x:c>
      <x:c r="C1335" s="16" t="str"/>
      <x:c r="D1335" s="16" t="str">
        <x:v>* myContacts</x:v>
      </x:c>
      <x:c r="E1335" s="16" t="str">
        <x:v>Missing email</x:v>
      </x:c>
    </x:row>
    <x:row r="1336">
      <x:c r="A1336" s="16" t="n">
        <x:v>1358</x:v>
      </x:c>
      <x:c r="B1336" s="16" t="str">
        <x:v>Baharuddin Dpim Melaka</x:v>
      </x:c>
      <x:c r="C1336" s="16" t="str"/>
      <x:c r="D1336" s="16" t="str">
        <x:v>* myContacts</x:v>
      </x:c>
      <x:c r="E1336" s="16" t="str">
        <x:v>Missing email</x:v>
      </x:c>
    </x:row>
    <x:row r="1337">
      <x:c r="A1337" s="16" t="n">
        <x:v>1359</x:v>
      </x:c>
      <x:c r="B1337" s="16" t="str">
        <x:v>Baharudin Cek Din</x:v>
      </x:c>
      <x:c r="C1337" s="16" t="str"/>
      <x:c r="D1337" s="16" t="str">
        <x:v>* myContacts</x:v>
      </x:c>
      <x:c r="E1337" s="16" t="str">
        <x:v>Missing email</x:v>
      </x:c>
    </x:row>
    <x:row r="1338">
      <x:c r="A1338" s="16" t="n">
        <x:v>1360</x:v>
      </x:c>
      <x:c r="B1338" s="16" t="str">
        <x:v>Baharudin Din</x:v>
      </x:c>
      <x:c r="C1338" s="16" t="str"/>
      <x:c r="D1338" s="16" t="str">
        <x:v>* myContacts</x:v>
      </x:c>
      <x:c r="E1338" s="16" t="str">
        <x:v>Missing email</x:v>
      </x:c>
    </x:row>
    <x:row r="1339">
      <x:c r="A1339" s="16" t="n">
        <x:v>1361</x:v>
      </x:c>
      <x:c r="B1339" s="16" t="str">
        <x:v>Baharum AGP</x:v>
      </x:c>
      <x:c r="C1339" s="16" t="str"/>
      <x:c r="D1339" s="16" t="str">
        <x:v>* myContacts</x:v>
      </x:c>
      <x:c r="E1339" s="16" t="str">
        <x:v>Missing email</x:v>
      </x:c>
    </x:row>
    <x:row r="1340">
      <x:c r="A1340" s="16" t="n">
        <x:v>1362</x:v>
      </x:c>
      <x:c r="B1340" s="16" t="str">
        <x:v>Bahtera Bulan</x:v>
      </x:c>
      <x:c r="C1340" s="16" t="str"/>
      <x:c r="D1340" s="16" t="str">
        <x:v>* myContacts</x:v>
      </x:c>
      <x:c r="E1340" s="16" t="str">
        <x:v>Missing email</x:v>
      </x:c>
    </x:row>
    <x:row r="1341">
      <x:c r="A1341" s="16" t="n">
        <x:v>1363</x:v>
      </x:c>
      <x:c r="B1341" s="16" t="str">
        <x:v>Bahtera Timur</x:v>
      </x:c>
      <x:c r="C1341" s="16" t="str"/>
      <x:c r="D1341" s="16" t="str">
        <x:v>* myContacts</x:v>
      </x:c>
      <x:c r="E1341" s="16" t="str">
        <x:v>Missing email</x:v>
      </x:c>
    </x:row>
    <x:row r="1342">
      <x:c r="A1342" s="16" t="n">
        <x:v>1364</x:v>
      </x:c>
      <x:c r="B1342" s="16" t="str">
        <x:v>Bai Fx Otai</x:v>
      </x:c>
      <x:c r="C1342" s="16" t="str"/>
      <x:c r="D1342" s="16" t="str">
        <x:v>* myContacts</x:v>
      </x:c>
      <x:c r="E1342" s="16" t="str">
        <x:v>Missing email</x:v>
      </x:c>
    </x:row>
    <x:row r="1343">
      <x:c r="A1343" s="16" t="n">
        <x:v>1365</x:v>
      </x:c>
      <x:c r="B1343" s="16" t="str">
        <x:v>Baihaqi Kasturi Huffaz</x:v>
      </x:c>
      <x:c r="C1343" s="16" t="str"/>
      <x:c r="D1343" s="16" t="str">
        <x:v>* myContacts</x:v>
      </x:c>
      <x:c r="E1343" s="16" t="str">
        <x:v>Missing email</x:v>
      </x:c>
    </x:row>
    <x:row r="1344">
      <x:c r="A1344" s="16" t="n">
        <x:v>1366</x:v>
      </x:c>
      <x:c r="B1344" s="16" t="str">
        <x:v>Baju Murah</x:v>
      </x:c>
      <x:c r="C1344" s="16" t="str"/>
      <x:c r="D1344" s="16" t="str">
        <x:v>* myContacts</x:v>
      </x:c>
      <x:c r="E1344" s="16" t="str">
        <x:v>Missing email</x:v>
      </x:c>
    </x:row>
    <x:row r="1345">
      <x:c r="A1345" s="16" t="n">
        <x:v>1367</x:v>
      </x:c>
      <x:c r="B1345" s="16" t="str">
        <x:v>BakewithMama Bahan Bakeri</x:v>
      </x:c>
      <x:c r="C1345" s="16" t="str"/>
      <x:c r="D1345" s="16" t="str">
        <x:v>* myContacts</x:v>
      </x:c>
      <x:c r="E1345" s="16" t="str">
        <x:v>Missing email</x:v>
      </x:c>
    </x:row>
    <x:row r="1346">
      <x:c r="A1346" s="16" t="n">
        <x:v>1368</x:v>
      </x:c>
      <x:c r="B1346" s="16" t="str">
        <x:v>Bala Murugan</x:v>
      </x:c>
      <x:c r="C1346" s="16" t="str"/>
      <x:c r="D1346" s="16" t="str">
        <x:v>* myContacts</x:v>
      </x:c>
      <x:c r="E1346" s="16" t="str">
        <x:v>Missing email</x:v>
      </x:c>
    </x:row>
    <x:row r="1347">
      <x:c r="A1347" s="16" t="n">
        <x:v>1369</x:v>
      </x:c>
      <x:c r="B1347" s="16" t="str">
        <x:v>Balan Balan</x:v>
      </x:c>
      <x:c r="C1347" s="16" t="str"/>
      <x:c r="D1347" s="16" t="str">
        <x:v>* myContacts</x:v>
      </x:c>
      <x:c r="E1347" s="16" t="str">
        <x:v>Missing email</x:v>
      </x:c>
    </x:row>
    <x:row r="1348">
      <x:c r="A1348" s="16" t="n">
        <x:v>1370</x:v>
      </x:c>
      <x:c r="B1348" s="16" t="str">
        <x:v>Balkis Razali Jsd</x:v>
      </x:c>
      <x:c r="C1348" s="16" t="str"/>
      <x:c r="D1348" s="16" t="str">
        <x:v>* myContacts</x:v>
      </x:c>
      <x:c r="E1348" s="16" t="str">
        <x:v>Missing email</x:v>
      </x:c>
    </x:row>
    <x:row r="1349">
      <x:c r="A1349" s="16" t="n">
        <x:v>1371</x:v>
      </x:c>
      <x:c r="B1349" s="16" t="str">
        <x:v>Balkish PPMM</x:v>
      </x:c>
      <x:c r="C1349" s="16" t="str"/>
      <x:c r="D1349" s="16" t="str">
        <x:v>* myContacts</x:v>
      </x:c>
      <x:c r="E1349" s="16" t="str">
        <x:v>Missing email</x:v>
      </x:c>
    </x:row>
    <x:row r="1350">
      <x:c r="A1350" s="16" t="n">
        <x:v>1372</x:v>
      </x:c>
      <x:c r="B1350" s="16" t="str">
        <x:v>Balqis Batrisya Ammar Dayyan</x:v>
      </x:c>
      <x:c r="C1350" s="16" t="str"/>
      <x:c r="D1350" s="16" t="str">
        <x:v>* myContacts</x:v>
      </x:c>
      <x:c r="E1350" s="16" t="str">
        <x:v>Missing email</x:v>
      </x:c>
    </x:row>
    <x:row r="1351">
      <x:c r="A1351" s="16" t="n">
        <x:v>1373</x:v>
      </x:c>
      <x:c r="B1351" s="16" t="str">
        <x:v>Balqis Fasihah</x:v>
      </x:c>
      <x:c r="C1351" s="16" t="str"/>
      <x:c r="D1351" s="16" t="str">
        <x:v>* myContacts</x:v>
      </x:c>
      <x:c r="E1351" s="16" t="str">
        <x:v>Missing email</x:v>
      </x:c>
    </x:row>
    <x:row r="1352">
      <x:c r="A1352" s="16" t="n">
        <x:v>1374</x:v>
      </x:c>
      <x:c r="B1352" s="16" t="str">
        <x:v>Bang Kok Lee</x:v>
      </x:c>
      <x:c r="C1352" s="16" t="str"/>
      <x:c r="D1352" s="16" t="str">
        <x:v>* myContacts</x:v>
      </x:c>
      <x:c r="E1352" s="16" t="str">
        <x:v>Missing email</x:v>
      </x:c>
    </x:row>
    <x:row r="1353">
      <x:c r="A1353" s="16" t="n">
        <x:v>1375</x:v>
      </x:c>
      <x:c r="B1353" s="16" t="str">
        <x:v>Bang Lonk Sinyare</x:v>
      </x:c>
      <x:c r="C1353" s="16" t="str"/>
      <x:c r="D1353" s="16" t="str">
        <x:v>* myContacts</x:v>
      </x:c>
      <x:c r="E1353" s="16" t="str">
        <x:v>Missing email</x:v>
      </x:c>
    </x:row>
    <x:row r="1354">
      <x:c r="A1354" s="16" t="n">
        <x:v>1376</x:v>
      </x:c>
      <x:c r="B1354" s="16" t="str">
        <x:v>Bangi Perdana Hotel</x:v>
      </x:c>
      <x:c r="C1354" s="16" t="str"/>
      <x:c r="D1354" s="16" t="str">
        <x:v>* myContacts</x:v>
      </x:c>
      <x:c r="E1354" s="16" t="str">
        <x:v>Missing email</x:v>
      </x:c>
    </x:row>
    <x:row r="1355">
      <x:c r="A1355" s="16" t="n">
        <x:v>1377</x:v>
      </x:c>
      <x:c r="B1355" s="16" t="str">
        <x:v>Baqir AL Khoiri Samba</x:v>
      </x:c>
      <x:c r="C1355" s="16" t="str"/>
      <x:c r="D1355" s="16" t="str">
        <x:v>* myContacts</x:v>
      </x:c>
      <x:c r="E1355" s="16" t="str">
        <x:v>Missing email</x:v>
      </x:c>
    </x:row>
    <x:row r="1356">
      <x:c r="A1356" s="16" t="n">
        <x:v>1378</x:v>
      </x:c>
      <x:c r="B1356" s="16" t="str">
        <x:v>Barli Susu</x:v>
      </x:c>
      <x:c r="C1356" s="16" t="str"/>
      <x:c r="D1356" s="16" t="str">
        <x:v>* myContacts</x:v>
      </x:c>
      <x:c r="E1356" s="16" t="str">
        <x:v>Missing email</x:v>
      </x:c>
    </x:row>
    <x:row r="1357">
      <x:c r="A1357" s="16" t="n">
        <x:v>1379</x:v>
      </x:c>
      <x:c r="B1357" s="16" t="str">
        <x:v>Barney Ahmad</x:v>
      </x:c>
      <x:c r="C1357" s="16" t="str"/>
      <x:c r="D1357" s="16" t="str">
        <x:v>* myContacts</x:v>
      </x:c>
      <x:c r="E1357" s="16" t="str">
        <x:v>Missing email</x:v>
      </x:c>
    </x:row>
    <x:row r="1358">
      <x:c r="A1358" s="16" t="n">
        <x:v>1380</x:v>
      </x:c>
      <x:c r="B1358" s="16" t="str">
        <x:v>Barry J Sikuil</x:v>
      </x:c>
      <x:c r="C1358" s="16" t="str"/>
      <x:c r="D1358" s="16" t="str">
        <x:v>* myContacts</x:v>
      </x:c>
      <x:c r="E1358" s="16" t="str">
        <x:v>Missing email</x:v>
      </x:c>
    </x:row>
    <x:row r="1359">
      <x:c r="A1359" s="16" t="n">
        <x:v>1381</x:v>
      </x:c>
      <x:c r="B1359" s="16" t="str">
        <x:v>Basir Basyir</x:v>
      </x:c>
      <x:c r="C1359" s="16" t="str"/>
      <x:c r="D1359" s="16" t="str">
        <x:v>* myContacts</x:v>
      </x:c>
      <x:c r="E1359" s="16" t="str">
        <x:v>Missing email</x:v>
      </x:c>
    </x:row>
    <x:row r="1360">
      <x:c r="A1360" s="16" t="n">
        <x:v>1382</x:v>
      </x:c>
      <x:c r="B1360" s="16" t="str">
        <x:v>Basri Abas</x:v>
      </x:c>
      <x:c r="C1360" s="16" t="str"/>
      <x:c r="D1360" s="16" t="str">
        <x:v>* myContacts</x:v>
      </x:c>
      <x:c r="E1360" s="16" t="str">
        <x:v>Missing email</x:v>
      </x:c>
    </x:row>
    <x:row r="1361">
      <x:c r="A1361" s="16" t="n">
        <x:v>1383</x:v>
      </x:c>
      <x:c r="B1361" s="16" t="str">
        <x:v>Basya Tmim</x:v>
      </x:c>
      <x:c r="C1361" s="16" t="str"/>
      <x:c r="D1361" s="16" t="str">
        <x:v>* myContacts</x:v>
      </x:c>
      <x:c r="E1361" s="16" t="str">
        <x:v>Missing email</x:v>
      </x:c>
    </x:row>
    <x:row r="1362">
      <x:c r="A1362" s="16" t="n">
        <x:v>1384</x:v>
      </x:c>
      <x:c r="B1362" s="16" t="str">
        <x:v>Batookori Sapusaja</x:v>
      </x:c>
      <x:c r="C1362" s="16" t="str"/>
      <x:c r="D1362" s="16" t="str">
        <x:v>* myContacts</x:v>
      </x:c>
      <x:c r="E1362" s="16" t="str">
        <x:v>Missing email</x:v>
      </x:c>
    </x:row>
    <x:row r="1363">
      <x:c r="A1363" s="16" t="n">
        <x:v>1385</x:v>
      </x:c>
      <x:c r="B1363" s="16" t="str">
        <x:v>Baxter Wcz</x:v>
      </x:c>
      <x:c r="C1363" s="16" t="str"/>
      <x:c r="D1363" s="16" t="str">
        <x:v>* myContacts</x:v>
      </x:c>
      <x:c r="E1363" s="16" t="str">
        <x:v>Missing email</x:v>
      </x:c>
    </x:row>
    <x:row r="1364">
      <x:c r="A1364" s="16" t="n">
        <x:v>1386</x:v>
      </x:c>
      <x:c r="B1364" s="16" t="str">
        <x:v>Bazlan Mohd Noor</x:v>
      </x:c>
      <x:c r="C1364" s="16" t="str"/>
      <x:c r="D1364" s="16" t="str">
        <x:v>* myContacts</x:v>
      </x:c>
      <x:c r="E1364" s="16" t="str">
        <x:v>Missing email</x:v>
      </x:c>
    </x:row>
    <x:row r="1365">
      <x:c r="A1365" s="16" t="n">
        <x:v>1387</x:v>
      </x:c>
      <x:c r="B1365" s="16" t="str">
        <x:v>Bazli AGP</x:v>
      </x:c>
      <x:c r="C1365" s="16" t="str"/>
      <x:c r="D1365" s="16" t="str">
        <x:v>* myContacts</x:v>
      </x:c>
      <x:c r="E1365" s="16" t="str">
        <x:v>Missing email</x:v>
      </x:c>
    </x:row>
    <x:row r="1366">
      <x:c r="A1366" s="16" t="n">
        <x:v>1388</x:v>
      </x:c>
      <x:c r="B1366" s="16" t="str">
        <x:v>bazli fitness trainer</x:v>
      </x:c>
      <x:c r="C1366" s="16" t="str"/>
      <x:c r="D1366" s="16" t="str">
        <x:v>Trainer | * myContacts</x:v>
      </x:c>
      <x:c r="E1366" s="16" t="str">
        <x:v>Missing email</x:v>
      </x:c>
    </x:row>
    <x:row r="1367">
      <x:c r="A1367" s="16" t="n">
        <x:v>1389</x:v>
      </x:c>
      <x:c r="B1367" s="16" t="str">
        <x:v>BC Ekuiti Suhail</x:v>
      </x:c>
      <x:c r="C1367" s="16" t="str"/>
      <x:c r="D1367" s="16" t="str">
        <x:v>* myContacts</x:v>
      </x:c>
      <x:c r="E1367" s="16" t="str">
        <x:v>Missing email</x:v>
      </x:c>
    </x:row>
    <x:row r="1368">
      <x:c r="A1368" s="16" t="n">
        <x:v>1390</x:v>
      </x:c>
      <x:c r="B1368" s="16" t="str">
        <x:v>BC100 losyen ajaib</x:v>
      </x:c>
      <x:c r="C1368" s="16" t="str"/>
      <x:c r="D1368" s="16" t="str">
        <x:v>* myContacts</x:v>
      </x:c>
      <x:c r="E1368" s="16" t="str">
        <x:v>Missing email</x:v>
      </x:c>
    </x:row>
    <x:row r="1369">
      <x:c r="A1369" s="16" t="n">
        <x:v>1391</x:v>
      </x:c>
      <x:c r="B1369" s="16" t="str">
        <x:v>Bean Untuk Dia</x:v>
      </x:c>
      <x:c r="C1369" s="16" t="str"/>
      <x:c r="D1369" s="16" t="str">
        <x:v>* myContacts</x:v>
      </x:c>
      <x:c r="E1369" s="16" t="str">
        <x:v>Missing email</x:v>
      </x:c>
    </x:row>
    <x:row r="1370">
      <x:c r="A1370" s="16" t="n">
        <x:v>1392</x:v>
      </x:c>
      <x:c r="B1370" s="16" t="str">
        <x:v>Bebe Azmi Hugh</x:v>
      </x:c>
      <x:c r="C1370" s="16" t="str"/>
      <x:c r="D1370" s="16" t="str">
        <x:v>* myContacts</x:v>
      </x:c>
      <x:c r="E1370" s="16" t="str">
        <x:v>Missing email</x:v>
      </x:c>
    </x:row>
    <x:row r="1371">
      <x:c r="A1371" s="16" t="n">
        <x:v>1393</x:v>
      </x:c>
      <x:c r="B1371" s="16" t="str">
        <x:v>Beckham JJ</x:v>
      </x:c>
      <x:c r="C1371" s="16" t="str"/>
      <x:c r="D1371" s="16" t="str">
        <x:v>* myContacts</x:v>
      </x:c>
      <x:c r="E1371" s="16" t="str">
        <x:v>Missing email</x:v>
      </x:c>
    </x:row>
    <x:row r="1372">
      <x:c r="A1372" s="16" t="n">
        <x:v>1394</x:v>
      </x:c>
      <x:c r="B1372" s="16" t="str">
        <x:v>Bee Bisara</x:v>
      </x:c>
      <x:c r="C1372" s="16" t="str"/>
      <x:c r="D1372" s="16" t="str">
        <x:v>* myContacts</x:v>
      </x:c>
      <x:c r="E1372" s="16" t="str">
        <x:v>Missing email</x:v>
      </x:c>
    </x:row>
    <x:row r="1373">
      <x:c r="A1373" s="16" t="n">
        <x:v>1395</x:v>
      </x:c>
      <x:c r="B1373" s="16" t="str">
        <x:v>Bekam Viral</x:v>
      </x:c>
      <x:c r="C1373" s="16" t="str"/>
      <x:c r="D1373" s="16" t="str">
        <x:v>* myContacts</x:v>
      </x:c>
      <x:c r="E1373" s="16" t="str">
        <x:v>Missing email</x:v>
      </x:c>
    </x:row>
    <x:row r="1374">
      <x:c r="A1374" s="16" t="n">
        <x:v>1396</x:v>
      </x:c>
      <x:c r="B1374" s="16" t="str">
        <x:v>Bekiq</x:v>
      </x:c>
      <x:c r="C1374" s="16" t="str"/>
      <x:c r="D1374" s="16" t="str">
        <x:v>* myContacts</x:v>
      </x:c>
      <x:c r="E1374" s="16" t="str">
        <x:v>Missing email</x:v>
      </x:c>
    </x:row>
    <x:row r="1375">
      <x:c r="A1375" s="16" t="n">
        <x:v>1397</x:v>
      </x:c>
      <x:c r="B1375" s="16" t="str">
        <x:v>Bel Nabilah Huda</x:v>
      </x:c>
      <x:c r="C1375" s="16" t="str"/>
      <x:c r="D1375" s="16" t="str">
        <x:v>* myContacts</x:v>
      </x:c>
      <x:c r="E1375" s="16" t="str">
        <x:v>Missing email</x:v>
      </x:c>
    </x:row>
    <x:row r="1376">
      <x:c r="A1376" s="16" t="n">
        <x:v>1398</x:v>
      </x:c>
      <x:c r="B1376" s="16" t="str">
        <x:v>Belang Tarung</x:v>
      </x:c>
      <x:c r="C1376" s="16" t="str"/>
      <x:c r="D1376" s="16" t="str">
        <x:v>* myContacts</x:v>
      </x:c>
      <x:c r="E1376" s="16" t="str">
        <x:v>Missing email</x:v>
      </x:c>
    </x:row>
    <x:row r="1377">
      <x:c r="A1377" s="16" t="n">
        <x:v>1399</x:v>
      </x:c>
      <x:c r="B1377" s="16" t="str">
        <x:v>Bella Arrian</x:v>
      </x:c>
      <x:c r="C1377" s="16" t="str"/>
      <x:c r="D1377" s="16" t="str">
        <x:v>* myContacts</x:v>
      </x:c>
      <x:c r="E1377" s="16" t="str">
        <x:v>Missing email</x:v>
      </x:c>
    </x:row>
    <x:row r="1378">
      <x:c r="A1378" s="16" t="n">
        <x:v>1400</x:v>
      </x:c>
      <x:c r="B1378" s="16" t="str">
        <x:v>Bella Rose</x:v>
      </x:c>
      <x:c r="C1378" s="16" t="str"/>
      <x:c r="D1378" s="16" t="str">
        <x:v>* myContacts</x:v>
      </x:c>
      <x:c r="E1378" s="16" t="str">
        <x:v>Missing email</x:v>
      </x:c>
    </x:row>
    <x:row r="1379">
      <x:c r="A1379" s="16" t="n">
        <x:v>1401</x:v>
      </x:c>
      <x:c r="B1379" s="16" t="str">
        <x:v>Bellaa Naily</x:v>
      </x:c>
      <x:c r="C1379" s="16" t="str"/>
      <x:c r="D1379" s="16" t="str">
        <x:v>* myContacts</x:v>
      </x:c>
      <x:c r="E1379" s="16" t="str">
        <x:v>Missing email</x:v>
      </x:c>
    </x:row>
    <x:row r="1380">
      <x:c r="A1380" s="16" t="n">
        <x:v>1402</x:v>
      </x:c>
      <x:c r="B1380" s="16" t="str">
        <x:v>Bellfred Abel Mehola</x:v>
      </x:c>
      <x:c r="C1380" s="16" t="str"/>
      <x:c r="D1380" s="16" t="str">
        <x:v>* myContacts</x:v>
      </x:c>
      <x:c r="E1380" s="16" t="str">
        <x:v>Missing email</x:v>
      </x:c>
    </x:row>
    <x:row r="1381">
      <x:c r="A1381" s="16" t="n">
        <x:v>1403</x:v>
      </x:c>
      <x:c r="B1381" s="16" t="str">
        <x:v>Ben Banquet Leo Palace</x:v>
      </x:c>
      <x:c r="C1381" s="16" t="str"/>
      <x:c r="D1381" s="16" t="str">
        <x:v>* myContacts</x:v>
      </x:c>
      <x:c r="E1381" s="16" t="str">
        <x:v>Missing email</x:v>
      </x:c>
    </x:row>
    <x:row r="1382">
      <x:c r="A1382" s="16" t="n">
        <x:v>1404</x:v>
      </x:c>
      <x:c r="B1382" s="16" t="str">
        <x:v>Bengkel Masakan Beriani Gam</x:v>
      </x:c>
      <x:c r="C1382" s="16" t="str"/>
      <x:c r="D1382" s="16" t="str">
        <x:v>* myContacts</x:v>
      </x:c>
      <x:c r="E1382" s="16" t="str">
        <x:v>Missing email</x:v>
      </x:c>
    </x:row>
    <x:row r="1383">
      <x:c r="A1383" s="16" t="n">
        <x:v>1406</x:v>
      </x:c>
      <x:c r="B1383" s="16" t="str">
        <x:v>Benny Coach</x:v>
      </x:c>
      <x:c r="C1383" s="16" t="str"/>
      <x:c r="D1383" s="16" t="str">
        <x:v>Trainer | * myContacts</x:v>
      </x:c>
      <x:c r="E1383" s="16" t="str">
        <x:v>Missing email</x:v>
      </x:c>
    </x:row>
    <x:row r="1384">
      <x:c r="A1384" s="16" t="n">
        <x:v>1407</x:v>
      </x:c>
      <x:c r="B1384" s="16" t="str">
        <x:v>Benz Desar</x:v>
      </x:c>
      <x:c r="C1384" s="16" t="str"/>
      <x:c r="D1384" s="16" t="str">
        <x:v>* myContacts</x:v>
      </x:c>
      <x:c r="E1384" s="16" t="str">
        <x:v>Missing email</x:v>
      </x:c>
    </x:row>
    <x:row r="1385">
      <x:c r="A1385" s="16" t="n">
        <x:v>1408</x:v>
      </x:c>
      <x:c r="B1385" s="16" t="str">
        <x:v>Berjaya Hotel Saddam Butler</x:v>
      </x:c>
      <x:c r="C1385" s="16" t="str"/>
      <x:c r="D1385" s="16" t="str">
        <x:v>* myContacts</x:v>
      </x:c>
      <x:c r="E1385" s="16" t="str">
        <x:v>Missing email</x:v>
      </x:c>
    </x:row>
    <x:row r="1386">
      <x:c r="A1386" s="16" t="n">
        <x:v>1409</x:v>
      </x:c>
      <x:c r="B1386" s="16" t="str">
        <x:v>Berkat Ilahi</x:v>
      </x:c>
      <x:c r="C1386" s="16" t="str"/>
      <x:c r="D1386" s="16" t="str">
        <x:v>* myContacts</x:v>
      </x:c>
      <x:c r="E1386" s="16" t="str">
        <x:v>Missing email</x:v>
      </x:c>
    </x:row>
    <x:row r="1387">
      <x:c r="A1387" s="16" t="n">
        <x:v>1410</x:v>
      </x:c>
      <x:c r="B1387" s="16" t="str">
        <x:v>Bernama Radio Amar</x:v>
      </x:c>
      <x:c r="C1387" s="16" t="str"/>
      <x:c r="D1387" s="16" t="str">
        <x:v>* myContacts</x:v>
      </x:c>
      <x:c r="E1387" s="16" t="str">
        <x:v>Missing email</x:v>
      </x:c>
    </x:row>
    <x:row r="1388">
      <x:c r="A1388" s="16" t="n">
        <x:v>1411</x:v>
      </x:c>
      <x:c r="B1388" s="16" t="str">
        <x:v>Bert Jn</x:v>
      </x:c>
      <x:c r="C1388" s="16" t="str"/>
      <x:c r="D1388" s="16" t="str">
        <x:v>* myContacts</x:v>
      </x:c>
      <x:c r="E1388" s="16" t="str">
        <x:v>Missing email</x:v>
      </x:c>
    </x:row>
    <x:row r="1389">
      <x:c r="A1389" s="16" t="n">
        <x:v>1412</x:v>
      </x:c>
      <x:c r="B1389" s="16" t="str">
        <x:v>Beryani King IPOH</x:v>
      </x:c>
      <x:c r="C1389" s="16" t="str"/>
      <x:c r="D1389" s="16" t="str">
        <x:v>* myContacts</x:v>
      </x:c>
      <x:c r="E1389" s="16" t="str">
        <x:v>Missing email</x:v>
      </x:c>
    </x:row>
    <x:row r="1390">
      <x:c r="A1390" s="16" t="n">
        <x:v>1413</x:v>
      </x:c>
      <x:c r="B1390" s="16" t="str">
        <x:v>Besi Technical Institution</x:v>
      </x:c>
      <x:c r="C1390" s="16" t="str"/>
      <x:c r="D1390" s="16" t="str">
        <x:v>* myContacts</x:v>
      </x:c>
      <x:c r="E1390" s="16" t="str">
        <x:v>Missing email</x:v>
      </x:c>
    </x:row>
    <x:row r="1391">
      <x:c r="A1391" s="16" t="n">
        <x:v>1414</x:v>
      </x:c>
      <x:c r="B1391" s="16" t="str">
        <x:v>Bestari Bme</x:v>
      </x:c>
      <x:c r="C1391" s="16" t="str"/>
      <x:c r="D1391" s="16" t="str">
        <x:v>* myContacts</x:v>
      </x:c>
      <x:c r="E1391" s="16" t="str">
        <x:v>Missing email</x:v>
      </x:c>
    </x:row>
    <x:row r="1392">
      <x:c r="A1392" s="16" t="n">
        <x:v>1415</x:v>
      </x:c>
      <x:c r="B1392" s="16" t="str">
        <x:v>BG Ekeng Juni</x:v>
      </x:c>
      <x:c r="C1392" s="16" t="str"/>
      <x:c r="D1392" s="16" t="str">
        <x:v>* myContacts</x:v>
      </x:c>
      <x:c r="E1392" s="16" t="str">
        <x:v>Missing email</x:v>
      </x:c>
    </x:row>
    <x:row r="1393">
      <x:c r="A1393" s="16" t="n">
        <x:v>1416</x:v>
      </x:c>
      <x:c r="B1393" s="16" t="str">
        <x:v>Bia AGP</x:v>
      </x:c>
      <x:c r="C1393" s="16" t="str"/>
      <x:c r="D1393" s="16" t="str">
        <x:v>* myContacts</x:v>
      </x:c>
      <x:c r="E1393" s="16" t="str">
        <x:v>Missing email</x:v>
      </x:c>
    </x:row>
    <x:row r="1394">
      <x:c r="A1394" s="16" t="n">
        <x:v>1417</x:v>
      </x:c>
      <x:c r="B1394" s="16" t="str">
        <x:v>Bibie Connie Chuan</x:v>
      </x:c>
      <x:c r="C1394" s="16" t="str"/>
      <x:c r="D1394" s="16" t="str">
        <x:v>* myContacts</x:v>
      </x:c>
      <x:c r="E1394" s="16" t="str">
        <x:v>Missing email</x:v>
      </x:c>
    </x:row>
    <x:row r="1395">
      <x:c r="A1395" s="16" t="n">
        <x:v>1418</x:v>
      </x:c>
      <x:c r="B1395" s="16" t="str">
        <x:v>Bicara Bulan</x:v>
      </x:c>
      <x:c r="C1395" s="16" t="str"/>
      <x:c r="D1395" s="16" t="str">
        <x:v>* myContacts</x:v>
      </x:c>
      <x:c r="E1395" s="16" t="str">
        <x:v>Missing email</x:v>
      </x:c>
    </x:row>
    <x:row r="1396">
      <x:c r="A1396" s="16" t="n">
        <x:v>1419</x:v>
      </x:c>
      <x:c r="B1396" s="16" t="str">
        <x:v>Bicc Brunei</x:v>
      </x:c>
      <x:c r="C1396" s="16" t="str"/>
      <x:c r="D1396" s="16" t="str">
        <x:v>* myContacts</x:v>
      </x:c>
      <x:c r="E1396" s="16" t="str">
        <x:v>Missing email</x:v>
      </x:c>
    </x:row>
    <x:row r="1397">
      <x:c r="A1397" s="16" t="n">
        <x:v>1420</x:v>
      </x:c>
      <x:c r="B1397" s="16" t="str">
        <x:v>Bidawati Ismail</x:v>
      </x:c>
      <x:c r="C1397" s="16" t="str"/>
      <x:c r="D1397" s="16" t="str">
        <x:v>* myContacts</x:v>
      </x:c>
      <x:c r="E1397" s="16" t="str">
        <x:v>Missing email</x:v>
      </x:c>
    </x:row>
    <x:row r="1398">
      <x:c r="A1398" s="16" t="n">
        <x:v>1421</x:v>
      </x:c>
      <x:c r="B1398" s="16" t="str">
        <x:v>Bidi Yana</x:v>
      </x:c>
      <x:c r="C1398" s="16" t="str"/>
      <x:c r="D1398" s="16" t="str">
        <x:v>* myContacts</x:v>
      </x:c>
      <x:c r="E1398" s="16" t="str">
        <x:v>Missing email</x:v>
      </x:c>
    </x:row>
    <x:row r="1399">
      <x:c r="A1399" s="16" t="n">
        <x:v>1422</x:v>
      </x:c>
      <x:c r="B1399" s="16" t="str">
        <x:v>Biella Pendek</x:v>
      </x:c>
      <x:c r="C1399" s="16" t="str"/>
      <x:c r="D1399" s="16" t="str">
        <x:v>* myContacts</x:v>
      </x:c>
      <x:c r="E1399" s="16" t="str">
        <x:v>Missing email</x:v>
      </x:c>
    </x:row>
    <x:row r="1400">
      <x:c r="A1400" s="16" t="n">
        <x:v>1423</x:v>
      </x:c>
      <x:c r="B1400" s="16" t="str">
        <x:v>BieZatie MK</x:v>
      </x:c>
      <x:c r="C1400" s="16" t="str"/>
      <x:c r="D1400" s="16" t="str">
        <x:v>* myContacts</x:v>
      </x:c>
      <x:c r="E1400" s="16" t="str">
        <x:v>Missing email</x:v>
      </x:c>
    </x:row>
    <x:row r="1401">
      <x:c r="A1401" s="16" t="n">
        <x:v>1424</x:v>
      </x:c>
      <x:c r="B1401" s="16" t="str">
        <x:v>Bin Sadin</x:v>
      </x:c>
      <x:c r="C1401" s="16" t="str"/>
      <x:c r="D1401" s="16" t="str">
        <x:v>* myContacts</x:v>
      </x:c>
      <x:c r="E1401" s="16" t="str">
        <x:v>Missing email</x:v>
      </x:c>
    </x:row>
    <x:row r="1402">
      <x:c r="A1402" s="16" t="n">
        <x:v>1425</x:v>
      </x:c>
      <x:c r="B1402" s="16" t="str">
        <x:v>Bina Banglo Kelantan</x:v>
      </x:c>
      <x:c r="C1402" s="16" t="str"/>
      <x:c r="D1402" s="16" t="str">
        <x:v>* myContacts</x:v>
      </x:c>
      <x:c r="E1402" s="16" t="str">
        <x:v>Missing email</x:v>
      </x:c>
    </x:row>
    <x:row r="1403">
      <x:c r="A1403" s="16" t="n">
        <x:v>1426</x:v>
      </x:c>
      <x:c r="B1403" s="16" t="str">
        <x:v>Binjai Ulek</x:v>
      </x:c>
      <x:c r="C1403" s="16" t="str"/>
      <x:c r="D1403" s="16" t="str">
        <x:v>* myContacts</x:v>
      </x:c>
      <x:c r="E1403" s="16" t="str">
        <x:v>Missing email</x:v>
      </x:c>
    </x:row>
    <x:row r="1404">
      <x:c r="A1404" s="16" t="n">
        <x:v>1427</x:v>
      </x:c>
      <x:c r="B1404" s="16" t="str">
        <x:v>BiNus Ted</x:v>
      </x:c>
      <x:c r="C1404" s="16" t="str"/>
      <x:c r="D1404" s="16" t="str">
        <x:v>* myContacts</x:v>
      </x:c>
      <x:c r="E1404" s="16" t="str">
        <x:v>Missing email</x:v>
      </x:c>
    </x:row>
    <x:row r="1405">
      <x:c r="A1405" s="16" t="n">
        <x:v>1428</x:v>
      </x:c>
      <x:c r="B1405" s="16" t="str">
        <x:v>Biotradenr Johor</x:v>
      </x:c>
      <x:c r="C1405" s="16" t="str"/>
      <x:c r="D1405" s="16" t="str">
        <x:v>* myContacts</x:v>
      </x:c>
      <x:c r="E1405" s="16" t="str">
        <x:v>Missing email</x:v>
      </x:c>
    </x:row>
    <x:row r="1406">
      <x:c r="A1406" s="16" t="n">
        <x:v>1429</x:v>
      </x:c>
      <x:c r="B1406" s="16" t="str">
        <x:v>BIZ Wieza Eu</x:v>
      </x:c>
      <x:c r="C1406" s="16" t="str"/>
      <x:c r="D1406" s="16" t="str">
        <x:v>Alumni eUsahawan | * myContacts</x:v>
      </x:c>
      <x:c r="E1406" s="16" t="str">
        <x:v>Missing email</x:v>
      </x:c>
    </x:row>
    <x:row r="1407">
      <x:c r="A1407" s="16" t="n">
        <x:v>1430</x:v>
      </x:c>
      <x:c r="B1407" s="16" t="str">
        <x:v>Blackred Butik</x:v>
      </x:c>
      <x:c r="C1407" s="16" t="str"/>
      <x:c r="D1407" s="16" t="str">
        <x:v>* myContacts</x:v>
      </x:c>
      <x:c r="E1407" s="16" t="str">
        <x:v>Missing email</x:v>
      </x:c>
    </x:row>
    <x:row r="1408">
      <x:c r="A1408" s="16" t="n">
        <x:v>1431</x:v>
      </x:c>
      <x:c r="B1408" s="16" t="str">
        <x:v>BM Safwan Seth</x:v>
      </x:c>
      <x:c r="C1408" s="16" t="str"/>
      <x:c r="D1408" s="16" t="str">
        <x:v>* myContacts</x:v>
      </x:c>
      <x:c r="E1408" s="16" t="str">
        <x:v>Missing email</x:v>
      </x:c>
    </x:row>
    <x:row r="1409">
      <x:c r="A1409" s="16" t="n">
        <x:v>1432</x:v>
      </x:c>
      <x:c r="B1409" s="16" t="str">
        <x:v>BNI SYAZWAN SPECTRA</x:v>
      </x:c>
      <x:c r="C1409" s="16" t="str"/>
      <x:c r="D1409" s="16" t="str">
        <x:v>* myContacts</x:v>
      </x:c>
      <x:c r="E1409" s="16" t="str">
        <x:v>Missing email</x:v>
      </x:c>
    </x:row>
    <x:row r="1410">
      <x:c r="A1410" s="16" t="n">
        <x:v>1433</x:v>
      </x:c>
      <x:c r="B1410" s="16" t="str">
        <x:v>Bob Fitri</x:v>
      </x:c>
      <x:c r="C1410" s="16" t="str"/>
      <x:c r="D1410" s="16" t="str">
        <x:v>* myContacts</x:v>
      </x:c>
      <x:c r="E1410" s="16" t="str">
        <x:v>Missing email</x:v>
      </x:c>
    </x:row>
    <x:row r="1411">
      <x:c r="A1411" s="16" t="n">
        <x:v>1434</x:v>
      </x:c>
      <x:c r="B1411" s="16" t="str">
        <x:v>Bonda Noordiana Mohamad</x:v>
      </x:c>
      <x:c r="C1411" s="16" t="str"/>
      <x:c r="D1411" s="16" t="str">
        <x:v>* myContacts</x:v>
      </x:c>
      <x:c r="E1411" s="16" t="str">
        <x:v>Missing email</x:v>
      </x:c>
    </x:row>
    <x:row r="1412">
      <x:c r="A1412" s="16" t="n">
        <x:v>1435</x:v>
      </x:c>
      <x:c r="B1412" s="16" t="str">
        <x:v>Bonda Sha</x:v>
      </x:c>
      <x:c r="C1412" s="16" t="str"/>
      <x:c r="D1412" s="16" t="str">
        <x:v>* myContacts</x:v>
      </x:c>
      <x:c r="E1412" s="16" t="str">
        <x:v>Missing email</x:v>
      </x:c>
    </x:row>
    <x:row r="1413">
      <x:c r="A1413" s="16" t="n">
        <x:v>1436</x:v>
      </x:c>
      <x:c r="B1413" s="16" t="str">
        <x:v>BOnetakz BO</x:v>
      </x:c>
      <x:c r="C1413" s="16" t="str"/>
      <x:c r="D1413" s="16" t="str">
        <x:v>* myContacts</x:v>
      </x:c>
      <x:c r="E1413" s="16" t="str">
        <x:v>Missing email</x:v>
      </x:c>
    </x:row>
    <x:row r="1414">
      <x:c r="A1414" s="16" t="n">
        <x:v>1437</x:v>
      </x:c>
      <x:c r="B1414" s="16" t="str">
        <x:v>Bong Hui You</x:v>
      </x:c>
      <x:c r="C1414" s="16" t="str"/>
      <x:c r="D1414" s="16" t="str">
        <x:v>* myContacts</x:v>
      </x:c>
      <x:c r="E1414" s="16" t="str">
        <x:v>Missing email</x:v>
      </x:c>
    </x:row>
    <x:row r="1415">
      <x:c r="A1415" s="16" t="n">
        <x:v>1438</x:v>
      </x:c>
      <x:c r="B1415" s="16" t="str">
        <x:v>BonnyLang Nyepa</x:v>
      </x:c>
      <x:c r="C1415" s="16" t="str"/>
      <x:c r="D1415" s="16" t="str">
        <x:v>* myContacts</x:v>
      </x:c>
      <x:c r="E1415" s="16" t="str">
        <x:v>Missing email</x:v>
      </x:c>
    </x:row>
    <x:row r="1416">
      <x:c r="A1416" s="16" t="n">
        <x:v>1439</x:v>
      </x:c>
      <x:c r="B1416" s="16" t="str">
        <x:v>BORAK KOPITIAM TV3 Fara</x:v>
      </x:c>
      <x:c r="C1416" s="16" t="str"/>
      <x:c r="D1416" s="16" t="str">
        <x:v>* myContacts</x:v>
      </x:c>
      <x:c r="E1416" s="16" t="str">
        <x:v>Missing email</x:v>
      </x:c>
    </x:row>
    <x:row r="1417">
      <x:c r="A1417" s="16" t="n">
        <x:v>1440</x:v>
      </x:c>
      <x:c r="B1417" s="16" t="str">
        <x:v>Borneo Fiberglass</x:v>
      </x:c>
      <x:c r="C1417" s="16" t="str"/>
      <x:c r="D1417" s="16" t="str">
        <x:v>* myContacts</x:v>
      </x:c>
      <x:c r="E1417" s="16" t="str">
        <x:v>Missing email</x:v>
      </x:c>
    </x:row>
    <x:row r="1418">
      <x:c r="A1418" s="16" t="n">
        <x:v>1441</x:v>
      </x:c>
      <x:c r="B1418" s="16" t="str">
        <x:v>Borong Baju Muslimah</x:v>
      </x:c>
      <x:c r="C1418" s="16" t="str"/>
      <x:c r="D1418" s="16" t="str">
        <x:v>* myContacts</x:v>
      </x:c>
      <x:c r="E1418" s="16" t="str">
        <x:v>Missing email</x:v>
      </x:c>
    </x:row>
    <x:row r="1419">
      <x:c r="A1419" s="16" t="n">
        <x:v>1442</x:v>
      </x:c>
      <x:c r="B1419" s="16" t="str">
        <x:v>Borong Barang Cenderahati</x:v>
      </x:c>
      <x:c r="C1419" s="16" t="str"/>
      <x:c r="D1419" s="16" t="str">
        <x:v>* myContacts</x:v>
      </x:c>
      <x:c r="E1419" s="16" t="str">
        <x:v>Missing email</x:v>
      </x:c>
    </x:row>
    <x:row r="1420">
      <x:c r="A1420" s="16" t="n">
        <x:v>1443</x:v>
      </x:c>
      <x:c r="B1420" s="16" t="str">
        <x:v>borong china marketing marketing</x:v>
      </x:c>
      <x:c r="C1420" s="16" t="str"/>
      <x:c r="D1420" s="16" t="str">
        <x:v>* myContacts</x:v>
      </x:c>
      <x:c r="E1420" s="16" t="str">
        <x:v>Missing email</x:v>
      </x:c>
    </x:row>
    <x:row r="1421">
      <x:c r="A1421" s="16" t="n">
        <x:v>1444</x:v>
      </x:c>
      <x:c r="B1421" s="16" t="str">
        <x:v>Borong Murah Murah</x:v>
      </x:c>
      <x:c r="C1421" s="16" t="str"/>
      <x:c r="D1421" s="16" t="str">
        <x:v>* myContacts</x:v>
      </x:c>
      <x:c r="E1421" s="16" t="str">
        <x:v>Missing email</x:v>
      </x:c>
    </x:row>
    <x:row r="1422">
      <x:c r="A1422" s="16" t="n">
        <x:v>1445</x:v>
      </x:c>
      <x:c r="B1422" s="16" t="str">
        <x:v>Boss Ako Soap Maker</x:v>
      </x:c>
      <x:c r="C1422" s="16" t="str"/>
      <x:c r="D1422" s="16" t="str">
        <x:v>* myContacts</x:v>
      </x:c>
      <x:c r="E1422" s="16" t="str">
        <x:v>Missing email</x:v>
      </x:c>
    </x:row>
    <x:row r="1423">
      <x:c r="A1423" s="16" t="n">
        <x:v>1446</x:v>
      </x:c>
      <x:c r="B1423" s="16" t="str">
        <x:v>Boss Azlan Properties REN</x:v>
      </x:c>
      <x:c r="C1423" s="16" t="str"/>
      <x:c r="D1423" s="16" t="str">
        <x:v>* myContacts</x:v>
      </x:c>
      <x:c r="E1423" s="16" t="str">
        <x:v>Missing email</x:v>
      </x:c>
    </x:row>
    <x:row r="1424">
      <x:c r="A1424" s="16" t="n">
        <x:v>1447</x:v>
      </x:c>
      <x:c r="B1424" s="16" t="str">
        <x:v>Boss Bahar Tawau</x:v>
      </x:c>
      <x:c r="C1424" s="16" t="str"/>
      <x:c r="D1424" s="16" t="str">
        <x:v>* myContacts</x:v>
      </x:c>
      <x:c r="E1424" s="16" t="str">
        <x:v>Missing email</x:v>
      </x:c>
    </x:row>
    <x:row r="1425">
      <x:c r="A1425" s="16" t="n">
        <x:v>1448</x:v>
      </x:c>
      <x:c r="B1425" s="16" t="str">
        <x:v>Boss rahman TI</x:v>
      </x:c>
      <x:c r="C1425" s="16" t="str"/>
      <x:c r="D1425" s="16" t="str">
        <x:v>* myContacts</x:v>
      </x:c>
      <x:c r="E1425" s="16" t="str">
        <x:v>Missing email</x:v>
      </x:c>
    </x:row>
    <x:row r="1426">
      <x:c r="A1426" s="16" t="n">
        <x:v>1449</x:v>
      </x:c>
      <x:c r="B1426" s="16" t="str">
        <x:v>Boss Rizan</x:v>
      </x:c>
      <x:c r="C1426" s="16" t="str"/>
      <x:c r="D1426" s="16" t="str">
        <x:v>* myContacts</x:v>
      </x:c>
      <x:c r="E1426" s="16" t="str">
        <x:v>Missing email</x:v>
      </x:c>
    </x:row>
    <x:row r="1427">
      <x:c r="A1427" s="16" t="n">
        <x:v>1450</x:v>
      </x:c>
      <x:c r="B1427" s="16" t="str">
        <x:v>Boss Vincent eanlabel</x:v>
      </x:c>
      <x:c r="C1427" s="16" t="str"/>
      <x:c r="D1427" s="16" t="str">
        <x:v>* myContacts</x:v>
      </x:c>
      <x:c r="E1427" s="16" t="str">
        <x:v>Missing email</x:v>
      </x:c>
    </x:row>
    <x:row r="1428">
      <x:c r="A1428" s="16" t="n">
        <x:v>1451</x:v>
      </x:c>
      <x:c r="B1428" s="16" t="str">
        <x:v>Boss Wahid DPIM Perak</x:v>
      </x:c>
      <x:c r="C1428" s="16" t="str"/>
      <x:c r="D1428" s="16" t="str">
        <x:v>* myContacts</x:v>
      </x:c>
      <x:c r="E1428" s="16" t="str">
        <x:v>Missing email</x:v>
      </x:c>
    </x:row>
    <x:row r="1429">
      <x:c r="A1429" s="16" t="n">
        <x:v>1452</x:v>
      </x:c>
      <x:c r="B1429" s="16" t="str">
        <x:v>Bost Putu Piring</x:v>
      </x:c>
      <x:c r="C1429" s="16" t="str"/>
      <x:c r="D1429" s="16" t="str">
        <x:v>* myContacts</x:v>
      </x:c>
      <x:c r="E1429" s="16" t="str">
        <x:v>Missing email</x:v>
      </x:c>
    </x:row>
    <x:row r="1430">
      <x:c r="A1430" s="16" t="n">
        <x:v>1453</x:v>
      </x:c>
      <x:c r="B1430" s="16" t="str">
        <x:v>Boy</x:v>
      </x:c>
      <x:c r="C1430" s="16" t="str"/>
      <x:c r="D1430" s="16" t="str">
        <x:v>* myContacts</x:v>
      </x:c>
      <x:c r="E1430" s="16" t="str">
        <x:v>Missing email</x:v>
      </x:c>
    </x:row>
    <x:row r="1431">
      <x:c r="A1431" s="16" t="n">
        <x:v>1454</x:v>
      </x:c>
      <x:c r="B1431" s="16" t="str">
        <x:v>Boy Ciranont</x:v>
      </x:c>
      <x:c r="C1431" s="16" t="str"/>
      <x:c r="D1431" s="16" t="str">
        <x:v>* myContacts</x:v>
      </x:c>
      <x:c r="E1431" s="16" t="str">
        <x:v>Missing email</x:v>
      </x:c>
    </x:row>
    <x:row r="1432">
      <x:c r="A1432" s="16" t="n">
        <x:v>1455</x:v>
      </x:c>
      <x:c r="B1432" s="16" t="str">
        <x:v>Boy Detailer Kuantan</x:v>
      </x:c>
      <x:c r="C1432" s="16" t="str"/>
      <x:c r="D1432" s="16" t="str">
        <x:v>* myContacts</x:v>
      </x:c>
      <x:c r="E1432" s="16" t="str">
        <x:v>Missing email</x:v>
      </x:c>
    </x:row>
    <x:row r="1433">
      <x:c r="A1433" s="16" t="n">
        <x:v>1456</x:v>
      </x:c>
      <x:c r="B1433" s="16" t="str">
        <x:v>Boy Gbn</x:v>
      </x:c>
      <x:c r="C1433" s="16" t="str"/>
      <x:c r="D1433" s="16" t="str">
        <x:v>* myContacts</x:v>
      </x:c>
      <x:c r="E1433" s="16" t="str">
        <x:v>Missing email</x:v>
      </x:c>
    </x:row>
    <x:row r="1434">
      <x:c r="A1434" s="16" t="n">
        <x:v>1457</x:v>
      </x:c>
      <x:c r="B1434" s="16" t="str">
        <x:v>Boy Muar</x:v>
      </x:c>
      <x:c r="C1434" s="16" t="str"/>
      <x:c r="D1434" s="16" t="str">
        <x:v>* myContacts</x:v>
      </x:c>
      <x:c r="E1434" s="16" t="str">
        <x:v>Missing email</x:v>
      </x:c>
    </x:row>
    <x:row r="1435">
      <x:c r="A1435" s="16" t="n">
        <x:v>1458</x:v>
      </x:c>
      <x:c r="B1435" s="16" t="str">
        <x:v>Boy Raj</x:v>
      </x:c>
      <x:c r="C1435" s="16" t="str"/>
      <x:c r="D1435" s="16" t="str">
        <x:v>* myContacts</x:v>
      </x:c>
      <x:c r="E1435" s="16" t="str">
        <x:v>Missing email</x:v>
      </x:c>
    </x:row>
    <x:row r="1436">
      <x:c r="A1436" s="16" t="n">
        <x:v>1459</x:v>
      </x:c>
      <x:c r="B1436" s="16" t="str">
        <x:v>Brader Awie Master Gold QM</x:v>
      </x:c>
      <x:c r="C1436" s="16" t="str"/>
      <x:c r="D1436" s="16" t="str">
        <x:v>* myContacts</x:v>
      </x:c>
      <x:c r="E1436" s="16" t="str">
        <x:v>Missing email</x:v>
      </x:c>
    </x:row>
    <x:row r="1437">
      <x:c r="A1437" s="16" t="n">
        <x:v>1460</x:v>
      </x:c>
      <x:c r="B1437" s="16" t="str">
        <x:v>Brader Hassan HomeMateTrade</x:v>
      </x:c>
      <x:c r="C1437" s="16" t="str"/>
      <x:c r="D1437" s="16" t="str">
        <x:v>* myContacts</x:v>
      </x:c>
      <x:c r="E1437" s="16" t="str">
        <x:v>Missing email</x:v>
      </x:c>
    </x:row>
    <x:row r="1438">
      <x:c r="A1438" s="16" t="n">
        <x:v>1461</x:v>
      </x:c>
      <x:c r="B1438" s="16" t="str">
        <x:v>Brader Mat</x:v>
      </x:c>
      <x:c r="C1438" s="16" t="str"/>
      <x:c r="D1438" s="16" t="str">
        <x:v>* myContacts</x:v>
      </x:c>
      <x:c r="E1438" s="16" t="str">
        <x:v>Missing email</x:v>
      </x:c>
    </x:row>
    <x:row r="1439">
      <x:c r="A1439" s="16" t="n">
        <x:v>1462</x:v>
      </x:c>
      <x:c r="B1439" s="16" t="str">
        <x:v>Bradley AC</x:v>
      </x:c>
      <x:c r="C1439" s="16" t="str"/>
      <x:c r="D1439" s="16" t="str">
        <x:v>* myContacts</x:v>
      </x:c>
      <x:c r="E1439" s="16" t="str">
        <x:v>Missing email</x:v>
      </x:c>
    </x:row>
    <x:row r="1440">
      <x:c r="A1440" s="16" t="n">
        <x:v>1463</x:v>
      </x:c>
      <x:c r="B1440" s="16" t="str">
        <x:v>Bri DPIM</x:v>
      </x:c>
      <x:c r="C1440" s="16" t="str"/>
      <x:c r="D1440" s="16" t="str">
        <x:v>* myContacts</x:v>
      </x:c>
      <x:c r="E1440" s="16" t="str">
        <x:v>Missing email</x:v>
      </x:c>
    </x:row>
    <x:row r="1441">
      <x:c r="A1441" s="16" t="n">
        <x:v>1464</x:v>
      </x:c>
      <x:c r="B1441" s="16" t="str">
        <x:v>Bro Bil</x:v>
      </x:c>
      <x:c r="C1441" s="16" t="str"/>
      <x:c r="D1441" s="16" t="str">
        <x:v>* myContacts</x:v>
      </x:c>
      <x:c r="E1441" s="16" t="str">
        <x:v>Missing email</x:v>
      </x:c>
    </x:row>
    <x:row r="1442">
      <x:c r="A1442" s="16" t="n">
        <x:v>1465</x:v>
      </x:c>
      <x:c r="B1442" s="16" t="str">
        <x:v>Bro fakhree</x:v>
      </x:c>
      <x:c r="C1442" s="16" t="str"/>
      <x:c r="D1442" s="16" t="str">
        <x:v>* myContacts</x:v>
      </x:c>
      <x:c r="E1442" s="16" t="str">
        <x:v>Missing email</x:v>
      </x:c>
    </x:row>
    <x:row r="1443">
      <x:c r="A1443" s="16" t="n">
        <x:v>1466</x:v>
      </x:c>
      <x:c r="B1443" s="16" t="str">
        <x:v>Bro Jamal Dpim</x:v>
      </x:c>
      <x:c r="C1443" s="16" t="str"/>
      <x:c r="D1443" s="16" t="str">
        <x:v>* myContacts</x:v>
      </x:c>
      <x:c r="E1443" s="16" t="str">
        <x:v>Missing email</x:v>
      </x:c>
    </x:row>
    <x:row r="1444">
      <x:c r="A1444" s="16" t="n">
        <x:v>1467</x:v>
      </x:c>
      <x:c r="B1444" s="16" t="str">
        <x:v>BRo Langau</x:v>
      </x:c>
      <x:c r="C1444" s="16" t="str"/>
      <x:c r="D1444" s="16" t="str">
        <x:v>* myContacts</x:v>
      </x:c>
      <x:c r="E1444" s="16" t="str">
        <x:v>Missing email</x:v>
      </x:c>
    </x:row>
    <x:row r="1445">
      <x:c r="A1445" s="16" t="n">
        <x:v>1468</x:v>
      </x:c>
      <x:c r="B1445" s="16" t="str">
        <x:v>Bro Yan</x:v>
      </x:c>
      <x:c r="C1445" s="16" t="str"/>
      <x:c r="D1445" s="16" t="str">
        <x:v>* myContacts</x:v>
      </x:c>
      <x:c r="E1445" s="16" t="str">
        <x:v>Missing email</x:v>
      </x:c>
    </x:row>
    <x:row r="1446">
      <x:c r="A1446" s="16" t="n">
        <x:v>1469</x:v>
      </x:c>
      <x:c r="B1446" s="16" t="str">
        <x:v>Bro Zuhair Pomen Nissan</x:v>
      </x:c>
      <x:c r="C1446" s="16" t="str"/>
      <x:c r="D1446" s="16" t="str">
        <x:v>* myContacts</x:v>
      </x:c>
      <x:c r="E1446" s="16" t="str">
        <x:v>Missing email</x:v>
      </x:c>
    </x:row>
    <x:row r="1447">
      <x:c r="A1447" s="16" t="n">
        <x:v>1470</x:v>
      </x:c>
      <x:c r="B1447" s="16" t="str">
        <x:v>broku ultra</x:v>
      </x:c>
      <x:c r="C1447" s="16" t="str"/>
      <x:c r="D1447" s="16" t="str">
        <x:v>* myContacts</x:v>
      </x:c>
      <x:c r="E1447" s="16" t="str">
        <x:v>Missing email</x:v>
      </x:c>
    </x:row>
    <x:row r="1448">
      <x:c r="A1448" s="16" t="n">
        <x:v>1471</x:v>
      </x:c>
      <x:c r="B1448" s="16" t="str">
        <x:v>Brother Rozek</x:v>
      </x:c>
      <x:c r="C1448" s="16" t="str"/>
      <x:c r="D1448" s="16" t="str">
        <x:v>* myContacts</x:v>
      </x:c>
      <x:c r="E1448" s="16" t="str">
        <x:v>Missing email</x:v>
      </x:c>
    </x:row>
    <x:row r="1449">
      <x:c r="A1449" s="16" t="n">
        <x:v>1472</x:v>
      </x:c>
      <x:c r="B1449" s="16" t="str">
        <x:v>BroZooL Webmaster</x:v>
      </x:c>
      <x:c r="C1449" s="16" t="str"/>
      <x:c r="D1449" s="16" t="str">
        <x:v>* myContacts</x:v>
      </x:c>
      <x:c r="E1449" s="16" t="str">
        <x:v>Missing email</x:v>
      </x:c>
    </x:row>
    <x:row r="1450">
      <x:c r="A1450" s="16" t="n">
        <x:v>1473</x:v>
      </x:c>
      <x:c r="B1450" s="16" t="str">
        <x:v>Bryan LEE Porche Salesmen</x:v>
      </x:c>
      <x:c r="C1450" s="16" t="str"/>
      <x:c r="D1450" s="16" t="str">
        <x:v>* myContacts</x:v>
      </x:c>
      <x:c r="E1450" s="16" t="str">
        <x:v>Missing email</x:v>
      </x:c>
    </x:row>
    <x:row r="1451">
      <x:c r="A1451" s="16" t="n">
        <x:v>1474</x:v>
      </x:c>
      <x:c r="B1451" s="16" t="str">
        <x:v>Bryan Tan</x:v>
      </x:c>
      <x:c r="C1451" s="16" t="str"/>
      <x:c r="D1451" s="16" t="str">
        <x:v>* myContacts</x:v>
      </x:c>
      <x:c r="E1451" s="16" t="str">
        <x:v>Missing email</x:v>
      </x:c>
    </x:row>
    <x:row r="1452">
      <x:c r="A1452" s="16" t="n">
        <x:v>1475</x:v>
      </x:c>
      <x:c r="B1452" s="16" t="str">
        <x:v>Buchari Heri</x:v>
      </x:c>
      <x:c r="C1452" s="16" t="str"/>
      <x:c r="D1452" s="16" t="str">
        <x:v>* myContacts</x:v>
      </x:c>
      <x:c r="E1452" s="16" t="str">
        <x:v>Missing email</x:v>
      </x:c>
    </x:row>
    <x:row r="1453">
      <x:c r="A1453" s="16" t="n">
        <x:v>1476</x:v>
      </x:c>
      <x:c r="B1453" s="16" t="str">
        <x:v>Buddy CHa GHalli</x:v>
      </x:c>
      <x:c r="C1453" s="16" t="str"/>
      <x:c r="D1453" s="16" t="str">
        <x:v>* myContacts</x:v>
      </x:c>
      <x:c r="E1453" s="16" t="str">
        <x:v>Missing email</x:v>
      </x:c>
    </x:row>
    <x:row r="1454">
      <x:c r="A1454" s="16" t="n">
        <x:v>1477</x:v>
      </x:c>
      <x:c r="B1454" s="16" t="str">
        <x:v>buddy fariz bda accounting</x:v>
      </x:c>
      <x:c r="C1454" s="16" t="str"/>
      <x:c r="D1454" s="16" t="str">
        <x:v>* myContacts</x:v>
      </x:c>
      <x:c r="E1454" s="16" t="str">
        <x:v>Missing email</x:v>
      </x:c>
    </x:row>
    <x:row r="1455">
      <x:c r="A1455" s="16" t="n">
        <x:v>1478</x:v>
      </x:c>
      <x:c r="B1455" s="16" t="str">
        <x:v>Budgetkad Kahwin K. Kinabalu</x:v>
      </x:c>
      <x:c r="C1455" s="16" t="str"/>
      <x:c r="D1455" s="16" t="str">
        <x:v>* myContacts</x:v>
      </x:c>
      <x:c r="E1455" s="16" t="str">
        <x:v>Missing email</x:v>
      </x:c>
    </x:row>
    <x:row r="1456">
      <x:c r="A1456" s="16" t="n">
        <x:v>1479</x:v>
      </x:c>
      <x:c r="B1456" s="16" t="str">
        <x:v>Budin as solihon</x:v>
      </x:c>
      <x:c r="C1456" s="16" t="str"/>
      <x:c r="D1456" s="16" t="str">
        <x:v>* myContacts</x:v>
      </x:c>
      <x:c r="E1456" s="16" t="str">
        <x:v>Missing email</x:v>
      </x:c>
    </x:row>
    <x:row r="1457">
      <x:c r="A1457" s="16" t="n">
        <x:v>1480</x:v>
      </x:c>
      <x:c r="B1457" s="16" t="str">
        <x:v>Bugis Benut</x:v>
      </x:c>
      <x:c r="C1457" s="16" t="str"/>
      <x:c r="D1457" s="16" t="str">
        <x:v>* myContacts</x:v>
      </x:c>
      <x:c r="E1457" s="16" t="str">
        <x:v>Missing email</x:v>
      </x:c>
    </x:row>
    <x:row r="1458">
      <x:c r="A1458" s="16" t="n">
        <x:v>1481</x:v>
      </x:c>
      <x:c r="B1458" s="16" t="str">
        <x:v>Bujang Song</x:v>
      </x:c>
      <x:c r="C1458" s="16" t="str"/>
      <x:c r="D1458" s="16" t="str">
        <x:v>* myContacts</x:v>
      </x:c>
      <x:c r="E1458" s="16" t="str">
        <x:v>Missing email</x:v>
      </x:c>
    </x:row>
    <x:row r="1459">
      <x:c r="A1459" s="16" t="n">
        <x:v>1482</x:v>
      </x:c>
      <x:c r="B1459" s="16" t="str">
        <x:v>Bujie NorAzidi Bin Taip</x:v>
      </x:c>
      <x:c r="C1459" s="16" t="str"/>
      <x:c r="D1459" s="16" t="str">
        <x:v>* myContacts</x:v>
      </x:c>
      <x:c r="E1459" s="16" t="str">
        <x:v>Missing email</x:v>
      </x:c>
    </x:row>
    <x:row r="1460">
      <x:c r="A1460" s="16" t="n">
        <x:v>1483</x:v>
      </x:c>
      <x:c r="B1460" s="16" t="str">
        <x:v>Bukhari AGP</x:v>
      </x:c>
      <x:c r="C1460" s="16" t="str"/>
      <x:c r="D1460" s="16" t="str">
        <x:v>* myContacts</x:v>
      </x:c>
      <x:c r="E1460" s="16" t="str">
        <x:v>Missing email</x:v>
      </x:c>
    </x:row>
    <x:row r="1461">
      <x:c r="A1461" s="16" t="n">
        <x:v>1484</x:v>
      </x:c>
      <x:c r="B1461" s="16" t="str">
        <x:v>Bukhari Ramli STP</x:v>
      </x:c>
      <x:c r="C1461" s="16" t="str"/>
      <x:c r="D1461" s="16" t="str">
        <x:v>* myContacts</x:v>
      </x:c>
      <x:c r="E1461" s="16" t="str">
        <x:v>Missing email</x:v>
      </x:c>
    </x:row>
    <x:row r="1462">
      <x:c r="A1462" s="16" t="n">
        <x:v>1485</x:v>
      </x:c>
      <x:c r="B1462" s="16" t="str">
        <x:v>Bulan Terang</x:v>
      </x:c>
      <x:c r="C1462" s="16" t="str"/>
      <x:c r="D1462" s="16" t="str">
        <x:v>* myContacts</x:v>
      </x:c>
      <x:c r="E1462" s="16" t="str">
        <x:v>Missing email</x:v>
      </x:c>
    </x:row>
    <x:row r="1463">
      <x:c r="A1463" s="16" t="n">
        <x:v>1486</x:v>
      </x:c>
      <x:c r="B1463" s="16" t="str">
        <x:v>Bumi Merah</x:v>
      </x:c>
      <x:c r="C1463" s="16" t="str"/>
      <x:c r="D1463" s="16" t="str">
        <x:v>* myContacts</x:v>
      </x:c>
      <x:c r="E1463" s="16" t="str">
        <x:v>Missing email</x:v>
      </x:c>
    </x:row>
    <x:row r="1464">
      <x:c r="A1464" s="16" t="n">
        <x:v>1487</x:v>
      </x:c>
      <x:c r="B1464" s="16" t="str">
        <x:v>Bumi Nilam</x:v>
      </x:c>
      <x:c r="C1464" s="16" t="str"/>
      <x:c r="D1464" s="16" t="str">
        <x:v>* myContacts</x:v>
      </x:c>
      <x:c r="E1464" s="16" t="str">
        <x:v>Missing email</x:v>
      </x:c>
    </x:row>
    <x:row r="1465">
      <x:c r="A1465" s="16" t="n">
        <x:v>1488</x:v>
      </x:c>
      <x:c r="B1465" s="16" t="str">
        <x:v>Bundanya Aksa</x:v>
      </x:c>
      <x:c r="C1465" s="16" t="str"/>
      <x:c r="D1465" s="16" t="str">
        <x:v>* myContacts</x:v>
      </x:c>
      <x:c r="E1465" s="16" t="str">
        <x:v>Missing email</x:v>
      </x:c>
    </x:row>
    <x:row r="1466">
      <x:c r="A1466" s="16" t="n">
        <x:v>1489</x:v>
      </x:c>
      <x:c r="B1466" s="16" t="str">
        <x:v>Bunga Alhamid</x:v>
      </x:c>
      <x:c r="C1466" s="16" t="str"/>
      <x:c r="D1466" s="16" t="str">
        <x:v>* myContacts</x:v>
      </x:c>
      <x:c r="E1466" s="16" t="str">
        <x:v>Missing email</x:v>
      </x:c>
    </x:row>
    <x:row r="1467">
      <x:c r="A1467" s="16" t="n">
        <x:v>1490</x:v>
      </x:c>
      <x:c r="B1467" s="16" t="str">
        <x:v>Bunga Lalang</x:v>
      </x:c>
      <x:c r="C1467" s="16" t="str"/>
      <x:c r="D1467" s="16" t="str">
        <x:v>* myContacts</x:v>
      </x:c>
      <x:c r="E1467" s="16" t="str">
        <x:v>Missing email</x:v>
      </x:c>
    </x:row>
    <x:row r="1468">
      <x:c r="A1468" s="16" t="n">
        <x:v>1491</x:v>
      </x:c>
      <x:c r="B1468" s="16" t="str">
        <x:v>Buni Tours-jogja</x:v>
      </x:c>
      <x:c r="C1468" s="16" t="str"/>
      <x:c r="D1468" s="16" t="str">
        <x:v>* myContacts</x:v>
      </x:c>
      <x:c r="E1468" s="16" t="str">
        <x:v>Missing email</x:v>
      </x:c>
    </x:row>
    <x:row r="1469">
      <x:c r="A1469" s="16" t="n">
        <x:v>1492</x:v>
      </x:c>
      <x:c r="B1469" s="16" t="str">
        <x:v>Butik Bos</x:v>
      </x:c>
      <x:c r="C1469" s="16" t="str"/>
      <x:c r="D1469" s="16" t="str">
        <x:v>* myContacts</x:v>
      </x:c>
      <x:c r="E1469" s="16" t="str">
        <x:v>Missing email</x:v>
      </x:c>
    </x:row>
    <x:row r="1470">
      <x:c r="A1470" s="16" t="n">
        <x:v>1493</x:v>
      </x:c>
      <x:c r="B1470" s="16" t="str">
        <x:v>Butik Pengantin</x:v>
      </x:c>
      <x:c r="C1470" s="16" t="str"/>
      <x:c r="D1470" s="16" t="str">
        <x:v>* myContacts</x:v>
      </x:c>
      <x:c r="E1470" s="16" t="str">
        <x:v>Missing email</x:v>
      </x:c>
    </x:row>
    <x:row r="1471">
      <x:c r="A1471" s="16" t="n">
        <x:v>1494</x:v>
      </x:c>
      <x:c r="B1471" s="16" t="str">
        <x:v>Butik Pengantin Persada Impian</x:v>
      </x:c>
      <x:c r="C1471" s="16" t="str"/>
      <x:c r="D1471" s="16" t="str">
        <x:v>* myContacts</x:v>
      </x:c>
      <x:c r="E1471" s="16" t="str">
        <x:v>Missing email</x:v>
      </x:c>
    </x:row>
    <x:row r="1472">
      <x:c r="A1472" s="16" t="n">
        <x:v>1495</x:v>
      </x:c>
      <x:c r="B1472" s="16" t="str">
        <x:v>Butik Saffana</x:v>
      </x:c>
      <x:c r="C1472" s="16" t="str"/>
      <x:c r="D1472" s="16" t="str">
        <x:v>* myContacts</x:v>
      </x:c>
      <x:c r="E1472" s="16" t="str">
        <x:v>Missing email</x:v>
      </x:c>
    </x:row>
    <x:row r="1473">
      <x:c r="A1473" s="16" t="n">
        <x:v>1496</x:v>
      </x:c>
      <x:c r="B1473" s="16" t="str">
        <x:v>Butik Shahira Impian</x:v>
      </x:c>
      <x:c r="C1473" s="16" t="str"/>
      <x:c r="D1473" s="16" t="str">
        <x:v>* myContacts</x:v>
      </x:c>
      <x:c r="E1473" s="16" t="str">
        <x:v>Missing email</x:v>
      </x:c>
    </x:row>
    <x:row r="1474">
      <x:c r="A1474" s="16" t="n">
        <x:v>1497</x:v>
      </x:c>
      <x:c r="B1474" s="16" t="str">
        <x:v>Butik Zalina Jazlynn</x:v>
      </x:c>
      <x:c r="C1474" s="16" t="str"/>
      <x:c r="D1474" s="16" t="str">
        <x:v>* myContacts</x:v>
      </x:c>
      <x:c r="E1474" s="16" t="str">
        <x:v>Missing email</x:v>
      </x:c>
    </x:row>
    <x:row r="1475">
      <x:c r="A1475" s="16" t="n">
        <x:v>1498</x:v>
      </x:c>
      <x:c r="B1475" s="16" t="str">
        <x:v>C-kin Fudin Minah Klate</x:v>
      </x:c>
      <x:c r="C1475" s="16" t="str"/>
      <x:c r="D1475" s="16" t="str">
        <x:v>* myContacts</x:v>
      </x:c>
      <x:c r="E1475" s="16" t="str">
        <x:v>Missing email</x:v>
      </x:c>
    </x:row>
    <x:row r="1476">
      <x:c r="A1476" s="16" t="n">
        <x:v>1499</x:v>
      </x:c>
      <x:c r="B1476" s="16" t="str">
        <x:v>Cadar Qin Rose</x:v>
      </x:c>
      <x:c r="C1476" s="16" t="str"/>
      <x:c r="D1476" s="16" t="str">
        <x:v>* myContacts</x:v>
      </x:c>
      <x:c r="E1476" s="16" t="str">
        <x:v>Missing email</x:v>
      </x:c>
    </x:row>
    <x:row r="1477">
      <x:c r="A1477" s="16" t="n">
        <x:v>1500</x:v>
      </x:c>
      <x:c r="B1477" s="16" t="str">
        <x:v>Cahaya Aiza</x:v>
      </x:c>
      <x:c r="C1477" s="16" t="str"/>
      <x:c r="D1477" s="16" t="str">
        <x:v>* myContacts</x:v>
      </x:c>
      <x:c r="E1477" s="16" t="str">
        <x:v>Missing email</x:v>
      </x:c>
    </x:row>
    <x:row r="1478">
      <x:c r="A1478" s="16" t="n">
        <x:v>1501</x:v>
      </x:c>
      <x:c r="B1478" s="16" t="str">
        <x:v>Cahaya Fisabillillah</x:v>
      </x:c>
      <x:c r="C1478" s="16" t="str"/>
      <x:c r="D1478" s="16" t="str">
        <x:v>* myContacts</x:v>
      </x:c>
      <x:c r="E1478" s="16" t="str">
        <x:v>Missing email</x:v>
      </x:c>
    </x:row>
    <x:row r="1479">
      <x:c r="A1479" s="16" t="n">
        <x:v>1502</x:v>
      </x:c>
      <x:c r="B1479" s="16" t="str">
        <x:v>Cahaya Murni</x:v>
      </x:c>
      <x:c r="C1479" s="16" t="str"/>
      <x:c r="D1479" s="16" t="str">
        <x:v>* myContacts</x:v>
      </x:c>
      <x:c r="E1479" s="16" t="str">
        <x:v>Missing email</x:v>
      </x:c>
    </x:row>
    <x:row r="1480">
      <x:c r="A1480" s="16" t="n">
        <x:v>1503</x:v>
      </x:c>
      <x:c r="B1480" s="16" t="str">
        <x:v>Cahaya Qaseh Shakirah</x:v>
      </x:c>
      <x:c r="C1480" s="16" t="str"/>
      <x:c r="D1480" s="16" t="str">
        <x:v>* myContacts</x:v>
      </x:c>
      <x:c r="E1480" s="16" t="str">
        <x:v>Missing email</x:v>
      </x:c>
    </x:row>
    <x:row r="1481">
      <x:c r="A1481" s="16" t="n">
        <x:v>1504</x:v>
      </x:c>
      <x:c r="B1481" s="16" t="str">
        <x:v>Cailongkoi Koi</x:v>
      </x:c>
      <x:c r="C1481" s="16" t="str"/>
      <x:c r="D1481" s="16" t="str">
        <x:v>* myContacts</x:v>
      </x:c>
      <x:c r="E1481" s="16" t="str">
        <x:v>Missing email</x:v>
      </x:c>
    </x:row>
    <x:row r="1482">
      <x:c r="A1482" s="16" t="n">
        <x:v>1505</x:v>
      </x:c>
      <x:c r="B1482" s="16" t="str">
        <x:v>Califf Rizal Otai</x:v>
      </x:c>
      <x:c r="C1482" s="16" t="str"/>
      <x:c r="D1482" s="16" t="str">
        <x:v>* myContacts</x:v>
      </x:c>
      <x:c r="E1482" s="16" t="str">
        <x:v>Missing email</x:v>
      </x:c>
    </x:row>
    <x:row r="1483">
      <x:c r="A1483" s="16" t="n">
        <x:v>1506</x:v>
      </x:c>
      <x:c r="B1483" s="16" t="str">
        <x:v>Caliphs Play</x:v>
      </x:c>
      <x:c r="C1483" s="16" t="str"/>
      <x:c r="D1483" s="16" t="str">
        <x:v>* myContacts</x:v>
      </x:c>
      <x:c r="E1483" s="16" t="str">
        <x:v>Missing email</x:v>
      </x:c>
    </x:row>
    <x:row r="1484">
      <x:c r="A1484" s="16" t="n">
        <x:v>1507</x:v>
      </x:c>
      <x:c r="B1484" s="16" t="str">
        <x:v>Calyvn Eusahawan Trainer</x:v>
      </x:c>
      <x:c r="C1484" s="16" t="str"/>
      <x:c r="D1484" s="16" t="str">
        <x:v>Trainer | * myContacts</x:v>
      </x:c>
      <x:c r="E1484" s="16" t="str">
        <x:v>Missing email</x:v>
      </x:c>
    </x:row>
    <x:row r="1485">
      <x:c r="A1485" s="16" t="n">
        <x:v>1508</x:v>
      </x:c>
      <x:c r="B1485" s="16" t="str">
        <x:v>Cameron Highlands Apartmants</x:v>
      </x:c>
      <x:c r="C1485" s="16" t="str"/>
      <x:c r="D1485" s="16" t="str">
        <x:v>* myContacts</x:v>
      </x:c>
      <x:c r="E1485" s="16" t="str">
        <x:v>Missing email</x:v>
      </x:c>
    </x:row>
    <x:row r="1486">
      <x:c r="A1486" s="16" t="n">
        <x:v>1509</x:v>
      </x:c>
      <x:c r="B1486" s="16" t="str">
        <x:v>Camilo Gomez</x:v>
      </x:c>
      <x:c r="C1486" s="16" t="str"/>
      <x:c r="D1486" s="16" t="str">
        <x:v>* myContacts</x:v>
      </x:c>
      <x:c r="E1486" s="16" t="str">
        <x:v>Missing email</x:v>
      </x:c>
    </x:row>
    <x:row r="1487">
      <x:c r="A1487" s="16" t="n">
        <x:v>1510</x:v>
      </x:c>
      <x:c r="B1487" s="16" t="str">
        <x:v>Candidate Agent Agp1</x:v>
      </x:c>
      <x:c r="C1487" s="16" t="str"/>
      <x:c r="D1487" s="16" t="str">
        <x:v>* myContacts</x:v>
      </x:c>
      <x:c r="E1487" s="16" t="str">
        <x:v>Missing email</x:v>
      </x:c>
    </x:row>
    <x:row r="1488">
      <x:c r="A1488" s="16" t="n">
        <x:v>1511</x:v>
      </x:c>
      <x:c r="B1488" s="16" t="str">
        <x:v>Candidate Agent Agp2</x:v>
      </x:c>
      <x:c r="C1488" s="16" t="str"/>
      <x:c r="D1488" s="16" t="str">
        <x:v>* myContacts</x:v>
      </x:c>
      <x:c r="E1488" s="16" t="str">
        <x:v>Missing email</x:v>
      </x:c>
    </x:row>
    <x:row r="1489">
      <x:c r="A1489" s="16" t="n">
        <x:v>1512</x:v>
      </x:c>
      <x:c r="B1489" s="16" t="str">
        <x:v>Candy Wax Kelantan</x:v>
      </x:c>
      <x:c r="C1489" s="16" t="str"/>
      <x:c r="D1489" s="16" t="str">
        <x:v>* myContacts</x:v>
      </x:c>
      <x:c r="E1489" s="16" t="str">
        <x:v>Missing email</x:v>
      </x:c>
    </x:row>
    <x:row r="1490">
      <x:c r="A1490" s="16" t="n">
        <x:v>1513</x:v>
      </x:c>
      <x:c r="B1490" s="16" t="str">
        <x:v>Cantieque Collections</x:v>
      </x:c>
      <x:c r="C1490" s="16" t="str"/>
      <x:c r="D1490" s="16" t="str">
        <x:v>* myContacts</x:v>
      </x:c>
      <x:c r="E1490" s="16" t="str">
        <x:v>Missing email</x:v>
      </x:c>
    </x:row>
    <x:row r="1491">
      <x:c r="A1491" s="16" t="n">
        <x:v>1514</x:v>
      </x:c>
      <x:c r="B1491" s="16" t="str">
        <x:v>caoch Hana Halim insken</x:v>
      </x:c>
      <x:c r="C1491" s="16" t="str"/>
      <x:c r="D1491" s="16" t="str">
        <x:v>Alumni INSKEN | * myContacts</x:v>
      </x:c>
      <x:c r="E1491" s="16" t="str">
        <x:v>Missing email</x:v>
      </x:c>
    </x:row>
    <x:row r="1492">
      <x:c r="A1492" s="16" t="n">
        <x:v>1515</x:v>
      </x:c>
      <x:c r="B1492" s="16" t="str">
        <x:v>Captain shamsul md sapar</x:v>
      </x:c>
      <x:c r="C1492" s="16" t="str"/>
      <x:c r="D1492" s="16" t="str">
        <x:v>* myContacts</x:v>
      </x:c>
      <x:c r="E1492" s="16" t="str">
        <x:v>Missing email</x:v>
      </x:c>
    </x:row>
    <x:row r="1493">
      <x:c r="A1493" s="16" t="n">
        <x:v>1516</x:v>
      </x:c>
      <x:c r="B1493" s="16" t="str">
        <x:v>Car King</x:v>
      </x:c>
      <x:c r="C1493" s="16" t="str"/>
      <x:c r="D1493" s="16" t="str">
        <x:v>* myContacts</x:v>
      </x:c>
      <x:c r="E1493" s="16" t="str">
        <x:v>Missing email</x:v>
      </x:c>
    </x:row>
    <x:row r="1494">
      <x:c r="A1494" s="16" t="n">
        <x:v>1517</x:v>
      </x:c>
      <x:c r="B1494" s="16" t="str">
        <x:v>Carol Fung (Biz Digital)</x:v>
      </x:c>
      <x:c r="C1494" s="16" t="str"/>
      <x:c r="D1494" s="16" t="str">
        <x:v>* myContacts</x:v>
      </x:c>
      <x:c r="E1494" s="16" t="str">
        <x:v>Missing email</x:v>
      </x:c>
    </x:row>
    <x:row r="1495">
      <x:c r="A1495" s="16" t="n">
        <x:v>1518</x:v>
      </x:c>
      <x:c r="B1495" s="16" t="str">
        <x:v>Casa Cita</x:v>
      </x:c>
      <x:c r="C1495" s="16" t="str"/>
      <x:c r="D1495" s="16" t="str">
        <x:v>* myContacts</x:v>
      </x:c>
      <x:c r="E1495" s="16" t="str">
        <x:v>Missing email</x:v>
      </x:c>
    </x:row>
    <x:row r="1496">
      <x:c r="A1496" s="16" t="n">
        <x:v>1519</x:v>
      </x:c>
      <x:c r="B1496" s="16" t="str">
        <x:v>cat gen2 shahidul</x:v>
      </x:c>
      <x:c r="C1496" s="16" t="str"/>
      <x:c r="D1496" s="16" t="str">
        <x:v>* myContacts</x:v>
      </x:c>
      <x:c r="E1496" s="16" t="str">
        <x:v>Missing email</x:v>
      </x:c>
    </x:row>
    <x:row r="1497">
      <x:c r="A1497" s="16" t="n">
        <x:v>1520</x:v>
      </x:c>
      <x:c r="B1497" s="16" t="str">
        <x:v>Cat Rumah Warna Bina</x:v>
      </x:c>
      <x:c r="C1497" s="16" t="str"/>
      <x:c r="D1497" s="16" t="str">
        <x:v>* myContacts</x:v>
      </x:c>
      <x:c r="E1497" s="16" t="str">
        <x:v>Missing email</x:v>
      </x:c>
    </x:row>
    <x:row r="1498">
      <x:c r="A1498" s="16" t="n">
        <x:v>1521</x:v>
      </x:c>
      <x:c r="B1498" s="16" t="str">
        <x:v>Cate Lim Domain Specialist</x:v>
      </x:c>
      <x:c r="C1498" s="16" t="str"/>
      <x:c r="D1498" s="16" t="str">
        <x:v>* myContacts</x:v>
      </x:c>
      <x:c r="E1498" s="16" t="str">
        <x:v>Missing email</x:v>
      </x:c>
    </x:row>
    <x:row r="1499">
      <x:c r="A1499" s="16" t="n">
        <x:v>1522</x:v>
      </x:c>
      <x:c r="B1499" s="16" t="str">
        <x:v>Catherine Chin Shim Yee</x:v>
      </x:c>
      <x:c r="C1499" s="16" t="str"/>
      <x:c r="D1499" s="16" t="str">
        <x:v>* myContacts</x:v>
      </x:c>
      <x:c r="E1499" s="16" t="str">
        <x:v>Missing email</x:v>
      </x:c>
    </x:row>
    <x:row r="1500">
      <x:c r="A1500" s="16" t="n">
        <x:v>1523</x:v>
      </x:c>
      <x:c r="B1500" s="16" t="str">
        <x:v>Catherine Sawai</x:v>
      </x:c>
      <x:c r="C1500" s="16" t="str"/>
      <x:c r="D1500" s="16" t="str">
        <x:v>* myContacts</x:v>
      </x:c>
      <x:c r="E1500" s="16" t="str">
        <x:v>Missing email</x:v>
      </x:c>
    </x:row>
    <x:row r="1501">
      <x:c r="A1501" s="16" t="n">
        <x:v>1524</x:v>
      </x:c>
      <x:c r="B1501" s="16" t="str">
        <x:v>Cathryna Madiwi</x:v>
      </x:c>
      <x:c r="C1501" s="16" t="str"/>
      <x:c r="D1501" s="16" t="str">
        <x:v>* myContacts</x:v>
      </x:c>
      <x:c r="E1501" s="16" t="str">
        <x:v>Missing email</x:v>
      </x:c>
    </x:row>
    <x:row r="1502">
      <x:c r="A1502" s="16" t="n">
        <x:v>1525</x:v>
      </x:c>
      <x:c r="B1502" s="16" t="str">
        <x:v>Ceci H Kilus</x:v>
      </x:c>
      <x:c r="C1502" s="16" t="str"/>
      <x:c r="D1502" s="16" t="str">
        <x:v>* myContacts</x:v>
      </x:c>
      <x:c r="E1502" s="16" t="str">
        <x:v>Missing email</x:v>
      </x:c>
    </x:row>
    <x:row r="1503">
      <x:c r="A1503" s="16" t="n">
        <x:v>1526</x:v>
      </x:c>
      <x:c r="B1503" s="16" t="str">
        <x:v>CEDAR Finance Ms Fairuz 🌻</x:v>
      </x:c>
      <x:c r="C1503" s="16" t="str"/>
      <x:c r="D1503" s="16" t="str">
        <x:v>* myContacts</x:v>
      </x:c>
      <x:c r="E1503" s="16" t="str">
        <x:v>Missing email</x:v>
      </x:c>
    </x:row>
    <x:row r="1504">
      <x:c r="A1504" s="16" t="n">
        <x:v>1527</x:v>
      </x:c>
      <x:c r="B1504" s="16" t="str">
        <x:v>Cegie Joy Q. Torres</x:v>
      </x:c>
      <x:c r="C1504" s="16" t="str"/>
      <x:c r="D1504" s="16" t="str">
        <x:v>* myContacts</x:v>
      </x:c>
      <x:c r="E1504" s="16" t="str">
        <x:v>Missing email</x:v>
      </x:c>
    </x:row>
    <x:row r="1505">
      <x:c r="A1505" s="16" t="n">
        <x:v>1528</x:v>
      </x:c>
      <x:c r="B1505" s="16" t="str">
        <x:v>Cek Lia</x:v>
      </x:c>
      <x:c r="C1505" s="16" t="str"/>
      <x:c r="D1505" s="16" t="str">
        <x:v>* myContacts</x:v>
      </x:c>
      <x:c r="E1505" s="16" t="str">
        <x:v>Missing email</x:v>
      </x:c>
    </x:row>
    <x:row r="1506">
      <x:c r="A1506" s="16" t="n">
        <x:v>1529</x:v>
      </x:c>
      <x:c r="B1506" s="16" t="str">
        <x:v>Cekwea Conggo</x:v>
      </x:c>
      <x:c r="C1506" s="16" t="str"/>
      <x:c r="D1506" s="16" t="str">
        <x:v>* myContacts</x:v>
      </x:c>
      <x:c r="E1506" s="16" t="str">
        <x:v>Missing email</x:v>
      </x:c>
    </x:row>
    <x:row r="1507">
      <x:c r="A1507" s="16" t="n">
        <x:v>1530</x:v>
      </x:c>
      <x:c r="B1507" s="16" t="str">
        <x:v>Cekyah Hamam</x:v>
      </x:c>
      <x:c r="C1507" s="16" t="str"/>
      <x:c r="D1507" s="16" t="str">
        <x:v>* myContacts</x:v>
      </x:c>
      <x:c r="E1507" s="16" t="str">
        <x:v>Missing email</x:v>
      </x:c>
    </x:row>
    <x:row r="1508">
      <x:c r="A1508" s="16" t="n">
        <x:v>1531</x:v>
      </x:c>
      <x:c r="B1508" s="16" t="str"/>
      <x:c r="C1508" s="16" t="str"/>
      <x:c r="D1508" s="16" t="str">
        <x:v>* myContacts</x:v>
      </x:c>
      <x:c r="E1508" s="16" t="str">
        <x:v>Missing name; Missing email</x:v>
      </x:c>
    </x:row>
    <x:row r="1509">
      <x:c r="A1509" s="16" t="n">
        <x:v>1532</x:v>
      </x:c>
      <x:c r="B1509" s="16" t="str">
        <x:v>celebriti fitness trainer</x:v>
      </x:c>
      <x:c r="C1509" s="16" t="str"/>
      <x:c r="D1509" s="16" t="str">
        <x:v>Trainer | * myContacts</x:v>
      </x:c>
      <x:c r="E1509" s="16" t="str">
        <x:v>Missing email</x:v>
      </x:c>
    </x:row>
    <x:row r="1510">
      <x:c r="A1510" s="16" t="n">
        <x:v>1533</x:v>
      </x:c>
      <x:c r="B1510" s="16" t="str">
        <x:v>Cemara Salju</x:v>
      </x:c>
      <x:c r="C1510" s="16" t="str"/>
      <x:c r="D1510" s="16" t="str">
        <x:v>* myContacts</x:v>
      </x:c>
      <x:c r="E1510" s="16" t="str">
        <x:v>Missing email</x:v>
      </x:c>
    </x:row>
    <x:row r="1511">
      <x:c r="A1511" s="16" t="n">
        <x:v>1534</x:v>
      </x:c>
      <x:c r="B1511" s="16" t="str">
        <x:v>Cempaka Eqin</x:v>
      </x:c>
      <x:c r="C1511" s="16" t="str"/>
      <x:c r="D1511" s="16" t="str">
        <x:v>* myContacts</x:v>
      </x:c>
      <x:c r="E1511" s="16" t="str">
        <x:v>Missing email</x:v>
      </x:c>
    </x:row>
    <x:row r="1512">
      <x:c r="A1512" s="16" t="n">
        <x:v>1535</x:v>
      </x:c>
      <x:c r="B1512" s="16" t="str">
        <x:v>Cendoll Maness</x:v>
      </x:c>
      <x:c r="C1512" s="16" t="str"/>
      <x:c r="D1512" s="16" t="str">
        <x:v>* myContacts</x:v>
      </x:c>
      <x:c r="E1512" s="16" t="str">
        <x:v>Missing email</x:v>
      </x:c>
    </x:row>
    <x:row r="1513">
      <x:c r="A1513" s="16" t="n">
        <x:v>1536</x:v>
      </x:c>
      <x:c r="B1513" s="16" t="str">
        <x:v>Cerita Rakyat Crm</x:v>
      </x:c>
      <x:c r="C1513" s="16" t="str"/>
      <x:c r="D1513" s="16" t="str">
        <x:v>* myContacts</x:v>
      </x:c>
      <x:c r="E1513" s="16" t="str">
        <x:v>Missing email</x:v>
      </x:c>
    </x:row>
    <x:row r="1514">
      <x:c r="A1514" s="16" t="n">
        <x:v>1537</x:v>
      </x:c>
      <x:c r="B1514" s="16" t="str">
        <x:v>Cetak Baju Jer</x:v>
      </x:c>
      <x:c r="C1514" s="16" t="str"/>
      <x:c r="D1514" s="16" t="str">
        <x:v>* myContacts</x:v>
      </x:c>
      <x:c r="E1514" s="16" t="str">
        <x:v>Missing email</x:v>
      </x:c>
    </x:row>
    <x:row r="1515">
      <x:c r="A1515" s="16" t="n">
        <x:v>1538</x:v>
      </x:c>
      <x:c r="B1515" s="16" t="str">
        <x:v>Cetak Baju Kapar</x:v>
      </x:c>
      <x:c r="C1515" s="16" t="str"/>
      <x:c r="D1515" s="16" t="str">
        <x:v>* myContacts</x:v>
      </x:c>
      <x:c r="E1515" s="16" t="str">
        <x:v>Missing email</x:v>
      </x:c>
    </x:row>
    <x:row r="1516">
      <x:c r="A1516" s="16" t="n">
        <x:v>1539</x:v>
      </x:c>
      <x:c r="B1516" s="16" t="str">
        <x:v>Ch Nemat Ali</x:v>
      </x:c>
      <x:c r="C1516" s="16" t="str"/>
      <x:c r="D1516" s="16" t="str">
        <x:v>* myContacts</x:v>
      </x:c>
      <x:c r="E1516" s="16" t="str">
        <x:v>Missing email</x:v>
      </x:c>
    </x:row>
    <x:row r="1517">
      <x:c r="A1517" s="16" t="n">
        <x:v>1540</x:v>
      </x:c>
      <x:c r="B1517" s="16" t="str">
        <x:v>Chah</x:v>
      </x:c>
      <x:c r="C1517" s="16" t="str"/>
      <x:c r="D1517" s="16" t="str">
        <x:v>* myContacts</x:v>
      </x:c>
      <x:c r="E1517" s="16" t="str">
        <x:v>Missing email</x:v>
      </x:c>
    </x:row>
    <x:row r="1518">
      <x:c r="A1518" s="16" t="n">
        <x:v>1542</x:v>
      </x:c>
      <x:c r="B1518" s="16" t="str">
        <x:v>Chandramukee Veerabadran</x:v>
      </x:c>
      <x:c r="C1518" s="16" t="str"/>
      <x:c r="D1518" s="16" t="str">
        <x:v>* myContacts</x:v>
      </x:c>
      <x:c r="E1518" s="16" t="str">
        <x:v>Missing email</x:v>
      </x:c>
    </x:row>
    <x:row r="1519">
      <x:c r="A1519" s="16" t="n">
        <x:v>1543</x:v>
      </x:c>
      <x:c r="B1519" s="16" t="str">
        <x:v>Chantique Riana</x:v>
      </x:c>
      <x:c r="C1519" s="16" t="str"/>
      <x:c r="D1519" s="16" t="str">
        <x:v>* myContacts</x:v>
      </x:c>
      <x:c r="E1519" s="16" t="str">
        <x:v>Missing email</x:v>
      </x:c>
    </x:row>
    <x:row r="1520">
      <x:c r="A1520" s="16" t="n">
        <x:v>1544</x:v>
      </x:c>
      <x:c r="B1520" s="16" t="str">
        <x:v>Charail Junaede</x:v>
      </x:c>
      <x:c r="C1520" s="16" t="str"/>
      <x:c r="D1520" s="16" t="str">
        <x:v>* myContacts</x:v>
      </x:c>
      <x:c r="E1520" s="16" t="str">
        <x:v>Missing email</x:v>
      </x:c>
    </x:row>
    <x:row r="1521">
      <x:c r="A1521" s="16" t="n">
        <x:v>1545</x:v>
      </x:c>
      <x:c r="B1521" s="16" t="str">
        <x:v>Charin Perodua</x:v>
      </x:c>
      <x:c r="C1521" s="16" t="str"/>
      <x:c r="D1521" s="16" t="str">
        <x:v>* myContacts</x:v>
      </x:c>
      <x:c r="E1521" s="16" t="str">
        <x:v>Missing email</x:v>
      </x:c>
    </x:row>
    <x:row r="1522">
      <x:c r="A1522" s="16" t="n">
        <x:v>1546</x:v>
      </x:c>
      <x:c r="B1522" s="16" t="str">
        <x:v>Charles Gaini Gagau AGP</x:v>
      </x:c>
      <x:c r="C1522" s="16" t="str"/>
      <x:c r="D1522" s="16" t="str">
        <x:v>* myContacts</x:v>
      </x:c>
      <x:c r="E1522" s="16" t="str">
        <x:v>Missing email</x:v>
      </x:c>
    </x:row>
    <x:row r="1523">
      <x:c r="A1523" s="16" t="n">
        <x:v>1547</x:v>
      </x:c>
      <x:c r="B1523" s="16" t="str">
        <x:v>charles Gregory mdec trainer</x:v>
      </x:c>
      <x:c r="C1523" s="16" t="str"/>
      <x:c r="D1523" s="16" t="str">
        <x:v>Trainer | * myContacts</x:v>
      </x:c>
      <x:c r="E1523" s="16" t="str">
        <x:v>Missing email</x:v>
      </x:c>
    </x:row>
    <x:row r="1524">
      <x:c r="A1524" s="16" t="n">
        <x:v>1548</x:v>
      </x:c>
      <x:c r="B1524" s="16" t="str">
        <x:v>Charms Starglow Arinna</x:v>
      </x:c>
      <x:c r="C1524" s="16" t="str"/>
      <x:c r="D1524" s="16" t="str">
        <x:v>* myContacts</x:v>
      </x:c>
      <x:c r="E1524" s="16" t="str">
        <x:v>Missing email</x:v>
      </x:c>
    </x:row>
    <x:row r="1525">
      <x:c r="A1525" s="16" t="n">
        <x:v>1549</x:v>
      </x:c>
      <x:c r="B1525" s="16" t="str">
        <x:v>Charwin Win</x:v>
      </x:c>
      <x:c r="C1525" s="16" t="str"/>
      <x:c r="D1525" s="16" t="str">
        <x:v>* myContacts</x:v>
      </x:c>
      <x:c r="E1525" s="16" t="str">
        <x:v>Missing email</x:v>
      </x:c>
    </x:row>
    <x:row r="1526">
      <x:c r="A1526" s="16" t="n">
        <x:v>1550</x:v>
      </x:c>
      <x:c r="B1526" s="16" t="str">
        <x:v>Che An</x:v>
      </x:c>
      <x:c r="C1526" s="16" t="str"/>
      <x:c r="D1526" s="16" t="str">
        <x:v>* myContacts</x:v>
      </x:c>
      <x:c r="E1526" s="16" t="str">
        <x:v>Missing email</x:v>
      </x:c>
    </x:row>
    <x:row r="1527">
      <x:c r="A1527" s="16" t="n">
        <x:v>1551</x:v>
      </x:c>
      <x:c r="B1527" s="16" t="str">
        <x:v>Che Asna</x:v>
      </x:c>
      <x:c r="C1527" s="16" t="str"/>
      <x:c r="D1527" s="16" t="str">
        <x:v>* myContacts</x:v>
      </x:c>
      <x:c r="E1527" s="16" t="str">
        <x:v>Missing email</x:v>
      </x:c>
    </x:row>
    <x:row r="1528">
      <x:c r="A1528" s="16" t="n">
        <x:v>1552</x:v>
      </x:c>
      <x:c r="B1528" s="16" t="str">
        <x:v>Che Mahzom Man</x:v>
      </x:c>
      <x:c r="C1528" s="16" t="str"/>
      <x:c r="D1528" s="16" t="str">
        <x:v>* myContacts</x:v>
      </x:c>
      <x:c r="E1528" s="16" t="str">
        <x:v>Missing email</x:v>
      </x:c>
    </x:row>
    <x:row r="1529">
      <x:c r="A1529" s="16" t="n">
        <x:v>1553</x:v>
      </x:c>
      <x:c r="B1529" s="16" t="str">
        <x:v>Che Nurul Ain</x:v>
      </x:c>
      <x:c r="C1529" s="16" t="str"/>
      <x:c r="D1529" s="16" t="str">
        <x:v>* myContacts</x:v>
      </x:c>
      <x:c r="E1529" s="16" t="str">
        <x:v>Missing email</x:v>
      </x:c>
    </x:row>
    <x:row r="1530">
      <x:c r="A1530" s="16" t="n">
        <x:v>1554</x:v>
      </x:c>
      <x:c r="B1530" s="16" t="str">
        <x:v>Che Pah Al-Athoz</x:v>
      </x:c>
      <x:c r="C1530" s="16" t="str"/>
      <x:c r="D1530" s="16" t="str">
        <x:v>* myContacts</x:v>
      </x:c>
      <x:c r="E1530" s="16" t="str">
        <x:v>Missing email</x:v>
      </x:c>
    </x:row>
    <x:row r="1531">
      <x:c r="A1531" s="16" t="n">
        <x:v>1555</x:v>
      </x:c>
      <x:c r="B1531" s="16" t="str">
        <x:v>Che Pah NZ</x:v>
      </x:c>
      <x:c r="C1531" s="16" t="str"/>
      <x:c r="D1531" s="16" t="str">
        <x:v>* myContacts</x:v>
      </x:c>
      <x:c r="E1531" s="16" t="str">
        <x:v>Missing email</x:v>
      </x:c>
    </x:row>
    <x:row r="1532">
      <x:c r="A1532" s="16" t="n">
        <x:v>1556</x:v>
      </x:c>
      <x:c r="B1532" s="16" t="str">
        <x:v>Che Rossli</x:v>
      </x:c>
      <x:c r="C1532" s="16" t="str"/>
      <x:c r="D1532" s="16" t="str">
        <x:v>* myContacts</x:v>
      </x:c>
      <x:c r="E1532" s="16" t="str">
        <x:v>Missing email</x:v>
      </x:c>
    </x:row>
    <x:row r="1533">
      <x:c r="A1533" s="16" t="n">
        <x:v>1557</x:v>
      </x:c>
      <x:c r="B1533" s="16" t="str">
        <x:v>CheDin Technical Institute</x:v>
      </x:c>
      <x:c r="C1533" s="16" t="str"/>
      <x:c r="D1533" s="16" t="str">
        <x:v>* myContacts</x:v>
      </x:c>
      <x:c r="E1533" s="16" t="str">
        <x:v>Missing email</x:v>
      </x:c>
    </x:row>
    <x:row r="1534">
      <x:c r="A1534" s="16" t="n">
        <x:v>1558</x:v>
      </x:c>
      <x:c r="B1534" s="16" t="str">
        <x:v>Chee Keong Yip</x:v>
      </x:c>
      <x:c r="C1534" s="16" t="str"/>
      <x:c r="D1534" s="16" t="str">
        <x:v>* myContacts</x:v>
      </x:c>
      <x:c r="E1534" s="16" t="str">
        <x:v>Missing email</x:v>
      </x:c>
    </x:row>
    <x:row r="1535">
      <x:c r="A1535" s="16" t="n">
        <x:v>1562</x:v>
      </x:c>
      <x:c r="B1535" s="16" t="str">
        <x:v>Cheff Azarza Zainal</x:v>
      </x:c>
      <x:c r="C1535" s="16" t="str"/>
      <x:c r="D1535" s="16" t="str">
        <x:v>* myContacts</x:v>
      </x:c>
      <x:c r="E1535" s="16" t="str">
        <x:v>Missing email</x:v>
      </x:c>
    </x:row>
    <x:row r="1536">
      <x:c r="A1536" s="16" t="n">
        <x:v>1563</x:v>
      </x:c>
      <x:c r="B1536" s="16" t="str">
        <x:v>ChelsieFB SMJ</x:v>
      </x:c>
      <x:c r="C1536" s="16" t="str"/>
      <x:c r="D1536" s="16" t="str">
        <x:v>* myContacts</x:v>
      </x:c>
      <x:c r="E1536" s="16" t="str">
        <x:v>Missing email</x:v>
      </x:c>
    </x:row>
    <x:row r="1537">
      <x:c r="A1537" s="16" t="n">
        <x:v>1564</x:v>
      </x:c>
      <x:c r="B1537" s="16" t="str">
        <x:v>cheman brunei</x:v>
      </x:c>
      <x:c r="C1537" s="16" t="str"/>
      <x:c r="D1537" s="16" t="str">
        <x:v>* myContacts</x:v>
      </x:c>
      <x:c r="E1537" s="16" t="str">
        <x:v>Missing email</x:v>
      </x:c>
    </x:row>
    <x:row r="1538">
      <x:c r="A1538" s="16" t="n">
        <x:v>1565</x:v>
      </x:c>
      <x:c r="B1538" s="16" t="str">
        <x:v>Chenursuria Che Su</x:v>
      </x:c>
      <x:c r="C1538" s="16" t="str"/>
      <x:c r="D1538" s="16" t="str">
        <x:v>* myContacts</x:v>
      </x:c>
      <x:c r="E1538" s="16" t="str">
        <x:v>Missing email</x:v>
      </x:c>
    </x:row>
    <x:row r="1539">
      <x:c r="A1539" s="16" t="n">
        <x:v>1566</x:v>
      </x:c>
      <x:c r="B1539" s="16" t="str">
        <x:v>Chika HayYat</x:v>
      </x:c>
      <x:c r="C1539" s="16" t="str"/>
      <x:c r="D1539" s="16" t="str">
        <x:v>* myContacts</x:v>
      </x:c>
      <x:c r="E1539" s="16" t="str">
        <x:v>Missing email</x:v>
      </x:c>
    </x:row>
    <x:row r="1540">
      <x:c r="A1540" s="16" t="n">
        <x:v>1568</x:v>
      </x:c>
      <x:c r="B1540" s="16" t="str">
        <x:v>Chinta Chanteq Bridal</x:v>
      </x:c>
      <x:c r="C1540" s="16" t="str"/>
      <x:c r="D1540" s="16" t="str">
        <x:v>* myContacts</x:v>
      </x:c>
      <x:c r="E1540" s="16" t="str">
        <x:v>Missing email</x:v>
      </x:c>
    </x:row>
    <x:row r="1541">
      <x:c r="A1541" s="16" t="n">
        <x:v>1569</x:v>
      </x:c>
      <x:c r="B1541" s="16" t="str">
        <x:v>Chinta Nur Jannah</x:v>
      </x:c>
      <x:c r="C1541" s="16" t="str"/>
      <x:c r="D1541" s="16" t="str">
        <x:v>* myContacts</x:v>
      </x:c>
      <x:c r="E1541" s="16" t="str">
        <x:v>Missing email</x:v>
      </x:c>
    </x:row>
    <x:row r="1542">
      <x:c r="A1542" s="16" t="n">
        <x:v>1570</x:v>
      </x:c>
      <x:c r="B1542" s="16" t="str">
        <x:v>Chipsmore More</x:v>
      </x:c>
      <x:c r="C1542" s="16" t="str"/>
      <x:c r="D1542" s="16" t="str">
        <x:v>* myContacts</x:v>
      </x:c>
      <x:c r="E1542" s="16" t="str">
        <x:v>Missing email</x:v>
      </x:c>
    </x:row>
    <x:row r="1543">
      <x:c r="A1543" s="16" t="n">
        <x:v>1571</x:v>
      </x:c>
      <x:c r="B1543" s="16" t="str">
        <x:v>Choco Bouquet</x:v>
      </x:c>
      <x:c r="C1543" s="16" t="str"/>
      <x:c r="D1543" s="16" t="str">
        <x:v>* myContacts</x:v>
      </x:c>
      <x:c r="E1543" s="16" t="str">
        <x:v>Missing email</x:v>
      </x:c>
    </x:row>
    <x:row r="1544">
      <x:c r="A1544" s="16" t="n">
        <x:v>1572</x:v>
      </x:c>
      <x:c r="B1544" s="16" t="str">
        <x:v>Chocotainer Melaka</x:v>
      </x:c>
      <x:c r="C1544" s="16" t="str"/>
      <x:c r="D1544" s="16" t="str">
        <x:v>* myContacts</x:v>
      </x:c>
      <x:c r="E1544" s="16" t="str">
        <x:v>Missing email</x:v>
      </x:c>
    </x:row>
    <x:row r="1545">
      <x:c r="A1545" s="16" t="n">
        <x:v>1573</x:v>
      </x:c>
      <x:c r="B1545" s="16" t="str">
        <x:v>Choon Hwa Lai</x:v>
      </x:c>
      <x:c r="C1545" s="16" t="str"/>
      <x:c r="D1545" s="16" t="str">
        <x:v>* myContacts</x:v>
      </x:c>
      <x:c r="E1545" s="16" t="str">
        <x:v>Missing email</x:v>
      </x:c>
    </x:row>
    <x:row r="1546">
      <x:c r="A1546" s="16" t="n">
        <x:v>1574</x:v>
      </x:c>
      <x:c r="B1546" s="16" t="str">
        <x:v>Chor Mai Hj Mohd Salidin</x:v>
      </x:c>
      <x:c r="C1546" s="16" t="str"/>
      <x:c r="D1546" s="16" t="str">
        <x:v>* myContacts</x:v>
      </x:c>
      <x:c r="E1546" s="16" t="str">
        <x:v>Missing email</x:v>
      </x:c>
    </x:row>
    <x:row r="1547">
      <x:c r="A1547" s="16" t="n">
        <x:v>1575</x:v>
      </x:c>
      <x:c r="B1547" s="16" t="str">
        <x:v>Chowok Guniy Guniy</x:v>
      </x:c>
      <x:c r="C1547" s="16" t="str"/>
      <x:c r="D1547" s="16" t="str">
        <x:v>* myContacts</x:v>
      </x:c>
      <x:c r="E1547" s="16" t="str">
        <x:v>Missing email</x:v>
      </x:c>
    </x:row>
    <x:row r="1548">
      <x:c r="A1548" s="16" t="n">
        <x:v>1576</x:v>
      </x:c>
      <x:c r="B1548" s="16" t="str">
        <x:v>Chris Mike</x:v>
      </x:c>
      <x:c r="C1548" s="16" t="str"/>
      <x:c r="D1548" s="16" t="str">
        <x:v>* myContacts</x:v>
      </x:c>
      <x:c r="E1548" s="16" t="str">
        <x:v>Missing email</x:v>
      </x:c>
    </x:row>
    <x:row r="1549">
      <x:c r="A1549" s="16" t="n">
        <x:v>1577</x:v>
      </x:c>
      <x:c r="B1549" s="16" t="str">
        <x:v>Chris Topher Nfs</x:v>
      </x:c>
      <x:c r="C1549" s="16" t="str"/>
      <x:c r="D1549" s="16" t="str">
        <x:v>* myContacts</x:v>
      </x:c>
      <x:c r="E1549" s="16" t="str">
        <x:v>Missing email</x:v>
      </x:c>
    </x:row>
    <x:row r="1550">
      <x:c r="A1550" s="16" t="n">
        <x:v>1578</x:v>
      </x:c>
      <x:c r="B1550" s="16" t="str">
        <x:v>Chris Yan</x:v>
      </x:c>
      <x:c r="C1550" s="16" t="str"/>
      <x:c r="D1550" s="16" t="str">
        <x:v>* myContacts</x:v>
      </x:c>
      <x:c r="E1550" s="16" t="str">
        <x:v>Missing email</x:v>
      </x:c>
    </x:row>
    <x:row r="1551">
      <x:c r="A1551" s="16" t="n">
        <x:v>1579</x:v>
      </x:c>
      <x:c r="B1551" s="16" t="str">
        <x:v>Christina David</x:v>
      </x:c>
      <x:c r="C1551" s="16" t="str"/>
      <x:c r="D1551" s="16" t="str">
        <x:v>* myContacts</x:v>
      </x:c>
      <x:c r="E1551" s="16" t="str">
        <x:v>Missing email</x:v>
      </x:c>
    </x:row>
    <x:row r="1552">
      <x:c r="A1552" s="16" t="n">
        <x:v>1580</x:v>
      </x:c>
      <x:c r="B1552" s="16" t="str">
        <x:v>Christina Injun</x:v>
      </x:c>
      <x:c r="C1552" s="16" t="str"/>
      <x:c r="D1552" s="16" t="str">
        <x:v>* myContacts</x:v>
      </x:c>
      <x:c r="E1552" s="16" t="str">
        <x:v>Missing email</x:v>
      </x:c>
    </x:row>
    <x:row r="1553">
      <x:c r="A1553" s="16" t="n">
        <x:v>1581</x:v>
      </x:c>
      <x:c r="B1553" s="16" t="str">
        <x:v>Chu Bisah</x:v>
      </x:c>
      <x:c r="C1553" s="16" t="str"/>
      <x:c r="D1553" s="16" t="str">
        <x:v>* myContacts</x:v>
      </x:c>
      <x:c r="E1553" s="16" t="str">
        <x:v>Missing email</x:v>
      </x:c>
    </x:row>
    <x:row r="1554">
      <x:c r="A1554" s="16" t="n">
        <x:v>1582</x:v>
      </x:c>
      <x:c r="B1554" s="16" t="str">
        <x:v>Chua Gaik Suan</x:v>
      </x:c>
      <x:c r="C1554" s="16" t="str"/>
      <x:c r="D1554" s="16" t="str">
        <x:v>* myContacts</x:v>
      </x:c>
      <x:c r="E1554" s="16" t="str">
        <x:v>Missing email</x:v>
      </x:c>
    </x:row>
    <x:row r="1555">
      <x:c r="A1555" s="16" t="n">
        <x:v>1583</x:v>
      </x:c>
      <x:c r="B1555" s="16" t="str">
        <x:v>Chuenchay</x:v>
      </x:c>
      <x:c r="C1555" s="16" t="str"/>
      <x:c r="D1555" s="16" t="str">
        <x:v>* myContacts</x:v>
      </x:c>
      <x:c r="E1555" s="16" t="str">
        <x:v>Missing email</x:v>
      </x:c>
    </x:row>
    <x:row r="1556">
      <x:c r="A1556" s="16" t="n">
        <x:v>1584</x:v>
      </x:c>
      <x:c r="B1556" s="16" t="str">
        <x:v>Chung Endgage Media</x:v>
      </x:c>
      <x:c r="C1556" s="16" t="str"/>
      <x:c r="D1556" s="16" t="str">
        <x:v>* myContacts</x:v>
      </x:c>
      <x:c r="E1556" s="16" t="str">
        <x:v>Missing email</x:v>
      </x:c>
    </x:row>
    <x:row r="1557">
      <x:c r="A1557" s="16" t="n">
        <x:v>1585</x:v>
      </x:c>
      <x:c r="B1557" s="16" t="str">
        <x:v>ChyintaJannah Harun</x:v>
      </x:c>
      <x:c r="C1557" s="16" t="str"/>
      <x:c r="D1557" s="16" t="str">
        <x:v>* myContacts</x:v>
      </x:c>
      <x:c r="E1557" s="16" t="str">
        <x:v>Missing email</x:v>
      </x:c>
    </x:row>
    <x:row r="1558">
      <x:c r="A1558" s="16" t="n">
        <x:v>1586</x:v>
      </x:c>
      <x:c r="B1558" s="16" t="str">
        <x:v>Cik Bayang Hidup</x:v>
      </x:c>
      <x:c r="C1558" s="16" t="str"/>
      <x:c r="D1558" s="16" t="str">
        <x:v>* myContacts</x:v>
      </x:c>
      <x:c r="E1558" s="16" t="str">
        <x:v>Missing email</x:v>
      </x:c>
    </x:row>
    <x:row r="1559">
      <x:c r="A1559" s="16" t="n">
        <x:v>1587</x:v>
      </x:c>
      <x:c r="B1559" s="16" t="str">
        <x:v>Cik Dah</x:v>
      </x:c>
      <x:c r="C1559" s="16" t="str"/>
      <x:c r="D1559" s="16" t="str">
        <x:v>* myContacts</x:v>
      </x:c>
      <x:c r="E1559" s="16" t="str">
        <x:v>Missing email</x:v>
      </x:c>
    </x:row>
    <x:row r="1560">
      <x:c r="A1560" s="16" t="n">
        <x:v>1588</x:v>
      </x:c>
      <x:c r="B1560" s="16" t="str">
        <x:v>Cik Dila Affiliate</x:v>
      </x:c>
      <x:c r="C1560" s="16" t="str"/>
      <x:c r="D1560" s="16" t="str">
        <x:v>* myContacts</x:v>
      </x:c>
      <x:c r="E1560" s="16" t="str">
        <x:v>Missing email</x:v>
      </x:c>
    </x:row>
    <x:row r="1561">
      <x:c r="A1561" s="16" t="n">
        <x:v>1589</x:v>
      </x:c>
      <x:c r="B1561" s="16" t="str">
        <x:v>Cik Fakur</x:v>
      </x:c>
      <x:c r="C1561" s="16" t="str"/>
      <x:c r="D1561" s="16" t="str">
        <x:v>* myContacts</x:v>
      </x:c>
      <x:c r="E1561" s="16" t="str">
        <x:v>Missing email</x:v>
      </x:c>
    </x:row>
    <x:row r="1562">
      <x:c r="A1562" s="16" t="n">
        <x:v>1590</x:v>
      </x:c>
      <x:c r="B1562" s="16" t="str">
        <x:v>Cik Gayah Rbz</x:v>
      </x:c>
      <x:c r="C1562" s="16" t="str"/>
      <x:c r="D1562" s="16" t="str">
        <x:v>* myContacts</x:v>
      </x:c>
      <x:c r="E1562" s="16" t="str">
        <x:v>Missing email</x:v>
      </x:c>
    </x:row>
    <x:row r="1563">
      <x:c r="A1563" s="16" t="n">
        <x:v>1591</x:v>
      </x:c>
      <x:c r="B1563" s="16" t="str">
        <x:v>Cik Hamizah Partner</x:v>
      </x:c>
      <x:c r="C1563" s="16" t="str"/>
      <x:c r="D1563" s="16" t="str">
        <x:v>* myContacts</x:v>
      </x:c>
      <x:c r="E1563" s="16" t="str">
        <x:v>Missing email</x:v>
      </x:c>
    </x:row>
    <x:row r="1564">
      <x:c r="A1564" s="16" t="n">
        <x:v>1592</x:v>
      </x:c>
      <x:c r="B1564" s="16" t="str">
        <x:v>Cik Hatikah Kasa</x:v>
      </x:c>
      <x:c r="C1564" s="16" t="str"/>
      <x:c r="D1564" s="16" t="str">
        <x:v>* myContacts</x:v>
      </x:c>
      <x:c r="E1564" s="16" t="str">
        <x:v>Missing email</x:v>
      </x:c>
    </x:row>
    <x:row r="1565">
      <x:c r="A1565" s="16" t="n">
        <x:v>1593</x:v>
      </x:c>
      <x:c r="B1565" s="16" t="str">
        <x:v>Cik Herry</x:v>
      </x:c>
      <x:c r="C1565" s="16" t="str"/>
      <x:c r="D1565" s="16" t="str">
        <x:v>* myContacts</x:v>
      </x:c>
      <x:c r="E1565" s="16" t="str">
        <x:v>Missing email</x:v>
      </x:c>
    </x:row>
    <x:row r="1566">
      <x:c r="A1566" s="16" t="n">
        <x:v>1594</x:v>
      </x:c>
      <x:c r="B1566" s="16" t="str">
        <x:v>Cik Ida Chemerkau Chekas Chalet</x:v>
      </x:c>
      <x:c r="C1566" s="16" t="str"/>
      <x:c r="D1566" s="16" t="str">
        <x:v>* myContacts</x:v>
      </x:c>
      <x:c r="E1566" s="16" t="str">
        <x:v>Missing email</x:v>
      </x:c>
    </x:row>
    <x:row r="1567">
      <x:c r="A1567" s="16" t="n">
        <x:v>1595</x:v>
      </x:c>
      <x:c r="B1567" s="16" t="str">
        <x:v>Cik Julizar Rahman</x:v>
      </x:c>
      <x:c r="C1567" s="16" t="str"/>
      <x:c r="D1567" s="16" t="str">
        <x:v>* myContacts</x:v>
      </x:c>
      <x:c r="E1567" s="16" t="str">
        <x:v>Missing email</x:v>
      </x:c>
    </x:row>
    <x:row r="1568">
      <x:c r="A1568" s="16" t="n">
        <x:v>1596</x:v>
      </x:c>
      <x:c r="B1568" s="16" t="str">
        <x:v>Cik Kai Head Training Hijrah</x:v>
      </x:c>
      <x:c r="C1568" s="16" t="str"/>
      <x:c r="D1568" s="16" t="str">
        <x:v>Alumni eUsahawan | * myContacts</x:v>
      </x:c>
      <x:c r="E1568" s="16" t="str">
        <x:v>Missing email</x:v>
      </x:c>
    </x:row>
    <x:row r="1569">
      <x:c r="A1569" s="16" t="n">
        <x:v>1597</x:v>
      </x:c>
      <x:c r="B1569" s="16" t="str">
        <x:v>Cik Puan Siti Norhan</x:v>
      </x:c>
      <x:c r="C1569" s="16" t="str"/>
      <x:c r="D1569" s="16" t="str">
        <x:v>* myContacts</x:v>
      </x:c>
      <x:c r="E1569" s="16" t="str">
        <x:v>Missing email</x:v>
      </x:c>
    </x:row>
    <x:row r="1570">
      <x:c r="A1570" s="16" t="n">
        <x:v>1598</x:v>
      </x:c>
      <x:c r="B1570" s="16" t="str">
        <x:v>Cik Puan Suzie Ibrahim</x:v>
      </x:c>
      <x:c r="C1570" s="16" t="str"/>
      <x:c r="D1570" s="16" t="str">
        <x:v>* myContacts</x:v>
      </x:c>
      <x:c r="E1570" s="16" t="str">
        <x:v>Missing email</x:v>
      </x:c>
    </x:row>
    <x:row r="1571">
      <x:c r="A1571" s="16" t="n">
        <x:v>1599</x:v>
      </x:c>
      <x:c r="B1571" s="16" t="str">
        <x:v>cik puan syeena pusat Internet air panas</x:v>
      </x:c>
      <x:c r="C1571" s="16" t="str"/>
      <x:c r="D1571" s="16" t="str">
        <x:v>* myContacts</x:v>
      </x:c>
      <x:c r="E1571" s="16" t="str">
        <x:v>Missing email</x:v>
      </x:c>
    </x:row>
    <x:row r="1572">
      <x:c r="A1572" s="16" t="n">
        <x:v>1600</x:v>
      </x:c>
      <x:c r="B1572" s="16" t="str">
        <x:v>Cik Qaseh</x:v>
      </x:c>
      <x:c r="C1572" s="16" t="str"/>
      <x:c r="D1572" s="16" t="str">
        <x:v>* myContacts</x:v>
      </x:c>
      <x:c r="E1572" s="16" t="str">
        <x:v>Missing email</x:v>
      </x:c>
    </x:row>
    <x:row r="1573">
      <x:c r="A1573" s="16" t="n">
        <x:v>1601</x:v>
      </x:c>
      <x:c r="B1573" s="16" t="str">
        <x:v>Cik Ros Tok Salidin</x:v>
      </x:c>
      <x:c r="C1573" s="16" t="str"/>
      <x:c r="D1573" s="16" t="str">
        <x:v>* myContacts</x:v>
      </x:c>
      <x:c r="E1573" s="16" t="str">
        <x:v>Missing email</x:v>
      </x:c>
    </x:row>
    <x:row r="1574">
      <x:c r="A1574" s="16" t="n">
        <x:v>1602</x:v>
      </x:c>
      <x:c r="B1574" s="16" t="str">
        <x:v>Cik Ros Tok Salidin</x:v>
      </x:c>
      <x:c r="C1574" s="16" t="str"/>
      <x:c r="D1574" s="16" t="str">
        <x:v>* myContacts</x:v>
      </x:c>
      <x:c r="E1574" s="16" t="str">
        <x:v>Missing email</x:v>
      </x:c>
    </x:row>
    <x:row r="1575">
      <x:c r="A1575" s="16" t="n">
        <x:v>1603</x:v>
      </x:c>
      <x:c r="B1575" s="16" t="str">
        <x:v>Cik Rose INSPEN KAJANG</x:v>
      </x:c>
      <x:c r="C1575" s="16" t="str"/>
      <x:c r="D1575" s="16" t="str">
        <x:v>* myContacts</x:v>
      </x:c>
      <x:c r="E1575" s="16" t="str">
        <x:v>Missing email</x:v>
      </x:c>
    </x:row>
    <x:row r="1576">
      <x:c r="A1576" s="16" t="n">
        <x:v>1604</x:v>
      </x:c>
      <x:c r="B1576" s="16" t="str">
        <x:v>Cik Sarah Fintech Lab</x:v>
      </x:c>
      <x:c r="C1576" s="16" t="str"/>
      <x:c r="D1576" s="16" t="str">
        <x:v>* myContacts</x:v>
      </x:c>
      <x:c r="E1576" s="16" t="str">
        <x:v>Missing email</x:v>
      </x:c>
    </x:row>
    <x:row r="1577">
      <x:c r="A1577" s="16" t="n">
        <x:v>1605</x:v>
      </x:c>
      <x:c r="B1577" s="16" t="str">
        <x:v>Cik WAn AdRa</x:v>
      </x:c>
      <x:c r="C1577" s="16" t="str"/>
      <x:c r="D1577" s="16" t="str">
        <x:v>* myContacts</x:v>
      </x:c>
      <x:c r="E1577" s="16" t="str">
        <x:v>Missing email</x:v>
      </x:c>
    </x:row>
    <x:row r="1578">
      <x:c r="A1578" s="16" t="n">
        <x:v>1606</x:v>
      </x:c>
      <x:c r="B1578" s="16" t="str">
        <x:v>Cik Wannie</x:v>
      </x:c>
      <x:c r="C1578" s="16" t="str"/>
      <x:c r="D1578" s="16" t="str">
        <x:v>* myContacts</x:v>
      </x:c>
      <x:c r="E1578" s="16" t="str">
        <x:v>Missing email</x:v>
      </x:c>
    </x:row>
    <x:row r="1579">
      <x:c r="A1579" s="16" t="n">
        <x:v>1607</x:v>
      </x:c>
      <x:c r="B1579" s="16" t="str">
        <x:v>Cikda Stokis Jsd Kuantan</x:v>
      </x:c>
      <x:c r="C1579" s="16" t="str"/>
      <x:c r="D1579" s="16" t="str">
        <x:v>* myContacts</x:v>
      </x:c>
      <x:c r="E1579" s="16" t="str">
        <x:v>Missing email</x:v>
      </x:c>
    </x:row>
    <x:row r="1580">
      <x:c r="A1580" s="16" t="n">
        <x:v>1608</x:v>
      </x:c>
      <x:c r="B1580" s="16" t="str">
        <x:v>Cikgu Aida SKBJ</x:v>
      </x:c>
      <x:c r="C1580" s="16" t="str"/>
      <x:c r="D1580" s="16" t="str">
        <x:v>* myContacts</x:v>
      </x:c>
      <x:c r="E1580" s="16" t="str">
        <x:v>Missing email</x:v>
      </x:c>
    </x:row>
    <x:row r="1581">
      <x:c r="A1581" s="16" t="n">
        <x:v>1609</x:v>
      </x:c>
      <x:c r="B1581" s="16" t="str">
        <x:v>cikgu amin mdec</x:v>
      </x:c>
      <x:c r="C1581" s="16" t="str"/>
      <x:c r="D1581" s="16" t="str">
        <x:v>* myContacts</x:v>
      </x:c>
      <x:c r="E1581" s="16" t="str">
        <x:v>Missing email</x:v>
      </x:c>
    </x:row>
    <x:row r="1582">
      <x:c r="A1582" s="16" t="n">
        <x:v>1610</x:v>
      </x:c>
      <x:c r="B1582" s="16" t="str">
        <x:v>Cikgu Daus Trainer</x:v>
      </x:c>
      <x:c r="C1582" s="16" t="str"/>
      <x:c r="D1582" s="16" t="str">
        <x:v>Trainer | * myContacts</x:v>
      </x:c>
      <x:c r="E1582" s="16" t="str">
        <x:v>Missing email</x:v>
      </x:c>
    </x:row>
    <x:row r="1583">
      <x:c r="A1583" s="16" t="n">
        <x:v>1611</x:v>
      </x:c>
      <x:c r="B1583" s="16" t="str">
        <x:v>CIKGU FAZLIN</x:v>
      </x:c>
      <x:c r="C1583" s="16" t="str"/>
      <x:c r="D1583" s="16" t="str">
        <x:v>* myContacts</x:v>
      </x:c>
      <x:c r="E1583" s="16" t="str">
        <x:v>Missing email</x:v>
      </x:c>
    </x:row>
    <x:row r="1584">
      <x:c r="A1584" s="16" t="n">
        <x:v>1612</x:v>
      </x:c>
      <x:c r="B1584" s="16" t="str">
        <x:v>Cikgu Haqem MDEC</x:v>
      </x:c>
      <x:c r="C1584" s="16" t="str"/>
      <x:c r="D1584" s="16" t="str">
        <x:v>* myContacts</x:v>
      </x:c>
      <x:c r="E1584" s="16" t="str">
        <x:v>Missing email</x:v>
      </x:c>
    </x:row>
    <x:row r="1585">
      <x:c r="A1585" s="16" t="n">
        <x:v>1613</x:v>
      </x:c>
      <x:c r="B1585" s="16" t="str">
        <x:v>Cikgu Hasmah</x:v>
      </x:c>
      <x:c r="C1585" s="16" t="str"/>
      <x:c r="D1585" s="16" t="str">
        <x:v>* myContacts</x:v>
      </x:c>
      <x:c r="E1585" s="16" t="str">
        <x:v>Missing email</x:v>
      </x:c>
    </x:row>
    <x:row r="1586">
      <x:c r="A1586" s="16" t="n">
        <x:v>1614</x:v>
      </x:c>
      <x:c r="B1586" s="16" t="str">
        <x:v>Cikgu Huzam Helmi</x:v>
      </x:c>
      <x:c r="C1586" s="16" t="str"/>
      <x:c r="D1586" s="16" t="str">
        <x:v>* myContacts</x:v>
      </x:c>
      <x:c r="E1586" s="16" t="str">
        <x:v>Missing email</x:v>
      </x:c>
    </x:row>
    <x:row r="1587">
      <x:c r="A1587" s="16" t="n">
        <x:v>1615</x:v>
      </x:c>
      <x:c r="B1587" s="16" t="str">
        <x:v>Cikgu Ina NGO Usahawan Wanita Terengganu</x:v>
      </x:c>
      <x:c r="C1587" s="16" t="str"/>
      <x:c r="D1587" s="16" t="str">
        <x:v>* myContacts</x:v>
      </x:c>
      <x:c r="E1587" s="16" t="str">
        <x:v>Missing email</x:v>
      </x:c>
    </x:row>
    <x:row r="1588">
      <x:c r="A1588" s="16" t="n">
        <x:v>1616</x:v>
      </x:c>
      <x:c r="B1588" s="16" t="str">
        <x:v>Cikgu Iqmal</x:v>
      </x:c>
      <x:c r="C1588" s="16" t="str"/>
      <x:c r="D1588" s="16" t="str">
        <x:v>* myContacts</x:v>
      </x:c>
      <x:c r="E1588" s="16" t="str">
        <x:v>Missing email</x:v>
      </x:c>
    </x:row>
    <x:row r="1589">
      <x:c r="A1589" s="16" t="n">
        <x:v>1617</x:v>
      </x:c>
      <x:c r="B1589" s="16" t="str">
        <x:v>Cikgu Irodologi Mohd Noor</x:v>
      </x:c>
      <x:c r="C1589" s="16" t="str"/>
      <x:c r="D1589" s="16" t="str">
        <x:v>* myContacts</x:v>
      </x:c>
      <x:c r="E1589" s="16" t="str">
        <x:v>Missing email</x:v>
      </x:c>
    </x:row>
    <x:row r="1590">
      <x:c r="A1590" s="16" t="n">
        <x:v>1618</x:v>
      </x:c>
      <x:c r="B1590" s="16" t="str">
        <x:v>CIKGU IZHAM</x:v>
      </x:c>
      <x:c r="C1590" s="16" t="str"/>
      <x:c r="D1590" s="16" t="str">
        <x:v>* myContacts</x:v>
      </x:c>
      <x:c r="E1590" s="16" t="str">
        <x:v>Missing email</x:v>
      </x:c>
    </x:row>
    <x:row r="1591">
      <x:c r="A1591" s="16" t="n">
        <x:v>1619</x:v>
      </x:c>
      <x:c r="B1591" s="16" t="str">
        <x:v>cikgu izz</x:v>
      </x:c>
      <x:c r="C1591" s="16" t="str"/>
      <x:c r="D1591" s="16" t="str">
        <x:v>* myContacts</x:v>
      </x:c>
      <x:c r="E1591" s="16" t="str">
        <x:v>Missing email</x:v>
      </x:c>
    </x:row>
    <x:row r="1592">
      <x:c r="A1592" s="16" t="n">
        <x:v>1620</x:v>
      </x:c>
      <x:c r="B1592" s="16" t="str">
        <x:v>Cikgu K PAKAR NLP</x:v>
      </x:c>
      <x:c r="C1592" s="16" t="str"/>
      <x:c r="D1592" s="16" t="str">
        <x:v>* myContacts</x:v>
      </x:c>
      <x:c r="E1592" s="16" t="str">
        <x:v>Missing email</x:v>
      </x:c>
    </x:row>
    <x:row r="1593">
      <x:c r="A1593" s="16" t="n">
        <x:v>1621</x:v>
      </x:c>
      <x:c r="B1593" s="16" t="str">
        <x:v>Cikgu Marz Projaya</x:v>
      </x:c>
      <x:c r="C1593" s="16" t="str"/>
      <x:c r="D1593" s="16" t="str">
        <x:v>* myContacts</x:v>
      </x:c>
      <x:c r="E1593" s="16" t="str">
        <x:v>Missing email</x:v>
      </x:c>
    </x:row>
    <x:row r="1594">
      <x:c r="A1594" s="16" t="n">
        <x:v>1622</x:v>
      </x:c>
      <x:c r="B1594" s="16" t="str">
        <x:v>cikgu mizan Ads</x:v>
      </x:c>
      <x:c r="C1594" s="16" t="str"/>
      <x:c r="D1594" s="16" t="str">
        <x:v>* myContacts</x:v>
      </x:c>
      <x:c r="E1594" s="16" t="str">
        <x:v>Missing email</x:v>
      </x:c>
    </x:row>
    <x:row r="1595">
      <x:c r="A1595" s="16" t="n">
        <x:v>1623</x:v>
      </x:c>
      <x:c r="B1595" s="16" t="str">
        <x:v>cikgu muaz</x:v>
      </x:c>
      <x:c r="C1595" s="16" t="str"/>
      <x:c r="D1595" s="16" t="str">
        <x:v>* myContacts</x:v>
      </x:c>
      <x:c r="E1595" s="16" t="str">
        <x:v>Missing email</x:v>
      </x:c>
    </x:row>
    <x:row r="1596">
      <x:c r="A1596" s="16" t="n">
        <x:v>1624</x:v>
      </x:c>
      <x:c r="B1596" s="16" t="str">
        <x:v>CIKGU NAZIRAH CIKGU 6 CERDIK DULU</x:v>
      </x:c>
      <x:c r="C1596" s="16" t="str"/>
      <x:c r="D1596" s="16" t="str">
        <x:v>* myContacts</x:v>
      </x:c>
      <x:c r="E1596" s="16" t="str">
        <x:v>Missing email</x:v>
      </x:c>
    </x:row>
    <x:row r="1597">
      <x:c r="A1597" s="16" t="n">
        <x:v>1625</x:v>
      </x:c>
      <x:c r="B1597" s="16" t="str">
        <x:v>cikgu noorhasimi agp agp</x:v>
      </x:c>
      <x:c r="C1597" s="16" t="str"/>
      <x:c r="D1597" s="16" t="str">
        <x:v>* myContacts</x:v>
      </x:c>
      <x:c r="E1597" s="16" t="str">
        <x:v>Missing email</x:v>
      </x:c>
    </x:row>
    <x:row r="1598">
      <x:c r="A1598" s="16" t="n">
        <x:v>1626</x:v>
      </x:c>
      <x:c r="B1598" s="16" t="str">
        <x:v>CIKGU PERUMAL</x:v>
      </x:c>
      <x:c r="C1598" s="16" t="str"/>
      <x:c r="D1598" s="16" t="str">
        <x:v>* myContacts</x:v>
      </x:c>
      <x:c r="E1598" s="16" t="str">
        <x:v>Missing email</x:v>
      </x:c>
    </x:row>
    <x:row r="1599">
      <x:c r="A1599" s="16" t="n">
        <x:v>1627</x:v>
      </x:c>
      <x:c r="B1599" s="16" t="str">
        <x:v>Cikgu Radi Plumber</x:v>
      </x:c>
      <x:c r="C1599" s="16" t="str"/>
      <x:c r="D1599" s="16" t="str">
        <x:v>* myContacts</x:v>
      </x:c>
      <x:c r="E1599" s="16" t="str">
        <x:v>Missing email</x:v>
      </x:c>
    </x:row>
    <x:row r="1600">
      <x:c r="A1600" s="16" t="n">
        <x:v>1628</x:v>
      </x:c>
      <x:c r="B1600" s="16" t="str">
        <x:v>Cikgu Razak Export</x:v>
      </x:c>
      <x:c r="C1600" s="16" t="str"/>
      <x:c r="D1600" s="16" t="str">
        <x:v>* myContacts</x:v>
      </x:c>
      <x:c r="E1600" s="16" t="str">
        <x:v>Missing email</x:v>
      </x:c>
    </x:row>
    <x:row r="1601">
      <x:c r="A1601" s="16" t="n">
        <x:v>1629</x:v>
      </x:c>
      <x:c r="B1601" s="16" t="str">
        <x:v>CIKGU ROSMADIA</x:v>
      </x:c>
      <x:c r="C1601" s="16" t="str"/>
      <x:c r="D1601" s="16" t="str">
        <x:v>* myContacts</x:v>
      </x:c>
      <x:c r="E1601" s="16" t="str">
        <x:v>Missing email</x:v>
      </x:c>
    </x:row>
    <x:row r="1602">
      <x:c r="A1602" s="16" t="n">
        <x:v>1630</x:v>
      </x:c>
      <x:c r="B1602" s="16" t="str">
        <x:v>Cikgu Saif Agent Developer</x:v>
      </x:c>
      <x:c r="C1602" s="16" t="str"/>
      <x:c r="D1602" s="16" t="str">
        <x:v>* myContacts</x:v>
      </x:c>
      <x:c r="E1602" s="16" t="str">
        <x:v>Missing email</x:v>
      </x:c>
    </x:row>
    <x:row r="1603">
      <x:c r="A1603" s="16" t="n">
        <x:v>1631</x:v>
      </x:c>
      <x:c r="B1603" s="16" t="str">
        <x:v>Cikgu Salina Stephen</x:v>
      </x:c>
      <x:c r="C1603" s="16" t="str"/>
      <x:c r="D1603" s="16" t="str">
        <x:v>* myContacts</x:v>
      </x:c>
      <x:c r="E1603" s="16" t="str">
        <x:v>Missing email</x:v>
      </x:c>
    </x:row>
    <x:row r="1604">
      <x:c r="A1604" s="16" t="n">
        <x:v>1632</x:v>
      </x:c>
      <x:c r="B1604" s="16" t="str">
        <x:v>cikgu sham food stylist</x:v>
      </x:c>
      <x:c r="C1604" s="16" t="str"/>
      <x:c r="D1604" s="16" t="str">
        <x:v>* myContacts</x:v>
      </x:c>
      <x:c r="E1604" s="16" t="str">
        <x:v>Missing email</x:v>
      </x:c>
    </x:row>
    <x:row r="1605">
      <x:c r="A1605" s="16" t="n">
        <x:v>1633</x:v>
      </x:c>
      <x:c r="B1605" s="16" t="str">
        <x:v>cikgu sham ppmm</x:v>
      </x:c>
      <x:c r="C1605" s="16" t="str"/>
      <x:c r="D1605" s="16" t="str">
        <x:v>* myContacts</x:v>
      </x:c>
      <x:c r="E1605" s="16" t="str">
        <x:v>Missing email</x:v>
      </x:c>
    </x:row>
    <x:row r="1606">
      <x:c r="A1606" s="16" t="n">
        <x:v>1634</x:v>
      </x:c>
      <x:c r="B1606" s="16" t="str">
        <x:v>CIKGU SUHAILA</x:v>
      </x:c>
      <x:c r="C1606" s="16" t="str"/>
      <x:c r="D1606" s="16" t="str">
        <x:v>* myContacts</x:v>
      </x:c>
      <x:c r="E1606" s="16" t="str">
        <x:v>Missing email</x:v>
      </x:c>
    </x:row>
    <x:row r="1607">
      <x:c r="A1607" s="16" t="n">
        <x:v>1635</x:v>
      </x:c>
      <x:c r="B1607" s="16" t="str">
        <x:v>Cikgu Sumaiyah Kolej Vokasional</x:v>
      </x:c>
      <x:c r="C1607" s="16" t="str"/>
      <x:c r="D1607" s="16" t="str">
        <x:v>* myContacts</x:v>
      </x:c>
      <x:c r="E1607" s="16" t="str">
        <x:v>Missing email</x:v>
      </x:c>
    </x:row>
    <x:row r="1608">
      <x:c r="A1608" s="16" t="n">
        <x:v>1636</x:v>
      </x:c>
      <x:c r="B1608" s="16" t="str">
        <x:v>Cikgu Yaser Mynic</x:v>
      </x:c>
      <x:c r="C1608" s="16" t="str"/>
      <x:c r="D1608" s="16" t="str">
        <x:v>* myContacts</x:v>
      </x:c>
      <x:c r="E1608" s="16" t="str">
        <x:v>Missing email</x:v>
      </x:c>
    </x:row>
    <x:row r="1609">
      <x:c r="A1609" s="16" t="n">
        <x:v>1637</x:v>
      </x:c>
      <x:c r="B1609" s="16" t="str">
        <x:v>Cikgu Zaidi Emas</x:v>
      </x:c>
      <x:c r="C1609" s="16" t="str"/>
      <x:c r="D1609" s="16" t="str">
        <x:v>* myContacts</x:v>
      </x:c>
      <x:c r="E1609" s="16" t="str">
        <x:v>Missing email</x:v>
      </x:c>
    </x:row>
    <x:row r="1610">
      <x:c r="A1610" s="16" t="n">
        <x:v>1638</x:v>
      </x:c>
      <x:c r="B1610" s="16" t="str">
        <x:v>Cikk Nrl</x:v>
      </x:c>
      <x:c r="C1610" s="16" t="str"/>
      <x:c r="D1610" s="16" t="str">
        <x:v>* myContacts</x:v>
      </x:c>
      <x:c r="E1610" s="16" t="str">
        <x:v>Missing email</x:v>
      </x:c>
    </x:row>
    <x:row r="1611">
      <x:c r="A1611" s="16" t="n">
        <x:v>1639</x:v>
      </x:c>
      <x:c r="B1611" s="16" t="str">
        <x:v>Cikk Nrl, IV IV</x:v>
      </x:c>
      <x:c r="C1611" s="16" t="str"/>
      <x:c r="D1611" s="16" t="str">
        <x:v>* myContacts</x:v>
      </x:c>
      <x:c r="E1611" s="16" t="str">
        <x:v>Missing email</x:v>
      </x:c>
    </x:row>
    <x:row r="1612">
      <x:c r="A1612" s="16" t="n">
        <x:v>1640</x:v>
      </x:c>
      <x:c r="B1612" s="16" t="str">
        <x:v>Cikk Shitaa</x:v>
      </x:c>
      <x:c r="C1612" s="16" t="str"/>
      <x:c r="D1612" s="16" t="str">
        <x:v>* myContacts</x:v>
      </x:c>
      <x:c r="E1612" s="16" t="str">
        <x:v>Missing email</x:v>
      </x:c>
    </x:row>
    <x:row r="1613">
      <x:c r="A1613" s="16" t="n">
        <x:v>1641</x:v>
      </x:c>
      <x:c r="B1613" s="16" t="str">
        <x:v>Ciksue Suzrynn</x:v>
      </x:c>
      <x:c r="C1613" s="16" t="str"/>
      <x:c r="D1613" s="16" t="str">
        <x:v>* myContacts</x:v>
      </x:c>
      <x:c r="E1613" s="16" t="str">
        <x:v>Missing email</x:v>
      </x:c>
    </x:row>
    <x:row r="1614">
      <x:c r="A1614" s="16" t="n">
        <x:v>1642</x:v>
      </x:c>
      <x:c r="B1614" s="16" t="str">
        <x:v>Cikteja Khadijah</x:v>
      </x:c>
      <x:c r="C1614" s="16" t="str"/>
      <x:c r="D1614" s="16" t="str">
        <x:v>* myContacts</x:v>
      </x:c>
      <x:c r="E1614" s="16" t="str">
        <x:v>Missing email</x:v>
      </x:c>
    </x:row>
    <x:row r="1615">
      <x:c r="A1615" s="16" t="n">
        <x:v>1643</x:v>
      </x:c>
      <x:c r="B1615" s="16" t="str">
        <x:v>Citarasa D'Seroja</x:v>
      </x:c>
      <x:c r="C1615" s="16" t="str"/>
      <x:c r="D1615" s="16" t="str">
        <x:v>* myContacts</x:v>
      </x:c>
      <x:c r="E1615" s="16" t="str">
        <x:v>Missing email</x:v>
      </x:c>
    </x:row>
    <x:row r="1616">
      <x:c r="A1616" s="16" t="n">
        <x:v>1644</x:v>
      </x:c>
      <x:c r="B1616" s="16" t="str">
        <x:v>Ck Canai</x:v>
      </x:c>
      <x:c r="C1616" s="16" t="str"/>
      <x:c r="D1616" s="16" t="str">
        <x:v>* myContacts</x:v>
      </x:c>
      <x:c r="E1616" s="16" t="str">
        <x:v>Missing email</x:v>
      </x:c>
    </x:row>
    <x:row r="1617">
      <x:c r="A1617" s="16" t="n">
        <x:v>1645</x:v>
      </x:c>
      <x:c r="B1617" s="16" t="str">
        <x:v>claim citra</x:v>
      </x:c>
      <x:c r="C1617" s="16" t="str"/>
      <x:c r="D1617" s="16" t="str">
        <x:v>* myContacts</x:v>
      </x:c>
      <x:c r="E1617" s="16" t="str">
        <x:v>Missing email</x:v>
      </x:c>
    </x:row>
    <x:row r="1618">
      <x:c r="A1618" s="16" t="n">
        <x:v>1647</x:v>
      </x:c>
      <x:c r="B1618" s="16" t="str">
        <x:v>Classic Aroma</x:v>
      </x:c>
      <x:c r="C1618" s="16" t="str"/>
      <x:c r="D1618" s="16" t="str">
        <x:v>* myContacts</x:v>
      </x:c>
      <x:c r="E1618" s="16" t="str">
        <x:v>Missing email</x:v>
      </x:c>
    </x:row>
    <x:row r="1619">
      <x:c r="A1619" s="16" t="n">
        <x:v>1648</x:v>
      </x:c>
      <x:c r="B1619" s="16" t="str">
        <x:v>Cleverland Teacher Shiela</x:v>
      </x:c>
      <x:c r="C1619" s="16" t="str"/>
      <x:c r="D1619" s="16" t="str">
        <x:v>* myContacts</x:v>
      </x:c>
      <x:c r="E1619" s="16" t="str">
        <x:v>Missing email</x:v>
      </x:c>
    </x:row>
    <x:row r="1620">
      <x:c r="A1620" s="16" t="n">
        <x:v>1649</x:v>
      </x:c>
      <x:c r="B1620" s="16" t="str">
        <x:v>Client Amir</x:v>
      </x:c>
      <x:c r="C1620" s="16" t="str"/>
      <x:c r="D1620" s="16" t="str">
        <x:v>* myContacts</x:v>
      </x:c>
      <x:c r="E1620" s="16" t="str">
        <x:v>Missing email</x:v>
      </x:c>
    </x:row>
    <x:row r="1621">
      <x:c r="A1621" s="16" t="n">
        <x:v>1650</x:v>
      </x:c>
      <x:c r="B1621" s="16" t="str">
        <x:v>Client CWA Shah Naz</x:v>
      </x:c>
      <x:c r="C1621" s="16" t="str"/>
      <x:c r="D1621" s="16" t="str">
        <x:v>* myContacts</x:v>
      </x:c>
      <x:c r="E1621" s="16" t="str">
        <x:v>Missing email</x:v>
      </x:c>
    </x:row>
    <x:row r="1622">
      <x:c r="A1622" s="16" t="n">
        <x:v>1651</x:v>
      </x:c>
      <x:c r="B1622" s="16" t="str">
        <x:v>Client En Md Nor CWA</x:v>
      </x:c>
      <x:c r="C1622" s="16" t="str"/>
      <x:c r="D1622" s="16" t="str">
        <x:v>* myContacts</x:v>
      </x:c>
      <x:c r="E1622" s="16" t="str">
        <x:v>Missing email</x:v>
      </x:c>
    </x:row>
    <x:row r="1623">
      <x:c r="A1623" s="16" t="n">
        <x:v>1652</x:v>
      </x:c>
      <x:c r="B1623" s="16" t="str">
        <x:v>Coach Abg Rizal</x:v>
      </x:c>
      <x:c r="C1623" s="16" t="str"/>
      <x:c r="D1623" s="16" t="str">
        <x:v>Trainer | * myContacts</x:v>
      </x:c>
      <x:c r="E1623" s="16" t="str">
        <x:v>Missing email</x:v>
      </x:c>
    </x:row>
    <x:row r="1624">
      <x:c r="A1624" s="16" t="n">
        <x:v>1653</x:v>
      </x:c>
      <x:c r="B1624" s="16" t="str">
        <x:v>Coach Abu Barzah</x:v>
      </x:c>
      <x:c r="C1624" s="16" t="str"/>
      <x:c r="D1624" s="16" t="str">
        <x:v>Trainer | * myContacts</x:v>
      </x:c>
      <x:c r="E1624" s="16" t="str">
        <x:v>Missing email</x:v>
      </x:c>
    </x:row>
    <x:row r="1625">
      <x:c r="A1625" s="16" t="n">
        <x:v>1654</x:v>
      </x:c>
      <x:c r="B1625" s="16" t="str">
        <x:v>Coach Account Shahira</x:v>
      </x:c>
      <x:c r="C1625" s="16" t="str"/>
      <x:c r="D1625" s="16" t="str">
        <x:v>Trainer | * myContacts</x:v>
      </x:c>
      <x:c r="E1625" s="16" t="str">
        <x:v>Missing email</x:v>
      </x:c>
    </x:row>
    <x:row r="1626">
      <x:c r="A1626" s="16" t="n">
        <x:v>1655</x:v>
      </x:c>
      <x:c r="B1626" s="16" t="str">
        <x:v>Coach Afnan</x:v>
      </x:c>
      <x:c r="C1626" s="16" t="str"/>
      <x:c r="D1626" s="16" t="str">
        <x:v>Trainer | * myContacts</x:v>
      </x:c>
      <x:c r="E1626" s="16" t="str">
        <x:v>Missing email</x:v>
      </x:c>
    </x:row>
    <x:row r="1627">
      <x:c r="A1627" s="16" t="n">
        <x:v>1656</x:v>
      </x:c>
      <x:c r="B1627" s="16" t="str">
        <x:v>Coach Ahmad Fadzli</x:v>
      </x:c>
      <x:c r="C1627" s="16" t="str"/>
      <x:c r="D1627" s="16" t="str">
        <x:v>Trainer | * myContacts</x:v>
      </x:c>
      <x:c r="E1627" s="16" t="str">
        <x:v>Missing email</x:v>
      </x:c>
    </x:row>
    <x:row r="1628">
      <x:c r="A1628" s="16" t="n">
        <x:v>1657</x:v>
      </x:c>
      <x:c r="B1628" s="16" t="str">
        <x:v>Coach Akil</x:v>
      </x:c>
      <x:c r="C1628" s="16" t="str"/>
      <x:c r="D1628" s="16" t="str">
        <x:v>Trainer | * myContacts</x:v>
      </x:c>
      <x:c r="E1628" s="16" t="str">
        <x:v>Missing email</x:v>
      </x:c>
    </x:row>
    <x:row r="1629">
      <x:c r="A1629" s="16" t="n">
        <x:v>1658</x:v>
      </x:c>
      <x:c r="B1629" s="16" t="str">
        <x:v>Coach Ali Mynef</x:v>
      </x:c>
      <x:c r="C1629" s="16" t="str"/>
      <x:c r="D1629" s="16" t="str">
        <x:v>Trainer | * myContacts</x:v>
      </x:c>
      <x:c r="E1629" s="16" t="str">
        <x:v>Missing email</x:v>
      </x:c>
    </x:row>
    <x:row r="1630">
      <x:c r="A1630" s="16" t="n">
        <x:v>1659</x:v>
      </x:c>
      <x:c r="B1630" s="16" t="str">
        <x:v>Coach Along Fadzil</x:v>
      </x:c>
      <x:c r="C1630" s="16" t="str"/>
      <x:c r="D1630" s="16" t="str">
        <x:v>Trainer | * myContacts</x:v>
      </x:c>
      <x:c r="E1630" s="16" t="str">
        <x:v>Missing email</x:v>
      </x:c>
    </x:row>
    <x:row r="1631">
      <x:c r="A1631" s="16" t="n">
        <x:v>1660</x:v>
      </x:c>
      <x:c r="B1631" s="16" t="str">
        <x:v>Coach Annuar Mdec</x:v>
      </x:c>
      <x:c r="C1631" s="16" t="str"/>
      <x:c r="D1631" s="16" t="str">
        <x:v>Trainer | * myContacts</x:v>
      </x:c>
      <x:c r="E1631" s="16" t="str">
        <x:v>Missing email</x:v>
      </x:c>
    </x:row>
    <x:row r="1632">
      <x:c r="A1632" s="16" t="n">
        <x:v>1662</x:v>
      </x:c>
      <x:c r="B1632" s="16" t="str">
        <x:v>Coach Ashma</x:v>
      </x:c>
      <x:c r="C1632" s="16" t="str"/>
      <x:c r="D1632" s="16" t="str">
        <x:v>Trainer | * myContacts</x:v>
      </x:c>
      <x:c r="E1632" s="16" t="str">
        <x:v>Missing email</x:v>
      </x:c>
    </x:row>
    <x:row r="1633">
      <x:c r="A1633" s="16" t="n">
        <x:v>1663</x:v>
      </x:c>
      <x:c r="B1633" s="16" t="str">
        <x:v>coach bert</x:v>
      </x:c>
      <x:c r="C1633" s="16" t="str"/>
      <x:c r="D1633" s="16" t="str">
        <x:v>Trainer | * myContacts</x:v>
      </x:c>
      <x:c r="E1633" s="16" t="str">
        <x:v>Missing email</x:v>
      </x:c>
    </x:row>
    <x:row r="1634">
      <x:c r="A1634" s="16" t="n">
        <x:v>1664</x:v>
      </x:c>
      <x:c r="B1634" s="16" t="str">
        <x:v>Coach Bert Phone No 2</x:v>
      </x:c>
      <x:c r="C1634" s="16" t="str"/>
      <x:c r="D1634" s="16" t="str">
        <x:v>Trainer | * myContacts</x:v>
      </x:c>
      <x:c r="E1634" s="16" t="str">
        <x:v>Missing email</x:v>
      </x:c>
    </x:row>
    <x:row r="1635">
      <x:c r="A1635" s="16" t="n">
        <x:v>1665</x:v>
      </x:c>
      <x:c r="B1635" s="16" t="str">
        <x:v>coach Bob Lay Vee Han mdec trainer</x:v>
      </x:c>
      <x:c r="C1635" s="16" t="str"/>
      <x:c r="D1635" s="16" t="str">
        <x:v>Trainer | * myContacts</x:v>
      </x:c>
      <x:c r="E1635" s="16" t="str">
        <x:v>Missing email</x:v>
      </x:c>
    </x:row>
    <x:row r="1636">
      <x:c r="A1636" s="16" t="n">
        <x:v>1666</x:v>
      </x:c>
      <x:c r="B1636" s="16" t="str">
        <x:v>coach Daniel Insken</x:v>
      </x:c>
      <x:c r="C1636" s="16" t="str"/>
      <x:c r="D1636" s="16" t="str">
        <x:v>Alumni INSKEN | Trainer | * myContacts</x:v>
      </x:c>
      <x:c r="E1636" s="16" t="str">
        <x:v>Missing email</x:v>
      </x:c>
    </x:row>
    <x:row r="1637">
      <x:c r="A1637" s="16" t="n">
        <x:v>1667</x:v>
      </x:c>
      <x:c r="B1637" s="16" t="str">
        <x:v>Coach Dina Eusahawan</x:v>
      </x:c>
      <x:c r="C1637" s="16" t="str"/>
      <x:c r="D1637" s="16" t="str">
        <x:v>Alumni eUsahawan | Trainer | * myContacts</x:v>
      </x:c>
      <x:c r="E1637" s="16" t="str">
        <x:v>Missing email</x:v>
      </x:c>
    </x:row>
    <x:row r="1638">
      <x:c r="A1638" s="16" t="n">
        <x:v>1668</x:v>
      </x:c>
      <x:c r="B1638" s="16" t="str">
        <x:v>Coach Fahmi</x:v>
      </x:c>
      <x:c r="C1638" s="16" t="str"/>
      <x:c r="D1638" s="16" t="str">
        <x:v>Trainer | * myContacts</x:v>
      </x:c>
      <x:c r="E1638" s="16" t="str">
        <x:v>Missing email</x:v>
      </x:c>
    </x:row>
    <x:row r="1639">
      <x:c r="A1639" s="16" t="n">
        <x:v>1669</x:v>
      </x:c>
      <x:c r="B1639" s="16" t="str">
        <x:v>Coach Gym Mr Mad Tarzan</x:v>
      </x:c>
      <x:c r="C1639" s="16" t="str"/>
      <x:c r="D1639" s="16" t="str">
        <x:v>Trainer | * myContacts</x:v>
      </x:c>
      <x:c r="E1639" s="16" t="str">
        <x:v>Missing email</x:v>
      </x:c>
    </x:row>
    <x:row r="1640">
      <x:c r="A1640" s="16" t="n">
        <x:v>1670</x:v>
      </x:c>
      <x:c r="B1640" s="16" t="str">
        <x:v>Coach Hakim Eu Trainer</x:v>
      </x:c>
      <x:c r="C1640" s="16" t="str"/>
      <x:c r="D1640" s="16" t="str">
        <x:v>Trainer | * myContacts</x:v>
      </x:c>
      <x:c r="E1640" s="16" t="str">
        <x:v>Missing email</x:v>
      </x:c>
    </x:row>
    <x:row r="1641">
      <x:c r="A1641" s="16" t="n">
        <x:v>1671</x:v>
      </x:c>
      <x:c r="B1641" s="16" t="str">
        <x:v>Coach Hamdi</x:v>
      </x:c>
      <x:c r="C1641" s="16" t="str"/>
      <x:c r="D1641" s="16" t="str">
        <x:v>Trainer | * myContacts</x:v>
      </x:c>
      <x:c r="E1641" s="16" t="str">
        <x:v>Missing email</x:v>
      </x:c>
    </x:row>
    <x:row r="1642">
      <x:c r="A1642" s="16" t="n">
        <x:v>1672</x:v>
      </x:c>
      <x:c r="B1642" s="16" t="str">
        <x:v>Coach Hasbi Eusahawan MELAKA</x:v>
      </x:c>
      <x:c r="C1642" s="16" t="str"/>
      <x:c r="D1642" s="16" t="str">
        <x:v>Trainer | * myContacts</x:v>
      </x:c>
      <x:c r="E1642" s="16" t="str">
        <x:v>Missing email</x:v>
      </x:c>
    </x:row>
    <x:row r="1643">
      <x:c r="A1643" s="16" t="n">
        <x:v>1673</x:v>
      </x:c>
      <x:c r="B1643" s="16" t="str">
        <x:v>Coach Hilmi Idris Expert Tulang</x:v>
      </x:c>
      <x:c r="C1643" s="16" t="str"/>
      <x:c r="D1643" s="16" t="str">
        <x:v>Trainer | * myContacts</x:v>
      </x:c>
      <x:c r="E1643" s="16" t="str">
        <x:v>Missing email</x:v>
      </x:c>
    </x:row>
    <x:row r="1644">
      <x:c r="A1644" s="16" t="n">
        <x:v>1674</x:v>
      </x:c>
      <x:c r="B1644" s="16" t="str">
        <x:v>Coach Husaini INSKEN</x:v>
      </x:c>
      <x:c r="C1644" s="16" t="str"/>
      <x:c r="D1644" s="16" t="str">
        <x:v>Alumni INSKEN | Trainer | * myContacts</x:v>
      </x:c>
      <x:c r="E1644" s="16" t="str">
        <x:v>Missing email</x:v>
      </x:c>
    </x:row>
    <x:row r="1645">
      <x:c r="A1645" s="16" t="n">
        <x:v>1675</x:v>
      </x:c>
      <x:c r="B1645" s="16" t="str">
        <x:v>Coach Ibiq Solvy</x:v>
      </x:c>
      <x:c r="C1645" s="16" t="str"/>
      <x:c r="D1645" s="16" t="str">
        <x:v>Trainer | * myContacts</x:v>
      </x:c>
      <x:c r="E1645" s="16" t="str">
        <x:v>Missing email</x:v>
      </x:c>
    </x:row>
    <x:row r="1646">
      <x:c r="A1646" s="16" t="n">
        <x:v>1676</x:v>
      </x:c>
      <x:c r="B1646" s="16" t="str">
        <x:v>Coach Iffa Mdec</x:v>
      </x:c>
      <x:c r="C1646" s="16" t="str"/>
      <x:c r="D1646" s="16" t="str">
        <x:v>Trainer | * myContacts</x:v>
      </x:c>
      <x:c r="E1646" s="16" t="str">
        <x:v>Missing email</x:v>
      </x:c>
    </x:row>
    <x:row r="1647">
      <x:c r="A1647" s="16" t="n">
        <x:v>1678</x:v>
      </x:c>
      <x:c r="B1647" s="16" t="str">
        <x:v>Coach Irda eU</x:v>
      </x:c>
      <x:c r="C1647" s="16" t="str"/>
      <x:c r="D1647" s="16" t="str">
        <x:v>Alumni eUsahawan | Trainer | * myContacts</x:v>
      </x:c>
      <x:c r="E1647" s="16" t="str">
        <x:v>Missing email</x:v>
      </x:c>
    </x:row>
    <x:row r="1648">
      <x:c r="A1648" s="16" t="n">
        <x:v>1679</x:v>
      </x:c>
      <x:c r="B1648" s="16" t="str">
        <x:v>Coach Jahid Jamil</x:v>
      </x:c>
      <x:c r="C1648" s="16" t="str"/>
      <x:c r="D1648" s="16" t="str">
        <x:v>Trainer | * myContacts</x:v>
      </x:c>
      <x:c r="E1648" s="16" t="str">
        <x:v>Missing email</x:v>
      </x:c>
    </x:row>
    <x:row r="1649">
      <x:c r="A1649" s="16" t="n">
        <x:v>1680</x:v>
      </x:c>
      <x:c r="B1649" s="16" t="str">
        <x:v>Coach Jamil</x:v>
      </x:c>
      <x:c r="C1649" s="16" t="str"/>
      <x:c r="D1649" s="16" t="str">
        <x:v>Trainer | * myContacts</x:v>
      </x:c>
      <x:c r="E1649" s="16" t="str">
        <x:v>Missing email</x:v>
      </x:c>
    </x:row>
    <x:row r="1650">
      <x:c r="A1650" s="16" t="n">
        <x:v>1681</x:v>
      </x:c>
      <x:c r="B1650" s="16" t="str">
        <x:v>Coach jerryking</x:v>
      </x:c>
      <x:c r="C1650" s="16" t="str"/>
      <x:c r="D1650" s="16" t="str">
        <x:v>Trainer | * myContacts</x:v>
      </x:c>
      <x:c r="E1650" s="16" t="str">
        <x:v>Missing email</x:v>
      </x:c>
    </x:row>
    <x:row r="1651">
      <x:c r="A1651" s="16" t="n">
        <x:v>1682</x:v>
      </x:c>
      <x:c r="B1651" s="16" t="str">
        <x:v>Coach Jusri Insken Eco Tourism</x:v>
      </x:c>
      <x:c r="C1651" s="16" t="str"/>
      <x:c r="D1651" s="16" t="str">
        <x:v>Alumni INSKEN | Trainer | * myContacts</x:v>
      </x:c>
      <x:c r="E1651" s="16" t="str">
        <x:v>Missing email</x:v>
      </x:c>
    </x:row>
    <x:row r="1652">
      <x:c r="A1652" s="16" t="n">
        <x:v>1683</x:v>
      </x:c>
      <x:c r="B1652" s="16" t="str">
        <x:v>Coach Kak Kay Ibrahim</x:v>
      </x:c>
      <x:c r="C1652" s="16" t="str"/>
      <x:c r="D1652" s="16" t="str">
        <x:v>Trainer | * myContacts</x:v>
      </x:c>
      <x:c r="E1652" s="16" t="str">
        <x:v>Missing email</x:v>
      </x:c>
    </x:row>
    <x:row r="1653">
      <x:c r="A1653" s="16" t="n">
        <x:v>1684</x:v>
      </x:c>
      <x:c r="B1653" s="16" t="str">
        <x:v>Coach Kamal IM</x:v>
      </x:c>
      <x:c r="C1653" s="16" t="str"/>
      <x:c r="D1653" s="16" t="str">
        <x:v>Trainer | * myContacts</x:v>
      </x:c>
      <x:c r="E1653" s="16" t="str">
        <x:v>Missing email</x:v>
      </x:c>
    </x:row>
    <x:row r="1654">
      <x:c r="A1654" s="16" t="n">
        <x:v>1685</x:v>
      </x:c>
      <x:c r="B1654" s="16" t="str">
        <x:v>Coach Kaygarn Tan</x:v>
      </x:c>
      <x:c r="C1654" s="16" t="str"/>
      <x:c r="D1654" s="16" t="str">
        <x:v>Trainer | * myContacts</x:v>
      </x:c>
      <x:c r="E1654" s="16" t="str">
        <x:v>Missing email</x:v>
      </x:c>
    </x:row>
    <x:row r="1655">
      <x:c r="A1655" s="16" t="n">
        <x:v>1686</x:v>
      </x:c>
      <x:c r="B1655" s="16" t="str">
        <x:v>Coach Latif</x:v>
      </x:c>
      <x:c r="C1655" s="16" t="str"/>
      <x:c r="D1655" s="16" t="str">
        <x:v>Trainer | * myContacts</x:v>
      </x:c>
      <x:c r="E1655" s="16" t="str">
        <x:v>Missing email</x:v>
      </x:c>
    </x:row>
    <x:row r="1656">
      <x:c r="A1656" s="16" t="n">
        <x:v>1687</x:v>
      </x:c>
      <x:c r="B1656" s="16" t="str">
        <x:v>Coach Liza Mulan</x:v>
      </x:c>
      <x:c r="C1656" s="16" t="str"/>
      <x:c r="D1656" s="16" t="str">
        <x:v>Trainer | * myContacts</x:v>
      </x:c>
      <x:c r="E1656" s="16" t="str">
        <x:v>Missing email</x:v>
      </x:c>
    </x:row>
    <x:row r="1657">
      <x:c r="A1657" s="16" t="n">
        <x:v>1688</x:v>
      </x:c>
      <x:c r="B1657" s="16" t="str">
        <x:v>Coach Lokman Ibnu Basri</x:v>
      </x:c>
      <x:c r="C1657" s="16" t="str"/>
      <x:c r="D1657" s="16" t="str">
        <x:v>Trainer | * myContacts</x:v>
      </x:c>
      <x:c r="E1657" s="16" t="str">
        <x:v>Missing email</x:v>
      </x:c>
    </x:row>
    <x:row r="1658">
      <x:c r="A1658" s="16" t="n">
        <x:v>1689</x:v>
      </x:c>
      <x:c r="B1658" s="16" t="str">
        <x:v>Coach Mohd Hafidz RAS INSKEN Tauke Kek Batik</x:v>
      </x:c>
      <x:c r="C1658" s="16" t="str"/>
      <x:c r="D1658" s="16" t="str">
        <x:v>Alumni INSKEN | Trainer | * myContacts</x:v>
      </x:c>
      <x:c r="E1658" s="16" t="str">
        <x:v>Missing email</x:v>
      </x:c>
    </x:row>
    <x:row r="1659">
      <x:c r="A1659" s="16" t="n">
        <x:v>1690</x:v>
      </x:c>
      <x:c r="B1659" s="16" t="str">
        <x:v>Coach Muhd Zul Solvy</x:v>
      </x:c>
      <x:c r="C1659" s="16" t="str"/>
      <x:c r="D1659" s="16" t="str">
        <x:v>Trainer | * myContacts</x:v>
      </x:c>
      <x:c r="E1659" s="16" t="str">
        <x:v>Missing email</x:v>
      </x:c>
    </x:row>
    <x:row r="1660">
      <x:c r="A1660" s="16" t="n">
        <x:v>1691</x:v>
      </x:c>
      <x:c r="B1660" s="16" t="str">
        <x:v>coach murad puim</x:v>
      </x:c>
      <x:c r="C1660" s="16" t="str"/>
      <x:c r="D1660" s="16" t="str">
        <x:v>Trainer | * myContacts</x:v>
      </x:c>
      <x:c r="E1660" s="16" t="str">
        <x:v>Missing email</x:v>
      </x:c>
    </x:row>
    <x:row r="1661">
      <x:c r="A1661" s="16" t="n">
        <x:v>1692</x:v>
      </x:c>
      <x:c r="B1661" s="16" t="str">
        <x:v>Coach Naz No Kerja Nas EX- IQPS</x:v>
      </x:c>
      <x:c r="C1661" s="16" t="str"/>
      <x:c r="D1661" s="16" t="str">
        <x:v>Trainer | * myContacts</x:v>
      </x:c>
      <x:c r="E1661" s="16" t="str">
        <x:v>Missing email</x:v>
      </x:c>
    </x:row>
    <x:row r="1662">
      <x:c r="A1662" s="16" t="n">
        <x:v>1693</x:v>
      </x:c>
      <x:c r="B1662" s="16" t="str">
        <x:v>Coach Norazam Eu Trainer</x:v>
      </x:c>
      <x:c r="C1662" s="16" t="str"/>
      <x:c r="D1662" s="16" t="str">
        <x:v>Alumni eUsahawan | Trainer | * myContacts</x:v>
      </x:c>
      <x:c r="E1662" s="16" t="str">
        <x:v>Missing email</x:v>
      </x:c>
    </x:row>
    <x:row r="1663">
      <x:c r="A1663" s="16" t="n">
        <x:v>1694</x:v>
      </x:c>
      <x:c r="B1663" s="16" t="str">
        <x:v>Coach Rik</x:v>
      </x:c>
      <x:c r="C1663" s="16" t="str"/>
      <x:c r="D1663" s="16" t="str">
        <x:v>Trainer | * myContacts</x:v>
      </x:c>
      <x:c r="E1663" s="16" t="str">
        <x:v>Missing email</x:v>
      </x:c>
    </x:row>
    <x:row r="1664">
      <x:c r="A1664" s="16" t="n">
        <x:v>1695</x:v>
      </x:c>
      <x:c r="B1664" s="16" t="str">
        <x:v>Coach Rosli Majid 2 RKKC</x:v>
      </x:c>
      <x:c r="C1664" s="16" t="str"/>
      <x:c r="D1664" s="16" t="str">
        <x:v>Trainer | * myContacts</x:v>
      </x:c>
      <x:c r="E1664" s="16" t="str">
        <x:v>Missing email</x:v>
      </x:c>
    </x:row>
    <x:row r="1665">
      <x:c r="A1665" s="16" t="n">
        <x:v>1696</x:v>
      </x:c>
      <x:c r="B1665" s="16" t="str">
        <x:v>Coach Rostam</x:v>
      </x:c>
      <x:c r="C1665" s="16" t="str"/>
      <x:c r="D1665" s="16" t="str">
        <x:v>Trainer | * myContacts</x:v>
      </x:c>
      <x:c r="E1665" s="16" t="str">
        <x:v>Missing email</x:v>
      </x:c>
    </x:row>
    <x:row r="1666">
      <x:c r="A1666" s="16" t="n">
        <x:v>1697</x:v>
      </x:c>
      <x:c r="B1666" s="16" t="str">
        <x:v>Coach Rozek</x:v>
      </x:c>
      <x:c r="C1666" s="16" t="str"/>
      <x:c r="D1666" s="16" t="str">
        <x:v>Trainer | * myContacts</x:v>
      </x:c>
      <x:c r="E1666" s="16" t="str">
        <x:v>Missing email</x:v>
      </x:c>
    </x:row>
    <x:row r="1667">
      <x:c r="A1667" s="16" t="n">
        <x:v>1698</x:v>
      </x:c>
      <x:c r="B1667" s="16" t="str">
        <x:v>coach rozek phone no 2</x:v>
      </x:c>
      <x:c r="C1667" s="16" t="str"/>
      <x:c r="D1667" s="16" t="str">
        <x:v>Trainer | * myContacts</x:v>
      </x:c>
      <x:c r="E1667" s="16" t="str">
        <x:v>Missing email</x:v>
      </x:c>
    </x:row>
    <x:row r="1668">
      <x:c r="A1668" s="16" t="n">
        <x:v>1699</x:v>
      </x:c>
      <x:c r="B1668" s="16" t="str">
        <x:v>Coach Rozie Rjb</x:v>
      </x:c>
      <x:c r="C1668" s="16" t="str"/>
      <x:c r="D1668" s="16" t="str">
        <x:v>Trainer | * myContacts</x:v>
      </x:c>
      <x:c r="E1668" s="16" t="str">
        <x:v>Missing email</x:v>
      </x:c>
    </x:row>
    <x:row r="1669">
      <x:c r="A1669" s="16" t="n">
        <x:v>1700</x:v>
      </x:c>
      <x:c r="B1669" s="16" t="str">
        <x:v>Coach Sam Suresh</x:v>
      </x:c>
      <x:c r="C1669" s="16" t="str"/>
      <x:c r="D1669" s="16" t="str">
        <x:v>Trainer | * myContacts</x:v>
      </x:c>
      <x:c r="E1669" s="16" t="str">
        <x:v>Missing email</x:v>
      </x:c>
    </x:row>
    <x:row r="1670">
      <x:c r="A1670" s="16" t="n">
        <x:v>1701</x:v>
      </x:c>
      <x:c r="B1670" s="16" t="str">
        <x:v>Coach Shirajuddin Bolhi</x:v>
      </x:c>
      <x:c r="C1670" s="16" t="str"/>
      <x:c r="D1670" s="16" t="str">
        <x:v>Trainer | * myContacts</x:v>
      </x:c>
      <x:c r="E1670" s="16" t="str">
        <x:v>Missing email</x:v>
      </x:c>
    </x:row>
    <x:row r="1671">
      <x:c r="A1671" s="16" t="n">
        <x:v>1702</x:v>
      </x:c>
      <x:c r="B1671" s="16" t="str">
        <x:v>Coach Wan Darul @ WanDa</x:v>
      </x:c>
      <x:c r="C1671" s="16" t="str"/>
      <x:c r="D1671" s="16" t="str">
        <x:v>Trainer | * myContacts</x:v>
      </x:c>
      <x:c r="E1671" s="16" t="str">
        <x:v>Missing email</x:v>
      </x:c>
    </x:row>
    <x:row r="1672">
      <x:c r="A1672" s="16" t="n">
        <x:v>1703</x:v>
      </x:c>
      <x:c r="B1672" s="16" t="str">
        <x:v>Coach Z</x:v>
      </x:c>
      <x:c r="C1672" s="16" t="str"/>
      <x:c r="D1672" s="16" t="str">
        <x:v>Trainer | * myContacts</x:v>
      </x:c>
      <x:c r="E1672" s="16" t="str">
        <x:v>Missing email</x:v>
      </x:c>
    </x:row>
    <x:row r="1673">
      <x:c r="A1673" s="16" t="n">
        <x:v>1704</x:v>
      </x:c>
      <x:c r="B1673" s="16" t="str">
        <x:v>Collins Vernie Victro</x:v>
      </x:c>
      <x:c r="C1673" s="16" t="str"/>
      <x:c r="D1673" s="16" t="str">
        <x:v>* myContacts</x:v>
      </x:c>
      <x:c r="E1673" s="16" t="str">
        <x:v>Missing email</x:v>
      </x:c>
    </x:row>
    <x:row r="1674">
      <x:c r="A1674" s="16" t="n">
        <x:v>1705</x:v>
      </x:c>
      <x:c r="B1674" s="16" t="str">
        <x:v>Come Sokmo</x:v>
      </x:c>
      <x:c r="C1674" s="16" t="str"/>
      <x:c r="D1674" s="16" t="str">
        <x:v>* myContacts</x:v>
      </x:c>
      <x:c r="E1674" s="16" t="str">
        <x:v>Missing email</x:v>
      </x:c>
    </x:row>
    <x:row r="1675">
      <x:c r="A1675" s="16" t="n">
        <x:v>1706</x:v>
      </x:c>
      <x:c r="B1675" s="16" t="str">
        <x:v>connie koh ling yiunn</x:v>
      </x:c>
      <x:c r="C1675" s="16" t="str"/>
      <x:c r="D1675" s="16" t="str">
        <x:v>* myContacts</x:v>
      </x:c>
      <x:c r="E1675" s="16" t="str">
        <x:v>Missing email</x:v>
      </x:c>
    </x:row>
    <x:row r="1676">
      <x:c r="A1676" s="16" t="n">
        <x:v>1707</x:v>
      </x:c>
      <x:c r="B1676" s="16" t="str">
        <x:v>connie tmim</x:v>
      </x:c>
      <x:c r="C1676" s="16" t="str"/>
      <x:c r="D1676" s="16" t="str">
        <x:v>* myContacts</x:v>
      </x:c>
      <x:c r="E1676" s="16" t="str">
        <x:v>Missing email</x:v>
      </x:c>
    </x:row>
    <x:row r="1677">
      <x:c r="A1677" s="16" t="n">
        <x:v>1708</x:v>
      </x:c>
      <x:c r="B1677" s="16" t="str">
        <x:v>Contest Nestle</x:v>
      </x:c>
      <x:c r="C1677" s="16" t="str"/>
      <x:c r="D1677" s="16" t="str">
        <x:v>* myContacts</x:v>
      </x:c>
      <x:c r="E1677" s="16" t="str">
        <x:v>Missing email</x:v>
      </x:c>
    </x:row>
    <x:row r="1678">
      <x:c r="A1678" s="16" t="n">
        <x:v>1709</x:v>
      </x:c>
      <x:c r="B1678" s="16" t="str">
        <x:v>copilot microsoft</x:v>
      </x:c>
      <x:c r="C1678" s="16" t="str"/>
      <x:c r="D1678" s="16" t="str">
        <x:v>* myContacts</x:v>
      </x:c>
      <x:c r="E1678" s="16" t="str">
        <x:v>Missing email</x:v>
      </x:c>
    </x:row>
    <x:row r="1679">
      <x:c r="A1679" s="16" t="n">
        <x:v>1710</x:v>
      </x:c>
      <x:c r="B1679" s="16" t="str">
        <x:v>Cosmetik Nthree Skincare</x:v>
      </x:c>
      <x:c r="C1679" s="16" t="str"/>
      <x:c r="D1679" s="16" t="str">
        <x:v>* myContacts</x:v>
      </x:c>
      <x:c r="E1679" s="16" t="str">
        <x:v>Missing email</x:v>
      </x:c>
    </x:row>
    <x:row r="1680">
      <x:c r="A1680" s="16" t="n">
        <x:v>1711</x:v>
      </x:c>
      <x:c r="B1680" s="16" t="str">
        <x:v>courier CityLink Express cawangan kuala selangor</x:v>
      </x:c>
      <x:c r="C1680" s="16" t="str"/>
      <x:c r="D1680" s="16" t="str">
        <x:v>* myContacts</x:v>
      </x:c>
      <x:c r="E1680" s="16" t="str">
        <x:v>Missing email</x:v>
      </x:c>
    </x:row>
    <x:row r="1681">
      <x:c r="A1681" s="16" t="n">
        <x:v>1712</x:v>
      </x:c>
      <x:c r="B1681" s="16" t="str">
        <x:v>Coway Athirah</x:v>
      </x:c>
      <x:c r="C1681" s="16" t="str"/>
      <x:c r="D1681" s="16" t="str">
        <x:v>* myContacts</x:v>
      </x:c>
      <x:c r="E1681" s="16" t="str">
        <x:v>Missing email</x:v>
      </x:c>
    </x:row>
    <x:row r="1682">
      <x:c r="A1682" s="16" t="n">
        <x:v>1713</x:v>
      </x:c>
      <x:c r="B1682" s="16" t="str">
        <x:v>CPA Correa Beauty</x:v>
      </x:c>
      <x:c r="C1682" s="16" t="str"/>
      <x:c r="D1682" s="16" t="str">
        <x:v>* myContacts</x:v>
      </x:c>
      <x:c r="E1682" s="16" t="str">
        <x:v>Missing email</x:v>
      </x:c>
    </x:row>
    <x:row r="1683">
      <x:c r="A1683" s="16" t="n">
        <x:v>1714</x:v>
      </x:c>
      <x:c r="B1683" s="16" t="str">
        <x:v>Cromokan Live</x:v>
      </x:c>
      <x:c r="C1683" s="16" t="str"/>
      <x:c r="D1683" s="16" t="str">
        <x:v>* myContacts</x:v>
      </x:c>
      <x:c r="E1683" s="16" t="str">
        <x:v>Missing email</x:v>
      </x:c>
    </x:row>
    <x:row r="1684">
      <x:c r="A1684" s="16" t="n">
        <x:v>1715</x:v>
      </x:c>
      <x:c r="B1684" s="16" t="str">
        <x:v>Crystal X Produk Nasa</x:v>
      </x:c>
      <x:c r="C1684" s="16" t="str"/>
      <x:c r="D1684" s="16" t="str">
        <x:v>* myContacts</x:v>
      </x:c>
      <x:c r="E1684" s="16" t="str">
        <x:v>Missing email</x:v>
      </x:c>
    </x:row>
    <x:row r="1685">
      <x:c r="A1685" s="16" t="n">
        <x:v>1716</x:v>
      </x:c>
      <x:c r="B1685" s="16" t="str">
        <x:v>Ct Ainie</x:v>
      </x:c>
      <x:c r="C1685" s="16" t="str"/>
      <x:c r="D1685" s="16" t="str">
        <x:v>* myContacts</x:v>
      </x:c>
      <x:c r="E1685" s="16" t="str">
        <x:v>Missing email</x:v>
      </x:c>
    </x:row>
    <x:row r="1686">
      <x:c r="A1686" s="16" t="n">
        <x:v>1717</x:v>
      </x:c>
      <x:c r="B1686" s="16" t="str">
        <x:v>Ct Echah</x:v>
      </x:c>
      <x:c r="C1686" s="16" t="str"/>
      <x:c r="D1686" s="16" t="str">
        <x:v>* myContacts</x:v>
      </x:c>
      <x:c r="E1686" s="16" t="str">
        <x:v>Missing email</x:v>
      </x:c>
    </x:row>
    <x:row r="1687">
      <x:c r="A1687" s="16" t="n">
        <x:v>1718</x:v>
      </x:c>
      <x:c r="B1687" s="16" t="str">
        <x:v>Ct Eti NazconSauna</x:v>
      </x:c>
      <x:c r="C1687" s="16" t="str"/>
      <x:c r="D1687" s="16" t="str">
        <x:v>* myContacts</x:v>
      </x:c>
      <x:c r="E1687" s="16" t="str">
        <x:v>Missing email</x:v>
      </x:c>
    </x:row>
    <x:row r="1688">
      <x:c r="A1688" s="16" t="n">
        <x:v>1719</x:v>
      </x:c>
      <x:c r="B1688" s="16" t="str">
        <x:v>Ct Fatimah Che Awang</x:v>
      </x:c>
      <x:c r="C1688" s="16" t="str"/>
      <x:c r="D1688" s="16" t="str">
        <x:v>* myContacts</x:v>
      </x:c>
      <x:c r="E1688" s="16" t="str">
        <x:v>Missing email</x:v>
      </x:c>
    </x:row>
    <x:row r="1689">
      <x:c r="A1689" s="16" t="n">
        <x:v>1720</x:v>
      </x:c>
      <x:c r="B1689" s="16" t="str">
        <x:v>CT Nora Sikin</x:v>
      </x:c>
      <x:c r="C1689" s="16" t="str"/>
      <x:c r="D1689" s="16" t="str">
        <x:v>* myContacts</x:v>
      </x:c>
      <x:c r="E1689" s="16" t="str">
        <x:v>Missing email</x:v>
      </x:c>
    </x:row>
    <x:row r="1690">
      <x:c r="A1690" s="16" t="n">
        <x:v>1721</x:v>
      </x:c>
      <x:c r="B1690" s="16" t="str">
        <x:v>Ct Nurfadilah</x:v>
      </x:c>
      <x:c r="C1690" s="16" t="str"/>
      <x:c r="D1690" s="16" t="str">
        <x:v>* myContacts</x:v>
      </x:c>
      <x:c r="E1690" s="16" t="str">
        <x:v>Missing email</x:v>
      </x:c>
    </x:row>
    <x:row r="1691">
      <x:c r="A1691" s="16" t="n">
        <x:v>1722</x:v>
      </x:c>
      <x:c r="B1691" s="16" t="str">
        <x:v>Ct ZajErna Oji</x:v>
      </x:c>
      <x:c r="C1691" s="16" t="str"/>
      <x:c r="D1691" s="16" t="str">
        <x:v>* myContacts</x:v>
      </x:c>
      <x:c r="E1691" s="16" t="str">
        <x:v>Missing email</x:v>
      </x:c>
    </x:row>
    <x:row r="1692">
      <x:c r="A1692" s="16" t="n">
        <x:v>1723</x:v>
      </x:c>
      <x:c r="B1692" s="16" t="str">
        <x:v>CT's Tupperware</x:v>
      </x:c>
      <x:c r="C1692" s="16" t="str"/>
      <x:c r="D1692" s="16" t="str">
        <x:v>* myContacts</x:v>
      </x:c>
      <x:c r="E1692" s="16" t="str">
        <x:v>Missing email</x:v>
      </x:c>
    </x:row>
    <x:row r="1693">
      <x:c r="A1693" s="16" t="n">
        <x:v>1724</x:v>
      </x:c>
      <x:c r="B1693" s="16" t="str">
        <x:v>Ctea Fatimah Vitamincserum</x:v>
      </x:c>
      <x:c r="C1693" s="16" t="str"/>
      <x:c r="D1693" s="16" t="str">
        <x:v>* myContacts</x:v>
      </x:c>
      <x:c r="E1693" s="16" t="str">
        <x:v>Missing email</x:v>
      </x:c>
    </x:row>
    <x:row r="1694">
      <x:c r="A1694" s="16" t="n">
        <x:v>1725</x:v>
      </x:c>
      <x:c r="B1694" s="16" t="str">
        <x:v>CtMiss Liha CatalystLexee</x:v>
      </x:c>
      <x:c r="C1694" s="16" t="str"/>
      <x:c r="D1694" s="16" t="str">
        <x:v>* myContacts</x:v>
      </x:c>
      <x:c r="E1694" s="16" t="str">
        <x:v>Missing email</x:v>
      </x:c>
    </x:row>
    <x:row r="1695">
      <x:c r="A1695" s="16" t="n">
        <x:v>1726</x:v>
      </x:c>
      <x:c r="B1695" s="16" t="str">
        <x:v>Ctrod Malek</x:v>
      </x:c>
      <x:c r="C1695" s="16" t="str"/>
      <x:c r="D1695" s="16" t="str">
        <x:v>* myContacts</x:v>
      </x:c>
      <x:c r="E1695" s="16" t="str">
        <x:v>Missing email</x:v>
      </x:c>
    </x:row>
    <x:row r="1696">
      <x:c r="A1696" s="16" t="n">
        <x:v>1727</x:v>
      </x:c>
      <x:c r="B1696" s="16" t="str">
        <x:v>Ctsalbiah Ahmad</x:v>
      </x:c>
      <x:c r="C1696" s="16" t="str"/>
      <x:c r="D1696" s="16" t="str">
        <x:v>* myContacts</x:v>
      </x:c>
      <x:c r="E1696" s="16" t="str">
        <x:v>Missing email</x:v>
      </x:c>
    </x:row>
    <x:row r="1697">
      <x:c r="A1697" s="16" t="n">
        <x:v>1728</x:v>
      </x:c>
      <x:c r="B1697" s="16" t="str">
        <x:v>Cty Rohani Naniey</x:v>
      </x:c>
      <x:c r="C1697" s="16" t="str"/>
      <x:c r="D1697" s="16" t="str">
        <x:v>* myContacts</x:v>
      </x:c>
      <x:c r="E1697" s="16" t="str">
        <x:v>Missing email</x:v>
      </x:c>
    </x:row>
    <x:row r="1698">
      <x:c r="A1698" s="16" t="n">
        <x:v>1729</x:v>
      </x:c>
      <x:c r="B1698" s="16" t="str">
        <x:v>Ctz Siti Zubaidah</x:v>
      </x:c>
      <x:c r="C1698" s="16" t="str"/>
      <x:c r="D1698" s="16" t="str">
        <x:v>* myContacts</x:v>
      </x:c>
      <x:c r="E1698" s="16" t="str">
        <x:v>Missing email</x:v>
      </x:c>
    </x:row>
    <x:row r="1699">
      <x:c r="A1699" s="16" t="n">
        <x:v>1730</x:v>
      </x:c>
      <x:c r="B1699" s="16" t="str">
        <x:v>Cus Noorsani</x:v>
      </x:c>
      <x:c r="C1699" s="16" t="str"/>
      <x:c r="D1699" s="16" t="str">
        <x:v>* myContacts</x:v>
      </x:c>
      <x:c r="E1699" s="16" t="str">
        <x:v>Missing email</x:v>
      </x:c>
    </x:row>
    <x:row r="1700">
      <x:c r="A1700" s="16" t="n">
        <x:v>1731</x:v>
      </x:c>
      <x:c r="B1700" s="16" t="str">
        <x:v>Cut Mutia</x:v>
      </x:c>
      <x:c r="C1700" s="16" t="str"/>
      <x:c r="D1700" s="16" t="str">
        <x:v>* myContacts</x:v>
      </x:c>
      <x:c r="E1700" s="16" t="str">
        <x:v>Missing email</x:v>
      </x:c>
    </x:row>
    <x:row r="1701">
      <x:c r="A1701" s="16" t="n">
        <x:v>1732</x:v>
      </x:c>
      <x:c r="B1701" s="16" t="str">
        <x:v>cwa support</x:v>
      </x:c>
      <x:c r="C1701" s="16" t="str"/>
      <x:c r="D1701" s="16" t="str">
        <x:v>* myContacts</x:v>
      </x:c>
      <x:c r="E1701" s="16" t="str">
        <x:v>Missing email</x:v>
      </x:c>
    </x:row>
    <x:row r="1702">
      <x:c r="A1702" s="16" t="n">
        <x:v>1733</x:v>
      </x:c>
      <x:c r="B1702" s="16" t="str">
        <x:v>Cyg Xiie Montelx</x:v>
      </x:c>
      <x:c r="C1702" s="16" t="str"/>
      <x:c r="D1702" s="16" t="str">
        <x:v>* myContacts</x:v>
      </x:c>
      <x:c r="E1702" s="16" t="str">
        <x:v>Missing email</x:v>
      </x:c>
    </x:row>
    <x:row r="1703">
      <x:c r="A1703" s="16" t="n">
        <x:v>1734</x:v>
      </x:c>
      <x:c r="B1703" s="16" t="str">
        <x:v>Cyla Cylasheela</x:v>
      </x:c>
      <x:c r="C1703" s="16" t="str"/>
      <x:c r="D1703" s="16" t="str">
        <x:v>* myContacts</x:v>
      </x:c>
      <x:c r="E1703" s="16" t="str">
        <x:v>Missing email</x:v>
      </x:c>
    </x:row>
    <x:row r="1704">
      <x:c r="A1704" s="16" t="n">
        <x:v>1735</x:v>
      </x:c>
      <x:c r="B1704" s="16" t="str">
        <x:v>Cyril David</x:v>
      </x:c>
      <x:c r="C1704" s="16" t="str"/>
      <x:c r="D1704" s="16" t="str">
        <x:v>* myContacts</x:v>
      </x:c>
      <x:c r="E1704" s="16" t="str">
        <x:v>Missing email</x:v>
      </x:c>
    </x:row>
    <x:row r="1705">
      <x:c r="A1705" s="16" t="n">
        <x:v>1736</x:v>
      </x:c>
      <x:c r="B1705" s="16" t="str">
        <x:v>Czedkell Mohamed</x:v>
      </x:c>
      <x:c r="C1705" s="16" t="str"/>
      <x:c r="D1705" s="16" t="str">
        <x:v>* myContacts</x:v>
      </x:c>
      <x:c r="E1705" s="16" t="str">
        <x:v>Missing email</x:v>
      </x:c>
    </x:row>
    <x:row r="1706">
      <x:c r="A1706" s="16" t="n">
        <x:v>1737</x:v>
      </x:c>
      <x:c r="B1706" s="16" t="str">
        <x:v>D Zul Fiqar</x:v>
      </x:c>
      <x:c r="C1706" s="16" t="str"/>
      <x:c r="D1706" s="16" t="str">
        <x:v>* myContacts</x:v>
      </x:c>
      <x:c r="E1706" s="16" t="str">
        <x:v>Missing email</x:v>
      </x:c>
    </x:row>
    <x:row r="1707">
      <x:c r="A1707" s="16" t="n">
        <x:v>1738</x:v>
      </x:c>
      <x:c r="B1707" s="16" t="str">
        <x:v>D-Max Pest</x:v>
      </x:c>
      <x:c r="C1707" s="16" t="str"/>
      <x:c r="D1707" s="16" t="str">
        <x:v>* myContacts</x:v>
      </x:c>
      <x:c r="E1707" s="16" t="str">
        <x:v>Missing email</x:v>
      </x:c>
    </x:row>
    <x:row r="1708">
      <x:c r="A1708" s="16" t="n">
        <x:v>1739</x:v>
      </x:c>
      <x:c r="B1708" s="16" t="str">
        <x:v>D'ayue Collect Ayu</x:v>
      </x:c>
      <x:c r="C1708" s="16" t="str"/>
      <x:c r="D1708" s="16" t="str">
        <x:v>* myContacts</x:v>
      </x:c>
      <x:c r="E1708" s="16" t="str">
        <x:v>Missing email</x:v>
      </x:c>
    </x:row>
    <x:row r="1709">
      <x:c r="A1709" s="16" t="n">
        <x:v>1740</x:v>
      </x:c>
      <x:c r="B1709" s="16" t="str">
        <x:v>D'elldye Superb Kosmetik</x:v>
      </x:c>
      <x:c r="C1709" s="16" t="str"/>
      <x:c r="D1709" s="16" t="str">
        <x:v>* myContacts</x:v>
      </x:c>
      <x:c r="E1709" s="16" t="str">
        <x:v>Missing email</x:v>
      </x:c>
    </x:row>
    <x:row r="1710">
      <x:c r="A1710" s="16" t="n">
        <x:v>1741</x:v>
      </x:c>
      <x:c r="B1710" s="16" t="str">
        <x:v>D'fara Farhana</x:v>
      </x:c>
      <x:c r="C1710" s="16" t="str"/>
      <x:c r="D1710" s="16" t="str">
        <x:v>* myContacts</x:v>
      </x:c>
      <x:c r="E1710" s="16" t="str">
        <x:v>Missing email</x:v>
      </x:c>
    </x:row>
    <x:row r="1711">
      <x:c r="A1711" s="16" t="n">
        <x:v>1742</x:v>
      </x:c>
      <x:c r="B1711" s="16" t="str">
        <x:v>D'fiesha Corner</x:v>
      </x:c>
      <x:c r="C1711" s="16" t="str"/>
      <x:c r="D1711" s="16" t="str">
        <x:v>* myContacts</x:v>
      </x:c>
      <x:c r="E1711" s="16" t="str">
        <x:v>Missing email</x:v>
      </x:c>
    </x:row>
    <x:row r="1712">
      <x:c r="A1712" s="16" t="n">
        <x:v>1743</x:v>
      </x:c>
      <x:c r="B1712" s="16" t="str">
        <x:v>D'iq Conopy Entertaiment</x:v>
      </x:c>
      <x:c r="C1712" s="16" t="str"/>
      <x:c r="D1712" s="16" t="str">
        <x:v>* myContacts</x:v>
      </x:c>
      <x:c r="E1712" s="16" t="str">
        <x:v>Missing email</x:v>
      </x:c>
    </x:row>
    <x:row r="1713">
      <x:c r="A1713" s="16" t="n">
        <x:v>1744</x:v>
      </x:c>
      <x:c r="B1713" s="16" t="str">
        <x:v>D'Putra Masterpiece</x:v>
      </x:c>
      <x:c r="C1713" s="16" t="str"/>
      <x:c r="D1713" s="16" t="str">
        <x:v>* myContacts</x:v>
      </x:c>
      <x:c r="E1713" s="16" t="str">
        <x:v>Missing email</x:v>
      </x:c>
    </x:row>
    <x:row r="1714">
      <x:c r="A1714" s="16" t="n">
        <x:v>1745</x:v>
      </x:c>
      <x:c r="B1714" s="16" t="str">
        <x:v>D'rimba Flora</x:v>
      </x:c>
      <x:c r="C1714" s="16" t="str"/>
      <x:c r="D1714" s="16" t="str">
        <x:v>* myContacts</x:v>
      </x:c>
      <x:c r="E1714" s="16" t="str">
        <x:v>Missing email</x:v>
      </x:c>
    </x:row>
    <x:row r="1715">
      <x:c r="A1715" s="16" t="n">
        <x:v>1746</x:v>
      </x:c>
      <x:c r="B1715" s="16" t="str">
        <x:v>D'Waty Arif</x:v>
      </x:c>
      <x:c r="C1715" s="16" t="str"/>
      <x:c r="D1715" s="16" t="str">
        <x:v>* myContacts</x:v>
      </x:c>
      <x:c r="E1715" s="16" t="str">
        <x:v>Missing email</x:v>
      </x:c>
    </x:row>
    <x:row r="1716">
      <x:c r="A1716" s="16" t="n">
        <x:v>1747</x:v>
      </x:c>
      <x:c r="B1716" s="16" t="str">
        <x:v>Dadat Selamat</x:v>
      </x:c>
      <x:c r="C1716" s="16" t="str"/>
      <x:c r="D1716" s="16" t="str">
        <x:v>* myContacts</x:v>
      </x:c>
      <x:c r="E1716" s="16" t="str">
        <x:v>Missing email</x:v>
      </x:c>
    </x:row>
    <x:row r="1717">
      <x:c r="A1717" s="16" t="n">
        <x:v>1748</x:v>
      </x:c>
      <x:c r="B1717" s="16" t="str">
        <x:v>Dadat Selamat II</x:v>
      </x:c>
      <x:c r="C1717" s="16" t="str"/>
      <x:c r="D1717" s="16" t="str">
        <x:v>* myContacts</x:v>
      </x:c>
      <x:c r="E1717" s="16" t="str">
        <x:v>Missing email</x:v>
      </x:c>
    </x:row>
    <x:row r="1718">
      <x:c r="A1718" s="16" t="n">
        <x:v>1749</x:v>
      </x:c>
      <x:c r="B1718" s="16" t="str">
        <x:v>Daeng Gagak</x:v>
      </x:c>
      <x:c r="C1718" s="16" t="str"/>
      <x:c r="D1718" s="16" t="str">
        <x:v>* myContacts</x:v>
      </x:c>
      <x:c r="E1718" s="16" t="str">
        <x:v>Missing email</x:v>
      </x:c>
    </x:row>
    <x:row r="1719">
      <x:c r="A1719" s="16" t="n">
        <x:v>1750</x:v>
      </x:c>
      <x:c r="B1719" s="16" t="str">
        <x:v>Dahlia Ddesign</x:v>
      </x:c>
      <x:c r="C1719" s="16" t="str"/>
      <x:c r="D1719" s="16" t="str">
        <x:v>* myContacts</x:v>
      </x:c>
      <x:c r="E1719" s="16" t="str">
        <x:v>Missing email</x:v>
      </x:c>
    </x:row>
    <x:row r="1720">
      <x:c r="A1720" s="16" t="n">
        <x:v>1751</x:v>
      </x:c>
      <x:c r="B1720" s="16" t="str">
        <x:v>Dahlia Mizs</x:v>
      </x:c>
      <x:c r="C1720" s="16" t="str"/>
      <x:c r="D1720" s="16" t="str">
        <x:v>* myContacts</x:v>
      </x:c>
      <x:c r="E1720" s="16" t="str">
        <x:v>Missing email</x:v>
      </x:c>
    </x:row>
    <x:row r="1721">
      <x:c r="A1721" s="16" t="n">
        <x:v>1752</x:v>
      </x:c>
      <x:c r="B1721" s="16" t="str">
        <x:v>DaiNee RaZwan</x:v>
      </x:c>
      <x:c r="C1721" s="16" t="str"/>
      <x:c r="D1721" s="16" t="str">
        <x:v>* myContacts</x:v>
      </x:c>
      <x:c r="E1721" s="16" t="str">
        <x:v>Missing email</x:v>
      </x:c>
    </x:row>
    <x:row r="1722">
      <x:c r="A1722" s="16" t="n">
        <x:v>1753</x:v>
      </x:c>
      <x:c r="B1722" s="16" t="str">
        <x:v>Dak Wan Aircond</x:v>
      </x:c>
      <x:c r="C1722" s="16" t="str"/>
      <x:c r="D1722" s="16" t="str">
        <x:v>* myContacts</x:v>
      </x:c>
      <x:c r="E1722" s="16" t="str">
        <x:v>Missing email</x:v>
      </x:c>
    </x:row>
    <x:row r="1723">
      <x:c r="A1723" s="16" t="n">
        <x:v>1754</x:v>
      </x:c>
      <x:c r="B1723" s="16" t="str">
        <x:v>DakZura Homebaker</x:v>
      </x:c>
      <x:c r="C1723" s="16" t="str"/>
      <x:c r="D1723" s="16" t="str">
        <x:v>* myContacts</x:v>
      </x:c>
      <x:c r="E1723" s="16" t="str">
        <x:v>Missing email</x:v>
      </x:c>
    </x:row>
    <x:row r="1724">
      <x:c r="A1724" s="16" t="n">
        <x:v>1755</x:v>
      </x:c>
      <x:c r="B1724" s="16" t="str">
        <x:v>Dali Hj Salim AGP</x:v>
      </x:c>
      <x:c r="C1724" s="16" t="str"/>
      <x:c r="D1724" s="16" t="str">
        <x:v>* myContacts</x:v>
      </x:c>
      <x:c r="E1724" s="16" t="str">
        <x:v>Missing email</x:v>
      </x:c>
    </x:row>
    <x:row r="1725">
      <x:c r="A1725" s="16" t="n">
        <x:v>1756</x:v>
      </x:c>
      <x:c r="B1725" s="16" t="str">
        <x:v>Dalina Ina</x:v>
      </x:c>
      <x:c r="C1725" s="16" t="str"/>
      <x:c r="D1725" s="16" t="str">
        <x:v>* myContacts</x:v>
      </x:c>
      <x:c r="E1725" s="16" t="str">
        <x:v>Missing email</x:v>
      </x:c>
    </x:row>
    <x:row r="1726">
      <x:c r="A1726" s="16" t="n">
        <x:v>1757</x:v>
      </x:c>
      <x:c r="B1726" s="16" t="str">
        <x:v>Damaliqa Marlia</x:v>
      </x:c>
      <x:c r="C1726" s="16" t="str"/>
      <x:c r="D1726" s="16" t="str">
        <x:v>* myContacts</x:v>
      </x:c>
      <x:c r="E1726" s="16" t="str">
        <x:v>Missing email</x:v>
      </x:c>
    </x:row>
    <x:row r="1727">
      <x:c r="A1727" s="16" t="n">
        <x:v>1758</x:v>
      </x:c>
      <x:c r="B1727" s="16" t="str">
        <x:v>Dani IM</x:v>
      </x:c>
      <x:c r="C1727" s="16" t="str"/>
      <x:c r="D1727" s="16" t="str">
        <x:v>* myContacts</x:v>
      </x:c>
      <x:c r="E1727" s="16" t="str">
        <x:v>Missing email</x:v>
      </x:c>
    </x:row>
    <x:row r="1728">
      <x:c r="A1728" s="16" t="n">
        <x:v>1759</x:v>
      </x:c>
      <x:c r="B1728" s="16" t="str">
        <x:v>Dania Decor</x:v>
      </x:c>
      <x:c r="C1728" s="16" t="str"/>
      <x:c r="D1728" s="16" t="str">
        <x:v>* myContacts</x:v>
      </x:c>
      <x:c r="E1728" s="16" t="str">
        <x:v>Missing email</x:v>
      </x:c>
    </x:row>
    <x:row r="1729">
      <x:c r="A1729" s="16" t="n">
        <x:v>1760</x:v>
      </x:c>
      <x:c r="B1729" s="16" t="str">
        <x:v>Dania Nur Qaseh</x:v>
      </x:c>
      <x:c r="C1729" s="16" t="str"/>
      <x:c r="D1729" s="16" t="str">
        <x:v>* myContacts</x:v>
      </x:c>
      <x:c r="E1729" s="16" t="str">
        <x:v>Missing email</x:v>
      </x:c>
    </x:row>
    <x:row r="1730">
      <x:c r="A1730" s="16" t="n">
        <x:v>1761</x:v>
      </x:c>
      <x:c r="B1730" s="16" t="str">
        <x:v>Dania Zafirah</x:v>
      </x:c>
      <x:c r="C1730" s="16" t="str"/>
      <x:c r="D1730" s="16" t="str">
        <x:v>* myContacts</x:v>
      </x:c>
      <x:c r="E1730" s="16" t="str">
        <x:v>Missing email</x:v>
      </x:c>
    </x:row>
    <x:row r="1731">
      <x:c r="A1731" s="16" t="n">
        <x:v>1762</x:v>
      </x:c>
      <x:c r="B1731" s="16" t="str">
        <x:v>Danial Arif Urut Chemor</x:v>
      </x:c>
      <x:c r="C1731" s="16" t="str"/>
      <x:c r="D1731" s="16" t="str">
        <x:v>* myContacts</x:v>
      </x:c>
      <x:c r="E1731" s="16" t="str">
        <x:v>Missing email</x:v>
      </x:c>
    </x:row>
    <x:row r="1732">
      <x:c r="A1732" s="16" t="n">
        <x:v>1763</x:v>
      </x:c>
      <x:c r="B1732" s="16" t="str">
        <x:v>Danial Danish</x:v>
      </x:c>
      <x:c r="C1732" s="16" t="str"/>
      <x:c r="D1732" s="16" t="str">
        <x:v>* myContacts</x:v>
      </x:c>
      <x:c r="E1732" s="16" t="str">
        <x:v>Missing email</x:v>
      </x:c>
    </x:row>
    <x:row r="1733">
      <x:c r="A1733" s="16" t="n">
        <x:v>1764</x:v>
      </x:c>
      <x:c r="B1733" s="16" t="str">
        <x:v>Danial Fikri</x:v>
      </x:c>
      <x:c r="C1733" s="16" t="str"/>
      <x:c r="D1733" s="16" t="str">
        <x:v>* myContacts</x:v>
      </x:c>
      <x:c r="E1733" s="16" t="str">
        <x:v>Missing email</x:v>
      </x:c>
    </x:row>
    <x:row r="1734">
      <x:c r="A1734" s="16" t="n">
        <x:v>1765</x:v>
      </x:c>
      <x:c r="B1734" s="16" t="str">
        <x:v>Danial Hakim</x:v>
      </x:c>
      <x:c r="C1734" s="16" t="str"/>
      <x:c r="D1734" s="16" t="str">
        <x:v>* myContacts</x:v>
      </x:c>
      <x:c r="E1734" s="16" t="str">
        <x:v>Missing email</x:v>
      </x:c>
    </x:row>
    <x:row r="1735">
      <x:c r="A1735" s="16" t="n">
        <x:v>1766</x:v>
      </x:c>
      <x:c r="B1735" s="16" t="str">
        <x:v>Danial Haziq Stephen</x:v>
      </x:c>
      <x:c r="C1735" s="16" t="str"/>
      <x:c r="D1735" s="16" t="str">
        <x:v>* myContacts</x:v>
      </x:c>
      <x:c r="E1735" s="16" t="str">
        <x:v>Missing email</x:v>
      </x:c>
    </x:row>
    <x:row r="1736">
      <x:c r="A1736" s="16" t="n">
        <x:v>1767</x:v>
      </x:c>
      <x:c r="B1736" s="16" t="str">
        <x:v>Danial Jay</x:v>
      </x:c>
      <x:c r="C1736" s="16" t="str"/>
      <x:c r="D1736" s="16" t="str">
        <x:v>* myContacts</x:v>
      </x:c>
      <x:c r="E1736" s="16" t="str">
        <x:v>Missing email</x:v>
      </x:c>
    </x:row>
    <x:row r="1737">
      <x:c r="A1737" s="16" t="n">
        <x:v>1768</x:v>
      </x:c>
      <x:c r="B1737" s="16" t="str">
        <x:v>Danial Nazrin</x:v>
      </x:c>
      <x:c r="C1737" s="16" t="str"/>
      <x:c r="D1737" s="16" t="str">
        <x:v>* myContacts</x:v>
      </x:c>
      <x:c r="E1737" s="16" t="str">
        <x:v>Missing email</x:v>
      </x:c>
    </x:row>
    <x:row r="1738">
      <x:c r="A1738" s="16" t="n">
        <x:v>1769</x:v>
      </x:c>
      <x:c r="B1738" s="16" t="str">
        <x:v>Danial Spring Damper</x:v>
      </x:c>
      <x:c r="C1738" s="16" t="str"/>
      <x:c r="D1738" s="16" t="str">
        <x:v>* myContacts</x:v>
      </x:c>
      <x:c r="E1738" s="16" t="str">
        <x:v>Missing email</x:v>
      </x:c>
    </x:row>
    <x:row r="1739">
      <x:c r="A1739" s="16" t="n">
        <x:v>1770</x:v>
      </x:c>
      <x:c r="B1739" s="16" t="str">
        <x:v>Danial Yamaha Nlp</x:v>
      </x:c>
      <x:c r="C1739" s="16" t="str"/>
      <x:c r="D1739" s="16" t="str">
        <x:v>* myContacts</x:v>
      </x:c>
      <x:c r="E1739" s="16" t="str">
        <x:v>Missing email</x:v>
      </x:c>
    </x:row>
    <x:row r="1740">
      <x:c r="A1740" s="16" t="n">
        <x:v>1771</x:v>
      </x:c>
      <x:c r="B1740" s="16" t="str">
        <x:v>Daniel Adden</x:v>
      </x:c>
      <x:c r="C1740" s="16" t="str"/>
      <x:c r="D1740" s="16" t="str">
        <x:v>* myContacts</x:v>
      </x:c>
      <x:c r="E1740" s="16" t="str">
        <x:v>Missing email</x:v>
      </x:c>
    </x:row>
    <x:row r="1741">
      <x:c r="A1741" s="16" t="n">
        <x:v>1772</x:v>
      </x:c>
      <x:c r="B1741" s="16" t="str">
        <x:v>Daniel Hijrah Selangor</x:v>
      </x:c>
      <x:c r="C1741" s="16" t="str"/>
      <x:c r="D1741" s="16" t="str">
        <x:v>* myContacts</x:v>
      </x:c>
      <x:c r="E1741" s="16" t="str">
        <x:v>Missing email</x:v>
      </x:c>
    </x:row>
    <x:row r="1742">
      <x:c r="A1742" s="16" t="n">
        <x:v>1773</x:v>
      </x:c>
      <x:c r="B1742" s="16" t="str">
        <x:v>Daniel Homeliving</x:v>
      </x:c>
      <x:c r="C1742" s="16" t="str"/>
      <x:c r="D1742" s="16" t="str">
        <x:v>* myContacts</x:v>
      </x:c>
      <x:c r="E1742" s="16" t="str">
        <x:v>Missing email</x:v>
      </x:c>
    </x:row>
    <x:row r="1743">
      <x:c r="A1743" s="16" t="n">
        <x:v>1774</x:v>
      </x:c>
      <x:c r="B1743" s="16" t="str">
        <x:v>Daniel Joseph</x:v>
      </x:c>
      <x:c r="C1743" s="16" t="str"/>
      <x:c r="D1743" s="16" t="str">
        <x:v>* myContacts</x:v>
      </x:c>
      <x:c r="E1743" s="16" t="str">
        <x:v>Missing email</x:v>
      </x:c>
    </x:row>
    <x:row r="1744">
      <x:c r="A1744" s="16" t="n">
        <x:v>1775</x:v>
      </x:c>
      <x:c r="B1744" s="16" t="str">
        <x:v>Daniel Kriss</x:v>
      </x:c>
      <x:c r="C1744" s="16" t="str"/>
      <x:c r="D1744" s="16" t="str">
        <x:v>* myContacts</x:v>
      </x:c>
      <x:c r="E1744" s="16" t="str">
        <x:v>Missing email</x:v>
      </x:c>
    </x:row>
    <x:row r="1745">
      <x:c r="A1745" s="16" t="n">
        <x:v>1776</x:v>
      </x:c>
      <x:c r="B1745" s="16" t="str">
        <x:v>Daniel Lai</x:v>
      </x:c>
      <x:c r="C1745" s="16" t="str"/>
      <x:c r="D1745" s="16" t="str">
        <x:v>* myContacts</x:v>
      </x:c>
      <x:c r="E1745" s="16" t="str">
        <x:v>Missing email</x:v>
      </x:c>
    </x:row>
    <x:row r="1746">
      <x:c r="A1746" s="16" t="n">
        <x:v>1777</x:v>
      </x:c>
      <x:c r="B1746" s="16" t="str">
        <x:v>Daniesya Baharum</x:v>
      </x:c>
      <x:c r="C1746" s="16" t="str"/>
      <x:c r="D1746" s="16" t="str">
        <x:v>* myContacts</x:v>
      </x:c>
      <x:c r="E1746" s="16" t="str">
        <x:v>Missing email</x:v>
      </x:c>
    </x:row>
    <x:row r="1747">
      <x:c r="A1747" s="16" t="n">
        <x:v>1778</x:v>
      </x:c>
      <x:c r="B1747" s="16" t="str">
        <x:v>Danisha Don Daniella</x:v>
      </x:c>
      <x:c r="C1747" s="16" t="str"/>
      <x:c r="D1747" s="16" t="str">
        <x:v>* myContacts</x:v>
      </x:c>
      <x:c r="E1747" s="16" t="str">
        <x:v>Missing email</x:v>
      </x:c>
    </x:row>
    <x:row r="1748">
      <x:c r="A1748" s="16" t="n">
        <x:v>1779</x:v>
      </x:c>
      <x:c r="B1748" s="16" t="str">
        <x:v>Danny Jesley</x:v>
      </x:c>
      <x:c r="C1748" s="16" t="str"/>
      <x:c r="D1748" s="16" t="str">
        <x:v>* myContacts</x:v>
      </x:c>
      <x:c r="E1748" s="16" t="str">
        <x:v>Missing email</x:v>
      </x:c>
    </x:row>
    <x:row r="1749">
      <x:c r="A1749" s="16" t="n">
        <x:v>1780</x:v>
      </x:c>
      <x:c r="B1749" s="16" t="str">
        <x:v>Dapit E Xemex</x:v>
      </x:c>
      <x:c r="C1749" s="16" t="str"/>
      <x:c r="D1749" s="16" t="str">
        <x:v>* myContacts</x:v>
      </x:c>
      <x:c r="E1749" s="16" t="str">
        <x:v>Missing email</x:v>
      </x:c>
    </x:row>
    <x:row r="1750">
      <x:c r="A1750" s="16" t="n">
        <x:v>1781</x:v>
      </x:c>
      <x:c r="B1750" s="16" t="str">
        <x:v>Dapur Suri</x:v>
      </x:c>
      <x:c r="C1750" s="16" t="str"/>
      <x:c r="D1750" s="16" t="str">
        <x:v>* myContacts</x:v>
      </x:c>
      <x:c r="E1750" s="16" t="str">
        <x:v>Missing email</x:v>
      </x:c>
    </x:row>
    <x:row r="1751">
      <x:c r="A1751" s="16" t="n">
        <x:v>1782</x:v>
      </x:c>
      <x:c r="B1751" s="16" t="str">
        <x:v>Darling Suria Ramly</x:v>
      </x:c>
      <x:c r="C1751" s="16" t="str"/>
      <x:c r="D1751" s="16" t="str">
        <x:v>* myContacts</x:v>
      </x:c>
      <x:c r="E1751" s="16" t="str">
        <x:v>Missing email</x:v>
      </x:c>
    </x:row>
    <x:row r="1752">
      <x:c r="A1752" s="16" t="n">
        <x:v>1783</x:v>
      </x:c>
      <x:c r="B1752" s="16" t="str">
        <x:v>Darrel Luke</x:v>
      </x:c>
      <x:c r="C1752" s="16" t="str"/>
      <x:c r="D1752" s="16" t="str">
        <x:v>* myContacts</x:v>
      </x:c>
      <x:c r="E1752" s="16" t="str">
        <x:v>Missing email</x:v>
      </x:c>
    </x:row>
    <x:row r="1753">
      <x:c r="A1753" s="16" t="n">
        <x:v>1784</x:v>
      </x:c>
      <x:c r="B1753" s="16" t="str">
        <x:v>Darrina Andress Damien</x:v>
      </x:c>
      <x:c r="C1753" s="16" t="str"/>
      <x:c r="D1753" s="16" t="str">
        <x:v>* myContacts</x:v>
      </x:c>
      <x:c r="E1753" s="16" t="str">
        <x:v>Missing email</x:v>
      </x:c>
    </x:row>
    <x:row r="1754">
      <x:c r="A1754" s="16" t="n">
        <x:v>1785</x:v>
      </x:c>
      <x:c r="B1754" s="16" t="str">
        <x:v>Darul Najmi</x:v>
      </x:c>
      <x:c r="C1754" s="16" t="str"/>
      <x:c r="D1754" s="16" t="str">
        <x:v>* myContacts</x:v>
      </x:c>
      <x:c r="E1754" s="16" t="str">
        <x:v>Missing email</x:v>
      </x:c>
    </x:row>
    <x:row r="1755">
      <x:c r="A1755" s="16" t="n">
        <x:v>1786</x:v>
      </x:c>
      <x:c r="B1755" s="16" t="str">
        <x:v>Darul Ridzwan Derome</x:v>
      </x:c>
      <x:c r="C1755" s="16" t="str"/>
      <x:c r="D1755" s="16" t="str">
        <x:v>* myContacts</x:v>
      </x:c>
      <x:c r="E1755" s="16" t="str">
        <x:v>Missing email</x:v>
      </x:c>
    </x:row>
    <x:row r="1756">
      <x:c r="A1756" s="16" t="n">
        <x:v>1788</x:v>
      </x:c>
      <x:c r="B1756" s="16" t="str">
        <x:v>Dasmayanti Mustafa</x:v>
      </x:c>
      <x:c r="C1756" s="16" t="str"/>
      <x:c r="D1756" s="16" t="str">
        <x:v>* myContacts</x:v>
      </x:c>
      <x:c r="E1756" s="16" t="str">
        <x:v>Missing email</x:v>
      </x:c>
    </x:row>
    <x:row r="1757">
      <x:c r="A1757" s="16" t="n">
        <x:v>1789</x:v>
      </x:c>
      <x:c r="B1757" s="16" t="str">
        <x:v>datin questina yunus</x:v>
      </x:c>
      <x:c r="C1757" s="16" t="str"/>
      <x:c r="D1757" s="16" t="str">
        <x:v>* myContacts</x:v>
      </x:c>
      <x:c r="E1757" s="16" t="str">
        <x:v>Missing email</x:v>
      </x:c>
    </x:row>
    <x:row r="1758">
      <x:c r="A1758" s="16" t="n">
        <x:v>1790</x:v>
      </x:c>
      <x:c r="B1758" s="16" t="str">
        <x:v>Dato Ayah Amin Fahmi</x:v>
      </x:c>
      <x:c r="C1758" s="16" t="str"/>
      <x:c r="D1758" s="16" t="str">
        <x:v>* myContacts</x:v>
      </x:c>
      <x:c r="E1758" s="16" t="str">
        <x:v>Missing email</x:v>
      </x:c>
    </x:row>
    <x:row r="1759">
      <x:c r="A1759" s="16" t="n">
        <x:v>1791</x:v>
      </x:c>
      <x:c r="B1759" s="16" t="str">
        <x:v>Dato Azli Dpim Pahang</x:v>
      </x:c>
      <x:c r="C1759" s="16" t="str"/>
      <x:c r="D1759" s="16" t="str">
        <x:v>* myContacts</x:v>
      </x:c>
      <x:c r="E1759" s="16" t="str">
        <x:v>Missing email</x:v>
      </x:c>
    </x:row>
    <x:row r="1760">
      <x:c r="A1760" s="16" t="n">
        <x:v>1792</x:v>
      </x:c>
      <x:c r="B1760" s="16" t="str">
        <x:v>Dato Azman Tart</x:v>
      </x:c>
      <x:c r="C1760" s="16" t="str"/>
      <x:c r="D1760" s="16" t="str">
        <x:v>* myContacts</x:v>
      </x:c>
      <x:c r="E1760" s="16" t="str">
        <x:v>Missing email</x:v>
      </x:c>
    </x:row>
    <x:row r="1761">
      <x:c r="A1761" s="16" t="n">
        <x:v>1793</x:v>
      </x:c>
      <x:c r="B1761" s="16" t="str">
        <x:v>Dato Hifdzi Hamzah Al Qadiry</x:v>
      </x:c>
      <x:c r="C1761" s="16" t="str"/>
      <x:c r="D1761" s="16" t="str">
        <x:v>* myContacts</x:v>
      </x:c>
      <x:c r="E1761" s="16" t="str">
        <x:v>Missing email</x:v>
      </x:c>
    </x:row>
    <x:row r="1762">
      <x:c r="A1762" s="16" t="n">
        <x:v>1794</x:v>
      </x:c>
      <x:c r="B1762" s="16" t="str">
        <x:v>Dato Hj Rusly</x:v>
      </x:c>
      <x:c r="C1762" s="16" t="str"/>
      <x:c r="D1762" s="16" t="str">
        <x:v>* myContacts</x:v>
      </x:c>
      <x:c r="E1762" s="16" t="str">
        <x:v>Missing email</x:v>
      </x:c>
    </x:row>
    <x:row r="1763">
      <x:c r="A1763" s="16" t="n">
        <x:v>1795</x:v>
      </x:c>
      <x:c r="B1763" s="16" t="str">
        <x:v>Dato Khairul DPIM</x:v>
      </x:c>
      <x:c r="C1763" s="16" t="str"/>
      <x:c r="D1763" s="16" t="str">
        <x:v>* myContacts | * starred</x:v>
      </x:c>
      <x:c r="E1763" s="16" t="str">
        <x:v>Missing email</x:v>
      </x:c>
    </x:row>
    <x:row r="1764">
      <x:c r="A1764" s="16" t="n">
        <x:v>1796</x:v>
      </x:c>
      <x:c r="B1764" s="16" t="str">
        <x:v>Dato Khalil</x:v>
      </x:c>
      <x:c r="C1764" s="16" t="str"/>
      <x:c r="D1764" s="16" t="str">
        <x:v>* myContacts</x:v>
      </x:c>
      <x:c r="E1764" s="16" t="str">
        <x:v>Missing email</x:v>
      </x:c>
    </x:row>
    <x:row r="1765">
      <x:c r="A1765" s="16" t="n">
        <x:v>1797</x:v>
      </x:c>
      <x:c r="B1765" s="16" t="str">
        <x:v>Dato Kuzie Madzlan</x:v>
      </x:c>
      <x:c r="C1765" s="16" t="str"/>
      <x:c r="D1765" s="16" t="str">
        <x:v>* myContacts</x:v>
      </x:c>
      <x:c r="E1765" s="16" t="str">
        <x:v>Missing email</x:v>
      </x:c>
    </x:row>
    <x:row r="1766">
      <x:c r="A1766" s="16" t="n">
        <x:v>1798</x:v>
      </x:c>
      <x:c r="B1766" s="16" t="str">
        <x:v>Dato Najib</x:v>
      </x:c>
      <x:c r="C1766" s="16" t="str"/>
      <x:c r="D1766" s="16" t="str">
        <x:v>* myContacts</x:v>
      </x:c>
      <x:c r="E1766" s="16" t="str">
        <x:v>Missing email</x:v>
      </x:c>
    </x:row>
    <x:row r="1767">
      <x:c r="A1767" s="16" t="n">
        <x:v>1799</x:v>
      </x:c>
      <x:c r="B1767" s="16" t="str">
        <x:v>Dato Norzam Darmin DPIM Johor</x:v>
      </x:c>
      <x:c r="C1767" s="16" t="str"/>
      <x:c r="D1767" s="16" t="str">
        <x:v>* myContacts</x:v>
      </x:c>
      <x:c r="E1767" s="16" t="str">
        <x:v>Missing email</x:v>
      </x:c>
    </x:row>
    <x:row r="1768">
      <x:c r="A1768" s="16" t="n">
        <x:v>1800</x:v>
      </x:c>
      <x:c r="B1768" s="16" t="str">
        <x:v>Dato Ramlee Kariah SSMJ</x:v>
      </x:c>
      <x:c r="C1768" s="16" t="str"/>
      <x:c r="D1768" s="16" t="str">
        <x:v>* myContacts</x:v>
      </x:c>
      <x:c r="E1768" s="16" t="str">
        <x:v>Missing email</x:v>
      </x:c>
    </x:row>
    <x:row r="1769">
      <x:c r="A1769" s="16" t="n">
        <x:v>1801</x:v>
      </x:c>
      <x:c r="B1769" s="16" t="str">
        <x:v>Dato Romli Ishak</x:v>
      </x:c>
      <x:c r="C1769" s="16" t="str"/>
      <x:c r="D1769" s="16" t="str">
        <x:v>* myContacts</x:v>
      </x:c>
      <x:c r="E1769" s="16" t="str">
        <x:v>Missing email</x:v>
      </x:c>
    </x:row>
    <x:row r="1770">
      <x:c r="A1770" s="16" t="n">
        <x:v>1802</x:v>
      </x:c>
      <x:c r="B1770" s="16" t="str">
        <x:v>Dato Sam DPIM</x:v>
      </x:c>
      <x:c r="C1770" s="16" t="str"/>
      <x:c r="D1770" s="16" t="str">
        <x:v>* myContacts</x:v>
      </x:c>
      <x:c r="E1770" s="16" t="str">
        <x:v>Missing email</x:v>
      </x:c>
    </x:row>
    <x:row r="1771">
      <x:c r="A1771" s="16" t="n">
        <x:v>1803</x:v>
      </x:c>
      <x:c r="B1771" s="16" t="str">
        <x:v>Dato Seri Hananda</x:v>
      </x:c>
      <x:c r="C1771" s="16" t="str"/>
      <x:c r="D1771" s="16" t="str">
        <x:v>* myContacts</x:v>
      </x:c>
      <x:c r="E1771" s="16" t="str">
        <x:v>Missing email</x:v>
      </x:c>
    </x:row>
    <x:row r="1772">
      <x:c r="A1772" s="16" t="n">
        <x:v>1804</x:v>
      </x:c>
      <x:c r="B1772" s="16" t="str">
        <x:v>Dato Seri Izwan Shah</x:v>
      </x:c>
      <x:c r="C1772" s="16" t="str"/>
      <x:c r="D1772" s="16" t="str">
        <x:v>* myContacts</x:v>
      </x:c>
      <x:c r="E1772" s="16" t="str">
        <x:v>Missing email</x:v>
      </x:c>
    </x:row>
    <x:row r="1773">
      <x:c r="A1773" s="16" t="n">
        <x:v>1805</x:v>
      </x:c>
      <x:c r="B1773" s="16" t="str">
        <x:v>Dato Seri Khanafi</x:v>
      </x:c>
      <x:c r="C1773" s="16" t="str"/>
      <x:c r="D1773" s="16" t="str">
        <x:v>* myContacts</x:v>
      </x:c>
      <x:c r="E1773" s="16" t="str">
        <x:v>Missing email</x:v>
      </x:c>
    </x:row>
    <x:row r="1774">
      <x:c r="A1774" s="16" t="n">
        <x:v>1807</x:v>
      </x:c>
      <x:c r="B1774" s="16" t="str">
        <x:v>Dato Tengku Sulong Rexton</x:v>
      </x:c>
      <x:c r="C1774" s="16" t="str"/>
      <x:c r="D1774" s="16" t="str">
        <x:v>* myContacts</x:v>
      </x:c>
      <x:c r="E1774" s="16" t="str">
        <x:v>Missing email</x:v>
      </x:c>
    </x:row>
    <x:row r="1775">
      <x:c r="A1775" s="16" t="n">
        <x:v>1808</x:v>
      </x:c>
      <x:c r="B1775" s="16" t="str">
        <x:v>Dato Wahid G mart Group</x:v>
      </x:c>
      <x:c r="C1775" s="16" t="str"/>
      <x:c r="D1775" s="16" t="str">
        <x:v>* myContacts</x:v>
      </x:c>
      <x:c r="E1775" s="16" t="str">
        <x:v>Missing email</x:v>
      </x:c>
    </x:row>
    <x:row r="1776">
      <x:c r="A1776" s="16" t="n">
        <x:v>1809</x:v>
      </x:c>
      <x:c r="B1776" s="16" t="str">
        <x:v>Dato Wan Aisyah Dmsone</x:v>
      </x:c>
      <x:c r="C1776" s="16" t="str"/>
      <x:c r="D1776" s="16" t="str">
        <x:v>* myContacts</x:v>
      </x:c>
      <x:c r="E1776" s="16" t="str">
        <x:v>Missing email</x:v>
      </x:c>
    </x:row>
    <x:row r="1777">
      <x:c r="A1777" s="16" t="n">
        <x:v>1810</x:v>
      </x:c>
      <x:c r="B1777" s="16" t="str">
        <x:v>Dato Zack</x:v>
      </x:c>
      <x:c r="C1777" s="16" t="str"/>
      <x:c r="D1777" s="16" t="str">
        <x:v>* myContacts</x:v>
      </x:c>
      <x:c r="E1777" s="16" t="str">
        <x:v>Missing email</x:v>
      </x:c>
    </x:row>
    <x:row r="1778">
      <x:c r="A1778" s="16" t="n">
        <x:v>1811</x:v>
      </x:c>
      <x:c r="B1778" s="16" t="str">
        <x:v>Dato zahar</x:v>
      </x:c>
      <x:c r="C1778" s="16" t="str"/>
      <x:c r="D1778" s="16" t="str">
        <x:v>* myContacts</x:v>
      </x:c>
      <x:c r="E1778" s="16" t="str">
        <x:v>Missing email</x:v>
      </x:c>
    </x:row>
    <x:row r="1779">
      <x:c r="A1779" s="16" t="n">
        <x:v>1812</x:v>
      </x:c>
      <x:c r="B1779" s="16" t="str">
        <x:v>Dato Zawawi</x:v>
      </x:c>
      <x:c r="C1779" s="16" t="str"/>
      <x:c r="D1779" s="16" t="str">
        <x:v>* myContacts</x:v>
      </x:c>
      <x:c r="E1779" s="16" t="str">
        <x:v>Missing email</x:v>
      </x:c>
    </x:row>
    <x:row r="1780">
      <x:c r="A1780" s="16" t="n">
        <x:v>1813</x:v>
      </x:c>
      <x:c r="B1780" s="16" t="str">
        <x:v>Dato Zul Ghost Writer</x:v>
      </x:c>
      <x:c r="C1780" s="16" t="str"/>
      <x:c r="D1780" s="16" t="str">
        <x:v>* myContacts</x:v>
      </x:c>
      <x:c r="E1780" s="16" t="str">
        <x:v>Missing email</x:v>
      </x:c>
    </x:row>
    <x:row r="1781">
      <x:c r="A1781" s="16" t="n">
        <x:v>1814</x:v>
      </x:c>
      <x:c r="B1781" s="16" t="str">
        <x:v>Dato' Mohd Hanafiah</x:v>
      </x:c>
      <x:c r="C1781" s="16" t="str"/>
      <x:c r="D1781" s="16" t="str">
        <x:v>* myContacts</x:v>
      </x:c>
      <x:c r="E1781" s="16" t="str">
        <x:v>Missing email</x:v>
      </x:c>
    </x:row>
    <x:row r="1782">
      <x:c r="A1782" s="16" t="n">
        <x:v>1815</x:v>
      </x:c>
      <x:c r="B1782" s="16" t="str">
        <x:v>DATUK DR MOHD DAUD BAKAR</x:v>
      </x:c>
      <x:c r="C1782" s="16" t="str"/>
      <x:c r="D1782" s="16" t="str">
        <x:v>* myContacts</x:v>
      </x:c>
      <x:c r="E1782" s="16" t="str">
        <x:v>Missing email</x:v>
      </x:c>
    </x:row>
    <x:row r="1783">
      <x:c r="A1783" s="16" t="n">
        <x:v>1816</x:v>
      </x:c>
      <x:c r="B1783" s="16" t="str">
        <x:v>DATUK DR MOHD DAUD BAKAR</x:v>
      </x:c>
      <x:c r="C1783" s="16" t="str"/>
      <x:c r="D1783" s="16" t="str">
        <x:v>* myContacts</x:v>
      </x:c>
      <x:c r="E1783" s="16" t="str">
        <x:v>Missing email</x:v>
      </x:c>
    </x:row>
    <x:row r="1784">
      <x:c r="A1784" s="16" t="n">
        <x:v>1817</x:v>
      </x:c>
      <x:c r="B1784" s="16" t="str">
        <x:v>Datuk Seri Mahadi</x:v>
      </x:c>
      <x:c r="C1784" s="16" t="str"/>
      <x:c r="D1784" s="16" t="str">
        <x:v>* myContacts</x:v>
      </x:c>
      <x:c r="E1784" s="16" t="str">
        <x:v>Missing email</x:v>
      </x:c>
    </x:row>
    <x:row r="1785">
      <x:c r="A1785" s="16" t="n">
        <x:v>1818</x:v>
      </x:c>
      <x:c r="B1785" s="16" t="str">
        <x:v>Datuk Zaini Kusel</x:v>
      </x:c>
      <x:c r="C1785" s="16" t="str"/>
      <x:c r="D1785" s="16" t="str">
        <x:v>* myContacts</x:v>
      </x:c>
      <x:c r="E1785" s="16" t="str">
        <x:v>Missing email</x:v>
      </x:c>
    </x:row>
    <x:row r="1786">
      <x:c r="A1786" s="16" t="n">
        <x:v>1819</x:v>
      </x:c>
      <x:c r="B1786" s="16" t="str">
        <x:v>David Lai Kong Hua</x:v>
      </x:c>
      <x:c r="C1786" s="16" t="str"/>
      <x:c r="D1786" s="16" t="str">
        <x:v>* myContacts</x:v>
      </x:c>
      <x:c r="E1786" s="16" t="str">
        <x:v>Missing email</x:v>
      </x:c>
    </x:row>
    <x:row r="1787">
      <x:c r="A1787" s="16" t="n">
        <x:v>1820</x:v>
      </x:c>
      <x:c r="B1787" s="16" t="str">
        <x:v>David Maran</x:v>
      </x:c>
      <x:c r="C1787" s="16" t="str"/>
      <x:c r="D1787" s="16" t="str">
        <x:v>* myContacts</x:v>
      </x:c>
      <x:c r="E1787" s="16" t="str">
        <x:v>Missing email</x:v>
      </x:c>
    </x:row>
    <x:row r="1788">
      <x:c r="A1788" s="16" t="n">
        <x:v>1821</x:v>
      </x:c>
      <x:c r="B1788" s="16" t="str">
        <x:v>Davidson Ranggau</x:v>
      </x:c>
      <x:c r="C1788" s="16" t="str"/>
      <x:c r="D1788" s="16" t="str">
        <x:v>* myContacts</x:v>
      </x:c>
      <x:c r="E1788" s="16" t="str">
        <x:v>Missing email</x:v>
      </x:c>
    </x:row>
    <x:row r="1789">
      <x:c r="A1789" s="16" t="n">
        <x:v>1822</x:v>
      </x:c>
      <x:c r="B1789" s="16" t="str">
        <x:v>Dawani Mohd Shaufi</x:v>
      </x:c>
      <x:c r="C1789" s="16" t="str"/>
      <x:c r="D1789" s="16" t="str">
        <x:v>* myContacts</x:v>
      </x:c>
      <x:c r="E1789" s="16" t="str">
        <x:v>Missing email</x:v>
      </x:c>
    </x:row>
    <x:row r="1790">
      <x:c r="A1790" s="16" t="n">
        <x:v>1823</x:v>
      </x:c>
      <x:c r="B1790" s="16" t="str">
        <x:v>Dawson Smartway English</x:v>
      </x:c>
      <x:c r="C1790" s="16" t="str"/>
      <x:c r="D1790" s="16" t="str">
        <x:v>* myContacts</x:v>
      </x:c>
      <x:c r="E1790" s="16" t="str">
        <x:v>Missing email</x:v>
      </x:c>
    </x:row>
    <x:row r="1791">
      <x:c r="A1791" s="16" t="n">
        <x:v>1824</x:v>
      </x:c>
      <x:c r="B1791" s="16" t="str">
        <x:v>Daya' Shazieda</x:v>
      </x:c>
      <x:c r="C1791" s="16" t="str"/>
      <x:c r="D1791" s="16" t="str">
        <x:v>* myContacts</x:v>
      </x:c>
      <x:c r="E1791" s="16" t="str">
        <x:v>Missing email</x:v>
      </x:c>
    </x:row>
    <x:row r="1792">
      <x:c r="A1792" s="16" t="n">
        <x:v>1825</x:v>
      </x:c>
      <x:c r="B1792" s="16" t="str">
        <x:v>Dayach Loverlish</x:v>
      </x:c>
      <x:c r="C1792" s="16" t="str"/>
      <x:c r="D1792" s="16" t="str">
        <x:v>* myContacts</x:v>
      </x:c>
      <x:c r="E1792" s="16" t="str">
        <x:v>Missing email</x:v>
      </x:c>
    </x:row>
    <x:row r="1793">
      <x:c r="A1793" s="16" t="n">
        <x:v>1826</x:v>
      </x:c>
      <x:c r="B1793" s="16" t="str">
        <x:v>Dayana Hj Mat Som</x:v>
      </x:c>
      <x:c r="C1793" s="16" t="str"/>
      <x:c r="D1793" s="16" t="str">
        <x:v>* myContacts</x:v>
      </x:c>
      <x:c r="E1793" s="16" t="str">
        <x:v>Missing email</x:v>
      </x:c>
    </x:row>
    <x:row r="1794">
      <x:c r="A1794" s="16" t="n">
        <x:v>1827</x:v>
      </x:c>
      <x:c r="B1794" s="16" t="str">
        <x:v>Dayang Norazlina</x:v>
      </x:c>
      <x:c r="C1794" s="16" t="str"/>
      <x:c r="D1794" s="16" t="str">
        <x:v>* myContacts</x:v>
      </x:c>
      <x:c r="E1794" s="16" t="str">
        <x:v>Missing email</x:v>
      </x:c>
    </x:row>
    <x:row r="1795">
      <x:c r="A1795" s="16" t="n">
        <x:v>1828</x:v>
      </x:c>
      <x:c r="B1795" s="16" t="str">
        <x:v>Dayang Norkamala Awang Ismail</x:v>
      </x:c>
      <x:c r="C1795" s="16" t="str"/>
      <x:c r="D1795" s="16" t="str">
        <x:v>* myContacts</x:v>
      </x:c>
      <x:c r="E1795" s="16" t="str">
        <x:v>Missing email</x:v>
      </x:c>
    </x:row>
    <x:row r="1796">
      <x:c r="A1796" s="16" t="n">
        <x:v>1829</x:v>
      </x:c>
      <x:c r="B1796" s="16" t="str">
        <x:v>Dayangsiti Noorfatimah Awangibrahim</x:v>
      </x:c>
      <x:c r="C1796" s="16" t="str"/>
      <x:c r="D1796" s="16" t="str">
        <x:v>* myContacts</x:v>
      </x:c>
      <x:c r="E1796" s="16" t="str">
        <x:v>Missing email</x:v>
      </x:c>
    </x:row>
    <x:row r="1797">
      <x:c r="A1797" s="16" t="n">
        <x:v>1831</x:v>
      </x:c>
      <x:c r="B1797" s="16" t="str">
        <x:v>Dbs Johaimi</x:v>
      </x:c>
      <x:c r="C1797" s="16" t="str"/>
      <x:c r="D1797" s="16" t="str">
        <x:v>* myContacts</x:v>
      </x:c>
      <x:c r="E1797" s="16" t="str">
        <x:v>Missing email</x:v>
      </x:c>
    </x:row>
    <x:row r="1798">
      <x:c r="A1798" s="16" t="n">
        <x:v>1832</x:v>
      </x:c>
      <x:c r="B1798" s="16" t="str">
        <x:v>Ddns Empire</x:v>
      </x:c>
      <x:c r="C1798" s="16" t="str"/>
      <x:c r="D1798" s="16" t="str">
        <x:v>* myContacts</x:v>
      </x:c>
      <x:c r="E1798" s="16" t="str">
        <x:v>Missing email</x:v>
      </x:c>
    </x:row>
    <x:row r="1799">
      <x:c r="A1799" s="16" t="n">
        <x:v>1833</x:v>
      </x:c>
      <x:c r="B1799" s="16" t="str">
        <x:v>DdspZahra Julia Wilson</x:v>
      </x:c>
      <x:c r="C1799" s="16" t="str"/>
      <x:c r="D1799" s="16" t="str">
        <x:v>* myContacts</x:v>
      </x:c>
      <x:c r="E1799" s="16" t="str">
        <x:v>Missing email</x:v>
      </x:c>
    </x:row>
    <x:row r="1800">
      <x:c r="A1800" s="16" t="n">
        <x:v>1834</x:v>
      </x:c>
      <x:c r="B1800" s="16" t="str">
        <x:v>De Alif</x:v>
      </x:c>
      <x:c r="C1800" s="16" t="str"/>
      <x:c r="D1800" s="16" t="str">
        <x:v>* myContacts</x:v>
      </x:c>
      <x:c r="E1800" s="16" t="str">
        <x:v>Missing email</x:v>
      </x:c>
    </x:row>
    <x:row r="1801">
      <x:c r="A1801" s="16" t="n">
        <x:v>1835</x:v>
      </x:c>
      <x:c r="B1801" s="16" t="str">
        <x:v>De Rass III</x:v>
      </x:c>
      <x:c r="C1801" s="16" t="str"/>
      <x:c r="D1801" s="16" t="str">
        <x:v>* myContacts</x:v>
      </x:c>
      <x:c r="E1801" s="16" t="str">
        <x:v>Missing email</x:v>
      </x:c>
    </x:row>
    <x:row r="1802">
      <x:c r="A1802" s="16" t="n">
        <x:v>1836</x:v>
      </x:c>
      <x:c r="B1802" s="16" t="str">
        <x:v>Dean Wong Wii Seller</x:v>
      </x:c>
      <x:c r="C1802" s="16" t="str"/>
      <x:c r="D1802" s="16" t="str">
        <x:v>* myContacts</x:v>
      </x:c>
      <x:c r="E1802" s="16" t="str">
        <x:v>Missing email</x:v>
      </x:c>
    </x:row>
    <x:row r="1803">
      <x:c r="A1803" s="16" t="n">
        <x:v>1837</x:v>
      </x:c>
      <x:c r="B1803" s="16" t="str">
        <x:v>Deborah My Win</x:v>
      </x:c>
      <x:c r="C1803" s="16" t="str"/>
      <x:c r="D1803" s="16" t="str">
        <x:v>* myContacts</x:v>
      </x:c>
      <x:c r="E1803" s="16" t="str">
        <x:v>Missing email</x:v>
      </x:c>
    </x:row>
    <x:row r="1804">
      <x:c r="A1804" s="16" t="n">
        <x:v>1838</x:v>
      </x:c>
      <x:c r="B1804" s="16" t="str">
        <x:v>Debraj Dey</x:v>
      </x:c>
      <x:c r="C1804" s="16" t="str"/>
      <x:c r="D1804" s="16" t="str">
        <x:v>* myContacts</x:v>
      </x:c>
      <x:c r="E1804" s="16" t="str">
        <x:v>Missing email</x:v>
      </x:c>
    </x:row>
    <x:row r="1805">
      <x:c r="A1805" s="16" t="n">
        <x:v>1839</x:v>
      </x:c>
      <x:c r="B1805" s="16" t="str">
        <x:v>Dedi Transport</x:v>
      </x:c>
      <x:c r="C1805" s="16" t="str"/>
      <x:c r="D1805" s="16" t="str">
        <x:v>* myContacts</x:v>
      </x:c>
      <x:c r="E1805" s="16" t="str">
        <x:v>Missing email</x:v>
      </x:c>
    </x:row>
    <x:row r="1806">
      <x:c r="A1806" s="16" t="n">
        <x:v>1840</x:v>
      </x:c>
      <x:c r="B1806" s="16" t="str">
        <x:v>Dedy Sepriyandi Simanjuntak</x:v>
      </x:c>
      <x:c r="C1806" s="16" t="str"/>
      <x:c r="D1806" s="16" t="str">
        <x:v>* myContacts</x:v>
      </x:c>
      <x:c r="E1806" s="16" t="str">
        <x:v>Missing email</x:v>
      </x:c>
    </x:row>
    <x:row r="1807">
      <x:c r="A1807" s="16" t="n">
        <x:v>1841</x:v>
      </x:c>
      <x:c r="B1807" s="16" t="str">
        <x:v>Dee Konoha Special Number</x:v>
      </x:c>
      <x:c r="C1807" s="16" t="str"/>
      <x:c r="D1807" s="16" t="str">
        <x:v>* myContacts</x:v>
      </x:c>
      <x:c r="E1807" s="16" t="str">
        <x:v>Missing email</x:v>
      </x:c>
    </x:row>
    <x:row r="1808">
      <x:c r="A1808" s="16" t="n">
        <x:v>1842</x:v>
      </x:c>
      <x:c r="B1808" s="16" t="str">
        <x:v>Dee Konoha Tyre</x:v>
      </x:c>
      <x:c r="C1808" s="16" t="str"/>
      <x:c r="D1808" s="16" t="str">
        <x:v>* myContacts</x:v>
      </x:c>
      <x:c r="E1808" s="16" t="str">
        <x:v>Missing email</x:v>
      </x:c>
    </x:row>
    <x:row r="1809">
      <x:c r="A1809" s="16" t="n">
        <x:v>1843</x:v>
      </x:c>
      <x:c r="B1809" s="16" t="str">
        <x:v>Dee Pocket Production</x:v>
      </x:c>
      <x:c r="C1809" s="16" t="str"/>
      <x:c r="D1809" s="16" t="str">
        <x:v>* myContacts</x:v>
      </x:c>
      <x:c r="E1809" s="16" t="str">
        <x:v>Missing email</x:v>
      </x:c>
    </x:row>
    <x:row r="1810">
      <x:c r="A1810" s="16" t="n">
        <x:v>1844</x:v>
      </x:c>
      <x:c r="B1810" s="16" t="str">
        <x:v>Deen Inonesecond</x:v>
      </x:c>
      <x:c r="C1810" s="16" t="str"/>
      <x:c r="D1810" s="16" t="str">
        <x:v>* myContacts</x:v>
      </x:c>
      <x:c r="E1810" s="16" t="str">
        <x:v>Missing email</x:v>
      </x:c>
    </x:row>
    <x:row r="1811">
      <x:c r="A1811" s="16" t="n">
        <x:v>1845</x:v>
      </x:c>
      <x:c r="B1811" s="16" t="str">
        <x:v>Deen Teliport</x:v>
      </x:c>
      <x:c r="C1811" s="16" t="str"/>
      <x:c r="D1811" s="16" t="str">
        <x:v>* myContacts</x:v>
      </x:c>
      <x:c r="E1811" s="16" t="str">
        <x:v>Missing email</x:v>
      </x:c>
    </x:row>
    <x:row r="1812">
      <x:c r="A1812" s="16" t="n">
        <x:v>1846</x:v>
      </x:c>
      <x:c r="B1812" s="16" t="str">
        <x:v>Deeya Rostam</x:v>
      </x:c>
      <x:c r="C1812" s="16" t="str"/>
      <x:c r="D1812" s="16" t="str">
        <x:v>* myContacts</x:v>
      </x:c>
      <x:c r="E1812" s="16" t="str">
        <x:v>Missing email</x:v>
      </x:c>
    </x:row>
    <x:row r="1813">
      <x:c r="A1813" s="16" t="n">
        <x:v>1847</x:v>
      </x:c>
      <x:c r="B1813" s="16" t="str">
        <x:v>Dekma Mdec IM</x:v>
      </x:c>
      <x:c r="C1813" s="16" t="str"/>
      <x:c r="D1813" s="16" t="str">
        <x:v>* myContacts</x:v>
      </x:c>
      <x:c r="E1813" s="16" t="str">
        <x:v>Missing email</x:v>
      </x:c>
    </x:row>
    <x:row r="1814">
      <x:c r="A1814" s="16" t="n">
        <x:v>1848</x:v>
      </x:c>
      <x:c r="B1814" s="16" t="str">
        <x:v>Delan Goh</x:v>
      </x:c>
      <x:c r="C1814" s="16" t="str"/>
      <x:c r="D1814" s="16" t="str">
        <x:v>* myContacts</x:v>
      </x:c>
      <x:c r="E1814" s="16" t="str">
        <x:v>Missing email</x:v>
      </x:c>
    </x:row>
    <x:row r="1815">
      <x:c r="A1815" s="16" t="n">
        <x:v>1849</x:v>
      </x:c>
      <x:c r="B1815" s="16" t="str">
        <x:v>Dellito Axa</x:v>
      </x:c>
      <x:c r="C1815" s="16" t="str"/>
      <x:c r="D1815" s="16" t="str">
        <x:v>* myContacts</x:v>
      </x:c>
      <x:c r="E1815" s="16" t="str">
        <x:v>Missing email</x:v>
      </x:c>
    </x:row>
    <x:row r="1816">
      <x:c r="A1816" s="16" t="n">
        <x:v>1850</x:v>
      </x:c>
      <x:c r="B1816" s="16" t="str">
        <x:v>Deni Putra Glanter</x:v>
      </x:c>
      <x:c r="C1816" s="16" t="str"/>
      <x:c r="D1816" s="16" t="str">
        <x:v>* myContacts</x:v>
      </x:c>
      <x:c r="E1816" s="16" t="str">
        <x:v>Missing email</x:v>
      </x:c>
    </x:row>
    <x:row r="1817">
      <x:c r="A1817" s="16" t="n">
        <x:v>1851</x:v>
      </x:c>
      <x:c r="B1817" s="16" t="str">
        <x:v>Denim Lee Lee</x:v>
      </x:c>
      <x:c r="C1817" s="16" t="str"/>
      <x:c r="D1817" s="16" t="str">
        <x:v>* myContacts</x:v>
      </x:c>
      <x:c r="E1817" s="16" t="str">
        <x:v>Missing email</x:v>
      </x:c>
    </x:row>
    <x:row r="1818">
      <x:c r="A1818" s="16" t="n">
        <x:v>1852</x:v>
      </x:c>
      <x:c r="B1818" s="16" t="str">
        <x:v>Denisham Salleh</x:v>
      </x:c>
      <x:c r="C1818" s="16" t="str"/>
      <x:c r="D1818" s="16" t="str">
        <x:v>* myContacts</x:v>
      </x:c>
      <x:c r="E1818" s="16" t="str">
        <x:v>Missing email</x:v>
      </x:c>
    </x:row>
    <x:row r="1819">
      <x:c r="A1819" s="16" t="n">
        <x:v>1853</x:v>
      </x:c>
      <x:c r="B1819" s="16" t="str">
        <x:v>deon shoppe</x:v>
      </x:c>
      <x:c r="C1819" s="16" t="str"/>
      <x:c r="D1819" s="16" t="str">
        <x:v>* myContacts</x:v>
      </x:c>
      <x:c r="E1819" s="16" t="str">
        <x:v>Missing email</x:v>
      </x:c>
    </x:row>
    <x:row r="1820">
      <x:c r="A1820" s="16" t="n">
        <x:v>1854</x:v>
      </x:c>
      <x:c r="B1820" s="16" t="str">
        <x:v>Deq Chikk VI</x:v>
      </x:c>
      <x:c r="C1820" s="16" t="str"/>
      <x:c r="D1820" s="16" t="str">
        <x:v>* myContacts</x:v>
      </x:c>
      <x:c r="E1820" s="16" t="str">
        <x:v>Missing email</x:v>
      </x:c>
    </x:row>
    <x:row r="1821">
      <x:c r="A1821" s="16" t="n">
        <x:v>1855</x:v>
      </x:c>
      <x:c r="B1821" s="16" t="str">
        <x:v>Deq Wanz</x:v>
      </x:c>
      <x:c r="C1821" s="16" t="str"/>
      <x:c r="D1821" s="16" t="str">
        <x:v>* myContacts</x:v>
      </x:c>
      <x:c r="E1821" s="16" t="str">
        <x:v>Missing email</x:v>
      </x:c>
    </x:row>
    <x:row r="1822">
      <x:c r="A1822" s="16" t="n">
        <x:v>1856</x:v>
      </x:c>
      <x:c r="B1822" s="16" t="str">
        <x:v>DeqmaTanty..😘</x:v>
      </x:c>
      <x:c r="C1822" s="16" t="str"/>
      <x:c r="D1822" s="16" t="str">
        <x:v>* myContacts</x:v>
      </x:c>
      <x:c r="E1822" s="16" t="str">
        <x:v>Missing email</x:v>
      </x:c>
    </x:row>
    <x:row r="1823">
      <x:c r="A1823" s="16" t="n">
        <x:v>1857</x:v>
      </x:c>
      <x:c r="B1823" s="16" t="str">
        <x:v>Derut Rudi</x:v>
      </x:c>
      <x:c r="C1823" s="16" t="str"/>
      <x:c r="D1823" s="16" t="str">
        <x:v>* myContacts</x:v>
      </x:c>
      <x:c r="E1823" s="16" t="str">
        <x:v>Missing email</x:v>
      </x:c>
    </x:row>
    <x:row r="1824">
      <x:c r="A1824" s="16" t="n">
        <x:v>1858</x:v>
      </x:c>
      <x:c r="B1824" s="16" t="str">
        <x:v>Desi Maulayani</x:v>
      </x:c>
      <x:c r="C1824" s="16" t="str"/>
      <x:c r="D1824" s="16" t="str">
        <x:v>* myContacts</x:v>
      </x:c>
      <x:c r="E1824" s="16" t="str">
        <x:v>Missing email</x:v>
      </x:c>
    </x:row>
    <x:row r="1825">
      <x:c r="A1825" s="16" t="n">
        <x:v>1859</x:v>
      </x:c>
      <x:c r="B1825" s="16" t="str">
        <x:v>Desire Aura</x:v>
      </x:c>
      <x:c r="C1825" s="16" t="str"/>
      <x:c r="D1825" s="16" t="str">
        <x:v>* myContacts</x:v>
      </x:c>
      <x:c r="E1825" s="16" t="str">
        <x:v>Missing email</x:v>
      </x:c>
    </x:row>
    <x:row r="1826">
      <x:c r="A1826" s="16" t="n">
        <x:v>1860</x:v>
      </x:c>
      <x:c r="B1826" s="16" t="str">
        <x:v>Devan Molly</x:v>
      </x:c>
      <x:c r="C1826" s="16" t="str"/>
      <x:c r="D1826" s="16" t="str">
        <x:v>* myContacts</x:v>
      </x:c>
      <x:c r="E1826" s="16" t="str">
        <x:v>Missing email</x:v>
      </x:c>
    </x:row>
    <x:row r="1827">
      <x:c r="A1827" s="16" t="n">
        <x:v>1861</x:v>
      </x:c>
      <x:c r="B1827" s="16" t="str">
        <x:v>Devi PKWIS</x:v>
      </x:c>
      <x:c r="C1827" s="16" t="str"/>
      <x:c r="D1827" s="16" t="str">
        <x:v>* myContacts</x:v>
      </x:c>
      <x:c r="E1827" s="16" t="str">
        <x:v>Missing email</x:v>
      </x:c>
    </x:row>
    <x:row r="1828">
      <x:c r="A1828" s="16" t="n">
        <x:v>1862</x:v>
      </x:c>
      <x:c r="B1828" s="16" t="str">
        <x:v>DhanielRayyan Psc TonePlus Nilai</x:v>
      </x:c>
      <x:c r="C1828" s="16" t="str"/>
      <x:c r="D1828" s="16" t="str">
        <x:v>* myContacts</x:v>
      </x:c>
      <x:c r="E1828" s="16" t="str">
        <x:v>Missing email</x:v>
      </x:c>
    </x:row>
    <x:row r="1829">
      <x:c r="A1829" s="16" t="n">
        <x:v>1863</x:v>
      </x:c>
      <x:c r="B1829" s="16" t="str">
        <x:v>Dhanya Alif Norwani</x:v>
      </x:c>
      <x:c r="C1829" s="16" t="str"/>
      <x:c r="D1829" s="16" t="str">
        <x:v>* myContacts</x:v>
      </x:c>
      <x:c r="E1829" s="16" t="str">
        <x:v>Missing email</x:v>
      </x:c>
    </x:row>
    <x:row r="1830">
      <x:c r="A1830" s="16" t="n">
        <x:v>1864</x:v>
      </x:c>
      <x:c r="B1830" s="16" t="str">
        <x:v>Dharma Jerung Sales</x:v>
      </x:c>
      <x:c r="C1830" s="16" t="str"/>
      <x:c r="D1830" s="16" t="str">
        <x:v>* myContacts</x:v>
      </x:c>
      <x:c r="E1830" s="16" t="str">
        <x:v>Missing email</x:v>
      </x:c>
    </x:row>
    <x:row r="1831">
      <x:c r="A1831" s="16" t="n">
        <x:v>1865</x:v>
      </x:c>
      <x:c r="B1831" s="16" t="str">
        <x:v>Dhea Afieryea</x:v>
      </x:c>
      <x:c r="C1831" s="16" t="str"/>
      <x:c r="D1831" s="16" t="str">
        <x:v>* myContacts</x:v>
      </x:c>
      <x:c r="E1831" s="16" t="str">
        <x:v>Missing email</x:v>
      </x:c>
    </x:row>
    <x:row r="1832">
      <x:c r="A1832" s="16" t="n">
        <x:v>1866</x:v>
      </x:c>
      <x:c r="B1832" s="16" t="str">
        <x:v>Dhea Afifah Aliyyah</x:v>
      </x:c>
      <x:c r="C1832" s="16" t="str"/>
      <x:c r="D1832" s="16" t="str">
        <x:v>* myContacts</x:v>
      </x:c>
      <x:c r="E1832" s="16" t="str">
        <x:v>Missing email</x:v>
      </x:c>
    </x:row>
    <x:row r="1833">
      <x:c r="A1833" s="16" t="n">
        <x:v>1867</x:v>
      </x:c>
      <x:c r="B1833" s="16" t="str">
        <x:v>Dhia Mutiara</x:v>
      </x:c>
      <x:c r="C1833" s="16" t="str"/>
      <x:c r="D1833" s="16" t="str">
        <x:v>* myContacts</x:v>
      </x:c>
      <x:c r="E1833" s="16" t="str">
        <x:v>Missing email</x:v>
      </x:c>
    </x:row>
    <x:row r="1834">
      <x:c r="A1834" s="16" t="n">
        <x:v>1868</x:v>
      </x:c>
      <x:c r="B1834" s="16" t="str">
        <x:v>Dhia Razin</x:v>
      </x:c>
      <x:c r="C1834" s="16" t="str"/>
      <x:c r="D1834" s="16" t="str">
        <x:v>* myContacts</x:v>
      </x:c>
      <x:c r="E1834" s="16" t="str">
        <x:v>Missing email</x:v>
      </x:c>
    </x:row>
    <x:row r="1835">
      <x:c r="A1835" s="16" t="n">
        <x:v>1869</x:v>
      </x:c>
      <x:c r="B1835" s="16" t="str">
        <x:v>Dhiya Aziz Hendry Asriadi</x:v>
      </x:c>
      <x:c r="C1835" s="16" t="str"/>
      <x:c r="D1835" s="16" t="str">
        <x:v>* myContacts</x:v>
      </x:c>
      <x:c r="E1835" s="16" t="str">
        <x:v>Missing email</x:v>
      </x:c>
    </x:row>
    <x:row r="1836">
      <x:c r="A1836" s="16" t="n">
        <x:v>1870</x:v>
      </x:c>
      <x:c r="B1836" s="16" t="str">
        <x:v>Dhiya Taste Terengganu</x:v>
      </x:c>
      <x:c r="C1836" s="16" t="str"/>
      <x:c r="D1836" s="16" t="str">
        <x:v>* myContacts</x:v>
      </x:c>
      <x:c r="E1836" s="16" t="str">
        <x:v>Missing email</x:v>
      </x:c>
    </x:row>
    <x:row r="1837">
      <x:c r="A1837" s="16" t="n">
        <x:v>1871</x:v>
      </x:c>
      <x:c r="B1837" s="16" t="str">
        <x:v>Dhm-Fendy Daedo</x:v>
      </x:c>
      <x:c r="C1837" s="16" t="str"/>
      <x:c r="D1837" s="16" t="str">
        <x:v>* myContacts</x:v>
      </x:c>
      <x:c r="E1837" s="16" t="str">
        <x:v>Missing email</x:v>
      </x:c>
    </x:row>
    <x:row r="1838">
      <x:c r="A1838" s="16" t="n">
        <x:v>1872</x:v>
      </x:c>
      <x:c r="B1838" s="16" t="str">
        <x:v>Dho 'ie</x:v>
      </x:c>
      <x:c r="C1838" s="16" t="str"/>
      <x:c r="D1838" s="16" t="str">
        <x:v>* myContacts</x:v>
      </x:c>
      <x:c r="E1838" s="16" t="str">
        <x:v>Missing email</x:v>
      </x:c>
    </x:row>
    <x:row r="1839">
      <x:c r="A1839" s="16" t="n">
        <x:v>1873</x:v>
      </x:c>
      <x:c r="B1839" s="16" t="str">
        <x:v>Di Fo Chong</x:v>
      </x:c>
      <x:c r="C1839" s="16" t="str"/>
      <x:c r="D1839" s="16" t="str">
        <x:v>* myContacts</x:v>
      </x:c>
      <x:c r="E1839" s="16" t="str">
        <x:v>Missing email</x:v>
      </x:c>
    </x:row>
    <x:row r="1840">
      <x:c r="A1840" s="16" t="n">
        <x:v>1874</x:v>
      </x:c>
      <x:c r="B1840" s="16" t="str">
        <x:v>Diana Agent AGP Tier 1</x:v>
      </x:c>
      <x:c r="C1840" s="16" t="str"/>
      <x:c r="D1840" s="16" t="str">
        <x:v>* myContacts</x:v>
      </x:c>
      <x:c r="E1840" s="16" t="str">
        <x:v>Missing email</x:v>
      </x:c>
    </x:row>
    <x:row r="1841">
      <x:c r="A1841" s="16" t="n">
        <x:v>1875</x:v>
      </x:c>
      <x:c r="B1841" s="16" t="str">
        <x:v>Diana Aje</x:v>
      </x:c>
      <x:c r="C1841" s="16" t="str"/>
      <x:c r="D1841" s="16" t="str">
        <x:v>* myContacts</x:v>
      </x:c>
      <x:c r="E1841" s="16" t="str">
        <x:v>Missing email</x:v>
      </x:c>
    </x:row>
    <x:row r="1842">
      <x:c r="A1842" s="16" t="n">
        <x:v>1876</x:v>
      </x:c>
      <x:c r="B1842" s="16" t="str">
        <x:v>Diana Chong</x:v>
      </x:c>
      <x:c r="C1842" s="16" t="str"/>
      <x:c r="D1842" s="16" t="str">
        <x:v>* myContacts</x:v>
      </x:c>
      <x:c r="E1842" s="16" t="str">
        <x:v>Missing email</x:v>
      </x:c>
    </x:row>
    <x:row r="1843">
      <x:c r="A1843" s="16" t="n">
        <x:v>1877</x:v>
      </x:c>
      <x:c r="B1843" s="16" t="str">
        <x:v>Diana Nordin</x:v>
      </x:c>
      <x:c r="C1843" s="16" t="str"/>
      <x:c r="D1843" s="16" t="str">
        <x:v>* myContacts</x:v>
      </x:c>
      <x:c r="E1843" s="16" t="str">
        <x:v>Missing email</x:v>
      </x:c>
    </x:row>
    <x:row r="1844">
      <x:c r="A1844" s="16" t="n">
        <x:v>1878</x:v>
      </x:c>
      <x:c r="B1844" s="16" t="str">
        <x:v>Dianz Legacy Klang</x:v>
      </x:c>
      <x:c r="C1844" s="16" t="str"/>
      <x:c r="D1844" s="16" t="str">
        <x:v>* myContacts</x:v>
      </x:c>
      <x:c r="E1844" s="16" t="str">
        <x:v>Missing email</x:v>
      </x:c>
    </x:row>
    <x:row r="1845">
      <x:c r="A1845" s="16" t="n">
        <x:v>1879</x:v>
      </x:c>
      <x:c r="B1845" s="16" t="str">
        <x:v>Dickson Marcos</x:v>
      </x:c>
      <x:c r="C1845" s="16" t="str"/>
      <x:c r="D1845" s="16" t="str">
        <x:v>* myContacts</x:v>
      </x:c>
      <x:c r="E1845" s="16" t="str">
        <x:v>Missing email</x:v>
      </x:c>
    </x:row>
    <x:row r="1846">
      <x:c r="A1846" s="16" t="n">
        <x:v>1880</x:v>
      </x:c>
      <x:c r="B1846" s="16" t="str">
        <x:v>Didie Ibni Sainudin</x:v>
      </x:c>
      <x:c r="C1846" s="16" t="str"/>
      <x:c r="D1846" s="16" t="str">
        <x:v>* myContacts</x:v>
      </x:c>
      <x:c r="E1846" s="16" t="str">
        <x:v>Missing email</x:v>
      </x:c>
    </x:row>
    <x:row r="1847">
      <x:c r="A1847" s="16" t="n">
        <x:v>1881</x:v>
      </x:c>
      <x:c r="B1847" s="16" t="str">
        <x:v>Didiey Yana</x:v>
      </x:c>
      <x:c r="C1847" s="16" t="str"/>
      <x:c r="D1847" s="16" t="str">
        <x:v>* myContacts</x:v>
      </x:c>
      <x:c r="E1847" s="16" t="str">
        <x:v>Missing email</x:v>
      </x:c>
    </x:row>
    <x:row r="1848">
      <x:c r="A1848" s="16" t="n">
        <x:v>1882</x:v>
      </x:c>
      <x:c r="B1848" s="16" t="str">
        <x:v>Didot's AiDa</x:v>
      </x:c>
      <x:c r="C1848" s="16" t="str"/>
      <x:c r="D1848" s="16" t="str">
        <x:v>* myContacts</x:v>
      </x:c>
      <x:c r="E1848" s="16" t="str">
        <x:v>Missing email</x:v>
      </x:c>
    </x:row>
    <x:row r="1849">
      <x:c r="A1849" s="16" t="n">
        <x:v>1883</x:v>
      </x:c>
      <x:c r="B1849" s="16" t="str">
        <x:v>Diela Pikofee Kuantan</x:v>
      </x:c>
      <x:c r="C1849" s="16" t="str"/>
      <x:c r="D1849" s="16" t="str">
        <x:v>* myContacts</x:v>
      </x:c>
      <x:c r="E1849" s="16" t="str">
        <x:v>Missing email</x:v>
      </x:c>
    </x:row>
    <x:row r="1850">
      <x:c r="A1850" s="16" t="n">
        <x:v>1884</x:v>
      </x:c>
      <x:c r="B1850" s="16" t="str">
        <x:v>DieLzz PerOdua</x:v>
      </x:c>
      <x:c r="C1850" s="16" t="str"/>
      <x:c r="D1850" s="16" t="str">
        <x:v>* myContacts</x:v>
      </x:c>
      <x:c r="E1850" s="16" t="str">
        <x:v>Missing email</x:v>
      </x:c>
    </x:row>
    <x:row r="1851">
      <x:c r="A1851" s="16" t="n">
        <x:v>1885</x:v>
      </x:c>
      <x:c r="B1851" s="16" t="str">
        <x:v>DiEn Daa</x:v>
      </x:c>
      <x:c r="C1851" s="16" t="str"/>
      <x:c r="D1851" s="16" t="str">
        <x:v>* myContacts</x:v>
      </x:c>
      <x:c r="E1851" s="16" t="str">
        <x:v>Missing email</x:v>
      </x:c>
    </x:row>
    <x:row r="1852">
      <x:c r="A1852" s="16" t="n">
        <x:v>1886</x:v>
      </x:c>
      <x:c r="B1852" s="16" t="str">
        <x:v>Dien Spax</x:v>
      </x:c>
      <x:c r="C1852" s="16" t="str"/>
      <x:c r="D1852" s="16" t="str">
        <x:v>* myContacts</x:v>
      </x:c>
      <x:c r="E1852" s="16" t="str">
        <x:v>Missing email</x:v>
      </x:c>
    </x:row>
    <x:row r="1853">
      <x:c r="A1853" s="16" t="n">
        <x:v>1887</x:v>
      </x:c>
      <x:c r="B1853" s="16" t="str">
        <x:v>Dieyana Himera</x:v>
      </x:c>
      <x:c r="C1853" s="16" t="str"/>
      <x:c r="D1853" s="16" t="str">
        <x:v>* myContacts</x:v>
      </x:c>
      <x:c r="E1853" s="16" t="str">
        <x:v>Missing email</x:v>
      </x:c>
    </x:row>
    <x:row r="1854">
      <x:c r="A1854" s="16" t="n">
        <x:v>1888</x:v>
      </x:c>
      <x:c r="B1854" s="16" t="str">
        <x:v>digi Internet</x:v>
      </x:c>
      <x:c r="C1854" s="16" t="str"/>
      <x:c r="D1854" s="16" t="str">
        <x:v>* myContacts</x:v>
      </x:c>
      <x:c r="E1854" s="16" t="str">
        <x:v>Missing email</x:v>
      </x:c>
    </x:row>
    <x:row r="1855">
      <x:c r="A1855" s="16" t="n">
        <x:v>1889</x:v>
      </x:c>
      <x:c r="B1855" s="16" t="str">
        <x:v>Dika Elits't</x:v>
      </x:c>
      <x:c r="C1855" s="16" t="str"/>
      <x:c r="D1855" s="16" t="str">
        <x:v>* myContacts</x:v>
      </x:c>
      <x:c r="E1855" s="16" t="str">
        <x:v>Missing email</x:v>
      </x:c>
    </x:row>
    <x:row r="1856">
      <x:c r="A1856" s="16" t="n">
        <x:v>1890</x:v>
      </x:c>
      <x:c r="B1856" s="16" t="str">
        <x:v>Dila Gebu</x:v>
      </x:c>
      <x:c r="C1856" s="16" t="str"/>
      <x:c r="D1856" s="16" t="str">
        <x:v>* myContacts</x:v>
      </x:c>
      <x:c r="E1856" s="16" t="str">
        <x:v>Missing email</x:v>
      </x:c>
    </x:row>
    <x:row r="1857">
      <x:c r="A1857" s="16" t="n">
        <x:v>1891</x:v>
      </x:c>
      <x:c r="B1857" s="16" t="str">
        <x:v>Dila Mohd Shapri</x:v>
      </x:c>
      <x:c r="C1857" s="16" t="str"/>
      <x:c r="D1857" s="16" t="str">
        <x:v>* myContacts</x:v>
      </x:c>
      <x:c r="E1857" s="16" t="str">
        <x:v>Missing email</x:v>
      </x:c>
    </x:row>
    <x:row r="1858">
      <x:c r="A1858" s="16" t="n">
        <x:v>1892</x:v>
      </x:c>
      <x:c r="B1858" s="16" t="str">
        <x:v>Dila Prospect Cari Kerja</x:v>
      </x:c>
      <x:c r="C1858" s="16" t="str"/>
      <x:c r="D1858" s="16" t="str">
        <x:v>* myContacts</x:v>
      </x:c>
      <x:c r="E1858" s="16" t="str">
        <x:v>Missing email</x:v>
      </x:c>
    </x:row>
    <x:row r="1859">
      <x:c r="A1859" s="16" t="n">
        <x:v>1893</x:v>
      </x:c>
      <x:c r="B1859" s="16" t="str">
        <x:v>Din Laudine</x:v>
      </x:c>
      <x:c r="C1859" s="16" t="str"/>
      <x:c r="D1859" s="16" t="str">
        <x:v>* myContacts</x:v>
      </x:c>
      <x:c r="E1859" s="16" t="str">
        <x:v>Missing email</x:v>
      </x:c>
    </x:row>
    <x:row r="1860">
      <x:c r="A1860" s="16" t="n">
        <x:v>1894</x:v>
      </x:c>
      <x:c r="B1860" s="16" t="str">
        <x:v>Din Macbeth</x:v>
      </x:c>
      <x:c r="C1860" s="16" t="str"/>
      <x:c r="D1860" s="16" t="str">
        <x:v>* myContacts</x:v>
      </x:c>
      <x:c r="E1860" s="16" t="str">
        <x:v>Missing email</x:v>
      </x:c>
    </x:row>
    <x:row r="1861">
      <x:c r="A1861" s="16" t="n">
        <x:v>1895</x:v>
      </x:c>
      <x:c r="B1861" s="16" t="str">
        <x:v>Din Mujahid</x:v>
      </x:c>
      <x:c r="C1861" s="16" t="str"/>
      <x:c r="D1861" s="16" t="str">
        <x:v>* myContacts</x:v>
      </x:c>
      <x:c r="E1861" s="16" t="str">
        <x:v>Missing email</x:v>
      </x:c>
    </x:row>
    <x:row r="1862">
      <x:c r="A1862" s="16" t="n">
        <x:v>1896</x:v>
      </x:c>
      <x:c r="B1862" s="16" t="str">
        <x:v>Din Sempoi</x:v>
      </x:c>
      <x:c r="C1862" s="16" t="str"/>
      <x:c r="D1862" s="16" t="str">
        <x:v>* myContacts</x:v>
      </x:c>
      <x:c r="E1862" s="16" t="str">
        <x:v>Missing email</x:v>
      </x:c>
    </x:row>
    <x:row r="1863">
      <x:c r="A1863" s="16" t="n">
        <x:v>1897</x:v>
      </x:c>
      <x:c r="B1863" s="16" t="str">
        <x:v>Din Staff IQPS</x:v>
      </x:c>
      <x:c r="C1863" s="16" t="str"/>
      <x:c r="D1863" s="16" t="str">
        <x:v>* myContacts</x:v>
      </x:c>
      <x:c r="E1863" s="16" t="str">
        <x:v>Missing email</x:v>
      </x:c>
    </x:row>
    <x:row r="1864">
      <x:c r="A1864" s="16" t="n">
        <x:v>1898</x:v>
      </x:c>
      <x:c r="B1864" s="16" t="str">
        <x:v>Din Transport</x:v>
      </x:c>
      <x:c r="C1864" s="16" t="str"/>
      <x:c r="D1864" s="16" t="str">
        <x:v>* myContacts</x:v>
      </x:c>
      <x:c r="E1864" s="16" t="str">
        <x:v>Missing email</x:v>
      </x:c>
    </x:row>
    <x:row r="1865">
      <x:c r="A1865" s="16" t="n">
        <x:v>1899</x:v>
      </x:c>
      <x:c r="B1865" s="16" t="str">
        <x:v>Din Yan</x:v>
      </x:c>
      <x:c r="C1865" s="16" t="str"/>
      <x:c r="D1865" s="16" t="str">
        <x:v>* myContacts</x:v>
      </x:c>
      <x:c r="E1865" s="16" t="str">
        <x:v>Missing email</x:v>
      </x:c>
    </x:row>
    <x:row r="1866">
      <x:c r="A1866" s="16" t="n">
        <x:v>1900</x:v>
      </x:c>
      <x:c r="B1866" s="16" t="str">
        <x:v>Din- KTM Shah Alam</x:v>
      </x:c>
      <x:c r="C1866" s="16" t="str"/>
      <x:c r="D1866" s="16" t="str">
        <x:v>* myContacts</x:v>
      </x:c>
      <x:c r="E1866" s="16" t="str">
        <x:v>Missing email</x:v>
      </x:c>
    </x:row>
    <x:row r="1867">
      <x:c r="A1867" s="16" t="n">
        <x:v>1901</x:v>
      </x:c>
      <x:c r="B1867" s="16" t="str">
        <x:v>Dina Lorenza Simanjuntak</x:v>
      </x:c>
      <x:c r="C1867" s="16" t="str"/>
      <x:c r="D1867" s="16" t="str">
        <x:v>* myContacts</x:v>
      </x:c>
      <x:c r="E1867" s="16" t="str">
        <x:v>Missing email</x:v>
      </x:c>
    </x:row>
    <x:row r="1868">
      <x:c r="A1868" s="16" t="n">
        <x:v>1902</x:v>
      </x:c>
      <x:c r="B1868" s="16" t="str">
        <x:v>Dina Mex</x:v>
      </x:c>
      <x:c r="C1868" s="16" t="str"/>
      <x:c r="D1868" s="16" t="str">
        <x:v>* myContacts</x:v>
      </x:c>
      <x:c r="E1868" s="16" t="str">
        <x:v>Missing email</x:v>
      </x:c>
    </x:row>
    <x:row r="1869">
      <x:c r="A1869" s="16" t="n">
        <x:v>1903</x:v>
      </x:c>
      <x:c r="B1869" s="16" t="str">
        <x:v>Ding Blues</x:v>
      </x:c>
      <x:c r="C1869" s="16" t="str"/>
      <x:c r="D1869" s="16" t="str">
        <x:v>* myContacts</x:v>
      </x:c>
      <x:c r="E1869" s="16" t="str">
        <x:v>Missing email</x:v>
      </x:c>
    </x:row>
    <x:row r="1870">
      <x:c r="A1870" s="16" t="n">
        <x:v>1904</x:v>
      </x:c>
      <x:c r="B1870" s="16" t="str">
        <x:v>Dini Nur Dini</x:v>
      </x:c>
      <x:c r="C1870" s="16" t="str"/>
      <x:c r="D1870" s="16" t="str">
        <x:v>* myContacts</x:v>
      </x:c>
      <x:c r="E1870" s="16" t="str">
        <x:v>Missing email</x:v>
      </x:c>
    </x:row>
    <x:row r="1871">
      <x:c r="A1871" s="16" t="n">
        <x:v>1905</x:v>
      </x:c>
      <x:c r="B1871" s="16" t="str">
        <x:v>Diniey Sabrey</x:v>
      </x:c>
      <x:c r="C1871" s="16" t="str"/>
      <x:c r="D1871" s="16" t="str">
        <x:v>* myContacts</x:v>
      </x:c>
      <x:c r="E1871" s="16" t="str">
        <x:v>Missing email</x:v>
      </x:c>
    </x:row>
    <x:row r="1872">
      <x:c r="A1872" s="16" t="n">
        <x:v>1906</x:v>
      </x:c>
      <x:c r="B1872" s="16" t="str">
        <x:v>Dinieya Dinieya</x:v>
      </x:c>
      <x:c r="C1872" s="16" t="str"/>
      <x:c r="D1872" s="16" t="str">
        <x:v>* myContacts</x:v>
      </x:c>
      <x:c r="E1872" s="16" t="str">
        <x:v>Missing email</x:v>
      </x:c>
    </x:row>
    <x:row r="1873">
      <x:c r="A1873" s="16" t="n">
        <x:v>1907</x:v>
      </x:c>
      <x:c r="B1873" s="16" t="str">
        <x:v>Diniy Hassan</x:v>
      </x:c>
      <x:c r="C1873" s="16" t="str"/>
      <x:c r="D1873" s="16" t="str">
        <x:v>* myContacts</x:v>
      </x:c>
      <x:c r="E1873" s="16" t="str">
        <x:v>Missing email</x:v>
      </x:c>
    </x:row>
    <x:row r="1874">
      <x:c r="A1874" s="16" t="n">
        <x:v>1908</x:v>
      </x:c>
      <x:c r="B1874" s="16" t="str">
        <x:v>Dira Natasya</x:v>
      </x:c>
      <x:c r="C1874" s="16" t="str"/>
      <x:c r="D1874" s="16" t="str">
        <x:v>* myContacts</x:v>
      </x:c>
      <x:c r="E1874" s="16" t="str">
        <x:v>Missing email</x:v>
      </x:c>
    </x:row>
    <x:row r="1875">
      <x:c r="A1875" s="16" t="n">
        <x:v>1909</x:v>
      </x:c>
      <x:c r="B1875" s="16" t="str">
        <x:v>DiTepian Agrofarm</x:v>
      </x:c>
      <x:c r="C1875" s="16" t="str"/>
      <x:c r="D1875" s="16" t="str">
        <x:v>* myContacts</x:v>
      </x:c>
      <x:c r="E1875" s="16" t="str">
        <x:v>Missing email</x:v>
      </x:c>
    </x:row>
    <x:row r="1876">
      <x:c r="A1876" s="16" t="n">
        <x:v>1910</x:v>
      </x:c>
      <x:c r="B1876" s="16" t="str">
        <x:v>Diverss Man</x:v>
      </x:c>
      <x:c r="C1876" s="16" t="str"/>
      <x:c r="D1876" s="16" t="str">
        <x:v>* myContacts</x:v>
      </x:c>
      <x:c r="E1876" s="16" t="str">
        <x:v>Missing email</x:v>
      </x:c>
    </x:row>
    <x:row r="1877">
      <x:c r="A1877" s="16" t="n">
        <x:v>1911</x:v>
      </x:c>
      <x:c r="B1877" s="16" t="str">
        <x:v>diwan contractor</x:v>
      </x:c>
      <x:c r="C1877" s="16" t="str"/>
      <x:c r="D1877" s="16" t="str">
        <x:v>* myContacts</x:v>
      </x:c>
      <x:c r="E1877" s="16" t="str">
        <x:v>Missing email</x:v>
      </x:c>
    </x:row>
    <x:row r="1878">
      <x:c r="A1878" s="16" t="n">
        <x:v>1912</x:v>
      </x:c>
      <x:c r="B1878" s="16" t="str">
        <x:v>Diy Print</x:v>
      </x:c>
      <x:c r="C1878" s="16" t="str"/>
      <x:c r="D1878" s="16" t="str">
        <x:v>* myContacts</x:v>
      </x:c>
      <x:c r="E1878" s="16" t="str">
        <x:v>Missing email</x:v>
      </x:c>
    </x:row>
    <x:row r="1879">
      <x:c r="A1879" s="16" t="n">
        <x:v>1913</x:v>
      </x:c>
      <x:c r="B1879" s="16" t="str">
        <x:v>Diyana Mukhayadi</x:v>
      </x:c>
      <x:c r="C1879" s="16" t="str"/>
      <x:c r="D1879" s="16" t="str">
        <x:v>* myContacts</x:v>
      </x:c>
      <x:c r="E1879" s="16" t="str">
        <x:v>Missing email</x:v>
      </x:c>
    </x:row>
    <x:row r="1880">
      <x:c r="A1880" s="16" t="n">
        <x:v>1914</x:v>
      </x:c>
      <x:c r="B1880" s="16" t="str">
        <x:v>Diyana Toyyib Designer</x:v>
      </x:c>
      <x:c r="C1880" s="16" t="str"/>
      <x:c r="D1880" s="16" t="str">
        <x:v>* myContacts</x:v>
      </x:c>
      <x:c r="E1880" s="16" t="str">
        <x:v>Missing email</x:v>
      </x:c>
    </x:row>
    <x:row r="1881">
      <x:c r="A1881" s="16" t="n">
        <x:v>1915</x:v>
      </x:c>
      <x:c r="B1881" s="16" t="str">
        <x:v>Diyanah Prudential BSN Takaful</x:v>
      </x:c>
      <x:c r="C1881" s="16" t="str"/>
      <x:c r="D1881" s="16" t="str">
        <x:v>* myContacts</x:v>
      </x:c>
      <x:c r="E1881" s="16" t="str">
        <x:v>Missing email</x:v>
      </x:c>
    </x:row>
    <x:row r="1882">
      <x:c r="A1882" s="16" t="n">
        <x:v>1916</x:v>
      </x:c>
      <x:c r="B1882" s="16" t="str">
        <x:v>DiyoOn</x:v>
      </x:c>
      <x:c r="C1882" s="16" t="str"/>
      <x:c r="D1882" s="16" t="str">
        <x:v>* myContacts</x:v>
      </x:c>
      <x:c r="E1882" s="16" t="str">
        <x:v>Missing email</x:v>
      </x:c>
    </x:row>
    <x:row r="1883">
      <x:c r="A1883" s="16" t="n">
        <x:v>1917</x:v>
      </x:c>
      <x:c r="B1883" s="16" t="str">
        <x:v>DJ Rizz</x:v>
      </x:c>
      <x:c r="C1883" s="16" t="str"/>
      <x:c r="D1883" s="16" t="str">
        <x:v>* myContacts</x:v>
      </x:c>
      <x:c r="E1883" s="16" t="str">
        <x:v>Missing email</x:v>
      </x:c>
    </x:row>
    <x:row r="1884">
      <x:c r="A1884" s="16" t="n">
        <x:v>1918</x:v>
      </x:c>
      <x:c r="B1884" s="16" t="str">
        <x:v>Dj Wan Djrk</x:v>
      </x:c>
      <x:c r="C1884" s="16" t="str"/>
      <x:c r="D1884" s="16" t="str">
        <x:v>* myContacts</x:v>
      </x:c>
      <x:c r="E1884" s="16" t="str">
        <x:v>Missing email</x:v>
      </x:c>
    </x:row>
    <x:row r="1885">
      <x:c r="A1885" s="16" t="n">
        <x:v>1919</x:v>
      </x:c>
      <x:c r="B1885" s="16" t="str">
        <x:v>dji</x:v>
      </x:c>
      <x:c r="C1885" s="16" t="str"/>
      <x:c r="D1885" s="16" t="str">
        <x:v>* myContacts</x:v>
      </x:c>
      <x:c r="E1885" s="16" t="str">
        <x:v>Missing email</x:v>
      </x:c>
    </x:row>
    <x:row r="1886">
      <x:c r="A1886" s="16" t="n">
        <x:v>1920</x:v>
      </x:c>
      <x:c r="B1886" s="16" t="str">
        <x:v>Dji Imago SABAH</x:v>
      </x:c>
      <x:c r="C1886" s="16" t="str"/>
      <x:c r="D1886" s="16" t="str">
        <x:v>* myContacts</x:v>
      </x:c>
      <x:c r="E1886" s="16" t="str">
        <x:v>Missing email</x:v>
      </x:c>
    </x:row>
    <x:row r="1887">
      <x:c r="A1887" s="16" t="n">
        <x:v>1921</x:v>
      </x:c>
      <x:c r="B1887" s="16" t="str">
        <x:v>Dl Icare Hq</x:v>
      </x:c>
      <x:c r="C1887" s="16" t="str"/>
      <x:c r="D1887" s="16" t="str">
        <x:v>* myContacts</x:v>
      </x:c>
      <x:c r="E1887" s="16" t="str">
        <x:v>Missing email</x:v>
      </x:c>
    </x:row>
    <x:row r="1888">
      <x:c r="A1888" s="16" t="n">
        <x:v>1922</x:v>
      </x:c>
      <x:c r="B1888" s="16" t="str">
        <x:v>Dmya Amanina</x:v>
      </x:c>
      <x:c r="C1888" s="16" t="str"/>
      <x:c r="D1888" s="16" t="str">
        <x:v>* myContacts</x:v>
      </x:c>
      <x:c r="E1888" s="16" t="str">
        <x:v>Missing email</x:v>
      </x:c>
    </x:row>
    <x:row r="1889">
      <x:c r="A1889" s="16" t="n">
        <x:v>1923</x:v>
      </x:c>
      <x:c r="B1889" s="16" t="str">
        <x:v>Dolinik Rosian</x:v>
      </x:c>
      <x:c r="C1889" s="16" t="str"/>
      <x:c r="D1889" s="16" t="str">
        <x:v>* myContacts</x:v>
      </x:c>
      <x:c r="E1889" s="16" t="str">
        <x:v>Missing email</x:v>
      </x:c>
    </x:row>
    <x:row r="1890">
      <x:c r="A1890" s="16" t="n">
        <x:v>1924</x:v>
      </x:c>
      <x:c r="B1890" s="16" t="str">
        <x:v>DomDom My</x:v>
      </x:c>
      <x:c r="C1890" s="16" t="str"/>
      <x:c r="D1890" s="16" t="str">
        <x:v>* myContacts</x:v>
      </x:c>
      <x:c r="E1890" s="16" t="str">
        <x:v>Missing email</x:v>
      </x:c>
    </x:row>
    <x:row r="1891">
      <x:c r="A1891" s="16" t="n">
        <x:v>1925</x:v>
      </x:c>
      <x:c r="B1891" s="16" t="str">
        <x:v>Dominic Nyumbang</x:v>
      </x:c>
      <x:c r="C1891" s="16" t="str"/>
      <x:c r="D1891" s="16" t="str">
        <x:v>* myContacts</x:v>
      </x:c>
      <x:c r="E1891" s="16" t="str">
        <x:v>Missing email</x:v>
      </x:c>
    </x:row>
    <x:row r="1892">
      <x:c r="A1892" s="16" t="n">
        <x:v>1926</x:v>
      </x:c>
      <x:c r="B1892" s="16" t="str">
        <x:v>Domysius Antius</x:v>
      </x:c>
      <x:c r="C1892" s="16" t="str"/>
      <x:c r="D1892" s="16" t="str">
        <x:v>* myContacts</x:v>
      </x:c>
      <x:c r="E1892" s="16" t="str">
        <x:v>Missing email</x:v>
      </x:c>
    </x:row>
    <x:row r="1893">
      <x:c r="A1893" s="16" t="n">
        <x:v>1927</x:v>
      </x:c>
      <x:c r="B1893" s="16" t="str">
        <x:v>Dora Aurora</x:v>
      </x:c>
      <x:c r="C1893" s="16" t="str"/>
      <x:c r="D1893" s="16" t="str">
        <x:v>* myContacts</x:v>
      </x:c>
      <x:c r="E1893" s="16" t="str">
        <x:v>Missing email</x:v>
      </x:c>
    </x:row>
    <x:row r="1894">
      <x:c r="A1894" s="16" t="n">
        <x:v>1928</x:v>
      </x:c>
      <x:c r="B1894" s="16" t="str">
        <x:v>Dorris Joesly Bonnie</x:v>
      </x:c>
      <x:c r="C1894" s="16" t="str"/>
      <x:c r="D1894" s="16" t="str">
        <x:v>* myContacts</x:v>
      </x:c>
      <x:c r="E1894" s="16" t="str">
        <x:v>Missing email</x:v>
      </x:c>
    </x:row>
    <x:row r="1895">
      <x:c r="A1895" s="16" t="n">
        <x:v>1929</x:v>
      </x:c>
      <x:c r="B1895" s="16" t="str">
        <x:v>Dot Beslim</x:v>
      </x:c>
      <x:c r="C1895" s="16" t="str"/>
      <x:c r="D1895" s="16" t="str">
        <x:v>* myContacts</x:v>
      </x:c>
      <x:c r="E1895" s="16" t="str">
        <x:v>Missing email</x:v>
      </x:c>
    </x:row>
    <x:row r="1896">
      <x:c r="A1896" s="16" t="n">
        <x:v>1930</x:v>
      </x:c>
      <x:c r="B1896" s="16" t="str">
        <x:v>DPIM HQ Syamil Afifi</x:v>
      </x:c>
      <x:c r="C1896" s="16" t="str"/>
      <x:c r="D1896" s="16" t="str">
        <x:v>* myContacts</x:v>
      </x:c>
      <x:c r="E1896" s="16" t="str">
        <x:v>Missing email</x:v>
      </x:c>
    </x:row>
    <x:row r="1897">
      <x:c r="A1897" s="16" t="n">
        <x:v>1931</x:v>
      </x:c>
      <x:c r="B1897" s="16" t="str">
        <x:v>DPIM PERAK Amal Hashim</x:v>
      </x:c>
      <x:c r="C1897" s="16" t="str"/>
      <x:c r="D1897" s="16" t="str">
        <x:v>* myContacts</x:v>
      </x:c>
      <x:c r="E1897" s="16" t="str">
        <x:v>Missing email</x:v>
      </x:c>
    </x:row>
    <x:row r="1898">
      <x:c r="A1898" s="16" t="n">
        <x:v>1932</x:v>
      </x:c>
      <x:c r="B1898" s="16" t="str">
        <x:v>DQ Cosmetic Shopline</x:v>
      </x:c>
      <x:c r="C1898" s="16" t="str"/>
      <x:c r="D1898" s="16" t="str">
        <x:v>* myContacts</x:v>
      </x:c>
      <x:c r="E1898" s="16" t="str">
        <x:v>Missing email</x:v>
      </x:c>
    </x:row>
    <x:row r="1899">
      <x:c r="A1899" s="16" t="n">
        <x:v>1934</x:v>
      </x:c>
      <x:c r="B1899" s="16" t="str">
        <x:v>Dr ariff barakah class</x:v>
      </x:c>
      <x:c r="C1899" s="16" t="str"/>
      <x:c r="D1899" s="16" t="str">
        <x:v>* myContacts</x:v>
      </x:c>
      <x:c r="E1899" s="16" t="str">
        <x:v>Missing email</x:v>
      </x:c>
    </x:row>
    <x:row r="1900">
      <x:c r="A1900" s="16" t="n">
        <x:v>1935</x:v>
      </x:c>
      <x:c r="B1900" s="16" t="str">
        <x:v>Dr Azhar</x:v>
      </x:c>
      <x:c r="C1900" s="16" t="str"/>
      <x:c r="D1900" s="16" t="str">
        <x:v>* myContacts</x:v>
      </x:c>
      <x:c r="E1900" s="16" t="str">
        <x:v>Missing email</x:v>
      </x:c>
    </x:row>
    <x:row r="1901">
      <x:c r="A1901" s="16" t="n">
        <x:v>1936</x:v>
      </x:c>
      <x:c r="B1901" s="16" t="str">
        <x:v>maj dr aziz bin ibrahim</x:v>
      </x:c>
      <x:c r="C1901" s="16" t="str"/>
      <x:c r="D1901" s="16" t="str">
        <x:v>* myContacts</x:v>
      </x:c>
      <x:c r="E1901" s="16" t="str">
        <x:v>Missing email</x:v>
      </x:c>
    </x:row>
    <x:row r="1902">
      <x:c r="A1902" s="16" t="n">
        <x:v>1937</x:v>
      </x:c>
      <x:c r="B1902" s="16" t="str">
        <x:v>Dr Ezat</x:v>
      </x:c>
      <x:c r="C1902" s="16" t="str"/>
      <x:c r="D1902" s="16" t="str">
        <x:v>* myContacts</x:v>
      </x:c>
      <x:c r="E1902" s="16" t="str">
        <x:v>Missing email</x:v>
      </x:c>
    </x:row>
    <x:row r="1903">
      <x:c r="A1903" s="16" t="n">
        <x:v>1939</x:v>
      </x:c>
      <x:c r="B1903" s="16" t="str">
        <x:v>Dr Liza UTM</x:v>
      </x:c>
      <x:c r="C1903" s="16" t="str"/>
      <x:c r="D1903" s="16" t="str">
        <x:v>* myContacts</x:v>
      </x:c>
      <x:c r="E1903" s="16" t="str">
        <x:v>Missing email</x:v>
      </x:c>
    </x:row>
    <x:row r="1904">
      <x:c r="A1904" s="16" t="n">
        <x:v>1940</x:v>
      </x:c>
      <x:c r="B1904" s="16" t="str">
        <x:v>DR. HJH. FARIDAH</x:v>
      </x:c>
      <x:c r="C1904" s="16" t="str"/>
      <x:c r="D1904" s="16" t="str">
        <x:v>* myContacts</x:v>
      </x:c>
      <x:c r="E1904" s="16" t="str">
        <x:v>Missing email</x:v>
      </x:c>
    </x:row>
    <x:row r="1905">
      <x:c r="A1905" s="16" t="n">
        <x:v>1941</x:v>
      </x:c>
      <x:c r="B1905" s="16" t="str">
        <x:v>Drabu Bakar</x:v>
      </x:c>
      <x:c r="C1905" s="16" t="str"/>
      <x:c r="D1905" s="16" t="str">
        <x:v>* myContacts</x:v>
      </x:c>
      <x:c r="E1905" s="16" t="str">
        <x:v>Missing email</x:v>
      </x:c>
    </x:row>
    <x:row r="1906">
      <x:c r="A1906" s="16" t="n">
        <x:v>1942</x:v>
      </x:c>
      <x:c r="B1906" s="16" t="str">
        <x:v>Drexel Mehuyael</x:v>
      </x:c>
      <x:c r="C1906" s="16" t="str"/>
      <x:c r="D1906" s="16" t="str">
        <x:v>* myContacts</x:v>
      </x:c>
      <x:c r="E1906" s="16" t="str">
        <x:v>Missing email</x:v>
      </x:c>
    </x:row>
    <x:row r="1907">
      <x:c r="A1907" s="16" t="n">
        <x:v>1943</x:v>
      </x:c>
      <x:c r="B1907" s="16" t="str">
        <x:v>Drey's Andaresta</x:v>
      </x:c>
      <x:c r="C1907" s="16" t="str"/>
      <x:c r="D1907" s="16" t="str">
        <x:v>* myContacts</x:v>
      </x:c>
      <x:c r="E1907" s="16" t="str">
        <x:v>Missing email</x:v>
      </x:c>
    </x:row>
    <x:row r="1908">
      <x:c r="A1908" s="16" t="n">
        <x:v>1944</x:v>
      </x:c>
      <x:c r="B1908" s="16" t="str">
        <x:v>DS Yap Founder TMB</x:v>
      </x:c>
      <x:c r="C1908" s="16" t="str"/>
      <x:c r="D1908" s="16" t="str">
        <x:v>* myContacts</x:v>
      </x:c>
      <x:c r="E1908" s="16" t="str">
        <x:v>Missing email</x:v>
      </x:c>
    </x:row>
    <x:row r="1909">
      <x:c r="A1909" s="16" t="n">
        <x:v>1945</x:v>
      </x:c>
      <x:c r="B1909" s="16" t="str">
        <x:v>Dt Andri</x:v>
      </x:c>
      <x:c r="C1909" s="16" t="str"/>
      <x:c r="D1909" s="16" t="str">
        <x:v>* myContacts</x:v>
      </x:c>
      <x:c r="E1909" s="16" t="str">
        <x:v>Missing email</x:v>
      </x:c>
    </x:row>
    <x:row r="1910">
      <x:c r="A1910" s="16" t="n">
        <x:v>1946</x:v>
      </x:c>
      <x:c r="B1910" s="16" t="str">
        <x:v>Dua Gantong Quuquu</x:v>
      </x:c>
      <x:c r="C1910" s="16" t="str"/>
      <x:c r="D1910" s="16" t="str">
        <x:v>* myContacts</x:v>
      </x:c>
      <x:c r="E1910" s="16" t="str">
        <x:v>Missing email</x:v>
      </x:c>
    </x:row>
    <x:row r="1911">
      <x:c r="A1911" s="16" t="n">
        <x:v>1947</x:v>
      </x:c>
      <x:c r="B1911" s="16" t="str">
        <x:v>Duke 2</x:v>
      </x:c>
      <x:c r="C1911" s="16" t="str"/>
      <x:c r="D1911" s="16" t="str">
        <x:v>* myContacts</x:v>
      </x:c>
      <x:c r="E1911" s="16" t="str">
        <x:v>Missing email</x:v>
      </x:c>
    </x:row>
    <x:row r="1912">
      <x:c r="A1912" s="16" t="n">
        <x:v>1949</x:v>
      </x:c>
      <x:c r="B1912" s="16" t="str">
        <x:v>Duwe Kbbc Agent</x:v>
      </x:c>
      <x:c r="C1912" s="16" t="str"/>
      <x:c r="D1912" s="16" t="str">
        <x:v>* myContacts</x:v>
      </x:c>
      <x:c r="E1912" s="16" t="str">
        <x:v>Missing email</x:v>
      </x:c>
    </x:row>
    <x:row r="1913">
      <x:c r="A1913" s="16" t="n">
        <x:v>1950</x:v>
      </x:c>
      <x:c r="B1913" s="16" t="str">
        <x:v>Dyg Haslinda Abg Ali</x:v>
      </x:c>
      <x:c r="C1913" s="16" t="str"/>
      <x:c r="D1913" s="16" t="str">
        <x:v>* myContacts</x:v>
      </x:c>
      <x:c r="E1913" s="16" t="str">
        <x:v>Missing email</x:v>
      </x:c>
    </x:row>
    <x:row r="1914">
      <x:c r="A1914" s="16" t="n">
        <x:v>1951</x:v>
      </x:c>
      <x:c r="B1914" s="16" t="str">
        <x:v>Dyidee Sepang</x:v>
      </x:c>
      <x:c r="C1914" s="16" t="str"/>
      <x:c r="D1914" s="16" t="str">
        <x:v>* myContacts</x:v>
      </x:c>
      <x:c r="E1914" s="16" t="str">
        <x:v>Missing email</x:v>
      </x:c>
    </x:row>
    <x:row r="1915">
      <x:c r="A1915" s="16" t="n">
        <x:v>1952</x:v>
      </x:c>
      <x:c r="B1915" s="16" t="str">
        <x:v>Dyna Richwork</x:v>
      </x:c>
      <x:c r="C1915" s="16" t="str"/>
      <x:c r="D1915" s="16" t="str">
        <x:v>* myContacts</x:v>
      </x:c>
      <x:c r="E1915" s="16" t="str">
        <x:v>Missing email</x:v>
      </x:c>
    </x:row>
    <x:row r="1916">
      <x:c r="A1916" s="16" t="n">
        <x:v>1953</x:v>
      </x:c>
      <x:c r="B1916" s="16" t="str">
        <x:v>Dys Hobby</x:v>
      </x:c>
      <x:c r="C1916" s="16" t="str"/>
      <x:c r="D1916" s="16" t="str">
        <x:v>* myContacts</x:v>
      </x:c>
      <x:c r="E1916" s="16" t="str">
        <x:v>Missing email</x:v>
      </x:c>
    </x:row>
    <x:row r="1917">
      <x:c r="A1917" s="16" t="n">
        <x:v>1954</x:v>
      </x:c>
      <x:c r="B1917" s="16" t="str">
        <x:v>Dz Reka</x:v>
      </x:c>
      <x:c r="C1917" s="16" t="str"/>
      <x:c r="D1917" s="16" t="str">
        <x:v>* myContacts</x:v>
      </x:c>
      <x:c r="E1917" s="16" t="str">
        <x:v>Missing email</x:v>
      </x:c>
    </x:row>
    <x:row r="1918">
      <x:c r="A1918" s="16" t="n">
        <x:v>1957</x:v>
      </x:c>
      <x:c r="B1918" s="16" t="str">
        <x:v>Dzuan Jaya Furniture</x:v>
      </x:c>
      <x:c r="C1918" s="16" t="str"/>
      <x:c r="D1918" s="16" t="str">
        <x:v>* myContacts</x:v>
      </x:c>
      <x:c r="E1918" s="16" t="str">
        <x:v>Missing email</x:v>
      </x:c>
    </x:row>
    <x:row r="1919">
      <x:c r="A1919" s="16" t="n">
        <x:v>1958</x:v>
      </x:c>
      <x:c r="B1919" s="16" t="str">
        <x:v>Dzul Akmal</x:v>
      </x:c>
      <x:c r="C1919" s="16" t="str"/>
      <x:c r="D1919" s="16" t="str">
        <x:v>* myContacts</x:v>
      </x:c>
      <x:c r="E1919" s="16" t="str">
        <x:v>Missing email</x:v>
      </x:c>
    </x:row>
    <x:row r="1920">
      <x:c r="A1920" s="16" t="n">
        <x:v>1959</x:v>
      </x:c>
      <x:c r="B1920" s="16" t="str">
        <x:v>Dzul Bda</x:v>
      </x:c>
      <x:c r="C1920" s="16" t="str"/>
      <x:c r="D1920" s="16" t="str">
        <x:v>* myContacts</x:v>
      </x:c>
      <x:c r="E1920" s="16" t="str">
        <x:v>Missing email</x:v>
      </x:c>
    </x:row>
    <x:row r="1921">
      <x:c r="A1921" s="16" t="n">
        <x:v>1960</x:v>
      </x:c>
      <x:c r="B1921" s="16" t="str">
        <x:v>Dzul H A'jg</x:v>
      </x:c>
      <x:c r="C1921" s="16" t="str"/>
      <x:c r="D1921" s="16" t="str">
        <x:v>* myContacts</x:v>
      </x:c>
      <x:c r="E1921" s="16" t="str">
        <x:v>Missing email</x:v>
      </x:c>
    </x:row>
    <x:row r="1922">
      <x:c r="A1922" s="16" t="n">
        <x:v>1961</x:v>
      </x:c>
      <x:c r="B1922" s="16" t="str">
        <x:v>Dzul Jutawan</x:v>
      </x:c>
      <x:c r="C1922" s="16" t="str"/>
      <x:c r="D1922" s="16" t="str">
        <x:v>* myContacts</x:v>
      </x:c>
      <x:c r="E1922" s="16" t="str">
        <x:v>Missing email</x:v>
      </x:c>
    </x:row>
    <x:row r="1923">
      <x:c r="A1923" s="16" t="n">
        <x:v>1962</x:v>
      </x:c>
      <x:c r="B1923" s="16" t="str">
        <x:v>Dzulaiqha Aziz</x:v>
      </x:c>
      <x:c r="C1923" s="16" t="str"/>
      <x:c r="D1923" s="16" t="str">
        <x:v>* myContacts</x:v>
      </x:c>
      <x:c r="E1923" s="16" t="str">
        <x:v>Missing email</x:v>
      </x:c>
    </x:row>
    <x:row r="1924">
      <x:c r="A1924" s="16" t="n">
        <x:v>1964</x:v>
      </x:c>
      <x:c r="B1924" s="16" t="str">
        <x:v>E-m A-n</x:v>
      </x:c>
      <x:c r="C1924" s="16" t="str"/>
      <x:c r="D1924" s="16" t="str">
        <x:v>* myContacts</x:v>
      </x:c>
      <x:c r="E1924" s="16" t="str">
        <x:v>Missing email</x:v>
      </x:c>
    </x:row>
    <x:row r="1925">
      <x:c r="A1925" s="16" t="n">
        <x:v>1965</x:v>
      </x:c>
      <x:c r="B1925" s="16" t="str">
        <x:v>E-mah Zainal</x:v>
      </x:c>
      <x:c r="C1925" s="16" t="str"/>
      <x:c r="D1925" s="16" t="str">
        <x:v>* myContacts</x:v>
      </x:c>
      <x:c r="E1925" s="16" t="str">
        <x:v>Missing email</x:v>
      </x:c>
    </x:row>
    <x:row r="1926">
      <x:c r="A1926" s="16" t="n">
        <x:v>1966</x:v>
      </x:c>
      <x:c r="B1926" s="16" t="str">
        <x:v>E-one Fikri</x:v>
      </x:c>
      <x:c r="C1926" s="16" t="str"/>
      <x:c r="D1926" s="16" t="str">
        <x:v>* myContacts</x:v>
      </x:c>
      <x:c r="E1926" s="16" t="str">
        <x:v>Missing email</x:v>
      </x:c>
    </x:row>
    <x:row r="1927">
      <x:c r="A1927" s="16" t="n">
        <x:v>1967</x:v>
      </x:c>
      <x:c r="B1927" s="16" t="str">
        <x:v>e1</x:v>
      </x:c>
      <x:c r="C1927" s="16" t="str"/>
      <x:c r="D1927" s="16" t="str">
        <x:v>* myContacts</x:v>
      </x:c>
      <x:c r="E1927" s="16" t="str">
        <x:v>Missing email</x:v>
      </x:c>
    </x:row>
    <x:row r="1928">
      <x:c r="A1928" s="16" t="n">
        <x:v>1968</x:v>
      </x:c>
      <x:c r="B1928" s="16" t="str">
        <x:v>e10</x:v>
      </x:c>
      <x:c r="C1928" s="16" t="str"/>
      <x:c r="D1928" s="16" t="str">
        <x:v>* myContacts</x:v>
      </x:c>
      <x:c r="E1928" s="16" t="str">
        <x:v>Missing email</x:v>
      </x:c>
    </x:row>
    <x:row r="1929">
      <x:c r="A1929" s="16" t="n">
        <x:v>1969</x:v>
      </x:c>
      <x:c r="B1929" s="16" t="str">
        <x:v>e11</x:v>
      </x:c>
      <x:c r="C1929" s="16" t="str"/>
      <x:c r="D1929" s="16" t="str">
        <x:v>* myContacts</x:v>
      </x:c>
      <x:c r="E1929" s="16" t="str">
        <x:v>Missing email</x:v>
      </x:c>
    </x:row>
    <x:row r="1930">
      <x:c r="A1930" s="16" t="n">
        <x:v>1970</x:v>
      </x:c>
      <x:c r="B1930" s="16" t="str">
        <x:v>e12</x:v>
      </x:c>
      <x:c r="C1930" s="16" t="str"/>
      <x:c r="D1930" s="16" t="str">
        <x:v>* myContacts</x:v>
      </x:c>
      <x:c r="E1930" s="16" t="str">
        <x:v>Missing email</x:v>
      </x:c>
    </x:row>
    <x:row r="1931">
      <x:c r="A1931" s="16" t="n">
        <x:v>1971</x:v>
      </x:c>
      <x:c r="B1931" s="16" t="str">
        <x:v>e13</x:v>
      </x:c>
      <x:c r="C1931" s="16" t="str"/>
      <x:c r="D1931" s="16" t="str">
        <x:v>* myContacts</x:v>
      </x:c>
      <x:c r="E1931" s="16" t="str">
        <x:v>Missing email</x:v>
      </x:c>
    </x:row>
    <x:row r="1932">
      <x:c r="A1932" s="16" t="n">
        <x:v>1972</x:v>
      </x:c>
      <x:c r="B1932" s="16" t="str">
        <x:v>e15</x:v>
      </x:c>
      <x:c r="C1932" s="16" t="str"/>
      <x:c r="D1932" s="16" t="str">
        <x:v>* myContacts</x:v>
      </x:c>
      <x:c r="E1932" s="16" t="str">
        <x:v>Missing email</x:v>
      </x:c>
    </x:row>
    <x:row r="1933">
      <x:c r="A1933" s="16" t="n">
        <x:v>1973</x:v>
      </x:c>
      <x:c r="B1933" s="16" t="str">
        <x:v>e16</x:v>
      </x:c>
      <x:c r="C1933" s="16" t="str"/>
      <x:c r="D1933" s="16" t="str">
        <x:v>* myContacts</x:v>
      </x:c>
      <x:c r="E1933" s="16" t="str">
        <x:v>Missing email</x:v>
      </x:c>
    </x:row>
    <x:row r="1934">
      <x:c r="A1934" s="16" t="n">
        <x:v>1974</x:v>
      </x:c>
      <x:c r="B1934" s="16" t="str">
        <x:v>e17</x:v>
      </x:c>
      <x:c r="C1934" s="16" t="str"/>
      <x:c r="D1934" s="16" t="str">
        <x:v>* myContacts</x:v>
      </x:c>
      <x:c r="E1934" s="16" t="str">
        <x:v>Missing email</x:v>
      </x:c>
    </x:row>
    <x:row r="1935">
      <x:c r="A1935" s="16" t="n">
        <x:v>1975</x:v>
      </x:c>
      <x:c r="B1935" s="16" t="str">
        <x:v>e18</x:v>
      </x:c>
      <x:c r="C1935" s="16" t="str"/>
      <x:c r="D1935" s="16" t="str">
        <x:v>* myContacts</x:v>
      </x:c>
      <x:c r="E1935" s="16" t="str">
        <x:v>Missing email</x:v>
      </x:c>
    </x:row>
    <x:row r="1936">
      <x:c r="A1936" s="16" t="n">
        <x:v>1976</x:v>
      </x:c>
      <x:c r="B1936" s="16" t="str">
        <x:v>e19</x:v>
      </x:c>
      <x:c r="C1936" s="16" t="str"/>
      <x:c r="D1936" s="16" t="str">
        <x:v>* myContacts</x:v>
      </x:c>
      <x:c r="E1936" s="16" t="str">
        <x:v>Missing email</x:v>
      </x:c>
    </x:row>
    <x:row r="1937">
      <x:c r="A1937" s="16" t="n">
        <x:v>1977</x:v>
      </x:c>
      <x:c r="B1937" s="16" t="str">
        <x:v>e2</x:v>
      </x:c>
      <x:c r="C1937" s="16" t="str"/>
      <x:c r="D1937" s="16" t="str">
        <x:v>* myContacts</x:v>
      </x:c>
      <x:c r="E1937" s="16" t="str">
        <x:v>Missing email</x:v>
      </x:c>
    </x:row>
    <x:row r="1938">
      <x:c r="A1938" s="16" t="n">
        <x:v>1978</x:v>
      </x:c>
      <x:c r="B1938" s="16" t="str">
        <x:v>e20</x:v>
      </x:c>
      <x:c r="C1938" s="16" t="str"/>
      <x:c r="D1938" s="16" t="str">
        <x:v>* myContacts</x:v>
      </x:c>
      <x:c r="E1938" s="16" t="str">
        <x:v>Missing email</x:v>
      </x:c>
    </x:row>
    <x:row r="1939">
      <x:c r="A1939" s="16" t="n">
        <x:v>1979</x:v>
      </x:c>
      <x:c r="B1939" s="16" t="str">
        <x:v>e21</x:v>
      </x:c>
      <x:c r="C1939" s="16" t="str"/>
      <x:c r="D1939" s="16" t="str">
        <x:v>* myContacts</x:v>
      </x:c>
      <x:c r="E1939" s="16" t="str">
        <x:v>Missing email</x:v>
      </x:c>
    </x:row>
    <x:row r="1940">
      <x:c r="A1940" s="16" t="n">
        <x:v>1980</x:v>
      </x:c>
      <x:c r="B1940" s="16" t="str">
        <x:v>e22</x:v>
      </x:c>
      <x:c r="C1940" s="16" t="str"/>
      <x:c r="D1940" s="16" t="str">
        <x:v>* myContacts</x:v>
      </x:c>
      <x:c r="E1940" s="16" t="str">
        <x:v>Missing email</x:v>
      </x:c>
    </x:row>
    <x:row r="1941">
      <x:c r="A1941" s="16" t="n">
        <x:v>1981</x:v>
      </x:c>
      <x:c r="B1941" s="16" t="str">
        <x:v>e23</x:v>
      </x:c>
      <x:c r="C1941" s="16" t="str"/>
      <x:c r="D1941" s="16" t="str">
        <x:v>* myContacts</x:v>
      </x:c>
      <x:c r="E1941" s="16" t="str">
        <x:v>Missing email</x:v>
      </x:c>
    </x:row>
    <x:row r="1942">
      <x:c r="A1942" s="16" t="n">
        <x:v>1982</x:v>
      </x:c>
      <x:c r="B1942" s="16" t="str">
        <x:v>e24</x:v>
      </x:c>
      <x:c r="C1942" s="16" t="str"/>
      <x:c r="D1942" s="16" t="str">
        <x:v>* myContacts</x:v>
      </x:c>
      <x:c r="E1942" s="16" t="str">
        <x:v>Missing email</x:v>
      </x:c>
    </x:row>
    <x:row r="1943">
      <x:c r="A1943" s="16" t="n">
        <x:v>1983</x:v>
      </x:c>
      <x:c r="B1943" s="16" t="str">
        <x:v>e25</x:v>
      </x:c>
      <x:c r="C1943" s="16" t="str"/>
      <x:c r="D1943" s="16" t="str">
        <x:v>* myContacts</x:v>
      </x:c>
      <x:c r="E1943" s="16" t="str">
        <x:v>Missing email</x:v>
      </x:c>
    </x:row>
    <x:row r="1944">
      <x:c r="A1944" s="16" t="n">
        <x:v>1984</x:v>
      </x:c>
      <x:c r="B1944" s="16" t="str">
        <x:v>e26</x:v>
      </x:c>
      <x:c r="C1944" s="16" t="str"/>
      <x:c r="D1944" s="16" t="str">
        <x:v>* myContacts</x:v>
      </x:c>
      <x:c r="E1944" s="16" t="str">
        <x:v>Missing email</x:v>
      </x:c>
    </x:row>
    <x:row r="1945">
      <x:c r="A1945" s="16" t="n">
        <x:v>1985</x:v>
      </x:c>
      <x:c r="B1945" s="16" t="str">
        <x:v>e27</x:v>
      </x:c>
      <x:c r="C1945" s="16" t="str"/>
      <x:c r="D1945" s="16" t="str">
        <x:v>* myContacts</x:v>
      </x:c>
      <x:c r="E1945" s="16" t="str">
        <x:v>Missing email</x:v>
      </x:c>
    </x:row>
    <x:row r="1946">
      <x:c r="A1946" s="16" t="n">
        <x:v>1986</x:v>
      </x:c>
      <x:c r="B1946" s="16" t="str">
        <x:v>e28</x:v>
      </x:c>
      <x:c r="C1946" s="16" t="str"/>
      <x:c r="D1946" s="16" t="str">
        <x:v>* myContacts</x:v>
      </x:c>
      <x:c r="E1946" s="16" t="str">
        <x:v>Missing email</x:v>
      </x:c>
    </x:row>
    <x:row r="1947">
      <x:c r="A1947" s="16" t="n">
        <x:v>1987</x:v>
      </x:c>
      <x:c r="B1947" s="16" t="str">
        <x:v>e29</x:v>
      </x:c>
      <x:c r="C1947" s="16" t="str"/>
      <x:c r="D1947" s="16" t="str">
        <x:v>* myContacts</x:v>
      </x:c>
      <x:c r="E1947" s="16" t="str">
        <x:v>Missing email</x:v>
      </x:c>
    </x:row>
    <x:row r="1948">
      <x:c r="A1948" s="16" t="n">
        <x:v>1988</x:v>
      </x:c>
      <x:c r="B1948" s="16" t="str">
        <x:v>e3</x:v>
      </x:c>
      <x:c r="C1948" s="16" t="str"/>
      <x:c r="D1948" s="16" t="str">
        <x:v>* myContacts</x:v>
      </x:c>
      <x:c r="E1948" s="16" t="str">
        <x:v>Missing email</x:v>
      </x:c>
    </x:row>
    <x:row r="1949">
      <x:c r="A1949" s="16" t="n">
        <x:v>1989</x:v>
      </x:c>
      <x:c r="B1949" s="16" t="str">
        <x:v>e30</x:v>
      </x:c>
      <x:c r="C1949" s="16" t="str"/>
      <x:c r="D1949" s="16" t="str">
        <x:v>* myContacts</x:v>
      </x:c>
      <x:c r="E1949" s="16" t="str">
        <x:v>Missing email</x:v>
      </x:c>
    </x:row>
    <x:row r="1950">
      <x:c r="A1950" s="16" t="n">
        <x:v>1990</x:v>
      </x:c>
      <x:c r="B1950" s="16" t="str">
        <x:v>e31</x:v>
      </x:c>
      <x:c r="C1950" s="16" t="str"/>
      <x:c r="D1950" s="16" t="str">
        <x:v>* myContacts</x:v>
      </x:c>
      <x:c r="E1950" s="16" t="str">
        <x:v>Missing email</x:v>
      </x:c>
    </x:row>
    <x:row r="1951">
      <x:c r="A1951" s="16" t="n">
        <x:v>1991</x:v>
      </x:c>
      <x:c r="B1951" s="16" t="str">
        <x:v>e32</x:v>
      </x:c>
      <x:c r="C1951" s="16" t="str"/>
      <x:c r="D1951" s="16" t="str">
        <x:v>* myContacts</x:v>
      </x:c>
      <x:c r="E1951" s="16" t="str">
        <x:v>Missing email</x:v>
      </x:c>
    </x:row>
    <x:row r="1952">
      <x:c r="A1952" s="16" t="n">
        <x:v>1992</x:v>
      </x:c>
      <x:c r="B1952" s="16" t="str">
        <x:v>e33</x:v>
      </x:c>
      <x:c r="C1952" s="16" t="str"/>
      <x:c r="D1952" s="16" t="str">
        <x:v>* myContacts</x:v>
      </x:c>
      <x:c r="E1952" s="16" t="str">
        <x:v>Missing email</x:v>
      </x:c>
    </x:row>
    <x:row r="1953">
      <x:c r="A1953" s="16" t="n">
        <x:v>1993</x:v>
      </x:c>
      <x:c r="B1953" s="16" t="str">
        <x:v>e34</x:v>
      </x:c>
      <x:c r="C1953" s="16" t="str"/>
      <x:c r="D1953" s="16" t="str">
        <x:v>* myContacts</x:v>
      </x:c>
      <x:c r="E1953" s="16" t="str">
        <x:v>Missing email</x:v>
      </x:c>
    </x:row>
    <x:row r="1954">
      <x:c r="A1954" s="16" t="n">
        <x:v>1994</x:v>
      </x:c>
      <x:c r="B1954" s="16" t="str">
        <x:v>e35</x:v>
      </x:c>
      <x:c r="C1954" s="16" t="str"/>
      <x:c r="D1954" s="16" t="str">
        <x:v>* myContacts</x:v>
      </x:c>
      <x:c r="E1954" s="16" t="str">
        <x:v>Missing email</x:v>
      </x:c>
    </x:row>
    <x:row r="1955">
      <x:c r="A1955" s="16" t="n">
        <x:v>1995</x:v>
      </x:c>
      <x:c r="B1955" s="16" t="str">
        <x:v>e36</x:v>
      </x:c>
      <x:c r="C1955" s="16" t="str"/>
      <x:c r="D1955" s="16" t="str">
        <x:v>* myContacts</x:v>
      </x:c>
      <x:c r="E1955" s="16" t="str">
        <x:v>Missing email</x:v>
      </x:c>
    </x:row>
    <x:row r="1956">
      <x:c r="A1956" s="16" t="n">
        <x:v>1996</x:v>
      </x:c>
      <x:c r="B1956" s="16" t="str">
        <x:v>e37</x:v>
      </x:c>
      <x:c r="C1956" s="16" t="str"/>
      <x:c r="D1956" s="16" t="str">
        <x:v>* myContacts</x:v>
      </x:c>
      <x:c r="E1956" s="16" t="str">
        <x:v>Missing email</x:v>
      </x:c>
    </x:row>
    <x:row r="1957">
      <x:c r="A1957" s="16" t="n">
        <x:v>1997</x:v>
      </x:c>
      <x:c r="B1957" s="16" t="str">
        <x:v>e38</x:v>
      </x:c>
      <x:c r="C1957" s="16" t="str"/>
      <x:c r="D1957" s="16" t="str">
        <x:v>* myContacts</x:v>
      </x:c>
      <x:c r="E1957" s="16" t="str">
        <x:v>Missing email</x:v>
      </x:c>
    </x:row>
    <x:row r="1958">
      <x:c r="A1958" s="16" t="n">
        <x:v>1998</x:v>
      </x:c>
      <x:c r="B1958" s="16" t="str">
        <x:v>e39</x:v>
      </x:c>
      <x:c r="C1958" s="16" t="str"/>
      <x:c r="D1958" s="16" t="str">
        <x:v>* myContacts</x:v>
      </x:c>
      <x:c r="E1958" s="16" t="str">
        <x:v>Missing email</x:v>
      </x:c>
    </x:row>
    <x:row r="1959">
      <x:c r="A1959" s="16" t="n">
        <x:v>1999</x:v>
      </x:c>
      <x:c r="B1959" s="16" t="str">
        <x:v>e4</x:v>
      </x:c>
      <x:c r="C1959" s="16" t="str"/>
      <x:c r="D1959" s="16" t="str">
        <x:v>* myContacts</x:v>
      </x:c>
      <x:c r="E1959" s="16" t="str">
        <x:v>Missing email</x:v>
      </x:c>
    </x:row>
    <x:row r="1960">
      <x:c r="A1960" s="16" t="n">
        <x:v>2000</x:v>
      </x:c>
      <x:c r="B1960" s="16" t="str">
        <x:v>e40</x:v>
      </x:c>
      <x:c r="C1960" s="16" t="str"/>
      <x:c r="D1960" s="16" t="str">
        <x:v>* myContacts</x:v>
      </x:c>
      <x:c r="E1960" s="16" t="str">
        <x:v>Missing email</x:v>
      </x:c>
    </x:row>
    <x:row r="1961">
      <x:c r="A1961" s="16" t="n">
        <x:v>2001</x:v>
      </x:c>
      <x:c r="B1961" s="16" t="str">
        <x:v>e41</x:v>
      </x:c>
      <x:c r="C1961" s="16" t="str"/>
      <x:c r="D1961" s="16" t="str">
        <x:v>* myContacts</x:v>
      </x:c>
      <x:c r="E1961" s="16" t="str">
        <x:v>Missing email</x:v>
      </x:c>
    </x:row>
    <x:row r="1962">
      <x:c r="A1962" s="16" t="n">
        <x:v>2002</x:v>
      </x:c>
      <x:c r="B1962" s="16" t="str">
        <x:v>e42</x:v>
      </x:c>
      <x:c r="C1962" s="16" t="str"/>
      <x:c r="D1962" s="16" t="str">
        <x:v>* myContacts</x:v>
      </x:c>
      <x:c r="E1962" s="16" t="str">
        <x:v>Missing email</x:v>
      </x:c>
    </x:row>
    <x:row r="1963">
      <x:c r="A1963" s="16" t="n">
        <x:v>2003</x:v>
      </x:c>
      <x:c r="B1963" s="16" t="str">
        <x:v>e43</x:v>
      </x:c>
      <x:c r="C1963" s="16" t="str"/>
      <x:c r="D1963" s="16" t="str">
        <x:v>* myContacts</x:v>
      </x:c>
      <x:c r="E1963" s="16" t="str">
        <x:v>Missing email</x:v>
      </x:c>
    </x:row>
    <x:row r="1964">
      <x:c r="A1964" s="16" t="n">
        <x:v>2004</x:v>
      </x:c>
      <x:c r="B1964" s="16" t="str">
        <x:v>e44</x:v>
      </x:c>
      <x:c r="C1964" s="16" t="str"/>
      <x:c r="D1964" s="16" t="str">
        <x:v>* myContacts</x:v>
      </x:c>
      <x:c r="E1964" s="16" t="str">
        <x:v>Missing email</x:v>
      </x:c>
    </x:row>
    <x:row r="1965">
      <x:c r="A1965" s="16" t="n">
        <x:v>2005</x:v>
      </x:c>
      <x:c r="B1965" s="16" t="str">
        <x:v>e45</x:v>
      </x:c>
      <x:c r="C1965" s="16" t="str"/>
      <x:c r="D1965" s="16" t="str">
        <x:v>* myContacts</x:v>
      </x:c>
      <x:c r="E1965" s="16" t="str">
        <x:v>Missing email</x:v>
      </x:c>
    </x:row>
    <x:row r="1966">
      <x:c r="A1966" s="16" t="n">
        <x:v>2006</x:v>
      </x:c>
      <x:c r="B1966" s="16" t="str">
        <x:v>e46</x:v>
      </x:c>
      <x:c r="C1966" s="16" t="str"/>
      <x:c r="D1966" s="16" t="str">
        <x:v>* myContacts</x:v>
      </x:c>
      <x:c r="E1966" s="16" t="str">
        <x:v>Missing email</x:v>
      </x:c>
    </x:row>
    <x:row r="1967">
      <x:c r="A1967" s="16" t="n">
        <x:v>2007</x:v>
      </x:c>
      <x:c r="B1967" s="16" t="str">
        <x:v>e47</x:v>
      </x:c>
      <x:c r="C1967" s="16" t="str"/>
      <x:c r="D1967" s="16" t="str">
        <x:v>* myContacts</x:v>
      </x:c>
      <x:c r="E1967" s="16" t="str">
        <x:v>Missing email</x:v>
      </x:c>
    </x:row>
    <x:row r="1968">
      <x:c r="A1968" s="16" t="n">
        <x:v>2008</x:v>
      </x:c>
      <x:c r="B1968" s="16" t="str">
        <x:v>e48</x:v>
      </x:c>
      <x:c r="C1968" s="16" t="str"/>
      <x:c r="D1968" s="16" t="str">
        <x:v>* myContacts</x:v>
      </x:c>
      <x:c r="E1968" s="16" t="str">
        <x:v>Missing email</x:v>
      </x:c>
    </x:row>
    <x:row r="1969">
      <x:c r="A1969" s="16" t="n">
        <x:v>2009</x:v>
      </x:c>
      <x:c r="B1969" s="16" t="str">
        <x:v>e49</x:v>
      </x:c>
      <x:c r="C1969" s="16" t="str"/>
      <x:c r="D1969" s="16" t="str">
        <x:v>* myContacts</x:v>
      </x:c>
      <x:c r="E1969" s="16" t="str">
        <x:v>Missing email</x:v>
      </x:c>
    </x:row>
    <x:row r="1970">
      <x:c r="A1970" s="16" t="n">
        <x:v>2010</x:v>
      </x:c>
      <x:c r="B1970" s="16" t="str">
        <x:v>e5</x:v>
      </x:c>
      <x:c r="C1970" s="16" t="str"/>
      <x:c r="D1970" s="16" t="str">
        <x:v>* myContacts</x:v>
      </x:c>
      <x:c r="E1970" s="16" t="str">
        <x:v>Missing email</x:v>
      </x:c>
    </x:row>
    <x:row r="1971">
      <x:c r="A1971" s="16" t="n">
        <x:v>2011</x:v>
      </x:c>
      <x:c r="B1971" s="16" t="str">
        <x:v>e50</x:v>
      </x:c>
      <x:c r="C1971" s="16" t="str"/>
      <x:c r="D1971" s="16" t="str">
        <x:v>* myContacts</x:v>
      </x:c>
      <x:c r="E1971" s="16" t="str">
        <x:v>Missing email</x:v>
      </x:c>
    </x:row>
    <x:row r="1972">
      <x:c r="A1972" s="16" t="n">
        <x:v>2012</x:v>
      </x:c>
      <x:c r="B1972" s="16" t="str">
        <x:v>e51</x:v>
      </x:c>
      <x:c r="C1972" s="16" t="str"/>
      <x:c r="D1972" s="16" t="str">
        <x:v>* myContacts</x:v>
      </x:c>
      <x:c r="E1972" s="16" t="str">
        <x:v>Missing email</x:v>
      </x:c>
    </x:row>
    <x:row r="1973">
      <x:c r="A1973" s="16" t="n">
        <x:v>2013</x:v>
      </x:c>
      <x:c r="B1973" s="16" t="str">
        <x:v>e52</x:v>
      </x:c>
      <x:c r="C1973" s="16" t="str"/>
      <x:c r="D1973" s="16" t="str">
        <x:v>* myContacts</x:v>
      </x:c>
      <x:c r="E1973" s="16" t="str">
        <x:v>Missing email</x:v>
      </x:c>
    </x:row>
    <x:row r="1974">
      <x:c r="A1974" s="16" t="n">
        <x:v>2014</x:v>
      </x:c>
      <x:c r="B1974" s="16" t="str">
        <x:v>e53</x:v>
      </x:c>
      <x:c r="C1974" s="16" t="str"/>
      <x:c r="D1974" s="16" t="str">
        <x:v>* myContacts</x:v>
      </x:c>
      <x:c r="E1974" s="16" t="str">
        <x:v>Missing email</x:v>
      </x:c>
    </x:row>
    <x:row r="1975">
      <x:c r="A1975" s="16" t="n">
        <x:v>2015</x:v>
      </x:c>
      <x:c r="B1975" s="16" t="str">
        <x:v>e54</x:v>
      </x:c>
      <x:c r="C1975" s="16" t="str"/>
      <x:c r="D1975" s="16" t="str">
        <x:v>* myContacts</x:v>
      </x:c>
      <x:c r="E1975" s="16" t="str">
        <x:v>Missing email</x:v>
      </x:c>
    </x:row>
    <x:row r="1976">
      <x:c r="A1976" s="16" t="n">
        <x:v>2016</x:v>
      </x:c>
      <x:c r="B1976" s="16" t="str">
        <x:v>e55</x:v>
      </x:c>
      <x:c r="C1976" s="16" t="str"/>
      <x:c r="D1976" s="16" t="str">
        <x:v>* myContacts</x:v>
      </x:c>
      <x:c r="E1976" s="16" t="str">
        <x:v>Missing email</x:v>
      </x:c>
    </x:row>
    <x:row r="1977">
      <x:c r="A1977" s="16" t="n">
        <x:v>2017</x:v>
      </x:c>
      <x:c r="B1977" s="16" t="str">
        <x:v>e56</x:v>
      </x:c>
      <x:c r="C1977" s="16" t="str"/>
      <x:c r="D1977" s="16" t="str">
        <x:v>* myContacts</x:v>
      </x:c>
      <x:c r="E1977" s="16" t="str">
        <x:v>Missing email</x:v>
      </x:c>
    </x:row>
    <x:row r="1978">
      <x:c r="A1978" s="16" t="n">
        <x:v>2018</x:v>
      </x:c>
      <x:c r="B1978" s="16" t="str">
        <x:v>e57</x:v>
      </x:c>
      <x:c r="C1978" s="16" t="str"/>
      <x:c r="D1978" s="16" t="str">
        <x:v>* myContacts</x:v>
      </x:c>
      <x:c r="E1978" s="16" t="str">
        <x:v>Missing email</x:v>
      </x:c>
    </x:row>
    <x:row r="1979">
      <x:c r="A1979" s="16" t="n">
        <x:v>2019</x:v>
      </x:c>
      <x:c r="B1979" s="16" t="str">
        <x:v>e58</x:v>
      </x:c>
      <x:c r="C1979" s="16" t="str"/>
      <x:c r="D1979" s="16" t="str">
        <x:v>* myContacts</x:v>
      </x:c>
      <x:c r="E1979" s="16" t="str">
        <x:v>Missing email</x:v>
      </x:c>
    </x:row>
    <x:row r="1980">
      <x:c r="A1980" s="16" t="n">
        <x:v>2020</x:v>
      </x:c>
      <x:c r="B1980" s="16" t="str">
        <x:v>e59</x:v>
      </x:c>
      <x:c r="C1980" s="16" t="str"/>
      <x:c r="D1980" s="16" t="str">
        <x:v>* myContacts</x:v>
      </x:c>
      <x:c r="E1980" s="16" t="str">
        <x:v>Missing email</x:v>
      </x:c>
    </x:row>
    <x:row r="1981">
      <x:c r="A1981" s="16" t="n">
        <x:v>2021</x:v>
      </x:c>
      <x:c r="B1981" s="16" t="str">
        <x:v>e6</x:v>
      </x:c>
      <x:c r="C1981" s="16" t="str"/>
      <x:c r="D1981" s="16" t="str">
        <x:v>* myContacts</x:v>
      </x:c>
      <x:c r="E1981" s="16" t="str">
        <x:v>Missing email</x:v>
      </x:c>
    </x:row>
    <x:row r="1982">
      <x:c r="A1982" s="16" t="n">
        <x:v>2022</x:v>
      </x:c>
      <x:c r="B1982" s="16" t="str">
        <x:v>e60</x:v>
      </x:c>
      <x:c r="C1982" s="16" t="str"/>
      <x:c r="D1982" s="16" t="str">
        <x:v>* myContacts</x:v>
      </x:c>
      <x:c r="E1982" s="16" t="str">
        <x:v>Missing email</x:v>
      </x:c>
    </x:row>
    <x:row r="1983">
      <x:c r="A1983" s="16" t="n">
        <x:v>2023</x:v>
      </x:c>
      <x:c r="B1983" s="16" t="str">
        <x:v>e61</x:v>
      </x:c>
      <x:c r="C1983" s="16" t="str"/>
      <x:c r="D1983" s="16" t="str">
        <x:v>* myContacts</x:v>
      </x:c>
      <x:c r="E1983" s="16" t="str">
        <x:v>Missing email</x:v>
      </x:c>
    </x:row>
    <x:row r="1984">
      <x:c r="A1984" s="16" t="n">
        <x:v>2024</x:v>
      </x:c>
      <x:c r="B1984" s="16" t="str">
        <x:v>e62</x:v>
      </x:c>
      <x:c r="C1984" s="16" t="str"/>
      <x:c r="D1984" s="16" t="str">
        <x:v>* myContacts</x:v>
      </x:c>
      <x:c r="E1984" s="16" t="str">
        <x:v>Missing email</x:v>
      </x:c>
    </x:row>
    <x:row r="1985">
      <x:c r="A1985" s="16" t="n">
        <x:v>2025</x:v>
      </x:c>
      <x:c r="B1985" s="16" t="str">
        <x:v>e63</x:v>
      </x:c>
      <x:c r="C1985" s="16" t="str"/>
      <x:c r="D1985" s="16" t="str">
        <x:v>* myContacts</x:v>
      </x:c>
      <x:c r="E1985" s="16" t="str">
        <x:v>Missing email</x:v>
      </x:c>
    </x:row>
    <x:row r="1986">
      <x:c r="A1986" s="16" t="n">
        <x:v>2026</x:v>
      </x:c>
      <x:c r="B1986" s="16" t="str">
        <x:v>e64</x:v>
      </x:c>
      <x:c r="C1986" s="16" t="str"/>
      <x:c r="D1986" s="16" t="str">
        <x:v>* myContacts</x:v>
      </x:c>
      <x:c r="E1986" s="16" t="str">
        <x:v>Missing email</x:v>
      </x:c>
    </x:row>
    <x:row r="1987">
      <x:c r="A1987" s="16" t="n">
        <x:v>2027</x:v>
      </x:c>
      <x:c r="B1987" s="16" t="str">
        <x:v>e65</x:v>
      </x:c>
      <x:c r="C1987" s="16" t="str"/>
      <x:c r="D1987" s="16" t="str">
        <x:v>* myContacts</x:v>
      </x:c>
      <x:c r="E1987" s="16" t="str">
        <x:v>Missing email</x:v>
      </x:c>
    </x:row>
    <x:row r="1988">
      <x:c r="A1988" s="16" t="n">
        <x:v>2028</x:v>
      </x:c>
      <x:c r="B1988" s="16" t="str">
        <x:v>e66</x:v>
      </x:c>
      <x:c r="C1988" s="16" t="str"/>
      <x:c r="D1988" s="16" t="str">
        <x:v>* myContacts</x:v>
      </x:c>
      <x:c r="E1988" s="16" t="str">
        <x:v>Missing email</x:v>
      </x:c>
    </x:row>
    <x:row r="1989">
      <x:c r="A1989" s="16" t="n">
        <x:v>2029</x:v>
      </x:c>
      <x:c r="B1989" s="16" t="str">
        <x:v>e67</x:v>
      </x:c>
      <x:c r="C1989" s="16" t="str"/>
      <x:c r="D1989" s="16" t="str">
        <x:v>* myContacts</x:v>
      </x:c>
      <x:c r="E1989" s="16" t="str">
        <x:v>Missing email</x:v>
      </x:c>
    </x:row>
    <x:row r="1990">
      <x:c r="A1990" s="16" t="n">
        <x:v>2030</x:v>
      </x:c>
      <x:c r="B1990" s="16" t="str">
        <x:v>e68</x:v>
      </x:c>
      <x:c r="C1990" s="16" t="str"/>
      <x:c r="D1990" s="16" t="str">
        <x:v>* myContacts</x:v>
      </x:c>
      <x:c r="E1990" s="16" t="str">
        <x:v>Missing email</x:v>
      </x:c>
    </x:row>
    <x:row r="1991">
      <x:c r="A1991" s="16" t="n">
        <x:v>2031</x:v>
      </x:c>
      <x:c r="B1991" s="16" t="str">
        <x:v>e69</x:v>
      </x:c>
      <x:c r="C1991" s="16" t="str"/>
      <x:c r="D1991" s="16" t="str">
        <x:v>* myContacts</x:v>
      </x:c>
      <x:c r="E1991" s="16" t="str">
        <x:v>Missing email</x:v>
      </x:c>
    </x:row>
    <x:row r="1992">
      <x:c r="A1992" s="16" t="n">
        <x:v>2032</x:v>
      </x:c>
      <x:c r="B1992" s="16" t="str">
        <x:v>e7</x:v>
      </x:c>
      <x:c r="C1992" s="16" t="str"/>
      <x:c r="D1992" s="16" t="str">
        <x:v>* myContacts</x:v>
      </x:c>
      <x:c r="E1992" s="16" t="str">
        <x:v>Missing email</x:v>
      </x:c>
    </x:row>
    <x:row r="1993">
      <x:c r="A1993" s="16" t="n">
        <x:v>2033</x:v>
      </x:c>
      <x:c r="B1993" s="16" t="str">
        <x:v>e70</x:v>
      </x:c>
      <x:c r="C1993" s="16" t="str"/>
      <x:c r="D1993" s="16" t="str">
        <x:v>* myContacts</x:v>
      </x:c>
      <x:c r="E1993" s="16" t="str">
        <x:v>Missing email</x:v>
      </x:c>
    </x:row>
    <x:row r="1994">
      <x:c r="A1994" s="16" t="n">
        <x:v>2034</x:v>
      </x:c>
      <x:c r="B1994" s="16" t="str">
        <x:v>e71</x:v>
      </x:c>
      <x:c r="C1994" s="16" t="str"/>
      <x:c r="D1994" s="16" t="str">
        <x:v>* myContacts</x:v>
      </x:c>
      <x:c r="E1994" s="16" t="str">
        <x:v>Missing email</x:v>
      </x:c>
    </x:row>
    <x:row r="1995">
      <x:c r="A1995" s="16" t="n">
        <x:v>2035</x:v>
      </x:c>
      <x:c r="B1995" s="16" t="str">
        <x:v>e72</x:v>
      </x:c>
      <x:c r="C1995" s="16" t="str"/>
      <x:c r="D1995" s="16" t="str">
        <x:v>* myContacts</x:v>
      </x:c>
      <x:c r="E1995" s="16" t="str">
        <x:v>Missing email</x:v>
      </x:c>
    </x:row>
    <x:row r="1996">
      <x:c r="A1996" s="16" t="n">
        <x:v>2036</x:v>
      </x:c>
      <x:c r="B1996" s="16" t="str">
        <x:v>e73</x:v>
      </x:c>
      <x:c r="C1996" s="16" t="str"/>
      <x:c r="D1996" s="16" t="str">
        <x:v>* myContacts</x:v>
      </x:c>
      <x:c r="E1996" s="16" t="str">
        <x:v>Missing email</x:v>
      </x:c>
    </x:row>
    <x:row r="1997">
      <x:c r="A1997" s="16" t="n">
        <x:v>2037</x:v>
      </x:c>
      <x:c r="B1997" s="16" t="str">
        <x:v>e74</x:v>
      </x:c>
      <x:c r="C1997" s="16" t="str"/>
      <x:c r="D1997" s="16" t="str">
        <x:v>* myContacts</x:v>
      </x:c>
      <x:c r="E1997" s="16" t="str">
        <x:v>Missing email</x:v>
      </x:c>
    </x:row>
    <x:row r="1998">
      <x:c r="A1998" s="16" t="n">
        <x:v>2038</x:v>
      </x:c>
      <x:c r="B1998" s="16" t="str">
        <x:v>e75</x:v>
      </x:c>
      <x:c r="C1998" s="16" t="str"/>
      <x:c r="D1998" s="16" t="str">
        <x:v>* myContacts</x:v>
      </x:c>
      <x:c r="E1998" s="16" t="str">
        <x:v>Missing email</x:v>
      </x:c>
    </x:row>
    <x:row r="1999">
      <x:c r="A1999" s="16" t="n">
        <x:v>2039</x:v>
      </x:c>
      <x:c r="B1999" s="16" t="str">
        <x:v>e76</x:v>
      </x:c>
      <x:c r="C1999" s="16" t="str"/>
      <x:c r="D1999" s="16" t="str">
        <x:v>* myContacts</x:v>
      </x:c>
      <x:c r="E1999" s="16" t="str">
        <x:v>Missing email</x:v>
      </x:c>
    </x:row>
    <x:row r="2000">
      <x:c r="A2000" s="16" t="n">
        <x:v>2040</x:v>
      </x:c>
      <x:c r="B2000" s="16" t="str">
        <x:v>e77</x:v>
      </x:c>
      <x:c r="C2000" s="16" t="str"/>
      <x:c r="D2000" s="16" t="str">
        <x:v>* myContacts</x:v>
      </x:c>
      <x:c r="E2000" s="16" t="str">
        <x:v>Missing email</x:v>
      </x:c>
    </x:row>
    <x:row r="2001">
      <x:c r="A2001" s="16" t="n">
        <x:v>2041</x:v>
      </x:c>
      <x:c r="B2001" s="16" t="str">
        <x:v>e78</x:v>
      </x:c>
      <x:c r="C2001" s="16" t="str"/>
      <x:c r="D2001" s="16" t="str">
        <x:v>* myContacts</x:v>
      </x:c>
      <x:c r="E2001" s="16" t="str">
        <x:v>Missing email</x:v>
      </x:c>
    </x:row>
    <x:row r="2002">
      <x:c r="A2002" s="16" t="n">
        <x:v>2042</x:v>
      </x:c>
      <x:c r="B2002" s="16" t="str">
        <x:v>e79</x:v>
      </x:c>
      <x:c r="C2002" s="16" t="str"/>
      <x:c r="D2002" s="16" t="str">
        <x:v>* myContacts</x:v>
      </x:c>
      <x:c r="E2002" s="16" t="str">
        <x:v>Missing email</x:v>
      </x:c>
    </x:row>
    <x:row r="2003">
      <x:c r="A2003" s="16" t="n">
        <x:v>2043</x:v>
      </x:c>
      <x:c r="B2003" s="16" t="str">
        <x:v>e8</x:v>
      </x:c>
      <x:c r="C2003" s="16" t="str"/>
      <x:c r="D2003" s="16" t="str">
        <x:v>* myContacts</x:v>
      </x:c>
      <x:c r="E2003" s="16" t="str">
        <x:v>Missing email</x:v>
      </x:c>
    </x:row>
    <x:row r="2004">
      <x:c r="A2004" s="16" t="n">
        <x:v>2044</x:v>
      </x:c>
      <x:c r="B2004" s="16" t="str">
        <x:v>e80</x:v>
      </x:c>
      <x:c r="C2004" s="16" t="str"/>
      <x:c r="D2004" s="16" t="str">
        <x:v>* myContacts</x:v>
      </x:c>
      <x:c r="E2004" s="16" t="str">
        <x:v>Missing email</x:v>
      </x:c>
    </x:row>
    <x:row r="2005">
      <x:c r="A2005" s="16" t="n">
        <x:v>2045</x:v>
      </x:c>
      <x:c r="B2005" s="16" t="str">
        <x:v>e81</x:v>
      </x:c>
      <x:c r="C2005" s="16" t="str"/>
      <x:c r="D2005" s="16" t="str">
        <x:v>* myContacts</x:v>
      </x:c>
      <x:c r="E2005" s="16" t="str">
        <x:v>Missing email</x:v>
      </x:c>
    </x:row>
    <x:row r="2006">
      <x:c r="A2006" s="16" t="n">
        <x:v>2046</x:v>
      </x:c>
      <x:c r="B2006" s="16" t="str">
        <x:v>e82</x:v>
      </x:c>
      <x:c r="C2006" s="16" t="str"/>
      <x:c r="D2006" s="16" t="str">
        <x:v>* myContacts</x:v>
      </x:c>
      <x:c r="E2006" s="16" t="str">
        <x:v>Missing email</x:v>
      </x:c>
    </x:row>
    <x:row r="2007">
      <x:c r="A2007" s="16" t="n">
        <x:v>2047</x:v>
      </x:c>
      <x:c r="B2007" s="16" t="str">
        <x:v>e83</x:v>
      </x:c>
      <x:c r="C2007" s="16" t="str"/>
      <x:c r="D2007" s="16" t="str">
        <x:v>* myContacts</x:v>
      </x:c>
      <x:c r="E2007" s="16" t="str">
        <x:v>Missing email</x:v>
      </x:c>
    </x:row>
    <x:row r="2008">
      <x:c r="A2008" s="16" t="n">
        <x:v>2048</x:v>
      </x:c>
      <x:c r="B2008" s="16" t="str">
        <x:v>e84</x:v>
      </x:c>
      <x:c r="C2008" s="16" t="str"/>
      <x:c r="D2008" s="16" t="str">
        <x:v>* myContacts</x:v>
      </x:c>
      <x:c r="E2008" s="16" t="str">
        <x:v>Missing email</x:v>
      </x:c>
    </x:row>
    <x:row r="2009">
      <x:c r="A2009" s="16" t="n">
        <x:v>2049</x:v>
      </x:c>
      <x:c r="B2009" s="16" t="str">
        <x:v>e85</x:v>
      </x:c>
      <x:c r="C2009" s="16" t="str"/>
      <x:c r="D2009" s="16" t="str">
        <x:v>* myContacts</x:v>
      </x:c>
      <x:c r="E2009" s="16" t="str">
        <x:v>Missing email</x:v>
      </x:c>
    </x:row>
    <x:row r="2010">
      <x:c r="A2010" s="16" t="n">
        <x:v>2050</x:v>
      </x:c>
      <x:c r="B2010" s="16" t="str">
        <x:v>e86</x:v>
      </x:c>
      <x:c r="C2010" s="16" t="str"/>
      <x:c r="D2010" s="16" t="str">
        <x:v>* myContacts</x:v>
      </x:c>
      <x:c r="E2010" s="16" t="str">
        <x:v>Missing email</x:v>
      </x:c>
    </x:row>
    <x:row r="2011">
      <x:c r="A2011" s="16" t="n">
        <x:v>2051</x:v>
      </x:c>
      <x:c r="B2011" s="16" t="str">
        <x:v>e87</x:v>
      </x:c>
      <x:c r="C2011" s="16" t="str"/>
      <x:c r="D2011" s="16" t="str">
        <x:v>* myContacts</x:v>
      </x:c>
      <x:c r="E2011" s="16" t="str">
        <x:v>Missing email</x:v>
      </x:c>
    </x:row>
    <x:row r="2012">
      <x:c r="A2012" s="16" t="n">
        <x:v>2052</x:v>
      </x:c>
      <x:c r="B2012" s="16" t="str">
        <x:v>e88</x:v>
      </x:c>
      <x:c r="C2012" s="16" t="str"/>
      <x:c r="D2012" s="16" t="str">
        <x:v>* myContacts</x:v>
      </x:c>
      <x:c r="E2012" s="16" t="str">
        <x:v>Missing email</x:v>
      </x:c>
    </x:row>
    <x:row r="2013">
      <x:c r="A2013" s="16" t="n">
        <x:v>2053</x:v>
      </x:c>
      <x:c r="B2013" s="16" t="str">
        <x:v>e89</x:v>
      </x:c>
      <x:c r="C2013" s="16" t="str"/>
      <x:c r="D2013" s="16" t="str">
        <x:v>* myContacts</x:v>
      </x:c>
      <x:c r="E2013" s="16" t="str">
        <x:v>Missing email</x:v>
      </x:c>
    </x:row>
    <x:row r="2014">
      <x:c r="A2014" s="16" t="n">
        <x:v>2054</x:v>
      </x:c>
      <x:c r="B2014" s="16" t="str">
        <x:v>e9</x:v>
      </x:c>
      <x:c r="C2014" s="16" t="str"/>
      <x:c r="D2014" s="16" t="str">
        <x:v>* myContacts</x:v>
      </x:c>
      <x:c r="E2014" s="16" t="str">
        <x:v>Missing email</x:v>
      </x:c>
    </x:row>
    <x:row r="2015">
      <x:c r="A2015" s="16" t="n">
        <x:v>2055</x:v>
      </x:c>
      <x:c r="B2015" s="16" t="str">
        <x:v>e90</x:v>
      </x:c>
      <x:c r="C2015" s="16" t="str"/>
      <x:c r="D2015" s="16" t="str">
        <x:v>* myContacts</x:v>
      </x:c>
      <x:c r="E2015" s="16" t="str">
        <x:v>Missing email</x:v>
      </x:c>
    </x:row>
    <x:row r="2016">
      <x:c r="A2016" s="16" t="n">
        <x:v>2056</x:v>
      </x:c>
      <x:c r="B2016" s="16" t="str">
        <x:v>e91</x:v>
      </x:c>
      <x:c r="C2016" s="16" t="str"/>
      <x:c r="D2016" s="16" t="str">
        <x:v>* myContacts</x:v>
      </x:c>
      <x:c r="E2016" s="16" t="str">
        <x:v>Missing email</x:v>
      </x:c>
    </x:row>
    <x:row r="2017">
      <x:c r="A2017" s="16" t="n">
        <x:v>2057</x:v>
      </x:c>
      <x:c r="B2017" s="16" t="str">
        <x:v>e92</x:v>
      </x:c>
      <x:c r="C2017" s="16" t="str"/>
      <x:c r="D2017" s="16" t="str">
        <x:v>* myContacts</x:v>
      </x:c>
      <x:c r="E2017" s="16" t="str">
        <x:v>Missing email</x:v>
      </x:c>
    </x:row>
    <x:row r="2018">
      <x:c r="A2018" s="16" t="n">
        <x:v>2058</x:v>
      </x:c>
      <x:c r="B2018" s="16" t="str">
        <x:v>e93</x:v>
      </x:c>
      <x:c r="C2018" s="16" t="str"/>
      <x:c r="D2018" s="16" t="str">
        <x:v>* myContacts</x:v>
      </x:c>
      <x:c r="E2018" s="16" t="str">
        <x:v>Missing email</x:v>
      </x:c>
    </x:row>
    <x:row r="2019">
      <x:c r="A2019" s="16" t="n">
        <x:v>2059</x:v>
      </x:c>
      <x:c r="B2019" s="16" t="str">
        <x:v>e94</x:v>
      </x:c>
      <x:c r="C2019" s="16" t="str"/>
      <x:c r="D2019" s="16" t="str">
        <x:v>* myContacts</x:v>
      </x:c>
      <x:c r="E2019" s="16" t="str">
        <x:v>Missing email</x:v>
      </x:c>
    </x:row>
    <x:row r="2020">
      <x:c r="A2020" s="16" t="n">
        <x:v>2060</x:v>
      </x:c>
      <x:c r="B2020" s="16" t="str">
        <x:v>e95</x:v>
      </x:c>
      <x:c r="C2020" s="16" t="str"/>
      <x:c r="D2020" s="16" t="str">
        <x:v>* myContacts</x:v>
      </x:c>
      <x:c r="E2020" s="16" t="str">
        <x:v>Missing email</x:v>
      </x:c>
    </x:row>
    <x:row r="2021">
      <x:c r="A2021" s="16" t="n">
        <x:v>2061</x:v>
      </x:c>
      <x:c r="B2021" s="16" t="str">
        <x:v>e96</x:v>
      </x:c>
      <x:c r="C2021" s="16" t="str"/>
      <x:c r="D2021" s="16" t="str">
        <x:v>* myContacts</x:v>
      </x:c>
      <x:c r="E2021" s="16" t="str">
        <x:v>Missing email</x:v>
      </x:c>
    </x:row>
    <x:row r="2022">
      <x:c r="A2022" s="16" t="n">
        <x:v>2062</x:v>
      </x:c>
      <x:c r="B2022" s="16" t="str">
        <x:v>e97</x:v>
      </x:c>
      <x:c r="C2022" s="16" t="str"/>
      <x:c r="D2022" s="16" t="str">
        <x:v>* myContacts</x:v>
      </x:c>
      <x:c r="E2022" s="16" t="str">
        <x:v>Missing email</x:v>
      </x:c>
    </x:row>
    <x:row r="2023">
      <x:c r="A2023" s="16" t="n">
        <x:v>2063</x:v>
      </x:c>
      <x:c r="B2023" s="16" t="str">
        <x:v>Earfanul Hoque Chy Joshef</x:v>
      </x:c>
      <x:c r="C2023" s="16" t="str"/>
      <x:c r="D2023" s="16" t="str">
        <x:v>* myContacts</x:v>
      </x:c>
      <x:c r="E2023" s="16" t="str">
        <x:v>Missing email</x:v>
      </x:c>
    </x:row>
    <x:row r="2024">
      <x:c r="A2024" s="16" t="n">
        <x:v>2064</x:v>
      </x:c>
      <x:c r="B2024" s="16" t="str">
        <x:v>Ebay</x:v>
      </x:c>
      <x:c r="C2024" s="16" t="str"/>
      <x:c r="D2024" s="16" t="str">
        <x:v>* myContacts</x:v>
      </x:c>
      <x:c r="E2024" s="16" t="str">
        <x:v>Missing email</x:v>
      </x:c>
    </x:row>
    <x:row r="2025">
      <x:c r="A2025" s="16" t="n">
        <x:v>2065</x:v>
      </x:c>
      <x:c r="B2025" s="16" t="str">
        <x:v>Dr Ebay</x:v>
      </x:c>
      <x:c r="C2025" s="16" t="str"/>
      <x:c r="D2025" s="16" t="str">
        <x:v>* myContacts</x:v>
      </x:c>
      <x:c r="E2025" s="16" t="str">
        <x:v>Missing email</x:v>
      </x:c>
    </x:row>
    <x:row r="2026">
      <x:c r="A2026" s="16" t="n">
        <x:v>2066</x:v>
      </x:c>
      <x:c r="B2026" s="16" t="str">
        <x:v>Eby Joe</x:v>
      </x:c>
      <x:c r="C2026" s="16" t="str"/>
      <x:c r="D2026" s="16" t="str">
        <x:v>* myContacts</x:v>
      </x:c>
      <x:c r="E2026" s="16" t="str">
        <x:v>Missing email</x:v>
      </x:c>
    </x:row>
    <x:row r="2027">
      <x:c r="A2027" s="16" t="n">
        <x:v>2067</x:v>
      </x:c>
      <x:c r="B2027" s="16" t="str">
        <x:v>EC Mdec</x:v>
      </x:c>
      <x:c r="C2027" s="16" t="str"/>
      <x:c r="D2027" s="16" t="str">
        <x:v>* myContacts</x:v>
      </x:c>
      <x:c r="E2027" s="16" t="str">
        <x:v>Missing email</x:v>
      </x:c>
    </x:row>
    <x:row r="2028">
      <x:c r="A2028" s="16" t="n">
        <x:v>2068</x:v>
      </x:c>
      <x:c r="B2028" s="16" t="str">
        <x:v>Ecah Chubbylixiouse</x:v>
      </x:c>
      <x:c r="C2028" s="16" t="str"/>
      <x:c r="D2028" s="16" t="str">
        <x:v>* myContacts</x:v>
      </x:c>
      <x:c r="E2028" s="16" t="str">
        <x:v>Missing email</x:v>
      </x:c>
    </x:row>
    <x:row r="2029">
      <x:c r="A2029" s="16" t="n">
        <x:v>2069</x:v>
      </x:c>
      <x:c r="B2029" s="16" t="str">
        <x:v>Ecah Cyunk</x:v>
      </x:c>
      <x:c r="C2029" s="16" t="str"/>
      <x:c r="D2029" s="16" t="str">
        <x:v>* myContacts</x:v>
      </x:c>
      <x:c r="E2029" s="16" t="str">
        <x:v>Missing email</x:v>
      </x:c>
    </x:row>
    <x:row r="2030">
      <x:c r="A2030" s="16" t="n">
        <x:v>2070</x:v>
      </x:c>
      <x:c r="B2030" s="16" t="str">
        <x:v>Echa Misul Lidjan</x:v>
      </x:c>
      <x:c r="C2030" s="16" t="str"/>
      <x:c r="D2030" s="16" t="str">
        <x:v>* myContacts</x:v>
      </x:c>
      <x:c r="E2030" s="16" t="str">
        <x:v>Missing email</x:v>
      </x:c>
    </x:row>
    <x:row r="2031">
      <x:c r="A2031" s="16" t="n">
        <x:v>2071</x:v>
      </x:c>
      <x:c r="B2031" s="16" t="str">
        <x:v>Echam Jusham Lajim</x:v>
      </x:c>
      <x:c r="C2031" s="16" t="str"/>
      <x:c r="D2031" s="16" t="str">
        <x:v>* myContacts</x:v>
      </x:c>
      <x:c r="E2031" s="16" t="str">
        <x:v>Missing email</x:v>
      </x:c>
    </x:row>
    <x:row r="2032">
      <x:c r="A2032" s="16" t="n">
        <x:v>2072</x:v>
      </x:c>
      <x:c r="B2032" s="16" t="str">
        <x:v>Ed Dean</x:v>
      </x:c>
      <x:c r="C2032" s="16" t="str"/>
      <x:c r="D2032" s="16" t="str">
        <x:v>* myContacts</x:v>
      </x:c>
      <x:c r="E2032" s="16" t="str">
        <x:v>Missing email</x:v>
      </x:c>
    </x:row>
    <x:row r="2033">
      <x:c r="A2033" s="16" t="n">
        <x:v>2073</x:v>
      </x:c>
      <x:c r="B2033" s="16" t="str">
        <x:v>Edana OA Temiar</x:v>
      </x:c>
      <x:c r="C2033" s="16" t="str"/>
      <x:c r="D2033" s="16" t="str">
        <x:v>* myContacts</x:v>
      </x:c>
      <x:c r="E2033" s="16" t="str">
        <x:v>Missing email</x:v>
      </x:c>
    </x:row>
    <x:row r="2034">
      <x:c r="A2034" s="16" t="n">
        <x:v>2074</x:v>
      </x:c>
      <x:c r="B2034" s="16" t="str">
        <x:v>Edda Ida</x:v>
      </x:c>
      <x:c r="C2034" s="16" t="str"/>
      <x:c r="D2034" s="16" t="str">
        <x:v>* myContacts</x:v>
      </x:c>
      <x:c r="E2034" s="16" t="str">
        <x:v>Missing email</x:v>
      </x:c>
    </x:row>
    <x:row r="2035">
      <x:c r="A2035" s="16" t="n">
        <x:v>2075</x:v>
      </x:c>
      <x:c r="B2035" s="16" t="str">
        <x:v>Eddie aswan</x:v>
      </x:c>
      <x:c r="C2035" s="16" t="str"/>
      <x:c r="D2035" s="16" t="str">
        <x:v>* myContacts</x:v>
      </x:c>
      <x:c r="E2035" s="16" t="str">
        <x:v>Missing email</x:v>
      </x:c>
    </x:row>
    <x:row r="2036">
      <x:c r="A2036" s="16" t="n">
        <x:v>2076</x:v>
      </x:c>
      <x:c r="B2036" s="16" t="str">
        <x:v>Eddie Law</x:v>
      </x:c>
      <x:c r="C2036" s="16" t="str"/>
      <x:c r="D2036" s="16" t="str">
        <x:v>* myContacts</x:v>
      </x:c>
      <x:c r="E2036" s="16" t="str">
        <x:v>Missing email</x:v>
      </x:c>
    </x:row>
    <x:row r="2037">
      <x:c r="A2037" s="16" t="n">
        <x:v>2077</x:v>
      </x:c>
      <x:c r="B2037" s="16" t="str">
        <x:v>Eddy Daun Bidara Batang Kali</x:v>
      </x:c>
      <x:c r="C2037" s="16" t="str"/>
      <x:c r="D2037" s="16" t="str">
        <x:v>* myContacts</x:v>
      </x:c>
      <x:c r="E2037" s="16" t="str">
        <x:v>Missing email</x:v>
      </x:c>
    </x:row>
    <x:row r="2038">
      <x:c r="A2038" s="16" t="n">
        <x:v>2078</x:v>
      </x:c>
      <x:c r="B2038" s="16" t="str">
        <x:v>Eddy ideastore</x:v>
      </x:c>
      <x:c r="C2038" s="16" t="str"/>
      <x:c r="D2038" s="16" t="str">
        <x:v>* myContacts</x:v>
      </x:c>
      <x:c r="E2038" s="16" t="str">
        <x:v>Missing email</x:v>
      </x:c>
    </x:row>
    <x:row r="2039">
      <x:c r="A2039" s="16" t="n">
        <x:v>2079</x:v>
      </x:c>
      <x:c r="B2039" s="16" t="str">
        <x:v>Eddy Kilauan Emas</x:v>
      </x:c>
      <x:c r="C2039" s="16" t="str"/>
      <x:c r="D2039" s="16" t="str">
        <x:v>* myContacts</x:v>
      </x:c>
      <x:c r="E2039" s="16" t="str">
        <x:v>Missing email</x:v>
      </x:c>
    </x:row>
    <x:row r="2040">
      <x:c r="A2040" s="16" t="n">
        <x:v>2080</x:v>
      </x:c>
      <x:c r="B2040" s="16" t="str">
        <x:v>Eddy montaj event pa system</x:v>
      </x:c>
      <x:c r="C2040" s="16" t="str"/>
      <x:c r="D2040" s="16" t="str">
        <x:v>* myContacts</x:v>
      </x:c>
      <x:c r="E2040" s="16" t="str">
        <x:v>Missing email</x:v>
      </x:c>
    </x:row>
    <x:row r="2041">
      <x:c r="A2041" s="16" t="n">
        <x:v>2081</x:v>
      </x:c>
      <x:c r="B2041" s="16" t="str">
        <x:v>Eddy PPMM</x:v>
      </x:c>
      <x:c r="C2041" s="16" t="str"/>
      <x:c r="D2041" s="16" t="str">
        <x:v>* myContacts</x:v>
      </x:c>
      <x:c r="E2041" s="16" t="str">
        <x:v>Missing email</x:v>
      </x:c>
    </x:row>
    <x:row r="2042">
      <x:c r="A2042" s="16" t="n">
        <x:v>2082</x:v>
      </x:c>
      <x:c r="B2042" s="16" t="str">
        <x:v>EdenAmiza S'wak</x:v>
      </x:c>
      <x:c r="C2042" s="16" t="str"/>
      <x:c r="D2042" s="16" t="str">
        <x:v>* myContacts</x:v>
      </x:c>
      <x:c r="E2042" s="16" t="str">
        <x:v>Missing email</x:v>
      </x:c>
    </x:row>
    <x:row r="2043">
      <x:c r="A2043" s="16" t="n">
        <x:v>2083</x:v>
      </x:c>
      <x:c r="B2043" s="16" t="str">
        <x:v>Edie Senang la Uitm</x:v>
      </x:c>
      <x:c r="C2043" s="16" t="str"/>
      <x:c r="D2043" s="16" t="str">
        <x:v>* myContacts</x:v>
      </x:c>
      <x:c r="E2043" s="16" t="str">
        <x:v>Missing email</x:v>
      </x:c>
    </x:row>
    <x:row r="2044">
      <x:c r="A2044" s="16" t="n">
        <x:v>2084</x:v>
      </x:c>
      <x:c r="B2044" s="16" t="str">
        <x:v>Edwin Julwin</x:v>
      </x:c>
      <x:c r="C2044" s="16" t="str"/>
      <x:c r="D2044" s="16" t="str">
        <x:v>* myContacts</x:v>
      </x:c>
      <x:c r="E2044" s="16" t="str">
        <x:v>Missing email</x:v>
      </x:c>
    </x:row>
    <x:row r="2045">
      <x:c r="A2045" s="16" t="n">
        <x:v>2085</x:v>
      </x:c>
      <x:c r="B2045" s="16" t="str">
        <x:v>Edwin Tan</x:v>
      </x:c>
      <x:c r="C2045" s="16" t="str"/>
      <x:c r="D2045" s="16" t="str">
        <x:v>* myContacts</x:v>
      </x:c>
      <x:c r="E2045" s="16" t="str">
        <x:v>Missing email</x:v>
      </x:c>
    </x:row>
    <x:row r="2046">
      <x:c r="A2046" s="16" t="n">
        <x:v>2086</x:v>
      </x:c>
      <x:c r="B2046" s="16" t="str">
        <x:v>edy jnj</x:v>
      </x:c>
      <x:c r="C2046" s="16" t="str"/>
      <x:c r="D2046" s="16" t="str">
        <x:v>* myContacts</x:v>
      </x:c>
      <x:c r="E2046" s="16" t="str">
        <x:v>Missing email</x:v>
      </x:c>
    </x:row>
    <x:row r="2047">
      <x:c r="A2047" s="16" t="n">
        <x:v>2087</x:v>
      </x:c>
      <x:c r="B2047" s="16" t="str">
        <x:v>Edy Lambo</x:v>
      </x:c>
      <x:c r="C2047" s="16" t="str"/>
      <x:c r="D2047" s="16" t="str">
        <x:v>* myContacts</x:v>
      </x:c>
      <x:c r="E2047" s="16" t="str">
        <x:v>Missing email</x:v>
      </x:c>
    </x:row>
    <x:row r="2048">
      <x:c r="A2048" s="16" t="n">
        <x:v>2088</x:v>
      </x:c>
      <x:c r="B2048" s="16" t="str">
        <x:v>Edy Putra</x:v>
      </x:c>
      <x:c r="C2048" s="16" t="str"/>
      <x:c r="D2048" s="16" t="str">
        <x:v>* myContacts</x:v>
      </x:c>
      <x:c r="E2048" s="16" t="str">
        <x:v>Missing email</x:v>
      </x:c>
    </x:row>
    <x:row r="2049">
      <x:c r="A2049" s="16" t="n">
        <x:v>2089</x:v>
      </x:c>
      <x:c r="B2049" s="16" t="str">
        <x:v>EDY RIZAL</x:v>
      </x:c>
      <x:c r="C2049" s="16" t="str"/>
      <x:c r="D2049" s="16" t="str">
        <x:v>* myContacts</x:v>
      </x:c>
      <x:c r="E2049" s="16" t="str">
        <x:v>Missing email</x:v>
      </x:c>
    </x:row>
    <x:row r="2050">
      <x:c r="A2050" s="16" t="n">
        <x:v>2090</x:v>
      </x:c>
      <x:c r="B2050" s="16" t="str">
        <x:v>Eeyra Azeera</x:v>
      </x:c>
      <x:c r="C2050" s="16" t="str"/>
      <x:c r="D2050" s="16" t="str">
        <x:v>* myContacts</x:v>
      </x:c>
      <x:c r="E2050" s="16" t="str">
        <x:v>Missing email</x:v>
      </x:c>
    </x:row>
    <x:row r="2051">
      <x:c r="A2051" s="16" t="n">
        <x:v>2091</x:v>
      </x:c>
      <x:c r="B2051" s="16" t="str">
        <x:v>Effa Latifah</x:v>
      </x:c>
      <x:c r="C2051" s="16" t="str"/>
      <x:c r="D2051" s="16" t="str">
        <x:v>* myContacts</x:v>
      </x:c>
      <x:c r="E2051" s="16" t="str">
        <x:v>Missing email</x:v>
      </x:c>
    </x:row>
    <x:row r="2052">
      <x:c r="A2052" s="16" t="n">
        <x:v>2092</x:v>
      </x:c>
      <x:c r="B2052" s="16" t="str">
        <x:v>Effa Sidek</x:v>
      </x:c>
      <x:c r="C2052" s="16" t="str"/>
      <x:c r="D2052" s="16" t="str">
        <x:v>* myContacts</x:v>
      </x:c>
      <x:c r="E2052" s="16" t="str">
        <x:v>Missing email</x:v>
      </x:c>
    </x:row>
    <x:row r="2053">
      <x:c r="A2053" s="16" t="n">
        <x:v>2093</x:v>
      </x:c>
      <x:c r="B2053" s="16" t="str">
        <x:v>Effanorrasikin Norra</x:v>
      </x:c>
      <x:c r="C2053" s="16" t="str"/>
      <x:c r="D2053" s="16" t="str">
        <x:v>* myContacts</x:v>
      </x:c>
      <x:c r="E2053" s="16" t="str">
        <x:v>Missing email</x:v>
      </x:c>
    </x:row>
    <x:row r="2054">
      <x:c r="A2054" s="16" t="n">
        <x:v>2094</x:v>
      </x:c>
      <x:c r="B2054" s="16" t="str">
        <x:v>Effendi Eusahawan Trainer</x:v>
      </x:c>
      <x:c r="C2054" s="16" t="str"/>
      <x:c r="D2054" s="16" t="str">
        <x:v>Trainer | * myContacts</x:v>
      </x:c>
      <x:c r="E2054" s="16" t="str">
        <x:v>Missing email</x:v>
      </x:c>
    </x:row>
    <x:row r="2055">
      <x:c r="A2055" s="16" t="n">
        <x:v>2095</x:v>
      </x:c>
      <x:c r="B2055" s="16" t="str">
        <x:v>Effie Tapaw Group</x:v>
      </x:c>
      <x:c r="C2055" s="16" t="str"/>
      <x:c r="D2055" s="16" t="str">
        <x:v>* myContacts</x:v>
      </x:c>
      <x:c r="E2055" s="16" t="str">
        <x:v>Missing email</x:v>
      </x:c>
    </x:row>
    <x:row r="2056">
      <x:c r="A2056" s="16" t="n">
        <x:v>2096</x:v>
      </x:c>
      <x:c r="B2056" s="16" t="str">
        <x:v>Effiza Abdul Rahman</x:v>
      </x:c>
      <x:c r="C2056" s="16" t="str"/>
      <x:c r="D2056" s="16" t="str">
        <x:v>* myContacts</x:v>
      </x:c>
      <x:c r="E2056" s="16" t="str">
        <x:v>Missing email</x:v>
      </x:c>
    </x:row>
    <x:row r="2057">
      <x:c r="A2057" s="16" t="n">
        <x:v>2097</x:v>
      </x:c>
      <x:c r="B2057" s="16" t="str">
        <x:v>Ega Egar</x:v>
      </x:c>
      <x:c r="C2057" s="16" t="str"/>
      <x:c r="D2057" s="16" t="str">
        <x:v>* myContacts</x:v>
      </x:c>
      <x:c r="E2057" s="16" t="str">
        <x:v>Missing email</x:v>
      </x:c>
    </x:row>
    <x:row r="2058">
      <x:c r="A2058" s="16" t="n">
        <x:v>2098</x:v>
      </x:c>
      <x:c r="B2058" s="16" t="str">
        <x:v>Ehh Amir Mukminin IV</x:v>
      </x:c>
      <x:c r="C2058" s="16" t="str"/>
      <x:c r="D2058" s="16" t="str">
        <x:v>* myContacts</x:v>
      </x:c>
      <x:c r="E2058" s="16" t="str">
        <x:v>Missing email</x:v>
      </x:c>
    </x:row>
    <x:row r="2059">
      <x:c r="A2059" s="16" t="n">
        <x:v>2099</x:v>
      </x:c>
      <x:c r="B2059" s="16" t="str">
        <x:v>EHSAN Coach</x:v>
      </x:c>
      <x:c r="C2059" s="16" t="str"/>
      <x:c r="D2059" s="16" t="str">
        <x:v>Trainer | * myContacts</x:v>
      </x:c>
      <x:c r="E2059" s="16" t="str">
        <x:v>Missing email</x:v>
      </x:c>
    </x:row>
    <x:row r="2060">
      <x:c r="A2060" s="16" t="n">
        <x:v>2100</x:v>
      </x:c>
      <x:c r="B2060" s="16" t="str">
        <x:v>Ei Kin</x:v>
      </x:c>
      <x:c r="C2060" s="16" t="str"/>
      <x:c r="D2060" s="16" t="str">
        <x:v>* myContacts</x:v>
      </x:c>
      <x:c r="E2060" s="16" t="str">
        <x:v>Missing email</x:v>
      </x:c>
    </x:row>
    <x:row r="2061">
      <x:c r="A2061" s="16" t="n">
        <x:v>2101</x:v>
      </x:c>
      <x:c r="B2061" s="16" t="str">
        <x:v>Eida Zaini</x:v>
      </x:c>
      <x:c r="C2061" s="16" t="str"/>
      <x:c r="D2061" s="16" t="str">
        <x:v>* myContacts</x:v>
      </x:c>
      <x:c r="E2061" s="16" t="str">
        <x:v>Missing email</x:v>
      </x:c>
    </x:row>
    <x:row r="2062">
      <x:c r="A2062" s="16" t="n">
        <x:v>2102</x:v>
      </x:c>
      <x:c r="B2062" s="16" t="str">
        <x:v>Eija Hafiz</x:v>
      </x:c>
      <x:c r="C2062" s="16" t="str"/>
      <x:c r="D2062" s="16" t="str">
        <x:v>* myContacts</x:v>
      </x:c>
      <x:c r="E2062" s="16" t="str">
        <x:v>Missing email</x:v>
      </x:c>
    </x:row>
    <x:row r="2063">
      <x:c r="A2063" s="16" t="n">
        <x:v>2103</x:v>
      </x:c>
      <x:c r="B2063" s="16" t="str">
        <x:v>EijAt AizAt</x:v>
      </x:c>
      <x:c r="C2063" s="16" t="str"/>
      <x:c r="D2063" s="16" t="str">
        <x:v>* myContacts</x:v>
      </x:c>
      <x:c r="E2063" s="16" t="str">
        <x:v>Missing email</x:v>
      </x:c>
    </x:row>
    <x:row r="2064">
      <x:c r="A2064" s="16" t="n">
        <x:v>2104</x:v>
      </x:c>
      <x:c r="B2064" s="16" t="str">
        <x:v>Eila Azmer</x:v>
      </x:c>
      <x:c r="C2064" s="16" t="str"/>
      <x:c r="D2064" s="16" t="str">
        <x:v>* myContacts</x:v>
      </x:c>
      <x:c r="E2064" s="16" t="str">
        <x:v>Missing email</x:v>
      </x:c>
    </x:row>
    <x:row r="2065">
      <x:c r="A2065" s="16" t="n">
        <x:v>2105</x:v>
      </x:c>
      <x:c r="B2065" s="16" t="str">
        <x:v>Eilzaff Ell</x:v>
      </x:c>
      <x:c r="C2065" s="16" t="str"/>
      <x:c r="D2065" s="16" t="str">
        <x:v>* myContacts</x:v>
      </x:c>
      <x:c r="E2065" s="16" t="str">
        <x:v>Missing email</x:v>
      </x:c>
    </x:row>
    <x:row r="2066">
      <x:c r="A2066" s="16" t="n">
        <x:v>2106</x:v>
      </x:c>
      <x:c r="B2066" s="16" t="str">
        <x:v>Eima Raziema</x:v>
      </x:c>
      <x:c r="C2066" s="16" t="str"/>
      <x:c r="D2066" s="16" t="str">
        <x:v>* myContacts</x:v>
      </x:c>
      <x:c r="E2066" s="16" t="str">
        <x:v>Missing email</x:v>
      </x:c>
    </x:row>
    <x:row r="2067">
      <x:c r="A2067" s="16" t="n">
        <x:v>2107</x:v>
      </x:c>
      <x:c r="B2067" s="16" t="str">
        <x:v>Eimma Ebag-shop</x:v>
      </x:c>
      <x:c r="C2067" s="16" t="str"/>
      <x:c r="D2067" s="16" t="str">
        <x:v>* myContacts</x:v>
      </x:c>
      <x:c r="E2067" s="16" t="str">
        <x:v>Missing email</x:v>
      </x:c>
    </x:row>
    <x:row r="2068">
      <x:c r="A2068" s="16" t="n">
        <x:v>2108</x:v>
      </x:c>
      <x:c r="B2068" s="16" t="str">
        <x:v>Eina Hana</x:v>
      </x:c>
      <x:c r="C2068" s="16" t="str"/>
      <x:c r="D2068" s="16" t="str">
        <x:v>* myContacts</x:v>
      </x:c>
      <x:c r="E2068" s="16" t="str">
        <x:v>Missing email</x:v>
      </x:c>
    </x:row>
    <x:row r="2069">
      <x:c r="A2069" s="16" t="n">
        <x:v>2109</x:v>
      </x:c>
      <x:c r="B2069" s="16" t="str">
        <x:v>Eiq PPMM</x:v>
      </x:c>
      <x:c r="C2069" s="16" t="str"/>
      <x:c r="D2069" s="16" t="str">
        <x:v>* myContacts</x:v>
      </x:c>
      <x:c r="E2069" s="16" t="str">
        <x:v>Missing email</x:v>
      </x:c>
    </x:row>
    <x:row r="2070">
      <x:c r="A2070" s="16" t="n">
        <x:v>2110</x:v>
      </x:c>
      <x:c r="B2070" s="16" t="str">
        <x:v>Eira Syaziera</x:v>
      </x:c>
      <x:c r="C2070" s="16" t="str"/>
      <x:c r="D2070" s="16" t="str">
        <x:v>* myContacts</x:v>
      </x:c>
      <x:c r="E2070" s="16" t="str">
        <x:v>Missing email</x:v>
      </x:c>
    </x:row>
    <x:row r="2071">
      <x:c r="A2071" s="16" t="n">
        <x:v>2111</x:v>
      </x:c>
      <x:c r="B2071" s="16" t="str">
        <x:v>Eirah Eyza</x:v>
      </x:c>
      <x:c r="C2071" s="16" t="str"/>
      <x:c r="D2071" s="16" t="str">
        <x:v>* myContacts</x:v>
      </x:c>
      <x:c r="E2071" s="16" t="str">
        <x:v>Missing email</x:v>
      </x:c>
    </x:row>
    <x:row r="2072">
      <x:c r="A2072" s="16" t="n">
        <x:v>2112</x:v>
      </x:c>
      <x:c r="B2072" s="16" t="str">
        <x:v>Eita Masita</x:v>
      </x:c>
      <x:c r="C2072" s="16" t="str"/>
      <x:c r="D2072" s="16" t="str">
        <x:v>* myContacts</x:v>
      </x:c>
      <x:c r="E2072" s="16" t="str">
        <x:v>Missing email</x:v>
      </x:c>
    </x:row>
    <x:row r="2073">
      <x:c r="A2073" s="16" t="n">
        <x:v>2113</x:v>
      </x:c>
      <x:c r="B2073" s="16" t="str">
        <x:v>Eiyaz Eiyschaa</x:v>
      </x:c>
      <x:c r="C2073" s="16" t="str"/>
      <x:c r="D2073" s="16" t="str">
        <x:v>* myContacts</x:v>
      </x:c>
      <x:c r="E2073" s="16" t="str">
        <x:v>Missing email</x:v>
      </x:c>
    </x:row>
    <x:row r="2074">
      <x:c r="A2074" s="16" t="n">
        <x:v>2114</x:v>
      </x:c>
      <x:c r="B2074" s="16" t="str">
        <x:v>Eiyka Tieyka</x:v>
      </x:c>
      <x:c r="C2074" s="16" t="str"/>
      <x:c r="D2074" s="16" t="str">
        <x:v>* myContacts</x:v>
      </x:c>
      <x:c r="E2074" s="16" t="str">
        <x:v>Missing email</x:v>
      </x:c>
    </x:row>
    <x:row r="2075">
      <x:c r="A2075" s="16" t="n">
        <x:v>2115</x:v>
      </x:c>
      <x:c r="B2075" s="16" t="str">
        <x:v>Eiyna Zam</x:v>
      </x:c>
      <x:c r="C2075" s="16" t="str"/>
      <x:c r="D2075" s="16" t="str">
        <x:v>* myContacts</x:v>
      </x:c>
      <x:c r="E2075" s="16" t="str">
        <x:v>Missing email</x:v>
      </x:c>
    </x:row>
    <x:row r="2076">
      <x:c r="A2076" s="16" t="n">
        <x:v>2116</x:v>
      </x:c>
      <x:c r="B2076" s="16" t="str">
        <x:v>Eiyra Afida</x:v>
      </x:c>
      <x:c r="C2076" s="16" t="str"/>
      <x:c r="D2076" s="16" t="str">
        <x:v>* myContacts</x:v>
      </x:c>
      <x:c r="E2076" s="16" t="str">
        <x:v>Missing email</x:v>
      </x:c>
    </x:row>
    <x:row r="2077">
      <x:c r="A2077" s="16" t="n">
        <x:v>2117</x:v>
      </x:c>
      <x:c r="B2077" s="16" t="str">
        <x:v>Eizai Rizal</x:v>
      </x:c>
      <x:c r="C2077" s="16" t="str"/>
      <x:c r="D2077" s="16" t="str">
        <x:v>* myContacts</x:v>
      </x:c>
      <x:c r="E2077" s="16" t="str">
        <x:v>Missing email</x:v>
      </x:c>
    </x:row>
    <x:row r="2078">
      <x:c r="A2078" s="16" t="n">
        <x:v>2118</x:v>
      </x:c>
      <x:c r="B2078" s="16" t="str">
        <x:v>Eizuwan Eizuddin</x:v>
      </x:c>
      <x:c r="C2078" s="16" t="str"/>
      <x:c r="D2078" s="16" t="str">
        <x:v>* myContacts</x:v>
      </x:c>
      <x:c r="E2078" s="16" t="str">
        <x:v>Missing email</x:v>
      </x:c>
    </x:row>
    <x:row r="2079">
      <x:c r="A2079" s="16" t="n">
        <x:v>2119</x:v>
      </x:c>
      <x:c r="B2079" s="16" t="str">
        <x:v>Eizzy Syazriq Azali</x:v>
      </x:c>
      <x:c r="C2079" s="16" t="str"/>
      <x:c r="D2079" s="16" t="str">
        <x:v>* myContacts</x:v>
      </x:c>
      <x:c r="E2079" s="16" t="str">
        <x:v>Missing email</x:v>
      </x:c>
    </x:row>
    <x:row r="2080">
      <x:c r="A2080" s="16" t="n">
        <x:v>2120</x:v>
      </x:c>
      <x:c r="B2080" s="16" t="str">
        <x:v>Eja Candidate Kerja</x:v>
      </x:c>
      <x:c r="C2080" s="16" t="str"/>
      <x:c r="D2080" s="16" t="str">
        <x:v>* myContacts</x:v>
      </x:c>
      <x:c r="E2080" s="16" t="str">
        <x:v>Missing email</x:v>
      </x:c>
    </x:row>
    <x:row r="2081">
      <x:c r="A2081" s="16" t="n">
        <x:v>2121</x:v>
      </x:c>
      <x:c r="B2081" s="16" t="str">
        <x:v>Eja Faezah Shuib</x:v>
      </x:c>
      <x:c r="C2081" s="16" t="str"/>
      <x:c r="D2081" s="16" t="str">
        <x:v>* myContacts</x:v>
      </x:c>
      <x:c r="E2081" s="16" t="str">
        <x:v>Missing email</x:v>
      </x:c>
    </x:row>
    <x:row r="2082">
      <x:c r="A2082" s="16" t="n">
        <x:v>2122</x:v>
      </x:c>
      <x:c r="B2082" s="16" t="str">
        <x:v>Eja Jia</x:v>
      </x:c>
      <x:c r="C2082" s="16" t="str"/>
      <x:c r="D2082" s="16" t="str">
        <x:v>* myContacts</x:v>
      </x:c>
      <x:c r="E2082" s="16" t="str">
        <x:v>Missing email</x:v>
      </x:c>
    </x:row>
    <x:row r="2083">
      <x:c r="A2083" s="16" t="n">
        <x:v>2123</x:v>
      </x:c>
      <x:c r="B2083" s="16" t="str">
        <x:v>Ejad Ayob</x:v>
      </x:c>
      <x:c r="C2083" s="16" t="str"/>
      <x:c r="D2083" s="16" t="str">
        <x:v>* myContacts</x:v>
      </x:c>
      <x:c r="E2083" s="16" t="str">
        <x:v>Missing email</x:v>
      </x:c>
    </x:row>
    <x:row r="2084">
      <x:c r="A2084" s="16" t="n">
        <x:v>2124</x:v>
      </x:c>
      <x:c r="B2084" s="16" t="str">
        <x:v>Ejal White Stone</x:v>
      </x:c>
      <x:c r="C2084" s="16" t="str"/>
      <x:c r="D2084" s="16" t="str">
        <x:v>* myContacts</x:v>
      </x:c>
      <x:c r="E2084" s="16" t="str">
        <x:v>Missing email</x:v>
      </x:c>
    </x:row>
    <x:row r="2085">
      <x:c r="A2085" s="16" t="n">
        <x:v>2125</x:v>
      </x:c>
      <x:c r="B2085" s="16" t="str">
        <x:v>Ejam Dhiya</x:v>
      </x:c>
      <x:c r="C2085" s="16" t="str"/>
      <x:c r="D2085" s="16" t="str">
        <x:v>* myContacts</x:v>
      </x:c>
      <x:c r="E2085" s="16" t="str">
        <x:v>Missing email</x:v>
      </x:c>
    </x:row>
    <x:row r="2086">
      <x:c r="A2086" s="16" t="n">
        <x:v>2126</x:v>
      </x:c>
      <x:c r="B2086" s="16" t="str">
        <x:v>Ejan Perodua</x:v>
      </x:c>
      <x:c r="C2086" s="16" t="str"/>
      <x:c r="D2086" s="16" t="str">
        <x:v>* myContacts</x:v>
      </x:c>
      <x:c r="E2086" s="16" t="str">
        <x:v>Missing email</x:v>
      </x:c>
    </x:row>
    <x:row r="2087">
      <x:c r="A2087" s="16" t="n">
        <x:v>2127</x:v>
      </x:c>
      <x:c r="B2087" s="16" t="str">
        <x:v>Ejan Plg</x:v>
      </x:c>
      <x:c r="C2087" s="16" t="str"/>
      <x:c r="D2087" s="16" t="str">
        <x:v>* myContacts</x:v>
      </x:c>
      <x:c r="E2087" s="16" t="str">
        <x:v>Missing email</x:v>
      </x:c>
    </x:row>
    <x:row r="2088">
      <x:c r="A2088" s="16" t="n">
        <x:v>2128</x:v>
      </x:c>
      <x:c r="B2088" s="16" t="str">
        <x:v>Ejoer Daniel</x:v>
      </x:c>
      <x:c r="C2088" s="16" t="str"/>
      <x:c r="D2088" s="16" t="str">
        <x:v>* myContacts</x:v>
      </x:c>
      <x:c r="E2088" s="16" t="str">
        <x:v>Missing email</x:v>
      </x:c>
    </x:row>
    <x:row r="2089">
      <x:c r="A2089" s="16" t="n">
        <x:v>2129</x:v>
      </x:c>
      <x:c r="B2089" s="16" t="str">
        <x:v>Ejoy Budut</x:v>
      </x:c>
      <x:c r="C2089" s="16" t="str"/>
      <x:c r="D2089" s="16" t="str">
        <x:v>* myContacts</x:v>
      </x:c>
      <x:c r="E2089" s="16" t="str">
        <x:v>Missing email</x:v>
      </x:c>
    </x:row>
    <x:row r="2090">
      <x:c r="A2090" s="16" t="n">
        <x:v>2130</x:v>
      </x:c>
      <x:c r="B2090" s="16" t="str">
        <x:v>Ejul Lutfi</x:v>
      </x:c>
      <x:c r="C2090" s="16" t="str"/>
      <x:c r="D2090" s="16" t="str">
        <x:v>* myContacts</x:v>
      </x:c>
      <x:c r="E2090" s="16" t="str">
        <x:v>Missing email</x:v>
      </x:c>
    </x:row>
    <x:row r="2091">
      <x:c r="A2091" s="16" t="n">
        <x:v>2131</x:v>
      </x:c>
      <x:c r="B2091" s="16" t="str">
        <x:v>Eka Azrat</x:v>
      </x:c>
      <x:c r="C2091" s="16" t="str"/>
      <x:c r="D2091" s="16" t="str">
        <x:v>* myContacts</x:v>
      </x:c>
      <x:c r="E2091" s="16" t="str">
        <x:v>Missing email</x:v>
      </x:c>
    </x:row>
    <x:row r="2092">
      <x:c r="A2092" s="16" t="n">
        <x:v>2132</x:v>
      </x:c>
      <x:c r="B2092" s="16" t="str">
        <x:v>Eka Maju Enterprise Baikpulih Sofa</x:v>
      </x:c>
      <x:c r="C2092" s="16" t="str"/>
      <x:c r="D2092" s="16" t="str">
        <x:v>* myContacts</x:v>
      </x:c>
      <x:c r="E2092" s="16" t="str">
        <x:v>Missing email</x:v>
      </x:c>
    </x:row>
    <x:row r="2093">
      <x:c r="A2093" s="16" t="n">
        <x:v>2133</x:v>
      </x:c>
      <x:c r="B2093" s="16" t="str">
        <x:v>Ekin Lynn</x:v>
      </x:c>
      <x:c r="C2093" s="16" t="str"/>
      <x:c r="D2093" s="16" t="str">
        <x:v>* myContacts</x:v>
      </x:c>
      <x:c r="E2093" s="16" t="str">
        <x:v>Missing email</x:v>
      </x:c>
    </x:row>
    <x:row r="2094">
      <x:c r="A2094" s="16" t="n">
        <x:v>2134</x:v>
      </x:c>
      <x:c r="B2094" s="16" t="str">
        <x:v>Ekin Zulkifli</x:v>
      </x:c>
      <x:c r="C2094" s="16" t="str"/>
      <x:c r="D2094" s="16" t="str">
        <x:v>* myContacts</x:v>
      </x:c>
      <x:c r="E2094" s="16" t="str">
        <x:v>Missing email</x:v>
      </x:c>
    </x:row>
    <x:row r="2095">
      <x:c r="A2095" s="16" t="n">
        <x:v>2135</x:v>
      </x:c>
      <x:c r="B2095" s="16" t="str">
        <x:v>Ela Syafiela</x:v>
      </x:c>
      <x:c r="C2095" s="16" t="str"/>
      <x:c r="D2095" s="16" t="str">
        <x:v>* myContacts</x:v>
      </x:c>
      <x:c r="E2095" s="16" t="str">
        <x:v>Missing email</x:v>
      </x:c>
    </x:row>
    <x:row r="2096">
      <x:c r="A2096" s="16" t="n">
        <x:v>2136</x:v>
      </x:c>
      <x:c r="B2096" s="16" t="str">
        <x:v>Elegant Tours</x:v>
      </x:c>
      <x:c r="C2096" s="16" t="str"/>
      <x:c r="D2096" s="16" t="str">
        <x:v>* myContacts</x:v>
      </x:c>
      <x:c r="E2096" s="16" t="str">
        <x:v>Missing email</x:v>
      </x:c>
    </x:row>
    <x:row r="2097">
      <x:c r="A2097" s="16" t="n">
        <x:v>2137</x:v>
      </x:c>
      <x:c r="B2097" s="16" t="str">
        <x:v>Elia Yusniza AGP</x:v>
      </x:c>
      <x:c r="C2097" s="16" t="str"/>
      <x:c r="D2097" s="16" t="str">
        <x:v>* myContacts</x:v>
      </x:c>
      <x:c r="E2097" s="16" t="str">
        <x:v>Missing email</x:v>
      </x:c>
    </x:row>
    <x:row r="2098">
      <x:c r="A2098" s="16" t="n">
        <x:v>2138</x:v>
      </x:c>
      <x:c r="B2098" s="16" t="str">
        <x:v>Elis Dpim Putrajaya</x:v>
      </x:c>
      <x:c r="C2098" s="16" t="str"/>
      <x:c r="D2098" s="16" t="str">
        <x:v>* myContacts</x:v>
      </x:c>
      <x:c r="E2098" s="16" t="str">
        <x:v>Missing email</x:v>
      </x:c>
    </x:row>
    <x:row r="2099">
      <x:c r="A2099" s="16" t="n">
        <x:v>2139</x:v>
      </x:c>
      <x:c r="B2099" s="16" t="str">
        <x:v>Elizabeth Lian</x:v>
      </x:c>
      <x:c r="C2099" s="16" t="str"/>
      <x:c r="D2099" s="16" t="str">
        <x:v>* myContacts</x:v>
      </x:c>
      <x:c r="E2099" s="16" t="str">
        <x:v>Missing email</x:v>
      </x:c>
    </x:row>
    <x:row r="2100">
      <x:c r="A2100" s="16" t="n">
        <x:v>2140</x:v>
      </x:c>
      <x:c r="B2100" s="16" t="str">
        <x:v>ELkc Lee</x:v>
      </x:c>
      <x:c r="C2100" s="16" t="str"/>
      <x:c r="D2100" s="16" t="str">
        <x:v>* myContacts</x:v>
      </x:c>
      <x:c r="E2100" s="16" t="str">
        <x:v>Missing email</x:v>
      </x:c>
    </x:row>
    <x:row r="2101">
      <x:c r="A2101" s="16" t="n">
        <x:v>2141</x:v>
      </x:c>
      <x:c r="B2101" s="16" t="str">
        <x:v>Ell-rall Melyul</x:v>
      </x:c>
      <x:c r="C2101" s="16" t="str"/>
      <x:c r="D2101" s="16" t="str">
        <x:v>* myContacts</x:v>
      </x:c>
      <x:c r="E2101" s="16" t="str">
        <x:v>Missing email</x:v>
      </x:c>
    </x:row>
    <x:row r="2102">
      <x:c r="A2102" s="16" t="n">
        <x:v>2142</x:v>
      </x:c>
      <x:c r="B2102" s="16" t="str">
        <x:v>Ella Safitri</x:v>
      </x:c>
      <x:c r="C2102" s="16" t="str"/>
      <x:c r="D2102" s="16" t="str">
        <x:v>* myContacts</x:v>
      </x:c>
      <x:c r="E2102" s="16" t="str">
        <x:v>Missing email</x:v>
      </x:c>
    </x:row>
    <x:row r="2103">
      <x:c r="A2103" s="16" t="n">
        <x:v>2143</x:v>
      </x:c>
      <x:c r="B2103" s="16" t="str">
        <x:v>Ellana Sahari</x:v>
      </x:c>
      <x:c r="C2103" s="16" t="str"/>
      <x:c r="D2103" s="16" t="str">
        <x:v>* myContacts</x:v>
      </x:c>
      <x:c r="E2103" s="16" t="str">
        <x:v>Missing email</x:v>
      </x:c>
    </x:row>
    <x:row r="2104">
      <x:c r="A2104" s="16" t="n">
        <x:v>2144</x:v>
      </x:c>
      <x:c r="B2104" s="16" t="str">
        <x:v>Ellen Tan</x:v>
      </x:c>
      <x:c r="C2104" s="16" t="str"/>
      <x:c r="D2104" s="16" t="str">
        <x:v>* myContacts</x:v>
      </x:c>
      <x:c r="E2104" s="16" t="str">
        <x:v>Missing email</x:v>
      </x:c>
    </x:row>
    <x:row r="2105">
      <x:c r="A2105" s="16" t="n">
        <x:v>2145</x:v>
      </x:c>
      <x:c r="B2105" s="16" t="str">
        <x:v>Elly Eddy</x:v>
      </x:c>
      <x:c r="C2105" s="16" t="str"/>
      <x:c r="D2105" s="16" t="str">
        <x:v>* myContacts</x:v>
      </x:c>
      <x:c r="E2105" s="16" t="str">
        <x:v>Missing email</x:v>
      </x:c>
    </x:row>
    <x:row r="2106">
      <x:c r="A2106" s="16" t="n">
        <x:v>2146</x:v>
      </x:c>
      <x:c r="B2106" s="16" t="str">
        <x:v>Elly Latip</x:v>
      </x:c>
      <x:c r="C2106" s="16" t="str"/>
      <x:c r="D2106" s="16" t="str">
        <x:v>* myContacts</x:v>
      </x:c>
      <x:c r="E2106" s="16" t="str">
        <x:v>Missing email</x:v>
      </x:c>
    </x:row>
    <x:row r="2107">
      <x:c r="A2107" s="16" t="n">
        <x:v>2147</x:v>
      </x:c>
      <x:c r="B2107" s="16" t="str">
        <x:v>Elly Suhana Mohamed</x:v>
      </x:c>
      <x:c r="C2107" s="16" t="str"/>
      <x:c r="D2107" s="16" t="str">
        <x:v>* myContacts</x:v>
      </x:c>
      <x:c r="E2107" s="16" t="str">
        <x:v>Missing email</x:v>
      </x:c>
    </x:row>
    <x:row r="2108">
      <x:c r="A2108" s="16" t="n">
        <x:v>2148</x:v>
      </x:c>
      <x:c r="B2108" s="16" t="str">
        <x:v>Ellynda Norfaizah</x:v>
      </x:c>
      <x:c r="C2108" s="16" t="str"/>
      <x:c r="D2108" s="16" t="str">
        <x:v>* myContacts</x:v>
      </x:c>
      <x:c r="E2108" s="16" t="str">
        <x:v>Missing email</x:v>
      </x:c>
    </x:row>
    <x:row r="2109">
      <x:c r="A2109" s="16" t="n">
        <x:v>2149</x:v>
      </x:c>
      <x:c r="B2109" s="16" t="str">
        <x:v>Elmanzeel Chendor</x:v>
      </x:c>
      <x:c r="C2109" s="16" t="str"/>
      <x:c r="D2109" s="16" t="str">
        <x:v>* myContacts</x:v>
      </x:c>
      <x:c r="E2109" s="16" t="str">
        <x:v>Missing email</x:v>
      </x:c>
    </x:row>
    <x:row r="2110">
      <x:c r="A2110" s="16" t="n">
        <x:v>2150</x:v>
      </x:c>
      <x:c r="B2110" s="16" t="str">
        <x:v>Elmy ToneExcel</x:v>
      </x:c>
      <x:c r="C2110" s="16" t="str"/>
      <x:c r="D2110" s="16" t="str">
        <x:v>* myContacts</x:v>
      </x:c>
      <x:c r="E2110" s="16" t="str">
        <x:v>Missing email</x:v>
      </x:c>
    </x:row>
    <x:row r="2111">
      <x:c r="A2111" s="16" t="n">
        <x:v>2151</x:v>
      </x:c>
      <x:c r="B2111" s="16" t="str">
        <x:v>Elmyra HQ</x:v>
      </x:c>
      <x:c r="C2111" s="16" t="str"/>
      <x:c r="D2111" s="16" t="str">
        <x:v>* myContacts</x:v>
      </x:c>
      <x:c r="E2111" s="16" t="str">
        <x:v>Missing email</x:v>
      </x:c>
    </x:row>
    <x:row r="2112">
      <x:c r="A2112" s="16" t="n">
        <x:v>2152</x:v>
      </x:c>
      <x:c r="B2112" s="16" t="str">
        <x:v>Elys Ismail</x:v>
      </x:c>
      <x:c r="C2112" s="16" t="str"/>
      <x:c r="D2112" s="16" t="str">
        <x:v>* myContacts</x:v>
      </x:c>
      <x:c r="E2112" s="16" t="str">
        <x:v>Missing email</x:v>
      </x:c>
    </x:row>
    <x:row r="2113">
      <x:c r="A2113" s="16" t="n">
        <x:v>2153</x:v>
      </x:c>
      <x:c r="B2113" s="16" t="str">
        <x:v>Ema Jaafaq</x:v>
      </x:c>
      <x:c r="C2113" s="16" t="str"/>
      <x:c r="D2113" s="16" t="str">
        <x:v>* myContacts</x:v>
      </x:c>
      <x:c r="E2113" s="16" t="str">
        <x:v>Missing email</x:v>
      </x:c>
    </x:row>
    <x:row r="2114">
      <x:c r="A2114" s="16" t="n">
        <x:v>2154</x:v>
      </x:c>
      <x:c r="B2114" s="16" t="str">
        <x:v>Ema Scarf</x:v>
      </x:c>
      <x:c r="C2114" s="16" t="str"/>
      <x:c r="D2114" s="16" t="str">
        <x:v>* myContacts</x:v>
      </x:c>
      <x:c r="E2114" s="16" t="str">
        <x:v>Missing email</x:v>
      </x:c>
    </x:row>
    <x:row r="2115">
      <x:c r="A2115" s="16" t="n">
        <x:v>2155</x:v>
      </x:c>
      <x:c r="B2115" s="16" t="str">
        <x:v>Ema Zaima</x:v>
      </x:c>
      <x:c r="C2115" s="16" t="str"/>
      <x:c r="D2115" s="16" t="str">
        <x:v>* myContacts</x:v>
      </x:c>
      <x:c r="E2115" s="16" t="str">
        <x:v>Missing email</x:v>
      </x:c>
    </x:row>
    <x:row r="2116">
      <x:c r="A2116" s="16" t="n">
        <x:v>2156</x:v>
      </x:c>
      <x:c r="B2116" s="16" t="str">
        <x:v>Emak Abg Mohamad</x:v>
      </x:c>
      <x:c r="C2116" s="16" t="str"/>
      <x:c r="D2116" s="16" t="str">
        <x:v>* myContacts</x:v>
      </x:c>
      <x:c r="E2116" s="16" t="str">
        <x:v>Missing email</x:v>
      </x:c>
    </x:row>
    <x:row r="2117">
      <x:c r="A2117" s="16" t="n">
        <x:v>2157</x:v>
      </x:c>
      <x:c r="B2117" s="16" t="str">
        <x:v>Eman Qaseh</x:v>
      </x:c>
      <x:c r="C2117" s="16" t="str"/>
      <x:c r="D2117" s="16" t="str">
        <x:v>* myContacts</x:v>
      </x:c>
      <x:c r="E2117" s="16" t="str">
        <x:v>Missing email</x:v>
      </x:c>
    </x:row>
    <x:row r="2118">
      <x:c r="A2118" s="16" t="n">
        <x:v>2158</x:v>
      </x:c>
      <x:c r="B2118" s="16" t="str">
        <x:v>Eman Sampuri Cikgu Muay Thai</x:v>
      </x:c>
      <x:c r="C2118" s="16" t="str"/>
      <x:c r="D2118" s="16" t="str">
        <x:v>* myContacts</x:v>
      </x:c>
      <x:c r="E2118" s="16" t="str">
        <x:v>Missing email</x:v>
      </x:c>
    </x:row>
    <x:row r="2119">
      <x:c r="A2119" s="16" t="n">
        <x:v>2159</x:v>
      </x:c>
      <x:c r="B2119" s="16" t="str">
        <x:v>Eman Zulkafli</x:v>
      </x:c>
      <x:c r="C2119" s="16" t="str"/>
      <x:c r="D2119" s="16" t="str">
        <x:v>* myContacts</x:v>
      </x:c>
      <x:c r="E2119" s="16" t="str">
        <x:v>Missing email</x:v>
      </x:c>
    </x:row>
    <x:row r="2120">
      <x:c r="A2120" s="16" t="n">
        <x:v>2160</x:v>
      </x:c>
      <x:c r="B2120" s="16" t="str">
        <x:v>Embie Bie</x:v>
      </x:c>
      <x:c r="C2120" s="16" t="str"/>
      <x:c r="D2120" s="16" t="str">
        <x:v>* myContacts</x:v>
      </x:c>
      <x:c r="E2120" s="16" t="str">
        <x:v>Missing email</x:v>
      </x:c>
    </x:row>
    <x:row r="2121">
      <x:c r="A2121" s="16" t="n">
        <x:v>2161</x:v>
      </x:c>
      <x:c r="B2121" s="16" t="str">
        <x:v>Emelia Nabila</x:v>
      </x:c>
      <x:c r="C2121" s="16" t="str"/>
      <x:c r="D2121" s="16" t="str">
        <x:v>* myContacts</x:v>
      </x:c>
      <x:c r="E2121" s="16" t="str">
        <x:v>Missing email</x:v>
      </x:c>
    </x:row>
    <x:row r="2122">
      <x:c r="A2122" s="16" t="n">
        <x:v>2162</x:v>
      </x:c>
      <x:c r="B2122" s="16" t="str">
        <x:v>Emi JNJ</x:v>
      </x:c>
      <x:c r="C2122" s="16" t="str"/>
      <x:c r="D2122" s="16" t="str">
        <x:v>* myContacts</x:v>
      </x:c>
      <x:c r="E2122" s="16" t="str">
        <x:v>Missing email</x:v>
      </x:c>
    </x:row>
    <x:row r="2123">
      <x:c r="A2123" s="16" t="n">
        <x:v>2163</x:v>
      </x:c>
      <x:c r="B2123" s="16" t="str">
        <x:v>Emiriah Kamarulzaman</x:v>
      </x:c>
      <x:c r="C2123" s="16" t="str"/>
      <x:c r="D2123" s="16" t="str">
        <x:v>* myContacts</x:v>
      </x:c>
      <x:c r="E2123" s="16" t="str">
        <x:v>Missing email</x:v>
      </x:c>
    </x:row>
    <x:row r="2124">
      <x:c r="A2124" s="16" t="n">
        <x:v>2164</x:v>
      </x:c>
      <x:c r="B2124" s="16" t="str">
        <x:v>EMjay Salapuddin</x:v>
      </x:c>
      <x:c r="C2124" s="16" t="str"/>
      <x:c r="D2124" s="16" t="str">
        <x:v>* myContacts</x:v>
      </x:c>
      <x:c r="E2124" s="16" t="str">
        <x:v>Missing email</x:v>
      </x:c>
    </x:row>
    <x:row r="2125">
      <x:c r="A2125" s="16" t="n">
        <x:v>2165</x:v>
      </x:c>
      <x:c r="B2125" s="16" t="str">
        <x:v>Emma Arshad</x:v>
      </x:c>
      <x:c r="C2125" s="16" t="str"/>
      <x:c r="D2125" s="16" t="str">
        <x:v>* myContacts</x:v>
      </x:c>
      <x:c r="E2125" s="16" t="str">
        <x:v>Missing email</x:v>
      </x:c>
    </x:row>
    <x:row r="2126">
      <x:c r="A2126" s="16" t="n">
        <x:v>2166</x:v>
      </x:c>
      <x:c r="B2126" s="16" t="str">
        <x:v>Emma Azman</x:v>
      </x:c>
      <x:c r="C2126" s="16" t="str"/>
      <x:c r="D2126" s="16" t="str">
        <x:v>* myContacts</x:v>
      </x:c>
      <x:c r="E2126" s="16" t="str">
        <x:v>Missing email</x:v>
      </x:c>
    </x:row>
    <x:row r="2127">
      <x:c r="A2127" s="16" t="n">
        <x:v>2167</x:v>
      </x:c>
      <x:c r="B2127" s="16" t="str">
        <x:v>Emma Emaa</x:v>
      </x:c>
      <x:c r="C2127" s="16" t="str"/>
      <x:c r="D2127" s="16" t="str">
        <x:v>* myContacts</x:v>
      </x:c>
      <x:c r="E2127" s="16" t="str">
        <x:v>Missing email</x:v>
      </x:c>
    </x:row>
    <x:row r="2128">
      <x:c r="A2128" s="16" t="n">
        <x:v>2168</x:v>
      </x:c>
      <x:c r="B2128" s="16" t="str">
        <x:v>Emma Fatima</x:v>
      </x:c>
      <x:c r="C2128" s="16" t="str"/>
      <x:c r="D2128" s="16" t="str">
        <x:v>* myContacts</x:v>
      </x:c>
      <x:c r="E2128" s="16" t="str">
        <x:v>Missing email</x:v>
      </x:c>
    </x:row>
    <x:row r="2129">
      <x:c r="A2129" s="16" t="n">
        <x:v>2169</x:v>
      </x:c>
      <x:c r="B2129" s="16" t="str">
        <x:v>Emma G. Amil</x:v>
      </x:c>
      <x:c r="C2129" s="16" t="str"/>
      <x:c r="D2129" s="16" t="str">
        <x:v>* myContacts</x:v>
      </x:c>
      <x:c r="E2129" s="16" t="str">
        <x:v>Missing email</x:v>
      </x:c>
    </x:row>
    <x:row r="2130">
      <x:c r="A2130" s="16" t="n">
        <x:v>2170</x:v>
      </x:c>
      <x:c r="B2130" s="16" t="str">
        <x:v>Emma Nurimah Deen</x:v>
      </x:c>
      <x:c r="C2130" s="16" t="str"/>
      <x:c r="D2130" s="16" t="str">
        <x:v>* myContacts</x:v>
      </x:c>
      <x:c r="E2130" s="16" t="str">
        <x:v>Missing email</x:v>
      </x:c>
    </x:row>
    <x:row r="2131">
      <x:c r="A2131" s="16" t="n">
        <x:v>2171</x:v>
      </x:c>
      <x:c r="B2131" s="16" t="str">
        <x:v>Emma Rahimah Edi Z</x:v>
      </x:c>
      <x:c r="C2131" s="16" t="str"/>
      <x:c r="D2131" s="16" t="str">
        <x:v>* myContacts</x:v>
      </x:c>
      <x:c r="E2131" s="16" t="str">
        <x:v>Missing email</x:v>
      </x:c>
    </x:row>
    <x:row r="2132">
      <x:c r="A2132" s="16" t="n">
        <x:v>2172</x:v>
      </x:c>
      <x:c r="B2132" s="16" t="str">
        <x:v>Emma Zack</x:v>
      </x:c>
      <x:c r="C2132" s="16" t="str"/>
      <x:c r="D2132" s="16" t="str">
        <x:v>* myContacts</x:v>
      </x:c>
      <x:c r="E2132" s="16" t="str">
        <x:v>Missing email</x:v>
      </x:c>
    </x:row>
    <x:row r="2133">
      <x:c r="A2133" s="16" t="n">
        <x:v>2173</x:v>
      </x:c>
      <x:c r="B2133" s="16" t="str">
        <x:v>Emmazin Emma</x:v>
      </x:c>
      <x:c r="C2133" s="16" t="str"/>
      <x:c r="D2133" s="16" t="str">
        <x:v>* myContacts</x:v>
      </x:c>
      <x:c r="E2133" s="16" t="str">
        <x:v>Missing email</x:v>
      </x:c>
    </x:row>
    <x:row r="2134">
      <x:c r="A2134" s="16" t="n">
        <x:v>2174</x:v>
      </x:c>
      <x:c r="B2134" s="16" t="str">
        <x:v>Empatduakosong Ariey</x:v>
      </x:c>
      <x:c r="C2134" s="16" t="str"/>
      <x:c r="D2134" s="16" t="str">
        <x:v>* myContacts</x:v>
      </x:c>
      <x:c r="E2134" s="16" t="str">
        <x:v>Missing email</x:v>
      </x:c>
    </x:row>
    <x:row r="2135">
      <x:c r="A2135" s="16" t="n">
        <x:v>2175</x:v>
      </x:c>
      <x:c r="B2135" s="16" t="str">
        <x:v>Empayar Cahaya</x:v>
      </x:c>
      <x:c r="C2135" s="16" t="str"/>
      <x:c r="D2135" s="16" t="str">
        <x:v>* myContacts</x:v>
      </x:c>
      <x:c r="E2135" s="16" t="str">
        <x:v>Missing email</x:v>
      </x:c>
    </x:row>
    <x:row r="2136">
      <x:c r="A2136" s="16" t="n">
        <x:v>2176</x:v>
      </x:c>
      <x:c r="B2136" s="16" t="str">
        <x:v>Emran Ferran Client CWA</x:v>
      </x:c>
      <x:c r="C2136" s="16" t="str"/>
      <x:c r="D2136" s="16" t="str">
        <x:v>* myContacts</x:v>
      </x:c>
      <x:c r="E2136" s="16" t="str">
        <x:v>Missing email</x:v>
      </x:c>
    </x:row>
    <x:row r="2137">
      <x:c r="A2137" s="16" t="n">
        <x:v>2177</x:v>
      </x:c>
      <x:c r="B2137" s="16" t="str">
        <x:v>Emy Zara</x:v>
      </x:c>
      <x:c r="C2137" s="16" t="str"/>
      <x:c r="D2137" s="16" t="str">
        <x:v>* myContacts</x:v>
      </x:c>
      <x:c r="E2137" s="16" t="str">
        <x:v>Missing email</x:v>
      </x:c>
    </x:row>
    <x:row r="2138">
      <x:c r="A2138" s="16" t="n">
        <x:v>2178</x:v>
      </x:c>
      <x:c r="B2138" s="16" t="str">
        <x:v>Emylia Andaman Katering Canopy</x:v>
      </x:c>
      <x:c r="C2138" s="16" t="str"/>
      <x:c r="D2138" s="16" t="str">
        <x:v>* myContacts</x:v>
      </x:c>
      <x:c r="E2138" s="16" t="str">
        <x:v>Missing email</x:v>
      </x:c>
    </x:row>
    <x:row r="2139">
      <x:c r="A2139" s="16" t="n">
        <x:v>2179</x:v>
      </x:c>
      <x:c r="B2139" s="16" t="str">
        <x:v>En Adly Mplus Remizer</x:v>
      </x:c>
      <x:c r="C2139" s="16" t="str"/>
      <x:c r="D2139" s="16" t="str">
        <x:v>* myContacts</x:v>
      </x:c>
      <x:c r="E2139" s="16" t="str">
        <x:v>Missing email</x:v>
      </x:c>
    </x:row>
    <x:row r="2140">
      <x:c r="A2140" s="16" t="n">
        <x:v>2180</x:v>
      </x:c>
      <x:c r="B2140" s="16" t="str">
        <x:v>En Ahmad</x:v>
      </x:c>
      <x:c r="C2140" s="16" t="str"/>
      <x:c r="D2140" s="16" t="str">
        <x:v>* myContacts</x:v>
      </x:c>
      <x:c r="E2140" s="16" t="str">
        <x:v>Missing email</x:v>
      </x:c>
    </x:row>
    <x:row r="2141">
      <x:c r="A2141" s="16" t="n">
        <x:v>2181</x:v>
      </x:c>
      <x:c r="B2141" s="16" t="str">
        <x:v>En Amirul Jabatan Peneranga</x:v>
      </x:c>
      <x:c r="C2141" s="16" t="str"/>
      <x:c r="D2141" s="16" t="str">
        <x:v>* myContacts</x:v>
      </x:c>
      <x:c r="E2141" s="16" t="str">
        <x:v>Missing email</x:v>
      </x:c>
    </x:row>
    <x:row r="2142">
      <x:c r="A2142" s="16" t="n">
        <x:v>2182</x:v>
      </x:c>
      <x:c r="B2142" s="16" t="str">
        <x:v>En Azahan Pembeli Stylus</x:v>
      </x:c>
      <x:c r="C2142" s="16" t="str"/>
      <x:c r="D2142" s="16" t="str">
        <x:v>* myContacts</x:v>
      </x:c>
      <x:c r="E2142" s="16" t="str">
        <x:v>Missing email</x:v>
      </x:c>
    </x:row>
    <x:row r="2143">
      <x:c r="A2143" s="16" t="n">
        <x:v>2183</x:v>
      </x:c>
      <x:c r="B2143" s="16" t="str">
        <x:v>En Azhar</x:v>
      </x:c>
      <x:c r="C2143" s="16" t="str"/>
      <x:c r="D2143" s="16" t="str">
        <x:v>* myContacts</x:v>
      </x:c>
      <x:c r="E2143" s="16" t="str">
        <x:v>Missing email</x:v>
      </x:c>
    </x:row>
    <x:row r="2144">
      <x:c r="A2144" s="16" t="n">
        <x:v>2184</x:v>
      </x:c>
      <x:c r="B2144" s="16" t="str">
        <x:v>En Azlan PUBM</x:v>
      </x:c>
      <x:c r="C2144" s="16" t="str"/>
      <x:c r="D2144" s="16" t="str">
        <x:v>* myContacts</x:v>
      </x:c>
      <x:c r="E2144" s="16" t="str">
        <x:v>Missing email</x:v>
      </x:c>
    </x:row>
    <x:row r="2145">
      <x:c r="A2145" s="16" t="n">
        <x:v>2185</x:v>
      </x:c>
      <x:c r="B2145" s="16" t="str">
        <x:v>En Azman PA Dr Helmi</x:v>
      </x:c>
      <x:c r="C2145" s="16" t="str"/>
      <x:c r="D2145" s="16" t="str">
        <x:v>* myContacts</x:v>
      </x:c>
      <x:c r="E2145" s="16" t="str">
        <x:v>Missing email</x:v>
      </x:c>
    </x:row>
    <x:row r="2146">
      <x:c r="A2146" s="16" t="n">
        <x:v>2186</x:v>
      </x:c>
      <x:c r="B2146" s="16" t="str">
        <x:v>En DEE Plf</x:v>
      </x:c>
      <x:c r="C2146" s="16" t="str"/>
      <x:c r="D2146" s="16" t="str">
        <x:v>* myContacts</x:v>
      </x:c>
      <x:c r="E2146" s="16" t="str">
        <x:v>Missing email</x:v>
      </x:c>
    </x:row>
    <x:row r="2147">
      <x:c r="A2147" s="16" t="n">
        <x:v>2187</x:v>
      </x:c>
      <x:c r="B2147" s="16" t="str">
        <x:v>En Din AJK Masjid</x:v>
      </x:c>
      <x:c r="C2147" s="16" t="str"/>
      <x:c r="D2147" s="16" t="str">
        <x:v>* myContacts</x:v>
      </x:c>
      <x:c r="E2147" s="16" t="str">
        <x:v>Missing email</x:v>
      </x:c>
    </x:row>
    <x:row r="2148">
      <x:c r="A2148" s="16" t="n">
        <x:v>2188</x:v>
      </x:c>
      <x:c r="B2148" s="16" t="str">
        <x:v>En Din Procument CGC</x:v>
      </x:c>
      <x:c r="C2148" s="16" t="str"/>
      <x:c r="D2148" s="16" t="str">
        <x:v>* myContacts</x:v>
      </x:c>
      <x:c r="E2148" s="16" t="str">
        <x:v>Missing email</x:v>
      </x:c>
    </x:row>
    <x:row r="2149">
      <x:c r="A2149" s="16" t="n">
        <x:v>2189</x:v>
      </x:c>
      <x:c r="B2149" s="16" t="str">
        <x:v>En Dy</x:v>
      </x:c>
      <x:c r="C2149" s="16" t="str"/>
      <x:c r="D2149" s="16" t="str">
        <x:v>* myContacts</x:v>
      </x:c>
      <x:c r="E2149" s="16" t="str">
        <x:v>Missing email</x:v>
      </x:c>
    </x:row>
    <x:row r="2150">
      <x:c r="A2150" s="16" t="n">
        <x:v>2190</x:v>
      </x:c>
      <x:c r="B2150" s="16" t="str">
        <x:v>En EQram Bieyy</x:v>
      </x:c>
      <x:c r="C2150" s="16" t="str"/>
      <x:c r="D2150" s="16" t="str">
        <x:v>* myContacts</x:v>
      </x:c>
      <x:c r="E2150" s="16" t="str">
        <x:v>Missing email</x:v>
      </x:c>
    </x:row>
    <x:row r="2151">
      <x:c r="A2151" s="16" t="n">
        <x:v>2191</x:v>
      </x:c>
      <x:c r="B2151" s="16" t="str">
        <x:v>En Fadhly</x:v>
      </x:c>
      <x:c r="C2151" s="16" t="str"/>
      <x:c r="D2151" s="16" t="str">
        <x:v>* myContacts</x:v>
      </x:c>
      <x:c r="E2151" s="16" t="str">
        <x:v>Missing email</x:v>
      </x:c>
    </x:row>
    <x:row r="2152">
      <x:c r="A2152" s="16" t="n">
        <x:v>2192</x:v>
      </x:c>
      <x:c r="B2152" s="16" t="str">
        <x:v>en fadzil</x:v>
      </x:c>
      <x:c r="C2152" s="16" t="str"/>
      <x:c r="D2152" s="16" t="str">
        <x:v>* myContacts</x:v>
      </x:c>
      <x:c r="E2152" s="16" t="str">
        <x:v>Missing email</x:v>
      </x:c>
    </x:row>
    <x:row r="2153">
      <x:c r="A2153" s="16" t="n">
        <x:v>2193</x:v>
      </x:c>
      <x:c r="B2153" s="16" t="str">
        <x:v>En fauzi ismail tokeh suppliment</x:v>
      </x:c>
      <x:c r="C2153" s="16" t="str"/>
      <x:c r="D2153" s="16" t="str">
        <x:v>* myContacts</x:v>
      </x:c>
      <x:c r="E2153" s="16" t="str">
        <x:v>Missing email</x:v>
      </x:c>
    </x:row>
    <x:row r="2154">
      <x:c r="A2154" s="16" t="n">
        <x:v>2194</x:v>
      </x:c>
      <x:c r="B2154" s="16" t="str">
        <x:v>En Hairi Telok Bakong</x:v>
      </x:c>
      <x:c r="C2154" s="16" t="str"/>
      <x:c r="D2154" s="16" t="str">
        <x:v>* myContacts</x:v>
      </x:c>
      <x:c r="E2154" s="16" t="str">
        <x:v>Missing email</x:v>
      </x:c>
    </x:row>
    <x:row r="2155">
      <x:c r="A2155" s="16" t="n">
        <x:v>2195</x:v>
      </x:c>
      <x:c r="B2155" s="16" t="str">
        <x:v>En Hairudin DPIM perak</x:v>
      </x:c>
      <x:c r="C2155" s="16" t="str"/>
      <x:c r="D2155" s="16" t="str">
        <x:v>* myContacts</x:v>
      </x:c>
      <x:c r="E2155" s="16" t="str">
        <x:v>Missing email</x:v>
      </x:c>
    </x:row>
    <x:row r="2156">
      <x:c r="A2156" s="16" t="n">
        <x:v>2196</x:v>
      </x:c>
      <x:c r="B2156" s="16" t="str">
        <x:v>En Halim AGP customer</x:v>
      </x:c>
      <x:c r="C2156" s="16" t="str"/>
      <x:c r="D2156" s="16" t="str">
        <x:v>* myContacts</x:v>
      </x:c>
      <x:c r="E2156" s="16" t="str">
        <x:v>Missing email</x:v>
      </x:c>
    </x:row>
    <x:row r="2157">
      <x:c r="A2157" s="16" t="n">
        <x:v>2197</x:v>
      </x:c>
      <x:c r="B2157" s="16" t="str">
        <x:v>En Halim TM INSTALLER</x:v>
      </x:c>
      <x:c r="C2157" s="16" t="str"/>
      <x:c r="D2157" s="16" t="str">
        <x:v>* myContacts</x:v>
      </x:c>
      <x:c r="E2157" s="16" t="str">
        <x:v>Missing email</x:v>
      </x:c>
    </x:row>
    <x:row r="2158">
      <x:c r="A2158" s="16" t="n">
        <x:v>2198</x:v>
      </x:c>
      <x:c r="B2158" s="16" t="str">
        <x:v>En Halim Workshop</x:v>
      </x:c>
      <x:c r="C2158" s="16" t="str"/>
      <x:c r="D2158" s="16" t="str">
        <x:v>* myContacts</x:v>
      </x:c>
      <x:c r="E2158" s="16" t="str">
        <x:v>Missing email</x:v>
      </x:c>
    </x:row>
    <x:row r="2159">
      <x:c r="A2159" s="16" t="n">
        <x:v>2199</x:v>
      </x:c>
      <x:c r="B2159" s="16" t="str">
        <x:v>En Har Xie Nyn</x:v>
      </x:c>
      <x:c r="C2159" s="16" t="str"/>
      <x:c r="D2159" s="16" t="str">
        <x:v>* myContacts</x:v>
      </x:c>
      <x:c r="E2159" s="16" t="str">
        <x:v>Missing email</x:v>
      </x:c>
    </x:row>
    <x:row r="2160">
      <x:c r="A2160" s="16" t="n">
        <x:v>2200</x:v>
      </x:c>
      <x:c r="B2160" s="16" t="str">
        <x:v>En Har Xie Nyn VII</x:v>
      </x:c>
      <x:c r="C2160" s="16" t="str"/>
      <x:c r="D2160" s="16" t="str">
        <x:v>* myContacts</x:v>
      </x:c>
      <x:c r="E2160" s="16" t="str">
        <x:v>Missing email</x:v>
      </x:c>
    </x:row>
    <x:row r="2161">
      <x:c r="A2161" s="16" t="n">
        <x:v>2201</x:v>
      </x:c>
      <x:c r="B2161" s="16" t="str">
        <x:v>En Hassan Basri Ahli Hijrah Ampang</x:v>
      </x:c>
      <x:c r="C2161" s="16" t="str"/>
      <x:c r="D2161" s="16" t="str">
        <x:v>* myContacts</x:v>
      </x:c>
      <x:c r="E2161" s="16" t="str">
        <x:v>Missing email</x:v>
      </x:c>
    </x:row>
    <x:row r="2162">
      <x:c r="A2162" s="16" t="n">
        <x:v>2202</x:v>
      </x:c>
      <x:c r="B2162" s="16" t="str">
        <x:v>En Huz Coffea</x:v>
      </x:c>
      <x:c r="C2162" s="16" t="str"/>
      <x:c r="D2162" s="16" t="str">
        <x:v>* myContacts</x:v>
      </x:c>
      <x:c r="E2162" s="16" t="str">
        <x:v>Missing email</x:v>
      </x:c>
    </x:row>
    <x:row r="2163">
      <x:c r="A2163" s="16" t="n">
        <x:v>2203</x:v>
      </x:c>
      <x:c r="B2163" s="16" t="str">
        <x:v>En Jasri Financial Expert Dpim</x:v>
      </x:c>
      <x:c r="C2163" s="16" t="str"/>
      <x:c r="D2163" s="16" t="str">
        <x:v>* myContacts</x:v>
      </x:c>
      <x:c r="E2163" s="16" t="str">
        <x:v>Missing email</x:v>
      </x:c>
    </x:row>
    <x:row r="2164">
      <x:c r="A2164" s="16" t="n">
        <x:v>2204</x:v>
      </x:c>
      <x:c r="B2164" s="16" t="str">
        <x:v>En Jookepli Karhoo AFM Fullfillment</x:v>
      </x:c>
      <x:c r="C2164" s="16" t="str"/>
      <x:c r="D2164" s="16" t="str">
        <x:v>* myContacts</x:v>
      </x:c>
      <x:c r="E2164" s="16" t="str">
        <x:v>Missing email</x:v>
      </x:c>
    </x:row>
    <x:row r="2165">
      <x:c r="A2165" s="16" t="n">
        <x:v>2205</x:v>
      </x:c>
      <x:c r="B2165" s="16" t="str">
        <x:v>En Kamarul Hain Perodua Salesmen Puncak Alam Kamarudin</x:v>
      </x:c>
      <x:c r="C2165" s="16" t="str"/>
      <x:c r="D2165" s="16" t="str">
        <x:v>* myContacts</x:v>
      </x:c>
      <x:c r="E2165" s="16" t="str">
        <x:v>Missing email</x:v>
      </x:c>
    </x:row>
    <x:row r="2166">
      <x:c r="A2166" s="16" t="n">
        <x:v>2206</x:v>
      </x:c>
      <x:c r="B2166" s="16" t="str">
        <x:v>En Khai INSKEN</x:v>
      </x:c>
      <x:c r="C2166" s="16" t="str"/>
      <x:c r="D2166" s="16" t="str">
        <x:v>Alumni INSKEN | * myContacts</x:v>
      </x:c>
      <x:c r="E2166" s="16" t="str">
        <x:v>Missing email</x:v>
      </x:c>
    </x:row>
    <x:row r="2167">
      <x:c r="A2167" s="16" t="n">
        <x:v>2207</x:v>
      </x:c>
      <x:c r="B2167" s="16" t="str">
        <x:v>en khairul home nursing</x:v>
      </x:c>
      <x:c r="C2167" s="16" t="str"/>
      <x:c r="D2167" s="16" t="str">
        <x:v>* myContacts</x:v>
      </x:c>
      <x:c r="E2167" s="16" t="str">
        <x:v>Missing email</x:v>
      </x:c>
    </x:row>
    <x:row r="2168">
      <x:c r="A2168" s="16" t="n">
        <x:v>2208</x:v>
      </x:c>
      <x:c r="B2168" s="16" t="str">
        <x:v>En Kuhen teraphy stroke</x:v>
      </x:c>
      <x:c r="C2168" s="16" t="str"/>
      <x:c r="D2168" s="16" t="str">
        <x:v>* myContacts</x:v>
      </x:c>
      <x:c r="E2168" s="16" t="str">
        <x:v>Missing email</x:v>
      </x:c>
    </x:row>
    <x:row r="2169">
      <x:c r="A2169" s="16" t="n">
        <x:v>2209</x:v>
      </x:c>
      <x:c r="B2169" s="16" t="str">
        <x:v>En Lan Transporter</x:v>
      </x:c>
      <x:c r="C2169" s="16" t="str"/>
      <x:c r="D2169" s="16" t="str">
        <x:v>* myContacts</x:v>
      </x:c>
      <x:c r="E2169" s="16" t="str">
        <x:v>Missing email</x:v>
      </x:c>
    </x:row>
    <x:row r="2170">
      <x:c r="A2170" s="16" t="n">
        <x:v>2210</x:v>
      </x:c>
      <x:c r="B2170" s="16" t="str">
        <x:v>En Luqman Tiktok</x:v>
      </x:c>
      <x:c r="C2170" s="16" t="str"/>
      <x:c r="D2170" s="16" t="str">
        <x:v>* myContacts</x:v>
      </x:c>
      <x:c r="E2170" s="16" t="str">
        <x:v>Missing email</x:v>
      </x:c>
    </x:row>
    <x:row r="2171">
      <x:c r="A2171" s="16" t="n">
        <x:v>2211</x:v>
      </x:c>
      <x:c r="B2171" s="16" t="str">
        <x:v>En Man Katering Ampang</x:v>
      </x:c>
      <x:c r="C2171" s="16" t="str"/>
      <x:c r="D2171" s="16" t="str">
        <x:v>* myContacts</x:v>
      </x:c>
      <x:c r="E2171" s="16" t="str">
        <x:v>Missing email</x:v>
      </x:c>
    </x:row>
    <x:row r="2172">
      <x:c r="A2172" s="16" t="n">
        <x:v>2212</x:v>
      </x:c>
      <x:c r="B2172" s="16" t="str">
        <x:v>en misni</x:v>
      </x:c>
      <x:c r="C2172" s="16" t="str"/>
      <x:c r="D2172" s="16" t="str">
        <x:v>* myContacts</x:v>
      </x:c>
      <x:c r="E2172" s="16" t="str">
        <x:v>Missing email</x:v>
      </x:c>
    </x:row>
    <x:row r="2173">
      <x:c r="A2173" s="16" t="n">
        <x:v>2213</x:v>
      </x:c>
      <x:c r="B2173" s="16" t="str">
        <x:v>EN RAJA GM TM Infomedia</x:v>
      </x:c>
      <x:c r="C2173" s="16" t="str"/>
      <x:c r="D2173" s="16" t="str">
        <x:v>* myContacts</x:v>
      </x:c>
      <x:c r="E2173" s="16" t="str">
        <x:v>Missing email</x:v>
      </x:c>
    </x:row>
    <x:row r="2174">
      <x:c r="A2174" s="16" t="n">
        <x:v>2214</x:v>
      </x:c>
      <x:c r="B2174" s="16" t="str">
        <x:v>En Rizham IKM Alor Setar</x:v>
      </x:c>
      <x:c r="C2174" s="16" t="str"/>
      <x:c r="D2174" s="16" t="str">
        <x:v>* myContacts</x:v>
      </x:c>
      <x:c r="E2174" s="16" t="str">
        <x:v>Missing email</x:v>
      </x:c>
    </x:row>
    <x:row r="2175">
      <x:c r="A2175" s="16" t="n">
        <x:v>2215</x:v>
      </x:c>
      <x:c r="B2175" s="16" t="str">
        <x:v>En Ross Telok Bakong</x:v>
      </x:c>
      <x:c r="C2175" s="16" t="str"/>
      <x:c r="D2175" s="16" t="str">
        <x:v>* myContacts</x:v>
      </x:c>
      <x:c r="E2175" s="16" t="str">
        <x:v>Missing email</x:v>
      </x:c>
    </x:row>
    <x:row r="2176">
      <x:c r="A2176" s="16" t="n">
        <x:v>2216</x:v>
      </x:c>
      <x:c r="B2176" s="16" t="str">
        <x:v>En Sahar BNI</x:v>
      </x:c>
      <x:c r="C2176" s="16" t="str"/>
      <x:c r="D2176" s="16" t="str">
        <x:v>* myContacts</x:v>
      </x:c>
      <x:c r="E2176" s="16" t="str">
        <x:v>Missing email</x:v>
      </x:c>
    </x:row>
    <x:row r="2177">
      <x:c r="A2177" s="16" t="n">
        <x:v>2217</x:v>
      </x:c>
      <x:c r="B2177" s="16" t="str">
        <x:v>En Saupi Quantum Metal</x:v>
      </x:c>
      <x:c r="C2177" s="16" t="str"/>
      <x:c r="D2177" s="16" t="str">
        <x:v>* myContacts</x:v>
      </x:c>
      <x:c r="E2177" s="16" t="str">
        <x:v>Missing email</x:v>
      </x:c>
    </x:row>
    <x:row r="2178">
      <x:c r="A2178" s="16" t="n">
        <x:v>2218</x:v>
      </x:c>
      <x:c r="B2178" s="16" t="str">
        <x:v>En Sazali</x:v>
      </x:c>
      <x:c r="C2178" s="16" t="str"/>
      <x:c r="D2178" s="16" t="str">
        <x:v>* myContacts</x:v>
      </x:c>
      <x:c r="E2178" s="16" t="str">
        <x:v>Missing email</x:v>
      </x:c>
    </x:row>
    <x:row r="2179">
      <x:c r="A2179" s="16" t="n">
        <x:v>2219</x:v>
      </x:c>
      <x:c r="B2179" s="16" t="str">
        <x:v>En shafwan jabatan penerangan</x:v>
      </x:c>
      <x:c r="C2179" s="16" t="str"/>
      <x:c r="D2179" s="16" t="str">
        <x:v>* myContacts</x:v>
      </x:c>
      <x:c r="E2179" s="16" t="str">
        <x:v>Missing email</x:v>
      </x:c>
    </x:row>
    <x:row r="2180">
      <x:c r="A2180" s="16" t="n">
        <x:v>2220</x:v>
      </x:c>
      <x:c r="B2180" s="16" t="str">
        <x:v>En Sham Camper Van</x:v>
      </x:c>
      <x:c r="C2180" s="16" t="str"/>
      <x:c r="D2180" s="16" t="str">
        <x:v>* myContacts</x:v>
      </x:c>
      <x:c r="E2180" s="16" t="str">
        <x:v>Missing email</x:v>
      </x:c>
    </x:row>
    <x:row r="2181">
      <x:c r="A2181" s="16" t="n">
        <x:v>2221</x:v>
      </x:c>
      <x:c r="B2181" s="16" t="str">
        <x:v>En Shazli</x:v>
      </x:c>
      <x:c r="C2181" s="16" t="str"/>
      <x:c r="D2181" s="16" t="str">
        <x:v>* myContacts</x:v>
      </x:c>
      <x:c r="E2181" s="16" t="str">
        <x:v>Missing email</x:v>
      </x:c>
    </x:row>
    <x:row r="2182">
      <x:c r="A2182" s="16" t="n">
        <x:v>2222</x:v>
      </x:c>
      <x:c r="B2182" s="16" t="str">
        <x:v>En Sukri MFC Kota Kemuning</x:v>
      </x:c>
      <x:c r="C2182" s="16" t="str"/>
      <x:c r="D2182" s="16" t="str">
        <x:v>* myContacts</x:v>
      </x:c>
      <x:c r="E2182" s="16" t="str">
        <x:v>Missing email</x:v>
      </x:c>
    </x:row>
    <x:row r="2183">
      <x:c r="A2183" s="16" t="n">
        <x:v>2223</x:v>
      </x:c>
      <x:c r="B2183" s="16" t="str">
        <x:v>En Syukur Abang Abu Group</x:v>
      </x:c>
      <x:c r="C2183" s="16" t="str"/>
      <x:c r="D2183" s="16" t="str">
        <x:v>* myContacts</x:v>
      </x:c>
      <x:c r="E2183" s="16" t="str">
        <x:v>Missing email</x:v>
      </x:c>
    </x:row>
    <x:row r="2184">
      <x:c r="A2184" s="16" t="n">
        <x:v>2224</x:v>
      </x:c>
      <x:c r="B2184" s="16" t="str">
        <x:v>En Wan Dpim labuan</x:v>
      </x:c>
      <x:c r="C2184" s="16" t="str"/>
      <x:c r="D2184" s="16" t="str">
        <x:v>* myContacts</x:v>
      </x:c>
      <x:c r="E2184" s="16" t="str">
        <x:v>Missing email</x:v>
      </x:c>
    </x:row>
    <x:row r="2185">
      <x:c r="A2185" s="16" t="n">
        <x:v>2225</x:v>
      </x:c>
      <x:c r="B2185" s="16" t="str">
        <x:v>En Wan Nasser Petronas</x:v>
      </x:c>
      <x:c r="C2185" s="16" t="str"/>
      <x:c r="D2185" s="16" t="str">
        <x:v>* myContacts</x:v>
      </x:c>
      <x:c r="E2185" s="16" t="str">
        <x:v>Missing email</x:v>
      </x:c>
    </x:row>
    <x:row r="2186">
      <x:c r="A2186" s="16" t="n">
        <x:v>2226</x:v>
      </x:c>
      <x:c r="B2186" s="16" t="str">
        <x:v>En Wan Sado Trainer</x:v>
      </x:c>
      <x:c r="C2186" s="16" t="str"/>
      <x:c r="D2186" s="16" t="str">
        <x:v>Trainer | * myContacts</x:v>
      </x:c>
      <x:c r="E2186" s="16" t="str">
        <x:v>Missing email</x:v>
      </x:c>
    </x:row>
    <x:row r="2187">
      <x:c r="A2187" s="16" t="n">
        <x:v>2227</x:v>
      </x:c>
      <x:c r="B2187" s="16" t="str">
        <x:v>En Yazid Ikan Bilis</x:v>
      </x:c>
      <x:c r="C2187" s="16" t="str"/>
      <x:c r="D2187" s="16" t="str">
        <x:v>* myContacts</x:v>
      </x:c>
      <x:c r="E2187" s="16" t="str">
        <x:v>Missing email</x:v>
      </x:c>
    </x:row>
    <x:row r="2188">
      <x:c r="A2188" s="16" t="n">
        <x:v>2228</x:v>
      </x:c>
      <x:c r="B2188" s="16" t="str">
        <x:v>En Yusri Yunus Adventure Bikers</x:v>
      </x:c>
      <x:c r="C2188" s="16" t="str"/>
      <x:c r="D2188" s="16" t="str">
        <x:v>* myContacts</x:v>
      </x:c>
      <x:c r="E2188" s="16" t="str">
        <x:v>Missing email</x:v>
      </x:c>
    </x:row>
    <x:row r="2189">
      <x:c r="A2189" s="16" t="n">
        <x:v>2229</x:v>
      </x:c>
      <x:c r="B2189" s="16" t="str">
        <x:v>En zafri Ukm</x:v>
      </x:c>
      <x:c r="C2189" s="16" t="str"/>
      <x:c r="D2189" s="16" t="str">
        <x:v>* myContacts</x:v>
      </x:c>
      <x:c r="E2189" s="16" t="str">
        <x:v>Missing email</x:v>
      </x:c>
    </x:row>
    <x:row r="2190">
      <x:c r="A2190" s="16" t="n">
        <x:v>2230</x:v>
      </x:c>
      <x:c r="B2190" s="16" t="str">
        <x:v>En Zaini GM Karhoo</x:v>
      </x:c>
      <x:c r="C2190" s="16" t="str"/>
      <x:c r="D2190" s="16" t="str">
        <x:v>* myContacts</x:v>
      </x:c>
      <x:c r="E2190" s="16" t="str">
        <x:v>Missing email</x:v>
      </x:c>
    </x:row>
    <x:row r="2191">
      <x:c r="A2191" s="16" t="n">
        <x:v>2232</x:v>
      </x:c>
      <x:c r="B2191" s="16" t="str">
        <x:v>En Zul Nlp</x:v>
      </x:c>
      <x:c r="C2191" s="16" t="str"/>
      <x:c r="D2191" s="16" t="str">
        <x:v>* myContacts</x:v>
      </x:c>
      <x:c r="E2191" s="16" t="str">
        <x:v>Missing email</x:v>
      </x:c>
    </x:row>
    <x:row r="2192">
      <x:c r="A2192" s="16" t="n">
        <x:v>2233</x:v>
      </x:c>
      <x:c r="B2192" s="16" t="str">
        <x:v>En Zul Physio Theraphy</x:v>
      </x:c>
      <x:c r="C2192" s="16" t="str"/>
      <x:c r="D2192" s="16" t="str">
        <x:v>* myContacts</x:v>
      </x:c>
      <x:c r="E2192" s="16" t="str">
        <x:v>Missing email</x:v>
      </x:c>
    </x:row>
    <x:row r="2193">
      <x:c r="A2193" s="16" t="n">
        <x:v>2234</x:v>
      </x:c>
      <x:c r="B2193" s="16" t="str">
        <x:v>Enamie Azmi</x:v>
      </x:c>
      <x:c r="C2193" s="16" t="str"/>
      <x:c r="D2193" s="16" t="str">
        <x:v>* myContacts</x:v>
      </x:c>
      <x:c r="E2193" s="16" t="str">
        <x:v>Missing email</x:v>
      </x:c>
    </x:row>
    <x:row r="2194">
      <x:c r="A2194" s="16" t="n">
        <x:v>2235</x:v>
      </x:c>
      <x:c r="B2194" s="16" t="str">
        <x:v>Encep Sajalah</x:v>
      </x:c>
      <x:c r="C2194" s="16" t="str"/>
      <x:c r="D2194" s="16" t="str">
        <x:v>* myContacts</x:v>
      </x:c>
      <x:c r="E2194" s="16" t="str">
        <x:v>Missing email</x:v>
      </x:c>
    </x:row>
    <x:row r="2195">
      <x:c r="A2195" s="16" t="n">
        <x:v>2236</x:v>
      </x:c>
      <x:c r="B2195" s="16" t="str">
        <x:v>Encik Bear</x:v>
      </x:c>
      <x:c r="C2195" s="16" t="str"/>
      <x:c r="D2195" s="16" t="str">
        <x:v>* myContacts</x:v>
      </x:c>
      <x:c r="E2195" s="16" t="str">
        <x:v>Missing email</x:v>
      </x:c>
    </x:row>
    <x:row r="2196">
      <x:c r="A2196" s="16" t="n">
        <x:v>2237</x:v>
      </x:c>
      <x:c r="B2196" s="16" t="str">
        <x:v>Encik Din</x:v>
      </x:c>
      <x:c r="C2196" s="16" t="str"/>
      <x:c r="D2196" s="16" t="str">
        <x:v>* myContacts</x:v>
      </x:c>
      <x:c r="E2196" s="16" t="str">
        <x:v>Missing email</x:v>
      </x:c>
    </x:row>
    <x:row r="2197">
      <x:c r="A2197" s="16" t="n">
        <x:v>2238</x:v>
      </x:c>
      <x:c r="B2197" s="16" t="str">
        <x:v>Encik Din Qudwah APPS DEVELOPER</x:v>
      </x:c>
      <x:c r="C2197" s="16" t="str"/>
      <x:c r="D2197" s="16" t="str">
        <x:v>* myContacts</x:v>
      </x:c>
      <x:c r="E2197" s="16" t="str">
        <x:v>Missing email</x:v>
      </x:c>
    </x:row>
    <x:row r="2198">
      <x:c r="A2198" s="16" t="n">
        <x:v>2239</x:v>
      </x:c>
      <x:c r="B2198" s="16" t="str">
        <x:v>Encik Fauzrin</x:v>
      </x:c>
      <x:c r="C2198" s="16" t="str"/>
      <x:c r="D2198" s="16" t="str">
        <x:v>* myContacts</x:v>
      </x:c>
      <x:c r="E2198" s="16" t="str">
        <x:v>Missing email</x:v>
      </x:c>
    </x:row>
    <x:row r="2199">
      <x:c r="A2199" s="16" t="n">
        <x:v>2240</x:v>
      </x:c>
      <x:c r="B2199" s="16" t="str">
        <x:v>Encik Firdaus Rosnan</x:v>
      </x:c>
      <x:c r="C2199" s="16" t="str"/>
      <x:c r="D2199" s="16" t="str">
        <x:v>* myContacts</x:v>
      </x:c>
      <x:c r="E2199" s="16" t="str">
        <x:v>Missing email</x:v>
      </x:c>
    </x:row>
    <x:row r="2200">
      <x:c r="A2200" s="16" t="n">
        <x:v>2241</x:v>
      </x:c>
      <x:c r="B2200" s="16" t="str">
        <x:v>Encik Kamal</x:v>
      </x:c>
      <x:c r="C2200" s="16" t="str"/>
      <x:c r="D2200" s="16" t="str">
        <x:v>* myContacts</x:v>
      </x:c>
      <x:c r="E2200" s="16" t="str">
        <x:v>Missing email</x:v>
      </x:c>
    </x:row>
    <x:row r="2201">
      <x:c r="A2201" s="16" t="n">
        <x:v>2242</x:v>
      </x:c>
      <x:c r="B2201" s="16" t="str">
        <x:v>Encik Mimpi</x:v>
      </x:c>
      <x:c r="C2201" s="16" t="str"/>
      <x:c r="D2201" s="16" t="str">
        <x:v>* myContacts</x:v>
      </x:c>
      <x:c r="E2201" s="16" t="str">
        <x:v>Missing email</x:v>
      </x:c>
    </x:row>
    <x:row r="2202">
      <x:c r="A2202" s="16" t="n">
        <x:v>2243</x:v>
      </x:c>
      <x:c r="B2202" s="16" t="str">
        <x:v>Encik MJ</x:v>
      </x:c>
      <x:c r="C2202" s="16" t="str"/>
      <x:c r="D2202" s="16" t="str">
        <x:v>* myContacts</x:v>
      </x:c>
      <x:c r="E2202" s="16" t="str">
        <x:v>Missing email</x:v>
      </x:c>
    </x:row>
    <x:row r="2203">
      <x:c r="A2203" s="16" t="n">
        <x:v>2244</x:v>
      </x:c>
      <x:c r="B2203" s="16" t="str">
        <x:v>Encik Senget</x:v>
      </x:c>
      <x:c r="C2203" s="16" t="str"/>
      <x:c r="D2203" s="16" t="str">
        <x:v>* myContacts</x:v>
      </x:c>
      <x:c r="E2203" s="16" t="str">
        <x:v>Missing email</x:v>
      </x:c>
    </x:row>
    <x:row r="2204">
      <x:c r="A2204" s="16" t="n">
        <x:v>2245</x:v>
      </x:c>
      <x:c r="B2204" s="16" t="str">
        <x:v>Encik Taufan Tenang</x:v>
      </x:c>
      <x:c r="C2204" s="16" t="str"/>
      <x:c r="D2204" s="16" t="str">
        <x:v>* myContacts</x:v>
      </x:c>
      <x:c r="E2204" s="16" t="str">
        <x:v>Missing email</x:v>
      </x:c>
    </x:row>
    <x:row r="2205">
      <x:c r="A2205" s="16" t="n">
        <x:v>2246</x:v>
      </x:c>
      <x:c r="B2205" s="16" t="str">
        <x:v>Endah Sari</x:v>
      </x:c>
      <x:c r="C2205" s="16" t="str"/>
      <x:c r="D2205" s="16" t="str">
        <x:v>* myContacts</x:v>
      </x:c>
      <x:c r="E2205" s="16" t="str">
        <x:v>Missing email</x:v>
      </x:c>
    </x:row>
    <x:row r="2206">
      <x:c r="A2206" s="16" t="n">
        <x:v>2247</x:v>
      </x:c>
      <x:c r="B2206" s="16" t="str">
        <x:v>ENES CEPNI</x:v>
      </x:c>
      <x:c r="C2206" s="16" t="str"/>
      <x:c r="D2206" s="16" t="str">
        <x:v>* myContacts</x:v>
      </x:c>
      <x:c r="E2206" s="16" t="str">
        <x:v>Missing email</x:v>
      </x:c>
    </x:row>
    <x:row r="2207">
      <x:c r="A2207" s="16" t="n">
        <x:v>2248</x:v>
      </x:c>
      <x:c r="B2207" s="16" t="str">
        <x:v>Eng Song</x:v>
      </x:c>
      <x:c r="C2207" s="16" t="str"/>
      <x:c r="D2207" s="16" t="str">
        <x:v>* myContacts</x:v>
      </x:c>
      <x:c r="E2207" s="16" t="str">
        <x:v>Missing email</x:v>
      </x:c>
    </x:row>
    <x:row r="2208">
      <x:c r="A2208" s="16" t="n">
        <x:v>2249</x:v>
      </x:c>
      <x:c r="B2208" s="16" t="str">
        <x:v>Enitsirhc Mica Selaznog Villanueva</x:v>
      </x:c>
      <x:c r="C2208" s="16" t="str"/>
      <x:c r="D2208" s="16" t="str">
        <x:v>* myContacts</x:v>
      </x:c>
      <x:c r="E2208" s="16" t="str">
        <x:v>Missing email</x:v>
      </x:c>
    </x:row>
    <x:row r="2209">
      <x:c r="A2209" s="16" t="n">
        <x:v>2250</x:v>
      </x:c>
      <x:c r="B2209" s="16" t="str">
        <x:v>Enrich Gym</x:v>
      </x:c>
      <x:c r="C2209" s="16" t="str"/>
      <x:c r="D2209" s="16" t="str">
        <x:v>* myContacts</x:v>
      </x:c>
      <x:c r="E2209" s="16" t="str">
        <x:v>Missing email</x:v>
      </x:c>
    </x:row>
    <x:row r="2210">
      <x:c r="A2210" s="16" t="n">
        <x:v>2251</x:v>
      </x:c>
      <x:c r="B2210" s="16" t="str">
        <x:v>Enson Mc</x:v>
      </x:c>
      <x:c r="C2210" s="16" t="str"/>
      <x:c r="D2210" s="16" t="str">
        <x:v>* myContacts</x:v>
      </x:c>
      <x:c r="E2210" s="16" t="str">
        <x:v>Missing email</x:v>
      </x:c>
    </x:row>
    <x:row r="2211">
      <x:c r="A2211" s="16" t="n">
        <x:v>2252</x:v>
      </x:c>
      <x:c r="B2211" s="16" t="str">
        <x:v>Eny Muttdzalib</x:v>
      </x:c>
      <x:c r="C2211" s="16" t="str"/>
      <x:c r="D2211" s="16" t="str">
        <x:v>* myContacts</x:v>
      </x:c>
      <x:c r="E2211" s="16" t="str">
        <x:v>Missing email</x:v>
      </x:c>
    </x:row>
    <x:row r="2212">
      <x:c r="A2212" s="16" t="n">
        <x:v>2253</x:v>
      </x:c>
      <x:c r="B2212" s="16" t="str">
        <x:v>Epap Shirt Specialist</x:v>
      </x:c>
      <x:c r="C2212" s="16" t="str"/>
      <x:c r="D2212" s="16" t="str">
        <x:v>* myContacts</x:v>
      </x:c>
      <x:c r="E2212" s="16" t="str">
        <x:v>Missing email</x:v>
      </x:c>
    </x:row>
    <x:row r="2213">
      <x:c r="A2213" s="16" t="n">
        <x:v>2254</x:v>
      </x:c>
      <x:c r="B2213" s="16" t="str">
        <x:v>Epiey Nefizal</x:v>
      </x:c>
      <x:c r="C2213" s="16" t="str"/>
      <x:c r="D2213" s="16" t="str">
        <x:v>* myContacts</x:v>
      </x:c>
      <x:c r="E2213" s="16" t="str">
        <x:v>Missing email</x:v>
      </x:c>
    </x:row>
    <x:row r="2214">
      <x:c r="A2214" s="16" t="n">
        <x:v>2255</x:v>
      </x:c>
      <x:c r="B2214" s="16" t="str">
        <x:v>Epot-t</x:v>
      </x:c>
      <x:c r="C2214" s="16" t="str"/>
      <x:c r="D2214" s="16" t="str">
        <x:v>* myContacts</x:v>
      </x:c>
      <x:c r="E2214" s="16" t="str">
        <x:v>Missing email</x:v>
      </x:c>
    </x:row>
    <x:row r="2215">
      <x:c r="A2215" s="16" t="n">
        <x:v>2256</x:v>
      </x:c>
      <x:c r="B2215" s="16" t="str">
        <x:v>Epy Nofy</x:v>
      </x:c>
      <x:c r="C2215" s="16" t="str"/>
      <x:c r="D2215" s="16" t="str">
        <x:v>* myContacts</x:v>
      </x:c>
      <x:c r="E2215" s="16" t="str">
        <x:v>Missing email</x:v>
      </x:c>
    </x:row>
    <x:row r="2216">
      <x:c r="A2216" s="16" t="n">
        <x:v>2257</x:v>
      </x:c>
      <x:c r="B2216" s="16" t="str">
        <x:v>Era Delivery</x:v>
      </x:c>
      <x:c r="C2216" s="16" t="str"/>
      <x:c r="D2216" s="16" t="str">
        <x:v>* myContacts</x:v>
      </x:c>
      <x:c r="E2216" s="16" t="str">
        <x:v>Missing email</x:v>
      </x:c>
    </x:row>
    <x:row r="2217">
      <x:c r="A2217" s="16" t="n">
        <x:v>2258</x:v>
      </x:c>
      <x:c r="B2217" s="16" t="str">
        <x:v>Era Farinna @ Nanue</x:v>
      </x:c>
      <x:c r="C2217" s="16" t="str"/>
      <x:c r="D2217" s="16" t="str">
        <x:v>* myContacts</x:v>
      </x:c>
      <x:c r="E2217" s="16" t="str">
        <x:v>Missing email</x:v>
      </x:c>
    </x:row>
    <x:row r="2218">
      <x:c r="A2218" s="16" t="n">
        <x:v>2259</x:v>
      </x:c>
      <x:c r="B2218" s="16" t="str">
        <x:v>Erah Rahim</x:v>
      </x:c>
      <x:c r="C2218" s="16" t="str"/>
      <x:c r="D2218" s="16" t="str">
        <x:v>* myContacts</x:v>
      </x:c>
      <x:c r="E2218" s="16" t="str">
        <x:v>Missing email</x:v>
      </x:c>
    </x:row>
    <x:row r="2219">
      <x:c r="A2219" s="16" t="n">
        <x:v>2260</x:v>
      </x:c>
      <x:c r="B2219" s="16" t="str">
        <x:v>Erhh Dallek KemPrek</x:v>
      </x:c>
      <x:c r="C2219" s="16" t="str"/>
      <x:c r="D2219" s="16" t="str">
        <x:v>* myContacts</x:v>
      </x:c>
      <x:c r="E2219" s="16" t="str">
        <x:v>Missing email</x:v>
      </x:c>
    </x:row>
    <x:row r="2220">
      <x:c r="A2220" s="16" t="n">
        <x:v>2261</x:v>
      </x:c>
      <x:c r="B2220" s="16" t="str">
        <x:v>Eric Jual Kereta Lama Mercedes</x:v>
      </x:c>
      <x:c r="C2220" s="16" t="str"/>
      <x:c r="D2220" s="16" t="str">
        <x:v>* myContacts</x:v>
      </x:c>
      <x:c r="E2220" s="16" t="str">
        <x:v>Missing email</x:v>
      </x:c>
    </x:row>
    <x:row r="2221">
      <x:c r="A2221" s="16" t="n">
        <x:v>2262</x:v>
      </x:c>
      <x:c r="B2221" s="16" t="str">
        <x:v>Ericda Eyda</x:v>
      </x:c>
      <x:c r="C2221" s="16" t="str"/>
      <x:c r="D2221" s="16" t="str">
        <x:v>* myContacts</x:v>
      </x:c>
      <x:c r="E2221" s="16" t="str">
        <x:v>Missing email</x:v>
      </x:c>
    </x:row>
    <x:row r="2222">
      <x:c r="A2222" s="16" t="n">
        <x:v>2263</x:v>
      </x:c>
      <x:c r="B2222" s="16" t="str">
        <x:v>Erin Agent Essens</x:v>
      </x:c>
      <x:c r="C2222" s="16" t="str"/>
      <x:c r="D2222" s="16" t="str">
        <x:v>* myContacts</x:v>
      </x:c>
      <x:c r="E2222" s="16" t="str">
        <x:v>Missing email</x:v>
      </x:c>
    </x:row>
    <x:row r="2223">
      <x:c r="A2223" s="16" t="n">
        <x:v>2264</x:v>
      </x:c>
      <x:c r="B2223" s="16" t="str">
        <x:v>Erin Seyyidina</x:v>
      </x:c>
      <x:c r="C2223" s="16" t="str"/>
      <x:c r="D2223" s="16" t="str">
        <x:v>* myContacts</x:v>
      </x:c>
      <x:c r="E2223" s="16" t="str">
        <x:v>Missing email</x:v>
      </x:c>
    </x:row>
    <x:row r="2224">
      <x:c r="A2224" s="16" t="n">
        <x:v>2265</x:v>
      </x:c>
      <x:c r="B2224" s="16" t="str">
        <x:v>Erka Natasha</x:v>
      </x:c>
      <x:c r="C2224" s="16" t="str"/>
      <x:c r="D2224" s="16" t="str">
        <x:v>* myContacts</x:v>
      </x:c>
      <x:c r="E2224" s="16" t="str">
        <x:v>Missing email</x:v>
      </x:c>
    </x:row>
    <x:row r="2225">
      <x:c r="A2225" s="16" t="n">
        <x:v>2266</x:v>
      </x:c>
      <x:c r="B2225" s="16" t="str">
        <x:v>Erni Arisha</x:v>
      </x:c>
      <x:c r="C2225" s="16" t="str"/>
      <x:c r="D2225" s="16" t="str">
        <x:v>* myContacts</x:v>
      </x:c>
      <x:c r="E2225" s="16" t="str">
        <x:v>Missing email</x:v>
      </x:c>
    </x:row>
    <x:row r="2226">
      <x:c r="A2226" s="16" t="n">
        <x:v>2267</x:v>
      </x:c>
      <x:c r="B2226" s="16" t="str">
        <x:v>Erni cuckoo EU2017</x:v>
      </x:c>
      <x:c r="C2226" s="16" t="str"/>
      <x:c r="D2226" s="16" t="str">
        <x:v>* myContacts</x:v>
      </x:c>
      <x:c r="E2226" s="16" t="str">
        <x:v>Missing email</x:v>
      </x:c>
    </x:row>
    <x:row r="2227">
      <x:c r="A2227" s="16" t="n">
        <x:v>2268</x:v>
      </x:c>
      <x:c r="B2227" s="16" t="str">
        <x:v>Erni Rohayu</x:v>
      </x:c>
      <x:c r="C2227" s="16" t="str"/>
      <x:c r="D2227" s="16" t="str">
        <x:v>* myContacts</x:v>
      </x:c>
      <x:c r="E2227" s="16" t="str">
        <x:v>Missing email</x:v>
      </x:c>
    </x:row>
    <x:row r="2228">
      <x:c r="A2228" s="16" t="n">
        <x:v>2269</x:v>
      </x:c>
      <x:c r="B2228" s="16" t="str">
        <x:v>Erni Sharlina</x:v>
      </x:c>
      <x:c r="C2228" s="16" t="str"/>
      <x:c r="D2228" s="16" t="str">
        <x:v>* myContacts</x:v>
      </x:c>
      <x:c r="E2228" s="16" t="str">
        <x:v>Missing email</x:v>
      </x:c>
    </x:row>
    <x:row r="2229">
      <x:c r="A2229" s="16" t="n">
        <x:v>2270</x:v>
      </x:c>
      <x:c r="B2229" s="16" t="str">
        <x:v>Ernie Ina</x:v>
      </x:c>
      <x:c r="C2229" s="16" t="str"/>
      <x:c r="D2229" s="16" t="str">
        <x:v>* myContacts</x:v>
      </x:c>
      <x:c r="E2229" s="16" t="str">
        <x:v>Missing email</x:v>
      </x:c>
    </x:row>
    <x:row r="2230">
      <x:c r="A2230" s="16" t="n">
        <x:v>2271</x:v>
      </x:c>
      <x:c r="B2230" s="16" t="str">
        <x:v>Erny HyuOhara</x:v>
      </x:c>
      <x:c r="C2230" s="16" t="str"/>
      <x:c r="D2230" s="16" t="str">
        <x:v>* myContacts</x:v>
      </x:c>
      <x:c r="E2230" s="16" t="str">
        <x:v>Missing email</x:v>
      </x:c>
    </x:row>
    <x:row r="2231">
      <x:c r="A2231" s="16" t="n">
        <x:v>2272</x:v>
      </x:c>
      <x:c r="B2231" s="16" t="str">
        <x:v>Erra Nurani Azman</x:v>
      </x:c>
      <x:c r="C2231" s="16" t="str"/>
      <x:c r="D2231" s="16" t="str">
        <x:v>* myContacts</x:v>
      </x:c>
      <x:c r="E2231" s="16" t="str">
        <x:v>Missing email</x:v>
      </x:c>
    </x:row>
    <x:row r="2232">
      <x:c r="A2232" s="16" t="n">
        <x:v>2273</x:v>
      </x:c>
      <x:c r="B2232" s="16" t="str">
        <x:v>Erwin Prihadi</x:v>
      </x:c>
      <x:c r="C2232" s="16" t="str"/>
      <x:c r="D2232" s="16" t="str">
        <x:v>* myContacts</x:v>
      </x:c>
      <x:c r="E2232" s="16" t="str">
        <x:v>Missing email</x:v>
      </x:c>
    </x:row>
    <x:row r="2233">
      <x:c r="A2233" s="16" t="n">
        <x:v>2274</x:v>
      </x:c>
      <x:c r="B2233" s="16" t="str">
        <x:v>Esa Iskandar</x:v>
      </x:c>
      <x:c r="C2233" s="16" t="str"/>
      <x:c r="D2233" s="16" t="str">
        <x:v>* myContacts</x:v>
      </x:c>
      <x:c r="E2233" s="16" t="str">
        <x:v>Missing email</x:v>
      </x:c>
    </x:row>
    <x:row r="2234">
      <x:c r="A2234" s="16" t="n">
        <x:v>2275</x:v>
      </x:c>
      <x:c r="B2234" s="16" t="str">
        <x:v>Eswandy Cgat</x:v>
      </x:c>
      <x:c r="C2234" s="16" t="str"/>
      <x:c r="D2234" s="16" t="str">
        <x:v>* myContacts</x:v>
      </x:c>
      <x:c r="E2234" s="16" t="str">
        <x:v>Missing email</x:v>
      </x:c>
    </x:row>
    <x:row r="2235">
      <x:c r="A2235" s="16" t="n">
        <x:v>2276</x:v>
      </x:c>
      <x:c r="B2235" s="16" t="str">
        <x:v>Etik Wihayati</x:v>
      </x:c>
      <x:c r="C2235" s="16" t="str"/>
      <x:c r="D2235" s="16" t="str">
        <x:v>* myContacts</x:v>
      </x:c>
      <x:c r="E2235" s="16" t="str">
        <x:v>Missing email</x:v>
      </x:c>
    </x:row>
    <x:row r="2236">
      <x:c r="A2236" s="16" t="n">
        <x:v>2277</x:v>
      </x:c>
      <x:c r="B2236" s="16" t="str">
        <x:v>Eton Polis</x:v>
      </x:c>
      <x:c r="C2236" s="16" t="str"/>
      <x:c r="D2236" s="16" t="str">
        <x:v>* myContacts</x:v>
      </x:c>
      <x:c r="E2236" s="16" t="str">
        <x:v>Missing email</x:v>
      </x:c>
    </x:row>
    <x:row r="2237">
      <x:c r="A2237" s="16" t="n">
        <x:v>2278</x:v>
      </x:c>
      <x:c r="B2237" s="16" t="str">
        <x:v>Etumax Royal Honey</x:v>
      </x:c>
      <x:c r="C2237" s="16" t="str"/>
      <x:c r="D2237" s="16" t="str">
        <x:v>* myContacts</x:v>
      </x:c>
      <x:c r="E2237" s="16" t="str">
        <x:v>Missing email</x:v>
      </x:c>
    </x:row>
    <x:row r="2238">
      <x:c r="A2238" s="16" t="n">
        <x:v>2279</x:v>
      </x:c>
      <x:c r="B2238" s="16" t="str">
        <x:v>Eu Abdul Fatah Z 130823</x:v>
      </x:c>
      <x:c r="C2238" s="16" t="str"/>
      <x:c r="D2238" s="16" t="str">
        <x:v>Alumni eUsahawan | * myContacts</x:v>
      </x:c>
      <x:c r="E2238" s="16" t="str">
        <x:v>Missing email</x:v>
      </x:c>
    </x:row>
    <x:row r="2239">
      <x:c r="A2239" s="16" t="n">
        <x:v>2280</x:v>
      </x:c>
      <x:c r="B2239" s="16" t="str">
        <x:v>eu abdul rahim z 060823</x:v>
      </x:c>
      <x:c r="C2239" s="16" t="str"/>
      <x:c r="D2239" s="16" t="str">
        <x:v>Alumni eUsahawan | * myContacts</x:v>
      </x:c>
      <x:c r="E2239" s="16" t="str">
        <x:v>Missing email</x:v>
      </x:c>
    </x:row>
    <x:row r="2240">
      <x:c r="A2240" s="16" t="n">
        <x:v>2282</x:v>
      </x:c>
      <x:c r="B2240" s="16" t="str">
        <x:v>Eu Adib Z 130823</x:v>
      </x:c>
      <x:c r="C2240" s="16" t="str"/>
      <x:c r="D2240" s="16" t="str">
        <x:v>Alumni eUsahawan | * myContacts</x:v>
      </x:c>
      <x:c r="E2240" s="16" t="str">
        <x:v>Missing email</x:v>
      </x:c>
    </x:row>
    <x:row r="2241">
      <x:c r="A2241" s="16" t="n">
        <x:v>2283</x:v>
      </x:c>
      <x:c r="B2241" s="16" t="str">
        <x:v>eu adibah z 060823</x:v>
      </x:c>
      <x:c r="C2241" s="16" t="str"/>
      <x:c r="D2241" s="16" t="str">
        <x:v>Alumni eUsahawan | * myContacts</x:v>
      </x:c>
      <x:c r="E2241" s="16" t="str">
        <x:v>Missing email</x:v>
      </x:c>
    </x:row>
    <x:row r="2242">
      <x:c r="A2242" s="16" t="n">
        <x:v>2285</x:v>
      </x:c>
      <x:c r="B2242" s="16" t="str">
        <x:v>Eu Ahmad Amir Z 130823</x:v>
      </x:c>
      <x:c r="C2242" s="16" t="str"/>
      <x:c r="D2242" s="16" t="str">
        <x:v>Alumni eUsahawan | * myContacts</x:v>
      </x:c>
      <x:c r="E2242" s="16" t="str">
        <x:v>Missing email</x:v>
      </x:c>
    </x:row>
    <x:row r="2243">
      <x:c r="A2243" s="16" t="n">
        <x:v>2286</x:v>
      </x:c>
      <x:c r="B2243" s="16" t="str">
        <x:v>Eu Ahmad Basyir Z 130823</x:v>
      </x:c>
      <x:c r="C2243" s="16" t="str"/>
      <x:c r="D2243" s="16" t="str">
        <x:v>Alumni eUsahawan | * myContacts</x:v>
      </x:c>
      <x:c r="E2243" s="16" t="str">
        <x:v>Missing email</x:v>
      </x:c>
    </x:row>
    <x:row r="2244">
      <x:c r="A2244" s="16" t="n">
        <x:v>2290</x:v>
      </x:c>
      <x:c r="B2244" s="16" t="str">
        <x:v>Eu Ahmad Z 130823</x:v>
      </x:c>
      <x:c r="C2244" s="16" t="str"/>
      <x:c r="D2244" s="16" t="str">
        <x:v>Alumni eUsahawan | * myContacts</x:v>
      </x:c>
      <x:c r="E2244" s="16" t="str">
        <x:v>Missing email</x:v>
      </x:c>
    </x:row>
    <x:row r="2245">
      <x:c r="A2245" s="16" t="n">
        <x:v>2291</x:v>
      </x:c>
      <x:c r="B2245" s="16" t="str">
        <x:v>Eu Ahmad Zakwan Z 130823</x:v>
      </x:c>
      <x:c r="C2245" s="16" t="str"/>
      <x:c r="D2245" s="16" t="str">
        <x:v>Alumni eUsahawan | * myContacts</x:v>
      </x:c>
      <x:c r="E2245" s="16" t="str">
        <x:v>Missing email</x:v>
      </x:c>
    </x:row>
    <x:row r="2246">
      <x:c r="A2246" s="16" t="n">
        <x:v>2293</x:v>
      </x:c>
      <x:c r="B2246" s="16" t="str">
        <x:v>eu alisa malini 18112023</x:v>
      </x:c>
      <x:c r="C2246" s="16" t="str"/>
      <x:c r="D2246" s="16" t="str">
        <x:v>Alumni eUsahawan | * myContacts</x:v>
      </x:c>
      <x:c r="E2246" s="16" t="str">
        <x:v>Missing email</x:v>
      </x:c>
    </x:row>
    <x:row r="2247">
      <x:c r="A2247" s="16" t="n">
        <x:v>2294</x:v>
      </x:c>
      <x:c r="B2247" s="16" t="str">
        <x:v>Eu Amir Husni Z 130823</x:v>
      </x:c>
      <x:c r="C2247" s="16" t="str"/>
      <x:c r="D2247" s="16" t="str">
        <x:v>Alumni eUsahawan | * myContacts</x:v>
      </x:c>
      <x:c r="E2247" s="16" t="str">
        <x:v>Missing email</x:v>
      </x:c>
    </x:row>
    <x:row r="2248">
      <x:c r="A2248" s="16" t="n">
        <x:v>2295</x:v>
      </x:c>
      <x:c r="B2248" s="16" t="str">
        <x:v>eu amirah hawa z 060823</x:v>
      </x:c>
      <x:c r="C2248" s="16" t="str"/>
      <x:c r="D2248" s="16" t="str">
        <x:v>Alumni eUsahawan | * myContacts</x:v>
      </x:c>
      <x:c r="E2248" s="16" t="str">
        <x:v>Missing email</x:v>
      </x:c>
    </x:row>
    <x:row r="2249">
      <x:c r="A2249" s="16" t="n">
        <x:v>2296</x:v>
      </x:c>
      <x:c r="B2249" s="16" t="str">
        <x:v>Eu Amiza Z 170823</x:v>
      </x:c>
      <x:c r="C2249" s="16" t="str"/>
      <x:c r="D2249" s="16" t="str">
        <x:v>Alumni eUsahawan | * myContacts</x:v>
      </x:c>
      <x:c r="E2249" s="16" t="str">
        <x:v>Missing email</x:v>
      </x:c>
    </x:row>
    <x:row r="2250">
      <x:c r="A2250" s="16" t="n">
        <x:v>2299</x:v>
      </x:c>
      <x:c r="B2250" s="16" t="str">
        <x:v>eu anis nabilah z 060823</x:v>
      </x:c>
      <x:c r="C2250" s="16" t="str"/>
      <x:c r="D2250" s="16" t="str">
        <x:v>Alumni eUsahawan | * myContacts</x:v>
      </x:c>
      <x:c r="E2250" s="16" t="str">
        <x:v>Missing email</x:v>
      </x:c>
    </x:row>
    <x:row r="2251">
      <x:c r="A2251" s="16" t="n">
        <x:v>2300</x:v>
      </x:c>
      <x:c r="B2251" s="16" t="str">
        <x:v>eu anuar z 060823</x:v>
      </x:c>
      <x:c r="C2251" s="16" t="str"/>
      <x:c r="D2251" s="16" t="str">
        <x:v>Alumni eUsahawan | * myContacts</x:v>
      </x:c>
      <x:c r="E2251" s="16" t="str">
        <x:v>Missing email</x:v>
      </x:c>
    </x:row>
    <x:row r="2252">
      <x:c r="A2252" s="16" t="n">
        <x:v>2301</x:v>
      </x:c>
      <x:c r="B2252" s="16" t="str">
        <x:v>Eu Ayu Wanni Z 130823</x:v>
      </x:c>
      <x:c r="C2252" s="16" t="str"/>
      <x:c r="D2252" s="16" t="str">
        <x:v>Alumni eUsahawan | * myContacts</x:v>
      </x:c>
      <x:c r="E2252" s="16" t="str">
        <x:v>Missing email</x:v>
      </x:c>
    </x:row>
    <x:row r="2253">
      <x:c r="A2253" s="16" t="n">
        <x:v>2302</x:v>
      </x:c>
      <x:c r="B2253" s="16" t="str">
        <x:v>Eu Azizul Z 130823</x:v>
      </x:c>
      <x:c r="C2253" s="16" t="str"/>
      <x:c r="D2253" s="16" t="str">
        <x:v>Alumni eUsahawan | * myContacts</x:v>
      </x:c>
      <x:c r="E2253" s="16" t="str">
        <x:v>Missing email</x:v>
      </x:c>
    </x:row>
    <x:row r="2254">
      <x:c r="A2254" s="16" t="n">
        <x:v>2303</x:v>
      </x:c>
      <x:c r="B2254" s="16" t="str">
        <x:v>eu azlan z 060823</x:v>
      </x:c>
      <x:c r="C2254" s="16" t="str"/>
      <x:c r="D2254" s="16" t="str">
        <x:v>Alumni eUsahawan | * myContacts</x:v>
      </x:c>
      <x:c r="E2254" s="16" t="str">
        <x:v>Missing email</x:v>
      </x:c>
    </x:row>
    <x:row r="2255">
      <x:c r="A2255" s="16" t="n">
        <x:v>2304</x:v>
      </x:c>
      <x:c r="B2255" s="16" t="str">
        <x:v>eu azmawati z 060823</x:v>
      </x:c>
      <x:c r="C2255" s="16" t="str"/>
      <x:c r="D2255" s="16" t="str">
        <x:v>Alumni eUsahawan | * myContacts</x:v>
      </x:c>
      <x:c r="E2255" s="16" t="str">
        <x:v>Missing email</x:v>
      </x:c>
    </x:row>
    <x:row r="2256">
      <x:c r="A2256" s="16" t="n">
        <x:v>2305</x:v>
      </x:c>
      <x:c r="B2256" s="16" t="str">
        <x:v>Eu Balinda Shasha Z 170823</x:v>
      </x:c>
      <x:c r="C2256" s="16" t="str"/>
      <x:c r="D2256" s="16" t="str">
        <x:v>Alumni eUsahawan | * myContacts</x:v>
      </x:c>
      <x:c r="E2256" s="16" t="str">
        <x:v>Missing email</x:v>
      </x:c>
    </x:row>
    <x:row r="2257">
      <x:c r="A2257" s="16" t="n">
        <x:v>2306</x:v>
      </x:c>
      <x:c r="B2257" s="16" t="str">
        <x:v>Eu bibi sunita Z 170823</x:v>
      </x:c>
      <x:c r="C2257" s="16" t="str"/>
      <x:c r="D2257" s="16" t="str">
        <x:v>Alumni eUsahawan | * myContacts</x:v>
      </x:c>
      <x:c r="E2257" s="16" t="str">
        <x:v>Missing email</x:v>
      </x:c>
    </x:row>
    <x:row r="2258">
      <x:c r="A2258" s="16" t="n">
        <x:v>2307</x:v>
      </x:c>
      <x:c r="B2258" s="16" t="str">
        <x:v>Eu Che Syafatin Z 130823</x:v>
      </x:c>
      <x:c r="C2258" s="16" t="str"/>
      <x:c r="D2258" s="16" t="str">
        <x:v>Alumni eUsahawan | * myContacts</x:v>
      </x:c>
      <x:c r="E2258" s="16" t="str">
        <x:v>Missing email</x:v>
      </x:c>
    </x:row>
    <x:row r="2259">
      <x:c r="A2259" s="16" t="n">
        <x:v>2308</x:v>
      </x:c>
      <x:c r="B2259" s="16" t="str">
        <x:v>Eu Ellyaherny Z 130823</x:v>
      </x:c>
      <x:c r="C2259" s="16" t="str"/>
      <x:c r="D2259" s="16" t="str">
        <x:v>Alumni eUsahawan | * myContacts</x:v>
      </x:c>
      <x:c r="E2259" s="16" t="str">
        <x:v>Missing email</x:v>
      </x:c>
    </x:row>
    <x:row r="2260">
      <x:c r="A2260" s="16" t="n">
        <x:v>2309</x:v>
      </x:c>
      <x:c r="B2260" s="16" t="str">
        <x:v>Eu Emilia Z 170823</x:v>
      </x:c>
      <x:c r="C2260" s="16" t="str"/>
      <x:c r="D2260" s="16" t="str">
        <x:v>Alumni eUsahawan | * myContacts</x:v>
      </x:c>
      <x:c r="E2260" s="16" t="str">
        <x:v>Missing email</x:v>
      </x:c>
    </x:row>
    <x:row r="2261">
      <x:c r="A2261" s="16" t="n">
        <x:v>2311</x:v>
      </x:c>
      <x:c r="B2261" s="16" t="str">
        <x:v>Eu Faezah Z 130823</x:v>
      </x:c>
      <x:c r="C2261" s="16" t="str"/>
      <x:c r="D2261" s="16" t="str">
        <x:v>Alumni eUsahawan | * myContacts</x:v>
      </x:c>
      <x:c r="E2261" s="16" t="str">
        <x:v>Missing email</x:v>
      </x:c>
    </x:row>
    <x:row r="2262">
      <x:c r="A2262" s="16" t="n">
        <x:v>2312</x:v>
      </x:c>
      <x:c r="B2262" s="16" t="str">
        <x:v>Eu Faizal Z 130823</x:v>
      </x:c>
      <x:c r="C2262" s="16" t="str"/>
      <x:c r="D2262" s="16" t="str">
        <x:v>Alumni eUsahawan | * myContacts</x:v>
      </x:c>
      <x:c r="E2262" s="16" t="str">
        <x:v>Missing email</x:v>
      </x:c>
    </x:row>
    <x:row r="2263">
      <x:c r="A2263" s="16" t="n">
        <x:v>2313</x:v>
      </x:c>
      <x:c r="B2263" s="16" t="str">
        <x:v>Eu Farhana Low Z 130823</x:v>
      </x:c>
      <x:c r="C2263" s="16" t="str"/>
      <x:c r="D2263" s="16" t="str">
        <x:v>Alumni eUsahawan | * myContacts</x:v>
      </x:c>
      <x:c r="E2263" s="16" t="str">
        <x:v>Missing email</x:v>
      </x:c>
    </x:row>
    <x:row r="2264">
      <x:c r="A2264" s="16" t="n">
        <x:v>2314</x:v>
      </x:c>
      <x:c r="B2264" s="16" t="str">
        <x:v>Eu Farhana z 170823</x:v>
      </x:c>
      <x:c r="C2264" s="16" t="str"/>
      <x:c r="D2264" s="16" t="str">
        <x:v>Alumni eUsahawan | * myContacts</x:v>
      </x:c>
      <x:c r="E2264" s="16" t="str">
        <x:v>Missing email</x:v>
      </x:c>
    </x:row>
    <x:row r="2265">
      <x:c r="A2265" s="16" t="n">
        <x:v>2316</x:v>
      </x:c>
      <x:c r="B2265" s="16" t="str">
        <x:v>eu fazeli 04112023</x:v>
      </x:c>
      <x:c r="C2265" s="16" t="str"/>
      <x:c r="D2265" s="16" t="str">
        <x:v>Alumni eUsahawan | * myContacts</x:v>
      </x:c>
      <x:c r="E2265" s="16" t="str">
        <x:v>Missing email</x:v>
      </x:c>
    </x:row>
    <x:row r="2266">
      <x:c r="A2266" s="16" t="n">
        <x:v>2317</x:v>
      </x:c>
      <x:c r="B2266" s="16" t="str">
        <x:v>Eu Hafiz Najmi Z 170823</x:v>
      </x:c>
      <x:c r="C2266" s="16" t="str"/>
      <x:c r="D2266" s="16" t="str">
        <x:v>Alumni eUsahawan | * myContacts</x:v>
      </x:c>
      <x:c r="E2266" s="16" t="str">
        <x:v>Missing email</x:v>
      </x:c>
    </x:row>
    <x:row r="2267">
      <x:c r="A2267" s="16" t="n">
        <x:v>2318</x:v>
      </x:c>
      <x:c r="B2267" s="16" t="str">
        <x:v>Eu Hafizul Aziz Z 170823</x:v>
      </x:c>
      <x:c r="C2267" s="16" t="str"/>
      <x:c r="D2267" s="16" t="str">
        <x:v>Alumni eUsahawan | * myContacts</x:v>
      </x:c>
      <x:c r="E2267" s="16" t="str">
        <x:v>Missing email</x:v>
      </x:c>
    </x:row>
    <x:row r="2268">
      <x:c r="A2268" s="16" t="n">
        <x:v>2319</x:v>
      </x:c>
      <x:c r="B2268" s="16" t="str">
        <x:v>eu hakimi z 060823</x:v>
      </x:c>
      <x:c r="C2268" s="16" t="str"/>
      <x:c r="D2268" s="16" t="str">
        <x:v>Alumni eUsahawan | * myContacts</x:v>
      </x:c>
      <x:c r="E2268" s="16" t="str">
        <x:v>Missing email</x:v>
      </x:c>
    </x:row>
    <x:row r="2269">
      <x:c r="A2269" s="16" t="n">
        <x:v>2320</x:v>
      </x:c>
      <x:c r="B2269" s="16" t="str">
        <x:v>eu hamizah z 060823</x:v>
      </x:c>
      <x:c r="C2269" s="16" t="str"/>
      <x:c r="D2269" s="16" t="str">
        <x:v>Alumni eUsahawan | * myContacts</x:v>
      </x:c>
      <x:c r="E2269" s="16" t="str">
        <x:v>Missing email</x:v>
      </x:c>
    </x:row>
    <x:row r="2270">
      <x:c r="A2270" s="16" t="n">
        <x:v>2321</x:v>
      </x:c>
      <x:c r="B2270" s="16" t="str">
        <x:v>eu hanee harun z 060823</x:v>
      </x:c>
      <x:c r="C2270" s="16" t="str"/>
      <x:c r="D2270" s="16" t="str">
        <x:v>Alumni eUsahawan | * myContacts</x:v>
      </x:c>
      <x:c r="E2270" s="16" t="str">
        <x:v>Missing email</x:v>
      </x:c>
    </x:row>
    <x:row r="2271">
      <x:c r="A2271" s="16" t="n">
        <x:v>2324</x:v>
      </x:c>
      <x:c r="B2271" s="16" t="str">
        <x:v>eu hasrulnizam z 060823</x:v>
      </x:c>
      <x:c r="C2271" s="16" t="str"/>
      <x:c r="D2271" s="16" t="str">
        <x:v>Alumni eUsahawan | * myContacts</x:v>
      </x:c>
      <x:c r="E2271" s="16" t="str">
        <x:v>Missing email</x:v>
      </x:c>
    </x:row>
    <x:row r="2272">
      <x:c r="A2272" s="16" t="n">
        <x:v>2325</x:v>
      </x:c>
      <x:c r="B2272" s="16" t="str">
        <x:v>Eu Hazatta Z 130823</x:v>
      </x:c>
      <x:c r="C2272" s="16" t="str"/>
      <x:c r="D2272" s="16" t="str">
        <x:v>Alumni eUsahawan | * myContacts</x:v>
      </x:c>
      <x:c r="E2272" s="16" t="str">
        <x:v>Missing email</x:v>
      </x:c>
    </x:row>
    <x:row r="2273">
      <x:c r="A2273" s="16" t="n">
        <x:v>2327</x:v>
      </x:c>
      <x:c r="B2273" s="16" t="str">
        <x:v>Eu Hng Yin Mun Z 130823</x:v>
      </x:c>
      <x:c r="C2273" s="16" t="str"/>
      <x:c r="D2273" s="16" t="str">
        <x:v>Alumni eUsahawan | * myContacts</x:v>
      </x:c>
      <x:c r="E2273" s="16" t="str">
        <x:v>Missing email</x:v>
      </x:c>
    </x:row>
    <x:row r="2274">
      <x:c r="A2274" s="16" t="n">
        <x:v>2329</x:v>
      </x:c>
      <x:c r="B2274" s="16" t="str">
        <x:v>Eu Izhar Z 130823</x:v>
      </x:c>
      <x:c r="C2274" s="16" t="str"/>
      <x:c r="D2274" s="16" t="str">
        <x:v>Alumni eUsahawan | * myContacts</x:v>
      </x:c>
      <x:c r="E2274" s="16" t="str">
        <x:v>Missing email</x:v>
      </x:c>
    </x:row>
    <x:row r="2275">
      <x:c r="A2275" s="16" t="n">
        <x:v>2331</x:v>
      </x:c>
      <x:c r="B2275" s="16" t="str">
        <x:v>Eu Jad Hanif Z 130823</x:v>
      </x:c>
      <x:c r="C2275" s="16" t="str"/>
      <x:c r="D2275" s="16" t="str">
        <x:v>Alumni eUsahawan | * myContacts</x:v>
      </x:c>
      <x:c r="E2275" s="16" t="str">
        <x:v>Missing email</x:v>
      </x:c>
    </x:row>
    <x:row r="2276">
      <x:c r="A2276" s="16" t="n">
        <x:v>2333</x:v>
      </x:c>
      <x:c r="B2276" s="16" t="str">
        <x:v>eu khairunnisaa z 060823</x:v>
      </x:c>
      <x:c r="C2276" s="16" t="str"/>
      <x:c r="D2276" s="16" t="str">
        <x:v>Alumni eUsahawan | * myContacts</x:v>
      </x:c>
      <x:c r="E2276" s="16" t="str">
        <x:v>Missing email</x:v>
      </x:c>
    </x:row>
    <x:row r="2277">
      <x:c r="A2277" s="16" t="n">
        <x:v>2334</x:v>
      </x:c>
      <x:c r="B2277" s="16" t="str">
        <x:v>Eu Lizah Z 170823</x:v>
      </x:c>
      <x:c r="C2277" s="16" t="str"/>
      <x:c r="D2277" s="16" t="str">
        <x:v>Alumni eUsahawan | * myContacts</x:v>
      </x:c>
      <x:c r="E2277" s="16" t="str">
        <x:v>Missing email</x:v>
      </x:c>
    </x:row>
    <x:row r="2278">
      <x:c r="A2278" s="16" t="n">
        <x:v>2335</x:v>
      </x:c>
      <x:c r="B2278" s="16" t="str">
        <x:v>eu masya z 060823</x:v>
      </x:c>
      <x:c r="C2278" s="16" t="str"/>
      <x:c r="D2278" s="16" t="str">
        <x:v>Alumni eUsahawan | * myContacts</x:v>
      </x:c>
      <x:c r="E2278" s="16" t="str">
        <x:v>Missing email</x:v>
      </x:c>
    </x:row>
    <x:row r="2279">
      <x:c r="A2279" s="16" t="n">
        <x:v>2336</x:v>
      </x:c>
      <x:c r="B2279" s="16" t="str">
        <x:v>Eu Md Azhan Z 130823</x:v>
      </x:c>
      <x:c r="C2279" s="16" t="str"/>
      <x:c r="D2279" s="16" t="str">
        <x:v>Alumni eUsahawan | * myContacts</x:v>
      </x:c>
      <x:c r="E2279" s="16" t="str">
        <x:v>Missing email</x:v>
      </x:c>
    </x:row>
    <x:row r="2280">
      <x:c r="A2280" s="16" t="n">
        <x:v>2340</x:v>
      </x:c>
      <x:c r="B2280" s="16" t="str">
        <x:v>Eu mohammad nabil Z 130823</x:v>
      </x:c>
      <x:c r="C2280" s="16" t="str"/>
      <x:c r="D2280" s="16" t="str">
        <x:v>Alumni eUsahawan | * myContacts</x:v>
      </x:c>
      <x:c r="E2280" s="16" t="str">
        <x:v>Missing email</x:v>
      </x:c>
    </x:row>
    <x:row r="2281">
      <x:c r="A2281" s="16" t="n">
        <x:v>2341</x:v>
      </x:c>
      <x:c r="B2281" s="16" t="str">
        <x:v>Eu Mohd Hirzi Z 130823</x:v>
      </x:c>
      <x:c r="C2281" s="16" t="str"/>
      <x:c r="D2281" s="16" t="str">
        <x:v>Alumni eUsahawan | * myContacts</x:v>
      </x:c>
      <x:c r="E2281" s="16" t="str">
        <x:v>Missing email</x:v>
      </x:c>
    </x:row>
    <x:row r="2282">
      <x:c r="A2282" s="16" t="n">
        <x:v>2342</x:v>
      </x:c>
      <x:c r="B2282" s="16" t="str">
        <x:v>Eu Mohd Nazrulhisham Z 130823</x:v>
      </x:c>
      <x:c r="C2282" s="16" t="str"/>
      <x:c r="D2282" s="16" t="str">
        <x:v>Alumni eUsahawan | * myContacts</x:v>
      </x:c>
      <x:c r="E2282" s="16" t="str">
        <x:v>Missing email</x:v>
      </x:c>
    </x:row>
    <x:row r="2283">
      <x:c r="A2283" s="16" t="n">
        <x:v>2344</x:v>
      </x:c>
      <x:c r="B2283" s="16" t="str">
        <x:v>eu mohd razman z 060823</x:v>
      </x:c>
      <x:c r="C2283" s="16" t="str"/>
      <x:c r="D2283" s="16" t="str">
        <x:v>* myContacts</x:v>
      </x:c>
      <x:c r="E2283" s="16" t="str">
        <x:v>Missing email</x:v>
      </x:c>
    </x:row>
    <x:row r="2284">
      <x:c r="A2284" s="16" t="n">
        <x:v>2345</x:v>
      </x:c>
      <x:c r="B2284" s="16" t="str">
        <x:v>Eu Mohd Redzuan Z 130823</x:v>
      </x:c>
      <x:c r="C2284" s="16" t="str"/>
      <x:c r="D2284" s="16" t="str">
        <x:v>Alumni eUsahawan | * myContacts</x:v>
      </x:c>
      <x:c r="E2284" s="16" t="str">
        <x:v>Missing email</x:v>
      </x:c>
    </x:row>
    <x:row r="2285">
      <x:c r="A2285" s="16" t="n">
        <x:v>2347</x:v>
      </x:c>
      <x:c r="B2285" s="16" t="str">
        <x:v>eu mohd syarif z 060823</x:v>
      </x:c>
      <x:c r="C2285" s="16" t="str"/>
      <x:c r="D2285" s="16" t="str">
        <x:v>Alumni eUsahawan | * myContacts</x:v>
      </x:c>
      <x:c r="E2285" s="16" t="str">
        <x:v>Missing email</x:v>
      </x:c>
    </x:row>
    <x:row r="2286">
      <x:c r="A2286" s="16" t="n">
        <x:v>2349</x:v>
      </x:c>
      <x:c r="B2286" s="16" t="str">
        <x:v>Eu Muhamad Afiq Z 170823</x:v>
      </x:c>
      <x:c r="C2286" s="16" t="str"/>
      <x:c r="D2286" s="16" t="str">
        <x:v>Alumni eUsahawan | * myContacts</x:v>
      </x:c>
      <x:c r="E2286" s="16" t="str">
        <x:v>Missing email</x:v>
      </x:c>
    </x:row>
    <x:row r="2287">
      <x:c r="A2287" s="16" t="n">
        <x:v>2351</x:v>
      </x:c>
      <x:c r="B2287" s="16" t="str">
        <x:v>Eu Muhamad Firdaus Z 130823</x:v>
      </x:c>
      <x:c r="C2287" s="16" t="str"/>
      <x:c r="D2287" s="16" t="str">
        <x:v>Alumni eUsahawan | * myContacts</x:v>
      </x:c>
      <x:c r="E2287" s="16" t="str">
        <x:v>Missing email</x:v>
      </x:c>
    </x:row>
    <x:row r="2288">
      <x:c r="A2288" s="16" t="n">
        <x:v>2353</x:v>
      </x:c>
      <x:c r="B2288" s="16" t="str">
        <x:v>Eu Muhamad Zulfikri Z 170823</x:v>
      </x:c>
      <x:c r="C2288" s="16" t="str"/>
      <x:c r="D2288" s="16" t="str">
        <x:v>Alumni eUsahawan | * myContacts | * starred</x:v>
      </x:c>
      <x:c r="E2288" s="16" t="str">
        <x:v>Missing email</x:v>
      </x:c>
    </x:row>
    <x:row r="2289">
      <x:c r="A2289" s="16" t="n">
        <x:v>2355</x:v>
      </x:c>
      <x:c r="B2289" s="16" t="str">
        <x:v>eu muhammad z 060823</x:v>
      </x:c>
      <x:c r="C2289" s="16" t="str"/>
      <x:c r="D2289" s="16" t="str">
        <x:v>Alumni eUsahawan | * myContacts</x:v>
      </x:c>
      <x:c r="E2289" s="16" t="str">
        <x:v>Missing email</x:v>
      </x:c>
    </x:row>
    <x:row r="2290">
      <x:c r="A2290" s="16" t="n">
        <x:v>2356</x:v>
      </x:c>
      <x:c r="B2290" s="16" t="str">
        <x:v>eu muhammad zulfakaruddin 04112023</x:v>
      </x:c>
      <x:c r="C2290" s="16" t="str"/>
      <x:c r="D2290" s="16" t="str">
        <x:v>Alumni eUsahawan | * myContacts</x:v>
      </x:c>
      <x:c r="E2290" s="16" t="str">
        <x:v>Missing email</x:v>
      </x:c>
    </x:row>
    <x:row r="2291">
      <x:c r="A2291" s="16" t="n">
        <x:v>2357</x:v>
      </x:c>
      <x:c r="B2291" s="16" t="str">
        <x:v>eu muhd helmie 04112023</x:v>
      </x:c>
      <x:c r="C2291" s="16" t="str"/>
      <x:c r="D2291" s="16" t="str">
        <x:v>Alumni eUsahawan | * myContacts</x:v>
      </x:c>
      <x:c r="E2291" s="16" t="str">
        <x:v>Missing email</x:v>
      </x:c>
    </x:row>
    <x:row r="2292">
      <x:c r="A2292" s="16" t="n">
        <x:v>2359</x:v>
      </x:c>
      <x:c r="B2292" s="16" t="str">
        <x:v>Eu Nabilah Rosney Z 130823</x:v>
      </x:c>
      <x:c r="C2292" s="16" t="str"/>
      <x:c r="D2292" s="16" t="str">
        <x:v>Alumni eUsahawan | * myContacts</x:v>
      </x:c>
      <x:c r="E2292" s="16" t="str">
        <x:v>Missing email</x:v>
      </x:c>
    </x:row>
    <x:row r="2293">
      <x:c r="A2293" s="16" t="n">
        <x:v>2360</x:v>
      </x:c>
      <x:c r="B2293" s="16" t="str">
        <x:v>Eu Nazmi Azizan Z 170823</x:v>
      </x:c>
      <x:c r="C2293" s="16" t="str"/>
      <x:c r="D2293" s="16" t="str">
        <x:v>Alumni eUsahawan | * myContacts</x:v>
      </x:c>
      <x:c r="E2293" s="16" t="str">
        <x:v>Missing email</x:v>
      </x:c>
    </x:row>
    <x:row r="2294">
      <x:c r="A2294" s="16" t="n">
        <x:v>2361</x:v>
      </x:c>
      <x:c r="B2294" s="16" t="str">
        <x:v>eu nik norsabiqah 18112023</x:v>
      </x:c>
      <x:c r="C2294" s="16" t="str"/>
      <x:c r="D2294" s="16" t="str">
        <x:v>Alumni eUsahawan | * myContacts</x:v>
      </x:c>
      <x:c r="E2294" s="16" t="str">
        <x:v>Missing email</x:v>
      </x:c>
    </x:row>
    <x:row r="2295">
      <x:c r="A2295" s="16" t="n">
        <x:v>2362</x:v>
      </x:c>
      <x:c r="B2295" s="16" t="str">
        <x:v>eu noor ashikien z 060823</x:v>
      </x:c>
      <x:c r="C2295" s="16" t="str"/>
      <x:c r="D2295" s="16" t="str">
        <x:v>Alumni eUsahawan | * myContacts</x:v>
      </x:c>
      <x:c r="E2295" s="16" t="str">
        <x:v>Missing email</x:v>
      </x:c>
    </x:row>
    <x:row r="2296">
      <x:c r="A2296" s="16" t="n">
        <x:v>2363</x:v>
      </x:c>
      <x:c r="B2296" s="16" t="str">
        <x:v>Eu Noor Azam Z 130823</x:v>
      </x:c>
      <x:c r="C2296" s="16" t="str"/>
      <x:c r="D2296" s="16" t="str">
        <x:v>Alumni eUsahawan | * myContacts</x:v>
      </x:c>
      <x:c r="E2296" s="16" t="str">
        <x:v>Missing email</x:v>
      </x:c>
    </x:row>
    <x:row r="2297">
      <x:c r="A2297" s="16" t="n">
        <x:v>2366</x:v>
      </x:c>
      <x:c r="B2297" s="16" t="str">
        <x:v>eu noorulaida z 060823</x:v>
      </x:c>
      <x:c r="C2297" s="16" t="str"/>
      <x:c r="D2297" s="16" t="str">
        <x:v>Alumni eUsahawan | * myContacts</x:v>
      </x:c>
      <x:c r="E2297" s="16" t="str">
        <x:v>Missing email</x:v>
      </x:c>
    </x:row>
    <x:row r="2298">
      <x:c r="A2298" s="16" t="n">
        <x:v>2367</x:v>
      </x:c>
      <x:c r="B2298" s="16" t="str">
        <x:v>eu nor ashikin 18112023</x:v>
      </x:c>
      <x:c r="C2298" s="16" t="str"/>
      <x:c r="D2298" s="16" t="str">
        <x:v>Alumni eUsahawan | * myContacts</x:v>
      </x:c>
      <x:c r="E2298" s="16" t="str">
        <x:v>Missing email</x:v>
      </x:c>
    </x:row>
    <x:row r="2299">
      <x:c r="A2299" s="16" t="n">
        <x:v>2369</x:v>
      </x:c>
      <x:c r="B2299" s="16" t="str">
        <x:v>Eu Nor Azian Z 130823</x:v>
      </x:c>
      <x:c r="C2299" s="16" t="str"/>
      <x:c r="D2299" s="16" t="str">
        <x:v>Alumni eUsahawan | * myContacts</x:v>
      </x:c>
      <x:c r="E2299" s="16" t="str">
        <x:v>Missing email</x:v>
      </x:c>
    </x:row>
    <x:row r="2300">
      <x:c r="A2300" s="16" t="n">
        <x:v>2370</x:v>
      </x:c>
      <x:c r="B2300" s="16" t="str">
        <x:v>eu nor farazihan z 060823</x:v>
      </x:c>
      <x:c r="C2300" s="16" t="str"/>
      <x:c r="D2300" s="16" t="str">
        <x:v>Alumni eUsahawan | * myContacts</x:v>
      </x:c>
      <x:c r="E2300" s="16" t="str">
        <x:v>Missing email</x:v>
      </x:c>
    </x:row>
    <x:row r="2301">
      <x:c r="A2301" s="16" t="n">
        <x:v>2372</x:v>
      </x:c>
      <x:c r="B2301" s="16" t="str">
        <x:v>Eu Nor Fazirah Z 170823</x:v>
      </x:c>
      <x:c r="C2301" s="16" t="str"/>
      <x:c r="D2301" s="16" t="str">
        <x:v>Alumni eUsahawan | * myContacts</x:v>
      </x:c>
      <x:c r="E2301" s="16" t="str">
        <x:v>Missing email</x:v>
      </x:c>
    </x:row>
    <x:row r="2302">
      <x:c r="A2302" s="16" t="n">
        <x:v>2375</x:v>
      </x:c>
      <x:c r="B2302" s="16" t="str">
        <x:v>Eu Norafandi Zazli Z 170823</x:v>
      </x:c>
      <x:c r="C2302" s="16" t="str"/>
      <x:c r="D2302" s="16" t="str">
        <x:v>Alumni eUsahawan | * myContacts</x:v>
      </x:c>
      <x:c r="E2302" s="16" t="str">
        <x:v>Missing email</x:v>
      </x:c>
    </x:row>
    <x:row r="2303">
      <x:c r="A2303" s="16" t="n">
        <x:v>2376</x:v>
      </x:c>
      <x:c r="B2303" s="16" t="str">
        <x:v>eu noraini z 060823</x:v>
      </x:c>
      <x:c r="C2303" s="16" t="str"/>
      <x:c r="D2303" s="16" t="str">
        <x:v>Alumni eUsahawan | * myContacts</x:v>
      </x:c>
      <x:c r="E2303" s="16" t="str">
        <x:v>Missing email</x:v>
      </x:c>
    </x:row>
    <x:row r="2304">
      <x:c r="A2304" s="16" t="n">
        <x:v>2377</x:v>
      </x:c>
      <x:c r="B2304" s="16" t="str">
        <x:v>eu noraizzam z 060823</x:v>
      </x:c>
      <x:c r="C2304" s="16" t="str"/>
      <x:c r="D2304" s="16" t="str">
        <x:v>Alumni eUsahawan | * myContacts</x:v>
      </x:c>
      <x:c r="E2304" s="16" t="str">
        <x:v>Missing email</x:v>
      </x:c>
    </x:row>
    <x:row r="2305">
      <x:c r="A2305" s="16" t="n">
        <x:v>2379</x:v>
      </x:c>
      <x:c r="B2305" s="16" t="str">
        <x:v>eu norazbaini 18112023</x:v>
      </x:c>
      <x:c r="C2305" s="16" t="str"/>
      <x:c r="D2305" s="16" t="str">
        <x:v>Alumni eUsahawan | * myContacts</x:v>
      </x:c>
      <x:c r="E2305" s="16" t="str">
        <x:v>Missing email</x:v>
      </x:c>
    </x:row>
    <x:row r="2306">
      <x:c r="A2306" s="16" t="n">
        <x:v>2380</x:v>
      </x:c>
      <x:c r="B2306" s="16" t="str">
        <x:v>eu norazian z 060823</x:v>
      </x:c>
      <x:c r="C2306" s="16" t="str"/>
      <x:c r="D2306" s="16" t="str">
        <x:v>Alumni eUsahawan | * myContacts</x:v>
      </x:c>
      <x:c r="E2306" s="16" t="str">
        <x:v>Missing email</x:v>
      </x:c>
    </x:row>
    <x:row r="2307">
      <x:c r="A2307" s="16" t="n">
        <x:v>2381</x:v>
      </x:c>
      <x:c r="B2307" s="16" t="str">
        <x:v>eu nordazilah z 060823</x:v>
      </x:c>
      <x:c r="C2307" s="16" t="str"/>
      <x:c r="D2307" s="16" t="str">
        <x:v>Alumni eUsahawan | * myContacts</x:v>
      </x:c>
      <x:c r="E2307" s="16" t="str">
        <x:v>Missing email</x:v>
      </x:c>
    </x:row>
    <x:row r="2308">
      <x:c r="A2308" s="16" t="n">
        <x:v>2382</x:v>
      </x:c>
      <x:c r="B2308" s="16" t="str">
        <x:v>eu noreha z 060823</x:v>
      </x:c>
      <x:c r="C2308" s="16" t="str"/>
      <x:c r="D2308" s="16" t="str">
        <x:v>Alumni eUsahawan | * myContacts</x:v>
      </x:c>
      <x:c r="E2308" s="16" t="str">
        <x:v>Missing email</x:v>
      </x:c>
    </x:row>
    <x:row r="2309">
      <x:c r="A2309" s="16" t="n">
        <x:v>2383</x:v>
      </x:c>
      <x:c r="B2309" s="16" t="str">
        <x:v>Eu Norhaniz Z 130823</x:v>
      </x:c>
      <x:c r="C2309" s="16" t="str"/>
      <x:c r="D2309" s="16" t="str">
        <x:v>Alumni eUsahawan | * myContacts</x:v>
      </x:c>
      <x:c r="E2309" s="16" t="str">
        <x:v>Missing email</x:v>
      </x:c>
    </x:row>
    <x:row r="2310">
      <x:c r="A2310" s="16" t="n">
        <x:v>2384</x:v>
      </x:c>
      <x:c r="B2310" s="16" t="str">
        <x:v>eu norhaslin z 060823</x:v>
      </x:c>
      <x:c r="C2310" s="16" t="str"/>
      <x:c r="D2310" s="16" t="str">
        <x:v>Alumni eUsahawan | * myContacts</x:v>
      </x:c>
      <x:c r="E2310" s="16" t="str">
        <x:v>Missing email</x:v>
      </x:c>
    </x:row>
    <x:row r="2311">
      <x:c r="A2311" s="16" t="n">
        <x:v>2386</x:v>
      </x:c>
      <x:c r="B2311" s="16" t="str">
        <x:v>eu norhayati z 060823</x:v>
      </x:c>
      <x:c r="C2311" s="16" t="str"/>
      <x:c r="D2311" s="16" t="str">
        <x:v>Alumni eUsahawan | * myContacts</x:v>
      </x:c>
      <x:c r="E2311" s="16" t="str">
        <x:v>Missing email</x:v>
      </x:c>
    </x:row>
    <x:row r="2312">
      <x:c r="A2312" s="16" t="n">
        <x:v>2387</x:v>
      </x:c>
      <x:c r="B2312" s="16" t="str">
        <x:v>eu norhuzaira z 060823</x:v>
      </x:c>
      <x:c r="C2312" s="16" t="str"/>
      <x:c r="D2312" s="16" t="str">
        <x:v>Alumni eUsahawan | * myContacts</x:v>
      </x:c>
      <x:c r="E2312" s="16" t="str">
        <x:v>Missing email</x:v>
      </x:c>
    </x:row>
    <x:row r="2313">
      <x:c r="A2313" s="16" t="n">
        <x:v>2392</x:v>
      </x:c>
      <x:c r="B2313" s="16" t="str">
        <x:v>eu nur dayana z 060823</x:v>
      </x:c>
      <x:c r="C2313" s="16" t="str"/>
      <x:c r="D2313" s="16" t="str">
        <x:v>Alumni eUsahawan | * myContacts</x:v>
      </x:c>
      <x:c r="E2313" s="16" t="str">
        <x:v>Missing email</x:v>
      </x:c>
    </x:row>
    <x:row r="2314">
      <x:c r="A2314" s="16" t="n">
        <x:v>2395</x:v>
      </x:c>
      <x:c r="B2314" s="16" t="str">
        <x:v>Eu Nur Fatihah Z 130823</x:v>
      </x:c>
      <x:c r="C2314" s="16" t="str"/>
      <x:c r="D2314" s="16" t="str">
        <x:v>Alumni eUsahawan | * myContacts</x:v>
      </x:c>
      <x:c r="E2314" s="16" t="str">
        <x:v>Missing email</x:v>
      </x:c>
    </x:row>
    <x:row r="2315">
      <x:c r="A2315" s="16" t="n">
        <x:v>2397</x:v>
      </x:c>
      <x:c r="B2315" s="16" t="str">
        <x:v>eu nur hidayatul z 060823</x:v>
      </x:c>
      <x:c r="C2315" s="16" t="str"/>
      <x:c r="D2315" s="16" t="str">
        <x:v>Alumni eUsahawan | * myContacts</x:v>
      </x:c>
      <x:c r="E2315" s="16" t="str">
        <x:v>Missing email</x:v>
      </x:c>
    </x:row>
    <x:row r="2316">
      <x:c r="A2316" s="16" t="n">
        <x:v>2398</x:v>
      </x:c>
      <x:c r="B2316" s="16" t="str">
        <x:v>eu nur syahida z 060823</x:v>
      </x:c>
      <x:c r="C2316" s="16" t="str"/>
      <x:c r="D2316" s="16" t="str">
        <x:v>Alumni eUsahawan | * myContacts</x:v>
      </x:c>
      <x:c r="E2316" s="16" t="str">
        <x:v>Missing email</x:v>
      </x:c>
    </x:row>
    <x:row r="2317">
      <x:c r="A2317" s="16" t="n">
        <x:v>2399</x:v>
      </x:c>
      <x:c r="B2317" s="16" t="str">
        <x:v>Eu Nur Syazwani Z 130823</x:v>
      </x:c>
      <x:c r="C2317" s="16" t="str"/>
      <x:c r="D2317" s="16" t="str">
        <x:v>Alumni eUsahawan | * myContacts</x:v>
      </x:c>
      <x:c r="E2317" s="16" t="str">
        <x:v>Missing email</x:v>
      </x:c>
    </x:row>
    <x:row r="2318">
      <x:c r="A2318" s="16" t="n">
        <x:v>2400</x:v>
      </x:c>
      <x:c r="B2318" s="16" t="str">
        <x:v>Eu Nur Zawin Z 130823</x:v>
      </x:c>
      <x:c r="C2318" s="16" t="str"/>
      <x:c r="D2318" s="16" t="str">
        <x:v>Alumni eUsahawan | * myContacts</x:v>
      </x:c>
      <x:c r="E2318" s="16" t="str">
        <x:v>Missing email</x:v>
      </x:c>
    </x:row>
    <x:row r="2319">
      <x:c r="A2319" s="16" t="n">
        <x:v>2403</x:v>
      </x:c>
      <x:c r="B2319" s="16" t="str">
        <x:v>Eu Nurul Anis Z 130823</x:v>
      </x:c>
      <x:c r="C2319" s="16" t="str"/>
      <x:c r="D2319" s="16" t="str">
        <x:v>Alumni eUsahawan | * myContacts</x:v>
      </x:c>
      <x:c r="E2319" s="16" t="str">
        <x:v>Missing email</x:v>
      </x:c>
    </x:row>
    <x:row r="2320">
      <x:c r="A2320" s="16" t="n">
        <x:v>2405</x:v>
      </x:c>
      <x:c r="B2320" s="16" t="str">
        <x:v>Eu Nurul Nadhira Z 130823</x:v>
      </x:c>
      <x:c r="C2320" s="16" t="str"/>
      <x:c r="D2320" s="16" t="str">
        <x:v>Alumni eUsahawan | * myContacts</x:v>
      </x:c>
      <x:c r="E2320" s="16" t="str">
        <x:v>Missing email</x:v>
      </x:c>
    </x:row>
    <x:row r="2321">
      <x:c r="A2321" s="16" t="n">
        <x:v>2406</x:v>
      </x:c>
      <x:c r="B2321" s="16" t="str">
        <x:v>Eu Nurul Natasya Z 130823</x:v>
      </x:c>
      <x:c r="C2321" s="16" t="str"/>
      <x:c r="D2321" s="16" t="str">
        <x:v>Alumni eUsahawan | * myContacts</x:v>
      </x:c>
      <x:c r="E2321" s="16" t="str">
        <x:v>Missing email</x:v>
      </x:c>
    </x:row>
    <x:row r="2322">
      <x:c r="A2322" s="16" t="n">
        <x:v>2407</x:v>
      </x:c>
      <x:c r="B2322" s="16" t="str">
        <x:v>Eu Nurul Syaqinah Z 170823</x:v>
      </x:c>
      <x:c r="C2322" s="16" t="str"/>
      <x:c r="D2322" s="16" t="str">
        <x:v>Alumni eUsahawan | * myContacts</x:v>
      </x:c>
      <x:c r="E2322" s="16" t="str">
        <x:v>Missing email</x:v>
      </x:c>
    </x:row>
    <x:row r="2323">
      <x:c r="A2323" s="16" t="n">
        <x:v>2409</x:v>
      </x:c>
      <x:c r="B2323" s="16" t="str">
        <x:v>EU PMO Ain</x:v>
      </x:c>
      <x:c r="C2323" s="16" t="str"/>
      <x:c r="D2323" s="16" t="str">
        <x:v>Alumni eUsahawan | * myContacts</x:v>
      </x:c>
      <x:c r="E2323" s="16" t="str">
        <x:v>Missing email</x:v>
      </x:c>
    </x:row>
    <x:row r="2324">
      <x:c r="A2324" s="16" t="n">
        <x:v>2410</x:v>
      </x:c>
      <x:c r="B2324" s="16" t="str">
        <x:v>eu rafi z 060823</x:v>
      </x:c>
      <x:c r="C2324" s="16" t="str"/>
      <x:c r="D2324" s="16" t="str">
        <x:v>Alumni eUsahawan | * myContacts</x:v>
      </x:c>
      <x:c r="E2324" s="16" t="str">
        <x:v>Missing email</x:v>
      </x:c>
    </x:row>
    <x:row r="2325">
      <x:c r="A2325" s="16" t="n">
        <x:v>2411</x:v>
      </x:c>
      <x:c r="B2325" s="16" t="str">
        <x:v>eu rahmat z 060823</x:v>
      </x:c>
      <x:c r="C2325" s="16" t="str"/>
      <x:c r="D2325" s="16" t="str">
        <x:v>Alumni eUsahawan | * myContacts</x:v>
      </x:c>
      <x:c r="E2325" s="16" t="str">
        <x:v>Missing email</x:v>
      </x:c>
    </x:row>
    <x:row r="2326">
      <x:c r="A2326" s="16" t="n">
        <x:v>2413</x:v>
      </x:c>
      <x:c r="B2326" s="16" t="str">
        <x:v>Eu raja khairulnisa Z 170823</x:v>
      </x:c>
      <x:c r="C2326" s="16" t="str"/>
      <x:c r="D2326" s="16" t="str">
        <x:v>Alumni eUsahawan | * myContacts</x:v>
      </x:c>
      <x:c r="E2326" s="16" t="str">
        <x:v>Missing email</x:v>
      </x:c>
    </x:row>
    <x:row r="2327">
      <x:c r="A2327" s="16" t="n">
        <x:v>2416</x:v>
      </x:c>
      <x:c r="B2327" s="16" t="str">
        <x:v>Eu Rosahairil Tan Z 130823</x:v>
      </x:c>
      <x:c r="C2327" s="16" t="str"/>
      <x:c r="D2327" s="16" t="str">
        <x:v>Alumni eUsahawan | * myContacts</x:v>
      </x:c>
      <x:c r="E2327" s="16" t="str">
        <x:v>Missing email</x:v>
      </x:c>
    </x:row>
    <x:row r="2328">
      <x:c r="A2328" s="16" t="n">
        <x:v>2418</x:v>
      </x:c>
      <x:c r="B2328" s="16" t="str">
        <x:v>Eu Rufizam Ramly Z 170823</x:v>
      </x:c>
      <x:c r="C2328" s="16" t="str"/>
      <x:c r="D2328" s="16" t="str">
        <x:v>Alumni eUsahawan | * myContacts</x:v>
      </x:c>
      <x:c r="E2328" s="16" t="str">
        <x:v>Missing email</x:v>
      </x:c>
    </x:row>
    <x:row r="2329">
      <x:c r="A2329" s="16" t="n">
        <x:v>2420</x:v>
      </x:c>
      <x:c r="B2329" s="16" t="str">
        <x:v>eu sabtiah z 060823</x:v>
      </x:c>
      <x:c r="C2329" s="16" t="str"/>
      <x:c r="D2329" s="16" t="str">
        <x:v>Alumni eUsahawan | * myContacts</x:v>
      </x:c>
      <x:c r="E2329" s="16" t="str">
        <x:v>Missing email</x:v>
      </x:c>
    </x:row>
    <x:row r="2330">
      <x:c r="A2330" s="16" t="n">
        <x:v>2421</x:v>
      </x:c>
      <x:c r="B2330" s="16" t="str">
        <x:v>eu saiful z 060823</x:v>
      </x:c>
      <x:c r="C2330" s="16" t="str"/>
      <x:c r="D2330" s="16" t="str">
        <x:v>Alumni eUsahawan | * myContacts</x:v>
      </x:c>
      <x:c r="E2330" s="16" t="str">
        <x:v>Missing email</x:v>
      </x:c>
    </x:row>
    <x:row r="2331">
      <x:c r="A2331" s="16" t="n">
        <x:v>2423</x:v>
      </x:c>
      <x:c r="B2331" s="16" t="str">
        <x:v>Eu Sarfudin Z 130823</x:v>
      </x:c>
      <x:c r="C2331" s="16" t="str"/>
      <x:c r="D2331" s="16" t="str">
        <x:v>Alumni eUsahawan | * myContacts</x:v>
      </x:c>
      <x:c r="E2331" s="16" t="str">
        <x:v>Missing email</x:v>
      </x:c>
    </x:row>
    <x:row r="2332">
      <x:c r="A2332" s="16" t="n">
        <x:v>2424</x:v>
      </x:c>
      <x:c r="B2332" s="16" t="str">
        <x:v>Eu Shafirul Azmie Z 130823</x:v>
      </x:c>
      <x:c r="C2332" s="16" t="str"/>
      <x:c r="D2332" s="16" t="str">
        <x:v>Alumni eUsahawan | * myContacts</x:v>
      </x:c>
      <x:c r="E2332" s="16" t="str">
        <x:v>Missing email</x:v>
      </x:c>
    </x:row>
    <x:row r="2333">
      <x:c r="A2333" s="16" t="n">
        <x:v>2425</x:v>
      </x:c>
      <x:c r="B2333" s="16" t="str">
        <x:v>eu siew chen ong z 060823</x:v>
      </x:c>
      <x:c r="C2333" s="16" t="str"/>
      <x:c r="D2333" s="16" t="str">
        <x:v>Alumni eUsahawan | * myContacts</x:v>
      </x:c>
      <x:c r="E2333" s="16" t="str">
        <x:v>Missing email</x:v>
      </x:c>
    </x:row>
    <x:row r="2334">
      <x:c r="A2334" s="16" t="n">
        <x:v>2426</x:v>
      </x:c>
      <x:c r="B2334" s="16" t="str">
        <x:v>Eu Siti Atiqah Z 130823</x:v>
      </x:c>
      <x:c r="C2334" s="16" t="str"/>
      <x:c r="D2334" s="16" t="str">
        <x:v>Alumni eUsahawan | * myContacts</x:v>
      </x:c>
      <x:c r="E2334" s="16" t="str">
        <x:v>Missing email</x:v>
      </x:c>
    </x:row>
    <x:row r="2335">
      <x:c r="A2335" s="16" t="n">
        <x:v>2431</x:v>
      </x:c>
      <x:c r="B2335" s="16" t="str">
        <x:v>eu siti nurulhuda z 060823</x:v>
      </x:c>
      <x:c r="C2335" s="16" t="str"/>
      <x:c r="D2335" s="16" t="str">
        <x:v>Alumni eUsahawan | * myContacts</x:v>
      </x:c>
      <x:c r="E2335" s="16" t="str">
        <x:v>Missing email</x:v>
      </x:c>
    </x:row>
    <x:row r="2336">
      <x:c r="A2336" s="16" t="n">
        <x:v>2432</x:v>
      </x:c>
      <x:c r="B2336" s="16" t="str">
        <x:v>Eu Siti Suhailey Z 130823</x:v>
      </x:c>
      <x:c r="C2336" s="16" t="str"/>
      <x:c r="D2336" s="16" t="str">
        <x:v>Alumni eUsahawan | * myContacts</x:v>
      </x:c>
      <x:c r="E2336" s="16" t="str">
        <x:v>Missing email</x:v>
      </x:c>
    </x:row>
    <x:row r="2337">
      <x:c r="A2337" s="16" t="n">
        <x:v>2434</x:v>
      </x:c>
      <x:c r="B2337" s="16" t="str">
        <x:v>eu siti zubaidah z 060823</x:v>
      </x:c>
      <x:c r="C2337" s="16" t="str"/>
      <x:c r="D2337" s="16" t="str">
        <x:v>Alumni eUsahawan | * myContacts</x:v>
      </x:c>
      <x:c r="E2337" s="16" t="str">
        <x:v>Missing email</x:v>
      </x:c>
    </x:row>
    <x:row r="2338">
      <x:c r="A2338" s="16" t="n">
        <x:v>2435</x:v>
      </x:c>
      <x:c r="B2338" s="16" t="str">
        <x:v>Eu Sopia Hanim VOE EU2023</x:v>
      </x:c>
      <x:c r="C2338" s="16" t="str"/>
      <x:c r="D2338" s="16" t="str">
        <x:v>Alumni eUsahawan | * myContacts</x:v>
      </x:c>
      <x:c r="E2338" s="16" t="str">
        <x:v>Missing email</x:v>
      </x:c>
    </x:row>
    <x:row r="2339">
      <x:c r="A2339" s="16" t="n">
        <x:v>2436</x:v>
      </x:c>
      <x:c r="B2339" s="16" t="str">
        <x:v>eu suziana 18112023</x:v>
      </x:c>
      <x:c r="C2339" s="16" t="str"/>
      <x:c r="D2339" s="16" t="str">
        <x:v>Alumni eUsahawan | * myContacts</x:v>
      </x:c>
      <x:c r="E2339" s="16" t="str">
        <x:v>Missing email</x:v>
      </x:c>
    </x:row>
    <x:row r="2340">
      <x:c r="A2340" s="16" t="n">
        <x:v>2440</x:v>
      </x:c>
      <x:c r="B2340" s="16" t="str">
        <x:v>eu umar hafidz z 060823</x:v>
      </x:c>
      <x:c r="C2340" s="16" t="str"/>
      <x:c r="D2340" s="16" t="str">
        <x:v>Alumni eUsahawan | * myContacts</x:v>
      </x:c>
      <x:c r="E2340" s="16" t="str">
        <x:v>Missing email</x:v>
      </x:c>
    </x:row>
    <x:row r="2341">
      <x:c r="A2341" s="16" t="n">
        <x:v>2442</x:v>
      </x:c>
      <x:c r="B2341" s="16" t="str">
        <x:v>Eu Wan Ibrahim Z 130823</x:v>
      </x:c>
      <x:c r="C2341" s="16" t="str"/>
      <x:c r="D2341" s="16" t="str">
        <x:v>Alumni eUsahawan | * myContacts</x:v>
      </x:c>
      <x:c r="E2341" s="16" t="str">
        <x:v>Missing email</x:v>
      </x:c>
    </x:row>
    <x:row r="2342">
      <x:c r="A2342" s="16" t="n">
        <x:v>2443</x:v>
      </x:c>
      <x:c r="B2342" s="16" t="str">
        <x:v>Eu Wan Mohd Z 130823</x:v>
      </x:c>
      <x:c r="C2342" s="16" t="str"/>
      <x:c r="D2342" s="16" t="str">
        <x:v>Alumni eUsahawan | * myContacts</x:v>
      </x:c>
      <x:c r="E2342" s="16" t="str">
        <x:v>Missing email</x:v>
      </x:c>
    </x:row>
    <x:row r="2343">
      <x:c r="A2343" s="16" t="n">
        <x:v>2444</x:v>
      </x:c>
      <x:c r="B2343" s="16" t="str">
        <x:v>Eu Wan Nur Fateehah Z 170823</x:v>
      </x:c>
      <x:c r="C2343" s="16" t="str"/>
      <x:c r="D2343" s="16" t="str">
        <x:v>Alumni eUsahawan | * myContacts</x:v>
      </x:c>
      <x:c r="E2343" s="16" t="str">
        <x:v>Missing email</x:v>
      </x:c>
    </x:row>
    <x:row r="2344">
      <x:c r="A2344" s="16" t="n">
        <x:v>2445</x:v>
      </x:c>
      <x:c r="B2344" s="16" t="str">
        <x:v>eu wan zarifah z 060823</x:v>
      </x:c>
      <x:c r="C2344" s="16" t="str"/>
      <x:c r="D2344" s="16" t="str">
        <x:v>Alumni eUsahawan | * myContacts</x:v>
      </x:c>
      <x:c r="E2344" s="16" t="str">
        <x:v>Missing email</x:v>
      </x:c>
    </x:row>
    <x:row r="2345">
      <x:c r="A2345" s="16" t="n">
        <x:v>2447</x:v>
      </x:c>
      <x:c r="B2345" s="16" t="str">
        <x:v>Eu Yeow Xin Zhao Z 170823</x:v>
      </x:c>
      <x:c r="C2345" s="16" t="str"/>
      <x:c r="D2345" s="16" t="str">
        <x:v>Alumni eUsahawan | * myContacts</x:v>
      </x:c>
      <x:c r="E2345" s="16" t="str">
        <x:v>Missing email</x:v>
      </x:c>
    </x:row>
    <x:row r="2346">
      <x:c r="A2346" s="16" t="n">
        <x:v>2450</x:v>
      </x:c>
      <x:c r="B2346" s="16" t="str">
        <x:v>Eu Zulkifli Ahmad Z 130823</x:v>
      </x:c>
      <x:c r="C2346" s="16" t="str"/>
      <x:c r="D2346" s="16" t="str">
        <x:v>Alumni eUsahawan | * myContacts</x:v>
      </x:c>
      <x:c r="E2346" s="16" t="str">
        <x:v>Missing email</x:v>
      </x:c>
    </x:row>
    <x:row r="2347">
      <x:c r="A2347" s="16" t="n">
        <x:v>2452</x:v>
      </x:c>
      <x:c r="B2347" s="16" t="str">
        <x:v>eUsahawan Hakim Danapalan</x:v>
      </x:c>
      <x:c r="C2347" s="16" t="str"/>
      <x:c r="D2347" s="16" t="str">
        <x:v>Alumni eUsahawan | * myContacts</x:v>
      </x:c>
      <x:c r="E2347" s="16" t="str">
        <x:v>Missing email</x:v>
      </x:c>
    </x:row>
    <x:row r="2348">
      <x:c r="A2348" s="16" t="n">
        <x:v>2453</x:v>
      </x:c>
      <x:c r="B2348" s="16" t="str">
        <x:v>Eusoff Green garage</x:v>
      </x:c>
      <x:c r="C2348" s="16" t="str"/>
      <x:c r="D2348" s="16" t="str">
        <x:v>* myContacts</x:v>
      </x:c>
      <x:c r="E2348" s="16" t="str">
        <x:v>Missing email</x:v>
      </x:c>
    </x:row>
    <x:row r="2349">
      <x:c r="A2349" s="16" t="n">
        <x:v>2454</x:v>
      </x:c>
      <x:c r="B2349" s="16" t="str">
        <x:v>EUZOOM Syed Munif 180923</x:v>
      </x:c>
      <x:c r="C2349" s="16" t="str"/>
      <x:c r="D2349" s="16" t="str">
        <x:v>* myContacts</x:v>
      </x:c>
      <x:c r="E2349" s="16" t="str">
        <x:v>Missing email</x:v>
      </x:c>
    </x:row>
    <x:row r="2350">
      <x:c r="A2350" s="16" t="n">
        <x:v>2455</x:v>
      </x:c>
      <x:c r="B2350" s="16" t="str">
        <x:v>Evellyn</x:v>
      </x:c>
      <x:c r="C2350" s="16" t="str"/>
      <x:c r="D2350" s="16" t="str">
        <x:v>* myContacts</x:v>
      </x:c>
      <x:c r="E2350" s="16" t="str">
        <x:v>Missing email</x:v>
      </x:c>
    </x:row>
    <x:row r="2351">
      <x:c r="A2351" s="16" t="n">
        <x:v>2456</x:v>
      </x:c>
      <x:c r="B2351" s="16" t="str">
        <x:v>event bijak bicara</x:v>
      </x:c>
      <x:c r="C2351" s="16" t="str"/>
      <x:c r="D2351" s="16" t="str">
        <x:v>* myContacts</x:v>
      </x:c>
      <x:c r="E2351" s="16" t="str">
        <x:v>Missing email</x:v>
      </x:c>
    </x:row>
    <x:row r="2352">
      <x:c r="A2352" s="16" t="n">
        <x:v>2457</x:v>
      </x:c>
      <x:c r="B2352" s="16" t="str">
        <x:v>Evisunarti</x:v>
      </x:c>
      <x:c r="C2352" s="16" t="str"/>
      <x:c r="D2352" s="16" t="str">
        <x:v>* myContacts</x:v>
      </x:c>
      <x:c r="E2352" s="16" t="str">
        <x:v>Missing email</x:v>
      </x:c>
    </x:row>
    <x:row r="2353">
      <x:c r="A2353" s="16" t="n">
        <x:v>2458</x:v>
      </x:c>
      <x:c r="B2353" s="16" t="str">
        <x:v>Ewan Jny</x:v>
      </x:c>
      <x:c r="C2353" s="16" t="str"/>
      <x:c r="D2353" s="16" t="str">
        <x:v>* myContacts</x:v>
      </x:c>
      <x:c r="E2353" s="16" t="str">
        <x:v>Missing email</x:v>
      </x:c>
    </x:row>
    <x:row r="2354">
      <x:c r="A2354" s="16" t="n">
        <x:v>2459</x:v>
      </x:c>
      <x:c r="B2354" s="16" t="str">
        <x:v>Exaf Resources</x:v>
      </x:c>
      <x:c r="C2354" s="16" t="str"/>
      <x:c r="D2354" s="16" t="str">
        <x:v>* myContacts</x:v>
      </x:c>
      <x:c r="E2354" s="16" t="str">
        <x:v>Missing email</x:v>
      </x:c>
    </x:row>
    <x:row r="2355">
      <x:c r="A2355" s="16" t="n">
        <x:v>2460</x:v>
      </x:c>
      <x:c r="B2355" s="16" t="str">
        <x:v>ExcelGain Hardware</x:v>
      </x:c>
      <x:c r="C2355" s="16" t="str"/>
      <x:c r="D2355" s="16" t="str">
        <x:v>* myContacts</x:v>
      </x:c>
      <x:c r="E2355" s="16" t="str">
        <x:v>Missing email</x:v>
      </x:c>
    </x:row>
    <x:row r="2356">
      <x:c r="A2356" s="16" t="n">
        <x:v>2461</x:v>
      </x:c>
      <x:c r="B2356" s="16" t="str">
        <x:v>ExclusivePerfume Elizad Sharifuddin</x:v>
      </x:c>
      <x:c r="C2356" s="16" t="str"/>
      <x:c r="D2356" s="16" t="str">
        <x:v>* myContacts</x:v>
      </x:c>
      <x:c r="E2356" s="16" t="str">
        <x:v>Missing email</x:v>
      </x:c>
    </x:row>
    <x:row r="2357">
      <x:c r="A2357" s="16" t="n">
        <x:v>2462</x:v>
      </x:c>
      <x:c r="B2357" s="16" t="str">
        <x:v>Executive Program FAIZUL IMRAN @ ALANG</x:v>
      </x:c>
      <x:c r="C2357" s="16" t="str"/>
      <x:c r="D2357" s="16" t="str">
        <x:v>* myContacts</x:v>
      </x:c>
      <x:c r="E2357" s="16" t="str">
        <x:v>Missing email</x:v>
      </x:c>
    </x:row>
    <x:row r="2358">
      <x:c r="A2358" s="16" t="n">
        <x:v>2463</x:v>
      </x:c>
      <x:c r="B2358" s="16" t="str">
        <x:v>EyCa Oyo Oyo</x:v>
      </x:c>
      <x:c r="C2358" s="16" t="str"/>
      <x:c r="D2358" s="16" t="str">
        <x:v>* myContacts</x:v>
      </x:c>
      <x:c r="E2358" s="16" t="str">
        <x:v>Missing email</x:v>
      </x:c>
    </x:row>
    <x:row r="2359">
      <x:c r="A2359" s="16" t="n">
        <x:v>2464</x:v>
      </x:c>
      <x:c r="B2359" s="16" t="str">
        <x:v>Eyda PA PA</x:v>
      </x:c>
      <x:c r="C2359" s="16" t="str"/>
      <x:c r="D2359" s="16" t="str">
        <x:v>* myContacts</x:v>
      </x:c>
      <x:c r="E2359" s="16" t="str">
        <x:v>Missing email</x:v>
      </x:c>
    </x:row>
    <x:row r="2360">
      <x:c r="A2360" s="16" t="n">
        <x:v>2465</x:v>
      </x:c>
      <x:c r="B2360" s="16" t="str">
        <x:v>Eydaa Noraida</x:v>
      </x:c>
      <x:c r="C2360" s="16" t="str"/>
      <x:c r="D2360" s="16" t="str">
        <x:v>* myContacts</x:v>
      </x:c>
      <x:c r="E2360" s="16" t="str">
        <x:v>Missing email</x:v>
      </x:c>
    </x:row>
    <x:row r="2361">
      <x:c r="A2361" s="16" t="n">
        <x:v>2466</x:v>
      </x:c>
      <x:c r="B2361" s="16" t="str">
        <x:v>Eyemake PG Karpal Singh</x:v>
      </x:c>
      <x:c r="C2361" s="16" t="str"/>
      <x:c r="D2361" s="16" t="str">
        <x:v>* myContacts</x:v>
      </x:c>
      <x:c r="E2361" s="16" t="str">
        <x:v>Missing email</x:v>
      </x:c>
    </x:row>
    <x:row r="2362">
      <x:c r="A2362" s="16" t="n">
        <x:v>2467</x:v>
      </x:c>
      <x:c r="B2362" s="16" t="str">
        <x:v>Eyfa NorArfah</x:v>
      </x:c>
      <x:c r="C2362" s="16" t="str"/>
      <x:c r="D2362" s="16" t="str">
        <x:v>* myContacts</x:v>
      </x:c>
      <x:c r="E2362" s="16" t="str">
        <x:v>Missing email</x:v>
      </x:c>
    </x:row>
    <x:row r="2363">
      <x:c r="A2363" s="16" t="n">
        <x:v>2468</x:v>
      </x:c>
      <x:c r="B2363" s="16" t="str">
        <x:v>Eyka Essens Agent Rompin Paàhang</x:v>
      </x:c>
      <x:c r="C2363" s="16" t="str"/>
      <x:c r="D2363" s="16" t="str">
        <x:v>* myContacts</x:v>
      </x:c>
      <x:c r="E2363" s="16" t="str">
        <x:v>Missing email</x:v>
      </x:c>
    </x:row>
    <x:row r="2364">
      <x:c r="A2364" s="16" t="n">
        <x:v>2469</x:v>
      </x:c>
      <x:c r="B2364" s="16" t="str">
        <x:v>Eyka Mieca</x:v>
      </x:c>
      <x:c r="C2364" s="16" t="str"/>
      <x:c r="D2364" s="16" t="str">
        <x:v>* myContacts</x:v>
      </x:c>
      <x:c r="E2364" s="16" t="str">
        <x:v>Missing email</x:v>
      </x:c>
    </x:row>
    <x:row r="2365">
      <x:c r="A2365" s="16" t="n">
        <x:v>2470</x:v>
      </x:c>
      <x:c r="B2365" s="16" t="str">
        <x:v>Eyka Syazrina</x:v>
      </x:c>
      <x:c r="C2365" s="16" t="str"/>
      <x:c r="D2365" s="16" t="str">
        <x:v>* myContacts</x:v>
      </x:c>
      <x:c r="E2365" s="16" t="str">
        <x:v>Missing email</x:v>
      </x:c>
    </x:row>
    <x:row r="2366">
      <x:c r="A2366" s="16" t="n">
        <x:v>2471</x:v>
      </x:c>
      <x:c r="B2366" s="16" t="str">
        <x:v>Eykin Hasikin Ekin</x:v>
      </x:c>
      <x:c r="C2366" s="16" t="str"/>
      <x:c r="D2366" s="16" t="str">
        <x:v>* myContacts</x:v>
      </x:c>
      <x:c r="E2366" s="16" t="str">
        <x:v>Missing email</x:v>
      </x:c>
    </x:row>
    <x:row r="2367">
      <x:c r="A2367" s="16" t="n">
        <x:v>2472</x:v>
      </x:c>
      <x:c r="B2367" s="16" t="str">
        <x:v>Eyla Bcs</x:v>
      </x:c>
      <x:c r="C2367" s="16" t="str"/>
      <x:c r="D2367" s="16" t="str">
        <x:v>* myContacts</x:v>
      </x:c>
      <x:c r="E2367" s="16" t="str">
        <x:v>Missing email</x:v>
      </x:c>
    </x:row>
    <x:row r="2368">
      <x:c r="A2368" s="16" t="n">
        <x:v>2473</x:v>
      </x:c>
      <x:c r="B2368" s="16" t="str">
        <x:v>Eyla Dinzniey</x:v>
      </x:c>
      <x:c r="C2368" s="16" t="str"/>
      <x:c r="D2368" s="16" t="str">
        <x:v>* myContacts</x:v>
      </x:c>
      <x:c r="E2368" s="16" t="str">
        <x:v>Missing email</x:v>
      </x:c>
    </x:row>
    <x:row r="2369">
      <x:c r="A2369" s="16" t="n">
        <x:v>2474</x:v>
      </x:c>
      <x:c r="B2369" s="16" t="str">
        <x:v>Eyna Mia</x:v>
      </x:c>
      <x:c r="C2369" s="16" t="str"/>
      <x:c r="D2369" s="16" t="str">
        <x:v>* myContacts</x:v>
      </x:c>
      <x:c r="E2369" s="16" t="str">
        <x:v>Missing email</x:v>
      </x:c>
    </x:row>
    <x:row r="2370">
      <x:c r="A2370" s="16" t="n">
        <x:v>2475</x:v>
      </x:c>
      <x:c r="B2370" s="16" t="str">
        <x:v>Eynha Liyana</x:v>
      </x:c>
      <x:c r="C2370" s="16" t="str"/>
      <x:c r="D2370" s="16" t="str">
        <x:v>* myContacts</x:v>
      </x:c>
      <x:c r="E2370" s="16" t="str">
        <x:v>Missing email</x:v>
      </x:c>
    </x:row>
    <x:row r="2371">
      <x:c r="A2371" s="16" t="n">
        <x:v>2476</x:v>
      </x:c>
      <x:c r="B2371" s="16" t="str">
        <x:v>EyQa SyakEyra</x:v>
      </x:c>
      <x:c r="C2371" s="16" t="str"/>
      <x:c r="D2371" s="16" t="str">
        <x:v>* myContacts</x:v>
      </x:c>
      <x:c r="E2371" s="16" t="str">
        <x:v>Missing email</x:v>
      </x:c>
    </x:row>
    <x:row r="2372">
      <x:c r="A2372" s="16" t="n">
        <x:v>2477</x:v>
      </x:c>
      <x:c r="B2372" s="16" t="str">
        <x:v>Eyqa Zati</x:v>
      </x:c>
      <x:c r="C2372" s="16" t="str"/>
      <x:c r="D2372" s="16" t="str">
        <x:v>* myContacts</x:v>
      </x:c>
      <x:c r="E2372" s="16" t="str">
        <x:v>Missing email</x:v>
      </x:c>
    </x:row>
    <x:row r="2373">
      <x:c r="A2373" s="16" t="n">
        <x:v>2478</x:v>
      </x:c>
      <x:c r="B2373" s="16" t="str">
        <x:v>Eyra Are-peng</x:v>
      </x:c>
      <x:c r="C2373" s="16" t="str"/>
      <x:c r="D2373" s="16" t="str">
        <x:v>* myContacts</x:v>
      </x:c>
      <x:c r="E2373" s="16" t="str">
        <x:v>Missing email</x:v>
      </x:c>
    </x:row>
    <x:row r="2374">
      <x:c r="A2374" s="16" t="n">
        <x:v>2479</x:v>
      </x:c>
      <x:c r="B2374" s="16" t="str">
        <x:v>Eyra Nadira</x:v>
      </x:c>
      <x:c r="C2374" s="16" t="str"/>
      <x:c r="D2374" s="16" t="str">
        <x:v>* myContacts</x:v>
      </x:c>
      <x:c r="E2374" s="16" t="str">
        <x:v>Missing email</x:v>
      </x:c>
    </x:row>
    <x:row r="2375">
      <x:c r="A2375" s="16" t="n">
        <x:v>2480</x:v>
      </x:c>
      <x:c r="B2375" s="16" t="str">
        <x:v>Eyza Riesya</x:v>
      </x:c>
      <x:c r="C2375" s="16" t="str"/>
      <x:c r="D2375" s="16" t="str">
        <x:v>* myContacts</x:v>
      </x:c>
      <x:c r="E2375" s="16" t="str">
        <x:v>Missing email</x:v>
      </x:c>
    </x:row>
    <x:row r="2376">
      <x:c r="A2376" s="16" t="n">
        <x:v>2481</x:v>
      </x:c>
      <x:c r="B2376" s="16" t="str">
        <x:v>Eyzal Airyza</x:v>
      </x:c>
      <x:c r="C2376" s="16" t="str"/>
      <x:c r="D2376" s="16" t="str">
        <x:v>* myContacts</x:v>
      </x:c>
      <x:c r="E2376" s="16" t="str">
        <x:v>Missing email</x:v>
      </x:c>
    </x:row>
    <x:row r="2377">
      <x:c r="A2377" s="16" t="n">
        <x:v>2482</x:v>
      </x:c>
      <x:c r="B2377" s="16" t="str">
        <x:v>Eyzara Umaira</x:v>
      </x:c>
      <x:c r="C2377" s="16" t="str"/>
      <x:c r="D2377" s="16" t="str">
        <x:v>* myContacts</x:v>
      </x:c>
      <x:c r="E2377" s="16" t="str">
        <x:v>Missing email</x:v>
      </x:c>
    </x:row>
    <x:row r="2378">
      <x:c r="A2378" s="16" t="n">
        <x:v>2483</x:v>
      </x:c>
      <x:c r="B2378" s="16" t="str">
        <x:v>EZ Talaze Nofiliya Rahmawati</x:v>
      </x:c>
      <x:c r="C2378" s="16" t="str"/>
      <x:c r="D2378" s="16" t="str">
        <x:v>* myContacts</x:v>
      </x:c>
      <x:c r="E2378" s="16" t="str">
        <x:v>Missing email</x:v>
      </x:c>
    </x:row>
    <x:row r="2379">
      <x:c r="A2379" s="16" t="n">
        <x:v>2484</x:v>
      </x:c>
      <x:c r="B2379" s="16" t="str">
        <x:v>Ezaatie Azemie</x:v>
      </x:c>
      <x:c r="C2379" s="16" t="str"/>
      <x:c r="D2379" s="16" t="str">
        <x:v>* myContacts</x:v>
      </x:c>
      <x:c r="E2379" s="16" t="str">
        <x:v>Missing email</x:v>
      </x:c>
    </x:row>
    <x:row r="2380">
      <x:c r="A2380" s="16" t="n">
        <x:v>2485</x:v>
      </x:c>
      <x:c r="B2380" s="16" t="str">
        <x:v>Ezain Tauke Bot Sabah Kk</x:v>
      </x:c>
      <x:c r="C2380" s="16" t="str"/>
      <x:c r="D2380" s="16" t="str">
        <x:v>* myContacts</x:v>
      </x:c>
      <x:c r="E2380" s="16" t="str">
        <x:v>Missing email</x:v>
      </x:c>
    </x:row>
    <x:row r="2381">
      <x:c r="A2381" s="16" t="n">
        <x:v>2486</x:v>
      </x:c>
      <x:c r="B2381" s="16" t="str">
        <x:v>Ezal Azmeer</x:v>
      </x:c>
      <x:c r="C2381" s="16" t="str"/>
      <x:c r="D2381" s="16" t="str">
        <x:v>* myContacts</x:v>
      </x:c>
      <x:c r="E2381" s="16" t="str">
        <x:v>Missing email</x:v>
      </x:c>
    </x:row>
    <x:row r="2382">
      <x:c r="A2382" s="16" t="n">
        <x:v>2487</x:v>
      </x:c>
      <x:c r="B2382" s="16" t="str">
        <x:v>Ezanie RH</x:v>
      </x:c>
      <x:c r="C2382" s="16" t="str"/>
      <x:c r="D2382" s="16" t="str">
        <x:v>* myContacts</x:v>
      </x:c>
      <x:c r="E2382" s="16" t="str">
        <x:v>Missing email</x:v>
      </x:c>
    </x:row>
    <x:row r="2383">
      <x:c r="A2383" s="16" t="n">
        <x:v>2488</x:v>
      </x:c>
      <x:c r="B2383" s="16" t="str">
        <x:v>Ezann Zaiani</x:v>
      </x:c>
      <x:c r="C2383" s="16" t="str"/>
      <x:c r="D2383" s="16" t="str">
        <x:v>* myContacts</x:v>
      </x:c>
      <x:c r="E2383" s="16" t="str">
        <x:v>Missing email</x:v>
      </x:c>
    </x:row>
    <x:row r="2384">
      <x:c r="A2384" s="16" t="n">
        <x:v>2489</x:v>
      </x:c>
      <x:c r="B2384" s="16" t="str">
        <x:v>Ezdiani Mohammad</x:v>
      </x:c>
      <x:c r="C2384" s="16" t="str"/>
      <x:c r="D2384" s="16" t="str">
        <x:v>* myContacts</x:v>
      </x:c>
      <x:c r="E2384" s="16" t="str">
        <x:v>Missing email</x:v>
      </x:c>
    </x:row>
    <x:row r="2385">
      <x:c r="A2385" s="16" t="n">
        <x:v>2490</x:v>
      </x:c>
      <x:c r="B2385" s="16" t="str">
        <x:v>Eziey Kalam</x:v>
      </x:c>
      <x:c r="C2385" s="16" t="str"/>
      <x:c r="D2385" s="16" t="str">
        <x:v>* myContacts</x:v>
      </x:c>
      <x:c r="E2385" s="16" t="str">
        <x:v>Missing email</x:v>
      </x:c>
    </x:row>
    <x:row r="2386">
      <x:c r="A2386" s="16" t="n">
        <x:v>2491</x:v>
      </x:c>
      <x:c r="B2386" s="16" t="str">
        <x:v>Ezral IM</x:v>
      </x:c>
      <x:c r="C2386" s="16" t="str"/>
      <x:c r="D2386" s="16" t="str">
        <x:v>* myContacts</x:v>
      </x:c>
      <x:c r="E2386" s="16" t="str">
        <x:v>Missing email</x:v>
      </x:c>
    </x:row>
    <x:row r="2387">
      <x:c r="A2387" s="16" t="n">
        <x:v>2492</x:v>
      </x:c>
      <x:c r="B2387" s="16" t="str">
        <x:v>Ezran Anuar</x:v>
      </x:c>
      <x:c r="C2387" s="16" t="str"/>
      <x:c r="D2387" s="16" t="str">
        <x:v>* myContacts</x:v>
      </x:c>
      <x:c r="E2387" s="16" t="str">
        <x:v>Missing email</x:v>
      </x:c>
    </x:row>
    <x:row r="2388">
      <x:c r="A2388" s="16" t="n">
        <x:v>2493</x:v>
      </x:c>
      <x:c r="B2388" s="16" t="str">
        <x:v>Ezuliana Elahi</x:v>
      </x:c>
      <x:c r="C2388" s="16" t="str"/>
      <x:c r="D2388" s="16" t="str">
        <x:v>* myContacts</x:v>
      </x:c>
      <x:c r="E2388" s="16" t="str">
        <x:v>Missing email</x:v>
      </x:c>
    </x:row>
    <x:row r="2389">
      <x:c r="A2389" s="16" t="n">
        <x:v>2494</x:v>
      </x:c>
      <x:c r="B2389" s="16" t="str">
        <x:v>Ezura Ahmad Jue</x:v>
      </x:c>
      <x:c r="C2389" s="16" t="str"/>
      <x:c r="D2389" s="16" t="str">
        <x:v>* myContacts</x:v>
      </x:c>
      <x:c r="E2389" s="16" t="str">
        <x:v>Missing email</x:v>
      </x:c>
    </x:row>
    <x:row r="2390">
      <x:c r="A2390" s="16" t="n">
        <x:v>2495</x:v>
      </x:c>
      <x:c r="B2390" s="16" t="str">
        <x:v>Ezz Studio</x:v>
      </x:c>
      <x:c r="C2390" s="16" t="str"/>
      <x:c r="D2390" s="16" t="str">
        <x:v>* myContacts</x:v>
      </x:c>
      <x:c r="E2390" s="16" t="str">
        <x:v>Missing email</x:v>
      </x:c>
    </x:row>
    <x:row r="2391">
      <x:c r="A2391" s="16" t="n">
        <x:v>2496</x:v>
      </x:c>
      <x:c r="B2391" s="16" t="str">
        <x:v>Ezzmet INSKEN</x:v>
      </x:c>
      <x:c r="C2391" s="16" t="str"/>
      <x:c r="D2391" s="16" t="str">
        <x:v>Alumni INSKEN | * myContacts</x:v>
      </x:c>
      <x:c r="E2391" s="16" t="str">
        <x:v>Missing email</x:v>
      </x:c>
    </x:row>
    <x:row r="2392">
      <x:c r="A2392" s="16" t="n">
        <x:v>2497</x:v>
      </x:c>
      <x:c r="B2392" s="16" t="str">
        <x:v>Ezzul Student tiktok letup marketing</x:v>
      </x:c>
      <x:c r="C2392" s="16" t="str"/>
      <x:c r="D2392" s="16" t="str">
        <x:v>* myContacts</x:v>
      </x:c>
      <x:c r="E2392" s="16" t="str">
        <x:v>Missing email</x:v>
      </x:c>
    </x:row>
    <x:row r="2393">
      <x:c r="A2393" s="16" t="n">
        <x:v>2498</x:v>
      </x:c>
      <x:c r="B2393" s="16" t="str">
        <x:v>F EN DI</x:v>
      </x:c>
      <x:c r="C2393" s="16" t="str"/>
      <x:c r="D2393" s="16" t="str">
        <x:v>* myContacts</x:v>
      </x:c>
      <x:c r="E2393" s="16" t="str">
        <x:v>Missing email</x:v>
      </x:c>
    </x:row>
    <x:row r="2394">
      <x:c r="A2394" s="16" t="n">
        <x:v>2499</x:v>
      </x:c>
      <x:c r="B2394" s="16" t="str">
        <x:v>FÃ¬wÃ¤r Purple</x:v>
      </x:c>
      <x:c r="C2394" s="16" t="str"/>
      <x:c r="D2394" s="16" t="str">
        <x:v>* myContacts</x:v>
      </x:c>
      <x:c r="E2394" s="16" t="str">
        <x:v>Missing email</x:v>
      </x:c>
    </x:row>
    <x:row r="2395">
      <x:c r="A2395" s="16" t="n">
        <x:v>2500</x:v>
      </x:c>
      <x:c r="B2395" s="16" t="str">
        <x:v>Fabu Lous</x:v>
      </x:c>
      <x:c r="C2395" s="16" t="str"/>
      <x:c r="D2395" s="16" t="str">
        <x:v>* myContacts</x:v>
      </x:c>
      <x:c r="E2395" s="16" t="str">
        <x:v>Missing email</x:v>
      </x:c>
    </x:row>
    <x:row r="2396">
      <x:c r="A2396" s="16" t="n">
        <x:v>2501</x:v>
      </x:c>
      <x:c r="B2396" s="16" t="str">
        <x:v>Fad Cliff's</x:v>
      </x:c>
      <x:c r="C2396" s="16" t="str"/>
      <x:c r="D2396" s="16" t="str">
        <x:v>* myContacts</x:v>
      </x:c>
      <x:c r="E2396" s="16" t="str">
        <x:v>Missing email</x:v>
      </x:c>
    </x:row>
    <x:row r="2397">
      <x:c r="A2397" s="16" t="n">
        <x:v>2502</x:v>
      </x:c>
      <x:c r="B2397" s="16" t="str">
        <x:v>Fad Cliff's II</x:v>
      </x:c>
      <x:c r="C2397" s="16" t="str"/>
      <x:c r="D2397" s="16" t="str">
        <x:v>* myContacts</x:v>
      </x:c>
      <x:c r="E2397" s="16" t="str">
        <x:v>Missing email</x:v>
      </x:c>
    </x:row>
    <x:row r="2398">
      <x:c r="A2398" s="16" t="n">
        <x:v>2503</x:v>
      </x:c>
      <x:c r="B2398" s="16" t="str">
        <x:v>Fad Dhell</x:v>
      </x:c>
      <x:c r="C2398" s="16" t="str"/>
      <x:c r="D2398" s="16" t="str">
        <x:v>* myContacts</x:v>
      </x:c>
      <x:c r="E2398" s="16" t="str">
        <x:v>Missing email</x:v>
      </x:c>
    </x:row>
    <x:row r="2399">
      <x:c r="A2399" s="16" t="n">
        <x:v>2504</x:v>
      </x:c>
      <x:c r="B2399" s="16" t="str">
        <x:v>Fad Ilah</x:v>
      </x:c>
      <x:c r="C2399" s="16" t="str"/>
      <x:c r="D2399" s="16" t="str">
        <x:v>* myContacts</x:v>
      </x:c>
      <x:c r="E2399" s="16" t="str">
        <x:v>Missing email</x:v>
      </x:c>
    </x:row>
    <x:row r="2400">
      <x:c r="A2400" s="16" t="n">
        <x:v>2505</x:v>
      </x:c>
      <x:c r="B2400" s="16" t="str">
        <x:v>Fadhalia Abd Mutlib</x:v>
      </x:c>
      <x:c r="C2400" s="16" t="str"/>
      <x:c r="D2400" s="16" t="str">
        <x:v>* myContacts</x:v>
      </x:c>
      <x:c r="E2400" s="16" t="str">
        <x:v>Missing email</x:v>
      </x:c>
    </x:row>
    <x:row r="2401">
      <x:c r="A2401" s="16" t="n">
        <x:v>2506</x:v>
      </x:c>
      <x:c r="B2401" s="16" t="str">
        <x:v>Fadhil Adhaj</x:v>
      </x:c>
      <x:c r="C2401" s="16" t="str"/>
      <x:c r="D2401" s="16" t="str">
        <x:v>* myContacts</x:v>
      </x:c>
      <x:c r="E2401" s="16" t="str">
        <x:v>Missing email</x:v>
      </x:c>
    </x:row>
    <x:row r="2402">
      <x:c r="A2402" s="16" t="n">
        <x:v>2507</x:v>
      </x:c>
      <x:c r="B2402" s="16" t="str">
        <x:v>Fadhil Basri</x:v>
      </x:c>
      <x:c r="C2402" s="16" t="str"/>
      <x:c r="D2402" s="16" t="str">
        <x:v>* myContacts</x:v>
      </x:c>
      <x:c r="E2402" s="16" t="str">
        <x:v>Missing email</x:v>
      </x:c>
    </x:row>
    <x:row r="2403">
      <x:c r="A2403" s="16" t="n">
        <x:v>2508</x:v>
      </x:c>
      <x:c r="B2403" s="16" t="str">
        <x:v>Fadhil Bkf</x:v>
      </x:c>
      <x:c r="C2403" s="16" t="str"/>
      <x:c r="D2403" s="16" t="str">
        <x:v>* myContacts</x:v>
      </x:c>
      <x:c r="E2403" s="16" t="str">
        <x:v>Missing email</x:v>
      </x:c>
    </x:row>
    <x:row r="2404">
      <x:c r="A2404" s="16" t="n">
        <x:v>2509</x:v>
      </x:c>
      <x:c r="B2404" s="16" t="str">
        <x:v>Fadhil Ipoh IM</x:v>
      </x:c>
      <x:c r="C2404" s="16" t="str"/>
      <x:c r="D2404" s="16" t="str">
        <x:v>* myContacts</x:v>
      </x:c>
      <x:c r="E2404" s="16" t="str">
        <x:v>Missing email</x:v>
      </x:c>
    </x:row>
    <x:row r="2405">
      <x:c r="A2405" s="16" t="n">
        <x:v>2510</x:v>
      </x:c>
      <x:c r="B2405" s="16" t="str">
        <x:v>Fadhilah Destiny</x:v>
      </x:c>
      <x:c r="C2405" s="16" t="str"/>
      <x:c r="D2405" s="16" t="str">
        <x:v>* myContacts</x:v>
      </x:c>
      <x:c r="E2405" s="16" t="str">
        <x:v>Missing email</x:v>
      </x:c>
    </x:row>
    <x:row r="2406">
      <x:c r="A2406" s="16" t="n">
        <x:v>2511</x:v>
      </x:c>
      <x:c r="B2406" s="16" t="str">
        <x:v>Fadhli Zawawi</x:v>
      </x:c>
      <x:c r="C2406" s="16" t="str"/>
      <x:c r="D2406" s="16" t="str">
        <x:v>* myContacts</x:v>
      </x:c>
      <x:c r="E2406" s="16" t="str">
        <x:v>Missing email</x:v>
      </x:c>
    </x:row>
    <x:row r="2407">
      <x:c r="A2407" s="16" t="n">
        <x:v>2512</x:v>
      </x:c>
      <x:c r="B2407" s="16" t="str">
        <x:v>Fadiah Student</x:v>
      </x:c>
      <x:c r="C2407" s="16" t="str"/>
      <x:c r="D2407" s="16" t="str">
        <x:v>* myContacts</x:v>
      </x:c>
      <x:c r="E2407" s="16" t="str">
        <x:v>Missing email</x:v>
      </x:c>
    </x:row>
    <x:row r="2408">
      <x:c r="A2408" s="16" t="n">
        <x:v>2513</x:v>
      </x:c>
      <x:c r="B2408" s="16" t="str">
        <x:v>Fadil Syam</x:v>
      </x:c>
      <x:c r="C2408" s="16" t="str"/>
      <x:c r="D2408" s="16" t="str">
        <x:v>* myContacts</x:v>
      </x:c>
      <x:c r="E2408" s="16" t="str">
        <x:v>Missing email</x:v>
      </x:c>
    </x:row>
    <x:row r="2409">
      <x:c r="A2409" s="16" t="n">
        <x:v>2514</x:v>
      </x:c>
      <x:c r="B2409" s="16" t="str">
        <x:v>Fadilah Makhtar</x:v>
      </x:c>
      <x:c r="C2409" s="16" t="str"/>
      <x:c r="D2409" s="16" t="str">
        <x:v>* myContacts</x:v>
      </x:c>
      <x:c r="E2409" s="16" t="str">
        <x:v>Missing email</x:v>
      </x:c>
    </x:row>
    <x:row r="2410">
      <x:c r="A2410" s="16" t="n">
        <x:v>2515</x:v>
      </x:c>
      <x:c r="B2410" s="16" t="str">
        <x:v>Fadilah86</x:v>
      </x:c>
      <x:c r="C2410" s="16" t="str"/>
      <x:c r="D2410" s="16" t="str">
        <x:v>* myContacts</x:v>
      </x:c>
      <x:c r="E2410" s="16" t="str">
        <x:v>Missing email</x:v>
      </x:c>
    </x:row>
    <x:row r="2411">
      <x:c r="A2411" s="16" t="n">
        <x:v>2516</x:v>
      </x:c>
      <x:c r="B2411" s="16" t="str">
        <x:v>fadli TEKUN</x:v>
      </x:c>
      <x:c r="C2411" s="16" t="str"/>
      <x:c r="D2411" s="16" t="str">
        <x:v>* myContacts</x:v>
      </x:c>
      <x:c r="E2411" s="16" t="str">
        <x:v>Missing email</x:v>
      </x:c>
    </x:row>
    <x:row r="2412">
      <x:c r="A2412" s="16" t="n">
        <x:v>2517</x:v>
      </x:c>
      <x:c r="B2412" s="16" t="str">
        <x:v>Fadly Coway</x:v>
      </x:c>
      <x:c r="C2412" s="16" t="str"/>
      <x:c r="D2412" s="16" t="str">
        <x:v>* myContacts</x:v>
      </x:c>
      <x:c r="E2412" s="16" t="str">
        <x:v>Missing email</x:v>
      </x:c>
    </x:row>
    <x:row r="2413">
      <x:c r="A2413" s="16" t="n">
        <x:v>2518</x:v>
      </x:c>
      <x:c r="B2413" s="16" t="str">
        <x:v>Fadly Elimina Shah Alam</x:v>
      </x:c>
      <x:c r="C2413" s="16" t="str"/>
      <x:c r="D2413" s="16" t="str">
        <x:v>* myContacts</x:v>
      </x:c>
      <x:c r="E2413" s="16" t="str">
        <x:v>Missing email</x:v>
      </x:c>
    </x:row>
    <x:row r="2414">
      <x:c r="A2414" s="16" t="n">
        <x:v>2519</x:v>
      </x:c>
      <x:c r="B2414" s="16" t="str">
        <x:v>Fadly letme store8</x:v>
      </x:c>
      <x:c r="C2414" s="16" t="str"/>
      <x:c r="D2414" s="16" t="str">
        <x:v>* myContacts</x:v>
      </x:c>
      <x:c r="E2414" s="16" t="str">
        <x:v>Missing email</x:v>
      </x:c>
    </x:row>
    <x:row r="2415">
      <x:c r="A2415" s="16" t="n">
        <x:v>2520</x:v>
      </x:c>
      <x:c r="B2415" s="16" t="str">
        <x:v>Fadzil RJB</x:v>
      </x:c>
      <x:c r="C2415" s="16" t="str"/>
      <x:c r="D2415" s="16" t="str">
        <x:v>* myContacts</x:v>
      </x:c>
      <x:c r="E2415" s="16" t="str">
        <x:v>Missing email</x:v>
      </x:c>
    </x:row>
    <x:row r="2416">
      <x:c r="A2416" s="16" t="n">
        <x:v>2521</x:v>
      </x:c>
      <x:c r="B2416" s="16" t="str">
        <x:v>Fadzli B Sabran</x:v>
      </x:c>
      <x:c r="C2416" s="16" t="str"/>
      <x:c r="D2416" s="16" t="str">
        <x:v>* myContacts</x:v>
      </x:c>
      <x:c r="E2416" s="16" t="str">
        <x:v>Missing email</x:v>
      </x:c>
    </x:row>
    <x:row r="2417">
      <x:c r="A2417" s="16" t="n">
        <x:v>2522</x:v>
      </x:c>
      <x:c r="B2417" s="16" t="str">
        <x:v>Fadzliza Collections</x:v>
      </x:c>
      <x:c r="C2417" s="16" t="str"/>
      <x:c r="D2417" s="16" t="str">
        <x:v>* myContacts</x:v>
      </x:c>
      <x:c r="E2417" s="16" t="str">
        <x:v>Missing email</x:v>
      </x:c>
    </x:row>
    <x:row r="2418">
      <x:c r="A2418" s="16" t="n">
        <x:v>2523</x:v>
      </x:c>
      <x:c r="B2418" s="16" t="str">
        <x:v>Fadzura Ismail</x:v>
      </x:c>
      <x:c r="C2418" s="16" t="str"/>
      <x:c r="D2418" s="16" t="str">
        <x:v>* myContacts</x:v>
      </x:c>
      <x:c r="E2418" s="16" t="str">
        <x:v>Missing email</x:v>
      </x:c>
    </x:row>
    <x:row r="2419">
      <x:c r="A2419" s="16" t="n">
        <x:v>2524</x:v>
      </x:c>
      <x:c r="B2419" s="16" t="str">
        <x:v>Faez Marop</x:v>
      </x:c>
      <x:c r="C2419" s="16" t="str"/>
      <x:c r="D2419" s="16" t="str">
        <x:v>* myContacts</x:v>
      </x:c>
      <x:c r="E2419" s="16" t="str">
        <x:v>Missing email</x:v>
      </x:c>
    </x:row>
    <x:row r="2420">
      <x:c r="A2420" s="16" t="n">
        <x:v>2525</x:v>
      </x:c>
      <x:c r="B2420" s="16" t="str">
        <x:v>Faezah Daros</x:v>
      </x:c>
      <x:c r="C2420" s="16" t="str"/>
      <x:c r="D2420" s="16" t="str">
        <x:v>* myContacts</x:v>
      </x:c>
      <x:c r="E2420" s="16" t="str">
        <x:v>Missing email</x:v>
      </x:c>
    </x:row>
    <x:row r="2421">
      <x:c r="A2421" s="16" t="n">
        <x:v>2526</x:v>
      </x:c>
      <x:c r="B2421" s="16" t="str">
        <x:v>Fah Suphasai</x:v>
      </x:c>
      <x:c r="C2421" s="16" t="str"/>
      <x:c r="D2421" s="16" t="str">
        <x:v>* myContacts</x:v>
      </x:c>
      <x:c r="E2421" s="16" t="str">
        <x:v>Missing email</x:v>
      </x:c>
    </x:row>
    <x:row r="2422">
      <x:c r="A2422" s="16" t="n">
        <x:v>2527</x:v>
      </x:c>
      <x:c r="B2422" s="16" t="str">
        <x:v>Fahana Bhisham</x:v>
      </x:c>
      <x:c r="C2422" s="16" t="str"/>
      <x:c r="D2422" s="16" t="str">
        <x:v>* myContacts</x:v>
      </x:c>
      <x:c r="E2422" s="16" t="str">
        <x:v>Missing email</x:v>
      </x:c>
    </x:row>
    <x:row r="2423">
      <x:c r="A2423" s="16" t="n">
        <x:v>2528</x:v>
      </x:c>
      <x:c r="B2423" s="16" t="str">
        <x:v>Fahida Sabaruddin</x:v>
      </x:c>
      <x:c r="C2423" s="16" t="str"/>
      <x:c r="D2423" s="16" t="str">
        <x:v>* myContacts</x:v>
      </x:c>
      <x:c r="E2423" s="16" t="str">
        <x:v>Missing email</x:v>
      </x:c>
    </x:row>
    <x:row r="2424">
      <x:c r="A2424" s="16" t="n">
        <x:v>2529</x:v>
      </x:c>
      <x:c r="B2424" s="16" t="str">
        <x:v>Fahmi FINAS</x:v>
      </x:c>
      <x:c r="C2424" s="16" t="str"/>
      <x:c r="D2424" s="16" t="str">
        <x:v>* myContacts</x:v>
      </x:c>
      <x:c r="E2424" s="16" t="str">
        <x:v>Missing email</x:v>
      </x:c>
    </x:row>
    <x:row r="2425">
      <x:c r="A2425" s="16" t="n">
        <x:v>2530</x:v>
      </x:c>
      <x:c r="B2425" s="16" t="str">
        <x:v>Fahmi Yahya</x:v>
      </x:c>
      <x:c r="C2425" s="16" t="str"/>
      <x:c r="D2425" s="16" t="str">
        <x:v>* myContacts</x:v>
      </x:c>
      <x:c r="E2425" s="16" t="str">
        <x:v>Missing email</x:v>
      </x:c>
    </x:row>
    <x:row r="2426">
      <x:c r="A2426" s="16" t="n">
        <x:v>2531</x:v>
      </x:c>
      <x:c r="B2426" s="16" t="str">
        <x:v>Fahmi Zakaria</x:v>
      </x:c>
      <x:c r="C2426" s="16" t="str"/>
      <x:c r="D2426" s="16" t="str">
        <x:v>* myContacts</x:v>
      </x:c>
      <x:c r="E2426" s="16" t="str">
        <x:v>Missing email</x:v>
      </x:c>
    </x:row>
    <x:row r="2427">
      <x:c r="A2427" s="16" t="n">
        <x:v>2532</x:v>
      </x:c>
      <x:c r="B2427" s="16" t="str">
        <x:v>Fahrurrazi Sa'ad</x:v>
      </x:c>
      <x:c r="C2427" s="16" t="str"/>
      <x:c r="D2427" s="16" t="str">
        <x:v>* myContacts</x:v>
      </x:c>
      <x:c r="E2427" s="16" t="str">
        <x:v>Missing email</x:v>
      </x:c>
    </x:row>
    <x:row r="2428">
      <x:c r="A2428" s="16" t="n">
        <x:v>2533</x:v>
      </x:c>
      <x:c r="B2428" s="16" t="str">
        <x:v>Fahtir</x:v>
      </x:c>
      <x:c r="C2428" s="16" t="str"/>
      <x:c r="D2428" s="16" t="str">
        <x:v>* myContacts</x:v>
      </x:c>
      <x:c r="E2428" s="16" t="str">
        <x:v>Missing email</x:v>
      </x:c>
    </x:row>
    <x:row r="2429">
      <x:c r="A2429" s="16" t="n">
        <x:v>2534</x:v>
      </x:c>
      <x:c r="B2429" s="16" t="str">
        <x:v>Faidzal Zaid trainer</x:v>
      </x:c>
      <x:c r="C2429" s="16" t="str"/>
      <x:c r="D2429" s="16" t="str">
        <x:v>Trainer | * myContacts</x:v>
      </x:c>
      <x:c r="E2429" s="16" t="str">
        <x:v>Missing email</x:v>
      </x:c>
    </x:row>
    <x:row r="2430">
      <x:c r="A2430" s="16" t="n">
        <x:v>2535</x:v>
      </x:c>
      <x:c r="B2430" s="16" t="str">
        <x:v>Faiq Essen Serum</x:v>
      </x:c>
      <x:c r="C2430" s="16" t="str"/>
      <x:c r="D2430" s="16" t="str">
        <x:v>* myContacts</x:v>
      </x:c>
      <x:c r="E2430" s="16" t="str">
        <x:v>Missing email</x:v>
      </x:c>
    </x:row>
    <x:row r="2431">
      <x:c r="A2431" s="16" t="n">
        <x:v>2536</x:v>
      </x:c>
      <x:c r="B2431" s="16" t="str">
        <x:v>Fairra Irra</x:v>
      </x:c>
      <x:c r="C2431" s="16" t="str"/>
      <x:c r="D2431" s="16" t="str">
        <x:v>* myContacts</x:v>
      </x:c>
      <x:c r="E2431" s="16" t="str">
        <x:v>Missing email</x:v>
      </x:c>
    </x:row>
    <x:row r="2432">
      <x:c r="A2432" s="16" t="n">
        <x:v>2537</x:v>
      </x:c>
      <x:c r="B2432" s="16" t="str">
        <x:v>fairus bank</x:v>
      </x:c>
      <x:c r="C2432" s="16" t="str"/>
      <x:c r="D2432" s="16" t="str">
        <x:v>* myContacts</x:v>
      </x:c>
      <x:c r="E2432" s="16" t="str">
        <x:v>Missing email</x:v>
      </x:c>
    </x:row>
    <x:row r="2433">
      <x:c r="A2433" s="16" t="n">
        <x:v>2538</x:v>
      </x:c>
      <x:c r="B2433" s="16" t="str">
        <x:v>Fairus Fieraisya</x:v>
      </x:c>
      <x:c r="C2433" s="16" t="str"/>
      <x:c r="D2433" s="16" t="str">
        <x:v>* myContacts</x:v>
      </x:c>
      <x:c r="E2433" s="16" t="str">
        <x:v>Missing email</x:v>
      </x:c>
    </x:row>
    <x:row r="2434">
      <x:c r="A2434" s="16" t="n">
        <x:v>2539</x:v>
      </x:c>
      <x:c r="B2434" s="16" t="str">
        <x:v>Fairus Mohd Tabiee</x:v>
      </x:c>
      <x:c r="C2434" s="16" t="str"/>
      <x:c r="D2434" s="16" t="str">
        <x:v>* myContacts</x:v>
      </x:c>
      <x:c r="E2434" s="16" t="str">
        <x:v>Missing email</x:v>
      </x:c>
    </x:row>
    <x:row r="2435">
      <x:c r="A2435" s="16" t="n">
        <x:v>2540</x:v>
      </x:c>
      <x:c r="B2435" s="16" t="str">
        <x:v>Fairuz</x:v>
      </x:c>
      <x:c r="C2435" s="16" t="str"/>
      <x:c r="D2435" s="16" t="str">
        <x:v>* myContacts</x:v>
      </x:c>
      <x:c r="E2435" s="16" t="str">
        <x:v>Missing email</x:v>
      </x:c>
    </x:row>
    <x:row r="2436">
      <x:c r="A2436" s="16" t="n">
        <x:v>2541</x:v>
      </x:c>
      <x:c r="B2436" s="16" t="str">
        <x:v>Fairuz bank marketing material</x:v>
      </x:c>
      <x:c r="C2436" s="16" t="str"/>
      <x:c r="D2436" s="16" t="str">
        <x:v>* myContacts</x:v>
      </x:c>
      <x:c r="E2436" s="16" t="str">
        <x:v>Missing email</x:v>
      </x:c>
    </x:row>
    <x:row r="2437">
      <x:c r="A2437" s="16" t="n">
        <x:v>2542</x:v>
      </x:c>
      <x:c r="B2437" s="16" t="str">
        <x:v>Fairuz Fx</x:v>
      </x:c>
      <x:c r="C2437" s="16" t="str"/>
      <x:c r="D2437" s="16" t="str">
        <x:v>* myContacts</x:v>
      </x:c>
      <x:c r="E2437" s="16" t="str">
        <x:v>Missing email</x:v>
      </x:c>
    </x:row>
    <x:row r="2438">
      <x:c r="A2438" s="16" t="n">
        <x:v>2543</x:v>
      </x:c>
      <x:c r="B2438" s="16" t="str">
        <x:v>Fairuz Perodua Dmm</x:v>
      </x:c>
      <x:c r="C2438" s="16" t="str"/>
      <x:c r="D2438" s="16" t="str">
        <x:v>* myContacts</x:v>
      </x:c>
      <x:c r="E2438" s="16" t="str">
        <x:v>Missing email</x:v>
      </x:c>
    </x:row>
    <x:row r="2439">
      <x:c r="A2439" s="16" t="n">
        <x:v>2544</x:v>
      </x:c>
      <x:c r="B2439" s="16" t="str">
        <x:v>Fairuz ROBOZ BOSS</x:v>
      </x:c>
      <x:c r="C2439" s="16" t="str"/>
      <x:c r="D2439" s="16" t="str">
        <x:v>* myContacts</x:v>
      </x:c>
      <x:c r="E2439" s="16" t="str">
        <x:v>Missing email</x:v>
      </x:c>
    </x:row>
    <x:row r="2440">
      <x:c r="A2440" s="16" t="n">
        <x:v>2545</x:v>
      </x:c>
      <x:c r="B2440" s="16" t="str">
        <x:v>Fairuza Alias</x:v>
      </x:c>
      <x:c r="C2440" s="16" t="str"/>
      <x:c r="D2440" s="16" t="str">
        <x:v>* myContacts</x:v>
      </x:c>
      <x:c r="E2440" s="16" t="str">
        <x:v>Missing email</x:v>
      </x:c>
    </x:row>
    <x:row r="2441">
      <x:c r="A2441" s="16" t="n">
        <x:v>2546</x:v>
      </x:c>
      <x:c r="B2441" s="16" t="str">
        <x:v>Fais Insken Coach Coordinator</x:v>
      </x:c>
      <x:c r="C2441" s="16" t="str"/>
      <x:c r="D2441" s="16" t="str">
        <x:v>Alumni INSKEN | Trainer | * myContacts</x:v>
      </x:c>
      <x:c r="E2441" s="16" t="str">
        <x:v>Missing email</x:v>
      </x:c>
    </x:row>
    <x:row r="2442">
      <x:c r="A2442" s="16" t="n">
        <x:v>2547</x:v>
      </x:c>
      <x:c r="B2442" s="16" t="str">
        <x:v>Fais Suhaimi</x:v>
      </x:c>
      <x:c r="C2442" s="16" t="str"/>
      <x:c r="D2442" s="16" t="str">
        <x:v>* myContacts</x:v>
      </x:c>
      <x:c r="E2442" s="16" t="str">
        <x:v>Missing email</x:v>
      </x:c>
    </x:row>
    <x:row r="2443">
      <x:c r="A2443" s="16" t="n">
        <x:v>2548</x:v>
      </x:c>
      <x:c r="B2443" s="16" t="str">
        <x:v>Faisal Abdullah STP</x:v>
      </x:c>
      <x:c r="C2443" s="16" t="str"/>
      <x:c r="D2443" s="16" t="str">
        <x:v>* myContacts</x:v>
      </x:c>
      <x:c r="E2443" s="16" t="str">
        <x:v>Missing email</x:v>
      </x:c>
    </x:row>
    <x:row r="2444">
      <x:c r="A2444" s="16" t="n">
        <x:v>2549</x:v>
      </x:c>
      <x:c r="B2444" s="16" t="str">
        <x:v>Faisal Bos Tanamera</x:v>
      </x:c>
      <x:c r="C2444" s="16" t="str"/>
      <x:c r="D2444" s="16" t="str">
        <x:v>* myContacts</x:v>
      </x:c>
      <x:c r="E2444" s="16" t="str">
        <x:v>Missing email</x:v>
      </x:c>
    </x:row>
    <x:row r="2445">
      <x:c r="A2445" s="16" t="n">
        <x:v>2550</x:v>
      </x:c>
      <x:c r="B2445" s="16" t="str">
        <x:v>Faisal Reza Rahman Webmaster</x:v>
      </x:c>
      <x:c r="C2445" s="16" t="str"/>
      <x:c r="D2445" s="16" t="str">
        <x:v>* myContacts</x:v>
      </x:c>
      <x:c r="E2445" s="16" t="str">
        <x:v>Missing email</x:v>
      </x:c>
    </x:row>
    <x:row r="2446">
      <x:c r="A2446" s="16" t="n">
        <x:v>2551</x:v>
      </x:c>
      <x:c r="B2446" s="16" t="str">
        <x:v>Faisol Let Me Store</x:v>
      </x:c>
      <x:c r="C2446" s="16" t="str"/>
      <x:c r="D2446" s="16" t="str">
        <x:v>* myContacts</x:v>
      </x:c>
      <x:c r="E2446" s="16" t="str">
        <x:v>Missing email</x:v>
      </x:c>
    </x:row>
    <x:row r="2447">
      <x:c r="A2447" s="16" t="n">
        <x:v>2552</x:v>
      </x:c>
      <x:c r="B2447" s="16" t="str">
        <x:v>Faith Haji Jamaludin</x:v>
      </x:c>
      <x:c r="C2447" s="16" t="str"/>
      <x:c r="D2447" s="16" t="str">
        <x:v>* myContacts</x:v>
      </x:c>
      <x:c r="E2447" s="16" t="str">
        <x:v>Missing email</x:v>
      </x:c>
    </x:row>
    <x:row r="2448">
      <x:c r="A2448" s="16" t="n">
        <x:v>2553</x:v>
      </x:c>
      <x:c r="B2448" s="16" t="str">
        <x:v>Faiz</x:v>
      </x:c>
      <x:c r="C2448" s="16" t="str"/>
      <x:c r="D2448" s="16" t="str">
        <x:v>* myContacts</x:v>
      </x:c>
      <x:c r="E2448" s="16" t="str">
        <x:v>Missing email</x:v>
      </x:c>
    </x:row>
    <x:row r="2449">
      <x:c r="A2449" s="16" t="n">
        <x:v>2554</x:v>
      </x:c>
      <x:c r="B2449" s="16" t="str">
        <x:v>Faiz Arif</x:v>
      </x:c>
      <x:c r="C2449" s="16" t="str"/>
      <x:c r="D2449" s="16" t="str">
        <x:v>* myContacts</x:v>
      </x:c>
      <x:c r="E2449" s="16" t="str">
        <x:v>Missing email</x:v>
      </x:c>
    </x:row>
    <x:row r="2450">
      <x:c r="A2450" s="16" t="n">
        <x:v>2555</x:v>
      </x:c>
      <x:c r="B2450" s="16" t="str">
        <x:v>Faiz Brunei Guide</x:v>
      </x:c>
      <x:c r="C2450" s="16" t="str"/>
      <x:c r="D2450" s="16" t="str">
        <x:v>* myContacts</x:v>
      </x:c>
      <x:c r="E2450" s="16" t="str">
        <x:v>Missing email</x:v>
      </x:c>
    </x:row>
    <x:row r="2451">
      <x:c r="A2451" s="16" t="n">
        <x:v>2556</x:v>
      </x:c>
      <x:c r="B2451" s="16" t="str">
        <x:v>faiz champion trs</x:v>
      </x:c>
      <x:c r="C2451" s="16" t="str"/>
      <x:c r="D2451" s="16" t="str">
        <x:v>* myContacts</x:v>
      </x:c>
      <x:c r="E2451" s="16" t="str">
        <x:v>Missing email</x:v>
      </x:c>
    </x:row>
    <x:row r="2452">
      <x:c r="A2452" s="16" t="n">
        <x:v>2557</x:v>
      </x:c>
      <x:c r="B2452" s="16" t="str">
        <x:v>Faiz Jom Pitch</x:v>
      </x:c>
      <x:c r="C2452" s="16" t="str"/>
      <x:c r="D2452" s="16" t="str">
        <x:v>* myContacts</x:v>
      </x:c>
      <x:c r="E2452" s="16" t="str">
        <x:v>Missing email</x:v>
      </x:c>
    </x:row>
    <x:row r="2453">
      <x:c r="A2453" s="16" t="n">
        <x:v>2558</x:v>
      </x:c>
      <x:c r="B2453" s="16" t="str">
        <x:v>Faiz Kadir TI</x:v>
      </x:c>
      <x:c r="C2453" s="16" t="str"/>
      <x:c r="D2453" s="16" t="str">
        <x:v>* myContacts</x:v>
      </x:c>
      <x:c r="E2453" s="16" t="str">
        <x:v>Missing email</x:v>
      </x:c>
    </x:row>
    <x:row r="2454">
      <x:c r="A2454" s="16" t="n">
        <x:v>2559</x:v>
      </x:c>
      <x:c r="B2454" s="16" t="str">
        <x:v>Faiz Marketing Officer Toyyibpay</x:v>
      </x:c>
      <x:c r="C2454" s="16" t="str"/>
      <x:c r="D2454" s="16" t="str">
        <x:v>* myContacts</x:v>
      </x:c>
      <x:c r="E2454" s="16" t="str">
        <x:v>Missing email</x:v>
      </x:c>
    </x:row>
    <x:row r="2455">
      <x:c r="A2455" s="16" t="n">
        <x:v>2560</x:v>
      </x:c>
      <x:c r="B2455" s="16" t="str">
        <x:v>faiz meatech</x:v>
      </x:c>
      <x:c r="C2455" s="16" t="str"/>
      <x:c r="D2455" s="16" t="str">
        <x:v>* myContacts</x:v>
      </x:c>
      <x:c r="E2455" s="16" t="str">
        <x:v>Missing email</x:v>
      </x:c>
    </x:row>
    <x:row r="2456">
      <x:c r="A2456" s="16" t="n">
        <x:v>2561</x:v>
      </x:c>
      <x:c r="B2456" s="16" t="str">
        <x:v>Faiz Mohd Eusahawan Siswa</x:v>
      </x:c>
      <x:c r="C2456" s="16" t="str"/>
      <x:c r="D2456" s="16" t="str">
        <x:v>* myContacts</x:v>
      </x:c>
      <x:c r="E2456" s="16" t="str">
        <x:v>Missing email</x:v>
      </x:c>
    </x:row>
    <x:row r="2457">
      <x:c r="A2457" s="16" t="n">
        <x:v>2562</x:v>
      </x:c>
      <x:c r="B2457" s="16" t="str">
        <x:v>Faiz Nor MD Salleh</x:v>
      </x:c>
      <x:c r="C2457" s="16" t="str"/>
      <x:c r="D2457" s="16" t="str">
        <x:v>* myContacts</x:v>
      </x:c>
      <x:c r="E2457" s="16" t="str">
        <x:v>Missing email</x:v>
      </x:c>
    </x:row>
    <x:row r="2458">
      <x:c r="A2458" s="16" t="n">
        <x:v>2563</x:v>
      </x:c>
      <x:c r="B2458" s="16" t="str">
        <x:v>Faiz Origenal</x:v>
      </x:c>
      <x:c r="C2458" s="16" t="str"/>
      <x:c r="D2458" s="16" t="str">
        <x:v>* myContacts</x:v>
      </x:c>
      <x:c r="E2458" s="16" t="str">
        <x:v>Missing email</x:v>
      </x:c>
    </x:row>
    <x:row r="2459">
      <x:c r="A2459" s="16" t="n">
        <x:v>2564</x:v>
      </x:c>
      <x:c r="B2459" s="16" t="str">
        <x:v>Faiz Saad</x:v>
      </x:c>
      <x:c r="C2459" s="16" t="str"/>
      <x:c r="D2459" s="16" t="str">
        <x:v>* myContacts</x:v>
      </x:c>
      <x:c r="E2459" s="16" t="str">
        <x:v>Missing email</x:v>
      </x:c>
    </x:row>
    <x:row r="2460">
      <x:c r="A2460" s="16" t="n">
        <x:v>2565</x:v>
      </x:c>
      <x:c r="B2460" s="16" t="str">
        <x:v>Faizah Hanim</x:v>
      </x:c>
      <x:c r="C2460" s="16" t="str"/>
      <x:c r="D2460" s="16" t="str">
        <x:v>* myContacts</x:v>
      </x:c>
      <x:c r="E2460" s="16" t="str">
        <x:v>Missing email</x:v>
      </x:c>
    </x:row>
    <x:row r="2461">
      <x:c r="A2461" s="16" t="n">
        <x:v>2566</x:v>
      </x:c>
      <x:c r="B2461" s="16" t="str">
        <x:v>Faizah PEDI IJOK</x:v>
      </x:c>
      <x:c r="C2461" s="16" t="str"/>
      <x:c r="D2461" s="16" t="str">
        <x:v>* myContacts</x:v>
      </x:c>
      <x:c r="E2461" s="16" t="str">
        <x:v>Missing email</x:v>
      </x:c>
    </x:row>
    <x:row r="2462">
      <x:c r="A2462" s="16" t="n">
        <x:v>2567</x:v>
      </x:c>
      <x:c r="B2462" s="16" t="str">
        <x:v>Faizal Abg Besi</x:v>
      </x:c>
      <x:c r="C2462" s="16" t="str"/>
      <x:c r="D2462" s="16" t="str">
        <x:v>* myContacts</x:v>
      </x:c>
      <x:c r="E2462" s="16" t="str">
        <x:v>Missing email</x:v>
      </x:c>
    </x:row>
    <x:row r="2463">
      <x:c r="A2463" s="16" t="n">
        <x:v>2568</x:v>
      </x:c>
      <x:c r="B2463" s="16" t="str">
        <x:v>Faizal Ahamad</x:v>
      </x:c>
      <x:c r="C2463" s="16" t="str"/>
      <x:c r="D2463" s="16" t="str">
        <x:v>* myContacts</x:v>
      </x:c>
      <x:c r="E2463" s="16" t="str">
        <x:v>Missing email</x:v>
      </x:c>
    </x:row>
    <x:row r="2464">
      <x:c r="A2464" s="16" t="n">
        <x:v>2569</x:v>
      </x:c>
      <x:c r="B2464" s="16" t="str">
        <x:v>Faizal Alauddin Fisioterapi</x:v>
      </x:c>
      <x:c r="C2464" s="16" t="str"/>
      <x:c r="D2464" s="16" t="str">
        <x:v>* myContacts</x:v>
      </x:c>
      <x:c r="E2464" s="16" t="str">
        <x:v>Missing email</x:v>
      </x:c>
    </x:row>
    <x:row r="2465">
      <x:c r="A2465" s="16" t="n">
        <x:v>2570</x:v>
      </x:c>
      <x:c r="B2465" s="16" t="str">
        <x:v>Faizal badry fb expert</x:v>
      </x:c>
      <x:c r="C2465" s="16" t="str"/>
      <x:c r="D2465" s="16" t="str">
        <x:v>* myContacts</x:v>
      </x:c>
      <x:c r="E2465" s="16" t="str">
        <x:v>Missing email</x:v>
      </x:c>
    </x:row>
    <x:row r="2466">
      <x:c r="A2466" s="16" t="n">
        <x:v>2573</x:v>
      </x:c>
      <x:c r="B2466" s="16" t="str">
        <x:v>Faizal BMC</x:v>
      </x:c>
      <x:c r="C2466" s="16" t="str"/>
      <x:c r="D2466" s="16" t="str">
        <x:v>* myContacts</x:v>
      </x:c>
      <x:c r="E2466" s="16" t="str">
        <x:v>Missing email</x:v>
      </x:c>
    </x:row>
    <x:row r="2467">
      <x:c r="A2467" s="16" t="n">
        <x:v>2574</x:v>
      </x:c>
      <x:c r="B2467" s="16" t="str">
        <x:v>Faizal Ebay Expert</x:v>
      </x:c>
      <x:c r="C2467" s="16" t="str"/>
      <x:c r="D2467" s="16" t="str">
        <x:v>* myContacts</x:v>
      </x:c>
      <x:c r="E2467" s="16" t="str">
        <x:v>Missing email</x:v>
      </x:c>
    </x:row>
    <x:row r="2468">
      <x:c r="A2468" s="16" t="n">
        <x:v>2575</x:v>
      </x:c>
      <x:c r="B2468" s="16" t="str">
        <x:v>Faizal Etech Pasir Mas</x:v>
      </x:c>
      <x:c r="C2468" s="16" t="str"/>
      <x:c r="D2468" s="16" t="str">
        <x:v>* myContacts</x:v>
      </x:c>
      <x:c r="E2468" s="16" t="str">
        <x:v>Missing email</x:v>
      </x:c>
    </x:row>
    <x:row r="2469">
      <x:c r="A2469" s="16" t="n">
        <x:v>2576</x:v>
      </x:c>
      <x:c r="B2469" s="16" t="str">
        <x:v>Faizal Faizal</x:v>
      </x:c>
      <x:c r="C2469" s="16" t="str"/>
      <x:c r="D2469" s="16" t="str">
        <x:v>* myContacts</x:v>
      </x:c>
      <x:c r="E2469" s="16" t="str">
        <x:v>Missing email</x:v>
      </x:c>
    </x:row>
    <x:row r="2470">
      <x:c r="A2470" s="16" t="n">
        <x:v>2577</x:v>
      </x:c>
      <x:c r="B2470" s="16" t="str">
        <x:v>Faizal Hassan</x:v>
      </x:c>
      <x:c r="C2470" s="16" t="str"/>
      <x:c r="D2470" s="16" t="str">
        <x:v>* myContacts</x:v>
      </x:c>
      <x:c r="E2470" s="16" t="str">
        <x:v>Missing email</x:v>
      </x:c>
    </x:row>
    <x:row r="2471">
      <x:c r="A2471" s="16" t="n">
        <x:v>2579</x:v>
      </x:c>
      <x:c r="B2471" s="16" t="str">
        <x:v>Faizal Latiff</x:v>
      </x:c>
      <x:c r="C2471" s="16" t="str"/>
      <x:c r="D2471" s="16" t="str">
        <x:v>* myContacts</x:v>
      </x:c>
      <x:c r="E2471" s="16" t="str">
        <x:v>Missing email</x:v>
      </x:c>
    </x:row>
    <x:row r="2472">
      <x:c r="A2472" s="16" t="n">
        <x:v>2580</x:v>
      </x:c>
      <x:c r="B2472" s="16" t="str">
        <x:v>Faizal Musa</x:v>
      </x:c>
      <x:c r="C2472" s="16" t="str"/>
      <x:c r="D2472" s="16" t="str">
        <x:v>* myContacts</x:v>
      </x:c>
      <x:c r="E2472" s="16" t="str">
        <x:v>Missing email</x:v>
      </x:c>
    </x:row>
    <x:row r="2473">
      <x:c r="A2473" s="16" t="n">
        <x:v>2581</x:v>
      </x:c>
      <x:c r="B2473" s="16" t="str">
        <x:v>Faizal Peja</x:v>
      </x:c>
      <x:c r="C2473" s="16" t="str"/>
      <x:c r="D2473" s="16" t="str">
        <x:v>* myContacts</x:v>
      </x:c>
      <x:c r="E2473" s="16" t="str">
        <x:v>Missing email</x:v>
      </x:c>
    </x:row>
    <x:row r="2474">
      <x:c r="A2474" s="16" t="n">
        <x:v>2582</x:v>
      </x:c>
      <x:c r="B2474" s="16" t="str">
        <x:v>Faizal sulaiman AGP</x:v>
      </x:c>
      <x:c r="C2474" s="16" t="str"/>
      <x:c r="D2474" s="16" t="str">
        <x:v>* myContacts</x:v>
      </x:c>
      <x:c r="E2474" s="16" t="str">
        <x:v>Missing email</x:v>
      </x:c>
    </x:row>
    <x:row r="2475">
      <x:c r="A2475" s="16" t="n">
        <x:v>2584</x:v>
      </x:c>
      <x:c r="B2475" s="16" t="str">
        <x:v>Faizal Website Expert</x:v>
      </x:c>
      <x:c r="C2475" s="16" t="str"/>
      <x:c r="D2475" s="16" t="str">
        <x:v>* myContacts</x:v>
      </x:c>
      <x:c r="E2475" s="16" t="str">
        <x:v>Missing email</x:v>
      </x:c>
    </x:row>
    <x:row r="2476">
      <x:c r="A2476" s="16" t="n">
        <x:v>2585</x:v>
      </x:c>
      <x:c r="B2476" s="16" t="str">
        <x:v>Faizan G'jan</x:v>
      </x:c>
      <x:c r="C2476" s="16" t="str"/>
      <x:c r="D2476" s="16" t="str">
        <x:v>* myContacts</x:v>
      </x:c>
      <x:c r="E2476" s="16" t="str">
        <x:v>Missing email</x:v>
      </x:c>
    </x:row>
    <x:row r="2477">
      <x:c r="A2477" s="16" t="n">
        <x:v>2586</x:v>
      </x:c>
      <x:c r="B2477" s="16" t="str">
        <x:v>Faizul Hafiz Saadudin</x:v>
      </x:c>
      <x:c r="C2477" s="16" t="str"/>
      <x:c r="D2477" s="16" t="str">
        <x:v>* myContacts</x:v>
      </x:c>
      <x:c r="E2477" s="16" t="str">
        <x:v>Missing email</x:v>
      </x:c>
    </x:row>
    <x:row r="2478">
      <x:c r="A2478" s="16" t="n">
        <x:v>2587</x:v>
      </x:c>
      <x:c r="B2478" s="16" t="str">
        <x:v>Faizul Haziem</x:v>
      </x:c>
      <x:c r="C2478" s="16" t="str"/>
      <x:c r="D2478" s="16" t="str">
        <x:v>* myContacts</x:v>
      </x:c>
      <x:c r="E2478" s="16" t="str">
        <x:v>Missing email</x:v>
      </x:c>
    </x:row>
    <x:row r="2479">
      <x:c r="A2479" s="16" t="n">
        <x:v>2588</x:v>
      </x:c>
      <x:c r="B2479" s="16" t="str">
        <x:v>Faizul IT RichWorks</x:v>
      </x:c>
      <x:c r="C2479" s="16" t="str"/>
      <x:c r="D2479" s="16" t="str">
        <x:v>* myContacts</x:v>
      </x:c>
      <x:c r="E2479" s="16" t="str">
        <x:v>Missing email</x:v>
      </x:c>
    </x:row>
    <x:row r="2480">
      <x:c r="A2480" s="16" t="n">
        <x:v>2589</x:v>
      </x:c>
      <x:c r="B2480" s="16" t="str">
        <x:v>Faizurah Ansarudin VOE Eu2023</x:v>
      </x:c>
      <x:c r="C2480" s="16" t="str"/>
      <x:c r="D2480" s="16" t="str">
        <x:v>* myContacts</x:v>
      </x:c>
      <x:c r="E2480" s="16" t="str">
        <x:v>Missing email</x:v>
      </x:c>
    </x:row>
    <x:row r="2481">
      <x:c r="A2481" s="16" t="n">
        <x:v>2590</x:v>
      </x:c>
      <x:c r="B2481" s="16" t="str">
        <x:v>Faizurah PEDAS</x:v>
      </x:c>
      <x:c r="C2481" s="16" t="str"/>
      <x:c r="D2481" s="16" t="str">
        <x:v>* myContacts</x:v>
      </x:c>
      <x:c r="E2481" s="16" t="str">
        <x:v>Missing email</x:v>
      </x:c>
    </x:row>
    <x:row r="2482">
      <x:c r="A2482" s="16" t="n">
        <x:v>2591</x:v>
      </x:c>
      <x:c r="B2482" s="16" t="str">
        <x:v>Faizzuddin Hamzah</x:v>
      </x:c>
      <x:c r="C2482" s="16" t="str"/>
      <x:c r="D2482" s="16" t="str">
        <x:v>* myContacts</x:v>
      </x:c>
      <x:c r="E2482" s="16" t="str">
        <x:v>Missing email</x:v>
      </x:c>
    </x:row>
    <x:row r="2483">
      <x:c r="A2483" s="16" t="n">
        <x:v>2592</x:v>
      </x:c>
      <x:c r="B2483" s="16" t="str">
        <x:v>Fajar Antonil</x:v>
      </x:c>
      <x:c r="C2483" s="16" t="str"/>
      <x:c r="D2483" s="16" t="str">
        <x:v>* myContacts</x:v>
      </x:c>
      <x:c r="E2483" s="16" t="str">
        <x:v>Missing email</x:v>
      </x:c>
    </x:row>
    <x:row r="2484">
      <x:c r="A2484" s="16" t="n">
        <x:v>2593</x:v>
      </x:c>
      <x:c r="B2484" s="16" t="str">
        <x:v>Fakhrul Ikhwan</x:v>
      </x:c>
      <x:c r="C2484" s="16" t="str"/>
      <x:c r="D2484" s="16" t="str">
        <x:v>* myContacts</x:v>
      </x:c>
      <x:c r="E2484" s="16" t="str">
        <x:v>Missing email</x:v>
      </x:c>
    </x:row>
    <x:row r="2485">
      <x:c r="A2485" s="16" t="n">
        <x:v>2594</x:v>
      </x:c>
      <x:c r="B2485" s="16" t="str">
        <x:v>Fakhrul Mizam</x:v>
      </x:c>
      <x:c r="C2485" s="16" t="str"/>
      <x:c r="D2485" s="16" t="str">
        <x:v>* myContacts</x:v>
      </x:c>
      <x:c r="E2485" s="16" t="str">
        <x:v>Missing email</x:v>
      </x:c>
    </x:row>
    <x:row r="2486">
      <x:c r="A2486" s="16" t="n">
        <x:v>2595</x:v>
      </x:c>
      <x:c r="B2486" s="16" t="str">
        <x:v>Faliza Ariffin New</x:v>
      </x:c>
      <x:c r="C2486" s="16" t="str"/>
      <x:c r="D2486" s="16" t="str">
        <x:v>* myContacts</x:v>
      </x:c>
      <x:c r="E2486" s="16" t="str">
        <x:v>Missing email</x:v>
      </x:c>
    </x:row>
    <x:row r="2487">
      <x:c r="A2487" s="16" t="n">
        <x:v>2596</x:v>
      </x:c>
      <x:c r="B2487" s="16" t="str">
        <x:v>FalLing InTo PLace</x:v>
      </x:c>
      <x:c r="C2487" s="16" t="str"/>
      <x:c r="D2487" s="16" t="str">
        <x:v>* myContacts</x:v>
      </x:c>
      <x:c r="E2487" s="16" t="str">
        <x:v>Missing email</x:v>
      </x:c>
    </x:row>
    <x:row r="2488">
      <x:c r="A2488" s="16" t="n">
        <x:v>2597</x:v>
      </x:c>
      <x:c r="B2488" s="16" t="str">
        <x:v>Fama Firdaus Pembangunan usahawanan</x:v>
      </x:c>
      <x:c r="C2488" s="16" t="str"/>
      <x:c r="D2488" s="16" t="str">
        <x:v>* myContacts</x:v>
      </x:c>
      <x:c r="E2488" s="16" t="str">
        <x:v>Missing email</x:v>
      </x:c>
    </x:row>
    <x:row r="2489">
      <x:c r="A2489" s="16" t="n">
        <x:v>2598</x:v>
      </x:c>
      <x:c r="B2489" s="16" t="str">
        <x:v>Fany Tria</x:v>
      </x:c>
      <x:c r="C2489" s="16" t="str"/>
      <x:c r="D2489" s="16" t="str">
        <x:v>* myContacts</x:v>
      </x:c>
      <x:c r="E2489" s="16" t="str">
        <x:v>Missing email</x:v>
      </x:c>
    </x:row>
    <x:row r="2490">
      <x:c r="A2490" s="16" t="n">
        <x:v>2599</x:v>
      </x:c>
      <x:c r="B2490" s="16" t="str">
        <x:v>Fara Lin Tukang Buat Examption HRD Corp</x:v>
      </x:c>
      <x:c r="C2490" s="16" t="str"/>
      <x:c r="D2490" s="16" t="str">
        <x:v>* myContacts</x:v>
      </x:c>
      <x:c r="E2490" s="16" t="str">
        <x:v>Missing email</x:v>
      </x:c>
    </x:row>
    <x:row r="2491">
      <x:c r="A2491" s="16" t="n">
        <x:v>2600</x:v>
      </x:c>
      <x:c r="B2491" s="16" t="str">
        <x:v>Fara Sofia</x:v>
      </x:c>
      <x:c r="C2491" s="16" t="str"/>
      <x:c r="D2491" s="16" t="str">
        <x:v>* myContacts</x:v>
      </x:c>
      <x:c r="E2491" s="16" t="str">
        <x:v>Missing email</x:v>
      </x:c>
    </x:row>
    <x:row r="2492">
      <x:c r="A2492" s="16" t="n">
        <x:v>2601</x:v>
      </x:c>
      <x:c r="B2492" s="16" t="str">
        <x:v>Faraa Vengers</x:v>
      </x:c>
      <x:c r="C2492" s="16" t="str"/>
      <x:c r="D2492" s="16" t="str">
        <x:v>* myContacts</x:v>
      </x:c>
      <x:c r="E2492" s="16" t="str">
        <x:v>Missing email</x:v>
      </x:c>
    </x:row>
    <x:row r="2493">
      <x:c r="A2493" s="16" t="n">
        <x:v>2602</x:v>
      </x:c>
      <x:c r="B2493" s="16" t="str">
        <x:v>Farabi IM</x:v>
      </x:c>
      <x:c r="C2493" s="16" t="str"/>
      <x:c r="D2493" s="16" t="str">
        <x:v>* myContacts</x:v>
      </x:c>
      <x:c r="E2493" s="16" t="str">
        <x:v>Missing email</x:v>
      </x:c>
    </x:row>
    <x:row r="2494">
      <x:c r="A2494" s="16" t="n">
        <x:v>2603</x:v>
      </x:c>
      <x:c r="B2494" s="16" t="str">
        <x:v>Faraby BDA</x:v>
      </x:c>
      <x:c r="C2494" s="16" t="str"/>
      <x:c r="D2494" s="16" t="str">
        <x:v>* myContacts</x:v>
      </x:c>
      <x:c r="E2494" s="16" t="str">
        <x:v>Missing email</x:v>
      </x:c>
    </x:row>
    <x:row r="2495">
      <x:c r="A2495" s="16" t="n">
        <x:v>2604</x:v>
      </x:c>
      <x:c r="B2495" s="16" t="str">
        <x:v>Faradyba Azman</x:v>
      </x:c>
      <x:c r="C2495" s="16" t="str"/>
      <x:c r="D2495" s="16" t="str">
        <x:v>* myContacts</x:v>
      </x:c>
      <x:c r="E2495" s="16" t="str">
        <x:v>Missing email</x:v>
      </x:c>
    </x:row>
    <x:row r="2496">
      <x:c r="A2496" s="16" t="n">
        <x:v>2605</x:v>
      </x:c>
      <x:c r="B2496" s="16" t="str">
        <x:v>Farah Aqilah Mahad</x:v>
      </x:c>
      <x:c r="C2496" s="16" t="str"/>
      <x:c r="D2496" s="16" t="str">
        <x:v>* myContacts</x:v>
      </x:c>
      <x:c r="E2496" s="16" t="str">
        <x:v>Missing email</x:v>
      </x:c>
    </x:row>
    <x:row r="2497">
      <x:c r="A2497" s="16" t="n">
        <x:v>2606</x:v>
      </x:c>
      <x:c r="B2497" s="16" t="str">
        <x:v>Farah Dina Azizan</x:v>
      </x:c>
      <x:c r="C2497" s="16" t="str"/>
      <x:c r="D2497" s="16" t="str">
        <x:v>* myContacts</x:v>
      </x:c>
      <x:c r="E2497" s="16" t="str">
        <x:v>Missing email</x:v>
      </x:c>
    </x:row>
    <x:row r="2498">
      <x:c r="A2498" s="16" t="n">
        <x:v>2607</x:v>
      </x:c>
      <x:c r="B2498" s="16" t="str">
        <x:v>Farah Dyxy</x:v>
      </x:c>
      <x:c r="C2498" s="16" t="str"/>
      <x:c r="D2498" s="16" t="str">
        <x:v>* myContacts</x:v>
      </x:c>
      <x:c r="E2498" s="16" t="str">
        <x:v>Missing email</x:v>
      </x:c>
    </x:row>
    <x:row r="2499">
      <x:c r="A2499" s="16" t="n">
        <x:v>2608</x:v>
      </x:c>
      <x:c r="B2499" s="16" t="str">
        <x:v>Farah Ilyana Ahmad Mansur</x:v>
      </x:c>
      <x:c r="C2499" s="16" t="str"/>
      <x:c r="D2499" s="16" t="str">
        <x:v>* myContacts</x:v>
      </x:c>
      <x:c r="E2499" s="16" t="str">
        <x:v>Missing email</x:v>
      </x:c>
    </x:row>
    <x:row r="2500">
      <x:c r="A2500" s="16" t="n">
        <x:v>2609</x:v>
      </x:c>
      <x:c r="B2500" s="16" t="str">
        <x:v>Farah Mohamad</x:v>
      </x:c>
      <x:c r="C2500" s="16" t="str"/>
      <x:c r="D2500" s="16" t="str">
        <x:v>* myContacts</x:v>
      </x:c>
      <x:c r="E2500" s="16" t="str">
        <x:v>Missing email</x:v>
      </x:c>
    </x:row>
    <x:row r="2501">
      <x:c r="A2501" s="16" t="n">
        <x:v>2610</x:v>
      </x:c>
      <x:c r="B2501" s="16" t="str">
        <x:v>Farah Nadirah Zamri</x:v>
      </x:c>
      <x:c r="C2501" s="16" t="str"/>
      <x:c r="D2501" s="16" t="str">
        <x:v>* myContacts</x:v>
      </x:c>
      <x:c r="E2501" s="16" t="str">
        <x:v>Missing email</x:v>
      </x:c>
    </x:row>
    <x:row r="2502">
      <x:c r="A2502" s="16" t="n">
        <x:v>2611</x:v>
      </x:c>
      <x:c r="B2502" s="16" t="str">
        <x:v>Farah Najla Farm Fresh Puncak Alam</x:v>
      </x:c>
      <x:c r="C2502" s="16" t="str"/>
      <x:c r="D2502" s="16" t="str">
        <x:v>* myContacts</x:v>
      </x:c>
      <x:c r="E2502" s="16" t="str">
        <x:v>Missing email</x:v>
      </x:c>
    </x:row>
    <x:row r="2503">
      <x:c r="A2503" s="16" t="n">
        <x:v>2612</x:v>
      </x:c>
      <x:c r="B2503" s="16" t="str">
        <x:v>Farah Najwa II</x:v>
      </x:c>
      <x:c r="C2503" s="16" t="str"/>
      <x:c r="D2503" s="16" t="str">
        <x:v>* myContacts</x:v>
      </x:c>
      <x:c r="E2503" s="16" t="str">
        <x:v>Missing email</x:v>
      </x:c>
    </x:row>
    <x:row r="2504">
      <x:c r="A2504" s="16" t="n">
        <x:v>2613</x:v>
      </x:c>
      <x:c r="B2504" s="16" t="str">
        <x:v>Farah Nur Adela</x:v>
      </x:c>
      <x:c r="C2504" s="16" t="str"/>
      <x:c r="D2504" s="16" t="str">
        <x:v>* myContacts</x:v>
      </x:c>
      <x:c r="E2504" s="16" t="str">
        <x:v>Missing email</x:v>
      </x:c>
    </x:row>
    <x:row r="2505">
      <x:c r="A2505" s="16" t="n">
        <x:v>2614</x:v>
      </x:c>
      <x:c r="B2505" s="16" t="str">
        <x:v>Farah Pitching Centre</x:v>
      </x:c>
      <x:c r="C2505" s="16" t="str"/>
      <x:c r="D2505" s="16" t="str">
        <x:v>* myContacts</x:v>
      </x:c>
      <x:c r="E2505" s="16" t="str">
        <x:v>Missing email</x:v>
      </x:c>
    </x:row>
    <x:row r="2506">
      <x:c r="A2506" s="16" t="n">
        <x:v>2615</x:v>
      </x:c>
      <x:c r="B2506" s="16" t="str">
        <x:v>Farah Quenn</x:v>
      </x:c>
      <x:c r="C2506" s="16" t="str"/>
      <x:c r="D2506" s="16" t="str">
        <x:v>* myContacts</x:v>
      </x:c>
      <x:c r="E2506" s="16" t="str">
        <x:v>Missing email</x:v>
      </x:c>
    </x:row>
    <x:row r="2507">
      <x:c r="A2507" s="16" t="n">
        <x:v>2616</x:v>
      </x:c>
      <x:c r="B2507" s="16" t="str">
        <x:v>Farah Qurratun</x:v>
      </x:c>
      <x:c r="C2507" s="16" t="str"/>
      <x:c r="D2507" s="16" t="str">
        <x:v>* myContacts</x:v>
      </x:c>
      <x:c r="E2507" s="16" t="str">
        <x:v>Missing email</x:v>
      </x:c>
    </x:row>
    <x:row r="2508">
      <x:c r="A2508" s="16" t="n">
        <x:v>2618</x:v>
      </x:c>
      <x:c r="B2508" s="16" t="str">
        <x:v>Farah Wahida Abu Supian Strategic Alliance</x:v>
      </x:c>
      <x:c r="C2508" s="16" t="str"/>
      <x:c r="D2508" s="16" t="str">
        <x:v>* myContacts</x:v>
      </x:c>
      <x:c r="E2508" s="16" t="str">
        <x:v>Missing email</x:v>
      </x:c>
    </x:row>
    <x:row r="2509">
      <x:c r="A2509" s="16" t="n">
        <x:v>2619</x:v>
      </x:c>
      <x:c r="B2509" s="16" t="str">
        <x:v>Farah Zakaria</x:v>
      </x:c>
      <x:c r="C2509" s="16" t="str"/>
      <x:c r="D2509" s="16" t="str">
        <x:v>* myContacts</x:v>
      </x:c>
      <x:c r="E2509" s="16" t="str">
        <x:v>Missing email</x:v>
      </x:c>
    </x:row>
    <x:row r="2510">
      <x:c r="A2510" s="16" t="n">
        <x:v>2620</x:v>
      </x:c>
      <x:c r="B2510" s="16" t="str">
        <x:v>Farah. CEDAR</x:v>
      </x:c>
      <x:c r="C2510" s="16" t="str"/>
      <x:c r="D2510" s="16" t="str">
        <x:v>* myContacts</x:v>
      </x:c>
      <x:c r="E2510" s="16" t="str">
        <x:v>Missing email</x:v>
      </x:c>
    </x:row>
    <x:row r="2511">
      <x:c r="A2511" s="16" t="n">
        <x:v>2621</x:v>
      </x:c>
      <x:c r="B2511" s="16" t="str">
        <x:v>Farahain Juhari</x:v>
      </x:c>
      <x:c r="C2511" s="16" t="str"/>
      <x:c r="D2511" s="16" t="str">
        <x:v>* myContacts</x:v>
      </x:c>
      <x:c r="E2511" s="16" t="str">
        <x:v>Missing email</x:v>
      </x:c>
    </x:row>
    <x:row r="2512">
      <x:c r="A2512" s="16" t="n">
        <x:v>2622</x:v>
      </x:c>
      <x:c r="B2512" s="16" t="str">
        <x:v>Farahana Nazri</x:v>
      </x:c>
      <x:c r="C2512" s="16" t="str"/>
      <x:c r="D2512" s="16" t="str">
        <x:v>* myContacts</x:v>
      </x:c>
      <x:c r="E2512" s="16" t="str">
        <x:v>Missing email</x:v>
      </x:c>
    </x:row>
    <x:row r="2513">
      <x:c r="A2513" s="16" t="n">
        <x:v>2623</x:v>
      </x:c>
      <x:c r="B2513" s="16" t="str">
        <x:v>Farahhin Natasha Buhary</x:v>
      </x:c>
      <x:c r="C2513" s="16" t="str"/>
      <x:c r="D2513" s="16" t="str">
        <x:v>* myContacts</x:v>
      </x:c>
      <x:c r="E2513" s="16" t="str">
        <x:v>Missing email</x:v>
      </x:c>
    </x:row>
    <x:row r="2514">
      <x:c r="A2514" s="16" t="n">
        <x:v>2624</x:v>
      </x:c>
      <x:c r="B2514" s="16" t="str">
        <x:v>Farahin Noor</x:v>
      </x:c>
      <x:c r="C2514" s="16" t="str"/>
      <x:c r="D2514" s="16" t="str">
        <x:v>* myContacts</x:v>
      </x:c>
      <x:c r="E2514" s="16" t="str">
        <x:v>Missing email</x:v>
      </x:c>
    </x:row>
    <x:row r="2515">
      <x:c r="A2515" s="16" t="n">
        <x:v>2625</x:v>
      </x:c>
      <x:c r="B2515" s="16" t="str">
        <x:v>Farahiyah Farapink Taib</x:v>
      </x:c>
      <x:c r="C2515" s="16" t="str"/>
      <x:c r="D2515" s="16" t="str">
        <x:v>* myContacts</x:v>
      </x:c>
      <x:c r="E2515" s="16" t="str">
        <x:v>Missing email</x:v>
      </x:c>
    </x:row>
    <x:row r="2516">
      <x:c r="A2516" s="16" t="n">
        <x:v>2626</x:v>
      </x:c>
      <x:c r="B2516" s="16" t="str">
        <x:v>Faraness Tiktok Officer</x:v>
      </x:c>
      <x:c r="C2516" s="16" t="str"/>
      <x:c r="D2516" s="16" t="str">
        <x:v>* myContacts</x:v>
      </x:c>
      <x:c r="E2516" s="16" t="str">
        <x:v>Missing email</x:v>
      </x:c>
    </x:row>
    <x:row r="2517">
      <x:c r="A2517" s="16" t="n">
        <x:v>2627</x:v>
      </x:c>
      <x:c r="B2517" s="16" t="str">
        <x:v>Fareed mdec Trainer</x:v>
      </x:c>
      <x:c r="C2517" s="16" t="str"/>
      <x:c r="D2517" s="16" t="str">
        <x:v>Trainer | * myContacts</x:v>
      </x:c>
      <x:c r="E2517" s="16" t="str">
        <x:v>Missing email</x:v>
      </x:c>
    </x:row>
    <x:row r="2518">
      <x:c r="A2518" s="16" t="n">
        <x:v>2628</x:v>
      </x:c>
      <x:c r="B2518" s="16" t="str">
        <x:v>Fareehan Mukhtar</x:v>
      </x:c>
      <x:c r="C2518" s="16" t="str"/>
      <x:c r="D2518" s="16" t="str">
        <x:v>* myContacts</x:v>
      </x:c>
      <x:c r="E2518" s="16" t="str">
        <x:v>Missing email</x:v>
      </x:c>
    </x:row>
    <x:row r="2519">
      <x:c r="A2519" s="16" t="n">
        <x:v>2629</x:v>
      </x:c>
      <x:c r="B2519" s="16" t="str">
        <x:v>Farez Azhar</x:v>
      </x:c>
      <x:c r="C2519" s="16" t="str"/>
      <x:c r="D2519" s="16" t="str">
        <x:v>* myContacts</x:v>
      </x:c>
      <x:c r="E2519" s="16" t="str">
        <x:v>Missing email</x:v>
      </x:c>
    </x:row>
    <x:row r="2520">
      <x:c r="A2520" s="16" t="n">
        <x:v>2630</x:v>
      </x:c>
      <x:c r="B2520" s="16" t="str">
        <x:v>Farez Cece</x:v>
      </x:c>
      <x:c r="C2520" s="16" t="str"/>
      <x:c r="D2520" s="16" t="str">
        <x:v>* myContacts</x:v>
      </x:c>
      <x:c r="E2520" s="16" t="str">
        <x:v>Missing email</x:v>
      </x:c>
    </x:row>
    <x:row r="2521">
      <x:c r="A2521" s="16" t="n">
        <x:v>2631</x:v>
      </x:c>
      <x:c r="B2521" s="16" t="str">
        <x:v>Farhah Amirah</x:v>
      </x:c>
      <x:c r="C2521" s="16" t="str"/>
      <x:c r="D2521" s="16" t="str">
        <x:v>* myContacts</x:v>
      </x:c>
      <x:c r="E2521" s="16" t="str">
        <x:v>Missing email</x:v>
      </x:c>
    </x:row>
    <x:row r="2522">
      <x:c r="A2522" s="16" t="n">
        <x:v>2632</x:v>
      </x:c>
      <x:c r="B2522" s="16" t="str">
        <x:v>Farhah Asnadi</x:v>
      </x:c>
      <x:c r="C2522" s="16" t="str"/>
      <x:c r="D2522" s="16" t="str">
        <x:v>* myContacts</x:v>
      </x:c>
      <x:c r="E2522" s="16" t="str">
        <x:v>Missing email</x:v>
      </x:c>
    </x:row>
    <x:row r="2523">
      <x:c r="A2523" s="16" t="n">
        <x:v>2633</x:v>
      </x:c>
      <x:c r="B2523" s="16" t="str">
        <x:v>Farhan Paan</x:v>
      </x:c>
      <x:c r="C2523" s="16" t="str"/>
      <x:c r="D2523" s="16" t="str">
        <x:v>* myContacts</x:v>
      </x:c>
      <x:c r="E2523" s="16" t="str">
        <x:v>Missing email</x:v>
      </x:c>
    </x:row>
    <x:row r="2524">
      <x:c r="A2524" s="16" t="n">
        <x:v>2634</x:v>
      </x:c>
      <x:c r="B2524" s="16" t="str">
        <x:v>Farhan Pandei Sarawak State Library</x:v>
      </x:c>
      <x:c r="C2524" s="16" t="str"/>
      <x:c r="D2524" s="16" t="str">
        <x:v>* myContacts</x:v>
      </x:c>
      <x:c r="E2524" s="16" t="str">
        <x:v>Missing email</x:v>
      </x:c>
    </x:row>
    <x:row r="2525">
      <x:c r="A2525" s="16" t="n">
        <x:v>2635</x:v>
      </x:c>
      <x:c r="B2525" s="16" t="str">
        <x:v>Farhan Rexton</x:v>
      </x:c>
      <x:c r="C2525" s="16" t="str"/>
      <x:c r="D2525" s="16" t="str">
        <x:v>* myContacts</x:v>
      </x:c>
      <x:c r="E2525" s="16" t="str">
        <x:v>Missing email</x:v>
      </x:c>
    </x:row>
    <x:row r="2526">
      <x:c r="A2526" s="16" t="n">
        <x:v>2636</x:v>
      </x:c>
      <x:c r="B2526" s="16" t="str">
        <x:v>Farhan Sifu Copywriting</x:v>
      </x:c>
      <x:c r="C2526" s="16" t="str"/>
      <x:c r="D2526" s="16" t="str">
        <x:v>Trainer | * myContacts</x:v>
      </x:c>
      <x:c r="E2526" s="16" t="str">
        <x:v>Missing email</x:v>
      </x:c>
    </x:row>
    <x:row r="2527">
      <x:c r="A2527" s="16" t="n">
        <x:v>2637</x:v>
      </x:c>
      <x:c r="B2527" s="16" t="str">
        <x:v>Farhana Atikah</x:v>
      </x:c>
      <x:c r="C2527" s="16" t="str"/>
      <x:c r="D2527" s="16" t="str">
        <x:v>* myContacts</x:v>
      </x:c>
      <x:c r="E2527" s="16" t="str">
        <x:v>Missing email</x:v>
      </x:c>
    </x:row>
    <x:row r="2528">
      <x:c r="A2528" s="16" t="n">
        <x:v>2638</x:v>
      </x:c>
      <x:c r="B2528" s="16" t="str">
        <x:v>Farhana Auni</x:v>
      </x:c>
      <x:c r="C2528" s="16" t="str"/>
      <x:c r="D2528" s="16" t="str">
        <x:v>* myContacts</x:v>
      </x:c>
      <x:c r="E2528" s="16" t="str">
        <x:v>Missing email</x:v>
      </x:c>
    </x:row>
    <x:row r="2529">
      <x:c r="A2529" s="16" t="n">
        <x:v>2639</x:v>
      </x:c>
      <x:c r="B2529" s="16" t="str">
        <x:v>Farhanah Cikdin</x:v>
      </x:c>
      <x:c r="C2529" s="16" t="str"/>
      <x:c r="D2529" s="16" t="str">
        <x:v>* myContacts</x:v>
      </x:c>
      <x:c r="E2529" s="16" t="str">
        <x:v>Missing email</x:v>
      </x:c>
    </x:row>
    <x:row r="2530">
      <x:c r="A2530" s="16" t="n">
        <x:v>2640</x:v>
      </x:c>
      <x:c r="B2530" s="16" t="str">
        <x:v>Farid</x:v>
      </x:c>
      <x:c r="C2530" s="16" t="str"/>
      <x:c r="D2530" s="16" t="str">
        <x:v>* myContacts</x:v>
      </x:c>
      <x:c r="E2530" s="16" t="str">
        <x:v>Missing email</x:v>
      </x:c>
    </x:row>
    <x:row r="2531">
      <x:c r="A2531" s="16" t="n">
        <x:v>2641</x:v>
      </x:c>
      <x:c r="B2531" s="16" t="str">
        <x:v>Farid Ariffin</x:v>
      </x:c>
      <x:c r="C2531" s="16" t="str"/>
      <x:c r="D2531" s="16" t="str">
        <x:v>* myContacts</x:v>
      </x:c>
      <x:c r="E2531" s="16" t="str">
        <x:v>Missing email</x:v>
      </x:c>
    </x:row>
    <x:row r="2532">
      <x:c r="A2532" s="16" t="n">
        <x:v>2642</x:v>
      </x:c>
      <x:c r="B2532" s="16" t="str">
        <x:v>Farid Farid</x:v>
      </x:c>
      <x:c r="C2532" s="16" t="str"/>
      <x:c r="D2532" s="16" t="str">
        <x:v>* myContacts</x:v>
      </x:c>
      <x:c r="E2532" s="16" t="str">
        <x:v>Missing email</x:v>
      </x:c>
    </x:row>
    <x:row r="2533">
      <x:c r="A2533" s="16" t="n">
        <x:v>2643</x:v>
      </x:c>
      <x:c r="B2533" s="16" t="str">
        <x:v>Farid Gatestailor</x:v>
      </x:c>
      <x:c r="C2533" s="16" t="str"/>
      <x:c r="D2533" s="16" t="str">
        <x:v>* myContacts</x:v>
      </x:c>
      <x:c r="E2533" s="16" t="str">
        <x:v>Missing email</x:v>
      </x:c>
    </x:row>
    <x:row r="2534">
      <x:c r="A2534" s="16" t="n">
        <x:v>2645</x:v>
      </x:c>
      <x:c r="B2534" s="16" t="str">
        <x:v>Farid Siraj</x:v>
      </x:c>
      <x:c r="C2534" s="16" t="str"/>
      <x:c r="D2534" s="16" t="str">
        <x:v>* myContacts</x:v>
      </x:c>
      <x:c r="E2534" s="16" t="str">
        <x:v>Missing email</x:v>
      </x:c>
    </x:row>
    <x:row r="2535">
      <x:c r="A2535" s="16" t="n">
        <x:v>2647</x:v>
      </x:c>
      <x:c r="B2535" s="16" t="str">
        <x:v>Faridah IM</x:v>
      </x:c>
      <x:c r="C2535" s="16" t="str"/>
      <x:c r="D2535" s="16" t="str">
        <x:v>* myContacts</x:v>
      </x:c>
      <x:c r="E2535" s="16" t="str">
        <x:v>Missing email</x:v>
      </x:c>
    </x:row>
    <x:row r="2536">
      <x:c r="A2536" s="16" t="n">
        <x:v>2648</x:v>
      </x:c>
      <x:c r="B2536" s="16" t="str">
        <x:v>Faridah Kbbc Agent</x:v>
      </x:c>
      <x:c r="C2536" s="16" t="str"/>
      <x:c r="D2536" s="16" t="str">
        <x:v>* myContacts</x:v>
      </x:c>
      <x:c r="E2536" s="16" t="str">
        <x:v>Missing email</x:v>
      </x:c>
    </x:row>
    <x:row r="2537">
      <x:c r="A2537" s="16" t="n">
        <x:v>2650</x:v>
      </x:c>
      <x:c r="B2537" s="16" t="str">
        <x:v>Farina Idayu Ahmad Hafif</x:v>
      </x:c>
      <x:c r="C2537" s="16" t="str"/>
      <x:c r="D2537" s="16" t="str">
        <x:v>* myContacts</x:v>
      </x:c>
      <x:c r="E2537" s="16" t="str">
        <x:v>Missing email</x:v>
      </x:c>
    </x:row>
    <x:row r="2538">
      <x:c r="A2538" s="16" t="n">
        <x:v>2651</x:v>
      </x:c>
      <x:c r="B2538" s="16" t="str">
        <x:v>Fariq Zainal Tauke</x:v>
      </x:c>
      <x:c r="C2538" s="16" t="str"/>
      <x:c r="D2538" s="16" t="str">
        <x:v>* myContacts</x:v>
      </x:c>
      <x:c r="E2538" s="16" t="str">
        <x:v>Missing email</x:v>
      </x:c>
    </x:row>
    <x:row r="2539">
      <x:c r="A2539" s="16" t="n">
        <x:v>2652</x:v>
      </x:c>
      <x:c r="B2539" s="16" t="str">
        <x:v>Faris Azizi</x:v>
      </x:c>
      <x:c r="C2539" s="16" t="str"/>
      <x:c r="D2539" s="16" t="str">
        <x:v>* myContacts</x:v>
      </x:c>
      <x:c r="E2539" s="16" t="str">
        <x:v>Missing email</x:v>
      </x:c>
    </x:row>
    <x:row r="2540">
      <x:c r="A2540" s="16" t="n">
        <x:v>2653</x:v>
      </x:c>
      <x:c r="B2540" s="16" t="str">
        <x:v>Faris Eddy</x:v>
      </x:c>
      <x:c r="C2540" s="16" t="str"/>
      <x:c r="D2540" s="16" t="str">
        <x:v>* myContacts</x:v>
      </x:c>
      <x:c r="E2540" s="16" t="str">
        <x:v>Missing email</x:v>
      </x:c>
    </x:row>
    <x:row r="2541">
      <x:c r="A2541" s="16" t="n">
        <x:v>2654</x:v>
      </x:c>
      <x:c r="B2541" s="16" t="str">
        <x:v>Faris IM</x:v>
      </x:c>
      <x:c r="C2541" s="16" t="str"/>
      <x:c r="D2541" s="16" t="str">
        <x:v>* myContacts</x:v>
      </x:c>
      <x:c r="E2541" s="16" t="str">
        <x:v>Missing email</x:v>
      </x:c>
    </x:row>
    <x:row r="2542">
      <x:c r="A2542" s="16" t="n">
        <x:v>2655</x:v>
      </x:c>
      <x:c r="B2542" s="16" t="str">
        <x:v>Farisovich Mohd</x:v>
      </x:c>
      <x:c r="C2542" s="16" t="str"/>
      <x:c r="D2542" s="16" t="str">
        <x:v>* myContacts</x:v>
      </x:c>
      <x:c r="E2542" s="16" t="str">
        <x:v>Missing email</x:v>
      </x:c>
    </x:row>
    <x:row r="2543">
      <x:c r="A2543" s="16" t="n">
        <x:v>2656</x:v>
      </x:c>
      <x:c r="B2543" s="16" t="str">
        <x:v>Fariz FGM</x:v>
      </x:c>
      <x:c r="C2543" s="16" t="str"/>
      <x:c r="D2543" s="16" t="str">
        <x:v>* myContacts</x:v>
      </x:c>
      <x:c r="E2543" s="16" t="str">
        <x:v>Missing email</x:v>
      </x:c>
    </x:row>
    <x:row r="2544">
      <x:c r="A2544" s="16" t="n">
        <x:v>2657</x:v>
      </x:c>
      <x:c r="B2544" s="16" t="str">
        <x:v>Fariz Hazwan IM</x:v>
      </x:c>
      <x:c r="C2544" s="16" t="str"/>
      <x:c r="D2544" s="16" t="str">
        <x:v>* myContacts</x:v>
      </x:c>
      <x:c r="E2544" s="16" t="str">
        <x:v>Missing email</x:v>
      </x:c>
    </x:row>
    <x:row r="2545">
      <x:c r="A2545" s="16" t="n">
        <x:v>2658</x:v>
      </x:c>
      <x:c r="B2545" s="16" t="str">
        <x:v>fariz im</x:v>
      </x:c>
      <x:c r="C2545" s="16" t="str"/>
      <x:c r="D2545" s="16" t="str">
        <x:v>* myContacts</x:v>
      </x:c>
      <x:c r="E2545" s="16" t="str">
        <x:v>Missing email</x:v>
      </x:c>
    </x:row>
    <x:row r="2546">
      <x:c r="A2546" s="16" t="n">
        <x:v>2659</x:v>
      </x:c>
      <x:c r="B2546" s="16" t="str">
        <x:v>Fariz Jamil TE</x:v>
      </x:c>
      <x:c r="C2546" s="16" t="str"/>
      <x:c r="D2546" s="16" t="str">
        <x:v>* myContacts</x:v>
      </x:c>
      <x:c r="E2546" s="16" t="str">
        <x:v>Missing email</x:v>
      </x:c>
    </x:row>
    <x:row r="2547">
      <x:c r="A2547" s="16" t="n">
        <x:v>2660</x:v>
      </x:c>
      <x:c r="B2547" s="16" t="str">
        <x:v>Fariz Kbbc Agent</x:v>
      </x:c>
      <x:c r="C2547" s="16" t="str"/>
      <x:c r="D2547" s="16" t="str">
        <x:v>* myContacts</x:v>
      </x:c>
      <x:c r="E2547" s="16" t="str">
        <x:v>Missing email</x:v>
      </x:c>
    </x:row>
    <x:row r="2548">
      <x:c r="A2548" s="16" t="n">
        <x:v>2661</x:v>
      </x:c>
      <x:c r="B2548" s="16" t="str">
        <x:v>Fariz Rahman</x:v>
      </x:c>
      <x:c r="C2548" s="16" t="str"/>
      <x:c r="D2548" s="16" t="str">
        <x:v>* myContacts</x:v>
      </x:c>
      <x:c r="E2548" s="16" t="str">
        <x:v>Missing email</x:v>
      </x:c>
    </x:row>
    <x:row r="2549">
      <x:c r="A2549" s="16" t="n">
        <x:v>2662</x:v>
      </x:c>
      <x:c r="B2549" s="16" t="str">
        <x:v>Fariz Sound Engineer</x:v>
      </x:c>
      <x:c r="C2549" s="16" t="str"/>
      <x:c r="D2549" s="16" t="str">
        <x:v>* myContacts</x:v>
      </x:c>
      <x:c r="E2549" s="16" t="str">
        <x:v>Missing email</x:v>
      </x:c>
    </x:row>
    <x:row r="2550">
      <x:c r="A2550" s="16" t="n">
        <x:v>2663</x:v>
      </x:c>
      <x:c r="B2550" s="16" t="str">
        <x:v>Fariz Utm Kawan Universiti</x:v>
      </x:c>
      <x:c r="C2550" s="16" t="str"/>
      <x:c r="D2550" s="16" t="str">
        <x:v>* myContacts</x:v>
      </x:c>
      <x:c r="E2550" s="16" t="str">
        <x:v>Missing email</x:v>
      </x:c>
    </x:row>
    <x:row r="2551">
      <x:c r="A2551" s="16" t="n">
        <x:v>2664</x:v>
      </x:c>
      <x:c r="B2551" s="16" t="str">
        <x:v>Fariz Wan</x:v>
      </x:c>
      <x:c r="C2551" s="16" t="str"/>
      <x:c r="D2551" s="16" t="str">
        <x:v>* myContacts</x:v>
      </x:c>
      <x:c r="E2551" s="16" t="str">
        <x:v>Missing email</x:v>
      </x:c>
    </x:row>
    <x:row r="2552">
      <x:c r="A2552" s="16" t="n">
        <x:v>2665</x:v>
      </x:c>
      <x:c r="B2552" s="16" t="str">
        <x:v>Fariza Farok</x:v>
      </x:c>
      <x:c r="C2552" s="16" t="str"/>
      <x:c r="D2552" s="16" t="str">
        <x:v>* myContacts</x:v>
      </x:c>
      <x:c r="E2552" s="16" t="str">
        <x:v>Missing email</x:v>
      </x:c>
    </x:row>
    <x:row r="2553">
      <x:c r="A2553" s="16" t="n">
        <x:v>2666</x:v>
      </x:c>
      <x:c r="B2553" s="16" t="str">
        <x:v>Fariza Samsuri</x:v>
      </x:c>
      <x:c r="C2553" s="16" t="str"/>
      <x:c r="D2553" s="16" t="str">
        <x:v>* myContacts</x:v>
      </x:c>
      <x:c r="E2553" s="16" t="str">
        <x:v>Missing email</x:v>
      </x:c>
    </x:row>
    <x:row r="2554">
      <x:c r="A2554" s="16" t="n">
        <x:v>2667</x:v>
      </x:c>
      <x:c r="B2554" s="16" t="str">
        <x:v>Farizal AlAnsar Biz Point</x:v>
      </x:c>
      <x:c r="C2554" s="16" t="str"/>
      <x:c r="D2554" s="16" t="str">
        <x:v>* myContacts</x:v>
      </x:c>
      <x:c r="E2554" s="16" t="str">
        <x:v>Missing email</x:v>
      </x:c>
    </x:row>
    <x:row r="2555">
      <x:c r="A2555" s="16" t="n">
        <x:v>2668</x:v>
      </x:c>
      <x:c r="B2555" s="16" t="str">
        <x:v>Farizal Hamidon</x:v>
      </x:c>
      <x:c r="C2555" s="16" t="str"/>
      <x:c r="D2555" s="16" t="str">
        <x:v>* myContacts</x:v>
      </x:c>
      <x:c r="E2555" s="16" t="str">
        <x:v>Missing email</x:v>
      </x:c>
    </x:row>
    <x:row r="2556">
      <x:c r="A2556" s="16" t="n">
        <x:v>2669</x:v>
      </x:c>
      <x:c r="B2556" s="16" t="str">
        <x:v>Farizzul Azizi</x:v>
      </x:c>
      <x:c r="C2556" s="16" t="str"/>
      <x:c r="D2556" s="16" t="str">
        <x:v>* myContacts</x:v>
      </x:c>
      <x:c r="E2556" s="16" t="str">
        <x:v>Missing email</x:v>
      </x:c>
    </x:row>
    <x:row r="2557">
      <x:c r="A2557" s="16" t="n">
        <x:v>2670</x:v>
      </x:c>
      <x:c r="B2557" s="16" t="str">
        <x:v>Farly Burhan Sifu Website</x:v>
      </x:c>
      <x:c r="C2557" s="16" t="str"/>
      <x:c r="D2557" s="16" t="str">
        <x:v>Trainer | * myContacts</x:v>
      </x:c>
      <x:c r="E2557" s="16" t="str">
        <x:v>Missing email</x:v>
      </x:c>
    </x:row>
    <x:row r="2558">
      <x:c r="A2558" s="16" t="n">
        <x:v>2671</x:v>
      </x:c>
      <x:c r="B2558" s="16" t="str">
        <x:v>Farouk Firdaus</x:v>
      </x:c>
      <x:c r="C2558" s="16" t="str"/>
      <x:c r="D2558" s="16" t="str">
        <x:v>* myContacts</x:v>
      </x:c>
      <x:c r="E2558" s="16" t="str">
        <x:v>Missing email</x:v>
      </x:c>
    </x:row>
    <x:row r="2559">
      <x:c r="A2559" s="16" t="n">
        <x:v>2672</x:v>
      </x:c>
      <x:c r="B2559" s="16" t="str">
        <x:v>Farouq Izzuan</x:v>
      </x:c>
      <x:c r="C2559" s="16" t="str"/>
      <x:c r="D2559" s="16" t="str">
        <x:v>* myContacts</x:v>
      </x:c>
      <x:c r="E2559" s="16" t="str">
        <x:v>Missing email</x:v>
      </x:c>
    </x:row>
    <x:row r="2560">
      <x:c r="A2560" s="16" t="n">
        <x:v>2673</x:v>
      </x:c>
      <x:c r="B2560" s="16" t="str">
        <x:v>Farouq Jnj</x:v>
      </x:c>
      <x:c r="C2560" s="16" t="str"/>
      <x:c r="D2560" s="16" t="str">
        <x:v>* myContacts</x:v>
      </x:c>
      <x:c r="E2560" s="16" t="str">
        <x:v>Missing email</x:v>
      </x:c>
    </x:row>
    <x:row r="2561">
      <x:c r="A2561" s="16" t="n">
        <x:v>2674</x:v>
      </x:c>
      <x:c r="B2561" s="16" t="str">
        <x:v>Farra RA8</x:v>
      </x:c>
      <x:c r="C2561" s="16" t="str"/>
      <x:c r="D2561" s="16" t="str">
        <x:v>* myContacts</x:v>
      </x:c>
      <x:c r="E2561" s="16" t="str">
        <x:v>Missing email</x:v>
      </x:c>
    </x:row>
    <x:row r="2562">
      <x:c r="A2562" s="16" t="n">
        <x:v>2675</x:v>
      </x:c>
      <x:c r="B2562" s="16" t="str">
        <x:v>Farrahdina Sudin</x:v>
      </x:c>
      <x:c r="C2562" s="16" t="str"/>
      <x:c r="D2562" s="16" t="str">
        <x:v>* myContacts</x:v>
      </x:c>
      <x:c r="E2562" s="16" t="str">
        <x:v>Missing email</x:v>
      </x:c>
    </x:row>
    <x:row r="2563">
      <x:c r="A2563" s="16" t="n">
        <x:v>2676</x:v>
      </x:c>
      <x:c r="B2563" s="16" t="str">
        <x:v>Farsuriati Yasid</x:v>
      </x:c>
      <x:c r="C2563" s="16" t="str"/>
      <x:c r="D2563" s="16" t="str">
        <x:v>* myContacts</x:v>
      </x:c>
      <x:c r="E2563" s="16" t="str">
        <x:v>Missing email</x:v>
      </x:c>
    </x:row>
    <x:row r="2564">
      <x:c r="A2564" s="16" t="n">
        <x:v>2677</x:v>
      </x:c>
      <x:c r="B2564" s="16" t="str">
        <x:v>Faruq Ayman</x:v>
      </x:c>
      <x:c r="C2564" s="16" t="str"/>
      <x:c r="D2564" s="16" t="str">
        <x:v>* myContacts</x:v>
      </x:c>
      <x:c r="E2564" s="16" t="str">
        <x:v>Missing email</x:v>
      </x:c>
    </x:row>
    <x:row r="2565">
      <x:c r="A2565" s="16" t="n">
        <x:v>2678</x:v>
      </x:c>
      <x:c r="B2565" s="16" t="str">
        <x:v>Farzianna Khairuddin</x:v>
      </x:c>
      <x:c r="C2565" s="16" t="str"/>
      <x:c r="D2565" s="16" t="str">
        <x:v>* myContacts</x:v>
      </x:c>
      <x:c r="E2565" s="16" t="str">
        <x:v>Missing email</x:v>
      </x:c>
    </x:row>
    <x:row r="2566">
      <x:c r="A2566" s="16" t="n">
        <x:v>2679</x:v>
      </x:c>
      <x:c r="B2566" s="16" t="str">
        <x:v>Fasha Farisya</x:v>
      </x:c>
      <x:c r="C2566" s="16" t="str"/>
      <x:c r="D2566" s="16" t="str">
        <x:v>* myContacts</x:v>
      </x:c>
      <x:c r="E2566" s="16" t="str">
        <x:v>Missing email</x:v>
      </x:c>
    </x:row>
    <x:row r="2567">
      <x:c r="A2567" s="16" t="n">
        <x:v>2680</x:v>
      </x:c>
      <x:c r="B2567" s="16" t="str">
        <x:v>Fasyeera Charms N Starglow</x:v>
      </x:c>
      <x:c r="C2567" s="16" t="str"/>
      <x:c r="D2567" s="16" t="str">
        <x:v>* myContacts</x:v>
      </x:c>
      <x:c r="E2567" s="16" t="str">
        <x:v>Missing email</x:v>
      </x:c>
    </x:row>
    <x:row r="2568">
      <x:c r="A2568" s="16" t="n">
        <x:v>2681</x:v>
      </x:c>
      <x:c r="B2568" s="16" t="str">
        <x:v>Fasyihah Mohamad</x:v>
      </x:c>
      <x:c r="C2568" s="16" t="str"/>
      <x:c r="D2568" s="16" t="str">
        <x:v>* myContacts</x:v>
      </x:c>
      <x:c r="E2568" s="16" t="str">
        <x:v>Missing email</x:v>
      </x:c>
    </x:row>
    <x:row r="2569">
      <x:c r="A2569" s="16" t="n">
        <x:v>2682</x:v>
      </x:c>
      <x:c r="B2569" s="16" t="str">
        <x:v>Fasyirah Beuty HQ</x:v>
      </x:c>
      <x:c r="C2569" s="16" t="str"/>
      <x:c r="D2569" s="16" t="str">
        <x:v>* myContacts</x:v>
      </x:c>
      <x:c r="E2569" s="16" t="str">
        <x:v>Missing email</x:v>
      </x:c>
    </x:row>
    <x:row r="2570">
      <x:c r="A2570" s="16" t="n">
        <x:v>2683</x:v>
      </x:c>
      <x:c r="B2570" s="16" t="str">
        <x:v>Fatah member lama</x:v>
      </x:c>
      <x:c r="C2570" s="16" t="str"/>
      <x:c r="D2570" s="16" t="str">
        <x:v>* myContacts</x:v>
      </x:c>
      <x:c r="E2570" s="16" t="str">
        <x:v>Missing email</x:v>
      </x:c>
    </x:row>
    <x:row r="2571">
      <x:c r="A2571" s="16" t="n">
        <x:v>2684</x:v>
      </x:c>
      <x:c r="B2571" s="16" t="str">
        <x:v>Faten Flori</x:v>
      </x:c>
      <x:c r="C2571" s="16" t="str"/>
      <x:c r="D2571" s="16" t="str">
        <x:v>* myContacts</x:v>
      </x:c>
      <x:c r="E2571" s="16" t="str">
        <x:v>Missing email</x:v>
      </x:c>
    </x:row>
    <x:row r="2572">
      <x:c r="A2572" s="16" t="n">
        <x:v>2685</x:v>
      </x:c>
      <x:c r="B2572" s="16" t="str">
        <x:v>Faten Inuya</x:v>
      </x:c>
      <x:c r="C2572" s="16" t="str"/>
      <x:c r="D2572" s="16" t="str">
        <x:v>* myContacts</x:v>
      </x:c>
      <x:c r="E2572" s="16" t="str">
        <x:v>Missing email</x:v>
      </x:c>
    </x:row>
    <x:row r="2573">
      <x:c r="A2573" s="16" t="n">
        <x:v>2686</x:v>
      </x:c>
      <x:c r="B2573" s="16" t="str">
        <x:v>Fatheyah Ismail</x:v>
      </x:c>
      <x:c r="C2573" s="16" t="str"/>
      <x:c r="D2573" s="16" t="str">
        <x:v>* myContacts</x:v>
      </x:c>
      <x:c r="E2573" s="16" t="str">
        <x:v>Missing email</x:v>
      </x:c>
    </x:row>
    <x:row r="2574">
      <x:c r="A2574" s="16" t="n">
        <x:v>2687</x:v>
      </x:c>
      <x:c r="B2574" s="16" t="str">
        <x:v>Fathiha Nurul</x:v>
      </x:c>
      <x:c r="C2574" s="16" t="str"/>
      <x:c r="D2574" s="16" t="str">
        <x:v>* myContacts</x:v>
      </x:c>
      <x:c r="E2574" s="16" t="str">
        <x:v>Missing email</x:v>
      </x:c>
    </x:row>
    <x:row r="2575">
      <x:c r="A2575" s="16" t="n">
        <x:v>2688</x:v>
      </x:c>
      <x:c r="B2575" s="16" t="str">
        <x:v>Fathin Naemah</x:v>
      </x:c>
      <x:c r="C2575" s="16" t="str"/>
      <x:c r="D2575" s="16" t="str">
        <x:v>* myContacts</x:v>
      </x:c>
      <x:c r="E2575" s="16" t="str">
        <x:v>Missing email</x:v>
      </x:c>
    </x:row>
    <x:row r="2576">
      <x:c r="A2576" s="16" t="n">
        <x:v>2689</x:v>
      </x:c>
      <x:c r="B2576" s="16" t="str">
        <x:v>Fathin Nur Ismadi</x:v>
      </x:c>
      <x:c r="C2576" s="16" t="str"/>
      <x:c r="D2576" s="16" t="str">
        <x:v>* myContacts</x:v>
      </x:c>
      <x:c r="E2576" s="16" t="str">
        <x:v>Missing email</x:v>
      </x:c>
    </x:row>
    <x:row r="2577">
      <x:c r="A2577" s="16" t="n">
        <x:v>2690</x:v>
      </x:c>
      <x:c r="B2577" s="16" t="str">
        <x:v>Fathiyah Printing</x:v>
      </x:c>
      <x:c r="C2577" s="16" t="str"/>
      <x:c r="D2577" s="16" t="str">
        <x:v>* myContacts</x:v>
      </x:c>
      <x:c r="E2577" s="16" t="str">
        <x:v>Missing email</x:v>
      </x:c>
    </x:row>
    <x:row r="2578">
      <x:c r="A2578" s="16" t="n">
        <x:v>2691</x:v>
      </x:c>
      <x:c r="B2578" s="16" t="str">
        <x:v>Fatiemah Abdulrahman</x:v>
      </x:c>
      <x:c r="C2578" s="16" t="str"/>
      <x:c r="D2578" s="16" t="str">
        <x:v>* myContacts</x:v>
      </x:c>
      <x:c r="E2578" s="16" t="str">
        <x:v>Missing email</x:v>
      </x:c>
    </x:row>
    <x:row r="2579">
      <x:c r="A2579" s="16" t="n">
        <x:v>2692</x:v>
      </x:c>
      <x:c r="B2579" s="16" t="str">
        <x:v>Fatihah iFlawless 1MMF</x:v>
      </x:c>
      <x:c r="C2579" s="16" t="str"/>
      <x:c r="D2579" s="16" t="str">
        <x:v>* myContacts</x:v>
      </x:c>
      <x:c r="E2579" s="16" t="str">
        <x:v>Missing email</x:v>
      </x:c>
    </x:row>
    <x:row r="2580">
      <x:c r="A2580" s="16" t="n">
        <x:v>2693</x:v>
      </x:c>
      <x:c r="B2580" s="16" t="str">
        <x:v>Fatihah Now Asia</x:v>
      </x:c>
      <x:c r="C2580" s="16" t="str"/>
      <x:c r="D2580" s="16" t="str">
        <x:v>* myContacts</x:v>
      </x:c>
      <x:c r="E2580" s="16" t="str">
        <x:v>Missing email</x:v>
      </x:c>
    </x:row>
    <x:row r="2581">
      <x:c r="A2581" s="16" t="n">
        <x:v>2694</x:v>
      </x:c>
      <x:c r="B2581" s="16" t="str">
        <x:v>Fatihah Student AIM</x:v>
      </x:c>
      <x:c r="C2581" s="16" t="str"/>
      <x:c r="D2581" s="16" t="str">
        <x:v>* myContacts</x:v>
      </x:c>
      <x:c r="E2581" s="16" t="str">
        <x:v>Missing email</x:v>
      </x:c>
    </x:row>
    <x:row r="2582">
      <x:c r="A2582" s="16" t="n">
        <x:v>2695</x:v>
      </x:c>
      <x:c r="B2582" s="16" t="str">
        <x:v>Fatihah Zabri</x:v>
      </x:c>
      <x:c r="C2582" s="16" t="str"/>
      <x:c r="D2582" s="16" t="str">
        <x:v>* myContacts</x:v>
      </x:c>
      <x:c r="E2582" s="16" t="str">
        <x:v>Missing email</x:v>
      </x:c>
    </x:row>
    <x:row r="2583">
      <x:c r="A2583" s="16" t="n">
        <x:v>2696</x:v>
      </x:c>
      <x:c r="B2583" s="16" t="str">
        <x:v>Fatihah Zamri Officer INSKEN</x:v>
      </x:c>
      <x:c r="C2583" s="16" t="str"/>
      <x:c r="D2583" s="16" t="str">
        <x:v>Alumni INSKEN | * myContacts</x:v>
      </x:c>
      <x:c r="E2583" s="16" t="str">
        <x:v>Missing email</x:v>
      </x:c>
    </x:row>
    <x:row r="2584">
      <x:c r="A2584" s="16" t="n">
        <x:v>2697</x:v>
      </x:c>
      <x:c r="B2584" s="16" t="str">
        <x:v>Fatima Fatt Tulisman Muajb</x:v>
      </x:c>
      <x:c r="C2584" s="16" t="str"/>
      <x:c r="D2584" s="16" t="str">
        <x:v>* myContacts</x:v>
      </x:c>
      <x:c r="E2584" s="16" t="str">
        <x:v>Missing email</x:v>
      </x:c>
    </x:row>
    <x:row r="2585">
      <x:c r="A2585" s="16" t="n">
        <x:v>2698</x:v>
      </x:c>
      <x:c r="B2585" s="16" t="str">
        <x:v>Fatima Hazes</x:v>
      </x:c>
      <x:c r="C2585" s="16" t="str"/>
      <x:c r="D2585" s="16" t="str">
        <x:v>* myContacts</x:v>
      </x:c>
      <x:c r="E2585" s="16" t="str">
        <x:v>Missing email</x:v>
      </x:c>
    </x:row>
    <x:row r="2586">
      <x:c r="A2586" s="16" t="n">
        <x:v>2699</x:v>
      </x:c>
      <x:c r="B2586" s="16" t="str">
        <x:v>Fatimah Fety</x:v>
      </x:c>
      <x:c r="C2586" s="16" t="str"/>
      <x:c r="D2586" s="16" t="str">
        <x:v>* myContacts</x:v>
      </x:c>
      <x:c r="E2586" s="16" t="str">
        <x:v>Missing email</x:v>
      </x:c>
    </x:row>
    <x:row r="2587">
      <x:c r="A2587" s="16" t="n">
        <x:v>2700</x:v>
      </x:c>
      <x:c r="B2587" s="16" t="str">
        <x:v>Fatimah Hassan</x:v>
      </x:c>
      <x:c r="C2587" s="16" t="str"/>
      <x:c r="D2587" s="16" t="str">
        <x:v>* myContacts</x:v>
      </x:c>
      <x:c r="E2587" s="16" t="str">
        <x:v>Missing email</x:v>
      </x:c>
    </x:row>
    <x:row r="2588">
      <x:c r="A2588" s="16" t="n">
        <x:v>2701</x:v>
      </x:c>
      <x:c r="B2588" s="16" t="str">
        <x:v>Fatimah Ismail AGP</x:v>
      </x:c>
      <x:c r="C2588" s="16" t="str"/>
      <x:c r="D2588" s="16" t="str">
        <x:v>* myContacts</x:v>
      </x:c>
      <x:c r="E2588" s="16" t="str">
        <x:v>Missing email</x:v>
      </x:c>
    </x:row>
    <x:row r="2589">
      <x:c r="A2589" s="16" t="n">
        <x:v>2702</x:v>
      </x:c>
      <x:c r="B2589" s="16" t="str">
        <x:v>FATIN ADEK BERADEK ABG ABU</x:v>
      </x:c>
      <x:c r="C2589" s="16" t="str"/>
      <x:c r="D2589" s="16" t="str">
        <x:v>* myContacts</x:v>
      </x:c>
      <x:c r="E2589" s="16" t="str">
        <x:v>Missing email</x:v>
      </x:c>
    </x:row>
    <x:row r="2590">
      <x:c r="A2590" s="16" t="n">
        <x:v>2703</x:v>
      </x:c>
      <x:c r="B2590" s="16" t="str">
        <x:v>Fatin Aniqah</x:v>
      </x:c>
      <x:c r="C2590" s="16" t="str"/>
      <x:c r="D2590" s="16" t="str">
        <x:v>* myContacts</x:v>
      </x:c>
      <x:c r="E2590" s="16" t="str">
        <x:v>Missing email</x:v>
      </x:c>
    </x:row>
    <x:row r="2591">
      <x:c r="A2591" s="16" t="n">
        <x:v>2704</x:v>
      </x:c>
      <x:c r="B2591" s="16" t="str">
        <x:v>Fatin Hijrah Selangor</x:v>
      </x:c>
      <x:c r="C2591" s="16" t="str"/>
      <x:c r="D2591" s="16" t="str">
        <x:v>* myContacts</x:v>
      </x:c>
      <x:c r="E2591" s="16" t="str">
        <x:v>Missing email</x:v>
      </x:c>
    </x:row>
    <x:row r="2592">
      <x:c r="A2592" s="16" t="n">
        <x:v>2705</x:v>
      </x:c>
      <x:c r="B2592" s="16" t="str">
        <x:v>Fatin Nabilah</x:v>
      </x:c>
      <x:c r="C2592" s="16" t="str"/>
      <x:c r="D2592" s="16" t="str">
        <x:v>* myContacts</x:v>
      </x:c>
      <x:c r="E2592" s="16" t="str">
        <x:v>Missing email</x:v>
      </x:c>
    </x:row>
    <x:row r="2593">
      <x:c r="A2593" s="16" t="n">
        <x:v>2706</x:v>
      </x:c>
      <x:c r="B2593" s="16" t="str">
        <x:v>Fatin NurLiyana</x:v>
      </x:c>
      <x:c r="C2593" s="16" t="str"/>
      <x:c r="D2593" s="16" t="str">
        <x:v>* myContacts</x:v>
      </x:c>
      <x:c r="E2593" s="16" t="str">
        <x:v>Missing email</x:v>
      </x:c>
    </x:row>
    <x:row r="2594">
      <x:c r="A2594" s="16" t="n">
        <x:v>2707</x:v>
      </x:c>
      <x:c r="B2594" s="16" t="str">
        <x:v>Fatin Sales Essens</x:v>
      </x:c>
      <x:c r="C2594" s="16" t="str"/>
      <x:c r="D2594" s="16" t="str">
        <x:v>* myContacts</x:v>
      </x:c>
      <x:c r="E2594" s="16" t="str">
        <x:v>Missing email</x:v>
      </x:c>
    </x:row>
    <x:row r="2595">
      <x:c r="A2595" s="16" t="n">
        <x:v>2708</x:v>
      </x:c>
      <x:c r="B2595" s="16" t="str">
        <x:v>Fatin Syamimi</x:v>
      </x:c>
      <x:c r="C2595" s="16" t="str"/>
      <x:c r="D2595" s="16" t="str">
        <x:v>* myContacts</x:v>
      </x:c>
      <x:c r="E2595" s="16" t="str">
        <x:v>Missing email</x:v>
      </x:c>
    </x:row>
    <x:row r="2596">
      <x:c r="A2596" s="16" t="n">
        <x:v>2709</x:v>
      </x:c>
      <x:c r="B2596" s="16" t="str">
        <x:v>Fatma Faqim</x:v>
      </x:c>
      <x:c r="C2596" s="16" t="str"/>
      <x:c r="D2596" s="16" t="str">
        <x:v>* myContacts</x:v>
      </x:c>
      <x:c r="E2596" s="16" t="str">
        <x:v>Missing email</x:v>
      </x:c>
    </x:row>
    <x:row r="2597">
      <x:c r="A2597" s="16" t="n">
        <x:v>2710</x:v>
      </x:c>
      <x:c r="B2597" s="16" t="str">
        <x:v>Fatmawati Fatah</x:v>
      </x:c>
      <x:c r="C2597" s="16" t="str"/>
      <x:c r="D2597" s="16" t="str">
        <x:v>* myContacts</x:v>
      </x:c>
      <x:c r="E2597" s="16" t="str">
        <x:v>Missing email</x:v>
      </x:c>
    </x:row>
    <x:row r="2598">
      <x:c r="A2598" s="16" t="n">
        <x:v>2711</x:v>
      </x:c>
      <x:c r="B2598" s="16" t="str">
        <x:v>Fattah Mansor WB</x:v>
      </x:c>
      <x:c r="C2598" s="16" t="str"/>
      <x:c r="D2598" s="16" t="str">
        <x:v>* myContacts</x:v>
      </x:c>
      <x:c r="E2598" s="16" t="str">
        <x:v>Missing email</x:v>
      </x:c>
    </x:row>
    <x:row r="2599">
      <x:c r="A2599" s="16" t="n">
        <x:v>2712</x:v>
      </x:c>
      <x:c r="B2599" s="16" t="str">
        <x:v>Fattah Ruslan</x:v>
      </x:c>
      <x:c r="C2599" s="16" t="str"/>
      <x:c r="D2599" s="16" t="str">
        <x:v>* myContacts</x:v>
      </x:c>
      <x:c r="E2599" s="16" t="str">
        <x:v>Missing email</x:v>
      </x:c>
    </x:row>
    <x:row r="2600">
      <x:c r="A2600" s="16" t="n">
        <x:v>2713</x:v>
      </x:c>
      <x:c r="B2600" s="16" t="str">
        <x:v>Fauzah Ismail</x:v>
      </x:c>
      <x:c r="C2600" s="16" t="str"/>
      <x:c r="D2600" s="16" t="str">
        <x:v>* myContacts</x:v>
      </x:c>
      <x:c r="E2600" s="16" t="str">
        <x:v>Missing email</x:v>
      </x:c>
    </x:row>
    <x:row r="2601">
      <x:c r="A2601" s="16" t="n">
        <x:v>2714</x:v>
      </x:c>
      <x:c r="B2601" s="16" t="str">
        <x:v>Fauzan Afifi</x:v>
      </x:c>
      <x:c r="C2601" s="16" t="str"/>
      <x:c r="D2601" s="16" t="str">
        <x:v>* myContacts</x:v>
      </x:c>
      <x:c r="E2601" s="16" t="str">
        <x:v>Missing email</x:v>
      </x:c>
    </x:row>
    <x:row r="2602">
      <x:c r="A2602" s="16" t="n">
        <x:v>2715</x:v>
      </x:c>
      <x:c r="B2602" s="16" t="str">
        <x:v>Fauzi Ahamad</x:v>
      </x:c>
      <x:c r="C2602" s="16" t="str"/>
      <x:c r="D2602" s="16" t="str">
        <x:v>* myContacts</x:v>
      </x:c>
      <x:c r="E2602" s="16" t="str">
        <x:v>Missing email</x:v>
      </x:c>
    </x:row>
    <x:row r="2603">
      <x:c r="A2603" s="16" t="n">
        <x:v>2716</x:v>
      </x:c>
      <x:c r="B2603" s="16" t="str">
        <x:v>Fauzi Ahmad</x:v>
      </x:c>
      <x:c r="C2603" s="16" t="str"/>
      <x:c r="D2603" s="16" t="str">
        <x:v>* myContacts</x:v>
      </x:c>
      <x:c r="E2603" s="16" t="str">
        <x:v>Missing email</x:v>
      </x:c>
    </x:row>
    <x:row r="2604">
      <x:c r="A2604" s="16" t="n">
        <x:v>2717</x:v>
      </x:c>
      <x:c r="B2604" s="16" t="str">
        <x:v>Fauzi Ali</x:v>
      </x:c>
      <x:c r="C2604" s="16" t="str"/>
      <x:c r="D2604" s="16" t="str">
        <x:v>* myContacts</x:v>
      </x:c>
      <x:c r="E2604" s="16" t="str">
        <x:v>Missing email</x:v>
      </x:c>
    </x:row>
    <x:row r="2605">
      <x:c r="A2605" s="16" t="n">
        <x:v>2718</x:v>
      </x:c>
      <x:c r="B2605" s="16" t="str">
        <x:v>Fauzi BDA</x:v>
      </x:c>
      <x:c r="C2605" s="16" t="str"/>
      <x:c r="D2605" s="16" t="str">
        <x:v>* myContacts</x:v>
      </x:c>
      <x:c r="E2605" s="16" t="str">
        <x:v>Missing email</x:v>
      </x:c>
    </x:row>
    <x:row r="2606">
      <x:c r="A2606" s="16" t="n">
        <x:v>2719</x:v>
      </x:c>
      <x:c r="B2606" s="16" t="str">
        <x:v>Fauzi Farmasi DPIM PERAK</x:v>
      </x:c>
      <x:c r="C2606" s="16" t="str"/>
      <x:c r="D2606" s="16" t="str">
        <x:v>* myContacts</x:v>
      </x:c>
      <x:c r="E2606" s="16" t="str">
        <x:v>Missing email</x:v>
      </x:c>
    </x:row>
    <x:row r="2607">
      <x:c r="A2607" s="16" t="n">
        <x:v>2720</x:v>
      </x:c>
      <x:c r="B2607" s="16" t="str">
        <x:v>Fauzi Gie</x:v>
      </x:c>
      <x:c r="C2607" s="16" t="str"/>
      <x:c r="D2607" s="16" t="str">
        <x:v>* myContacts</x:v>
      </x:c>
      <x:c r="E2607" s="16" t="str">
        <x:v>Missing email</x:v>
      </x:c>
    </x:row>
    <x:row r="2608">
      <x:c r="A2608" s="16" t="n">
        <x:v>2721</x:v>
      </x:c>
      <x:c r="B2608" s="16" t="str">
        <x:v>Fauzi Salleh</x:v>
      </x:c>
      <x:c r="C2608" s="16" t="str"/>
      <x:c r="D2608" s="16" t="str">
        <x:v>* myContacts</x:v>
      </x:c>
      <x:c r="E2608" s="16" t="str">
        <x:v>Missing email</x:v>
      </x:c>
    </x:row>
    <x:row r="2609">
      <x:c r="A2609" s="16" t="n">
        <x:v>2722</x:v>
      </x:c>
      <x:c r="B2609" s="16" t="str">
        <x:v>Fauzi STP</x:v>
      </x:c>
      <x:c r="C2609" s="16" t="str"/>
      <x:c r="D2609" s="16" t="str">
        <x:v>* myContacts</x:v>
      </x:c>
      <x:c r="E2609" s="16" t="str">
        <x:v>Missing email</x:v>
      </x:c>
    </x:row>
    <x:row r="2610">
      <x:c r="A2610" s="16" t="n">
        <x:v>2723</x:v>
      </x:c>
      <x:c r="B2610" s="16" t="str">
        <x:v>Fauziah Halim</x:v>
      </x:c>
      <x:c r="C2610" s="16" t="str"/>
      <x:c r="D2610" s="16" t="str">
        <x:v>* myContacts</x:v>
      </x:c>
      <x:c r="E2610" s="16" t="str">
        <x:v>Missing email</x:v>
      </x:c>
    </x:row>
    <x:row r="2611">
      <x:c r="A2611" s="16" t="n">
        <x:v>2724</x:v>
      </x:c>
      <x:c r="B2611" s="16" t="str">
        <x:v>Fauziah MDEC IM</x:v>
      </x:c>
      <x:c r="C2611" s="16" t="str"/>
      <x:c r="D2611" s="16" t="str">
        <x:v>* myContacts</x:v>
      </x:c>
      <x:c r="E2611" s="16" t="str">
        <x:v>Missing email</x:v>
      </x:c>
    </x:row>
    <x:row r="2612">
      <x:c r="A2612" s="16" t="n">
        <x:v>2725</x:v>
      </x:c>
      <x:c r="B2612" s="16" t="str">
        <x:v>Fauziah Mohamadzin</x:v>
      </x:c>
      <x:c r="C2612" s="16" t="str"/>
      <x:c r="D2612" s="16" t="str">
        <x:v>* myContacts</x:v>
      </x:c>
      <x:c r="E2612" s="16" t="str">
        <x:v>Missing email</x:v>
      </x:c>
    </x:row>
    <x:row r="2613">
      <x:c r="A2613" s="16" t="n">
        <x:v>2726</x:v>
      </x:c>
      <x:c r="B2613" s="16" t="str">
        <x:v>Fawany Nazimi</x:v>
      </x:c>
      <x:c r="C2613" s="16" t="str"/>
      <x:c r="D2613" s="16" t="str">
        <x:v>* myContacts</x:v>
      </x:c>
      <x:c r="E2613" s="16" t="str">
        <x:v>Missing email</x:v>
      </x:c>
    </x:row>
    <x:row r="2614">
      <x:c r="A2614" s="16" t="n">
        <x:v>2727</x:v>
      </x:c>
      <x:c r="B2614" s="16" t="str">
        <x:v>Faz Lie</x:v>
      </x:c>
      <x:c r="C2614" s="16" t="str"/>
      <x:c r="D2614" s="16" t="str">
        <x:v>* myContacts</x:v>
      </x:c>
      <x:c r="E2614" s="16" t="str">
        <x:v>Missing email</x:v>
      </x:c>
    </x:row>
    <x:row r="2615">
      <x:c r="A2615" s="16" t="n">
        <x:v>2728</x:v>
      </x:c>
      <x:c r="B2615" s="16" t="str">
        <x:v>Faza Faza</x:v>
      </x:c>
      <x:c r="C2615" s="16" t="str"/>
      <x:c r="D2615" s="16" t="str">
        <x:v>* myContacts</x:v>
      </x:c>
      <x:c r="E2615" s="16" t="str">
        <x:v>Missing email</x:v>
      </x:c>
    </x:row>
    <x:row r="2616">
      <x:c r="A2616" s="16" t="n">
        <x:v>2729</x:v>
      </x:c>
      <x:c r="B2616" s="16" t="str">
        <x:v>Fazariah Nordin</x:v>
      </x:c>
      <x:c r="C2616" s="16" t="str"/>
      <x:c r="D2616" s="16" t="str">
        <x:v>* myContacts</x:v>
      </x:c>
      <x:c r="E2616" s="16" t="str">
        <x:v>Missing email</x:v>
      </x:c>
    </x:row>
    <x:row r="2617">
      <x:c r="A2617" s="16" t="n">
        <x:v>2730</x:v>
      </x:c>
      <x:c r="B2617" s="16" t="str">
        <x:v>Fazatul Azren</x:v>
      </x:c>
      <x:c r="C2617" s="16" t="str"/>
      <x:c r="D2617" s="16" t="str">
        <x:v>* myContacts</x:v>
      </x:c>
      <x:c r="E2617" s="16" t="str">
        <x:v>Missing email</x:v>
      </x:c>
    </x:row>
    <x:row r="2618">
      <x:c r="A2618" s="16" t="n">
        <x:v>2731</x:v>
      </x:c>
      <x:c r="B2618" s="16" t="str">
        <x:v>Fazel Cikgu Caregiver</x:v>
      </x:c>
      <x:c r="C2618" s="16" t="str"/>
      <x:c r="D2618" s="16" t="str">
        <x:v>* myContacts</x:v>
      </x:c>
      <x:c r="E2618" s="16" t="str">
        <x:v>Missing email</x:v>
      </x:c>
    </x:row>
    <x:row r="2619">
      <x:c r="A2619" s="16" t="n">
        <x:v>2732</x:v>
      </x:c>
      <x:c r="B2619" s="16" t="str">
        <x:v>Fazidin Shopee</x:v>
      </x:c>
      <x:c r="C2619" s="16" t="str"/>
      <x:c r="D2619" s="16" t="str">
        <x:v>* myContacts</x:v>
      </x:c>
      <x:c r="E2619" s="16" t="str">
        <x:v>Missing email</x:v>
      </x:c>
    </x:row>
    <x:row r="2620">
      <x:c r="A2620" s="16" t="n">
        <x:v>2733</x:v>
      </x:c>
      <x:c r="B2620" s="16" t="str">
        <x:v>Fazila Ishak</x:v>
      </x:c>
      <x:c r="C2620" s="16" t="str"/>
      <x:c r="D2620" s="16" t="str">
        <x:v>* myContacts</x:v>
      </x:c>
      <x:c r="E2620" s="16" t="str">
        <x:v>Missing email</x:v>
      </x:c>
    </x:row>
    <x:row r="2621">
      <x:c r="A2621" s="16" t="n">
        <x:v>2734</x:v>
      </x:c>
      <x:c r="B2621" s="16" t="str">
        <x:v>Fazila Rosilan</x:v>
      </x:c>
      <x:c r="C2621" s="16" t="str"/>
      <x:c r="D2621" s="16" t="str">
        <x:v>* myContacts</x:v>
      </x:c>
      <x:c r="E2621" s="16" t="str">
        <x:v>Missing email</x:v>
      </x:c>
    </x:row>
    <x:row r="2622">
      <x:c r="A2622" s="16" t="n">
        <x:v>2735</x:v>
      </x:c>
      <x:c r="B2622" s="16" t="str">
        <x:v>Fazilah Sulaiman</x:v>
      </x:c>
      <x:c r="C2622" s="16" t="str"/>
      <x:c r="D2622" s="16" t="str">
        <x:v>* myContacts</x:v>
      </x:c>
      <x:c r="E2622" s="16" t="str">
        <x:v>Missing email</x:v>
      </x:c>
    </x:row>
    <x:row r="2623">
      <x:c r="A2623" s="16" t="n">
        <x:v>2736</x:v>
      </x:c>
      <x:c r="B2623" s="16" t="str">
        <x:v>Fazilahwati Pauzi</x:v>
      </x:c>
      <x:c r="C2623" s="16" t="str"/>
      <x:c r="D2623" s="16" t="str">
        <x:v>* myContacts</x:v>
      </x:c>
      <x:c r="E2623" s="16" t="str">
        <x:v>Missing email</x:v>
      </x:c>
    </x:row>
    <x:row r="2624">
      <x:c r="A2624" s="16" t="n">
        <x:v>2737</x:v>
      </x:c>
      <x:c r="B2624" s="16" t="str">
        <x:v>Fazlu Trainer</x:v>
      </x:c>
      <x:c r="C2624" s="16" t="str"/>
      <x:c r="D2624" s="16" t="str">
        <x:v>Trainer | * myContacts</x:v>
      </x:c>
      <x:c r="E2624" s="16" t="str">
        <x:v>Missing email</x:v>
      </x:c>
    </x:row>
    <x:row r="2625">
      <x:c r="A2625" s="16" t="n">
        <x:v>2738</x:v>
      </x:c>
      <x:c r="B2625" s="16" t="str">
        <x:v>Fazly Lee</x:v>
      </x:c>
      <x:c r="C2625" s="16" t="str"/>
      <x:c r="D2625" s="16" t="str">
        <x:v>* myContacts</x:v>
      </x:c>
      <x:c r="E2625" s="16" t="str">
        <x:v>Missing email</x:v>
      </x:c>
    </x:row>
    <x:row r="2626">
      <x:c r="A2626" s="16" t="n">
        <x:v>2739</x:v>
      </x:c>
      <x:c r="B2626" s="16" t="str">
        <x:v>Fazly Zamri</x:v>
      </x:c>
      <x:c r="C2626" s="16" t="str"/>
      <x:c r="D2626" s="16" t="str">
        <x:v>* myContacts</x:v>
      </x:c>
      <x:c r="E2626" s="16" t="str">
        <x:v>Missing email</x:v>
      </x:c>
    </x:row>
    <x:row r="2627">
      <x:c r="A2627" s="16" t="n">
        <x:v>2740</x:v>
      </x:c>
      <x:c r="B2627" s="16" t="str">
        <x:v>Fazreen MDEC</x:v>
      </x:c>
      <x:c r="C2627" s="16" t="str"/>
      <x:c r="D2627" s="16" t="str">
        <x:v>* myContacts</x:v>
      </x:c>
      <x:c r="E2627" s="16" t="str">
        <x:v>Missing email</x:v>
      </x:c>
    </x:row>
    <x:row r="2628">
      <x:c r="A2628" s="16" t="n">
        <x:v>2741</x:v>
      </x:c>
      <x:c r="B2628" s="16" t="str">
        <x:v>Fazrul Tauke Tshirt Ipoh</x:v>
      </x:c>
      <x:c r="C2628" s="16" t="str"/>
      <x:c r="D2628" s="16" t="str">
        <x:v>* myContacts</x:v>
      </x:c>
      <x:c r="E2628" s="16" t="str">
        <x:v>Missing email</x:v>
      </x:c>
    </x:row>
    <x:row r="2629">
      <x:c r="A2629" s="16" t="n">
        <x:v>2742</x:v>
      </x:c>
      <x:c r="B2629" s="16" t="str">
        <x:v>Fbt Talib</x:v>
      </x:c>
      <x:c r="C2629" s="16" t="str"/>
      <x:c r="D2629" s="16" t="str">
        <x:v>* myContacts</x:v>
      </x:c>
      <x:c r="E2629" s="16" t="str">
        <x:v>Missing email</x:v>
      </x:c>
    </x:row>
    <x:row r="2630">
      <x:c r="A2630" s="16" t="n">
        <x:v>2743</x:v>
      </x:c>
      <x:c r="B2630" s="16" t="str">
        <x:v>Fdaus Hzaini</x:v>
      </x:c>
      <x:c r="C2630" s="16" t="str"/>
      <x:c r="D2630" s="16" t="str">
        <x:v>* myContacts</x:v>
      </x:c>
      <x:c r="E2630" s="16" t="str">
        <x:v>Missing email</x:v>
      </x:c>
    </x:row>
    <x:row r="2631">
      <x:c r="A2631" s="16" t="n">
        <x:v>2744</x:v>
      </x:c>
      <x:c r="B2631" s="16" t="str">
        <x:v>Febian Senabong</x:v>
      </x:c>
      <x:c r="C2631" s="16" t="str"/>
      <x:c r="D2631" s="16" t="str">
        <x:v>* myContacts</x:v>
      </x:c>
      <x:c r="E2631" s="16" t="str">
        <x:v>Missing email</x:v>
      </x:c>
    </x:row>
    <x:row r="2632">
      <x:c r="A2632" s="16" t="n">
        <x:v>2745</x:v>
      </x:c>
      <x:c r="B2632" s="16" t="str">
        <x:v>Fedrick Ding</x:v>
      </x:c>
      <x:c r="C2632" s="16" t="str"/>
      <x:c r="D2632" s="16" t="str">
        <x:v>* myContacts</x:v>
      </x:c>
      <x:c r="E2632" s="16" t="str">
        <x:v>Missing email</x:v>
      </x:c>
    </x:row>
    <x:row r="2633">
      <x:c r="A2633" s="16" t="n">
        <x:v>2746</x:v>
      </x:c>
      <x:c r="B2633" s="16" t="str">
        <x:v>Fendi Eushawan Trainer IM</x:v>
      </x:c>
      <x:c r="C2633" s="16" t="str"/>
      <x:c r="D2633" s="16" t="str">
        <x:v>* myContacts</x:v>
      </x:c>
      <x:c r="E2633" s="16" t="str">
        <x:v>Missing email</x:v>
      </x:c>
    </x:row>
    <x:row r="2634">
      <x:c r="A2634" s="16" t="n">
        <x:v>2747</x:v>
      </x:c>
      <x:c r="B2634" s="16" t="str">
        <x:v>Fendi Lekir</x:v>
      </x:c>
      <x:c r="C2634" s="16" t="str"/>
      <x:c r="D2634" s="16" t="str">
        <x:v>* myContacts</x:v>
      </x:c>
      <x:c r="E2634" s="16" t="str">
        <x:v>Missing email</x:v>
      </x:c>
    </x:row>
    <x:row r="2635">
      <x:c r="A2635" s="16" t="n">
        <x:v>2748</x:v>
      </x:c>
      <x:c r="B2635" s="16" t="str">
        <x:v>Fendy Danial</x:v>
      </x:c>
      <x:c r="C2635" s="16" t="str"/>
      <x:c r="D2635" s="16" t="str">
        <x:v>* myContacts</x:v>
      </x:c>
      <x:c r="E2635" s="16" t="str">
        <x:v>Missing email</x:v>
      </x:c>
    </x:row>
    <x:row r="2636">
      <x:c r="A2636" s="16" t="n">
        <x:v>2749</x:v>
      </x:c>
      <x:c r="B2636" s="16" t="str">
        <x:v>Fendy Shafie</x:v>
      </x:c>
      <x:c r="C2636" s="16" t="str"/>
      <x:c r="D2636" s="16" t="str">
        <x:v>* myContacts</x:v>
      </x:c>
      <x:c r="E2636" s="16" t="str">
        <x:v>Missing email</x:v>
      </x:c>
    </x:row>
    <x:row r="2637">
      <x:c r="A2637" s="16" t="n">
        <x:v>2750</x:v>
      </x:c>
      <x:c r="B2637" s="16" t="str">
        <x:v>Ferawati</x:v>
      </x:c>
      <x:c r="C2637" s="16" t="str"/>
      <x:c r="D2637" s="16" t="str">
        <x:v>* myContacts</x:v>
      </x:c>
      <x:c r="E2637" s="16" t="str">
        <x:v>Missing email</x:v>
      </x:c>
    </x:row>
    <x:row r="2638">
      <x:c r="A2638" s="16" t="n">
        <x:v>2751</x:v>
      </x:c>
      <x:c r="B2638" s="16" t="str">
        <x:v>Feris Don</x:v>
      </x:c>
      <x:c r="C2638" s="16" t="str"/>
      <x:c r="D2638" s="16" t="str">
        <x:v>* myContacts</x:v>
      </x:c>
      <x:c r="E2638" s="16" t="str">
        <x:v>Missing email</x:v>
      </x:c>
    </x:row>
    <x:row r="2639">
      <x:c r="A2639" s="16" t="n">
        <x:v>2752</x:v>
      </x:c>
      <x:c r="B2639" s="16" t="str">
        <x:v>Ferry Fitria</x:v>
      </x:c>
      <x:c r="C2639" s="16" t="str"/>
      <x:c r="D2639" s="16" t="str">
        <x:v>* myContacts</x:v>
      </x:c>
      <x:c r="E2639" s="16" t="str">
        <x:v>Missing email</x:v>
      </x:c>
    </x:row>
    <x:row r="2640">
      <x:c r="A2640" s="16" t="n">
        <x:v>2753</x:v>
      </x:c>
      <x:c r="B2640" s="16" t="str">
        <x:v>Fesyen Kasmiza</x:v>
      </x:c>
      <x:c r="C2640" s="16" t="str"/>
      <x:c r="D2640" s="16" t="str">
        <x:v>* myContacts</x:v>
      </x:c>
      <x:c r="E2640" s="16" t="str">
        <x:v>Missing email</x:v>
      </x:c>
    </x:row>
    <x:row r="2641">
      <x:c r="A2641" s="16" t="n">
        <x:v>2754</x:v>
      </x:c>
      <x:c r="B2641" s="16" t="str">
        <x:v>Fesyen Stesen Sdn Bhd</x:v>
      </x:c>
      <x:c r="C2641" s="16" t="str"/>
      <x:c r="D2641" s="16" t="str">
        <x:v>* myContacts</x:v>
      </x:c>
      <x:c r="E2641" s="16" t="str">
        <x:v>Missing email</x:v>
      </x:c>
    </x:row>
    <x:row r="2642">
      <x:c r="A2642" s="16" t="n">
        <x:v>2755</x:v>
      </x:c>
      <x:c r="B2642" s="16" t="str">
        <x:v>Fety Salwany Mat Isa</x:v>
      </x:c>
      <x:c r="C2642" s="16" t="str"/>
      <x:c r="D2642" s="16" t="str">
        <x:v>* myContacts</x:v>
      </x:c>
      <x:c r="E2642" s="16" t="str">
        <x:v>Missing email</x:v>
      </x:c>
    </x:row>
    <x:row r="2643">
      <x:c r="A2643" s="16" t="n">
        <x:v>2756</x:v>
      </x:c>
      <x:c r="B2643" s="16" t="str">
        <x:v>Fhareel Lee Concepcion Vinsmoke</x:v>
      </x:c>
      <x:c r="C2643" s="16" t="str"/>
      <x:c r="D2643" s="16" t="str">
        <x:v>* myContacts</x:v>
      </x:c>
      <x:c r="E2643" s="16" t="str">
        <x:v>Missing email</x:v>
      </x:c>
    </x:row>
    <x:row r="2644">
      <x:c r="A2644" s="16" t="n">
        <x:v>2757</x:v>
      </x:c>
      <x:c r="B2644" s="16" t="str">
        <x:v>FIDA ADEK BERADEK ABG ABU</x:v>
      </x:c>
      <x:c r="C2644" s="16" t="str"/>
      <x:c r="D2644" s="16" t="str">
        <x:v>* myContacts</x:v>
      </x:c>
      <x:c r="E2644" s="16" t="str">
        <x:v>Missing email</x:v>
      </x:c>
    </x:row>
    <x:row r="2645">
      <x:c r="A2645" s="16" t="n">
        <x:v>2758</x:v>
      </x:c>
      <x:c r="B2645" s="16" t="str">
        <x:v>Fie Ien</x:v>
      </x:c>
      <x:c r="C2645" s="16" t="str"/>
      <x:c r="D2645" s="16" t="str">
        <x:v>* myContacts</x:v>
      </x:c>
      <x:c r="E2645" s="16" t="str">
        <x:v>Missing email</x:v>
      </x:c>
    </x:row>
    <x:row r="2646">
      <x:c r="A2646" s="16" t="n">
        <x:v>2759</x:v>
      </x:c>
      <x:c r="B2646" s="16" t="str">
        <x:v>Fieda Zariel</x:v>
      </x:c>
      <x:c r="C2646" s="16" t="str"/>
      <x:c r="D2646" s="16" t="str">
        <x:v>* myContacts</x:v>
      </x:c>
      <x:c r="E2646" s="16" t="str">
        <x:v>Missing email</x:v>
      </x:c>
    </x:row>
    <x:row r="2647">
      <x:c r="A2647" s="16" t="n">
        <x:v>2760</x:v>
      </x:c>
      <x:c r="B2647" s="16" t="str">
        <x:v>Fiedya Netz</x:v>
      </x:c>
      <x:c r="C2647" s="16" t="str"/>
      <x:c r="D2647" s="16" t="str">
        <x:v>* myContacts</x:v>
      </x:c>
      <x:c r="E2647" s="16" t="str">
        <x:v>Missing email</x:v>
      </x:c>
    </x:row>
    <x:row r="2648">
      <x:c r="A2648" s="16" t="n">
        <x:v>2761</x:v>
      </x:c>
      <x:c r="B2648" s="16" t="str">
        <x:v>Fieqah Raffar</x:v>
      </x:c>
      <x:c r="C2648" s="16" t="str"/>
      <x:c r="D2648" s="16" t="str">
        <x:v>* myContacts</x:v>
      </x:c>
      <x:c r="E2648" s="16" t="str">
        <x:v>Missing email</x:v>
      </x:c>
    </x:row>
    <x:row r="2649">
      <x:c r="A2649" s="16" t="n">
        <x:v>2762</x:v>
      </x:c>
      <x:c r="B2649" s="16" t="str">
        <x:v>Fieyaa Beauty's</x:v>
      </x:c>
      <x:c r="C2649" s="16" t="str"/>
      <x:c r="D2649" s="16" t="str">
        <x:v>* myContacts</x:v>
      </x:c>
      <x:c r="E2649" s="16" t="str">
        <x:v>Missing email</x:v>
      </x:c>
    </x:row>
    <x:row r="2650">
      <x:c r="A2650" s="16" t="n">
        <x:v>2763</x:v>
      </x:c>
      <x:c r="B2650" s="16" t="str">
        <x:v>Fieyda Dot Dot</x:v>
      </x:c>
      <x:c r="C2650" s="16" t="str"/>
      <x:c r="D2650" s="16" t="str">
        <x:v>* myContacts</x:v>
      </x:c>
      <x:c r="E2650" s="16" t="str">
        <x:v>Missing email</x:v>
      </x:c>
    </x:row>
    <x:row r="2651">
      <x:c r="A2651" s="16" t="n">
        <x:v>2764</x:v>
      </x:c>
      <x:c r="B2651" s="16" t="str">
        <x:v>Fifi Kilang Ensu Life</x:v>
      </x:c>
      <x:c r="C2651" s="16" t="str"/>
      <x:c r="D2651" s="16" t="str">
        <x:v>* myContacts</x:v>
      </x:c>
      <x:c r="E2651" s="16" t="str">
        <x:v>Missing email</x:v>
      </x:c>
    </x:row>
    <x:row r="2652">
      <x:c r="A2652" s="16" t="n">
        <x:v>2765</x:v>
      </x:c>
      <x:c r="B2652" s="16" t="str">
        <x:v>Fifina Pasha</x:v>
      </x:c>
      <x:c r="C2652" s="16" t="str"/>
      <x:c r="D2652" s="16" t="str">
        <x:v>* myContacts</x:v>
      </x:c>
      <x:c r="E2652" s="16" t="str">
        <x:v>Missing email</x:v>
      </x:c>
    </x:row>
    <x:row r="2653">
      <x:c r="A2653" s="16" t="n">
        <x:v>2766</x:v>
      </x:c>
      <x:c r="B2653" s="16" t="str">
        <x:v>Fifty Fern Resort Janda Baik</x:v>
      </x:c>
      <x:c r="C2653" s="16" t="str"/>
      <x:c r="D2653" s="16" t="str">
        <x:v>* myContacts</x:v>
      </x:c>
      <x:c r="E2653" s="16" t="str">
        <x:v>Missing email</x:v>
      </x:c>
    </x:row>
    <x:row r="2654">
      <x:c r="A2654" s="16" t="n">
        <x:v>2767</x:v>
      </x:c>
      <x:c r="B2654" s="16" t="str">
        <x:v>Fiha Fariha</x:v>
      </x:c>
      <x:c r="C2654" s="16" t="str"/>
      <x:c r="D2654" s="16" t="str">
        <x:v>* myContacts</x:v>
      </x:c>
      <x:c r="E2654" s="16" t="str">
        <x:v>Missing email</x:v>
      </x:c>
    </x:row>
    <x:row r="2655">
      <x:c r="A2655" s="16" t="n">
        <x:v>2768</x:v>
      </x:c>
      <x:c r="B2655" s="16" t="str">
        <x:v>Fikreyah Ismail Fik Muhi</x:v>
      </x:c>
      <x:c r="C2655" s="16" t="str"/>
      <x:c r="D2655" s="16" t="str">
        <x:v>* myContacts</x:v>
      </x:c>
      <x:c r="E2655" s="16" t="str">
        <x:v>Missing email</x:v>
      </x:c>
    </x:row>
    <x:row r="2656">
      <x:c r="A2656" s="16" t="n">
        <x:v>2769</x:v>
      </x:c>
      <x:c r="B2656" s="16" t="str">
        <x:v>Fikri Cot Seven</x:v>
      </x:c>
      <x:c r="C2656" s="16" t="str"/>
      <x:c r="D2656" s="16" t="str">
        <x:v>* myContacts</x:v>
      </x:c>
      <x:c r="E2656" s="16" t="str">
        <x:v>Missing email</x:v>
      </x:c>
    </x:row>
    <x:row r="2657">
      <x:c r="A2657" s="16" t="n">
        <x:v>2770</x:v>
      </x:c>
      <x:c r="B2657" s="16" t="str">
        <x:v>Fikri Helmi</x:v>
      </x:c>
      <x:c r="C2657" s="16" t="str"/>
      <x:c r="D2657" s="16" t="str">
        <x:v>* myContacts</x:v>
      </x:c>
      <x:c r="E2657" s="16" t="str">
        <x:v>Missing email</x:v>
      </x:c>
    </x:row>
    <x:row r="2658">
      <x:c r="A2658" s="16" t="n">
        <x:v>2771</x:v>
      </x:c>
      <x:c r="B2658" s="16" t="str">
        <x:v>Fikri Kechik</x:v>
      </x:c>
      <x:c r="C2658" s="16" t="str"/>
      <x:c r="D2658" s="16" t="str">
        <x:v>* myContacts</x:v>
      </x:c>
      <x:c r="E2658" s="16" t="str">
        <x:v>Missing email</x:v>
      </x:c>
    </x:row>
    <x:row r="2659">
      <x:c r="A2659" s="16" t="n">
        <x:v>2772</x:v>
      </x:c>
      <x:c r="B2659" s="16" t="str">
        <x:v>Fikri Unistorage fullfillment</x:v>
      </x:c>
      <x:c r="C2659" s="16" t="str"/>
      <x:c r="D2659" s="16" t="str">
        <x:v>* myContacts</x:v>
      </x:c>
      <x:c r="E2659" s="16" t="str">
        <x:v>Missing email</x:v>
      </x:c>
    </x:row>
    <x:row r="2660">
      <x:c r="A2660" s="16" t="n">
        <x:v>2773</x:v>
      </x:c>
      <x:c r="B2660" s="16" t="str">
        <x:v>Fini RichWorks</x:v>
      </x:c>
      <x:c r="C2660" s="16" t="str"/>
      <x:c r="D2660" s="16" t="str">
        <x:v>* myContacts</x:v>
      </x:c>
      <x:c r="E2660" s="16" t="str">
        <x:v>Missing email</x:v>
      </x:c>
    </x:row>
    <x:row r="2661">
      <x:c r="A2661" s="16" t="n">
        <x:v>2774</x:v>
      </x:c>
      <x:c r="B2661" s="16" t="str">
        <x:v>Fiq Saifuddin</x:v>
      </x:c>
      <x:c r="C2661" s="16" t="str"/>
      <x:c r="D2661" s="16" t="str">
        <x:v>* myContacts</x:v>
      </x:c>
      <x:c r="E2661" s="16" t="str">
        <x:v>Missing email</x:v>
      </x:c>
    </x:row>
    <x:row r="2662">
      <x:c r="A2662" s="16" t="n">
        <x:v>2775</x:v>
      </x:c>
      <x:c r="B2662" s="16" t="str">
        <x:v>Fiq Yunus</x:v>
      </x:c>
      <x:c r="C2662" s="16" t="str"/>
      <x:c r="D2662" s="16" t="str">
        <x:v>* myContacts</x:v>
      </x:c>
      <x:c r="E2662" s="16" t="str">
        <x:v>Missing email</x:v>
      </x:c>
    </x:row>
    <x:row r="2663">
      <x:c r="A2663" s="16" t="n">
        <x:v>2776</x:v>
      </x:c>
      <x:c r="B2663" s="16" t="str">
        <x:v>Fiq's Gordons</x:v>
      </x:c>
      <x:c r="C2663" s="16" t="str"/>
      <x:c r="D2663" s="16" t="str">
        <x:v>* myContacts</x:v>
      </x:c>
      <x:c r="E2663" s="16" t="str">
        <x:v>Missing email</x:v>
      </x:c>
    </x:row>
    <x:row r="2664">
      <x:c r="A2664" s="16" t="n">
        <x:v>2777</x:v>
      </x:c>
      <x:c r="B2664" s="16" t="str">
        <x:v>Fiqah Ieqa</x:v>
      </x:c>
      <x:c r="C2664" s="16" t="str"/>
      <x:c r="D2664" s="16" t="str">
        <x:v>* myContacts</x:v>
      </x:c>
      <x:c r="E2664" s="16" t="str">
        <x:v>Missing email</x:v>
      </x:c>
    </x:row>
    <x:row r="2665">
      <x:c r="A2665" s="16" t="n">
        <x:v>2778</x:v>
      </x:c>
      <x:c r="B2665" s="16" t="str">
        <x:v>Firadaus Jonie VOE Eu2023</x:v>
      </x:c>
      <x:c r="C2665" s="16" t="str"/>
      <x:c r="D2665" s="16" t="str">
        <x:v>* myContacts</x:v>
      </x:c>
      <x:c r="E2665" s="16" t="str">
        <x:v>Missing email</x:v>
      </x:c>
    </x:row>
    <x:row r="2666">
      <x:c r="A2666" s="16" t="n">
        <x:v>2779</x:v>
      </x:c>
      <x:c r="B2666" s="16" t="str">
        <x:v>Firdaiesya Doorgift Tasbih Yassin</x:v>
      </x:c>
      <x:c r="C2666" s="16" t="str"/>
      <x:c r="D2666" s="16" t="str">
        <x:v>* myContacts</x:v>
      </x:c>
      <x:c r="E2666" s="16" t="str">
        <x:v>Missing email</x:v>
      </x:c>
    </x:row>
    <x:row r="2667">
      <x:c r="A2667" s="16" t="n">
        <x:v>2780</x:v>
      </x:c>
      <x:c r="B2667" s="16" t="str">
        <x:v>Firdaus AGP</x:v>
      </x:c>
      <x:c r="C2667" s="16" t="str"/>
      <x:c r="D2667" s="16" t="str">
        <x:v>* myContacts</x:v>
      </x:c>
      <x:c r="E2667" s="16" t="str">
        <x:v>Missing email</x:v>
      </x:c>
    </x:row>
    <x:row r="2668">
      <x:c r="A2668" s="16" t="n">
        <x:v>2781</x:v>
      </x:c>
      <x:c r="B2668" s="16" t="str">
        <x:v>Firdaus Ahmad</x:v>
      </x:c>
      <x:c r="C2668" s="16" t="str"/>
      <x:c r="D2668" s="16" t="str">
        <x:v>* myContacts</x:v>
      </x:c>
      <x:c r="E2668" s="16" t="str">
        <x:v>Missing email</x:v>
      </x:c>
    </x:row>
    <x:row r="2669">
      <x:c r="A2669" s="16" t="n">
        <x:v>2782</x:v>
      </x:c>
      <x:c r="B2669" s="16" t="str">
        <x:v>Firdaus Azharuddin Big Boss Insken</x:v>
      </x:c>
      <x:c r="C2669" s="16" t="str"/>
      <x:c r="D2669" s="16" t="str">
        <x:v>Alumni INSKEN | * myContacts</x:v>
      </x:c>
      <x:c r="E2669" s="16" t="str">
        <x:v>Missing email</x:v>
      </x:c>
    </x:row>
    <x:row r="2670">
      <x:c r="A2670" s="16" t="n">
        <x:v>2783</x:v>
      </x:c>
      <x:c r="B2670" s="16" t="str">
        <x:v>Firdaus Azizi Sifu Fb</x:v>
      </x:c>
      <x:c r="C2670" s="16" t="str"/>
      <x:c r="D2670" s="16" t="str">
        <x:v>* myContacts</x:v>
      </x:c>
      <x:c r="E2670" s="16" t="str">
        <x:v>Missing email</x:v>
      </x:c>
    </x:row>
    <x:row r="2671">
      <x:c r="A2671" s="16" t="n">
        <x:v>2784</x:v>
      </x:c>
      <x:c r="B2671" s="16" t="str">
        <x:v>Firdaus Azizi Sifu Fb</x:v>
      </x:c>
      <x:c r="C2671" s="16" t="str"/>
      <x:c r="D2671" s="16" t="str">
        <x:v>* myContacts</x:v>
      </x:c>
      <x:c r="E2671" s="16" t="str">
        <x:v>Missing email</x:v>
      </x:c>
    </x:row>
    <x:row r="2672">
      <x:c r="A2672" s="16" t="n">
        <x:v>2785</x:v>
      </x:c>
      <x:c r="B2672" s="16" t="str">
        <x:v>Firdaus Che Ross</x:v>
      </x:c>
      <x:c r="C2672" s="16" t="str"/>
      <x:c r="D2672" s="16" t="str">
        <x:v>* myContacts</x:v>
      </x:c>
      <x:c r="E2672" s="16" t="str">
        <x:v>Missing email</x:v>
      </x:c>
    </x:row>
    <x:row r="2673">
      <x:c r="A2673" s="16" t="n">
        <x:v>2786</x:v>
      </x:c>
      <x:c r="B2673" s="16" t="str">
        <x:v>Firdaus DPIM SELANGOR</x:v>
      </x:c>
      <x:c r="C2673" s="16" t="str"/>
      <x:c r="D2673" s="16" t="str">
        <x:v>* myContacts</x:v>
      </x:c>
      <x:c r="E2673" s="16" t="str">
        <x:v>Missing email</x:v>
      </x:c>
    </x:row>
    <x:row r="2674">
      <x:c r="A2674" s="16" t="n">
        <x:v>2787</x:v>
      </x:c>
      <x:c r="B2674" s="16" t="str">
        <x:v>Firdaus IM</x:v>
      </x:c>
      <x:c r="C2674" s="16" t="str"/>
      <x:c r="D2674" s="16" t="str">
        <x:v>* myContacts</x:v>
      </x:c>
      <x:c r="E2674" s="16" t="str">
        <x:v>Missing email</x:v>
      </x:c>
    </x:row>
    <x:row r="2675">
      <x:c r="A2675" s="16" t="n">
        <x:v>2788</x:v>
      </x:c>
      <x:c r="B2675" s="16" t="str">
        <x:v>Firdaus Ismail</x:v>
      </x:c>
      <x:c r="C2675" s="16" t="str"/>
      <x:c r="D2675" s="16" t="str">
        <x:v>* myContacts</x:v>
      </x:c>
      <x:c r="E2675" s="16" t="str">
        <x:v>Missing email</x:v>
      </x:c>
    </x:row>
    <x:row r="2676">
      <x:c r="A2676" s="16" t="n">
        <x:v>2789</x:v>
      </x:c>
      <x:c r="B2676" s="16" t="str">
        <x:v>Firdaus Isnan</x:v>
      </x:c>
      <x:c r="C2676" s="16" t="str"/>
      <x:c r="D2676" s="16" t="str">
        <x:v>* myContacts</x:v>
      </x:c>
      <x:c r="E2676" s="16" t="str">
        <x:v>Missing email</x:v>
      </x:c>
    </x:row>
    <x:row r="2677">
      <x:c r="A2677" s="16" t="n">
        <x:v>2790</x:v>
      </x:c>
      <x:c r="B2677" s="16" t="str">
        <x:v>Firdaus Jamaica</x:v>
      </x:c>
      <x:c r="C2677" s="16" t="str"/>
      <x:c r="D2677" s="16" t="str">
        <x:v>* myContacts</x:v>
      </x:c>
      <x:c r="E2677" s="16" t="str">
        <x:v>Missing email</x:v>
      </x:c>
    </x:row>
    <x:row r="2678">
      <x:c r="A2678" s="16" t="n">
        <x:v>2791</x:v>
      </x:c>
      <x:c r="B2678" s="16" t="str">
        <x:v>Firdaus Koperasi Orang Melayu Kerajanan Sdn Bhd</x:v>
      </x:c>
      <x:c r="C2678" s="16" t="str"/>
      <x:c r="D2678" s="16" t="str">
        <x:v>* myContacts</x:v>
      </x:c>
      <x:c r="E2678" s="16" t="str">
        <x:v>Missing email</x:v>
      </x:c>
    </x:row>
    <x:row r="2679">
      <x:c r="A2679" s="16" t="n">
        <x:v>2792</x:v>
      </x:c>
      <x:c r="B2679" s="16" t="str">
        <x:v>Firdaus Mdec IM</x:v>
      </x:c>
      <x:c r="C2679" s="16" t="str"/>
      <x:c r="D2679" s="16" t="str">
        <x:v>* myContacts</x:v>
      </x:c>
      <x:c r="E2679" s="16" t="str">
        <x:v>Missing email</x:v>
      </x:c>
    </x:row>
    <x:row r="2680">
      <x:c r="A2680" s="16" t="n">
        <x:v>2793</x:v>
      </x:c>
      <x:c r="B2680" s="16" t="str">
        <x:v>Firdaus Mynic</x:v>
      </x:c>
      <x:c r="C2680" s="16" t="str"/>
      <x:c r="D2680" s="16" t="str">
        <x:v>* myContacts</x:v>
      </x:c>
      <x:c r="E2680" s="16" t="str">
        <x:v>Missing email</x:v>
      </x:c>
    </x:row>
    <x:row r="2681">
      <x:c r="A2681" s="16" t="n">
        <x:v>2794</x:v>
      </x:c>
      <x:c r="B2681" s="16" t="str">
        <x:v>Firdaus Onpay</x:v>
      </x:c>
      <x:c r="C2681" s="16" t="str"/>
      <x:c r="D2681" s="16" t="str">
        <x:v>* myContacts</x:v>
      </x:c>
      <x:c r="E2681" s="16" t="str">
        <x:v>Missing email</x:v>
      </x:c>
    </x:row>
    <x:row r="2682">
      <x:c r="A2682" s="16" t="n">
        <x:v>2795</x:v>
      </x:c>
      <x:c r="B2682" s="16" t="str">
        <x:v>Firdaus Pkp</x:v>
      </x:c>
      <x:c r="C2682" s="16" t="str"/>
      <x:c r="D2682" s="16" t="str">
        <x:v>* myContacts</x:v>
      </x:c>
      <x:c r="E2682" s="16" t="str">
        <x:v>Missing email</x:v>
      </x:c>
    </x:row>
    <x:row r="2683">
      <x:c r="A2683" s="16" t="n">
        <x:v>2796</x:v>
      </x:c>
      <x:c r="B2683" s="16" t="str">
        <x:v>Firdaus Rafingi</x:v>
      </x:c>
      <x:c r="C2683" s="16" t="str"/>
      <x:c r="D2683" s="16" t="str">
        <x:v>* myContacts</x:v>
      </x:c>
      <x:c r="E2683" s="16" t="str">
        <x:v>Missing email</x:v>
      </x:c>
    </x:row>
    <x:row r="2684">
      <x:c r="A2684" s="16" t="n">
        <x:v>2797</x:v>
      </x:c>
      <x:c r="B2684" s="16" t="str">
        <x:v>Firdaus Rich</x:v>
      </x:c>
      <x:c r="C2684" s="16" t="str"/>
      <x:c r="D2684" s="16" t="str">
        <x:v>* myContacts</x:v>
      </x:c>
      <x:c r="E2684" s="16" t="str">
        <x:v>Missing email</x:v>
      </x:c>
    </x:row>
    <x:row r="2685">
      <x:c r="A2685" s="16" t="n">
        <x:v>2798</x:v>
      </x:c>
      <x:c r="B2685" s="16" t="str">
        <x:v>FIRDAUS RJB</x:v>
      </x:c>
      <x:c r="C2685" s="16" t="str"/>
      <x:c r="D2685" s="16" t="str">
        <x:v>* myContacts</x:v>
      </x:c>
      <x:c r="E2685" s="16" t="str">
        <x:v>Missing email</x:v>
      </x:c>
    </x:row>
    <x:row r="2686">
      <x:c r="A2686" s="16" t="n">
        <x:v>2799</x:v>
      </x:c>
      <x:c r="B2686" s="16" t="str">
        <x:v>Firdaus Scentastic</x:v>
      </x:c>
      <x:c r="C2686" s="16" t="str"/>
      <x:c r="D2686" s="16" t="str">
        <x:v>* myContacts</x:v>
      </x:c>
      <x:c r="E2686" s="16" t="str">
        <x:v>Missing email</x:v>
      </x:c>
    </x:row>
    <x:row r="2687">
      <x:c r="A2687" s="16" t="n">
        <x:v>2800</x:v>
      </x:c>
      <x:c r="B2687" s="16" t="str">
        <x:v>Firdaus Spencer Sham</x:v>
      </x:c>
      <x:c r="C2687" s="16" t="str"/>
      <x:c r="D2687" s="16" t="str">
        <x:v>* myContacts</x:v>
      </x:c>
      <x:c r="E2687" s="16" t="str">
        <x:v>Missing email</x:v>
      </x:c>
    </x:row>
    <x:row r="2688">
      <x:c r="A2688" s="16" t="n">
        <x:v>2801</x:v>
      </x:c>
      <x:c r="B2688" s="16" t="str">
        <x:v>Firdaus SUE DPIM</x:v>
      </x:c>
      <x:c r="C2688" s="16" t="str"/>
      <x:c r="D2688" s="16" t="str">
        <x:v>* myContacts</x:v>
      </x:c>
      <x:c r="E2688" s="16" t="str">
        <x:v>Missing email</x:v>
      </x:c>
    </x:row>
    <x:row r="2689">
      <x:c r="A2689" s="16" t="n">
        <x:v>2802</x:v>
      </x:c>
      <x:c r="B2689" s="16" t="str">
        <x:v>Firdaus Tam Manager Al-Maliki Malaysia Turkey</x:v>
      </x:c>
      <x:c r="C2689" s="16" t="str"/>
      <x:c r="D2689" s="16" t="str">
        <x:v>* myContacts</x:v>
      </x:c>
      <x:c r="E2689" s="16" t="str">
        <x:v>Missing email</x:v>
      </x:c>
    </x:row>
    <x:row r="2690">
      <x:c r="A2690" s="16" t="n">
        <x:v>2803</x:v>
      </x:c>
      <x:c r="B2690" s="16" t="str">
        <x:v>Firdaus Titan</x:v>
      </x:c>
      <x:c r="C2690" s="16" t="str"/>
      <x:c r="D2690" s="16" t="str">
        <x:v>* myContacts</x:v>
      </x:c>
      <x:c r="E2690" s="16" t="str">
        <x:v>Missing email</x:v>
      </x:c>
    </x:row>
    <x:row r="2691">
      <x:c r="A2691" s="16" t="n">
        <x:v>2804</x:v>
      </x:c>
      <x:c r="B2691" s="16" t="str">
        <x:v>Firdaus Trainer Goverment</x:v>
      </x:c>
      <x:c r="C2691" s="16" t="str"/>
      <x:c r="D2691" s="16" t="str">
        <x:v>Trainer | * myContacts</x:v>
      </x:c>
      <x:c r="E2691" s="16" t="str">
        <x:v>Missing email</x:v>
      </x:c>
    </x:row>
    <x:row r="2692">
      <x:c r="A2692" s="16" t="n">
        <x:v>2805</x:v>
      </x:c>
      <x:c r="B2692" s="16" t="str">
        <x:v>Firdaus Yahya</x:v>
      </x:c>
      <x:c r="C2692" s="16" t="str"/>
      <x:c r="D2692" s="16" t="str">
        <x:v>* myContacts</x:v>
      </x:c>
      <x:c r="E2692" s="16" t="str">
        <x:v>Missing email</x:v>
      </x:c>
    </x:row>
    <x:row r="2693">
      <x:c r="A2693" s="16" t="n">
        <x:v>2806</x:v>
      </x:c>
      <x:c r="B2693" s="16" t="str">
        <x:v>Firdaus Zulkiflee</x:v>
      </x:c>
      <x:c r="C2693" s="16" t="str"/>
      <x:c r="D2693" s="16" t="str">
        <x:v>* myContacts</x:v>
      </x:c>
      <x:c r="E2693" s="16" t="str">
        <x:v>Missing email</x:v>
      </x:c>
    </x:row>
    <x:row r="2694">
      <x:c r="A2694" s="16" t="n">
        <x:v>2807</x:v>
      </x:c>
      <x:c r="B2694" s="16" t="str">
        <x:v>Firdous Adenan</x:v>
      </x:c>
      <x:c r="C2694" s="16" t="str"/>
      <x:c r="D2694" s="16" t="str">
        <x:v>* myContacts</x:v>
      </x:c>
      <x:c r="E2694" s="16" t="str">
        <x:v>Missing email</x:v>
      </x:c>
    </x:row>
    <x:row r="2695">
      <x:c r="A2695" s="16" t="n">
        <x:v>2808</x:v>
      </x:c>
      <x:c r="B2695" s="16" t="str">
        <x:v>Firdz Amer</x:v>
      </x:c>
      <x:c r="C2695" s="16" t="str"/>
      <x:c r="D2695" s="16" t="str">
        <x:v>* myContacts</x:v>
      </x:c>
      <x:c r="E2695" s="16" t="str">
        <x:v>Missing email</x:v>
      </x:c>
    </x:row>
    <x:row r="2696">
      <x:c r="A2696" s="16" t="n">
        <x:v>2809</x:v>
      </x:c>
      <x:c r="B2696" s="16" t="str">
        <x:v>Firziey Couture</x:v>
      </x:c>
      <x:c r="C2696" s="16" t="str"/>
      <x:c r="D2696" s="16" t="str">
        <x:v>* myContacts</x:v>
      </x:c>
      <x:c r="E2696" s="16" t="str">
        <x:v>Missing email</x:v>
      </x:c>
    </x:row>
    <x:row r="2697">
      <x:c r="A2697" s="16" t="n">
        <x:v>2810</x:v>
      </x:c>
      <x:c r="B2697" s="16" t="str">
        <x:v>Fiscell Prodaction</x:v>
      </x:c>
      <x:c r="C2697" s="16" t="str"/>
      <x:c r="D2697" s="16" t="str">
        <x:v>* myContacts</x:v>
      </x:c>
      <x:c r="E2697" s="16" t="str">
        <x:v>Missing email</x:v>
      </x:c>
    </x:row>
    <x:row r="2698">
      <x:c r="A2698" s="16" t="n">
        <x:v>2811</x:v>
      </x:c>
      <x:c r="B2698" s="16" t="str">
        <x:v>Fisol BDA</x:v>
      </x:c>
      <x:c r="C2698" s="16" t="str"/>
      <x:c r="D2698" s="16" t="str">
        <x:v>* myContacts</x:v>
      </x:c>
      <x:c r="E2698" s="16" t="str">
        <x:v>Missing email</x:v>
      </x:c>
    </x:row>
    <x:row r="2699">
      <x:c r="A2699" s="16" t="n">
        <x:v>2812</x:v>
      </x:c>
      <x:c r="B2699" s="16" t="str">
        <x:v>Fitri Bin Muhamad</x:v>
      </x:c>
      <x:c r="C2699" s="16" t="str"/>
      <x:c r="D2699" s="16" t="str">
        <x:v>* myContacts</x:v>
      </x:c>
      <x:c r="E2699" s="16" t="str">
        <x:v>Missing email</x:v>
      </x:c>
    </x:row>
    <x:row r="2700">
      <x:c r="A2700" s="16" t="n">
        <x:v>2813</x:v>
      </x:c>
      <x:c r="B2700" s="16" t="str">
        <x:v>Fitri Farhan</x:v>
      </x:c>
      <x:c r="C2700" s="16" t="str"/>
      <x:c r="D2700" s="16" t="str">
        <x:v>* myContacts</x:v>
      </x:c>
      <x:c r="E2700" s="16" t="str">
        <x:v>Missing email</x:v>
      </x:c>
    </x:row>
    <x:row r="2701">
      <x:c r="A2701" s="16" t="n">
        <x:v>2814</x:v>
      </x:c>
      <x:c r="B2701" s="16" t="str">
        <x:v>Fitri Ito</x:v>
      </x:c>
      <x:c r="C2701" s="16" t="str"/>
      <x:c r="D2701" s="16" t="str">
        <x:v>* myContacts</x:v>
      </x:c>
      <x:c r="E2701" s="16" t="str">
        <x:v>Missing email</x:v>
      </x:c>
    </x:row>
    <x:row r="2702">
      <x:c r="A2702" s="16" t="n">
        <x:v>2815</x:v>
      </x:c>
      <x:c r="B2702" s="16" t="str">
        <x:v>Fitri Mahbil</x:v>
      </x:c>
      <x:c r="C2702" s="16" t="str"/>
      <x:c r="D2702" s="16" t="str">
        <x:v>* myContacts</x:v>
      </x:c>
      <x:c r="E2702" s="16" t="str">
        <x:v>Missing email</x:v>
      </x:c>
    </x:row>
    <x:row r="2703">
      <x:c r="A2703" s="16" t="n">
        <x:v>2816</x:v>
      </x:c>
      <x:c r="B2703" s="16" t="str">
        <x:v>Fitri Nasarauddin</x:v>
      </x:c>
      <x:c r="C2703" s="16" t="str"/>
      <x:c r="D2703" s="16" t="str">
        <x:v>* myContacts</x:v>
      </x:c>
      <x:c r="E2703" s="16" t="str">
        <x:v>Missing email</x:v>
      </x:c>
    </x:row>
    <x:row r="2704">
      <x:c r="A2704" s="16" t="n">
        <x:v>2817</x:v>
      </x:c>
      <x:c r="B2704" s="16" t="str">
        <x:v>Fitri Rozaini Kasmoi</x:v>
      </x:c>
      <x:c r="C2704" s="16" t="str"/>
      <x:c r="D2704" s="16" t="str">
        <x:v>* myContacts</x:v>
      </x:c>
      <x:c r="E2704" s="16" t="str">
        <x:v>Missing email</x:v>
      </x:c>
    </x:row>
    <x:row r="2705">
      <x:c r="A2705" s="16" t="n">
        <x:v>2819</x:v>
      </x:c>
      <x:c r="B2705" s="16" t="str">
        <x:v>Fitri Zaquan</x:v>
      </x:c>
      <x:c r="C2705" s="16" t="str"/>
      <x:c r="D2705" s="16" t="str">
        <x:v>* myContacts</x:v>
      </x:c>
      <x:c r="E2705" s="16" t="str">
        <x:v>Missing email</x:v>
      </x:c>
    </x:row>
    <x:row r="2706">
      <x:c r="A2706" s="16" t="n">
        <x:v>2820</x:v>
      </x:c>
      <x:c r="B2706" s="16" t="str">
        <x:v>Fitriany Simpel</x:v>
      </x:c>
      <x:c r="C2706" s="16" t="str"/>
      <x:c r="D2706" s="16" t="str">
        <x:v>* myContacts</x:v>
      </x:c>
      <x:c r="E2706" s="16" t="str">
        <x:v>Missing email</x:v>
      </x:c>
    </x:row>
    <x:row r="2707">
      <x:c r="A2707" s="16" t="n">
        <x:v>2821</x:v>
      </x:c>
      <x:c r="B2707" s="16" t="str">
        <x:v>Fitsiamang</x:v>
      </x:c>
      <x:c r="C2707" s="16" t="str"/>
      <x:c r="D2707" s="16" t="str">
        <x:v>* myContacts</x:v>
      </x:c>
      <x:c r="E2707" s="16" t="str">
        <x:v>Missing email</x:v>
      </x:c>
    </x:row>
    <x:row r="2708">
      <x:c r="A2708" s="16" t="n">
        <x:v>2822</x:v>
      </x:c>
      <x:c r="B2708" s="16" t="str">
        <x:v>Fiza AB Mak Andam</x:v>
      </x:c>
      <x:c r="C2708" s="16" t="str"/>
      <x:c r="D2708" s="16" t="str">
        <x:v>* myContacts</x:v>
      </x:c>
      <x:c r="E2708" s="16" t="str">
        <x:v>Missing email</x:v>
      </x:c>
    </x:row>
    <x:row r="2709">
      <x:c r="A2709" s="16" t="n">
        <x:v>2823</x:v>
      </x:c>
      <x:c r="B2709" s="16" t="str">
        <x:v>Fiza Mama Ideastore</x:v>
      </x:c>
      <x:c r="C2709" s="16" t="str"/>
      <x:c r="D2709" s="16" t="str">
        <x:v>* myContacts</x:v>
      </x:c>
      <x:c r="E2709" s="16" t="str">
        <x:v>Missing email</x:v>
      </x:c>
    </x:row>
    <x:row r="2710">
      <x:c r="A2710" s="16" t="n">
        <x:v>2824</x:v>
      </x:c>
      <x:c r="B2710" s="16" t="str">
        <x:v>Fiza Zainal</x:v>
      </x:c>
      <x:c r="C2710" s="16" t="str"/>
      <x:c r="D2710" s="16" t="str">
        <x:v>* myContacts</x:v>
      </x:c>
      <x:c r="E2710" s="16" t="str">
        <x:v>Missing email</x:v>
      </x:c>
    </x:row>
    <x:row r="2711">
      <x:c r="A2711" s="16" t="n">
        <x:v>2825</x:v>
      </x:c>
      <x:c r="B2711" s="16" t="str">
        <x:v>Fizah Johani</x:v>
      </x:c>
      <x:c r="C2711" s="16" t="str"/>
      <x:c r="D2711" s="16" t="str">
        <x:v>* myContacts</x:v>
      </x:c>
      <x:c r="E2711" s="16" t="str">
        <x:v>Missing email</x:v>
      </x:c>
    </x:row>
    <x:row r="2712">
      <x:c r="A2712" s="16" t="n">
        <x:v>2827</x:v>
      </x:c>
      <x:c r="B2712" s="16" t="str">
        <x:v>Fizi Pju Hijrah</x:v>
      </x:c>
      <x:c r="C2712" s="16" t="str"/>
      <x:c r="D2712" s="16" t="str">
        <x:v>Alumni eUsahawan | * myContacts</x:v>
      </x:c>
      <x:c r="E2712" s="16" t="str">
        <x:v>Missing email</x:v>
      </x:c>
    </x:row>
    <x:row r="2713">
      <x:c r="A2713" s="16" t="n">
        <x:v>2828</x:v>
      </x:c>
      <x:c r="B2713" s="16" t="str">
        <x:v>Fizow Idris</x:v>
      </x:c>
      <x:c r="C2713" s="16" t="str"/>
      <x:c r="D2713" s="16" t="str">
        <x:v>* myContacts</x:v>
      </x:c>
      <x:c r="E2713" s="16" t="str">
        <x:v>Missing email</x:v>
      </x:c>
    </x:row>
    <x:row r="2714">
      <x:c r="A2714" s="16" t="n">
        <x:v>2829</x:v>
      </x:c>
      <x:c r="B2714" s="16" t="str">
        <x:v>Fizrun Hakim Staff</x:v>
      </x:c>
      <x:c r="C2714" s="16" t="str"/>
      <x:c r="D2714" s="16" t="str">
        <x:v>* myContacts</x:v>
      </x:c>
      <x:c r="E2714" s="16" t="str">
        <x:v>Missing email</x:v>
      </x:c>
    </x:row>
    <x:row r="2715">
      <x:c r="A2715" s="16" t="n">
        <x:v>2830</x:v>
      </x:c>
      <x:c r="B2715" s="16" t="str">
        <x:v>Fizza Arshad</x:v>
      </x:c>
      <x:c r="C2715" s="16" t="str"/>
      <x:c r="D2715" s="16" t="str">
        <x:v>* myContacts</x:v>
      </x:c>
      <x:c r="E2715" s="16" t="str">
        <x:v>Missing email</x:v>
      </x:c>
    </x:row>
    <x:row r="2716">
      <x:c r="A2716" s="16" t="n">
        <x:v>2831</x:v>
      </x:c>
      <x:c r="B2716" s="16" t="str">
        <x:v>Fjb Rumah Seken Batam</x:v>
      </x:c>
      <x:c r="C2716" s="16" t="str"/>
      <x:c r="D2716" s="16" t="str">
        <x:v>* myContacts</x:v>
      </x:c>
      <x:c r="E2716" s="16" t="str">
        <x:v>Missing email</x:v>
      </x:c>
    </x:row>
    <x:row r="2717">
      <x:c r="A2717" s="16" t="n">
        <x:v>2832</x:v>
      </x:c>
      <x:c r="B2717" s="16" t="str">
        <x:v>Flutherapy Johor</x:v>
      </x:c>
      <x:c r="C2717" s="16" t="str"/>
      <x:c r="D2717" s="16" t="str">
        <x:v>* myContacts</x:v>
      </x:c>
      <x:c r="E2717" s="16" t="str">
        <x:v>Missing email</x:v>
      </x:c>
    </x:row>
    <x:row r="2718">
      <x:c r="A2718" s="16" t="n">
        <x:v>2833</x:v>
      </x:c>
      <x:c r="B2718" s="16" t="str">
        <x:v>FM Akmal Agrosis</x:v>
      </x:c>
      <x:c r="C2718" s="16" t="str"/>
      <x:c r="D2718" s="16" t="str">
        <x:v>* myContacts</x:v>
      </x:c>
      <x:c r="E2718" s="16" t="str">
        <x:v>Missing email</x:v>
      </x:c>
    </x:row>
    <x:row r="2719">
      <x:c r="A2719" s="16" t="n">
        <x:v>2834</x:v>
      </x:c>
      <x:c r="B2719" s="16" t="str">
        <x:v>Fm ellessa _nwi Sarawak</x:v>
      </x:c>
      <x:c r="C2719" s="16" t="str"/>
      <x:c r="D2719" s="16" t="str">
        <x:v>* myContacts</x:v>
      </x:c>
      <x:c r="E2719" s="16" t="str">
        <x:v>Missing email</x:v>
      </x:c>
    </x:row>
    <x:row r="2720">
      <x:c r="A2720" s="16" t="n">
        <x:v>2835</x:v>
      </x:c>
      <x:c r="B2720" s="16" t="str">
        <x:v>Folirin Rin Mayang</x:v>
      </x:c>
      <x:c r="C2720" s="16" t="str"/>
      <x:c r="D2720" s="16" t="str">
        <x:v>* myContacts</x:v>
      </x:c>
      <x:c r="E2720" s="16" t="str">
        <x:v>Missing email</x:v>
      </x:c>
    </x:row>
    <x:row r="2721">
      <x:c r="A2721" s="16" t="n">
        <x:v>2836</x:v>
      </x:c>
      <x:c r="B2721" s="16" t="str">
        <x:v>Fong Yc Scarletz Apartment</x:v>
      </x:c>
      <x:c r="C2721" s="16" t="str"/>
      <x:c r="D2721" s="16" t="str">
        <x:v>* myContacts</x:v>
      </x:c>
      <x:c r="E2721" s="16" t="str">
        <x:v>Missing email</x:v>
      </x:c>
    </x:row>
    <x:row r="2722">
      <x:c r="A2722" s="16" t="n">
        <x:v>2837</x:v>
      </x:c>
      <x:c r="B2722" s="16" t="str">
        <x:v>Footlink Terengganu</x:v>
      </x:c>
      <x:c r="C2722" s="16" t="str"/>
      <x:c r="D2722" s="16" t="str">
        <x:v>* myContacts</x:v>
      </x:c>
      <x:c r="E2722" s="16" t="str">
        <x:v>Missing email</x:v>
      </x:c>
    </x:row>
    <x:row r="2723">
      <x:c r="A2723" s="16" t="n">
        <x:v>2838</x:v>
      </x:c>
      <x:c r="B2723" s="16" t="str">
        <x:v>FotoDria Greentown Square Ipoh</x:v>
      </x:c>
      <x:c r="C2723" s="16" t="str"/>
      <x:c r="D2723" s="16" t="str">
        <x:v>* myContacts</x:v>
      </x:c>
      <x:c r="E2723" s="16" t="str">
        <x:v>Missing email</x:v>
      </x:c>
    </x:row>
    <x:row r="2724">
      <x:c r="A2724" s="16" t="n">
        <x:v>2839</x:v>
      </x:c>
      <x:c r="B2724" s="16" t="str">
        <x:v>Founder Tuan Farid Yusoff Sasabell Beauty HQ</x:v>
      </x:c>
      <x:c r="C2724" s="16" t="str"/>
      <x:c r="D2724" s="16" t="str">
        <x:v>* myContacts</x:v>
      </x:c>
      <x:c r="E2724" s="16" t="str">
        <x:v>Missing email</x:v>
      </x:c>
    </x:row>
    <x:row r="2725">
      <x:c r="A2725" s="16" t="n">
        <x:v>2841</x:v>
      </x:c>
      <x:c r="B2725" s="16" t="str">
        <x:v>Franklin Meshak</x:v>
      </x:c>
      <x:c r="C2725" s="16" t="str"/>
      <x:c r="D2725" s="16" t="str">
        <x:v>* myContacts</x:v>
      </x:c>
      <x:c r="E2725" s="16" t="str">
        <x:v>Missing email</x:v>
      </x:c>
    </x:row>
    <x:row r="2726">
      <x:c r="A2726" s="16" t="n">
        <x:v>2842</x:v>
      </x:c>
      <x:c r="B2726" s="16" t="str">
        <x:v>Frederica Asher Matthew</x:v>
      </x:c>
      <x:c r="C2726" s="16" t="str"/>
      <x:c r="D2726" s="16" t="str">
        <x:v>* myContacts</x:v>
      </x:c>
      <x:c r="E2726" s="16" t="str">
        <x:v>Missing email</x:v>
      </x:c>
    </x:row>
    <x:row r="2727">
      <x:c r="A2727" s="16" t="n">
        <x:v>2843</x:v>
      </x:c>
      <x:c r="B2727" s="16" t="str">
        <x:v>Frendy Gy Rush</x:v>
      </x:c>
      <x:c r="C2727" s="16" t="str"/>
      <x:c r="D2727" s="16" t="str">
        <x:v>* myContacts</x:v>
      </x:c>
      <x:c r="E2727" s="16" t="str">
        <x:v>Missing email</x:v>
      </x:c>
    </x:row>
    <x:row r="2728">
      <x:c r="A2728" s="16" t="n">
        <x:v>2844</x:v>
      </x:c>
      <x:c r="B2728" s="16" t="str">
        <x:v>Frisca Adela Ria Febrianti</x:v>
      </x:c>
      <x:c r="C2728" s="16" t="str"/>
      <x:c r="D2728" s="16" t="str">
        <x:v>* myContacts</x:v>
      </x:c>
      <x:c r="E2728" s="16" t="str">
        <x:v>Missing email</x:v>
      </x:c>
    </x:row>
    <x:row r="2729">
      <x:c r="A2729" s="16" t="n">
        <x:v>2845</x:v>
      </x:c>
      <x:c r="B2729" s="16" t="str">
        <x:v>Friska Hartati Pasaribu</x:v>
      </x:c>
      <x:c r="C2729" s="16" t="str"/>
      <x:c r="D2729" s="16" t="str">
        <x:v>* myContacts</x:v>
      </x:c>
      <x:c r="E2729" s="16" t="str">
        <x:v>Missing email</x:v>
      </x:c>
    </x:row>
    <x:row r="2730">
      <x:c r="A2730" s="16" t="n">
        <x:v>2846</x:v>
      </x:c>
      <x:c r="B2730" s="16" t="str">
        <x:v>Fuad Boss Postmore</x:v>
      </x:c>
      <x:c r="C2730" s="16" t="str"/>
      <x:c r="D2730" s="16" t="str">
        <x:v>* myContacts</x:v>
      </x:c>
      <x:c r="E2730" s="16" t="str">
        <x:v>Missing email</x:v>
      </x:c>
    </x:row>
    <x:row r="2731">
      <x:c r="A2731" s="16" t="n">
        <x:v>2847</x:v>
      </x:c>
      <x:c r="B2731" s="16" t="str">
        <x:v>Fuad Faitullah</x:v>
      </x:c>
      <x:c r="C2731" s="16" t="str"/>
      <x:c r="D2731" s="16" t="str">
        <x:v>* myContacts</x:v>
      </x:c>
      <x:c r="E2731" s="16" t="str">
        <x:v>Missing email</x:v>
      </x:c>
    </x:row>
    <x:row r="2732">
      <x:c r="A2732" s="16" t="n">
        <x:v>2848</x:v>
      </x:c>
      <x:c r="B2732" s="16" t="str">
        <x:v>Fuad Mahadi</x:v>
      </x:c>
      <x:c r="C2732" s="16" t="str"/>
      <x:c r="D2732" s="16" t="str">
        <x:v>* myContacts</x:v>
      </x:c>
      <x:c r="E2732" s="16" t="str">
        <x:v>Missing email</x:v>
      </x:c>
    </x:row>
    <x:row r="2733">
      <x:c r="A2733" s="16" t="n">
        <x:v>2849</x:v>
      </x:c>
      <x:c r="B2733" s="16" t="str">
        <x:v>Fuad Suami Nabillah Alang</x:v>
      </x:c>
      <x:c r="C2733" s="16" t="str"/>
      <x:c r="D2733" s="16" t="str">
        <x:v>* myContacts</x:v>
      </x:c>
      <x:c r="E2733" s="16" t="str">
        <x:v>Missing email</x:v>
      </x:c>
    </x:row>
    <x:row r="2734">
      <x:c r="A2734" s="16" t="n">
        <x:v>2850</x:v>
      </x:c>
      <x:c r="B2734" s="16" t="str">
        <x:v>Fudhail Rahmat</x:v>
      </x:c>
      <x:c r="C2734" s="16" t="str"/>
      <x:c r="D2734" s="16" t="str">
        <x:v>* myContacts</x:v>
      </x:c>
      <x:c r="E2734" s="16" t="str">
        <x:v>Missing email</x:v>
      </x:c>
    </x:row>
    <x:row r="2735">
      <x:c r="A2735" s="16" t="n">
        <x:v>2851</x:v>
      </x:c>
      <x:c r="B2735" s="16" t="str">
        <x:v>Fung Ka Ket</x:v>
      </x:c>
      <x:c r="C2735" s="16" t="str"/>
      <x:c r="D2735" s="16" t="str">
        <x:v>* myContacts</x:v>
      </x:c>
      <x:c r="E2735" s="16" t="str">
        <x:v>Missing email</x:v>
      </x:c>
    </x:row>
    <x:row r="2736">
      <x:c r="A2736" s="16" t="n">
        <x:v>2852</x:v>
      </x:c>
      <x:c r="B2736" s="16" t="str">
        <x:v>Fyraa Chiem</x:v>
      </x:c>
      <x:c r="C2736" s="16" t="str"/>
      <x:c r="D2736" s="16" t="str">
        <x:v>* myContacts</x:v>
      </x:c>
      <x:c r="E2736" s="16" t="str">
        <x:v>Missing email</x:v>
      </x:c>
    </x:row>
    <x:row r="2737">
      <x:c r="A2737" s="16" t="n">
        <x:v>2853</x:v>
      </x:c>
      <x:c r="B2737" s="16" t="str">
        <x:v>Fyza Eija</x:v>
      </x:c>
      <x:c r="C2737" s="16" t="str"/>
      <x:c r="D2737" s="16" t="str">
        <x:v>* myContacts</x:v>
      </x:c>
      <x:c r="E2737" s="16" t="str">
        <x:v>Missing email</x:v>
      </x:c>
    </x:row>
    <x:row r="2738">
      <x:c r="A2738" s="16" t="n">
        <x:v>2854</x:v>
      </x:c>
      <x:c r="B2738" s="16" t="str">
        <x:v>Fyza Khairi</x:v>
      </x:c>
      <x:c r="C2738" s="16" t="str"/>
      <x:c r="D2738" s="16" t="str">
        <x:v>* myContacts</x:v>
      </x:c>
      <x:c r="E2738" s="16" t="str">
        <x:v>Missing email</x:v>
      </x:c>
    </x:row>
    <x:row r="2739">
      <x:c r="A2739" s="16" t="n">
        <x:v>2855</x:v>
      </x:c>
      <x:c r="B2739" s="16" t="str">
        <x:v>Fyzan Fynna</x:v>
      </x:c>
      <x:c r="C2739" s="16" t="str"/>
      <x:c r="D2739" s="16" t="str">
        <x:v>* myContacts</x:v>
      </x:c>
      <x:c r="E2739" s="16" t="str">
        <x:v>Missing email</x:v>
      </x:c>
    </x:row>
    <x:row r="2740">
      <x:c r="A2740" s="16" t="n">
        <x:v>2856</x:v>
      </x:c>
      <x:c r="B2740" s="16" t="str">
        <x:v>G Shock Copy Ori</x:v>
      </x:c>
      <x:c r="C2740" s="16" t="str"/>
      <x:c r="D2740" s="16" t="str">
        <x:v>* myContacts</x:v>
      </x:c>
      <x:c r="E2740" s="16" t="str">
        <x:v>Missing email</x:v>
      </x:c>
    </x:row>
    <x:row r="2741">
      <x:c r="A2741" s="16" t="n">
        <x:v>2857</x:v>
      </x:c>
      <x:c r="B2741" s="16" t="str">
        <x:v>G. i. E'zan</x:v>
      </x:c>
      <x:c r="C2741" s="16" t="str"/>
      <x:c r="D2741" s="16" t="str">
        <x:v>* myContacts</x:v>
      </x:c>
      <x:c r="E2741" s="16" t="str">
        <x:v>Missing email</x:v>
      </x:c>
    </x:row>
    <x:row r="2742">
      <x:c r="A2742" s="16" t="n">
        <x:v>2858</x:v>
      </x:c>
      <x:c r="B2742" s="16" t="str">
        <x:v>G'me Dok Dok</x:v>
      </x:c>
      <x:c r="C2742" s="16" t="str"/>
      <x:c r="D2742" s="16" t="str">
        <x:v>* myContacts</x:v>
      </x:c>
      <x:c r="E2742" s="16" t="str">
        <x:v>Missing email</x:v>
      </x:c>
    </x:row>
    <x:row r="2743">
      <x:c r="A2743" s="16" t="n">
        <x:v>2859</x:v>
      </x:c>
      <x:c r="B2743" s="16" t="str">
        <x:v>g1</x:v>
      </x:c>
      <x:c r="C2743" s="16" t="str"/>
      <x:c r="D2743" s="16" t="str">
        <x:v>* myContacts</x:v>
      </x:c>
      <x:c r="E2743" s="16" t="str">
        <x:v>Missing email</x:v>
      </x:c>
    </x:row>
    <x:row r="2744">
      <x:c r="A2744" s="16" t="n">
        <x:v>2860</x:v>
      </x:c>
      <x:c r="B2744" s="16" t="str">
        <x:v>Gadget Kecik</x:v>
      </x:c>
      <x:c r="C2744" s="16" t="str"/>
      <x:c r="D2744" s="16" t="str">
        <x:v>* myContacts</x:v>
      </x:c>
      <x:c r="E2744" s="16" t="str">
        <x:v>Missing email</x:v>
      </x:c>
    </x:row>
    <x:row r="2745">
      <x:c r="A2745" s="16" t="n">
        <x:v>2861</x:v>
      </x:c>
      <x:c r="B2745" s="16" t="str">
        <x:v>Gae Mkting</x:v>
      </x:c>
      <x:c r="C2745" s="16" t="str"/>
      <x:c r="D2745" s="16" t="str">
        <x:v>* myContacts</x:v>
      </x:c>
      <x:c r="E2745" s="16" t="str">
        <x:v>Missing email</x:v>
      </x:c>
    </x:row>
    <x:row r="2746">
      <x:c r="A2746" s="16" t="n">
        <x:v>2862</x:v>
      </x:c>
      <x:c r="B2746" s="16" t="str">
        <x:v>Gai Jin</x:v>
      </x:c>
      <x:c r="C2746" s="16" t="str"/>
      <x:c r="D2746" s="16" t="str">
        <x:v>* myContacts</x:v>
      </x:c>
      <x:c r="E2746" s="16" t="str">
        <x:v>Missing email</x:v>
      </x:c>
    </x:row>
    <x:row r="2747">
      <x:c r="A2747" s="16" t="n">
        <x:v>2863</x:v>
      </x:c>
      <x:c r="B2747" s="16" t="str">
        <x:v>Galeri Cosmetick</x:v>
      </x:c>
      <x:c r="C2747" s="16" t="str"/>
      <x:c r="D2747" s="16" t="str">
        <x:v>* myContacts</x:v>
      </x:c>
      <x:c r="E2747" s="16" t="str">
        <x:v>Missing email</x:v>
      </x:c>
    </x:row>
    <x:row r="2748">
      <x:c r="A2748" s="16" t="n">
        <x:v>2864</x:v>
      </x:c>
      <x:c r="B2748" s="16" t="str">
        <x:v>Galeri Muslimah</x:v>
      </x:c>
      <x:c r="C2748" s="16" t="str"/>
      <x:c r="D2748" s="16" t="str">
        <x:v>* myContacts</x:v>
      </x:c>
      <x:c r="E2748" s="16" t="str">
        <x:v>Missing email</x:v>
      </x:c>
    </x:row>
    <x:row r="2749">
      <x:c r="A2749" s="16" t="n">
        <x:v>2865</x:v>
      </x:c>
      <x:c r="B2749" s="16" t="str">
        <x:v>GAM AMPANG Khairul CWA</x:v>
      </x:c>
      <x:c r="C2749" s="16" t="str"/>
      <x:c r="D2749" s="16" t="str">
        <x:v>* myContacts</x:v>
      </x:c>
      <x:c r="E2749" s="16" t="str">
        <x:v>Missing email</x:v>
      </x:c>
    </x:row>
    <x:row r="2750">
      <x:c r="A2750" s="16" t="n">
        <x:v>2866</x:v>
      </x:c>
      <x:c r="B2750" s="16" t="str">
        <x:v>Ganugass Norre</x:v>
      </x:c>
      <x:c r="C2750" s="16" t="str"/>
      <x:c r="D2750" s="16" t="str">
        <x:v>* myContacts</x:v>
      </x:c>
      <x:c r="E2750" s="16" t="str">
        <x:v>Missing email</x:v>
      </x:c>
    </x:row>
    <x:row r="2751">
      <x:c r="A2751" s="16" t="n">
        <x:v>2867</x:v>
      </x:c>
      <x:c r="B2751" s="16" t="str">
        <x:v>Garmin Distributor</x:v>
      </x:c>
      <x:c r="C2751" s="16" t="str"/>
      <x:c r="D2751" s="16" t="str">
        <x:v>* myContacts</x:v>
      </x:c>
      <x:c r="E2751" s="16" t="str">
        <x:v>Missing email</x:v>
      </x:c>
    </x:row>
    <x:row r="2752">
      <x:c r="A2752" s="16" t="n">
        <x:v>2868</x:v>
      </x:c>
      <x:c r="B2752" s="16" t="str">
        <x:v>Gary Yeo</x:v>
      </x:c>
      <x:c r="C2752" s="16" t="str"/>
      <x:c r="D2752" s="16" t="str">
        <x:v>* myContacts</x:v>
      </x:c>
      <x:c r="E2752" s="16" t="str">
        <x:v>Missing email</x:v>
      </x:c>
    </x:row>
    <x:row r="2753">
      <x:c r="A2753" s="16" t="n">
        <x:v>2869</x:v>
      </x:c>
      <x:c r="B2753" s="16" t="str">
        <x:v>Gaya Closet</x:v>
      </x:c>
      <x:c r="C2753" s="16" t="str"/>
      <x:c r="D2753" s="16" t="str">
        <x:v>* myContacts</x:v>
      </x:c>
      <x:c r="E2753" s="16" t="str">
        <x:v>Missing email</x:v>
      </x:c>
    </x:row>
    <x:row r="2754">
      <x:c r="A2754" s="16" t="n">
        <x:v>2870</x:v>
      </x:c>
      <x:c r="B2754" s="16" t="str">
        <x:v>GDEX SALES OFFICER</x:v>
      </x:c>
      <x:c r="C2754" s="16" t="str"/>
      <x:c r="D2754" s="16" t="str">
        <x:v>* myContacts</x:v>
      </x:c>
      <x:c r="E2754" s="16" t="str">
        <x:v>Missing email</x:v>
      </x:c>
    </x:row>
    <x:row r="2755">
      <x:c r="A2755" s="16" t="n">
        <x:v>2871</x:v>
      </x:c>
      <x:c r="B2755" s="16" t="str">
        <x:v>GE Kota Bharu Emas</x:v>
      </x:c>
      <x:c r="C2755" s="16" t="str"/>
      <x:c r="D2755" s="16" t="str">
        <x:v>* myContacts</x:v>
      </x:c>
      <x:c r="E2755" s="16" t="str">
        <x:v>Missing email</x:v>
      </x:c>
    </x:row>
    <x:row r="2756">
      <x:c r="A2756" s="16" t="n">
        <x:v>2872</x:v>
      </x:c>
      <x:c r="B2756" s="16" t="str">
        <x:v>Geomatika Collage Sabah</x:v>
      </x:c>
      <x:c r="C2756" s="16" t="str"/>
      <x:c r="D2756" s="16" t="str">
        <x:v>* myContacts</x:v>
      </x:c>
      <x:c r="E2756" s="16" t="str">
        <x:v>Missing email</x:v>
      </x:c>
    </x:row>
    <x:row r="2757">
      <x:c r="A2757" s="16" t="n">
        <x:v>2873</x:v>
      </x:c>
      <x:c r="B2757" s="16" t="str">
        <x:v>Getvippass com</x:v>
      </x:c>
      <x:c r="C2757" s="16" t="str"/>
      <x:c r="D2757" s="16" t="str">
        <x:v>* myContacts</x:v>
      </x:c>
      <x:c r="E2757" s="16" t="str">
        <x:v>Missing email</x:v>
      </x:c>
    </x:row>
    <x:row r="2758">
      <x:c r="A2758" s="16" t="n">
        <x:v>2874</x:v>
      </x:c>
      <x:c r="B2758" s="16" t="str">
        <x:v>gfbn prospect</x:v>
      </x:c>
      <x:c r="C2758" s="16" t="str"/>
      <x:c r="D2758" s="16" t="str">
        <x:v>* myContacts</x:v>
      </x:c>
      <x:c r="E2758" s="16" t="str">
        <x:v>Missing email</x:v>
      </x:c>
    </x:row>
    <x:row r="2759">
      <x:c r="A2759" s="16" t="n">
        <x:v>2875</x:v>
      </x:c>
      <x:c r="B2759" s="16" t="str">
        <x:v>Ghaz Siraj</x:v>
      </x:c>
      <x:c r="C2759" s="16" t="str"/>
      <x:c r="D2759" s="16" t="str">
        <x:v>* myContacts</x:v>
      </x:c>
      <x:c r="E2759" s="16" t="str">
        <x:v>Missing email</x:v>
      </x:c>
    </x:row>
    <x:row r="2760">
      <x:c r="A2760" s="16" t="n">
        <x:v>2876</x:v>
      </x:c>
      <x:c r="B2760" s="16" t="str">
        <x:v>Gianfranco Zary</x:v>
      </x:c>
      <x:c r="C2760" s="16" t="str"/>
      <x:c r="D2760" s="16" t="str">
        <x:v>* myContacts</x:v>
      </x:c>
      <x:c r="E2760" s="16" t="str">
        <x:v>Missing email</x:v>
      </x:c>
    </x:row>
    <x:row r="2761">
      <x:c r="A2761" s="16" t="n">
        <x:v>2877</x:v>
      </x:c>
      <x:c r="B2761" s="16" t="str">
        <x:v>Gibs Rk</x:v>
      </x:c>
      <x:c r="C2761" s="16" t="str"/>
      <x:c r="D2761" s="16" t="str">
        <x:v>* myContacts</x:v>
      </x:c>
      <x:c r="E2761" s="16" t="str">
        <x:v>Missing email</x:v>
      </x:c>
    </x:row>
    <x:row r="2762">
      <x:c r="A2762" s="16" t="n">
        <x:v>2878</x:v>
      </x:c>
      <x:c r="B2762" s="16" t="str">
        <x:v>Gigi Tour Guide</x:v>
      </x:c>
      <x:c r="C2762" s="16" t="str"/>
      <x:c r="D2762" s="16" t="str">
        <x:v>* myContacts</x:v>
      </x:c>
      <x:c r="E2762" s="16" t="str">
        <x:v>Missing email</x:v>
      </x:c>
    </x:row>
    <x:row r="2763">
      <x:c r="A2763" s="16" t="n">
        <x:v>2879</x:v>
      </x:c>
      <x:c r="B2763" s="16" t="str">
        <x:v>Gila-gila Remaja Pakkasollang</x:v>
      </x:c>
      <x:c r="C2763" s="16" t="str"/>
      <x:c r="D2763" s="16" t="str">
        <x:v>* myContacts</x:v>
      </x:c>
      <x:c r="E2763" s="16" t="str">
        <x:v>Missing email</x:v>
      </x:c>
    </x:row>
    <x:row r="2764">
      <x:c r="A2764" s="16" t="n">
        <x:v>2880</x:v>
      </x:c>
      <x:c r="B2764" s="16" t="str">
        <x:v>Gim Azizi</x:v>
      </x:c>
      <x:c r="C2764" s="16" t="str"/>
      <x:c r="D2764" s="16" t="str">
        <x:v>* myContacts</x:v>
      </x:c>
      <x:c r="E2764" s="16" t="str">
        <x:v>Missing email</x:v>
      </x:c>
    </x:row>
    <x:row r="2765">
      <x:c r="A2765" s="16" t="n">
        <x:v>2881</x:v>
      </x:c>
      <x:c r="B2765" s="16" t="str">
        <x:v>Glanny Dewin</x:v>
      </x:c>
      <x:c r="C2765" s="16" t="str"/>
      <x:c r="D2765" s="16" t="str">
        <x:v>* myContacts</x:v>
      </x:c>
      <x:c r="E2765" s="16" t="str">
        <x:v>Missing email</x:v>
      </x:c>
    </x:row>
    <x:row r="2766">
      <x:c r="A2766" s="16" t="n">
        <x:v>2882</x:v>
      </x:c>
      <x:c r="B2766" s="16" t="str">
        <x:v>Go Kelas Admin</x:v>
      </x:c>
      <x:c r="C2766" s="16" t="str"/>
      <x:c r="D2766" s="16" t="str">
        <x:v>* myContacts</x:v>
      </x:c>
      <x:c r="E2766" s="16" t="str">
        <x:v>Missing email</x:v>
      </x:c>
    </x:row>
    <x:row r="2767">
      <x:c r="A2767" s="16" t="n">
        <x:v>2883</x:v>
      </x:c>
      <x:c r="B2767" s="16" t="str">
        <x:v>Gobinath Gobin</x:v>
      </x:c>
      <x:c r="C2767" s="16" t="str"/>
      <x:c r="D2767" s="16" t="str">
        <x:v>* myContacts</x:v>
      </x:c>
      <x:c r="E2767" s="16" t="str">
        <x:v>Missing email</x:v>
      </x:c>
    </x:row>
    <x:row r="2768">
      <x:c r="A2768" s="16" t="n">
        <x:v>2884</x:v>
      </x:c>
      <x:c r="B2768" s="16" t="str">
        <x:v>Gono Ctiey</x:v>
      </x:c>
      <x:c r="C2768" s="16" t="str"/>
      <x:c r="D2768" s="16" t="str">
        <x:v>* myContacts</x:v>
      </x:c>
      <x:c r="E2768" s="16" t="str">
        <x:v>Missing email</x:v>
      </x:c>
    </x:row>
    <x:row r="2769">
      <x:c r="A2769" s="16" t="n">
        <x:v>2885</x:v>
      </x:c>
      <x:c r="B2769" s="16" t="str">
        <x:v>Google Ads Support</x:v>
      </x:c>
      <x:c r="C2769" s="16" t="str"/>
      <x:c r="D2769" s="16" t="str">
        <x:v>* myContacts</x:v>
      </x:c>
      <x:c r="E2769" s="16" t="str">
        <x:v>Missing email</x:v>
      </x:c>
    </x:row>
    <x:row r="2770">
      <x:c r="A2770" s="16" t="n">
        <x:v>2886</x:v>
      </x:c>
      <x:c r="B2770" s="16" t="str">
        <x:v>Grace 7 Habits of Highly Effective People</x:v>
      </x:c>
      <x:c r="C2770" s="16" t="str"/>
      <x:c r="D2770" s="16" t="str">
        <x:v>* myContacts</x:v>
      </x:c>
      <x:c r="E2770" s="16" t="str">
        <x:v>Missing email</x:v>
      </x:c>
    </x:row>
    <x:row r="2771">
      <x:c r="A2771" s="16" t="n">
        <x:v>2887</x:v>
      </x:c>
      <x:c r="B2771" s="16" t="str">
        <x:v>Grory MacCoy</x:v>
      </x:c>
      <x:c r="C2771" s="16" t="str"/>
      <x:c r="D2771" s="16" t="str">
        <x:v>* myContacts</x:v>
      </x:c>
      <x:c r="E2771" s="16" t="str">
        <x:v>Missing email</x:v>
      </x:c>
    </x:row>
    <x:row r="2772">
      <x:c r="A2772" s="16" t="n">
        <x:v>2888</x:v>
      </x:c>
      <x:c r="B2772" s="16" t="str">
        <x:v>Growfeed Aiman</x:v>
      </x:c>
      <x:c r="C2772" s="16" t="str"/>
      <x:c r="D2772" s="16" t="str">
        <x:v>* myContacts</x:v>
      </x:c>
      <x:c r="E2772" s="16" t="str">
        <x:v>Missing email</x:v>
      </x:c>
    </x:row>
    <x:row r="2773">
      <x:c r="A2773" s="16" t="n">
        <x:v>2889</x:v>
      </x:c>
      <x:c r="B2773" s="16" t="str">
        <x:v>Gurraj Dhillon</x:v>
      </x:c>
      <x:c r="C2773" s="16" t="str"/>
      <x:c r="D2773" s="16" t="str">
        <x:v>* myContacts</x:v>
      </x:c>
      <x:c r="E2773" s="16" t="str">
        <x:v>Missing email</x:v>
      </x:c>
    </x:row>
    <x:row r="2774">
      <x:c r="A2774" s="16" t="n">
        <x:v>2890</x:v>
      </x:c>
      <x:c r="B2774" s="16" t="str">
        <x:v>GvTha Gvbeibeyh</x:v>
      </x:c>
      <x:c r="C2774" s="16" t="str"/>
      <x:c r="D2774" s="16" t="str">
        <x:v>* myContacts</x:v>
      </x:c>
      <x:c r="E2774" s="16" t="str">
        <x:v>Missing email</x:v>
      </x:c>
    </x:row>
    <x:row r="2775">
      <x:c r="A2775" s="16" t="n">
        <x:v>2891</x:v>
      </x:c>
      <x:c r="B2775" s="16" t="str">
        <x:v>Gwen Ching Tiktok Manager Singapore</x:v>
      </x:c>
      <x:c r="C2775" s="16" t="str"/>
      <x:c r="D2775" s="16" t="str">
        <x:v>* myContacts</x:v>
      </x:c>
      <x:c r="E2775" s="16" t="str">
        <x:v>Missing email</x:v>
      </x:c>
    </x:row>
    <x:row r="2776">
      <x:c r="A2776" s="16" t="n">
        <x:v>2892</x:v>
      </x:c>
      <x:c r="B2776" s="16" t="str">
        <x:v>H⃟ A⃟ R⃟ I⃟ T⃟H</x:v>
      </x:c>
      <x:c r="C2776" s="16" t="str"/>
      <x:c r="D2776" s="16" t="str">
        <x:v>* myContacts</x:v>
      </x:c>
      <x:c r="E2776" s="16" t="str">
        <x:v>Missing email</x:v>
      </x:c>
    </x:row>
    <x:row r="2777">
      <x:c r="A2777" s="16" t="n">
        <x:v>2893</x:v>
      </x:c>
      <x:c r="B2777" s="16" t="str">
        <x:v>Habibah Abd Hamid</x:v>
      </x:c>
      <x:c r="C2777" s="16" t="str"/>
      <x:c r="D2777" s="16" t="str">
        <x:v>* myContacts</x:v>
      </x:c>
      <x:c r="E2777" s="16" t="str">
        <x:v>Missing email</x:v>
      </x:c>
    </x:row>
    <x:row r="2778">
      <x:c r="A2778" s="16" t="n">
        <x:v>2894</x:v>
      </x:c>
      <x:c r="B2778" s="16" t="str">
        <x:v>Habibah Yusoff</x:v>
      </x:c>
      <x:c r="C2778" s="16" t="str"/>
      <x:c r="D2778" s="16" t="str">
        <x:v>* myContacts</x:v>
      </x:c>
      <x:c r="E2778" s="16" t="str">
        <x:v>Missing email</x:v>
      </x:c>
    </x:row>
    <x:row r="2779">
      <x:c r="A2779" s="16" t="n">
        <x:v>2895</x:v>
      </x:c>
      <x:c r="B2779" s="16" t="str">
        <x:v>Hadi Akmal</x:v>
      </x:c>
      <x:c r="C2779" s="16" t="str"/>
      <x:c r="D2779" s="16" t="str">
        <x:v>* myContacts</x:v>
      </x:c>
      <x:c r="E2779" s="16" t="str">
        <x:v>Missing email</x:v>
      </x:c>
    </x:row>
    <x:row r="2780">
      <x:c r="A2780" s="16" t="n">
        <x:v>2896</x:v>
      </x:c>
      <x:c r="B2780" s="16" t="str">
        <x:v>Hadi Haizil IM</x:v>
      </x:c>
      <x:c r="C2780" s="16" t="str"/>
      <x:c r="D2780" s="16" t="str">
        <x:v>* myContacts</x:v>
      </x:c>
      <x:c r="E2780" s="16" t="str">
        <x:v>Missing email</x:v>
      </x:c>
    </x:row>
    <x:row r="2781">
      <x:c r="A2781" s="16" t="n">
        <x:v>2897</x:v>
      </x:c>
      <x:c r="B2781" s="16" t="str">
        <x:v>Hadi Juhari</x:v>
      </x:c>
      <x:c r="C2781" s="16" t="str"/>
      <x:c r="D2781" s="16" t="str">
        <x:v>* myContacts</x:v>
      </x:c>
      <x:c r="E2781" s="16" t="str">
        <x:v>Missing email</x:v>
      </x:c>
    </x:row>
    <x:row r="2782">
      <x:c r="A2782" s="16" t="n">
        <x:v>2898</x:v>
      </x:c>
      <x:c r="B2782" s="16" t="str">
        <x:v>Hadi Juhari IX</x:v>
      </x:c>
      <x:c r="C2782" s="16" t="str"/>
      <x:c r="D2782" s="16" t="str">
        <x:v>* myContacts</x:v>
      </x:c>
      <x:c r="E2782" s="16" t="str">
        <x:v>Missing email</x:v>
      </x:c>
    </x:row>
    <x:row r="2783">
      <x:c r="A2783" s="16" t="n">
        <x:v>2899</x:v>
      </x:c>
      <x:c r="B2783" s="16" t="str">
        <x:v>Hadi Pilus DPIM</x:v>
      </x:c>
      <x:c r="C2783" s="16" t="str"/>
      <x:c r="D2783" s="16" t="str">
        <x:v>* myContacts</x:v>
      </x:c>
      <x:c r="E2783" s="16" t="str">
        <x:v>Missing email</x:v>
      </x:c>
    </x:row>
    <x:row r="2784">
      <x:c r="A2784" s="16" t="n">
        <x:v>2900</x:v>
      </x:c>
      <x:c r="B2784" s="16" t="str">
        <x:v>Hadi RJB</x:v>
      </x:c>
      <x:c r="C2784" s="16" t="str"/>
      <x:c r="D2784" s="16" t="str">
        <x:v>* myContacts</x:v>
      </x:c>
      <x:c r="E2784" s="16" t="str">
        <x:v>Missing email</x:v>
      </x:c>
    </x:row>
    <x:row r="2785">
      <x:c r="A2785" s="16" t="n">
        <x:v>2901</x:v>
      </x:c>
      <x:c r="B2785" s="16" t="str">
        <x:v>Hadi Rumah Niaga temerloh</x:v>
      </x:c>
      <x:c r="C2785" s="16" t="str"/>
      <x:c r="D2785" s="16" t="str">
        <x:v>* myContacts</x:v>
      </x:c>
      <x:c r="E2785" s="16" t="str">
        <x:v>Missing email</x:v>
      </x:c>
    </x:row>
    <x:row r="2786">
      <x:c r="A2786" s="16" t="n">
        <x:v>2902</x:v>
      </x:c>
      <x:c r="B2786" s="16" t="str">
        <x:v>Hadi Salleh Trainer MDEC</x:v>
      </x:c>
      <x:c r="C2786" s="16" t="str"/>
      <x:c r="D2786" s="16" t="str">
        <x:v>* myContacts</x:v>
      </x:c>
      <x:c r="E2786" s="16" t="str">
        <x:v>Missing email</x:v>
      </x:c>
    </x:row>
    <x:row r="2787">
      <x:c r="A2787" s="16" t="n">
        <x:v>2903</x:v>
      </x:c>
      <x:c r="B2787" s="16" t="str">
        <x:v>Hadi skybox</x:v>
      </x:c>
      <x:c r="C2787" s="16" t="str"/>
      <x:c r="D2787" s="16" t="str">
        <x:v>* myContacts</x:v>
      </x:c>
      <x:c r="E2787" s="16" t="str">
        <x:v>Missing email</x:v>
      </x:c>
    </x:row>
    <x:row r="2788">
      <x:c r="A2788" s="16" t="n">
        <x:v>2904</x:v>
      </x:c>
      <x:c r="B2788" s="16" t="str">
        <x:v>Hadzrin Gaban</x:v>
      </x:c>
      <x:c r="C2788" s="16" t="str"/>
      <x:c r="D2788" s="16" t="str">
        <x:v>* myContacts</x:v>
      </x:c>
      <x:c r="E2788" s="16" t="str">
        <x:v>Missing email</x:v>
      </x:c>
    </x:row>
    <x:row r="2789">
      <x:c r="A2789" s="16" t="n">
        <x:v>2905</x:v>
      </x:c>
      <x:c r="B2789" s="16" t="str">
        <x:v>Hafawati Johari</x:v>
      </x:c>
      <x:c r="C2789" s="16" t="str"/>
      <x:c r="D2789" s="16" t="str">
        <x:v>* myContacts</x:v>
      </x:c>
      <x:c r="E2789" s="16" t="str">
        <x:v>Missing email</x:v>
      </x:c>
    </x:row>
    <x:row r="2790">
      <x:c r="A2790" s="16" t="n">
        <x:v>2906</x:v>
      </x:c>
      <x:c r="B2790" s="16" t="str">
        <x:v>Hafeez Celcom Shah Alam</x:v>
      </x:c>
      <x:c r="C2790" s="16" t="str"/>
      <x:c r="D2790" s="16" t="str">
        <x:v>* myContacts</x:v>
      </x:c>
      <x:c r="E2790" s="16" t="str">
        <x:v>Missing email</x:v>
      </x:c>
    </x:row>
    <x:row r="2791">
      <x:c r="A2791" s="16" t="n">
        <x:v>2907</x:v>
      </x:c>
      <x:c r="B2791" s="16" t="str">
        <x:v>Hafez Effandy WasaPower</x:v>
      </x:c>
      <x:c r="C2791" s="16" t="str"/>
      <x:c r="D2791" s="16" t="str">
        <x:v>* myContacts</x:v>
      </x:c>
      <x:c r="E2791" s="16" t="str">
        <x:v>Missing email</x:v>
      </x:c>
    </x:row>
    <x:row r="2792">
      <x:c r="A2792" s="16" t="n">
        <x:v>2908</x:v>
      </x:c>
      <x:c r="B2792" s="16" t="str">
        <x:v>Haffizat Gb Otai WP</x:v>
      </x:c>
      <x:c r="C2792" s="16" t="str"/>
      <x:c r="D2792" s="16" t="str">
        <x:v>* myContacts</x:v>
      </x:c>
      <x:c r="E2792" s="16" t="str">
        <x:v>Missing email</x:v>
      </x:c>
    </x:row>
    <x:row r="2793">
      <x:c r="A2793" s="16" t="n">
        <x:v>2909</x:v>
      </x:c>
      <x:c r="B2793" s="16" t="str">
        <x:v>Hafidah FAMA</x:v>
      </x:c>
      <x:c r="C2793" s="16" t="str"/>
      <x:c r="D2793" s="16" t="str">
        <x:v>* myContacts</x:v>
      </x:c>
      <x:c r="E2793" s="16" t="str">
        <x:v>Missing email</x:v>
      </x:c>
    </x:row>
    <x:row r="2794">
      <x:c r="A2794" s="16" t="n">
        <x:v>2910</x:v>
      </x:c>
      <x:c r="B2794" s="16" t="str">
        <x:v>Hafidz BDA</x:v>
      </x:c>
      <x:c r="C2794" s="16" t="str"/>
      <x:c r="D2794" s="16" t="str">
        <x:v>* myContacts</x:v>
      </x:c>
      <x:c r="E2794" s="16" t="str">
        <x:v>Missing email</x:v>
      </x:c>
    </x:row>
    <x:row r="2795">
      <x:c r="A2795" s="16" t="n">
        <x:v>2911</x:v>
      </x:c>
      <x:c r="B2795" s="16" t="str">
        <x:v>Hafidz Kosmetik Jemaima</x:v>
      </x:c>
      <x:c r="C2795" s="16" t="str"/>
      <x:c r="D2795" s="16" t="str">
        <x:v>* myContacts</x:v>
      </x:c>
      <x:c r="E2795" s="16" t="str">
        <x:v>Missing email</x:v>
      </x:c>
    </x:row>
    <x:row r="2796">
      <x:c r="A2796" s="16" t="n">
        <x:v>2912</x:v>
      </x:c>
      <x:c r="B2796" s="16" t="str">
        <x:v>Hafidz ULTRA</x:v>
      </x:c>
      <x:c r="C2796" s="16" t="str"/>
      <x:c r="D2796" s="16" t="str">
        <x:v>* myContacts</x:v>
      </x:c>
      <x:c r="E2796" s="16" t="str">
        <x:v>Missing email</x:v>
      </x:c>
    </x:row>
    <x:row r="2797">
      <x:c r="A2797" s="16" t="n">
        <x:v>2913</x:v>
      </x:c>
      <x:c r="B2797" s="16" t="str">
        <x:v>Hafidz Zulkhairi</x:v>
      </x:c>
      <x:c r="C2797" s="16" t="str"/>
      <x:c r="D2797" s="16" t="str">
        <x:v>* myContacts</x:v>
      </x:c>
      <x:c r="E2797" s="16" t="str">
        <x:v>Missing email</x:v>
      </x:c>
    </x:row>
    <x:row r="2798">
      <x:c r="A2798" s="16" t="n">
        <x:v>2914</x:v>
      </x:c>
      <x:c r="B2798" s="16" t="str">
        <x:v>Hafis A Rahman</x:v>
      </x:c>
      <x:c r="C2798" s="16" t="str"/>
      <x:c r="D2798" s="16" t="str">
        <x:v>* myContacts</x:v>
      </x:c>
      <x:c r="E2798" s="16" t="str">
        <x:v>Missing email</x:v>
      </x:c>
    </x:row>
    <x:row r="2799">
      <x:c r="A2799" s="16" t="n">
        <x:v>2915</x:v>
      </x:c>
      <x:c r="B2799" s="16" t="str">
        <x:v>Hafis Hatim</x:v>
      </x:c>
      <x:c r="C2799" s="16" t="str"/>
      <x:c r="D2799" s="16" t="str">
        <x:v>* myContacts</x:v>
      </x:c>
      <x:c r="E2799" s="16" t="str">
        <x:v>Missing email</x:v>
      </x:c>
    </x:row>
    <x:row r="2800">
      <x:c r="A2800" s="16" t="n">
        <x:v>2916</x:v>
      </x:c>
      <x:c r="B2800" s="16" t="str">
        <x:v>Hafiz Al Husen</x:v>
      </x:c>
      <x:c r="C2800" s="16" t="str"/>
      <x:c r="D2800" s="16" t="str">
        <x:v>* myContacts</x:v>
      </x:c>
      <x:c r="E2800" s="16" t="str">
        <x:v>Missing email</x:v>
      </x:c>
    </x:row>
    <x:row r="2801">
      <x:c r="A2801" s="16" t="n">
        <x:v>2917</x:v>
      </x:c>
      <x:c r="B2801" s="16" t="str">
        <x:v>Hafiz Camel Unta</x:v>
      </x:c>
      <x:c r="C2801" s="16" t="str"/>
      <x:c r="D2801" s="16" t="str">
        <x:v>* myContacts</x:v>
      </x:c>
      <x:c r="E2801" s="16" t="str">
        <x:v>Missing email</x:v>
      </x:c>
    </x:row>
    <x:row r="2802">
      <x:c r="A2802" s="16" t="n">
        <x:v>2918</x:v>
      </x:c>
      <x:c r="B2802" s="16" t="str">
        <x:v>Hafiz Jazz Mdec Trainer</x:v>
      </x:c>
      <x:c r="C2802" s="16" t="str"/>
      <x:c r="D2802" s="16" t="str">
        <x:v>Trainer | * myContacts</x:v>
      </x:c>
      <x:c r="E2802" s="16" t="str">
        <x:v>Missing email</x:v>
      </x:c>
    </x:row>
    <x:row r="2803">
      <x:c r="A2803" s="16" t="n">
        <x:v>2919</x:v>
      </x:c>
      <x:c r="B2803" s="16" t="str">
        <x:v>hafiz kindness</x:v>
      </x:c>
      <x:c r="C2803" s="16" t="str"/>
      <x:c r="D2803" s="16" t="str">
        <x:v>* myContacts</x:v>
      </x:c>
      <x:c r="E2803" s="16" t="str">
        <x:v>Missing email</x:v>
      </x:c>
    </x:row>
    <x:row r="2804">
      <x:c r="A2804" s="16" t="n">
        <x:v>2920</x:v>
      </x:c>
      <x:c r="B2804" s="16" t="str">
        <x:v>Hafiz Manap HK</x:v>
      </x:c>
      <x:c r="C2804" s="16" t="str"/>
      <x:c r="D2804" s="16" t="str">
        <x:v>* myContacts</x:v>
      </x:c>
      <x:c r="E2804" s="16" t="str">
        <x:v>Missing email</x:v>
      </x:c>
    </x:row>
    <x:row r="2805">
      <x:c r="A2805" s="16" t="n">
        <x:v>2921</x:v>
      </x:c>
      <x:c r="B2805" s="16" t="str">
        <x:v>Hafiz Masiat IM</x:v>
      </x:c>
      <x:c r="C2805" s="16" t="str"/>
      <x:c r="D2805" s="16" t="str">
        <x:v>* myContacts</x:v>
      </x:c>
      <x:c r="E2805" s="16" t="str">
        <x:v>Missing email</x:v>
      </x:c>
    </x:row>
    <x:row r="2806">
      <x:c r="A2806" s="16" t="n">
        <x:v>2922</x:v>
      </x:c>
      <x:c r="B2806" s="16" t="str">
        <x:v>Hafiz Muttalib Leo Leon</x:v>
      </x:c>
      <x:c r="C2806" s="16" t="str"/>
      <x:c r="D2806" s="16" t="str">
        <x:v>* myContacts</x:v>
      </x:c>
      <x:c r="E2806" s="16" t="str">
        <x:v>Missing email</x:v>
      </x:c>
    </x:row>
    <x:row r="2807">
      <x:c r="A2807" s="16" t="n">
        <x:v>2923</x:v>
      </x:c>
      <x:c r="B2807" s="16" t="str">
        <x:v>Hafiz NLP</x:v>
      </x:c>
      <x:c r="C2807" s="16" t="str"/>
      <x:c r="D2807" s="16" t="str">
        <x:v>* myContacts</x:v>
      </x:c>
      <x:c r="E2807" s="16" t="str">
        <x:v>Missing email</x:v>
      </x:c>
    </x:row>
    <x:row r="2808">
      <x:c r="A2808" s="16" t="n">
        <x:v>2924</x:v>
      </x:c>
      <x:c r="B2808" s="16" t="str">
        <x:v>Hafiz NLP Im</x:v>
      </x:c>
      <x:c r="C2808" s="16" t="str"/>
      <x:c r="D2808" s="16" t="str">
        <x:v>* myContacts</x:v>
      </x:c>
      <x:c r="E2808" s="16" t="str">
        <x:v>Missing email</x:v>
      </x:c>
    </x:row>
    <x:row r="2809">
      <x:c r="A2809" s="16" t="n">
        <x:v>2925</x:v>
      </x:c>
      <x:c r="B2809" s="16" t="str">
        <x:v>Hafiz Ns Viral</x:v>
      </x:c>
      <x:c r="C2809" s="16" t="str"/>
      <x:c r="D2809" s="16" t="str">
        <x:v>* myContacts</x:v>
      </x:c>
      <x:c r="E2809" s="16" t="str">
        <x:v>Missing email</x:v>
      </x:c>
    </x:row>
    <x:row r="2810">
      <x:c r="A2810" s="16" t="n">
        <x:v>2926</x:v>
      </x:c>
      <x:c r="B2810" s="16" t="str">
        <x:v>Hafiz nusantara</x:v>
      </x:c>
      <x:c r="C2810" s="16" t="str"/>
      <x:c r="D2810" s="16" t="str">
        <x:v>* myContacts</x:v>
      </x:c>
      <x:c r="E2810" s="16" t="str">
        <x:v>Missing email</x:v>
      </x:c>
    </x:row>
    <x:row r="2811">
      <x:c r="A2811" s="16" t="n">
        <x:v>2927</x:v>
      </x:c>
      <x:c r="B2811" s="16" t="str">
        <x:v>Hafiz Osman</x:v>
      </x:c>
      <x:c r="C2811" s="16" t="str"/>
      <x:c r="D2811" s="16" t="str">
        <x:v>* myContacts</x:v>
      </x:c>
      <x:c r="E2811" s="16" t="str">
        <x:v>Missing email</x:v>
      </x:c>
    </x:row>
    <x:row r="2812">
      <x:c r="A2812" s="16" t="n">
        <x:v>2928</x:v>
      </x:c>
      <x:c r="B2812" s="16" t="str">
        <x:v>Hafiz Peugot</x:v>
      </x:c>
      <x:c r="C2812" s="16" t="str"/>
      <x:c r="D2812" s="16" t="str">
        <x:v>* myContacts</x:v>
      </x:c>
      <x:c r="E2812" s="16" t="str">
        <x:v>Missing email</x:v>
      </x:c>
    </x:row>
    <x:row r="2813">
      <x:c r="A2813" s="16" t="n">
        <x:v>2929</x:v>
      </x:c>
      <x:c r="B2813" s="16" t="str">
        <x:v>Hafiz PPMM</x:v>
      </x:c>
      <x:c r="C2813" s="16" t="str"/>
      <x:c r="D2813" s="16" t="str">
        <x:v>* myContacts</x:v>
      </x:c>
      <x:c r="E2813" s="16" t="str">
        <x:v>Missing email</x:v>
      </x:c>
    </x:row>
    <x:row r="2814">
      <x:c r="A2814" s="16" t="n">
        <x:v>2931</x:v>
      </x:c>
      <x:c r="B2814" s="16" t="str">
        <x:v>Hafiz Soqad Potera</x:v>
      </x:c>
      <x:c r="C2814" s="16" t="str"/>
      <x:c r="D2814" s="16" t="str">
        <x:v>* myContacts</x:v>
      </x:c>
      <x:c r="E2814" s="16" t="str">
        <x:v>Missing email</x:v>
      </x:c>
    </x:row>
    <x:row r="2815">
      <x:c r="A2815" s="16" t="n">
        <x:v>2932</x:v>
      </x:c>
      <x:c r="B2815" s="16" t="str">
        <x:v>Hafiz Spire IP Consultant</x:v>
      </x:c>
      <x:c r="C2815" s="16" t="str"/>
      <x:c r="D2815" s="16" t="str">
        <x:v>* myContacts</x:v>
      </x:c>
      <x:c r="E2815" s="16" t="str">
        <x:v>Missing email</x:v>
      </x:c>
    </x:row>
    <x:row r="2816">
      <x:c r="A2816" s="16" t="n">
        <x:v>2933</x:v>
      </x:c>
      <x:c r="B2816" s="16" t="str">
        <x:v>Hafiz Suhaimi Web Programming</x:v>
      </x:c>
      <x:c r="C2816" s="16" t="str"/>
      <x:c r="D2816" s="16" t="str">
        <x:v>* myContacts</x:v>
      </x:c>
      <x:c r="E2816" s="16" t="str">
        <x:v>Missing email</x:v>
      </x:c>
    </x:row>
    <x:row r="2817">
      <x:c r="A2817" s="16" t="n">
        <x:v>2934</x:v>
      </x:c>
      <x:c r="B2817" s="16" t="str">
        <x:v>Hafizah Kasdom</x:v>
      </x:c>
      <x:c r="C2817" s="16" t="str"/>
      <x:c r="D2817" s="16" t="str">
        <x:v>* myContacts</x:v>
      </x:c>
      <x:c r="E2817" s="16" t="str">
        <x:v>Missing email</x:v>
      </x:c>
    </x:row>
    <x:row r="2818">
      <x:c r="A2818" s="16" t="n">
        <x:v>2935</x:v>
      </x:c>
      <x:c r="B2818" s="16" t="str">
        <x:v>Hafizah Rahim</x:v>
      </x:c>
      <x:c r="C2818" s="16" t="str"/>
      <x:c r="D2818" s="16" t="str">
        <x:v>* myContacts</x:v>
      </x:c>
      <x:c r="E2818" s="16" t="str">
        <x:v>Missing email</x:v>
      </x:c>
    </x:row>
    <x:row r="2819">
      <x:c r="A2819" s="16" t="n">
        <x:v>2936</x:v>
      </x:c>
      <x:c r="B2819" s="16" t="str">
        <x:v>Hafizah Satarudin</x:v>
      </x:c>
      <x:c r="C2819" s="16" t="str"/>
      <x:c r="D2819" s="16" t="str">
        <x:v>* myContacts</x:v>
      </x:c>
      <x:c r="E2819" s="16" t="str">
        <x:v>Missing email</x:v>
      </x:c>
    </x:row>
    <x:row r="2820">
      <x:c r="A2820" s="16" t="n">
        <x:v>2937</x:v>
      </x:c>
      <x:c r="B2820" s="16" t="str">
        <x:v>Hafizal Design Power</x:v>
      </x:c>
      <x:c r="C2820" s="16" t="str"/>
      <x:c r="D2820" s="16" t="str">
        <x:v>* myContacts</x:v>
      </x:c>
      <x:c r="E2820" s="16" t="str">
        <x:v>Missing email</x:v>
      </x:c>
    </x:row>
    <x:row r="2821">
      <x:c r="A2821" s="16" t="n">
        <x:v>2938</x:v>
      </x:c>
      <x:c r="B2821" s="16" t="str">
        <x:v>Hafizal Johari Ai Expert</x:v>
      </x:c>
      <x:c r="C2821" s="16" t="str"/>
      <x:c r="D2821" s="16" t="str">
        <x:v>* myContacts</x:v>
      </x:c>
      <x:c r="E2821" s="16" t="str">
        <x:v>Missing email</x:v>
      </x:c>
    </x:row>
    <x:row r="2822">
      <x:c r="A2822" s="16" t="n">
        <x:v>2939</x:v>
      </x:c>
      <x:c r="B2822" s="16" t="str">
        <x:v>Hafizan Aadk</x:v>
      </x:c>
      <x:c r="C2822" s="16" t="str"/>
      <x:c r="D2822" s="16" t="str">
        <x:v>* myContacts</x:v>
      </x:c>
      <x:c r="E2822" s="16" t="str">
        <x:v>Missing email</x:v>
      </x:c>
    </x:row>
    <x:row r="2823">
      <x:c r="A2823" s="16" t="n">
        <x:v>2940</x:v>
      </x:c>
      <x:c r="B2823" s="16" t="str">
        <x:v>Hafizan Bin Mohd Noor</x:v>
      </x:c>
      <x:c r="C2823" s="16" t="str"/>
      <x:c r="D2823" s="16" t="str">
        <x:v>* myContacts</x:v>
      </x:c>
      <x:c r="E2823" s="16" t="str">
        <x:v>Missing email</x:v>
      </x:c>
    </x:row>
    <x:row r="2824">
      <x:c r="A2824" s="16" t="n">
        <x:v>2941</x:v>
      </x:c>
      <x:c r="B2824" s="16" t="str">
        <x:v>Hafizi Utm</x:v>
      </x:c>
      <x:c r="C2824" s="16" t="str"/>
      <x:c r="D2824" s="16" t="str">
        <x:v>* myContacts</x:v>
      </x:c>
      <x:c r="E2824" s="16" t="str">
        <x:v>Missing email</x:v>
      </x:c>
    </x:row>
    <x:row r="2825">
      <x:c r="A2825" s="16" t="n">
        <x:v>2942</x:v>
      </x:c>
      <x:c r="B2825" s="16" t="str">
        <x:v>Hafizin</x:v>
      </x:c>
      <x:c r="C2825" s="16" t="str"/>
      <x:c r="D2825" s="16" t="str">
        <x:v>* myContacts</x:v>
      </x:c>
      <x:c r="E2825" s="16" t="str">
        <x:v>Missing email</x:v>
      </x:c>
    </x:row>
    <x:row r="2826">
      <x:c r="A2826" s="16" t="n">
        <x:v>2943</x:v>
      </x:c>
      <x:c r="B2826" s="16" t="str">
        <x:v>Hafizuddin Bin Othman</x:v>
      </x:c>
      <x:c r="C2826" s="16" t="str"/>
      <x:c r="D2826" s="16" t="str">
        <x:v>* myContacts</x:v>
      </x:c>
      <x:c r="E2826" s="16" t="str">
        <x:v>Missing email</x:v>
      </x:c>
    </x:row>
    <x:row r="2827">
      <x:c r="A2827" s="16" t="n">
        <x:v>2944</x:v>
      </x:c>
      <x:c r="B2827" s="16" t="str">
        <x:v>Hafizul Azli</x:v>
      </x:c>
      <x:c r="C2827" s="16" t="str"/>
      <x:c r="D2827" s="16" t="str">
        <x:v>* myContacts</x:v>
      </x:c>
      <x:c r="E2827" s="16" t="str">
        <x:v>Missing email</x:v>
      </x:c>
    </x:row>
    <x:row r="2828">
      <x:c r="A2828" s="16" t="n">
        <x:v>2945</x:v>
      </x:c>
      <x:c r="B2828" s="16" t="str">
        <x:v>Hafizul Baharuddin</x:v>
      </x:c>
      <x:c r="C2828" s="16" t="str"/>
      <x:c r="D2828" s="16" t="str">
        <x:v>* myContacts</x:v>
      </x:c>
      <x:c r="E2828" s="16" t="str">
        <x:v>Missing email</x:v>
      </x:c>
    </x:row>
    <x:row r="2829">
      <x:c r="A2829" s="16" t="n">
        <x:v>2947</x:v>
      </x:c>
      <x:c r="B2829" s="16" t="str">
        <x:v>Hafsah Ahmad</x:v>
      </x:c>
      <x:c r="C2829" s="16" t="str"/>
      <x:c r="D2829" s="16" t="str">
        <x:v>* myContacts</x:v>
      </x:c>
      <x:c r="E2829" s="16" t="str">
        <x:v>Missing email</x:v>
      </x:c>
    </x:row>
    <x:row r="2830">
      <x:c r="A2830" s="16" t="n">
        <x:v>2948</x:v>
      </x:c>
      <x:c r="B2830" s="16" t="str">
        <x:v>Hafshah Mohamad</x:v>
      </x:c>
      <x:c r="C2830" s="16" t="str"/>
      <x:c r="D2830" s="16" t="str">
        <x:v>* myContacts</x:v>
      </x:c>
      <x:c r="E2830" s="16" t="str">
        <x:v>Missing email</x:v>
      </x:c>
    </x:row>
    <x:row r="2831">
      <x:c r="A2831" s="16" t="n">
        <x:v>2949</x:v>
      </x:c>
      <x:c r="B2831" s="16" t="str">
        <x:v>Hafsham Mohd Sharif</x:v>
      </x:c>
      <x:c r="C2831" s="16" t="str"/>
      <x:c r="D2831" s="16" t="str">
        <x:v>* myContacts</x:v>
      </x:c>
      <x:c r="E2831" s="16" t="str">
        <x:v>Missing email</x:v>
      </x:c>
    </x:row>
    <x:row r="2832">
      <x:c r="A2832" s="16" t="n">
        <x:v>2950</x:v>
      </x:c>
      <x:c r="B2832" s="16" t="str">
        <x:v>Haidi Didiey Walid</x:v>
      </x:c>
      <x:c r="C2832" s="16" t="str"/>
      <x:c r="D2832" s="16" t="str">
        <x:v>* myContacts</x:v>
      </x:c>
      <x:c r="E2832" s="16" t="str">
        <x:v>Missing email</x:v>
      </x:c>
    </x:row>
    <x:row r="2833">
      <x:c r="A2833" s="16" t="n">
        <x:v>2951</x:v>
      </x:c>
      <x:c r="B2833" s="16" t="str">
        <x:v>Haikal Abibumi</x:v>
      </x:c>
      <x:c r="C2833" s="16" t="str"/>
      <x:c r="D2833" s="16" t="str">
        <x:v>* myContacts</x:v>
      </x:c>
      <x:c r="E2833" s="16" t="str">
        <x:v>Missing email</x:v>
      </x:c>
    </x:row>
    <x:row r="2834">
      <x:c r="A2834" s="16" t="n">
        <x:v>2952</x:v>
      </x:c>
      <x:c r="B2834" s="16" t="str">
        <x:v>Haikal Mdec IM</x:v>
      </x:c>
      <x:c r="C2834" s="16" t="str"/>
      <x:c r="D2834" s="16" t="str">
        <x:v>* myContacts</x:v>
      </x:c>
      <x:c r="E2834" s="16" t="str">
        <x:v>Missing email</x:v>
      </x:c>
    </x:row>
    <x:row r="2835">
      <x:c r="A2835" s="16" t="n">
        <x:v>2953</x:v>
      </x:c>
      <x:c r="B2835" s="16" t="str">
        <x:v>Haikel Yusry Kru</x:v>
      </x:c>
      <x:c r="C2835" s="16" t="str"/>
      <x:c r="D2835" s="16" t="str">
        <x:v>* myContacts</x:v>
      </x:c>
      <x:c r="E2835" s="16" t="str">
        <x:v>Missing email</x:v>
      </x:c>
    </x:row>
    <x:row r="2836">
      <x:c r="A2836" s="16" t="n">
        <x:v>2954</x:v>
      </x:c>
      <x:c r="B2836" s="16" t="str">
        <x:v>Hairil Hashim</x:v>
      </x:c>
      <x:c r="C2836" s="16" t="str"/>
      <x:c r="D2836" s="16" t="str">
        <x:v>* myContacts</x:v>
      </x:c>
      <x:c r="E2836" s="16" t="str">
        <x:v>Missing email</x:v>
      </x:c>
    </x:row>
    <x:row r="2837">
      <x:c r="A2837" s="16" t="n">
        <x:v>2955</x:v>
      </x:c>
      <x:c r="B2837" s="16" t="str">
        <x:v>Hairul Anuar</x:v>
      </x:c>
      <x:c r="C2837" s="16" t="str"/>
      <x:c r="D2837" s="16" t="str">
        <x:v>* myContacts</x:v>
      </x:c>
      <x:c r="E2837" s="16" t="str">
        <x:v>Missing email</x:v>
      </x:c>
    </x:row>
    <x:row r="2838">
      <x:c r="A2838" s="16" t="n">
        <x:v>2956</x:v>
      </x:c>
      <x:c r="B2838" s="16" t="str">
        <x:v>Hairul Biadara lab</x:v>
      </x:c>
      <x:c r="C2838" s="16" t="str"/>
      <x:c r="D2838" s="16" t="str">
        <x:v>* myContacts</x:v>
      </x:c>
      <x:c r="E2838" s="16" t="str">
        <x:v>Missing email</x:v>
      </x:c>
    </x:row>
    <x:row r="2839">
      <x:c r="A2839" s="16" t="n">
        <x:v>2957</x:v>
      </x:c>
      <x:c r="B2839" s="16" t="str">
        <x:v>Hairulnizam AGP</x:v>
      </x:c>
      <x:c r="C2839" s="16" t="str"/>
      <x:c r="D2839" s="16" t="str">
        <x:v>* myContacts</x:v>
      </x:c>
      <x:c r="E2839" s="16" t="str">
        <x:v>Missing email</x:v>
      </x:c>
    </x:row>
    <x:row r="2840">
      <x:c r="A2840" s="16" t="n">
        <x:v>2958</x:v>
      </x:c>
      <x:c r="B2840" s="16" t="str">
        <x:v>Haizul Yahaya</x:v>
      </x:c>
      <x:c r="C2840" s="16" t="str"/>
      <x:c r="D2840" s="16" t="str">
        <x:v>* myContacts</x:v>
      </x:c>
      <x:c r="E2840" s="16" t="str">
        <x:v>Missing email</x:v>
      </x:c>
    </x:row>
    <x:row r="2841">
      <x:c r="A2841" s="16" t="n">
        <x:v>2959</x:v>
      </x:c>
      <x:c r="B2841" s="16" t="str">
        <x:v>Hajah BB Trainer</x:v>
      </x:c>
      <x:c r="C2841" s="16" t="str"/>
      <x:c r="D2841" s="16" t="str">
        <x:v>Trainer | * myContacts</x:v>
      </x:c>
      <x:c r="E2841" s="16" t="str">
        <x:v>Missing email</x:v>
      </x:c>
    </x:row>
    <x:row r="2842">
      <x:c r="A2842" s="16" t="n">
        <x:v>2960</x:v>
      </x:c>
      <x:c r="B2842" s="16" t="str">
        <x:v>Hajah Siti Student</x:v>
      </x:c>
      <x:c r="C2842" s="16" t="str"/>
      <x:c r="D2842" s="16" t="str">
        <x:v>* myContacts</x:v>
      </x:c>
      <x:c r="E2842" s="16" t="str">
        <x:v>Missing email</x:v>
      </x:c>
    </x:row>
    <x:row r="2843">
      <x:c r="A2843" s="16" t="n">
        <x:v>2961</x:v>
      </x:c>
      <x:c r="B2843" s="16" t="str">
        <x:v>Hajar Merong Freight</x:v>
      </x:c>
      <x:c r="C2843" s="16" t="str"/>
      <x:c r="D2843" s="16" t="str">
        <x:v>* myContacts</x:v>
      </x:c>
      <x:c r="E2843" s="16" t="str">
        <x:v>Missing email</x:v>
      </x:c>
    </x:row>
    <x:row r="2844">
      <x:c r="A2844" s="16" t="n">
        <x:v>2962</x:v>
      </x:c>
      <x:c r="B2844" s="16" t="str">
        <x:v>haji azizi</x:v>
      </x:c>
      <x:c r="C2844" s="16" t="str"/>
      <x:c r="D2844" s="16" t="str">
        <x:v>* myContacts</x:v>
      </x:c>
      <x:c r="E2844" s="16" t="str">
        <x:v>Missing email</x:v>
      </x:c>
    </x:row>
    <x:row r="2845">
      <x:c r="A2845" s="16" t="n">
        <x:v>2963</x:v>
      </x:c>
      <x:c r="B2845" s="16" t="str">
        <x:v>Haji Rahman Consultant Network A Star</x:v>
      </x:c>
      <x:c r="C2845" s="16" t="str"/>
      <x:c r="D2845" s="16" t="str">
        <x:v>* myContacts</x:v>
      </x:c>
      <x:c r="E2845" s="16" t="str">
        <x:v>Missing email</x:v>
      </x:c>
    </x:row>
    <x:row r="2846">
      <x:c r="A2846" s="16" t="n">
        <x:v>2964</x:v>
      </x:c>
      <x:c r="B2846" s="16" t="str">
        <x:v>Haji Rosli Toyyibpay. com</x:v>
      </x:c>
      <x:c r="C2846" s="16" t="str"/>
      <x:c r="D2846" s="16" t="str">
        <x:v>* myContacts</x:v>
      </x:c>
      <x:c r="E2846" s="16" t="str">
        <x:v>Missing email</x:v>
      </x:c>
    </x:row>
    <x:row r="2847">
      <x:c r="A2847" s="16" t="n">
        <x:v>2965</x:v>
      </x:c>
      <x:c r="B2847" s="16" t="str">
        <x:v>Haji Shamsuddin Kmma Carpet Samsudin</x:v>
      </x:c>
      <x:c r="C2847" s="16" t="str"/>
      <x:c r="D2847" s="16" t="str">
        <x:v>* myContacts</x:v>
      </x:c>
      <x:c r="E2847" s="16" t="str">
        <x:v>Missing email</x:v>
      </x:c>
    </x:row>
    <x:row r="2848">
      <x:c r="A2848" s="16" t="n">
        <x:v>2966</x:v>
      </x:c>
      <x:c r="B2848" s="16" t="str">
        <x:v>Haji Subri</x:v>
      </x:c>
      <x:c r="C2848" s="16" t="str"/>
      <x:c r="D2848" s="16" t="str">
        <x:v>* myContacts</x:v>
      </x:c>
      <x:c r="E2848" s="16" t="str">
        <x:v>Missing email</x:v>
      </x:c>
    </x:row>
    <x:row r="2849">
      <x:c r="A2849" s="16" t="n">
        <x:v>2967</x:v>
      </x:c>
      <x:c r="B2849" s="16" t="str">
        <x:v>Haji Sulaiman AGP</x:v>
      </x:c>
      <x:c r="C2849" s="16" t="str"/>
      <x:c r="D2849" s="16" t="str">
        <x:v>* myContacts</x:v>
      </x:c>
      <x:c r="E2849" s="16" t="str">
        <x:v>Missing email</x:v>
      </x:c>
    </x:row>
    <x:row r="2850">
      <x:c r="A2850" s="16" t="n">
        <x:v>2968</x:v>
      </x:c>
      <x:c r="B2850" s="16" t="str">
        <x:v>Haji Zahar Trainet I TEKAD dari Bank Muamalat</x:v>
      </x:c>
      <x:c r="C2850" s="16" t="str"/>
      <x:c r="D2850" s="16" t="str">
        <x:v>* myContacts</x:v>
      </x:c>
      <x:c r="E2850" s="16" t="str">
        <x:v>Missing email</x:v>
      </x:c>
    </x:row>
    <x:row r="2851">
      <x:c r="A2851" s="16" t="n">
        <x:v>2969</x:v>
      </x:c>
      <x:c r="B2851" s="16" t="str">
        <x:v>Dr Hakim DPIM Pusrawi</x:v>
      </x:c>
      <x:c r="C2851" s="16" t="str"/>
      <x:c r="D2851" s="16" t="str">
        <x:v>* myContacts</x:v>
      </x:c>
      <x:c r="E2851" s="16" t="str">
        <x:v>Missing email</x:v>
      </x:c>
    </x:row>
    <x:row r="2852">
      <x:c r="A2852" s="16" t="n">
        <x:v>2970</x:v>
      </x:c>
      <x:c r="B2852" s="16" t="str">
        <x:v>Hakim Ismail</x:v>
      </x:c>
      <x:c r="C2852" s="16" t="str"/>
      <x:c r="D2852" s="16" t="str">
        <x:v>* myContacts</x:v>
      </x:c>
      <x:c r="E2852" s="16" t="str">
        <x:v>Missing email</x:v>
      </x:c>
    </x:row>
    <x:row r="2853">
      <x:c r="A2853" s="16" t="n">
        <x:v>2971</x:v>
      </x:c>
      <x:c r="B2853" s="16" t="str">
        <x:v>Hakim Norhalim</x:v>
      </x:c>
      <x:c r="C2853" s="16" t="str"/>
      <x:c r="D2853" s="16" t="str">
        <x:v>* myContacts</x:v>
      </x:c>
      <x:c r="E2853" s="16" t="str">
        <x:v>Missing email</x:v>
      </x:c>
    </x:row>
    <x:row r="2854">
      <x:c r="A2854" s="16" t="n">
        <x:v>2972</x:v>
      </x:c>
      <x:c r="B2854" s="16" t="str">
        <x:v>Hakimi Jnj</x:v>
      </x:c>
      <x:c r="C2854" s="16" t="str"/>
      <x:c r="D2854" s="16" t="str">
        <x:v>* myContacts</x:v>
      </x:c>
      <x:c r="E2854" s="16" t="str">
        <x:v>Missing email</x:v>
      </x:c>
    </x:row>
    <x:row r="2855">
      <x:c r="A2855" s="16" t="n">
        <x:v>2973</x:v>
      </x:c>
      <x:c r="B2855" s="16" t="str">
        <x:v>Hakimi  Kuda</x:v>
      </x:c>
      <x:c r="C2855" s="16" t="str"/>
      <x:c r="D2855" s="16" t="str">
        <x:v>* myContacts</x:v>
      </x:c>
      <x:c r="E2855" s="16" t="str">
        <x:v>Missing email</x:v>
      </x:c>
    </x:row>
    <x:row r="2856">
      <x:c r="A2856" s="16" t="n">
        <x:v>2974</x:v>
      </x:c>
      <x:c r="B2856" s="16" t="str">
        <x:v>hakimi perabot terpakai</x:v>
      </x:c>
      <x:c r="C2856" s="16" t="str"/>
      <x:c r="D2856" s="16" t="str">
        <x:v>* myContacts</x:v>
      </x:c>
      <x:c r="E2856" s="16" t="str">
        <x:v>Missing email</x:v>
      </x:c>
    </x:row>
    <x:row r="2857">
      <x:c r="A2857" s="16" t="n">
        <x:v>2975</x:v>
      </x:c>
      <x:c r="B2857" s="16" t="str">
        <x:v>Hakmal Rabaah UTM</x:v>
      </x:c>
      <x:c r="C2857" s="16" t="str"/>
      <x:c r="D2857" s="16" t="str">
        <x:v>* myContacts</x:v>
      </x:c>
      <x:c r="E2857" s="16" t="str">
        <x:v>Missing email</x:v>
      </x:c>
    </x:row>
    <x:row r="2858">
      <x:c r="A2858" s="16" t="n">
        <x:v>2976</x:v>
      </x:c>
      <x:c r="B2858" s="16" t="str">
        <x:v>halif im</x:v>
      </x:c>
      <x:c r="C2858" s="16" t="str"/>
      <x:c r="D2858" s="16" t="str">
        <x:v>* myContacts</x:v>
      </x:c>
      <x:c r="E2858" s="16" t="str">
        <x:v>Missing email</x:v>
      </x:c>
    </x:row>
    <x:row r="2859">
      <x:c r="A2859" s="16" t="n">
        <x:v>2977</x:v>
      </x:c>
      <x:c r="B2859" s="16" t="str">
        <x:v>Halifah AbdulWahab Yong Seri</x:v>
      </x:c>
      <x:c r="C2859" s="16" t="str"/>
      <x:c r="D2859" s="16" t="str">
        <x:v>* myContacts</x:v>
      </x:c>
      <x:c r="E2859" s="16" t="str">
        <x:v>Missing email</x:v>
      </x:c>
    </x:row>
    <x:row r="2860">
      <x:c r="A2860" s="16" t="n">
        <x:v>2978</x:v>
      </x:c>
      <x:c r="B2860" s="16" t="str">
        <x:v>Halim Ghani</x:v>
      </x:c>
      <x:c r="C2860" s="16" t="str"/>
      <x:c r="D2860" s="16" t="str">
        <x:v>* myContacts</x:v>
      </x:c>
      <x:c r="E2860" s="16" t="str">
        <x:v>Missing email</x:v>
      </x:c>
    </x:row>
    <x:row r="2861">
      <x:c r="A2861" s="16" t="n">
        <x:v>2979</x:v>
      </x:c>
      <x:c r="B2861" s="16" t="str">
        <x:v>Halimah Emma</x:v>
      </x:c>
      <x:c r="C2861" s="16" t="str"/>
      <x:c r="D2861" s="16" t="str">
        <x:v>* myContacts</x:v>
      </x:c>
      <x:c r="E2861" s="16" t="str">
        <x:v>Missing email</x:v>
      </x:c>
    </x:row>
    <x:row r="2862">
      <x:c r="A2862" s="16" t="n">
        <x:v>2980</x:v>
      </x:c>
      <x:c r="B2862" s="16" t="str">
        <x:v>Halimah Syr</x:v>
      </x:c>
      <x:c r="C2862" s="16" t="str"/>
      <x:c r="D2862" s="16" t="str">
        <x:v>* myContacts</x:v>
      </x:c>
      <x:c r="E2862" s="16" t="str">
        <x:v>Missing email</x:v>
      </x:c>
    </x:row>
    <x:row r="2863">
      <x:c r="A2863" s="16" t="n">
        <x:v>2981</x:v>
      </x:c>
      <x:c r="B2863" s="16" t="str">
        <x:v>Halimatul Asrah Bujang</x:v>
      </x:c>
      <x:c r="C2863" s="16" t="str"/>
      <x:c r="D2863" s="16" t="str">
        <x:v>* myContacts</x:v>
      </x:c>
      <x:c r="E2863" s="16" t="str">
        <x:v>Missing email</x:v>
      </x:c>
    </x:row>
    <x:row r="2864">
      <x:c r="A2864" s="16" t="n">
        <x:v>2982</x:v>
      </x:c>
      <x:c r="B2864" s="16" t="str">
        <x:v>Haliza Saad</x:v>
      </x:c>
      <x:c r="C2864" s="16" t="str"/>
      <x:c r="D2864" s="16" t="str">
        <x:v>* myContacts</x:v>
      </x:c>
      <x:c r="E2864" s="16" t="str">
        <x:v>Missing email</x:v>
      </x:c>
    </x:row>
    <x:row r="2865">
      <x:c r="A2865" s="16" t="n">
        <x:v>2983</x:v>
      </x:c>
      <x:c r="B2865" s="16" t="str">
        <x:v>Hamalat Al Arsy</x:v>
      </x:c>
      <x:c r="C2865" s="16" t="str"/>
      <x:c r="D2865" s="16" t="str">
        <x:v>* myContacts</x:v>
      </x:c>
      <x:c r="E2865" s="16" t="str">
        <x:v>Missing email</x:v>
      </x:c>
    </x:row>
    <x:row r="2866">
      <x:c r="A2866" s="16" t="n">
        <x:v>2984</x:v>
      </x:c>
      <x:c r="B2866" s="16" t="str">
        <x:v>Hamdan AGP</x:v>
      </x:c>
      <x:c r="C2866" s="16" t="str"/>
      <x:c r="D2866" s="16" t="str">
        <x:v>* myContacts</x:v>
      </x:c>
      <x:c r="E2866" s="16" t="str">
        <x:v>Missing email</x:v>
      </x:c>
    </x:row>
    <x:row r="2867">
      <x:c r="A2867" s="16" t="n">
        <x:v>2985</x:v>
      </x:c>
      <x:c r="B2867" s="16" t="str">
        <x:v>Hamdan Airtrek</x:v>
      </x:c>
      <x:c r="C2867" s="16" t="str"/>
      <x:c r="D2867" s="16" t="str">
        <x:v>* myContacts</x:v>
      </x:c>
      <x:c r="E2867" s="16" t="str">
        <x:v>Missing email</x:v>
      </x:c>
    </x:row>
    <x:row r="2868">
      <x:c r="A2868" s="16" t="n">
        <x:v>2986</x:v>
      </x:c>
      <x:c r="B2868" s="16" t="str">
        <x:v>Hamdan Hussain</x:v>
      </x:c>
      <x:c r="C2868" s="16" t="str"/>
      <x:c r="D2868" s="16" t="str">
        <x:v>* myContacts</x:v>
      </x:c>
      <x:c r="E2868" s="16" t="str">
        <x:v>Missing email</x:v>
      </x:c>
    </x:row>
    <x:row r="2869">
      <x:c r="A2869" s="16" t="n">
        <x:v>2988</x:v>
      </x:c>
      <x:c r="B2869" s="16" t="str">
        <x:v>Hamdan Sme Bank Vice President</x:v>
      </x:c>
      <x:c r="C2869" s="16" t="str"/>
      <x:c r="D2869" s="16" t="str">
        <x:v>* myContacts</x:v>
      </x:c>
      <x:c r="E2869" s="16" t="str">
        <x:v>Missing email</x:v>
      </x:c>
    </x:row>
    <x:row r="2870">
      <x:c r="A2870" s="16" t="n">
        <x:v>2989</x:v>
      </x:c>
      <x:c r="B2870" s="16" t="str">
        <x:v>Hamdan Wan Ab Rahman</x:v>
      </x:c>
      <x:c r="C2870" s="16" t="str"/>
      <x:c r="D2870" s="16" t="str">
        <x:v>* myContacts</x:v>
      </x:c>
      <x:c r="E2870" s="16" t="str">
        <x:v>Missing email</x:v>
      </x:c>
    </x:row>
    <x:row r="2871">
      <x:c r="A2871" s="16" t="n">
        <x:v>2990</x:v>
      </x:c>
      <x:c r="B2871" s="16" t="str">
        <x:v>Hamid Aspuri</x:v>
      </x:c>
      <x:c r="C2871" s="16" t="str"/>
      <x:c r="D2871" s="16" t="str">
        <x:v>* myContacts</x:v>
      </x:c>
      <x:c r="E2871" s="16" t="str">
        <x:v>Missing email</x:v>
      </x:c>
    </x:row>
    <x:row r="2872">
      <x:c r="A2872" s="16" t="n">
        <x:v>2991</x:v>
      </x:c>
      <x:c r="B2872" s="16" t="str">
        <x:v>Hamidfamily Coop</x:v>
      </x:c>
      <x:c r="C2872" s="16" t="str"/>
      <x:c r="D2872" s="16" t="str">
        <x:v>* myContacts</x:v>
      </x:c>
      <x:c r="E2872" s="16" t="str">
        <x:v>Missing email</x:v>
      </x:c>
    </x:row>
    <x:row r="2873">
      <x:c r="A2873" s="16" t="n">
        <x:v>2992</x:v>
      </x:c>
      <x:c r="B2873" s="16" t="str">
        <x:v>Hamim Abmama</x:v>
      </x:c>
      <x:c r="C2873" s="16" t="str"/>
      <x:c r="D2873" s="16" t="str">
        <x:v>* myContacts</x:v>
      </x:c>
      <x:c r="E2873" s="16" t="str">
        <x:v>Missing email</x:v>
      </x:c>
    </x:row>
    <x:row r="2874">
      <x:c r="A2874" s="16" t="n">
        <x:v>2993</x:v>
      </x:c>
      <x:c r="B2874" s="16" t="str">
        <x:v>Hamizah Kumoten Support</x:v>
      </x:c>
      <x:c r="C2874" s="16" t="str"/>
      <x:c r="D2874" s="16" t="str">
        <x:v>* myContacts</x:v>
      </x:c>
      <x:c r="E2874" s="16" t="str">
        <x:v>Missing email</x:v>
      </x:c>
    </x:row>
    <x:row r="2875">
      <x:c r="A2875" s="16" t="n">
        <x:v>2994</x:v>
      </x:c>
      <x:c r="B2875" s="16" t="str">
        <x:v>Hamna Eve Ramos</x:v>
      </x:c>
      <x:c r="C2875" s="16" t="str"/>
      <x:c r="D2875" s="16" t="str">
        <x:v>* myContacts</x:v>
      </x:c>
      <x:c r="E2875" s="16" t="str">
        <x:v>Missing email</x:v>
      </x:c>
    </x:row>
    <x:row r="2876">
      <x:c r="A2876" s="16" t="n">
        <x:v>2995</x:v>
      </x:c>
      <x:c r="B2876" s="16" t="str">
        <x:v>Hams Wahab</x:v>
      </x:c>
      <x:c r="C2876" s="16" t="str"/>
      <x:c r="D2876" s="16" t="str">
        <x:v>* myContacts</x:v>
      </x:c>
      <x:c r="E2876" s="16" t="str">
        <x:v>Missing email</x:v>
      </x:c>
    </x:row>
    <x:row r="2877">
      <x:c r="A2877" s="16" t="n">
        <x:v>2996</x:v>
      </x:c>
      <x:c r="B2877" s="16" t="str">
        <x:v>Hamsani Bendahari Masjid</x:v>
      </x:c>
      <x:c r="C2877" s="16" t="str"/>
      <x:c r="D2877" s="16" t="str">
        <x:v>* myContacts</x:v>
      </x:c>
      <x:c r="E2877" s="16" t="str">
        <x:v>Missing email</x:v>
      </x:c>
    </x:row>
    <x:row r="2878">
      <x:c r="A2878" s="16" t="n">
        <x:v>2997</x:v>
      </x:c>
      <x:c r="B2878" s="16" t="str">
        <x:v>Hamzah bin Suboh AGP</x:v>
      </x:c>
      <x:c r="C2878" s="16" t="str"/>
      <x:c r="D2878" s="16" t="str">
        <x:v>* myContacts</x:v>
      </x:c>
      <x:c r="E2878" s="16" t="str">
        <x:v>Missing email</x:v>
      </x:c>
    </x:row>
    <x:row r="2879">
      <x:c r="A2879" s="16" t="n">
        <x:v>2998</x:v>
      </x:c>
      <x:c r="B2879" s="16" t="str">
        <x:v>Hamzah Omar</x:v>
      </x:c>
      <x:c r="C2879" s="16" t="str"/>
      <x:c r="D2879" s="16" t="str">
        <x:v>* myContacts</x:v>
      </x:c>
      <x:c r="E2879" s="16" t="str">
        <x:v>Missing email</x:v>
      </x:c>
    </x:row>
    <x:row r="2880">
      <x:c r="A2880" s="16" t="n">
        <x:v>2999</x:v>
      </x:c>
      <x:c r="B2880" s="16" t="str">
        <x:v>Hamzah Sapee</x:v>
      </x:c>
      <x:c r="C2880" s="16" t="str"/>
      <x:c r="D2880" s="16" t="str">
        <x:v>* myContacts</x:v>
      </x:c>
      <x:c r="E2880" s="16" t="str">
        <x:v>Missing email</x:v>
      </x:c>
    </x:row>
    <x:row r="2881">
      <x:c r="A2881" s="16" t="n">
        <x:v>3000</x:v>
      </x:c>
      <x:c r="B2881" s="16" t="str">
        <x:v>Hamzah Sudin HG</x:v>
      </x:c>
      <x:c r="C2881" s="16" t="str"/>
      <x:c r="D2881" s="16" t="str">
        <x:v>* myContacts</x:v>
      </x:c>
      <x:c r="E2881" s="16" t="str">
        <x:v>Missing email</x:v>
      </x:c>
    </x:row>
    <x:row r="2882">
      <x:c r="A2882" s="16" t="n">
        <x:v>3001</x:v>
      </x:c>
      <x:c r="B2882" s="16" t="str">
        <x:v>Han Othman</x:v>
      </x:c>
      <x:c r="C2882" s="16" t="str"/>
      <x:c r="D2882" s="16" t="str">
        <x:v>* myContacts</x:v>
      </x:c>
      <x:c r="E2882" s="16" t="str">
        <x:v>Missing email</x:v>
      </x:c>
    </x:row>
    <x:row r="2883">
      <x:c r="A2883" s="16" t="n">
        <x:v>3002</x:v>
      </x:c>
      <x:c r="B2883" s="16" t="str">
        <x:v>Han Zeck</x:v>
      </x:c>
      <x:c r="C2883" s="16" t="str"/>
      <x:c r="D2883" s="16" t="str">
        <x:v>* myContacts</x:v>
      </x:c>
      <x:c r="E2883" s="16" t="str">
        <x:v>Missing email</x:v>
      </x:c>
    </x:row>
    <x:row r="2884">
      <x:c r="A2884" s="16" t="n">
        <x:v>3003</x:v>
      </x:c>
      <x:c r="B2884" s="16" t="str">
        <x:v>Hana Deqna</x:v>
      </x:c>
      <x:c r="C2884" s="16" t="str"/>
      <x:c r="D2884" s="16" t="str">
        <x:v>* myContacts</x:v>
      </x:c>
      <x:c r="E2884" s="16" t="str">
        <x:v>Missing email</x:v>
      </x:c>
    </x:row>
    <x:row r="2885">
      <x:c r="A2885" s="16" t="n">
        <x:v>3004</x:v>
      </x:c>
      <x:c r="B2885" s="16" t="str">
        <x:v>Hana Dzahin's</x:v>
      </x:c>
      <x:c r="C2885" s="16" t="str"/>
      <x:c r="D2885" s="16" t="str">
        <x:v>* myContacts</x:v>
      </x:c>
      <x:c r="E2885" s="16" t="str">
        <x:v>Missing email</x:v>
      </x:c>
    </x:row>
    <x:row r="2886">
      <x:c r="A2886" s="16" t="n">
        <x:v>3005</x:v>
      </x:c>
      <x:c r="B2886" s="16" t="str">
        <x:v>Hana Ramlan</x:v>
      </x:c>
      <x:c r="C2886" s="16" t="str"/>
      <x:c r="D2886" s="16" t="str">
        <x:v>* myContacts</x:v>
      </x:c>
      <x:c r="E2886" s="16" t="str">
        <x:v>Missing email</x:v>
      </x:c>
    </x:row>
    <x:row r="2887">
      <x:c r="A2887" s="16" t="n">
        <x:v>3006</x:v>
      </x:c>
      <x:c r="B2887" s="16" t="str">
        <x:v>Hanafi Galian Perak</x:v>
      </x:c>
      <x:c r="C2887" s="16" t="str"/>
      <x:c r="D2887" s="16" t="str">
        <x:v>* myContacts</x:v>
      </x:c>
      <x:c r="E2887" s="16" t="str">
        <x:v>Missing email</x:v>
      </x:c>
    </x:row>
    <x:row r="2888">
      <x:c r="A2888" s="16" t="n">
        <x:v>3007</x:v>
      </x:c>
      <x:c r="B2888" s="16" t="str">
        <x:v>Hanafi Zainal</x:v>
      </x:c>
      <x:c r="C2888" s="16" t="str"/>
      <x:c r="D2888" s="16" t="str">
        <x:v>* myContacts</x:v>
      </x:c>
      <x:c r="E2888" s="16" t="str">
        <x:v>Missing email</x:v>
      </x:c>
    </x:row>
    <x:row r="2889">
      <x:c r="A2889" s="16" t="n">
        <x:v>3008</x:v>
      </x:c>
      <x:c r="B2889" s="16" t="str">
        <x:v>Haneeah Kamal</x:v>
      </x:c>
      <x:c r="C2889" s="16" t="str"/>
      <x:c r="D2889" s="16" t="str">
        <x:v>* myContacts</x:v>
      </x:c>
      <x:c r="E2889" s="16" t="str">
        <x:v>Missing email</x:v>
      </x:c>
    </x:row>
    <x:row r="2890">
      <x:c r="A2890" s="16" t="n">
        <x:v>3009</x:v>
      </x:c>
      <x:c r="B2890" s="16" t="str">
        <x:v>Hani Adila</x:v>
      </x:c>
      <x:c r="C2890" s="16" t="str"/>
      <x:c r="D2890" s="16" t="str">
        <x:v>* myContacts</x:v>
      </x:c>
      <x:c r="E2890" s="16" t="str">
        <x:v>Missing email</x:v>
      </x:c>
    </x:row>
    <x:row r="2891">
      <x:c r="A2891" s="16" t="n">
        <x:v>3010</x:v>
      </x:c>
      <x:c r="B2891" s="16" t="str">
        <x:v>Hani Syafiqah</x:v>
      </x:c>
      <x:c r="C2891" s="16" t="str"/>
      <x:c r="D2891" s="16" t="str">
        <x:v>* myContacts</x:v>
      </x:c>
      <x:c r="E2891" s="16" t="str">
        <x:v>Missing email</x:v>
      </x:c>
    </x:row>
    <x:row r="2892">
      <x:c r="A2892" s="16" t="n">
        <x:v>3011</x:v>
      </x:c>
      <x:c r="B2892" s="16" t="str">
        <x:v>Haniey Amirul</x:v>
      </x:c>
      <x:c r="C2892" s="16" t="str"/>
      <x:c r="D2892" s="16" t="str">
        <x:v>* myContacts</x:v>
      </x:c>
      <x:c r="E2892" s="16" t="str">
        <x:v>Missing email</x:v>
      </x:c>
    </x:row>
    <x:row r="2893">
      <x:c r="A2893" s="16" t="n">
        <x:v>3012</x:v>
      </x:c>
      <x:c r="B2893" s="16" t="str">
        <x:v>Hanif Affendy</x:v>
      </x:c>
      <x:c r="C2893" s="16" t="str"/>
      <x:c r="D2893" s="16" t="str">
        <x:v>* myContacts</x:v>
      </x:c>
      <x:c r="E2893" s="16" t="str">
        <x:v>Missing email</x:v>
      </x:c>
    </x:row>
    <x:row r="2894">
      <x:c r="A2894" s="16" t="n">
        <x:v>3013</x:v>
      </x:c>
      <x:c r="B2894" s="16" t="str">
        <x:v>Hanif Chepauzi</x:v>
      </x:c>
      <x:c r="C2894" s="16" t="str"/>
      <x:c r="D2894" s="16" t="str">
        <x:v>* myContacts</x:v>
      </x:c>
      <x:c r="E2894" s="16" t="str">
        <x:v>Missing email</x:v>
      </x:c>
    </x:row>
    <x:row r="2895">
      <x:c r="A2895" s="16" t="n">
        <x:v>3014</x:v>
      </x:c>
      <x:c r="B2895" s="16" t="str">
        <x:v>Hanif Motivator</x:v>
      </x:c>
      <x:c r="C2895" s="16" t="str"/>
      <x:c r="D2895" s="16" t="str">
        <x:v>* myContacts</x:v>
      </x:c>
      <x:c r="E2895" s="16" t="str">
        <x:v>Missing email</x:v>
      </x:c>
    </x:row>
    <x:row r="2896">
      <x:c r="A2896" s="16" t="n">
        <x:v>3015</x:v>
      </x:c>
      <x:c r="B2896" s="16" t="str">
        <x:v>Hanii Yayasan Yakek</x:v>
      </x:c>
      <x:c r="C2896" s="16" t="str"/>
      <x:c r="D2896" s="16" t="str">
        <x:v>* myContacts</x:v>
      </x:c>
      <x:c r="E2896" s="16" t="str">
        <x:v>Missing email</x:v>
      </x:c>
    </x:row>
    <x:row r="2897">
      <x:c r="A2897" s="16" t="n">
        <x:v>3016</x:v>
      </x:c>
      <x:c r="B2897" s="16" t="str">
        <x:v>Hanim Idris</x:v>
      </x:c>
      <x:c r="C2897" s="16" t="str"/>
      <x:c r="D2897" s="16" t="str">
        <x:v>* myContacts</x:v>
      </x:c>
      <x:c r="E2897" s="16" t="str">
        <x:v>Missing email</x:v>
      </x:c>
    </x:row>
    <x:row r="2898">
      <x:c r="A2898" s="16" t="n">
        <x:v>3017</x:v>
      </x:c>
      <x:c r="B2898" s="16" t="str">
        <x:v>Hanis Aizat Hisham</x:v>
      </x:c>
      <x:c r="C2898" s="16" t="str"/>
      <x:c r="D2898" s="16" t="str">
        <x:v>* myContacts</x:v>
      </x:c>
      <x:c r="E2898" s="16" t="str">
        <x:v>Missing email</x:v>
      </x:c>
    </x:row>
    <x:row r="2899">
      <x:c r="A2899" s="16" t="n">
        <x:v>3018</x:v>
      </x:c>
      <x:c r="B2899" s="16" t="str">
        <x:v>Hanis Essens Taiping</x:v>
      </x:c>
      <x:c r="C2899" s="16" t="str"/>
      <x:c r="D2899" s="16" t="str">
        <x:v>* myContacts</x:v>
      </x:c>
      <x:c r="E2899" s="16" t="str">
        <x:v>Missing email</x:v>
      </x:c>
    </x:row>
    <x:row r="2900">
      <x:c r="A2900" s="16" t="n">
        <x:v>3019</x:v>
      </x:c>
      <x:c r="B2900" s="16" t="str">
        <x:v>Hanis MDEC</x:v>
      </x:c>
      <x:c r="C2900" s="16" t="str"/>
      <x:c r="D2900" s="16" t="str">
        <x:v>* myContacts</x:v>
      </x:c>
      <x:c r="E2900" s="16" t="str">
        <x:v>Missing email</x:v>
      </x:c>
    </x:row>
    <x:row r="2901">
      <x:c r="A2901" s="16" t="n">
        <x:v>3021</x:v>
      </x:c>
      <x:c r="B2901" s="16" t="str">
        <x:v>Hanisa Krepek</x:v>
      </x:c>
      <x:c r="C2901" s="16" t="str"/>
      <x:c r="D2901" s="16" t="str">
        <x:v>* myContacts</x:v>
      </x:c>
      <x:c r="E2901" s="16" t="str">
        <x:v>Missing email</x:v>
      </x:c>
    </x:row>
    <x:row r="2902">
      <x:c r="A2902" s="16" t="n">
        <x:v>3022</x:v>
      </x:c>
      <x:c r="B2902" s="16" t="str">
        <x:v>Hanisah Mohd Shariff</x:v>
      </x:c>
      <x:c r="C2902" s="16" t="str"/>
      <x:c r="D2902" s="16" t="str">
        <x:v>* myContacts</x:v>
      </x:c>
      <x:c r="E2902" s="16" t="str">
        <x:v>Missing email</x:v>
      </x:c>
    </x:row>
    <x:row r="2903">
      <x:c r="A2903" s="16" t="n">
        <x:v>3023</x:v>
      </x:c>
      <x:c r="B2903" s="16" t="str">
        <x:v>Hanisah Nuranis</x:v>
      </x:c>
      <x:c r="C2903" s="16" t="str"/>
      <x:c r="D2903" s="16" t="str">
        <x:v>* myContacts</x:v>
      </x:c>
      <x:c r="E2903" s="16" t="str">
        <x:v>Missing email</x:v>
      </x:c>
    </x:row>
    <x:row r="2904">
      <x:c r="A2904" s="16" t="n">
        <x:v>3024</x:v>
      </x:c>
      <x:c r="B2904" s="16" t="str">
        <x:v>Hanita Halip</x:v>
      </x:c>
      <x:c r="C2904" s="16" t="str"/>
      <x:c r="D2904" s="16" t="str">
        <x:v>* myContacts</x:v>
      </x:c>
      <x:c r="E2904" s="16" t="str">
        <x:v>Missing email</x:v>
      </x:c>
    </x:row>
    <x:row r="2905">
      <x:c r="A2905" s="16" t="n">
        <x:v>3025</x:v>
      </x:c>
      <x:c r="B2905" s="16" t="str">
        <x:v>Hanita Sayuti</x:v>
      </x:c>
      <x:c r="C2905" s="16" t="str"/>
      <x:c r="D2905" s="16" t="str">
        <x:v>* myContacts</x:v>
      </x:c>
      <x:c r="E2905" s="16" t="str">
        <x:v>Missing email</x:v>
      </x:c>
    </x:row>
    <x:row r="2906">
      <x:c r="A2906" s="16" t="n">
        <x:v>3027</x:v>
      </x:c>
      <x:c r="B2906" s="16" t="str">
        <x:v>Hanna Hasliana</x:v>
      </x:c>
      <x:c r="C2906" s="16" t="str"/>
      <x:c r="D2906" s="16" t="str">
        <x:v>* myContacts</x:v>
      </x:c>
      <x:c r="E2906" s="16" t="str">
        <x:v>Missing email</x:v>
      </x:c>
    </x:row>
    <x:row r="2907">
      <x:c r="A2907" s="16" t="n">
        <x:v>3028</x:v>
      </x:c>
      <x:c r="B2907" s="16" t="str">
        <x:v>Hanna ZaqiSyam</x:v>
      </x:c>
      <x:c r="C2907" s="16" t="str"/>
      <x:c r="D2907" s="16" t="str">
        <x:v>* myContacts</x:v>
      </x:c>
      <x:c r="E2907" s="16" t="str">
        <x:v>Missing email</x:v>
      </x:c>
    </x:row>
    <x:row r="2908">
      <x:c r="A2908" s="16" t="n">
        <x:v>3029</x:v>
      </x:c>
      <x:c r="B2908" s="16" t="str">
        <x:v>HannahKosmetikKT</x:v>
      </x:c>
      <x:c r="C2908" s="16" t="str"/>
      <x:c r="D2908" s="16" t="str">
        <x:v>* myContacts</x:v>
      </x:c>
      <x:c r="E2908" s="16" t="str">
        <x:v>Missing email</x:v>
      </x:c>
    </x:row>
    <x:row r="2909">
      <x:c r="A2909" s="16" t="n">
        <x:v>3030</x:v>
      </x:c>
      <x:c r="B2909" s="16" t="str">
        <x:v>Hannani Ruwaidiyah Mustafar</x:v>
      </x:c>
      <x:c r="C2909" s="16" t="str"/>
      <x:c r="D2909" s="16" t="str">
        <x:v>* myContacts</x:v>
      </x:c>
      <x:c r="E2909" s="16" t="str">
        <x:v>Missing email</x:v>
      </x:c>
    </x:row>
    <x:row r="2910">
      <x:c r="A2910" s="16" t="n">
        <x:v>3031</x:v>
      </x:c>
      <x:c r="B2910" s="16" t="str">
        <x:v>Hanny Roslan</x:v>
      </x:c>
      <x:c r="C2910" s="16" t="str"/>
      <x:c r="D2910" s="16" t="str">
        <x:v>* myContacts</x:v>
      </x:c>
      <x:c r="E2910" s="16" t="str">
        <x:v>Missing email</x:v>
      </x:c>
    </x:row>
    <x:row r="2911">
      <x:c r="A2911" s="16" t="n">
        <x:v>3032</x:v>
      </x:c>
      <x:c r="B2911" s="16" t="str">
        <x:v>Hans Denji Denji</x:v>
      </x:c>
      <x:c r="C2911" s="16" t="str"/>
      <x:c r="D2911" s="16" t="str">
        <x:v>* myContacts</x:v>
      </x:c>
      <x:c r="E2911" s="16" t="str">
        <x:v>Missing email</x:v>
      </x:c>
    </x:row>
    <x:row r="2912">
      <x:c r="A2912" s="16" t="n">
        <x:v>3033</x:v>
      </x:c>
      <x:c r="B2912" s="16" t="str">
        <x:v>Hanun Haniff Sulong</x:v>
      </x:c>
      <x:c r="C2912" s="16" t="str"/>
      <x:c r="D2912" s="16" t="str">
        <x:v>* myContacts</x:v>
      </x:c>
      <x:c r="E2912" s="16" t="str">
        <x:v>Missing email</x:v>
      </x:c>
    </x:row>
    <x:row r="2913">
      <x:c r="A2913" s="16" t="n">
        <x:v>3034</x:v>
      </x:c>
      <x:c r="B2913" s="16" t="str">
        <x:v>Hanuur Jain Jawahir</x:v>
      </x:c>
      <x:c r="C2913" s="16" t="str"/>
      <x:c r="D2913" s="16" t="str">
        <x:v>* myContacts</x:v>
      </x:c>
      <x:c r="E2913" s="16" t="str">
        <x:v>Missing email</x:v>
      </x:c>
    </x:row>
    <x:row r="2914">
      <x:c r="A2914" s="16" t="n">
        <x:v>3035</x:v>
      </x:c>
      <x:c r="B2914" s="16" t="str">
        <x:v>Hanya Padamu</x:v>
      </x:c>
      <x:c r="C2914" s="16" t="str"/>
      <x:c r="D2914" s="16" t="str">
        <x:v>* myContacts</x:v>
      </x:c>
      <x:c r="E2914" s="16" t="str">
        <x:v>Missing email</x:v>
      </x:c>
    </x:row>
    <x:row r="2915">
      <x:c r="A2915" s="16" t="n">
        <x:v>3036</x:v>
      </x:c>
      <x:c r="B2915" s="16" t="str">
        <x:v>Hanya Rina</x:v>
      </x:c>
      <x:c r="C2915" s="16" t="str"/>
      <x:c r="D2915" s="16" t="str">
        <x:v>* myContacts</x:v>
      </x:c>
      <x:c r="E2915" s="16" t="str">
        <x:v>Missing email</x:v>
      </x:c>
    </x:row>
    <x:row r="2916">
      <x:c r="A2916" s="16" t="n">
        <x:v>3037</x:v>
      </x:c>
      <x:c r="B2916" s="16" t="str">
        <x:v>Hao Pooi</x:v>
      </x:c>
      <x:c r="C2916" s="16" t="str"/>
      <x:c r="D2916" s="16" t="str">
        <x:v>* myContacts</x:v>
      </x:c>
      <x:c r="E2916" s="16" t="str">
        <x:v>Missing email</x:v>
      </x:c>
    </x:row>
    <x:row r="2917">
      <x:c r="A2917" s="16" t="n">
        <x:v>3038</x:v>
      </x:c>
      <x:c r="B2917" s="16" t="str">
        <x:v>Hapisah Daruis</x:v>
      </x:c>
      <x:c r="C2917" s="16" t="str"/>
      <x:c r="D2917" s="16" t="str">
        <x:v>* myContacts</x:v>
      </x:c>
      <x:c r="E2917" s="16" t="str">
        <x:v>Missing email</x:v>
      </x:c>
    </x:row>
    <x:row r="2918">
      <x:c r="A2918" s="16" t="n">
        <x:v>3039</x:v>
      </x:c>
      <x:c r="B2918" s="16" t="str">
        <x:v>Happyshop Mymom</x:v>
      </x:c>
      <x:c r="C2918" s="16" t="str"/>
      <x:c r="D2918" s="16" t="str">
        <x:v>* myContacts</x:v>
      </x:c>
      <x:c r="E2918" s="16" t="str">
        <x:v>Missing email</x:v>
      </x:c>
    </x:row>
    <x:row r="2919">
      <x:c r="A2919" s="16" t="n">
        <x:v>3040</x:v>
      </x:c>
      <x:c r="B2919" s="16" t="str">
        <x:v>Haris IM</x:v>
      </x:c>
      <x:c r="C2919" s="16" t="str"/>
      <x:c r="D2919" s="16" t="str">
        <x:v>* myContacts</x:v>
      </x:c>
      <x:c r="E2919" s="16" t="str">
        <x:v>Missing email</x:v>
      </x:c>
    </x:row>
    <x:row r="2920">
      <x:c r="A2920" s="16" t="n">
        <x:v>3041</x:v>
      </x:c>
      <x:c r="B2920" s="16" t="str">
        <x:v>Harisa Imr</x:v>
      </x:c>
      <x:c r="C2920" s="16" t="str"/>
      <x:c r="D2920" s="16" t="str">
        <x:v>* myContacts</x:v>
      </x:c>
      <x:c r="E2920" s="16" t="str">
        <x:v>Missing email</x:v>
      </x:c>
    </x:row>
    <x:row r="2921">
      <x:c r="A2921" s="16" t="n">
        <x:v>3042</x:v>
      </x:c>
      <x:c r="B2921" s="16" t="str">
        <x:v>Harith Hotel</x:v>
      </x:c>
      <x:c r="C2921" s="16" t="str"/>
      <x:c r="D2921" s="16" t="str">
        <x:v>* myContacts</x:v>
      </x:c>
      <x:c r="E2921" s="16" t="str">
        <x:v>Missing email</x:v>
      </x:c>
    </x:row>
    <x:row r="2922">
      <x:c r="A2922" s="16" t="n">
        <x:v>3043</x:v>
      </x:c>
      <x:c r="B2922" s="16" t="str">
        <x:v>harith shah beban sniper</x:v>
      </x:c>
      <x:c r="C2922" s="16" t="str"/>
      <x:c r="D2922" s="16" t="str">
        <x:v>* myContacts</x:v>
      </x:c>
      <x:c r="E2922" s="16" t="str">
        <x:v>Missing email</x:v>
      </x:c>
    </x:row>
    <x:row r="2923">
      <x:c r="A2923" s="16" t="n">
        <x:v>3044</x:v>
      </x:c>
      <x:c r="B2923" s="16" t="str">
        <x:v>Harith Soleh</x:v>
      </x:c>
      <x:c r="C2923" s="16" t="str"/>
      <x:c r="D2923" s="16" t="str">
        <x:v>* myContacts</x:v>
      </x:c>
      <x:c r="E2923" s="16" t="str">
        <x:v>Missing email</x:v>
      </x:c>
    </x:row>
    <x:row r="2924">
      <x:c r="A2924" s="16" t="n">
        <x:v>3045</x:v>
      </x:c>
      <x:c r="B2924" s="16" t="str">
        <x:v>Hariz Blogger</x:v>
      </x:c>
      <x:c r="C2924" s="16" t="str"/>
      <x:c r="D2924" s="16" t="str">
        <x:v>* myContacts</x:v>
      </x:c>
      <x:c r="E2924" s="16" t="str">
        <x:v>Missing email</x:v>
      </x:c>
    </x:row>
    <x:row r="2925">
      <x:c r="A2925" s="16" t="n">
        <x:v>3046</x:v>
      </x:c>
      <x:c r="B2925" s="16" t="str">
        <x:v>Prof Hariz Blogger</x:v>
      </x:c>
      <x:c r="C2925" s="16" t="str"/>
      <x:c r="D2925" s="16" t="str">
        <x:v>* myContacts</x:v>
      </x:c>
      <x:c r="E2925" s="16" t="str">
        <x:v>Missing email</x:v>
      </x:c>
    </x:row>
    <x:row r="2926">
      <x:c r="A2926" s="16" t="n">
        <x:v>3047</x:v>
      </x:c>
      <x:c r="B2926" s="16" t="str">
        <x:v>Hariz eU Trainer</x:v>
      </x:c>
      <x:c r="C2926" s="16" t="str"/>
      <x:c r="D2926" s="16" t="str">
        <x:v>Trainer | * myContacts</x:v>
      </x:c>
      <x:c r="E2926" s="16" t="str">
        <x:v>Missing email</x:v>
      </x:c>
    </x:row>
    <x:row r="2927">
      <x:c r="A2927" s="16" t="n">
        <x:v>3048</x:v>
      </x:c>
      <x:c r="B2927" s="16" t="str">
        <x:v>Hariz home nursing</x:v>
      </x:c>
      <x:c r="C2927" s="16" t="str"/>
      <x:c r="D2927" s="16" t="str">
        <x:v>* myContacts</x:v>
      </x:c>
      <x:c r="E2927" s="16" t="str">
        <x:v>Missing email</x:v>
      </x:c>
    </x:row>
    <x:row r="2928">
      <x:c r="A2928" s="16" t="n">
        <x:v>3049</x:v>
      </x:c>
      <x:c r="B2928" s="16" t="str">
        <x:v>hariz im</x:v>
      </x:c>
      <x:c r="C2928" s="16" t="str"/>
      <x:c r="D2928" s="16" t="str">
        <x:v>* myContacts</x:v>
      </x:c>
      <x:c r="E2928" s="16" t="str">
        <x:v>Missing email</x:v>
      </x:c>
    </x:row>
    <x:row r="2929">
      <x:c r="A2929" s="16" t="n">
        <x:v>3050</x:v>
      </x:c>
      <x:c r="B2929" s="16" t="str">
        <x:v>Dr hariz Mdec Trainer</x:v>
      </x:c>
      <x:c r="C2929" s="16" t="str"/>
      <x:c r="D2929" s="16" t="str">
        <x:v>* myContacts</x:v>
      </x:c>
      <x:c r="E2929" s="16" t="str">
        <x:v>Missing email</x:v>
      </x:c>
    </x:row>
    <x:row r="2930">
      <x:c r="A2930" s="16" t="n">
        <x:v>3051</x:v>
      </x:c>
      <x:c r="B2930" s="16" t="str">
        <x:v>Hariz Mohd</x:v>
      </x:c>
      <x:c r="C2930" s="16" t="str"/>
      <x:c r="D2930" s="16" t="str">
        <x:v>* myContacts</x:v>
      </x:c>
      <x:c r="E2930" s="16" t="str">
        <x:v>Missing email</x:v>
      </x:c>
    </x:row>
    <x:row r="2931">
      <x:c r="A2931" s="16" t="n">
        <x:v>3052</x:v>
      </x:c>
      <x:c r="B2931" s="16" t="str">
        <x:v>Harry HD Sport</x:v>
      </x:c>
      <x:c r="C2931" s="16" t="str"/>
      <x:c r="D2931" s="16" t="str">
        <x:v>* myContacts</x:v>
      </x:c>
      <x:c r="E2931" s="16" t="str">
        <x:v>Missing email</x:v>
      </x:c>
    </x:row>
    <x:row r="2932">
      <x:c r="A2932" s="16" t="n">
        <x:v>3053</x:v>
      </x:c>
      <x:c r="B2932" s="16" t="str">
        <x:v>Harrys Harry</x:v>
      </x:c>
      <x:c r="C2932" s="16" t="str"/>
      <x:c r="D2932" s="16" t="str">
        <x:v>* myContacts</x:v>
      </x:c>
      <x:c r="E2932" s="16" t="str">
        <x:v>Missing email</x:v>
      </x:c>
    </x:row>
    <x:row r="2933">
      <x:c r="A2933" s="16" t="n">
        <x:v>3054</x:v>
      </x:c>
      <x:c r="B2933" s="16" t="str">
        <x:v>Hartanah Johor</x:v>
      </x:c>
      <x:c r="C2933" s="16" t="str"/>
      <x:c r="D2933" s="16" t="str">
        <x:v>* myContacts</x:v>
      </x:c>
      <x:c r="E2933" s="16" t="str">
        <x:v>Missing email</x:v>
      </x:c>
    </x:row>
    <x:row r="2934">
      <x:c r="A2934" s="16" t="n">
        <x:v>3055</x:v>
      </x:c>
      <x:c r="B2934" s="16" t="str">
        <x:v>Harun Yusuf</x:v>
      </x:c>
      <x:c r="C2934" s="16" t="str"/>
      <x:c r="D2934" s="16" t="str">
        <x:v>* myContacts</x:v>
      </x:c>
      <x:c r="E2934" s="16" t="str">
        <x:v>Missing email</x:v>
      </x:c>
    </x:row>
    <x:row r="2935">
      <x:c r="A2935" s="16" t="n">
        <x:v>3056</x:v>
      </x:c>
      <x:c r="B2935" s="16" t="str">
        <x:v>Haryani AGP</x:v>
      </x:c>
      <x:c r="C2935" s="16" t="str"/>
      <x:c r="D2935" s="16" t="str">
        <x:v>* myContacts</x:v>
      </x:c>
      <x:c r="E2935" s="16" t="str">
        <x:v>Missing email</x:v>
      </x:c>
    </x:row>
    <x:row r="2936">
      <x:c r="A2936" s="16" t="n">
        <x:v>3057</x:v>
      </x:c>
      <x:c r="B2936" s="16" t="str">
        <x:v>Haryati Mansor</x:v>
      </x:c>
      <x:c r="C2936" s="16" t="str"/>
      <x:c r="D2936" s="16" t="str">
        <x:v>* myContacts</x:v>
      </x:c>
      <x:c r="E2936" s="16" t="str">
        <x:v>Missing email</x:v>
      </x:c>
    </x:row>
    <x:row r="2937">
      <x:c r="A2937" s="16" t="n">
        <x:v>3058</x:v>
      </x:c>
      <x:c r="B2937" s="16" t="str">
        <x:v>Has Linda</x:v>
      </x:c>
      <x:c r="C2937" s="16" t="str"/>
      <x:c r="D2937" s="16" t="str">
        <x:v>* myContacts</x:v>
      </x:c>
      <x:c r="E2937" s="16" t="str">
        <x:v>Missing email</x:v>
      </x:c>
    </x:row>
    <x:row r="2938">
      <x:c r="A2938" s="16" t="n">
        <x:v>3059</x:v>
      </x:c>
      <x:c r="B2938" s="16" t="str">
        <x:v>Has Yati</x:v>
      </x:c>
      <x:c r="C2938" s="16" t="str"/>
      <x:c r="D2938" s="16" t="str">
        <x:v>* myContacts</x:v>
      </x:c>
      <x:c r="E2938" s="16" t="str">
        <x:v>Missing email</x:v>
      </x:c>
    </x:row>
    <x:row r="2939">
      <x:c r="A2939" s="16" t="n">
        <x:v>3060</x:v>
      </x:c>
      <x:c r="B2939" s="16" t="str">
        <x:v>Hasan Daud</x:v>
      </x:c>
      <x:c r="C2939" s="16" t="str"/>
      <x:c r="D2939" s="16" t="str">
        <x:v>* myContacts</x:v>
      </x:c>
      <x:c r="E2939" s="16" t="str">
        <x:v>Missing email</x:v>
      </x:c>
    </x:row>
    <x:row r="2940">
      <x:c r="A2940" s="16" t="n">
        <x:v>3061</x:v>
      </x:c>
      <x:c r="B2940" s="16" t="str">
        <x:v>Hasan El-way</x:v>
      </x:c>
      <x:c r="C2940" s="16" t="str"/>
      <x:c r="D2940" s="16" t="str">
        <x:v>* myContacts</x:v>
      </x:c>
      <x:c r="E2940" s="16" t="str">
        <x:v>Missing email</x:v>
      </x:c>
    </x:row>
    <x:row r="2941">
      <x:c r="A2941" s="16" t="n">
        <x:v>3062</x:v>
      </x:c>
      <x:c r="B2941" s="16" t="str">
        <x:v>Hasanatul Fariha</x:v>
      </x:c>
      <x:c r="C2941" s="16" t="str"/>
      <x:c r="D2941" s="16" t="str">
        <x:v>* myContacts</x:v>
      </x:c>
      <x:c r="E2941" s="16" t="str">
        <x:v>Missing email</x:v>
      </x:c>
    </x:row>
    <x:row r="2942">
      <x:c r="A2942" s="16" t="n">
        <x:v>3063</x:v>
      </x:c>
      <x:c r="B2942" s="16" t="str">
        <x:v>Hasbillah Funnel Evo</x:v>
      </x:c>
      <x:c r="C2942" s="16" t="str"/>
      <x:c r="D2942" s="16" t="str">
        <x:v>* myContacts</x:v>
      </x:c>
      <x:c r="E2942" s="16" t="str">
        <x:v>Missing email</x:v>
      </x:c>
    </x:row>
    <x:row r="2943">
      <x:c r="A2943" s="16" t="n">
        <x:v>3065</x:v>
      </x:c>
      <x:c r="B2943" s="16" t="str">
        <x:v>hasbul arif</x:v>
      </x:c>
      <x:c r="C2943" s="16" t="str"/>
      <x:c r="D2943" s="16" t="str">
        <x:v>* myContacts</x:v>
      </x:c>
      <x:c r="E2943" s="16" t="str">
        <x:v>Missing email</x:v>
      </x:c>
    </x:row>
    <x:row r="2944">
      <x:c r="A2944" s="16" t="n">
        <x:v>3066</x:v>
      </x:c>
      <x:c r="B2944" s="16" t="str">
        <x:v>Hasbullah Aboy</x:v>
      </x:c>
      <x:c r="C2944" s="16" t="str"/>
      <x:c r="D2944" s="16" t="str">
        <x:v>* myContacts</x:v>
      </x:c>
      <x:c r="E2944" s="16" t="str">
        <x:v>Missing email</x:v>
      </x:c>
    </x:row>
    <x:row r="2945">
      <x:c r="A2945" s="16" t="n">
        <x:v>3067</x:v>
      </x:c>
      <x:c r="B2945" s="16" t="str">
        <x:v>Hasbullah Azura</x:v>
      </x:c>
      <x:c r="C2945" s="16" t="str"/>
      <x:c r="D2945" s="16" t="str">
        <x:v>* myContacts</x:v>
      </x:c>
      <x:c r="E2945" s="16" t="str">
        <x:v>Missing email</x:v>
      </x:c>
    </x:row>
    <x:row r="2946">
      <x:c r="A2946" s="16" t="n">
        <x:v>3068</x:v>
      </x:c>
      <x:c r="B2946" s="16" t="str">
        <x:v>Hasbullah Hamzah</x:v>
      </x:c>
      <x:c r="C2946" s="16" t="str"/>
      <x:c r="D2946" s="16" t="str">
        <x:v>* myContacts</x:v>
      </x:c>
      <x:c r="E2946" s="16" t="str">
        <x:v>Missing email</x:v>
      </x:c>
    </x:row>
    <x:row r="2947">
      <x:c r="A2947" s="16" t="n">
        <x:v>3069</x:v>
      </x:c>
      <x:c r="B2947" s="16" t="str">
        <x:v>Hasbullah IM</x:v>
      </x:c>
      <x:c r="C2947" s="16" t="str"/>
      <x:c r="D2947" s="16" t="str">
        <x:v>* myContacts</x:v>
      </x:c>
      <x:c r="E2947" s="16" t="str">
        <x:v>Missing email</x:v>
      </x:c>
    </x:row>
    <x:row r="2948">
      <x:c r="A2948" s="16" t="n">
        <x:v>3070</x:v>
      </x:c>
      <x:c r="B2948" s="16" t="str">
        <x:v>Hasbullah Kamal Romli II</x:v>
      </x:c>
      <x:c r="C2948" s="16" t="str"/>
      <x:c r="D2948" s="16" t="str">
        <x:v>* myContacts</x:v>
      </x:c>
      <x:c r="E2948" s="16" t="str">
        <x:v>Missing email</x:v>
      </x:c>
    </x:row>
    <x:row r="2949">
      <x:c r="A2949" s="16" t="n">
        <x:v>3071</x:v>
      </x:c>
      <x:c r="B2949" s="16" t="str">
        <x:v>Hasdhia Ahmad</x:v>
      </x:c>
      <x:c r="C2949" s="16" t="str"/>
      <x:c r="D2949" s="16" t="str">
        <x:v>* myContacts</x:v>
      </x:c>
      <x:c r="E2949" s="16" t="str">
        <x:v>Missing email</x:v>
      </x:c>
    </x:row>
    <x:row r="2950">
      <x:c r="A2950" s="16" t="n">
        <x:v>3072</x:v>
      </x:c>
      <x:c r="B2950" s="16" t="str">
        <x:v>Haseli AGP</x:v>
      </x:c>
      <x:c r="C2950" s="16" t="str"/>
      <x:c r="D2950" s="16" t="str">
        <x:v>* myContacts</x:v>
      </x:c>
      <x:c r="E2950" s="16" t="str">
        <x:v>Missing email</x:v>
      </x:c>
    </x:row>
    <x:row r="2951">
      <x:c r="A2951" s="16" t="n">
        <x:v>3073</x:v>
      </x:c>
      <x:c r="B2951" s="16" t="str">
        <x:v>Hash Bridal House</x:v>
      </x:c>
      <x:c r="C2951" s="16" t="str"/>
      <x:c r="D2951" s="16" t="str">
        <x:v>* myContacts</x:v>
      </x:c>
      <x:c r="E2951" s="16" t="str">
        <x:v>Missing email</x:v>
      </x:c>
    </x:row>
    <x:row r="2952">
      <x:c r="A2952" s="16" t="n">
        <x:v>3074</x:v>
      </x:c>
      <x:c r="B2952" s="16" t="str">
        <x:v>Hashimi Ibrahim</x:v>
      </x:c>
      <x:c r="C2952" s="16" t="str"/>
      <x:c r="D2952" s="16" t="str">
        <x:v>* myContacts</x:v>
      </x:c>
      <x:c r="E2952" s="16" t="str">
        <x:v>Missing email</x:v>
      </x:c>
    </x:row>
    <x:row r="2953">
      <x:c r="A2953" s="16" t="n">
        <x:v>3075</x:v>
      </x:c>
      <x:c r="B2953" s="16" t="str">
        <x:v>Hashtags Cust Srvc</x:v>
      </x:c>
      <x:c r="C2953" s="16" t="str"/>
      <x:c r="D2953" s="16" t="str">
        <x:v>* myContacts</x:v>
      </x:c>
      <x:c r="E2953" s="16" t="str">
        <x:v>Missing email</x:v>
      </x:c>
    </x:row>
    <x:row r="2954">
      <x:c r="A2954" s="16" t="n">
        <x:v>3076</x:v>
      </x:c>
      <x:c r="B2954" s="16" t="str">
        <x:v>Hasib Azahari IM</x:v>
      </x:c>
      <x:c r="C2954" s="16" t="str"/>
      <x:c r="D2954" s="16" t="str">
        <x:v>* myContacts</x:v>
      </x:c>
      <x:c r="E2954" s="16" t="str">
        <x:v>Missing email</x:v>
      </x:c>
    </x:row>
    <x:row r="2955">
      <x:c r="A2955" s="16" t="n">
        <x:v>3077</x:v>
      </x:c>
      <x:c r="B2955" s="16" t="str">
        <x:v>Hasimah Zain</x:v>
      </x:c>
      <x:c r="C2955" s="16" t="str"/>
      <x:c r="D2955" s="16" t="str">
        <x:v>* myContacts</x:v>
      </x:c>
      <x:c r="E2955" s="16" t="str">
        <x:v>Missing email</x:v>
      </x:c>
    </x:row>
    <x:row r="2956">
      <x:c r="A2956" s="16" t="n">
        <x:v>3078</x:v>
      </x:c>
      <x:c r="B2956" s="16" t="str">
        <x:v>Hasinah Cataleya White</x:v>
      </x:c>
      <x:c r="C2956" s="16" t="str"/>
      <x:c r="D2956" s="16" t="str">
        <x:v>* myContacts</x:v>
      </x:c>
      <x:c r="E2956" s="16" t="str">
        <x:v>Missing email</x:v>
      </x:c>
    </x:row>
    <x:row r="2957">
      <x:c r="A2957" s="16" t="n">
        <x:v>3079</x:v>
      </x:c>
      <x:c r="B2957" s="16" t="str">
        <x:v>Haslina Binti Hassan</x:v>
      </x:c>
      <x:c r="C2957" s="16" t="str"/>
      <x:c r="D2957" s="16" t="str">
        <x:v>* myContacts</x:v>
      </x:c>
      <x:c r="E2957" s="16" t="str">
        <x:v>Missing email</x:v>
      </x:c>
    </x:row>
    <x:row r="2958">
      <x:c r="A2958" s="16" t="n">
        <x:v>3080</x:v>
      </x:c>
      <x:c r="B2958" s="16" t="str">
        <x:v>Haslina Mazlan</x:v>
      </x:c>
      <x:c r="C2958" s="16" t="str"/>
      <x:c r="D2958" s="16" t="str">
        <x:v>* myContacts</x:v>
      </x:c>
      <x:c r="E2958" s="16" t="str">
        <x:v>Missing email</x:v>
      </x:c>
    </x:row>
    <x:row r="2959">
      <x:c r="A2959" s="16" t="n">
        <x:v>3081</x:v>
      </x:c>
      <x:c r="B2959" s="16" t="str">
        <x:v>Haslinda Ismail</x:v>
      </x:c>
      <x:c r="C2959" s="16" t="str"/>
      <x:c r="D2959" s="16" t="str">
        <x:v>* myContacts</x:v>
      </x:c>
      <x:c r="E2959" s="16" t="str">
        <x:v>Missing email</x:v>
      </x:c>
    </x:row>
    <x:row r="2960">
      <x:c r="A2960" s="16" t="n">
        <x:v>3082</x:v>
      </x:c>
      <x:c r="B2960" s="16" t="str">
        <x:v>Haslini Student PPKK</x:v>
      </x:c>
      <x:c r="C2960" s="16" t="str"/>
      <x:c r="D2960" s="16" t="str">
        <x:v>* myContacts</x:v>
      </x:c>
      <x:c r="E2960" s="16" t="str">
        <x:v>Missing email</x:v>
      </x:c>
    </x:row>
    <x:row r="2961">
      <x:c r="A2961" s="16" t="n">
        <x:v>3083</x:v>
      </x:c>
      <x:c r="B2961" s="16" t="str">
        <x:v>Hasmadi Takaful</x:v>
      </x:c>
      <x:c r="C2961" s="16" t="str"/>
      <x:c r="D2961" s="16" t="str">
        <x:v>* myContacts</x:v>
      </x:c>
      <x:c r="E2961" s="16" t="str">
        <x:v>Missing email</x:v>
      </x:c>
    </x:row>
    <x:row r="2962">
      <x:c r="A2962" s="16" t="n">
        <x:v>3084</x:v>
      </x:c>
      <x:c r="B2962" s="16" t="str">
        <x:v>Hasmidar Midai</x:v>
      </x:c>
      <x:c r="C2962" s="16" t="str"/>
      <x:c r="D2962" s="16" t="str">
        <x:v>* myContacts</x:v>
      </x:c>
      <x:c r="E2962" s="16" t="str">
        <x:v>Missing email</x:v>
      </x:c>
    </x:row>
    <x:row r="2963">
      <x:c r="A2963" s="16" t="n">
        <x:v>3085</x:v>
      </x:c>
      <x:c r="B2963" s="16" t="str">
        <x:v>Hasmirol Amat Printing</x:v>
      </x:c>
      <x:c r="C2963" s="16" t="str"/>
      <x:c r="D2963" s="16" t="str">
        <x:v>* myContacts</x:v>
      </x:c>
      <x:c r="E2963" s="16" t="str">
        <x:v>Missing email</x:v>
      </x:c>
    </x:row>
    <x:row r="2964">
      <x:c r="A2964" s="16" t="n">
        <x:v>3086</x:v>
      </x:c>
      <x:c r="B2964" s="16" t="str">
        <x:v>Hasmizan Hasan</x:v>
      </x:c>
      <x:c r="C2964" s="16" t="str"/>
      <x:c r="D2964" s="16" t="str">
        <x:v>* myContacts</x:v>
      </x:c>
      <x:c r="E2964" s="16" t="str">
        <x:v>Missing email</x:v>
      </x:c>
    </x:row>
    <x:row r="2965">
      <x:c r="A2965" s="16" t="n">
        <x:v>3087</x:v>
      </x:c>
      <x:c r="B2965" s="16" t="str">
        <x:v>Hasmizi Kamis</x:v>
      </x:c>
      <x:c r="C2965" s="16" t="str"/>
      <x:c r="D2965" s="16" t="str">
        <x:v>* myContacts</x:v>
      </x:c>
      <x:c r="E2965" s="16" t="str">
        <x:v>Missing email</x:v>
      </x:c>
    </x:row>
    <x:row r="2966">
      <x:c r="A2966" s="16" t="n">
        <x:v>3088</x:v>
      </x:c>
      <x:c r="B2966" s="16" t="str">
        <x:v>Hasmulisa Lisa Lisa</x:v>
      </x:c>
      <x:c r="C2966" s="16" t="str"/>
      <x:c r="D2966" s="16" t="str">
        <x:v>* myContacts</x:v>
      </x:c>
      <x:c r="E2966" s="16" t="str">
        <x:v>Missing email</x:v>
      </x:c>
    </x:row>
    <x:row r="2967">
      <x:c r="A2967" s="16" t="n">
        <x:v>3089</x:v>
      </x:c>
      <x:c r="B2967" s="16" t="str">
        <x:v>Hasnida Idayu Abdullah</x:v>
      </x:c>
      <x:c r="C2967" s="16" t="str"/>
      <x:c r="D2967" s="16" t="str">
        <x:v>* myContacts</x:v>
      </x:c>
      <x:c r="E2967" s="16" t="str">
        <x:v>Missing email</x:v>
      </x:c>
    </x:row>
    <x:row r="2968">
      <x:c r="A2968" s="16" t="n">
        <x:v>3090</x:v>
      </x:c>
      <x:c r="B2968" s="16" t="str">
        <x:v>Hasnida Tg Nik Ibrahim</x:v>
      </x:c>
      <x:c r="C2968" s="16" t="str"/>
      <x:c r="D2968" s="16" t="str">
        <x:v>* myContacts</x:v>
      </x:c>
      <x:c r="E2968" s="16" t="str">
        <x:v>Missing email</x:v>
      </x:c>
    </x:row>
    <x:row r="2969">
      <x:c r="A2969" s="16" t="n">
        <x:v>3091</x:v>
      </x:c>
      <x:c r="B2969" s="16" t="str">
        <x:v>Hasnita Husain</x:v>
      </x:c>
      <x:c r="C2969" s="16" t="str"/>
      <x:c r="D2969" s="16" t="str">
        <x:v>* myContacts</x:v>
      </x:c>
      <x:c r="E2969" s="16" t="str">
        <x:v>Missing email</x:v>
      </x:c>
    </x:row>
    <x:row r="2970">
      <x:c r="A2970" s="16" t="n">
        <x:v>3092</x:v>
      </x:c>
      <x:c r="B2970" s="16" t="str">
        <x:v>Hasniza Abdullah</x:v>
      </x:c>
      <x:c r="C2970" s="16" t="str"/>
      <x:c r="D2970" s="16" t="str">
        <x:v>* myContacts</x:v>
      </x:c>
      <x:c r="E2970" s="16" t="str">
        <x:v>Missing email</x:v>
      </x:c>
    </x:row>
    <x:row r="2971">
      <x:c r="A2971" s="16" t="n">
        <x:v>3093</x:v>
      </x:c>
      <x:c r="B2971" s="16" t="str">
        <x:v>Hasnolmizam Hashim Bizzapp</x:v>
      </x:c>
      <x:c r="C2971" s="16" t="str"/>
      <x:c r="D2971" s="16" t="str">
        <x:v>* myContacts</x:v>
      </x:c>
      <x:c r="E2971" s="16" t="str">
        <x:v>Missing email</x:v>
      </x:c>
    </x:row>
    <x:row r="2972">
      <x:c r="A2972" s="16" t="n">
        <x:v>3094</x:v>
      </x:c>
      <x:c r="B2972" s="16" t="str">
        <x:v>Hasnorizal Salih</x:v>
      </x:c>
      <x:c r="C2972" s="16" t="str"/>
      <x:c r="D2972" s="16" t="str">
        <x:v>* myContacts</x:v>
      </x:c>
      <x:c r="E2972" s="16" t="str">
        <x:v>Missing email</x:v>
      </x:c>
    </x:row>
    <x:row r="2973">
      <x:c r="A2973" s="16" t="n">
        <x:v>3095</x:v>
      </x:c>
      <x:c r="B2973" s="16" t="str">
        <x:v>Hasrizal Businessmen</x:v>
      </x:c>
      <x:c r="C2973" s="16" t="str"/>
      <x:c r="D2973" s="16" t="str">
        <x:v>* myContacts</x:v>
      </x:c>
      <x:c r="E2973" s="16" t="str">
        <x:v>Missing email</x:v>
      </x:c>
    </x:row>
    <x:row r="2974">
      <x:c r="A2974" s="16" t="n">
        <x:v>3096</x:v>
      </x:c>
      <x:c r="B2974" s="16" t="str">
        <x:v>Hasrizan Trainer</x:v>
      </x:c>
      <x:c r="C2974" s="16" t="str"/>
      <x:c r="D2974" s="16" t="str">
        <x:v>Trainer | * myContacts</x:v>
      </x:c>
      <x:c r="E2974" s="16" t="str">
        <x:v>Missing email</x:v>
      </x:c>
    </x:row>
    <x:row r="2975">
      <x:c r="A2975" s="16" t="n">
        <x:v>3097</x:v>
      </x:c>
      <x:c r="B2975" s="16" t="str">
        <x:v>Hasry Mangrove</x:v>
      </x:c>
      <x:c r="C2975" s="16" t="str"/>
      <x:c r="D2975" s="16" t="str">
        <x:v>* myContacts</x:v>
      </x:c>
      <x:c r="E2975" s="16" t="str">
        <x:v>Missing email</x:v>
      </x:c>
    </x:row>
    <x:row r="2976">
      <x:c r="A2976" s="16" t="n">
        <x:v>3098</x:v>
      </x:c>
      <x:c r="B2976" s="16" t="str">
        <x:v>Hasrylya Penanghill</x:v>
      </x:c>
      <x:c r="C2976" s="16" t="str"/>
      <x:c r="D2976" s="16" t="str">
        <x:v>* myContacts</x:v>
      </x:c>
      <x:c r="E2976" s="16" t="str">
        <x:v>Missing email</x:v>
      </x:c>
    </x:row>
    <x:row r="2977">
      <x:c r="A2977" s="16" t="n">
        <x:v>3099</x:v>
      </x:c>
      <x:c r="B2977" s="16" t="str">
        <x:v>Hassan Ismail</x:v>
      </x:c>
      <x:c r="C2977" s="16" t="str"/>
      <x:c r="D2977" s="16" t="str">
        <x:v>* myContacts</x:v>
      </x:c>
      <x:c r="E2977" s="16" t="str">
        <x:v>Missing email</x:v>
      </x:c>
    </x:row>
    <x:row r="2978">
      <x:c r="A2978" s="16" t="n">
        <x:v>3100</x:v>
      </x:c>
      <x:c r="B2978" s="16" t="str">
        <x:v>Hassan Rahman IM</x:v>
      </x:c>
      <x:c r="C2978" s="16" t="str"/>
      <x:c r="D2978" s="16" t="str">
        <x:v>* myContacts</x:v>
      </x:c>
      <x:c r="E2978" s="16" t="str">
        <x:v>Missing email</x:v>
      </x:c>
    </x:row>
    <x:row r="2979">
      <x:c r="A2979" s="16" t="n">
        <x:v>3101</x:v>
      </x:c>
      <x:c r="B2979" s="16" t="str">
        <x:v>Hassanurasyid Saudagar Printing</x:v>
      </x:c>
      <x:c r="C2979" s="16" t="str"/>
      <x:c r="D2979" s="16" t="str">
        <x:v>* myContacts</x:v>
      </x:c>
      <x:c r="E2979" s="16" t="str">
        <x:v>Missing email</x:v>
      </x:c>
    </x:row>
    <x:row r="2980">
      <x:c r="A2980" s="16" t="n">
        <x:v>3102</x:v>
      </x:c>
      <x:c r="B2980" s="16" t="str">
        <x:v>Hassim Stylo</x:v>
      </x:c>
      <x:c r="C2980" s="16" t="str"/>
      <x:c r="D2980" s="16" t="str">
        <x:v>* myContacts</x:v>
      </x:c>
      <x:c r="E2980" s="16" t="str">
        <x:v>Missing email</x:v>
      </x:c>
    </x:row>
    <x:row r="2981">
      <x:c r="A2981" s="16" t="n">
        <x:v>3103</x:v>
      </x:c>
      <x:c r="B2981" s="16" t="str">
        <x:v>Hati Terluka</x:v>
      </x:c>
      <x:c r="C2981" s="16" t="str"/>
      <x:c r="D2981" s="16" t="str">
        <x:v>* myContacts</x:v>
      </x:c>
      <x:c r="E2981" s="16" t="str">
        <x:v>Missing email</x:v>
      </x:c>
    </x:row>
    <x:row r="2982">
      <x:c r="A2982" s="16" t="n">
        <x:v>3104</x:v>
      </x:c>
      <x:c r="B2982" s="16" t="str">
        <x:v>Hawari Sulaiman UTM</x:v>
      </x:c>
      <x:c r="C2982" s="16" t="str"/>
      <x:c r="D2982" s="16" t="str">
        <x:v>* myContacts</x:v>
      </x:c>
      <x:c r="E2982" s="16" t="str">
        <x:v>Missing email</x:v>
      </x:c>
    </x:row>
    <x:row r="2983">
      <x:c r="A2983" s="16" t="n">
        <x:v>3105</x:v>
      </x:c>
      <x:c r="B2983" s="16" t="str">
        <x:v>Hawati Craft</x:v>
      </x:c>
      <x:c r="C2983" s="16" t="str"/>
      <x:c r="D2983" s="16" t="str">
        <x:v>* myContacts</x:v>
      </x:c>
      <x:c r="E2983" s="16" t="str">
        <x:v>Missing email</x:v>
      </x:c>
    </x:row>
    <x:row r="2984">
      <x:c r="A2984" s="16" t="n">
        <x:v>3106</x:v>
      </x:c>
      <x:c r="B2984" s="16" t="str">
        <x:v>Hayashin Jani Dmo</x:v>
      </x:c>
      <x:c r="C2984" s="16" t="str"/>
      <x:c r="D2984" s="16" t="str">
        <x:v>* myContacts</x:v>
      </x:c>
      <x:c r="E2984" s="16" t="str">
        <x:v>Missing email</x:v>
      </x:c>
    </x:row>
    <x:row r="2985">
      <x:c r="A2985" s="16" t="n">
        <x:v>3107</x:v>
      </x:c>
      <x:c r="B2985" s="16" t="str">
        <x:v>Hayat Yasirul</x:v>
      </x:c>
      <x:c r="C2985" s="16" t="str"/>
      <x:c r="D2985" s="16" t="str">
        <x:v>* myContacts</x:v>
      </x:c>
      <x:c r="E2985" s="16" t="str">
        <x:v>Missing email</x:v>
      </x:c>
    </x:row>
    <x:row r="2986">
      <x:c r="A2986" s="16" t="n">
        <x:v>3108</x:v>
      </x:c>
      <x:c r="B2986" s="16" t="str">
        <x:v>Hayati Tremendous Mind Training</x:v>
      </x:c>
      <x:c r="C2986" s="16" t="str"/>
      <x:c r="D2986" s="16" t="str">
        <x:v>* myContacts</x:v>
      </x:c>
      <x:c r="E2986" s="16" t="str">
        <x:v>Missing email</x:v>
      </x:c>
    </x:row>
    <x:row r="2987">
      <x:c r="A2987" s="16" t="n">
        <x:v>3109</x:v>
      </x:c>
      <x:c r="B2987" s="16" t="str">
        <x:v>Hayatie Ameerra</x:v>
      </x:c>
      <x:c r="C2987" s="16" t="str"/>
      <x:c r="D2987" s="16" t="str">
        <x:v>* myContacts</x:v>
      </x:c>
      <x:c r="E2987" s="16" t="str">
        <x:v>Missing email</x:v>
      </x:c>
    </x:row>
    <x:row r="2988">
      <x:c r="A2988" s="16" t="n">
        <x:v>3110</x:v>
      </x:c>
      <x:c r="B2988" s="16" t="str">
        <x:v>Hazel Hub Klang</x:v>
      </x:c>
      <x:c r="C2988" s="16" t="str"/>
      <x:c r="D2988" s="16" t="str">
        <x:v>* myContacts</x:v>
      </x:c>
      <x:c r="E2988" s="16" t="str">
        <x:v>Missing email</x:v>
      </x:c>
    </x:row>
    <x:row r="2989">
      <x:c r="A2989" s="16" t="n">
        <x:v>3111</x:v>
      </x:c>
      <x:c r="B2989" s="16" t="str">
        <x:v>Hazim Afifi</x:v>
      </x:c>
      <x:c r="C2989" s="16" t="str"/>
      <x:c r="D2989" s="16" t="str">
        <x:v>* myContacts</x:v>
      </x:c>
      <x:c r="E2989" s="16" t="str">
        <x:v>Missing email</x:v>
      </x:c>
    </x:row>
    <x:row r="2990">
      <x:c r="A2990" s="16" t="n">
        <x:v>3112</x:v>
      </x:c>
      <x:c r="B2990" s="16" t="str">
        <x:v>Hazim Bst</x:v>
      </x:c>
      <x:c r="C2990" s="16" t="str"/>
      <x:c r="D2990" s="16" t="str">
        <x:v>* myContacts</x:v>
      </x:c>
      <x:c r="E2990" s="16" t="str">
        <x:v>Missing email</x:v>
      </x:c>
    </x:row>
    <x:row r="2991">
      <x:c r="A2991" s="16" t="n">
        <x:v>3113</x:v>
      </x:c>
      <x:c r="B2991" s="16" t="str">
        <x:v>Hazim Khairuddin</x:v>
      </x:c>
      <x:c r="C2991" s="16" t="str"/>
      <x:c r="D2991" s="16" t="str">
        <x:v>* myContacts</x:v>
      </x:c>
      <x:c r="E2991" s="16" t="str">
        <x:v>Missing email</x:v>
      </x:c>
    </x:row>
    <x:row r="2992">
      <x:c r="A2992" s="16" t="n">
        <x:v>3114</x:v>
      </x:c>
      <x:c r="B2992" s="16" t="str">
        <x:v>Hazim Marzuki</x:v>
      </x:c>
      <x:c r="C2992" s="16" t="str"/>
      <x:c r="D2992" s="16" t="str">
        <x:v>* myContacts</x:v>
      </x:c>
      <x:c r="E2992" s="16" t="str">
        <x:v>Missing email</x:v>
      </x:c>
    </x:row>
    <x:row r="2993">
      <x:c r="A2993" s="16" t="n">
        <x:v>3115</x:v>
      </x:c>
      <x:c r="B2993" s="16" t="str">
        <x:v>Hazim Rahman</x:v>
      </x:c>
      <x:c r="C2993" s="16" t="str"/>
      <x:c r="D2993" s="16" t="str">
        <x:v>* myContacts</x:v>
      </x:c>
      <x:c r="E2993" s="16" t="str">
        <x:v>Missing email</x:v>
      </x:c>
    </x:row>
    <x:row r="2994">
      <x:c r="A2994" s="16" t="n">
        <x:v>3116</x:v>
      </x:c>
      <x:c r="B2994" s="16" t="str">
        <x:v>Haziq Asyraf</x:v>
      </x:c>
      <x:c r="C2994" s="16" t="str"/>
      <x:c r="D2994" s="16" t="str">
        <x:v>* myContacts</x:v>
      </x:c>
      <x:c r="E2994" s="16" t="str">
        <x:v>Missing email</x:v>
      </x:c>
    </x:row>
    <x:row r="2995">
      <x:c r="A2995" s="16" t="n">
        <x:v>3117</x:v>
      </x:c>
      <x:c r="B2995" s="16" t="str">
        <x:v>Haziq Azi</x:v>
      </x:c>
      <x:c r="C2995" s="16" t="str"/>
      <x:c r="D2995" s="16" t="str">
        <x:v>* myContacts</x:v>
      </x:c>
      <x:c r="E2995" s="16" t="str">
        <x:v>Missing email</x:v>
      </x:c>
    </x:row>
    <x:row r="2996">
      <x:c r="A2996" s="16" t="n">
        <x:v>3118</x:v>
      </x:c>
      <x:c r="B2996" s="16" t="str">
        <x:v>Haziq Emilyown</x:v>
      </x:c>
      <x:c r="C2996" s="16" t="str"/>
      <x:c r="D2996" s="16" t="str">
        <x:v>* myContacts</x:v>
      </x:c>
      <x:c r="E2996" s="16" t="str">
        <x:v>Missing email</x:v>
      </x:c>
    </x:row>
    <x:row r="2997">
      <x:c r="A2997" s="16" t="n">
        <x:v>3119</x:v>
      </x:c>
      <x:c r="B2997" s="16" t="str">
        <x:v>Haziq Home Nursing Ipoh</x:v>
      </x:c>
      <x:c r="C2997" s="16" t="str"/>
      <x:c r="D2997" s="16" t="str">
        <x:v>* myContacts</x:v>
      </x:c>
      <x:c r="E2997" s="16" t="str">
        <x:v>Missing email</x:v>
      </x:c>
    </x:row>
    <x:row r="2998">
      <x:c r="A2998" s="16" t="n">
        <x:v>3120</x:v>
      </x:c>
      <x:c r="B2998" s="16" t="str">
        <x:v>Haziq IM</x:v>
      </x:c>
      <x:c r="C2998" s="16" t="str"/>
      <x:c r="D2998" s="16" t="str">
        <x:v>* myContacts</x:v>
      </x:c>
      <x:c r="E2998" s="16" t="str">
        <x:v>Missing email</x:v>
      </x:c>
    </x:row>
    <x:row r="2999">
      <x:c r="A2999" s="16" t="n">
        <x:v>3121</x:v>
      </x:c>
      <x:c r="B2999" s="16" t="str">
        <x:v>Haziq Nazari</x:v>
      </x:c>
      <x:c r="C2999" s="16" t="str"/>
      <x:c r="D2999" s="16" t="str">
        <x:v>* myContacts</x:v>
      </x:c>
      <x:c r="E2999" s="16" t="str">
        <x:v>Missing email</x:v>
      </x:c>
    </x:row>
    <x:row r="3000">
      <x:c r="A3000" s="16" t="n">
        <x:v>3122</x:v>
      </x:c>
      <x:c r="B3000" s="16" t="str">
        <x:v>Haziq teratak riverview ulu bernam</x:v>
      </x:c>
      <x:c r="C3000" s="16" t="str"/>
      <x:c r="D3000" s="16" t="str">
        <x:v>* myContacts</x:v>
      </x:c>
      <x:c r="E3000" s="16" t="str">
        <x:v>Missing email</x:v>
      </x:c>
    </x:row>
    <x:row r="3001">
      <x:c r="A3001" s="16" t="n">
        <x:v>3123</x:v>
      </x:c>
      <x:c r="B3001" s="16" t="str">
        <x:v>Hazira Qifa Marsyella</x:v>
      </x:c>
      <x:c r="C3001" s="16" t="str"/>
      <x:c r="D3001" s="16" t="str">
        <x:v>* myContacts</x:v>
      </x:c>
      <x:c r="E3001" s="16" t="str">
        <x:v>Missing email</x:v>
      </x:c>
    </x:row>
    <x:row r="3002">
      <x:c r="A3002" s="16" t="n">
        <x:v>3124</x:v>
      </x:c>
      <x:c r="B3002" s="16" t="str">
        <x:v>Hazlili Hasan</x:v>
      </x:c>
      <x:c r="C3002" s="16" t="str"/>
      <x:c r="D3002" s="16" t="str">
        <x:v>* myContacts</x:v>
      </x:c>
      <x:c r="E3002" s="16" t="str">
        <x:v>Missing email</x:v>
      </x:c>
    </x:row>
    <x:row r="3003">
      <x:c r="A3003" s="16" t="n">
        <x:v>3125</x:v>
      </x:c>
      <x:c r="B3003" s="16" t="str">
        <x:v>Hazman Malik</x:v>
      </x:c>
      <x:c r="C3003" s="16" t="str"/>
      <x:c r="D3003" s="16" t="str">
        <x:v>* myContacts</x:v>
      </x:c>
      <x:c r="E3003" s="16" t="str">
        <x:v>Missing email</x:v>
      </x:c>
    </x:row>
    <x:row r="3004">
      <x:c r="A3004" s="16" t="n">
        <x:v>3126</x:v>
      </x:c>
      <x:c r="B3004" s="16" t="str">
        <x:v>Hazree Geng Desa Minang</x:v>
      </x:c>
      <x:c r="C3004" s="16" t="str"/>
      <x:c r="D3004" s="16" t="str">
        <x:v>* myContacts</x:v>
      </x:c>
      <x:c r="E3004" s="16" t="str">
        <x:v>Missing email</x:v>
      </x:c>
    </x:row>
    <x:row r="3005">
      <x:c r="A3005" s="16" t="n">
        <x:v>3127</x:v>
      </x:c>
      <x:c r="B3005" s="16" t="str">
        <x:v>HAZRIL HAFIZ Website Developer</x:v>
      </x:c>
      <x:c r="C3005" s="16" t="str"/>
      <x:c r="D3005" s="16" t="str">
        <x:v>* myContacts</x:v>
      </x:c>
      <x:c r="E3005" s="16" t="str">
        <x:v>Missing email</x:v>
      </x:c>
    </x:row>
    <x:row r="3006">
      <x:c r="A3006" s="16" t="n">
        <x:v>3128</x:v>
      </x:c>
      <x:c r="B3006" s="16" t="str">
        <x:v>Hazrita Sawal</x:v>
      </x:c>
      <x:c r="C3006" s="16" t="str"/>
      <x:c r="D3006" s="16" t="str">
        <x:v>* myContacts</x:v>
      </x:c>
      <x:c r="E3006" s="16" t="str">
        <x:v>Missing email</x:v>
      </x:c>
    </x:row>
    <x:row r="3007">
      <x:c r="A3007" s="16" t="n">
        <x:v>3129</x:v>
      </x:c>
      <x:c r="B3007" s="16" t="str">
        <x:v>Hazrril Sayuthi</x:v>
      </x:c>
      <x:c r="C3007" s="16" t="str"/>
      <x:c r="D3007" s="16" t="str">
        <x:v>* myContacts</x:v>
      </x:c>
      <x:c r="E3007" s="16" t="str">
        <x:v>Missing email</x:v>
      </x:c>
    </x:row>
    <x:row r="3008">
      <x:c r="A3008" s="16" t="n">
        <x:v>3130</x:v>
      </x:c>
      <x:c r="B3008" s="16" t="str">
        <x:v>Hazwanni Hazman</x:v>
      </x:c>
      <x:c r="C3008" s="16" t="str"/>
      <x:c r="D3008" s="16" t="str">
        <x:v>* myContacts</x:v>
      </x:c>
      <x:c r="E3008" s="16" t="str">
        <x:v>Missing email</x:v>
      </x:c>
    </x:row>
    <x:row r="3009">
      <x:c r="A3009" s="16" t="n">
        <x:v>3131</x:v>
      </x:c>
      <x:c r="B3009" s="16" t="str">
        <x:v>HD Nasim Khan Joy</x:v>
      </x:c>
      <x:c r="C3009" s="16" t="str"/>
      <x:c r="D3009" s="16" t="str">
        <x:v>* myContacts</x:v>
      </x:c>
      <x:c r="E3009" s="16" t="str">
        <x:v>Missing email</x:v>
      </x:c>
    </x:row>
    <x:row r="3010">
      <x:c r="A3010" s="16" t="n">
        <x:v>3132</x:v>
      </x:c>
      <x:c r="B3010" s="16" t="str">
        <x:v>Helen Pungga</x:v>
      </x:c>
      <x:c r="C3010" s="16" t="str"/>
      <x:c r="D3010" s="16" t="str">
        <x:v>* myContacts</x:v>
      </x:c>
      <x:c r="E3010" s="16" t="str">
        <x:v>Missing email</x:v>
      </x:c>
    </x:row>
    <x:row r="3011">
      <x:c r="A3011" s="16" t="n">
        <x:v>3133</x:v>
      </x:c>
      <x:c r="B3011" s="16" t="str">
        <x:v>Helmi CGC Nazari</x:v>
      </x:c>
      <x:c r="C3011" s="16" t="str"/>
      <x:c r="D3011" s="16" t="str">
        <x:v>* myContacts</x:v>
      </x:c>
      <x:c r="E3011" s="16" t="str">
        <x:v>Missing email</x:v>
      </x:c>
    </x:row>
    <x:row r="3012">
      <x:c r="A3012" s="16" t="n">
        <x:v>3134</x:v>
      </x:c>
      <x:c r="B3012" s="16" t="str">
        <x:v>Helmi Gimik</x:v>
      </x:c>
      <x:c r="C3012" s="16" t="str"/>
      <x:c r="D3012" s="16" t="str">
        <x:v>* myContacts</x:v>
      </x:c>
      <x:c r="E3012" s="16" t="str">
        <x:v>Missing email</x:v>
      </x:c>
    </x:row>
    <x:row r="3013">
      <x:c r="A3013" s="16" t="n">
        <x:v>3135</x:v>
      </x:c>
      <x:c r="B3013" s="16" t="str">
        <x:v>Helmi Hamid</x:v>
      </x:c>
      <x:c r="C3013" s="16" t="str"/>
      <x:c r="D3013" s="16" t="str">
        <x:v>* myContacts</x:v>
      </x:c>
      <x:c r="E3013" s="16" t="str">
        <x:v>Missing email</x:v>
      </x:c>
    </x:row>
    <x:row r="3014">
      <x:c r="A3014" s="16" t="n">
        <x:v>3136</x:v>
      </x:c>
      <x:c r="B3014" s="16" t="str">
        <x:v>Helmi SALES PROTON</x:v>
      </x:c>
      <x:c r="C3014" s="16" t="str"/>
      <x:c r="D3014" s="16" t="str">
        <x:v>* myContacts</x:v>
      </x:c>
      <x:c r="E3014" s="16" t="str">
        <x:v>Missing email</x:v>
      </x:c>
    </x:row>
    <x:row r="3015">
      <x:c r="A3015" s="16" t="n">
        <x:v>3137</x:v>
      </x:c>
      <x:c r="B3015" s="16" t="str">
        <x:v>Helmy Bin Haron</x:v>
      </x:c>
      <x:c r="C3015" s="16" t="str"/>
      <x:c r="D3015" s="16" t="str">
        <x:v>* myContacts</x:v>
      </x:c>
      <x:c r="E3015" s="16" t="str">
        <x:v>Missing email</x:v>
      </x:c>
    </x:row>
    <x:row r="3016">
      <x:c r="A3016" s="16" t="n">
        <x:v>3138</x:v>
      </x:c>
      <x:c r="B3016" s="16" t="str">
        <x:v>Hembusan Bayu Pantai</x:v>
      </x:c>
      <x:c r="C3016" s="16" t="str"/>
      <x:c r="D3016" s="16" t="str">
        <x:v>* myContacts</x:v>
      </x:c>
      <x:c r="E3016" s="16" t="str">
        <x:v>Missing email</x:v>
      </x:c>
    </x:row>
    <x:row r="3017">
      <x:c r="A3017" s="16" t="n">
        <x:v>3139</x:v>
      </x:c>
      <x:c r="B3017" s="16" t="str">
        <x:v>HEMMY UTM</x:v>
      </x:c>
      <x:c r="C3017" s="16" t="str"/>
      <x:c r="D3017" s="16" t="str">
        <x:v>* myContacts</x:v>
      </x:c>
      <x:c r="E3017" s="16" t="str">
        <x:v>Missing email</x:v>
      </x:c>
    </x:row>
    <x:row r="3018">
      <x:c r="A3018" s="16" t="n">
        <x:v>3140</x:v>
      </x:c>
      <x:c r="B3018" s="16" t="str">
        <x:v>Hen's Medan</x:v>
      </x:c>
      <x:c r="C3018" s="16" t="str"/>
      <x:c r="D3018" s="16" t="str">
        <x:v>* myContacts</x:v>
      </x:c>
      <x:c r="E3018" s="16" t="str">
        <x:v>Missing email</x:v>
      </x:c>
    </x:row>
    <x:row r="3019">
      <x:c r="A3019" s="16" t="n">
        <x:v>3141</x:v>
      </x:c>
      <x:c r="B3019" s="16" t="str">
        <x:v>Heng Kok Ful</x:v>
      </x:c>
      <x:c r="C3019" s="16" t="str"/>
      <x:c r="D3019" s="16" t="str">
        <x:v>* myContacts</x:v>
      </x:c>
      <x:c r="E3019" s="16" t="str">
        <x:v>Missing email</x:v>
      </x:c>
    </x:row>
    <x:row r="3020">
      <x:c r="A3020" s="16" t="n">
        <x:v>3142</x:v>
      </x:c>
      <x:c r="B3020" s="16" t="str">
        <x:v>Hengky Ahmad</x:v>
      </x:c>
      <x:c r="C3020" s="16" t="str"/>
      <x:c r="D3020" s="16" t="str">
        <x:v>* myContacts</x:v>
      </x:c>
      <x:c r="E3020" s="16" t="str">
        <x:v>Missing email</x:v>
      </x:c>
    </x:row>
    <x:row r="3021">
      <x:c r="A3021" s="16" t="n">
        <x:v>3143</x:v>
      </x:c>
      <x:c r="B3021" s="16" t="str">
        <x:v>Heraya Jamal</x:v>
      </x:c>
      <x:c r="C3021" s="16" t="str"/>
      <x:c r="D3021" s="16" t="str">
        <x:v>* myContacts</x:v>
      </x:c>
      <x:c r="E3021" s="16" t="str">
        <x:v>Missing email</x:v>
      </x:c>
    </x:row>
    <x:row r="3022">
      <x:c r="A3022" s="16" t="n">
        <x:v>3144</x:v>
      </x:c>
      <x:c r="B3022" s="16" t="str">
        <x:v>Heri Maulana</x:v>
      </x:c>
      <x:c r="C3022" s="16" t="str"/>
      <x:c r="D3022" s="16" t="str">
        <x:v>* myContacts</x:v>
      </x:c>
      <x:c r="E3022" s="16" t="str">
        <x:v>Missing email</x:v>
      </x:c>
    </x:row>
    <x:row r="3023">
      <x:c r="A3023" s="16" t="n">
        <x:v>3145</x:v>
      </x:c>
      <x:c r="B3023" s="16" t="str">
        <x:v>Herman Diyeng</x:v>
      </x:c>
      <x:c r="C3023" s="16" t="str"/>
      <x:c r="D3023" s="16" t="str">
        <x:v>* myContacts</x:v>
      </x:c>
      <x:c r="E3023" s="16" t="str">
        <x:v>Missing email</x:v>
      </x:c>
    </x:row>
    <x:row r="3024">
      <x:c r="A3024" s="16" t="n">
        <x:v>3146</x:v>
      </x:c>
      <x:c r="B3024" s="16" t="str">
        <x:v>Herman Senin</x:v>
      </x:c>
      <x:c r="C3024" s="16" t="str"/>
      <x:c r="D3024" s="16" t="str">
        <x:v>* myContacts</x:v>
      </x:c>
      <x:c r="E3024" s="16" t="str">
        <x:v>Missing email</x:v>
      </x:c>
    </x:row>
    <x:row r="3025">
      <x:c r="A3025" s="16" t="n">
        <x:v>3147</x:v>
      </x:c>
      <x:c r="B3025" s="16" t="str">
        <x:v>Heru Anggara Saragih Garingging</x:v>
      </x:c>
      <x:c r="C3025" s="16" t="str"/>
      <x:c r="D3025" s="16" t="str">
        <x:v>* myContacts</x:v>
      </x:c>
      <x:c r="E3025" s="16" t="str">
        <x:v>Missing email</x:v>
      </x:c>
    </x:row>
    <x:row r="3026">
      <x:c r="A3026" s="16" t="n">
        <x:v>3148</x:v>
      </x:c>
      <x:c r="B3026" s="16" t="str">
        <x:v>Heru Lotenk</x:v>
      </x:c>
      <x:c r="C3026" s="16" t="str"/>
      <x:c r="D3026" s="16" t="str">
        <x:v>* myContacts</x:v>
      </x:c>
      <x:c r="E3026" s="16" t="str">
        <x:v>Missing email</x:v>
      </x:c>
    </x:row>
    <x:row r="3027">
      <x:c r="A3027" s="16" t="n">
        <x:v>3149</x:v>
      </x:c>
      <x:c r="B3027" s="16" t="str">
        <x:v>Heze Zamri</x:v>
      </x:c>
      <x:c r="C3027" s="16" t="str"/>
      <x:c r="D3027" s="16" t="str">
        <x:v>* myContacts</x:v>
      </x:c>
      <x:c r="E3027" s="16" t="str">
        <x:v>Missing email</x:v>
      </x:c>
    </x:row>
    <x:row r="3028">
      <x:c r="A3028" s="16" t="n">
        <x:v>3150</x:v>
      </x:c>
      <x:c r="B3028" s="16" t="str">
        <x:v>Hiasan Dalaman Casa Anggun</x:v>
      </x:c>
      <x:c r="C3028" s="16" t="str"/>
      <x:c r="D3028" s="16" t="str">
        <x:v>* myContacts</x:v>
      </x:c>
      <x:c r="E3028" s="16" t="str">
        <x:v>Missing email</x:v>
      </x:c>
    </x:row>
    <x:row r="3029">
      <x:c r="A3029" s="16" t="n">
        <x:v>3151</x:v>
      </x:c>
      <x:c r="B3029" s="16" t="str">
        <x:v>Hidayah Hamdan</x:v>
      </x:c>
      <x:c r="C3029" s="16" t="str"/>
      <x:c r="D3029" s="16" t="str">
        <x:v>* myContacts</x:v>
      </x:c>
      <x:c r="E3029" s="16" t="str">
        <x:v>Missing email</x:v>
      </x:c>
    </x:row>
    <x:row r="3030">
      <x:c r="A3030" s="16" t="n">
        <x:v>3152</x:v>
      </x:c>
      <x:c r="B3030" s="16" t="str">
        <x:v>Hidayah Hassan</x:v>
      </x:c>
      <x:c r="C3030" s="16" t="str"/>
      <x:c r="D3030" s="16" t="str">
        <x:v>* myContacts</x:v>
      </x:c>
      <x:c r="E3030" s="16" t="str">
        <x:v>Missing email</x:v>
      </x:c>
    </x:row>
    <x:row r="3031">
      <x:c r="A3031" s="16" t="n">
        <x:v>3153</x:v>
      </x:c>
      <x:c r="B3031" s="16" t="str">
        <x:v>Hidayah PEDAS Tanjung Malim</x:v>
      </x:c>
      <x:c r="C3031" s="16" t="str"/>
      <x:c r="D3031" s="16" t="str">
        <x:v>* myContacts</x:v>
      </x:c>
      <x:c r="E3031" s="16" t="str">
        <x:v>Missing email</x:v>
      </x:c>
    </x:row>
    <x:row r="3032">
      <x:c r="A3032" s="16" t="n">
        <x:v>3154</x:v>
      </x:c>
      <x:c r="B3032" s="16" t="str">
        <x:v>Hidayah Zahirah</x:v>
      </x:c>
      <x:c r="C3032" s="16" t="str"/>
      <x:c r="D3032" s="16" t="str">
        <x:v>* myContacts</x:v>
      </x:c>
      <x:c r="E3032" s="16" t="str">
        <x:v>Missing email</x:v>
      </x:c>
    </x:row>
    <x:row r="3033">
      <x:c r="A3033" s="16" t="n">
        <x:v>3155</x:v>
      </x:c>
      <x:c r="B3033" s="16" t="str">
        <x:v>hidayat bapaku punya tv</x:v>
      </x:c>
      <x:c r="C3033" s="16" t="str"/>
      <x:c r="D3033" s="16" t="str">
        <x:v>* myContacts</x:v>
      </x:c>
      <x:c r="E3033" s="16" t="str">
        <x:v>Missing email</x:v>
      </x:c>
    </x:row>
    <x:row r="3034">
      <x:c r="A3034" s="16" t="n">
        <x:v>3156</x:v>
      </x:c>
      <x:c r="B3034" s="16" t="str">
        <x:v>Hidayat Coach</x:v>
      </x:c>
      <x:c r="C3034" s="16" t="str"/>
      <x:c r="D3034" s="16" t="str">
        <x:v>Trainer | * myContacts</x:v>
      </x:c>
      <x:c r="E3034" s="16" t="str">
        <x:v>Missing email</x:v>
      </x:c>
    </x:row>
    <x:row r="3035">
      <x:c r="A3035" s="16" t="n">
        <x:v>3157</x:v>
      </x:c>
      <x:c r="B3035" s="16" t="str">
        <x:v>Hidayat Yat</x:v>
      </x:c>
      <x:c r="C3035" s="16" t="str"/>
      <x:c r="D3035" s="16" t="str">
        <x:v>* myContacts</x:v>
      </x:c>
      <x:c r="E3035" s="16" t="str">
        <x:v>Missing email</x:v>
      </x:c>
    </x:row>
    <x:row r="3036">
      <x:c r="A3036" s="16" t="n">
        <x:v>3158</x:v>
      </x:c>
      <x:c r="B3036" s="16" t="str">
        <x:v>Hiery Ferdinan Sinaga</x:v>
      </x:c>
      <x:c r="C3036" s="16" t="str"/>
      <x:c r="D3036" s="16" t="str">
        <x:v>* myContacts</x:v>
      </x:c>
      <x:c r="E3036" s="16" t="str">
        <x:v>Missing email</x:v>
      </x:c>
    </x:row>
    <x:row r="3037">
      <x:c r="A3037" s="16" t="n">
        <x:v>3159</x:v>
      </x:c>
      <x:c r="B3037" s="16" t="str">
        <x:v>Hijab Yuqui Craft</x:v>
      </x:c>
      <x:c r="C3037" s="16" t="str"/>
      <x:c r="D3037" s="16" t="str">
        <x:v>* myContacts</x:v>
      </x:c>
      <x:c r="E3037" s="16" t="str">
        <x:v>Missing email</x:v>
      </x:c>
    </x:row>
    <x:row r="3038">
      <x:c r="A3038" s="16" t="n">
        <x:v>3160</x:v>
      </x:c>
      <x:c r="B3038" s="16" t="str">
        <x:v>Hijrah Fakri Wahidah Kuala Kubu Baru</x:v>
      </x:c>
      <x:c r="C3038" s="16" t="str"/>
      <x:c r="D3038" s="16" t="str">
        <x:v>Alumni eUsahawan | * myContacts</x:v>
      </x:c>
      <x:c r="E3038" s="16" t="str">
        <x:v>Missing email</x:v>
      </x:c>
    </x:row>
    <x:row r="3039">
      <x:c r="A3039" s="16" t="n">
        <x:v>3161</x:v>
      </x:c>
      <x:c r="B3039" s="16" t="str">
        <x:v>Hilman Iman</x:v>
      </x:c>
      <x:c r="C3039" s="16" t="str"/>
      <x:c r="D3039" s="16" t="str">
        <x:v>* myContacts</x:v>
      </x:c>
      <x:c r="E3039" s="16" t="str">
        <x:v>Missing email</x:v>
      </x:c>
    </x:row>
    <x:row r="3040">
      <x:c r="A3040" s="16" t="n">
        <x:v>3162</x:v>
      </x:c>
      <x:c r="B3040" s="16" t="str">
        <x:v>Hirfan Hairie</x:v>
      </x:c>
      <x:c r="C3040" s="16" t="str"/>
      <x:c r="D3040" s="16" t="str">
        <x:v>* myContacts</x:v>
      </x:c>
      <x:c r="E3040" s="16" t="str">
        <x:v>Missing email</x:v>
      </x:c>
    </x:row>
    <x:row r="3041">
      <x:c r="A3041" s="16" t="n">
        <x:v>3163</x:v>
      </x:c>
      <x:c r="B3041" s="16" t="str">
        <x:v>Hirma Abd Bala</x:v>
      </x:c>
      <x:c r="C3041" s="16" t="str"/>
      <x:c r="D3041" s="16" t="str">
        <x:v>* myContacts</x:v>
      </x:c>
      <x:c r="E3041" s="16" t="str">
        <x:v>Missing email</x:v>
      </x:c>
    </x:row>
    <x:row r="3042">
      <x:c r="A3042" s="16" t="n">
        <x:v>3164</x:v>
      </x:c>
      <x:c r="B3042" s="16" t="str">
        <x:v>Hirman Noah VideoMan</x:v>
      </x:c>
      <x:c r="C3042" s="16" t="str"/>
      <x:c r="D3042" s="16" t="str">
        <x:v>* myContacts</x:v>
      </x:c>
      <x:c r="E3042" s="16" t="str">
        <x:v>Missing email</x:v>
      </x:c>
    </x:row>
    <x:row r="3043">
      <x:c r="A3043" s="16" t="n">
        <x:v>3165</x:v>
      </x:c>
      <x:c r="B3043" s="16" t="str">
        <x:v>Hirman Razali Geng Ultra</x:v>
      </x:c>
      <x:c r="C3043" s="16" t="str"/>
      <x:c r="D3043" s="16" t="str">
        <x:v>* myContacts</x:v>
      </x:c>
      <x:c r="E3043" s="16" t="str">
        <x:v>Missing email</x:v>
      </x:c>
    </x:row>
    <x:row r="3044">
      <x:c r="A3044" s="16" t="n">
        <x:v>3166</x:v>
      </x:c>
      <x:c r="B3044" s="16" t="str">
        <x:v>Hirwan Halim</x:v>
      </x:c>
      <x:c r="C3044" s="16" t="str"/>
      <x:c r="D3044" s="16" t="str">
        <x:v>* myContacts</x:v>
      </x:c>
      <x:c r="E3044" s="16" t="str">
        <x:v>Missing email</x:v>
      </x:c>
    </x:row>
    <x:row r="3045">
      <x:c r="A3045" s="16" t="n">
        <x:v>3167</x:v>
      </x:c>
      <x:c r="B3045" s="16" t="str">
        <x:v>Hisham CWA</x:v>
      </x:c>
      <x:c r="C3045" s="16" t="str"/>
      <x:c r="D3045" s="16" t="str">
        <x:v>* myContacts</x:v>
      </x:c>
      <x:c r="E3045" s="16" t="str">
        <x:v>Missing email</x:v>
      </x:c>
    </x:row>
    <x:row r="3046">
      <x:c r="A3046" s="16" t="n">
        <x:v>3168</x:v>
      </x:c>
      <x:c r="B3046" s="16" t="str">
        <x:v>Hisham Daud</x:v>
      </x:c>
      <x:c r="C3046" s="16" t="str"/>
      <x:c r="D3046" s="16" t="str">
        <x:v>* myContacts</x:v>
      </x:c>
      <x:c r="E3046" s="16" t="str">
        <x:v>Missing email</x:v>
      </x:c>
    </x:row>
    <x:row r="3047">
      <x:c r="A3047" s="16" t="n">
        <x:v>3169</x:v>
      </x:c>
      <x:c r="B3047" s="16" t="str">
        <x:v>Hisham Fw1 wax kereta</x:v>
      </x:c>
      <x:c r="C3047" s="16" t="str"/>
      <x:c r="D3047" s="16" t="str">
        <x:v>* myContacts</x:v>
      </x:c>
      <x:c r="E3047" s="16" t="str">
        <x:v>Missing email</x:v>
      </x:c>
    </x:row>
    <x:row r="3048">
      <x:c r="A3048" s="16" t="n">
        <x:v>3170</x:v>
      </x:c>
      <x:c r="B3048" s="16" t="str">
        <x:v>Hisham Gerrard</x:v>
      </x:c>
      <x:c r="C3048" s="16" t="str"/>
      <x:c r="D3048" s="16" t="str">
        <x:v>* myContacts</x:v>
      </x:c>
      <x:c r="E3048" s="16" t="str">
        <x:v>Missing email</x:v>
      </x:c>
    </x:row>
    <x:row r="3049">
      <x:c r="A3049" s="16" t="n">
        <x:v>3171</x:v>
      </x:c>
      <x:c r="B3049" s="16" t="str">
        <x:v>Hisham Hamzah</x:v>
      </x:c>
      <x:c r="C3049" s="16" t="str"/>
      <x:c r="D3049" s="16" t="str">
        <x:v>* myContacts</x:v>
      </x:c>
      <x:c r="E3049" s="16" t="str">
        <x:v>Missing email</x:v>
      </x:c>
    </x:row>
    <x:row r="3050">
      <x:c r="A3050" s="16" t="n">
        <x:v>3172</x:v>
      </x:c>
      <x:c r="B3050" s="16" t="str">
        <x:v>Hisham Kdeb WM</x:v>
      </x:c>
      <x:c r="C3050" s="16" t="str"/>
      <x:c r="D3050" s="16" t="str">
        <x:v>* myContacts</x:v>
      </x:c>
      <x:c r="E3050" s="16" t="str">
        <x:v>Missing email</x:v>
      </x:c>
    </x:row>
    <x:row r="3051">
      <x:c r="A3051" s="16" t="n">
        <x:v>3173</x:v>
      </x:c>
      <x:c r="B3051" s="16" t="str">
        <x:v>hisham mdec trainer kuching</x:v>
      </x:c>
      <x:c r="C3051" s="16" t="str"/>
      <x:c r="D3051" s="16" t="str">
        <x:v>* myContacts</x:v>
      </x:c>
      <x:c r="E3051" s="16" t="str">
        <x:v>Missing email</x:v>
      </x:c>
    </x:row>
    <x:row r="3052">
      <x:c r="A3052" s="16" t="n">
        <x:v>3174</x:v>
      </x:c>
      <x:c r="B3052" s="16" t="str">
        <x:v>Hisham Upscale Trainer</x:v>
      </x:c>
      <x:c r="C3052" s="16" t="str"/>
      <x:c r="D3052" s="16" t="str">
        <x:v>Trainer | * myContacts</x:v>
      </x:c>
      <x:c r="E3052" s="16" t="str">
        <x:v>Missing email</x:v>
      </x:c>
    </x:row>
    <x:row r="3053">
      <x:c r="A3053" s="16" t="n">
        <x:v>3175</x:v>
      </x:c>
      <x:c r="B3053" s="16" t="str">
        <x:v>HISMAN</x:v>
      </x:c>
      <x:c r="C3053" s="16" t="str"/>
      <x:c r="D3053" s="16" t="str">
        <x:v>* myContacts</x:v>
      </x:c>
      <x:c r="E3053" s="16" t="str">
        <x:v>Missing email</x:v>
      </x:c>
    </x:row>
    <x:row r="3054">
      <x:c r="A3054" s="16" t="n">
        <x:v>3176</x:v>
      </x:c>
      <x:c r="B3054" s="16" t="str">
        <x:v>Hizatul Hassan</x:v>
      </x:c>
      <x:c r="C3054" s="16" t="str"/>
      <x:c r="D3054" s="16" t="str">
        <x:v>* myContacts</x:v>
      </x:c>
      <x:c r="E3054" s="16" t="str">
        <x:v>Missing email</x:v>
      </x:c>
    </x:row>
    <x:row r="3055">
      <x:c r="A3055" s="16" t="n">
        <x:v>3178</x:v>
      </x:c>
      <x:c r="B3055" s="16" t="str">
        <x:v>Hj Abdullah HG</x:v>
      </x:c>
      <x:c r="C3055" s="16" t="str"/>
      <x:c r="D3055" s="16" t="str">
        <x:v>* myContacts</x:v>
      </x:c>
      <x:c r="E3055" s="16" t="str">
        <x:v>Missing email</x:v>
      </x:c>
    </x:row>
    <x:row r="3056">
      <x:c r="A3056" s="16" t="n">
        <x:v>3179</x:v>
      </x:c>
      <x:c r="B3056" s="16" t="str">
        <x:v>Hj Badrul Jpph</x:v>
      </x:c>
      <x:c r="C3056" s="16" t="str"/>
      <x:c r="D3056" s="16" t="str">
        <x:v>* myContacts</x:v>
      </x:c>
      <x:c r="E3056" s="16" t="str">
        <x:v>Missing email</x:v>
      </x:c>
    </x:row>
    <x:row r="3057">
      <x:c r="A3057" s="16" t="n">
        <x:v>3180</x:v>
      </x:c>
      <x:c r="B3057" s="16" t="str">
        <x:v>HJ HAFIZZ JAZZ MDEC</x:v>
      </x:c>
      <x:c r="C3057" s="16" t="str"/>
      <x:c r="D3057" s="16" t="str">
        <x:v>* myContacts</x:v>
      </x:c>
      <x:c r="E3057" s="16" t="str">
        <x:v>Missing email</x:v>
      </x:c>
    </x:row>
    <x:row r="3058">
      <x:c r="A3058" s="16" t="n">
        <x:v>3181</x:v>
      </x:c>
      <x:c r="B3058" s="16" t="str">
        <x:v>HJ Isa Safa Marwa</x:v>
      </x:c>
      <x:c r="C3058" s="16" t="str"/>
      <x:c r="D3058" s="16" t="str">
        <x:v>* myContacts</x:v>
      </x:c>
      <x:c r="E3058" s="16" t="str">
        <x:v>Missing email</x:v>
      </x:c>
    </x:row>
    <x:row r="3059">
      <x:c r="A3059" s="16" t="n">
        <x:v>3182</x:v>
      </x:c>
      <x:c r="B3059" s="16" t="str">
        <x:v>hj kamaruzaman</x:v>
      </x:c>
      <x:c r="C3059" s="16" t="str"/>
      <x:c r="D3059" s="16" t="str">
        <x:v>* myContacts</x:v>
      </x:c>
      <x:c r="E3059" s="16" t="str">
        <x:v>Missing email</x:v>
      </x:c>
    </x:row>
    <x:row r="3060">
      <x:c r="A3060" s="16" t="n">
        <x:v>3183</x:v>
      </x:c>
      <x:c r="B3060" s="16" t="str">
        <x:v>hj mohd masajaya</x:v>
      </x:c>
      <x:c r="C3060" s="16" t="str"/>
      <x:c r="D3060" s="16" t="str">
        <x:v>* myContacts</x:v>
      </x:c>
      <x:c r="E3060" s="16" t="str">
        <x:v>Missing email</x:v>
      </x:c>
    </x:row>
    <x:row r="3061">
      <x:c r="A3061" s="16" t="n">
        <x:v>3184</x:v>
      </x:c>
      <x:c r="B3061" s="16" t="str">
        <x:v>HJ MUS COACH</x:v>
      </x:c>
      <x:c r="C3061" s="16" t="str"/>
      <x:c r="D3061" s="16" t="str">
        <x:v>Trainer | * myContacts</x:v>
      </x:c>
      <x:c r="E3061" s="16" t="str">
        <x:v>Missing email</x:v>
      </x:c>
    </x:row>
    <x:row r="3062">
      <x:c r="A3062" s="16" t="n">
        <x:v>3185</x:v>
      </x:c>
      <x:c r="B3062" s="16" t="str">
        <x:v>Hj Othman Mohd Bendahari Masjid</x:v>
      </x:c>
      <x:c r="C3062" s="16" t="str"/>
      <x:c r="D3062" s="16" t="str">
        <x:v>* myContacts</x:v>
      </x:c>
      <x:c r="E3062" s="16" t="str">
        <x:v>Missing email</x:v>
      </x:c>
    </x:row>
    <x:row r="3063">
      <x:c r="A3063" s="16" t="n">
        <x:v>3186</x:v>
      </x:c>
      <x:c r="B3063" s="16" t="str">
        <x:v>Hj shahrin</x:v>
      </x:c>
      <x:c r="C3063" s="16" t="str"/>
      <x:c r="D3063" s="16" t="str">
        <x:v>* myContacts</x:v>
      </x:c>
      <x:c r="E3063" s="16" t="str">
        <x:v>Missing email</x:v>
      </x:c>
    </x:row>
    <x:row r="3064">
      <x:c r="A3064" s="16" t="n">
        <x:v>3187</x:v>
      </x:c>
      <x:c r="B3064" s="16" t="str">
        <x:v>Hj Sifu Roslan Bekam</x:v>
      </x:c>
      <x:c r="C3064" s="16" t="str"/>
      <x:c r="D3064" s="16" t="str">
        <x:v>Trainer | * myContacts</x:v>
      </x:c>
      <x:c r="E3064" s="16" t="str">
        <x:v>Missing email</x:v>
      </x:c>
    </x:row>
    <x:row r="3065">
      <x:c r="A3065" s="16" t="n">
        <x:v>3188</x:v>
      </x:c>
      <x:c r="B3065" s="16" t="str">
        <x:v>Hj Sulaiman Bin Hassan AGP</x:v>
      </x:c>
      <x:c r="C3065" s="16" t="str"/>
      <x:c r="D3065" s="16" t="str">
        <x:v>* myContacts</x:v>
      </x:c>
      <x:c r="E3065" s="16" t="str">
        <x:v>Missing email</x:v>
      </x:c>
    </x:row>
    <x:row r="3066">
      <x:c r="A3066" s="16" t="n">
        <x:v>3189</x:v>
      </x:c>
      <x:c r="B3066" s="16" t="str">
        <x:v>Hj Zawal</x:v>
      </x:c>
      <x:c r="C3066" s="16" t="str"/>
      <x:c r="D3066" s="16" t="str">
        <x:v>* myContacts</x:v>
      </x:c>
      <x:c r="E3066" s="16" t="str">
        <x:v>Missing email</x:v>
      </x:c>
    </x:row>
    <x:row r="3067">
      <x:c r="A3067" s="16" t="n">
        <x:v>3190</x:v>
      </x:c>
      <x:c r="B3067" s="16" t="str">
        <x:v>Hja Zainab Hakim</x:v>
      </x:c>
      <x:c r="C3067" s="16" t="str"/>
      <x:c r="D3067" s="16" t="str">
        <x:v>* myContacts</x:v>
      </x:c>
      <x:c r="E3067" s="16" t="str">
        <x:v>Missing email</x:v>
      </x:c>
    </x:row>
    <x:row r="3068">
      <x:c r="A3068" s="16" t="n">
        <x:v>3191</x:v>
      </x:c>
      <x:c r="B3068" s="16" t="str">
        <x:v>Hock Guan Teoh</x:v>
      </x:c>
      <x:c r="C3068" s="16" t="str"/>
      <x:c r="D3068" s="16" t="str">
        <x:v>* myContacts</x:v>
      </x:c>
      <x:c r="E3068" s="16" t="str">
        <x:v>Missing email</x:v>
      </x:c>
    </x:row>
    <x:row r="3069">
      <x:c r="A3069" s="16" t="n">
        <x:v>3192</x:v>
      </x:c>
      <x:c r="B3069" s="16" t="str">
        <x:v>Homemate Hq</x:v>
      </x:c>
      <x:c r="C3069" s="16" t="str"/>
      <x:c r="D3069" s="16" t="str">
        <x:v>* myContacts</x:v>
      </x:c>
      <x:c r="E3069" s="16" t="str">
        <x:v>Missing email</x:v>
      </x:c>
    </x:row>
    <x:row r="3070">
      <x:c r="A3070" s="16" t="n">
        <x:v>3193</x:v>
      </x:c>
      <x:c r="B3070" s="16" t="str">
        <x:v>homestay ijok</x:v>
      </x:c>
      <x:c r="C3070" s="16" t="str"/>
      <x:c r="D3070" s="16" t="str">
        <x:v>* myContacts</x:v>
      </x:c>
      <x:c r="E3070" s="16" t="str">
        <x:v>Missing email</x:v>
      </x:c>
    </x:row>
    <x:row r="3071">
      <x:c r="A3071" s="16" t="n">
        <x:v>3194</x:v>
      </x:c>
      <x:c r="B3071" s="16" t="str">
        <x:v>HomestayAj Palace Pasir Mas</x:v>
      </x:c>
      <x:c r="C3071" s="16" t="str"/>
      <x:c r="D3071" s="16" t="str">
        <x:v>* myContacts</x:v>
      </x:c>
      <x:c r="E3071" s="16" t="str">
        <x:v>Missing email</x:v>
      </x:c>
    </x:row>
    <x:row r="3072">
      <x:c r="A3072" s="16" t="n">
        <x:v>3195</x:v>
      </x:c>
      <x:c r="B3072" s="16" t="str">
        <x:v>Hos Getah Hos Getah</x:v>
      </x:c>
      <x:c r="C3072" s="16" t="str"/>
      <x:c r="D3072" s="16" t="str">
        <x:v>* myContacts</x:v>
      </x:c>
      <x:c r="E3072" s="16" t="str">
        <x:v>Missing email</x:v>
      </x:c>
    </x:row>
    <x:row r="3073">
      <x:c r="A3073" s="16" t="n">
        <x:v>3196</x:v>
      </x:c>
      <x:c r="B3073" s="16" t="str">
        <x:v>Hotel Atlantis Customer Service</x:v>
      </x:c>
      <x:c r="C3073" s="16" t="str"/>
      <x:c r="D3073" s="16" t="str">
        <x:v>* myContacts</x:v>
      </x:c>
      <x:c r="E3073" s="16" t="str">
        <x:v>Missing email</x:v>
      </x:c>
    </x:row>
    <x:row r="3074">
      <x:c r="A3074" s="16" t="n">
        <x:v>3197</x:v>
      </x:c>
      <x:c r="B3074" s="16" t="str">
        <x:v>Hp Abg Rahimi Gombak Geng Solvy</x:v>
      </x:c>
      <x:c r="C3074" s="16" t="str"/>
      <x:c r="D3074" s="16" t="str">
        <x:v>* myContacts</x:v>
      </x:c>
      <x:c r="E3074" s="16" t="str">
        <x:v>Missing email</x:v>
      </x:c>
    </x:row>
    <x:row r="3075">
      <x:c r="A3075" s="16" t="n">
        <x:v>3198</x:v>
      </x:c>
      <x:c r="B3075" s="16" t="str">
        <x:v>HR Faiz Unisel</x:v>
      </x:c>
      <x:c r="C3075" s="16" t="str"/>
      <x:c r="D3075" s="16" t="str">
        <x:v>* myContacts</x:v>
      </x:c>
      <x:c r="E3075" s="16" t="str">
        <x:v>Missing email</x:v>
      </x:c>
    </x:row>
    <x:row r="3076">
      <x:c r="A3076" s="16" t="n">
        <x:v>3199</x:v>
      </x:c>
      <x:c r="B3076" s="16" t="str">
        <x:v>HR Qc Group Sdn Bhd</x:v>
      </x:c>
      <x:c r="C3076" s="16" t="str"/>
      <x:c r="D3076" s="16" t="str">
        <x:v>* myContacts</x:v>
      </x:c>
      <x:c r="E3076" s="16" t="str">
        <x:v>Missing email</x:v>
      </x:c>
    </x:row>
    <x:row r="3077">
      <x:c r="A3077" s="16" t="n">
        <x:v>3200</x:v>
      </x:c>
      <x:c r="B3077" s="16" t="str">
        <x:v>Hrdf Farah</x:v>
      </x:c>
      <x:c r="C3077" s="16" t="str"/>
      <x:c r="D3077" s="16" t="str">
        <x:v>* myContacts</x:v>
      </x:c>
      <x:c r="E3077" s="16" t="str">
        <x:v>Missing email</x:v>
      </x:c>
    </x:row>
    <x:row r="3078">
      <x:c r="A3078" s="16" t="n">
        <x:v>3201</x:v>
      </x:c>
      <x:c r="B3078" s="16" t="str">
        <x:v>HS Jamilah Srwk</x:v>
      </x:c>
      <x:c r="C3078" s="16" t="str"/>
      <x:c r="D3078" s="16" t="str">
        <x:v>* myContacts</x:v>
      </x:c>
      <x:c r="E3078" s="16" t="str">
        <x:v>Missing email</x:v>
      </x:c>
    </x:row>
    <x:row r="3079">
      <x:c r="A3079" s="16" t="n">
        <x:v>3202</x:v>
      </x:c>
      <x:c r="B3079" s="16" t="str">
        <x:v>Huari Classmate TI</x:v>
      </x:c>
      <x:c r="C3079" s="16" t="str"/>
      <x:c r="D3079" s="16" t="str">
        <x:v>* myContacts</x:v>
      </x:c>
      <x:c r="E3079" s="16" t="str">
        <x:v>Missing email</x:v>
      </x:c>
    </x:row>
    <x:row r="3080">
      <x:c r="A3080" s="16" t="n">
        <x:v>3203</x:v>
      </x:c>
      <x:c r="B3080" s="16" t="str">
        <x:v>Huda Binti Alias</x:v>
      </x:c>
      <x:c r="C3080" s="16" t="str"/>
      <x:c r="D3080" s="16" t="str">
        <x:v>* myContacts</x:v>
      </x:c>
      <x:c r="E3080" s="16" t="str">
        <x:v>Missing email</x:v>
      </x:c>
    </x:row>
    <x:row r="3081">
      <x:c r="A3081" s="16" t="n">
        <x:v>3204</x:v>
      </x:c>
      <x:c r="B3081" s="16" t="str">
        <x:v>Huda Said</x:v>
      </x:c>
      <x:c r="C3081" s="16" t="str"/>
      <x:c r="D3081" s="16" t="str">
        <x:v>* myContacts</x:v>
      </x:c>
      <x:c r="E3081" s="16" t="str">
        <x:v>Missing email</x:v>
      </x:c>
    </x:row>
    <x:row r="3082">
      <x:c r="A3082" s="16" t="n">
        <x:v>3205</x:v>
      </x:c>
      <x:c r="B3082" s="16" t="str">
        <x:v>Hufaidah Abu Samah</x:v>
      </x:c>
      <x:c r="C3082" s="16" t="str"/>
      <x:c r="D3082" s="16" t="str">
        <x:v>* myContacts</x:v>
      </x:c>
      <x:c r="E3082" s="16" t="str">
        <x:v>Missing email</x:v>
      </x:c>
    </x:row>
    <x:row r="3083">
      <x:c r="A3083" s="16" t="n">
        <x:v>3206</x:v>
      </x:c>
      <x:c r="B3083" s="16" t="str">
        <x:v>Husaini Hartanahperundingkewangan</x:v>
      </x:c>
      <x:c r="C3083" s="16" t="str"/>
      <x:c r="D3083" s="16" t="str">
        <x:v>* myContacts</x:v>
      </x:c>
      <x:c r="E3083" s="16" t="str">
        <x:v>Missing email</x:v>
      </x:c>
    </x:row>
    <x:row r="3084">
      <x:c r="A3084" s="16" t="n">
        <x:v>3207</x:v>
      </x:c>
      <x:c r="B3084" s="16" t="str">
        <x:v>Husainy</x:v>
      </x:c>
      <x:c r="C3084" s="16" t="str"/>
      <x:c r="D3084" s="16" t="str">
        <x:v>* myContacts</x:v>
      </x:c>
      <x:c r="E3084" s="16" t="str">
        <x:v>Missing email</x:v>
      </x:c>
    </x:row>
    <x:row r="3085">
      <x:c r="A3085" s="16" t="n">
        <x:v>3208</x:v>
      </x:c>
      <x:c r="B3085" s="16" t="str">
        <x:v>Husairi Bin Adam</x:v>
      </x:c>
      <x:c r="C3085" s="16" t="str"/>
      <x:c r="D3085" s="16" t="str">
        <x:v>* myContacts</x:v>
      </x:c>
      <x:c r="E3085" s="16" t="str">
        <x:v>Missing email</x:v>
      </x:c>
    </x:row>
    <x:row r="3086">
      <x:c r="A3086" s="16" t="n">
        <x:v>3209</x:v>
      </x:c>
      <x:c r="B3086" s="16" t="str">
        <x:v>Husband Sazli Che Pah</x:v>
      </x:c>
      <x:c r="C3086" s="16" t="str"/>
      <x:c r="D3086" s="16" t="str">
        <x:v>* myContacts</x:v>
      </x:c>
      <x:c r="E3086" s="16" t="str">
        <x:v>Missing email</x:v>
      </x:c>
    </x:row>
    <x:row r="3087">
      <x:c r="A3087" s="16" t="n">
        <x:v>3210</x:v>
      </x:c>
      <x:c r="B3087" s="16" t="str">
        <x:v>Husna Azizan</x:v>
      </x:c>
      <x:c r="C3087" s="16" t="str"/>
      <x:c r="D3087" s="16" t="str">
        <x:v>* myContacts</x:v>
      </x:c>
      <x:c r="E3087" s="16" t="str">
        <x:v>Missing email</x:v>
      </x:c>
    </x:row>
    <x:row r="3088">
      <x:c r="A3088" s="16" t="n">
        <x:v>3211</x:v>
      </x:c>
      <x:c r="B3088" s="16" t="str">
        <x:v>Husna Baju &amp; Serum Wowskin</x:v>
      </x:c>
      <x:c r="C3088" s="16" t="str"/>
      <x:c r="D3088" s="16" t="str">
        <x:v>* myContacts</x:v>
      </x:c>
      <x:c r="E3088" s="16" t="str">
        <x:v>Missing email</x:v>
      </x:c>
    </x:row>
    <x:row r="3089">
      <x:c r="A3089" s="16" t="n">
        <x:v>3213</x:v>
      </x:c>
      <x:c r="B3089" s="16" t="str">
        <x:v>Husna Lee</x:v>
      </x:c>
      <x:c r="C3089" s="16" t="str"/>
      <x:c r="D3089" s="16" t="str">
        <x:v>* myContacts</x:v>
      </x:c>
      <x:c r="E3089" s="16" t="str">
        <x:v>Missing email</x:v>
      </x:c>
    </x:row>
    <x:row r="3090">
      <x:c r="A3090" s="16" t="n">
        <x:v>3214</x:v>
      </x:c>
      <x:c r="B3090" s="16" t="str">
        <x:v>Husna Sabran</x:v>
      </x:c>
      <x:c r="C3090" s="16" t="str"/>
      <x:c r="D3090" s="16" t="str">
        <x:v>* myContacts</x:v>
      </x:c>
      <x:c r="E3090" s="16" t="str">
        <x:v>Missing email</x:v>
      </x:c>
    </x:row>
    <x:row r="3091">
      <x:c r="A3091" s="16" t="n">
        <x:v>3215</x:v>
      </x:c>
      <x:c r="B3091" s="16" t="str">
        <x:v>Husni Amran</x:v>
      </x:c>
      <x:c r="C3091" s="16" t="str"/>
      <x:c r="D3091" s="16" t="str">
        <x:v>* myContacts</x:v>
      </x:c>
      <x:c r="E3091" s="16" t="str">
        <x:v>Missing email</x:v>
      </x:c>
    </x:row>
    <x:row r="3092">
      <x:c r="A3092" s="16" t="n">
        <x:v>3216</x:v>
      </x:c>
      <x:c r="B3092" s="16" t="str">
        <x:v>Husni Etrade Avana</x:v>
      </x:c>
      <x:c r="C3092" s="16" t="str"/>
      <x:c r="D3092" s="16" t="str">
        <x:v>* myContacts</x:v>
      </x:c>
      <x:c r="E3092" s="16" t="str">
        <x:v>Missing email</x:v>
      </x:c>
    </x:row>
    <x:row r="3093">
      <x:c r="A3093" s="16" t="n">
        <x:v>3217</x:v>
      </x:c>
      <x:c r="B3093" s="16" t="str">
        <x:v>Husni Hamzah</x:v>
      </x:c>
      <x:c r="C3093" s="16" t="str"/>
      <x:c r="D3093" s="16" t="str">
        <x:v>* myContacts</x:v>
      </x:c>
      <x:c r="E3093" s="16" t="str">
        <x:v>Missing email</x:v>
      </x:c>
    </x:row>
    <x:row r="3094">
      <x:c r="A3094" s="16" t="n">
        <x:v>3218</x:v>
      </x:c>
      <x:c r="B3094" s="16" t="str">
        <x:v>Hussain Karim</x:v>
      </x:c>
      <x:c r="C3094" s="16" t="str"/>
      <x:c r="D3094" s="16" t="str">
        <x:v>* myContacts</x:v>
      </x:c>
      <x:c r="E3094" s="16" t="str">
        <x:v>Missing email</x:v>
      </x:c>
    </x:row>
    <x:row r="3095">
      <x:c r="A3095" s="16" t="n">
        <x:v>3219</x:v>
      </x:c>
      <x:c r="B3095" s="16" t="str">
        <x:v>Hussin Bin Ayub AGP</x:v>
      </x:c>
      <x:c r="C3095" s="16" t="str"/>
      <x:c r="D3095" s="16" t="str">
        <x:v>* myContacts</x:v>
      </x:c>
      <x:c r="E3095" s="16" t="str">
        <x:v>Missing email</x:v>
      </x:c>
    </x:row>
    <x:row r="3096">
      <x:c r="A3096" s="16" t="n">
        <x:v>3220</x:v>
      </x:c>
      <x:c r="B3096" s="16" t="str">
        <x:v>HuYuga HiNata</x:v>
      </x:c>
      <x:c r="C3096" s="16" t="str"/>
      <x:c r="D3096" s="16" t="str">
        <x:v>* myContacts</x:v>
      </x:c>
      <x:c r="E3096" s="16" t="str">
        <x:v>Missing email</x:v>
      </x:c>
    </x:row>
    <x:row r="3097">
      <x:c r="A3097" s="16" t="n">
        <x:v>3221</x:v>
      </x:c>
      <x:c r="B3097" s="16" t="str">
        <x:v>Huzaifah IM</x:v>
      </x:c>
      <x:c r="C3097" s="16" t="str"/>
      <x:c r="D3097" s="16" t="str">
        <x:v>* myContacts</x:v>
      </x:c>
      <x:c r="E3097" s="16" t="str">
        <x:v>Missing email</x:v>
      </x:c>
    </x:row>
    <x:row r="3098">
      <x:c r="A3098" s="16" t="n">
        <x:v>3222</x:v>
      </x:c>
      <x:c r="B3098" s="16" t="str">
        <x:v>Huzaimah Pptem</x:v>
      </x:c>
      <x:c r="C3098" s="16" t="str"/>
      <x:c r="D3098" s="16" t="str">
        <x:v>* myContacts</x:v>
      </x:c>
      <x:c r="E3098" s="16" t="str">
        <x:v>Missing email</x:v>
      </x:c>
    </x:row>
    <x:row r="3099">
      <x:c r="A3099" s="16" t="n">
        <x:v>3224</x:v>
      </x:c>
      <x:c r="B3099" s="16" t="str">
        <x:v>Huzefa Asaad</x:v>
      </x:c>
      <x:c r="C3099" s="16" t="str"/>
      <x:c r="D3099" s="16" t="str">
        <x:v>* myContacts</x:v>
      </x:c>
      <x:c r="E3099" s="16" t="str">
        <x:v>Missing email</x:v>
      </x:c>
    </x:row>
    <x:row r="3100">
      <x:c r="A3100" s="16" t="n">
        <x:v>3225</x:v>
      </x:c>
      <x:c r="B3100" s="16" t="str">
        <x:v>Hye Mand</x:v>
      </x:c>
      <x:c r="C3100" s="16" t="str"/>
      <x:c r="D3100" s="16" t="str">
        <x:v>* myContacts</x:v>
      </x:c>
      <x:c r="E3100" s="16" t="str">
        <x:v>Missing email</x:v>
      </x:c>
    </x:row>
    <x:row r="3101">
      <x:c r="A3101" s="16" t="n">
        <x:v>3226</x:v>
      </x:c>
      <x:c r="B3101" s="16" t="str">
        <x:v>I-den La</x:v>
      </x:c>
      <x:c r="C3101" s="16" t="str"/>
      <x:c r="D3101" s="16" t="str">
        <x:v>* myContacts</x:v>
      </x:c>
      <x:c r="E3101" s="16" t="str">
        <x:v>Missing email</x:v>
      </x:c>
    </x:row>
    <x:row r="3102">
      <x:c r="A3102" s="16" t="n">
        <x:v>3227</x:v>
      </x:c>
      <x:c r="B3102" s="16" t="str">
        <x:v>I'zue Nubli</x:v>
      </x:c>
      <x:c r="C3102" s="16" t="str"/>
      <x:c r="D3102" s="16" t="str">
        <x:v>* myContacts</x:v>
      </x:c>
      <x:c r="E3102" s="16" t="str">
        <x:v>Missing email</x:v>
      </x:c>
    </x:row>
    <x:row r="3103">
      <x:c r="A3103" s="16" t="n">
        <x:v>3228</x:v>
      </x:c>
      <x:c r="B3103" s="16" t="str">
        <x:v>Ibahriah Iba</x:v>
      </x:c>
      <x:c r="C3103" s="16" t="str"/>
      <x:c r="D3103" s="16" t="str">
        <x:v>* myContacts</x:v>
      </x:c>
      <x:c r="E3103" s="16" t="str">
        <x:v>Missing email</x:v>
      </x:c>
    </x:row>
    <x:row r="3104">
      <x:c r="A3104" s="16" t="n">
        <x:v>3229</x:v>
      </x:c>
      <x:c r="B3104" s="16" t="str">
        <x:v>ibat IM</x:v>
      </x:c>
      <x:c r="C3104" s="16" t="str"/>
      <x:c r="D3104" s="16" t="str">
        <x:v>* myContacts</x:v>
      </x:c>
      <x:c r="E3104" s="16" t="str">
        <x:v>Missing email</x:v>
      </x:c>
    </x:row>
    <x:row r="3105">
      <x:c r="A3105" s="16" t="n">
        <x:v>3230</x:v>
      </x:c>
      <x:c r="B3105" s="16" t="str">
        <x:v>IBawal Careline</x:v>
      </x:c>
      <x:c r="C3105" s="16" t="str"/>
      <x:c r="D3105" s="16" t="str">
        <x:v>* myContacts</x:v>
      </x:c>
      <x:c r="E3105" s="16" t="str">
        <x:v>Missing email</x:v>
      </x:c>
    </x:row>
    <x:row r="3106">
      <x:c r="A3106" s="16" t="n">
        <x:v>3231</x:v>
      </x:c>
      <x:c r="B3106" s="16" t="str">
        <x:v>Ibnu SiPutraaslii NaganRaya</x:v>
      </x:c>
      <x:c r="C3106" s="16" t="str"/>
      <x:c r="D3106" s="16" t="str">
        <x:v>* myContacts</x:v>
      </x:c>
      <x:c r="E3106" s="16" t="str">
        <x:v>Missing email</x:v>
      </x:c>
    </x:row>
    <x:row r="3107">
      <x:c r="A3107" s="16" t="n">
        <x:v>3232</x:v>
      </x:c>
      <x:c r="B3107" s="16" t="str">
        <x:v>Ibnu Zam</x:v>
      </x:c>
      <x:c r="C3107" s="16" t="str"/>
      <x:c r="D3107" s="16" t="str">
        <x:v>* myContacts</x:v>
      </x:c>
      <x:c r="E3107" s="16" t="str">
        <x:v>Missing email</x:v>
      </x:c>
    </x:row>
    <x:row r="3108">
      <x:c r="A3108" s="16" t="n">
        <x:v>3233</x:v>
      </x:c>
      <x:c r="B3108" s="16" t="str">
        <x:v>Ibrahim Abdul Jaleel AGP</x:v>
      </x:c>
      <x:c r="C3108" s="16" t="str"/>
      <x:c r="D3108" s="16" t="str">
        <x:v>* myContacts</x:v>
      </x:c>
      <x:c r="E3108" s="16" t="str">
        <x:v>Missing email</x:v>
      </x:c>
    </x:row>
    <x:row r="3109">
      <x:c r="A3109" s="16" t="n">
        <x:v>3234</x:v>
      </x:c>
      <x:c r="B3109" s="16" t="str">
        <x:v>Ibrahim Bin Ashri</x:v>
      </x:c>
      <x:c r="C3109" s="16" t="str"/>
      <x:c r="D3109" s="16" t="str">
        <x:v>* myContacts</x:v>
      </x:c>
      <x:c r="E3109" s="16" t="str">
        <x:v>Missing email</x:v>
      </x:c>
    </x:row>
    <x:row r="3110">
      <x:c r="A3110" s="16" t="n">
        <x:v>3235</x:v>
      </x:c>
      <x:c r="B3110" s="16" t="str">
        <x:v>Ibrahim Fatty Crab</x:v>
      </x:c>
      <x:c r="C3110" s="16" t="str"/>
      <x:c r="D3110" s="16" t="str">
        <x:v>* myContacts</x:v>
      </x:c>
      <x:c r="E3110" s="16" t="str">
        <x:v>Missing email</x:v>
      </x:c>
    </x:row>
    <x:row r="3111">
      <x:c r="A3111" s="16" t="n">
        <x:v>3236</x:v>
      </x:c>
      <x:c r="B3111" s="16" t="str">
        <x:v>Ibrahim Jalil AGP</x:v>
      </x:c>
      <x:c r="C3111" s="16" t="str"/>
      <x:c r="D3111" s="16" t="str">
        <x:v>* myContacts</x:v>
      </x:c>
      <x:c r="E3111" s="16" t="str">
        <x:v>Missing email</x:v>
      </x:c>
    </x:row>
    <x:row r="3112">
      <x:c r="A3112" s="16" t="n">
        <x:v>3237</x:v>
      </x:c>
      <x:c r="B3112" s="16" t="str">
        <x:v>Ibrahim Omar HG</x:v>
      </x:c>
      <x:c r="C3112" s="16" t="str"/>
      <x:c r="D3112" s="16" t="str">
        <x:v>* myContacts</x:v>
      </x:c>
      <x:c r="E3112" s="16" t="str">
        <x:v>Missing email</x:v>
      </x:c>
    </x:row>
    <x:row r="3113">
      <x:c r="A3113" s="16" t="n">
        <x:v>3238</x:v>
      </x:c>
      <x:c r="B3113" s="16" t="str">
        <x:v>Ibrahim Sales Funnel</x:v>
      </x:c>
      <x:c r="C3113" s="16" t="str"/>
      <x:c r="D3113" s="16" t="str">
        <x:v>* myContacts</x:v>
      </x:c>
      <x:c r="E3113" s="16" t="str">
        <x:v>Missing email</x:v>
      </x:c>
    </x:row>
    <x:row r="3114">
      <x:c r="A3114" s="16" t="n">
        <x:v>3239</x:v>
      </x:c>
      <x:c r="B3114" s="16" t="str">
        <x:v>Icha Algadry</x:v>
      </x:c>
      <x:c r="C3114" s="16" t="str"/>
      <x:c r="D3114" s="16" t="str">
        <x:v>* myContacts</x:v>
      </x:c>
      <x:c r="E3114" s="16" t="str">
        <x:v>Missing email</x:v>
      </x:c>
    </x:row>
    <x:row r="3115">
      <x:c r="A3115" s="16" t="n">
        <x:v>3240</x:v>
      </x:c>
      <x:c r="B3115" s="16" t="str">
        <x:v>Icha Edhy Slamax</x:v>
      </x:c>
      <x:c r="C3115" s="16" t="str"/>
      <x:c r="D3115" s="16" t="str">
        <x:v>* myContacts</x:v>
      </x:c>
      <x:c r="E3115" s="16" t="str">
        <x:v>Missing email</x:v>
      </x:c>
    </x:row>
    <x:row r="3116">
      <x:c r="A3116" s="16" t="n">
        <x:v>3241</x:v>
      </x:c>
      <x:c r="B3116" s="16" t="str">
        <x:v>Icha Handayani</x:v>
      </x:c>
      <x:c r="C3116" s="16" t="str"/>
      <x:c r="D3116" s="16" t="str">
        <x:v>* myContacts</x:v>
      </x:c>
      <x:c r="E3116" s="16" t="str">
        <x:v>Missing email</x:v>
      </x:c>
    </x:row>
    <x:row r="3117">
      <x:c r="A3117" s="16" t="n">
        <x:v>3242</x:v>
      </x:c>
      <x:c r="B3117" s="16" t="str">
        <x:v>Icha Tone Plus</x:v>
      </x:c>
      <x:c r="C3117" s="16" t="str"/>
      <x:c r="D3117" s="16" t="str">
        <x:v>* myContacts</x:v>
      </x:c>
      <x:c r="E3117" s="16" t="str">
        <x:v>Missing email</x:v>
      </x:c>
    </x:row>
    <x:row r="3118">
      <x:c r="A3118" s="16" t="n">
        <x:v>3243</x:v>
      </x:c>
      <x:c r="B3118" s="16" t="str">
        <x:v>Iclear Penawar Mata Anda</x:v>
      </x:c>
      <x:c r="C3118" s="16" t="str"/>
      <x:c r="D3118" s="16" t="str">
        <x:v>* myContacts</x:v>
      </x:c>
      <x:c r="E3118" s="16" t="str">
        <x:v>Missing email</x:v>
      </x:c>
    </x:row>
    <x:row r="3119">
      <x:c r="A3119" s="16" t="n">
        <x:v>3244</x:v>
      </x:c>
      <x:c r="B3119" s="16" t="str">
        <x:v>Ida Norizad</x:v>
      </x:c>
      <x:c r="C3119" s="16" t="str"/>
      <x:c r="D3119" s="16" t="str">
        <x:v>* myContacts</x:v>
      </x:c>
      <x:c r="E3119" s="16" t="str">
        <x:v>Missing email</x:v>
      </x:c>
    </x:row>
    <x:row r="3120">
      <x:c r="A3120" s="16" t="n">
        <x:v>3245</x:v>
      </x:c>
      <x:c r="B3120" s="16" t="str">
        <x:v>Ida Umbai</x:v>
      </x:c>
      <x:c r="C3120" s="16" t="str"/>
      <x:c r="D3120" s="16" t="str">
        <x:v>* myContacts</x:v>
      </x:c>
      <x:c r="E3120" s="16" t="str">
        <x:v>Missing email</x:v>
      </x:c>
    </x:row>
    <x:row r="3121">
      <x:c r="A3121" s="16" t="n">
        <x:v>3246</x:v>
      </x:c>
      <x:c r="B3121" s="16" t="str">
        <x:v>Ida Uyop</x:v>
      </x:c>
      <x:c r="C3121" s="16" t="str"/>
      <x:c r="D3121" s="16" t="str">
        <x:v>* myContacts</x:v>
      </x:c>
      <x:c r="E3121" s="16" t="str">
        <x:v>Missing email</x:v>
      </x:c>
    </x:row>
    <x:row r="3122">
      <x:c r="A3122" s="16" t="n">
        <x:v>3247</x:v>
      </x:c>
      <x:c r="B3122" s="16" t="str">
        <x:v>Ida Zainal</x:v>
      </x:c>
      <x:c r="C3122" s="16" t="str"/>
      <x:c r="D3122" s="16" t="str">
        <x:v>* myContacts</x:v>
      </x:c>
      <x:c r="E3122" s="16" t="str">
        <x:v>Missing email</x:v>
      </x:c>
    </x:row>
    <x:row r="3123">
      <x:c r="A3123" s="16" t="n">
        <x:v>3248</x:v>
      </x:c>
      <x:c r="B3123" s="16" t="str">
        <x:v>Idan Shahir</x:v>
      </x:c>
      <x:c r="C3123" s="16" t="str"/>
      <x:c r="D3123" s="16" t="str">
        <x:v>* myContacts</x:v>
      </x:c>
      <x:c r="E3123" s="16" t="str">
        <x:v>Missing email</x:v>
      </x:c>
    </x:row>
    <x:row r="3124">
      <x:c r="A3124" s="16" t="n">
        <x:v>3249</x:v>
      </x:c>
      <x:c r="B3124" s="16" t="str">
        <x:v>IdawatyDaud AspaSiri</x:v>
      </x:c>
      <x:c r="C3124" s="16" t="str"/>
      <x:c r="D3124" s="16" t="str">
        <x:v>* myContacts</x:v>
      </x:c>
      <x:c r="E3124" s="16" t="str">
        <x:v>Missing email</x:v>
      </x:c>
    </x:row>
    <x:row r="3125">
      <x:c r="A3125" s="16" t="n">
        <x:v>3250</x:v>
      </x:c>
      <x:c r="B3125" s="16" t="str">
        <x:v>Idayu Latiff</x:v>
      </x:c>
      <x:c r="C3125" s="16" t="str"/>
      <x:c r="D3125" s="16" t="str">
        <x:v>* myContacts</x:v>
      </x:c>
      <x:c r="E3125" s="16" t="str">
        <x:v>Missing email</x:v>
      </x:c>
    </x:row>
    <x:row r="3126">
      <x:c r="A3126" s="16" t="n">
        <x:v>3251</x:v>
      </x:c>
      <x:c r="B3126" s="16" t="str">
        <x:v>Idham Bin Mohamad</x:v>
      </x:c>
      <x:c r="C3126" s="16" t="str"/>
      <x:c r="D3126" s="16" t="str">
        <x:v>* myContacts</x:v>
      </x:c>
      <x:c r="E3126" s="16" t="str">
        <x:v>Missing email</x:v>
      </x:c>
    </x:row>
    <x:row r="3127">
      <x:c r="A3127" s="16" t="n">
        <x:v>3252</x:v>
      </x:c>
      <x:c r="B3127" s="16" t="str">
        <x:v>Idham Distributor Johor</x:v>
      </x:c>
      <x:c r="C3127" s="16" t="str"/>
      <x:c r="D3127" s="16" t="str">
        <x:v>* myContacts</x:v>
      </x:c>
      <x:c r="E3127" s="16" t="str">
        <x:v>Missing email</x:v>
      </x:c>
    </x:row>
    <x:row r="3128">
      <x:c r="A3128" s="16" t="n">
        <x:v>3253</x:v>
      </x:c>
      <x:c r="B3128" s="16" t="str">
        <x:v>Idham Zahimi</x:v>
      </x:c>
      <x:c r="C3128" s="16" t="str"/>
      <x:c r="D3128" s="16" t="str">
        <x:v>* myContacts</x:v>
      </x:c>
      <x:c r="E3128" s="16" t="str">
        <x:v>Missing email</x:v>
      </x:c>
    </x:row>
    <x:row r="3129">
      <x:c r="A3129" s="16" t="n">
        <x:v>3254</x:v>
      </x:c>
      <x:c r="B3129" s="16" t="str">
        <x:v>Idora Qatrunnada</x:v>
      </x:c>
      <x:c r="C3129" s="16" t="str"/>
      <x:c r="D3129" s="16" t="str">
        <x:v>* myContacts</x:v>
      </x:c>
      <x:c r="E3129" s="16" t="str">
        <x:v>Missing email</x:v>
      </x:c>
    </x:row>
    <x:row r="3130">
      <x:c r="A3130" s="16" t="n">
        <x:v>3255</x:v>
      </x:c>
      <x:c r="B3130" s="16" t="str">
        <x:v>Idris Ishak Aris</x:v>
      </x:c>
      <x:c r="C3130" s="16" t="str"/>
      <x:c r="D3130" s="16" t="str">
        <x:v>* myContacts</x:v>
      </x:c>
      <x:c r="E3130" s="16" t="str">
        <x:v>Missing email</x:v>
      </x:c>
    </x:row>
    <x:row r="3131">
      <x:c r="A3131" s="16" t="n">
        <x:v>3256</x:v>
      </x:c>
      <x:c r="B3131" s="16" t="str">
        <x:v>Idris Saidon</x:v>
      </x:c>
      <x:c r="C3131" s="16" t="str"/>
      <x:c r="D3131" s="16" t="str">
        <x:v>* myContacts</x:v>
      </x:c>
      <x:c r="E3131" s="16" t="str">
        <x:v>Missing email</x:v>
      </x:c>
    </x:row>
    <x:row r="3132">
      <x:c r="A3132" s="16" t="n">
        <x:v>3257</x:v>
      </x:c>
      <x:c r="B3132" s="16" t="str">
        <x:v>Idzma Sharif</x:v>
      </x:c>
      <x:c r="C3132" s="16" t="str"/>
      <x:c r="D3132" s="16" t="str">
        <x:v>* myContacts</x:v>
      </x:c>
      <x:c r="E3132" s="16" t="str">
        <x:v>Missing email</x:v>
      </x:c>
    </x:row>
    <x:row r="3133">
      <x:c r="A3133" s="16" t="n">
        <x:v>3258</x:v>
      </x:c>
      <x:c r="B3133" s="16" t="str">
        <x:v>Ieda Ariana</x:v>
      </x:c>
      <x:c r="C3133" s="16" t="str"/>
      <x:c r="D3133" s="16" t="str">
        <x:v>* myContacts</x:v>
      </x:c>
      <x:c r="E3133" s="16" t="str">
        <x:v>Missing email</x:v>
      </x:c>
    </x:row>
    <x:row r="3134">
      <x:c r="A3134" s="16" t="n">
        <x:v>3259</x:v>
      </x:c>
      <x:c r="B3134" s="16" t="str">
        <x:v>Ieda Kieyda</x:v>
      </x:c>
      <x:c r="C3134" s="16" t="str"/>
      <x:c r="D3134" s="16" t="str">
        <x:v>* myContacts</x:v>
      </x:c>
      <x:c r="E3134" s="16" t="str">
        <x:v>Missing email</x:v>
      </x:c>
    </x:row>
    <x:row r="3135">
      <x:c r="A3135" s="16" t="n">
        <x:v>3260</x:v>
      </x:c>
      <x:c r="B3135" s="16" t="str">
        <x:v>Ieda Watie</x:v>
      </x:c>
      <x:c r="C3135" s="16" t="str"/>
      <x:c r="D3135" s="16" t="str">
        <x:v>* myContacts</x:v>
      </x:c>
      <x:c r="E3135" s="16" t="str">
        <x:v>Missing email</x:v>
      </x:c>
    </x:row>
    <x:row r="3136">
      <x:c r="A3136" s="16" t="n">
        <x:v>3261</x:v>
      </x:c>
      <x:c r="B3136" s="16" t="str">
        <x:v>Iela Saziela</x:v>
      </x:c>
      <x:c r="C3136" s="16" t="str"/>
      <x:c r="D3136" s="16" t="str">
        <x:v>* myContacts</x:v>
      </x:c>
      <x:c r="E3136" s="16" t="str">
        <x:v>Missing email</x:v>
      </x:c>
    </x:row>
    <x:row r="3137">
      <x:c r="A3137" s="16" t="n">
        <x:v>3262</x:v>
      </x:c>
      <x:c r="B3137" s="16" t="str">
        <x:v>Iera Fathihah</x:v>
      </x:c>
      <x:c r="C3137" s="16" t="str"/>
      <x:c r="D3137" s="16" t="str">
        <x:v>* myContacts</x:v>
      </x:c>
      <x:c r="E3137" s="16" t="str">
        <x:v>Missing email</x:v>
      </x:c>
    </x:row>
    <x:row r="3138">
      <x:c r="A3138" s="16" t="n">
        <x:v>3263</x:v>
      </x:c>
      <x:c r="B3138" s="16" t="str">
        <x:v>Iera KK Kok Lanas</x:v>
      </x:c>
      <x:c r="C3138" s="16" t="str"/>
      <x:c r="D3138" s="16" t="str">
        <x:v>* myContacts</x:v>
      </x:c>
      <x:c r="E3138" s="16" t="str">
        <x:v>Missing email</x:v>
      </x:c>
    </x:row>
    <x:row r="3139">
      <x:c r="A3139" s="16" t="n">
        <x:v>3264</x:v>
      </x:c>
      <x:c r="B3139" s="16" t="str">
        <x:v>IeRah Lisha</x:v>
      </x:c>
      <x:c r="C3139" s="16" t="str"/>
      <x:c r="D3139" s="16" t="str">
        <x:v>* myContacts</x:v>
      </x:c>
      <x:c r="E3139" s="16" t="str">
        <x:v>Missing email</x:v>
      </x:c>
    </x:row>
    <x:row r="3140">
      <x:c r="A3140" s="16" t="n">
        <x:v>3265</x:v>
      </x:c>
      <x:c r="B3140" s="16" t="str">
        <x:v>Iexpress Dpulze Printing Cyberjaya</x:v>
      </x:c>
      <x:c r="C3140" s="16" t="str"/>
      <x:c r="D3140" s="16" t="str">
        <x:v>* myContacts</x:v>
      </x:c>
      <x:c r="E3140" s="16" t="str">
        <x:v>Missing email</x:v>
      </x:c>
    </x:row>
    <x:row r="3141">
      <x:c r="A3141" s="16" t="n">
        <x:v>3266</x:v>
      </x:c>
      <x:c r="B3141" s="16" t="str">
        <x:v>Ieyfa Abdullah</x:v>
      </x:c>
      <x:c r="C3141" s="16" t="str"/>
      <x:c r="D3141" s="16" t="str">
        <x:v>* myContacts</x:v>
      </x:c>
      <x:c r="E3141" s="16" t="str">
        <x:v>Missing email</x:v>
      </x:c>
    </x:row>
    <x:row r="3142">
      <x:c r="A3142" s="16" t="n">
        <x:v>3267</x:v>
      </x:c>
      <x:c r="B3142" s="16" t="str">
        <x:v>Ieyla De'image</x:v>
      </x:c>
      <x:c r="C3142" s="16" t="str"/>
      <x:c r="D3142" s="16" t="str">
        <x:v>* myContacts</x:v>
      </x:c>
      <x:c r="E3142" s="16" t="str">
        <x:v>Missing email</x:v>
      </x:c>
    </x:row>
    <x:row r="3143">
      <x:c r="A3143" s="16" t="n">
        <x:v>3268</x:v>
      </x:c>
      <x:c r="B3143" s="16" t="str">
        <x:v>Ieynah Akma</x:v>
      </x:c>
      <x:c r="C3143" s="16" t="str"/>
      <x:c r="D3143" s="16" t="str">
        <x:v>* myContacts</x:v>
      </x:c>
      <x:c r="E3143" s="16" t="str">
        <x:v>Missing email</x:v>
      </x:c>
    </x:row>
    <x:row r="3144">
      <x:c r="A3144" s="16" t="n">
        <x:v>3269</x:v>
      </x:c>
      <x:c r="B3144" s="16" t="str">
        <x:v>iffat sallleh mailevo</x:v>
      </x:c>
      <x:c r="C3144" s="16" t="str"/>
      <x:c r="D3144" s="16" t="str">
        <x:v>* myContacts</x:v>
      </x:c>
      <x:c r="E3144" s="16" t="str">
        <x:v>Missing email</x:v>
      </x:c>
    </x:row>
    <x:row r="3145">
      <x:c r="A3145" s="16" t="n">
        <x:v>3270</x:v>
      </x:c>
      <x:c r="B3145" s="16" t="str">
        <x:v>Igb - Muhyiddin Drivers Student Eusahawan</x:v>
      </x:c>
      <x:c r="C3145" s="16" t="str"/>
      <x:c r="D3145" s="16" t="str">
        <x:v>Alumni eUsahawan | * myContacts</x:v>
      </x:c>
      <x:c r="E3145" s="16" t="str">
        <x:v>Missing email</x:v>
      </x:c>
    </x:row>
    <x:row r="3146">
      <x:c r="A3146" s="16" t="n">
        <x:v>3271</x:v>
      </x:c>
      <x:c r="B3146" s="16" t="str">
        <x:v>ihsan Prudential</x:v>
      </x:c>
      <x:c r="C3146" s="16" t="str"/>
      <x:c r="D3146" s="16" t="str">
        <x:v>* myContacts</x:v>
      </x:c>
      <x:c r="E3146" s="16" t="str">
        <x:v>Missing email</x:v>
      </x:c>
    </x:row>
    <x:row r="3147">
      <x:c r="A3147" s="16" t="n">
        <x:v>3272</x:v>
      </x:c>
      <x:c r="B3147" s="16" t="str">
        <x:v>Iis Hariyani</x:v>
      </x:c>
      <x:c r="C3147" s="16" t="str"/>
      <x:c r="D3147" s="16" t="str">
        <x:v>* myContacts</x:v>
      </x:c>
      <x:c r="E3147" s="16" t="str">
        <x:v>Missing email</x:v>
      </x:c>
    </x:row>
    <x:row r="3148">
      <x:c r="A3148" s="16" t="n">
        <x:v>3273</x:v>
      </x:c>
      <x:c r="B3148" s="16" t="str">
        <x:v>Ijad Onexox</x:v>
      </x:c>
      <x:c r="C3148" s="16" t="str"/>
      <x:c r="D3148" s="16" t="str">
        <x:v>* myContacts</x:v>
      </x:c>
      <x:c r="E3148" s="16" t="str">
        <x:v>Missing email</x:v>
      </x:c>
    </x:row>
    <x:row r="3149">
      <x:c r="A3149" s="16" t="n">
        <x:v>3274</x:v>
      </x:c>
      <x:c r="B3149" s="16" t="str">
        <x:v>Ijam Bonet</x:v>
      </x:c>
      <x:c r="C3149" s="16" t="str"/>
      <x:c r="D3149" s="16" t="str">
        <x:v>* myContacts</x:v>
      </x:c>
      <x:c r="E3149" s="16" t="str">
        <x:v>Missing email</x:v>
      </x:c>
    </x:row>
    <x:row r="3150">
      <x:c r="A3150" s="16" t="n">
        <x:v>3275</x:v>
      </x:c>
      <x:c r="B3150" s="16" t="str">
        <x:v>Ijan -LEC -Designer</x:v>
      </x:c>
      <x:c r="C3150" s="16" t="str"/>
      <x:c r="D3150" s="16" t="str">
        <x:v>* myContacts</x:v>
      </x:c>
      <x:c r="E3150" s="16" t="str">
        <x:v>Missing email</x:v>
      </x:c>
    </x:row>
    <x:row r="3151">
      <x:c r="A3151" s="16" t="n">
        <x:v>3276</x:v>
      </x:c>
      <x:c r="B3151" s="16" t="str">
        <x:v>Ijat Sabri</x:v>
      </x:c>
      <x:c r="C3151" s="16" t="str"/>
      <x:c r="D3151" s="16" t="str">
        <x:v>* myContacts</x:v>
      </x:c>
      <x:c r="E3151" s="16" t="str">
        <x:v>Missing email</x:v>
      </x:c>
    </x:row>
    <x:row r="3152">
      <x:c r="A3152" s="16" t="n">
        <x:v>3277</x:v>
      </x:c>
      <x:c r="B3152" s="16" t="str">
        <x:v>Ijat Telekom Technician</x:v>
      </x:c>
      <x:c r="C3152" s="16" t="str"/>
      <x:c r="D3152" s="16" t="str">
        <x:v>* myContacts</x:v>
      </x:c>
      <x:c r="E3152" s="16" t="str">
        <x:v>Missing email</x:v>
      </x:c>
    </x:row>
    <x:row r="3153">
      <x:c r="A3153" s="16" t="n">
        <x:v>3278</x:v>
      </x:c>
      <x:c r="B3153" s="16" t="str">
        <x:v>Ika Amira</x:v>
      </x:c>
      <x:c r="C3153" s="16" t="str"/>
      <x:c r="D3153" s="16" t="str">
        <x:v>* myContacts</x:v>
      </x:c>
      <x:c r="E3153" s="16" t="str">
        <x:v>Missing email</x:v>
      </x:c>
    </x:row>
    <x:row r="3154">
      <x:c r="A3154" s="16" t="n">
        <x:v>3279</x:v>
      </x:c>
      <x:c r="B3154" s="16" t="str">
        <x:v>Ika Care Leader</x:v>
      </x:c>
      <x:c r="C3154" s="16" t="str"/>
      <x:c r="D3154" s="16" t="str">
        <x:v>* myContacts</x:v>
      </x:c>
      <x:c r="E3154" s="16" t="str">
        <x:v>Missing email</x:v>
      </x:c>
    </x:row>
    <x:row r="3155">
      <x:c r="A3155" s="16" t="n">
        <x:v>3280</x:v>
      </x:c>
      <x:c r="B3155" s="16" t="str">
        <x:v>ika mdec</x:v>
      </x:c>
      <x:c r="C3155" s="16" t="str"/>
      <x:c r="D3155" s="16" t="str">
        <x:v>* myContacts</x:v>
      </x:c>
      <x:c r="E3155" s="16" t="str">
        <x:v>Missing email</x:v>
      </x:c>
    </x:row>
    <x:row r="3156">
      <x:c r="A3156" s="16" t="n">
        <x:v>3281</x:v>
      </x:c>
      <x:c r="B3156" s="16" t="str">
        <x:v>Ika Zaim</x:v>
      </x:c>
      <x:c r="C3156" s="16" t="str"/>
      <x:c r="D3156" s="16" t="str">
        <x:v>* myContacts</x:v>
      </x:c>
      <x:c r="E3156" s="16" t="str">
        <x:v>Missing email</x:v>
      </x:c>
    </x:row>
    <x:row r="3157">
      <x:c r="A3157" s="16" t="n">
        <x:v>3282</x:v>
      </x:c>
      <x:c r="B3157" s="16" t="str">
        <x:v>Ikha Henna Artist</x:v>
      </x:c>
      <x:c r="C3157" s="16" t="str"/>
      <x:c r="D3157" s="16" t="str">
        <x:v>* myContacts</x:v>
      </x:c>
      <x:c r="E3157" s="16" t="str">
        <x:v>Missing email</x:v>
      </x:c>
    </x:row>
    <x:row r="3158">
      <x:c r="A3158" s="16" t="n">
        <x:v>3283</x:v>
      </x:c>
      <x:c r="B3158" s="16" t="str">
        <x:v>Ikhsan Jemain</x:v>
      </x:c>
      <x:c r="C3158" s="16" t="str"/>
      <x:c r="D3158" s="16" t="str">
        <x:v>* myContacts</x:v>
      </x:c>
      <x:c r="E3158" s="16" t="str">
        <x:v>Missing email</x:v>
      </x:c>
    </x:row>
    <x:row r="3159">
      <x:c r="A3159" s="16" t="n">
        <x:v>3284</x:v>
      </x:c>
      <x:c r="B3159" s="16" t="str">
        <x:v>Ikhtiar Tmim</x:v>
      </x:c>
      <x:c r="C3159" s="16" t="str"/>
      <x:c r="D3159" s="16" t="str">
        <x:v>* myContacts</x:v>
      </x:c>
      <x:c r="E3159" s="16" t="str">
        <x:v>Missing email</x:v>
      </x:c>
    </x:row>
    <x:row r="3160">
      <x:c r="A3160" s="16" t="n">
        <x:v>3285</x:v>
      </x:c>
      <x:c r="B3160" s="16" t="str">
        <x:v>Ikhwan Azif</x:v>
      </x:c>
      <x:c r="C3160" s="16" t="str"/>
      <x:c r="D3160" s="16" t="str">
        <x:v>* myContacts</x:v>
      </x:c>
      <x:c r="E3160" s="16" t="str">
        <x:v>Missing email</x:v>
      </x:c>
    </x:row>
    <x:row r="3161">
      <x:c r="A3161" s="16" t="n">
        <x:v>3286</x:v>
      </x:c>
      <x:c r="B3161" s="16" t="str">
        <x:v>Ikhwan Iwan</x:v>
      </x:c>
      <x:c r="C3161" s="16" t="str"/>
      <x:c r="D3161" s="16" t="str">
        <x:v>* myContacts</x:v>
      </x:c>
      <x:c r="E3161" s="16" t="str">
        <x:v>Missing email</x:v>
      </x:c>
    </x:row>
    <x:row r="3162">
      <x:c r="A3162" s="16" t="n">
        <x:v>3287</x:v>
      </x:c>
      <x:c r="B3162" s="16" t="str">
        <x:v>Ikhwan Utm</x:v>
      </x:c>
      <x:c r="C3162" s="16" t="str"/>
      <x:c r="D3162" s="16" t="str">
        <x:v>* myContacts</x:v>
      </x:c>
      <x:c r="E3162" s="16" t="str">
        <x:v>Missing email</x:v>
      </x:c>
    </x:row>
    <x:row r="3163">
      <x:c r="A3163" s="16" t="n">
        <x:v>3288</x:v>
      </x:c>
      <x:c r="B3163" s="16" t="str">
        <x:v>Iklan Adwords</x:v>
      </x:c>
      <x:c r="C3163" s="16" t="str"/>
      <x:c r="D3163" s="16" t="str">
        <x:v>* myContacts</x:v>
      </x:c>
      <x:c r="E3163" s="16" t="str">
        <x:v>Missing email</x:v>
      </x:c>
    </x:row>
    <x:row r="3164">
      <x:c r="A3164" s="16" t="n">
        <x:v>3289</x:v>
      </x:c>
      <x:c r="B3164" s="16" t="str">
        <x:v>Ikmal Hisyam</x:v>
      </x:c>
      <x:c r="C3164" s="16" t="str"/>
      <x:c r="D3164" s="16" t="str">
        <x:v>* myContacts</x:v>
      </x:c>
      <x:c r="E3164" s="16" t="str">
        <x:v>Missing email</x:v>
      </x:c>
    </x:row>
    <x:row r="3165">
      <x:c r="A3165" s="16" t="n">
        <x:v>3290</x:v>
      </x:c>
      <x:c r="B3165" s="16" t="str">
        <x:v>Ikmal Kreatif Malaya</x:v>
      </x:c>
      <x:c r="C3165" s="16" t="str"/>
      <x:c r="D3165" s="16" t="str">
        <x:v>* myContacts</x:v>
      </x:c>
      <x:c r="E3165" s="16" t="str">
        <x:v>Missing email</x:v>
      </x:c>
    </x:row>
    <x:row r="3166">
      <x:c r="A3166" s="16" t="n">
        <x:v>3291</x:v>
      </x:c>
      <x:c r="B3166" s="16" t="str">
        <x:v>Ikram Computer Expert</x:v>
      </x:c>
      <x:c r="C3166" s="16" t="str"/>
      <x:c r="D3166" s="16" t="str">
        <x:v>* myContacts</x:v>
      </x:c>
      <x:c r="E3166" s="16" t="str">
        <x:v>Missing email</x:v>
      </x:c>
    </x:row>
    <x:row r="3167">
      <x:c r="A3167" s="16" t="n">
        <x:v>3292</x:v>
      </x:c>
      <x:c r="B3167" s="16" t="str">
        <x:v>Ikram Ishak</x:v>
      </x:c>
      <x:c r="C3167" s="16" t="str"/>
      <x:c r="D3167" s="16" t="str">
        <x:v>* myContacts</x:v>
      </x:c>
      <x:c r="E3167" s="16" t="str">
        <x:v>Missing email</x:v>
      </x:c>
    </x:row>
    <x:row r="3168">
      <x:c r="A3168" s="16" t="n">
        <x:v>3293</x:v>
      </x:c>
      <x:c r="B3168" s="16" t="str">
        <x:v>Ikram Kecik Dina</x:v>
      </x:c>
      <x:c r="C3168" s="16" t="str"/>
      <x:c r="D3168" s="16" t="str">
        <x:v>* myContacts</x:v>
      </x:c>
      <x:c r="E3168" s="16" t="str">
        <x:v>Missing email</x:v>
      </x:c>
    </x:row>
    <x:row r="3169">
      <x:c r="A3169" s="16" t="n">
        <x:v>3294</x:v>
      </x:c>
      <x:c r="B3169" s="16" t="str">
        <x:v>Ila Fahmie</x:v>
      </x:c>
      <x:c r="C3169" s="16" t="str"/>
      <x:c r="D3169" s="16" t="str">
        <x:v>* myContacts</x:v>
      </x:c>
      <x:c r="E3169" s="16" t="str">
        <x:v>Missing email</x:v>
      </x:c>
    </x:row>
    <x:row r="3170">
      <x:c r="A3170" s="16" t="n">
        <x:v>3295</x:v>
      </x:c>
      <x:c r="B3170" s="16" t="str">
        <x:v>Ila Fazilah</x:v>
      </x:c>
      <x:c r="C3170" s="16" t="str"/>
      <x:c r="D3170" s="16" t="str">
        <x:v>* myContacts</x:v>
      </x:c>
      <x:c r="E3170" s="16" t="str">
        <x:v>Missing email</x:v>
      </x:c>
    </x:row>
    <x:row r="3171">
      <x:c r="A3171" s="16" t="n">
        <x:v>3296</x:v>
      </x:c>
      <x:c r="B3171" s="16" t="str">
        <x:v>Ila Jaafar</x:v>
      </x:c>
      <x:c r="C3171" s="16" t="str"/>
      <x:c r="D3171" s="16" t="str">
        <x:v>* myContacts</x:v>
      </x:c>
      <x:c r="E3171" s="16" t="str">
        <x:v>Missing email</x:v>
      </x:c>
    </x:row>
    <x:row r="3172">
      <x:c r="A3172" s="16" t="n">
        <x:v>3297</x:v>
      </x:c>
      <x:c r="B3172" s="16" t="str">
        <x:v>Ila Taha Rosilawati Nor</x:v>
      </x:c>
      <x:c r="C3172" s="16" t="str"/>
      <x:c r="D3172" s="16" t="str">
        <x:v>* myContacts</x:v>
      </x:c>
      <x:c r="E3172" s="16" t="str">
        <x:v>Missing email</x:v>
      </x:c>
    </x:row>
    <x:row r="3173">
      <x:c r="A3173" s="16" t="n">
        <x:v>3298</x:v>
      </x:c>
      <x:c r="B3173" s="16" t="str">
        <x:v>Ilham Munah</x:v>
      </x:c>
      <x:c r="C3173" s="16" t="str"/>
      <x:c r="D3173" s="16" t="str">
        <x:v>* myContacts</x:v>
      </x:c>
      <x:c r="E3173" s="16" t="str">
        <x:v>Missing email</x:v>
      </x:c>
    </x:row>
    <x:row r="3174">
      <x:c r="A3174" s="16" t="n">
        <x:v>3299</x:v>
      </x:c>
      <x:c r="B3174" s="16" t="str">
        <x:v>Illa Manja</x:v>
      </x:c>
      <x:c r="C3174" s="16" t="str"/>
      <x:c r="D3174" s="16" t="str">
        <x:v>* myContacts</x:v>
      </x:c>
      <x:c r="E3174" s="16" t="str">
        <x:v>Missing email</x:v>
      </x:c>
    </x:row>
    <x:row r="3175">
      <x:c r="A3175" s="16" t="n">
        <x:v>3300</x:v>
      </x:c>
      <x:c r="B3175" s="16" t="str">
        <x:v>illlyana AGP</x:v>
      </x:c>
      <x:c r="C3175" s="16" t="str"/>
      <x:c r="D3175" s="16" t="str">
        <x:v>* myContacts</x:v>
      </x:c>
      <x:c r="E3175" s="16" t="str">
        <x:v>Missing email</x:v>
      </x:c>
    </x:row>
    <x:row r="3176">
      <x:c r="A3176" s="16" t="n">
        <x:v>3301</x:v>
      </x:c>
      <x:c r="B3176" s="16" t="str">
        <x:v>ilyas Haluan</x:v>
      </x:c>
      <x:c r="C3176" s="16" t="str"/>
      <x:c r="D3176" s="16" t="str">
        <x:v>* myContacts</x:v>
      </x:c>
      <x:c r="E3176" s="16" t="str">
        <x:v>Missing email</x:v>
      </x:c>
    </x:row>
    <x:row r="3177">
      <x:c r="A3177" s="16" t="n">
        <x:v>3302</x:v>
      </x:c>
      <x:c r="B3177" s="16" t="str">
        <x:v>Ilyas Muhamad</x:v>
      </x:c>
      <x:c r="C3177" s="16" t="str"/>
      <x:c r="D3177" s="16" t="str">
        <x:v>* myContacts</x:v>
      </x:c>
      <x:c r="E3177" s="16" t="str">
        <x:v>Missing email</x:v>
      </x:c>
    </x:row>
    <x:row r="3178">
      <x:c r="A3178" s="16" t="n">
        <x:v>3303</x:v>
      </x:c>
      <x:c r="B3178" s="16" t="str">
        <x:v>Ima Mango Street {Jus Mangga Susu}</x:v>
      </x:c>
      <x:c r="C3178" s="16" t="str"/>
      <x:c r="D3178" s="16" t="str">
        <x:v>* myContacts</x:v>
      </x:c>
      <x:c r="E3178" s="16" t="str">
        <x:v>Missing email</x:v>
      </x:c>
    </x:row>
    <x:row r="3179">
      <x:c r="A3179" s="16" t="n">
        <x:v>3304</x:v>
      </x:c>
      <x:c r="B3179" s="16" t="str">
        <x:v>Imah Nazifa</x:v>
      </x:c>
      <x:c r="C3179" s="16" t="str"/>
      <x:c r="D3179" s="16" t="str">
        <x:v>* myContacts</x:v>
      </x:c>
      <x:c r="E3179" s="16" t="str">
        <x:v>Missing email</x:v>
      </x:c>
    </x:row>
    <x:row r="3180">
      <x:c r="A3180" s="16" t="n">
        <x:v>3305</x:v>
      </x:c>
      <x:c r="B3180" s="16" t="str">
        <x:v>Imam Yamin</x:v>
      </x:c>
      <x:c r="C3180" s="16" t="str"/>
      <x:c r="D3180" s="16" t="str">
        <x:v>* myContacts</x:v>
      </x:c>
      <x:c r="E3180" s="16" t="str">
        <x:v>Missing email</x:v>
      </x:c>
    </x:row>
    <x:row r="3181">
      <x:c r="A3181" s="16" t="n">
        <x:v>3306</x:v>
      </x:c>
      <x:c r="B3181" s="16" t="str">
        <x:v>Iman Cekal Mutiara</x:v>
      </x:c>
      <x:c r="C3181" s="16" t="str"/>
      <x:c r="D3181" s="16" t="str">
        <x:v>* myContacts</x:v>
      </x:c>
      <x:c r="E3181" s="16" t="str">
        <x:v>Missing email</x:v>
      </x:c>
    </x:row>
    <x:row r="3182">
      <x:c r="A3182" s="16" t="n">
        <x:v>3307</x:v>
      </x:c>
      <x:c r="B3182" s="16" t="str">
        <x:v>Iman Karim Astro Go Shop</x:v>
      </x:c>
      <x:c r="C3182" s="16" t="str"/>
      <x:c r="D3182" s="16" t="str">
        <x:v>* myContacts</x:v>
      </x:c>
      <x:c r="E3182" s="16" t="str">
        <x:v>Missing email</x:v>
      </x:c>
    </x:row>
    <x:row r="3183">
      <x:c r="A3183" s="16" t="n">
        <x:v>3308</x:v>
      </x:c>
      <x:c r="B3183" s="16" t="str">
        <x:v>Imran Anak Achik Asmah</x:v>
      </x:c>
      <x:c r="C3183" s="16" t="str"/>
      <x:c r="D3183" s="16" t="str">
        <x:v>* myContacts</x:v>
      </x:c>
      <x:c r="E3183" s="16" t="str">
        <x:v>Missing email</x:v>
      </x:c>
    </x:row>
    <x:row r="3184">
      <x:c r="A3184" s="16" t="n">
        <x:v>3309</x:v>
      </x:c>
      <x:c r="B3184" s="16" t="str">
        <x:v>Imran Huzaina</x:v>
      </x:c>
      <x:c r="C3184" s="16" t="str"/>
      <x:c r="D3184" s="16" t="str">
        <x:v>* myContacts</x:v>
      </x:c>
      <x:c r="E3184" s="16" t="str">
        <x:v>Missing email</x:v>
      </x:c>
    </x:row>
    <x:row r="3185">
      <x:c r="A3185" s="16" t="n">
        <x:v>3310</x:v>
      </x:c>
      <x:c r="B3185" s="16" t="str">
        <x:v>Ina Aaun</x:v>
      </x:c>
      <x:c r="C3185" s="16" t="str"/>
      <x:c r="D3185" s="16" t="str">
        <x:v>* myContacts</x:v>
      </x:c>
      <x:c r="E3185" s="16" t="str">
        <x:v>Missing email</x:v>
      </x:c>
    </x:row>
    <x:row r="3186">
      <x:c r="A3186" s="16" t="n">
        <x:v>3311</x:v>
      </x:c>
      <x:c r="B3186" s="16" t="str">
        <x:v>Ina Aiman Adam</x:v>
      </x:c>
      <x:c r="C3186" s="16" t="str"/>
      <x:c r="D3186" s="16" t="str">
        <x:v>* myContacts</x:v>
      </x:c>
      <x:c r="E3186" s="16" t="str">
        <x:v>Missing email</x:v>
      </x:c>
    </x:row>
    <x:row r="3187">
      <x:c r="A3187" s="16" t="n">
        <x:v>3312</x:v>
      </x:c>
      <x:c r="B3187" s="16" t="str">
        <x:v>Inawan Achiang</x:v>
      </x:c>
      <x:c r="C3187" s="16" t="str"/>
      <x:c r="D3187" s="16" t="str">
        <x:v>* myContacts</x:v>
      </x:c>
      <x:c r="E3187" s="16" t="str">
        <x:v>Missing email</x:v>
      </x:c>
    </x:row>
    <x:row r="3188">
      <x:c r="A3188" s="16" t="n">
        <x:v>3313</x:v>
      </x:c>
      <x:c r="B3188" s="16" t="str">
        <x:v>Incik Boss</x:v>
      </x:c>
      <x:c r="C3188" s="16" t="str"/>
      <x:c r="D3188" s="16" t="str">
        <x:v>* myContacts</x:v>
      </x:c>
      <x:c r="E3188" s="16" t="str">
        <x:v>Missing email</x:v>
      </x:c>
    </x:row>
    <x:row r="3189">
      <x:c r="A3189" s="16" t="n">
        <x:v>3314</x:v>
      </x:c>
      <x:c r="B3189" s="16" t="str">
        <x:v>Incik Eborg Ghazali</x:v>
      </x:c>
      <x:c r="C3189" s="16" t="str"/>
      <x:c r="D3189" s="16" t="str">
        <x:v>* myContacts</x:v>
      </x:c>
      <x:c r="E3189" s="16" t="str">
        <x:v>Missing email</x:v>
      </x:c>
    </x:row>
    <x:row r="3190">
      <x:c r="A3190" s="16" t="n">
        <x:v>3315</x:v>
      </x:c>
      <x:c r="B3190" s="16" t="str">
        <x:v>Indah Lestari</x:v>
      </x:c>
      <x:c r="C3190" s="16" t="str"/>
      <x:c r="D3190" s="16" t="str">
        <x:v>* myContacts</x:v>
      </x:c>
      <x:c r="E3190" s="16" t="str">
        <x:v>Missing email</x:v>
      </x:c>
    </x:row>
    <x:row r="3191">
      <x:c r="A3191" s="16" t="n">
        <x:v>3316</x:v>
      </x:c>
      <x:c r="B3191" s="16" t="str">
        <x:v>Indera Zahi</x:v>
      </x:c>
      <x:c r="C3191" s="16" t="str"/>
      <x:c r="D3191" s="16" t="str">
        <x:v>* myContacts</x:v>
      </x:c>
      <x:c r="E3191" s="16" t="str">
        <x:v>Missing email</x:v>
      </x:c>
    </x:row>
    <x:row r="3192">
      <x:c r="A3192" s="16" t="n">
        <x:v>3317</x:v>
      </x:c>
      <x:c r="B3192" s="16" t="str">
        <x:v>Indok Faridah</x:v>
      </x:c>
      <x:c r="C3192" s="16" t="str"/>
      <x:c r="D3192" s="16" t="str">
        <x:v>* myContacts</x:v>
      </x:c>
      <x:c r="E3192" s="16" t="str">
        <x:v>Missing email</x:v>
      </x:c>
    </x:row>
    <x:row r="3193">
      <x:c r="A3193" s="16" t="n">
        <x:v>3318</x:v>
      </x:c>
      <x:c r="B3193" s="16" t="str">
        <x:v>Indra Indrana</x:v>
      </x:c>
      <x:c r="C3193" s="16" t="str"/>
      <x:c r="D3193" s="16" t="str">
        <x:v>* myContacts</x:v>
      </x:c>
      <x:c r="E3193" s="16" t="str">
        <x:v>Missing email</x:v>
      </x:c>
    </x:row>
    <x:row r="3194">
      <x:c r="A3194" s="16" t="n">
        <x:v>3319</x:v>
      </x:c>
      <x:c r="B3194" s="16" t="str">
        <x:v>Indra instaweb programmer</x:v>
      </x:c>
      <x:c r="C3194" s="16" t="str"/>
      <x:c r="D3194" s="16" t="str">
        <x:v>* myContacts</x:v>
      </x:c>
      <x:c r="E3194" s="16" t="str">
        <x:v>Missing email</x:v>
      </x:c>
    </x:row>
    <x:row r="3195">
      <x:c r="A3195" s="16" t="n">
        <x:v>3320</x:v>
      </x:c>
      <x:c r="B3195" s="16" t="str">
        <x:v>INGIA AK JAKONG HG</x:v>
      </x:c>
      <x:c r="C3195" s="16" t="str"/>
      <x:c r="D3195" s="16" t="str">
        <x:v>* myContacts</x:v>
      </x:c>
      <x:c r="E3195" s="16" t="str">
        <x:v>Missing email</x:v>
      </x:c>
    </x:row>
    <x:row r="3196">
      <x:c r="A3196" s="16" t="n">
        <x:v>3321</x:v>
      </x:c>
      <x:c r="B3196" s="16" t="str">
        <x:v>Insan Lemah</x:v>
      </x:c>
      <x:c r="C3196" s="16" t="str"/>
      <x:c r="D3196" s="16" t="str">
        <x:v>* myContacts</x:v>
      </x:c>
      <x:c r="E3196" s="16" t="str">
        <x:v>Missing email</x:v>
      </x:c>
    </x:row>
    <x:row r="3197">
      <x:c r="A3197" s="16" t="n">
        <x:v>3322</x:v>
      </x:c>
      <x:c r="B3197" s="16" t="str">
        <x:v>Insken - Pn Nora</x:v>
      </x:c>
      <x:c r="C3197" s="16" t="str"/>
      <x:c r="D3197" s="16" t="str">
        <x:v>Alumni INSKEN | * myContacts</x:v>
      </x:c>
      <x:c r="E3197" s="16" t="str">
        <x:v>Missing email</x:v>
      </x:c>
    </x:row>
    <x:row r="3198">
      <x:c r="A3198" s="16" t="n">
        <x:v>3323</x:v>
      </x:c>
      <x:c r="B3198" s="16" t="str">
        <x:v>INSKEN Azeem</x:v>
      </x:c>
      <x:c r="C3198" s="16" t="str"/>
      <x:c r="D3198" s="16" t="str">
        <x:v>Alumni INSKEN | * myContacts</x:v>
      </x:c>
      <x:c r="E3198" s="16" t="str">
        <x:v>Missing email</x:v>
      </x:c>
    </x:row>
    <x:row r="3199">
      <x:c r="A3199" s="16" t="n">
        <x:v>3324</x:v>
      </x:c>
      <x:c r="B3199" s="16" t="str">
        <x:v>insken shopee tan chor keng</x:v>
      </x:c>
      <x:c r="C3199" s="16" t="str"/>
      <x:c r="D3199" s="16" t="str">
        <x:v>Alumni INSKEN | * myContacts</x:v>
      </x:c>
      <x:c r="E3199" s="16" t="str">
        <x:v>Missing email</x:v>
      </x:c>
    </x:row>
    <x:row r="3200">
      <x:c r="A3200" s="16" t="n">
        <x:v>3325</x:v>
      </x:c>
      <x:c r="B3200" s="16" t="str">
        <x:v>Instagram Followers</x:v>
      </x:c>
      <x:c r="C3200" s="16" t="str"/>
      <x:c r="D3200" s="16" t="str">
        <x:v>* myContacts</x:v>
      </x:c>
      <x:c r="E3200" s="16" t="str">
        <x:v>Missing email</x:v>
      </x:c>
    </x:row>
    <x:row r="3201">
      <x:c r="A3201" s="16" t="n">
        <x:v>3326</x:v>
      </x:c>
      <x:c r="B3201" s="16" t="str">
        <x:v>Intan Farhan Abdullah</x:v>
      </x:c>
      <x:c r="C3201" s="16" t="str"/>
      <x:c r="D3201" s="16" t="str">
        <x:v>* myContacts</x:v>
      </x:c>
      <x:c r="E3201" s="16" t="str">
        <x:v>Missing email</x:v>
      </x:c>
    </x:row>
    <x:row r="3202">
      <x:c r="A3202" s="16" t="n">
        <x:v>3327</x:v>
      </x:c>
      <x:c r="B3202" s="16" t="str">
        <x:v>Intan MOQ 100</x:v>
      </x:c>
      <x:c r="C3202" s="16" t="str"/>
      <x:c r="D3202" s="16" t="str">
        <x:v>* myContacts</x:v>
      </x:c>
      <x:c r="E3202" s="16" t="str">
        <x:v>Missing email</x:v>
      </x:c>
    </x:row>
    <x:row r="3203">
      <x:c r="A3203" s="16" t="n">
        <x:v>3328</x:v>
      </x:c>
      <x:c r="B3203" s="16" t="str">
        <x:v>Intan Suhana</x:v>
      </x:c>
      <x:c r="C3203" s="16" t="str"/>
      <x:c r="D3203" s="16" t="str">
        <x:v>* myContacts</x:v>
      </x:c>
      <x:c r="E3203" s="16" t="str">
        <x:v>Missing email</x:v>
      </x:c>
    </x:row>
    <x:row r="3204">
      <x:c r="A3204" s="16" t="n">
        <x:v>3329</x:v>
      </x:c>
      <x:c r="B3204" s="16" t="str">
        <x:v>Intan Suhana II</x:v>
      </x:c>
      <x:c r="C3204" s="16" t="str"/>
      <x:c r="D3204" s="16" t="str">
        <x:v>* myContacts</x:v>
      </x:c>
      <x:c r="E3204" s="16" t="str">
        <x:v>Missing email</x:v>
      </x:c>
    </x:row>
    <x:row r="3205">
      <x:c r="A3205" s="16" t="n">
        <x:v>3330</x:v>
      </x:c>
      <x:c r="B3205" s="16" t="str">
        <x:v>Intan Suriana</x:v>
      </x:c>
      <x:c r="C3205" s="16" t="str"/>
      <x:c r="D3205" s="16" t="str">
        <x:v>* myContacts</x:v>
      </x:c>
      <x:c r="E3205" s="16" t="str">
        <x:v>Missing email</x:v>
      </x:c>
    </x:row>
    <x:row r="3206">
      <x:c r="A3206" s="16" t="n">
        <x:v>3331</x:v>
      </x:c>
      <x:c r="B3206" s="16" t="str">
        <x:v>Intan Syafienaz Bakhid</x:v>
      </x:c>
      <x:c r="C3206" s="16" t="str"/>
      <x:c r="D3206" s="16" t="str">
        <x:v>* myContacts</x:v>
      </x:c>
      <x:c r="E3206" s="16" t="str">
        <x:v>Missing email</x:v>
      </x:c>
    </x:row>
    <x:row r="3207">
      <x:c r="A3207" s="16" t="n">
        <x:v>3332</x:v>
      </x:c>
      <x:c r="B3207" s="16" t="str">
        <x:v>Intan Syahbinar Shuib</x:v>
      </x:c>
      <x:c r="C3207" s="16" t="str"/>
      <x:c r="D3207" s="16" t="str">
        <x:v>* myContacts</x:v>
      </x:c>
      <x:c r="E3207" s="16" t="str">
        <x:v>Missing email</x:v>
      </x:c>
    </x:row>
    <x:row r="3208">
      <x:c r="A3208" s="16" t="n">
        <x:v>3333</x:v>
      </x:c>
      <x:c r="B3208" s="16" t="str">
        <x:v>Intrinsic Drive</x:v>
      </x:c>
      <x:c r="C3208" s="16" t="str"/>
      <x:c r="D3208" s="16" t="str">
        <x:v>* myContacts</x:v>
      </x:c>
      <x:c r="E3208" s="16" t="str">
        <x:v>Missing email</x:v>
      </x:c>
    </x:row>
    <x:row r="3209">
      <x:c r="A3209" s="16" t="n">
        <x:v>3334</x:v>
      </x:c>
      <x:c r="B3209" s="16" t="str">
        <x:v>Ipeh Atam</x:v>
      </x:c>
      <x:c r="C3209" s="16" t="str"/>
      <x:c r="D3209" s="16" t="str">
        <x:v>* myContacts</x:v>
      </x:c>
      <x:c r="E3209" s="16" t="str">
        <x:v>Missing email</x:v>
      </x:c>
    </x:row>
    <x:row r="3210">
      <x:c r="A3210" s="16" t="n">
        <x:v>3335</x:v>
      </x:c>
      <x:c r="B3210" s="16" t="str">
        <x:v>IPPTAR</x:v>
      </x:c>
      <x:c r="C3210" s="16" t="str"/>
      <x:c r="D3210" s="16" t="str">
        <x:v>* myContacts</x:v>
      </x:c>
      <x:c r="E3210" s="16" t="str">
        <x:v>Missing email</x:v>
      </x:c>
    </x:row>
    <x:row r="3211">
      <x:c r="A3211" s="16" t="n">
        <x:v>3336</x:v>
      </x:c>
      <x:c r="B3211" s="16" t="str">
        <x:v>ir malique</x:v>
      </x:c>
      <x:c r="C3211" s="16" t="str"/>
      <x:c r="D3211" s="16" t="str">
        <x:v>* myContacts</x:v>
      </x:c>
      <x:c r="E3211" s="16" t="str">
        <x:v>Missing email</x:v>
      </x:c>
    </x:row>
    <x:row r="3212">
      <x:c r="A3212" s="16" t="n">
        <x:v>3337</x:v>
      </x:c>
      <x:c r="B3212" s="16" t="str">
        <x:v>Ir Mohammad Hassan</x:v>
      </x:c>
      <x:c r="C3212" s="16" t="str"/>
      <x:c r="D3212" s="16" t="str">
        <x:v>* myContacts</x:v>
      </x:c>
      <x:c r="E3212" s="16" t="str">
        <x:v>Missing email</x:v>
      </x:c>
    </x:row>
    <x:row r="3213">
      <x:c r="A3213" s="16" t="n">
        <x:v>3339</x:v>
      </x:c>
      <x:c r="B3213" s="16" t="str">
        <x:v>Ira Aura</x:v>
      </x:c>
      <x:c r="C3213" s="16" t="str"/>
      <x:c r="D3213" s="16" t="str">
        <x:v>* myContacts</x:v>
      </x:c>
      <x:c r="E3213" s="16" t="str">
        <x:v>Missing email</x:v>
      </x:c>
    </x:row>
    <x:row r="3214">
      <x:c r="A3214" s="16" t="n">
        <x:v>3340</x:v>
      </x:c>
      <x:c r="B3214" s="16" t="str">
        <x:v>Ira Bisvaganza</x:v>
      </x:c>
      <x:c r="C3214" s="16" t="str"/>
      <x:c r="D3214" s="16" t="str">
        <x:v>* myContacts</x:v>
      </x:c>
      <x:c r="E3214" s="16" t="str">
        <x:v>Missing email</x:v>
      </x:c>
    </x:row>
    <x:row r="3215">
      <x:c r="A3215" s="16" t="n">
        <x:v>3341</x:v>
      </x:c>
      <x:c r="B3215" s="16" t="str">
        <x:v>Ira griffin</x:v>
      </x:c>
      <x:c r="C3215" s="16" t="str"/>
      <x:c r="D3215" s="16" t="str">
        <x:v>* myContacts</x:v>
      </x:c>
      <x:c r="E3215" s="16" t="str">
        <x:v>Missing email</x:v>
      </x:c>
    </x:row>
    <x:row r="3216">
      <x:c r="A3216" s="16" t="n">
        <x:v>3342</x:v>
      </x:c>
      <x:c r="B3216" s="16" t="str">
        <x:v>Ira Rara Rara</x:v>
      </x:c>
      <x:c r="C3216" s="16" t="str"/>
      <x:c r="D3216" s="16" t="str">
        <x:v>* myContacts</x:v>
      </x:c>
      <x:c r="E3216" s="16" t="str">
        <x:v>Missing email</x:v>
      </x:c>
    </x:row>
    <x:row r="3217">
      <x:c r="A3217" s="16" t="n">
        <x:v>3343</x:v>
      </x:c>
      <x:c r="B3217" s="16" t="str">
        <x:v>Ira Shahira</x:v>
      </x:c>
      <x:c r="C3217" s="16" t="str"/>
      <x:c r="D3217" s="16" t="str">
        <x:v>* myContacts</x:v>
      </x:c>
      <x:c r="E3217" s="16" t="str">
        <x:v>Missing email</x:v>
      </x:c>
    </x:row>
    <x:row r="3218">
      <x:c r="A3218" s="16" t="n">
        <x:v>3344</x:v>
      </x:c>
      <x:c r="B3218" s="16" t="str">
        <x:v>Iradatullah Zahari</x:v>
      </x:c>
      <x:c r="C3218" s="16" t="str"/>
      <x:c r="D3218" s="16" t="str">
        <x:v>* myContacts</x:v>
      </x:c>
      <x:c r="E3218" s="16" t="str">
        <x:v>Missing email</x:v>
      </x:c>
    </x:row>
    <x:row r="3219">
      <x:c r="A3219" s="16" t="n">
        <x:v>3345</x:v>
      </x:c>
      <x:c r="B3219" s="16" t="str">
        <x:v>Irah Alyanabalqis</x:v>
      </x:c>
      <x:c r="C3219" s="16" t="str"/>
      <x:c r="D3219" s="16" t="str">
        <x:v>* myContacts</x:v>
      </x:c>
      <x:c r="E3219" s="16" t="str">
        <x:v>Missing email</x:v>
      </x:c>
    </x:row>
    <x:row r="3220">
      <x:c r="A3220" s="16" t="n">
        <x:v>3346</x:v>
      </x:c>
      <x:c r="B3220" s="16" t="str">
        <x:v>Irahza Anayrah</x:v>
      </x:c>
      <x:c r="C3220" s="16" t="str"/>
      <x:c r="D3220" s="16" t="str">
        <x:v>* myContacts</x:v>
      </x:c>
      <x:c r="E3220" s="16" t="str">
        <x:v>Missing email</x:v>
      </x:c>
    </x:row>
    <x:row r="3221">
      <x:c r="A3221" s="16" t="n">
        <x:v>3347</x:v>
      </x:c>
      <x:c r="B3221" s="16" t="str">
        <x:v>Irene Property Agent</x:v>
      </x:c>
      <x:c r="C3221" s="16" t="str"/>
      <x:c r="D3221" s="16" t="str">
        <x:v>* myContacts</x:v>
      </x:c>
      <x:c r="E3221" s="16" t="str">
        <x:v>Missing email</x:v>
      </x:c>
    </x:row>
    <x:row r="3222">
      <x:c r="A3222" s="16" t="n">
        <x:v>3348</x:v>
      </x:c>
      <x:c r="B3222" s="16" t="str">
        <x:v>Irfan Ahmad</x:v>
      </x:c>
      <x:c r="C3222" s="16" t="str"/>
      <x:c r="D3222" s="16" t="str">
        <x:v>* myContacts</x:v>
      </x:c>
      <x:c r="E3222" s="16" t="str">
        <x:v>Missing email</x:v>
      </x:c>
    </x:row>
    <x:row r="3223">
      <x:c r="A3223" s="16" t="n">
        <x:v>3349</x:v>
      </x:c>
      <x:c r="B3223" s="16" t="str">
        <x:v>Irfan IQPS</x:v>
      </x:c>
      <x:c r="C3223" s="16" t="str"/>
      <x:c r="D3223" s="16" t="str">
        <x:v>* myContacts</x:v>
      </x:c>
      <x:c r="E3223" s="16" t="str">
        <x:v>Missing email</x:v>
      </x:c>
    </x:row>
    <x:row r="3224">
      <x:c r="A3224" s="16" t="n">
        <x:v>3350</x:v>
      </x:c>
      <x:c r="B3224" s="16" t="str">
        <x:v>Irfan pa coach zul</x:v>
      </x:c>
      <x:c r="C3224" s="16" t="str"/>
      <x:c r="D3224" s="16" t="str">
        <x:v>* myContacts</x:v>
      </x:c>
      <x:c r="E3224" s="16" t="str">
        <x:v>Missing email</x:v>
      </x:c>
    </x:row>
    <x:row r="3225">
      <x:c r="A3225" s="16" t="n">
        <x:v>3351</x:v>
      </x:c>
      <x:c r="B3225" s="16" t="str">
        <x:v>Irman jnj</x:v>
      </x:c>
      <x:c r="C3225" s="16" t="str"/>
      <x:c r="D3225" s="16" t="str">
        <x:v>* myContacts</x:v>
      </x:c>
      <x:c r="E3225" s="16" t="str">
        <x:v>Missing email</x:v>
      </x:c>
    </x:row>
    <x:row r="3226">
      <x:c r="A3226" s="16" t="n">
        <x:v>3352</x:v>
      </x:c>
      <x:c r="B3226" s="16" t="str">
        <x:v>Irna Spear</x:v>
      </x:c>
      <x:c r="C3226" s="16" t="str"/>
      <x:c r="D3226" s="16" t="str">
        <x:v>* myContacts</x:v>
      </x:c>
      <x:c r="E3226" s="16" t="str">
        <x:v>Missing email</x:v>
      </x:c>
    </x:row>
    <x:row r="3227">
      <x:c r="A3227" s="16" t="n">
        <x:v>3353</x:v>
      </x:c>
      <x:c r="B3227" s="16" t="str">
        <x:v>Irnie Ibarahim</x:v>
      </x:c>
      <x:c r="C3227" s="16" t="str"/>
      <x:c r="D3227" s="16" t="str">
        <x:v>* myContacts</x:v>
      </x:c>
      <x:c r="E3227" s="16" t="str">
        <x:v>Missing email</x:v>
      </x:c>
    </x:row>
    <x:row r="3228">
      <x:c r="A3228" s="16" t="n">
        <x:v>3354</x:v>
      </x:c>
      <x:c r="B3228" s="16" t="str">
        <x:v>Irsha Danish</x:v>
      </x:c>
      <x:c r="C3228" s="16" t="str"/>
      <x:c r="D3228" s="16" t="str">
        <x:v>* myContacts</x:v>
      </x:c>
      <x:c r="E3228" s="16" t="str">
        <x:v>Missing email</x:v>
      </x:c>
    </x:row>
    <x:row r="3229">
      <x:c r="A3229" s="16" t="n">
        <x:v>3355</x:v>
      </x:c>
      <x:c r="B3229" s="16" t="str">
        <x:v>Irvan Berly</x:v>
      </x:c>
      <x:c r="C3229" s="16" t="str"/>
      <x:c r="D3229" s="16" t="str">
        <x:v>* myContacts</x:v>
      </x:c>
      <x:c r="E3229" s="16" t="str">
        <x:v>Missing email</x:v>
      </x:c>
    </x:row>
    <x:row r="3230">
      <x:c r="A3230" s="16" t="n">
        <x:v>3356</x:v>
      </x:c>
      <x:c r="B3230" s="16" t="str">
        <x:v>Irwan Babay</x:v>
      </x:c>
      <x:c r="C3230" s="16" t="str"/>
      <x:c r="D3230" s="16" t="str">
        <x:v>* myContacts</x:v>
      </x:c>
      <x:c r="E3230" s="16" t="str">
        <x:v>Missing email</x:v>
      </x:c>
    </x:row>
    <x:row r="3231">
      <x:c r="A3231" s="16" t="n">
        <x:v>3357</x:v>
      </x:c>
      <x:c r="B3231" s="16" t="str">
        <x:v>irwan kamarudin</x:v>
      </x:c>
      <x:c r="C3231" s="16" t="str"/>
      <x:c r="D3231" s="16" t="str">
        <x:v>* myContacts</x:v>
      </x:c>
      <x:c r="E3231" s="16" t="str">
        <x:v>Missing email</x:v>
      </x:c>
    </x:row>
    <x:row r="3232">
      <x:c r="A3232" s="16" t="n">
        <x:v>3358</x:v>
      </x:c>
      <x:c r="B3232" s="16" t="str">
        <x:v>Irwana Butik Faiqah</x:v>
      </x:c>
      <x:c r="C3232" s="16" t="str"/>
      <x:c r="D3232" s="16" t="str">
        <x:v>* myContacts</x:v>
      </x:c>
      <x:c r="E3232" s="16" t="str">
        <x:v>Missing email</x:v>
      </x:c>
    </x:row>
    <x:row r="3233">
      <x:c r="A3233" s="16" t="n">
        <x:v>3359</x:v>
      </x:c>
      <x:c r="B3233" s="16" t="str">
        <x:v>Isa Johari Tauke</x:v>
      </x:c>
      <x:c r="C3233" s="16" t="str"/>
      <x:c r="D3233" s="16" t="str">
        <x:v>* myContacts</x:v>
      </x:c>
      <x:c r="E3233" s="16" t="str">
        <x:v>Missing email</x:v>
      </x:c>
    </x:row>
    <x:row r="3234">
      <x:c r="A3234" s="16" t="n">
        <x:v>3360</x:v>
      </x:c>
      <x:c r="B3234" s="16" t="str">
        <x:v>Ise Muse</x:v>
      </x:c>
      <x:c r="C3234" s="16" t="str"/>
      <x:c r="D3234" s="16" t="str">
        <x:v>* myContacts</x:v>
      </x:c>
      <x:c r="E3234" s="16" t="str">
        <x:v>Missing email</x:v>
      </x:c>
    </x:row>
    <x:row r="3235">
      <x:c r="A3235" s="16" t="n">
        <x:v>3361</x:v>
      </x:c>
      <x:c r="B3235" s="16" t="str">
        <x:v>Isha Faisha</x:v>
      </x:c>
      <x:c r="C3235" s="16" t="str"/>
      <x:c r="D3235" s="16" t="str">
        <x:v>* myContacts</x:v>
      </x:c>
      <x:c r="E3235" s="16" t="str">
        <x:v>Missing email</x:v>
      </x:c>
    </x:row>
    <x:row r="3236">
      <x:c r="A3236" s="16" t="n">
        <x:v>3362</x:v>
      </x:c>
      <x:c r="B3236" s="16" t="str">
        <x:v>ishak blograsa</x:v>
      </x:c>
      <x:c r="C3236" s="16" t="str"/>
      <x:c r="D3236" s="16" t="str">
        <x:v>* myContacts</x:v>
      </x:c>
      <x:c r="E3236" s="16" t="str">
        <x:v>Missing email</x:v>
      </x:c>
    </x:row>
    <x:row r="3237">
      <x:c r="A3237" s="16" t="n">
        <x:v>3363</x:v>
      </x:c>
      <x:c r="B3237" s="16" t="str">
        <x:v>ishar insurance</x:v>
      </x:c>
      <x:c r="C3237" s="16" t="str"/>
      <x:c r="D3237" s="16" t="str">
        <x:v>* myContacts</x:v>
      </x:c>
      <x:c r="E3237" s="16" t="str">
        <x:v>Missing email</x:v>
      </x:c>
    </x:row>
    <x:row r="3238">
      <x:c r="A3238" s="16" t="n">
        <x:v>3364</x:v>
      </x:c>
      <x:c r="B3238" s="16" t="str">
        <x:v>Ishirokonokojb Jb</x:v>
      </x:c>
      <x:c r="C3238" s="16" t="str"/>
      <x:c r="D3238" s="16" t="str">
        <x:v>* myContacts</x:v>
      </x:c>
      <x:c r="E3238" s="16" t="str">
        <x:v>Missing email</x:v>
      </x:c>
    </x:row>
    <x:row r="3239">
      <x:c r="A3239" s="16" t="n">
        <x:v>3365</x:v>
      </x:c>
      <x:c r="B3239" s="16" t="str">
        <x:v>Isk Andar</x:v>
      </x:c>
      <x:c r="C3239" s="16" t="str"/>
      <x:c r="D3239" s="16" t="str">
        <x:v>* myContacts</x:v>
      </x:c>
      <x:c r="E3239" s="16" t="str">
        <x:v>Missing email</x:v>
      </x:c>
    </x:row>
    <x:row r="3240">
      <x:c r="A3240" s="16" t="n">
        <x:v>3366</x:v>
      </x:c>
      <x:c r="B3240" s="16" t="str">
        <x:v>Iskandar Abdul Hannan</x:v>
      </x:c>
      <x:c r="C3240" s="16" t="str"/>
      <x:c r="D3240" s="16" t="str">
        <x:v>* myContacts</x:v>
      </x:c>
      <x:c r="E3240" s="16" t="str">
        <x:v>Missing email</x:v>
      </x:c>
    </x:row>
    <x:row r="3241">
      <x:c r="A3241" s="16" t="n">
        <x:v>3367</x:v>
      </x:c>
      <x:c r="B3241" s="16" t="str">
        <x:v>Iskandar Ibrahim</x:v>
      </x:c>
      <x:c r="C3241" s="16" t="str"/>
      <x:c r="D3241" s="16" t="str">
        <x:v>* myContacts</x:v>
      </x:c>
      <x:c r="E3241" s="16" t="str">
        <x:v>Missing email</x:v>
      </x:c>
    </x:row>
    <x:row r="3242">
      <x:c r="A3242" s="16" t="n">
        <x:v>3368</x:v>
      </x:c>
      <x:c r="B3242" s="16" t="str">
        <x:v>Iskandar Jbs Irfan</x:v>
      </x:c>
      <x:c r="C3242" s="16" t="str"/>
      <x:c r="D3242" s="16" t="str">
        <x:v>* myContacts</x:v>
      </x:c>
      <x:c r="E3242" s="16" t="str">
        <x:v>Missing email</x:v>
      </x:c>
    </x:row>
    <x:row r="3243">
      <x:c r="A3243" s="16" t="n">
        <x:v>3369</x:v>
      </x:c>
      <x:c r="B3243" s="16" t="str">
        <x:v>Iskandar Syah</x:v>
      </x:c>
      <x:c r="C3243" s="16" t="str"/>
      <x:c r="D3243" s="16" t="str">
        <x:v>* myContacts</x:v>
      </x:c>
      <x:c r="E3243" s="16" t="str">
        <x:v>Missing email</x:v>
      </x:c>
    </x:row>
    <x:row r="3244">
      <x:c r="A3244" s="16" t="n">
        <x:v>3370</x:v>
      </x:c>
      <x:c r="B3244" s="16" t="str">
        <x:v>Iskandar Work KUMONTEN</x:v>
      </x:c>
      <x:c r="C3244" s="16" t="str"/>
      <x:c r="D3244" s="16" t="str">
        <x:v>* myContacts</x:v>
      </x:c>
      <x:c r="E3244" s="16" t="str">
        <x:v>Missing email</x:v>
      </x:c>
    </x:row>
    <x:row r="3245">
      <x:c r="A3245" s="16" t="n">
        <x:v>3371</x:v>
      </x:c>
      <x:c r="B3245" s="16" t="str">
        <x:v>Isla Issyazza</x:v>
      </x:c>
      <x:c r="C3245" s="16" t="str"/>
      <x:c r="D3245" s="16" t="str">
        <x:v>* myContacts</x:v>
      </x:c>
      <x:c r="E3245" s="16" t="str">
        <x:v>Missing email</x:v>
      </x:c>
    </x:row>
    <x:row r="3246">
      <x:c r="A3246" s="16" t="n">
        <x:v>3372</x:v>
      </x:c>
      <x:c r="B3246" s="16" t="str">
        <x:v>Islah Agent AGP Tier 1</x:v>
      </x:c>
      <x:c r="C3246" s="16" t="str"/>
      <x:c r="D3246" s="16" t="str">
        <x:v>* myContacts</x:v>
      </x:c>
      <x:c r="E3246" s="16" t="str">
        <x:v>Missing email</x:v>
      </x:c>
    </x:row>
    <x:row r="3247">
      <x:c r="A3247" s="16" t="n">
        <x:v>3373</x:v>
      </x:c>
      <x:c r="B3247" s="16" t="str">
        <x:v>islah ceo iksb</x:v>
      </x:c>
      <x:c r="C3247" s="16" t="str"/>
      <x:c r="D3247" s="16" t="str">
        <x:v>* myContacts</x:v>
      </x:c>
      <x:c r="E3247" s="16" t="str">
        <x:v>Missing email</x:v>
      </x:c>
    </x:row>
    <x:row r="3248">
      <x:c r="A3248" s="16" t="n">
        <x:v>3374</x:v>
      </x:c>
      <x:c r="B3248" s="16" t="str">
        <x:v>IsMa IZz</x:v>
      </x:c>
      <x:c r="C3248" s="16" t="str"/>
      <x:c r="D3248" s="16" t="str">
        <x:v>* myContacts</x:v>
      </x:c>
      <x:c r="E3248" s="16" t="str">
        <x:v>Missing email</x:v>
      </x:c>
    </x:row>
    <x:row r="3249">
      <x:c r="A3249" s="16" t="n">
        <x:v>3375</x:v>
      </x:c>
      <x:c r="B3249" s="16" t="str">
        <x:v>Isma Zaidi Trainer Tvet</x:v>
      </x:c>
      <x:c r="C3249" s="16" t="str"/>
      <x:c r="D3249" s="16" t="str">
        <x:v>Trainer | * myContacts</x:v>
      </x:c>
      <x:c r="E3249" s="16" t="str">
        <x:v>Missing email</x:v>
      </x:c>
    </x:row>
    <x:row r="3250">
      <x:c r="A3250" s="16" t="n">
        <x:v>3376</x:v>
      </x:c>
      <x:c r="B3250" s="16" t="str">
        <x:v>Ismail</x:v>
      </x:c>
      <x:c r="C3250" s="16" t="str"/>
      <x:c r="D3250" s="16" t="str">
        <x:v>* myContacts</x:v>
      </x:c>
      <x:c r="E3250" s="16" t="str">
        <x:v>Missing email</x:v>
      </x:c>
    </x:row>
    <x:row r="3251">
      <x:c r="A3251" s="16" t="n">
        <x:v>3377</x:v>
      </x:c>
      <x:c r="B3251" s="16" t="str">
        <x:v>*Prospect Ismail</x:v>
      </x:c>
      <x:c r="C3251" s="16" t="str"/>
      <x:c r="D3251" s="16" t="str">
        <x:v>* myContacts</x:v>
      </x:c>
      <x:c r="E3251" s="16" t="str">
        <x:v>Missing email</x:v>
      </x:c>
    </x:row>
    <x:row r="3252">
      <x:c r="A3252" s="16" t="n">
        <x:v>3378</x:v>
      </x:c>
      <x:c r="B3252" s="16" t="str">
        <x:v>Ismail Al-Faruqi TE</x:v>
      </x:c>
      <x:c r="C3252" s="16" t="str"/>
      <x:c r="D3252" s="16" t="str">
        <x:v>* myContacts</x:v>
      </x:c>
      <x:c r="E3252" s="16" t="str">
        <x:v>Missing email</x:v>
      </x:c>
    </x:row>
    <x:row r="3253">
      <x:c r="A3253" s="16" t="n">
        <x:v>3379</x:v>
      </x:c>
      <x:c r="B3253" s="16" t="str">
        <x:v>Ismail Faruqi Pedas</x:v>
      </x:c>
      <x:c r="C3253" s="16" t="str"/>
      <x:c r="D3253" s="16" t="str">
        <x:v>* myContacts</x:v>
      </x:c>
      <x:c r="E3253" s="16" t="str">
        <x:v>Missing email</x:v>
      </x:c>
    </x:row>
    <x:row r="3254">
      <x:c r="A3254" s="16" t="n">
        <x:v>3381</x:v>
      </x:c>
      <x:c r="B3254" s="16" t="str">
        <x:v>Ismail Zahin Ibrahim</x:v>
      </x:c>
      <x:c r="C3254" s="16" t="str"/>
      <x:c r="D3254" s="16" t="str">
        <x:v>* myContacts</x:v>
      </x:c>
      <x:c r="E3254" s="16" t="str">
        <x:v>Missing email</x:v>
      </x:c>
    </x:row>
    <x:row r="3255">
      <x:c r="A3255" s="16" t="n">
        <x:v>3382</x:v>
      </x:c>
      <x:c r="B3255" s="16" t="str">
        <x:v>Ismee Suhana</x:v>
      </x:c>
      <x:c r="C3255" s="16" t="str"/>
      <x:c r="D3255" s="16" t="str">
        <x:v>* myContacts</x:v>
      </x:c>
      <x:c r="E3255" s="16" t="str">
        <x:v>Missing email</x:v>
      </x:c>
    </x:row>
    <x:row r="3256">
      <x:c r="A3256" s="16" t="n">
        <x:v>3383</x:v>
      </x:c>
      <x:c r="B3256" s="16" t="str">
        <x:v>Ismi Huda</x:v>
      </x:c>
      <x:c r="C3256" s="16" t="str"/>
      <x:c r="D3256" s="16" t="str">
        <x:v>* myContacts</x:v>
      </x:c>
      <x:c r="E3256" s="16" t="str">
        <x:v>Missing email</x:v>
      </x:c>
    </x:row>
    <x:row r="3257">
      <x:c r="A3257" s="16" t="n">
        <x:v>3384</x:v>
      </x:c>
      <x:c r="B3257" s="16" t="str">
        <x:v>Isnaruddin AGP</x:v>
      </x:c>
      <x:c r="C3257" s="16" t="str"/>
      <x:c r="D3257" s="16" t="str">
        <x:v>* myContacts</x:v>
      </x:c>
      <x:c r="E3257" s="16" t="str">
        <x:v>Missing email</x:v>
      </x:c>
    </x:row>
    <x:row r="3258">
      <x:c r="A3258" s="16" t="n">
        <x:v>3385</x:v>
      </x:c>
      <x:c r="B3258" s="16" t="str">
        <x:v>Isranshah AGP</x:v>
      </x:c>
      <x:c r="C3258" s="16" t="str"/>
      <x:c r="D3258" s="16" t="str">
        <x:v>* myContacts</x:v>
      </x:c>
      <x:c r="E3258" s="16" t="str">
        <x:v>Missing email</x:v>
      </x:c>
    </x:row>
    <x:row r="3259">
      <x:c r="A3259" s="16" t="n">
        <x:v>3386</x:v>
      </x:c>
      <x:c r="B3259" s="16" t="str">
        <x:v>Issac boss kumoten</x:v>
      </x:c>
      <x:c r="C3259" s="16" t="str"/>
      <x:c r="D3259" s="16" t="str">
        <x:v>* myContacts</x:v>
      </x:c>
      <x:c r="E3259" s="16" t="str">
        <x:v>Missing email</x:v>
      </x:c>
    </x:row>
    <x:row r="3260">
      <x:c r="A3260" s="16" t="n">
        <x:v>3387</x:v>
      </x:c>
      <x:c r="B3260" s="16" t="str">
        <x:v>Issani instaweb</x:v>
      </x:c>
      <x:c r="C3260" s="16" t="str"/>
      <x:c r="D3260" s="16" t="str">
        <x:v>* myContacts</x:v>
      </x:c>
      <x:c r="E3260" s="16" t="str">
        <x:v>Missing email</x:v>
      </x:c>
    </x:row>
    <x:row r="3261">
      <x:c r="A3261" s="16" t="n">
        <x:v>3388</x:v>
      </x:c>
      <x:c r="B3261" s="16" t="str">
        <x:v>Isteri ayie jual umpan</x:v>
      </x:c>
      <x:c r="C3261" s="16" t="str"/>
      <x:c r="D3261" s="16" t="str">
        <x:v>* myContacts</x:v>
      </x:c>
      <x:c r="E3261" s="16" t="str">
        <x:v>Missing email</x:v>
      </x:c>
    </x:row>
    <x:row r="3262">
      <x:c r="A3262" s="16" t="n">
        <x:v>3389</x:v>
      </x:c>
      <x:c r="B3262" s="16" t="str">
        <x:v>Istikomah Rosidi</x:v>
      </x:c>
      <x:c r="C3262" s="16" t="str"/>
      <x:c r="D3262" s="16" t="str">
        <x:v>* myContacts</x:v>
      </x:c>
      <x:c r="E3262" s="16" t="str">
        <x:v>Missing email</x:v>
      </x:c>
    </x:row>
    <x:row r="3263">
      <x:c r="A3263" s="16" t="n">
        <x:v>3390</x:v>
      </x:c>
      <x:c r="B3263" s="16" t="str">
        <x:v>Isya Rahmy</x:v>
      </x:c>
      <x:c r="C3263" s="16" t="str"/>
      <x:c r="D3263" s="16" t="str">
        <x:v>* myContacts</x:v>
      </x:c>
      <x:c r="E3263" s="16" t="str">
        <x:v>Missing email</x:v>
      </x:c>
    </x:row>
    <x:row r="3264">
      <x:c r="A3264" s="16" t="n">
        <x:v>3391</x:v>
      </x:c>
      <x:c r="B3264" s="16" t="str">
        <x:v>Isz kanaz marketing</x:v>
      </x:c>
      <x:c r="C3264" s="16" t="str"/>
      <x:c r="D3264" s="16" t="str">
        <x:v>* myContacts</x:v>
      </x:c>
      <x:c r="E3264" s="16" t="str">
        <x:v>Missing email</x:v>
      </x:c>
    </x:row>
    <x:row r="3265">
      <x:c r="A3265" s="16" t="n">
        <x:v>3392</x:v>
      </x:c>
      <x:c r="B3265" s="16" t="str">
        <x:v>Ita Juwita</x:v>
      </x:c>
      <x:c r="C3265" s="16" t="str"/>
      <x:c r="D3265" s="16" t="str">
        <x:v>* myContacts</x:v>
      </x:c>
      <x:c r="E3265" s="16" t="str">
        <x:v>Missing email</x:v>
      </x:c>
    </x:row>
    <x:row r="3266">
      <x:c r="A3266" s="16" t="n">
        <x:v>3393</x:v>
      </x:c>
      <x:c r="B3266" s="16" t="str">
        <x:v>Ita Tamierisha</x:v>
      </x:c>
      <x:c r="C3266" s="16" t="str"/>
      <x:c r="D3266" s="16" t="str">
        <x:v>* myContacts</x:v>
      </x:c>
      <x:c r="E3266" s="16" t="str">
        <x:v>Missing email</x:v>
      </x:c>
    </x:row>
    <x:row r="3267">
      <x:c r="A3267" s="16" t="n">
        <x:v>3395</x:v>
      </x:c>
      <x:c r="B3267" s="16" t="str">
        <x:v>Ivm Selangor</x:v>
      </x:c>
      <x:c r="C3267" s="16" t="str"/>
      <x:c r="D3267" s="16" t="str">
        <x:v>* myContacts</x:v>
      </x:c>
      <x:c r="E3267" s="16" t="str">
        <x:v>Missing email</x:v>
      </x:c>
    </x:row>
    <x:row r="3268">
      <x:c r="A3268" s="16" t="n">
        <x:v>3396</x:v>
      </x:c>
      <x:c r="B3268" s="16" t="str">
        <x:v>Ivy Erra</x:v>
      </x:c>
      <x:c r="C3268" s="16" t="str"/>
      <x:c r="D3268" s="16" t="str">
        <x:v>* myContacts</x:v>
      </x:c>
      <x:c r="E3268" s="16" t="str">
        <x:v>Missing email</x:v>
      </x:c>
    </x:row>
    <x:row r="3269">
      <x:c r="A3269" s="16" t="n">
        <x:v>3397</x:v>
      </x:c>
      <x:c r="B3269" s="16" t="str">
        <x:v>Iwan Adiman</x:v>
      </x:c>
      <x:c r="C3269" s="16" t="str"/>
      <x:c r="D3269" s="16" t="str">
        <x:v>* myContacts</x:v>
      </x:c>
      <x:c r="E3269" s="16" t="str">
        <x:v>Missing email</x:v>
      </x:c>
    </x:row>
    <x:row r="3270">
      <x:c r="A3270" s="16" t="n">
        <x:v>3398</x:v>
      </x:c>
      <x:c r="B3270" s="16" t="str">
        <x:v>Iwan Evans</x:v>
      </x:c>
      <x:c r="C3270" s="16" t="str"/>
      <x:c r="D3270" s="16" t="str">
        <x:v>* myContacts</x:v>
      </x:c>
      <x:c r="E3270" s="16" t="str">
        <x:v>Missing email</x:v>
      </x:c>
    </x:row>
    <x:row r="3271">
      <x:c r="A3271" s="16" t="n">
        <x:v>3399</x:v>
      </x:c>
      <x:c r="B3271" s="16" t="str">
        <x:v>Iwan IM</x:v>
      </x:c>
      <x:c r="C3271" s="16" t="str"/>
      <x:c r="D3271" s="16" t="str">
        <x:v>* myContacts</x:v>
      </x:c>
      <x:c r="E3271" s="16" t="str">
        <x:v>Missing email</x:v>
      </x:c>
    </x:row>
    <x:row r="3272">
      <x:c r="A3272" s="16" t="n">
        <x:v>3400</x:v>
      </x:c>
      <x:c r="B3272" s="16" t="str">
        <x:v>Iz Faezz</x:v>
      </x:c>
      <x:c r="C3272" s="16" t="str"/>
      <x:c r="D3272" s="16" t="str">
        <x:v>* myContacts</x:v>
      </x:c>
      <x:c r="E3272" s="16" t="str">
        <x:v>Missing email</x:v>
      </x:c>
    </x:row>
    <x:row r="3273">
      <x:c r="A3273" s="16" t="n">
        <x:v>3401</x:v>
      </x:c>
      <x:c r="B3273" s="16" t="str">
        <x:v>IZ Soraya Maya</x:v>
      </x:c>
      <x:c r="C3273" s="16" t="str"/>
      <x:c r="D3273" s="16" t="str">
        <x:v>* myContacts</x:v>
      </x:c>
      <x:c r="E3273" s="16" t="str">
        <x:v>Missing email</x:v>
      </x:c>
    </x:row>
    <x:row r="3274">
      <x:c r="A3274" s="16" t="n">
        <x:v>3402</x:v>
      </x:c>
      <x:c r="B3274" s="16" t="str">
        <x:v>Iza Farida</x:v>
      </x:c>
      <x:c r="C3274" s="16" t="str"/>
      <x:c r="D3274" s="16" t="str">
        <x:v>* myContacts</x:v>
      </x:c>
      <x:c r="E3274" s="16" t="str">
        <x:v>Missing email</x:v>
      </x:c>
    </x:row>
    <x:row r="3275">
      <x:c r="A3275" s="16" t="n">
        <x:v>3403</x:v>
      </x:c>
      <x:c r="B3275" s="16" t="str">
        <x:v>Izad Rhazali</x:v>
      </x:c>
      <x:c r="C3275" s="16" t="str"/>
      <x:c r="D3275" s="16" t="str">
        <x:v>* myContacts</x:v>
      </x:c>
      <x:c r="E3275" s="16" t="str">
        <x:v>Missing email</x:v>
      </x:c>
    </x:row>
    <x:row r="3276">
      <x:c r="A3276" s="16" t="n">
        <x:v>3404</x:v>
      </x:c>
      <x:c r="B3276" s="16" t="str">
        <x:v>Izah Cool</x:v>
      </x:c>
      <x:c r="C3276" s="16" t="str"/>
      <x:c r="D3276" s="16" t="str">
        <x:v>* myContacts</x:v>
      </x:c>
      <x:c r="E3276" s="16" t="str">
        <x:v>Missing email</x:v>
      </x:c>
    </x:row>
    <x:row r="3277">
      <x:c r="A3277" s="16" t="n">
        <x:v>3405</x:v>
      </x:c>
      <x:c r="B3277" s="16" t="str">
        <x:v>Izaily Ibrahim AGP</x:v>
      </x:c>
      <x:c r="C3277" s="16" t="str"/>
      <x:c r="D3277" s="16" t="str">
        <x:v>* myContacts</x:v>
      </x:c>
      <x:c r="E3277" s="16" t="str">
        <x:v>Missing email</x:v>
      </x:c>
    </x:row>
    <x:row r="3278">
      <x:c r="A3278" s="16" t="n">
        <x:v>3406</x:v>
      </x:c>
      <x:c r="B3278" s="16" t="str">
        <x:v>Izaki Nur</x:v>
      </x:c>
      <x:c r="C3278" s="16" t="str"/>
      <x:c r="D3278" s="16" t="str">
        <x:v>* myContacts</x:v>
      </x:c>
      <x:c r="E3278" s="16" t="str">
        <x:v>Missing email</x:v>
      </x:c>
    </x:row>
    <x:row r="3279">
      <x:c r="A3279" s="16" t="n">
        <x:v>3407</x:v>
      </x:c>
      <x:c r="B3279" s="16" t="str">
        <x:v>Izan Hasim</x:v>
      </x:c>
      <x:c r="C3279" s="16" t="str"/>
      <x:c r="D3279" s="16" t="str">
        <x:v>* myContacts</x:v>
      </x:c>
      <x:c r="E3279" s="16" t="str">
        <x:v>Missing email</x:v>
      </x:c>
    </x:row>
    <x:row r="3280">
      <x:c r="A3280" s="16" t="n">
        <x:v>3408</x:v>
      </x:c>
      <x:c r="B3280" s="16" t="str">
        <x:v>Izan Success</x:v>
      </x:c>
      <x:c r="C3280" s="16" t="str"/>
      <x:c r="D3280" s="16" t="str">
        <x:v>* myContacts</x:v>
      </x:c>
      <x:c r="E3280" s="16" t="str">
        <x:v>Missing email</x:v>
      </x:c>
    </x:row>
    <x:row r="3281">
      <x:c r="A3281" s="16" t="n">
        <x:v>3409</x:v>
      </x:c>
      <x:c r="B3281" s="16" t="str">
        <x:v>Izan's Izan</x:v>
      </x:c>
      <x:c r="C3281" s="16" t="str"/>
      <x:c r="D3281" s="16" t="str">
        <x:v>* myContacts</x:v>
      </x:c>
      <x:c r="E3281" s="16" t="str">
        <x:v>Missing email</x:v>
      </x:c>
    </x:row>
    <x:row r="3282">
      <x:c r="A3282" s="16" t="n">
        <x:v>3410</x:v>
      </x:c>
      <x:c r="B3282" s="16" t="str">
        <x:v>izani mdec</x:v>
      </x:c>
      <x:c r="C3282" s="16" t="str"/>
      <x:c r="D3282" s="16" t="str">
        <x:v>* myContacts</x:v>
      </x:c>
      <x:c r="E3282" s="16" t="str">
        <x:v>Missing email</x:v>
      </x:c>
    </x:row>
    <x:row r="3283">
      <x:c r="A3283" s="16" t="n">
        <x:v>3412</x:v>
      </x:c>
      <x:c r="B3283" s="16" t="str">
        <x:v>Izfareshal👨‍👩‍👧 Adjuster Zurich</x:v>
      </x:c>
      <x:c r="C3283" s="16" t="str"/>
      <x:c r="D3283" s="16" t="str">
        <x:v>* myContacts</x:v>
      </x:c>
      <x:c r="E3283" s="16" t="str">
        <x:v>Missing email</x:v>
      </x:c>
    </x:row>
    <x:row r="3284">
      <x:c r="A3284" s="16" t="n">
        <x:v>3413</x:v>
      </x:c>
      <x:c r="B3284" s="16" t="str">
        <x:v>Dr Izham Shah INSKEN</x:v>
      </x:c>
      <x:c r="C3284" s="16" t="str"/>
      <x:c r="D3284" s="16" t="str">
        <x:v>Alumni INSKEN | * myContacts</x:v>
      </x:c>
      <x:c r="E3284" s="16" t="str">
        <x:v>Missing email</x:v>
      </x:c>
    </x:row>
    <x:row r="3285">
      <x:c r="A3285" s="16" t="n">
        <x:v>3414</x:v>
      </x:c>
      <x:c r="B3285" s="16" t="str">
        <x:v>Izhar Nazari</x:v>
      </x:c>
      <x:c r="C3285" s="16" t="str"/>
      <x:c r="D3285" s="16" t="str">
        <x:v>* myContacts</x:v>
      </x:c>
      <x:c r="E3285" s="16" t="str">
        <x:v>Missing email</x:v>
      </x:c>
    </x:row>
    <x:row r="3286">
      <x:c r="A3286" s="16" t="n">
        <x:v>3415</x:v>
      </x:c>
      <x:c r="B3286" s="16" t="str">
        <x:v>Izhar Travel Andalusia</x:v>
      </x:c>
      <x:c r="C3286" s="16" t="str"/>
      <x:c r="D3286" s="16" t="str">
        <x:v>* myContacts</x:v>
      </x:c>
      <x:c r="E3286" s="16" t="str">
        <x:v>Missing email</x:v>
      </x:c>
    </x:row>
    <x:row r="3287">
      <x:c r="A3287" s="16" t="n">
        <x:v>3416</x:v>
      </x:c>
      <x:c r="B3287" s="16" t="str">
        <x:v>Izraff Ashraff</x:v>
      </x:c>
      <x:c r="C3287" s="16" t="str"/>
      <x:c r="D3287" s="16" t="str">
        <x:v>* myContacts</x:v>
      </x:c>
      <x:c r="E3287" s="16" t="str">
        <x:v>Missing email</x:v>
      </x:c>
    </x:row>
    <x:row r="3288">
      <x:c r="A3288" s="16" t="n">
        <x:v>3417</x:v>
      </x:c>
      <x:c r="B3288" s="16" t="str">
        <x:v>Izral Roslan</x:v>
      </x:c>
      <x:c r="C3288" s="16" t="str"/>
      <x:c r="D3288" s="16" t="str">
        <x:v>* myContacts</x:v>
      </x:c>
      <x:c r="E3288" s="16" t="str">
        <x:v>Missing email</x:v>
      </x:c>
    </x:row>
    <x:row r="3289">
      <x:c r="A3289" s="16" t="n">
        <x:v>3418</x:v>
      </x:c>
      <x:c r="B3289" s="16" t="str">
        <x:v>Izreen Ainaa Atiqah</x:v>
      </x:c>
      <x:c r="C3289" s="16" t="str"/>
      <x:c r="D3289" s="16" t="str">
        <x:v>* myContacts</x:v>
      </x:c>
      <x:c r="E3289" s="16" t="str">
        <x:v>Missing email</x:v>
      </x:c>
    </x:row>
    <x:row r="3290">
      <x:c r="A3290" s="16" t="n">
        <x:v>3419</x:v>
      </x:c>
      <x:c r="B3290" s="16" t="str">
        <x:v>Izuan Bakar</x:v>
      </x:c>
      <x:c r="C3290" s="16" t="str"/>
      <x:c r="D3290" s="16" t="str">
        <x:v>* myContacts</x:v>
      </x:c>
      <x:c r="E3290" s="16" t="str">
        <x:v>Missing email</x:v>
      </x:c>
    </x:row>
    <x:row r="3291">
      <x:c r="A3291" s="16" t="n">
        <x:v>3420</x:v>
      </x:c>
      <x:c r="B3291" s="16" t="str">
        <x:v>Izwan Abdul Rahman</x:v>
      </x:c>
      <x:c r="C3291" s="16" t="str"/>
      <x:c r="D3291" s="16" t="str">
        <x:v>* myContacts</x:v>
      </x:c>
      <x:c r="E3291" s="16" t="str">
        <x:v>Missing email</x:v>
      </x:c>
    </x:row>
    <x:row r="3292">
      <x:c r="A3292" s="16" t="n">
        <x:v>3421</x:v>
      </x:c>
      <x:c r="B3292" s="16" t="str">
        <x:v>Izwan Azmi</x:v>
      </x:c>
      <x:c r="C3292" s="16" t="str"/>
      <x:c r="D3292" s="16" t="str">
        <x:v>* myContacts</x:v>
      </x:c>
      <x:c r="E3292" s="16" t="str">
        <x:v>Missing email</x:v>
      </x:c>
    </x:row>
    <x:row r="3293">
      <x:c r="A3293" s="16" t="n">
        <x:v>3422</x:v>
      </x:c>
      <x:c r="B3293" s="16" t="str">
        <x:v>Izwan Hamzi</x:v>
      </x:c>
      <x:c r="C3293" s="16" t="str"/>
      <x:c r="D3293" s="16" t="str">
        <x:v>* myContacts</x:v>
      </x:c>
      <x:c r="E3293" s="16" t="str">
        <x:v>Missing email</x:v>
      </x:c>
    </x:row>
    <x:row r="3294">
      <x:c r="A3294" s="16" t="n">
        <x:v>3423</x:v>
      </x:c>
      <x:c r="B3294" s="16" t="str">
        <x:v>Izwan Programmer BDA</x:v>
      </x:c>
      <x:c r="C3294" s="16" t="str"/>
      <x:c r="D3294" s="16" t="str">
        <x:v>* myContacts</x:v>
      </x:c>
      <x:c r="E3294" s="16" t="str">
        <x:v>Missing email</x:v>
      </x:c>
    </x:row>
    <x:row r="3295">
      <x:c r="A3295" s="16" t="n">
        <x:v>3424</x:v>
      </x:c>
      <x:c r="B3295" s="16" t="str">
        <x:v>Izwan Trainer Mdec</x:v>
      </x:c>
      <x:c r="C3295" s="16" t="str"/>
      <x:c r="D3295" s="16" t="str">
        <x:v>* myContacts</x:v>
      </x:c>
      <x:c r="E3295" s="16" t="str">
        <x:v>Missing email</x:v>
      </x:c>
    </x:row>
    <x:row r="3296">
      <x:c r="A3296" s="16" t="n">
        <x:v>3425</x:v>
      </x:c>
      <x:c r="B3296" s="16" t="str">
        <x:v>Izwan UTM</x:v>
      </x:c>
      <x:c r="C3296" s="16" t="str"/>
      <x:c r="D3296" s="16" t="str">
        <x:v>* myContacts</x:v>
      </x:c>
      <x:c r="E3296" s="16" t="str">
        <x:v>Missing email</x:v>
      </x:c>
    </x:row>
    <x:row r="3297">
      <x:c r="A3297" s="16" t="n">
        <x:v>3426</x:v>
      </x:c>
      <x:c r="B3297" s="16" t="str">
        <x:v>Izyan Sulaiman</x:v>
      </x:c>
      <x:c r="C3297" s="16" t="str"/>
      <x:c r="D3297" s="16" t="str">
        <x:v>* myContacts</x:v>
      </x:c>
      <x:c r="E3297" s="16" t="str">
        <x:v>Missing email</x:v>
      </x:c>
    </x:row>
    <x:row r="3298">
      <x:c r="A3298" s="16" t="n">
        <x:v>3427</x:v>
      </x:c>
      <x:c r="B3298" s="16" t="str">
        <x:v>Izyan Zetty</x:v>
      </x:c>
      <x:c r="C3298" s="16" t="str"/>
      <x:c r="D3298" s="16" t="str">
        <x:v>* myContacts</x:v>
      </x:c>
      <x:c r="E3298" s="16" t="str">
        <x:v>Missing email</x:v>
      </x:c>
    </x:row>
    <x:row r="3299">
      <x:c r="A3299" s="16" t="n">
        <x:v>3428</x:v>
      </x:c>
      <x:c r="B3299" s="16" t="str">
        <x:v>Izz Ayden</x:v>
      </x:c>
      <x:c r="C3299" s="16" t="str"/>
      <x:c r="D3299" s="16" t="str">
        <x:v>* myContacts</x:v>
      </x:c>
      <x:c r="E3299" s="16" t="str">
        <x:v>Missing email</x:v>
      </x:c>
    </x:row>
    <x:row r="3300">
      <x:c r="A3300" s="16" t="n">
        <x:v>3429</x:v>
      </x:c>
      <x:c r="B3300" s="16" t="str">
        <x:v>Izza Illa</x:v>
      </x:c>
      <x:c r="C3300" s="16" t="str"/>
      <x:c r="D3300" s="16" t="str">
        <x:v>* myContacts</x:v>
      </x:c>
      <x:c r="E3300" s="16" t="str">
        <x:v>Missing email</x:v>
      </x:c>
    </x:row>
    <x:row r="3301">
      <x:c r="A3301" s="16" t="n">
        <x:v>3430</x:v>
      </x:c>
      <x:c r="B3301" s="16" t="str">
        <x:v>Izzat bos abaata</x:v>
      </x:c>
      <x:c r="C3301" s="16" t="str"/>
      <x:c r="D3301" s="16" t="str">
        <x:v>* myContacts</x:v>
      </x:c>
      <x:c r="E3301" s="16" t="str">
        <x:v>Missing email</x:v>
      </x:c>
    </x:row>
    <x:row r="3302">
      <x:c r="A3302" s="16" t="n">
        <x:v>3431</x:v>
      </x:c>
      <x:c r="B3302" s="16" t="str">
        <x:v>Izzat Bosss Emarketplace Helpy</x:v>
      </x:c>
      <x:c r="C3302" s="16" t="str"/>
      <x:c r="D3302" s="16" t="str">
        <x:v>* myContacts</x:v>
      </x:c>
      <x:c r="E3302" s="16" t="str">
        <x:v>Missing email</x:v>
      </x:c>
    </x:row>
    <x:row r="3303">
      <x:c r="A3303" s="16" t="n">
        <x:v>3432</x:v>
      </x:c>
      <x:c r="B3303" s="16" t="str">
        <x:v>Izzat Jdt</x:v>
      </x:c>
      <x:c r="C3303" s="16" t="str"/>
      <x:c r="D3303" s="16" t="str">
        <x:v>* myContacts</x:v>
      </x:c>
      <x:c r="E3303" s="16" t="str">
        <x:v>Missing email</x:v>
      </x:c>
    </x:row>
    <x:row r="3304">
      <x:c r="A3304" s="16" t="n">
        <x:v>3433</x:v>
      </x:c>
      <x:c r="B3304" s="16" t="str">
        <x:v>Izzati Pakar Korea</x:v>
      </x:c>
      <x:c r="C3304" s="16" t="str"/>
      <x:c r="D3304" s="16" t="str">
        <x:v>* myContacts</x:v>
      </x:c>
      <x:c r="E3304" s="16" t="str">
        <x:v>Missing email</x:v>
      </x:c>
    </x:row>
    <x:row r="3305">
      <x:c r="A3305" s="16" t="n">
        <x:v>3434</x:v>
      </x:c>
      <x:c r="B3305" s="16" t="str">
        <x:v>Izzaty Aziz</x:v>
      </x:c>
      <x:c r="C3305" s="16" t="str"/>
      <x:c r="D3305" s="16" t="str">
        <x:v>* myContacts</x:v>
      </x:c>
      <x:c r="E3305" s="16" t="str">
        <x:v>Missing email</x:v>
      </x:c>
    </x:row>
    <x:row r="3306">
      <x:c r="A3306" s="16" t="n">
        <x:v>3435</x:v>
      </x:c>
      <x:c r="B3306" s="16" t="str">
        <x:v>Izzaty Mdec Eusahawan Staff</x:v>
      </x:c>
      <x:c r="C3306" s="16" t="str"/>
      <x:c r="D3306" s="16" t="str">
        <x:v>* myContacts</x:v>
      </x:c>
      <x:c r="E3306" s="16" t="str">
        <x:v>Missing email</x:v>
      </x:c>
    </x:row>
    <x:row r="3307">
      <x:c r="A3307" s="16" t="n">
        <x:v>3436</x:v>
      </x:c>
      <x:c r="B3307" s="16" t="str">
        <x:v>Izzuddin TheKing</x:v>
      </x:c>
      <x:c r="C3307" s="16" t="str"/>
      <x:c r="D3307" s="16" t="str">
        <x:v>* myContacts</x:v>
      </x:c>
      <x:c r="E3307" s="16" t="str">
        <x:v>Missing email</x:v>
      </x:c>
    </x:row>
    <x:row r="3308">
      <x:c r="A3308" s="16" t="n">
        <x:v>3437</x:v>
      </x:c>
      <x:c r="B3308" s="16" t="str">
        <x:v>Izzul Syazani Saas Expert</x:v>
      </x:c>
      <x:c r="C3308" s="16" t="str"/>
      <x:c r="D3308" s="16" t="str">
        <x:v>* myContacts</x:v>
      </x:c>
      <x:c r="E3308" s="16" t="str">
        <x:v>Missing email</x:v>
      </x:c>
    </x:row>
    <x:row r="3309">
      <x:c r="A3309" s="16" t="n">
        <x:v>3438</x:v>
      </x:c>
      <x:c r="B3309" s="16" t="str">
        <x:v>Dr J Akaunting Expert</x:v>
      </x:c>
      <x:c r="C3309" s="16" t="str"/>
      <x:c r="D3309" s="16" t="str">
        <x:v>* myContacts</x:v>
      </x:c>
      <x:c r="E3309" s="16" t="str">
        <x:v>Missing email</x:v>
      </x:c>
    </x:row>
    <x:row r="3310">
      <x:c r="A3310" s="16" t="n">
        <x:v>3439</x:v>
      </x:c>
      <x:c r="B3310" s="16" t="str">
        <x:v>Ja Pok Loh</x:v>
      </x:c>
      <x:c r="C3310" s="16" t="str"/>
      <x:c r="D3310" s="16" t="str">
        <x:v>* myContacts</x:v>
      </x:c>
      <x:c r="E3310" s="16" t="str">
        <x:v>Missing email</x:v>
      </x:c>
    </x:row>
    <x:row r="3311">
      <x:c r="A3311" s="16" t="n">
        <x:v>3440</x:v>
      </x:c>
      <x:c r="B3311" s="16" t="str">
        <x:v>Jaafar Hearing Aid</x:v>
      </x:c>
      <x:c r="C3311" s="16" t="str"/>
      <x:c r="D3311" s="16" t="str">
        <x:v>* myContacts</x:v>
      </x:c>
      <x:c r="E3311" s="16" t="str">
        <x:v>Missing email</x:v>
      </x:c>
    </x:row>
    <x:row r="3312">
      <x:c r="A3312" s="16" t="n">
        <x:v>3441</x:v>
      </x:c>
      <x:c r="B3312" s="16" t="str">
        <x:v>Jaafar kanaz marketing</x:v>
      </x:c>
      <x:c r="C3312" s="16" t="str"/>
      <x:c r="D3312" s="16" t="str">
        <x:v>* myContacts</x:v>
      </x:c>
      <x:c r="E3312" s="16" t="str">
        <x:v>Missing email</x:v>
      </x:c>
    </x:row>
    <x:row r="3313">
      <x:c r="A3313" s="16" t="n">
        <x:v>3442</x:v>
      </x:c>
      <x:c r="B3313" s="16" t="str">
        <x:v>Jabir Doing</x:v>
      </x:c>
      <x:c r="C3313" s="16" t="str"/>
      <x:c r="D3313" s="16" t="str">
        <x:v>* myContacts</x:v>
      </x:c>
      <x:c r="E3313" s="16" t="str">
        <x:v>Missing email</x:v>
      </x:c>
    </x:row>
    <x:row r="3314">
      <x:c r="A3314" s="16" t="n">
        <x:v>3443</x:v>
      </x:c>
      <x:c r="B3314" s="16" t="str">
        <x:v>Jacey@tiktok</x:v>
      </x:c>
      <x:c r="C3314" s="16" t="str"/>
      <x:c r="D3314" s="16" t="str">
        <x:v>* myContacts</x:v>
      </x:c>
      <x:c r="E3314" s="16" t="str">
        <x:v>Missing email</x:v>
      </x:c>
    </x:row>
    <x:row r="3315">
      <x:c r="A3315" s="16" t="n">
        <x:v>3444</x:v>
      </x:c>
      <x:c r="B3315" s="16" t="str">
        <x:v>jack</x:v>
      </x:c>
      <x:c r="C3315" s="16" t="str"/>
      <x:c r="D3315" s="16" t="str">
        <x:v>* myContacts</x:v>
      </x:c>
      <x:c r="E3315" s="16" t="str">
        <x:v>Missing email</x:v>
      </x:c>
    </x:row>
    <x:row r="3316">
      <x:c r="A3316" s="16" t="n">
        <x:v>3445</x:v>
      </x:c>
      <x:c r="B3316" s="16" t="str">
        <x:v>Jacky Tay</x:v>
      </x:c>
      <x:c r="C3316" s="16" t="str"/>
      <x:c r="D3316" s="16" t="str">
        <x:v>* myContacts</x:v>
      </x:c>
      <x:c r="E3316" s="16" t="str">
        <x:v>Missing email</x:v>
      </x:c>
    </x:row>
    <x:row r="3317">
      <x:c r="A3317" s="16" t="n">
        <x:v>3446</x:v>
      </x:c>
      <x:c r="B3317" s="16" t="str">
        <x:v>Jafri Bakar AGP</x:v>
      </x:c>
      <x:c r="C3317" s="16" t="str"/>
      <x:c r="D3317" s="16" t="str">
        <x:v>* myContacts</x:v>
      </x:c>
      <x:c r="E3317" s="16" t="str">
        <x:v>Missing email</x:v>
      </x:c>
    </x:row>
    <x:row r="3318">
      <x:c r="A3318" s="16" t="n">
        <x:v>3447</x:v>
      </x:c>
      <x:c r="B3318" s="16" t="str">
        <x:v>Jafrydin Bin Abdul Jalil</x:v>
      </x:c>
      <x:c r="C3318" s="16" t="str"/>
      <x:c r="D3318" s="16" t="str">
        <x:v>* myContacts</x:v>
      </x:c>
      <x:c r="E3318" s="16" t="str">
        <x:v>Missing email</x:v>
      </x:c>
    </x:row>
    <x:row r="3319">
      <x:c r="A3319" s="16" t="n">
        <x:v>3448</x:v>
      </x:c>
      <x:c r="B3319" s="16" t="str">
        <x:v>Client Jafrydin Bin Abdul Jalil</x:v>
      </x:c>
      <x:c r="C3319" s="16" t="str"/>
      <x:c r="D3319" s="16" t="str">
        <x:v>* myContacts</x:v>
      </x:c>
      <x:c r="E3319" s="16" t="str">
        <x:v>Missing email</x:v>
      </x:c>
    </x:row>
    <x:row r="3320">
      <x:c r="A3320" s="16" t="n">
        <x:v>3449</x:v>
      </x:c>
      <x:c r="B3320" s="16" t="str">
        <x:v>Jahaludin BDA</x:v>
      </x:c>
      <x:c r="C3320" s="16" t="str"/>
      <x:c r="D3320" s="16" t="str">
        <x:v>* myContacts</x:v>
      </x:c>
      <x:c r="E3320" s="16" t="str">
        <x:v>Missing email</x:v>
      </x:c>
    </x:row>
    <x:row r="3321">
      <x:c r="A3321" s="16" t="n">
        <x:v>3451</x:v>
      </x:c>
      <x:c r="B3321" s="16" t="str">
        <x:v>Jai Al Ansar</x:v>
      </x:c>
      <x:c r="C3321" s="16" t="str"/>
      <x:c r="D3321" s="16" t="str">
        <x:v>* myContacts</x:v>
      </x:c>
      <x:c r="E3321" s="16" t="str">
        <x:v>Missing email</x:v>
      </x:c>
    </x:row>
    <x:row r="3322">
      <x:c r="A3322" s="16" t="n">
        <x:v>3452</x:v>
      </x:c>
      <x:c r="B3322" s="16" t="str">
        <x:v>Jai Buat Rumah</x:v>
      </x:c>
      <x:c r="C3322" s="16" t="str"/>
      <x:c r="D3322" s="16" t="str">
        <x:v>* myContacts</x:v>
      </x:c>
      <x:c r="E3322" s="16" t="str">
        <x:v>Missing email</x:v>
      </x:c>
    </x:row>
    <x:row r="3323">
      <x:c r="A3323" s="16" t="n">
        <x:v>3453</x:v>
      </x:c>
      <x:c r="B3323" s="16" t="str">
        <x:v>Jai Ipoh</x:v>
      </x:c>
      <x:c r="C3323" s="16" t="str"/>
      <x:c r="D3323" s="16" t="str">
        <x:v>* myContacts</x:v>
      </x:c>
      <x:c r="E3323" s="16" t="str">
        <x:v>Missing email</x:v>
      </x:c>
    </x:row>
    <x:row r="3324">
      <x:c r="A3324" s="16" t="n">
        <x:v>3454</x:v>
      </x:c>
      <x:c r="B3324" s="16" t="str">
        <x:v>Jai Mohd JB</x:v>
      </x:c>
      <x:c r="C3324" s="16" t="str"/>
      <x:c r="D3324" s="16" t="str">
        <x:v>* myContacts</x:v>
      </x:c>
      <x:c r="E3324" s="16" t="str">
        <x:v>Missing email</x:v>
      </x:c>
    </x:row>
    <x:row r="3325">
      <x:c r="A3325" s="16" t="n">
        <x:v>3455</x:v>
      </x:c>
      <x:c r="B3325" s="16" t="str">
        <x:v>Jainah Goo Ongubing</x:v>
      </x:c>
      <x:c r="C3325" s="16" t="str"/>
      <x:c r="D3325" s="16" t="str">
        <x:v>* myContacts</x:v>
      </x:c>
      <x:c r="E3325" s="16" t="str">
        <x:v>Missing email</x:v>
      </x:c>
    </x:row>
    <x:row r="3326">
      <x:c r="A3326" s="16" t="n">
        <x:v>3456</x:v>
      </x:c>
      <x:c r="B3326" s="16" t="str">
        <x:v>JAk MenJet</x:v>
      </x:c>
      <x:c r="C3326" s="16" t="str"/>
      <x:c r="D3326" s="16" t="str">
        <x:v>* myContacts</x:v>
      </x:c>
      <x:c r="E3326" s="16" t="str">
        <x:v>Missing email</x:v>
      </x:c>
    </x:row>
    <x:row r="3327">
      <x:c r="A3327" s="16" t="n">
        <x:v>3457</x:v>
      </x:c>
      <x:c r="B3327" s="16" t="str">
        <x:v>Jalal Yusof</x:v>
      </x:c>
      <x:c r="C3327" s="16" t="str"/>
      <x:c r="D3327" s="16" t="str">
        <x:v>* myContacts</x:v>
      </x:c>
      <x:c r="E3327" s="16" t="str">
        <x:v>Missing email</x:v>
      </x:c>
    </x:row>
    <x:row r="3328">
      <x:c r="A3328" s="16" t="n">
        <x:v>3458</x:v>
      </x:c>
      <x:c r="B3328" s="16" t="str">
        <x:v>Jals Kal-el</x:v>
      </x:c>
      <x:c r="C3328" s="16" t="str"/>
      <x:c r="D3328" s="16" t="str">
        <x:v>* myContacts</x:v>
      </x:c>
      <x:c r="E3328" s="16" t="str">
        <x:v>Missing email</x:v>
      </x:c>
    </x:row>
    <x:row r="3329">
      <x:c r="A3329" s="16" t="n">
        <x:v>3459</x:v>
      </x:c>
      <x:c r="B3329" s="16" t="str">
        <x:v>Jamaliah Jamli</x:v>
      </x:c>
      <x:c r="C3329" s="16" t="str"/>
      <x:c r="D3329" s="16" t="str">
        <x:v>* myContacts</x:v>
      </x:c>
      <x:c r="E3329" s="16" t="str">
        <x:v>Missing email</x:v>
      </x:c>
    </x:row>
    <x:row r="3330">
      <x:c r="A3330" s="16" t="n">
        <x:v>3460</x:v>
      </x:c>
      <x:c r="B3330" s="16" t="str">
        <x:v>Jamaludin Salleh Mashitah Ismail</x:v>
      </x:c>
      <x:c r="C3330" s="16" t="str"/>
      <x:c r="D3330" s="16" t="str">
        <x:v>* myContacts</x:v>
      </x:c>
      <x:c r="E3330" s="16" t="str">
        <x:v>Missing email</x:v>
      </x:c>
    </x:row>
    <x:row r="3331">
      <x:c r="A3331" s="16" t="n">
        <x:v>3461</x:v>
      </x:c>
      <x:c r="B3331" s="16" t="str">
        <x:v>Jamel Kuin</x:v>
      </x:c>
      <x:c r="C3331" s="16" t="str"/>
      <x:c r="D3331" s="16" t="str">
        <x:v>* myContacts</x:v>
      </x:c>
      <x:c r="E3331" s="16" t="str">
        <x:v>Missing email</x:v>
      </x:c>
    </x:row>
    <x:row r="3332">
      <x:c r="A3332" s="16" t="n">
        <x:v>3463</x:v>
      </x:c>
      <x:c r="B3332" s="16" t="str">
        <x:v>James Wong Kt</x:v>
      </x:c>
      <x:c r="C3332" s="16" t="str"/>
      <x:c r="D3332" s="16" t="str">
        <x:v>* myContacts</x:v>
      </x:c>
      <x:c r="E3332" s="16" t="str">
        <x:v>Missing email</x:v>
      </x:c>
    </x:row>
    <x:row r="3333">
      <x:c r="A3333" s="16" t="n">
        <x:v>3464</x:v>
      </x:c>
      <x:c r="B3333" s="16" t="str">
        <x:v>Jamie Micicu</x:v>
      </x:c>
      <x:c r="C3333" s="16" t="str"/>
      <x:c r="D3333" s="16" t="str">
        <x:v>* myContacts</x:v>
      </x:c>
      <x:c r="E3333" s="16" t="str">
        <x:v>Missing email</x:v>
      </x:c>
    </x:row>
    <x:row r="3334">
      <x:c r="A3334" s="16" t="n">
        <x:v>3465</x:v>
      </x:c>
      <x:c r="B3334" s="16" t="str">
        <x:v>Jamil Asari</x:v>
      </x:c>
      <x:c r="C3334" s="16" t="str"/>
      <x:c r="D3334" s="16" t="str">
        <x:v>* myContacts</x:v>
      </x:c>
      <x:c r="E3334" s="16" t="str">
        <x:v>Missing email</x:v>
      </x:c>
    </x:row>
    <x:row r="3335">
      <x:c r="A3335" s="16" t="n">
        <x:v>3466</x:v>
      </x:c>
      <x:c r="B3335" s="16" t="str">
        <x:v>Jamil Ismail Paklang</x:v>
      </x:c>
      <x:c r="C3335" s="16" t="str"/>
      <x:c r="D3335" s="16" t="str">
        <x:v>* myContacts</x:v>
      </x:c>
      <x:c r="E3335" s="16" t="str">
        <x:v>Missing email</x:v>
      </x:c>
    </x:row>
    <x:row r="3336">
      <x:c r="A3336" s="16" t="n">
        <x:v>3467</x:v>
      </x:c>
      <x:c r="B3336" s="16" t="str">
        <x:v>Jamil Tabliqh</x:v>
      </x:c>
      <x:c r="C3336" s="16" t="str"/>
      <x:c r="D3336" s="16" t="str">
        <x:v>* myContacts</x:v>
      </x:c>
      <x:c r="E3336" s="16" t="str">
        <x:v>Missing email</x:v>
      </x:c>
    </x:row>
    <x:row r="3337">
      <x:c r="A3337" s="16" t="n">
        <x:v>3468</x:v>
      </x:c>
      <x:c r="B3337" s="16" t="str">
        <x:v>Jamilah Shukri</x:v>
      </x:c>
      <x:c r="C3337" s="16" t="str"/>
      <x:c r="D3337" s="16" t="str">
        <x:v>* myContacts</x:v>
      </x:c>
      <x:c r="E3337" s="16" t="str">
        <x:v>Missing email</x:v>
      </x:c>
    </x:row>
    <x:row r="3338">
      <x:c r="A3338" s="16" t="n">
        <x:v>3469</x:v>
      </x:c>
      <x:c r="B3338" s="16" t="str">
        <x:v>Jamu Bidan Nilai</x:v>
      </x:c>
      <x:c r="C3338" s="16" t="str"/>
      <x:c r="D3338" s="16" t="str">
        <x:v>* myContacts</x:v>
      </x:c>
      <x:c r="E3338" s="16" t="str">
        <x:v>Missing email</x:v>
      </x:c>
    </x:row>
    <x:row r="3339">
      <x:c r="A3339" s="16" t="n">
        <x:v>3470</x:v>
      </x:c>
      <x:c r="B3339" s="16" t="str">
        <x:v>Jamuyounggold HQ Staff</x:v>
      </x:c>
      <x:c r="C3339" s="16" t="str"/>
      <x:c r="D3339" s="16" t="str">
        <x:v>* myContacts</x:v>
      </x:c>
      <x:c r="E3339" s="16" t="str">
        <x:v>Missing email</x:v>
      </x:c>
    </x:row>
    <x:row r="3340">
      <x:c r="A3340" s="16" t="n">
        <x:v>3471</x:v>
      </x:c>
      <x:c r="B3340" s="16" t="str">
        <x:v>Jane Putri Maharani Kaban</x:v>
      </x:c>
      <x:c r="C3340" s="16" t="str"/>
      <x:c r="D3340" s="16" t="str">
        <x:v>* myContacts</x:v>
      </x:c>
      <x:c r="E3340" s="16" t="str">
        <x:v>Missing email</x:v>
      </x:c>
    </x:row>
    <x:row r="3341">
      <x:c r="A3341" s="16" t="n">
        <x:v>3472</x:v>
      </x:c>
      <x:c r="B3341" s="16" t="str">
        <x:v>Janet Perin Janet</x:v>
      </x:c>
      <x:c r="C3341" s="16" t="str"/>
      <x:c r="D3341" s="16" t="str">
        <x:v>* myContacts</x:v>
      </x:c>
      <x:c r="E3341" s="16" t="str">
        <x:v>Missing email</x:v>
      </x:c>
    </x:row>
    <x:row r="3342">
      <x:c r="A3342" s="16" t="n">
        <x:v>3473</x:v>
      </x:c>
      <x:c r="B3342" s="16" t="str">
        <x:v>Jannah Meatech College</x:v>
      </x:c>
      <x:c r="C3342" s="16" t="str"/>
      <x:c r="D3342" s="16" t="str">
        <x:v>* myContacts</x:v>
      </x:c>
      <x:c r="E3342" s="16" t="str">
        <x:v>Missing email</x:v>
      </x:c>
    </x:row>
    <x:row r="3343">
      <x:c r="A3343" s="16" t="n">
        <x:v>3474</x:v>
      </x:c>
      <x:c r="B3343" s="16" t="str">
        <x:v>Jannaty Heru Risweda</x:v>
      </x:c>
      <x:c r="C3343" s="16" t="str"/>
      <x:c r="D3343" s="16" t="str">
        <x:v>* myContacts</x:v>
      </x:c>
      <x:c r="E3343" s="16" t="str">
        <x:v>Missing email</x:v>
      </x:c>
    </x:row>
    <x:row r="3344">
      <x:c r="A3344" s="16" t="n">
        <x:v>3475</x:v>
      </x:c>
      <x:c r="B3344" s="16" t="str">
        <x:v>JApps Buat Duit</x:v>
      </x:c>
      <x:c r="C3344" s="16" t="str"/>
      <x:c r="D3344" s="16" t="str">
        <x:v>* myContacts</x:v>
      </x:c>
      <x:c r="E3344" s="16" t="str">
        <x:v>Missing email</x:v>
      </x:c>
    </x:row>
    <x:row r="3345">
      <x:c r="A3345" s="16" t="n">
        <x:v>3476</x:v>
      </x:c>
      <x:c r="B3345" s="16" t="str">
        <x:v>Jaslie Samad</x:v>
      </x:c>
      <x:c r="C3345" s="16" t="str"/>
      <x:c r="D3345" s="16" t="str">
        <x:v>* myContacts</x:v>
      </x:c>
      <x:c r="E3345" s="16" t="str">
        <x:v>Missing email</x:v>
      </x:c>
    </x:row>
    <x:row r="3346">
      <x:c r="A3346" s="16" t="n">
        <x:v>3477</x:v>
      </x:c>
      <x:c r="B3346" s="16" t="str">
        <x:v>Jaslizawaty Junaidi</x:v>
      </x:c>
      <x:c r="C3346" s="16" t="str"/>
      <x:c r="D3346" s="16" t="str">
        <x:v>* myContacts</x:v>
      </x:c>
      <x:c r="E3346" s="16" t="str">
        <x:v>Missing email</x:v>
      </x:c>
    </x:row>
    <x:row r="3347">
      <x:c r="A3347" s="16" t="n">
        <x:v>3478</x:v>
      </x:c>
      <x:c r="B3347" s="16" t="str">
        <x:v>Jasmin Ally</x:v>
      </x:c>
      <x:c r="C3347" s="16" t="str"/>
      <x:c r="D3347" s="16" t="str">
        <x:v>* myContacts</x:v>
      </x:c>
      <x:c r="E3347" s="16" t="str">
        <x:v>Missing email</x:v>
      </x:c>
    </x:row>
    <x:row r="3348">
      <x:c r="A3348" s="16" t="n">
        <x:v>3479</x:v>
      </x:c>
      <x:c r="B3348" s="16" t="str">
        <x:v>Jasmine Alias</x:v>
      </x:c>
      <x:c r="C3348" s="16" t="str"/>
      <x:c r="D3348" s="16" t="str">
        <x:v>* myContacts</x:v>
      </x:c>
      <x:c r="E3348" s="16" t="str">
        <x:v>Missing email</x:v>
      </x:c>
    </x:row>
    <x:row r="3349">
      <x:c r="A3349" s="16" t="n">
        <x:v>3480</x:v>
      </x:c>
      <x:c r="B3349" s="16" t="str">
        <x:v>Jason Coway Kuching</x:v>
      </x:c>
      <x:c r="C3349" s="16" t="str"/>
      <x:c r="D3349" s="16" t="str">
        <x:v>* myContacts</x:v>
      </x:c>
      <x:c r="E3349" s="16" t="str">
        <x:v>Missing email</x:v>
      </x:c>
    </x:row>
    <x:row r="3350">
      <x:c r="A3350" s="16" t="n">
        <x:v>3482</x:v>
      </x:c>
      <x:c r="B3350" s="16" t="str">
        <x:v>Jason Tmb Management</x:v>
      </x:c>
      <x:c r="C3350" s="16" t="str"/>
      <x:c r="D3350" s="16" t="str">
        <x:v>* myContacts</x:v>
      </x:c>
      <x:c r="E3350" s="16" t="str">
        <x:v>Missing email</x:v>
      </x:c>
    </x:row>
    <x:row r="3351">
      <x:c r="A3351" s="16" t="n">
        <x:v>3483</x:v>
      </x:c>
      <x:c r="B3351" s="16" t="str">
        <x:v>Jay English Course Advisor</x:v>
      </x:c>
      <x:c r="C3351" s="16" t="str"/>
      <x:c r="D3351" s="16" t="str">
        <x:v>* myContacts</x:v>
      </x:c>
      <x:c r="E3351" s="16" t="str">
        <x:v>Missing email</x:v>
      </x:c>
    </x:row>
    <x:row r="3352">
      <x:c r="A3352" s="16" t="n">
        <x:v>3484</x:v>
      </x:c>
      <x:c r="B3352" s="16" t="str">
        <x:v>Jay PPMM</x:v>
      </x:c>
      <x:c r="C3352" s="16" t="str"/>
      <x:c r="D3352" s="16" t="str">
        <x:v>* myContacts</x:v>
      </x:c>
      <x:c r="E3352" s="16" t="str">
        <x:v>Missing email</x:v>
      </x:c>
    </x:row>
    <x:row r="3353">
      <x:c r="A3353" s="16" t="n">
        <x:v>3485</x:v>
      </x:c>
      <x:c r="B3353" s="16" t="str">
        <x:v>Jay Trainer Mdec Sabah</x:v>
      </x:c>
      <x:c r="C3353" s="16" t="str"/>
      <x:c r="D3353" s="16" t="str">
        <x:v>Trainer | * myContacts</x:v>
      </x:c>
      <x:c r="E3353" s="16" t="str">
        <x:v>Missing email</x:v>
      </x:c>
    </x:row>
    <x:row r="3354">
      <x:c r="A3354" s="16" t="n">
        <x:v>3486</x:v>
      </x:c>
      <x:c r="B3354" s="16" t="str">
        <x:v>Je Mey</x:v>
      </x:c>
      <x:c r="C3354" s="16" t="str"/>
      <x:c r="D3354" s="16" t="str">
        <x:v>* myContacts</x:v>
      </x:c>
      <x:c r="E3354" s="16" t="str">
        <x:v>Missing email</x:v>
      </x:c>
    </x:row>
    <x:row r="3355">
      <x:c r="A3355" s="16" t="n">
        <x:v>3487</x:v>
      </x:c>
      <x:c r="B3355" s="16" t="str">
        <x:v>Jebat Derhaka</x:v>
      </x:c>
      <x:c r="C3355" s="16" t="str"/>
      <x:c r="D3355" s="16" t="str">
        <x:v>* myContacts</x:v>
      </x:c>
      <x:c r="E3355" s="16" t="str">
        <x:v>Missing email</x:v>
      </x:c>
    </x:row>
    <x:row r="3356">
      <x:c r="A3356" s="16" t="n">
        <x:v>3488</x:v>
      </x:c>
      <x:c r="B3356" s="16" t="str">
        <x:v>Jebat Durhaka</x:v>
      </x:c>
      <x:c r="C3356" s="16" t="str"/>
      <x:c r="D3356" s="16" t="str">
        <x:v>* myContacts</x:v>
      </x:c>
      <x:c r="E3356" s="16" t="str">
        <x:v>Missing email</x:v>
      </x:c>
    </x:row>
    <x:row r="3357">
      <x:c r="A3357" s="16" t="n">
        <x:v>3489</x:v>
      </x:c>
      <x:c r="B3357" s="16" t="str">
        <x:v>jebat idol</x:v>
      </x:c>
      <x:c r="C3357" s="16" t="str"/>
      <x:c r="D3357" s="16" t="str">
        <x:v>* myContacts</x:v>
      </x:c>
      <x:c r="E3357" s="16" t="str">
        <x:v>Missing email</x:v>
      </x:c>
    </x:row>
    <x:row r="3358">
      <x:c r="A3358" s="16" t="n">
        <x:v>3490</x:v>
      </x:c>
      <x:c r="B3358" s="16" t="str">
        <x:v>Jebat Jawe</x:v>
      </x:c>
      <x:c r="C3358" s="16" t="str"/>
      <x:c r="D3358" s="16" t="str">
        <x:v>* myContacts</x:v>
      </x:c>
      <x:c r="E3358" s="16" t="str">
        <x:v>Missing email</x:v>
      </x:c>
    </x:row>
    <x:row r="3359">
      <x:c r="A3359" s="16" t="n">
        <x:v>3491</x:v>
      </x:c>
      <x:c r="B3359" s="16" t="str">
        <x:v>Jebatt Durhaka</x:v>
      </x:c>
      <x:c r="C3359" s="16" t="str"/>
      <x:c r="D3359" s="16" t="str">
        <x:v>* myContacts</x:v>
      </x:c>
      <x:c r="E3359" s="16" t="str">
        <x:v>Missing email</x:v>
      </x:c>
    </x:row>
    <x:row r="3360">
      <x:c r="A3360" s="16" t="n">
        <x:v>3492</x:v>
      </x:c>
      <x:c r="B3360" s="16" t="str">
        <x:v>Jeeb Abrim</x:v>
      </x:c>
      <x:c r="C3360" s="16" t="str"/>
      <x:c r="D3360" s="16" t="str">
        <x:v>* myContacts</x:v>
      </x:c>
      <x:c r="E3360" s="16" t="str">
        <x:v>Missing email</x:v>
      </x:c>
    </x:row>
    <x:row r="3361">
      <x:c r="A3361" s="16" t="n">
        <x:v>3493</x:v>
      </x:c>
      <x:c r="B3361" s="16" t="str">
        <x:v>Jeff Samad</x:v>
      </x:c>
      <x:c r="C3361" s="16" t="str"/>
      <x:c r="D3361" s="16" t="str">
        <x:v>* myContacts</x:v>
      </x:c>
      <x:c r="E3361" s="16" t="str">
        <x:v>Missing email</x:v>
      </x:c>
    </x:row>
    <x:row r="3362">
      <x:c r="A3362" s="16" t="n">
        <x:v>3494</x:v>
      </x:c>
      <x:c r="B3362" s="16" t="str">
        <x:v>Jefreel Alfian</x:v>
      </x:c>
      <x:c r="C3362" s="16" t="str"/>
      <x:c r="D3362" s="16" t="str">
        <x:v>* myContacts</x:v>
      </x:c>
      <x:c r="E3362" s="16" t="str">
        <x:v>Missing email</x:v>
      </x:c>
    </x:row>
    <x:row r="3363">
      <x:c r="A3363" s="16" t="n">
        <x:v>3495</x:v>
      </x:c>
      <x:c r="B3363" s="16" t="str">
        <x:v>Jefri Ali</x:v>
      </x:c>
      <x:c r="C3363" s="16" t="str"/>
      <x:c r="D3363" s="16" t="str">
        <x:v>* myContacts</x:v>
      </x:c>
      <x:c r="E3363" s="16" t="str">
        <x:v>Missing email</x:v>
      </x:c>
    </x:row>
    <x:row r="3364">
      <x:c r="A3364" s="16" t="n">
        <x:v>3496</x:v>
      </x:c>
      <x:c r="B3364" s="16" t="str">
        <x:v>Jefri Yo</x:v>
      </x:c>
      <x:c r="C3364" s="16" t="str"/>
      <x:c r="D3364" s="16" t="str">
        <x:v>* myContacts</x:v>
      </x:c>
      <x:c r="E3364" s="16" t="str">
        <x:v>Missing email</x:v>
      </x:c>
    </x:row>
    <x:row r="3365">
      <x:c r="A3365" s="16" t="n">
        <x:v>3497</x:v>
      </x:c>
      <x:c r="B3365" s="16" t="str">
        <x:v>Jefriandy Jamaluddin</x:v>
      </x:c>
      <x:c r="C3365" s="16" t="str"/>
      <x:c r="D3365" s="16" t="str">
        <x:v>* myContacts</x:v>
      </x:c>
      <x:c r="E3365" s="16" t="str">
        <x:v>Missing email</x:v>
      </x:c>
    </x:row>
    <x:row r="3366">
      <x:c r="A3366" s="16" t="n">
        <x:v>3499</x:v>
      </x:c>
      <x:c r="B3366" s="16" t="str">
        <x:v>Jehan Amat</x:v>
      </x:c>
      <x:c r="C3366" s="16" t="str"/>
      <x:c r="D3366" s="16" t="str">
        <x:v>* myContacts</x:v>
      </x:c>
      <x:c r="E3366" s="16" t="str">
        <x:v>Missing email</x:v>
      </x:c>
    </x:row>
    <x:row r="3367">
      <x:c r="A3367" s="16" t="n">
        <x:v>3500</x:v>
      </x:c>
      <x:c r="B3367" s="16" t="str">
        <x:v>Jejak Pulau</x:v>
      </x:c>
      <x:c r="C3367" s="16" t="str"/>
      <x:c r="D3367" s="16" t="str">
        <x:v>* myContacts</x:v>
      </x:c>
      <x:c r="E3367" s="16" t="str">
        <x:v>Missing email</x:v>
      </x:c>
    </x:row>
    <x:row r="3368">
      <x:c r="A3368" s="16" t="n">
        <x:v>3501</x:v>
      </x:c>
      <x:c r="B3368" s="16" t="str">
        <x:v>Jelita JusmahJelita</x:v>
      </x:c>
      <x:c r="C3368" s="16" t="str"/>
      <x:c r="D3368" s="16" t="str">
        <x:v>* myContacts</x:v>
      </x:c>
      <x:c r="E3368" s="16" t="str">
        <x:v>Missing email</x:v>
      </x:c>
    </x:row>
    <x:row r="3369">
      <x:c r="A3369" s="16" t="n">
        <x:v>3502</x:v>
      </x:c>
      <x:c r="B3369" s="16" t="str">
        <x:v>Jem MDEC IM</x:v>
      </x:c>
      <x:c r="C3369" s="16" t="str"/>
      <x:c r="D3369" s="16" t="str">
        <x:v>* myContacts</x:v>
      </x:c>
      <x:c r="E3369" s="16" t="str">
        <x:v>Missing email</x:v>
      </x:c>
    </x:row>
    <x:row r="3370">
      <x:c r="A3370" s="16" t="n">
        <x:v>3503</x:v>
      </x:c>
      <x:c r="B3370" s="16" t="str">
        <x:v>Jeman Skyjuice Jeman</x:v>
      </x:c>
      <x:c r="C3370" s="16" t="str"/>
      <x:c r="D3370" s="16" t="str">
        <x:v>* myContacts</x:v>
      </x:c>
      <x:c r="E3370" s="16" t="str">
        <x:v>Missing email</x:v>
      </x:c>
    </x:row>
    <x:row r="3371">
      <x:c r="A3371" s="16" t="n">
        <x:v>3504</x:v>
      </x:c>
      <x:c r="B3371" s="16" t="str">
        <x:v>Jen Zeini</x:v>
      </x:c>
      <x:c r="C3371" s="16" t="str"/>
      <x:c r="D3371" s="16" t="str">
        <x:v>* myContacts</x:v>
      </x:c>
      <x:c r="E3371" s="16" t="str">
        <x:v>Missing email</x:v>
      </x:c>
    </x:row>
    <x:row r="3372">
      <x:c r="A3372" s="16" t="n">
        <x:v>3505</x:v>
      </x:c>
      <x:c r="B3372" s="16" t="str">
        <x:v>Jeneral Yuri</x:v>
      </x:c>
      <x:c r="C3372" s="16" t="str"/>
      <x:c r="D3372" s="16" t="str">
        <x:v>* myContacts</x:v>
      </x:c>
      <x:c r="E3372" s="16" t="str">
        <x:v>Missing email</x:v>
      </x:c>
    </x:row>
    <x:row r="3373">
      <x:c r="A3373" s="16" t="n">
        <x:v>3506</x:v>
      </x:c>
      <x:c r="B3373" s="16" t="str">
        <x:v>Jenny Joechim Sigo</x:v>
      </x:c>
      <x:c r="C3373" s="16" t="str"/>
      <x:c r="D3373" s="16" t="str">
        <x:v>* myContacts</x:v>
      </x:c>
      <x:c r="E3373" s="16" t="str">
        <x:v>Missing email</x:v>
      </x:c>
    </x:row>
    <x:row r="3374">
      <x:c r="A3374" s="16" t="n">
        <x:v>3507</x:v>
      </x:c>
      <x:c r="B3374" s="16" t="str">
        <x:v>Jepa Pajepa</x:v>
      </x:c>
      <x:c r="C3374" s="16" t="str"/>
      <x:c r="D3374" s="16" t="str">
        <x:v>* myContacts</x:v>
      </x:c>
      <x:c r="E3374" s="16" t="str">
        <x:v>Missing email</x:v>
      </x:c>
    </x:row>
    <x:row r="3375">
      <x:c r="A3375" s="16" t="n">
        <x:v>3508</x:v>
      </x:c>
      <x:c r="B3375" s="16" t="str">
        <x:v>Jeslynda Jaffri Francis</x:v>
      </x:c>
      <x:c r="C3375" s="16" t="str"/>
      <x:c r="D3375" s="16" t="str">
        <x:v>* myContacts</x:v>
      </x:c>
      <x:c r="E3375" s="16" t="str">
        <x:v>Missing email</x:v>
      </x:c>
    </x:row>
    <x:row r="3376">
      <x:c r="A3376" s="16" t="n">
        <x:v>3509</x:v>
      </x:c>
      <x:c r="B3376" s="16" t="str">
        <x:v>Jesmax Rwr</x:v>
      </x:c>
      <x:c r="C3376" s="16" t="str"/>
      <x:c r="D3376" s="16" t="str">
        <x:v>* myContacts</x:v>
      </x:c>
      <x:c r="E3376" s="16" t="str">
        <x:v>Missing email</x:v>
      </x:c>
    </x:row>
    <x:row r="3377">
      <x:c r="A3377" s="16" t="n">
        <x:v>3510</x:v>
      </x:c>
      <x:c r="B3377" s="16" t="str">
        <x:v>Jessica Asok</x:v>
      </x:c>
      <x:c r="C3377" s="16" t="str"/>
      <x:c r="D3377" s="16" t="str">
        <x:v>* myContacts</x:v>
      </x:c>
      <x:c r="E3377" s="16" t="str">
        <x:v>Missing email</x:v>
      </x:c>
    </x:row>
    <x:row r="3378">
      <x:c r="A3378" s="16" t="n">
        <x:v>3511</x:v>
      </x:c>
      <x:c r="B3378" s="16" t="str">
        <x:v>Jessie Leng</x:v>
      </x:c>
      <x:c r="C3378" s="16" t="str"/>
      <x:c r="D3378" s="16" t="str">
        <x:v>* myContacts</x:v>
      </x:c>
      <x:c r="E3378" s="16" t="str">
        <x:v>Missing email</x:v>
      </x:c>
    </x:row>
    <x:row r="3379">
      <x:c r="A3379" s="16" t="n">
        <x:v>3512</x:v>
      </x:c>
      <x:c r="B3379" s="16" t="str">
        <x:v>Jessy Virgo</x:v>
      </x:c>
      <x:c r="C3379" s="16" t="str"/>
      <x:c r="D3379" s="16" t="str">
        <x:v>* myContacts</x:v>
      </x:c>
      <x:c r="E3379" s="16" t="str">
        <x:v>Missing email</x:v>
      </x:c>
    </x:row>
    <x:row r="3380">
      <x:c r="A3380" s="16" t="n">
        <x:v>3513</x:v>
      </x:c>
      <x:c r="B3380" s="16" t="str">
        <x:v>Jet'aime Fida</x:v>
      </x:c>
      <x:c r="C3380" s="16" t="str"/>
      <x:c r="D3380" s="16" t="str">
        <x:v>* myContacts</x:v>
      </x:c>
      <x:c r="E3380" s="16" t="str">
        <x:v>Missing email</x:v>
      </x:c>
    </x:row>
    <x:row r="3381">
      <x:c r="A3381" s="16" t="n">
        <x:v>3514</x:v>
      </x:c>
      <x:c r="B3381" s="16" t="str">
        <x:v>Jibril Amin</x:v>
      </x:c>
      <x:c r="C3381" s="16" t="str"/>
      <x:c r="D3381" s="16" t="str">
        <x:v>* myContacts</x:v>
      </x:c>
      <x:c r="E3381" s="16" t="str">
        <x:v>Missing email</x:v>
      </x:c>
    </x:row>
    <x:row r="3382">
      <x:c r="A3382" s="16" t="n">
        <x:v>3515</x:v>
      </x:c>
      <x:c r="B3382" s="16" t="str">
        <x:v>Jihen</x:v>
      </x:c>
      <x:c r="C3382" s="16" t="str"/>
      <x:c r="D3382" s="16" t="str">
        <x:v>* myContacts</x:v>
      </x:c>
      <x:c r="E3382" s="16" t="str">
        <x:v>Missing email</x:v>
      </x:c>
    </x:row>
    <x:row r="3383">
      <x:c r="A3383" s="16" t="n">
        <x:v>3516</x:v>
      </x:c>
      <x:c r="B3383" s="16" t="str">
        <x:v>Jiji Azizi</x:v>
      </x:c>
      <x:c r="C3383" s="16" t="str"/>
      <x:c r="D3383" s="16" t="str">
        <x:v>* myContacts</x:v>
      </x:c>
      <x:c r="E3383" s="16" t="str">
        <x:v>Missing email</x:v>
      </x:c>
    </x:row>
    <x:row r="3384">
      <x:c r="A3384" s="16" t="n">
        <x:v>3517</x:v>
      </x:c>
      <x:c r="B3384" s="16" t="str">
        <x:v>Jimboy Balindrez</x:v>
      </x:c>
      <x:c r="C3384" s="16" t="str"/>
      <x:c r="D3384" s="16" t="str">
        <x:v>* myContacts</x:v>
      </x:c>
      <x:c r="E3384" s="16" t="str">
        <x:v>Missing email</x:v>
      </x:c>
    </x:row>
    <x:row r="3385">
      <x:c r="A3385" s="16" t="n">
        <x:v>3518</x:v>
      </x:c>
      <x:c r="B3385" s="16" t="str">
        <x:v>Jiwa Kacau</x:v>
      </x:c>
      <x:c r="C3385" s="16" t="str"/>
      <x:c r="D3385" s="16" t="str">
        <x:v>* myContacts</x:v>
      </x:c>
      <x:c r="E3385" s="16" t="str">
        <x:v>Missing email</x:v>
      </x:c>
    </x:row>
    <x:row r="3386">
      <x:c r="A3386" s="16" t="n">
        <x:v>3519</x:v>
      </x:c>
      <x:c r="B3386" s="16" t="str">
        <x:v>Jiwq Jiwq Rockers</x:v>
      </x:c>
      <x:c r="C3386" s="16" t="str"/>
      <x:c r="D3386" s="16" t="str">
        <x:v>* myContacts</x:v>
      </x:c>
      <x:c r="E3386" s="16" t="str">
        <x:v>Missing email</x:v>
      </x:c>
    </x:row>
    <x:row r="3387">
      <x:c r="A3387" s="16" t="n">
        <x:v>3520</x:v>
      </x:c>
      <x:c r="B3387" s="16" t="str">
        <x:v>JJ ROIBOST TEA</x:v>
      </x:c>
      <x:c r="C3387" s="16" t="str"/>
      <x:c r="D3387" s="16" t="str">
        <x:v>* myContacts</x:v>
      </x:c>
      <x:c r="E3387" s="16" t="str">
        <x:v>Missing email</x:v>
      </x:c>
    </x:row>
    <x:row r="3388">
      <x:c r="A3388" s="16" t="n">
        <x:v>3521</x:v>
      </x:c>
      <x:c r="B3388" s="16" t="str">
        <x:v>Jkk kecil kolej mawar</x:v>
      </x:c>
      <x:c r="C3388" s="16" t="str"/>
      <x:c r="D3388" s="16" t="str">
        <x:v>* myContacts</x:v>
      </x:c>
      <x:c r="E3388" s="16" t="str">
        <x:v>Missing email</x:v>
      </x:c>
    </x:row>
    <x:row r="3389">
      <x:c r="A3389" s="16" t="n">
        <x:v>3522</x:v>
      </x:c>
      <x:c r="B3389" s="16" t="str">
        <x:v>Jm Chan JETTOUR CAR SALESMEN</x:v>
      </x:c>
      <x:c r="C3389" s="16" t="str"/>
      <x:c r="D3389" s="16" t="str">
        <x:v>* myContacts</x:v>
      </x:c>
      <x:c r="E3389" s="16" t="str">
        <x:v>Missing email</x:v>
      </x:c>
    </x:row>
    <x:row r="3390">
      <x:c r="A3390" s="16" t="n">
        <x:v>3523</x:v>
      </x:c>
      <x:c r="B3390" s="16" t="str">
        <x:v>Jnj Management Consultants</x:v>
      </x:c>
      <x:c r="C3390" s="16" t="str"/>
      <x:c r="D3390" s="16" t="str">
        <x:v>* myContacts</x:v>
      </x:c>
      <x:c r="E3390" s="16" t="str">
        <x:v>Missing email</x:v>
      </x:c>
    </x:row>
    <x:row r="3391">
      <x:c r="A3391" s="16" t="n">
        <x:v>3524</x:v>
      </x:c>
      <x:c r="B3391" s="16" t="str">
        <x:v>Joe Gto</x:v>
      </x:c>
      <x:c r="C3391" s="16" t="str"/>
      <x:c r="D3391" s="16" t="str">
        <x:v>* myContacts</x:v>
      </x:c>
      <x:c r="E3391" s="16" t="str">
        <x:v>Missing email</x:v>
      </x:c>
    </x:row>
    <x:row r="3392">
      <x:c r="A3392" s="16" t="n">
        <x:v>3525</x:v>
      </x:c>
      <x:c r="B3392" s="16" t="str">
        <x:v>Joe Joe</x:v>
      </x:c>
      <x:c r="C3392" s="16" t="str"/>
      <x:c r="D3392" s="16" t="str">
        <x:v>* myContacts</x:v>
      </x:c>
      <x:c r="E3392" s="16" t="str">
        <x:v>Missing email</x:v>
      </x:c>
    </x:row>
    <x:row r="3393">
      <x:c r="A3393" s="16" t="n">
        <x:v>3526</x:v>
      </x:c>
      <x:c r="B3393" s="16" t="str">
        <x:v>JOehoed</x:v>
      </x:c>
      <x:c r="C3393" s="16" t="str"/>
      <x:c r="D3393" s="16" t="str">
        <x:v>* myContacts</x:v>
      </x:c>
      <x:c r="E3393" s="16" t="str">
        <x:v>Missing email</x:v>
      </x:c>
    </x:row>
    <x:row r="3394">
      <x:c r="A3394" s="16" t="n">
        <x:v>3527</x:v>
      </x:c>
      <x:c r="B3394" s="16" t="str">
        <x:v>Joey Buyo</x:v>
      </x:c>
      <x:c r="C3394" s="16" t="str"/>
      <x:c r="D3394" s="16" t="str">
        <x:v>* myContacts</x:v>
      </x:c>
      <x:c r="E3394" s="16" t="str">
        <x:v>Missing email</x:v>
      </x:c>
    </x:row>
    <x:row r="3395">
      <x:c r="A3395" s="16" t="n">
        <x:v>3528</x:v>
      </x:c>
      <x:c r="B3395" s="16" t="str">
        <x:v>Joey Kamikazie</x:v>
      </x:c>
      <x:c r="C3395" s="16" t="str"/>
      <x:c r="D3395" s="16" t="str">
        <x:v>* myContacts</x:v>
      </x:c>
      <x:c r="E3395" s="16" t="str">
        <x:v>Missing email</x:v>
      </x:c>
    </x:row>
    <x:row r="3396">
      <x:c r="A3396" s="16" t="n">
        <x:v>3529</x:v>
      </x:c>
      <x:c r="B3396" s="16" t="str">
        <x:v>John Kurt</x:v>
      </x:c>
      <x:c r="C3396" s="16" t="str"/>
      <x:c r="D3396" s="16" t="str">
        <x:v>* myContacts</x:v>
      </x:c>
      <x:c r="E3396" s="16" t="str">
        <x:v>Missing email</x:v>
      </x:c>
    </x:row>
    <x:row r="3397">
      <x:c r="A3397" s="16" t="n">
        <x:v>3530</x:v>
      </x:c>
      <x:c r="B3397" s="16" t="str">
        <x:v>John Shin</x:v>
      </x:c>
      <x:c r="C3397" s="16" t="str"/>
      <x:c r="D3397" s="16" t="str">
        <x:v>* myContacts</x:v>
      </x:c>
      <x:c r="E3397" s="16" t="str">
        <x:v>Missing email</x:v>
      </x:c>
    </x:row>
    <x:row r="3398">
      <x:c r="A3398" s="16" t="n">
        <x:v>3531</x:v>
      </x:c>
      <x:c r="B3398" s="16" t="str">
        <x:v>Johnny Chong</x:v>
      </x:c>
      <x:c r="C3398" s="16" t="str"/>
      <x:c r="D3398" s="16" t="str">
        <x:v>* myContacts</x:v>
      </x:c>
      <x:c r="E3398" s="16" t="str">
        <x:v>Missing email</x:v>
      </x:c>
    </x:row>
    <x:row r="3399">
      <x:c r="A3399" s="16" t="n">
        <x:v>3532</x:v>
      </x:c>
      <x:c r="B3399" s="16" t="str">
        <x:v>Jojo Teacher</x:v>
      </x:c>
      <x:c r="C3399" s="16" t="str"/>
      <x:c r="D3399" s="16" t="str">
        <x:v>* myContacts</x:v>
      </x:c>
      <x:c r="E3399" s="16" t="str">
        <x:v>Missing email</x:v>
      </x:c>
    </x:row>
    <x:row r="3400">
      <x:c r="A3400" s="16" t="n">
        <x:v>3533</x:v>
      </x:c>
      <x:c r="B3400" s="16" t="str">
        <x:v>Joko Kiswoyo</x:v>
      </x:c>
      <x:c r="C3400" s="16" t="str"/>
      <x:c r="D3400" s="16" t="str">
        <x:v>* myContacts</x:v>
      </x:c>
      <x:c r="E3400" s="16" t="str">
        <x:v>Missing email</x:v>
      </x:c>
    </x:row>
    <x:row r="3401">
      <x:c r="A3401" s="16" t="n">
        <x:v>3534</x:v>
      </x:c>
      <x:c r="B3401" s="16" t="str">
        <x:v>Jolly sim AGP</x:v>
      </x:c>
      <x:c r="C3401" s="16" t="str"/>
      <x:c r="D3401" s="16" t="str">
        <x:v>* myContacts</x:v>
      </x:c>
      <x:c r="E3401" s="16" t="str">
        <x:v>Missing email</x:v>
      </x:c>
    </x:row>
    <x:row r="3402">
      <x:c r="A3402" s="16" t="n">
        <x:v>3535</x:v>
      </x:c>
      <x:c r="B3402" s="16" t="str">
        <x:v>JON STP</x:v>
      </x:c>
      <x:c r="C3402" s="16" t="str"/>
      <x:c r="D3402" s="16" t="str">
        <x:v>* myContacts</x:v>
      </x:c>
      <x:c r="E3402" s="16" t="str">
        <x:v>Missing email</x:v>
      </x:c>
    </x:row>
    <x:row r="3403">
      <x:c r="A3403" s="16" t="n">
        <x:v>3536</x:v>
      </x:c>
      <x:c r="B3403" s="16" t="str">
        <x:v>Jootawan Office</x:v>
      </x:c>
      <x:c r="C3403" s="16" t="str"/>
      <x:c r="D3403" s="16" t="str">
        <x:v>* myContacts</x:v>
      </x:c>
      <x:c r="E3403" s="16" t="str">
        <x:v>Missing email</x:v>
      </x:c>
    </x:row>
    <x:row r="3404">
      <x:c r="A3404" s="16" t="n">
        <x:v>3537</x:v>
      </x:c>
      <x:c r="B3404" s="16" t="str">
        <x:v>Jorji PIXLR</x:v>
      </x:c>
      <x:c r="C3404" s="16" t="str"/>
      <x:c r="D3404" s="16" t="str">
        <x:v>* myContacts</x:v>
      </x:c>
      <x:c r="E3404" s="16" t="str">
        <x:v>Missing email</x:v>
      </x:c>
    </x:row>
    <x:row r="3405">
      <x:c r="A3405" s="16" t="n">
        <x:v>3538</x:v>
      </x:c>
      <x:c r="B3405" s="16" t="str">
        <x:v>Joseph Frankie</x:v>
      </x:c>
      <x:c r="C3405" s="16" t="str"/>
      <x:c r="D3405" s="16" t="str">
        <x:v>* myContacts</x:v>
      </x:c>
      <x:c r="E3405" s="16" t="str">
        <x:v>Missing email</x:v>
      </x:c>
    </x:row>
    <x:row r="3406">
      <x:c r="A3406" s="16" t="n">
        <x:v>3539</x:v>
      </x:c>
      <x:c r="B3406" s="16" t="str">
        <x:v>Josh website guru</x:v>
      </x:c>
      <x:c r="C3406" s="16" t="str"/>
      <x:c r="D3406" s="16" t="str">
        <x:v>* myContacts</x:v>
      </x:c>
      <x:c r="E3406" s="16" t="str">
        <x:v>Missing email</x:v>
      </x:c>
    </x:row>
    <x:row r="3407">
      <x:c r="A3407" s="16" t="n">
        <x:v>3540</x:v>
      </x:c>
      <x:c r="B3407" s="16" t="str">
        <x:v>Jovi Andreas</x:v>
      </x:c>
      <x:c r="C3407" s="16" t="str"/>
      <x:c r="D3407" s="16" t="str">
        <x:v>* myContacts</x:v>
      </x:c>
      <x:c r="E3407" s="16" t="str">
        <x:v>Missing email</x:v>
      </x:c>
    </x:row>
    <x:row r="3408">
      <x:c r="A3408" s="16" t="n">
        <x:v>3541</x:v>
      </x:c>
      <x:c r="B3408" s="16" t="str">
        <x:v>Js Motor Sport</x:v>
      </x:c>
      <x:c r="C3408" s="16" t="str"/>
      <x:c r="D3408" s="16" t="str">
        <x:v>* myContacts</x:v>
      </x:c>
      <x:c r="E3408" s="16" t="str">
        <x:v>Missing email</x:v>
      </x:c>
    </x:row>
    <x:row r="3409">
      <x:c r="A3409" s="16" t="n">
        <x:v>3542</x:v>
      </x:c>
      <x:c r="B3409" s="16" t="str">
        <x:v>Jtwo Autopart Jtwoautopart</x:v>
      </x:c>
      <x:c r="C3409" s="16" t="str"/>
      <x:c r="D3409" s="16" t="str">
        <x:v>* myContacts</x:v>
      </x:c>
      <x:c r="E3409" s="16" t="str">
        <x:v>Missing email</x:v>
      </x:c>
    </x:row>
    <x:row r="3410">
      <x:c r="A3410" s="16" t="n">
        <x:v>3543</x:v>
      </x:c>
      <x:c r="B3410" s="16" t="str">
        <x:v>Juan Jutawan</x:v>
      </x:c>
      <x:c r="C3410" s="16" t="str"/>
      <x:c r="D3410" s="16" t="str">
        <x:v>* myContacts</x:v>
      </x:c>
      <x:c r="E3410" s="16" t="str">
        <x:v>Missing email</x:v>
      </x:c>
    </x:row>
    <x:row r="3411">
      <x:c r="A3411" s="16" t="n">
        <x:v>3544</x:v>
      </x:c>
      <x:c r="B3411" s="16" t="str">
        <x:v>Jude Jerry</x:v>
      </x:c>
      <x:c r="C3411" s="16" t="str"/>
      <x:c r="D3411" s="16" t="str">
        <x:v>* myContacts</x:v>
      </x:c>
      <x:c r="E3411" s="16" t="str">
        <x:v>Missing email</x:v>
      </x:c>
    </x:row>
    <x:row r="3412">
      <x:c r="A3412" s="16" t="n">
        <x:v>3545</x:v>
      </x:c>
      <x:c r="B3412" s="16" t="str">
        <x:v>Jue Griffin Training Centre</x:v>
      </x:c>
      <x:c r="C3412" s="16" t="str"/>
      <x:c r="D3412" s="16" t="str">
        <x:v>* myContacts</x:v>
      </x:c>
      <x:c r="E3412" s="16" t="str">
        <x:v>Missing email</x:v>
      </x:c>
    </x:row>
    <x:row r="3413">
      <x:c r="A3413" s="16" t="n">
        <x:v>3546</x:v>
      </x:c>
      <x:c r="B3413" s="16" t="str">
        <x:v>Jue Kuak</x:v>
      </x:c>
      <x:c r="C3413" s="16" t="str"/>
      <x:c r="D3413" s="16" t="str">
        <x:v>* myContacts</x:v>
      </x:c>
      <x:c r="E3413" s="16" t="str">
        <x:v>Missing email</x:v>
      </x:c>
    </x:row>
    <x:row r="3414">
      <x:c r="A3414" s="16" t="n">
        <x:v>3547</x:v>
      </x:c>
      <x:c r="B3414" s="16" t="str">
        <x:v>Jue Rie</x:v>
      </x:c>
      <x:c r="C3414" s="16" t="str"/>
      <x:c r="D3414" s="16" t="str">
        <x:v>* myContacts</x:v>
      </x:c>
      <x:c r="E3414" s="16" t="str">
        <x:v>Missing email</x:v>
      </x:c>
    </x:row>
    <x:row r="3415">
      <x:c r="A3415" s="16" t="n">
        <x:v>3548</x:v>
      </x:c>
      <x:c r="B3415" s="16" t="str">
        <x:v>Juita AGP</x:v>
      </x:c>
      <x:c r="C3415" s="16" t="str"/>
      <x:c r="D3415" s="16" t="str">
        <x:v>* myContacts</x:v>
      </x:c>
      <x:c r="E3415" s="16" t="str">
        <x:v>Missing email</x:v>
      </x:c>
    </x:row>
    <x:row r="3416">
      <x:c r="A3416" s="16" t="n">
        <x:v>3549</x:v>
      </x:c>
      <x:c r="B3416" s="16" t="str">
        <x:v>Juka Jnj</x:v>
      </x:c>
      <x:c r="C3416" s="16" t="str"/>
      <x:c r="D3416" s="16" t="str">
        <x:v>* myContacts</x:v>
      </x:c>
      <x:c r="E3416" s="16" t="str">
        <x:v>Missing email</x:v>
      </x:c>
    </x:row>
    <x:row r="3417">
      <x:c r="A3417" s="16" t="n">
        <x:v>3550</x:v>
      </x:c>
      <x:c r="B3417" s="16" t="str">
        <x:v>Julaifah AGP</x:v>
      </x:c>
      <x:c r="C3417" s="16" t="str"/>
      <x:c r="D3417" s="16" t="str">
        <x:v>* myContacts</x:v>
      </x:c>
      <x:c r="E3417" s="16" t="str">
        <x:v>Missing email</x:v>
      </x:c>
    </x:row>
    <x:row r="3418">
      <x:c r="A3418" s="16" t="n">
        <x:v>3551</x:v>
      </x:c>
      <x:c r="B3418" s="16" t="str">
        <x:v>Julaizah Harun</x:v>
      </x:c>
      <x:c r="C3418" s="16" t="str"/>
      <x:c r="D3418" s="16" t="str">
        <x:v>* myContacts</x:v>
      </x:c>
      <x:c r="E3418" s="16" t="str">
        <x:v>Missing email</x:v>
      </x:c>
    </x:row>
    <x:row r="3419">
      <x:c r="A3419" s="16" t="n">
        <x:v>3552</x:v>
      </x:c>
      <x:c r="B3419" s="16" t="str">
        <x:v>Julfaizal Faizal Haribi</x:v>
      </x:c>
      <x:c r="C3419" s="16" t="str"/>
      <x:c r="D3419" s="16" t="str">
        <x:v>* myContacts</x:v>
      </x:c>
      <x:c r="E3419" s="16" t="str">
        <x:v>Missing email</x:v>
      </x:c>
    </x:row>
    <x:row r="3420">
      <x:c r="A3420" s="16" t="n">
        <x:v>3553</x:v>
      </x:c>
      <x:c r="B3420" s="16" t="str">
        <x:v>Julia Pinnacle Financial Officer</x:v>
      </x:c>
      <x:c r="C3420" s="16" t="str"/>
      <x:c r="D3420" s="16" t="str">
        <x:v>* myContacts</x:v>
      </x:c>
      <x:c r="E3420" s="16" t="str">
        <x:v>Missing email</x:v>
      </x:c>
    </x:row>
    <x:row r="3421">
      <x:c r="A3421" s="16" t="n">
        <x:v>3554</x:v>
      </x:c>
      <x:c r="B3421" s="16" t="str">
        <x:v>Juliana Mohdhasney</x:v>
      </x:c>
      <x:c r="C3421" s="16" t="str"/>
      <x:c r="D3421" s="16" t="str">
        <x:v>* myContacts</x:v>
      </x:c>
      <x:c r="E3421" s="16" t="str">
        <x:v>Missing email</x:v>
      </x:c>
    </x:row>
    <x:row r="3422">
      <x:c r="A3422" s="16" t="n">
        <x:v>3555</x:v>
      </x:c>
      <x:c r="B3422" s="16" t="str">
        <x:v>𝒥𝓊𝓁𝒾𝑒 𝑀𝑜𝓏𝒾𝒶𝓃𝒹𝒶 💜</x:v>
      </x:c>
      <x:c r="C3422" s="16" t="str"/>
      <x:c r="D3422" s="16" t="str">
        <x:v>* myContacts</x:v>
      </x:c>
      <x:c r="E3422" s="16" t="str">
        <x:v>Missing email</x:v>
      </x:c>
    </x:row>
    <x:row r="3423">
      <x:c r="A3423" s="16" t="n">
        <x:v>3556</x:v>
      </x:c>
      <x:c r="B3423" s="16" t="str">
        <x:v>Julie Trainer Sabah IM</x:v>
      </x:c>
      <x:c r="C3423" s="16" t="str"/>
      <x:c r="D3423" s="16" t="str">
        <x:v>Trainer | * myContacts</x:v>
      </x:c>
      <x:c r="E3423" s="16" t="str">
        <x:v>Missing email</x:v>
      </x:c>
    </x:row>
    <x:row r="3424">
      <x:c r="A3424" s="16" t="n">
        <x:v>3557</x:v>
      </x:c>
      <x:c r="B3424" s="16" t="str">
        <x:v>Julie Yana</x:v>
      </x:c>
      <x:c r="C3424" s="16" t="str"/>
      <x:c r="D3424" s="16" t="str">
        <x:v>* myContacts</x:v>
      </x:c>
      <x:c r="E3424" s="16" t="str">
        <x:v>Missing email</x:v>
      </x:c>
    </x:row>
    <x:row r="3425">
      <x:c r="A3425" s="16" t="n">
        <x:v>3558</x:v>
      </x:c>
      <x:c r="B3425" s="16" t="str">
        <x:v>Julisazila Juma'in</x:v>
      </x:c>
      <x:c r="C3425" s="16" t="str"/>
      <x:c r="D3425" s="16" t="str">
        <x:v>* myContacts</x:v>
      </x:c>
      <x:c r="E3425" s="16" t="str">
        <x:v>Missing email</x:v>
      </x:c>
    </x:row>
    <x:row r="3426">
      <x:c r="A3426" s="16" t="n">
        <x:v>3559</x:v>
      </x:c>
      <x:c r="B3426" s="16" t="str">
        <x:v>Juliyana Abdul Rahim</x:v>
      </x:c>
      <x:c r="C3426" s="16" t="str"/>
      <x:c r="D3426" s="16" t="str">
        <x:v>* myContacts</x:v>
      </x:c>
      <x:c r="E3426" s="16" t="str">
        <x:v>Missing email</x:v>
      </x:c>
    </x:row>
    <x:row r="3427">
      <x:c r="A3427" s="16" t="n">
        <x:v>3560</x:v>
      </x:c>
      <x:c r="B3427" s="16" t="str">
        <x:v>Jumalisa Hanafi</x:v>
      </x:c>
      <x:c r="C3427" s="16" t="str"/>
      <x:c r="D3427" s="16" t="str">
        <x:v>* myContacts</x:v>
      </x:c>
      <x:c r="E3427" s="16" t="str">
        <x:v>Missing email</x:v>
      </x:c>
    </x:row>
    <x:row r="3428">
      <x:c r="A3428" s="16" t="n">
        <x:v>3561</x:v>
      </x:c>
      <x:c r="B3428" s="16" t="str">
        <x:v>Jumatulfariza AGP</x:v>
      </x:c>
      <x:c r="C3428" s="16" t="str"/>
      <x:c r="D3428" s="16" t="str">
        <x:v>* myContacts</x:v>
      </x:c>
      <x:c r="E3428" s="16" t="str">
        <x:v>Missing email</x:v>
      </x:c>
    </x:row>
    <x:row r="3429">
      <x:c r="A3429" s="16" t="n">
        <x:v>3562</x:v>
      </x:c>
      <x:c r="B3429" s="16" t="str">
        <x:v>Junaidah Hashim</x:v>
      </x:c>
      <x:c r="C3429" s="16" t="str"/>
      <x:c r="D3429" s="16" t="str">
        <x:v>* myContacts</x:v>
      </x:c>
      <x:c r="E3429" s="16" t="str">
        <x:v>Missing email</x:v>
      </x:c>
    </x:row>
    <x:row r="3430">
      <x:c r="A3430" s="16" t="n">
        <x:v>3563</x:v>
      </x:c>
      <x:c r="B3430" s="16" t="str">
        <x:v>Junaidi Ejun Juon</x:v>
      </x:c>
      <x:c r="C3430" s="16" t="str"/>
      <x:c r="D3430" s="16" t="str">
        <x:v>* myContacts</x:v>
      </x:c>
      <x:c r="E3430" s="16" t="str">
        <x:v>Missing email</x:v>
      </x:c>
    </x:row>
    <x:row r="3431">
      <x:c r="A3431" s="16" t="n">
        <x:v>3564</x:v>
      </x:c>
      <x:c r="B3431" s="16" t="str">
        <x:v>Junaidi Singapore Traveler</x:v>
      </x:c>
      <x:c r="C3431" s="16" t="str"/>
      <x:c r="D3431" s="16" t="str">
        <x:v>* myContacts</x:v>
      </x:c>
      <x:c r="E3431" s="16" t="str">
        <x:v>Missing email</x:v>
      </x:c>
    </x:row>
    <x:row r="3432">
      <x:c r="A3432" s="16" t="n">
        <x:v>3565</x:v>
      </x:c>
      <x:c r="B3432" s="16" t="str">
        <x:v>Junaina Ahmad Tbarani</x:v>
      </x:c>
      <x:c r="C3432" s="16" t="str"/>
      <x:c r="D3432" s="16" t="str">
        <x:v>* myContacts</x:v>
      </x:c>
      <x:c r="E3432" s="16" t="str">
        <x:v>Missing email</x:v>
      </x:c>
    </x:row>
    <x:row r="3433">
      <x:c r="A3433" s="16" t="n">
        <x:v>3566</x:v>
      </x:c>
      <x:c r="B3433" s="16" t="str">
        <x:v>Junaizam Mohamed</x:v>
      </x:c>
      <x:c r="C3433" s="16" t="str"/>
      <x:c r="D3433" s="16" t="str">
        <x:v>* myContacts</x:v>
      </x:c>
      <x:c r="E3433" s="16" t="str">
        <x:v>Missing email</x:v>
      </x:c>
    </x:row>
    <x:row r="3434">
      <x:c r="A3434" s="16" t="n">
        <x:v>3567</x:v>
      </x:c>
      <x:c r="B3434" s="16" t="str">
        <x:v>June Ammara</x:v>
      </x:c>
      <x:c r="C3434" s="16" t="str"/>
      <x:c r="D3434" s="16" t="str">
        <x:v>* myContacts</x:v>
      </x:c>
      <x:c r="E3434" s="16" t="str">
        <x:v>Missing email</x:v>
      </x:c>
    </x:row>
    <x:row r="3435">
      <x:c r="A3435" s="16" t="n">
        <x:v>3568</x:v>
      </x:c>
      <x:c r="B3435" s="16" t="str">
        <x:v>Juned Bromolink</x:v>
      </x:c>
      <x:c r="C3435" s="16" t="str"/>
      <x:c r="D3435" s="16" t="str">
        <x:v>* myContacts</x:v>
      </x:c>
      <x:c r="E3435" s="16" t="str">
        <x:v>Missing email</x:v>
      </x:c>
    </x:row>
    <x:row r="3436">
      <x:c r="A3436" s="16" t="n">
        <x:v>3569</x:v>
      </x:c>
      <x:c r="B3436" s="16" t="str">
        <x:v>Juriekar Riza Hazaha</x:v>
      </x:c>
      <x:c r="C3436" s="16" t="str"/>
      <x:c r="D3436" s="16" t="str">
        <x:v>* myContacts</x:v>
      </x:c>
      <x:c r="E3436" s="16" t="str">
        <x:v>Missing email</x:v>
      </x:c>
    </x:row>
    <x:row r="3437">
      <x:c r="A3437" s="16" t="n">
        <x:v>3570</x:v>
      </x:c>
      <x:c r="B3437" s="16" t="str">
        <x:v>Jus Minda Qidz SecretPalace</x:v>
      </x:c>
      <x:c r="C3437" s="16" t="str"/>
      <x:c r="D3437" s="16" t="str">
        <x:v>* myContacts</x:v>
      </x:c>
      <x:c r="E3437" s="16" t="str">
        <x:v>Missing email</x:v>
      </x:c>
    </x:row>
    <x:row r="3438">
      <x:c r="A3438" s="16" t="n">
        <x:v>3571</x:v>
      </x:c>
      <x:c r="B3438" s="16" t="str">
        <x:v>Juslina Mohd Noor</x:v>
      </x:c>
      <x:c r="C3438" s="16" t="str"/>
      <x:c r="D3438" s="16" t="str">
        <x:v>* myContacts</x:v>
      </x:c>
      <x:c r="E3438" s="16" t="str">
        <x:v>Missing email</x:v>
      </x:c>
    </x:row>
    <x:row r="3439">
      <x:c r="A3439" s="16" t="n">
        <x:v>3572</x:v>
      </x:c>
      <x:c r="B3439" s="16" t="str">
        <x:v>Jusni blogger hartanah</x:v>
      </x:c>
      <x:c r="C3439" s="16" t="str"/>
      <x:c r="D3439" s="16" t="str">
        <x:v>* myContacts</x:v>
      </x:c>
      <x:c r="E3439" s="16" t="str">
        <x:v>Missing email</x:v>
      </x:c>
    </x:row>
    <x:row r="3440">
      <x:c r="A3440" s="16" t="n">
        <x:v>3573</x:v>
      </x:c>
      <x:c r="B3440" s="16" t="str">
        <x:v>Jutawan TopEvent</x:v>
      </x:c>
      <x:c r="C3440" s="16" t="str"/>
      <x:c r="D3440" s="16" t="str">
        <x:v>* myContacts</x:v>
      </x:c>
      <x:c r="E3440" s="16" t="str">
        <x:v>Missing email</x:v>
      </x:c>
    </x:row>
    <x:row r="3441">
      <x:c r="A3441" s="16" t="n">
        <x:v>3574</x:v>
      </x:c>
      <x:c r="B3441" s="16" t="str">
        <x:v>Juwita Jb</x:v>
      </x:c>
      <x:c r="C3441" s="16" t="str"/>
      <x:c r="D3441" s="16" t="str">
        <x:v>* myContacts</x:v>
      </x:c>
      <x:c r="E3441" s="16" t="str">
        <x:v>Missing email</x:v>
      </x:c>
    </x:row>
    <x:row r="3442">
      <x:c r="A3442" s="16" t="n">
        <x:v>3575</x:v>
      </x:c>
      <x:c r="B3442" s="16" t="str">
        <x:v>K Hakim Idris</x:v>
      </x:c>
      <x:c r="C3442" s="16" t="str"/>
      <x:c r="D3442" s="16" t="str">
        <x:v>* myContacts</x:v>
      </x:c>
      <x:c r="E3442" s="16" t="str">
        <x:v>Missing email</x:v>
      </x:c>
    </x:row>
    <x:row r="3443">
      <x:c r="A3443" s="16" t="n">
        <x:v>3576</x:v>
      </x:c>
      <x:c r="B3443" s="16" t="str">
        <x:v>K T Tan Electric</x:v>
      </x:c>
      <x:c r="C3443" s="16" t="str"/>
      <x:c r="D3443" s="16" t="str">
        <x:v>* myContacts</x:v>
      </x:c>
      <x:c r="E3443" s="16" t="str">
        <x:v>Missing email</x:v>
      </x:c>
    </x:row>
    <x:row r="3444">
      <x:c r="A3444" s="16" t="n">
        <x:v>3577</x:v>
      </x:c>
      <x:c r="B3444" s="16" t="str">
        <x:v>Ka</x:v>
      </x:c>
      <x:c r="C3444" s="16" t="str"/>
      <x:c r="D3444" s="16" t="str">
        <x:v>* myContacts</x:v>
      </x:c>
      <x:c r="E3444" s="16" t="str">
        <x:v>Missing email</x:v>
      </x:c>
    </x:row>
    <x:row r="3445">
      <x:c r="A3445" s="16" t="n">
        <x:v>3578</x:v>
      </x:c>
      <x:c r="B3445" s="16" t="str">
        <x:v>Kabul Entepreneur</x:v>
      </x:c>
      <x:c r="C3445" s="16" t="str"/>
      <x:c r="D3445" s="16" t="str">
        <x:v>* myContacts</x:v>
      </x:c>
      <x:c r="E3445" s="16" t="str">
        <x:v>Missing email</x:v>
      </x:c>
    </x:row>
    <x:row r="3446">
      <x:c r="A3446" s="16" t="n">
        <x:v>3579</x:v>
      </x:c>
      <x:c r="B3446" s="16" t="str">
        <x:v>Kad Kahwin BulardNoor</x:v>
      </x:c>
      <x:c r="C3446" s="16" t="str"/>
      <x:c r="D3446" s="16" t="str">
        <x:v>* myContacts</x:v>
      </x:c>
      <x:c r="E3446" s="16" t="str">
        <x:v>Missing email</x:v>
      </x:c>
    </x:row>
    <x:row r="3447">
      <x:c r="A3447" s="16" t="n">
        <x:v>3580</x:v>
      </x:c>
      <x:c r="B3447" s="16" t="str">
        <x:v>Kaer Superhighway Wang</x:v>
      </x:c>
      <x:c r="C3447" s="16" t="str"/>
      <x:c r="D3447" s="16" t="str">
        <x:v>* myContacts</x:v>
      </x:c>
      <x:c r="E3447" s="16" t="str">
        <x:v>Missing email</x:v>
      </x:c>
    </x:row>
    <x:row r="3448">
      <x:c r="A3448" s="16" t="n">
        <x:v>3581</x:v>
      </x:c>
      <x:c r="B3448" s="16" t="str">
        <x:v>Kafe D'Manggis</x:v>
      </x:c>
      <x:c r="C3448" s="16" t="str"/>
      <x:c r="D3448" s="16" t="str">
        <x:v>* myContacts</x:v>
      </x:c>
      <x:c r="E3448" s="16" t="str">
        <x:v>Missing email</x:v>
      </x:c>
    </x:row>
    <x:row r="3449">
      <x:c r="A3449" s="16" t="n">
        <x:v>3582</x:v>
      </x:c>
      <x:c r="B3449" s="16" t="str">
        <x:v>Kah Sing Kedai Phone Petama Complex</x:v>
      </x:c>
      <x:c r="C3449" s="16" t="str"/>
      <x:c r="D3449" s="16" t="str">
        <x:v>* myContacts</x:v>
      </x:c>
      <x:c r="E3449" s="16" t="str">
        <x:v>Missing email</x:v>
      </x:c>
    </x:row>
    <x:row r="3450">
      <x:c r="A3450" s="16" t="n">
        <x:v>3583</x:v>
      </x:c>
      <x:c r="B3450" s="16" t="str">
        <x:v>Kain Pasang</x:v>
      </x:c>
      <x:c r="C3450" s="16" t="str"/>
      <x:c r="D3450" s="16" t="str">
        <x:v>* myContacts</x:v>
      </x:c>
      <x:c r="E3450" s="16" t="str">
        <x:v>Missing email</x:v>
      </x:c>
    </x:row>
    <x:row r="3451">
      <x:c r="A3451" s="16" t="n">
        <x:v>3584</x:v>
      </x:c>
      <x:c r="B3451" s="16" t="str">
        <x:v>Kak Aisyah Agent AGP</x:v>
      </x:c>
      <x:c r="C3451" s="16" t="str"/>
      <x:c r="D3451" s="16" t="str">
        <x:v>* myContacts</x:v>
      </x:c>
      <x:c r="E3451" s="16" t="str">
        <x:v>Missing email</x:v>
      </x:c>
    </x:row>
    <x:row r="3452">
      <x:c r="A3452" s="16" t="n">
        <x:v>3585</x:v>
      </x:c>
      <x:c r="B3452" s="16" t="str">
        <x:v>Kak Ana Media Public Public Relationship</x:v>
      </x:c>
      <x:c r="C3452" s="16" t="str"/>
      <x:c r="D3452" s="16" t="str">
        <x:v>* myContacts</x:v>
      </x:c>
      <x:c r="E3452" s="16" t="str">
        <x:v>Missing email</x:v>
      </x:c>
    </x:row>
    <x:row r="3453">
      <x:c r="A3453" s="16" t="n">
        <x:v>3586</x:v>
      </x:c>
      <x:c r="B3453" s="16" t="str">
        <x:v>Kak Anita House</x:v>
      </x:c>
      <x:c r="C3453" s="16" t="str"/>
      <x:c r="D3453" s="16" t="str">
        <x:v>* myContacts</x:v>
      </x:c>
      <x:c r="E3453" s="16" t="str">
        <x:v>Missing email</x:v>
      </x:c>
    </x:row>
    <x:row r="3454">
      <x:c r="A3454" s="16" t="n">
        <x:v>3587</x:v>
      </x:c>
      <x:c r="B3454" s="16" t="str">
        <x:v>Kak Anja RJB</x:v>
      </x:c>
      <x:c r="C3454" s="16" t="str"/>
      <x:c r="D3454" s="16" t="str">
        <x:v>* myContacts</x:v>
      </x:c>
      <x:c r="E3454" s="16" t="str">
        <x:v>Missing email</x:v>
      </x:c>
    </x:row>
    <x:row r="3455">
      <x:c r="A3455" s="16" t="n">
        <x:v>3588</x:v>
      </x:c>
      <x:c r="B3455" s="16" t="str">
        <x:v>Kak Anne PPMM</x:v>
      </x:c>
      <x:c r="C3455" s="16" t="str"/>
      <x:c r="D3455" s="16" t="str">
        <x:v>* myContacts</x:v>
      </x:c>
      <x:c r="E3455" s="16" t="str">
        <x:v>Missing email</x:v>
      </x:c>
    </x:row>
    <x:row r="3456">
      <x:c r="A3456" s="16" t="n">
        <x:v>3589</x:v>
      </x:c>
      <x:c r="B3456" s="16" t="str">
        <x:v>Kak Azrina Copywriting</x:v>
      </x:c>
      <x:c r="C3456" s="16" t="str"/>
      <x:c r="D3456" s="16" t="str">
        <x:v>* myContacts</x:v>
      </x:c>
      <x:c r="E3456" s="16" t="str">
        <x:v>Missing email</x:v>
      </x:c>
    </x:row>
    <x:row r="3457">
      <x:c r="A3457" s="16" t="n">
        <x:v>3590</x:v>
      </x:c>
      <x:c r="B3457" s="16" t="str">
        <x:v>Kak Bib Admin Abg Abu</x:v>
      </x:c>
      <x:c r="C3457" s="16" t="str"/>
      <x:c r="D3457" s="16" t="str">
        <x:v>* myContacts</x:v>
      </x:c>
      <x:c r="E3457" s="16" t="str">
        <x:v>Missing email</x:v>
      </x:c>
    </x:row>
    <x:row r="3458">
      <x:c r="A3458" s="16" t="n">
        <x:v>3591</x:v>
      </x:c>
      <x:c r="B3458" s="16" t="str">
        <x:v>Kak Chik</x:v>
      </x:c>
      <x:c r="C3458" s="16" t="str"/>
      <x:c r="D3458" s="16" t="str">
        <x:v>* myContacts</x:v>
      </x:c>
      <x:c r="E3458" s="16" t="str">
        <x:v>Missing email</x:v>
      </x:c>
    </x:row>
    <x:row r="3459">
      <x:c r="A3459" s="16" t="n">
        <x:v>3592</x:v>
      </x:c>
      <x:c r="B3459" s="16" t="str">
        <x:v>Kak Darma Agent KBBC</x:v>
      </x:c>
      <x:c r="C3459" s="16" t="str"/>
      <x:c r="D3459" s="16" t="str">
        <x:v>* myContacts</x:v>
      </x:c>
      <x:c r="E3459" s="16" t="str">
        <x:v>Missing email</x:v>
      </x:c>
    </x:row>
    <x:row r="3460">
      <x:c r="A3460" s="16" t="n">
        <x:v>3593</x:v>
      </x:c>
      <x:c r="B3460" s="16" t="str">
        <x:v>Kak Dila DPIM Johor</x:v>
      </x:c>
      <x:c r="C3460" s="16" t="str"/>
      <x:c r="D3460" s="16" t="str">
        <x:v>* myContacts</x:v>
      </x:c>
      <x:c r="E3460" s="16" t="str">
        <x:v>Missing email</x:v>
      </x:c>
    </x:row>
    <x:row r="3461">
      <x:c r="A3461" s="16" t="n">
        <x:v>3594</x:v>
      </x:c>
      <x:c r="B3461" s="16" t="str">
        <x:v>Kak eida blue mcqueen</x:v>
      </x:c>
      <x:c r="C3461" s="16" t="str"/>
      <x:c r="D3461" s="16" t="str">
        <x:v>* myContacts</x:v>
      </x:c>
      <x:c r="E3461" s="16" t="str">
        <x:v>Missing email</x:v>
      </x:c>
    </x:row>
    <x:row r="3462">
      <x:c r="A3462" s="16" t="n">
        <x:v>3595</x:v>
      </x:c>
      <x:c r="B3462" s="16" t="str">
        <x:v>Kak Ema Fid</x:v>
      </x:c>
      <x:c r="C3462" s="16" t="str"/>
      <x:c r="D3462" s="16" t="str">
        <x:v>* myContacts</x:v>
      </x:c>
      <x:c r="E3462" s="16" t="str">
        <x:v>Missing email</x:v>
      </x:c>
    </x:row>
    <x:row r="3463">
      <x:c r="A3463" s="16" t="n">
        <x:v>3596</x:v>
      </x:c>
      <x:c r="B3463" s="16" t="str">
        <x:v>Kak Ema IM</x:v>
      </x:c>
      <x:c r="C3463" s="16" t="str"/>
      <x:c r="D3463" s="16" t="str">
        <x:v>* myContacts</x:v>
      </x:c>
      <x:c r="E3463" s="16" t="str">
        <x:v>Missing email</x:v>
      </x:c>
    </x:row>
    <x:row r="3464">
      <x:c r="A3464" s="16" t="n">
        <x:v>3597</x:v>
      </x:c>
      <x:c r="B3464" s="16" t="str">
        <x:v>Kak Fauziah Agent AGP</x:v>
      </x:c>
      <x:c r="C3464" s="16" t="str"/>
      <x:c r="D3464" s="16" t="str">
        <x:v>* myContacts</x:v>
      </x:c>
      <x:c r="E3464" s="16" t="str">
        <x:v>Missing email</x:v>
      </x:c>
    </x:row>
    <x:row r="3465">
      <x:c r="A3465" s="16" t="n">
        <x:v>3598</x:v>
      </x:c>
      <x:c r="B3465" s="16" t="str">
        <x:v>Kak Ferry Sabun Badang</x:v>
      </x:c>
      <x:c r="C3465" s="16" t="str"/>
      <x:c r="D3465" s="16" t="str">
        <x:v>* myContacts</x:v>
      </x:c>
      <x:c r="E3465" s="16" t="str">
        <x:v>Missing email</x:v>
      </x:c>
    </x:row>
    <x:row r="3466">
      <x:c r="A3466" s="16" t="n">
        <x:v>3599</x:v>
      </x:c>
      <x:c r="B3466" s="16" t="str">
        <x:v>Kak FG</x:v>
      </x:c>
      <x:c r="C3466" s="16" t="str"/>
      <x:c r="D3466" s="16" t="str">
        <x:v>* myContacts</x:v>
      </x:c>
      <x:c r="E3466" s="16" t="str">
        <x:v>Missing email</x:v>
      </x:c>
    </x:row>
    <x:row r="3467">
      <x:c r="A3467" s="16" t="n">
        <x:v>3600</x:v>
      </x:c>
      <x:c r="B3467" s="16" t="str">
        <x:v>Kak Fiona CWA</x:v>
      </x:c>
      <x:c r="C3467" s="16" t="str"/>
      <x:c r="D3467" s="16" t="str">
        <x:v>* myContacts</x:v>
      </x:c>
      <x:c r="E3467" s="16" t="str">
        <x:v>Missing email</x:v>
      </x:c>
    </x:row>
    <x:row r="3468">
      <x:c r="A3468" s="16" t="n">
        <x:v>3601</x:v>
      </x:c>
      <x:c r="B3468" s="16" t="str">
        <x:v>Kak Fiona CWA</x:v>
      </x:c>
      <x:c r="C3468" s="16" t="str"/>
      <x:c r="D3468" s="16" t="str">
        <x:v>* myContacts</x:v>
      </x:c>
      <x:c r="E3468" s="16" t="str">
        <x:v>Missing email</x:v>
      </x:c>
    </x:row>
    <x:row r="3469">
      <x:c r="A3469" s="16" t="n">
        <x:v>3602</x:v>
      </x:c>
      <x:c r="B3469" s="16" t="str">
        <x:v>Kak Hawa Resort Owner</x:v>
      </x:c>
      <x:c r="C3469" s="16" t="str"/>
      <x:c r="D3469" s="16" t="str">
        <x:v>* myContacts</x:v>
      </x:c>
      <x:c r="E3469" s="16" t="str">
        <x:v>Missing email</x:v>
      </x:c>
    </x:row>
    <x:row r="3470">
      <x:c r="A3470" s="16" t="n">
        <x:v>3603</x:v>
      </x:c>
      <x:c r="B3470" s="16" t="str">
        <x:v>kak iera yusoff ghost writer</x:v>
      </x:c>
      <x:c r="C3470" s="16" t="str"/>
      <x:c r="D3470" s="16" t="str">
        <x:v>* myContacts</x:v>
      </x:c>
      <x:c r="E3470" s="16" t="str">
        <x:v>Missing email</x:v>
      </x:c>
    </x:row>
    <x:row r="3471">
      <x:c r="A3471" s="16" t="n">
        <x:v>3604</x:v>
      </x:c>
      <x:c r="B3471" s="16" t="str">
        <x:v>Kak Ija Pid balik pulau</x:v>
      </x:c>
      <x:c r="C3471" s="16" t="str"/>
      <x:c r="D3471" s="16" t="str">
        <x:v>* myContacts</x:v>
      </x:c>
      <x:c r="E3471" s="16" t="str">
        <x:v>Missing email</x:v>
      </x:c>
    </x:row>
    <x:row r="3472">
      <x:c r="A3472" s="16" t="n">
        <x:v>3605</x:v>
      </x:c>
      <x:c r="B3472" s="16" t="str">
        <x:v>kak ika tudung bangi</x:v>
      </x:c>
      <x:c r="C3472" s="16" t="str"/>
      <x:c r="D3472" s="16" t="str">
        <x:v>* myContacts</x:v>
      </x:c>
      <x:c r="E3472" s="16" t="str">
        <x:v>Missing email</x:v>
      </x:c>
    </x:row>
    <x:row r="3473">
      <x:c r="A3473" s="16" t="n">
        <x:v>3606</x:v>
      </x:c>
      <x:c r="B3473" s="16" t="str">
        <x:v>Kak Imah IM</x:v>
      </x:c>
      <x:c r="C3473" s="16" t="str"/>
      <x:c r="D3473" s="16" t="str">
        <x:v>* myContacts</x:v>
      </x:c>
      <x:c r="E3473" s="16" t="str">
        <x:v>Missing email</x:v>
      </x:c>
    </x:row>
    <x:row r="3474">
      <x:c r="A3474" s="16" t="n">
        <x:v>3608</x:v>
      </x:c>
      <x:c r="B3474" s="16" t="str">
        <x:v>Kak Jett PPMM</x:v>
      </x:c>
      <x:c r="C3474" s="16" t="str"/>
      <x:c r="D3474" s="16" t="str">
        <x:v>* myContacts</x:v>
      </x:c>
      <x:c r="E3474" s="16" t="str">
        <x:v>Missing email</x:v>
      </x:c>
    </x:row>
    <x:row r="3475">
      <x:c r="A3475" s="16" t="n">
        <x:v>3609</x:v>
      </x:c>
      <x:c r="B3475" s="16" t="str">
        <x:v>Kak Jue Cleaner Latar</x:v>
      </x:c>
      <x:c r="C3475" s="16" t="str"/>
      <x:c r="D3475" s="16" t="str">
        <x:v>* myContacts</x:v>
      </x:c>
      <x:c r="E3475" s="16" t="str">
        <x:v>Missing email</x:v>
      </x:c>
    </x:row>
    <x:row r="3476">
      <x:c r="A3476" s="16" t="n">
        <x:v>3610</x:v>
      </x:c>
      <x:c r="B3476" s="16" t="str">
        <x:v>kak june Unit Trust</x:v>
      </x:c>
      <x:c r="C3476" s="16" t="str"/>
      <x:c r="D3476" s="16" t="str">
        <x:v>* myContacts</x:v>
      </x:c>
      <x:c r="E3476" s="16" t="str">
        <x:v>Missing email</x:v>
      </x:c>
    </x:row>
    <x:row r="3477">
      <x:c r="A3477" s="16" t="n">
        <x:v>3611</x:v>
      </x:c>
      <x:c r="B3477" s="16" t="str">
        <x:v>Kak Kas PID Sungai Koyan</x:v>
      </x:c>
      <x:c r="C3477" s="16" t="str"/>
      <x:c r="D3477" s="16" t="str">
        <x:v>* myContacts</x:v>
      </x:c>
      <x:c r="E3477" s="16" t="str">
        <x:v>Missing email</x:v>
      </x:c>
    </x:row>
    <x:row r="3478">
      <x:c r="A3478" s="16" t="n">
        <x:v>3612</x:v>
      </x:c>
      <x:c r="B3478" s="16" t="str">
        <x:v>Kak kathy cimb</x:v>
      </x:c>
      <x:c r="C3478" s="16" t="str"/>
      <x:c r="D3478" s="16" t="str">
        <x:v>* myContacts</x:v>
      </x:c>
      <x:c r="E3478" s="16" t="str">
        <x:v>Missing email</x:v>
      </x:c>
    </x:row>
    <x:row r="3479">
      <x:c r="A3479" s="16" t="n">
        <x:v>3613</x:v>
      </x:c>
      <x:c r="B3479" s="16" t="str">
        <x:v>Kak Liana Supertot</x:v>
      </x:c>
      <x:c r="C3479" s="16" t="str"/>
      <x:c r="D3479" s="16" t="str">
        <x:v>* myContacts</x:v>
      </x:c>
      <x:c r="E3479" s="16" t="str">
        <x:v>Missing email</x:v>
      </x:c>
    </x:row>
    <x:row r="3480">
      <x:c r="A3480" s="16" t="n">
        <x:v>3614</x:v>
      </x:c>
      <x:c r="B3480" s="16" t="str">
        <x:v>Kak Lin Kbbc Agent</x:v>
      </x:c>
      <x:c r="C3480" s="16" t="str"/>
      <x:c r="D3480" s="16" t="str">
        <x:v>* myContacts</x:v>
      </x:c>
      <x:c r="E3480" s="16" t="str">
        <x:v>Missing email</x:v>
      </x:c>
    </x:row>
    <x:row r="3481">
      <x:c r="A3481" s="16" t="n">
        <x:v>3615</x:v>
      </x:c>
      <x:c r="B3481" s="16" t="str">
        <x:v>Kak Liza Akaunting</x:v>
      </x:c>
      <x:c r="C3481" s="16" t="str"/>
      <x:c r="D3481" s="16" t="str">
        <x:v>* myContacts</x:v>
      </x:c>
      <x:c r="E3481" s="16" t="str">
        <x:v>Missing email</x:v>
      </x:c>
    </x:row>
    <x:row r="3482">
      <x:c r="A3482" s="16" t="n">
        <x:v>3616</x:v>
      </x:c>
      <x:c r="B3482" s="16" t="str">
        <x:v>kak long ppmm</x:v>
      </x:c>
      <x:c r="C3482" s="16" t="str"/>
      <x:c r="D3482" s="16" t="str">
        <x:v>* myContacts</x:v>
      </x:c>
      <x:c r="E3482" s="16" t="str">
        <x:v>Missing email</x:v>
      </x:c>
    </x:row>
    <x:row r="3483">
      <x:c r="A3483" s="16" t="n">
        <x:v>3617</x:v>
      </x:c>
      <x:c r="B3483" s="16" t="str">
        <x:v>Kak Lynn Faz4</x:v>
      </x:c>
      <x:c r="C3483" s="16" t="str"/>
      <x:c r="D3483" s="16" t="str">
        <x:v>* myContacts</x:v>
      </x:c>
      <x:c r="E3483" s="16" t="str">
        <x:v>Missing email</x:v>
      </x:c>
    </x:row>
    <x:row r="3484">
      <x:c r="A3484" s="16" t="n">
        <x:v>3618</x:v>
      </x:c>
      <x:c r="B3484" s="16" t="str">
        <x:v>Kak Mas Sapian Isteri Coach Razak</x:v>
      </x:c>
      <x:c r="C3484" s="16" t="str"/>
      <x:c r="D3484" s="16" t="str">
        <x:v>Trainer | * myContacts</x:v>
      </x:c>
      <x:c r="E3484" s="16" t="str">
        <x:v>Missing email</x:v>
      </x:c>
    </x:row>
    <x:row r="3485">
      <x:c r="A3485" s="16" t="n">
        <x:v>3619</x:v>
      </x:c>
      <x:c r="B3485" s="16" t="str">
        <x:v>Kak Masliza Mdec</x:v>
      </x:c>
      <x:c r="C3485" s="16" t="str"/>
      <x:c r="D3485" s="16" t="str">
        <x:v>* myContacts</x:v>
      </x:c>
      <x:c r="E3485" s="16" t="str">
        <x:v>Missing email</x:v>
      </x:c>
    </x:row>
    <x:row r="3486">
      <x:c r="A3486" s="16" t="n">
        <x:v>3620</x:v>
      </x:c>
      <x:c r="B3486" s="16" t="str">
        <x:v>Kak Maya TAMAN PERMATA Katering</x:v>
      </x:c>
      <x:c r="C3486" s="16" t="str"/>
      <x:c r="D3486" s="16" t="str">
        <x:v>* myContacts</x:v>
      </x:c>
      <x:c r="E3486" s="16" t="str">
        <x:v>Missing email</x:v>
      </x:c>
    </x:row>
    <x:row r="3487">
      <x:c r="A3487" s="16" t="n">
        <x:v>3621</x:v>
      </x:c>
      <x:c r="B3487" s="16" t="str">
        <x:v>Kak Mazlina student</x:v>
      </x:c>
      <x:c r="C3487" s="16" t="str"/>
      <x:c r="D3487" s="16" t="str">
        <x:v>* myContacts</x:v>
      </x:c>
      <x:c r="E3487" s="16" t="str">
        <x:v>Missing email</x:v>
      </x:c>
    </x:row>
    <x:row r="3488">
      <x:c r="A3488" s="16" t="n">
        <x:v>3622</x:v>
      </x:c>
      <x:c r="B3488" s="16" t="str">
        <x:v>Kak Mell student</x:v>
      </x:c>
      <x:c r="C3488" s="16" t="str"/>
      <x:c r="D3488" s="16" t="str">
        <x:v>* myContacts</x:v>
      </x:c>
      <x:c r="E3488" s="16" t="str">
        <x:v>Missing email</x:v>
      </x:c>
    </x:row>
    <x:row r="3489">
      <x:c r="A3489" s="16" t="n">
        <x:v>3623</x:v>
      </x:c>
      <x:c r="B3489" s="16" t="str">
        <x:v>kak mira akupuntur</x:v>
      </x:c>
      <x:c r="C3489" s="16" t="str"/>
      <x:c r="D3489" s="16" t="str">
        <x:v>* myContacts</x:v>
      </x:c>
      <x:c r="E3489" s="16" t="str">
        <x:v>Missing email</x:v>
      </x:c>
    </x:row>
    <x:row r="3490">
      <x:c r="A3490" s="16" t="n">
        <x:v>3624</x:v>
      </x:c>
      <x:c r="B3490" s="16" t="str">
        <x:v>Kak nabila tauke produk</x:v>
      </x:c>
      <x:c r="C3490" s="16" t="str"/>
      <x:c r="D3490" s="16" t="str">
        <x:v>* myContacts</x:v>
      </x:c>
      <x:c r="E3490" s="16" t="str">
        <x:v>Missing email</x:v>
      </x:c>
    </x:row>
    <x:row r="3491">
      <x:c r="A3491" s="16" t="n">
        <x:v>3625</x:v>
      </x:c>
      <x:c r="B3491" s="16" t="str">
        <x:v>Kak Ngah</x:v>
      </x:c>
      <x:c r="C3491" s="16" t="str"/>
      <x:c r="D3491" s="16" t="str">
        <x:v>* myContacts</x:v>
      </x:c>
      <x:c r="E3491" s="16" t="str">
        <x:v>Missing email</x:v>
      </x:c>
    </x:row>
    <x:row r="3492">
      <x:c r="A3492" s="16" t="n">
        <x:v>3626</x:v>
      </x:c>
      <x:c r="B3492" s="16" t="str">
        <x:v>Kak Ngah Nazri</x:v>
      </x:c>
      <x:c r="C3492" s="16" t="str"/>
      <x:c r="D3492" s="16" t="str">
        <x:v>* myContacts</x:v>
      </x:c>
      <x:c r="E3492" s="16" t="str">
        <x:v>Missing email</x:v>
      </x:c>
    </x:row>
    <x:row r="3493">
      <x:c r="A3493" s="16" t="n">
        <x:v>3627</x:v>
      </x:c>
      <x:c r="B3493" s="16" t="str">
        <x:v>Kak Nida 12 purnama</x:v>
      </x:c>
      <x:c r="C3493" s="16" t="str"/>
      <x:c r="D3493" s="16" t="str">
        <x:v>* myContacts</x:v>
      </x:c>
      <x:c r="E3493" s="16" t="str">
        <x:v>Missing email</x:v>
      </x:c>
    </x:row>
    <x:row r="3494">
      <x:c r="A3494" s="16" t="n">
        <x:v>3628</x:v>
      </x:c>
      <x:c r="B3494" s="16" t="str">
        <x:v>Kak Nik Training Provider</x:v>
      </x:c>
      <x:c r="C3494" s="16" t="str"/>
      <x:c r="D3494" s="16" t="str">
        <x:v>* myContacts</x:v>
      </x:c>
      <x:c r="E3494" s="16" t="str">
        <x:v>Missing email</x:v>
      </x:c>
    </x:row>
    <x:row r="3495">
      <x:c r="A3495" s="16" t="n">
        <x:v>3629</x:v>
      </x:c>
      <x:c r="B3495" s="16" t="str">
        <x:v>Kak Nik Training Provider Phone 2</x:v>
      </x:c>
      <x:c r="C3495" s="16" t="str"/>
      <x:c r="D3495" s="16" t="str">
        <x:v>* myContacts</x:v>
      </x:c>
      <x:c r="E3495" s="16" t="str">
        <x:v>Missing email</x:v>
      </x:c>
    </x:row>
    <x:row r="3496">
      <x:c r="A3496" s="16" t="n">
        <x:v>3630</x:v>
      </x:c>
      <x:c r="B3496" s="16" t="str">
        <x:v>kak noni eusahawan</x:v>
      </x:c>
      <x:c r="C3496" s="16" t="str"/>
      <x:c r="D3496" s="16" t="str">
        <x:v>Alumni eUsahawan | * myContacts</x:v>
      </x:c>
      <x:c r="E3496" s="16" t="str">
        <x:v>Missing email</x:v>
      </x:c>
    </x:row>
    <x:row r="3497">
      <x:c r="A3497" s="16" t="n">
        <x:v>3631</x:v>
      </x:c>
      <x:c r="B3497" s="16" t="str">
        <x:v>Kak Nora Hampers</x:v>
      </x:c>
      <x:c r="C3497" s="16" t="str"/>
      <x:c r="D3497" s="16" t="str">
        <x:v>* myContacts</x:v>
      </x:c>
      <x:c r="E3497" s="16" t="str">
        <x:v>Missing email</x:v>
      </x:c>
    </x:row>
    <x:row r="3498">
      <x:c r="A3498" s="16" t="n">
        <x:v>3632</x:v>
      </x:c>
      <x:c r="B3498" s="16" t="str">
        <x:v>kak nyah ppmm</x:v>
      </x:c>
      <x:c r="C3498" s="16" t="str"/>
      <x:c r="D3498" s="16" t="str">
        <x:v>* myContacts</x:v>
      </x:c>
      <x:c r="E3498" s="16" t="str">
        <x:v>Missing email</x:v>
      </x:c>
    </x:row>
    <x:row r="3499">
      <x:c r="A3499" s="16" t="n">
        <x:v>3633</x:v>
      </x:c>
      <x:c r="B3499" s="16" t="str">
        <x:v>kak roz student eUsahawanMY</x:v>
      </x:c>
      <x:c r="C3499" s="16" t="str"/>
      <x:c r="D3499" s="16" t="str">
        <x:v>Alumni eUsahawan | * myContacts</x:v>
      </x:c>
      <x:c r="E3499" s="16" t="str">
        <x:v>Missing email</x:v>
      </x:c>
    </x:row>
    <x:row r="3500">
      <x:c r="A3500" s="16" t="n">
        <x:v>3634</x:v>
      </x:c>
      <x:c r="B3500" s="16" t="str">
        <x:v>Kak Sab MDeC</x:v>
      </x:c>
      <x:c r="C3500" s="16" t="str"/>
      <x:c r="D3500" s="16" t="str">
        <x:v>* myContacts</x:v>
      </x:c>
      <x:c r="E3500" s="16" t="str">
        <x:v>Missing email</x:v>
      </x:c>
    </x:row>
    <x:row r="3501">
      <x:c r="A3501" s="16" t="n">
        <x:v>3635</x:v>
      </x:c>
      <x:c r="B3501" s="16" t="str">
        <x:v>Kak sal AGP</x:v>
      </x:c>
      <x:c r="C3501" s="16" t="str"/>
      <x:c r="D3501" s="16" t="str">
        <x:v>* myContacts</x:v>
      </x:c>
      <x:c r="E3501" s="16" t="str">
        <x:v>Missing email</x:v>
      </x:c>
    </x:row>
    <x:row r="3502">
      <x:c r="A3502" s="16" t="n">
        <x:v>3636</x:v>
      </x:c>
      <x:c r="B3502" s="16" t="str">
        <x:v>Kak Sha ILM Officer</x:v>
      </x:c>
      <x:c r="C3502" s="16" t="str"/>
      <x:c r="D3502" s="16" t="str">
        <x:v>* myContacts</x:v>
      </x:c>
      <x:c r="E3502" s="16" t="str">
        <x:v>Missing email</x:v>
      </x:c>
    </x:row>
    <x:row r="3503">
      <x:c r="A3503" s="16" t="n">
        <x:v>3637</x:v>
      </x:c>
      <x:c r="B3503" s="16" t="str">
        <x:v>Kak Som</x:v>
      </x:c>
      <x:c r="C3503" s="16" t="str"/>
      <x:c r="D3503" s="16" t="str">
        <x:v>* myContacts</x:v>
      </x:c>
      <x:c r="E3503" s="16" t="str">
        <x:v>Missing email</x:v>
      </x:c>
    </x:row>
    <x:row r="3504">
      <x:c r="A3504" s="16" t="n">
        <x:v>3638</x:v>
      </x:c>
      <x:c r="B3504" s="16" t="str">
        <x:v>Kak Su</x:v>
      </x:c>
      <x:c r="C3504" s="16" t="str"/>
      <x:c r="D3504" s="16" t="str">
        <x:v>* myContacts</x:v>
      </x:c>
      <x:c r="E3504" s="16" t="str">
        <x:v>Missing email</x:v>
      </x:c>
    </x:row>
    <x:row r="3505">
      <x:c r="A3505" s="16" t="n">
        <x:v>3639</x:v>
      </x:c>
      <x:c r="B3505" s="16" t="str">
        <x:v>Kak Su Public Speaker Guru Norway</x:v>
      </x:c>
      <x:c r="C3505" s="16" t="str"/>
      <x:c r="D3505" s="16" t="str">
        <x:v>* myContacts</x:v>
      </x:c>
      <x:c r="E3505" s="16" t="str">
        <x:v>Missing email</x:v>
      </x:c>
    </x:row>
    <x:row r="3506">
      <x:c r="A3506" s="16" t="n">
        <x:v>3640</x:v>
      </x:c>
      <x:c r="B3506" s="16" t="str">
        <x:v>Kak Syai Story</x:v>
      </x:c>
      <x:c r="C3506" s="16" t="str"/>
      <x:c r="D3506" s="16" t="str">
        <x:v>* myContacts</x:v>
      </x:c>
      <x:c r="E3506" s="16" t="str">
        <x:v>Missing email</x:v>
      </x:c>
    </x:row>
    <x:row r="3507">
      <x:c r="A3507" s="16" t="n">
        <x:v>3641</x:v>
      </x:c>
      <x:c r="B3507" s="16" t="str">
        <x:v>Kak Ton Bunga</x:v>
      </x:c>
      <x:c r="C3507" s="16" t="str"/>
      <x:c r="D3507" s="16" t="str">
        <x:v>* myContacts</x:v>
      </x:c>
      <x:c r="E3507" s="16" t="str">
        <x:v>Missing email</x:v>
      </x:c>
    </x:row>
    <x:row r="3508">
      <x:c r="A3508" s="16" t="n">
        <x:v>3642</x:v>
      </x:c>
      <x:c r="B3508" s="16" t="str">
        <x:v>Kak Ujie</x:v>
      </x:c>
      <x:c r="C3508" s="16" t="str"/>
      <x:c r="D3508" s="16" t="str">
        <x:v>* myContacts</x:v>
      </x:c>
      <x:c r="E3508" s="16" t="str">
        <x:v>Missing email</x:v>
      </x:c>
    </x:row>
    <x:row r="3509">
      <x:c r="A3509" s="16" t="n">
        <x:v>3643</x:v>
      </x:c>
      <x:c r="B3509" s="16" t="str">
        <x:v>Kak Yah Company Secretary</x:v>
      </x:c>
      <x:c r="C3509" s="16" t="str"/>
      <x:c r="D3509" s="16" t="str">
        <x:v>* myContacts</x:v>
      </x:c>
      <x:c r="E3509" s="16" t="str">
        <x:v>Missing email</x:v>
      </x:c>
    </x:row>
    <x:row r="3510">
      <x:c r="A3510" s="16" t="n">
        <x:v>3644</x:v>
      </x:c>
      <x:c r="B3510" s="16" t="str">
        <x:v>Kak Yan Trainerpreneur</x:v>
      </x:c>
      <x:c r="C3510" s="16" t="str"/>
      <x:c r="D3510" s="16" t="str">
        <x:v>Trainer | * myContacts</x:v>
      </x:c>
      <x:c r="E3510" s="16" t="str">
        <x:v>Missing email</x:v>
      </x:c>
    </x:row>
    <x:row r="3511">
      <x:c r="A3511" s="16" t="n">
        <x:v>3645</x:v>
      </x:c>
      <x:c r="B3511" s="16" t="str">
        <x:v>Kak Yatie Gift</x:v>
      </x:c>
      <x:c r="C3511" s="16" t="str"/>
      <x:c r="D3511" s="16" t="str">
        <x:v>* myContacts</x:v>
      </x:c>
      <x:c r="E3511" s="16" t="str">
        <x:v>Missing email</x:v>
      </x:c>
    </x:row>
    <x:row r="3512">
      <x:c r="A3512" s="16" t="n">
        <x:v>3646</x:v>
      </x:c>
      <x:c r="B3512" s="16" t="str">
        <x:v>kak za student</x:v>
      </x:c>
      <x:c r="C3512" s="16" t="str"/>
      <x:c r="D3512" s="16" t="str">
        <x:v>* myContacts</x:v>
      </x:c>
      <x:c r="E3512" s="16" t="str">
        <x:v>Missing email</x:v>
      </x:c>
    </x:row>
    <x:row r="3513">
      <x:c r="A3513" s="16" t="n">
        <x:v>3647</x:v>
      </x:c>
      <x:c r="B3513" s="16" t="str">
        <x:v>Kak Zaiti kktm</x:v>
      </x:c>
      <x:c r="C3513" s="16" t="str"/>
      <x:c r="D3513" s="16" t="str">
        <x:v>* myContacts</x:v>
      </x:c>
      <x:c r="E3513" s="16" t="str">
        <x:v>Missing email</x:v>
      </x:c>
    </x:row>
    <x:row r="3514">
      <x:c r="A3514" s="16" t="n">
        <x:v>3648</x:v>
      </x:c>
      <x:c r="B3514" s="16" t="str">
        <x:v>Kak Zana Mimbar Hijrah Kapar</x:v>
      </x:c>
      <x:c r="C3514" s="16" t="str"/>
      <x:c r="D3514" s="16" t="str">
        <x:v>Alumni eUsahawan | * myContacts</x:v>
      </x:c>
      <x:c r="E3514" s="16" t="str">
        <x:v>Missing email</x:v>
      </x:c>
    </x:row>
    <x:row r="3515">
      <x:c r="A3515" s="16" t="n">
        <x:v>3649</x:v>
      </x:c>
      <x:c r="B3515" s="16" t="str">
        <x:v>Kak Zarina Poslaju Bestari Jaya</x:v>
      </x:c>
      <x:c r="C3515" s="16" t="str"/>
      <x:c r="D3515" s="16" t="str">
        <x:v>* myContacts</x:v>
      </x:c>
      <x:c r="E3515" s="16" t="str">
        <x:v>Missing email</x:v>
      </x:c>
    </x:row>
    <x:row r="3516">
      <x:c r="A3516" s="16" t="n">
        <x:v>3651</x:v>
      </x:c>
      <x:c r="B3516" s="16" t="str">
        <x:v>Kak Zya Sudah Sembuh Rheumatiod</x:v>
      </x:c>
      <x:c r="C3516" s="16" t="str"/>
      <x:c r="D3516" s="16" t="str">
        <x:v>* myContacts</x:v>
      </x:c>
      <x:c r="E3516" s="16" t="str">
        <x:v>Missing email</x:v>
      </x:c>
    </x:row>
    <x:row r="3517">
      <x:c r="A3517" s="16" t="n">
        <x:v>3652</x:v>
      </x:c>
      <x:c r="B3517" s="16" t="str">
        <x:v>Kak. Masni</x:v>
      </x:c>
      <x:c r="C3517" s="16" t="str"/>
      <x:c r="D3517" s="16" t="str">
        <x:v>* myContacts</x:v>
      </x:c>
      <x:c r="E3517" s="16" t="str">
        <x:v>Missing email</x:v>
      </x:c>
    </x:row>
    <x:row r="3518">
      <x:c r="A3518" s="16" t="n">
        <x:v>3653</x:v>
      </x:c>
      <x:c r="B3518" s="16" t="str">
        <x:v>Kakak ⛄</x:v>
      </x:c>
      <x:c r="C3518" s="16" t="str"/>
      <x:c r="D3518" s="16" t="str">
        <x:v>* myContacts</x:v>
      </x:c>
      <x:c r="E3518" s="16" t="str">
        <x:v>Missing email</x:v>
      </x:c>
    </x:row>
    <x:row r="3519">
      <x:c r="A3519" s="16" t="n">
        <x:v>3654</x:v>
      </x:c>
      <x:c r="B3519" s="16" t="str">
        <x:v>Kalaiselvan Ganesan</x:v>
      </x:c>
      <x:c r="C3519" s="16" t="str"/>
      <x:c r="D3519" s="16" t="str">
        <x:v>* myContacts</x:v>
      </x:c>
      <x:c r="E3519" s="16" t="str">
        <x:v>Missing email</x:v>
      </x:c>
    </x:row>
    <x:row r="3520">
      <x:c r="A3520" s="16" t="n">
        <x:v>3655</x:v>
      </x:c>
      <x:c r="B3520" s="16" t="str">
        <x:v>Kalodata Support</x:v>
      </x:c>
      <x:c r="C3520" s="16" t="str"/>
      <x:c r="D3520" s="16" t="str">
        <x:v>* myContacts</x:v>
      </x:c>
      <x:c r="E3520" s="16" t="str">
        <x:v>Missing email</x:v>
      </x:c>
    </x:row>
    <x:row r="3521">
      <x:c r="A3521" s="16" t="n">
        <x:v>3656</x:v>
      </x:c>
      <x:c r="B3521" s="16" t="str">
        <x:v>Kaltom Makmur</x:v>
      </x:c>
      <x:c r="C3521" s="16" t="str"/>
      <x:c r="D3521" s="16" t="str">
        <x:v>* myContacts</x:v>
      </x:c>
      <x:c r="E3521" s="16" t="str">
        <x:v>Missing email</x:v>
      </x:c>
    </x:row>
    <x:row r="3522">
      <x:c r="A3522" s="16" t="n">
        <x:v>3657</x:v>
      </x:c>
      <x:c r="B3522" s="16" t="str">
        <x:v>Kalvana Agent</x:v>
      </x:c>
      <x:c r="C3522" s="16" t="str"/>
      <x:c r="D3522" s="16" t="str">
        <x:v>* myContacts</x:v>
      </x:c>
      <x:c r="E3522" s="16" t="str">
        <x:v>Missing email</x:v>
      </x:c>
    </x:row>
    <x:row r="3523">
      <x:c r="A3523" s="16" t="n">
        <x:v>3658</x:v>
      </x:c>
      <x:c r="B3523" s="16" t="str">
        <x:v>Kam Hashim</x:v>
      </x:c>
      <x:c r="C3523" s="16" t="str"/>
      <x:c r="D3523" s="16" t="str">
        <x:v>* myContacts</x:v>
      </x:c>
      <x:c r="E3523" s="16" t="str">
        <x:v>Missing email</x:v>
      </x:c>
    </x:row>
    <x:row r="3524">
      <x:c r="A3524" s="16" t="n">
        <x:v>3659</x:v>
      </x:c>
      <x:c r="B3524" s="16" t="str">
        <x:v>Kam hashim Trainer</x:v>
      </x:c>
      <x:c r="C3524" s="16" t="str"/>
      <x:c r="D3524" s="16" t="str">
        <x:v>Trainer | * myContacts</x:v>
      </x:c>
      <x:c r="E3524" s="16" t="str">
        <x:v>Missing email</x:v>
      </x:c>
    </x:row>
    <x:row r="3525">
      <x:c r="A3525" s="16" t="n">
        <x:v>3660</x:v>
      </x:c>
      <x:c r="B3525" s="16" t="str">
        <x:v>Kamahas Sepang</x:v>
      </x:c>
      <x:c r="C3525" s="16" t="str"/>
      <x:c r="D3525" s="16" t="str">
        <x:v>* myContacts</x:v>
      </x:c>
      <x:c r="E3525" s="16" t="str">
        <x:v>Missing email</x:v>
      </x:c>
    </x:row>
    <x:row r="3526">
      <x:c r="A3526" s="16" t="n">
        <x:v>3661</x:v>
      </x:c>
      <x:c r="B3526" s="16" t="str">
        <x:v>Kamal Che Nik VOE EU 2023</x:v>
      </x:c>
      <x:c r="C3526" s="16" t="str"/>
      <x:c r="D3526" s="16" t="str">
        <x:v>* myContacts</x:v>
      </x:c>
      <x:c r="E3526" s="16" t="str">
        <x:v>Missing email</x:v>
      </x:c>
    </x:row>
    <x:row r="3527">
      <x:c r="A3527" s="16" t="n">
        <x:v>3662</x:v>
      </x:c>
      <x:c r="B3527" s="16" t="str">
        <x:v>Kamal Suhari Kc</x:v>
      </x:c>
      <x:c r="C3527" s="16" t="str"/>
      <x:c r="D3527" s="16" t="str">
        <x:v>* myContacts</x:v>
      </x:c>
      <x:c r="E3527" s="16" t="str">
        <x:v>Missing email</x:v>
      </x:c>
    </x:row>
    <x:row r="3528">
      <x:c r="A3528" s="16" t="n">
        <x:v>3663</x:v>
      </x:c>
      <x:c r="B3528" s="16" t="str">
        <x:v>Kamal Traveller Otai</x:v>
      </x:c>
      <x:c r="C3528" s="16" t="str"/>
      <x:c r="D3528" s="16" t="str">
        <x:v>* myContacts</x:v>
      </x:c>
      <x:c r="E3528" s="16" t="str">
        <x:v>Missing email</x:v>
      </x:c>
    </x:row>
    <x:row r="3529">
      <x:c r="A3529" s="16" t="n">
        <x:v>3664</x:v>
      </x:c>
      <x:c r="B3529" s="16" t="str">
        <x:v>Kamal Utm</x:v>
      </x:c>
      <x:c r="C3529" s="16" t="str"/>
      <x:c r="D3529" s="16" t="str">
        <x:v>* myContacts</x:v>
      </x:c>
      <x:c r="E3529" s="16" t="str">
        <x:v>Missing email</x:v>
      </x:c>
    </x:row>
    <x:row r="3530">
      <x:c r="A3530" s="16" t="n">
        <x:v>3665</x:v>
      </x:c>
      <x:c r="B3530" s="16" t="str">
        <x:v>Kamalia Ali</x:v>
      </x:c>
      <x:c r="C3530" s="16" t="str"/>
      <x:c r="D3530" s="16" t="str">
        <x:v>* myContacts</x:v>
      </x:c>
      <x:c r="E3530" s="16" t="str">
        <x:v>Missing email</x:v>
      </x:c>
    </x:row>
    <x:row r="3531">
      <x:c r="A3531" s="16" t="n">
        <x:v>3666</x:v>
      </x:c>
      <x:c r="B3531" s="16" t="str">
        <x:v>Kamalia Mohd Razalli</x:v>
      </x:c>
      <x:c r="C3531" s="16" t="str"/>
      <x:c r="D3531" s="16" t="str">
        <x:v>* myContacts</x:v>
      </x:c>
      <x:c r="E3531" s="16" t="str">
        <x:v>Missing email</x:v>
      </x:c>
    </x:row>
    <x:row r="3532">
      <x:c r="A3532" s="16" t="n">
        <x:v>3667</x:v>
      </x:c>
      <x:c r="B3532" s="16" t="str">
        <x:v>Kamaliah AGP</x:v>
      </x:c>
      <x:c r="C3532" s="16" t="str"/>
      <x:c r="D3532" s="16" t="str">
        <x:v>* myContacts</x:v>
      </x:c>
      <x:c r="E3532" s="16" t="str">
        <x:v>Missing email</x:v>
      </x:c>
    </x:row>
    <x:row r="3533">
      <x:c r="A3533" s="16" t="n">
        <x:v>3668</x:v>
      </x:c>
      <x:c r="B3533" s="16" t="str">
        <x:v>KamaNorain KamaroZaman</x:v>
      </x:c>
      <x:c r="C3533" s="16" t="str"/>
      <x:c r="D3533" s="16" t="str">
        <x:v>* myContacts</x:v>
      </x:c>
      <x:c r="E3533" s="16" t="str">
        <x:v>Missing email</x:v>
      </x:c>
    </x:row>
    <x:row r="3534">
      <x:c r="A3534" s="16" t="n">
        <x:v>3669</x:v>
      </x:c>
      <x:c r="B3534" s="16" t="str">
        <x:v>Kamaruddin Maamor</x:v>
      </x:c>
      <x:c r="C3534" s="16" t="str"/>
      <x:c r="D3534" s="16" t="str">
        <x:v>* myContacts</x:v>
      </x:c>
      <x:c r="E3534" s="16" t="str">
        <x:v>Missing email</x:v>
      </x:c>
    </x:row>
    <x:row r="3535">
      <x:c r="A3535" s="16" t="n">
        <x:v>3670</x:v>
      </x:c>
      <x:c r="B3535" s="16" t="str">
        <x:v>Kamarudin Hussin</x:v>
      </x:c>
      <x:c r="C3535" s="16" t="str"/>
      <x:c r="D3535" s="16" t="str">
        <x:v>* myContacts</x:v>
      </x:c>
      <x:c r="E3535" s="16" t="str">
        <x:v>Missing email</x:v>
      </x:c>
    </x:row>
    <x:row r="3536">
      <x:c r="A3536" s="16" t="n">
        <x:v>3671</x:v>
      </x:c>
      <x:c r="B3536" s="16" t="str">
        <x:v>Kamarul Ariff</x:v>
      </x:c>
      <x:c r="C3536" s="16" t="str"/>
      <x:c r="D3536" s="16" t="str">
        <x:v>* myContacts</x:v>
      </x:c>
      <x:c r="E3536" s="16" t="str">
        <x:v>Missing email</x:v>
      </x:c>
    </x:row>
    <x:row r="3537">
      <x:c r="A3537" s="16" t="n">
        <x:v>3672</x:v>
      </x:c>
      <x:c r="B3537" s="16" t="str">
        <x:v>Kamarul Ariffin</x:v>
      </x:c>
      <x:c r="C3537" s="16" t="str"/>
      <x:c r="D3537" s="16" t="str">
        <x:v>* myContacts</x:v>
      </x:c>
      <x:c r="E3537" s="16" t="str">
        <x:v>Missing email</x:v>
      </x:c>
    </x:row>
    <x:row r="3538">
      <x:c r="A3538" s="16" t="n">
        <x:v>3673</x:v>
      </x:c>
      <x:c r="B3538" s="16" t="str">
        <x:v>Kamarul Ariffin Atan</x:v>
      </x:c>
      <x:c r="C3538" s="16" t="str"/>
      <x:c r="D3538" s="16" t="str">
        <x:v>* myContacts</x:v>
      </x:c>
      <x:c r="E3538" s="16" t="str">
        <x:v>Missing email</x:v>
      </x:c>
    </x:row>
    <x:row r="3539">
      <x:c r="A3539" s="16" t="n">
        <x:v>3674</x:v>
      </x:c>
      <x:c r="B3539" s="16" t="str">
        <x:v>Dr Kamarul Ariffin</x:v>
      </x:c>
      <x:c r="C3539" s="16" t="str"/>
      <x:c r="D3539" s="16" t="str">
        <x:v>* myContacts</x:v>
      </x:c>
      <x:c r="E3539" s="16" t="str">
        <x:v>Missing email</x:v>
      </x:c>
    </x:row>
    <x:row r="3540">
      <x:c r="A3540" s="16" t="n">
        <x:v>3675</x:v>
      </x:c>
      <x:c r="B3540" s="16" t="str">
        <x:v>Kamarul Azam</x:v>
      </x:c>
      <x:c r="C3540" s="16" t="str"/>
      <x:c r="D3540" s="16" t="str">
        <x:v>* myContacts</x:v>
      </x:c>
      <x:c r="E3540" s="16" t="str">
        <x:v>Missing email</x:v>
      </x:c>
    </x:row>
    <x:row r="3541">
      <x:c r="A3541" s="16" t="n">
        <x:v>3676</x:v>
      </x:c>
      <x:c r="B3541" s="16" t="str">
        <x:v>Kamarul Azman MBPJ Perundangan</x:v>
      </x:c>
      <x:c r="C3541" s="16" t="str"/>
      <x:c r="D3541" s="16" t="str">
        <x:v>* myContacts</x:v>
      </x:c>
      <x:c r="E3541" s="16" t="str">
        <x:v>Missing email</x:v>
      </x:c>
    </x:row>
    <x:row r="3542">
      <x:c r="A3542" s="16" t="n">
        <x:v>3677</x:v>
      </x:c>
      <x:c r="B3542" s="16" t="str">
        <x:v>Kamarul Bahareen Galaxy A12</x:v>
      </x:c>
      <x:c r="C3542" s="16" t="str"/>
      <x:c r="D3542" s="16" t="str">
        <x:v>* myContacts</x:v>
      </x:c>
      <x:c r="E3542" s="16" t="str">
        <x:v>Missing email</x:v>
      </x:c>
    </x:row>
    <x:row r="3543">
      <x:c r="A3543" s="16" t="n">
        <x:v>3679</x:v>
      </x:c>
      <x:c r="B3543" s="16" t="str">
        <x:v>Kamarul Btc</x:v>
      </x:c>
      <x:c r="C3543" s="16" t="str"/>
      <x:c r="D3543" s="16" t="str">
        <x:v>* myContacts</x:v>
      </x:c>
      <x:c r="E3543" s="16" t="str">
        <x:v>Missing email</x:v>
      </x:c>
    </x:row>
    <x:row r="3544">
      <x:c r="A3544" s="16" t="n">
        <x:v>3680</x:v>
      </x:c>
      <x:c r="B3544" s="16" t="str">
        <x:v>Kamarul JuruUkur</x:v>
      </x:c>
      <x:c r="C3544" s="16" t="str"/>
      <x:c r="D3544" s="16" t="str">
        <x:v>* myContacts</x:v>
      </x:c>
      <x:c r="E3544" s="16" t="str">
        <x:v>Missing email</x:v>
      </x:c>
    </x:row>
    <x:row r="3545">
      <x:c r="A3545" s="16" t="n">
        <x:v>3681</x:v>
      </x:c>
      <x:c r="B3545" s="16" t="str">
        <x:v>Kamarul Pad Perodua</x:v>
      </x:c>
      <x:c r="C3545" s="16" t="str"/>
      <x:c r="D3545" s="16" t="str">
        <x:v>* myContacts</x:v>
      </x:c>
      <x:c r="E3545" s="16" t="str">
        <x:v>Missing email</x:v>
      </x:c>
    </x:row>
    <x:row r="3546">
      <x:c r="A3546" s="16" t="n">
        <x:v>3682</x:v>
      </x:c>
      <x:c r="B3546" s="16" t="str">
        <x:v>Kamaruzaman My</x:v>
      </x:c>
      <x:c r="C3546" s="16" t="str"/>
      <x:c r="D3546" s="16" t="str">
        <x:v>* myContacts</x:v>
      </x:c>
      <x:c r="E3546" s="16" t="str">
        <x:v>Missing email</x:v>
      </x:c>
    </x:row>
    <x:row r="3547">
      <x:c r="A3547" s="16" t="n">
        <x:v>3683</x:v>
      </x:c>
      <x:c r="B3547" s="16" t="str">
        <x:v>Kamat Julia</x:v>
      </x:c>
      <x:c r="C3547" s="16" t="str"/>
      <x:c r="D3547" s="16" t="str">
        <x:v>* myContacts</x:v>
      </x:c>
      <x:c r="E3547" s="16" t="str">
        <x:v>Missing email</x:v>
      </x:c>
    </x:row>
    <x:row r="3548">
      <x:c r="A3548" s="16" t="n">
        <x:v>3684</x:v>
      </x:c>
      <x:c r="B3548" s="16" t="str">
        <x:v>Kambing Golek Johor</x:v>
      </x:c>
      <x:c r="C3548" s="16" t="str"/>
      <x:c r="D3548" s="16" t="str">
        <x:v>* myContacts</x:v>
      </x:c>
      <x:c r="E3548" s="16" t="str">
        <x:v>Missing email</x:v>
      </x:c>
    </x:row>
    <x:row r="3549">
      <x:c r="A3549" s="16" t="n">
        <x:v>3685</x:v>
      </x:c>
      <x:c r="B3549" s="16" t="str">
        <x:v>Kamen Rider</x:v>
      </x:c>
      <x:c r="C3549" s="16" t="str"/>
      <x:c r="D3549" s="16" t="str">
        <x:v>* myContacts</x:v>
      </x:c>
      <x:c r="E3549" s="16" t="str">
        <x:v>Missing email</x:v>
      </x:c>
    </x:row>
    <x:row r="3550">
      <x:c r="A3550" s="16" t="n">
        <x:v>3686</x:v>
      </x:c>
      <x:c r="B3550" s="16" t="str">
        <x:v>Kamil Langkawi</x:v>
      </x:c>
      <x:c r="C3550" s="16" t="str"/>
      <x:c r="D3550" s="16" t="str">
        <x:v>* myContacts</x:v>
      </x:c>
      <x:c r="E3550" s="16" t="str">
        <x:v>Missing email</x:v>
      </x:c>
    </x:row>
    <x:row r="3551">
      <x:c r="A3551" s="16" t="n">
        <x:v>3687</x:v>
      </x:c>
      <x:c r="B3551" s="16" t="str">
        <x:v>Kamil sukabumi resort</x:v>
      </x:c>
      <x:c r="C3551" s="16" t="str"/>
      <x:c r="D3551" s="16" t="str">
        <x:v>* myContacts</x:v>
      </x:c>
      <x:c r="E3551" s="16" t="str">
        <x:v>Missing email</x:v>
      </x:c>
    </x:row>
    <x:row r="3552">
      <x:c r="A3552" s="16" t="n">
        <x:v>3688</x:v>
      </x:c>
      <x:c r="B3552" s="16" t="str">
        <x:v>Kamisah Moin</x:v>
      </x:c>
      <x:c r="C3552" s="16" t="str"/>
      <x:c r="D3552" s="16" t="str">
        <x:v>* myContacts</x:v>
      </x:c>
      <x:c r="E3552" s="16" t="str">
        <x:v>Missing email</x:v>
      </x:c>
    </x:row>
    <x:row r="3553">
      <x:c r="A3553" s="16" t="n">
        <x:v>3689</x:v>
      </x:c>
      <x:c r="B3553" s="16" t="str">
        <x:v>Kamisah Sabah Trainer Mdec</x:v>
      </x:c>
      <x:c r="C3553" s="16" t="str"/>
      <x:c r="D3553" s="16" t="str">
        <x:v>* myContacts</x:v>
      </x:c>
      <x:c r="E3553" s="16" t="str">
        <x:v>Missing email</x:v>
      </x:c>
    </x:row>
    <x:row r="3554">
      <x:c r="A3554" s="16" t="n">
        <x:v>3690</x:v>
      </x:c>
      <x:c r="B3554" s="16" t="str">
        <x:v>Kamran Computer Saller</x:v>
      </x:c>
      <x:c r="C3554" s="16" t="str"/>
      <x:c r="D3554" s="16" t="str">
        <x:v>* myContacts</x:v>
      </x:c>
      <x:c r="E3554" s="16" t="str">
        <x:v>Missing email</x:v>
      </x:c>
    </x:row>
    <x:row r="3555">
      <x:c r="A3555" s="16" t="n">
        <x:v>3691</x:v>
      </x:c>
      <x:c r="B3555" s="16" t="str">
        <x:v>Kamrul Kamrul</x:v>
      </x:c>
      <x:c r="C3555" s="16" t="str"/>
      <x:c r="D3555" s="16" t="str">
        <x:v>* myContacts</x:v>
      </x:c>
      <x:c r="E3555" s="16" t="str">
        <x:v>Missing email</x:v>
      </x:c>
    </x:row>
    <x:row r="3556">
      <x:c r="A3556" s="16" t="n">
        <x:v>3692</x:v>
      </x:c>
      <x:c r="B3556" s="16" t="str">
        <x:v>Kamul UTM</x:v>
      </x:c>
      <x:c r="C3556" s="16" t="str"/>
      <x:c r="D3556" s="16" t="str">
        <x:v>* myContacts</x:v>
      </x:c>
      <x:c r="E3556" s="16" t="str">
        <x:v>Missing email</x:v>
      </x:c>
    </x:row>
    <x:row r="3557">
      <x:c r="A3557" s="16" t="n">
        <x:v>3693</x:v>
      </x:c>
      <x:c r="B3557" s="16" t="str">
        <x:v>Kanda Adik Angkat Sarawak</x:v>
      </x:c>
      <x:c r="C3557" s="16" t="str"/>
      <x:c r="D3557" s="16" t="str">
        <x:v>* myContacts</x:v>
      </x:c>
      <x:c r="E3557" s="16" t="str">
        <x:v>Missing email</x:v>
      </x:c>
    </x:row>
    <x:row r="3558">
      <x:c r="A3558" s="16" t="n">
        <x:v>3694</x:v>
      </x:c>
      <x:c r="B3558" s="16" t="str">
        <x:v>Kanda Adik Angkat Sarawak</x:v>
      </x:c>
      <x:c r="C3558" s="16" t="str"/>
      <x:c r="D3558" s="16" t="str">
        <x:v>* myContacts</x:v>
      </x:c>
      <x:c r="E3558" s="16" t="str">
        <x:v>Missing email</x:v>
      </x:c>
    </x:row>
    <x:row r="3559">
      <x:c r="A3559" s="16" t="n">
        <x:v>3695</x:v>
      </x:c>
      <x:c r="B3559" s="16" t="str">
        <x:v>Karim Tudm</x:v>
      </x:c>
      <x:c r="C3559" s="16" t="str"/>
      <x:c r="D3559" s="16" t="str">
        <x:v>* myContacts</x:v>
      </x:c>
      <x:c r="E3559" s="16" t="str">
        <x:v>Missing email</x:v>
      </x:c>
    </x:row>
    <x:row r="3560">
      <x:c r="A3560" s="16" t="n">
        <x:v>3696</x:v>
      </x:c>
      <x:c r="B3560" s="16" t="str">
        <x:v>Karmila Asyura Nrshm</x:v>
      </x:c>
      <x:c r="C3560" s="16" t="str"/>
      <x:c r="D3560" s="16" t="str">
        <x:v>* myContacts</x:v>
      </x:c>
      <x:c r="E3560" s="16" t="str">
        <x:v>Missing email</x:v>
      </x:c>
    </x:row>
    <x:row r="3561">
      <x:c r="A3561" s="16" t="n">
        <x:v>3697</x:v>
      </x:c>
      <x:c r="B3561" s="16" t="str">
        <x:v>Kartini Ibrahim</x:v>
      </x:c>
      <x:c r="C3561" s="16" t="str"/>
      <x:c r="D3561" s="16" t="str">
        <x:v>* myContacts</x:v>
      </x:c>
      <x:c r="E3561" s="16" t="str">
        <x:v>Missing email</x:v>
      </x:c>
    </x:row>
    <x:row r="3562">
      <x:c r="A3562" s="16" t="n">
        <x:v>3698</x:v>
      </x:c>
      <x:c r="B3562" s="16" t="str">
        <x:v>Kartini PPMM</x:v>
      </x:c>
      <x:c r="C3562" s="16" t="str"/>
      <x:c r="D3562" s="16" t="str">
        <x:v>* myContacts</x:v>
      </x:c>
      <x:c r="E3562" s="16" t="str">
        <x:v>Missing email</x:v>
      </x:c>
    </x:row>
    <x:row r="3563">
      <x:c r="A3563" s="16" t="n">
        <x:v>3699</x:v>
      </x:c>
      <x:c r="B3563" s="16" t="str">
        <x:v>Kasanira Resources</x:v>
      </x:c>
      <x:c r="C3563" s="16" t="str"/>
      <x:c r="D3563" s="16" t="str">
        <x:v>* myContacts</x:v>
      </x:c>
      <x:c r="E3563" s="16" t="str">
        <x:v>Missing email</x:v>
      </x:c>
    </x:row>
    <x:row r="3564">
      <x:c r="A3564" s="16" t="n">
        <x:v>3700</x:v>
      </x:c>
      <x:c r="B3564" s="16" t="str">
        <x:v>Kasdilla Kasin</x:v>
      </x:c>
      <x:c r="C3564" s="16" t="str"/>
      <x:c r="D3564" s="16" t="str">
        <x:v>* myContacts</x:v>
      </x:c>
      <x:c r="E3564" s="16" t="str">
        <x:v>Missing email</x:v>
      </x:c>
    </x:row>
    <x:row r="3565">
      <x:c r="A3565" s="16" t="n">
        <x:v>3701</x:v>
      </x:c>
      <x:c r="B3565" s="16" t="str">
        <x:v>Kash Property</x:v>
      </x:c>
      <x:c r="C3565" s="16" t="str"/>
      <x:c r="D3565" s="16" t="str">
        <x:v>* myContacts</x:v>
      </x:c>
      <x:c r="E3565" s="16" t="str">
        <x:v>Missing email</x:v>
      </x:c>
    </x:row>
    <x:row r="3566">
      <x:c r="A3566" s="16" t="n">
        <x:v>3702</x:v>
      </x:c>
      <x:c r="B3566" s="16" t="str">
        <x:v>Kasih Cintaku</x:v>
      </x:c>
      <x:c r="C3566" s="16" t="str"/>
      <x:c r="D3566" s="16" t="str">
        <x:v>* myContacts</x:v>
      </x:c>
      <x:c r="E3566" s="16" t="str">
        <x:v>Missing email</x:v>
      </x:c>
    </x:row>
    <x:row r="3567">
      <x:c r="A3567" s="16" t="n">
        <x:v>3703</x:v>
      </x:c>
      <x:c r="B3567" s="16" t="str">
        <x:v>Kasih Mekar</x:v>
      </x:c>
      <x:c r="C3567" s="16" t="str"/>
      <x:c r="D3567" s="16" t="str">
        <x:v>* myContacts</x:v>
      </x:c>
      <x:c r="E3567" s="16" t="str">
        <x:v>Missing email</x:v>
      </x:c>
    </x:row>
    <x:row r="3568">
      <x:c r="A3568" s="16" t="n">
        <x:v>3704</x:v>
      </x:c>
      <x:c r="B3568" s="16" t="str">
        <x:v>Kasijadi Web Khalid</x:v>
      </x:c>
      <x:c r="C3568" s="16" t="str"/>
      <x:c r="D3568" s="16" t="str">
        <x:v>* myContacts</x:v>
      </x:c>
      <x:c r="E3568" s="16" t="str">
        <x:v>Missing email</x:v>
      </x:c>
    </x:row>
    <x:row r="3569">
      <x:c r="A3569" s="16" t="n">
        <x:v>3705</x:v>
      </x:c>
      <x:c r="B3569" s="16" t="str">
        <x:v>Kasmah Bustaman</x:v>
      </x:c>
      <x:c r="C3569" s="16" t="str"/>
      <x:c r="D3569" s="16" t="str">
        <x:v>* myContacts</x:v>
      </x:c>
      <x:c r="E3569" s="16" t="str">
        <x:v>Missing email</x:v>
      </x:c>
    </x:row>
    <x:row r="3570">
      <x:c r="A3570" s="16" t="n">
        <x:v>3706</x:v>
      </x:c>
      <x:c r="B3570" s="16" t="str">
        <x:v>Kasmah Mohamad</x:v>
      </x:c>
      <x:c r="C3570" s="16" t="str"/>
      <x:c r="D3570" s="16" t="str">
        <x:v>* myContacts</x:v>
      </x:c>
      <x:c r="E3570" s="16" t="str">
        <x:v>Missing email</x:v>
      </x:c>
    </x:row>
    <x:row r="3571">
      <x:c r="A3571" s="16" t="n">
        <x:v>3708</x:v>
      </x:c>
      <x:c r="B3571" s="16" t="str">
        <x:v>Kassim PA Razali</x:v>
      </x:c>
      <x:c r="C3571" s="16" t="str"/>
      <x:c r="D3571" s="16" t="str">
        <x:v>* myContacts</x:v>
      </x:c>
      <x:c r="E3571" s="16" t="str">
        <x:v>Missing email</x:v>
      </x:c>
    </x:row>
    <x:row r="3572">
      <x:c r="A3572" s="16" t="n">
        <x:v>3709</x:v>
      </x:c>
      <x:c r="B3572" s="16" t="str">
        <x:v>Katering Elly</x:v>
      </x:c>
      <x:c r="C3572" s="16" t="str"/>
      <x:c r="D3572" s="16" t="str">
        <x:v>* myContacts</x:v>
      </x:c>
      <x:c r="E3572" s="16" t="str">
        <x:v>Missing email</x:v>
      </x:c>
    </x:row>
    <x:row r="3573">
      <x:c r="A3573" s="16" t="n">
        <x:v>3710</x:v>
      </x:c>
      <x:c r="B3573" s="16" t="str">
        <x:v>Kathrine Site Giant</x:v>
      </x:c>
      <x:c r="C3573" s="16" t="str"/>
      <x:c r="D3573" s="16" t="str">
        <x:v>* myContacts</x:v>
      </x:c>
      <x:c r="E3573" s="16" t="str">
        <x:v>Missing email</x:v>
      </x:c>
    </x:row>
    <x:row r="3574">
      <x:c r="A3574" s="16" t="n">
        <x:v>3711</x:v>
      </x:c>
      <x:c r="B3574" s="16" t="str">
        <x:v>Katrena Batrisya</x:v>
      </x:c>
      <x:c r="C3574" s="16" t="str"/>
      <x:c r="D3574" s="16" t="str">
        <x:v>* myContacts</x:v>
      </x:c>
      <x:c r="E3574" s="16" t="str">
        <x:v>Missing email</x:v>
      </x:c>
    </x:row>
    <x:row r="3575">
      <x:c r="A3575" s="16" t="n">
        <x:v>3712</x:v>
      </x:c>
      <x:c r="B3575" s="16" t="str">
        <x:v>Katryna Watie</x:v>
      </x:c>
      <x:c r="C3575" s="16" t="str"/>
      <x:c r="D3575" s="16" t="str">
        <x:v>* myContacts</x:v>
      </x:c>
      <x:c r="E3575" s="16" t="str">
        <x:v>Missing email</x:v>
      </x:c>
    </x:row>
    <x:row r="3576">
      <x:c r="A3576" s="16" t="n">
        <x:v>3713</x:v>
      </x:c>
      <x:c r="B3576" s="16" t="str">
        <x:v>Kavind IM</x:v>
      </x:c>
      <x:c r="C3576" s="16" t="str"/>
      <x:c r="D3576" s="16" t="str">
        <x:v>* myContacts</x:v>
      </x:c>
      <x:c r="E3576" s="16" t="str">
        <x:v>Missing email</x:v>
      </x:c>
    </x:row>
    <x:row r="3577">
      <x:c r="A3577" s="16" t="n">
        <x:v>3714</x:v>
      </x:c>
      <x:c r="B3577" s="16" t="str">
        <x:v>Kayalah Din</x:v>
      </x:c>
      <x:c r="C3577" s="16" t="str"/>
      <x:c r="D3577" s="16" t="str">
        <x:v>* myContacts</x:v>
      </x:c>
      <x:c r="E3577" s="16" t="str">
        <x:v>Missing email</x:v>
      </x:c>
    </x:row>
    <x:row r="3578">
      <x:c r="A3578" s="16" t="n">
        <x:v>3715</x:v>
      </x:c>
      <x:c r="B3578" s="16" t="str">
        <x:v>Kb Beyond Creative Messenger</x:v>
      </x:c>
      <x:c r="C3578" s="16" t="str"/>
      <x:c r="D3578" s="16" t="str">
        <x:v>* myContacts</x:v>
      </x:c>
      <x:c r="E3578" s="16" t="str">
        <x:v>Missing email</x:v>
      </x:c>
    </x:row>
    <x:row r="3579">
      <x:c r="A3579" s="16" t="n">
        <x:v>3716</x:v>
      </x:c>
      <x:c r="B3579" s="16" t="str">
        <x:v>kbbc Abdul Khaaliq Bin Ahmad</x:v>
      </x:c>
      <x:c r="C3579" s="16" t="str"/>
      <x:c r="D3579" s="16" t="str">
        <x:v>* myContacts</x:v>
      </x:c>
      <x:c r="E3579" s="16" t="str">
        <x:v>Missing email</x:v>
      </x:c>
    </x:row>
    <x:row r="3580">
      <x:c r="A3580" s="16" t="n">
        <x:v>3717</x:v>
      </x:c>
      <x:c r="B3580" s="16" t="str">
        <x:v>kbbc Abdul Khaaliq Bin Ahmad</x:v>
      </x:c>
      <x:c r="C3580" s="16" t="str"/>
      <x:c r="D3580" s="16" t="str">
        <x:v>* myContacts</x:v>
      </x:c>
      <x:c r="E3580" s="16" t="str">
        <x:v>Missing email</x:v>
      </x:c>
    </x:row>
    <x:row r="3581">
      <x:c r="A3581" s="16" t="n">
        <x:v>3718</x:v>
      </x:c>
      <x:c r="B3581" s="16" t="str">
        <x:v>kbbc Abdul Mutalib Mohamad</x:v>
      </x:c>
      <x:c r="C3581" s="16" t="str"/>
      <x:c r="D3581" s="16" t="str">
        <x:v>* myContacts</x:v>
      </x:c>
      <x:c r="E3581" s="16" t="str">
        <x:v>Missing email</x:v>
      </x:c>
    </x:row>
    <x:row r="3582">
      <x:c r="A3582" s="16" t="n">
        <x:v>3719</x:v>
      </x:c>
      <x:c r="B3582" s="16" t="str">
        <x:v>kbbc Abdul Mutalib Mohamad</x:v>
      </x:c>
      <x:c r="C3582" s="16" t="str"/>
      <x:c r="D3582" s="16" t="str">
        <x:v>* myContacts</x:v>
      </x:c>
      <x:c r="E3582" s="16" t="str">
        <x:v>Missing email</x:v>
      </x:c>
    </x:row>
    <x:row r="3583">
      <x:c r="A3583" s="16" t="n">
        <x:v>3720</x:v>
      </x:c>
      <x:c r="B3583" s="16" t="str">
        <x:v>kbbc Abdul Rahman Ali</x:v>
      </x:c>
      <x:c r="C3583" s="16" t="str"/>
      <x:c r="D3583" s="16" t="str">
        <x:v>* myContacts</x:v>
      </x:c>
      <x:c r="E3583" s="16" t="str">
        <x:v>Missing email</x:v>
      </x:c>
    </x:row>
    <x:row r="3584">
      <x:c r="A3584" s="16" t="n">
        <x:v>3721</x:v>
      </x:c>
      <x:c r="B3584" s="16" t="str">
        <x:v>kbbc Abdul Rahman Ali</x:v>
      </x:c>
      <x:c r="C3584" s="16" t="str"/>
      <x:c r="D3584" s="16" t="str">
        <x:v>* myContacts</x:v>
      </x:c>
      <x:c r="E3584" s="16" t="str">
        <x:v>Missing email</x:v>
      </x:c>
    </x:row>
    <x:row r="3585">
      <x:c r="A3585" s="16" t="n">
        <x:v>3722</x:v>
      </x:c>
      <x:c r="B3585" s="16" t="str">
        <x:v>kbbc Aellin Jaikul</x:v>
      </x:c>
      <x:c r="C3585" s="16" t="str"/>
      <x:c r="D3585" s="16" t="str">
        <x:v>* myContacts</x:v>
      </x:c>
      <x:c r="E3585" s="16" t="str">
        <x:v>Missing email</x:v>
      </x:c>
    </x:row>
    <x:row r="3586">
      <x:c r="A3586" s="16" t="n">
        <x:v>3723</x:v>
      </x:c>
      <x:c r="B3586" s="16" t="str">
        <x:v>kbbc Afnan Syahmi Bin Mustaheren</x:v>
      </x:c>
      <x:c r="C3586" s="16" t="str"/>
      <x:c r="D3586" s="16" t="str">
        <x:v>* myContacts</x:v>
      </x:c>
      <x:c r="E3586" s="16" t="str">
        <x:v>Missing email</x:v>
      </x:c>
    </x:row>
    <x:row r="3587">
      <x:c r="A3587" s="16" t="n">
        <x:v>3724</x:v>
      </x:c>
      <x:c r="B3587" s="16" t="str">
        <x:v>kbbc Ahmad Fuad</x:v>
      </x:c>
      <x:c r="C3587" s="16" t="str"/>
      <x:c r="D3587" s="16" t="str">
        <x:v>* myContacts</x:v>
      </x:c>
      <x:c r="E3587" s="16" t="str">
        <x:v>Missing email</x:v>
      </x:c>
    </x:row>
    <x:row r="3588">
      <x:c r="A3588" s="16" t="n">
        <x:v>3725</x:v>
      </x:c>
      <x:c r="B3588" s="16" t="str">
        <x:v>kbbc Ahmad Fuad</x:v>
      </x:c>
      <x:c r="C3588" s="16" t="str"/>
      <x:c r="D3588" s="16" t="str">
        <x:v>* myContacts</x:v>
      </x:c>
      <x:c r="E3588" s="16" t="str">
        <x:v>Missing email</x:v>
      </x:c>
    </x:row>
    <x:row r="3589">
      <x:c r="A3589" s="16" t="n">
        <x:v>3726</x:v>
      </x:c>
      <x:c r="B3589" s="16" t="str">
        <x:v>kbbc Ahmad Muharam Bin Mohd Ariff</x:v>
      </x:c>
      <x:c r="C3589" s="16" t="str"/>
      <x:c r="D3589" s="16" t="str">
        <x:v>* myContacts</x:v>
      </x:c>
      <x:c r="E3589" s="16" t="str">
        <x:v>Missing email</x:v>
      </x:c>
    </x:row>
    <x:row r="3590">
      <x:c r="A3590" s="16" t="n">
        <x:v>3727</x:v>
      </x:c>
      <x:c r="B3590" s="16" t="str">
        <x:v>kbbc Ahmad Shafarie</x:v>
      </x:c>
      <x:c r="C3590" s="16" t="str"/>
      <x:c r="D3590" s="16" t="str">
        <x:v>* myContacts</x:v>
      </x:c>
      <x:c r="E3590" s="16" t="str">
        <x:v>Missing email</x:v>
      </x:c>
    </x:row>
    <x:row r="3591">
      <x:c r="A3591" s="16" t="n">
        <x:v>3728</x:v>
      </x:c>
      <x:c r="B3591" s="16" t="str">
        <x:v>kbbc Aishah Binti Mohd Soib</x:v>
      </x:c>
      <x:c r="C3591" s="16" t="str"/>
      <x:c r="D3591" s="16" t="str">
        <x:v>* myContacts</x:v>
      </x:c>
      <x:c r="E3591" s="16" t="str">
        <x:v>Missing email</x:v>
      </x:c>
    </x:row>
    <x:row r="3592">
      <x:c r="A3592" s="16" t="n">
        <x:v>3729</x:v>
      </x:c>
      <x:c r="B3592" s="16" t="str">
        <x:v>kbbc Akmal</x:v>
      </x:c>
      <x:c r="C3592" s="16" t="str"/>
      <x:c r="D3592" s="16" t="str">
        <x:v>* myContacts</x:v>
      </x:c>
      <x:c r="E3592" s="16" t="str">
        <x:v>Missing email</x:v>
      </x:c>
    </x:row>
    <x:row r="3593">
      <x:c r="A3593" s="16" t="n">
        <x:v>3730</x:v>
      </x:c>
      <x:c r="B3593" s="16" t="str">
        <x:v>kbbc Akmal</x:v>
      </x:c>
      <x:c r="C3593" s="16" t="str"/>
      <x:c r="D3593" s="16" t="str">
        <x:v>* myContacts</x:v>
      </x:c>
      <x:c r="E3593" s="16" t="str">
        <x:v>Missing email</x:v>
      </x:c>
    </x:row>
    <x:row r="3594">
      <x:c r="A3594" s="16" t="n">
        <x:v>3731</x:v>
      </x:c>
      <x:c r="B3594" s="16" t="str">
        <x:v>kbbc Amir Zharfan</x:v>
      </x:c>
      <x:c r="C3594" s="16" t="str"/>
      <x:c r="D3594" s="16" t="str">
        <x:v>* myContacts</x:v>
      </x:c>
      <x:c r="E3594" s="16" t="str">
        <x:v>Missing email</x:v>
      </x:c>
    </x:row>
    <x:row r="3595">
      <x:c r="A3595" s="16" t="n">
        <x:v>3732</x:v>
      </x:c>
      <x:c r="B3595" s="16" t="str">
        <x:v>kbbc Amir Zharfan</x:v>
      </x:c>
      <x:c r="C3595" s="16" t="str"/>
      <x:c r="D3595" s="16" t="str">
        <x:v>* myContacts</x:v>
      </x:c>
      <x:c r="E3595" s="16" t="str">
        <x:v>Missing email</x:v>
      </x:c>
    </x:row>
    <x:row r="3596">
      <x:c r="A3596" s="16" t="n">
        <x:v>3733</x:v>
      </x:c>
      <x:c r="B3596" s="16" t="str">
        <x:v>kbbc Amira Balqis</x:v>
      </x:c>
      <x:c r="C3596" s="16" t="str"/>
      <x:c r="D3596" s="16" t="str">
        <x:v>* myContacts</x:v>
      </x:c>
      <x:c r="E3596" s="16" t="str">
        <x:v>Missing email</x:v>
      </x:c>
    </x:row>
    <x:row r="3597">
      <x:c r="A3597" s="16" t="n">
        <x:v>3734</x:v>
      </x:c>
      <x:c r="B3597" s="16" t="str">
        <x:v>kbbc AMRI MOHAMMAD</x:v>
      </x:c>
      <x:c r="C3597" s="16" t="str"/>
      <x:c r="D3597" s="16" t="str">
        <x:v>* myContacts</x:v>
      </x:c>
      <x:c r="E3597" s="16" t="str">
        <x:v>Missing email</x:v>
      </x:c>
    </x:row>
    <x:row r="3598">
      <x:c r="A3598" s="16" t="n">
        <x:v>3735</x:v>
      </x:c>
      <x:c r="B3598" s="16" t="str">
        <x:v>kbbc ANNUAR MOHD REJAB</x:v>
      </x:c>
      <x:c r="C3598" s="16" t="str"/>
      <x:c r="D3598" s="16" t="str">
        <x:v>* myContacts</x:v>
      </x:c>
      <x:c r="E3598" s="16" t="str">
        <x:v>Missing email</x:v>
      </x:c>
    </x:row>
    <x:row r="3599">
      <x:c r="A3599" s="16" t="n">
        <x:v>3736</x:v>
      </x:c>
      <x:c r="B3599" s="16" t="str">
        <x:v>kbbc Arif Abidin</x:v>
      </x:c>
      <x:c r="C3599" s="16" t="str"/>
      <x:c r="D3599" s="16" t="str">
        <x:v>* myContacts</x:v>
      </x:c>
      <x:c r="E3599" s="16" t="str">
        <x:v>Missing email</x:v>
      </x:c>
    </x:row>
    <x:row r="3600">
      <x:c r="A3600" s="16" t="n">
        <x:v>3737</x:v>
      </x:c>
      <x:c r="B3600" s="16" t="str">
        <x:v>kbbc ASIAH BT BAKAR</x:v>
      </x:c>
      <x:c r="C3600" s="16" t="str"/>
      <x:c r="D3600" s="16" t="str">
        <x:v>* myContacts</x:v>
      </x:c>
      <x:c r="E3600" s="16" t="str">
        <x:v>Missing email</x:v>
      </x:c>
    </x:row>
    <x:row r="3601">
      <x:c r="A3601" s="16" t="n">
        <x:v>3738</x:v>
      </x:c>
      <x:c r="B3601" s="16" t="str">
        <x:v>kbbc ASIAH BT BAKAR</x:v>
      </x:c>
      <x:c r="C3601" s="16" t="str"/>
      <x:c r="D3601" s="16" t="str">
        <x:v>* myContacts</x:v>
      </x:c>
      <x:c r="E3601" s="16" t="str">
        <x:v>Missing email</x:v>
      </x:c>
    </x:row>
    <x:row r="3602">
      <x:c r="A3602" s="16" t="n">
        <x:v>3739</x:v>
      </x:c>
      <x:c r="B3602" s="16" t="str">
        <x:v>kbbc Athira Zainal</x:v>
      </x:c>
      <x:c r="C3602" s="16" t="str"/>
      <x:c r="D3602" s="16" t="str">
        <x:v>* myContacts</x:v>
      </x:c>
      <x:c r="E3602" s="16" t="str">
        <x:v>Missing email</x:v>
      </x:c>
    </x:row>
    <x:row r="3603">
      <x:c r="A3603" s="16" t="n">
        <x:v>3740</x:v>
      </x:c>
      <x:c r="B3603" s="16" t="str">
        <x:v>kbbc AUDRY ANAK SUP</x:v>
      </x:c>
      <x:c r="C3603" s="16" t="str"/>
      <x:c r="D3603" s="16" t="str">
        <x:v>* myContacts</x:v>
      </x:c>
      <x:c r="E3603" s="16" t="str">
        <x:v>Missing email</x:v>
      </x:c>
    </x:row>
    <x:row r="3604">
      <x:c r="A3604" s="16" t="n">
        <x:v>3741</x:v>
      </x:c>
      <x:c r="B3604" s="16" t="str">
        <x:v>kbbc Azee</x:v>
      </x:c>
      <x:c r="C3604" s="16" t="str"/>
      <x:c r="D3604" s="16" t="str">
        <x:v>* myContacts</x:v>
      </x:c>
      <x:c r="E3604" s="16" t="str">
        <x:v>Missing email</x:v>
      </x:c>
    </x:row>
    <x:row r="3605">
      <x:c r="A3605" s="16" t="n">
        <x:v>3742</x:v>
      </x:c>
      <x:c r="B3605" s="16" t="str">
        <x:v>kbbc Azraf Abdul Rahman</x:v>
      </x:c>
      <x:c r="C3605" s="16" t="str"/>
      <x:c r="D3605" s="16" t="str">
        <x:v>* myContacts</x:v>
      </x:c>
      <x:c r="E3605" s="16" t="str">
        <x:v>Missing email</x:v>
      </x:c>
    </x:row>
    <x:row r="3606">
      <x:c r="A3606" s="16" t="n">
        <x:v>3743</x:v>
      </x:c>
      <x:c r="B3606" s="16" t="str">
        <x:v>kbbc AZRIN ANIQ BIN AZMI</x:v>
      </x:c>
      <x:c r="C3606" s="16" t="str"/>
      <x:c r="D3606" s="16" t="str">
        <x:v>* myContacts</x:v>
      </x:c>
      <x:c r="E3606" s="16" t="str">
        <x:v>Missing email</x:v>
      </x:c>
    </x:row>
    <x:row r="3607">
      <x:c r="A3607" s="16" t="n">
        <x:v>3744</x:v>
      </x:c>
      <x:c r="B3607" s="16" t="str">
        <x:v>kbbc AZRIN ANIQ BIN AZMI</x:v>
      </x:c>
      <x:c r="C3607" s="16" t="str"/>
      <x:c r="D3607" s="16" t="str">
        <x:v>* myContacts</x:v>
      </x:c>
      <x:c r="E3607" s="16" t="str">
        <x:v>Missing email</x:v>
      </x:c>
    </x:row>
    <x:row r="3608">
      <x:c r="A3608" s="16" t="n">
        <x:v>3745</x:v>
      </x:c>
      <x:c r="B3608" s="16" t="str">
        <x:v>kbbc Azrul Razlan</x:v>
      </x:c>
      <x:c r="C3608" s="16" t="str"/>
      <x:c r="D3608" s="16" t="str">
        <x:v>* myContacts</x:v>
      </x:c>
      <x:c r="E3608" s="16" t="str">
        <x:v>Missing email</x:v>
      </x:c>
    </x:row>
    <x:row r="3609">
      <x:c r="A3609" s="16" t="n">
        <x:v>3746</x:v>
      </x:c>
      <x:c r="B3609" s="16" t="str">
        <x:v>kbbc Azuin Shahrina Bahari</x:v>
      </x:c>
      <x:c r="C3609" s="16" t="str"/>
      <x:c r="D3609" s="16" t="str">
        <x:v>* myContacts</x:v>
      </x:c>
      <x:c r="E3609" s="16" t="str">
        <x:v>Missing email</x:v>
      </x:c>
    </x:row>
    <x:row r="3610">
      <x:c r="A3610" s="16" t="n">
        <x:v>3747</x:v>
      </x:c>
      <x:c r="B3610" s="16" t="str">
        <x:v>kbbc Azuin Shahrina Bahari</x:v>
      </x:c>
      <x:c r="C3610" s="16" t="str"/>
      <x:c r="D3610" s="16" t="str">
        <x:v>* myContacts</x:v>
      </x:c>
      <x:c r="E3610" s="16" t="str">
        <x:v>Missing email</x:v>
      </x:c>
    </x:row>
    <x:row r="3611">
      <x:c r="A3611" s="16" t="n">
        <x:v>3748</x:v>
      </x:c>
      <x:c r="B3611" s="16" t="str">
        <x:v>kbbc Damia</x:v>
      </x:c>
      <x:c r="C3611" s="16" t="str"/>
      <x:c r="D3611" s="16" t="str">
        <x:v>* myContacts</x:v>
      </x:c>
      <x:c r="E3611" s="16" t="str">
        <x:v>Missing email</x:v>
      </x:c>
    </x:row>
    <x:row r="3612">
      <x:c r="A3612" s="16" t="n">
        <x:v>3749</x:v>
      </x:c>
      <x:c r="B3612" s="16" t="str">
        <x:v>kbbc Daud Bin Naimat</x:v>
      </x:c>
      <x:c r="C3612" s="16" t="str"/>
      <x:c r="D3612" s="16" t="str">
        <x:v>* myContacts</x:v>
      </x:c>
      <x:c r="E3612" s="16" t="str">
        <x:v>Missing email</x:v>
      </x:c>
    </x:row>
    <x:row r="3613">
      <x:c r="A3613" s="16" t="n">
        <x:v>3750</x:v>
      </x:c>
      <x:c r="B3613" s="16" t="str">
        <x:v>kbbc Desy Darmayanti</x:v>
      </x:c>
      <x:c r="C3613" s="16" t="str"/>
      <x:c r="D3613" s="16" t="str">
        <x:v>* myContacts</x:v>
      </x:c>
      <x:c r="E3613" s="16" t="str">
        <x:v>Missing email</x:v>
      </x:c>
    </x:row>
    <x:row r="3614">
      <x:c r="A3614" s="16" t="n">
        <x:v>3751</x:v>
      </x:c>
      <x:c r="B3614" s="16" t="str">
        <x:v>kbbc Fahmi Izzuddin Bin Rulmi</x:v>
      </x:c>
      <x:c r="C3614" s="16" t="str"/>
      <x:c r="D3614" s="16" t="str">
        <x:v>* myContacts</x:v>
      </x:c>
      <x:c r="E3614" s="16" t="str">
        <x:v>Missing email</x:v>
      </x:c>
    </x:row>
    <x:row r="3615">
      <x:c r="A3615" s="16" t="n">
        <x:v>3752</x:v>
      </x:c>
      <x:c r="B3615" s="16" t="str">
        <x:v>kbbc Fahmi Izzuddin Bin Rulmi</x:v>
      </x:c>
      <x:c r="C3615" s="16" t="str"/>
      <x:c r="D3615" s="16" t="str">
        <x:v>* myContacts</x:v>
      </x:c>
      <x:c r="E3615" s="16" t="str">
        <x:v>Missing email</x:v>
      </x:c>
    </x:row>
    <x:row r="3616">
      <x:c r="A3616" s="16" t="n">
        <x:v>3753</x:v>
      </x:c>
      <x:c r="B3616" s="16" t="str">
        <x:v>kbbc Fir</x:v>
      </x:c>
      <x:c r="C3616" s="16" t="str"/>
      <x:c r="D3616" s="16" t="str">
        <x:v>* myContacts</x:v>
      </x:c>
      <x:c r="E3616" s="16" t="str">
        <x:v>Missing email</x:v>
      </x:c>
    </x:row>
    <x:row r="3617">
      <x:c r="A3617" s="16" t="n">
        <x:v>3754</x:v>
      </x:c>
      <x:c r="B3617" s="16" t="str">
        <x:v>kbbc Fir</x:v>
      </x:c>
      <x:c r="C3617" s="16" t="str"/>
      <x:c r="D3617" s="16" t="str">
        <x:v>* myContacts</x:v>
      </x:c>
      <x:c r="E3617" s="16" t="str">
        <x:v>Missing email</x:v>
      </x:c>
    </x:row>
    <x:row r="3618">
      <x:c r="A3618" s="16" t="n">
        <x:v>3755</x:v>
      </x:c>
      <x:c r="B3618" s="16" t="str">
        <x:v>kbbc Fredy</x:v>
      </x:c>
      <x:c r="C3618" s="16" t="str"/>
      <x:c r="D3618" s="16" t="str">
        <x:v>* myContacts</x:v>
      </x:c>
      <x:c r="E3618" s="16" t="str">
        <x:v>Missing email</x:v>
      </x:c>
    </x:row>
    <x:row r="3619">
      <x:c r="A3619" s="16" t="n">
        <x:v>3756</x:v>
      </x:c>
      <x:c r="B3619" s="16" t="str">
        <x:v>kbbc Fredy</x:v>
      </x:c>
      <x:c r="C3619" s="16" t="str"/>
      <x:c r="D3619" s="16" t="str">
        <x:v>* myContacts</x:v>
      </x:c>
      <x:c r="E3619" s="16" t="str">
        <x:v>Missing email</x:v>
      </x:c>
    </x:row>
    <x:row r="3620">
      <x:c r="A3620" s="16" t="n">
        <x:v>3757</x:v>
      </x:c>
      <x:c r="B3620" s="16" t="str">
        <x:v>kbbc Frencika</x:v>
      </x:c>
      <x:c r="C3620" s="16" t="str"/>
      <x:c r="D3620" s="16" t="str">
        <x:v>* myContacts</x:v>
      </x:c>
      <x:c r="E3620" s="16" t="str">
        <x:v>Missing email</x:v>
      </x:c>
    </x:row>
    <x:row r="3621">
      <x:c r="A3621" s="16" t="n">
        <x:v>3758</x:v>
      </x:c>
      <x:c r="B3621" s="16" t="str">
        <x:v>kbbc Hadi Pilus</x:v>
      </x:c>
      <x:c r="C3621" s="16" t="str"/>
      <x:c r="D3621" s="16" t="str">
        <x:v>* myContacts</x:v>
      </x:c>
      <x:c r="E3621" s="16" t="str">
        <x:v>Missing email</x:v>
      </x:c>
    </x:row>
    <x:row r="3622">
      <x:c r="A3622" s="16" t="n">
        <x:v>3759</x:v>
      </x:c>
      <x:c r="B3622" s="16" t="str">
        <x:v>kbbc Haikal</x:v>
      </x:c>
      <x:c r="C3622" s="16" t="str"/>
      <x:c r="D3622" s="16" t="str">
        <x:v>* myContacts</x:v>
      </x:c>
      <x:c r="E3622" s="16" t="str">
        <x:v>Missing email</x:v>
      </x:c>
    </x:row>
    <x:row r="3623">
      <x:c r="A3623" s="16" t="n">
        <x:v>3760</x:v>
      </x:c>
      <x:c r="B3623" s="16" t="str">
        <x:v>kbbc Hasib Azahari</x:v>
      </x:c>
      <x:c r="C3623" s="16" t="str"/>
      <x:c r="D3623" s="16" t="str">
        <x:v>* myContacts</x:v>
      </x:c>
      <x:c r="E3623" s="16" t="str">
        <x:v>Missing email</x:v>
      </x:c>
    </x:row>
    <x:row r="3624">
      <x:c r="A3624" s="16" t="n">
        <x:v>3761</x:v>
      </x:c>
      <x:c r="B3624" s="16" t="str">
        <x:v>kbbc Hilary Bin Matawi</x:v>
      </x:c>
      <x:c r="C3624" s="16" t="str"/>
      <x:c r="D3624" s="16" t="str">
        <x:v>* myContacts</x:v>
      </x:c>
      <x:c r="E3624" s="16" t="str">
        <x:v>Missing email</x:v>
      </x:c>
    </x:row>
    <x:row r="3625">
      <x:c r="A3625" s="16" t="n">
        <x:v>3762</x:v>
      </x:c>
      <x:c r="B3625" s="16" t="str">
        <x:v>kbbc Hilary Bin Matawi</x:v>
      </x:c>
      <x:c r="C3625" s="16" t="str"/>
      <x:c r="D3625" s="16" t="str">
        <x:v>* myContacts</x:v>
      </x:c>
      <x:c r="E3625" s="16" t="str">
        <x:v>Missing email</x:v>
      </x:c>
    </x:row>
    <x:row r="3626">
      <x:c r="A3626" s="16" t="n">
        <x:v>3763</x:v>
      </x:c>
      <x:c r="B3626" s="16" t="str">
        <x:v>kbbc Hudanajwa</x:v>
      </x:c>
      <x:c r="C3626" s="16" t="str"/>
      <x:c r="D3626" s="16" t="str">
        <x:v>* myContacts</x:v>
      </x:c>
      <x:c r="E3626" s="16" t="str">
        <x:v>Missing email</x:v>
      </x:c>
    </x:row>
    <x:row r="3627">
      <x:c r="A3627" s="16" t="n">
        <x:v>3764</x:v>
      </x:c>
      <x:c r="B3627" s="16" t="str">
        <x:v>kbbc Ibrahim Patera</x:v>
      </x:c>
      <x:c r="C3627" s="16" t="str"/>
      <x:c r="D3627" s="16" t="str">
        <x:v>* myContacts</x:v>
      </x:c>
      <x:c r="E3627" s="16" t="str">
        <x:v>Missing email</x:v>
      </x:c>
    </x:row>
    <x:row r="3628">
      <x:c r="A3628" s="16" t="n">
        <x:v>3765</x:v>
      </x:c>
      <x:c r="B3628" s="16" t="str">
        <x:v>kbbc Iqbar Hakim</x:v>
      </x:c>
      <x:c r="C3628" s="16" t="str"/>
      <x:c r="D3628" s="16" t="str">
        <x:v>* myContacts</x:v>
      </x:c>
      <x:c r="E3628" s="16" t="str">
        <x:v>Missing email</x:v>
      </x:c>
    </x:row>
    <x:row r="3629">
      <x:c r="A3629" s="16" t="n">
        <x:v>3766</x:v>
      </x:c>
      <x:c r="B3629" s="16" t="str">
        <x:v>kbbc Iskandar Ibrahim</x:v>
      </x:c>
      <x:c r="C3629" s="16" t="str"/>
      <x:c r="D3629" s="16" t="str">
        <x:v>* myContacts</x:v>
      </x:c>
      <x:c r="E3629" s="16" t="str">
        <x:v>Missing email</x:v>
      </x:c>
    </x:row>
    <x:row r="3630">
      <x:c r="A3630" s="16" t="n">
        <x:v>3767</x:v>
      </x:c>
      <x:c r="B3630" s="16" t="str">
        <x:v>kbbc Ismail Bin Abdullah</x:v>
      </x:c>
      <x:c r="C3630" s="16" t="str"/>
      <x:c r="D3630" s="16" t="str">
        <x:v>* myContacts</x:v>
      </x:c>
      <x:c r="E3630" s="16" t="str">
        <x:v>Missing email</x:v>
      </x:c>
    </x:row>
    <x:row r="3631">
      <x:c r="A3631" s="16" t="n">
        <x:v>3768</x:v>
      </x:c>
      <x:c r="B3631" s="16" t="str">
        <x:v>kbbc Jannice Anak Ahin</x:v>
      </x:c>
      <x:c r="C3631" s="16" t="str"/>
      <x:c r="D3631" s="16" t="str">
        <x:v>* myContacts</x:v>
      </x:c>
      <x:c r="E3631" s="16" t="str">
        <x:v>Missing email</x:v>
      </x:c>
    </x:row>
    <x:row r="3632">
      <x:c r="A3632" s="16" t="n">
        <x:v>3769</x:v>
      </x:c>
      <x:c r="B3632" s="16" t="str">
        <x:v>kbbc Jasmine</x:v>
      </x:c>
      <x:c r="C3632" s="16" t="str"/>
      <x:c r="D3632" s="16" t="str">
        <x:v>* myContacts</x:v>
      </x:c>
      <x:c r="E3632" s="16" t="str">
        <x:v>Missing email</x:v>
      </x:c>
    </x:row>
    <x:row r="3633">
      <x:c r="A3633" s="16" t="n">
        <x:v>3770</x:v>
      </x:c>
      <x:c r="B3633" s="16" t="str">
        <x:v>kbbc Kamaruzaman</x:v>
      </x:c>
      <x:c r="C3633" s="16" t="str"/>
      <x:c r="D3633" s="16" t="str">
        <x:v>* myContacts</x:v>
      </x:c>
      <x:c r="E3633" s="16" t="str">
        <x:v>Missing email</x:v>
      </x:c>
    </x:row>
    <x:row r="3634">
      <x:c r="A3634" s="16" t="n">
        <x:v>3771</x:v>
      </x:c>
      <x:c r="B3634" s="16" t="str">
        <x:v>kbbc Khairil Azree Ahmad</x:v>
      </x:c>
      <x:c r="C3634" s="16" t="str"/>
      <x:c r="D3634" s="16" t="str">
        <x:v>* myContacts</x:v>
      </x:c>
      <x:c r="E3634" s="16" t="str">
        <x:v>Missing email</x:v>
      </x:c>
    </x:row>
    <x:row r="3635">
      <x:c r="A3635" s="16" t="n">
        <x:v>3772</x:v>
      </x:c>
      <x:c r="B3635" s="16" t="str">
        <x:v>kbbc LOGESVARAN A/L KUMARAN</x:v>
      </x:c>
      <x:c r="C3635" s="16" t="str"/>
      <x:c r="D3635" s="16" t="str">
        <x:v>* myContacts</x:v>
      </x:c>
      <x:c r="E3635" s="16" t="str">
        <x:v>Missing email</x:v>
      </x:c>
    </x:row>
    <x:row r="3636">
      <x:c r="A3636" s="16" t="n">
        <x:v>3773</x:v>
      </x:c>
      <x:c r="B3636" s="16" t="str">
        <x:v>kbbc LOGESVARAN A/L KUMARAN</x:v>
      </x:c>
      <x:c r="C3636" s="16" t="str"/>
      <x:c r="D3636" s="16" t="str">
        <x:v>* myContacts</x:v>
      </x:c>
      <x:c r="E3636" s="16" t="str">
        <x:v>Missing email</x:v>
      </x:c>
    </x:row>
    <x:row r="3637">
      <x:c r="A3637" s="16" t="n">
        <x:v>3774</x:v>
      </x:c>
      <x:c r="B3637" s="16" t="str">
        <x:v>kbbc Mimi</x:v>
      </x:c>
      <x:c r="C3637" s="16" t="str"/>
      <x:c r="D3637" s="16" t="str">
        <x:v>* myContacts</x:v>
      </x:c>
      <x:c r="E3637" s="16" t="str">
        <x:v>Missing email</x:v>
      </x:c>
    </x:row>
    <x:row r="3638">
      <x:c r="A3638" s="16" t="n">
        <x:v>3775</x:v>
      </x:c>
      <x:c r="B3638" s="16" t="str">
        <x:v>kbbc Mohamad Hafiz Bin Mohamad Noor</x:v>
      </x:c>
      <x:c r="C3638" s="16" t="str"/>
      <x:c r="D3638" s="16" t="str">
        <x:v>* myContacts</x:v>
      </x:c>
      <x:c r="E3638" s="16" t="str">
        <x:v>Missing email</x:v>
      </x:c>
    </x:row>
    <x:row r="3639">
      <x:c r="A3639" s="16" t="n">
        <x:v>3776</x:v>
      </x:c>
      <x:c r="B3639" s="16" t="str">
        <x:v>kbbc Mohamad Hassif Bin Hassan</x:v>
      </x:c>
      <x:c r="C3639" s="16" t="str"/>
      <x:c r="D3639" s="16" t="str">
        <x:v>* myContacts</x:v>
      </x:c>
      <x:c r="E3639" s="16" t="str">
        <x:v>Missing email</x:v>
      </x:c>
    </x:row>
    <x:row r="3640">
      <x:c r="A3640" s="16" t="n">
        <x:v>3777</x:v>
      </x:c>
      <x:c r="B3640" s="16" t="str">
        <x:v>kbbc Mohamad Hassif Bin Hassan</x:v>
      </x:c>
      <x:c r="C3640" s="16" t="str"/>
      <x:c r="D3640" s="16" t="str">
        <x:v>* myContacts</x:v>
      </x:c>
      <x:c r="E3640" s="16" t="str">
        <x:v>Missing email</x:v>
      </x:c>
    </x:row>
    <x:row r="3641">
      <x:c r="A3641" s="16" t="n">
        <x:v>3778</x:v>
      </x:c>
      <x:c r="B3641" s="16" t="str">
        <x:v>kbbc Mohamad Hazril Bin Md Nordin</x:v>
      </x:c>
      <x:c r="C3641" s="16" t="str"/>
      <x:c r="D3641" s="16" t="str">
        <x:v>* myContacts</x:v>
      </x:c>
      <x:c r="E3641" s="16" t="str">
        <x:v>Missing email</x:v>
      </x:c>
    </x:row>
    <x:row r="3642">
      <x:c r="A3642" s="16" t="n">
        <x:v>3779</x:v>
      </x:c>
      <x:c r="B3642" s="16" t="str">
        <x:v>kbbc Mohamad Hazril Bin Md Nordin</x:v>
      </x:c>
      <x:c r="C3642" s="16" t="str"/>
      <x:c r="D3642" s="16" t="str">
        <x:v>* myContacts</x:v>
      </x:c>
      <x:c r="E3642" s="16" t="str">
        <x:v>Missing email</x:v>
      </x:c>
    </x:row>
    <x:row r="3643">
      <x:c r="A3643" s="16" t="n">
        <x:v>3780</x:v>
      </x:c>
      <x:c r="B3643" s="16" t="str">
        <x:v>kbbc MOHAMAD NAZRAN BIN BAHARI</x:v>
      </x:c>
      <x:c r="C3643" s="16" t="str"/>
      <x:c r="D3643" s="16" t="str">
        <x:v>* myContacts</x:v>
      </x:c>
      <x:c r="E3643" s="16" t="str">
        <x:v>Missing email</x:v>
      </x:c>
    </x:row>
    <x:row r="3644">
      <x:c r="A3644" s="16" t="n">
        <x:v>3781</x:v>
      </x:c>
      <x:c r="B3644" s="16" t="str">
        <x:v>kbbc MOHAMAD NAZRAN BIN BAHARI</x:v>
      </x:c>
      <x:c r="C3644" s="16" t="str"/>
      <x:c r="D3644" s="16" t="str">
        <x:v>* myContacts</x:v>
      </x:c>
      <x:c r="E3644" s="16" t="str">
        <x:v>Missing email</x:v>
      </x:c>
    </x:row>
    <x:row r="3645">
      <x:c r="A3645" s="16" t="n">
        <x:v>3782</x:v>
      </x:c>
      <x:c r="B3645" s="16" t="str">
        <x:v>kbbc Mohammad</x:v>
      </x:c>
      <x:c r="C3645" s="16" t="str"/>
      <x:c r="D3645" s="16" t="str">
        <x:v>* myContacts</x:v>
      </x:c>
      <x:c r="E3645" s="16" t="str">
        <x:v>Missing email</x:v>
      </x:c>
    </x:row>
    <x:row r="3646">
      <x:c r="A3646" s="16" t="n">
        <x:v>3783</x:v>
      </x:c>
      <x:c r="B3646" s="16" t="str">
        <x:v>kbbc Mohammad Azrul Bin Ibrahim</x:v>
      </x:c>
      <x:c r="C3646" s="16" t="str"/>
      <x:c r="D3646" s="16" t="str">
        <x:v>* myContacts</x:v>
      </x:c>
      <x:c r="E3646" s="16" t="str">
        <x:v>Missing email</x:v>
      </x:c>
    </x:row>
    <x:row r="3647">
      <x:c r="A3647" s="16" t="n">
        <x:v>3784</x:v>
      </x:c>
      <x:c r="B3647" s="16" t="str">
        <x:v>kbbc Mohammad Izzat</x:v>
      </x:c>
      <x:c r="C3647" s="16" t="str"/>
      <x:c r="D3647" s="16" t="str">
        <x:v>* myContacts</x:v>
      </x:c>
      <x:c r="E3647" s="16" t="str">
        <x:v>Missing email</x:v>
      </x:c>
    </x:row>
    <x:row r="3648">
      <x:c r="A3648" s="16" t="n">
        <x:v>3785</x:v>
      </x:c>
      <x:c r="B3648" s="16" t="str">
        <x:v>kbbc Mohammed Nur Azam Bin Rahmat</x:v>
      </x:c>
      <x:c r="C3648" s="16" t="str"/>
      <x:c r="D3648" s="16" t="str">
        <x:v>* myContacts</x:v>
      </x:c>
      <x:c r="E3648" s="16" t="str">
        <x:v>Missing email</x:v>
      </x:c>
    </x:row>
    <x:row r="3649">
      <x:c r="A3649" s="16" t="n">
        <x:v>3786</x:v>
      </x:c>
      <x:c r="B3649" s="16" t="str">
        <x:v>kbbc Mohd 'Allamah Bin Mohd Ali</x:v>
      </x:c>
      <x:c r="C3649" s="16" t="str"/>
      <x:c r="D3649" s="16" t="str">
        <x:v>* myContacts</x:v>
      </x:c>
      <x:c r="E3649" s="16" t="str">
        <x:v>Missing email</x:v>
      </x:c>
    </x:row>
    <x:row r="3650">
      <x:c r="A3650" s="16" t="n">
        <x:v>3787</x:v>
      </x:c>
      <x:c r="B3650" s="16" t="str">
        <x:v>kbbc Mohd Ali</x:v>
      </x:c>
      <x:c r="C3650" s="16" t="str"/>
      <x:c r="D3650" s="16" t="str">
        <x:v>* myContacts</x:v>
      </x:c>
      <x:c r="E3650" s="16" t="str">
        <x:v>Missing email</x:v>
      </x:c>
    </x:row>
    <x:row r="3651">
      <x:c r="A3651" s="16" t="n">
        <x:v>3788</x:v>
      </x:c>
      <x:c r="B3651" s="16" t="str">
        <x:v>kbbc MOHD AMIRULL ASYRAF BIN MOHD ASRI</x:v>
      </x:c>
      <x:c r="C3651" s="16" t="str"/>
      <x:c r="D3651" s="16" t="str">
        <x:v>* myContacts</x:v>
      </x:c>
      <x:c r="E3651" s="16" t="str">
        <x:v>Missing email</x:v>
      </x:c>
    </x:row>
    <x:row r="3652">
      <x:c r="A3652" s="16" t="n">
        <x:v>3789</x:v>
      </x:c>
      <x:c r="B3652" s="16" t="str">
        <x:v>kbbc Mohd Shukri Bin Ishak</x:v>
      </x:c>
      <x:c r="C3652" s="16" t="str"/>
      <x:c r="D3652" s="16" t="str">
        <x:v>* myContacts</x:v>
      </x:c>
      <x:c r="E3652" s="16" t="str">
        <x:v>Missing email</x:v>
      </x:c>
    </x:row>
    <x:row r="3653">
      <x:c r="A3653" s="16" t="n">
        <x:v>3790</x:v>
      </x:c>
      <x:c r="B3653" s="16" t="str">
        <x:v>kbbc Mohd Shukri Bin Ishak</x:v>
      </x:c>
      <x:c r="C3653" s="16" t="str"/>
      <x:c r="D3653" s="16" t="str">
        <x:v>* myContacts</x:v>
      </x:c>
      <x:c r="E3653" s="16" t="str">
        <x:v>Missing email</x:v>
      </x:c>
    </x:row>
    <x:row r="3654">
      <x:c r="A3654" s="16" t="n">
        <x:v>3791</x:v>
      </x:c>
      <x:c r="B3654" s="16" t="str">
        <x:v>kbbc Mohd Syabani Bin Zainon</x:v>
      </x:c>
      <x:c r="C3654" s="16" t="str"/>
      <x:c r="D3654" s="16" t="str">
        <x:v>* myContacts</x:v>
      </x:c>
      <x:c r="E3654" s="16" t="str">
        <x:v>Missing email</x:v>
      </x:c>
    </x:row>
    <x:row r="3655">
      <x:c r="A3655" s="16" t="n">
        <x:v>3792</x:v>
      </x:c>
      <x:c r="B3655" s="16" t="str">
        <x:v>kbbc Mohd Syahrizal Bin Abdullah</x:v>
      </x:c>
      <x:c r="C3655" s="16" t="str"/>
      <x:c r="D3655" s="16" t="str">
        <x:v>* myContacts</x:v>
      </x:c>
      <x:c r="E3655" s="16" t="str">
        <x:v>Missing email</x:v>
      </x:c>
    </x:row>
    <x:row r="3656">
      <x:c r="A3656" s="16" t="n">
        <x:v>3793</x:v>
      </x:c>
      <x:c r="B3656" s="16" t="str">
        <x:v>kbbc Mohd Taufiq</x:v>
      </x:c>
      <x:c r="C3656" s="16" t="str"/>
      <x:c r="D3656" s="16" t="str">
        <x:v>* myContacts</x:v>
      </x:c>
      <x:c r="E3656" s="16" t="str">
        <x:v>Missing email</x:v>
      </x:c>
    </x:row>
    <x:row r="3657">
      <x:c r="A3657" s="16" t="n">
        <x:v>3794</x:v>
      </x:c>
      <x:c r="B3657" s="16" t="str">
        <x:v>kbbc Muhamad Ikhtiaruddin</x:v>
      </x:c>
      <x:c r="C3657" s="16" t="str"/>
      <x:c r="D3657" s="16" t="str">
        <x:v>* myContacts</x:v>
      </x:c>
      <x:c r="E3657" s="16" t="str">
        <x:v>Missing email</x:v>
      </x:c>
    </x:row>
    <x:row r="3658">
      <x:c r="A3658" s="16" t="n">
        <x:v>3795</x:v>
      </x:c>
      <x:c r="B3658" s="16" t="str">
        <x:v>kbbc Muhamad Nazrol Hakim Bin Arshad</x:v>
      </x:c>
      <x:c r="C3658" s="16" t="str"/>
      <x:c r="D3658" s="16" t="str">
        <x:v>* myContacts</x:v>
      </x:c>
      <x:c r="E3658" s="16" t="str">
        <x:v>Missing email</x:v>
      </x:c>
    </x:row>
    <x:row r="3659">
      <x:c r="A3659" s="16" t="n">
        <x:v>3796</x:v>
      </x:c>
      <x:c r="B3659" s="16" t="str">
        <x:v>kbbc Muhamad Nazrol Hakim Bin Arshad</x:v>
      </x:c>
      <x:c r="C3659" s="16" t="str"/>
      <x:c r="D3659" s="16" t="str">
        <x:v>* myContacts</x:v>
      </x:c>
      <x:c r="E3659" s="16" t="str">
        <x:v>Missing email</x:v>
      </x:c>
    </x:row>
    <x:row r="3660">
      <x:c r="A3660" s="16" t="n">
        <x:v>3797</x:v>
      </x:c>
      <x:c r="B3660" s="16" t="str">
        <x:v>kbbc Muhamad Sofi Bin Hashim</x:v>
      </x:c>
      <x:c r="C3660" s="16" t="str"/>
      <x:c r="D3660" s="16" t="str">
        <x:v>* myContacts</x:v>
      </x:c>
      <x:c r="E3660" s="16" t="str">
        <x:v>Missing email</x:v>
      </x:c>
    </x:row>
    <x:row r="3661">
      <x:c r="A3661" s="16" t="n">
        <x:v>3798</x:v>
      </x:c>
      <x:c r="B3661" s="16" t="str">
        <x:v>kbbc Muhamad Suhaimi Bin Kamaruddin</x:v>
      </x:c>
      <x:c r="C3661" s="16" t="str"/>
      <x:c r="D3661" s="16" t="str">
        <x:v>* myContacts</x:v>
      </x:c>
      <x:c r="E3661" s="16" t="str">
        <x:v>Missing email</x:v>
      </x:c>
    </x:row>
    <x:row r="3662">
      <x:c r="A3662" s="16" t="n">
        <x:v>3799</x:v>
      </x:c>
      <x:c r="B3662" s="16" t="str">
        <x:v>kbbc Muhammad Amirul Bin Juhari</x:v>
      </x:c>
      <x:c r="C3662" s="16" t="str"/>
      <x:c r="D3662" s="16" t="str">
        <x:v>* myContacts</x:v>
      </x:c>
      <x:c r="E3662" s="16" t="str">
        <x:v>Missing email</x:v>
      </x:c>
    </x:row>
    <x:row r="3663">
      <x:c r="A3663" s="16" t="n">
        <x:v>3800</x:v>
      </x:c>
      <x:c r="B3663" s="16" t="str">
        <x:v>kbbc Muhammad Aqil Johan Bin Ranzip</x:v>
      </x:c>
      <x:c r="C3663" s="16" t="str"/>
      <x:c r="D3663" s="16" t="str">
        <x:v>* myContacts</x:v>
      </x:c>
      <x:c r="E3663" s="16" t="str">
        <x:v>Missing email</x:v>
      </x:c>
    </x:row>
    <x:row r="3664">
      <x:c r="A3664" s="16" t="n">
        <x:v>3801</x:v>
      </x:c>
      <x:c r="B3664" s="16" t="str">
        <x:v>kbbc Muhammad Aqil Johan Bin Ranzip</x:v>
      </x:c>
      <x:c r="C3664" s="16" t="str"/>
      <x:c r="D3664" s="16" t="str">
        <x:v>* myContacts</x:v>
      </x:c>
      <x:c r="E3664" s="16" t="str">
        <x:v>Missing email</x:v>
      </x:c>
    </x:row>
    <x:row r="3665">
      <x:c r="A3665" s="16" t="n">
        <x:v>3802</x:v>
      </x:c>
      <x:c r="B3665" s="16" t="str">
        <x:v>kbbc Muhammad Hamizan</x:v>
      </x:c>
      <x:c r="C3665" s="16" t="str"/>
      <x:c r="D3665" s="16" t="str">
        <x:v>* myContacts</x:v>
      </x:c>
      <x:c r="E3665" s="16" t="str">
        <x:v>Missing email</x:v>
      </x:c>
    </x:row>
    <x:row r="3666">
      <x:c r="A3666" s="16" t="n">
        <x:v>3803</x:v>
      </x:c>
      <x:c r="B3666" s="16" t="str">
        <x:v>kbbc Muhammad Idham</x:v>
      </x:c>
      <x:c r="C3666" s="16" t="str"/>
      <x:c r="D3666" s="16" t="str">
        <x:v>* myContacts</x:v>
      </x:c>
      <x:c r="E3666" s="16" t="str">
        <x:v>Missing email</x:v>
      </x:c>
    </x:row>
    <x:row r="3667">
      <x:c r="A3667" s="16" t="n">
        <x:v>3804</x:v>
      </x:c>
      <x:c r="B3667" s="16" t="str">
        <x:v>kbbc Muhammad Nasrul Naim</x:v>
      </x:c>
      <x:c r="C3667" s="16" t="str"/>
      <x:c r="D3667" s="16" t="str">
        <x:v>* myContacts</x:v>
      </x:c>
      <x:c r="E3667" s="16" t="str">
        <x:v>Missing email</x:v>
      </x:c>
    </x:row>
    <x:row r="3668">
      <x:c r="A3668" s="16" t="n">
        <x:v>3805</x:v>
      </x:c>
      <x:c r="B3668" s="16" t="str">
        <x:v>kbbc Muhammad Rejab</x:v>
      </x:c>
      <x:c r="C3668" s="16" t="str"/>
      <x:c r="D3668" s="16" t="str">
        <x:v>* myContacts</x:v>
      </x:c>
      <x:c r="E3668" s="16" t="str">
        <x:v>Missing email</x:v>
      </x:c>
    </x:row>
    <x:row r="3669">
      <x:c r="A3669" s="16" t="n">
        <x:v>3806</x:v>
      </x:c>
      <x:c r="B3669" s="16" t="str">
        <x:v>kbbc Muhammad Safwan Bin Seth</x:v>
      </x:c>
      <x:c r="C3669" s="16" t="str"/>
      <x:c r="D3669" s="16" t="str">
        <x:v>* myContacts</x:v>
      </x:c>
      <x:c r="E3669" s="16" t="str">
        <x:v>Missing email</x:v>
      </x:c>
    </x:row>
    <x:row r="3670">
      <x:c r="A3670" s="16" t="n">
        <x:v>3807</x:v>
      </x:c>
      <x:c r="B3670" s="16" t="str">
        <x:v>kbbc Muhd Iffan Haqimi Bin Shamsor Bahari</x:v>
      </x:c>
      <x:c r="C3670" s="16" t="str"/>
      <x:c r="D3670" s="16" t="str">
        <x:v>* myContacts</x:v>
      </x:c>
      <x:c r="E3670" s="16" t="str">
        <x:v>Missing email</x:v>
      </x:c>
    </x:row>
    <x:row r="3671">
      <x:c r="A3671" s="16" t="n">
        <x:v>3808</x:v>
      </x:c>
      <x:c r="B3671" s="16" t="str">
        <x:v>kbbc Nasrat Taliff</x:v>
      </x:c>
      <x:c r="C3671" s="16" t="str"/>
      <x:c r="D3671" s="16" t="str">
        <x:v>* myContacts</x:v>
      </x:c>
      <x:c r="E3671" s="16" t="str">
        <x:v>Missing email</x:v>
      </x:c>
    </x:row>
    <x:row r="3672">
      <x:c r="A3672" s="16" t="n">
        <x:v>3809</x:v>
      </x:c>
      <x:c r="B3672" s="16" t="str">
        <x:v>kbbc Nasrat Taliff</x:v>
      </x:c>
      <x:c r="C3672" s="16" t="str"/>
      <x:c r="D3672" s="16" t="str">
        <x:v>* myContacts</x:v>
      </x:c>
      <x:c r="E3672" s="16" t="str">
        <x:v>Missing email</x:v>
      </x:c>
    </x:row>
    <x:row r="3673">
      <x:c r="A3673" s="16" t="n">
        <x:v>3810</x:v>
      </x:c>
      <x:c r="B3673" s="16" t="str">
        <x:v>kbbc NG JIA JUN</x:v>
      </x:c>
      <x:c r="C3673" s="16" t="str"/>
      <x:c r="D3673" s="16" t="str">
        <x:v>* myContacts</x:v>
      </x:c>
      <x:c r="E3673" s="16" t="str">
        <x:v>Missing email</x:v>
      </x:c>
    </x:row>
    <x:row r="3674">
      <x:c r="A3674" s="16" t="n">
        <x:v>3811</x:v>
      </x:c>
      <x:c r="B3674" s="16" t="str">
        <x:v>kbbc Nik Mohd Syukrie</x:v>
      </x:c>
      <x:c r="C3674" s="16" t="str"/>
      <x:c r="D3674" s="16" t="str">
        <x:v>* myContacts</x:v>
      </x:c>
      <x:c r="E3674" s="16" t="str">
        <x:v>Missing email</x:v>
      </x:c>
    </x:row>
    <x:row r="3675">
      <x:c r="A3675" s="16" t="n">
        <x:v>3812</x:v>
      </x:c>
      <x:c r="B3675" s="16" t="str">
        <x:v>Kbbc No 2</x:v>
      </x:c>
      <x:c r="C3675" s="16" t="str"/>
      <x:c r="D3675" s="16" t="str">
        <x:v>* myContacts</x:v>
      </x:c>
      <x:c r="E3675" s="16" t="str">
        <x:v>Missing email</x:v>
      </x:c>
    </x:row>
    <x:row r="3676">
      <x:c r="A3676" s="16" t="n">
        <x:v>3813</x:v>
      </x:c>
      <x:c r="B3676" s="16" t="str">
        <x:v>kbbc Noor Aini Bt Abdul Aziz</x:v>
      </x:c>
      <x:c r="C3676" s="16" t="str"/>
      <x:c r="D3676" s="16" t="str">
        <x:v>* myContacts</x:v>
      </x:c>
      <x:c r="E3676" s="16" t="str">
        <x:v>Missing email</x:v>
      </x:c>
    </x:row>
    <x:row r="3677">
      <x:c r="A3677" s="16" t="n">
        <x:v>3814</x:v>
      </x:c>
      <x:c r="B3677" s="16" t="str">
        <x:v>kbbc Noor Aini Bt Abdul Aziz</x:v>
      </x:c>
      <x:c r="C3677" s="16" t="str"/>
      <x:c r="D3677" s="16" t="str">
        <x:v>* myContacts</x:v>
      </x:c>
      <x:c r="E3677" s="16" t="str">
        <x:v>Missing email</x:v>
      </x:c>
    </x:row>
    <x:row r="3678">
      <x:c r="A3678" s="16" t="n">
        <x:v>3815</x:v>
      </x:c>
      <x:c r="B3678" s="16" t="str">
        <x:v>kbbc Noor Farah Bt Fauzi</x:v>
      </x:c>
      <x:c r="C3678" s="16" t="str"/>
      <x:c r="D3678" s="16" t="str">
        <x:v>* myContacts</x:v>
      </x:c>
      <x:c r="E3678" s="16" t="str">
        <x:v>Missing email</x:v>
      </x:c>
    </x:row>
    <x:row r="3679">
      <x:c r="A3679" s="16" t="n">
        <x:v>3816</x:v>
      </x:c>
      <x:c r="B3679" s="16" t="str">
        <x:v>kbbc Noor Rithudden Bin Abdul Rahman</x:v>
      </x:c>
      <x:c r="C3679" s="16" t="str"/>
      <x:c r="D3679" s="16" t="str">
        <x:v>* myContacts</x:v>
      </x:c>
      <x:c r="E3679" s="16" t="str">
        <x:v>Missing email</x:v>
      </x:c>
    </x:row>
    <x:row r="3680">
      <x:c r="A3680" s="16" t="n">
        <x:v>3817</x:v>
      </x:c>
      <x:c r="B3680" s="16" t="str">
        <x:v>kbbc Noor Rithudden Bin Abdul Rahman</x:v>
      </x:c>
      <x:c r="C3680" s="16" t="str"/>
      <x:c r="D3680" s="16" t="str">
        <x:v>* myContacts</x:v>
      </x:c>
      <x:c r="E3680" s="16" t="str">
        <x:v>Missing email</x:v>
      </x:c>
    </x:row>
    <x:row r="3681">
      <x:c r="A3681" s="16" t="n">
        <x:v>3818</x:v>
      </x:c>
      <x:c r="B3681" s="16" t="str">
        <x:v>kbbc Nor Aisah</x:v>
      </x:c>
      <x:c r="C3681" s="16" t="str"/>
      <x:c r="D3681" s="16" t="str">
        <x:v>* myContacts</x:v>
      </x:c>
      <x:c r="E3681" s="16" t="str">
        <x:v>Missing email</x:v>
      </x:c>
    </x:row>
    <x:row r="3682">
      <x:c r="A3682" s="16" t="n">
        <x:v>3819</x:v>
      </x:c>
      <x:c r="B3682" s="16" t="str">
        <x:v>kbbc Nor Asma</x:v>
      </x:c>
      <x:c r="C3682" s="16" t="str"/>
      <x:c r="D3682" s="16" t="str">
        <x:v>* myContacts</x:v>
      </x:c>
      <x:c r="E3682" s="16" t="str">
        <x:v>Missing email</x:v>
      </x:c>
    </x:row>
    <x:row r="3683">
      <x:c r="A3683" s="16" t="n">
        <x:v>3820</x:v>
      </x:c>
      <x:c r="B3683" s="16" t="str">
        <x:v>kbbc Norazlina</x:v>
      </x:c>
      <x:c r="C3683" s="16" t="str"/>
      <x:c r="D3683" s="16" t="str">
        <x:v>* myContacts</x:v>
      </x:c>
      <x:c r="E3683" s="16" t="str">
        <x:v>Missing email</x:v>
      </x:c>
    </x:row>
    <x:row r="3684">
      <x:c r="A3684" s="16" t="n">
        <x:v>3821</x:v>
      </x:c>
      <x:c r="B3684" s="16" t="str">
        <x:v>kbbc Norazlina</x:v>
      </x:c>
      <x:c r="C3684" s="16" t="str"/>
      <x:c r="D3684" s="16" t="str">
        <x:v>* myContacts</x:v>
      </x:c>
      <x:c r="E3684" s="16" t="str">
        <x:v>Missing email</x:v>
      </x:c>
    </x:row>
    <x:row r="3685">
      <x:c r="A3685" s="16" t="n">
        <x:v>3822</x:v>
      </x:c>
      <x:c r="B3685" s="16" t="str">
        <x:v>kbbc Norfazilah</x:v>
      </x:c>
      <x:c r="C3685" s="16" t="str"/>
      <x:c r="D3685" s="16" t="str">
        <x:v>* myContacts</x:v>
      </x:c>
      <x:c r="E3685" s="16" t="str">
        <x:v>Missing email</x:v>
      </x:c>
    </x:row>
    <x:row r="3686">
      <x:c r="A3686" s="16" t="n">
        <x:v>3823</x:v>
      </x:c>
      <x:c r="B3686" s="16" t="str">
        <x:v>kbbc Norfisah Lazim</x:v>
      </x:c>
      <x:c r="C3686" s="16" t="str"/>
      <x:c r="D3686" s="16" t="str">
        <x:v>* myContacts</x:v>
      </x:c>
      <x:c r="E3686" s="16" t="str">
        <x:v>Missing email</x:v>
      </x:c>
    </x:row>
    <x:row r="3687">
      <x:c r="A3687" s="16" t="n">
        <x:v>3824</x:v>
      </x:c>
      <x:c r="B3687" s="16" t="str">
        <x:v>kbbc Norfisah Lazim</x:v>
      </x:c>
      <x:c r="C3687" s="16" t="str"/>
      <x:c r="D3687" s="16" t="str">
        <x:v>* myContacts</x:v>
      </x:c>
      <x:c r="E3687" s="16" t="str">
        <x:v>Missing email</x:v>
      </x:c>
    </x:row>
    <x:row r="3688">
      <x:c r="A3688" s="16" t="n">
        <x:v>3825</x:v>
      </x:c>
      <x:c r="B3688" s="16" t="str">
        <x:v>kbbc Norhamimi Binti Saad</x:v>
      </x:c>
      <x:c r="C3688" s="16" t="str"/>
      <x:c r="D3688" s="16" t="str">
        <x:v>* myContacts</x:v>
      </x:c>
      <x:c r="E3688" s="16" t="str">
        <x:v>Missing email</x:v>
      </x:c>
    </x:row>
    <x:row r="3689">
      <x:c r="A3689" s="16" t="n">
        <x:v>3826</x:v>
      </x:c>
      <x:c r="B3689" s="16" t="str">
        <x:v>kbbc Nur Fadzilah Abd Aziz</x:v>
      </x:c>
      <x:c r="C3689" s="16" t="str"/>
      <x:c r="D3689" s="16" t="str">
        <x:v>* myContacts</x:v>
      </x:c>
      <x:c r="E3689" s="16" t="str">
        <x:v>Missing email</x:v>
      </x:c>
    </x:row>
    <x:row r="3690">
      <x:c r="A3690" s="16" t="n">
        <x:v>3827</x:v>
      </x:c>
      <x:c r="B3690" s="16" t="str">
        <x:v>kbbc Nur Nadiah Syakirah Kamaruddin</x:v>
      </x:c>
      <x:c r="C3690" s="16" t="str"/>
      <x:c r="D3690" s="16" t="str">
        <x:v>* myContacts</x:v>
      </x:c>
      <x:c r="E3690" s="16" t="str">
        <x:v>Missing email</x:v>
      </x:c>
    </x:row>
    <x:row r="3691">
      <x:c r="A3691" s="16" t="n">
        <x:v>3828</x:v>
      </x:c>
      <x:c r="B3691" s="16" t="str">
        <x:v>kbbc Nur Radhi Bin Mat Isa</x:v>
      </x:c>
      <x:c r="C3691" s="16" t="str"/>
      <x:c r="D3691" s="16" t="str">
        <x:v>* myContacts</x:v>
      </x:c>
      <x:c r="E3691" s="16" t="str">
        <x:v>Missing email</x:v>
      </x:c>
    </x:row>
    <x:row r="3692">
      <x:c r="A3692" s="16" t="n">
        <x:v>3829</x:v>
      </x:c>
      <x:c r="B3692" s="16" t="str">
        <x:v>kbbc Nur Rizahan</x:v>
      </x:c>
      <x:c r="C3692" s="16" t="str"/>
      <x:c r="D3692" s="16" t="str">
        <x:v>* myContacts</x:v>
      </x:c>
      <x:c r="E3692" s="16" t="str">
        <x:v>Missing email</x:v>
      </x:c>
    </x:row>
    <x:row r="3693">
      <x:c r="A3693" s="16" t="n">
        <x:v>3830</x:v>
      </x:c>
      <x:c r="B3693" s="16" t="str">
        <x:v>kbbc Nur Shahirah</x:v>
      </x:c>
      <x:c r="C3693" s="16" t="str"/>
      <x:c r="D3693" s="16" t="str">
        <x:v>* myContacts</x:v>
      </x:c>
      <x:c r="E3693" s="16" t="str">
        <x:v>Missing email</x:v>
      </x:c>
    </x:row>
    <x:row r="3694">
      <x:c r="A3694" s="16" t="n">
        <x:v>3831</x:v>
      </x:c>
      <x:c r="B3694" s="16" t="str">
        <x:v>kbbc Nurin Syafika</x:v>
      </x:c>
      <x:c r="C3694" s="16" t="str"/>
      <x:c r="D3694" s="16" t="str">
        <x:v>* myContacts</x:v>
      </x:c>
      <x:c r="E3694" s="16" t="str">
        <x:v>Missing email</x:v>
      </x:c>
    </x:row>
    <x:row r="3695">
      <x:c r="A3695" s="16" t="n">
        <x:v>3832</x:v>
      </x:c>
      <x:c r="B3695" s="16" t="str">
        <x:v>kbbc Nurnabila Bt Azahari</x:v>
      </x:c>
      <x:c r="C3695" s="16" t="str"/>
      <x:c r="D3695" s="16" t="str">
        <x:v>* myContacts</x:v>
      </x:c>
      <x:c r="E3695" s="16" t="str">
        <x:v>Missing email</x:v>
      </x:c>
    </x:row>
    <x:row r="3696">
      <x:c r="A3696" s="16" t="n">
        <x:v>3833</x:v>
      </x:c>
      <x:c r="B3696" s="16" t="str">
        <x:v>kbbc Nurnabila Bt Azahari</x:v>
      </x:c>
      <x:c r="C3696" s="16" t="str"/>
      <x:c r="D3696" s="16" t="str">
        <x:v>* myContacts</x:v>
      </x:c>
      <x:c r="E3696" s="16" t="str">
        <x:v>Missing email</x:v>
      </x:c>
    </x:row>
    <x:row r="3697">
      <x:c r="A3697" s="16" t="n">
        <x:v>3834</x:v>
      </x:c>
      <x:c r="B3697" s="16" t="str">
        <x:v>KBBC Office HQ</x:v>
      </x:c>
      <x:c r="C3697" s="16" t="str"/>
      <x:c r="D3697" s="16" t="str">
        <x:v>* myContacts</x:v>
      </x:c>
      <x:c r="E3697" s="16" t="str">
        <x:v>Missing email</x:v>
      </x:c>
    </x:row>
    <x:row r="3698">
      <x:c r="A3698" s="16" t="n">
        <x:v>3835</x:v>
      </x:c>
      <x:c r="B3698" s="16" t="str">
        <x:v>kbbc Opet Saputra</x:v>
      </x:c>
      <x:c r="C3698" s="16" t="str"/>
      <x:c r="D3698" s="16" t="str">
        <x:v>* myContacts</x:v>
      </x:c>
      <x:c r="E3698" s="16" t="str">
        <x:v>Missing email</x:v>
      </x:c>
    </x:row>
    <x:row r="3699">
      <x:c r="A3699" s="16" t="n">
        <x:v>3836</x:v>
      </x:c>
      <x:c r="B3699" s="16" t="str">
        <x:v>kbbc Qistina</x:v>
      </x:c>
      <x:c r="C3699" s="16" t="str"/>
      <x:c r="D3699" s="16" t="str">
        <x:v>* myContacts</x:v>
      </x:c>
      <x:c r="E3699" s="16" t="str">
        <x:v>Missing email</x:v>
      </x:c>
    </x:row>
    <x:row r="3700">
      <x:c r="A3700" s="16" t="n">
        <x:v>3837</x:v>
      </x:c>
      <x:c r="B3700" s="16" t="str">
        <x:v>kbbc Qurratulain</x:v>
      </x:c>
      <x:c r="C3700" s="16" t="str"/>
      <x:c r="D3700" s="16" t="str">
        <x:v>* myContacts</x:v>
      </x:c>
      <x:c r="E3700" s="16" t="str">
        <x:v>Missing email</x:v>
      </x:c>
    </x:row>
    <x:row r="3701">
      <x:c r="A3701" s="16" t="n">
        <x:v>3838</x:v>
      </x:c>
      <x:c r="B3701" s="16" t="str">
        <x:v>kbbc Rosman B Hamzah</x:v>
      </x:c>
      <x:c r="C3701" s="16" t="str"/>
      <x:c r="D3701" s="16" t="str">
        <x:v>* myContacts</x:v>
      </x:c>
      <x:c r="E3701" s="16" t="str">
        <x:v>Missing email</x:v>
      </x:c>
    </x:row>
    <x:row r="3702">
      <x:c r="A3702" s="16" t="n">
        <x:v>3839</x:v>
      </x:c>
      <x:c r="B3702" s="16" t="str">
        <x:v>kbbc Rudy Sareman</x:v>
      </x:c>
      <x:c r="C3702" s="16" t="str"/>
      <x:c r="D3702" s="16" t="str">
        <x:v>* myContacts</x:v>
      </x:c>
      <x:c r="E3702" s="16" t="str">
        <x:v>Missing email</x:v>
      </x:c>
    </x:row>
    <x:row r="3703">
      <x:c r="A3703" s="16" t="n">
        <x:v>3840</x:v>
      </x:c>
      <x:c r="B3703" s="16" t="str">
        <x:v>kbbc RUZAINI MD ZAMRI</x:v>
      </x:c>
      <x:c r="C3703" s="16" t="str"/>
      <x:c r="D3703" s="16" t="str">
        <x:v>* myContacts</x:v>
      </x:c>
      <x:c r="E3703" s="16" t="str">
        <x:v>Missing email</x:v>
      </x:c>
    </x:row>
    <x:row r="3704">
      <x:c r="A3704" s="16" t="n">
        <x:v>3841</x:v>
      </x:c>
      <x:c r="B3704" s="16" t="str">
        <x:v>kbbc Sadzmil Samuel</x:v>
      </x:c>
      <x:c r="C3704" s="16" t="str"/>
      <x:c r="D3704" s="16" t="str">
        <x:v>* myContacts</x:v>
      </x:c>
      <x:c r="E3704" s="16" t="str">
        <x:v>Missing email</x:v>
      </x:c>
    </x:row>
    <x:row r="3705">
      <x:c r="A3705" s="16" t="n">
        <x:v>3842</x:v>
      </x:c>
      <x:c r="B3705" s="16" t="str">
        <x:v>kbbc Sahlan Mohd Saad</x:v>
      </x:c>
      <x:c r="C3705" s="16" t="str"/>
      <x:c r="D3705" s="16" t="str">
        <x:v>* myContacts</x:v>
      </x:c>
      <x:c r="E3705" s="16" t="str">
        <x:v>Missing email</x:v>
      </x:c>
    </x:row>
    <x:row r="3706">
      <x:c r="A3706" s="16" t="n">
        <x:v>3843</x:v>
      </x:c>
      <x:c r="B3706" s="16" t="str">
        <x:v>Kbbc Sale Team 1</x:v>
      </x:c>
      <x:c r="C3706" s="16" t="str"/>
      <x:c r="D3706" s="16" t="str">
        <x:v>* myContacts</x:v>
      </x:c>
      <x:c r="E3706" s="16" t="str">
        <x:v>Missing email</x:v>
      </x:c>
    </x:row>
    <x:row r="3707">
      <x:c r="A3707" s="16" t="n">
        <x:v>3844</x:v>
      </x:c>
      <x:c r="B3707" s="16" t="str">
        <x:v>kbbc Shafiq Rodzun</x:v>
      </x:c>
      <x:c r="C3707" s="16" t="str"/>
      <x:c r="D3707" s="16" t="str">
        <x:v>* myContacts</x:v>
      </x:c>
      <x:c r="E3707" s="16" t="str">
        <x:v>Missing email</x:v>
      </x:c>
    </x:row>
    <x:row r="3708">
      <x:c r="A3708" s="16" t="n">
        <x:v>3845</x:v>
      </x:c>
      <x:c r="B3708" s="16" t="str">
        <x:v>kbbc Siti Humayraa</x:v>
      </x:c>
      <x:c r="C3708" s="16" t="str"/>
      <x:c r="D3708" s="16" t="str">
        <x:v>* myContacts</x:v>
      </x:c>
      <x:c r="E3708" s="16" t="str">
        <x:v>Missing email</x:v>
      </x:c>
    </x:row>
    <x:row r="3709">
      <x:c r="A3709" s="16" t="n">
        <x:v>3846</x:v>
      </x:c>
      <x:c r="B3709" s="16" t="str">
        <x:v>kbbc Siti Humayraa</x:v>
      </x:c>
      <x:c r="C3709" s="16" t="str"/>
      <x:c r="D3709" s="16" t="str">
        <x:v>* myContacts</x:v>
      </x:c>
      <x:c r="E3709" s="16" t="str">
        <x:v>Missing email</x:v>
      </x:c>
    </x:row>
    <x:row r="3710">
      <x:c r="A3710" s="16" t="n">
        <x:v>3847</x:v>
      </x:c>
      <x:c r="B3710" s="16" t="str">
        <x:v>kbbc Siti Norhazlina</x:v>
      </x:c>
      <x:c r="C3710" s="16" t="str"/>
      <x:c r="D3710" s="16" t="str">
        <x:v>* myContacts</x:v>
      </x:c>
      <x:c r="E3710" s="16" t="str">
        <x:v>Missing email</x:v>
      </x:c>
    </x:row>
    <x:row r="3711">
      <x:c r="A3711" s="16" t="n">
        <x:v>3848</x:v>
      </x:c>
      <x:c r="B3711" s="16" t="str">
        <x:v>kbbc Suliman</x:v>
      </x:c>
      <x:c r="C3711" s="16" t="str"/>
      <x:c r="D3711" s="16" t="str">
        <x:v>* myContacts</x:v>
      </x:c>
      <x:c r="E3711" s="16" t="str">
        <x:v>Missing email</x:v>
      </x:c>
    </x:row>
    <x:row r="3712">
      <x:c r="A3712" s="16" t="n">
        <x:v>3849</x:v>
      </x:c>
      <x:c r="B3712" s="16" t="str">
        <x:v>kbbc support 1 Staff 001</x:v>
      </x:c>
      <x:c r="C3712" s="16" t="str"/>
      <x:c r="D3712" s="16" t="str">
        <x:v>* myContacts</x:v>
      </x:c>
      <x:c r="E3712" s="16" t="str">
        <x:v>Missing email</x:v>
      </x:c>
    </x:row>
    <x:row r="3713">
      <x:c r="A3713" s="16" t="n">
        <x:v>3850</x:v>
      </x:c>
      <x:c r="B3713" s="16" t="str">
        <x:v>kbbc Suriani Binti Uda</x:v>
      </x:c>
      <x:c r="C3713" s="16" t="str"/>
      <x:c r="D3713" s="16" t="str">
        <x:v>* myContacts</x:v>
      </x:c>
      <x:c r="E3713" s="16" t="str">
        <x:v>Missing email</x:v>
      </x:c>
    </x:row>
    <x:row r="3714">
      <x:c r="A3714" s="16" t="n">
        <x:v>3851</x:v>
      </x:c>
      <x:c r="B3714" s="16" t="str">
        <x:v>kbbc Thanesganesh</x:v>
      </x:c>
      <x:c r="C3714" s="16" t="str"/>
      <x:c r="D3714" s="16" t="str">
        <x:v>* myContacts</x:v>
      </x:c>
      <x:c r="E3714" s="16" t="str">
        <x:v>Missing email</x:v>
      </x:c>
    </x:row>
    <x:row r="3715">
      <x:c r="A3715" s="16" t="n">
        <x:v>3852</x:v>
      </x:c>
      <x:c r="B3715" s="16" t="str">
        <x:v>Kbbc Third</x:v>
      </x:c>
      <x:c r="C3715" s="16" t="str"/>
      <x:c r="D3715" s="16" t="str">
        <x:v>* myContacts</x:v>
      </x:c>
      <x:c r="E3715" s="16" t="str">
        <x:v>Missing email</x:v>
      </x:c>
    </x:row>
    <x:row r="3716">
      <x:c r="A3716" s="16" t="n">
        <x:v>3853</x:v>
      </x:c>
      <x:c r="B3716" s="16" t="str">
        <x:v>kbbc Wan</x:v>
      </x:c>
      <x:c r="C3716" s="16" t="str"/>
      <x:c r="D3716" s="16" t="str">
        <x:v>* myContacts</x:v>
      </x:c>
      <x:c r="E3716" s="16" t="str">
        <x:v>Missing email</x:v>
      </x:c>
    </x:row>
    <x:row r="3717">
      <x:c r="A3717" s="16" t="n">
        <x:v>3854</x:v>
      </x:c>
      <x:c r="B3717" s="16" t="str">
        <x:v>kbbc Wan Farris</x:v>
      </x:c>
      <x:c r="C3717" s="16" t="str"/>
      <x:c r="D3717" s="16" t="str">
        <x:v>* myContacts</x:v>
      </x:c>
      <x:c r="E3717" s="16" t="str">
        <x:v>Missing email</x:v>
      </x:c>
    </x:row>
    <x:row r="3718">
      <x:c r="A3718" s="16" t="n">
        <x:v>3855</x:v>
      </x:c>
      <x:c r="B3718" s="16" t="str">
        <x:v>kbbc WAN KAMALRUZAMAN BIN MOHD YUSOFF</x:v>
      </x:c>
      <x:c r="C3718" s="16" t="str"/>
      <x:c r="D3718" s="16" t="str">
        <x:v>* myContacts</x:v>
      </x:c>
      <x:c r="E3718" s="16" t="str">
        <x:v>Missing email</x:v>
      </x:c>
    </x:row>
    <x:row r="3719">
      <x:c r="A3719" s="16" t="n">
        <x:v>3856</x:v>
      </x:c>
      <x:c r="B3719" s="16" t="str">
        <x:v>kbbc WAN KAMALRUZAMAN BIN MOHD YUSOFF</x:v>
      </x:c>
      <x:c r="C3719" s="16" t="str"/>
      <x:c r="D3719" s="16" t="str">
        <x:v>* myContacts</x:v>
      </x:c>
      <x:c r="E3719" s="16" t="str">
        <x:v>Missing email</x:v>
      </x:c>
    </x:row>
    <x:row r="3720">
      <x:c r="A3720" s="16" t="n">
        <x:v>3857</x:v>
      </x:c>
      <x:c r="B3720" s="16" t="str">
        <x:v>kbbc Wan Mohd Zulhusni</x:v>
      </x:c>
      <x:c r="C3720" s="16" t="str"/>
      <x:c r="D3720" s="16" t="str">
        <x:v>* myContacts</x:v>
      </x:c>
      <x:c r="E3720" s="16" t="str">
        <x:v>Missing email</x:v>
      </x:c>
    </x:row>
    <x:row r="3721">
      <x:c r="A3721" s="16" t="n">
        <x:v>3858</x:v>
      </x:c>
      <x:c r="B3721" s="16" t="str">
        <x:v>kbbc Wan Nooraini Bt Wan Mohd Fouzi</x:v>
      </x:c>
      <x:c r="C3721" s="16" t="str"/>
      <x:c r="D3721" s="16" t="str">
        <x:v>* myContacts</x:v>
      </x:c>
      <x:c r="E3721" s="16" t="str">
        <x:v>Missing email</x:v>
      </x:c>
    </x:row>
    <x:row r="3722">
      <x:c r="A3722" s="16" t="n">
        <x:v>3859</x:v>
      </x:c>
      <x:c r="B3722" s="16" t="str">
        <x:v>kbbc Yan</x:v>
      </x:c>
      <x:c r="C3722" s="16" t="str"/>
      <x:c r="D3722" s="16" t="str">
        <x:v>* myContacts</x:v>
      </x:c>
      <x:c r="E3722" s="16" t="str">
        <x:v>Missing email</x:v>
      </x:c>
    </x:row>
    <x:row r="3723">
      <x:c r="A3723" s="16" t="n">
        <x:v>3860</x:v>
      </x:c>
      <x:c r="B3723" s="16" t="str">
        <x:v>kbbc Yessy Efriany Binti Masri</x:v>
      </x:c>
      <x:c r="C3723" s="16" t="str"/>
      <x:c r="D3723" s="16" t="str">
        <x:v>* myContacts</x:v>
      </x:c>
      <x:c r="E3723" s="16" t="str">
        <x:v>Missing email</x:v>
      </x:c>
    </x:row>
    <x:row r="3724">
      <x:c r="A3724" s="16" t="n">
        <x:v>3861</x:v>
      </x:c>
      <x:c r="B3724" s="16" t="str">
        <x:v>kbbc Yuslizawati Binti Yusup</x:v>
      </x:c>
      <x:c r="C3724" s="16" t="str"/>
      <x:c r="D3724" s="16" t="str">
        <x:v>* myContacts</x:v>
      </x:c>
      <x:c r="E3724" s="16" t="str">
        <x:v>Missing email</x:v>
      </x:c>
    </x:row>
    <x:row r="3725">
      <x:c r="A3725" s="16" t="n">
        <x:v>3862</x:v>
      </x:c>
      <x:c r="B3725" s="16" t="str">
        <x:v>kbbc Yuslizawati Binti Yusup</x:v>
      </x:c>
      <x:c r="C3725" s="16" t="str"/>
      <x:c r="D3725" s="16" t="str">
        <x:v>* myContacts</x:v>
      </x:c>
      <x:c r="E3725" s="16" t="str">
        <x:v>Missing email</x:v>
      </x:c>
    </x:row>
    <x:row r="3726">
      <x:c r="A3726" s="16" t="n">
        <x:v>3863</x:v>
      </x:c>
      <x:c r="B3726" s="16" t="str">
        <x:v>kbbc Zaini Shahrol</x:v>
      </x:c>
      <x:c r="C3726" s="16" t="str"/>
      <x:c r="D3726" s="16" t="str">
        <x:v>* myContacts</x:v>
      </x:c>
      <x:c r="E3726" s="16" t="str">
        <x:v>Missing email</x:v>
      </x:c>
    </x:row>
    <x:row r="3727">
      <x:c r="A3727" s="16" t="n">
        <x:v>3864</x:v>
      </x:c>
      <x:c r="B3727" s="16" t="str">
        <x:v>kbbc Zainuddin Bin Abdul Rahman</x:v>
      </x:c>
      <x:c r="C3727" s="16" t="str"/>
      <x:c r="D3727" s="16" t="str">
        <x:v>* myContacts</x:v>
      </x:c>
      <x:c r="E3727" s="16" t="str">
        <x:v>Missing email</x:v>
      </x:c>
    </x:row>
    <x:row r="3728">
      <x:c r="A3728" s="16" t="n">
        <x:v>3865</x:v>
      </x:c>
      <x:c r="B3728" s="16" t="str">
        <x:v>kbbc ZAIRUL AKHMAR</x:v>
      </x:c>
      <x:c r="C3728" s="16" t="str"/>
      <x:c r="D3728" s="16" t="str">
        <x:v>* myContacts</x:v>
      </x:c>
      <x:c r="E3728" s="16" t="str">
        <x:v>Missing email</x:v>
      </x:c>
    </x:row>
    <x:row r="3729">
      <x:c r="A3729" s="16" t="n">
        <x:v>3866</x:v>
      </x:c>
      <x:c r="B3729" s="16" t="str">
        <x:v>kbbc ZAIRUL AKHMAR</x:v>
      </x:c>
      <x:c r="C3729" s="16" t="str"/>
      <x:c r="D3729" s="16" t="str">
        <x:v>* myContacts</x:v>
      </x:c>
      <x:c r="E3729" s="16" t="str">
        <x:v>Missing email</x:v>
      </x:c>
    </x:row>
    <x:row r="3730">
      <x:c r="A3730" s="16" t="n">
        <x:v>3867</x:v>
      </x:c>
      <x:c r="B3730" s="16" t="str">
        <x:v>kbbc Zalinah Binti Mat Noh</x:v>
      </x:c>
      <x:c r="C3730" s="16" t="str"/>
      <x:c r="D3730" s="16" t="str">
        <x:v>* myContacts</x:v>
      </x:c>
      <x:c r="E3730" s="16" t="str">
        <x:v>Missing email</x:v>
      </x:c>
    </x:row>
    <x:row r="3731">
      <x:c r="A3731" s="16" t="n">
        <x:v>3868</x:v>
      </x:c>
      <x:c r="B3731" s="16" t="str">
        <x:v>KC Training Provider</x:v>
      </x:c>
      <x:c r="C3731" s="16" t="str"/>
      <x:c r="D3731" s="16" t="str">
        <x:v>* myContacts</x:v>
      </x:c>
      <x:c r="E3731" s="16" t="str">
        <x:v>Missing email</x:v>
      </x:c>
    </x:row>
    <x:row r="3732">
      <x:c r="A3732" s="16" t="n">
        <x:v>3869</x:v>
      </x:c>
      <x:c r="B3732" s="16" t="str">
        <x:v>Kecik Mas</x:v>
      </x:c>
      <x:c r="C3732" s="16" t="str"/>
      <x:c r="D3732" s="16" t="str">
        <x:v>* myContacts</x:v>
      </x:c>
      <x:c r="E3732" s="16" t="str">
        <x:v>Missing email</x:v>
      </x:c>
    </x:row>
    <x:row r="3733">
      <x:c r="A3733" s="16" t="n">
        <x:v>3870</x:v>
      </x:c>
      <x:c r="B3733" s="16" t="str">
        <x:v>Kecik Motoq Motoq</x:v>
      </x:c>
      <x:c r="C3733" s="16" t="str"/>
      <x:c r="D3733" s="16" t="str">
        <x:v>* myContacts</x:v>
      </x:c>
      <x:c r="E3733" s="16" t="str">
        <x:v>Missing email</x:v>
      </x:c>
    </x:row>
    <x:row r="3734">
      <x:c r="A3734" s="16" t="n">
        <x:v>3871</x:v>
      </x:c>
      <x:c r="B3734" s="16" t="str">
        <x:v>Kedai Komputer Dr Kuala Selangor</x:v>
      </x:c>
      <x:c r="C3734" s="16" t="str"/>
      <x:c r="D3734" s="16" t="str">
        <x:v>* myContacts</x:v>
      </x:c>
      <x:c r="E3734" s="16" t="str">
        <x:v>Missing email</x:v>
      </x:c>
    </x:row>
    <x:row r="3735">
      <x:c r="A3735" s="16" t="n">
        <x:v>3872</x:v>
      </x:c>
      <x:c r="B3735" s="16" t="str">
        <x:v>kedai makan batu gajah</x:v>
      </x:c>
      <x:c r="C3735" s="16" t="str"/>
      <x:c r="D3735" s="16" t="str">
        <x:v>* myContacts</x:v>
      </x:c>
      <x:c r="E3735" s="16" t="str">
        <x:v>Missing email</x:v>
      </x:c>
    </x:row>
    <x:row r="3736">
      <x:c r="A3736" s="16" t="n">
        <x:v>3873</x:v>
      </x:c>
      <x:c r="B3736" s="16" t="str">
        <x:v>kedai print pahang</x:v>
      </x:c>
      <x:c r="C3736" s="16" t="str"/>
      <x:c r="D3736" s="16" t="str">
        <x:v>* myContacts</x:v>
      </x:c>
      <x:c r="E3736" s="16" t="str">
        <x:v>Missing email</x:v>
      </x:c>
    </x:row>
    <x:row r="3737">
      <x:c r="A3737" s="16" t="n">
        <x:v>3874</x:v>
      </x:c>
      <x:c r="B3737" s="16" t="str">
        <x:v>Kedai Qaseh Damia</x:v>
      </x:c>
      <x:c r="C3737" s="16" t="str"/>
      <x:c r="D3737" s="16" t="str">
        <x:v>* myContacts</x:v>
      </x:c>
      <x:c r="E3737" s="16" t="str">
        <x:v>Missing email</x:v>
      </x:c>
    </x:row>
    <x:row r="3738">
      <x:c r="A3738" s="16" t="n">
        <x:v>3875</x:v>
      </x:c>
      <x:c r="B3738" s="16" t="str">
        <x:v>Kedai Remaja Purba</x:v>
      </x:c>
      <x:c r="C3738" s="16" t="str"/>
      <x:c r="D3738" s="16" t="str">
        <x:v>* myContacts</x:v>
      </x:c>
      <x:c r="E3738" s="16" t="str">
        <x:v>Missing email</x:v>
      </x:c>
    </x:row>
    <x:row r="3739">
      <x:c r="A3739" s="16" t="n">
        <x:v>3876</x:v>
      </x:c>
      <x:c r="B3739" s="16" t="str">
        <x:v>Kedai Rokiah</x:v>
      </x:c>
      <x:c r="C3739" s="16" t="str"/>
      <x:c r="D3739" s="16" t="str">
        <x:v>* myContacts</x:v>
      </x:c>
      <x:c r="E3739" s="16" t="str">
        <x:v>Missing email</x:v>
      </x:c>
    </x:row>
    <x:row r="3740">
      <x:c r="A3740" s="16" t="n">
        <x:v>3877</x:v>
      </x:c>
      <x:c r="B3740" s="16" t="str">
        <x:v>Kedai Telefon</x:v>
      </x:c>
      <x:c r="C3740" s="16" t="str"/>
      <x:c r="D3740" s="16" t="str">
        <x:v>* myContacts</x:v>
      </x:c>
      <x:c r="E3740" s="16" t="str">
        <x:v>Missing email</x:v>
      </x:c>
    </x:row>
    <x:row r="3741">
      <x:c r="A3741" s="16" t="n">
        <x:v>3878</x:v>
      </x:c>
      <x:c r="B3741" s="16" t="str">
        <x:v>Kedai Wallee</x:v>
      </x:c>
      <x:c r="C3741" s="16" t="str"/>
      <x:c r="D3741" s="16" t="str">
        <x:v>* myContacts</x:v>
      </x:c>
      <x:c r="E3741" s="16" t="str">
        <x:v>Missing email</x:v>
      </x:c>
    </x:row>
    <x:row r="3742">
      <x:c r="A3742" s="16" t="n">
        <x:v>3880</x:v>
      </x:c>
      <x:c r="B3742" s="16" t="str">
        <x:v>Keith Tiktok Fmg</x:v>
      </x:c>
      <x:c r="C3742" s="16" t="str"/>
      <x:c r="D3742" s="16" t="str">
        <x:v>* myContacts</x:v>
      </x:c>
      <x:c r="E3742" s="16" t="str">
        <x:v>Missing email</x:v>
      </x:c>
    </x:row>
    <x:row r="3743">
      <x:c r="A3743" s="16" t="n">
        <x:v>3881</x:v>
      </x:c>
      <x:c r="B3743" s="16" t="str">
        <x:v>Kelvin Dum Augustine</x:v>
      </x:c>
      <x:c r="C3743" s="16" t="str"/>
      <x:c r="D3743" s="16" t="str">
        <x:v>* myContacts</x:v>
      </x:c>
      <x:c r="E3743" s="16" t="str">
        <x:v>Missing email</x:v>
      </x:c>
    </x:row>
    <x:row r="3744">
      <x:c r="A3744" s="16" t="n">
        <x:v>3882</x:v>
      </x:c>
      <x:c r="B3744" s="16" t="str">
        <x:v>Kema Hasan</x:v>
      </x:c>
      <x:c r="C3744" s="16" t="str"/>
      <x:c r="D3744" s="16" t="str">
        <x:v>* myContacts</x:v>
      </x:c>
      <x:c r="E3744" s="16" t="str">
        <x:v>Missing email</x:v>
      </x:c>
    </x:row>
    <x:row r="3745">
      <x:c r="A3745" s="16" t="n">
        <x:v>3883</x:v>
      </x:c>
      <x:c r="B3745" s="16" t="str">
        <x:v>Ken staff mike Nintendo</x:v>
      </x:c>
      <x:c r="C3745" s="16" t="str"/>
      <x:c r="D3745" s="16" t="str">
        <x:v>* myContacts</x:v>
      </x:c>
      <x:c r="E3745" s="16" t="str">
        <x:v>Missing email</x:v>
      </x:c>
    </x:row>
    <x:row r="3746">
      <x:c r="A3746" s="16" t="n">
        <x:v>3884</x:v>
      </x:c>
      <x:c r="B3746" s="16" t="str">
        <x:v>Keningau Boy Runner</x:v>
      </x:c>
      <x:c r="C3746" s="16" t="str"/>
      <x:c r="D3746" s="16" t="str">
        <x:v>* myContacts</x:v>
      </x:c>
      <x:c r="E3746" s="16" t="str">
        <x:v>Missing email</x:v>
      </x:c>
    </x:row>
    <x:row r="3747">
      <x:c r="A3747" s="16" t="n">
        <x:v>3885</x:v>
      </x:c>
      <x:c r="B3747" s="16" t="str">
        <x:v>Kenny Ng</x:v>
      </x:c>
      <x:c r="C3747" s="16" t="str"/>
      <x:c r="D3747" s="16" t="str">
        <x:v>* myContacts</x:v>
      </x:c>
      <x:c r="E3747" s="16" t="str">
        <x:v>Missing email</x:v>
      </x:c>
    </x:row>
    <x:row r="3748">
      <x:c r="A3748" s="16" t="n">
        <x:v>3886</x:v>
      </x:c>
      <x:c r="B3748" s="16" t="str">
        <x:v>Kenny Rukaini Anuar</x:v>
      </x:c>
      <x:c r="C3748" s="16" t="str"/>
      <x:c r="D3748" s="16" t="str">
        <x:v>* myContacts</x:v>
      </x:c>
      <x:c r="E3748" s="16" t="str">
        <x:v>Missing email</x:v>
      </x:c>
    </x:row>
    <x:row r="3749">
      <x:c r="A3749" s="16" t="n">
        <x:v>3887</x:v>
      </x:c>
      <x:c r="B3749" s="16" t="str">
        <x:v>Kent Car Accessories</x:v>
      </x:c>
      <x:c r="C3749" s="16" t="str"/>
      <x:c r="D3749" s="16" t="str">
        <x:v>* myContacts</x:v>
      </x:c>
      <x:c r="E3749" s="16" t="str">
        <x:v>Missing email</x:v>
      </x:c>
    </x:row>
    <x:row r="3750">
      <x:c r="A3750" s="16" t="n">
        <x:v>3888</x:v>
      </x:c>
      <x:c r="B3750" s="16" t="str">
        <x:v>Kereta Eva</x:v>
      </x:c>
      <x:c r="C3750" s="16" t="str"/>
      <x:c r="D3750" s="16" t="str">
        <x:v>* myContacts</x:v>
      </x:c>
      <x:c r="E3750" s="16" t="str">
        <x:v>Missing email</x:v>
      </x:c>
    </x:row>
    <x:row r="3751">
      <x:c r="A3751" s="16" t="n">
        <x:v>3889</x:v>
      </x:c>
      <x:c r="B3751" s="16" t="str">
        <x:v>Kereta Sewa Kota Bharu</x:v>
      </x:c>
      <x:c r="C3751" s="16" t="str"/>
      <x:c r="D3751" s="16" t="str">
        <x:v>* myContacts</x:v>
      </x:c>
      <x:c r="E3751" s="16" t="str">
        <x:v>Missing email</x:v>
      </x:c>
    </x:row>
    <x:row r="3752">
      <x:c r="A3752" s="16" t="n">
        <x:v>3890</x:v>
      </x:c>
      <x:c r="B3752" s="16" t="str">
        <x:v>Kereta Sewa Langkawi</x:v>
      </x:c>
      <x:c r="C3752" s="16" t="str"/>
      <x:c r="D3752" s="16" t="str">
        <x:v>* myContacts</x:v>
      </x:c>
      <x:c r="E3752" s="16" t="str">
        <x:v>Missing email</x:v>
      </x:c>
    </x:row>
    <x:row r="3753">
      <x:c r="A3753" s="16" t="n">
        <x:v>3891</x:v>
      </x:c>
      <x:c r="B3753" s="16" t="str">
        <x:v>Kereta Sewa Semenyih</x:v>
      </x:c>
      <x:c r="C3753" s="16" t="str"/>
      <x:c r="D3753" s="16" t="str">
        <x:v>* myContacts</x:v>
      </x:c>
      <x:c r="E3753" s="16" t="str">
        <x:v>Missing email</x:v>
      </x:c>
    </x:row>
    <x:row r="3754">
      <x:c r="A3754" s="16" t="n">
        <x:v>3892</x:v>
      </x:c>
      <x:c r="B3754" s="16" t="str">
        <x:v>Kereta Terpakai Net Work</x:v>
      </x:c>
      <x:c r="C3754" s="16" t="str"/>
      <x:c r="D3754" s="16" t="str">
        <x:v>* myContacts</x:v>
      </x:c>
      <x:c r="E3754" s="16" t="str">
        <x:v>Missing email</x:v>
      </x:c>
    </x:row>
    <x:row r="3755">
      <x:c r="A3755" s="16" t="n">
        <x:v>3893</x:v>
      </x:c>
      <x:c r="B3755" s="16" t="str">
        <x:v>Keris Bersilang</x:v>
      </x:c>
      <x:c r="C3755" s="16" t="str"/>
      <x:c r="D3755" s="16" t="str">
        <x:v>* myContacts</x:v>
      </x:c>
      <x:c r="E3755" s="16" t="str">
        <x:v>Missing email</x:v>
      </x:c>
    </x:row>
    <x:row r="3756">
      <x:c r="A3756" s="16" t="n">
        <x:v>3894</x:v>
      </x:c>
      <x:c r="B3756" s="16" t="str">
        <x:v>Keris Dinamik</x:v>
      </x:c>
      <x:c r="C3756" s="16" t="str"/>
      <x:c r="D3756" s="16" t="str">
        <x:v>* myContacts</x:v>
      </x:c>
      <x:c r="E3756" s="16" t="str">
        <x:v>Missing email</x:v>
      </x:c>
    </x:row>
    <x:row r="3757">
      <x:c r="A3757" s="16" t="n">
        <x:v>3895</x:v>
      </x:c>
      <x:c r="B3757" s="16" t="str">
        <x:v>Kertina Melody</x:v>
      </x:c>
      <x:c r="C3757" s="16" t="str"/>
      <x:c r="D3757" s="16" t="str">
        <x:v>* myContacts</x:v>
      </x:c>
      <x:c r="E3757" s="16" t="str">
        <x:v>Missing email</x:v>
      </x:c>
    </x:row>
    <x:row r="3758">
      <x:c r="A3758" s="16" t="n">
        <x:v>3896</x:v>
      </x:c>
      <x:c r="B3758" s="16" t="str">
        <x:v>KeyQita Corner</x:v>
      </x:c>
      <x:c r="C3758" s="16" t="str"/>
      <x:c r="D3758" s="16" t="str">
        <x:v>* myContacts</x:v>
      </x:c>
      <x:c r="E3758" s="16" t="str">
        <x:v>Missing email</x:v>
      </x:c>
    </x:row>
    <x:row r="3759">
      <x:c r="A3759" s="16" t="n">
        <x:v>3897</x:v>
      </x:c>
      <x:c r="B3759" s="16" t="str">
        <x:v>Keyrol Jaffry</x:v>
      </x:c>
      <x:c r="C3759" s="16" t="str"/>
      <x:c r="D3759" s="16" t="str">
        <x:v>* myContacts</x:v>
      </x:c>
      <x:c r="E3759" s="16" t="str">
        <x:v>Missing email</x:v>
      </x:c>
    </x:row>
    <x:row r="3760">
      <x:c r="A3760" s="16" t="n">
        <x:v>3898</x:v>
      </x:c>
      <x:c r="B3760" s="16" t="str">
        <x:v>Keyrol Naem</x:v>
      </x:c>
      <x:c r="C3760" s="16" t="str"/>
      <x:c r="D3760" s="16" t="str">
        <x:v>* myContacts</x:v>
      </x:c>
      <x:c r="E3760" s="16" t="str">
        <x:v>Missing email</x:v>
      </x:c>
    </x:row>
    <x:row r="3761">
      <x:c r="A3761" s="16" t="n">
        <x:v>3899</x:v>
      </x:c>
      <x:c r="B3761" s="16" t="str">
        <x:v>Khai Azri</x:v>
      </x:c>
      <x:c r="C3761" s="16" t="str"/>
      <x:c r="D3761" s="16" t="str">
        <x:v>* myContacts</x:v>
      </x:c>
      <x:c r="E3761" s="16" t="str">
        <x:v>Missing email</x:v>
      </x:c>
    </x:row>
    <x:row r="3762">
      <x:c r="A3762" s="16" t="n">
        <x:v>3900</x:v>
      </x:c>
      <x:c r="B3762" s="16" t="str">
        <x:v>Khai Rudin</x:v>
      </x:c>
      <x:c r="C3762" s="16" t="str"/>
      <x:c r="D3762" s="16" t="str">
        <x:v>* myContacts</x:v>
      </x:c>
      <x:c r="E3762" s="16" t="str">
        <x:v>Missing email</x:v>
      </x:c>
    </x:row>
    <x:row r="3763">
      <x:c r="A3763" s="16" t="n">
        <x:v>3901</x:v>
      </x:c>
      <x:c r="B3763" s="16" t="str">
        <x:v>Khaidir Khalid</x:v>
      </x:c>
      <x:c r="C3763" s="16" t="str"/>
      <x:c r="D3763" s="16" t="str">
        <x:v>* myContacts</x:v>
      </x:c>
      <x:c r="E3763" s="16" t="str">
        <x:v>Missing email</x:v>
      </x:c>
    </x:row>
    <x:row r="3764">
      <x:c r="A3764" s="16" t="n">
        <x:v>3902</x:v>
      </x:c>
      <x:c r="B3764" s="16" t="str">
        <x:v>Khair Aspan</x:v>
      </x:c>
      <x:c r="C3764" s="16" t="str"/>
      <x:c r="D3764" s="16" t="str">
        <x:v>* myContacts</x:v>
      </x:c>
      <x:c r="E3764" s="16" t="str">
        <x:v>Missing email</x:v>
      </x:c>
    </x:row>
    <x:row r="3765">
      <x:c r="A3765" s="16" t="n">
        <x:v>3903</x:v>
      </x:c>
      <x:c r="B3765" s="16" t="str">
        <x:v>Khairel Kamal</x:v>
      </x:c>
      <x:c r="C3765" s="16" t="str"/>
      <x:c r="D3765" s="16" t="str">
        <x:v>* myContacts</x:v>
      </x:c>
      <x:c r="E3765" s="16" t="str">
        <x:v>Missing email</x:v>
      </x:c>
    </x:row>
    <x:row r="3766">
      <x:c r="A3766" s="16" t="n">
        <x:v>3905</x:v>
      </x:c>
      <x:c r="B3766" s="16" t="str">
        <x:v>Khairi Chin REXTON</x:v>
      </x:c>
      <x:c r="C3766" s="16" t="str"/>
      <x:c r="D3766" s="16" t="str">
        <x:v>* myContacts</x:v>
      </x:c>
      <x:c r="E3766" s="16" t="str">
        <x:v>Missing email</x:v>
      </x:c>
    </x:row>
    <x:row r="3767">
      <x:c r="A3767" s="16" t="n">
        <x:v>3906</x:v>
      </x:c>
      <x:c r="B3767" s="16" t="str">
        <x:v>Khairi Ishak</x:v>
      </x:c>
      <x:c r="C3767" s="16" t="str"/>
      <x:c r="D3767" s="16" t="str">
        <x:v>* myContacts</x:v>
      </x:c>
      <x:c r="E3767" s="16" t="str">
        <x:v>Missing email</x:v>
      </x:c>
    </x:row>
    <x:row r="3768">
      <x:c r="A3768" s="16" t="n">
        <x:v>3907</x:v>
      </x:c>
      <x:c r="B3768" s="16" t="str">
        <x:v>Khairi Rjb</x:v>
      </x:c>
      <x:c r="C3768" s="16" t="str"/>
      <x:c r="D3768" s="16" t="str">
        <x:v>* myContacts</x:v>
      </x:c>
      <x:c r="E3768" s="16" t="str">
        <x:v>Missing email</x:v>
      </x:c>
    </x:row>
    <x:row r="3769">
      <x:c r="A3769" s="16" t="n">
        <x:v>3908</x:v>
      </x:c>
      <x:c r="B3769" s="16" t="str">
        <x:v>Khairiah Jafri</x:v>
      </x:c>
      <x:c r="C3769" s="16" t="str"/>
      <x:c r="D3769" s="16" t="str">
        <x:v>* myContacts</x:v>
      </x:c>
      <x:c r="E3769" s="16" t="str">
        <x:v>Missing email</x:v>
      </x:c>
    </x:row>
    <x:row r="3770">
      <x:c r="A3770" s="16" t="n">
        <x:v>3909</x:v>
      </x:c>
      <x:c r="B3770" s="16" t="str">
        <x:v>Khairil</x:v>
      </x:c>
      <x:c r="C3770" s="16" t="str"/>
      <x:c r="D3770" s="16" t="str">
        <x:v>* myContacts</x:v>
      </x:c>
      <x:c r="E3770" s="16" t="str">
        <x:v>Missing email</x:v>
      </x:c>
    </x:row>
    <x:row r="3771">
      <x:c r="A3771" s="16" t="n">
        <x:v>3910</x:v>
      </x:c>
      <x:c r="B3771" s="16" t="str">
        <x:v>Khairil Anuar</x:v>
      </x:c>
      <x:c r="C3771" s="16" t="str"/>
      <x:c r="D3771" s="16" t="str">
        <x:v>* myContacts</x:v>
      </x:c>
      <x:c r="E3771" s="16" t="str">
        <x:v>Missing email</x:v>
      </x:c>
    </x:row>
    <x:row r="3772">
      <x:c r="A3772" s="16" t="n">
        <x:v>3911</x:v>
      </x:c>
      <x:c r="B3772" s="16" t="str">
        <x:v>Khairil Mat Jan CWA</x:v>
      </x:c>
      <x:c r="C3772" s="16" t="str"/>
      <x:c r="D3772" s="16" t="str">
        <x:v>* myContacts</x:v>
      </x:c>
      <x:c r="E3772" s="16" t="str">
        <x:v>Missing email</x:v>
      </x:c>
    </x:row>
    <x:row r="3773">
      <x:c r="A3773" s="16" t="n">
        <x:v>3912</x:v>
      </x:c>
      <x:c r="B3773" s="16" t="str">
        <x:v>Khairin Wan Abib</x:v>
      </x:c>
      <x:c r="C3773" s="16" t="str"/>
      <x:c r="D3773" s="16" t="str">
        <x:v>* myContacts</x:v>
      </x:c>
      <x:c r="E3773" s="16" t="str">
        <x:v>Missing email</x:v>
      </x:c>
    </x:row>
    <x:row r="3774">
      <x:c r="A3774" s="16" t="n">
        <x:v>3913</x:v>
      </x:c>
      <x:c r="B3774" s="16" t="str">
        <x:v>Khairol Azli</x:v>
      </x:c>
      <x:c r="C3774" s="16" t="str"/>
      <x:c r="D3774" s="16" t="str">
        <x:v>* myContacts</x:v>
      </x:c>
      <x:c r="E3774" s="16" t="str">
        <x:v>Missing email</x:v>
      </x:c>
    </x:row>
    <x:row r="3775">
      <x:c r="A3775" s="16" t="n">
        <x:v>3914</x:v>
      </x:c>
      <x:c r="B3775" s="16" t="str">
        <x:v>Khairul Adha</x:v>
      </x:c>
      <x:c r="C3775" s="16" t="str"/>
      <x:c r="D3775" s="16" t="str">
        <x:v>* myContacts</x:v>
      </x:c>
      <x:c r="E3775" s="16" t="str">
        <x:v>Missing email</x:v>
      </x:c>
    </x:row>
    <x:row r="3776">
      <x:c r="A3776" s="16" t="n">
        <x:v>3915</x:v>
      </x:c>
      <x:c r="B3776" s="16" t="str">
        <x:v>Khairul Annuar VOE EU2023</x:v>
      </x:c>
      <x:c r="C3776" s="16" t="str"/>
      <x:c r="D3776" s="16" t="str">
        <x:v>* myContacts</x:v>
      </x:c>
      <x:c r="E3776" s="16" t="str">
        <x:v>Missing email</x:v>
      </x:c>
    </x:row>
    <x:row r="3777">
      <x:c r="A3777" s="16" t="n">
        <x:v>3916</x:v>
      </x:c>
      <x:c r="B3777" s="16" t="str">
        <x:v>Khairul Anuar</x:v>
      </x:c>
      <x:c r="C3777" s="16" t="str"/>
      <x:c r="D3777" s="16" t="str">
        <x:v>* myContacts</x:v>
      </x:c>
      <x:c r="E3777" s="16" t="str">
        <x:v>Missing email</x:v>
      </x:c>
    </x:row>
    <x:row r="3778">
      <x:c r="A3778" s="16" t="n">
        <x:v>3917</x:v>
      </x:c>
      <x:c r="B3778" s="16" t="str">
        <x:v>khairul anuar blogger</x:v>
      </x:c>
      <x:c r="C3778" s="16" t="str"/>
      <x:c r="D3778" s="16" t="str">
        <x:v>* myContacts</x:v>
      </x:c>
      <x:c r="E3778" s="16" t="str">
        <x:v>Missing email</x:v>
      </x:c>
    </x:row>
    <x:row r="3779">
      <x:c r="A3779" s="16" t="n">
        <x:v>3918</x:v>
      </x:c>
      <x:c r="B3779" s="16" t="str">
        <x:v>Khairul Anwar</x:v>
      </x:c>
      <x:c r="C3779" s="16" t="str"/>
      <x:c r="D3779" s="16" t="str">
        <x:v>* myContacts</x:v>
      </x:c>
      <x:c r="E3779" s="16" t="str">
        <x:v>Missing email</x:v>
      </x:c>
    </x:row>
    <x:row r="3780">
      <x:c r="A3780" s="16" t="n">
        <x:v>3919</x:v>
      </x:c>
      <x:c r="B3780" s="16" t="str">
        <x:v>Khairul Anwar IMKK</x:v>
      </x:c>
      <x:c r="C3780" s="16" t="str"/>
      <x:c r="D3780" s="16" t="str">
        <x:v>* myContacts</x:v>
      </x:c>
      <x:c r="E3780" s="16" t="str">
        <x:v>Missing email</x:v>
      </x:c>
    </x:row>
    <x:row r="3781">
      <x:c r="A3781" s="16" t="n">
        <x:v>3920</x:v>
      </x:c>
      <x:c r="B3781" s="16" t="str">
        <x:v>Khairul Arifin Mat Jais</x:v>
      </x:c>
      <x:c r="C3781" s="16" t="str"/>
      <x:c r="D3781" s="16" t="str">
        <x:v>* myContacts</x:v>
      </x:c>
      <x:c r="E3781" s="16" t="str">
        <x:v>Missing email</x:v>
      </x:c>
    </x:row>
    <x:row r="3782">
      <x:c r="A3782" s="16" t="n">
        <x:v>3921</x:v>
      </x:c>
      <x:c r="B3782" s="16" t="str">
        <x:v>Khairul Dan Eda</x:v>
      </x:c>
      <x:c r="C3782" s="16" t="str"/>
      <x:c r="D3782" s="16" t="str">
        <x:v>* myContacts</x:v>
      </x:c>
      <x:c r="E3782" s="16" t="str">
        <x:v>Missing email</x:v>
      </x:c>
    </x:row>
    <x:row r="3783">
      <x:c r="A3783" s="16" t="n">
        <x:v>3922</x:v>
      </x:c>
      <x:c r="B3783" s="16" t="str">
        <x:v>Khairul essens</x:v>
      </x:c>
      <x:c r="C3783" s="16" t="str"/>
      <x:c r="D3783" s="16" t="str">
        <x:v>* myContacts</x:v>
      </x:c>
      <x:c r="E3783" s="16" t="str">
        <x:v>Missing email</x:v>
      </x:c>
    </x:row>
    <x:row r="3784">
      <x:c r="A3784" s="16" t="n">
        <x:v>3923</x:v>
      </x:c>
      <x:c r="B3784" s="16" t="str">
        <x:v>Khairul Fahmi</x:v>
      </x:c>
      <x:c r="C3784" s="16" t="str"/>
      <x:c r="D3784" s="16" t="str">
        <x:v>* myContacts</x:v>
      </x:c>
      <x:c r="E3784" s="16" t="str">
        <x:v>Missing email</x:v>
      </x:c>
    </x:row>
    <x:row r="3785">
      <x:c r="A3785" s="16" t="n">
        <x:v>3924</x:v>
      </x:c>
      <x:c r="B3785" s="16" t="str">
        <x:v>Khairul Hamze</x:v>
      </x:c>
      <x:c r="C3785" s="16" t="str"/>
      <x:c r="D3785" s="16" t="str">
        <x:v>* myContacts</x:v>
      </x:c>
      <x:c r="E3785" s="16" t="str">
        <x:v>Missing email</x:v>
      </x:c>
    </x:row>
    <x:row r="3786">
      <x:c r="A3786" s="16" t="n">
        <x:v>3925</x:v>
      </x:c>
      <x:c r="B3786" s="16" t="str">
        <x:v>Khairul Imran Client CWA</x:v>
      </x:c>
      <x:c r="C3786" s="16" t="str"/>
      <x:c r="D3786" s="16" t="str">
        <x:v>* myContacts</x:v>
      </x:c>
      <x:c r="E3786" s="16" t="str">
        <x:v>Missing email</x:v>
      </x:c>
    </x:row>
    <x:row r="3787">
      <x:c r="A3787" s="16" t="n">
        <x:v>3926</x:v>
      </x:c>
      <x:c r="B3787" s="16" t="str">
        <x:v>Mr Khairul Insurance Expert</x:v>
      </x:c>
      <x:c r="C3787" s="16" t="str"/>
      <x:c r="D3787" s="16" t="str">
        <x:v>* myContacts</x:v>
      </x:c>
      <x:c r="E3787" s="16" t="str">
        <x:v>Missing email</x:v>
      </x:c>
    </x:row>
    <x:row r="3788">
      <x:c r="A3788" s="16" t="n">
        <x:v>3927</x:v>
      </x:c>
      <x:c r="B3788" s="16" t="str">
        <x:v>Khairul Jihadi Yusof</x:v>
      </x:c>
      <x:c r="C3788" s="16" t="str"/>
      <x:c r="D3788" s="16" t="str">
        <x:v>* myContacts</x:v>
      </x:c>
      <x:c r="E3788" s="16" t="str">
        <x:v>Missing email</x:v>
      </x:c>
    </x:row>
    <x:row r="3789">
      <x:c r="A3789" s="16" t="n">
        <x:v>3928</x:v>
      </x:c>
      <x:c r="B3789" s="16" t="str">
        <x:v>Khairul Jumaiyah Sukran</x:v>
      </x:c>
      <x:c r="C3789" s="16" t="str"/>
      <x:c r="D3789" s="16" t="str">
        <x:v>* myContacts</x:v>
      </x:c>
      <x:c r="E3789" s="16" t="str">
        <x:v>Missing email</x:v>
      </x:c>
    </x:row>
    <x:row r="3790">
      <x:c r="A3790" s="16" t="n">
        <x:v>3929</x:v>
      </x:c>
      <x:c r="B3790" s="16" t="str">
        <x:v>Khairul Naim</x:v>
      </x:c>
      <x:c r="C3790" s="16" t="str"/>
      <x:c r="D3790" s="16" t="str">
        <x:v>* myContacts</x:v>
      </x:c>
      <x:c r="E3790" s="16" t="str">
        <x:v>Missing email</x:v>
      </x:c>
    </x:row>
    <x:row r="3791">
      <x:c r="A3791" s="16" t="n">
        <x:v>3930</x:v>
      </x:c>
      <x:c r="B3791" s="16" t="str">
        <x:v>Khairul Nieshat MOhd SaLeh</x:v>
      </x:c>
      <x:c r="C3791" s="16" t="str"/>
      <x:c r="D3791" s="16" t="str">
        <x:v>* myContacts</x:v>
      </x:c>
      <x:c r="E3791" s="16" t="str">
        <x:v>Missing email</x:v>
      </x:c>
    </x:row>
    <x:row r="3792">
      <x:c r="A3792" s="16" t="n">
        <x:v>3931</x:v>
      </x:c>
      <x:c r="B3792" s="16" t="str">
        <x:v>Khairul Nisaa</x:v>
      </x:c>
      <x:c r="C3792" s="16" t="str"/>
      <x:c r="D3792" s="16" t="str">
        <x:v>* myContacts</x:v>
      </x:c>
      <x:c r="E3792" s="16" t="str">
        <x:v>Missing email</x:v>
      </x:c>
    </x:row>
    <x:row r="3793">
      <x:c r="A3793" s="16" t="n">
        <x:v>3932</x:v>
      </x:c>
      <x:c r="B3793" s="16" t="str">
        <x:v>Khairul Nizam AGP</x:v>
      </x:c>
      <x:c r="C3793" s="16" t="str"/>
      <x:c r="D3793" s="16" t="str">
        <x:v>* myContacts</x:v>
      </x:c>
      <x:c r="E3793" s="16" t="str">
        <x:v>Missing email</x:v>
      </x:c>
    </x:row>
    <x:row r="3794">
      <x:c r="A3794" s="16" t="n">
        <x:v>3933</x:v>
      </x:c>
      <x:c r="B3794" s="16" t="str">
        <x:v>Khairul Post Natal</x:v>
      </x:c>
      <x:c r="C3794" s="16" t="str"/>
      <x:c r="D3794" s="16" t="str">
        <x:v>* myContacts</x:v>
      </x:c>
      <x:c r="E3794" s="16" t="str">
        <x:v>Missing email</x:v>
      </x:c>
    </x:row>
    <x:row r="3795">
      <x:c r="A3795" s="16" t="n">
        <x:v>3934</x:v>
      </x:c>
      <x:c r="B3795" s="16" t="str">
        <x:v>Khairul Revotech</x:v>
      </x:c>
      <x:c r="C3795" s="16" t="str"/>
      <x:c r="D3795" s="16" t="str">
        <x:v>* myContacts</x:v>
      </x:c>
      <x:c r="E3795" s="16" t="str">
        <x:v>Missing email</x:v>
      </x:c>
    </x:row>
    <x:row r="3796">
      <x:c r="A3796" s="16" t="n">
        <x:v>3935</x:v>
      </x:c>
      <x:c r="B3796" s="16" t="str">
        <x:v>Khairul Suhairy</x:v>
      </x:c>
      <x:c r="C3796" s="16" t="str"/>
      <x:c r="D3796" s="16" t="str">
        <x:v>* myContacts</x:v>
      </x:c>
      <x:c r="E3796" s="16" t="str">
        <x:v>Missing email</x:v>
      </x:c>
    </x:row>
    <x:row r="3797">
      <x:c r="A3797" s="16" t="n">
        <x:v>3936</x:v>
      </x:c>
      <x:c r="B3797" s="16" t="str">
        <x:v>Khairul Ultra Sifu</x:v>
      </x:c>
      <x:c r="C3797" s="16" t="str"/>
      <x:c r="D3797" s="16" t="str">
        <x:v>Trainer | * myContacts</x:v>
      </x:c>
      <x:c r="E3797" s="16" t="str">
        <x:v>Missing email</x:v>
      </x:c>
    </x:row>
    <x:row r="3798">
      <x:c r="A3798" s="16" t="n">
        <x:v>3937</x:v>
      </x:c>
      <x:c r="B3798" s="16" t="str">
        <x:v>Khairulnizam Khairuddin</x:v>
      </x:c>
      <x:c r="C3798" s="16" t="str"/>
      <x:c r="D3798" s="16" t="str">
        <x:v>* myContacts</x:v>
      </x:c>
      <x:c r="E3798" s="16" t="str">
        <x:v>Missing email</x:v>
      </x:c>
    </x:row>
    <x:row r="3799">
      <x:c r="A3799" s="16" t="n">
        <x:v>3938</x:v>
      </x:c>
      <x:c r="B3799" s="16" t="str">
        <x:v>Khairuz Faiz</x:v>
      </x:c>
      <x:c r="C3799" s="16" t="str"/>
      <x:c r="D3799" s="16" t="str">
        <x:v>* myContacts</x:v>
      </x:c>
      <x:c r="E3799" s="16" t="str">
        <x:v>Missing email</x:v>
      </x:c>
    </x:row>
    <x:row r="3800">
      <x:c r="A3800" s="16" t="n">
        <x:v>3939</x:v>
      </x:c>
      <x:c r="B3800" s="16" t="str">
        <x:v>Khairuzzaman Khaeruddin</x:v>
      </x:c>
      <x:c r="C3800" s="16" t="str"/>
      <x:c r="D3800" s="16" t="str">
        <x:v>* myContacts</x:v>
      </x:c>
      <x:c r="E3800" s="16" t="str">
        <x:v>Missing email</x:v>
      </x:c>
    </x:row>
    <x:row r="3801">
      <x:c r="A3801" s="16" t="n">
        <x:v>3941</x:v>
      </x:c>
      <x:c r="B3801" s="16" t="str">
        <x:v>Khalid Shah Perodua</x:v>
      </x:c>
      <x:c r="C3801" s="16" t="str"/>
      <x:c r="D3801" s="16" t="str">
        <x:v>* myContacts</x:v>
      </x:c>
      <x:c r="E3801" s="16" t="str">
        <x:v>Missing email</x:v>
      </x:c>
    </x:row>
    <x:row r="3802">
      <x:c r="A3802" s="16" t="n">
        <x:v>3942</x:v>
      </x:c>
      <x:c r="B3802" s="16" t="str">
        <x:v>Khalifah Kamal</x:v>
      </x:c>
      <x:c r="C3802" s="16" t="str"/>
      <x:c r="D3802" s="16" t="str">
        <x:v>* myContacts</x:v>
      </x:c>
      <x:c r="E3802" s="16" t="str">
        <x:v>Missing email</x:v>
      </x:c>
    </x:row>
    <x:row r="3803">
      <x:c r="A3803" s="16" t="n">
        <x:v>3943</x:v>
      </x:c>
      <x:c r="B3803" s="16" t="str">
        <x:v>Khalis Zalani</x:v>
      </x:c>
      <x:c r="C3803" s="16" t="str"/>
      <x:c r="D3803" s="16" t="str">
        <x:v>* myContacts</x:v>
      </x:c>
      <x:c r="E3803" s="16" t="str">
        <x:v>Missing email</x:v>
      </x:c>
    </x:row>
    <x:row r="3804">
      <x:c r="A3804" s="16" t="n">
        <x:v>3944</x:v>
      </x:c>
      <x:c r="B3804" s="16" t="str">
        <x:v>Khalisyah Umairah Kaseh</x:v>
      </x:c>
      <x:c r="C3804" s="16" t="str"/>
      <x:c r="D3804" s="16" t="str">
        <x:v>* myContacts</x:v>
      </x:c>
      <x:c r="E3804" s="16" t="str">
        <x:v>Missing email</x:v>
      </x:c>
    </x:row>
    <x:row r="3805">
      <x:c r="A3805" s="16" t="n">
        <x:v>3945</x:v>
      </x:c>
      <x:c r="B3805" s="16" t="str">
        <x:v>Khamshah AGP</x:v>
      </x:c>
      <x:c r="C3805" s="16" t="str"/>
      <x:c r="D3805" s="16" t="str">
        <x:v>* myContacts</x:v>
      </x:c>
      <x:c r="E3805" s="16" t="str">
        <x:v>Missing email</x:v>
      </x:c>
    </x:row>
    <x:row r="3806">
      <x:c r="A3806" s="16" t="n">
        <x:v>3946</x:v>
      </x:c>
      <x:c r="B3806" s="16" t="str">
        <x:v>Khan Asif Computer Laptop Sales Expert</x:v>
      </x:c>
      <x:c r="C3806" s="16" t="str"/>
      <x:c r="D3806" s="16" t="str">
        <x:v>* myContacts</x:v>
      </x:c>
      <x:c r="E3806" s="16" t="str">
        <x:v>Missing email</x:v>
      </x:c>
    </x:row>
    <x:row r="3807">
      <x:c r="A3807" s="16" t="n">
        <x:v>3947</x:v>
      </x:c>
      <x:c r="B3807" s="16" t="str">
        <x:v>Khim COD</x:v>
      </x:c>
      <x:c r="C3807" s="16" t="str"/>
      <x:c r="D3807" s="16" t="str">
        <x:v>* myContacts</x:v>
      </x:c>
      <x:c r="E3807" s="16" t="str">
        <x:v>Missing email</x:v>
      </x:c>
    </x:row>
    <x:row r="3808">
      <x:c r="A3808" s="16" t="n">
        <x:v>3948</x:v>
      </x:c>
      <x:c r="B3808" s="16" t="str">
        <x:v>Khir Saleh AGP</x:v>
      </x:c>
      <x:c r="C3808" s="16" t="str"/>
      <x:c r="D3808" s="16" t="str">
        <x:v>* myContacts</x:v>
      </x:c>
      <x:c r="E3808" s="16" t="str">
        <x:v>Missing email</x:v>
      </x:c>
    </x:row>
    <x:row r="3809">
      <x:c r="A3809" s="16" t="n">
        <x:v>3949</x:v>
      </x:c>
      <x:c r="B3809" s="16" t="str">
        <x:v>Khir Saleh AGP</x:v>
      </x:c>
      <x:c r="C3809" s="16" t="str"/>
      <x:c r="D3809" s="16" t="str">
        <x:v>* myContacts</x:v>
      </x:c>
      <x:c r="E3809" s="16" t="str">
        <x:v>Missing email</x:v>
      </x:c>
    </x:row>
    <x:row r="3810">
      <x:c r="A3810" s="16" t="n">
        <x:v>3950</x:v>
      </x:c>
      <x:c r="B3810" s="16" t="str">
        <x:v>KHM Content Admin</x:v>
      </x:c>
      <x:c r="C3810" s="16" t="str"/>
      <x:c r="D3810" s="16" t="str">
        <x:v>* myContacts</x:v>
      </x:c>
      <x:c r="E3810" s="16" t="str">
        <x:v>Missing email</x:v>
      </x:c>
    </x:row>
    <x:row r="3811">
      <x:c r="A3811" s="16" t="n">
        <x:v>3951</x:v>
      </x:c>
      <x:c r="B3811" s="16" t="str">
        <x:v>Kho Repair Rexton Aircond Controller</x:v>
      </x:c>
      <x:c r="C3811" s="16" t="str"/>
      <x:c r="D3811" s="16" t="str">
        <x:v>* myContacts</x:v>
      </x:c>
      <x:c r="E3811" s="16" t="str">
        <x:v>Missing email</x:v>
      </x:c>
    </x:row>
    <x:row r="3812">
      <x:c r="A3812" s="16" t="n">
        <x:v>3952</x:v>
      </x:c>
      <x:c r="B3812" s="16" t="str">
        <x:v>Kho Repair Rexton Aircond Controller</x:v>
      </x:c>
      <x:c r="C3812" s="16" t="str"/>
      <x:c r="D3812" s="16" t="str">
        <x:v>* myContacts</x:v>
      </x:c>
      <x:c r="E3812" s="16" t="str">
        <x:v>Missing email</x:v>
      </x:c>
    </x:row>
    <x:row r="3813">
      <x:c r="A3813" s="16" t="n">
        <x:v>3953</x:v>
      </x:c>
      <x:c r="B3813" s="16" t="str">
        <x:v>Khuailid Foziah</x:v>
      </x:c>
      <x:c r="C3813" s="16" t="str"/>
      <x:c r="D3813" s="16" t="str">
        <x:v>* myContacts</x:v>
      </x:c>
      <x:c r="E3813" s="16" t="str">
        <x:v>Missing email</x:v>
      </x:c>
    </x:row>
    <x:row r="3814">
      <x:c r="A3814" s="16" t="n">
        <x:v>3954</x:v>
      </x:c>
      <x:c r="B3814" s="16" t="str">
        <x:v>Khuram Abbas</x:v>
      </x:c>
      <x:c r="C3814" s="16" t="str"/>
      <x:c r="D3814" s="16" t="str">
        <x:v>* myContacts</x:v>
      </x:c>
      <x:c r="E3814" s="16" t="str">
        <x:v>Missing email</x:v>
      </x:c>
    </x:row>
    <x:row r="3815">
      <x:c r="A3815" s="16" t="n">
        <x:v>3955</x:v>
      </x:c>
      <x:c r="B3815" s="16" t="str">
        <x:v>Khuzaimah Mohamed</x:v>
      </x:c>
      <x:c r="C3815" s="16" t="str"/>
      <x:c r="D3815" s="16" t="str">
        <x:v>* myContacts</x:v>
      </x:c>
      <x:c r="E3815" s="16" t="str">
        <x:v>Missing email</x:v>
      </x:c>
    </x:row>
    <x:row r="3816">
      <x:c r="A3816" s="16" t="n">
        <x:v>3956</x:v>
      </x:c>
      <x:c r="B3816" s="16" t="str">
        <x:v>Ki Prana Syawal</x:v>
      </x:c>
      <x:c r="C3816" s="16" t="str"/>
      <x:c r="D3816" s="16" t="str">
        <x:v>* myContacts</x:v>
      </x:c>
      <x:c r="E3816" s="16" t="str">
        <x:v>Missing email</x:v>
      </x:c>
    </x:row>
    <x:row r="3817">
      <x:c r="A3817" s="16" t="n">
        <x:v>3957</x:v>
      </x:c>
      <x:c r="B3817" s="16" t="str">
        <x:v>Kiddo KL</x:v>
      </x:c>
      <x:c r="C3817" s="16" t="str"/>
      <x:c r="D3817" s="16" t="str">
        <x:v>* myContacts</x:v>
      </x:c>
      <x:c r="E3817" s="16" t="str">
        <x:v>Missing email</x:v>
      </x:c>
    </x:row>
    <x:row r="3818">
      <x:c r="A3818" s="16" t="n">
        <x:v>3958</x:v>
      </x:c>
      <x:c r="B3818" s="16" t="str">
        <x:v>Kierenjeet Singh Sohal</x:v>
      </x:c>
      <x:c r="C3818" s="16" t="str"/>
      <x:c r="D3818" s="16" t="str">
        <x:v>* myContacts</x:v>
      </x:c>
      <x:c r="E3818" s="16" t="str">
        <x:v>Missing email</x:v>
      </x:c>
    </x:row>
    <x:row r="3819">
      <x:c r="A3819" s="16" t="n">
        <x:v>3959</x:v>
      </x:c>
      <x:c r="B3819" s="16" t="str">
        <x:v>Kifah Mdec Akaun</x:v>
      </x:c>
      <x:c r="C3819" s="16" t="str"/>
      <x:c r="D3819" s="16" t="str">
        <x:v>* myContacts</x:v>
      </x:c>
      <x:c r="E3819" s="16" t="str">
        <x:v>Missing email</x:v>
      </x:c>
    </x:row>
    <x:row r="3820">
      <x:c r="A3820" s="16" t="n">
        <x:v>3960</x:v>
      </x:c>
      <x:c r="B3820" s="16" t="str">
        <x:v>Puan Kifah Mdec Akaun</x:v>
      </x:c>
      <x:c r="C3820" s="16" t="str"/>
      <x:c r="D3820" s="16" t="str">
        <x:v>* myContacts</x:v>
      </x:c>
      <x:c r="E3820" s="16" t="str">
        <x:v>Missing email</x:v>
      </x:c>
    </x:row>
    <x:row r="3821">
      <x:c r="A3821" s="16" t="n">
        <x:v>3961</x:v>
      </x:c>
      <x:c r="B3821" s="16" t="str">
        <x:v>Kilang D SaVon</x:v>
      </x:c>
      <x:c r="C3821" s="16" t="str"/>
      <x:c r="D3821" s="16" t="str">
        <x:v>* myContacts</x:v>
      </x:c>
      <x:c r="E3821" s="16" t="str">
        <x:v>Missing email</x:v>
      </x:c>
    </x:row>
    <x:row r="3822">
      <x:c r="A3822" s="16" t="n">
        <x:v>3962</x:v>
      </x:c>
      <x:c r="B3822" s="16" t="str">
        <x:v>Kilang Sabun</x:v>
      </x:c>
      <x:c r="C3822" s="16" t="str"/>
      <x:c r="D3822" s="16" t="str">
        <x:v>* myContacts</x:v>
      </x:c>
      <x:c r="E3822" s="16" t="str">
        <x:v>Missing email</x:v>
      </x:c>
    </x:row>
    <x:row r="3823">
      <x:c r="A3823" s="16" t="n">
        <x:v>3963</x:v>
      </x:c>
      <x:c r="B3823" s="16" t="str">
        <x:v>Kilul Ambril</x:v>
      </x:c>
      <x:c r="C3823" s="16" t="str"/>
      <x:c r="D3823" s="16" t="str">
        <x:v>* myContacts</x:v>
      </x:c>
      <x:c r="E3823" s="16" t="str">
        <x:v>Missing email</x:v>
      </x:c>
    </x:row>
    <x:row r="3824">
      <x:c r="A3824" s="16" t="n">
        <x:v>3964</x:v>
      </x:c>
      <x:c r="B3824" s="16" t="str">
        <x:v>Kim aka Ms Pui</x:v>
      </x:c>
      <x:c r="C3824" s="16" t="str"/>
      <x:c r="D3824" s="16" t="str">
        <x:v>* myContacts</x:v>
      </x:c>
      <x:c r="E3824" s="16" t="str">
        <x:v>Missing email</x:v>
      </x:c>
    </x:row>
    <x:row r="3825">
      <x:c r="A3825" s="16" t="n">
        <x:v>3965</x:v>
      </x:c>
      <x:c r="B3825" s="16" t="str">
        <x:v>King Puple</x:v>
      </x:c>
      <x:c r="C3825" s="16" t="str"/>
      <x:c r="D3825" s="16" t="str">
        <x:v>* myContacts</x:v>
      </x:c>
      <x:c r="E3825" s="16" t="str">
        <x:v>Missing email</x:v>
      </x:c>
    </x:row>
    <x:row r="3826">
      <x:c r="A3826" s="16" t="n">
        <x:v>3966</x:v>
      </x:c>
      <x:c r="B3826" s="16" t="str">
        <x:v>Kionz.C</x:v>
      </x:c>
      <x:c r="C3826" s="16" t="str"/>
      <x:c r="D3826" s="16" t="str">
        <x:v>* myContacts</x:v>
      </x:c>
      <x:c r="E3826" s="16" t="str">
        <x:v>Missing email</x:v>
      </x:c>
    </x:row>
    <x:row r="3827">
      <x:c r="A3827" s="16" t="n">
        <x:v>3967</x:v>
      </x:c>
      <x:c r="B3827" s="16" t="str">
        <x:v>Kiren Kaur</x:v>
      </x:c>
      <x:c r="C3827" s="16" t="str"/>
      <x:c r="D3827" s="16" t="str">
        <x:v>* myContacts</x:v>
      </x:c>
      <x:c r="E3827" s="16" t="str">
        <x:v>Missing email</x:v>
      </x:c>
    </x:row>
    <x:row r="3828">
      <x:c r="A3828" s="16" t="n">
        <x:v>3968</x:v>
      </x:c>
      <x:c r="B3828" s="16" t="str">
        <x:v>Kissz Berapi</x:v>
      </x:c>
      <x:c r="C3828" s="16" t="str"/>
      <x:c r="D3828" s="16" t="str">
        <x:v>* myContacts</x:v>
      </x:c>
      <x:c r="E3828" s="16" t="str">
        <x:v>Missing email</x:v>
      </x:c>
    </x:row>
    <x:row r="3829">
      <x:c r="A3829" s="16" t="n">
        <x:v>3969</x:v>
      </x:c>
      <x:c r="B3829" s="16" t="str">
        <x:v>Kiwa Mudin</x:v>
      </x:c>
      <x:c r="C3829" s="16" t="str"/>
      <x:c r="D3829" s="16" t="str">
        <x:v>* myContacts</x:v>
      </x:c>
      <x:c r="E3829" s="16" t="str">
        <x:v>Missing email</x:v>
      </x:c>
    </x:row>
    <x:row r="3830">
      <x:c r="A3830" s="16" t="n">
        <x:v>3970</x:v>
      </x:c>
      <x:c r="B3830" s="16" t="str">
        <x:v>Kizana Hata</x:v>
      </x:c>
      <x:c r="C3830" s="16" t="str"/>
      <x:c r="D3830" s="16" t="str">
        <x:v>* myContacts</x:v>
      </x:c>
      <x:c r="E3830" s="16" t="str">
        <x:v>Missing email</x:v>
      </x:c>
    </x:row>
    <x:row r="3831">
      <x:c r="A3831" s="16" t="n">
        <x:v>3971</x:v>
      </x:c>
      <x:c r="B3831" s="16" t="str">
        <x:v>Kk</x:v>
      </x:c>
      <x:c r="C3831" s="16" t="str"/>
      <x:c r="D3831" s="16" t="str">
        <x:v>* myContacts</x:v>
      </x:c>
      <x:c r="E3831" s="16" t="str">
        <x:v>Missing email</x:v>
      </x:c>
    </x:row>
    <x:row r="3832">
      <x:c r="A3832" s="16" t="n">
        <x:v>3972</x:v>
      </x:c>
      <x:c r="B3832" s="16" t="str">
        <x:v>Mr Kk</x:v>
      </x:c>
      <x:c r="C3832" s="16" t="str"/>
      <x:c r="D3832" s="16" t="str">
        <x:v>* myContacts</x:v>
      </x:c>
      <x:c r="E3832" s="16" t="str">
        <x:v>Missing email</x:v>
      </x:c>
    </x:row>
    <x:row r="3833">
      <x:c r="A3833" s="16" t="n">
        <x:v>3973</x:v>
      </x:c>
      <x:c r="B3833" s="16" t="str">
        <x:v>KL BrightSail</x:v>
      </x:c>
      <x:c r="C3833" s="16" t="str"/>
      <x:c r="D3833" s="16" t="str">
        <x:v>* myContacts</x:v>
      </x:c>
      <x:c r="E3833" s="16" t="str">
        <x:v>Missing email</x:v>
      </x:c>
    </x:row>
    <x:row r="3834">
      <x:c r="A3834" s="16" t="n">
        <x:v>3974</x:v>
      </x:c>
      <x:c r="B3834" s="16" t="str">
        <x:v>Klasiksms Sms</x:v>
      </x:c>
      <x:c r="C3834" s="16" t="str"/>
      <x:c r="D3834" s="16" t="str">
        <x:v>* myContacts</x:v>
      </x:c>
      <x:c r="E3834" s="16" t="str">
        <x:v>Missing email</x:v>
      </x:c>
    </x:row>
    <x:row r="3835">
      <x:c r="A3835" s="16" t="n">
        <x:v>3975</x:v>
      </x:c>
      <x:c r="B3835" s="16" t="str">
        <x:v>Klay</x:v>
      </x:c>
      <x:c r="C3835" s="16" t="str"/>
      <x:c r="D3835" s="16" t="str">
        <x:v>* myContacts</x:v>
      </x:c>
      <x:c r="E3835" s="16" t="str">
        <x:v>Missing email</x:v>
      </x:c>
    </x:row>
    <x:row r="3836">
      <x:c r="A3836" s="16" t="n">
        <x:v>3976</x:v>
      </x:c>
      <x:c r="B3836" s="16" t="str">
        <x:v>Klinik Surgeri Sedhuram</x:v>
      </x:c>
      <x:c r="C3836" s="16" t="str"/>
      <x:c r="D3836" s="16" t="str">
        <x:v>* myContacts</x:v>
      </x:c>
      <x:c r="E3836" s="16" t="str">
        <x:v>Missing email</x:v>
      </x:c>
    </x:row>
    <x:row r="3837">
      <x:c r="A3837" s="16" t="n">
        <x:v>3977</x:v>
      </x:c>
      <x:c r="B3837" s="16" t="str">
        <x:v>kml gg</x:v>
      </x:c>
      <x:c r="C3837" s="16" t="str"/>
      <x:c r="D3837" s="16" t="str">
        <x:v>* myContacts</x:v>
      </x:c>
      <x:c r="E3837" s="16" t="str">
        <x:v>Missing email</x:v>
      </x:c>
    </x:row>
    <x:row r="3838">
      <x:c r="A3838" s="16" t="n">
        <x:v>3978</x:v>
      </x:c>
      <x:c r="B3838" s="16" t="str">
        <x:v>Knj YB Stokis Selangor</x:v>
      </x:c>
      <x:c r="C3838" s="16" t="str"/>
      <x:c r="D3838" s="16" t="str">
        <x:v>* myContacts</x:v>
      </x:c>
      <x:c r="E3838" s="16" t="str">
        <x:v>Missing email</x:v>
      </x:c>
    </x:row>
    <x:row r="3839">
      <x:c r="A3839" s="16" t="n">
        <x:v>3979</x:v>
      </x:c>
      <x:c r="B3839" s="16" t="str">
        <x:v>Koboy Sentosa</x:v>
      </x:c>
      <x:c r="C3839" s="16" t="str"/>
      <x:c r="D3839" s="16" t="str">
        <x:v>* myContacts</x:v>
      </x:c>
      <x:c r="E3839" s="16" t="str">
        <x:v>Missing email</x:v>
      </x:c>
    </x:row>
    <x:row r="3840">
      <x:c r="A3840" s="16" t="n">
        <x:v>3980</x:v>
      </x:c>
      <x:c r="B3840" s="16" t="str">
        <x:v>Kochikamie Bsick</x:v>
      </x:c>
      <x:c r="C3840" s="16" t="str"/>
      <x:c r="D3840" s="16" t="str">
        <x:v>* myContacts</x:v>
      </x:c>
      <x:c r="E3840" s="16" t="str">
        <x:v>Missing email</x:v>
      </x:c>
    </x:row>
    <x:row r="3841">
      <x:c r="A3841" s="16" t="n">
        <x:v>3981</x:v>
      </x:c>
      <x:c r="B3841" s="16" t="str">
        <x:v>Kogulan Kogu</x:v>
      </x:c>
      <x:c r="C3841" s="16" t="str"/>
      <x:c r="D3841" s="16" t="str">
        <x:v>* myContacts</x:v>
      </x:c>
      <x:c r="E3841" s="16" t="str">
        <x:v>Missing email</x:v>
      </x:c>
    </x:row>
    <x:row r="3842">
      <x:c r="A3842" s="16" t="n">
        <x:v>3982</x:v>
      </x:c>
      <x:c r="B3842" s="16" t="str">
        <x:v>Koleksi Azra Sibu</x:v>
      </x:c>
      <x:c r="C3842" s="16" t="str"/>
      <x:c r="D3842" s="16" t="str">
        <x:v>* myContacts</x:v>
      </x:c>
      <x:c r="E3842" s="16" t="str">
        <x:v>Missing email</x:v>
      </x:c>
    </x:row>
    <x:row r="3843">
      <x:c r="A3843" s="16" t="n">
        <x:v>3983</x:v>
      </x:c>
      <x:c r="B3843" s="16" t="str">
        <x:v>Koleksi Bayi Dan Kanak-Kanak</x:v>
      </x:c>
      <x:c r="C3843" s="16" t="str"/>
      <x:c r="D3843" s="16" t="str">
        <x:v>* myContacts</x:v>
      </x:c>
      <x:c r="E3843" s="16" t="str">
        <x:v>Missing email</x:v>
      </x:c>
    </x:row>
    <x:row r="3844">
      <x:c r="A3844" s="16" t="n">
        <x:v>3984</x:v>
      </x:c>
      <x:c r="B3844" s="16" t="str">
        <x:v>Koleksi Herziyanti Niaga</x:v>
      </x:c>
      <x:c r="C3844" s="16" t="str"/>
      <x:c r="D3844" s="16" t="str">
        <x:v>* myContacts</x:v>
      </x:c>
      <x:c r="E3844" s="16" t="str">
        <x:v>Missing email</x:v>
      </x:c>
    </x:row>
    <x:row r="3845">
      <x:c r="A3845" s="16" t="n">
        <x:v>3985</x:v>
      </x:c>
      <x:c r="B3845" s="16" t="str">
        <x:v>Koleksi Keluarga Keluarga</x:v>
      </x:c>
      <x:c r="C3845" s="16" t="str"/>
      <x:c r="D3845" s="16" t="str">
        <x:v>* myContacts</x:v>
      </x:c>
      <x:c r="E3845" s="16" t="str">
        <x:v>Missing email</x:v>
      </x:c>
    </x:row>
    <x:row r="3846">
      <x:c r="A3846" s="16" t="n">
        <x:v>3986</x:v>
      </x:c>
      <x:c r="B3846" s="16" t="str">
        <x:v>Dr Komputer</x:v>
      </x:c>
      <x:c r="C3846" s="16" t="str"/>
      <x:c r="D3846" s="16" t="str">
        <x:v>* myContacts</x:v>
      </x:c>
      <x:c r="E3846" s="16" t="str">
        <x:v>Missing email</x:v>
      </x:c>
    </x:row>
    <x:row r="3847">
      <x:c r="A3847" s="16" t="n">
        <x:v>3987</x:v>
      </x:c>
      <x:c r="B3847" s="16" t="str">
        <x:v>Kori Ns</x:v>
      </x:c>
      <x:c r="C3847" s="16" t="str"/>
      <x:c r="D3847" s="16" t="str">
        <x:v>* myContacts</x:v>
      </x:c>
      <x:c r="E3847" s="16" t="str">
        <x:v>Missing email</x:v>
      </x:c>
    </x:row>
    <x:row r="3848">
      <x:c r="A3848" s="16" t="n">
        <x:v>3988</x:v>
      </x:c>
      <x:c r="B3848" s="16" t="str">
        <x:v>Kosmetik Nurraysa</x:v>
      </x:c>
      <x:c r="C3848" s="16" t="str"/>
      <x:c r="D3848" s="16" t="str">
        <x:v>* myContacts</x:v>
      </x:c>
      <x:c r="E3848" s="16" t="str">
        <x:v>Missing email</x:v>
      </x:c>
    </x:row>
    <x:row r="3849">
      <x:c r="A3849" s="16" t="n">
        <x:v>3989</x:v>
      </x:c>
      <x:c r="B3849" s="16" t="str">
        <x:v>Kota Kinabalu Sabah</x:v>
      </x:c>
      <x:c r="C3849" s="16" t="str"/>
      <x:c r="D3849" s="16" t="str">
        <x:v>* myContacts</x:v>
      </x:c>
      <x:c r="E3849" s="16" t="str">
        <x:v>Missing email</x:v>
      </x:c>
    </x:row>
    <x:row r="3850">
      <x:c r="A3850" s="16" t="n">
        <x:v>3990</x:v>
      </x:c>
      <x:c r="B3850" s="16" t="str">
        <x:v>Koxec Messi</x:v>
      </x:c>
      <x:c r="C3850" s="16" t="str"/>
      <x:c r="D3850" s="16" t="str">
        <x:v>* myContacts</x:v>
      </x:c>
      <x:c r="E3850" s="16" t="str">
        <x:v>Missing email</x:v>
      </x:c>
    </x:row>
    <x:row r="3851">
      <x:c r="A3851" s="16" t="n">
        <x:v>3991</x:v>
      </x:c>
      <x:c r="B3851" s="16" t="str">
        <x:v>Kpl mohd nizam</x:v>
      </x:c>
      <x:c r="C3851" s="16" t="str"/>
      <x:c r="D3851" s="16" t="str">
        <x:v>* myContacts</x:v>
      </x:c>
      <x:c r="E3851" s="16" t="str">
        <x:v>Missing email</x:v>
      </x:c>
    </x:row>
    <x:row r="3852">
      <x:c r="A3852" s="16" t="n">
        <x:v>3992</x:v>
      </x:c>
      <x:c r="B3852" s="16" t="str">
        <x:v>KPLB Fadzil</x:v>
      </x:c>
      <x:c r="C3852" s="16" t="str"/>
      <x:c r="D3852" s="16" t="str">
        <x:v>* myContacts</x:v>
      </x:c>
      <x:c r="E3852" s="16" t="str">
        <x:v>Missing email</x:v>
      </x:c>
    </x:row>
    <x:row r="3853">
      <x:c r="A3853" s="16" t="n">
        <x:v>3993</x:v>
      </x:c>
      <x:c r="B3853" s="16" t="str">
        <x:v>Kraf Ezee</x:v>
      </x:c>
      <x:c r="C3853" s="16" t="str"/>
      <x:c r="D3853" s="16" t="str">
        <x:v>* myContacts</x:v>
      </x:c>
      <x:c r="E3853" s="16" t="str">
        <x:v>Missing email</x:v>
      </x:c>
    </x:row>
    <x:row r="3854">
      <x:c r="A3854" s="16" t="n">
        <x:v>3994</x:v>
      </x:c>
      <x:c r="B3854" s="16" t="str">
        <x:v>Ku Zila</x:v>
      </x:c>
      <x:c r="C3854" s="16" t="str"/>
      <x:c r="D3854" s="16" t="str">
        <x:v>* myContacts</x:v>
      </x:c>
      <x:c r="E3854" s="16" t="str">
        <x:v>Missing email</x:v>
      </x:c>
    </x:row>
    <x:row r="3855">
      <x:c r="A3855" s="16" t="n">
        <x:v>3995</x:v>
      </x:c>
      <x:c r="B3855" s="16" t="str">
        <x:v>kuala selangor print</x:v>
      </x:c>
      <x:c r="C3855" s="16" t="str"/>
      <x:c r="D3855" s="16" t="str">
        <x:v>* myContacts</x:v>
      </x:c>
      <x:c r="E3855" s="16" t="str">
        <x:v>Missing email</x:v>
      </x:c>
    </x:row>
    <x:row r="3856">
      <x:c r="A3856" s="16" t="n">
        <x:v>3996</x:v>
      </x:c>
      <x:c r="B3856" s="16" t="str">
        <x:v>Kueh Koci Soho</x:v>
      </x:c>
      <x:c r="C3856" s="16" t="str"/>
      <x:c r="D3856" s="16" t="str">
        <x:v>* myContacts</x:v>
      </x:c>
      <x:c r="E3856" s="16" t="str">
        <x:v>Missing email</x:v>
      </x:c>
    </x:row>
    <x:row r="3857">
      <x:c r="A3857" s="16" t="n">
        <x:v>3997</x:v>
      </x:c>
      <x:c r="B3857" s="16" t="str">
        <x:v>Kumoten Office</x:v>
      </x:c>
      <x:c r="C3857" s="16" t="str"/>
      <x:c r="D3857" s="16" t="str">
        <x:v>* myContacts</x:v>
      </x:c>
      <x:c r="E3857" s="16" t="str">
        <x:v>Missing email</x:v>
      </x:c>
    </x:row>
    <x:row r="3858">
      <x:c r="A3858" s="16" t="n">
        <x:v>3998</x:v>
      </x:c>
      <x:c r="B3858" s="16" t="str">
        <x:v>Kumoten Support</x:v>
      </x:c>
      <x:c r="C3858" s="16" t="str"/>
      <x:c r="D3858" s="16" t="str">
        <x:v>* myContacts</x:v>
      </x:c>
      <x:c r="E3858" s="16" t="str">
        <x:v>Missing email</x:v>
      </x:c>
    </x:row>
    <x:row r="3859">
      <x:c r="A3859" s="16" t="n">
        <x:v>3999</x:v>
      </x:c>
      <x:c r="B3859" s="16" t="str">
        <x:v>Kurnia Auto Assist</x:v>
      </x:c>
      <x:c r="C3859" s="16" t="str"/>
      <x:c r="D3859" s="16" t="str">
        <x:v>* myContacts</x:v>
      </x:c>
      <x:c r="E3859" s="16" t="str">
        <x:v>Missing email</x:v>
      </x:c>
    </x:row>
    <x:row r="3860">
      <x:c r="A3860" s="16" t="n">
        <x:v>4000</x:v>
      </x:c>
      <x:c r="B3860" s="16" t="str">
        <x:v>Kursus Kahwin KL</x:v>
      </x:c>
      <x:c r="C3860" s="16" t="str"/>
      <x:c r="D3860" s="16" t="str">
        <x:v>* myContacts</x:v>
      </x:c>
      <x:c r="E3860" s="16" t="str">
        <x:v>Missing email</x:v>
      </x:c>
    </x:row>
    <x:row r="3861">
      <x:c r="A3861" s="16" t="n">
        <x:v>4001</x:v>
      </x:c>
      <x:c r="B3861" s="16" t="str">
        <x:v>Kusik Ku</x:v>
      </x:c>
      <x:c r="C3861" s="16" t="str"/>
      <x:c r="D3861" s="16" t="str">
        <x:v>* myContacts</x:v>
      </x:c>
      <x:c r="E3861" s="16" t="str">
        <x:v>Missing email</x:v>
      </x:c>
    </x:row>
    <x:row r="3862">
      <x:c r="A3862" s="16" t="n">
        <x:v>4002</x:v>
      </x:c>
      <x:c r="B3862" s="16" t="str">
        <x:v>kutip utang</x:v>
      </x:c>
      <x:c r="C3862" s="16" t="str"/>
      <x:c r="D3862" s="16" t="str">
        <x:v>* myContacts</x:v>
      </x:c>
      <x:c r="E3862" s="16" t="str">
        <x:v>Missing email</x:v>
      </x:c>
    </x:row>
    <x:row r="3863">
      <x:c r="A3863" s="16" t="n">
        <x:v>4003</x:v>
      </x:c>
      <x:c r="B3863" s="16" t="str">
        <x:v>Kwan Hsiong Law</x:v>
      </x:c>
      <x:c r="C3863" s="16" t="str"/>
      <x:c r="D3863" s="16" t="str">
        <x:v>* myContacts</x:v>
      </x:c>
      <x:c r="E3863" s="16" t="str">
        <x:v>Missing email</x:v>
      </x:c>
    </x:row>
    <x:row r="3864">
      <x:c r="A3864" s="16" t="n">
        <x:v>4004</x:v>
      </x:c>
      <x:c r="B3864" s="16" t="str">
        <x:v>KWang Hock Ling</x:v>
      </x:c>
      <x:c r="C3864" s="16" t="str"/>
      <x:c r="D3864" s="16" t="str">
        <x:v>* myContacts</x:v>
      </x:c>
      <x:c r="E3864" s="16" t="str">
        <x:v>Missing email</x:v>
      </x:c>
    </x:row>
    <x:row r="3865">
      <x:c r="A3865" s="16" t="n">
        <x:v>4005</x:v>
      </x:c>
      <x:c r="B3865" s="16" t="str">
        <x:v>Kyle Nash Jr.</x:v>
      </x:c>
      <x:c r="C3865" s="16" t="str"/>
      <x:c r="D3865" s="16" t="str">
        <x:v>* myContacts</x:v>
      </x:c>
      <x:c r="E3865" s="16" t="str">
        <x:v>Missing email</x:v>
      </x:c>
    </x:row>
    <x:row r="3866">
      <x:c r="A3866" s="16" t="n">
        <x:v>4006</x:v>
      </x:c>
      <x:c r="B3866" s="16" t="str">
        <x:v>Kyo Zx</x:v>
      </x:c>
      <x:c r="C3866" s="16" t="str"/>
      <x:c r="D3866" s="16" t="str">
        <x:v>* myContacts</x:v>
      </x:c>
      <x:c r="E3866" s="16" t="str">
        <x:v>Missing email</x:v>
      </x:c>
    </x:row>
    <x:row r="3867">
      <x:c r="A3867" s="16" t="n">
        <x:v>4007</x:v>
      </x:c>
      <x:c r="B3867" s="16" t="str">
        <x:v>Kyrol Nora Elina</x:v>
      </x:c>
      <x:c r="C3867" s="16" t="str"/>
      <x:c r="D3867" s="16" t="str">
        <x:v>* myContacts</x:v>
      </x:c>
      <x:c r="E3867" s="16" t="str">
        <x:v>Missing email</x:v>
      </x:c>
    </x:row>
    <x:row r="3868">
      <x:c r="A3868" s="16" t="n">
        <x:v>4008</x:v>
      </x:c>
      <x:c r="B3868" s="16" t="str">
        <x:v>La</x:v>
      </x:c>
      <x:c r="C3868" s="16" t="str"/>
      <x:c r="D3868" s="16" t="str">
        <x:v>* myContacts</x:v>
      </x:c>
      <x:c r="E3868" s="16" t="str">
        <x:v>Missing email</x:v>
      </x:c>
    </x:row>
    <x:row r="3869">
      <x:c r="A3869" s="16" t="n">
        <x:v>4009</x:v>
      </x:c>
      <x:c r="B3869" s="16" t="str">
        <x:v>La Rosa Artistry</x:v>
      </x:c>
      <x:c r="C3869" s="16" t="str"/>
      <x:c r="D3869" s="16" t="str">
        <x:v>* myContacts</x:v>
      </x:c>
      <x:c r="E3869" s="16" t="str">
        <x:v>Missing email</x:v>
      </x:c>
    </x:row>
    <x:row r="3870">
      <x:c r="A3870" s="16" t="n">
        <x:v>4010</x:v>
      </x:c>
      <x:c r="B3870" s="16" t="str">
        <x:v>LÄ"ily ZÃ»raidi</x:v>
      </x:c>
      <x:c r="C3870" s="16" t="str"/>
      <x:c r="D3870" s="16" t="str">
        <x:v>* myContacts</x:v>
      </x:c>
      <x:c r="E3870" s="16" t="str">
        <x:v>Missing email</x:v>
      </x:c>
    </x:row>
    <x:row r="3871">
      <x:c r="A3871" s="16" t="n">
        <x:v>4011</x:v>
      </x:c>
      <x:c r="B3871" s="16" t="str">
        <x:v>Ladyza Cake</x:v>
      </x:c>
      <x:c r="C3871" s="16" t="str"/>
      <x:c r="D3871" s="16" t="str">
        <x:v>* myContacts</x:v>
      </x:c>
      <x:c r="E3871" s="16" t="str">
        <x:v>Missing email</x:v>
      </x:c>
    </x:row>
    <x:row r="3872">
      <x:c r="A3872" s="16" t="n">
        <x:v>4012</x:v>
      </x:c>
      <x:c r="B3872" s="16" t="str">
        <x:v>Laila Annisa</x:v>
      </x:c>
      <x:c r="C3872" s="16" t="str"/>
      <x:c r="D3872" s="16" t="str">
        <x:v>* myContacts</x:v>
      </x:c>
      <x:c r="E3872" s="16" t="str">
        <x:v>Missing email</x:v>
      </x:c>
    </x:row>
    <x:row r="3873">
      <x:c r="A3873" s="16" t="n">
        <x:v>4013</x:v>
      </x:c>
      <x:c r="B3873" s="16" t="str">
        <x:v>Laila Cakes</x:v>
      </x:c>
      <x:c r="C3873" s="16" t="str"/>
      <x:c r="D3873" s="16" t="str">
        <x:v>* myContacts</x:v>
      </x:c>
      <x:c r="E3873" s="16" t="str">
        <x:v>Missing email</x:v>
      </x:c>
    </x:row>
    <x:row r="3874">
      <x:c r="A3874" s="16" t="n">
        <x:v>4014</x:v>
      </x:c>
      <x:c r="B3874" s="16" t="str">
        <x:v>Laila Fazz 4 Media Agency</x:v>
      </x:c>
      <x:c r="C3874" s="16" t="str"/>
      <x:c r="D3874" s="16" t="str">
        <x:v>* myContacts</x:v>
      </x:c>
      <x:c r="E3874" s="16" t="str">
        <x:v>Missing email</x:v>
      </x:c>
    </x:row>
    <x:row r="3875">
      <x:c r="A3875" s="16" t="n">
        <x:v>4015</x:v>
      </x:c>
      <x:c r="B3875" s="16" t="str">
        <x:v>Laila Roslan</x:v>
      </x:c>
      <x:c r="C3875" s="16" t="str"/>
      <x:c r="D3875" s="16" t="str">
        <x:v>* myContacts</x:v>
      </x:c>
      <x:c r="E3875" s="16" t="str">
        <x:v>Missing email</x:v>
      </x:c>
    </x:row>
    <x:row r="3876">
      <x:c r="A3876" s="16" t="n">
        <x:v>4016</x:v>
      </x:c>
      <x:c r="B3876" s="16" t="str">
        <x:v>Lala Huhu Lala</x:v>
      </x:c>
      <x:c r="C3876" s="16" t="str"/>
      <x:c r="D3876" s="16" t="str">
        <x:v>* myContacts</x:v>
      </x:c>
      <x:c r="E3876" s="16" t="str">
        <x:v>Missing email</x:v>
      </x:c>
    </x:row>
    <x:row r="3877">
      <x:c r="A3877" s="16" t="n">
        <x:v>4017</x:v>
      </x:c>
      <x:c r="B3877" s="16" t="str">
        <x:v>Lala Lola</x:v>
      </x:c>
      <x:c r="C3877" s="16" t="str"/>
      <x:c r="D3877" s="16" t="str">
        <x:v>* myContacts</x:v>
      </x:c>
      <x:c r="E3877" s="16" t="str">
        <x:v>Missing email</x:v>
      </x:c>
    </x:row>
    <x:row r="3878">
      <x:c r="A3878" s="16" t="n">
        <x:v>4018</x:v>
      </x:c>
      <x:c r="B3878" s="16" t="str">
        <x:v>Lalan Alan</x:v>
      </x:c>
      <x:c r="C3878" s="16" t="str"/>
      <x:c r="D3878" s="16" t="str">
        <x:v>* myContacts</x:v>
      </x:c>
      <x:c r="E3878" s="16" t="str">
        <x:v>Missing email</x:v>
      </x:c>
    </x:row>
    <x:row r="3879">
      <x:c r="A3879" s="16" t="n">
        <x:v>4019</x:v>
      </x:c>
      <x:c r="B3879" s="16" t="str">
        <x:v>Lalola DollyLens</x:v>
      </x:c>
      <x:c r="C3879" s="16" t="str"/>
      <x:c r="D3879" s="16" t="str">
        <x:v>* myContacts</x:v>
      </x:c>
      <x:c r="E3879" s="16" t="str">
        <x:v>Missing email</x:v>
      </x:c>
    </x:row>
    <x:row r="3880">
      <x:c r="A3880" s="16" t="n">
        <x:v>4020</x:v>
      </x:c>
      <x:c r="B3880" s="16" t="str">
        <x:v>Lamo Maravilla</x:v>
      </x:c>
      <x:c r="C3880" s="16" t="str"/>
      <x:c r="D3880" s="16" t="str">
        <x:v>* myContacts</x:v>
      </x:c>
      <x:c r="E3880" s="16" t="str">
        <x:v>Missing email</x:v>
      </x:c>
    </x:row>
    <x:row r="3881">
      <x:c r="A3881" s="16" t="n">
        <x:v>4021</x:v>
      </x:c>
      <x:c r="B3881" s="16" t="str">
        <x:v>Lan</x:v>
      </x:c>
      <x:c r="C3881" s="16" t="str"/>
      <x:c r="D3881" s="16" t="str">
        <x:v>* myContacts</x:v>
      </x:c>
      <x:c r="E3881" s="16" t="str">
        <x:v>Missing email</x:v>
      </x:c>
    </x:row>
    <x:row r="3882">
      <x:c r="A3882" s="16" t="n">
        <x:v>4022</x:v>
      </x:c>
      <x:c r="B3882" s="16" t="str">
        <x:v>Lan Otai Pancing</x:v>
      </x:c>
      <x:c r="C3882" s="16" t="str"/>
      <x:c r="D3882" s="16" t="str">
        <x:v>* myContacts</x:v>
      </x:c>
      <x:c r="E3882" s="16" t="str">
        <x:v>Missing email</x:v>
      </x:c>
    </x:row>
    <x:row r="3883">
      <x:c r="A3883" s="16" t="n">
        <x:v>4023</x:v>
      </x:c>
      <x:c r="B3883" s="16" t="str">
        <x:v>Lancer Ex</x:v>
      </x:c>
      <x:c r="C3883" s="16" t="str"/>
      <x:c r="D3883" s="16" t="str">
        <x:v>* myContacts</x:v>
      </x:c>
      <x:c r="E3883" s="16" t="str">
        <x:v>Missing email</x:v>
      </x:c>
    </x:row>
    <x:row r="3884">
      <x:c r="A3884" s="16" t="n">
        <x:v>4024</x:v>
      </x:c>
      <x:c r="B3884" s="16" t="str">
        <x:v>Langkawimilamotel Satu</x:v>
      </x:c>
      <x:c r="C3884" s="16" t="str"/>
      <x:c r="D3884" s="16" t="str">
        <x:v>* myContacts</x:v>
      </x:c>
      <x:c r="E3884" s="16" t="str">
        <x:v>Missing email</x:v>
      </x:c>
    </x:row>
    <x:row r="3885">
      <x:c r="A3885" s="16" t="n">
        <x:v>4025</x:v>
      </x:c>
      <x:c r="B3885" s="16" t="str">
        <x:v>Lanz Khishida</x:v>
      </x:c>
      <x:c r="C3885" s="16" t="str"/>
      <x:c r="D3885" s="16" t="str">
        <x:v>* myContacts</x:v>
      </x:c>
      <x:c r="E3885" s="16" t="str">
        <x:v>Missing email</x:v>
      </x:c>
    </x:row>
    <x:row r="3886">
      <x:c r="A3886" s="16" t="n">
        <x:v>4026</x:v>
      </x:c>
      <x:c r="B3886" s="16" t="str">
        <x:v>Latiff Awang</x:v>
      </x:c>
      <x:c r="C3886" s="16" t="str"/>
      <x:c r="D3886" s="16" t="str">
        <x:v>* myContacts</x:v>
      </x:c>
      <x:c r="E3886" s="16" t="str">
        <x:v>Missing email</x:v>
      </x:c>
    </x:row>
    <x:row r="3887">
      <x:c r="A3887" s="16" t="n">
        <x:v>4027</x:v>
      </x:c>
      <x:c r="B3887" s="16" t="str">
        <x:v>Dr Latiff Awang</x:v>
      </x:c>
      <x:c r="C3887" s="16" t="str"/>
      <x:c r="D3887" s="16" t="str">
        <x:v>* myContacts</x:v>
      </x:c>
      <x:c r="E3887" s="16" t="str">
        <x:v>Missing email</x:v>
      </x:c>
    </x:row>
    <x:row r="3888">
      <x:c r="A3888" s="16" t="n">
        <x:v>4028</x:v>
      </x:c>
      <x:c r="B3888" s="16" t="str">
        <x:v>Laut D Sana Tenang</x:v>
      </x:c>
      <x:c r="C3888" s="16" t="str"/>
      <x:c r="D3888" s="16" t="str">
        <x:v>* myContacts</x:v>
      </x:c>
      <x:c r="E3888" s="16" t="str">
        <x:v>Missing email</x:v>
      </x:c>
    </x:row>
    <x:row r="3889">
      <x:c r="A3889" s="16" t="n">
        <x:v>4029</x:v>
      </x:c>
      <x:c r="B3889" s="16" t="str">
        <x:v>Lavender Rhea Hana</x:v>
      </x:c>
      <x:c r="C3889" s="16" t="str"/>
      <x:c r="D3889" s="16" t="str">
        <x:v>* myContacts</x:v>
      </x:c>
      <x:c r="E3889" s="16" t="str">
        <x:v>Missing email</x:v>
      </x:c>
    </x:row>
    <x:row r="3890">
      <x:c r="A3890" s="16" t="n">
        <x:v>4030</x:v>
      </x:c>
      <x:c r="B3890" s="16" t="str">
        <x:v>Law Siong Wong</x:v>
      </x:c>
      <x:c r="C3890" s="16" t="str"/>
      <x:c r="D3890" s="16" t="str">
        <x:v>* myContacts</x:v>
      </x:c>
      <x:c r="E3890" s="16" t="str">
        <x:v>Missing email</x:v>
      </x:c>
    </x:row>
    <x:row r="3891">
      <x:c r="A3891" s="16" t="n">
        <x:v>4031</x:v>
      </x:c>
      <x:c r="B3891" s="16" t="str">
        <x:v>Lawrence</x:v>
      </x:c>
      <x:c r="C3891" s="16" t="str"/>
      <x:c r="D3891" s="16" t="str">
        <x:v>* myContacts</x:v>
      </x:c>
      <x:c r="E3891" s="16" t="str">
        <x:v>Missing email</x:v>
      </x:c>
    </x:row>
    <x:row r="3892">
      <x:c r="A3892" s="16" t="n">
        <x:v>4032</x:v>
      </x:c>
      <x:c r="B3892" s="16" t="str">
        <x:v>Dr Lawrence</x:v>
      </x:c>
      <x:c r="C3892" s="16" t="str"/>
      <x:c r="D3892" s="16" t="str">
        <x:v>* myContacts</x:v>
      </x:c>
      <x:c r="E3892" s="16" t="str">
        <x:v>Missing email</x:v>
      </x:c>
    </x:row>
    <x:row r="3893">
      <x:c r="A3893" s="16" t="n">
        <x:v>4033</x:v>
      </x:c>
      <x:c r="B3893" s="16" t="str">
        <x:v>Lazada</x:v>
      </x:c>
      <x:c r="C3893" s="16" t="str"/>
      <x:c r="D3893" s="16" t="str">
        <x:v>* myContacts</x:v>
      </x:c>
      <x:c r="E3893" s="16" t="str">
        <x:v>Missing email</x:v>
      </x:c>
    </x:row>
    <x:row r="3894">
      <x:c r="A3894" s="16" t="n">
        <x:v>4034</x:v>
      </x:c>
      <x:c r="B3894" s="16" t="str">
        <x:v>Lazar Lokman Mel-mel</x:v>
      </x:c>
      <x:c r="C3894" s="16" t="str"/>
      <x:c r="D3894" s="16" t="str">
        <x:v>* myContacts</x:v>
      </x:c>
      <x:c r="E3894" s="16" t="str">
        <x:v>Missing email</x:v>
      </x:c>
    </x:row>
    <x:row r="3895">
      <x:c r="A3895" s="16" t="n">
        <x:v>4035</x:v>
      </x:c>
      <x:c r="B3895" s="16" t="str">
        <x:v>Lea Si Patrick Kuning</x:v>
      </x:c>
      <x:c r="C3895" s="16" t="str"/>
      <x:c r="D3895" s="16" t="str">
        <x:v>* myContacts</x:v>
      </x:c>
      <x:c r="E3895" s="16" t="str">
        <x:v>Missing email</x:v>
      </x:c>
    </x:row>
    <x:row r="3896">
      <x:c r="A3896" s="16" t="n">
        <x:v>4036</x:v>
      </x:c>
      <x:c r="B3896" s="16" t="str">
        <x:v>lecturer jayavani unisel</x:v>
      </x:c>
      <x:c r="C3896" s="16" t="str"/>
      <x:c r="D3896" s="16" t="str">
        <x:v>* myContacts</x:v>
      </x:c>
      <x:c r="E3896" s="16" t="str">
        <x:v>Missing email</x:v>
      </x:c>
    </x:row>
    <x:row r="3897">
      <x:c r="A3897" s="16" t="n">
        <x:v>4037</x:v>
      </x:c>
      <x:c r="B3897" s="16" t="str">
        <x:v>Lee Azli</x:v>
      </x:c>
      <x:c r="C3897" s="16" t="str"/>
      <x:c r="D3897" s="16" t="str">
        <x:v>* myContacts</x:v>
      </x:c>
      <x:c r="E3897" s="16" t="str">
        <x:v>Missing email</x:v>
      </x:c>
    </x:row>
    <x:row r="3898">
      <x:c r="A3898" s="16" t="n">
        <x:v>4038</x:v>
      </x:c>
      <x:c r="B3898" s="16" t="str">
        <x:v>Lee Lia Dress</x:v>
      </x:c>
      <x:c r="C3898" s="16" t="str"/>
      <x:c r="D3898" s="16" t="str">
        <x:v>* myContacts</x:v>
      </x:c>
      <x:c r="E3898" s="16" t="str">
        <x:v>Missing email</x:v>
      </x:c>
    </x:row>
    <x:row r="3899">
      <x:c r="A3899" s="16" t="n">
        <x:v>4039</x:v>
      </x:c>
      <x:c r="B3899" s="16" t="str">
        <x:v>Lee Onpay</x:v>
      </x:c>
      <x:c r="C3899" s="16" t="str"/>
      <x:c r="D3899" s="16" t="str">
        <x:v>* myContacts</x:v>
      </x:c>
      <x:c r="E3899" s="16" t="str">
        <x:v>Missing email</x:v>
      </x:c>
    </x:row>
    <x:row r="3900">
      <x:c r="A3900" s="16" t="n">
        <x:v>4040</x:v>
      </x:c>
      <x:c r="B3900" s="16" t="str">
        <x:v>Leena Ahmad</x:v>
      </x:c>
      <x:c r="C3900" s="16" t="str"/>
      <x:c r="D3900" s="16" t="str">
        <x:v>* myContacts</x:v>
      </x:c>
      <x:c r="E3900" s="16" t="str">
        <x:v>Missing email</x:v>
      </x:c>
    </x:row>
    <x:row r="3901">
      <x:c r="A3901" s="16" t="n">
        <x:v>4041</x:v>
      </x:c>
      <x:c r="B3901" s="16" t="str">
        <x:v>Leeza Shaleeza</x:v>
      </x:c>
      <x:c r="C3901" s="16" t="str"/>
      <x:c r="D3901" s="16" t="str">
        <x:v>* myContacts</x:v>
      </x:c>
      <x:c r="E3901" s="16" t="str">
        <x:v>Missing email</x:v>
      </x:c>
    </x:row>
    <x:row r="3902">
      <x:c r="A3902" s="16" t="n">
        <x:v>4042</x:v>
      </x:c>
      <x:c r="B3902" s="16" t="str">
        <x:v>Legacy Sukirman</x:v>
      </x:c>
      <x:c r="C3902" s="16" t="str"/>
      <x:c r="D3902" s="16" t="str">
        <x:v>* myContacts</x:v>
      </x:c>
      <x:c r="E3902" s="16" t="str">
        <x:v>Missing email</x:v>
      </x:c>
    </x:row>
    <x:row r="3903">
      <x:c r="A3903" s="16" t="n">
        <x:v>4043</x:v>
      </x:c>
      <x:c r="B3903" s="16" t="str">
        <x:v>Lely Nurcahaya C'juntak</x:v>
      </x:c>
      <x:c r="C3903" s="16" t="str"/>
      <x:c r="D3903" s="16" t="str">
        <x:v>* myContacts</x:v>
      </x:c>
      <x:c r="E3903" s="16" t="str">
        <x:v>Missing email</x:v>
      </x:c>
    </x:row>
    <x:row r="3904">
      <x:c r="A3904" s="16" t="n">
        <x:v>4044</x:v>
      </x:c>
      <x:c r="B3904" s="16" t="str">
        <x:v>Lemang Panass</x:v>
      </x:c>
      <x:c r="C3904" s="16" t="str"/>
      <x:c r="D3904" s="16" t="str">
        <x:v>* myContacts</x:v>
      </x:c>
      <x:c r="E3904" s="16" t="str">
        <x:v>Missing email</x:v>
      </x:c>
    </x:row>
    <x:row r="3905">
      <x:c r="A3905" s="16" t="n">
        <x:v>4045</x:v>
      </x:c>
      <x:c r="B3905" s="16" t="str">
        <x:v>Lemenim Wan</x:v>
      </x:c>
      <x:c r="C3905" s="16" t="str"/>
      <x:c r="D3905" s="16" t="str">
        <x:v>* myContacts</x:v>
      </x:c>
      <x:c r="E3905" s="16" t="str">
        <x:v>Missing email</x:v>
      </x:c>
    </x:row>
    <x:row r="3906">
      <x:c r="A3906" s="16" t="n">
        <x:v>4047</x:v>
      </x:c>
      <x:c r="B3906" s="16" t="str">
        <x:v>Leo Gadget</x:v>
      </x:c>
      <x:c r="C3906" s="16" t="str"/>
      <x:c r="D3906" s="16" t="str">
        <x:v>* myContacts</x:v>
      </x:c>
      <x:c r="E3906" s="16" t="str">
        <x:v>Missing email</x:v>
      </x:c>
    </x:row>
    <x:row r="3907">
      <x:c r="A3907" s="16" t="n">
        <x:v>4048</x:v>
      </x:c>
      <x:c r="B3907" s="16" t="str">
        <x:v>leo lelong</x:v>
      </x:c>
      <x:c r="C3907" s="16" t="str"/>
      <x:c r="D3907" s="16" t="str">
        <x:v>* myContacts</x:v>
      </x:c>
      <x:c r="E3907" s="16" t="str">
        <x:v>Missing email</x:v>
      </x:c>
    </x:row>
    <x:row r="3908">
      <x:c r="A3908" s="16" t="n">
        <x:v>4049</x:v>
      </x:c>
      <x:c r="B3908" s="16" t="str">
        <x:v>Lerybyz Ding</x:v>
      </x:c>
      <x:c r="C3908" s="16" t="str"/>
      <x:c r="D3908" s="16" t="str">
        <x:v>* myContacts</x:v>
      </x:c>
      <x:c r="E3908" s="16" t="str">
        <x:v>Missing email</x:v>
      </x:c>
    </x:row>
    <x:row r="3909">
      <x:c r="A3909" s="16" t="n">
        <x:v>4050</x:v>
      </x:c>
      <x:c r="B3909" s="16" t="str">
        <x:v>letme store support</x:v>
      </x:c>
      <x:c r="C3909" s="16" t="str"/>
      <x:c r="D3909" s="16" t="str">
        <x:v>* myContacts</x:v>
      </x:c>
      <x:c r="E3909" s="16" t="str">
        <x:v>Missing email</x:v>
      </x:c>
    </x:row>
    <x:row r="3910">
      <x:c r="A3910" s="16" t="n">
        <x:v>4051</x:v>
      </x:c>
      <x:c r="B3910" s="16" t="str">
        <x:v>Lhdn En Jamal Kawan Hisham</x:v>
      </x:c>
      <x:c r="C3910" s="16" t="str"/>
      <x:c r="D3910" s="16" t="str">
        <x:v>* myContacts</x:v>
      </x:c>
      <x:c r="E3910" s="16" t="str">
        <x:v>Missing email</x:v>
      </x:c>
    </x:row>
    <x:row r="3911">
      <x:c r="A3911" s="16" t="n">
        <x:v>4052</x:v>
      </x:c>
      <x:c r="B3911" s="16" t="str">
        <x:v>LiaFendy MY</x:v>
      </x:c>
      <x:c r="C3911" s="16" t="str"/>
      <x:c r="D3911" s="16" t="str">
        <x:v>* myContacts</x:v>
      </x:c>
      <x:c r="E3911" s="16" t="str">
        <x:v>Missing email</x:v>
      </x:c>
    </x:row>
    <x:row r="3912">
      <x:c r="A3912" s="16" t="n">
        <x:v>4053</x:v>
      </x:c>
      <x:c r="B3912" s="16" t="str">
        <x:v>Liah Dimas Nadiah Dien</x:v>
      </x:c>
      <x:c r="C3912" s="16" t="str"/>
      <x:c r="D3912" s="16" t="str">
        <x:v>* myContacts</x:v>
      </x:c>
      <x:c r="E3912" s="16" t="str">
        <x:v>Missing email</x:v>
      </x:c>
    </x:row>
    <x:row r="3913">
      <x:c r="A3913" s="16" t="n">
        <x:v>4054</x:v>
      </x:c>
      <x:c r="B3913" s="16" t="str">
        <x:v>Liana Rodzi</x:v>
      </x:c>
      <x:c r="C3913" s="16" t="str"/>
      <x:c r="D3913" s="16" t="str">
        <x:v>* myContacts</x:v>
      </x:c>
      <x:c r="E3913" s="16" t="str">
        <x:v>Missing email</x:v>
      </x:c>
    </x:row>
    <x:row r="3914">
      <x:c r="A3914" s="16" t="n">
        <x:v>4055</x:v>
      </x:c>
      <x:c r="B3914" s="16" t="str">
        <x:v>Liana Student</x:v>
      </x:c>
      <x:c r="C3914" s="16" t="str"/>
      <x:c r="D3914" s="16" t="str">
        <x:v>* myContacts</x:v>
      </x:c>
      <x:c r="E3914" s="16" t="str">
        <x:v>Missing email</x:v>
      </x:c>
    </x:row>
    <x:row r="3915">
      <x:c r="A3915" s="16" t="n">
        <x:v>4056</x:v>
      </x:c>
      <x:c r="B3915" s="16" t="str">
        <x:v>Lidwina LiUs</x:v>
      </x:c>
      <x:c r="C3915" s="16" t="str"/>
      <x:c r="D3915" s="16" t="str">
        <x:v>* myContacts</x:v>
      </x:c>
      <x:c r="E3915" s="16" t="str">
        <x:v>Missing email</x:v>
      </x:c>
    </x:row>
    <x:row r="3916">
      <x:c r="A3916" s="16" t="n">
        <x:v>4057</x:v>
      </x:c>
      <x:c r="B3916" s="16" t="str">
        <x:v>Lie Aziz</x:v>
      </x:c>
      <x:c r="C3916" s="16" t="str"/>
      <x:c r="D3916" s="16" t="str">
        <x:v>* myContacts</x:v>
      </x:c>
      <x:c r="E3916" s="16" t="str">
        <x:v>Missing email</x:v>
      </x:c>
    </x:row>
    <x:row r="3917">
      <x:c r="A3917" s="16" t="n">
        <x:v>4058</x:v>
      </x:c>
      <x:c r="B3917" s="16" t="str">
        <x:v>Liesa Prudential Bsn Takaful</x:v>
      </x:c>
      <x:c r="C3917" s="16" t="str"/>
      <x:c r="D3917" s="16" t="str">
        <x:v>* myContacts</x:v>
      </x:c>
      <x:c r="E3917" s="16" t="str">
        <x:v>Missing email</x:v>
      </x:c>
    </x:row>
    <x:row r="3918">
      <x:c r="A3918" s="16" t="n">
        <x:v>4059</x:v>
      </x:c>
      <x:c r="B3918" s="16" t="str">
        <x:v>Lieya Hazliah</x:v>
      </x:c>
      <x:c r="C3918" s="16" t="str"/>
      <x:c r="D3918" s="16" t="str">
        <x:v>* myContacts</x:v>
      </x:c>
      <x:c r="E3918" s="16" t="str">
        <x:v>Missing email</x:v>
      </x:c>
    </x:row>
    <x:row r="3919">
      <x:c r="A3919" s="16" t="n">
        <x:v>4060</x:v>
      </x:c>
      <x:c r="B3919" s="16" t="str">
        <x:v>Lieyana Amity</x:v>
      </x:c>
      <x:c r="C3919" s="16" t="str"/>
      <x:c r="D3919" s="16" t="str">
        <x:v>* myContacts</x:v>
      </x:c>
      <x:c r="E3919" s="16" t="str">
        <x:v>Missing email</x:v>
      </x:c>
    </x:row>
    <x:row r="3920">
      <x:c r="A3920" s="16" t="n">
        <x:v>4061</x:v>
      </x:c>
      <x:c r="B3920" s="16" t="str">
        <x:v>Lieza Pj</x:v>
      </x:c>
      <x:c r="C3920" s="16" t="str"/>
      <x:c r="D3920" s="16" t="str">
        <x:v>* myContacts</x:v>
      </x:c>
      <x:c r="E3920" s="16" t="str">
        <x:v>Missing email</x:v>
      </x:c>
    </x:row>
    <x:row r="3921">
      <x:c r="A3921" s="16" t="n">
        <x:v>4062</x:v>
      </x:c>
      <x:c r="B3921" s="16" t="str">
        <x:v>Lieza Salliza Sallehan</x:v>
      </x:c>
      <x:c r="C3921" s="16" t="str"/>
      <x:c r="D3921" s="16" t="str">
        <x:v>* myContacts</x:v>
      </x:c>
      <x:c r="E3921" s="16" t="str">
        <x:v>Missing email</x:v>
      </x:c>
    </x:row>
    <x:row r="3922">
      <x:c r="A3922" s="16" t="n">
        <x:v>4063</x:v>
      </x:c>
      <x:c r="B3922" s="16" t="str">
        <x:v>Lifera NURUL ( BD 3 )</x:v>
      </x:c>
      <x:c r="C3922" s="16" t="str"/>
      <x:c r="D3922" s="16" t="str">
        <x:v>* myContacts</x:v>
      </x:c>
      <x:c r="E3922" s="16" t="str">
        <x:v>Missing email</x:v>
      </x:c>
    </x:row>
    <x:row r="3923">
      <x:c r="A3923" s="16" t="n">
        <x:v>4064</x:v>
      </x:c>
      <x:c r="B3923" s="16" t="str">
        <x:v>Lilyus Harithumairah</x:v>
      </x:c>
      <x:c r="C3923" s="16" t="str"/>
      <x:c r="D3923" s="16" t="str">
        <x:v>* myContacts</x:v>
      </x:c>
      <x:c r="E3923" s="16" t="str">
        <x:v>Missing email</x:v>
      </x:c>
    </x:row>
    <x:row r="3924">
      <x:c r="A3924" s="16" t="n">
        <x:v>4065</x:v>
      </x:c>
      <x:c r="B3924" s="16" t="str">
        <x:v>Mr Lim Cuckoo Salesman Setia Alam</x:v>
      </x:c>
      <x:c r="C3924" s="16" t="str"/>
      <x:c r="D3924" s="16" t="str">
        <x:v>* myContacts</x:v>
      </x:c>
      <x:c r="E3924" s="16" t="str">
        <x:v>Missing email</x:v>
      </x:c>
    </x:row>
    <x:row r="3925">
      <x:c r="A3925" s="16" t="n">
        <x:v>4066</x:v>
      </x:c>
      <x:c r="B3925" s="16" t="str">
        <x:v>Lim Diy Wedsite</x:v>
      </x:c>
      <x:c r="C3925" s="16" t="str"/>
      <x:c r="D3925" s="16" t="str">
        <x:v>* myContacts</x:v>
      </x:c>
      <x:c r="E3925" s="16" t="str">
        <x:v>Missing email</x:v>
      </x:c>
    </x:row>
    <x:row r="3926">
      <x:c r="A3926" s="16" t="n">
        <x:v>4067</x:v>
      </x:c>
      <x:c r="B3926" s="16" t="str">
        <x:v>Lim Line</x:v>
      </x:c>
      <x:c r="C3926" s="16" t="str"/>
      <x:c r="D3926" s="16" t="str">
        <x:v>* myContacts</x:v>
      </x:c>
      <x:c r="E3926" s="16" t="str">
        <x:v>Missing email</x:v>
      </x:c>
    </x:row>
    <x:row r="3927">
      <x:c r="A3927" s="16" t="n">
        <x:v>4068</x:v>
      </x:c>
      <x:c r="B3927" s="16" t="str">
        <x:v>Limau Kasturi</x:v>
      </x:c>
      <x:c r="C3927" s="16" t="str"/>
      <x:c r="D3927" s="16" t="str">
        <x:v>* myContacts</x:v>
      </x:c>
      <x:c r="E3927" s="16" t="str">
        <x:v>Missing email</x:v>
      </x:c>
    </x:row>
    <x:row r="3928">
      <x:c r="A3928" s="16" t="n">
        <x:v>4069</x:v>
      </x:c>
      <x:c r="B3928" s="16" t="str">
        <x:v>Mr LIN REXTON</x:v>
      </x:c>
      <x:c r="C3928" s="16" t="str"/>
      <x:c r="D3928" s="16" t="str">
        <x:v>* myContacts</x:v>
      </x:c>
      <x:c r="E3928" s="16" t="str">
        <x:v>Missing email</x:v>
      </x:c>
    </x:row>
    <x:row r="3929">
      <x:c r="A3929" s="16" t="n">
        <x:v>4070</x:v>
      </x:c>
      <x:c r="B3929" s="16" t="str">
        <x:v>Lina Lazim</x:v>
      </x:c>
      <x:c r="C3929" s="16" t="str"/>
      <x:c r="D3929" s="16" t="str">
        <x:v>* myContacts</x:v>
      </x:c>
      <x:c r="E3929" s="16" t="str">
        <x:v>Missing email</x:v>
      </x:c>
    </x:row>
    <x:row r="3930">
      <x:c r="A3930" s="16" t="n">
        <x:v>4071</x:v>
      </x:c>
      <x:c r="B3930" s="16" t="str">
        <x:v>Lina Rose</x:v>
      </x:c>
      <x:c r="C3930" s="16" t="str"/>
      <x:c r="D3930" s="16" t="str">
        <x:v>* myContacts</x:v>
      </x:c>
      <x:c r="E3930" s="16" t="str">
        <x:v>Missing email</x:v>
      </x:c>
    </x:row>
    <x:row r="3931">
      <x:c r="A3931" s="16" t="n">
        <x:v>4072</x:v>
      </x:c>
      <x:c r="B3931" s="16" t="str">
        <x:v>Linabeauty Healthcare</x:v>
      </x:c>
      <x:c r="C3931" s="16" t="str"/>
      <x:c r="D3931" s="16" t="str">
        <x:v>* myContacts</x:v>
      </x:c>
      <x:c r="E3931" s="16" t="str">
        <x:v>Missing email</x:v>
      </x:c>
    </x:row>
    <x:row r="3932">
      <x:c r="A3932" s="16" t="n">
        <x:v>4073</x:v>
      </x:c>
      <x:c r="B3932" s="16" t="str">
        <x:v>Linda Chuekk</x:v>
      </x:c>
      <x:c r="C3932" s="16" t="str"/>
      <x:c r="D3932" s="16" t="str">
        <x:v>* myContacts</x:v>
      </x:c>
      <x:c r="E3932" s="16" t="str">
        <x:v>Missing email</x:v>
      </x:c>
    </x:row>
    <x:row r="3933">
      <x:c r="A3933" s="16" t="n">
        <x:v>4074</x:v>
      </x:c>
      <x:c r="B3933" s="16" t="str">
        <x:v>Linda Ismail</x:v>
      </x:c>
      <x:c r="C3933" s="16" t="str"/>
      <x:c r="D3933" s="16" t="str">
        <x:v>* myContacts</x:v>
      </x:c>
      <x:c r="E3933" s="16" t="str">
        <x:v>Missing email</x:v>
      </x:c>
    </x:row>
    <x:row r="3934">
      <x:c r="A3934" s="16" t="n">
        <x:v>4075</x:v>
      </x:c>
      <x:c r="B3934" s="16" t="str">
        <x:v>Linda Kasim</x:v>
      </x:c>
      <x:c r="C3934" s="16" t="str"/>
      <x:c r="D3934" s="16" t="str">
        <x:v>* myContacts</x:v>
      </x:c>
      <x:c r="E3934" s="16" t="str">
        <x:v>Missing email</x:v>
      </x:c>
    </x:row>
    <x:row r="3935">
      <x:c r="A3935" s="16" t="n">
        <x:v>4076</x:v>
      </x:c>
      <x:c r="B3935" s="16" t="str">
        <x:v>Linda⁠ Meatech</x:v>
      </x:c>
      <x:c r="C3935" s="16" t="str"/>
      <x:c r="D3935" s="16" t="str">
        <x:v>* myContacts</x:v>
      </x:c>
      <x:c r="E3935" s="16" t="str">
        <x:v>Missing email</x:v>
      </x:c>
    </x:row>
    <x:row r="3936">
      <x:c r="A3936" s="16" t="n">
        <x:v>4077</x:v>
      </x:c>
      <x:c r="B3936" s="16" t="str">
        <x:v>Linda Nasir</x:v>
      </x:c>
      <x:c r="C3936" s="16" t="str"/>
      <x:c r="D3936" s="16" t="str">
        <x:v>* myContacts</x:v>
      </x:c>
      <x:c r="E3936" s="16" t="str">
        <x:v>Missing email</x:v>
      </x:c>
    </x:row>
    <x:row r="3937">
      <x:c r="A3937" s="16" t="n">
        <x:v>4078</x:v>
      </x:c>
      <x:c r="B3937" s="16" t="str">
        <x:v>Linda Nazry</x:v>
      </x:c>
      <x:c r="C3937" s="16" t="str"/>
      <x:c r="D3937" s="16" t="str">
        <x:v>* myContacts</x:v>
      </x:c>
      <x:c r="E3937" s="16" t="str">
        <x:v>Missing email</x:v>
      </x:c>
    </x:row>
    <x:row r="3938">
      <x:c r="A3938" s="16" t="n">
        <x:v>4079</x:v>
      </x:c>
      <x:c r="B3938" s="16" t="str">
        <x:v>Linda Sme Maybank</x:v>
      </x:c>
      <x:c r="C3938" s="16" t="str"/>
      <x:c r="D3938" s="16" t="str">
        <x:v>* myContacts</x:v>
      </x:c>
      <x:c r="E3938" s="16" t="str">
        <x:v>Missing email</x:v>
      </x:c>
    </x:row>
    <x:row r="3939">
      <x:c r="A3939" s="16" t="n">
        <x:v>4080</x:v>
      </x:c>
      <x:c r="B3939" s="16" t="str">
        <x:v>Lingling Jose</x:v>
      </x:c>
      <x:c r="C3939" s="16" t="str"/>
      <x:c r="D3939" s="16" t="str">
        <x:v>* myContacts</x:v>
      </x:c>
      <x:c r="E3939" s="16" t="str">
        <x:v>Missing email</x:v>
      </x:c>
    </x:row>
    <x:row r="3940">
      <x:c r="A3940" s="16" t="n">
        <x:v>4081</x:v>
      </x:c>
      <x:c r="B3940" s="16" t="str">
        <x:v>Lirang HG</x:v>
      </x:c>
      <x:c r="C3940" s="16" t="str"/>
      <x:c r="D3940" s="16" t="str">
        <x:v>* myContacts</x:v>
      </x:c>
      <x:c r="E3940" s="16" t="str">
        <x:v>Missing email</x:v>
      </x:c>
    </x:row>
    <x:row r="3941">
      <x:c r="A3941" s="16" t="n">
        <x:v>4082</x:v>
      </x:c>
      <x:c r="B3941" s="16" t="str">
        <x:v>Lis Pekerja Lunaworks</x:v>
      </x:c>
      <x:c r="C3941" s="16" t="str"/>
      <x:c r="D3941" s="16" t="str">
        <x:v>* myContacts</x:v>
      </x:c>
      <x:c r="E3941" s="16" t="str">
        <x:v>Missing email</x:v>
      </x:c>
    </x:row>
    <x:row r="3942">
      <x:c r="A3942" s="16" t="n">
        <x:v>4083</x:v>
      </x:c>
      <x:c r="B3942" s="16" t="str">
        <x:v>Lisa Aidi</x:v>
      </x:c>
      <x:c r="C3942" s="16" t="str"/>
      <x:c r="D3942" s="16" t="str">
        <x:v>* myContacts</x:v>
      </x:c>
      <x:c r="E3942" s="16" t="str">
        <x:v>Missing email</x:v>
      </x:c>
    </x:row>
    <x:row r="3943">
      <x:c r="A3943" s="16" t="n">
        <x:v>4084</x:v>
      </x:c>
      <x:c r="B3943" s="16" t="str">
        <x:v>Lisa Cbj</x:v>
      </x:c>
      <x:c r="C3943" s="16" t="str"/>
      <x:c r="D3943" s="16" t="str">
        <x:v>* myContacts</x:v>
      </x:c>
      <x:c r="E3943" s="16" t="str">
        <x:v>Missing email</x:v>
      </x:c>
    </x:row>
    <x:row r="3944">
      <x:c r="A3944" s="16" t="n">
        <x:v>4085</x:v>
      </x:c>
      <x:c r="B3944" s="16" t="str">
        <x:v>Lisa Najiha Halim</x:v>
      </x:c>
      <x:c r="C3944" s="16" t="str"/>
      <x:c r="D3944" s="16" t="str">
        <x:v>* myContacts</x:v>
      </x:c>
      <x:c r="E3944" s="16" t="str">
        <x:v>Missing email</x:v>
      </x:c>
    </x:row>
    <x:row r="3945">
      <x:c r="A3945" s="16" t="n">
        <x:v>4086</x:v>
      </x:c>
      <x:c r="B3945" s="16" t="str">
        <x:v>Lisa Salleh</x:v>
      </x:c>
      <x:c r="C3945" s="16" t="str"/>
      <x:c r="D3945" s="16" t="str">
        <x:v>* myContacts</x:v>
      </x:c>
      <x:c r="E3945" s="16" t="str">
        <x:v>Missing email</x:v>
      </x:c>
    </x:row>
    <x:row r="3946">
      <x:c r="A3946" s="16" t="n">
        <x:v>4087</x:v>
      </x:c>
      <x:c r="B3946" s="16" t="str">
        <x:v>Littlekids Osc</x:v>
      </x:c>
      <x:c r="C3946" s="16" t="str"/>
      <x:c r="D3946" s="16" t="str">
        <x:v>* myContacts</x:v>
      </x:c>
      <x:c r="E3946" s="16" t="str">
        <x:v>Missing email</x:v>
      </x:c>
    </x:row>
    <x:row r="3947">
      <x:c r="A3947" s="16" t="n">
        <x:v>4088</x:v>
      </x:c>
      <x:c r="B3947" s="16" t="str">
        <x:v>Liyas Congo</x:v>
      </x:c>
      <x:c r="C3947" s="16" t="str"/>
      <x:c r="D3947" s="16" t="str">
        <x:v>* myContacts</x:v>
      </x:c>
      <x:c r="E3947" s="16" t="str">
        <x:v>Missing email</x:v>
      </x:c>
    </x:row>
    <x:row r="3948">
      <x:c r="A3948" s="16" t="n">
        <x:v>4089</x:v>
      </x:c>
      <x:c r="B3948" s="16" t="str">
        <x:v>Liz Hair</x:v>
      </x:c>
      <x:c r="C3948" s="16" t="str"/>
      <x:c r="D3948" s="16" t="str">
        <x:v>* myContacts</x:v>
      </x:c>
      <x:c r="E3948" s="16" t="str">
        <x:v>Missing email</x:v>
      </x:c>
    </x:row>
    <x:row r="3949">
      <x:c r="A3949" s="16" t="n">
        <x:v>4090</x:v>
      </x:c>
      <x:c r="B3949" s="16" t="str">
        <x:v>Liz Lizdrichqueen Liz</x:v>
      </x:c>
      <x:c r="C3949" s="16" t="str"/>
      <x:c r="D3949" s="16" t="str">
        <x:v>* myContacts</x:v>
      </x:c>
      <x:c r="E3949" s="16" t="str">
        <x:v>Missing email</x:v>
      </x:c>
    </x:row>
    <x:row r="3950">
      <x:c r="A3950" s="16" t="n">
        <x:v>4091</x:v>
      </x:c>
      <x:c r="B3950" s="16" t="str">
        <x:v>Liz Rjb</x:v>
      </x:c>
      <x:c r="C3950" s="16" t="str"/>
      <x:c r="D3950" s="16" t="str">
        <x:v>* myContacts</x:v>
      </x:c>
      <x:c r="E3950" s="16" t="str">
        <x:v>Missing email</x:v>
      </x:c>
    </x:row>
    <x:row r="3951">
      <x:c r="A3951" s="16" t="n">
        <x:v>4092</x:v>
      </x:c>
      <x:c r="B3951" s="16" t="str">
        <x:v>Liza Japri</x:v>
      </x:c>
      <x:c r="C3951" s="16" t="str"/>
      <x:c r="D3951" s="16" t="str">
        <x:v>* myContacts</x:v>
      </x:c>
      <x:c r="E3951" s="16" t="str">
        <x:v>Missing email</x:v>
      </x:c>
    </x:row>
    <x:row r="3952">
      <x:c r="A3952" s="16" t="n">
        <x:v>4093</x:v>
      </x:c>
      <x:c r="B3952" s="16" t="str">
        <x:v>Liza Mdec Trainer</x:v>
      </x:c>
      <x:c r="C3952" s="16" t="str"/>
      <x:c r="D3952" s="16" t="str">
        <x:v>Trainer | * myContacts</x:v>
      </x:c>
      <x:c r="E3952" s="16" t="str">
        <x:v>Missing email</x:v>
      </x:c>
    </x:row>
    <x:row r="3953">
      <x:c r="A3953" s="16" t="n">
        <x:v>4094</x:v>
      </x:c>
      <x:c r="B3953" s="16" t="str">
        <x:v>Liza Mohd</x:v>
      </x:c>
      <x:c r="C3953" s="16" t="str"/>
      <x:c r="D3953" s="16" t="str">
        <x:v>* myContacts</x:v>
      </x:c>
      <x:c r="E3953" s="16" t="str">
        <x:v>Missing email</x:v>
      </x:c>
    </x:row>
    <x:row r="3954">
      <x:c r="A3954" s="16" t="n">
        <x:v>4095</x:v>
      </x:c>
      <x:c r="B3954" s="16" t="str">
        <x:v>Lizas Rimindong</x:v>
      </x:c>
      <x:c r="C3954" s="16" t="str"/>
      <x:c r="D3954" s="16" t="str">
        <x:v>* myContacts</x:v>
      </x:c>
      <x:c r="E3954" s="16" t="str">
        <x:v>Missing email</x:v>
      </x:c>
    </x:row>
    <x:row r="3955">
      <x:c r="A3955" s="16" t="n">
        <x:v>4096</x:v>
      </x:c>
      <x:c r="B3955" s="16" t="str">
        <x:v>Lohit Narwani</x:v>
      </x:c>
      <x:c r="C3955" s="16" t="str"/>
      <x:c r="D3955" s="16" t="str">
        <x:v>* myContacts</x:v>
      </x:c>
      <x:c r="E3955" s="16" t="str">
        <x:v>Missing email</x:v>
      </x:c>
    </x:row>
    <x:row r="3956">
      <x:c r="A3956" s="16" t="n">
        <x:v>4097</x:v>
      </x:c>
      <x:c r="B3956" s="16" t="str">
        <x:v>loi homeliving</x:v>
      </x:c>
      <x:c r="C3956" s="16" t="str"/>
      <x:c r="D3956" s="16" t="str">
        <x:v>* myContacts</x:v>
      </x:c>
      <x:c r="E3956" s="16" t="str">
        <x:v>Missing email</x:v>
      </x:c>
    </x:row>
    <x:row r="3957">
      <x:c r="A3957" s="16" t="n">
        <x:v>4098</x:v>
      </x:c>
      <x:c r="B3957" s="16" t="str">
        <x:v>Mr loi homeliving</x:v>
      </x:c>
      <x:c r="C3957" s="16" t="str"/>
      <x:c r="D3957" s="16" t="str">
        <x:v>* myContacts</x:v>
      </x:c>
      <x:c r="E3957" s="16" t="str">
        <x:v>Missing email</x:v>
      </x:c>
    </x:row>
    <x:row r="3958">
      <x:c r="A3958" s="16" t="n">
        <x:v>4099</x:v>
      </x:c>
      <x:c r="B3958" s="16" t="str">
        <x:v>Lokhman Podolski</x:v>
      </x:c>
      <x:c r="C3958" s="16" t="str"/>
      <x:c r="D3958" s="16" t="str">
        <x:v>* myContacts</x:v>
      </x:c>
      <x:c r="E3958" s="16" t="str">
        <x:v>Missing email</x:v>
      </x:c>
    </x:row>
    <x:row r="3959">
      <x:c r="A3959" s="16" t="n">
        <x:v>4100</x:v>
      </x:c>
      <x:c r="B3959" s="16" t="str">
        <x:v>Lokman Hakim</x:v>
      </x:c>
      <x:c r="C3959" s="16" t="str"/>
      <x:c r="D3959" s="16" t="str">
        <x:v>* myContacts</x:v>
      </x:c>
      <x:c r="E3959" s="16" t="str">
        <x:v>Missing email</x:v>
      </x:c>
    </x:row>
    <x:row r="3960">
      <x:c r="A3960" s="16" t="n">
        <x:v>4101</x:v>
      </x:c>
      <x:c r="B3960" s="16" t="str">
        <x:v>Lokman Hakim Akim</x:v>
      </x:c>
      <x:c r="C3960" s="16" t="str"/>
      <x:c r="D3960" s="16" t="str">
        <x:v>* myContacts</x:v>
      </x:c>
      <x:c r="E3960" s="16" t="str">
        <x:v>Missing email</x:v>
      </x:c>
    </x:row>
    <x:row r="3961">
      <x:c r="A3961" s="16" t="n">
        <x:v>4102</x:v>
      </x:c>
      <x:c r="B3961" s="16" t="str">
        <x:v>Lokman IM</x:v>
      </x:c>
      <x:c r="C3961" s="16" t="str"/>
      <x:c r="D3961" s="16" t="str">
        <x:v>* myContacts</x:v>
      </x:c>
      <x:c r="E3961" s="16" t="str">
        <x:v>Missing email</x:v>
      </x:c>
    </x:row>
    <x:row r="3962">
      <x:c r="A3962" s="16" t="n">
        <x:v>4103</x:v>
      </x:c>
      <x:c r="B3962" s="16" t="str">
        <x:v>Lori Hantar Barang Perabot</x:v>
      </x:c>
      <x:c r="C3962" s="16" t="str"/>
      <x:c r="D3962" s="16" t="str">
        <x:v>* myContacts</x:v>
      </x:c>
      <x:c r="E3962" s="16" t="str">
        <x:v>Missing email</x:v>
      </x:c>
    </x:row>
    <x:row r="3963">
      <x:c r="A3963" s="16" t="n">
        <x:v>4104</x:v>
      </x:c>
      <x:c r="B3963" s="16" t="str">
        <x:v>Lorrytilam</x:v>
      </x:c>
      <x:c r="C3963" s="16" t="str"/>
      <x:c r="D3963" s="16" t="str">
        <x:v>* myContacts</x:v>
      </x:c>
      <x:c r="E3963" s="16" t="str">
        <x:v>Missing email</x:v>
      </x:c>
    </x:row>
    <x:row r="3964">
      <x:c r="A3964" s="16" t="n">
        <x:v>4105</x:v>
      </x:c>
      <x:c r="B3964" s="16" t="str">
        <x:v>Losta Masta Jb</x:v>
      </x:c>
      <x:c r="C3964" s="16" t="str"/>
      <x:c r="D3964" s="16" t="str">
        <x:v>* myContacts</x:v>
      </x:c>
      <x:c r="E3964" s="16" t="str">
        <x:v>Missing email</x:v>
      </x:c>
    </x:row>
    <x:row r="3965">
      <x:c r="A3965" s="16" t="n">
        <x:v>4106</x:v>
      </x:c>
      <x:c r="B3965" s="16" t="str">
        <x:v>Love MyAinun</x:v>
      </x:c>
      <x:c r="C3965" s="16" t="str"/>
      <x:c r="D3965" s="16" t="str">
        <x:v>* myContacts</x:v>
      </x:c>
      <x:c r="E3965" s="16" t="str">
        <x:v>Missing email</x:v>
      </x:c>
    </x:row>
    <x:row r="3966">
      <x:c r="A3966" s="16" t="n">
        <x:v>4107</x:v>
      </x:c>
      <x:c r="B3966" s="16" t="str">
        <x:v>Lovey DoveyShoppe</x:v>
      </x:c>
      <x:c r="C3966" s="16" t="str"/>
      <x:c r="D3966" s="16" t="str">
        <x:v>* myContacts</x:v>
      </x:c>
      <x:c r="E3966" s="16" t="str">
        <x:v>Missing email</x:v>
      </x:c>
    </x:row>
    <x:row r="3967">
      <x:c r="A3967" s="16" t="n">
        <x:v>4108</x:v>
      </x:c>
      <x:c r="B3967" s="16" t="str">
        <x:v>Low KimHon</x:v>
      </x:c>
      <x:c r="C3967" s="16" t="str"/>
      <x:c r="D3967" s="16" t="str">
        <x:v>* myContacts</x:v>
      </x:c>
      <x:c r="E3967" s="16" t="str">
        <x:v>Missing email</x:v>
      </x:c>
    </x:row>
    <x:row r="3968">
      <x:c r="A3968" s="16" t="n">
        <x:v>4109</x:v>
      </x:c>
      <x:c r="B3968" s="16" t="str">
        <x:v>Mr low rexton</x:v>
      </x:c>
      <x:c r="C3968" s="16" t="str"/>
      <x:c r="D3968" s="16" t="str">
        <x:v>* myContacts</x:v>
      </x:c>
      <x:c r="E3968" s="16" t="str">
        <x:v>Missing email</x:v>
      </x:c>
    </x:row>
    <x:row r="3969">
      <x:c r="A3969" s="16" t="n">
        <x:v>4110</x:v>
      </x:c>
      <x:c r="B3969" s="16" t="str">
        <x:v>Low West</x:v>
      </x:c>
      <x:c r="C3969" s="16" t="str"/>
      <x:c r="D3969" s="16" t="str">
        <x:v>* myContacts</x:v>
      </x:c>
      <x:c r="E3969" s="16" t="str">
        <x:v>Missing email</x:v>
      </x:c>
    </x:row>
    <x:row r="3970">
      <x:c r="A3970" s="16" t="n">
        <x:v>4111</x:v>
      </x:c>
      <x:c r="B3970" s="16" t="str">
        <x:v>Lucky Guy</x:v>
      </x:c>
      <x:c r="C3970" s="16" t="str"/>
      <x:c r="D3970" s="16" t="str">
        <x:v>* myContacts</x:v>
      </x:c>
      <x:c r="E3970" s="16" t="str">
        <x:v>Missing email</x:v>
      </x:c>
    </x:row>
    <x:row r="3971">
      <x:c r="A3971" s="16" t="n">
        <x:v>4112</x:v>
      </x:c>
      <x:c r="B3971" s="16" t="str">
        <x:v>Lukman Agent Essens</x:v>
      </x:c>
      <x:c r="C3971" s="16" t="str"/>
      <x:c r="D3971" s="16" t="str">
        <x:v>* myContacts</x:v>
      </x:c>
      <x:c r="E3971" s="16" t="str">
        <x:v>Missing email</x:v>
      </x:c>
    </x:row>
    <x:row r="3972">
      <x:c r="A3972" s="16" t="n">
        <x:v>4113</x:v>
      </x:c>
      <x:c r="B3972" s="16" t="str">
        <x:v>Lukman Anak Achu</x:v>
      </x:c>
      <x:c r="C3972" s="16" t="str"/>
      <x:c r="D3972" s="16" t="str">
        <x:v>* myContacts</x:v>
      </x:c>
      <x:c r="E3972" s="16" t="str">
        <x:v>Missing email</x:v>
      </x:c>
    </x:row>
    <x:row r="3973">
      <x:c r="A3973" s="16" t="n">
        <x:v>4114</x:v>
      </x:c>
      <x:c r="B3973" s="16" t="str">
        <x:v>lukman C6 Shopee</x:v>
      </x:c>
      <x:c r="C3973" s="16" t="str"/>
      <x:c r="D3973" s="16" t="str">
        <x:v>* myContacts</x:v>
      </x:c>
      <x:c r="E3973" s="16" t="str">
        <x:v>Missing email</x:v>
      </x:c>
    </x:row>
    <x:row r="3974">
      <x:c r="A3974" s="16" t="n">
        <x:v>4115</x:v>
      </x:c>
      <x:c r="B3974" s="16" t="str">
        <x:v>Lukman Mdec IM</x:v>
      </x:c>
      <x:c r="C3974" s="16" t="str"/>
      <x:c r="D3974" s="16" t="str">
        <x:v>* myContacts | * starred</x:v>
      </x:c>
      <x:c r="E3974" s="16" t="str">
        <x:v>Missing email</x:v>
      </x:c>
    </x:row>
    <x:row r="3975">
      <x:c r="A3975" s="16" t="n">
        <x:v>4116</x:v>
      </x:c>
      <x:c r="B3975" s="16" t="str">
        <x:v>Luqe Fina</x:v>
      </x:c>
      <x:c r="C3975" s="16" t="str"/>
      <x:c r="D3975" s="16" t="str">
        <x:v>* myContacts</x:v>
      </x:c>
      <x:c r="E3975" s="16" t="str">
        <x:v>Missing email</x:v>
      </x:c>
    </x:row>
    <x:row r="3976">
      <x:c r="A3976" s="16" t="n">
        <x:v>4117</x:v>
      </x:c>
      <x:c r="B3976" s="16" t="str">
        <x:v>Luqman Agent Essens</x:v>
      </x:c>
      <x:c r="C3976" s="16" t="str"/>
      <x:c r="D3976" s="16" t="str">
        <x:v>* myContacts</x:v>
      </x:c>
      <x:c r="E3976" s="16" t="str">
        <x:v>Missing email</x:v>
      </x:c>
    </x:row>
    <x:row r="3977">
      <x:c r="A3977" s="16" t="n">
        <x:v>4118</x:v>
      </x:c>
      <x:c r="B3977" s="16" t="str">
        <x:v>Luqman Avana CEO</x:v>
      </x:c>
      <x:c r="C3977" s="16" t="str"/>
      <x:c r="D3977" s="16" t="str">
        <x:v>* myContacts</x:v>
      </x:c>
      <x:c r="E3977" s="16" t="str">
        <x:v>Missing email</x:v>
      </x:c>
    </x:row>
    <x:row r="3978">
      <x:c r="A3978" s="16" t="n">
        <x:v>4119</x:v>
      </x:c>
      <x:c r="B3978" s="16" t="str">
        <x:v>Luqman Hakim</x:v>
      </x:c>
      <x:c r="C3978" s="16" t="str"/>
      <x:c r="D3978" s="16" t="str">
        <x:v>* myContacts</x:v>
      </x:c>
      <x:c r="E3978" s="16" t="str">
        <x:v>Missing email</x:v>
      </x:c>
    </x:row>
    <x:row r="3979">
      <x:c r="A3979" s="16" t="n">
        <x:v>4120</x:v>
      </x:c>
      <x:c r="B3979" s="16" t="str">
        <x:v>Luqman PR Mdec</x:v>
      </x:c>
      <x:c r="C3979" s="16" t="str"/>
      <x:c r="D3979" s="16" t="str">
        <x:v>* myContacts</x:v>
      </x:c>
      <x:c r="E3979" s="16" t="str">
        <x:v>Missing email</x:v>
      </x:c>
    </x:row>
    <x:row r="3980">
      <x:c r="A3980" s="16" t="n">
        <x:v>4122</x:v>
      </x:c>
      <x:c r="B3980" s="16" t="str">
        <x:v>Luqmanulhakim Zahari</x:v>
      </x:c>
      <x:c r="C3980" s="16" t="str"/>
      <x:c r="D3980" s="16" t="str">
        <x:v>* myContacts</x:v>
      </x:c>
      <x:c r="E3980" s="16" t="str">
        <x:v>Missing email</x:v>
      </x:c>
    </x:row>
    <x:row r="3981">
      <x:c r="A3981" s="16" t="n">
        <x:v>4123</x:v>
      </x:c>
      <x:c r="B3981" s="16" t="str">
        <x:v>Lusiin Bte Jipulis HG</x:v>
      </x:c>
      <x:c r="C3981" s="16" t="str"/>
      <x:c r="D3981" s="16" t="str">
        <x:v>* myContacts</x:v>
      </x:c>
      <x:c r="E3981" s="16" t="str">
        <x:v>Missing email</x:v>
      </x:c>
    </x:row>
    <x:row r="3982">
      <x:c r="A3982" s="16" t="n">
        <x:v>4124</x:v>
      </x:c>
      <x:c r="B3982" s="16" t="str">
        <x:v>Lut Bin Kamarudin AGP</x:v>
      </x:c>
      <x:c r="C3982" s="16" t="str"/>
      <x:c r="D3982" s="16" t="str">
        <x:v>* myContacts</x:v>
      </x:c>
      <x:c r="E3982" s="16" t="str">
        <x:v>Missing email</x:v>
      </x:c>
    </x:row>
    <x:row r="3983">
      <x:c r="A3983" s="16" t="n">
        <x:v>4125</x:v>
      </x:c>
      <x:c r="B3983" s="16" t="str">
        <x:v>Lutfi Mahasan</x:v>
      </x:c>
      <x:c r="C3983" s="16" t="str"/>
      <x:c r="D3983" s="16" t="str">
        <x:v>* myContacts</x:v>
      </x:c>
      <x:c r="E3983" s="16" t="str">
        <x:v>Missing email</x:v>
      </x:c>
    </x:row>
    <x:row r="3984">
      <x:c r="A3984" s="16" t="n">
        <x:v>4126</x:v>
      </x:c>
      <x:c r="B3984" s="16" t="str">
        <x:v>Lutfi Perlis</x:v>
      </x:c>
      <x:c r="C3984" s="16" t="str"/>
      <x:c r="D3984" s="16" t="str">
        <x:v>* myContacts</x:v>
      </x:c>
      <x:c r="E3984" s="16" t="str">
        <x:v>Missing email</x:v>
      </x:c>
    </x:row>
    <x:row r="3985">
      <x:c r="A3985" s="16" t="n">
        <x:v>4127</x:v>
      </x:c>
      <x:c r="B3985" s="16" t="str">
        <x:v>Lutfi Student LAZADA Sarawak</x:v>
      </x:c>
      <x:c r="C3985" s="16" t="str"/>
      <x:c r="D3985" s="16" t="str">
        <x:v>* myContacts</x:v>
      </x:c>
      <x:c r="E3985" s="16" t="str">
        <x:v>Missing email</x:v>
      </x:c>
    </x:row>
    <x:row r="3986">
      <x:c r="A3986" s="16" t="n">
        <x:v>4128</x:v>
      </x:c>
      <x:c r="B3986" s="16" t="str">
        <x:v>LutFie Syawal</x:v>
      </x:c>
      <x:c r="C3986" s="16" t="str"/>
      <x:c r="D3986" s="16" t="str">
        <x:v>* myContacts</x:v>
      </x:c>
      <x:c r="E3986" s="16" t="str">
        <x:v>Missing email</x:v>
      </x:c>
    </x:row>
    <x:row r="3987">
      <x:c r="A3987" s="16" t="n">
        <x:v>4129</x:v>
      </x:c>
      <x:c r="B3987" s="16" t="str">
        <x:v>Lutut Kering</x:v>
      </x:c>
      <x:c r="C3987" s="16" t="str"/>
      <x:c r="D3987" s="16" t="str">
        <x:v>* myContacts</x:v>
      </x:c>
      <x:c r="E3987" s="16" t="str">
        <x:v>Missing email</x:v>
      </x:c>
    </x:row>
    <x:row r="3988">
      <x:c r="A3988" s="16" t="n">
        <x:v>4130</x:v>
      </x:c>
      <x:c r="B3988" s="16" t="str">
        <x:v>Luziza Lursah</x:v>
      </x:c>
      <x:c r="C3988" s="16" t="str"/>
      <x:c r="D3988" s="16" t="str">
        <x:v>* myContacts</x:v>
      </x:c>
      <x:c r="E3988" s="16" t="str">
        <x:v>Missing email</x:v>
      </x:c>
    </x:row>
    <x:row r="3989">
      <x:c r="A3989" s="16" t="n">
        <x:v>4131</x:v>
      </x:c>
      <x:c r="B3989" s="16" t="str">
        <x:v>Lyda Bridal Terengganu Terengganu</x:v>
      </x:c>
      <x:c r="C3989" s="16" t="str"/>
      <x:c r="D3989" s="16" t="str">
        <x:v>* myContacts</x:v>
      </x:c>
      <x:c r="E3989" s="16" t="str">
        <x:v>Missing email</x:v>
      </x:c>
    </x:row>
    <x:row r="3990">
      <x:c r="A3990" s="16" t="n">
        <x:v>4132</x:v>
      </x:c>
      <x:c r="B3990" s="16" t="str">
        <x:v>Lydia Mal</x:v>
      </x:c>
      <x:c r="C3990" s="16" t="str"/>
      <x:c r="D3990" s="16" t="str">
        <x:v>* myContacts</x:v>
      </x:c>
      <x:c r="E3990" s="16" t="str">
        <x:v>Missing email</x:v>
      </x:c>
    </x:row>
    <x:row r="3991">
      <x:c r="A3991" s="16" t="n">
        <x:v>4133</x:v>
      </x:c>
      <x:c r="B3991" s="16" t="str">
        <x:v>Lyna Haslyna</x:v>
      </x:c>
      <x:c r="C3991" s="16" t="str"/>
      <x:c r="D3991" s="16" t="str">
        <x:v>* myContacts</x:v>
      </x:c>
      <x:c r="E3991" s="16" t="str">
        <x:v>Missing email</x:v>
      </x:c>
    </x:row>
    <x:row r="3992">
      <x:c r="A3992" s="16" t="n">
        <x:v>4134</x:v>
      </x:c>
      <x:c r="B3992" s="16" t="str">
        <x:v>Lynn Lysa</x:v>
      </x:c>
      <x:c r="C3992" s="16" t="str"/>
      <x:c r="D3992" s="16" t="str">
        <x:v>* myContacts</x:v>
      </x:c>
      <x:c r="E3992" s="16" t="str">
        <x:v>Missing email</x:v>
      </x:c>
    </x:row>
    <x:row r="3993">
      <x:c r="A3993" s="16" t="n">
        <x:v>4135</x:v>
      </x:c>
      <x:c r="B3993" s="16" t="str">
        <x:v>Lynne George Henry</x:v>
      </x:c>
      <x:c r="C3993" s="16" t="str"/>
      <x:c r="D3993" s="16" t="str">
        <x:v>* myContacts</x:v>
      </x:c>
      <x:c r="E3993" s="16" t="str">
        <x:v>Missing email</x:v>
      </x:c>
    </x:row>
    <x:row r="3994">
      <x:c r="A3994" s="16" t="n">
        <x:v>4136</x:v>
      </x:c>
      <x:c r="B3994" s="16" t="str">
        <x:v>LZ Shopline</x:v>
      </x:c>
      <x:c r="C3994" s="16" t="str"/>
      <x:c r="D3994" s="16" t="str">
        <x:v>* myContacts</x:v>
      </x:c>
      <x:c r="E3994" s="16" t="str">
        <x:v>Missing email</x:v>
      </x:c>
    </x:row>
    <x:row r="3995">
      <x:c r="A3995" s="16" t="n">
        <x:v>4137</x:v>
      </x:c>
      <x:c r="B3995" s="16" t="str">
        <x:v>M Alhafiz Ahmad</x:v>
      </x:c>
      <x:c r="C3995" s="16" t="str"/>
      <x:c r="D3995" s="16" t="str">
        <x:v>* myContacts</x:v>
      </x:c>
      <x:c r="E3995" s="16" t="str">
        <x:v>Missing email</x:v>
      </x:c>
    </x:row>
    <x:row r="3996">
      <x:c r="A3996" s="16" t="n">
        <x:v>4138</x:v>
      </x:c>
      <x:c r="B3996" s="16" t="str">
        <x:v>M Fattah Insken</x:v>
      </x:c>
      <x:c r="C3996" s="16" t="str"/>
      <x:c r="D3996" s="16" t="str">
        <x:v>Alumni INSKEN | * myContacts</x:v>
      </x:c>
      <x:c r="E3996" s="16" t="str">
        <x:v>Missing email</x:v>
      </x:c>
    </x:row>
    <x:row r="3997">
      <x:c r="A3997" s="16" t="n">
        <x:v>4139</x:v>
      </x:c>
      <x:c r="B3997" s="16" t="str">
        <x:v>M Indah Michiyo Hamid</x:v>
      </x:c>
      <x:c r="C3997" s="16" t="str"/>
      <x:c r="D3997" s="16" t="str">
        <x:v>* myContacts</x:v>
      </x:c>
      <x:c r="E3997" s="16" t="str">
        <x:v>Missing email</x:v>
      </x:c>
    </x:row>
    <x:row r="3998">
      <x:c r="A3998" s="16" t="n">
        <x:v>4140</x:v>
      </x:c>
      <x:c r="B3998" s="16" t="str">
        <x:v>M Mizwan Omar</x:v>
      </x:c>
      <x:c r="C3998" s="16" t="str"/>
      <x:c r="D3998" s="16" t="str">
        <x:v>* myContacts</x:v>
      </x:c>
      <x:c r="E3998" s="16" t="str">
        <x:v>Missing email</x:v>
      </x:c>
    </x:row>
    <x:row r="3999">
      <x:c r="A3999" s="16" t="n">
        <x:v>4141</x:v>
      </x:c>
      <x:c r="B3999" s="16" t="str">
        <x:v>M. Qamarul Q &amp; K Resources</x:v>
      </x:c>
      <x:c r="C3999" s="16" t="str"/>
      <x:c r="D3999" s="16" t="str">
        <x:v>* myContacts</x:v>
      </x:c>
      <x:c r="E3999" s="16" t="str">
        <x:v>Missing email</x:v>
      </x:c>
    </x:row>
    <x:row r="4000">
      <x:c r="A4000" s="16" t="n">
        <x:v>4142</x:v>
      </x:c>
      <x:c r="B4000" s="16" t="str">
        <x:v>M. U Asri Yunus Tahfiz</x:v>
      </x:c>
      <x:c r="C4000" s="16" t="str"/>
      <x:c r="D4000" s="16" t="str">
        <x:v>* myContacts</x:v>
      </x:c>
      <x:c r="E4000" s="16" t="str">
        <x:v>Missing email</x:v>
      </x:c>
    </x:row>
    <x:row r="4001">
      <x:c r="A4001" s="16" t="n">
        <x:v>4143</x:v>
      </x:c>
      <x:c r="B4001" s="16" t="str">
        <x:v>M. U Asri Yunus Tahfiz</x:v>
      </x:c>
      <x:c r="C4001" s="16" t="str"/>
      <x:c r="D4001" s="16" t="str">
        <x:v>* myContacts</x:v>
      </x:c>
      <x:c r="E4001" s="16" t="str">
        <x:v>Missing email</x:v>
      </x:c>
    </x:row>
    <x:row r="4002">
      <x:c r="A4002" s="16" t="n">
        <x:v>4144</x:v>
      </x:c>
      <x:c r="B4002" s="16" t="str">
        <x:v>M'Motel Meru Ipoh</x:v>
      </x:c>
      <x:c r="C4002" s="16" t="str"/>
      <x:c r="D4002" s="16" t="str">
        <x:v>* myContacts</x:v>
      </x:c>
      <x:c r="E4002" s="16" t="str">
        <x:v>Missing email</x:v>
      </x:c>
    </x:row>
    <x:row r="4003">
      <x:c r="A4003" s="16" t="n">
        <x:v>4145</x:v>
      </x:c>
      <x:c r="B4003" s="16" t="str">
        <x:v>MA Rostam Spektra Zahidah Database</x:v>
      </x:c>
      <x:c r="C4003" s="16" t="str"/>
      <x:c r="D4003" s="16" t="str">
        <x:v>* myContacts</x:v>
      </x:c>
      <x:c r="E4003" s="16" t="str">
        <x:v>Missing email</x:v>
      </x:c>
    </x:row>
    <x:row r="4004">
      <x:c r="A4004" s="16" t="n">
        <x:v>4146</x:v>
      </x:c>
      <x:c r="B4004" s="16" t="str">
        <x:v>MA student DPIM</x:v>
      </x:c>
      <x:c r="C4004" s="16" t="str"/>
      <x:c r="D4004" s="16" t="str">
        <x:v>* myContacts</x:v>
      </x:c>
      <x:c r="E4004" s="16" t="str">
        <x:v>Missing email</x:v>
      </x:c>
    </x:row>
    <x:row r="4005">
      <x:c r="A4005" s="16" t="n">
        <x:v>4147</x:v>
      </x:c>
      <x:c r="B4005" s="16" t="str">
        <x:v>Ma Umairah Zulfan</x:v>
      </x:c>
      <x:c r="C4005" s="16" t="str"/>
      <x:c r="D4005" s="16" t="str">
        <x:v>* myContacts</x:v>
      </x:c>
      <x:c r="E4005" s="16" t="str">
        <x:v>Missing email</x:v>
      </x:c>
    </x:row>
    <x:row r="4006">
      <x:c r="A4006" s="16" t="n">
        <x:v>4148</x:v>
      </x:c>
      <x:c r="B4006" s="16" t="str">
        <x:v>MÅ'hÄ Ã"fÄ Å¾Ã¥Å‚</x:v>
      </x:c>
      <x:c r="C4006" s="16" t="str"/>
      <x:c r="D4006" s="16" t="str">
        <x:v>* myContacts</x:v>
      </x:c>
      <x:c r="E4006" s="16" t="str">
        <x:v>Missing email</x:v>
      </x:c>
    </x:row>
    <x:row r="4007">
      <x:c r="A4007" s="16" t="n">
        <x:v>4149</x:v>
      </x:c>
      <x:c r="B4007" s="16" t="str">
        <x:v>maarof utm</x:v>
      </x:c>
      <x:c r="C4007" s="16" t="str"/>
      <x:c r="D4007" s="16" t="str">
        <x:v>* myContacts</x:v>
      </x:c>
      <x:c r="E4007" s="16" t="str">
        <x:v>Missing email</x:v>
      </x:c>
    </x:row>
    <x:row r="4008">
      <x:c r="A4008" s="16" t="n">
        <x:v>4150</x:v>
      </x:c>
      <x:c r="B4008" s="16" t="str">
        <x:v>Macho Ipoh</x:v>
      </x:c>
      <x:c r="C4008" s="16" t="str"/>
      <x:c r="D4008" s="16" t="str">
        <x:v>* myContacts</x:v>
      </x:c>
      <x:c r="E4008" s="16" t="str">
        <x:v>Missing email</x:v>
      </x:c>
    </x:row>
    <x:row r="4009">
      <x:c r="A4009" s="16" t="n">
        <x:v>4151</x:v>
      </x:c>
      <x:c r="B4009" s="16" t="str">
        <x:v>Mad China</x:v>
      </x:c>
      <x:c r="C4009" s="16" t="str"/>
      <x:c r="D4009" s="16" t="str">
        <x:v>* myContacts</x:v>
      </x:c>
      <x:c r="E4009" s="16" t="str">
        <x:v>Missing email</x:v>
      </x:c>
    </x:row>
    <x:row r="4010">
      <x:c r="A4010" s="16" t="n">
        <x:v>4152</x:v>
      </x:c>
      <x:c r="B4010" s="16" t="str">
        <x:v>Mad Sobah</x:v>
      </x:c>
      <x:c r="C4010" s="16" t="str"/>
      <x:c r="D4010" s="16" t="str">
        <x:v>* myContacts</x:v>
      </x:c>
      <x:c r="E4010" s="16" t="str">
        <x:v>Missing email</x:v>
      </x:c>
    </x:row>
    <x:row r="4011">
      <x:c r="A4011" s="16" t="n">
        <x:v>4153</x:v>
      </x:c>
      <x:c r="B4011" s="16" t="str">
        <x:v>Madam COP CL Law</x:v>
      </x:c>
      <x:c r="C4011" s="16" t="str"/>
      <x:c r="D4011" s="16" t="str">
        <x:v>* myContacts</x:v>
      </x:c>
      <x:c r="E4011" s="16" t="str">
        <x:v>Missing email</x:v>
      </x:c>
    </x:row>
    <x:row r="4012">
      <x:c r="A4012" s="16" t="n">
        <x:v>4154</x:v>
      </x:c>
      <x:c r="B4012" s="16" t="str">
        <x:v>Madam Janne Liew OKI</x:v>
      </x:c>
      <x:c r="C4012" s="16" t="str"/>
      <x:c r="D4012" s="16" t="str">
        <x:v>* myContacts</x:v>
      </x:c>
      <x:c r="E4012" s="16" t="str">
        <x:v>Missing email</x:v>
      </x:c>
    </x:row>
    <x:row r="4013">
      <x:c r="A4013" s="16" t="n">
        <x:v>4155</x:v>
      </x:c>
      <x:c r="B4013" s="16" t="str">
        <x:v>madam lee eusahawan</x:v>
      </x:c>
      <x:c r="C4013" s="16" t="str"/>
      <x:c r="D4013" s="16" t="str">
        <x:v>Alumni eUsahawan | * myContacts</x:v>
      </x:c>
      <x:c r="E4013" s="16" t="str">
        <x:v>Missing email</x:v>
      </x:c>
    </x:row>
    <x:row r="4014">
      <x:c r="A4014" s="16" t="n">
        <x:v>4156</x:v>
      </x:c>
      <x:c r="B4014" s="16" t="str">
        <x:v>Madam Rita Bhardwaj Attiva Founder</x:v>
      </x:c>
      <x:c r="C4014" s="16" t="str"/>
      <x:c r="D4014" s="16" t="str">
        <x:v>* myContacts</x:v>
      </x:c>
      <x:c r="E4014" s="16" t="str">
        <x:v>Missing email</x:v>
      </x:c>
    </x:row>
    <x:row r="4015">
      <x:c r="A4015" s="16" t="n">
        <x:v>4157</x:v>
      </x:c>
      <x:c r="B4015" s="16" t="str">
        <x:v>Madaniah Ali</x:v>
      </x:c>
      <x:c r="C4015" s="16" t="str"/>
      <x:c r="D4015" s="16" t="str">
        <x:v>* myContacts</x:v>
      </x:c>
      <x:c r="E4015" s="16" t="str">
        <x:v>Missing email</x:v>
      </x:c>
    </x:row>
    <x:row r="4016">
      <x:c r="A4016" s="16" t="n">
        <x:v>4158</x:v>
      </x:c>
      <x:c r="B4016" s="16" t="str">
        <x:v>Madarijus Salikin</x:v>
      </x:c>
      <x:c r="C4016" s="16" t="str"/>
      <x:c r="D4016" s="16" t="str">
        <x:v>* myContacts</x:v>
      </x:c>
      <x:c r="E4016" s="16" t="str">
        <x:v>Missing email</x:v>
      </x:c>
    </x:row>
    <x:row r="4017">
      <x:c r="A4017" s="16" t="n">
        <x:v>4159</x:v>
      </x:c>
      <x:c r="B4017" s="16" t="str">
        <x:v>Madi Seven</x:v>
      </x:c>
      <x:c r="C4017" s="16" t="str"/>
      <x:c r="D4017" s="16" t="str">
        <x:v>* myContacts</x:v>
      </x:c>
      <x:c r="E4017" s="16" t="str">
        <x:v>Missing email</x:v>
      </x:c>
    </x:row>
    <x:row r="4018">
      <x:c r="A4018" s="16" t="n">
        <x:v>4160</x:v>
      </x:c>
      <x:c r="B4018" s="16" t="str">
        <x:v>Madia Aizura</x:v>
      </x:c>
      <x:c r="C4018" s="16" t="str"/>
      <x:c r="D4018" s="16" t="str">
        <x:v>* myContacts</x:v>
      </x:c>
      <x:c r="E4018" s="16" t="str">
        <x:v>Missing email</x:v>
      </x:c>
    </x:row>
    <x:row r="4019">
      <x:c r="A4019" s="16" t="n">
        <x:v>4161</x:v>
      </x:c>
      <x:c r="B4019" s="16" t="str">
        <x:v>Madu Kelulut Yan</x:v>
      </x:c>
      <x:c r="C4019" s="16" t="str"/>
      <x:c r="D4019" s="16" t="str">
        <x:v>* myContacts</x:v>
      </x:c>
      <x:c r="E4019" s="16" t="str">
        <x:v>Missing email</x:v>
      </x:c>
    </x:row>
    <x:row r="4020">
      <x:c r="A4020" s="16" t="n">
        <x:v>4162</x:v>
      </x:c>
      <x:c r="B4020" s="16" t="str">
        <x:v>Madu Kelulut Yasmin Segamat</x:v>
      </x:c>
      <x:c r="C4020" s="16" t="str"/>
      <x:c r="D4020" s="16" t="str">
        <x:v>* myContacts</x:v>
      </x:c>
      <x:c r="E4020" s="16" t="str">
        <x:v>Missing email</x:v>
      </x:c>
    </x:row>
    <x:row r="4021">
      <x:c r="A4021" s="16" t="n">
        <x:v>4163</x:v>
      </x:c>
      <x:c r="B4021" s="16" t="str">
        <x:v>Madu Linot Kelulut Hajar</x:v>
      </x:c>
      <x:c r="C4021" s="16" t="str"/>
      <x:c r="D4021" s="16" t="str">
        <x:v>* myContacts</x:v>
      </x:c>
      <x:c r="E4021" s="16" t="str">
        <x:v>Missing email</x:v>
      </x:c>
    </x:row>
    <x:row r="4022">
      <x:c r="A4022" s="16" t="n">
        <x:v>4164</x:v>
      </x:c>
      <x:c r="B4022" s="16" t="str">
        <x:v>Mael Fairuz</x:v>
      </x:c>
      <x:c r="C4022" s="16" t="str"/>
      <x:c r="D4022" s="16" t="str">
        <x:v>* myContacts</x:v>
      </x:c>
      <x:c r="E4022" s="16" t="str">
        <x:v>Missing email</x:v>
      </x:c>
    </x:row>
    <x:row r="4023">
      <x:c r="A4023" s="16" t="n">
        <x:v>4165</x:v>
      </x:c>
      <x:c r="B4023" s="16" t="str">
        <x:v>Maell Tamsir</x:v>
      </x:c>
      <x:c r="C4023" s="16" t="str"/>
      <x:c r="D4023" s="16" t="str">
        <x:v>* myContacts</x:v>
      </x:c>
      <x:c r="E4023" s="16" t="str">
        <x:v>Missing email</x:v>
      </x:c>
    </x:row>
    <x:row r="4024">
      <x:c r="A4024" s="16" t="n">
        <x:v>4166</x:v>
      </x:c>
      <x:c r="B4024" s="16" t="str">
        <x:v>Magic Mrsm</x:v>
      </x:c>
      <x:c r="C4024" s="16" t="str"/>
      <x:c r="D4024" s="16" t="str">
        <x:v>* myContacts</x:v>
      </x:c>
      <x:c r="E4024" s="16" t="str">
        <x:v>Missing email</x:v>
      </x:c>
    </x:row>
    <x:row r="4025">
      <x:c r="A4025" s="16" t="n">
        <x:v>4167</x:v>
      </x:c>
      <x:c r="B4025" s="16" t="str">
        <x:v>Mahadi Baharydin</x:v>
      </x:c>
      <x:c r="C4025" s="16" t="str"/>
      <x:c r="D4025" s="16" t="str">
        <x:v>* myContacts</x:v>
      </x:c>
      <x:c r="E4025" s="16" t="str">
        <x:v>Missing email</x:v>
      </x:c>
    </x:row>
    <x:row r="4026">
      <x:c r="A4026" s="16" t="n">
        <x:v>4168</x:v>
      </x:c>
      <x:c r="B4026" s="16" t="str">
        <x:v>Mahadir Coach</x:v>
      </x:c>
      <x:c r="C4026" s="16" t="str"/>
      <x:c r="D4026" s="16" t="str">
        <x:v>Trainer | * myContacts</x:v>
      </x:c>
      <x:c r="E4026" s="16" t="str">
        <x:v>Missing email</x:v>
      </x:c>
    </x:row>
    <x:row r="4027">
      <x:c r="A4027" s="16" t="n">
        <x:v>4169</x:v>
      </x:c>
      <x:c r="B4027" s="16" t="str">
        <x:v>Mahadzir Azhar AGP</x:v>
      </x:c>
      <x:c r="C4027" s="16" t="str"/>
      <x:c r="D4027" s="16" t="str">
        <x:v>* myContacts</x:v>
      </x:c>
      <x:c r="E4027" s="16" t="str">
        <x:v>Missing email</x:v>
      </x:c>
    </x:row>
    <x:row r="4028">
      <x:c r="A4028" s="16" t="n">
        <x:v>4170</x:v>
      </x:c>
      <x:c r="B4028" s="16" t="str">
        <x:v>Mahaguru Muhamad Abdullah</x:v>
      </x:c>
      <x:c r="C4028" s="16" t="str"/>
      <x:c r="D4028" s="16" t="str">
        <x:v>* myContacts</x:v>
      </x:c>
      <x:c r="E4028" s="16" t="str">
        <x:v>Missing email</x:v>
      </x:c>
    </x:row>
    <x:row r="4029">
      <x:c r="A4029" s="16" t="n">
        <x:v>4171</x:v>
      </x:c>
      <x:c r="B4029" s="16" t="str">
        <x:v>Mahazer Din</x:v>
      </x:c>
      <x:c r="C4029" s="16" t="str"/>
      <x:c r="D4029" s="16" t="str">
        <x:v>* myContacts</x:v>
      </x:c>
      <x:c r="E4029" s="16" t="str">
        <x:v>Missing email</x:v>
      </x:c>
    </x:row>
    <x:row r="4030">
      <x:c r="A4030" s="16" t="n">
        <x:v>4172</x:v>
      </x:c>
      <x:c r="B4030" s="16" t="str">
        <x:v>Mahfut Sharif</x:v>
      </x:c>
      <x:c r="C4030" s="16" t="str"/>
      <x:c r="D4030" s="16" t="str">
        <x:v>* myContacts</x:v>
      </x:c>
      <x:c r="E4030" s="16" t="str">
        <x:v>Missing email</x:v>
      </x:c>
    </x:row>
    <x:row r="4031">
      <x:c r="A4031" s="16" t="n">
        <x:v>4173</x:v>
      </x:c>
      <x:c r="B4031" s="16" t="str">
        <x:v>Mahkamah Kuala Selangor</x:v>
      </x:c>
      <x:c r="C4031" s="16" t="str"/>
      <x:c r="D4031" s="16" t="str">
        <x:v>* myContacts</x:v>
      </x:c>
      <x:c r="E4031" s="16" t="str">
        <x:v>Missing email</x:v>
      </x:c>
    </x:row>
    <x:row r="4032">
      <x:c r="A4032" s="16" t="n">
        <x:v>4174</x:v>
      </x:c>
      <x:c r="B4032" s="16" t="str">
        <x:v>Mahmud Mirhana</x:v>
      </x:c>
      <x:c r="C4032" s="16" t="str"/>
      <x:c r="D4032" s="16" t="str">
        <x:v>* myContacts</x:v>
      </x:c>
      <x:c r="E4032" s="16" t="str">
        <x:v>Missing email</x:v>
      </x:c>
    </x:row>
    <x:row r="4033">
      <x:c r="A4033" s="16" t="n">
        <x:v>4175</x:v>
      </x:c>
      <x:c r="B4033" s="16" t="str">
        <x:v>Mahyuddin Muhammad</x:v>
      </x:c>
      <x:c r="C4033" s="16" t="str"/>
      <x:c r="D4033" s="16" t="str">
        <x:v>* myContacts</x:v>
      </x:c>
      <x:c r="E4033" s="16" t="str">
        <x:v>Missing email</x:v>
      </x:c>
    </x:row>
    <x:row r="4034">
      <x:c r="A4034" s="16" t="n">
        <x:v>4176</x:v>
      </x:c>
      <x:c r="B4034" s="16" t="str">
        <x:v>Mai Hamzah</x:v>
      </x:c>
      <x:c r="C4034" s="16" t="str"/>
      <x:c r="D4034" s="16" t="str">
        <x:v>* myContacts</x:v>
      </x:c>
      <x:c r="E4034" s="16" t="str">
        <x:v>Missing email</x:v>
      </x:c>
    </x:row>
    <x:row r="4035">
      <x:c r="A4035" s="16" t="n">
        <x:v>4177</x:v>
      </x:c>
      <x:c r="B4035" s="16" t="str">
        <x:v>Mai Zaidi</x:v>
      </x:c>
      <x:c r="C4035" s="16" t="str"/>
      <x:c r="D4035" s="16" t="str">
        <x:v>* myContacts</x:v>
      </x:c>
      <x:c r="E4035" s="16" t="str">
        <x:v>Missing email</x:v>
      </x:c>
    </x:row>
    <x:row r="4036">
      <x:c r="A4036" s="16" t="n">
        <x:v>4178</x:v>
      </x:c>
      <x:c r="B4036" s="16" t="str">
        <x:v>Maiko Caa</x:v>
      </x:c>
      <x:c r="C4036" s="16" t="str"/>
      <x:c r="D4036" s="16" t="str">
        <x:v>* myContacts</x:v>
      </x:c>
      <x:c r="E4036" s="16" t="str">
        <x:v>Missing email</x:v>
      </x:c>
    </x:row>
    <x:row r="4037">
      <x:c r="A4037" s="16" t="n">
        <x:v>4179</x:v>
      </x:c>
      <x:c r="B4037" s="16" t="str">
        <x:v>Maimunah Monna</x:v>
      </x:c>
      <x:c r="C4037" s="16" t="str"/>
      <x:c r="D4037" s="16" t="str">
        <x:v>* myContacts</x:v>
      </x:c>
      <x:c r="E4037" s="16" t="str">
        <x:v>Missing email</x:v>
      </x:c>
    </x:row>
    <x:row r="4038">
      <x:c r="A4038" s="16" t="n">
        <x:v>4180</x:v>
      </x:c>
      <x:c r="B4038" s="16" t="str">
        <x:v>Mainah Makruf</x:v>
      </x:c>
      <x:c r="C4038" s="16" t="str"/>
      <x:c r="D4038" s="16" t="str">
        <x:v>* myContacts</x:v>
      </x:c>
      <x:c r="E4038" s="16" t="str">
        <x:v>Missing email</x:v>
      </x:c>
    </x:row>
    <x:row r="4039">
      <x:c r="A4039" s="16" t="n">
        <x:v>4181</x:v>
      </x:c>
      <x:c r="B4039" s="16" t="str">
        <x:v>Maira NasuHa</x:v>
      </x:c>
      <x:c r="C4039" s="16" t="str"/>
      <x:c r="D4039" s="16" t="str">
        <x:v>* myContacts</x:v>
      </x:c>
      <x:c r="E4039" s="16" t="str">
        <x:v>Missing email</x:v>
      </x:c>
    </x:row>
    <x:row r="4040">
      <x:c r="A4040" s="16" t="n">
        <x:v>4182</x:v>
      </x:c>
      <x:c r="B4040" s="16" t="str">
        <x:v>Maisarah Haji Idris</x:v>
      </x:c>
      <x:c r="C4040" s="16" t="str"/>
      <x:c r="D4040" s="16" t="str">
        <x:v>* myContacts</x:v>
      </x:c>
      <x:c r="E4040" s="16" t="str">
        <x:v>Missing email</x:v>
      </x:c>
    </x:row>
    <x:row r="4041">
      <x:c r="A4041" s="16" t="n">
        <x:v>4183</x:v>
      </x:c>
      <x:c r="B4041" s="16" t="str">
        <x:v>Maisarah Shuhaimee</x:v>
      </x:c>
      <x:c r="C4041" s="16" t="str"/>
      <x:c r="D4041" s="16" t="str">
        <x:v>* myContacts</x:v>
      </x:c>
      <x:c r="E4041" s="16" t="str">
        <x:v>Missing email</x:v>
      </x:c>
    </x:row>
    <x:row r="4042">
      <x:c r="A4042" s="16" t="n">
        <x:v>4184</x:v>
      </x:c>
      <x:c r="B4042" s="16" t="str">
        <x:v>Maiyra Darwisha Asyhiqin</x:v>
      </x:c>
      <x:c r="C4042" s="16" t="str"/>
      <x:c r="D4042" s="16" t="str">
        <x:v>* myContacts</x:v>
      </x:c>
      <x:c r="E4042" s="16" t="str">
        <x:v>Missing email</x:v>
      </x:c>
    </x:row>
    <x:row r="4043">
      <x:c r="A4043" s="16" t="n">
        <x:v>4185</x:v>
      </x:c>
      <x:c r="B4043" s="16" t="str">
        <x:v>Maizatul Akma Mohd Som</x:v>
      </x:c>
      <x:c r="C4043" s="16" t="str"/>
      <x:c r="D4043" s="16" t="str">
        <x:v>* myContacts</x:v>
      </x:c>
      <x:c r="E4043" s="16" t="str">
        <x:v>Missing email</x:v>
      </x:c>
    </x:row>
    <x:row r="4044">
      <x:c r="A4044" s="16" t="n">
        <x:v>4186</x:v>
      </x:c>
      <x:c r="B4044" s="16" t="str">
        <x:v>Maizlin Maizan Ayin</x:v>
      </x:c>
      <x:c r="C4044" s="16" t="str"/>
      <x:c r="D4044" s="16" t="str">
        <x:v>* myContacts</x:v>
      </x:c>
      <x:c r="E4044" s="16" t="str">
        <x:v>Missing email</x:v>
      </x:c>
    </x:row>
    <x:row r="4045">
      <x:c r="A4045" s="16" t="n">
        <x:v>4187</x:v>
      </x:c>
      <x:c r="B4045" s="16" t="str">
        <x:v>Maizul Anita</x:v>
      </x:c>
      <x:c r="C4045" s="16" t="str"/>
      <x:c r="D4045" s="16" t="str">
        <x:v>* myContacts</x:v>
      </x:c>
      <x:c r="E4045" s="16" t="str">
        <x:v>Missing email</x:v>
      </x:c>
    </x:row>
    <x:row r="4046">
      <x:c r="A4046" s="16" t="n">
        <x:v>4188</x:v>
      </x:c>
      <x:c r="B4046" s="16" t="str">
        <x:v>Majidah Jid</x:v>
      </x:c>
      <x:c r="C4046" s="16" t="str"/>
      <x:c r="D4046" s="16" t="str">
        <x:v>* myContacts</x:v>
      </x:c>
      <x:c r="E4046" s="16" t="str">
        <x:v>Missing email</x:v>
      </x:c>
    </x:row>
    <x:row r="4047">
      <x:c r="A4047" s="16" t="n">
        <x:v>4189</x:v>
      </x:c>
      <x:c r="B4047" s="16" t="str">
        <x:v>Mak Anieq</x:v>
      </x:c>
      <x:c r="C4047" s="16" t="str"/>
      <x:c r="D4047" s="16" t="str">
        <x:v>* myContacts</x:v>
      </x:c>
      <x:c r="E4047" s="16" t="str">
        <x:v>Missing email</x:v>
      </x:c>
    </x:row>
    <x:row r="4048">
      <x:c r="A4048" s="16" t="n">
        <x:v>4190</x:v>
      </x:c>
      <x:c r="B4048" s="16" t="str">
        <x:v>Mak nik</x:v>
      </x:c>
      <x:c r="C4048" s="16" t="str"/>
      <x:c r="D4048" s="16" t="str">
        <x:v>* myContacts</x:v>
      </x:c>
      <x:c r="E4048" s="16" t="str">
        <x:v>Missing email</x:v>
      </x:c>
    </x:row>
    <x:row r="4049">
      <x:c r="A4049" s="16" t="n">
        <x:v>4191</x:v>
      </x:c>
      <x:c r="B4049" s="16" t="str">
        <x:v>Mak Nyah Shah Alam</x:v>
      </x:c>
      <x:c r="C4049" s="16" t="str"/>
      <x:c r="D4049" s="16" t="str">
        <x:v>* myContacts</x:v>
      </x:c>
      <x:c r="E4049" s="16" t="str">
        <x:v>Missing email</x:v>
      </x:c>
    </x:row>
    <x:row r="4050">
      <x:c r="A4050" s="16" t="n">
        <x:v>4192</x:v>
      </x:c>
      <x:c r="B4050" s="16" t="str">
        <x:v>makcik latifah AGP</x:v>
      </x:c>
      <x:c r="C4050" s="16" t="str"/>
      <x:c r="D4050" s="16" t="str">
        <x:v>* myContacts</x:v>
      </x:c>
      <x:c r="E4050" s="16" t="str">
        <x:v>Missing email</x:v>
      </x:c>
    </x:row>
    <x:row r="4051">
      <x:c r="A4051" s="16" t="n">
        <x:v>4193</x:v>
      </x:c>
      <x:c r="B4051" s="16" t="str">
        <x:v>Maksu Zurina</x:v>
      </x:c>
      <x:c r="C4051" s="16" t="str"/>
      <x:c r="D4051" s="16" t="str">
        <x:v>* myContacts</x:v>
      </x:c>
      <x:c r="E4051" s="16" t="str">
        <x:v>Missing email</x:v>
      </x:c>
    </x:row>
    <x:row r="4052">
      <x:c r="A4052" s="16" t="n">
        <x:v>4194</x:v>
      </x:c>
      <x:c r="B4052" s="16" t="str">
        <x:v>Maksu Zurina</x:v>
      </x:c>
      <x:c r="C4052" s="16" t="str"/>
      <x:c r="D4052" s="16" t="str">
        <x:v>* myContacts</x:v>
      </x:c>
      <x:c r="E4052" s="16" t="str">
        <x:v>Missing email</x:v>
      </x:c>
    </x:row>
    <x:row r="4053">
      <x:c r="A4053" s="16" t="n">
        <x:v>4195</x:v>
      </x:c>
      <x:c r="B4053" s="16" t="str">
        <x:v>Makwe Sedara</x:v>
      </x:c>
      <x:c r="C4053" s="16" t="str"/>
      <x:c r="D4053" s="16" t="str">
        <x:v>* myContacts</x:v>
      </x:c>
      <x:c r="E4053" s="16" t="str">
        <x:v>Missing email</x:v>
      </x:c>
    </x:row>
    <x:row r="4054">
      <x:c r="A4054" s="16" t="n">
        <x:v>4196</x:v>
      </x:c>
      <x:c r="B4054" s="16" t="str">
        <x:v>Malbisa Desa</x:v>
      </x:c>
      <x:c r="C4054" s="16" t="str"/>
      <x:c r="D4054" s="16" t="str">
        <x:v>* myContacts</x:v>
      </x:c>
      <x:c r="E4054" s="16" t="str">
        <x:v>Missing email</x:v>
      </x:c>
    </x:row>
    <x:row r="4055">
      <x:c r="A4055" s="16" t="n">
        <x:v>4197</x:v>
      </x:c>
      <x:c r="B4055" s="16" t="str">
        <x:v>Malia Emma Lam</x:v>
      </x:c>
      <x:c r="C4055" s="16" t="str"/>
      <x:c r="D4055" s="16" t="str">
        <x:v>* myContacts</x:v>
      </x:c>
      <x:c r="E4055" s="16" t="str">
        <x:v>Missing email</x:v>
      </x:c>
    </x:row>
    <x:row r="4056">
      <x:c r="A4056" s="16" t="n">
        <x:v>4199</x:v>
      </x:c>
      <x:c r="B4056" s="16" t="str">
        <x:v>Malik Zain Altaf</x:v>
      </x:c>
      <x:c r="C4056" s="16" t="str"/>
      <x:c r="D4056" s="16" t="str">
        <x:v>* myContacts</x:v>
      </x:c>
      <x:c r="E4056" s="16" t="str">
        <x:v>Missing email</x:v>
      </x:c>
    </x:row>
    <x:row r="4057">
      <x:c r="A4057" s="16" t="n">
        <x:v>4200</x:v>
      </x:c>
      <x:c r="B4057" s="16" t="str">
        <x:v>Malina Gudin</x:v>
      </x:c>
      <x:c r="C4057" s="16" t="str"/>
      <x:c r="D4057" s="16" t="str">
        <x:v>* myContacts</x:v>
      </x:c>
      <x:c r="E4057" s="16" t="str">
        <x:v>Missing email</x:v>
      </x:c>
    </x:row>
    <x:row r="4058">
      <x:c r="A4058" s="16" t="n">
        <x:v>4201</x:v>
      </x:c>
      <x:c r="B4058" s="16" t="str">
        <x:v>Malinda Came</x:v>
      </x:c>
      <x:c r="C4058" s="16" t="str"/>
      <x:c r="D4058" s="16" t="str">
        <x:v>* myContacts</x:v>
      </x:c>
      <x:c r="E4058" s="16" t="str">
        <x:v>Missing email</x:v>
      </x:c>
    </x:row>
    <x:row r="4059">
      <x:c r="A4059" s="16" t="n">
        <x:v>4202</x:v>
      </x:c>
      <x:c r="B4059" s="16" t="str">
        <x:v>Mama</x:v>
      </x:c>
      <x:c r="C4059" s="16" t="str"/>
      <x:c r="D4059" s="16" t="str">
        <x:v>* myContacts</x:v>
      </x:c>
      <x:c r="E4059" s="16" t="str">
        <x:v>Missing email</x:v>
      </x:c>
    </x:row>
    <x:row r="4060">
      <x:c r="A4060" s="16" t="n">
        <x:v>4203</x:v>
      </x:c>
      <x:c r="B4060" s="16" t="str">
        <x:v>Mama Hamimah</x:v>
      </x:c>
      <x:c r="C4060" s="16" t="str"/>
      <x:c r="D4060" s="16" t="str">
        <x:v>* family | * myContacts</x:v>
      </x:c>
      <x:c r="E4060" s="16" t="str">
        <x:v>Missing email</x:v>
      </x:c>
    </x:row>
    <x:row r="4061">
      <x:c r="A4061" s="16" t="n">
        <x:v>4204</x:v>
      </x:c>
      <x:c r="B4061" s="16" t="str">
        <x:v>Mamamika Lien</x:v>
      </x:c>
      <x:c r="C4061" s="16" t="str"/>
      <x:c r="D4061" s="16" t="str">
        <x:v>* myContacts</x:v>
      </x:c>
      <x:c r="E4061" s="16" t="str">
        <x:v>Missing email</x:v>
      </x:c>
    </x:row>
    <x:row r="4062">
      <x:c r="A4062" s="16" t="n">
        <x:v>4205</x:v>
      </x:c>
      <x:c r="B4062" s="16" t="str">
        <x:v>MamaMimi Nasran</x:v>
      </x:c>
      <x:c r="C4062" s="16" t="str"/>
      <x:c r="D4062" s="16" t="str">
        <x:v>* myContacts</x:v>
      </x:c>
      <x:c r="E4062" s="16" t="str">
        <x:v>Missing email</x:v>
      </x:c>
    </x:row>
    <x:row r="4063">
      <x:c r="A4063" s="16" t="n">
        <x:v>4206</x:v>
      </x:c>
      <x:c r="B4063" s="16" t="str">
        <x:v>Mamat Ratarata</x:v>
      </x:c>
      <x:c r="C4063" s="16" t="str"/>
      <x:c r="D4063" s="16" t="str">
        <x:v>* myContacts</x:v>
      </x:c>
      <x:c r="E4063" s="16" t="str">
        <x:v>Missing email</x:v>
      </x:c>
    </x:row>
    <x:row r="4064">
      <x:c r="A4064" s="16" t="n">
        <x:v>4207</x:v>
      </x:c>
      <x:c r="B4064" s="16" t="str">
        <x:v>Mami Erny Mami</x:v>
      </x:c>
      <x:c r="C4064" s="16" t="str"/>
      <x:c r="D4064" s="16" t="str">
        <x:v>* myContacts</x:v>
      </x:c>
      <x:c r="E4064" s="16" t="str">
        <x:v>Missing email</x:v>
      </x:c>
    </x:row>
    <x:row r="4065">
      <x:c r="A4065" s="16" t="n">
        <x:v>4208</x:v>
      </x:c>
      <x:c r="B4065" s="16" t="str">
        <x:v>Man Cat</x:v>
      </x:c>
      <x:c r="C4065" s="16" t="str"/>
      <x:c r="D4065" s="16" t="str">
        <x:v>* myContacts</x:v>
      </x:c>
      <x:c r="E4065" s="16" t="str">
        <x:v>Missing email</x:v>
      </x:c>
    </x:row>
    <x:row r="4066">
      <x:c r="A4066" s="16" t="n">
        <x:v>4209</x:v>
      </x:c>
      <x:c r="B4066" s="16" t="str">
        <x:v>Man Crew</x:v>
      </x:c>
      <x:c r="C4066" s="16" t="str"/>
      <x:c r="D4066" s="16" t="str">
        <x:v>* myContacts</x:v>
      </x:c>
      <x:c r="E4066" s="16" t="str">
        <x:v>Missing email</x:v>
      </x:c>
    </x:row>
    <x:row r="4067">
      <x:c r="A4067" s="16" t="n">
        <x:v>4210</x:v>
      </x:c>
      <x:c r="B4067" s="16" t="str">
        <x:v>Man PS</x:v>
      </x:c>
      <x:c r="C4067" s="16" t="str"/>
      <x:c r="D4067" s="16" t="str">
        <x:v>* myContacts</x:v>
      </x:c>
      <x:c r="E4067" s="16" t="str">
        <x:v>Missing email</x:v>
      </x:c>
    </x:row>
    <x:row r="4068">
      <x:c r="A4068" s="16" t="n">
        <x:v>4211</x:v>
      </x:c>
      <x:c r="B4068" s="16" t="str">
        <x:v>Man Servis</x:v>
      </x:c>
      <x:c r="C4068" s="16" t="str"/>
      <x:c r="D4068" s="16" t="str">
        <x:v>* myContacts</x:v>
      </x:c>
      <x:c r="E4068" s="16" t="str">
        <x:v>Missing email</x:v>
      </x:c>
    </x:row>
    <x:row r="4069">
      <x:c r="A4069" s="16" t="n">
        <x:v>4212</x:v>
      </x:c>
      <x:c r="B4069" s="16" t="str">
        <x:v>Man Tujuhlapan</x:v>
      </x:c>
      <x:c r="C4069" s="16" t="str"/>
      <x:c r="D4069" s="16" t="str">
        <x:v>* myContacts</x:v>
      </x:c>
      <x:c r="E4069" s="16" t="str">
        <x:v>Missing email</x:v>
      </x:c>
    </x:row>
    <x:row r="4070">
      <x:c r="A4070" s="16" t="n">
        <x:v>4213</x:v>
      </x:c>
      <x:c r="B4070" s="16" t="str">
        <x:v>Manager Alan Tan Chong Motor</x:v>
      </x:c>
      <x:c r="C4070" s="16" t="str"/>
      <x:c r="D4070" s="16" t="str">
        <x:v>* myContacts</x:v>
      </x:c>
      <x:c r="E4070" s="16" t="str">
        <x:v>Missing email</x:v>
      </x:c>
    </x:row>
    <x:row r="4071">
      <x:c r="A4071" s="16" t="n">
        <x:v>4214</x:v>
      </x:c>
      <x:c r="B4071" s="16" t="str">
        <x:v>Manarah Fikri</x:v>
      </x:c>
      <x:c r="C4071" s="16" t="str"/>
      <x:c r="D4071" s="16" t="str">
        <x:v>* myContacts</x:v>
      </x:c>
      <x:c r="E4071" s="16" t="str">
        <x:v>Missing email</x:v>
      </x:c>
    </x:row>
    <x:row r="4072">
      <x:c r="A4072" s="16" t="n">
        <x:v>4215</x:v>
      </x:c>
      <x:c r="B4072" s="16" t="str">
        <x:v>Manda Eyda</x:v>
      </x:c>
      <x:c r="C4072" s="16" t="str"/>
      <x:c r="D4072" s="16" t="str">
        <x:v>* myContacts</x:v>
      </x:c>
      <x:c r="E4072" s="16" t="str">
        <x:v>Missing email</x:v>
      </x:c>
    </x:row>
    <x:row r="4073">
      <x:c r="A4073" s="16" t="n">
        <x:v>4216</x:v>
      </x:c>
      <x:c r="B4073" s="16" t="str">
        <x:v>Manjaku Ainfatiha Iman</x:v>
      </x:c>
      <x:c r="C4073" s="16" t="str"/>
      <x:c r="D4073" s="16" t="str">
        <x:v>* myContacts</x:v>
      </x:c>
      <x:c r="E4073" s="16" t="str">
        <x:v>Missing email</x:v>
      </x:c>
    </x:row>
    <x:row r="4074">
      <x:c r="A4074" s="16" t="n">
        <x:v>4217</x:v>
      </x:c>
      <x:c r="B4074" s="16" t="str">
        <x:v>Mansor BDA</x:v>
      </x:c>
      <x:c r="C4074" s="16" t="str"/>
      <x:c r="D4074" s="16" t="str">
        <x:v>* myContacts</x:v>
      </x:c>
      <x:c r="E4074" s="16" t="str">
        <x:v>Missing email</x:v>
      </x:c>
    </x:row>
    <x:row r="4075">
      <x:c r="A4075" s="16" t="n">
        <x:v>4218</x:v>
      </x:c>
      <x:c r="B4075" s="16" t="str">
        <x:v>Mansor Chirah</x:v>
      </x:c>
      <x:c r="C4075" s="16" t="str"/>
      <x:c r="D4075" s="16" t="str">
        <x:v>* myContacts</x:v>
      </x:c>
      <x:c r="E4075" s="16" t="str">
        <x:v>Missing email</x:v>
      </x:c>
    </x:row>
    <x:row r="4076">
      <x:c r="A4076" s="16" t="n">
        <x:v>4219</x:v>
      </x:c>
      <x:c r="B4076" s="16" t="str">
        <x:v>Manz Hani</x:v>
      </x:c>
      <x:c r="C4076" s="16" t="str"/>
      <x:c r="D4076" s="16" t="str">
        <x:v>* myContacts</x:v>
      </x:c>
      <x:c r="E4076" s="16" t="str">
        <x:v>Missing email</x:v>
      </x:c>
    </x:row>
    <x:row r="4077">
      <x:c r="A4077" s="16" t="n">
        <x:v>4220</x:v>
      </x:c>
      <x:c r="B4077" s="16" t="str">
        <x:v>Mar Cus</x:v>
      </x:c>
      <x:c r="C4077" s="16" t="str"/>
      <x:c r="D4077" s="16" t="str">
        <x:v>* myContacts</x:v>
      </x:c>
      <x:c r="E4077" s="16" t="str">
        <x:v>Missing email</x:v>
      </x:c>
    </x:row>
    <x:row r="4078">
      <x:c r="A4078" s="16" t="n">
        <x:v>4221</x:v>
      </x:c>
      <x:c r="B4078" s="16" t="str">
        <x:v>Mar Madina</x:v>
      </x:c>
      <x:c r="C4078" s="16" t="str"/>
      <x:c r="D4078" s="16" t="str">
        <x:v>* myContacts</x:v>
      </x:c>
      <x:c r="E4078" s="16" t="str">
        <x:v>Missing email</x:v>
      </x:c>
    </x:row>
    <x:row r="4079">
      <x:c r="A4079" s="16" t="n">
        <x:v>4222</x:v>
      </x:c>
      <x:c r="B4079" s="16" t="str">
        <x:v>Mar Shaa</x:v>
      </x:c>
      <x:c r="C4079" s="16" t="str"/>
      <x:c r="D4079" s="16" t="str">
        <x:v>* myContacts</x:v>
      </x:c>
      <x:c r="E4079" s="16" t="str">
        <x:v>Missing email</x:v>
      </x:c>
    </x:row>
    <x:row r="4080">
      <x:c r="A4080" s="16" t="n">
        <x:v>4223</x:v>
      </x:c>
      <x:c r="B4080" s="16" t="str">
        <x:v>Marc Marquez Kfa</x:v>
      </x:c>
      <x:c r="C4080" s="16" t="str"/>
      <x:c r="D4080" s="16" t="str">
        <x:v>* myContacts</x:v>
      </x:c>
      <x:c r="E4080" s="16" t="str">
        <x:v>Missing email</x:v>
      </x:c>
    </x:row>
    <x:row r="4081">
      <x:c r="A4081" s="16" t="n">
        <x:v>4224</x:v>
      </x:c>
      <x:c r="B4081" s="16" t="str">
        <x:v>Marcus TIKTOK</x:v>
      </x:c>
      <x:c r="C4081" s="16" t="str"/>
      <x:c r="D4081" s="16" t="str">
        <x:v>* myContacts</x:v>
      </x:c>
      <x:c r="E4081" s="16" t="str">
        <x:v>Missing email</x:v>
      </x:c>
    </x:row>
    <x:row r="4082">
      <x:c r="A4082" s="16" t="n">
        <x:v>4225</x:v>
      </x:c>
      <x:c r="B4082" s="16" t="str">
        <x:v>Mard Saja</x:v>
      </x:c>
      <x:c r="C4082" s="16" t="str"/>
      <x:c r="D4082" s="16" t="str">
        <x:v>* myContacts</x:v>
      </x:c>
      <x:c r="E4082" s="16" t="str">
        <x:v>Missing email</x:v>
      </x:c>
    </x:row>
    <x:row r="4083">
      <x:c r="A4083" s="16" t="n">
        <x:v>4226</x:v>
      </x:c>
      <x:c r="B4083" s="16" t="str">
        <x:v>Mard Zukie Abdulla</x:v>
      </x:c>
      <x:c r="C4083" s="16" t="str"/>
      <x:c r="D4083" s="16" t="str">
        <x:v>* myContacts</x:v>
      </x:c>
      <x:c r="E4083" s="16" t="str">
        <x:v>Missing email</x:v>
      </x:c>
    </x:row>
    <x:row r="4084">
      <x:c r="A4084" s="16" t="n">
        <x:v>4227</x:v>
      </x:c>
      <x:c r="B4084" s="16" t="str">
        <x:v>Mardi Marijo IM</x:v>
      </x:c>
      <x:c r="C4084" s="16" t="str"/>
      <x:c r="D4084" s="16" t="str">
        <x:v>* myContacts</x:v>
      </x:c>
      <x:c r="E4084" s="16" t="str">
        <x:v>Missing email</x:v>
      </x:c>
    </x:row>
    <x:row r="4085">
      <x:c r="A4085" s="16" t="n">
        <x:v>4228</x:v>
      </x:c>
      <x:c r="B4085" s="16" t="str">
        <x:v>Mardiah Azinan</x:v>
      </x:c>
      <x:c r="C4085" s="16" t="str"/>
      <x:c r="D4085" s="16" t="str">
        <x:v>* myContacts</x:v>
      </x:c>
      <x:c r="E4085" s="16" t="str">
        <x:v>Missing email</x:v>
      </x:c>
    </x:row>
    <x:row r="4086">
      <x:c r="A4086" s="16" t="n">
        <x:v>4229</x:v>
      </x:c>
      <x:c r="B4086" s="16" t="str">
        <x:v>Mardihah Khadzi</x:v>
      </x:c>
      <x:c r="C4086" s="16" t="str"/>
      <x:c r="D4086" s="16" t="str">
        <x:v>* myContacts</x:v>
      </x:c>
      <x:c r="E4086" s="16" t="str">
        <x:v>Missing email</x:v>
      </x:c>
    </x:row>
    <x:row r="4087">
      <x:c r="A4087" s="16" t="n">
        <x:v>4230</x:v>
      </x:c>
      <x:c r="B4087" s="16" t="str">
        <x:v>Mardiyatun Nabila</x:v>
      </x:c>
      <x:c r="C4087" s="16" t="str"/>
      <x:c r="D4087" s="16" t="str">
        <x:v>* myContacts</x:v>
      </x:c>
      <x:c r="E4087" s="16" t="str">
        <x:v>Missing email</x:v>
      </x:c>
    </x:row>
    <x:row r="4088">
      <x:c r="A4088" s="16" t="n">
        <x:v>4231</x:v>
      </x:c>
      <x:c r="B4088" s="16" t="str">
        <x:v>Marhana Juraimi</x:v>
      </x:c>
      <x:c r="C4088" s="16" t="str"/>
      <x:c r="D4088" s="16" t="str">
        <x:v>* myContacts</x:v>
      </x:c>
      <x:c r="E4088" s="16" t="str">
        <x:v>Missing email</x:v>
      </x:c>
    </x:row>
    <x:row r="4089">
      <x:c r="A4089" s="16" t="n">
        <x:v>4232</x:v>
      </x:c>
      <x:c r="B4089" s="16" t="str">
        <x:v>Maria Ablah</x:v>
      </x:c>
      <x:c r="C4089" s="16" t="str"/>
      <x:c r="D4089" s="16" t="str">
        <x:v>* myContacts</x:v>
      </x:c>
      <x:c r="E4089" s="16" t="str">
        <x:v>Missing email</x:v>
      </x:c>
    </x:row>
    <x:row r="4090">
      <x:c r="A4090" s="16" t="n">
        <x:v>4233</x:v>
      </x:c>
      <x:c r="B4090" s="16" t="str">
        <x:v>Maria Diana</x:v>
      </x:c>
      <x:c r="C4090" s="16" t="str"/>
      <x:c r="D4090" s="16" t="str">
        <x:v>* myContacts</x:v>
      </x:c>
      <x:c r="E4090" s="16" t="str">
        <x:v>Missing email</x:v>
      </x:c>
    </x:row>
    <x:row r="4091">
      <x:c r="A4091" s="16" t="n">
        <x:v>4234</x:v>
      </x:c>
      <x:c r="B4091" s="16" t="str">
        <x:v>Maria Gift Souvenir</x:v>
      </x:c>
      <x:c r="C4091" s="16" t="str"/>
      <x:c r="D4091" s="16" t="str">
        <x:v>* myContacts</x:v>
      </x:c>
      <x:c r="E4091" s="16" t="str">
        <x:v>Missing email</x:v>
      </x:c>
    </x:row>
    <x:row r="4092">
      <x:c r="A4092" s="16" t="n">
        <x:v>4235</x:v>
      </x:c>
      <x:c r="B4092" s="16" t="str">
        <x:v>Dr Maria mywin</x:v>
      </x:c>
      <x:c r="C4092" s="16" t="str"/>
      <x:c r="D4092" s="16" t="str">
        <x:v>* myContacts</x:v>
      </x:c>
      <x:c r="E4092" s="16" t="str">
        <x:v>Missing email</x:v>
      </x:c>
    </x:row>
    <x:row r="4093">
      <x:c r="A4093" s="16" t="n">
        <x:v>4236</x:v>
      </x:c>
      <x:c r="B4093" s="16" t="str">
        <x:v>Mariam Ismail</x:v>
      </x:c>
      <x:c r="C4093" s="16" t="str"/>
      <x:c r="D4093" s="16" t="str">
        <x:v>* myContacts</x:v>
      </x:c>
      <x:c r="E4093" s="16" t="str">
        <x:v>Missing email</x:v>
      </x:c>
    </x:row>
    <x:row r="4094">
      <x:c r="A4094" s="16" t="n">
        <x:v>4237</x:v>
      </x:c>
      <x:c r="B4094" s="16" t="str">
        <x:v>Mariani Abu Bakar</x:v>
      </x:c>
      <x:c r="C4094" s="16" t="str"/>
      <x:c r="D4094" s="16" t="str">
        <x:v>* myContacts</x:v>
      </x:c>
      <x:c r="E4094" s="16" t="str">
        <x:v>Missing email</x:v>
      </x:c>
    </x:row>
    <x:row r="4095">
      <x:c r="A4095" s="16" t="n">
        <x:v>4238</x:v>
      </x:c>
      <x:c r="B4095" s="16" t="str">
        <x:v>Mariani Md Isa</x:v>
      </x:c>
      <x:c r="C4095" s="16" t="str"/>
      <x:c r="D4095" s="16" t="str">
        <x:v>* myContacts</x:v>
      </x:c>
      <x:c r="E4095" s="16" t="str">
        <x:v>Missing email</x:v>
      </x:c>
    </x:row>
    <x:row r="4096">
      <x:c r="A4096" s="16" t="n">
        <x:v>4239</x:v>
      </x:c>
      <x:c r="B4096" s="16" t="str">
        <x:v>MarieMar JM</x:v>
      </x:c>
      <x:c r="C4096" s="16" t="str"/>
      <x:c r="D4096" s="16" t="str">
        <x:v>* myContacts</x:v>
      </x:c>
      <x:c r="E4096" s="16" t="str">
        <x:v>Missing email</x:v>
      </x:c>
    </x:row>
    <x:row r="4097">
      <x:c r="A4097" s="16" t="n">
        <x:v>4240</x:v>
      </x:c>
      <x:c r="B4097" s="16" t="str">
        <x:v>Marilyna Lin</x:v>
      </x:c>
      <x:c r="C4097" s="16" t="str"/>
      <x:c r="D4097" s="16" t="str">
        <x:v>* myContacts</x:v>
      </x:c>
      <x:c r="E4097" s="16" t="str">
        <x:v>Missing email</x:v>
      </x:c>
    </x:row>
    <x:row r="4098">
      <x:c r="A4098" s="16" t="n">
        <x:v>4241</x:v>
      </x:c>
      <x:c r="B4098" s="16" t="str">
        <x:v>Marina Bashah</x:v>
      </x:c>
      <x:c r="C4098" s="16" t="str"/>
      <x:c r="D4098" s="16" t="str">
        <x:v>* myContacts</x:v>
      </x:c>
      <x:c r="E4098" s="16" t="str">
        <x:v>Missing email</x:v>
      </x:c>
    </x:row>
    <x:row r="4099">
      <x:c r="A4099" s="16" t="n">
        <x:v>4242</x:v>
      </x:c>
      <x:c r="B4099" s="16" t="str">
        <x:v>Marina Yusop</x:v>
      </x:c>
      <x:c r="C4099" s="16" t="str"/>
      <x:c r="D4099" s="16" t="str">
        <x:v>* myContacts</x:v>
      </x:c>
      <x:c r="E4099" s="16" t="str">
        <x:v>Missing email</x:v>
      </x:c>
    </x:row>
    <x:row r="4100">
      <x:c r="A4100" s="16" t="n">
        <x:v>4243</x:v>
      </x:c>
      <x:c r="B4100" s="16" t="str">
        <x:v>Marisa Marisa Mardhia Online Shop</x:v>
      </x:c>
      <x:c r="C4100" s="16" t="str"/>
      <x:c r="D4100" s="16" t="str">
        <x:v>* myContacts</x:v>
      </x:c>
      <x:c r="E4100" s="16" t="str">
        <x:v>Missing email</x:v>
      </x:c>
    </x:row>
    <x:row r="4101">
      <x:c r="A4101" s="16" t="n">
        <x:v>4244</x:v>
      </x:c>
      <x:c r="B4101" s="16" t="str">
        <x:v>Marjieta Awg</x:v>
      </x:c>
      <x:c r="C4101" s="16" t="str"/>
      <x:c r="D4101" s="16" t="str">
        <x:v>* myContacts</x:v>
      </x:c>
      <x:c r="E4101" s="16" t="str">
        <x:v>Missing email</x:v>
      </x:c>
    </x:row>
    <x:row r="4102">
      <x:c r="A4102" s="16" t="n">
        <x:v>4245</x:v>
      </x:c>
      <x:c r="B4102" s="16" t="str">
        <x:v>Mark Clay Son</x:v>
      </x:c>
      <x:c r="C4102" s="16" t="str"/>
      <x:c r="D4102" s="16" t="str">
        <x:v>* myContacts</x:v>
      </x:c>
      <x:c r="E4102" s="16" t="str">
        <x:v>Missing email</x:v>
      </x:c>
    </x:row>
    <x:row r="4103">
      <x:c r="A4103" s="16" t="n">
        <x:v>4246</x:v>
      </x:c>
      <x:c r="B4103" s="16" t="str">
        <x:v>Mark Leyy</x:v>
      </x:c>
      <x:c r="C4103" s="16" t="str"/>
      <x:c r="D4103" s="16" t="str">
        <x:v>* myContacts</x:v>
      </x:c>
      <x:c r="E4103" s="16" t="str">
        <x:v>Missing email</x:v>
      </x:c>
    </x:row>
    <x:row r="4104">
      <x:c r="A4104" s="16" t="n">
        <x:v>4247</x:v>
      </x:c>
      <x:c r="B4104" s="16" t="str">
        <x:v>MarlinaAsraf Kasih</x:v>
      </x:c>
      <x:c r="C4104" s="16" t="str"/>
      <x:c r="D4104" s="16" t="str">
        <x:v>* myContacts</x:v>
      </x:c>
      <x:c r="E4104" s="16" t="str">
        <x:v>Missing email</x:v>
      </x:c>
    </x:row>
    <x:row r="4105">
      <x:c r="A4105" s="16" t="n">
        <x:v>4248</x:v>
      </x:c>
      <x:c r="B4105" s="16" t="str">
        <x:v>marvan bin kitcha AGP</x:v>
      </x:c>
      <x:c r="C4105" s="16" t="str"/>
      <x:c r="D4105" s="16" t="str">
        <x:v>* myContacts</x:v>
      </x:c>
      <x:c r="E4105" s="16" t="str">
        <x:v>Missing email</x:v>
      </x:c>
    </x:row>
    <x:row r="4106">
      <x:c r="A4106" s="16" t="n">
        <x:v>4249</x:v>
      </x:c>
      <x:c r="B4106" s="16" t="str">
        <x:v>Marwan Hj Beluar</x:v>
      </x:c>
      <x:c r="C4106" s="16" t="str"/>
      <x:c r="D4106" s="16" t="str">
        <x:v>* myContacts</x:v>
      </x:c>
      <x:c r="E4106" s="16" t="str">
        <x:v>Missing email</x:v>
      </x:c>
    </x:row>
    <x:row r="4107">
      <x:c r="A4107" s="16" t="n">
        <x:v>4250</x:v>
      </x:c>
      <x:c r="B4107" s="16" t="str">
        <x:v>Marynna Abd</x:v>
      </x:c>
      <x:c r="C4107" s="16" t="str"/>
      <x:c r="D4107" s="16" t="str">
        <x:v>* myContacts</x:v>
      </x:c>
      <x:c r="E4107" s="16" t="str">
        <x:v>Missing email</x:v>
      </x:c>
    </x:row>
    <x:row r="4108">
      <x:c r="A4108" s="16" t="n">
        <x:v>4251</x:v>
      </x:c>
      <x:c r="B4108" s="16" t="str">
        <x:v>Mas Alinda</x:v>
      </x:c>
      <x:c r="C4108" s="16" t="str"/>
      <x:c r="D4108" s="16" t="str">
        <x:v>* myContacts</x:v>
      </x:c>
      <x:c r="E4108" s="16" t="str">
        <x:v>Missing email</x:v>
      </x:c>
    </x:row>
    <x:row r="4109">
      <x:c r="A4109" s="16" t="n">
        <x:v>4252</x:v>
      </x:c>
      <x:c r="B4109" s="16" t="str">
        <x:v>Mas Ayu Student Eusahawan KL</x:v>
      </x:c>
      <x:c r="C4109" s="16" t="str"/>
      <x:c r="D4109" s="16" t="str">
        <x:v>* myContacts</x:v>
      </x:c>
      <x:c r="E4109" s="16" t="str">
        <x:v>Missing email</x:v>
      </x:c>
    </x:row>
    <x:row r="4110">
      <x:c r="A4110" s="16" t="n">
        <x:v>4253</x:v>
      </x:c>
      <x:c r="B4110" s="16" t="str">
        <x:v>Mas Dini Muzammal</x:v>
      </x:c>
      <x:c r="C4110" s="16" t="str"/>
      <x:c r="D4110" s="16" t="str">
        <x:v>* myContacts</x:v>
      </x:c>
      <x:c r="E4110" s="16" t="str">
        <x:v>Missing email</x:v>
      </x:c>
    </x:row>
    <x:row r="4111">
      <x:c r="A4111" s="16" t="n">
        <x:v>4254</x:v>
      </x:c>
      <x:c r="B4111" s="16" t="str">
        <x:v>Mas Mazuin</x:v>
      </x:c>
      <x:c r="C4111" s="16" t="str"/>
      <x:c r="D4111" s="16" t="str">
        <x:v>* myContacts</x:v>
      </x:c>
      <x:c r="E4111" s="16" t="str">
        <x:v>Missing email</x:v>
      </x:c>
    </x:row>
    <x:row r="4112">
      <x:c r="A4112" s="16" t="n">
        <x:v>4255</x:v>
      </x:c>
      <x:c r="B4112" s="16" t="str">
        <x:v>Mas Tri Kanem</x:v>
      </x:c>
      <x:c r="C4112" s="16" t="str"/>
      <x:c r="D4112" s="16" t="str">
        <x:v>* myContacts</x:v>
      </x:c>
      <x:c r="E4112" s="16" t="str">
        <x:v>Missing email</x:v>
      </x:c>
    </x:row>
    <x:row r="4113">
      <x:c r="A4113" s="16" t="n">
        <x:v>4256</x:v>
      </x:c>
      <x:c r="B4113" s="16" t="str">
        <x:v>Masadnan As-sabaki</x:v>
      </x:c>
      <x:c r="C4113" s="16" t="str"/>
      <x:c r="D4113" s="16" t="str">
        <x:v>* myContacts</x:v>
      </x:c>
      <x:c r="E4113" s="16" t="str">
        <x:v>Missing email</x:v>
      </x:c>
    </x:row>
    <x:row r="4114">
      <x:c r="A4114" s="16" t="n">
        <x:v>4257</x:v>
      </x:c>
      <x:c r="B4114" s="16" t="str">
        <x:v>masanthi kawan SEE MIN</x:v>
      </x:c>
      <x:c r="C4114" s="16" t="str"/>
      <x:c r="D4114" s="16" t="str">
        <x:v>* myContacts</x:v>
      </x:c>
      <x:c r="E4114" s="16" t="str">
        <x:v>Missing email</x:v>
      </x:c>
    </x:row>
    <x:row r="4115">
      <x:c r="A4115" s="16" t="n">
        <x:v>4258</x:v>
      </x:c>
      <x:c r="B4115" s="16" t="str">
        <x:v>Masfarid Ù...Ø§Ø³ Ù Ø±ÙŠØ¯</x:v>
      </x:c>
      <x:c r="C4115" s="16" t="str"/>
      <x:c r="D4115" s="16" t="str">
        <x:v>* myContacts</x:v>
      </x:c>
      <x:c r="E4115" s="16" t="str">
        <x:v>Missing email</x:v>
      </x:c>
    </x:row>
    <x:row r="4116">
      <x:c r="A4116" s="16" t="n">
        <x:v>4259</x:v>
      </x:c>
      <x:c r="B4116" s="16" t="str">
        <x:v>Mashitah Abas</x:v>
      </x:c>
      <x:c r="C4116" s="16" t="str"/>
      <x:c r="D4116" s="16" t="str">
        <x:v>* myContacts</x:v>
      </x:c>
      <x:c r="E4116" s="16" t="str">
        <x:v>Missing email</x:v>
      </x:c>
    </x:row>
    <x:row r="4117">
      <x:c r="A4117" s="16" t="n">
        <x:v>4260</x:v>
      </x:c>
      <x:c r="B4117" s="16" t="str">
        <x:v>Mashitah Muhamad</x:v>
      </x:c>
      <x:c r="C4117" s="16" t="str"/>
      <x:c r="D4117" s="16" t="str">
        <x:v>* myContacts</x:v>
      </x:c>
      <x:c r="E4117" s="16" t="str">
        <x:v>Missing email</x:v>
      </x:c>
    </x:row>
    <x:row r="4118">
      <x:c r="A4118" s="16" t="n">
        <x:v>4261</x:v>
      </x:c>
      <x:c r="B4118" s="16" t="str">
        <x:v>Mashudi Sulaiman</x:v>
      </x:c>
      <x:c r="C4118" s="16" t="str"/>
      <x:c r="D4118" s="16" t="str">
        <x:v>* myContacts</x:v>
      </x:c>
      <x:c r="E4118" s="16" t="str">
        <x:v>Missing email</x:v>
      </x:c>
    </x:row>
    <x:row r="4119">
      <x:c r="A4119" s="16" t="n">
        <x:v>4262</x:v>
      </x:c>
      <x:c r="B4119" s="16" t="str">
        <x:v>Masie Kosim</x:v>
      </x:c>
      <x:c r="C4119" s="16" t="str"/>
      <x:c r="D4119" s="16" t="str">
        <x:v>* myContacts</x:v>
      </x:c>
      <x:c r="E4119" s="16" t="str">
        <x:v>Missing email</x:v>
      </x:c>
    </x:row>
    <x:row r="4120">
      <x:c r="A4120" s="16" t="n">
        <x:v>4263</x:v>
      </x:c>
      <x:c r="B4120" s="16" t="str">
        <x:v>Masieta Mas</x:v>
      </x:c>
      <x:c r="C4120" s="16" t="str"/>
      <x:c r="D4120" s="16" t="str">
        <x:v>* myContacts</x:v>
      </x:c>
      <x:c r="E4120" s="16" t="str">
        <x:v>Missing email</x:v>
      </x:c>
    </x:row>
    <x:row r="4121">
      <x:c r="A4121" s="16" t="n">
        <x:v>4264</x:v>
      </x:c>
      <x:c r="B4121" s="16" t="str">
        <x:v>Masita Abdul Rahaman</x:v>
      </x:c>
      <x:c r="C4121" s="16" t="str"/>
      <x:c r="D4121" s="16" t="str">
        <x:v>* myContacts</x:v>
      </x:c>
      <x:c r="E4121" s="16" t="str">
        <x:v>Missing email</x:v>
      </x:c>
    </x:row>
    <x:row r="4122">
      <x:c r="A4122" s="16" t="n">
        <x:v>4265</x:v>
      </x:c>
      <x:c r="B4122" s="16" t="str">
        <x:v>Masita Basir</x:v>
      </x:c>
      <x:c r="C4122" s="16" t="str"/>
      <x:c r="D4122" s="16" t="str">
        <x:v>* myContacts</x:v>
      </x:c>
      <x:c r="E4122" s="16" t="str">
        <x:v>Missing email</x:v>
      </x:c>
    </x:row>
    <x:row r="4123">
      <x:c r="A4123" s="16" t="n">
        <x:v>4266</x:v>
      </x:c>
      <x:c r="B4123" s="16" t="str">
        <x:v>Masita Mohd Misbani VOE EU 2023</x:v>
      </x:c>
      <x:c r="C4123" s="16" t="str"/>
      <x:c r="D4123" s="16" t="str">
        <x:v>* myContacts</x:v>
      </x:c>
      <x:c r="E4123" s="16" t="str">
        <x:v>Missing email</x:v>
      </x:c>
    </x:row>
    <x:row r="4124">
      <x:c r="A4124" s="16" t="n">
        <x:v>4267</x:v>
      </x:c>
      <x:c r="B4124" s="16" t="str">
        <x:v>Masitah Mansor</x:v>
      </x:c>
      <x:c r="C4124" s="16" t="str"/>
      <x:c r="D4124" s="16" t="str">
        <x:v>* myContacts</x:v>
      </x:c>
      <x:c r="E4124" s="16" t="str">
        <x:v>Missing email</x:v>
      </x:c>
    </x:row>
    <x:row r="4125">
      <x:c r="A4125" s="16" t="n">
        <x:v>4268</x:v>
      </x:c>
      <x:c r="B4125" s="16" t="str">
        <x:v>Maskidah AGP</x:v>
      </x:c>
      <x:c r="C4125" s="16" t="str"/>
      <x:c r="D4125" s="16" t="str">
        <x:v>* myContacts</x:v>
      </x:c>
      <x:c r="E4125" s="16" t="str">
        <x:v>Missing email</x:v>
      </x:c>
    </x:row>
    <x:row r="4126">
      <x:c r="A4126" s="16" t="n">
        <x:v>4269</x:v>
      </x:c>
      <x:c r="B4126" s="16" t="str">
        <x:v>Maslianti Mas Bahrin</x:v>
      </x:c>
      <x:c r="C4126" s="16" t="str"/>
      <x:c r="D4126" s="16" t="str">
        <x:v>* myContacts</x:v>
      </x:c>
      <x:c r="E4126" s="16" t="str">
        <x:v>Missing email</x:v>
      </x:c>
    </x:row>
    <x:row r="4127">
      <x:c r="A4127" s="16" t="n">
        <x:v>4270</x:v>
      </x:c>
      <x:c r="B4127" s="16" t="str">
        <x:v>Masmie Barut Murah</x:v>
      </x:c>
      <x:c r="C4127" s="16" t="str"/>
      <x:c r="D4127" s="16" t="str">
        <x:v>* myContacts</x:v>
      </x:c>
      <x:c r="E4127" s="16" t="str">
        <x:v>Missing email</x:v>
      </x:c>
    </x:row>
    <x:row r="4128">
      <x:c r="A4128" s="16" t="n">
        <x:v>4271</x:v>
      </x:c>
      <x:c r="B4128" s="16" t="str">
        <x:v>Masni Saini</x:v>
      </x:c>
      <x:c r="C4128" s="16" t="str"/>
      <x:c r="D4128" s="16" t="str">
        <x:v>* myContacts</x:v>
      </x:c>
      <x:c r="E4128" s="16" t="str">
        <x:v>Missing email</x:v>
      </x:c>
    </x:row>
    <x:row r="4129">
      <x:c r="A4129" s="16" t="n">
        <x:v>4272</x:v>
      </x:c>
      <x:c r="B4129" s="16" t="str">
        <x:v>Masnizah Naini</x:v>
      </x:c>
      <x:c r="C4129" s="16" t="str"/>
      <x:c r="D4129" s="16" t="str">
        <x:v>* myContacts</x:v>
      </x:c>
      <x:c r="E4129" s="16" t="str">
        <x:v>Missing email</x:v>
      </x:c>
    </x:row>
    <x:row r="4130">
      <x:c r="A4130" s="16" t="n">
        <x:v>4273</x:v>
      </x:c>
      <x:c r="B4130" s="16" t="str">
        <x:v>Masrul MH Gemilang Agent AGP Tier 1</x:v>
      </x:c>
      <x:c r="C4130" s="16" t="str"/>
      <x:c r="D4130" s="16" t="str">
        <x:v>* myContacts</x:v>
      </x:c>
      <x:c r="E4130" s="16" t="str">
        <x:v>Missing email</x:v>
      </x:c>
    </x:row>
    <x:row r="4131">
      <x:c r="A4131" s="16" t="n">
        <x:v>4274</x:v>
      </x:c>
      <x:c r="B4131" s="16" t="str">
        <x:v>Massturah Mass</x:v>
      </x:c>
      <x:c r="C4131" s="16" t="str"/>
      <x:c r="D4131" s="16" t="str">
        <x:v>* myContacts</x:v>
      </x:c>
      <x:c r="E4131" s="16" t="str">
        <x:v>Missing email</x:v>
      </x:c>
    </x:row>
    <x:row r="4132">
      <x:c r="A4132" s="16" t="n">
        <x:v>4275</x:v>
      </x:c>
      <x:c r="B4132" s="16" t="str">
        <x:v>Master Azriel 2</x:v>
      </x:c>
      <x:c r="C4132" s="16" t="str"/>
      <x:c r="D4132" s="16" t="str">
        <x:v>* myContacts</x:v>
      </x:c>
      <x:c r="E4132" s="16" t="str">
        <x:v>Missing email</x:v>
      </x:c>
    </x:row>
    <x:row r="4133">
      <x:c r="A4133" s="16" t="n">
        <x:v>4276</x:v>
      </x:c>
      <x:c r="B4133" s="16" t="str">
        <x:v>Master Azriel Trainer</x:v>
      </x:c>
      <x:c r="C4133" s="16" t="str"/>
      <x:c r="D4133" s="16" t="str">
        <x:v>Trainer | * myContacts</x:v>
      </x:c>
      <x:c r="E4133" s="16" t="str">
        <x:v>Missing email</x:v>
      </x:c>
    </x:row>
    <x:row r="4134">
      <x:c r="A4134" s="16" t="n">
        <x:v>4277</x:v>
      </x:c>
      <x:c r="B4134" s="16" t="str">
        <x:v>Master Gero Azrul</x:v>
      </x:c>
      <x:c r="C4134" s="16" t="str"/>
      <x:c r="D4134" s="16" t="str">
        <x:v>* myContacts</x:v>
      </x:c>
      <x:c r="E4134" s="16" t="str">
        <x:v>Missing email</x:v>
      </x:c>
    </x:row>
    <x:row r="4135">
      <x:c r="A4135" s="16" t="n">
        <x:v>4278</x:v>
      </x:c>
      <x:c r="B4135" s="16" t="str">
        <x:v>Master Hazrnil</x:v>
      </x:c>
      <x:c r="C4135" s="16" t="str"/>
      <x:c r="D4135" s="16" t="str">
        <x:v>* myContacts</x:v>
      </x:c>
      <x:c r="E4135" s="16" t="str">
        <x:v>Missing email</x:v>
      </x:c>
    </x:row>
    <x:row r="4136">
      <x:c r="A4136" s="16" t="n">
        <x:v>4279</x:v>
      </x:c>
      <x:c r="B4136" s="16" t="str">
        <x:v>Master Khairi Ariff like method</x:v>
      </x:c>
      <x:c r="C4136" s="16" t="str"/>
      <x:c r="D4136" s="16" t="str">
        <x:v>* myContacts</x:v>
      </x:c>
      <x:c r="E4136" s="16" t="str">
        <x:v>Missing email</x:v>
      </x:c>
    </x:row>
    <x:row r="4137">
      <x:c r="A4137" s="16" t="n">
        <x:v>4280</x:v>
      </x:c>
      <x:c r="B4137" s="16" t="str">
        <x:v>master Noorul Mdec IM</x:v>
      </x:c>
      <x:c r="C4137" s="16" t="str"/>
      <x:c r="D4137" s="16" t="str">
        <x:v>* myContacts</x:v>
      </x:c>
      <x:c r="E4137" s="16" t="str">
        <x:v>Missing email</x:v>
      </x:c>
    </x:row>
    <x:row r="4138">
      <x:c r="A4138" s="16" t="n">
        <x:v>4281</x:v>
      </x:c>
      <x:c r="B4138" s="16" t="str">
        <x:v>Master Rozman</x:v>
      </x:c>
      <x:c r="C4138" s="16" t="str"/>
      <x:c r="D4138" s="16" t="str">
        <x:v>* myContacts</x:v>
      </x:c>
      <x:c r="E4138" s="16" t="str">
        <x:v>Missing email</x:v>
      </x:c>
    </x:row>
    <x:row r="4139">
      <x:c r="A4139" s="16" t="n">
        <x:v>4282</x:v>
      </x:c>
      <x:c r="B4139" s="16" t="str">
        <x:v>Master Sifu Zamzuri Abdullah</x:v>
      </x:c>
      <x:c r="C4139" s="16" t="str"/>
      <x:c r="D4139" s="16" t="str">
        <x:v>Trainer | * myContacts</x:v>
      </x:c>
      <x:c r="E4139" s="16" t="str">
        <x:v>Missing email</x:v>
      </x:c>
    </x:row>
    <x:row r="4140">
      <x:c r="A4140" s="16" t="n">
        <x:v>4283</x:v>
      </x:c>
      <x:c r="B4140" s="16" t="str">
        <x:v>Mastura Kumaldin Dms</x:v>
      </x:c>
      <x:c r="C4140" s="16" t="str"/>
      <x:c r="D4140" s="16" t="str">
        <x:v>* myContacts</x:v>
      </x:c>
      <x:c r="E4140" s="16" t="str">
        <x:v>Missing email</x:v>
      </x:c>
    </x:row>
    <x:row r="4141">
      <x:c r="A4141" s="16" t="n">
        <x:v>4284</x:v>
      </x:c>
      <x:c r="B4141" s="16" t="str">
        <x:v>Mastura Ramli</x:v>
      </x:c>
      <x:c r="C4141" s="16" t="str"/>
      <x:c r="D4141" s="16" t="str">
        <x:v>* myContacts</x:v>
      </x:c>
      <x:c r="E4141" s="16" t="str">
        <x:v>Missing email</x:v>
      </x:c>
    </x:row>
    <x:row r="4142">
      <x:c r="A4142" s="16" t="n">
        <x:v>4285</x:v>
      </x:c>
      <x:c r="B4142" s="16" t="str">
        <x:v>Mastura Shariai</x:v>
      </x:c>
      <x:c r="C4142" s="16" t="str"/>
      <x:c r="D4142" s="16" t="str">
        <x:v>* myContacts</x:v>
      </x:c>
      <x:c r="E4142" s="16" t="str">
        <x:v>Missing email</x:v>
      </x:c>
    </x:row>
    <x:row r="4143">
      <x:c r="A4143" s="16" t="n">
        <x:v>4286</x:v>
      </x:c>
      <x:c r="B4143" s="16" t="str">
        <x:v>Masuk Gua Officer</x:v>
      </x:c>
      <x:c r="C4143" s="16" t="str"/>
      <x:c r="D4143" s="16" t="str">
        <x:v>* myContacts</x:v>
      </x:c>
      <x:c r="E4143" s="16" t="str">
        <x:v>Missing email</x:v>
      </x:c>
    </x:row>
    <x:row r="4144">
      <x:c r="A4144" s="16" t="n">
        <x:v>4287</x:v>
      </x:c>
      <x:c r="B4144" s="16" t="str">
        <x:v>Masyitah Othman</x:v>
      </x:c>
      <x:c r="C4144" s="16" t="str"/>
      <x:c r="D4144" s="16" t="str">
        <x:v>* myContacts</x:v>
      </x:c>
      <x:c r="E4144" s="16" t="str">
        <x:v>Missing email</x:v>
      </x:c>
    </x:row>
    <x:row r="4145">
      <x:c r="A4145" s="16" t="n">
        <x:v>4288</x:v>
      </x:c>
      <x:c r="B4145" s="16" t="str">
        <x:v>Maszuin Sidek</x:v>
      </x:c>
      <x:c r="C4145" s="16" t="str"/>
      <x:c r="D4145" s="16" t="str">
        <x:v>* myContacts</x:v>
      </x:c>
      <x:c r="E4145" s="16" t="str">
        <x:v>Missing email</x:v>
      </x:c>
    </x:row>
    <x:row r="4146">
      <x:c r="A4146" s="16" t="n">
        <x:v>4289</x:v>
      </x:c>
      <x:c r="B4146" s="16" t="str">
        <x:v>mat designer</x:v>
      </x:c>
      <x:c r="C4146" s="16" t="str"/>
      <x:c r="D4146" s="16" t="str">
        <x:v>* myContacts</x:v>
      </x:c>
      <x:c r="E4146" s="16" t="str">
        <x:v>Missing email</x:v>
      </x:c>
    </x:row>
    <x:row r="4147">
      <x:c r="A4147" s="16" t="n">
        <x:v>4290</x:v>
      </x:c>
      <x:c r="B4147" s="16" t="str">
        <x:v>Mat Pickers</x:v>
      </x:c>
      <x:c r="C4147" s="16" t="str"/>
      <x:c r="D4147" s="16" t="str">
        <x:v>* myContacts</x:v>
      </x:c>
      <x:c r="E4147" s="16" t="str">
        <x:v>Missing email</x:v>
      </x:c>
    </x:row>
    <x:row r="4148">
      <x:c r="A4148" s="16" t="n">
        <x:v>4291</x:v>
      </x:c>
      <x:c r="B4148" s="16" t="str">
        <x:v>Mat Slamber</x:v>
      </x:c>
      <x:c r="C4148" s="16" t="str"/>
      <x:c r="D4148" s="16" t="str">
        <x:v>* myContacts</x:v>
      </x:c>
      <x:c r="E4148" s="16" t="str">
        <x:v>Missing email</x:v>
      </x:c>
    </x:row>
    <x:row r="4149">
      <x:c r="A4149" s="16" t="n">
        <x:v>4292</x:v>
      </x:c>
      <x:c r="B4149" s="16" t="str">
        <x:v>Mat Spura</x:v>
      </x:c>
      <x:c r="C4149" s="16" t="str"/>
      <x:c r="D4149" s="16" t="str">
        <x:v>* myContacts</x:v>
      </x:c>
      <x:c r="E4149" s="16" t="str">
        <x:v>Missing email</x:v>
      </x:c>
    </x:row>
    <x:row r="4150">
      <x:c r="A4150" s="16" t="n">
        <x:v>4293</x:v>
      </x:c>
      <x:c r="B4150" s="16" t="str">
        <x:v>Mat Sufi Tukang Urut</x:v>
      </x:c>
      <x:c r="C4150" s="16" t="str"/>
      <x:c r="D4150" s="16" t="str">
        <x:v>* myContacts</x:v>
      </x:c>
      <x:c r="E4150" s="16" t="str">
        <x:v>Missing email</x:v>
      </x:c>
    </x:row>
    <x:row r="4151">
      <x:c r="A4151" s="16" t="n">
        <x:v>4294</x:v>
      </x:c>
      <x:c r="B4151" s="16" t="str">
        <x:v>Mat Yie</x:v>
      </x:c>
      <x:c r="C4151" s="16" t="str"/>
      <x:c r="D4151" s="16" t="str">
        <x:v>* myContacts</x:v>
      </x:c>
      <x:c r="E4151" s="16" t="str">
        <x:v>Missing email</x:v>
      </x:c>
    </x:row>
    <x:row r="4152">
      <x:c r="A4152" s="16" t="n">
        <x:v>4295</x:v>
      </x:c>
      <x:c r="B4152" s="16" t="str">
        <x:v>Mat Zul</x:v>
      </x:c>
      <x:c r="C4152" s="16" t="str"/>
      <x:c r="D4152" s="16" t="str">
        <x:v>* myContacts</x:v>
      </x:c>
      <x:c r="E4152" s="16" t="str">
        <x:v>Missing email</x:v>
      </x:c>
    </x:row>
    <x:row r="4153">
      <x:c r="A4153" s="16" t="n">
        <x:v>4296</x:v>
      </x:c>
      <x:c r="B4153" s="16" t="str">
        <x:v>Mata King</x:v>
      </x:c>
      <x:c r="C4153" s="16" t="str"/>
      <x:c r="D4153" s="16" t="str">
        <x:v>* myContacts</x:v>
      </x:c>
      <x:c r="E4153" s="16" t="str">
        <x:v>Missing email</x:v>
      </x:c>
    </x:row>
    <x:row r="4154">
      <x:c r="A4154" s="16" t="n">
        <x:v>4297</x:v>
      </x:c>
      <x:c r="B4154" s="16" t="str">
        <x:v>Mataga Lait</x:v>
      </x:c>
      <x:c r="C4154" s="16" t="str"/>
      <x:c r="D4154" s="16" t="str">
        <x:v>* myContacts</x:v>
      </x:c>
      <x:c r="E4154" s="16" t="str">
        <x:v>Missing email</x:v>
      </x:c>
    </x:row>
    <x:row r="4155">
      <x:c r="A4155" s="16" t="n">
        <x:v>4298</x:v>
      </x:c>
      <x:c r="B4155" s="16" t="str">
        <x:v>MatGanu Noor GM</x:v>
      </x:c>
      <x:c r="C4155" s="16" t="str"/>
      <x:c r="D4155" s="16" t="str">
        <x:v>* myContacts</x:v>
      </x:c>
      <x:c r="E4155" s="16" t="str">
        <x:v>Missing email</x:v>
      </x:c>
    </x:row>
    <x:row r="4156">
      <x:c r="A4156" s="16" t="n">
        <x:v>4299</x:v>
      </x:c>
      <x:c r="B4156" s="16" t="str">
        <x:v>Mati Hidup Semula</x:v>
      </x:c>
      <x:c r="C4156" s="16" t="str"/>
      <x:c r="D4156" s="16" t="str">
        <x:v>* myContacts</x:v>
      </x:c>
      <x:c r="E4156" s="16" t="str">
        <x:v>Missing email</x:v>
      </x:c>
    </x:row>
    <x:row r="4157">
      <x:c r="A4157" s="16" t="n">
        <x:v>4301</x:v>
      </x:c>
      <x:c r="B4157" s="16" t="str">
        <x:v>Mawar Mawar</x:v>
      </x:c>
      <x:c r="C4157" s="16" t="str"/>
      <x:c r="D4157" s="16" t="str">
        <x:v>* myContacts</x:v>
      </x:c>
      <x:c r="E4157" s="16" t="str">
        <x:v>Missing email</x:v>
      </x:c>
    </x:row>
    <x:row r="4158">
      <x:c r="A4158" s="16" t="n">
        <x:v>4302</x:v>
      </x:c>
      <x:c r="B4158" s="16" t="str">
        <x:v>Mawar Merah</x:v>
      </x:c>
      <x:c r="C4158" s="16" t="str"/>
      <x:c r="D4158" s="16" t="str">
        <x:v>* myContacts</x:v>
      </x:c>
      <x:c r="E4158" s="16" t="str">
        <x:v>Missing email</x:v>
      </x:c>
    </x:row>
    <x:row r="4159">
      <x:c r="A4159" s="16" t="n">
        <x:v>4303</x:v>
      </x:c>
      <x:c r="B4159" s="16" t="str">
        <x:v>Mawar Putih</x:v>
      </x:c>
      <x:c r="C4159" s="16" t="str"/>
      <x:c r="D4159" s="16" t="str">
        <x:v>* myContacts</x:v>
      </x:c>
      <x:c r="E4159" s="16" t="str">
        <x:v>Missing email</x:v>
      </x:c>
    </x:row>
    <x:row r="4160">
      <x:c r="A4160" s="16" t="n">
        <x:v>4304</x:v>
      </x:c>
      <x:c r="B4160" s="16" t="str">
        <x:v>Mawarni AGP</x:v>
      </x:c>
      <x:c r="C4160" s="16" t="str"/>
      <x:c r="D4160" s="16" t="str">
        <x:v>* myContacts</x:v>
      </x:c>
      <x:c r="E4160" s="16" t="str">
        <x:v>Missing email</x:v>
      </x:c>
    </x:row>
    <x:row r="4161">
      <x:c r="A4161" s="16" t="n">
        <x:v>4305</x:v>
      </x:c>
      <x:c r="B4161" s="16" t="str">
        <x:v>Max</x:v>
      </x:c>
      <x:c r="C4161" s="16" t="str"/>
      <x:c r="D4161" s="16" t="str">
        <x:v>* myContacts</x:v>
      </x:c>
      <x:c r="E4161" s="16" t="str">
        <x:v>Missing email</x:v>
      </x:c>
    </x:row>
    <x:row r="4162">
      <x:c r="A4162" s="16" t="n">
        <x:v>4306</x:v>
      </x:c>
      <x:c r="B4162" s="16" t="str">
        <x:v>Mr Max</x:v>
      </x:c>
      <x:c r="C4162" s="16" t="str"/>
      <x:c r="D4162" s="16" t="str">
        <x:v>* myContacts</x:v>
      </x:c>
      <x:c r="E4162" s="16" t="str">
        <x:v>Missing email</x:v>
      </x:c>
    </x:row>
    <x:row r="4163">
      <x:c r="A4163" s="16" t="n">
        <x:v>4307</x:v>
      </x:c>
      <x:c r="B4163" s="16" t="str">
        <x:v>Maya Sari</x:v>
      </x:c>
      <x:c r="C4163" s="16" t="str"/>
      <x:c r="D4163" s="16" t="str">
        <x:v>* myContacts</x:v>
      </x:c>
      <x:c r="E4163" s="16" t="str">
        <x:v>Missing email</x:v>
      </x:c>
    </x:row>
    <x:row r="4164">
      <x:c r="A4164" s="16" t="n">
        <x:v>4308</x:v>
      </x:c>
      <x:c r="B4164" s="16" t="str">
        <x:v>Maybank Achu</x:v>
      </x:c>
      <x:c r="C4164" s="16" t="str"/>
      <x:c r="D4164" s="16" t="str">
        <x:v>* myContacts</x:v>
      </x:c>
      <x:c r="E4164" s="16" t="str">
        <x:v>Missing email</x:v>
      </x:c>
    </x:row>
    <x:row r="4165">
      <x:c r="A4165" s="16" t="n">
        <x:v>4309</x:v>
      </x:c>
      <x:c r="B4165" s="16" t="str">
        <x:v>Maz Mansor</x:v>
      </x:c>
      <x:c r="C4165" s="16" t="str"/>
      <x:c r="D4165" s="16" t="str">
        <x:v>* myContacts</x:v>
      </x:c>
      <x:c r="E4165" s="16" t="str">
        <x:v>Missing email</x:v>
      </x:c>
    </x:row>
    <x:row r="4166">
      <x:c r="A4166" s="16" t="n">
        <x:v>4310</x:v>
      </x:c>
      <x:c r="B4166" s="16" t="str">
        <x:v>Mazhuan Agent AGP Tier 1</x:v>
      </x:c>
      <x:c r="C4166" s="16" t="str"/>
      <x:c r="D4166" s="16" t="str">
        <x:v>* myContacts</x:v>
      </x:c>
      <x:c r="E4166" s="16" t="str">
        <x:v>Missing email</x:v>
      </x:c>
    </x:row>
    <x:row r="4167">
      <x:c r="A4167" s="16" t="n">
        <x:v>4311</x:v>
      </x:c>
      <x:c r="B4167" s="16" t="str">
        <x:v>Maziah Mat Zin</x:v>
      </x:c>
      <x:c r="C4167" s="16" t="str"/>
      <x:c r="D4167" s="16" t="str">
        <x:v>* myContacts</x:v>
      </x:c>
      <x:c r="E4167" s="16" t="str">
        <x:v>Missing email</x:v>
      </x:c>
    </x:row>
    <x:row r="4168">
      <x:c r="A4168" s="16" t="n">
        <x:v>4312</x:v>
      </x:c>
      <x:c r="B4168" s="16" t="str">
        <x:v>Maziah Morad</x:v>
      </x:c>
      <x:c r="C4168" s="16" t="str"/>
      <x:c r="D4168" s="16" t="str">
        <x:v>* myContacts</x:v>
      </x:c>
      <x:c r="E4168" s="16" t="str">
        <x:v>Missing email</x:v>
      </x:c>
    </x:row>
    <x:row r="4169">
      <x:c r="A4169" s="16" t="n">
        <x:v>4313</x:v>
      </x:c>
      <x:c r="B4169" s="16" t="str">
        <x:v>Mazirah Muhammad Sultan</x:v>
      </x:c>
      <x:c r="C4169" s="16" t="str"/>
      <x:c r="D4169" s="16" t="str">
        <x:v>* myContacts</x:v>
      </x:c>
      <x:c r="E4169" s="16" t="str">
        <x:v>Missing email</x:v>
      </x:c>
    </x:row>
    <x:row r="4170">
      <x:c r="A4170" s="16" t="n">
        <x:v>4314</x:v>
      </x:c>
      <x:c r="B4170" s="16" t="str">
        <x:v>Mazlan Ahmad</x:v>
      </x:c>
      <x:c r="C4170" s="16" t="str"/>
      <x:c r="D4170" s="16" t="str">
        <x:v>* myContacts</x:v>
      </x:c>
      <x:c r="E4170" s="16" t="str">
        <x:v>Missing email</x:v>
      </x:c>
    </x:row>
    <x:row r="4171">
      <x:c r="A4171" s="16" t="n">
        <x:v>4315</x:v>
      </x:c>
      <x:c r="B4171" s="16" t="str">
        <x:v>Mazlan Zonan Traveller</x:v>
      </x:c>
      <x:c r="C4171" s="16" t="str"/>
      <x:c r="D4171" s="16" t="str">
        <x:v>* myContacts</x:v>
      </x:c>
      <x:c r="E4171" s="16" t="str">
        <x:v>Missing email</x:v>
      </x:c>
    </x:row>
    <x:row r="4172">
      <x:c r="A4172" s="16" t="n">
        <x:v>4316</x:v>
      </x:c>
      <x:c r="B4172" s="16" t="str">
        <x:v>Mazlina Int3tree</x:v>
      </x:c>
      <x:c r="C4172" s="16" t="str"/>
      <x:c r="D4172" s="16" t="str">
        <x:v>* myContacts</x:v>
      </x:c>
      <x:c r="E4172" s="16" t="str">
        <x:v>Missing email</x:v>
      </x:c>
    </x:row>
    <x:row r="4173">
      <x:c r="A4173" s="16" t="n">
        <x:v>4317</x:v>
      </x:c>
      <x:c r="B4173" s="16" t="str">
        <x:v>Mazlina Md Padli</x:v>
      </x:c>
      <x:c r="C4173" s="16" t="str"/>
      <x:c r="D4173" s="16" t="str">
        <x:v>* myContacts</x:v>
      </x:c>
      <x:c r="E4173" s="16" t="str">
        <x:v>Missing email</x:v>
      </x:c>
    </x:row>
    <x:row r="4174">
      <x:c r="A4174" s="16" t="n">
        <x:v>4318</x:v>
      </x:c>
      <x:c r="B4174" s="16" t="str">
        <x:v>Maznee Ismail</x:v>
      </x:c>
      <x:c r="C4174" s="16" t="str"/>
      <x:c r="D4174" s="16" t="str">
        <x:v>* myContacts</x:v>
      </x:c>
      <x:c r="E4174" s="16" t="str">
        <x:v>Missing email</x:v>
      </x:c>
    </x:row>
    <x:row r="4175">
      <x:c r="A4175" s="16" t="n">
        <x:v>4319</x:v>
      </x:c>
      <x:c r="B4175" s="16" t="str">
        <x:v>Mazni Kay</x:v>
      </x:c>
      <x:c r="C4175" s="16" t="str"/>
      <x:c r="D4175" s="16" t="str">
        <x:v>* myContacts</x:v>
      </x:c>
      <x:c r="E4175" s="16" t="str">
        <x:v>Missing email</x:v>
      </x:c>
    </x:row>
    <x:row r="4176">
      <x:c r="A4176" s="16" t="n">
        <x:v>4320</x:v>
      </x:c>
      <x:c r="B4176" s="16" t="str">
        <x:v>Mazni Pusat Internet Kubu Gajah</x:v>
      </x:c>
      <x:c r="C4176" s="16" t="str"/>
      <x:c r="D4176" s="16" t="str">
        <x:v>* myContacts</x:v>
      </x:c>
      <x:c r="E4176" s="16" t="str">
        <x:v>Missing email</x:v>
      </x:c>
    </x:row>
    <x:row r="4177">
      <x:c r="A4177" s="16" t="n">
        <x:v>4321</x:v>
      </x:c>
      <x:c r="B4177" s="16" t="str">
        <x:v>Mazni Student Fb Ads</x:v>
      </x:c>
      <x:c r="C4177" s="16" t="str"/>
      <x:c r="D4177" s="16" t="str">
        <x:v>* myContacts</x:v>
      </x:c>
      <x:c r="E4177" s="16" t="str">
        <x:v>Missing email</x:v>
      </x:c>
    </x:row>
    <x:row r="4178">
      <x:c r="A4178" s="16" t="n">
        <x:v>4322</x:v>
      </x:c>
      <x:c r="B4178" s="16" t="str">
        <x:v>Maznie Ahmad</x:v>
      </x:c>
      <x:c r="C4178" s="16" t="str"/>
      <x:c r="D4178" s="16" t="str">
        <x:v>* myContacts</x:v>
      </x:c>
      <x:c r="E4178" s="16" t="str">
        <x:v>Missing email</x:v>
      </x:c>
    </x:row>
    <x:row r="4179">
      <x:c r="A4179" s="16" t="n">
        <x:v>4323</x:v>
      </x:c>
      <x:c r="B4179" s="16" t="str">
        <x:v>Mazuin Mazelan</x:v>
      </x:c>
      <x:c r="C4179" s="16" t="str"/>
      <x:c r="D4179" s="16" t="str">
        <x:v>* myContacts</x:v>
      </x:c>
      <x:c r="E4179" s="16" t="str">
        <x:v>Missing email</x:v>
      </x:c>
    </x:row>
    <x:row r="4180">
      <x:c r="A4180" s="16" t="n">
        <x:v>4324</x:v>
      </x:c>
      <x:c r="B4180" s="16" t="str">
        <x:v>Mc Nazs</x:v>
      </x:c>
      <x:c r="C4180" s="16" t="str"/>
      <x:c r="D4180" s="16" t="str">
        <x:v>* myContacts</x:v>
      </x:c>
      <x:c r="E4180" s="16" t="str">
        <x:v>Missing email</x:v>
      </x:c>
    </x:row>
    <x:row r="4181">
      <x:c r="A4181" s="16" t="n">
        <x:v>4325</x:v>
      </x:c>
      <x:c r="B4181" s="16" t="str">
        <x:v>MC Telly</x:v>
      </x:c>
      <x:c r="C4181" s="16" t="str"/>
      <x:c r="D4181" s="16" t="str">
        <x:v>* myContacts</x:v>
      </x:c>
      <x:c r="E4181" s="16" t="str">
        <x:v>Missing email</x:v>
      </x:c>
    </x:row>
    <x:row r="4182">
      <x:c r="A4182" s="16" t="n">
        <x:v>4326</x:v>
      </x:c>
      <x:c r="B4182" s="16" t="str">
        <x:v>Md Bayzed</x:v>
      </x:c>
      <x:c r="C4182" s="16" t="str"/>
      <x:c r="D4182" s="16" t="str">
        <x:v>* myContacts</x:v>
      </x:c>
      <x:c r="E4182" s="16" t="str">
        <x:v>Missing email</x:v>
      </x:c>
    </x:row>
    <x:row r="4183">
      <x:c r="A4183" s="16" t="n">
        <x:v>4328</x:v>
      </x:c>
      <x:c r="B4183" s="16" t="str">
        <x:v>MD Faris Amir</x:v>
      </x:c>
      <x:c r="C4183" s="16" t="str"/>
      <x:c r="D4183" s="16" t="str">
        <x:v>* myContacts</x:v>
      </x:c>
      <x:c r="E4183" s="16" t="str">
        <x:v>Missing email</x:v>
      </x:c>
    </x:row>
    <x:row r="4184">
      <x:c r="A4184" s="16" t="n">
        <x:v>4329</x:v>
      </x:c>
      <x:c r="B4184" s="16" t="str">
        <x:v>MD Iron</x:v>
      </x:c>
      <x:c r="C4184" s="16" t="str"/>
      <x:c r="D4184" s="16" t="str">
        <x:v>* myContacts</x:v>
      </x:c>
      <x:c r="E4184" s="16" t="str">
        <x:v>Missing email</x:v>
      </x:c>
    </x:row>
    <x:row r="4185">
      <x:c r="A4185" s="16" t="n">
        <x:v>4330</x:v>
      </x:c>
      <x:c r="B4185" s="16" t="str">
        <x:v>Md Mahafuzur</x:v>
      </x:c>
      <x:c r="C4185" s="16" t="str"/>
      <x:c r="D4185" s="16" t="str">
        <x:v>* myContacts</x:v>
      </x:c>
      <x:c r="E4185" s="16" t="str">
        <x:v>Missing email</x:v>
      </x:c>
    </x:row>
    <x:row r="4186">
      <x:c r="A4186" s="16" t="n">
        <x:v>4331</x:v>
      </x:c>
      <x:c r="B4186" s="16" t="str">
        <x:v>md nazrul shah sunroof</x:v>
      </x:c>
      <x:c r="C4186" s="16" t="str"/>
      <x:c r="D4186" s="16" t="str">
        <x:v>* myContacts</x:v>
      </x:c>
      <x:c r="E4186" s="16" t="str">
        <x:v>Missing email</x:v>
      </x:c>
    </x:row>
    <x:row r="4187">
      <x:c r="A4187" s="16" t="n">
        <x:v>4332</x:v>
      </x:c>
      <x:c r="B4187" s="16" t="str">
        <x:v>Md Noor Used Car</x:v>
      </x:c>
      <x:c r="C4187" s="16" t="str"/>
      <x:c r="D4187" s="16" t="str">
        <x:v>* myContacts</x:v>
      </x:c>
      <x:c r="E4187" s="16" t="str">
        <x:v>Missing email</x:v>
      </x:c>
    </x:row>
    <x:row r="4188">
      <x:c r="A4188" s="16" t="n">
        <x:v>4333</x:v>
      </x:c>
      <x:c r="B4188" s="16" t="str">
        <x:v>Md Nor Ismail</x:v>
      </x:c>
      <x:c r="C4188" s="16" t="str"/>
      <x:c r="D4188" s="16" t="str">
        <x:v>* myContacts</x:v>
      </x:c>
      <x:c r="E4188" s="16" t="str">
        <x:v>Missing email</x:v>
      </x:c>
    </x:row>
    <x:row r="4189">
      <x:c r="A4189" s="16" t="n">
        <x:v>4334</x:v>
      </x:c>
      <x:c r="B4189" s="16" t="str">
        <x:v>Md Safwann B. Danniel</x:v>
      </x:c>
      <x:c r="C4189" s="16" t="str"/>
      <x:c r="D4189" s="16" t="str">
        <x:v>* myContacts</x:v>
      </x:c>
      <x:c r="E4189" s="16" t="str">
        <x:v>Missing email</x:v>
      </x:c>
    </x:row>
    <x:row r="4190">
      <x:c r="A4190" s="16" t="n">
        <x:v>4335</x:v>
      </x:c>
      <x:c r="B4190" s="16" t="str">
        <x:v>Md Unoz</x:v>
      </x:c>
      <x:c r="C4190" s="16" t="str"/>
      <x:c r="D4190" s="16" t="str">
        <x:v>* myContacts</x:v>
      </x:c>
      <x:c r="E4190" s="16" t="str">
        <x:v>Missing email</x:v>
      </x:c>
    </x:row>
    <x:row r="4191">
      <x:c r="A4191" s="16" t="n">
        <x:v>4336</x:v>
      </x:c>
      <x:c r="B4191" s="16" t="str">
        <x:v>MdÃ±orzi Yus</x:v>
      </x:c>
      <x:c r="C4191" s="16" t="str"/>
      <x:c r="D4191" s="16" t="str">
        <x:v>* myContacts</x:v>
      </x:c>
      <x:c r="E4191" s="16" t="str">
        <x:v>Missing email</x:v>
      </x:c>
    </x:row>
    <x:row r="4192">
      <x:c r="A4192" s="16" t="n">
        <x:v>4337</x:v>
      </x:c>
      <x:c r="B4192" s="16" t="str">
        <x:v>Mdec Anis</x:v>
      </x:c>
      <x:c r="C4192" s="16" t="str"/>
      <x:c r="D4192" s="16" t="str">
        <x:v>* myContacts</x:v>
      </x:c>
      <x:c r="E4192" s="16" t="str">
        <x:v>Missing email</x:v>
      </x:c>
    </x:row>
    <x:row r="4193">
      <x:c r="A4193" s="16" t="n">
        <x:v>4338</x:v>
      </x:c>
      <x:c r="B4193" s="16" t="str">
        <x:v>Me Ng used car dealer</x:v>
      </x:c>
      <x:c r="C4193" s="16" t="str"/>
      <x:c r="D4193" s="16" t="str">
        <x:v>* myContacts</x:v>
      </x:c>
      <x:c r="E4193" s="16" t="str">
        <x:v>Missing email</x:v>
      </x:c>
    </x:row>
    <x:row r="4194">
      <x:c r="A4194" s="16" t="n">
        <x:v>4339</x:v>
      </x:c>
      <x:c r="B4194" s="16" t="str">
        <x:v>Mee Mimi</x:v>
      </x:c>
      <x:c r="C4194" s="16" t="str"/>
      <x:c r="D4194" s="16" t="str">
        <x:v>* myContacts</x:v>
      </x:c>
      <x:c r="E4194" s="16" t="str">
        <x:v>Missing email</x:v>
      </x:c>
    </x:row>
    <x:row r="4195">
      <x:c r="A4195" s="16" t="n">
        <x:v>4340</x:v>
      </x:c>
      <x:c r="B4195" s="16" t="str">
        <x:v>Meeva HG</x:v>
      </x:c>
      <x:c r="C4195" s="16" t="str"/>
      <x:c r="D4195" s="16" t="str">
        <x:v>* myContacts</x:v>
      </x:c>
      <x:c r="E4195" s="16" t="str">
        <x:v>Missing email</x:v>
      </x:c>
    </x:row>
    <x:row r="4196">
      <x:c r="A4196" s="16" t="n">
        <x:v>4341</x:v>
      </x:c>
      <x:c r="B4196" s="16" t="str">
        <x:v>Meganath Thala Rasigan</x:v>
      </x:c>
      <x:c r="C4196" s="16" t="str"/>
      <x:c r="D4196" s="16" t="str">
        <x:v>* myContacts</x:v>
      </x:c>
      <x:c r="E4196" s="16" t="str">
        <x:v>Missing email</x:v>
      </x:c>
    </x:row>
    <x:row r="4197">
      <x:c r="A4197" s="16" t="n">
        <x:v>4342</x:v>
      </x:c>
      <x:c r="B4197" s="16" t="str">
        <x:v>Megat Mohd Hazwan Zamir</x:v>
      </x:c>
      <x:c r="C4197" s="16" t="str"/>
      <x:c r="D4197" s="16" t="str">
        <x:v>* myContacts</x:v>
      </x:c>
      <x:c r="E4197" s="16" t="str">
        <x:v>Missing email</x:v>
      </x:c>
    </x:row>
    <x:row r="4198">
      <x:c r="A4198" s="16" t="n">
        <x:v>4343</x:v>
      </x:c>
      <x:c r="B4198" s="16" t="str">
        <x:v>Megat Taman Desa Minang</x:v>
      </x:c>
      <x:c r="C4198" s="16" t="str"/>
      <x:c r="D4198" s="16" t="str">
        <x:v>* myContacts</x:v>
      </x:c>
      <x:c r="E4198" s="16" t="str">
        <x:v>Missing email</x:v>
      </x:c>
    </x:row>
    <x:row r="4199">
      <x:c r="A4199" s="16" t="n">
        <x:v>4344</x:v>
      </x:c>
      <x:c r="B4199" s="16" t="str">
        <x:v>Mei-yi Mei-yi</x:v>
      </x:c>
      <x:c r="C4199" s="16" t="str"/>
      <x:c r="D4199" s="16" t="str">
        <x:v>* myContacts</x:v>
      </x:c>
      <x:c r="E4199" s="16" t="str">
        <x:v>Missing email</x:v>
      </x:c>
    </x:row>
    <x:row r="4200">
      <x:c r="A4200" s="16" t="n">
        <x:v>4345</x:v>
      </x:c>
      <x:c r="B4200" s="16" t="str">
        <x:v>Mejar (K) David Teo</x:v>
      </x:c>
      <x:c r="C4200" s="16" t="str"/>
      <x:c r="D4200" s="16" t="str">
        <x:v>* myContacts</x:v>
      </x:c>
      <x:c r="E4200" s="16" t="str">
        <x:v>Missing email</x:v>
      </x:c>
    </x:row>
    <x:row r="4201">
      <x:c r="A4201" s="16" t="n">
        <x:v>4346</x:v>
      </x:c>
      <x:c r="B4201" s="16" t="str">
        <x:v>Mejar Qayum</x:v>
      </x:c>
      <x:c r="C4201" s="16" t="str"/>
      <x:c r="D4201" s="16" t="str">
        <x:v>* myContacts</x:v>
      </x:c>
      <x:c r="E4201" s="16" t="str">
        <x:v>Missing email</x:v>
      </x:c>
    </x:row>
    <x:row r="4202">
      <x:c r="A4202" s="16" t="n">
        <x:v>4347</x:v>
      </x:c>
      <x:c r="B4202" s="16" t="str">
        <x:v>Mejar Yusri Latip</x:v>
      </x:c>
      <x:c r="C4202" s="16" t="str"/>
      <x:c r="D4202" s="16" t="str">
        <x:v>* myContacts</x:v>
      </x:c>
      <x:c r="E4202" s="16" t="str">
        <x:v>Missing email</x:v>
      </x:c>
    </x:row>
    <x:row r="4203">
      <x:c r="A4203" s="16" t="n">
        <x:v>4348</x:v>
      </x:c>
      <x:c r="B4203" s="16" t="str">
        <x:v>MekAwe Kitchen</x:v>
      </x:c>
      <x:c r="C4203" s="16" t="str"/>
      <x:c r="D4203" s="16" t="str">
        <x:v>* myContacts</x:v>
      </x:c>
      <x:c r="E4203" s="16" t="str">
        <x:v>Missing email</x:v>
      </x:c>
    </x:row>
    <x:row r="4204">
      <x:c r="A4204" s="16" t="n">
        <x:v>4349</x:v>
      </x:c>
      <x:c r="B4204" s="16" t="str">
        <x:v>Melancong Pakejstudentmurah</x:v>
      </x:c>
      <x:c r="C4204" s="16" t="str"/>
      <x:c r="D4204" s="16" t="str">
        <x:v>* myContacts</x:v>
      </x:c>
      <x:c r="E4204" s="16" t="str">
        <x:v>Missing email</x:v>
      </x:c>
    </x:row>
    <x:row r="4205">
      <x:c r="A4205" s="16" t="n">
        <x:v>4350</x:v>
      </x:c>
      <x:c r="B4205" s="16" t="str">
        <x:v>Melati Sukmayu</x:v>
      </x:c>
      <x:c r="C4205" s="16" t="str"/>
      <x:c r="D4205" s="16" t="str">
        <x:v>* myContacts</x:v>
      </x:c>
      <x:c r="E4205" s="16" t="str">
        <x:v>Missing email</x:v>
      </x:c>
    </x:row>
    <x:row r="4206">
      <x:c r="A4206" s="16" t="n">
        <x:v>4351</x:v>
      </x:c>
      <x:c r="B4206" s="16" t="str">
        <x:v>Melvin Rubin</x:v>
      </x:c>
      <x:c r="C4206" s="16" t="str"/>
      <x:c r="D4206" s="16" t="str">
        <x:v>* myContacts</x:v>
      </x:c>
      <x:c r="E4206" s="16" t="str">
        <x:v>Missing email</x:v>
      </x:c>
    </x:row>
    <x:row r="4207">
      <x:c r="A4207" s="16" t="n">
        <x:v>4352</x:v>
      </x:c>
      <x:c r="B4207" s="16" t="str">
        <x:v>Mentari Pagi</x:v>
      </x:c>
      <x:c r="C4207" s="16" t="str"/>
      <x:c r="D4207" s="16" t="str">
        <x:v>* myContacts</x:v>
      </x:c>
      <x:c r="E4207" s="16" t="str">
        <x:v>Missing email</x:v>
      </x:c>
    </x:row>
    <x:row r="4208">
      <x:c r="A4208" s="16" t="n">
        <x:v>4353</x:v>
      </x:c>
      <x:c r="B4208" s="16" t="str">
        <x:v>Mentor Dato Khalid</x:v>
      </x:c>
      <x:c r="C4208" s="16" t="str"/>
      <x:c r="D4208" s="16" t="str">
        <x:v>* myContacts</x:v>
      </x:c>
      <x:c r="E4208" s="16" t="str">
        <x:v>Missing email</x:v>
      </x:c>
    </x:row>
    <x:row r="4209">
      <x:c r="A4209" s="16" t="n">
        <x:v>4354</x:v>
      </x:c>
      <x:c r="B4209" s="16" t="str">
        <x:v>Mentoring 2023 Herdawaty Zulkiflee</x:v>
      </x:c>
      <x:c r="C4209" s="16" t="str"/>
      <x:c r="D4209" s="16" t="str">
        <x:v>* myContacts</x:v>
      </x:c>
      <x:c r="E4209" s="16" t="str">
        <x:v>Missing email</x:v>
      </x:c>
    </x:row>
    <x:row r="4210">
      <x:c r="A4210" s="16" t="n">
        <x:v>4355</x:v>
      </x:c>
      <x:c r="B4210" s="16" t="str">
        <x:v>Meor Faris</x:v>
      </x:c>
      <x:c r="C4210" s="16" t="str"/>
      <x:c r="D4210" s="16" t="str">
        <x:v>* myContacts</x:v>
      </x:c>
      <x:c r="E4210" s="16" t="str">
        <x:v>Missing email</x:v>
      </x:c>
    </x:row>
    <x:row r="4211">
      <x:c r="A4211" s="16" t="n">
        <x:v>4356</x:v>
      </x:c>
      <x:c r="B4211" s="16" t="str">
        <x:v>Meor Sukri Meor Osman</x:v>
      </x:c>
      <x:c r="C4211" s="16" t="str"/>
      <x:c r="D4211" s="16" t="str">
        <x:v>* myContacts</x:v>
      </x:c>
      <x:c r="E4211" s="16" t="str">
        <x:v>Missing email</x:v>
      </x:c>
    </x:row>
    <x:row r="4212">
      <x:c r="A4212" s="16" t="n">
        <x:v>4357</x:v>
      </x:c>
      <x:c r="B4212" s="16" t="str">
        <x:v>meow creal box</x:v>
      </x:c>
      <x:c r="C4212" s="16" t="str"/>
      <x:c r="D4212" s="16" t="str">
        <x:v>* myContacts</x:v>
      </x:c>
      <x:c r="E4212" s="16" t="str">
        <x:v>Missing email</x:v>
      </x:c>
    </x:row>
    <x:row r="4213">
      <x:c r="A4213" s="16" t="n">
        <x:v>4358</x:v>
      </x:c>
      <x:c r="B4213" s="16" t="str">
        <x:v>Mer Rah</x:v>
      </x:c>
      <x:c r="C4213" s="16" t="str"/>
      <x:c r="D4213" s="16" t="str">
        <x:v>* myContacts</x:v>
      </x:c>
      <x:c r="E4213" s="16" t="str">
        <x:v>Missing email</x:v>
      </x:c>
    </x:row>
    <x:row r="4214">
      <x:c r="A4214" s="16" t="n">
        <x:v>4359</x:v>
      </x:c>
      <x:c r="B4214" s="16" t="str">
        <x:v>Mereng Achik</x:v>
      </x:c>
      <x:c r="C4214" s="16" t="str"/>
      <x:c r="D4214" s="16" t="str">
        <x:v>* myContacts</x:v>
      </x:c>
      <x:c r="E4214" s="16" t="str">
        <x:v>Missing email</x:v>
      </x:c>
    </x:row>
    <x:row r="4215">
      <x:c r="A4215" s="16" t="n">
        <x:v>4360</x:v>
      </x:c>
      <x:c r="B4215" s="16" t="str">
        <x:v>Mesti Selamba</x:v>
      </x:c>
      <x:c r="C4215" s="16" t="str"/>
      <x:c r="D4215" s="16" t="str">
        <x:v>* myContacts</x:v>
      </x:c>
      <x:c r="E4215" s="16" t="str">
        <x:v>Missing email</x:v>
      </x:c>
    </x:row>
    <x:row r="4216">
      <x:c r="A4216" s="16" t="n">
        <x:v>4361</x:v>
      </x:c>
      <x:c r="B4216" s="16" t="str">
        <x:v>meta hotel staff</x:v>
      </x:c>
      <x:c r="C4216" s="16" t="str"/>
      <x:c r="D4216" s="16" t="str">
        <x:v>* myContacts</x:v>
      </x:c>
      <x:c r="E4216" s="16" t="str">
        <x:v>Missing email</x:v>
      </x:c>
    </x:row>
    <x:row r="4217">
      <x:c r="A4217" s="16" t="n">
        <x:v>4362</x:v>
      </x:c>
      <x:c r="B4217" s="16" t="str">
        <x:v>Mex Kak Nurra</x:v>
      </x:c>
      <x:c r="C4217" s="16" t="str"/>
      <x:c r="D4217" s="16" t="str">
        <x:v>* myContacts</x:v>
      </x:c>
      <x:c r="E4217" s="16" t="str">
        <x:v>Missing email</x:v>
      </x:c>
    </x:row>
    <x:row r="4218">
      <x:c r="A4218" s="16" t="n">
        <x:v>4363</x:v>
      </x:c>
      <x:c r="B4218" s="16" t="str">
        <x:v>Meyla Bali Transport</x:v>
      </x:c>
      <x:c r="C4218" s="16" t="str"/>
      <x:c r="D4218" s="16" t="str">
        <x:v>* myContacts</x:v>
      </x:c>
      <x:c r="E4218" s="16" t="str">
        <x:v>Missing email</x:v>
      </x:c>
    </x:row>
    <x:row r="4219">
      <x:c r="A4219" s="16" t="n">
        <x:v>4364</x:v>
      </x:c>
      <x:c r="B4219" s="16" t="str">
        <x:v>Mhd Hamidon AGP</x:v>
      </x:c>
      <x:c r="C4219" s="16" t="str"/>
      <x:c r="D4219" s="16" t="str">
        <x:v>* myContacts</x:v>
      </x:c>
      <x:c r="E4219" s="16" t="str">
        <x:v>Missing email</x:v>
      </x:c>
    </x:row>
    <x:row r="4220">
      <x:c r="A4220" s="16" t="n">
        <x:v>4365</x:v>
      </x:c>
      <x:c r="B4220" s="16" t="str">
        <x:v>MI Kha IL</x:v>
      </x:c>
      <x:c r="C4220" s="16" t="str"/>
      <x:c r="D4220" s="16" t="str">
        <x:v>* myContacts</x:v>
      </x:c>
      <x:c r="E4220" s="16" t="str">
        <x:v>Missing email</x:v>
      </x:c>
    </x:row>
    <x:row r="4221">
      <x:c r="A4221" s="16" t="n">
        <x:v>4366</x:v>
      </x:c>
      <x:c r="B4221" s="16" t="str">
        <x:v>Mia Amera</x:v>
      </x:c>
      <x:c r="C4221" s="16" t="str"/>
      <x:c r="D4221" s="16" t="str">
        <x:v>* myContacts</x:v>
      </x:c>
      <x:c r="E4221" s="16" t="str">
        <x:v>Missing email</x:v>
      </x:c>
    </x:row>
    <x:row r="4222">
      <x:c r="A4222" s="16" t="n">
        <x:v>4367</x:v>
      </x:c>
      <x:c r="B4222" s="16" t="str">
        <x:v>Michelle KPJ Marketing Head</x:v>
      </x:c>
      <x:c r="C4222" s="16" t="str"/>
      <x:c r="D4222" s="16" t="str">
        <x:v>* myContacts</x:v>
      </x:c>
      <x:c r="E4222" s="16" t="str">
        <x:v>Missing email</x:v>
      </x:c>
    </x:row>
    <x:row r="4223">
      <x:c r="A4223" s="16" t="n">
        <x:v>4368</x:v>
      </x:c>
      <x:c r="B4223" s="16" t="str">
        <x:v>mickey</x:v>
      </x:c>
      <x:c r="C4223" s="16" t="str"/>
      <x:c r="D4223" s="16" t="str">
        <x:v>* myContacts</x:v>
      </x:c>
      <x:c r="E4223" s="16" t="str">
        <x:v>Missing email</x:v>
      </x:c>
    </x:row>
    <x:row r="4224">
      <x:c r="A4224" s="16" t="n">
        <x:v>4369</x:v>
      </x:c>
      <x:c r="B4224" s="16" t="str">
        <x:v>Microsoft Malaysia</x:v>
      </x:c>
      <x:c r="C4224" s="16" t="str"/>
      <x:c r="D4224" s="16" t="str">
        <x:v>* myContacts</x:v>
      </x:c>
      <x:c r="E4224" s="16" t="str">
        <x:v>Missing email</x:v>
      </x:c>
    </x:row>
    <x:row r="4225">
      <x:c r="A4225" s="16" t="n">
        <x:v>4370</x:v>
      </x:c>
      <x:c r="B4225" s="16" t="str">
        <x:v>Mie Khalid</x:v>
      </x:c>
      <x:c r="C4225" s="16" t="str"/>
      <x:c r="D4225" s="16" t="str">
        <x:v>* myContacts</x:v>
      </x:c>
      <x:c r="E4225" s="16" t="str">
        <x:v>Missing email</x:v>
      </x:c>
    </x:row>
    <x:row r="4226">
      <x:c r="A4226" s="16" t="n">
        <x:v>4371</x:v>
      </x:c>
      <x:c r="B4226" s="16" t="str">
        <x:v>Mie Korea</x:v>
      </x:c>
      <x:c r="C4226" s="16" t="str"/>
      <x:c r="D4226" s="16" t="str">
        <x:v>* myContacts</x:v>
      </x:c>
      <x:c r="E4226" s="16" t="str">
        <x:v>Missing email</x:v>
      </x:c>
    </x:row>
    <x:row r="4227">
      <x:c r="A4227" s="16" t="n">
        <x:v>4372</x:v>
      </x:c>
      <x:c r="B4227" s="16" t="str">
        <x:v>Mie Min</x:v>
      </x:c>
      <x:c r="C4227" s="16" t="str"/>
      <x:c r="D4227" s="16" t="str">
        <x:v>* myContacts</x:v>
      </x:c>
      <x:c r="E4227" s="16" t="str">
        <x:v>Missing email</x:v>
      </x:c>
    </x:row>
    <x:row r="4228">
      <x:c r="A4228" s="16" t="n">
        <x:v>4373</x:v>
      </x:c>
      <x:c r="B4228" s="16" t="str">
        <x:v>Mie Rull</x:v>
      </x:c>
      <x:c r="C4228" s="16" t="str"/>
      <x:c r="D4228" s="16" t="str">
        <x:v>* myContacts</x:v>
      </x:c>
      <x:c r="E4228" s="16" t="str">
        <x:v>Missing email</x:v>
      </x:c>
    </x:row>
    <x:row r="4229">
      <x:c r="A4229" s="16" t="n">
        <x:v>4374</x:v>
      </x:c>
      <x:c r="B4229" s="16" t="str">
        <x:v>Mie Signage Ironwork</x:v>
      </x:c>
      <x:c r="C4229" s="16" t="str"/>
      <x:c r="D4229" s="16" t="str">
        <x:v>* myContacts</x:v>
      </x:c>
      <x:c r="E4229" s="16" t="str">
        <x:v>Missing email</x:v>
      </x:c>
    </x:row>
    <x:row r="4230">
      <x:c r="A4230" s="16" t="n">
        <x:v>4375</x:v>
      </x:c>
      <x:c r="B4230" s="16" t="str">
        <x:v>Mieda Amieda</x:v>
      </x:c>
      <x:c r="C4230" s="16" t="str"/>
      <x:c r="D4230" s="16" t="str">
        <x:v>* myContacts</x:v>
      </x:c>
      <x:c r="E4230" s="16" t="str">
        <x:v>Missing email</x:v>
      </x:c>
    </x:row>
    <x:row r="4231">
      <x:c r="A4231" s="16" t="n">
        <x:v>4376</x:v>
      </x:c>
      <x:c r="B4231" s="16" t="str">
        <x:v>Miera Amylia</x:v>
      </x:c>
      <x:c r="C4231" s="16" t="str"/>
      <x:c r="D4231" s="16" t="str">
        <x:v>* myContacts</x:v>
      </x:c>
      <x:c r="E4231" s="16" t="str">
        <x:v>Missing email</x:v>
      </x:c>
    </x:row>
    <x:row r="4232">
      <x:c r="A4232" s="16" t="n">
        <x:v>4377</x:v>
      </x:c>
      <x:c r="B4232" s="16" t="str">
        <x:v>Miera Rosli</x:v>
      </x:c>
      <x:c r="C4232" s="16" t="str"/>
      <x:c r="D4232" s="16" t="str">
        <x:v>* myContacts</x:v>
      </x:c>
      <x:c r="E4232" s="16" t="str">
        <x:v>Missing email</x:v>
      </x:c>
    </x:row>
    <x:row r="4233">
      <x:c r="A4233" s="16" t="n">
        <x:v>4378</x:v>
      </x:c>
      <x:c r="B4233" s="16" t="str">
        <x:v>Mieza KekCinta Dungun</x:v>
      </x:c>
      <x:c r="C4233" s="16" t="str"/>
      <x:c r="D4233" s="16" t="str">
        <x:v>* myContacts</x:v>
      </x:c>
      <x:c r="E4233" s="16" t="str">
        <x:v>Missing email</x:v>
      </x:c>
    </x:row>
    <x:row r="4234">
      <x:c r="A4234" s="16" t="n">
        <x:v>4379</x:v>
      </x:c>
      <x:c r="B4234" s="16" t="str">
        <x:v>Miezar Hermeyzar</x:v>
      </x:c>
      <x:c r="C4234" s="16" t="str"/>
      <x:c r="D4234" s="16" t="str">
        <x:v>* myContacts</x:v>
      </x:c>
      <x:c r="E4234" s="16" t="str">
        <x:v>Missing email</x:v>
      </x:c>
    </x:row>
    <x:row r="4235">
      <x:c r="A4235" s="16" t="n">
        <x:v>4380</x:v>
      </x:c>
      <x:c r="B4235" s="16" t="str">
        <x:v>MightyGpt</x:v>
      </x:c>
      <x:c r="C4235" s="16" t="str"/>
      <x:c r="D4235" s="16" t="str">
        <x:v>* myContacts</x:v>
      </x:c>
      <x:c r="E4235" s="16" t="str">
        <x:v>Missing email</x:v>
      </x:c>
    </x:row>
    <x:row r="4236">
      <x:c r="A4236" s="16" t="n">
        <x:v>4381</x:v>
      </x:c>
      <x:c r="B4236" s="16" t="str">
        <x:v>Mija Saufi</x:v>
      </x:c>
      <x:c r="C4236" s="16" t="str"/>
      <x:c r="D4236" s="16" t="str">
        <x:v>* myContacts</x:v>
      </x:c>
      <x:c r="E4236" s="16" t="str">
        <x:v>Missing email</x:v>
      </x:c>
    </x:row>
    <x:row r="4237">
      <x:c r="A4237" s="16" t="n">
        <x:v>4382</x:v>
      </x:c>
      <x:c r="B4237" s="16" t="str">
        <x:v>Mika Ahlong</x:v>
      </x:c>
      <x:c r="C4237" s="16" t="str"/>
      <x:c r="D4237" s="16" t="str">
        <x:v>* myContacts</x:v>
      </x:c>
      <x:c r="E4237" s="16" t="str">
        <x:v>Missing email</x:v>
      </x:c>
    </x:row>
    <x:row r="4238">
      <x:c r="A4238" s="16" t="n">
        <x:v>4383</x:v>
      </x:c>
      <x:c r="B4238" s="16" t="str">
        <x:v>Mike Nintendo</x:v>
      </x:c>
      <x:c r="C4238" s="16" t="str"/>
      <x:c r="D4238" s="16" t="str">
        <x:v>* myContacts</x:v>
      </x:c>
      <x:c r="E4238" s="16" t="str">
        <x:v>Missing email</x:v>
      </x:c>
    </x:row>
    <x:row r="4239">
      <x:c r="A4239" s="16" t="n">
        <x:v>4384</x:v>
      </x:c>
      <x:c r="B4239" s="16" t="str">
        <x:v>Miki Student</x:v>
      </x:c>
      <x:c r="C4239" s="16" t="str"/>
      <x:c r="D4239" s="16" t="str">
        <x:v>* myContacts</x:v>
      </x:c>
      <x:c r="E4239" s="16" t="str">
        <x:v>Missing email</x:v>
      </x:c>
    </x:row>
    <x:row r="4240">
      <x:c r="A4240" s="16" t="n">
        <x:v>4385</x:v>
      </x:c>
      <x:c r="B4240" s="16" t="str">
        <x:v>Mima Unggul MUent</x:v>
      </x:c>
      <x:c r="C4240" s="16" t="str"/>
      <x:c r="D4240" s="16" t="str">
        <x:v>* myContacts</x:v>
      </x:c>
      <x:c r="E4240" s="16" t="str">
        <x:v>Missing email</x:v>
      </x:c>
    </x:row>
    <x:row r="4241">
      <x:c r="A4241" s="16" t="n">
        <x:v>4386</x:v>
      </x:c>
      <x:c r="B4241" s="16" t="str">
        <x:v>Mimi Akma</x:v>
      </x:c>
      <x:c r="C4241" s="16" t="str"/>
      <x:c r="D4241" s="16" t="str">
        <x:v>* myContacts</x:v>
      </x:c>
      <x:c r="E4241" s="16" t="str">
        <x:v>Missing email</x:v>
      </x:c>
    </x:row>
    <x:row r="4242">
      <x:c r="A4242" s="16" t="n">
        <x:v>4387</x:v>
      </x:c>
      <x:c r="B4242" s="16" t="str">
        <x:v>Mimi Aseema</x:v>
      </x:c>
      <x:c r="C4242" s="16" t="str"/>
      <x:c r="D4242" s="16" t="str">
        <x:v>* myContacts</x:v>
      </x:c>
      <x:c r="E4242" s="16" t="str">
        <x:v>Missing email</x:v>
      </x:c>
    </x:row>
    <x:row r="4243">
      <x:c r="A4243" s="16" t="n">
        <x:v>4388</x:v>
      </x:c>
      <x:c r="B4243" s="16" t="str">
        <x:v>Mimi Bearbuekk</x:v>
      </x:c>
      <x:c r="C4243" s="16" t="str"/>
      <x:c r="D4243" s="16" t="str">
        <x:v>* myContacts</x:v>
      </x:c>
      <x:c r="E4243" s="16" t="str">
        <x:v>Missing email</x:v>
      </x:c>
    </x:row>
    <x:row r="4244">
      <x:c r="A4244" s="16" t="n">
        <x:v>4389</x:v>
      </x:c>
      <x:c r="B4244" s="16" t="str">
        <x:v>Mimi Nazura</x:v>
      </x:c>
      <x:c r="C4244" s="16" t="str"/>
      <x:c r="D4244" s="16" t="str">
        <x:v>* myContacts</x:v>
      </x:c>
      <x:c r="E4244" s="16" t="str">
        <x:v>Missing email</x:v>
      </x:c>
    </x:row>
    <x:row r="4245">
      <x:c r="A4245" s="16" t="n">
        <x:v>4390</x:v>
      </x:c>
      <x:c r="B4245" s="16" t="str">
        <x:v>Mimi Pedas Coachee</x:v>
      </x:c>
      <x:c r="C4245" s="16" t="str"/>
      <x:c r="D4245" s="16" t="str">
        <x:v>Trainer | * myContacts</x:v>
      </x:c>
      <x:c r="E4245" s="16" t="str">
        <x:v>Missing email</x:v>
      </x:c>
    </x:row>
    <x:row r="4246">
      <x:c r="A4246" s="16" t="n">
        <x:v>4391</x:v>
      </x:c>
      <x:c r="B4246" s="16" t="str">
        <x:v>Dr Mimi Pedas Coachee</x:v>
      </x:c>
      <x:c r="C4246" s="16" t="str"/>
      <x:c r="D4246" s="16" t="str">
        <x:v>* myContacts</x:v>
      </x:c>
      <x:c r="E4246" s="16" t="str">
        <x:v>Missing email</x:v>
      </x:c>
    </x:row>
    <x:row r="4247">
      <x:c r="A4247" s="16" t="n">
        <x:v>4392</x:v>
      </x:c>
      <x:c r="B4247" s="16" t="str">
        <x:v>Dr Mimi Pedas Phone 2</x:v>
      </x:c>
      <x:c r="C4247" s="16" t="str"/>
      <x:c r="D4247" s="16" t="str">
        <x:v>* myContacts</x:v>
      </x:c>
      <x:c r="E4247" s="16" t="str">
        <x:v>Missing email</x:v>
      </x:c>
    </x:row>
    <x:row r="4248">
      <x:c r="A4248" s="16" t="n">
        <x:v>4393</x:v>
      </x:c>
      <x:c r="B4248" s="16" t="str">
        <x:v>Mimi Zahra</x:v>
      </x:c>
      <x:c r="C4248" s="16" t="str"/>
      <x:c r="D4248" s="16" t="str">
        <x:v>* myContacts</x:v>
      </x:c>
      <x:c r="E4248" s="16" t="str">
        <x:v>Missing email</x:v>
      </x:c>
    </x:row>
    <x:row r="4249">
      <x:c r="A4249" s="16" t="n">
        <x:v>4394</x:v>
      </x:c>
      <x:c r="B4249" s="16" t="str">
        <x:v>Mimie Mohd Rahim Lmg</x:v>
      </x:c>
      <x:c r="C4249" s="16" t="str"/>
      <x:c r="D4249" s="16" t="str">
        <x:v>* myContacts</x:v>
      </x:c>
      <x:c r="E4249" s="16" t="str">
        <x:v>Missing email</x:v>
      </x:c>
    </x:row>
    <x:row r="4250">
      <x:c r="A4250" s="16" t="n">
        <x:v>4395</x:v>
      </x:c>
      <x:c r="B4250" s="16" t="str">
        <x:v>Mimie Sopy</x:v>
      </x:c>
      <x:c r="C4250" s="16" t="str"/>
      <x:c r="D4250" s="16" t="str">
        <x:v>* myContacts</x:v>
      </x:c>
      <x:c r="E4250" s="16" t="str">
        <x:v>Missing email</x:v>
      </x:c>
    </x:row>
    <x:row r="4251">
      <x:c r="A4251" s="16" t="n">
        <x:v>4396</x:v>
      </x:c>
      <x:c r="B4251" s="16" t="str">
        <x:v>Min Tamidi</x:v>
      </x:c>
      <x:c r="C4251" s="16" t="str"/>
      <x:c r="D4251" s="16" t="str">
        <x:v>* myContacts</x:v>
      </x:c>
      <x:c r="E4251" s="16" t="str">
        <x:v>Missing email</x:v>
      </x:c>
    </x:row>
    <x:row r="4252">
      <x:c r="A4252" s="16" t="n">
        <x:v>4397</x:v>
      </x:c>
      <x:c r="B4252" s="16" t="str">
        <x:v>Minah Comel</x:v>
      </x:c>
      <x:c r="C4252" s="16" t="str"/>
      <x:c r="D4252" s="16" t="str">
        <x:v>* myContacts</x:v>
      </x:c>
      <x:c r="E4252" s="16" t="str">
        <x:v>Missing email</x:v>
      </x:c>
    </x:row>
    <x:row r="4253">
      <x:c r="A4253" s="16" t="n">
        <x:v>4398</x:v>
      </x:c>
      <x:c r="B4253" s="16" t="str">
        <x:v>Minah Jasmi</x:v>
      </x:c>
      <x:c r="C4253" s="16" t="str"/>
      <x:c r="D4253" s="16" t="str">
        <x:v>* myContacts</x:v>
      </x:c>
      <x:c r="E4253" s="16" t="str">
        <x:v>Missing email</x:v>
      </x:c>
    </x:row>
    <x:row r="4254">
      <x:c r="A4254" s="16" t="n">
        <x:v>4399</x:v>
      </x:c>
      <x:c r="B4254" s="16" t="str">
        <x:v>Minda Aktif Minda Cemerlang</x:v>
      </x:c>
      <x:c r="C4254" s="16" t="str"/>
      <x:c r="D4254" s="16" t="str">
        <x:v>* myContacts</x:v>
      </x:c>
      <x:c r="E4254" s="16" t="str">
        <x:v>Missing email</x:v>
      </x:c>
    </x:row>
    <x:row r="4255">
      <x:c r="A4255" s="16" t="n">
        <x:v>4400</x:v>
      </x:c>
      <x:c r="B4255" s="16" t="str">
        <x:v>Ming Tik Tok</x:v>
      </x:c>
      <x:c r="C4255" s="16" t="str"/>
      <x:c r="D4255" s="16" t="str">
        <x:v>* myContacts</x:v>
      </x:c>
      <x:c r="E4255" s="16" t="str">
        <x:v>Missing email</x:v>
      </x:c>
    </x:row>
    <x:row r="4256">
      <x:c r="A4256" s="16" t="n">
        <x:v>4401</x:v>
      </x:c>
      <x:c r="B4256" s="16" t="str">
        <x:v>Puan Khasimah Minyak Afiat</x:v>
      </x:c>
      <x:c r="C4256" s="16" t="str"/>
      <x:c r="D4256" s="16" t="str">
        <x:v>* myContacts</x:v>
      </x:c>
      <x:c r="E4256" s="16" t="str">
        <x:v>Missing email</x:v>
      </x:c>
    </x:row>
    <x:row r="4257">
      <x:c r="A4257" s="16" t="n">
        <x:v>4402</x:v>
      </x:c>
      <x:c r="B4257" s="16" t="str">
        <x:v>Minyak Angin Aromatherapy Freshcare</x:v>
      </x:c>
      <x:c r="C4257" s="16" t="str"/>
      <x:c r="D4257" s="16" t="str">
        <x:v>* myContacts</x:v>
      </x:c>
      <x:c r="E4257" s="16" t="str">
        <x:v>Missing email</x:v>
      </x:c>
    </x:row>
    <x:row r="4258">
      <x:c r="A4258" s="16" t="n">
        <x:v>4403</x:v>
      </x:c>
      <x:c r="B4258" s="16" t="str">
        <x:v>minyak urut bc100</x:v>
      </x:c>
      <x:c r="C4258" s="16" t="str"/>
      <x:c r="D4258" s="16" t="str">
        <x:v>* myContacts</x:v>
      </x:c>
      <x:c r="E4258" s="16" t="str">
        <x:v>Missing email</x:v>
      </x:c>
    </x:row>
    <x:row r="4259">
      <x:c r="A4259" s="16" t="n">
        <x:v>4404</x:v>
      </x:c>
      <x:c r="B4259" s="16" t="str">
        <x:v>Mior Azhar</x:v>
      </x:c>
      <x:c r="C4259" s="16" t="str"/>
      <x:c r="D4259" s="16" t="str">
        <x:v>* myContacts</x:v>
      </x:c>
      <x:c r="E4259" s="16" t="str">
        <x:v>Missing email</x:v>
      </x:c>
    </x:row>
    <x:row r="4260">
      <x:c r="A4260" s="16" t="n">
        <x:v>4405</x:v>
      </x:c>
      <x:c r="B4260" s="16" t="str">
        <x:v>Mira Al-yahya</x:v>
      </x:c>
      <x:c r="C4260" s="16" t="str"/>
      <x:c r="D4260" s="16" t="str">
        <x:v>* myContacts</x:v>
      </x:c>
      <x:c r="E4260" s="16" t="str">
        <x:v>Missing email</x:v>
      </x:c>
    </x:row>
    <x:row r="4261">
      <x:c r="A4261" s="16" t="n">
        <x:v>4406</x:v>
      </x:c>
      <x:c r="B4261" s="16" t="str">
        <x:v>Mira Amy</x:v>
      </x:c>
      <x:c r="C4261" s="16" t="str"/>
      <x:c r="D4261" s="16" t="str">
        <x:v>* myContacts</x:v>
      </x:c>
      <x:c r="E4261" s="16" t="str">
        <x:v>Missing email</x:v>
      </x:c>
    </x:row>
    <x:row r="4262">
      <x:c r="A4262" s="16" t="n">
        <x:v>4407</x:v>
      </x:c>
      <x:c r="B4262" s="16" t="str">
        <x:v>Mira Helmi Umair</x:v>
      </x:c>
      <x:c r="C4262" s="16" t="str"/>
      <x:c r="D4262" s="16" t="str">
        <x:v>* myContacts</x:v>
      </x:c>
      <x:c r="E4262" s="16" t="str">
        <x:v>Missing email</x:v>
      </x:c>
    </x:row>
    <x:row r="4263">
      <x:c r="A4263" s="16" t="n">
        <x:v>4408</x:v>
      </x:c>
      <x:c r="B4263" s="16" t="str">
        <x:v>Mira MN</x:v>
      </x:c>
      <x:c r="C4263" s="16" t="str"/>
      <x:c r="D4263" s="16" t="str">
        <x:v>* myContacts</x:v>
      </x:c>
      <x:c r="E4263" s="16" t="str">
        <x:v>Missing email</x:v>
      </x:c>
    </x:row>
    <x:row r="4264">
      <x:c r="A4264" s="16" t="n">
        <x:v>4409</x:v>
      </x:c>
      <x:c r="B4264" s="16" t="str">
        <x:v>Mira Putri Wahida</x:v>
      </x:c>
      <x:c r="C4264" s="16" t="str"/>
      <x:c r="D4264" s="16" t="str">
        <x:v>* myContacts</x:v>
      </x:c>
      <x:c r="E4264" s="16" t="str">
        <x:v>Missing email</x:v>
      </x:c>
    </x:row>
    <x:row r="4265">
      <x:c r="A4265" s="16" t="n">
        <x:v>4410</x:v>
      </x:c>
      <x:c r="B4265" s="16" t="str">
        <x:v>Mira Sanim</x:v>
      </x:c>
      <x:c r="C4265" s="16" t="str"/>
      <x:c r="D4265" s="16" t="str">
        <x:v>* myContacts</x:v>
      </x:c>
      <x:c r="E4265" s="16" t="str">
        <x:v>Missing email</x:v>
      </x:c>
    </x:row>
    <x:row r="4266">
      <x:c r="A4266" s="16" t="n">
        <x:v>4411</x:v>
      </x:c>
      <x:c r="B4266" s="16" t="str">
        <x:v>Mira Staff Story Telling</x:v>
      </x:c>
      <x:c r="C4266" s="16" t="str"/>
      <x:c r="D4266" s="16" t="str">
        <x:v>* myContacts</x:v>
      </x:c>
      <x:c r="E4266" s="16" t="str">
        <x:v>Missing email</x:v>
      </x:c>
    </x:row>
    <x:row r="4267">
      <x:c r="A4267" s="16" t="n">
        <x:v>4412</x:v>
      </x:c>
      <x:c r="B4267" s="16" t="str">
        <x:v>Miratie Azman</x:v>
      </x:c>
      <x:c r="C4267" s="16" t="str"/>
      <x:c r="D4267" s="16" t="str">
        <x:v>* myContacts</x:v>
      </x:c>
      <x:c r="E4267" s="16" t="str">
        <x:v>Missing email</x:v>
      </x:c>
    </x:row>
    <x:row r="4268">
      <x:c r="A4268" s="16" t="n">
        <x:v>4413</x:v>
      </x:c>
      <x:c r="B4268" s="16" t="str">
        <x:v>MirMaju Tan</x:v>
      </x:c>
      <x:c r="C4268" s="16" t="str"/>
      <x:c r="D4268" s="16" t="str">
        <x:v>* myContacts</x:v>
      </x:c>
      <x:c r="E4268" s="16" t="str">
        <x:v>Missing email</x:v>
      </x:c>
    </x:row>
    <x:row r="4269">
      <x:c r="A4269" s="16" t="n">
        <x:v>4414</x:v>
      </x:c>
      <x:c r="B4269" s="16" t="str">
        <x:v>Mirol Kasap</x:v>
      </x:c>
      <x:c r="C4269" s="16" t="str"/>
      <x:c r="D4269" s="16" t="str">
        <x:v>* myContacts</x:v>
      </x:c>
      <x:c r="E4269" s="16" t="str">
        <x:v>Missing email</x:v>
      </x:c>
    </x:row>
    <x:row r="4270">
      <x:c r="A4270" s="16" t="n">
        <x:v>4415</x:v>
      </x:c>
      <x:c r="B4270" s="16" t="str">
        <x:v>Mishlih AGP</x:v>
      </x:c>
      <x:c r="C4270" s="16" t="str"/>
      <x:c r="D4270" s="16" t="str">
        <x:v>* myContacts</x:v>
      </x:c>
      <x:c r="E4270" s="16" t="str">
        <x:v>Missing email</x:v>
      </x:c>
    </x:row>
    <x:row r="4271">
      <x:c r="A4271" s="16" t="n">
        <x:v>4416</x:v>
      </x:c>
      <x:c r="B4271" s="16" t="str">
        <x:v>mishwan agp</x:v>
      </x:c>
      <x:c r="C4271" s="16" t="str"/>
      <x:c r="D4271" s="16" t="str">
        <x:v>* myContacts</x:v>
      </x:c>
      <x:c r="E4271" s="16" t="str">
        <x:v>Missing email</x:v>
      </x:c>
    </x:row>
    <x:row r="4272">
      <x:c r="A4272" s="16" t="n">
        <x:v>4417</x:v>
      </x:c>
      <x:c r="B4272" s="16" t="str">
        <x:v>Misiah Mizzs</x:v>
      </x:c>
      <x:c r="C4272" s="16" t="str"/>
      <x:c r="D4272" s="16" t="str">
        <x:v>* myContacts</x:v>
      </x:c>
      <x:c r="E4272" s="16" t="str">
        <x:v>Missing email</x:v>
      </x:c>
    </x:row>
    <x:row r="4273">
      <x:c r="A4273" s="16" t="n">
        <x:v>4418</x:v>
      </x:c>
      <x:c r="B4273" s="16" t="str">
        <x:v>Miskan Jauari</x:v>
      </x:c>
      <x:c r="C4273" s="16" t="str"/>
      <x:c r="D4273" s="16" t="str">
        <x:v>* myContacts</x:v>
      </x:c>
      <x:c r="E4273" s="16" t="str">
        <x:v>Missing email</x:v>
      </x:c>
    </x:row>
    <x:row r="4274">
      <x:c r="A4274" s="16" t="n">
        <x:v>4419</x:v>
      </x:c>
      <x:c r="B4274" s="16" t="str">
        <x:v>Misri Rumah Homestay</x:v>
      </x:c>
      <x:c r="C4274" s="16" t="str"/>
      <x:c r="D4274" s="16" t="str">
        <x:v>* myContacts</x:v>
      </x:c>
      <x:c r="E4274" s="16" t="str">
        <x:v>Missing email</x:v>
      </x:c>
    </x:row>
    <x:row r="4275">
      <x:c r="A4275" s="16" t="n">
        <x:v>4420</x:v>
      </x:c>
      <x:c r="B4275" s="16" t="str">
        <x:v>Miss Janet (Lawyer Member K Sherry)</x:v>
      </x:c>
      <x:c r="C4275" s="16" t="str"/>
      <x:c r="D4275" s="16" t="str">
        <x:v>* myContacts</x:v>
      </x:c>
      <x:c r="E4275" s="16" t="str">
        <x:v>Missing email</x:v>
      </x:c>
    </x:row>
    <x:row r="4276">
      <x:c r="A4276" s="16" t="n">
        <x:v>4421</x:v>
      </x:c>
      <x:c r="B4276" s="16" t="str">
        <x:v>Misslara Filzah</x:v>
      </x:c>
      <x:c r="C4276" s="16" t="str"/>
      <x:c r="D4276" s="16" t="str">
        <x:v>* myContacts</x:v>
      </x:c>
      <x:c r="E4276" s="16" t="str">
        <x:v>Missing email</x:v>
      </x:c>
    </x:row>
    <x:row r="4277">
      <x:c r="A4277" s="16" t="n">
        <x:v>4422</x:v>
      </x:c>
      <x:c r="B4277" s="16" t="str">
        <x:v>Mitsubishi Sendang Temerloh</x:v>
      </x:c>
      <x:c r="C4277" s="16" t="str"/>
      <x:c r="D4277" s="16" t="str">
        <x:v>* myContacts</x:v>
      </x:c>
      <x:c r="E4277" s="16" t="str">
        <x:v>Missing email</x:v>
      </x:c>
    </x:row>
    <x:row r="4278">
      <x:c r="A4278" s="16" t="n">
        <x:v>4423</x:v>
      </x:c>
      <x:c r="B4278" s="16" t="str">
        <x:v>Miya Amerra Babycrab Chocolovers</x:v>
      </x:c>
      <x:c r="C4278" s="16" t="str"/>
      <x:c r="D4278" s="16" t="str">
        <x:v>* myContacts</x:v>
      </x:c>
      <x:c r="E4278" s="16" t="str">
        <x:v>Missing email</x:v>
      </x:c>
    </x:row>
    <x:row r="4279">
      <x:c r="A4279" s="16" t="n">
        <x:v>4424</x:v>
      </x:c>
      <x:c r="B4279" s="16" t="str">
        <x:v>Miz Khaty</x:v>
      </x:c>
      <x:c r="C4279" s="16" t="str"/>
      <x:c r="D4279" s="16" t="str">
        <x:v>* myContacts</x:v>
      </x:c>
      <x:c r="E4279" s="16" t="str">
        <x:v>Missing email</x:v>
      </x:c>
    </x:row>
    <x:row r="4280">
      <x:c r="A4280" s="16" t="n">
        <x:v>4425</x:v>
      </x:c>
      <x:c r="B4280" s="16" t="str">
        <x:v>Mizan Seutara Keselatan</x:v>
      </x:c>
      <x:c r="C4280" s="16" t="str"/>
      <x:c r="D4280" s="16" t="str">
        <x:v>* myContacts</x:v>
      </x:c>
      <x:c r="E4280" s="16" t="str">
        <x:v>Missing email</x:v>
      </x:c>
    </x:row>
    <x:row r="4281">
      <x:c r="A4281" s="16" t="n">
        <x:v>4426</x:v>
      </x:c>
      <x:c r="B4281" s="16" t="str">
        <x:v>Mizan Trainer</x:v>
      </x:c>
      <x:c r="C4281" s="16" t="str"/>
      <x:c r="D4281" s="16" t="str">
        <x:v>Trainer | * myContacts</x:v>
      </x:c>
      <x:c r="E4281" s="16" t="str">
        <x:v>Missing email</x:v>
      </x:c>
    </x:row>
    <x:row r="4282">
      <x:c r="A4282" s="16" t="n">
        <x:v>4427</x:v>
      </x:c>
      <x:c r="B4282" s="16" t="str">
        <x:v>Mizi UTM</x:v>
      </x:c>
      <x:c r="C4282" s="16" t="str"/>
      <x:c r="D4282" s="16" t="str">
        <x:v>* myContacts</x:v>
      </x:c>
      <x:c r="E4282" s="16" t="str">
        <x:v>Missing email</x:v>
      </x:c>
    </x:row>
    <x:row r="4283">
      <x:c r="A4283" s="16" t="n">
        <x:v>4428</x:v>
      </x:c>
      <x:c r="B4283" s="16" t="str">
        <x:v>MizTa SilentKiller</x:v>
      </x:c>
      <x:c r="C4283" s="16" t="str"/>
      <x:c r="D4283" s="16" t="str">
        <x:v>* myContacts</x:v>
      </x:c>
      <x:c r="E4283" s="16" t="str">
        <x:v>Missing email</x:v>
      </x:c>
    </x:row>
    <x:row r="4284">
      <x:c r="A4284" s="16" t="n">
        <x:v>4429</x:v>
      </x:c>
      <x:c r="B4284" s="16" t="str">
        <x:v>MN AL Falah</x:v>
      </x:c>
      <x:c r="C4284" s="16" t="str"/>
      <x:c r="D4284" s="16" t="str">
        <x:v>* myContacts</x:v>
      </x:c>
      <x:c r="E4284" s="16" t="str">
        <x:v>Missing email</x:v>
      </x:c>
    </x:row>
    <x:row r="4285">
      <x:c r="A4285" s="16" t="n">
        <x:v>4430</x:v>
      </x:c>
      <x:c r="B4285" s="16" t="str">
        <x:v>Mnd Aircond</x:v>
      </x:c>
      <x:c r="C4285" s="16" t="str"/>
      <x:c r="D4285" s="16" t="str">
        <x:v>* myContacts</x:v>
      </x:c>
      <x:c r="E4285" s="16" t="str">
        <x:v>Missing email</x:v>
      </x:c>
    </x:row>
    <x:row r="4286">
      <x:c r="A4286" s="16" t="n">
        <x:v>4431</x:v>
      </x:c>
      <x:c r="B4286" s="16" t="str">
        <x:v>Mnoh Eka</x:v>
      </x:c>
      <x:c r="C4286" s="16" t="str"/>
      <x:c r="D4286" s="16" t="str">
        <x:v>* myContacts</x:v>
      </x:c>
      <x:c r="E4286" s="16" t="str">
        <x:v>Missing email</x:v>
      </x:c>
    </x:row>
    <x:row r="4287">
      <x:c r="A4287" s="16" t="n">
        <x:v>4432</x:v>
      </x:c>
      <x:c r="B4287" s="16" t="str">
        <x:v>Moch Suryo Wicaksono</x:v>
      </x:c>
      <x:c r="C4287" s="16" t="str"/>
      <x:c r="D4287" s="16" t="str">
        <x:v>* myContacts</x:v>
      </x:c>
      <x:c r="E4287" s="16" t="str">
        <x:v>Missing email</x:v>
      </x:c>
    </x:row>
    <x:row r="4288">
      <x:c r="A4288" s="16" t="n">
        <x:v>4433</x:v>
      </x:c>
      <x:c r="B4288" s="16" t="str">
        <x:v>Mocky Dina Full</x:v>
      </x:c>
      <x:c r="C4288" s="16" t="str"/>
      <x:c r="D4288" s="16" t="str">
        <x:v>* myContacts</x:v>
      </x:c>
      <x:c r="E4288" s="16" t="str">
        <x:v>Missing email</x:v>
      </x:c>
    </x:row>
    <x:row r="4289">
      <x:c r="A4289" s="16" t="n">
        <x:v>4435</x:v>
      </x:c>
      <x:c r="B4289" s="16" t="str">
        <x:v>Mohamad Alfi DPIM Perak</x:v>
      </x:c>
      <x:c r="C4289" s="16" t="str"/>
      <x:c r="D4289" s="16" t="str">
        <x:v>* myContacts</x:v>
      </x:c>
      <x:c r="E4289" s="16" t="str">
        <x:v>Missing email</x:v>
      </x:c>
    </x:row>
    <x:row r="4290">
      <x:c r="A4290" s="16" t="n">
        <x:v>4436</x:v>
      </x:c>
      <x:c r="B4290" s="16" t="str">
        <x:v>Mohamad Aman Ismail</x:v>
      </x:c>
      <x:c r="C4290" s="16" t="str"/>
      <x:c r="D4290" s="16" t="str">
        <x:v>* myContacts</x:v>
      </x:c>
      <x:c r="E4290" s="16" t="str">
        <x:v>Missing email</x:v>
      </x:c>
    </x:row>
    <x:row r="4291">
      <x:c r="A4291" s="16" t="n">
        <x:v>4437</x:v>
      </x:c>
      <x:c r="B4291" s="16" t="str">
        <x:v>Mohamad Aminuddin</x:v>
      </x:c>
      <x:c r="C4291" s="16" t="str"/>
      <x:c r="D4291" s="16" t="str">
        <x:v>* myContacts</x:v>
      </x:c>
      <x:c r="E4291" s="16" t="str">
        <x:v>Missing email</x:v>
      </x:c>
    </x:row>
    <x:row r="4292">
      <x:c r="A4292" s="16" t="n">
        <x:v>4438</x:v>
      </x:c>
      <x:c r="B4292" s="16" t="str">
        <x:v>Mohamad Ashik</x:v>
      </x:c>
      <x:c r="C4292" s="16" t="str"/>
      <x:c r="D4292" s="16" t="str">
        <x:v>* myContacts</x:v>
      </x:c>
      <x:c r="E4292" s="16" t="str">
        <x:v>Missing email</x:v>
      </x:c>
    </x:row>
    <x:row r="4293">
      <x:c r="A4293" s="16" t="n">
        <x:v>4439</x:v>
      </x:c>
      <x:c r="B4293" s="16" t="str">
        <x:v>Mohamad Asyaraf Bin Rosli Agent Essens</x:v>
      </x:c>
      <x:c r="C4293" s="16" t="str"/>
      <x:c r="D4293" s="16" t="str">
        <x:v>* myContacts</x:v>
      </x:c>
      <x:c r="E4293" s="16" t="str">
        <x:v>Missing email</x:v>
      </x:c>
    </x:row>
    <x:row r="4294">
      <x:c r="A4294" s="16" t="n">
        <x:v>4440</x:v>
      </x:c>
      <x:c r="B4294" s="16" t="str">
        <x:v>Mohamad Asyuat Carl's</x:v>
      </x:c>
      <x:c r="C4294" s="16" t="str"/>
      <x:c r="D4294" s="16" t="str">
        <x:v>* myContacts</x:v>
      </x:c>
      <x:c r="E4294" s="16" t="str">
        <x:v>Missing email</x:v>
      </x:c>
    </x:row>
    <x:row r="4295">
      <x:c r="A4295" s="16" t="n">
        <x:v>4442</x:v>
      </x:c>
      <x:c r="B4295" s="16" t="str">
        <x:v>Mohamad Azha</x:v>
      </x:c>
      <x:c r="C4295" s="16" t="str"/>
      <x:c r="D4295" s="16" t="str">
        <x:v>* myContacts</x:v>
      </x:c>
      <x:c r="E4295" s="16" t="str">
        <x:v>Missing email</x:v>
      </x:c>
    </x:row>
    <x:row r="4296">
      <x:c r="A4296" s="16" t="n">
        <x:v>4443</x:v>
      </x:c>
      <x:c r="B4296" s="16" t="str">
        <x:v>Mohamad Bin Adeni Madboy</x:v>
      </x:c>
      <x:c r="C4296" s="16" t="str"/>
      <x:c r="D4296" s="16" t="str">
        <x:v>* myContacts</x:v>
      </x:c>
      <x:c r="E4296" s="16" t="str">
        <x:v>Missing email</x:v>
      </x:c>
    </x:row>
    <x:row r="4297">
      <x:c r="A4297" s="16" t="n">
        <x:v>4444</x:v>
      </x:c>
      <x:c r="B4297" s="16" t="str">
        <x:v>Mohamad Eizad</x:v>
      </x:c>
      <x:c r="C4297" s="16" t="str"/>
      <x:c r="D4297" s="16" t="str">
        <x:v>* myContacts</x:v>
      </x:c>
      <x:c r="E4297" s="16" t="str">
        <x:v>Missing email</x:v>
      </x:c>
    </x:row>
    <x:row r="4298">
      <x:c r="A4298" s="16" t="n">
        <x:v>4445</x:v>
      </x:c>
      <x:c r="B4298" s="16" t="str">
        <x:v>Mohamad Faez</x:v>
      </x:c>
      <x:c r="C4298" s="16" t="str"/>
      <x:c r="D4298" s="16" t="str">
        <x:v>* myContacts</x:v>
      </x:c>
      <x:c r="E4298" s="16" t="str">
        <x:v>Missing email</x:v>
      </x:c>
    </x:row>
    <x:row r="4299">
      <x:c r="A4299" s="16" t="n">
        <x:v>4446</x:v>
      </x:c>
      <x:c r="B4299" s="16" t="str">
        <x:v>Mohamad Farhan</x:v>
      </x:c>
      <x:c r="C4299" s="16" t="str"/>
      <x:c r="D4299" s="16" t="str">
        <x:v>* myContacts</x:v>
      </x:c>
      <x:c r="E4299" s="16" t="str">
        <x:v>Missing email</x:v>
      </x:c>
    </x:row>
    <x:row r="4300">
      <x:c r="A4300" s="16" t="n">
        <x:v>4447</x:v>
      </x:c>
      <x:c r="B4300" s="16" t="str">
        <x:v>Mohamad Fazlie Jah</x:v>
      </x:c>
      <x:c r="C4300" s="16" t="str"/>
      <x:c r="D4300" s="16" t="str">
        <x:v>* myContacts</x:v>
      </x:c>
      <x:c r="E4300" s="16" t="str">
        <x:v>Missing email</x:v>
      </x:c>
    </x:row>
    <x:row r="4301">
      <x:c r="A4301" s="16" t="n">
        <x:v>4448</x:v>
      </x:c>
      <x:c r="B4301" s="16" t="str">
        <x:v>Mohamad Firdaus</x:v>
      </x:c>
      <x:c r="C4301" s="16" t="str"/>
      <x:c r="D4301" s="16" t="str">
        <x:v>* myContacts</x:v>
      </x:c>
      <x:c r="E4301" s="16" t="str">
        <x:v>Missing email</x:v>
      </x:c>
    </x:row>
    <x:row r="4302">
      <x:c r="A4302" s="16" t="n">
        <x:v>4449</x:v>
      </x:c>
      <x:c r="B4302" s="16" t="str">
        <x:v>Mohamad Firdaus Bin Hairoden</x:v>
      </x:c>
      <x:c r="C4302" s="16" t="str"/>
      <x:c r="D4302" s="16" t="str">
        <x:v>* myContacts</x:v>
      </x:c>
      <x:c r="E4302" s="16" t="str">
        <x:v>Missing email</x:v>
      </x:c>
    </x:row>
    <x:row r="4303">
      <x:c r="A4303" s="16" t="n">
        <x:v>4450</x:v>
      </x:c>
      <x:c r="B4303" s="16" t="str">
        <x:v>Mohamad Hafiz Angah</x:v>
      </x:c>
      <x:c r="C4303" s="16" t="str"/>
      <x:c r="D4303" s="16" t="str">
        <x:v>* myContacts</x:v>
      </x:c>
      <x:c r="E4303" s="16" t="str">
        <x:v>Missing email</x:v>
      </x:c>
    </x:row>
    <x:row r="4304">
      <x:c r="A4304" s="16" t="n">
        <x:v>4451</x:v>
      </x:c>
      <x:c r="B4304" s="16" t="str">
        <x:v>Mohamad Hafizzudin</x:v>
      </x:c>
      <x:c r="C4304" s="16" t="str"/>
      <x:c r="D4304" s="16" t="str">
        <x:v>* myContacts</x:v>
      </x:c>
      <x:c r="E4304" s="16" t="str">
        <x:v>Missing email</x:v>
      </x:c>
    </x:row>
    <x:row r="4305">
      <x:c r="A4305" s="16" t="n">
        <x:v>4452</x:v>
      </x:c>
      <x:c r="B4305" s="16" t="str">
        <x:v>mohamad hairi AGP</x:v>
      </x:c>
      <x:c r="C4305" s="16" t="str"/>
      <x:c r="D4305" s="16" t="str">
        <x:v>* myContacts</x:v>
      </x:c>
      <x:c r="E4305" s="16" t="str">
        <x:v>Missing email</x:v>
      </x:c>
    </x:row>
    <x:row r="4306">
      <x:c r="A4306" s="16" t="n">
        <x:v>4453</x:v>
      </x:c>
      <x:c r="B4306" s="16" t="str">
        <x:v>Mohamad Hasan B Sulaiman</x:v>
      </x:c>
      <x:c r="C4306" s="16" t="str"/>
      <x:c r="D4306" s="16" t="str">
        <x:v>* myContacts</x:v>
      </x:c>
      <x:c r="E4306" s="16" t="str">
        <x:v>Missing email</x:v>
      </x:c>
    </x:row>
    <x:row r="4307">
      <x:c r="A4307" s="16" t="n">
        <x:v>4454</x:v>
      </x:c>
      <x:c r="B4307" s="16" t="str">
        <x:v>Mohamad Hasanni Sani</x:v>
      </x:c>
      <x:c r="C4307" s="16" t="str"/>
      <x:c r="D4307" s="16" t="str">
        <x:v>* myContacts</x:v>
      </x:c>
      <x:c r="E4307" s="16" t="str">
        <x:v>Missing email</x:v>
      </x:c>
    </x:row>
    <x:row r="4308">
      <x:c r="A4308" s="16" t="n">
        <x:v>4455</x:v>
      </x:c>
      <x:c r="B4308" s="16" t="str">
        <x:v>Mohamad Hasnizam</x:v>
      </x:c>
      <x:c r="C4308" s="16" t="str"/>
      <x:c r="D4308" s="16" t="str">
        <x:v>* myContacts</x:v>
      </x:c>
      <x:c r="E4308" s="16" t="str">
        <x:v>Missing email</x:v>
      </x:c>
    </x:row>
    <x:row r="4309">
      <x:c r="A4309" s="16" t="n">
        <x:v>4456</x:v>
      </x:c>
      <x:c r="B4309" s="16" t="str">
        <x:v>Mohamad Hazwan Bin Hamid</x:v>
      </x:c>
      <x:c r="C4309" s="16" t="str"/>
      <x:c r="D4309" s="16" t="str">
        <x:v>* myContacts</x:v>
      </x:c>
      <x:c r="E4309" s="16" t="str">
        <x:v>Missing email</x:v>
      </x:c>
    </x:row>
    <x:row r="4310">
      <x:c r="A4310" s="16" t="n">
        <x:v>4457</x:v>
      </x:c>
      <x:c r="B4310" s="16" t="str">
        <x:v>Mohamad Herlambang</x:v>
      </x:c>
      <x:c r="C4310" s="16" t="str"/>
      <x:c r="D4310" s="16" t="str">
        <x:v>* myContacts</x:v>
      </x:c>
      <x:c r="E4310" s="16" t="str">
        <x:v>Missing email</x:v>
      </x:c>
    </x:row>
    <x:row r="4311">
      <x:c r="A4311" s="16" t="n">
        <x:v>4458</x:v>
      </x:c>
      <x:c r="B4311" s="16" t="str">
        <x:v>Mohamad Khairunizar B Misroon</x:v>
      </x:c>
      <x:c r="C4311" s="16" t="str"/>
      <x:c r="D4311" s="16" t="str">
        <x:v>* myContacts</x:v>
      </x:c>
      <x:c r="E4311" s="16" t="str">
        <x:v>Missing email</x:v>
      </x:c>
    </x:row>
    <x:row r="4312">
      <x:c r="A4312" s="16" t="n">
        <x:v>4459</x:v>
      </x:c>
      <x:c r="B4312" s="16" t="str">
        <x:v>Mohamad Mardi</x:v>
      </x:c>
      <x:c r="C4312" s="16" t="str"/>
      <x:c r="D4312" s="16" t="str">
        <x:v>* myContacts</x:v>
      </x:c>
      <x:c r="E4312" s="16" t="str">
        <x:v>Missing email</x:v>
      </x:c>
    </x:row>
    <x:row r="4313">
      <x:c r="A4313" s="16" t="n">
        <x:v>4460</x:v>
      </x:c>
      <x:c r="B4313" s="16" t="str">
        <x:v>Mohamad Nashrul Shadzryl</x:v>
      </x:c>
      <x:c r="C4313" s="16" t="str"/>
      <x:c r="D4313" s="16" t="str">
        <x:v>* myContacts</x:v>
      </x:c>
      <x:c r="E4313" s="16" t="str">
        <x:v>Missing email</x:v>
      </x:c>
    </x:row>
    <x:row r="4314">
      <x:c r="A4314" s="16" t="n">
        <x:v>4461</x:v>
      </x:c>
      <x:c r="B4314" s="16" t="str">
        <x:v>Mohamad Nazrel</x:v>
      </x:c>
      <x:c r="C4314" s="16" t="str"/>
      <x:c r="D4314" s="16" t="str">
        <x:v>* myContacts</x:v>
      </x:c>
      <x:c r="E4314" s="16" t="str">
        <x:v>Missing email</x:v>
      </x:c>
    </x:row>
    <x:row r="4315">
      <x:c r="A4315" s="16" t="n">
        <x:v>4462</x:v>
      </x:c>
      <x:c r="B4315" s="16" t="str">
        <x:v>Mohamad Nazri</x:v>
      </x:c>
      <x:c r="C4315" s="16" t="str"/>
      <x:c r="D4315" s="16" t="str">
        <x:v>* myContacts</x:v>
      </x:c>
      <x:c r="E4315" s="16" t="str">
        <x:v>Missing email</x:v>
      </x:c>
    </x:row>
    <x:row r="4316">
      <x:c r="A4316" s="16" t="n">
        <x:v>4463</x:v>
      </x:c>
      <x:c r="B4316" s="16" t="str">
        <x:v>Mohamad Nazrul - Aloy</x:v>
      </x:c>
      <x:c r="C4316" s="16" t="str"/>
      <x:c r="D4316" s="16" t="str">
        <x:v>* myContacts</x:v>
      </x:c>
      <x:c r="E4316" s="16" t="str">
        <x:v>Missing email</x:v>
      </x:c>
    </x:row>
    <x:row r="4317">
      <x:c r="A4317" s="16" t="n">
        <x:v>4464</x:v>
      </x:c>
      <x:c r="B4317" s="16" t="str">
        <x:v>Mohamad Nurhadi Bin Razali</x:v>
      </x:c>
      <x:c r="C4317" s="16" t="str"/>
      <x:c r="D4317" s="16" t="str">
        <x:v>* myContacts</x:v>
      </x:c>
      <x:c r="E4317" s="16" t="str">
        <x:v>Missing email</x:v>
      </x:c>
    </x:row>
    <x:row r="4318">
      <x:c r="A4318" s="16" t="n">
        <x:v>4465</x:v>
      </x:c>
      <x:c r="B4318" s="16" t="str">
        <x:v>Mohamad Saffiq</x:v>
      </x:c>
      <x:c r="C4318" s="16" t="str"/>
      <x:c r="D4318" s="16" t="str">
        <x:v>* myContacts</x:v>
      </x:c>
      <x:c r="E4318" s="16" t="str">
        <x:v>Missing email</x:v>
      </x:c>
    </x:row>
    <x:row r="4319">
      <x:c r="A4319" s="16" t="n">
        <x:v>4466</x:v>
      </x:c>
      <x:c r="B4319" s="16" t="str">
        <x:v>Mohamad Saiful</x:v>
      </x:c>
      <x:c r="C4319" s="16" t="str"/>
      <x:c r="D4319" s="16" t="str">
        <x:v>* myContacts</x:v>
      </x:c>
      <x:c r="E4319" s="16" t="str">
        <x:v>Missing email</x:v>
      </x:c>
    </x:row>
    <x:row r="4320">
      <x:c r="A4320" s="16" t="n">
        <x:v>4467</x:v>
      </x:c>
      <x:c r="B4320" s="16" t="str">
        <x:v>Mohamad Shafuan Bin Salleh</x:v>
      </x:c>
      <x:c r="C4320" s="16" t="str"/>
      <x:c r="D4320" s="16" t="str">
        <x:v>* myContacts</x:v>
      </x:c>
      <x:c r="E4320" s="16" t="str">
        <x:v>Missing email</x:v>
      </x:c>
    </x:row>
    <x:row r="4321">
      <x:c r="A4321" s="16" t="n">
        <x:v>4468</x:v>
      </x:c>
      <x:c r="B4321" s="16" t="str">
        <x:v>Mohamad Zainie Abdullah</x:v>
      </x:c>
      <x:c r="C4321" s="16" t="str"/>
      <x:c r="D4321" s="16" t="str">
        <x:v>* myContacts</x:v>
      </x:c>
      <x:c r="E4321" s="16" t="str">
        <x:v>Missing email</x:v>
      </x:c>
    </x:row>
    <x:row r="4322">
      <x:c r="A4322" s="16" t="n">
        <x:v>4469</x:v>
      </x:c>
      <x:c r="B4322" s="16" t="str">
        <x:v>Mohamad Zaki Pjk</x:v>
      </x:c>
      <x:c r="C4322" s="16" t="str"/>
      <x:c r="D4322" s="16" t="str">
        <x:v>* myContacts</x:v>
      </x:c>
      <x:c r="E4322" s="16" t="str">
        <x:v>Missing email</x:v>
      </x:c>
    </x:row>
    <x:row r="4323">
      <x:c r="A4323" s="16" t="n">
        <x:v>4470</x:v>
      </x:c>
      <x:c r="B4323" s="16" t="str">
        <x:v>Mohamed Faiz</x:v>
      </x:c>
      <x:c r="C4323" s="16" t="str"/>
      <x:c r="D4323" s="16" t="str">
        <x:v>* myContacts</x:v>
      </x:c>
      <x:c r="E4323" s="16" t="str">
        <x:v>Missing email</x:v>
      </x:c>
    </x:row>
    <x:row r="4324">
      <x:c r="A4324" s="16" t="n">
        <x:v>4471</x:v>
      </x:c>
      <x:c r="B4324" s="16" t="str">
        <x:v>Mohamed Fauzi AGP</x:v>
      </x:c>
      <x:c r="C4324" s="16" t="str"/>
      <x:c r="D4324" s="16" t="str">
        <x:v>* myContacts</x:v>
      </x:c>
      <x:c r="E4324" s="16" t="str">
        <x:v>Missing email</x:v>
      </x:c>
    </x:row>
    <x:row r="4325">
      <x:c r="A4325" s="16" t="n">
        <x:v>4472</x:v>
      </x:c>
      <x:c r="B4325" s="16" t="str">
        <x:v>mohamed fazrul agp</x:v>
      </x:c>
      <x:c r="C4325" s="16" t="str"/>
      <x:c r="D4325" s="16" t="str">
        <x:v>* myContacts</x:v>
      </x:c>
      <x:c r="E4325" s="16" t="str">
        <x:v>Missing email</x:v>
      </x:c>
    </x:row>
    <x:row r="4326">
      <x:c r="A4326" s="16" t="n">
        <x:v>4473</x:v>
      </x:c>
      <x:c r="B4326" s="16" t="str">
        <x:v>Dr Mohamed Nor Azhari Azman</x:v>
      </x:c>
      <x:c r="C4326" s="16" t="str"/>
      <x:c r="D4326" s="16" t="str">
        <x:v>* myContacts</x:v>
      </x:c>
      <x:c r="E4326" s="16" t="str">
        <x:v>Missing email</x:v>
      </x:c>
    </x:row>
    <x:row r="4327">
      <x:c r="A4327" s="16" t="n">
        <x:v>4474</x:v>
      </x:c>
      <x:c r="B4327" s="16" t="str">
        <x:v>Mohammad Affandy</x:v>
      </x:c>
      <x:c r="C4327" s="16" t="str"/>
      <x:c r="D4327" s="16" t="str">
        <x:v>* myContacts</x:v>
      </x:c>
      <x:c r="E4327" s="16" t="str">
        <x:v>Missing email</x:v>
      </x:c>
    </x:row>
    <x:row r="4328">
      <x:c r="A4328" s="16" t="n">
        <x:v>4475</x:v>
      </x:c>
      <x:c r="B4328" s="16" t="str">
        <x:v>Mohammad Al Padel</x:v>
      </x:c>
      <x:c r="C4328" s="16" t="str"/>
      <x:c r="D4328" s="16" t="str">
        <x:v>* myContacts</x:v>
      </x:c>
      <x:c r="E4328" s="16" t="str">
        <x:v>Missing email</x:v>
      </x:c>
    </x:row>
    <x:row r="4329">
      <x:c r="A4329" s="16" t="n">
        <x:v>4476</x:v>
      </x:c>
      <x:c r="B4329" s="16" t="str">
        <x:v>Mohammad Amirul Firdaus</x:v>
      </x:c>
      <x:c r="C4329" s="16" t="str"/>
      <x:c r="D4329" s="16" t="str">
        <x:v>* myContacts</x:v>
      </x:c>
      <x:c r="E4329" s="16" t="str">
        <x:v>Missing email</x:v>
      </x:c>
    </x:row>
    <x:row r="4330">
      <x:c r="A4330" s="16" t="n">
        <x:v>4477</x:v>
      </x:c>
      <x:c r="B4330" s="16" t="str">
        <x:v>Mohammad Azalillah</x:v>
      </x:c>
      <x:c r="C4330" s="16" t="str"/>
      <x:c r="D4330" s="16" t="str">
        <x:v>* myContacts</x:v>
      </x:c>
      <x:c r="E4330" s="16" t="str">
        <x:v>Missing email</x:v>
      </x:c>
    </x:row>
    <x:row r="4331">
      <x:c r="A4331" s="16" t="n">
        <x:v>4478</x:v>
      </x:c>
      <x:c r="B4331" s="16" t="str">
        <x:v>Mohammad Aziz</x:v>
      </x:c>
      <x:c r="C4331" s="16" t="str"/>
      <x:c r="D4331" s="16" t="str">
        <x:v>* myContacts</x:v>
      </x:c>
      <x:c r="E4331" s="16" t="str">
        <x:v>Missing email</x:v>
      </x:c>
    </x:row>
    <x:row r="4332">
      <x:c r="A4332" s="16" t="n">
        <x:v>4479</x:v>
      </x:c>
      <x:c r="B4332" s="16" t="str">
        <x:v>Mohammad Fakruddin Yusof Shukri</x:v>
      </x:c>
      <x:c r="C4332" s="16" t="str"/>
      <x:c r="D4332" s="16" t="str">
        <x:v>* myContacts</x:v>
      </x:c>
      <x:c r="E4332" s="16" t="str">
        <x:v>Missing email</x:v>
      </x:c>
    </x:row>
    <x:row r="4333">
      <x:c r="A4333" s="16" t="n">
        <x:v>4480</x:v>
      </x:c>
      <x:c r="B4333" s="16" t="str">
        <x:v>Mohammad Farid Izzuan</x:v>
      </x:c>
      <x:c r="C4333" s="16" t="str"/>
      <x:c r="D4333" s="16" t="str">
        <x:v>* myContacts</x:v>
      </x:c>
      <x:c r="E4333" s="16" t="str">
        <x:v>Missing email</x:v>
      </x:c>
    </x:row>
    <x:row r="4334">
      <x:c r="A4334" s="16" t="n">
        <x:v>4481</x:v>
      </x:c>
      <x:c r="B4334" s="16" t="str">
        <x:v>Mohammad Hafiz Emran</x:v>
      </x:c>
      <x:c r="C4334" s="16" t="str"/>
      <x:c r="D4334" s="16" t="str">
        <x:v>* myContacts</x:v>
      </x:c>
      <x:c r="E4334" s="16" t="str">
        <x:v>Missing email</x:v>
      </x:c>
    </x:row>
    <x:row r="4335">
      <x:c r="A4335" s="16" t="n">
        <x:v>4482</x:v>
      </x:c>
      <x:c r="B4335" s="16" t="str">
        <x:v>Mohammad Hafiz Wahab</x:v>
      </x:c>
      <x:c r="C4335" s="16" t="str"/>
      <x:c r="D4335" s="16" t="str">
        <x:v>* myContacts</x:v>
      </x:c>
      <x:c r="E4335" s="16" t="str">
        <x:v>Missing email</x:v>
      </x:c>
    </x:row>
    <x:row r="4336">
      <x:c r="A4336" s="16" t="n">
        <x:v>4483</x:v>
      </x:c>
      <x:c r="B4336" s="16" t="str">
        <x:v>Mohammad Khairul</x:v>
      </x:c>
      <x:c r="C4336" s="16" t="str"/>
      <x:c r="D4336" s="16" t="str">
        <x:v>* myContacts</x:v>
      </x:c>
      <x:c r="E4336" s="16" t="str">
        <x:v>Missing email</x:v>
      </x:c>
    </x:row>
    <x:row r="4337">
      <x:c r="A4337" s="16" t="n">
        <x:v>4484</x:v>
      </x:c>
      <x:c r="B4337" s="16" t="str">
        <x:v>Mohammad Musliadi</x:v>
      </x:c>
      <x:c r="C4337" s="16" t="str"/>
      <x:c r="D4337" s="16" t="str">
        <x:v>* myContacts</x:v>
      </x:c>
      <x:c r="E4337" s="16" t="str">
        <x:v>Missing email</x:v>
      </x:c>
    </x:row>
    <x:row r="4338">
      <x:c r="A4338" s="16" t="n">
        <x:v>4485</x:v>
      </x:c>
      <x:c r="B4338" s="16" t="str">
        <x:v>Mohammad Mustaqim Bin Marzukay</x:v>
      </x:c>
      <x:c r="C4338" s="16" t="str"/>
      <x:c r="D4338" s="16" t="str">
        <x:v>* myContacts</x:v>
      </x:c>
      <x:c r="E4338" s="16" t="str">
        <x:v>Missing email</x:v>
      </x:c>
    </x:row>
    <x:row r="4339">
      <x:c r="A4339" s="16" t="n">
        <x:v>4486</x:v>
      </x:c>
      <x:c r="B4339" s="16" t="str">
        <x:v>Mohammad Nizam Abd Hamid</x:v>
      </x:c>
      <x:c r="C4339" s="16" t="str"/>
      <x:c r="D4339" s="16" t="str">
        <x:v>* myContacts</x:v>
      </x:c>
      <x:c r="E4339" s="16" t="str">
        <x:v>Missing email</x:v>
      </x:c>
    </x:row>
    <x:row r="4340">
      <x:c r="A4340" s="16" t="n">
        <x:v>4487</x:v>
      </x:c>
      <x:c r="B4340" s="16" t="str">
        <x:v>Mohammad Noor Ikhwan</x:v>
      </x:c>
      <x:c r="C4340" s="16" t="str"/>
      <x:c r="D4340" s="16" t="str">
        <x:v>* myContacts</x:v>
      </x:c>
      <x:c r="E4340" s="16" t="str">
        <x:v>Missing email</x:v>
      </x:c>
    </x:row>
    <x:row r="4341">
      <x:c r="A4341" s="16" t="n">
        <x:v>4488</x:v>
      </x:c>
      <x:c r="B4341" s="16" t="str">
        <x:v>Mohammad Shafiq Hafizi</x:v>
      </x:c>
      <x:c r="C4341" s="16" t="str"/>
      <x:c r="D4341" s="16" t="str">
        <x:v>* myContacts</x:v>
      </x:c>
      <x:c r="E4341" s="16" t="str">
        <x:v>Missing email</x:v>
      </x:c>
    </x:row>
    <x:row r="4342">
      <x:c r="A4342" s="16" t="n">
        <x:v>4489</x:v>
      </x:c>
      <x:c r="B4342" s="16" t="str">
        <x:v>Mohammad Shafiq Razak</x:v>
      </x:c>
      <x:c r="C4342" s="16" t="str"/>
      <x:c r="D4342" s="16" t="str">
        <x:v>* myContacts</x:v>
      </x:c>
      <x:c r="E4342" s="16" t="str">
        <x:v>Missing email</x:v>
      </x:c>
    </x:row>
    <x:row r="4343">
      <x:c r="A4343" s="16" t="n">
        <x:v>4490</x:v>
      </x:c>
      <x:c r="B4343" s="16" t="str">
        <x:v>MOHAMMAD SHARUL IMAN</x:v>
      </x:c>
      <x:c r="C4343" s="16" t="str"/>
      <x:c r="D4343" s="16" t="str">
        <x:v>* myContacts</x:v>
      </x:c>
      <x:c r="E4343" s="16" t="str">
        <x:v>Missing email</x:v>
      </x:c>
    </x:row>
    <x:row r="4344">
      <x:c r="A4344" s="16" t="n">
        <x:v>4491</x:v>
      </x:c>
      <x:c r="B4344" s="16" t="str">
        <x:v>Mohammad Shauqi</x:v>
      </x:c>
      <x:c r="C4344" s="16" t="str"/>
      <x:c r="D4344" s="16" t="str">
        <x:v>* myContacts</x:v>
      </x:c>
      <x:c r="E4344" s="16" t="str">
        <x:v>Missing email</x:v>
      </x:c>
    </x:row>
    <x:row r="4345">
      <x:c r="A4345" s="16" t="n">
        <x:v>4492</x:v>
      </x:c>
      <x:c r="B4345" s="16" t="str">
        <x:v>Mohammad Zamzum Nama Diberi</x:v>
      </x:c>
      <x:c r="C4345" s="16" t="str"/>
      <x:c r="D4345" s="16" t="str">
        <x:v>* myContacts</x:v>
      </x:c>
      <x:c r="E4345" s="16" t="str">
        <x:v>Missing email</x:v>
      </x:c>
    </x:row>
    <x:row r="4346">
      <x:c r="A4346" s="16" t="n">
        <x:v>4493</x:v>
      </x:c>
      <x:c r="B4346" s="16" t="str">
        <x:v>Mohammed Ashrul Ash</x:v>
      </x:c>
      <x:c r="C4346" s="16" t="str"/>
      <x:c r="D4346" s="16" t="str">
        <x:v>* myContacts</x:v>
      </x:c>
      <x:c r="E4346" s="16" t="str">
        <x:v>Missing email</x:v>
      </x:c>
    </x:row>
    <x:row r="4347">
      <x:c r="A4347" s="16" t="n">
        <x:v>4494</x:v>
      </x:c>
      <x:c r="B4347" s="16" t="str">
        <x:v>Mohammed Maimun Bin Abdurrahman</x:v>
      </x:c>
      <x:c r="C4347" s="16" t="str"/>
      <x:c r="D4347" s="16" t="str">
        <x:v>* myContacts</x:v>
      </x:c>
      <x:c r="E4347" s="16" t="str">
        <x:v>Missing email</x:v>
      </x:c>
    </x:row>
    <x:row r="4348">
      <x:c r="A4348" s="16" t="n">
        <x:v>4495</x:v>
      </x:c>
      <x:c r="B4348" s="16" t="str">
        <x:v>Mohd Adam Ahmad</x:v>
      </x:c>
      <x:c r="C4348" s="16" t="str"/>
      <x:c r="D4348" s="16" t="str">
        <x:v>* myContacts</x:v>
      </x:c>
      <x:c r="E4348" s="16" t="str">
        <x:v>Missing email</x:v>
      </x:c>
    </x:row>
    <x:row r="4349">
      <x:c r="A4349" s="16" t="n">
        <x:v>4496</x:v>
      </x:c>
      <x:c r="B4349" s="16" t="str">
        <x:v>Mohd Adnan Nazan</x:v>
      </x:c>
      <x:c r="C4349" s="16" t="str"/>
      <x:c r="D4349" s="16" t="str">
        <x:v>* myContacts</x:v>
      </x:c>
      <x:c r="E4349" s="16" t="str">
        <x:v>Missing email</x:v>
      </x:c>
    </x:row>
    <x:row r="4350">
      <x:c r="A4350" s="16" t="n">
        <x:v>4497</x:v>
      </x:c>
      <x:c r="B4350" s="16" t="str">
        <x:v>mohd afdam AGP</x:v>
      </x:c>
      <x:c r="C4350" s="16" t="str"/>
      <x:c r="D4350" s="16" t="str">
        <x:v>* myContacts</x:v>
      </x:c>
      <x:c r="E4350" s="16" t="str">
        <x:v>Missing email</x:v>
      </x:c>
    </x:row>
    <x:row r="4351">
      <x:c r="A4351" s="16" t="n">
        <x:v>4498</x:v>
      </x:c>
      <x:c r="B4351" s="16" t="str">
        <x:v>Mohd Afendie</x:v>
      </x:c>
      <x:c r="C4351" s="16" t="str"/>
      <x:c r="D4351" s="16" t="str">
        <x:v>* myContacts</x:v>
      </x:c>
      <x:c r="E4351" s="16" t="str">
        <x:v>Missing email</x:v>
      </x:c>
    </x:row>
    <x:row r="4352">
      <x:c r="A4352" s="16" t="n">
        <x:v>4499</x:v>
      </x:c>
      <x:c r="B4352" s="16" t="str">
        <x:v>Mohd Afis ikm jasin</x:v>
      </x:c>
      <x:c r="C4352" s="16" t="str"/>
      <x:c r="D4352" s="16" t="str">
        <x:v>* myContacts</x:v>
      </x:c>
      <x:c r="E4352" s="16" t="str">
        <x:v>Missing email</x:v>
      </x:c>
    </x:row>
    <x:row r="4353">
      <x:c r="A4353" s="16" t="n">
        <x:v>4500</x:v>
      </x:c>
      <x:c r="B4353" s="16" t="str">
        <x:v>Mohd Aimran</x:v>
      </x:c>
      <x:c r="C4353" s="16" t="str"/>
      <x:c r="D4353" s="16" t="str">
        <x:v>* myContacts</x:v>
      </x:c>
      <x:c r="E4353" s="16" t="str">
        <x:v>Missing email</x:v>
      </x:c>
    </x:row>
    <x:row r="4354">
      <x:c r="A4354" s="16" t="n">
        <x:v>4501</x:v>
      </x:c>
      <x:c r="B4354" s="16" t="str">
        <x:v>Mohd Aizam</x:v>
      </x:c>
      <x:c r="C4354" s="16" t="str"/>
      <x:c r="D4354" s="16" t="str">
        <x:v>* myContacts</x:v>
      </x:c>
      <x:c r="E4354" s="16" t="str">
        <x:v>Missing email</x:v>
      </x:c>
    </x:row>
    <x:row r="4355">
      <x:c r="A4355" s="16" t="n">
        <x:v>4502</x:v>
      </x:c>
      <x:c r="B4355" s="16" t="str">
        <x:v>Mohd Alliff</x:v>
      </x:c>
      <x:c r="C4355" s="16" t="str"/>
      <x:c r="D4355" s="16" t="str">
        <x:v>* myContacts</x:v>
      </x:c>
      <x:c r="E4355" s="16" t="str">
        <x:v>Missing email</x:v>
      </x:c>
    </x:row>
    <x:row r="4356">
      <x:c r="A4356" s="16" t="n">
        <x:v>4503</x:v>
      </x:c>
      <x:c r="B4356" s="16" t="str">
        <x:v>Mohd Amier Amirullah</x:v>
      </x:c>
      <x:c r="C4356" s="16" t="str"/>
      <x:c r="D4356" s="16" t="str">
        <x:v>* myContacts</x:v>
      </x:c>
      <x:c r="E4356" s="16" t="str">
        <x:v>Missing email</x:v>
      </x:c>
    </x:row>
    <x:row r="4357">
      <x:c r="A4357" s="16" t="n">
        <x:v>4504</x:v>
      </x:c>
      <x:c r="B4357" s="16" t="str">
        <x:v>Mohd Amin Hasan</x:v>
      </x:c>
      <x:c r="C4357" s="16" t="str"/>
      <x:c r="D4357" s="16" t="str">
        <x:v>* myContacts</x:v>
      </x:c>
      <x:c r="E4357" s="16" t="str">
        <x:v>Missing email</x:v>
      </x:c>
    </x:row>
    <x:row r="4358">
      <x:c r="A4358" s="16" t="n">
        <x:v>4505</x:v>
      </x:c>
      <x:c r="B4358" s="16" t="str">
        <x:v>Mohd Aminudin AGP</x:v>
      </x:c>
      <x:c r="C4358" s="16" t="str"/>
      <x:c r="D4358" s="16" t="str">
        <x:v>* myContacts</x:v>
      </x:c>
      <x:c r="E4358" s="16" t="str">
        <x:v>Missing email</x:v>
      </x:c>
    </x:row>
    <x:row r="4359">
      <x:c r="A4359" s="16" t="n">
        <x:v>4506</x:v>
      </x:c>
      <x:c r="B4359" s="16" t="str">
        <x:v>Mohd Anhar</x:v>
      </x:c>
      <x:c r="C4359" s="16" t="str"/>
      <x:c r="D4359" s="16" t="str">
        <x:v>* myContacts</x:v>
      </x:c>
      <x:c r="E4359" s="16" t="str">
        <x:v>Missing email</x:v>
      </x:c>
    </x:row>
    <x:row r="4360">
      <x:c r="A4360" s="16" t="n">
        <x:v>4508</x:v>
      </x:c>
      <x:c r="B4360" s="16" t="str">
        <x:v>Mohd Ariff</x:v>
      </x:c>
      <x:c r="C4360" s="16" t="str"/>
      <x:c r="D4360" s="16" t="str">
        <x:v>* myContacts</x:v>
      </x:c>
      <x:c r="E4360" s="16" t="str">
        <x:v>Missing email</x:v>
      </x:c>
    </x:row>
    <x:row r="4361">
      <x:c r="A4361" s="16" t="n">
        <x:v>4509</x:v>
      </x:c>
      <x:c r="B4361" s="16" t="str">
        <x:v>Mohd Asrol</x:v>
      </x:c>
      <x:c r="C4361" s="16" t="str"/>
      <x:c r="D4361" s="16" t="str">
        <x:v>* myContacts</x:v>
      </x:c>
      <x:c r="E4361" s="16" t="str">
        <x:v>Missing email</x:v>
      </x:c>
    </x:row>
    <x:row r="4362">
      <x:c r="A4362" s="16" t="n">
        <x:v>4510</x:v>
      </x:c>
      <x:c r="B4362" s="16" t="str">
        <x:v>Mohd Ayub</x:v>
      </x:c>
      <x:c r="C4362" s="16" t="str"/>
      <x:c r="D4362" s="16" t="str">
        <x:v>* myContacts</x:v>
      </x:c>
      <x:c r="E4362" s="16" t="str">
        <x:v>Missing email</x:v>
      </x:c>
    </x:row>
    <x:row r="4363">
      <x:c r="A4363" s="16" t="n">
        <x:v>4511</x:v>
      </x:c>
      <x:c r="B4363" s="16" t="str">
        <x:v>Mohd Aziz</x:v>
      </x:c>
      <x:c r="C4363" s="16" t="str"/>
      <x:c r="D4363" s="16" t="str">
        <x:v>* myContacts</x:v>
      </x:c>
      <x:c r="E4363" s="16" t="str">
        <x:v>Missing email</x:v>
      </x:c>
    </x:row>
    <x:row r="4364">
      <x:c r="A4364" s="16" t="n">
        <x:v>4513</x:v>
      </x:c>
      <x:c r="B4364" s="16" t="str">
        <x:v>Mohd Azizul Abdul Aziz</x:v>
      </x:c>
      <x:c r="C4364" s="16" t="str"/>
      <x:c r="D4364" s="16" t="str">
        <x:v>* myContacts</x:v>
      </x:c>
      <x:c r="E4364" s="16" t="str">
        <x:v>Missing email</x:v>
      </x:c>
    </x:row>
    <x:row r="4365">
      <x:c r="A4365" s="16" t="n">
        <x:v>4514</x:v>
      </x:c>
      <x:c r="B4365" s="16" t="str">
        <x:v>Mohd Azli Liey</x:v>
      </x:c>
      <x:c r="C4365" s="16" t="str"/>
      <x:c r="D4365" s="16" t="str">
        <x:v>* myContacts</x:v>
      </x:c>
      <x:c r="E4365" s="16" t="str">
        <x:v>Missing email</x:v>
      </x:c>
    </x:row>
    <x:row r="4366">
      <x:c r="A4366" s="16" t="n">
        <x:v>4515</x:v>
      </x:c>
      <x:c r="B4366" s="16" t="str">
        <x:v>Mohd Azmi AGP</x:v>
      </x:c>
      <x:c r="C4366" s="16" t="str"/>
      <x:c r="D4366" s="16" t="str">
        <x:v>* myContacts</x:v>
      </x:c>
      <x:c r="E4366" s="16" t="str">
        <x:v>Missing email</x:v>
      </x:c>
    </x:row>
    <x:row r="4367">
      <x:c r="A4367" s="16" t="n">
        <x:v>4516</x:v>
      </x:c>
      <x:c r="B4367" s="16" t="str">
        <x:v>Mohd Azmir Mohd Radzi</x:v>
      </x:c>
      <x:c r="C4367" s="16" t="str"/>
      <x:c r="D4367" s="16" t="str">
        <x:v>* myContacts</x:v>
      </x:c>
      <x:c r="E4367" s="16" t="str">
        <x:v>Missing email</x:v>
      </x:c>
    </x:row>
    <x:row r="4368">
      <x:c r="A4368" s="16" t="n">
        <x:v>4518</x:v>
      </x:c>
      <x:c r="B4368" s="16" t="str">
        <x:v>Mohd Badrul Kamal</x:v>
      </x:c>
      <x:c r="C4368" s="16" t="str"/>
      <x:c r="D4368" s="16" t="str">
        <x:v>* myContacts</x:v>
      </x:c>
      <x:c r="E4368" s="16" t="str">
        <x:v>Missing email</x:v>
      </x:c>
    </x:row>
    <x:row r="4369">
      <x:c r="A4369" s="16" t="n">
        <x:v>4519</x:v>
      </x:c>
      <x:c r="B4369" s="16" t="str">
        <x:v>Mohd Bakri Shaari</x:v>
      </x:c>
      <x:c r="C4369" s="16" t="str"/>
      <x:c r="D4369" s="16" t="str">
        <x:v>* myContacts</x:v>
      </x:c>
      <x:c r="E4369" s="16" t="str">
        <x:v>Missing email</x:v>
      </x:c>
    </x:row>
    <x:row r="4370">
      <x:c r="A4370" s="16" t="n">
        <x:v>4520</x:v>
      </x:c>
      <x:c r="B4370" s="16" t="str">
        <x:v>Mohd Basya</x:v>
      </x:c>
      <x:c r="C4370" s="16" t="str"/>
      <x:c r="D4370" s="16" t="str">
        <x:v>* myContacts</x:v>
      </x:c>
      <x:c r="E4370" s="16" t="str">
        <x:v>Missing email</x:v>
      </x:c>
    </x:row>
    <x:row r="4371">
      <x:c r="A4371" s="16" t="n">
        <x:v>4521</x:v>
      </x:c>
      <x:c r="B4371" s="16" t="str">
        <x:v>Mohd Dali Ali Dali</x:v>
      </x:c>
      <x:c r="C4371" s="16" t="str"/>
      <x:c r="D4371" s="16" t="str">
        <x:v>* myContacts</x:v>
      </x:c>
      <x:c r="E4371" s="16" t="str">
        <x:v>Missing email</x:v>
      </x:c>
    </x:row>
    <x:row r="4372">
      <x:c r="A4372" s="16" t="n">
        <x:v>4522</x:v>
      </x:c>
      <x:c r="B4372" s="16" t="str">
        <x:v>Mohd Damai Edwin</x:v>
      </x:c>
      <x:c r="C4372" s="16" t="str"/>
      <x:c r="D4372" s="16" t="str">
        <x:v>* myContacts</x:v>
      </x:c>
      <x:c r="E4372" s="16" t="str">
        <x:v>Missing email</x:v>
      </x:c>
    </x:row>
    <x:row r="4373">
      <x:c r="A4373" s="16" t="n">
        <x:v>4523</x:v>
      </x:c>
      <x:c r="B4373" s="16" t="str">
        <x:v>Mohd Ezrix Syahriz</x:v>
      </x:c>
      <x:c r="C4373" s="16" t="str"/>
      <x:c r="D4373" s="16" t="str">
        <x:v>* myContacts</x:v>
      </x:c>
      <x:c r="E4373" s="16" t="str">
        <x:v>Missing email</x:v>
      </x:c>
    </x:row>
    <x:row r="4374">
      <x:c r="A4374" s="16" t="n">
        <x:v>4524</x:v>
      </x:c>
      <x:c r="B4374" s="16" t="str">
        <x:v>Mohd Fadli Othman</x:v>
      </x:c>
      <x:c r="C4374" s="16" t="str"/>
      <x:c r="D4374" s="16" t="str">
        <x:v>* myContacts</x:v>
      </x:c>
      <x:c r="E4374" s="16" t="str">
        <x:v>Missing email</x:v>
      </x:c>
    </x:row>
    <x:row r="4375">
      <x:c r="A4375" s="16" t="n">
        <x:v>4525</x:v>
      </x:c>
      <x:c r="B4375" s="16" t="str">
        <x:v>Mohd Fadly</x:v>
      </x:c>
      <x:c r="C4375" s="16" t="str"/>
      <x:c r="D4375" s="16" t="str">
        <x:v>* myContacts</x:v>
      </x:c>
      <x:c r="E4375" s="16" t="str">
        <x:v>Missing email</x:v>
      </x:c>
    </x:row>
    <x:row r="4376">
      <x:c r="A4376" s="16" t="n">
        <x:v>4526</x:v>
      </x:c>
      <x:c r="B4376" s="16" t="str">
        <x:v>Mohd Fadzil Fadz</x:v>
      </x:c>
      <x:c r="C4376" s="16" t="str"/>
      <x:c r="D4376" s="16" t="str">
        <x:v>* myContacts</x:v>
      </x:c>
      <x:c r="E4376" s="16" t="str">
        <x:v>Missing email</x:v>
      </x:c>
    </x:row>
    <x:row r="4377">
      <x:c r="A4377" s="16" t="n">
        <x:v>4527</x:v>
      </x:c>
      <x:c r="B4377" s="16" t="str">
        <x:v>Mohd Fadzli Mohd Yusuf</x:v>
      </x:c>
      <x:c r="C4377" s="16" t="str"/>
      <x:c r="D4377" s="16" t="str">
        <x:v>* myContacts</x:v>
      </x:c>
      <x:c r="E4377" s="16" t="str">
        <x:v>Missing email</x:v>
      </x:c>
    </x:row>
    <x:row r="4378">
      <x:c r="A4378" s="16" t="n">
        <x:v>4528</x:v>
      </x:c>
      <x:c r="B4378" s="16" t="str">
        <x:v>Mohd Fadzrullah</x:v>
      </x:c>
      <x:c r="C4378" s="16" t="str"/>
      <x:c r="D4378" s="16" t="str">
        <x:v>* myContacts</x:v>
      </x:c>
      <x:c r="E4378" s="16" t="str">
        <x:v>Missing email</x:v>
      </x:c>
    </x:row>
    <x:row r="4379">
      <x:c r="A4379" s="16" t="n">
        <x:v>4529</x:v>
      </x:c>
      <x:c r="B4379" s="16" t="str">
        <x:v>Mohd Faeiz Abdul Rashid</x:v>
      </x:c>
      <x:c r="C4379" s="16" t="str"/>
      <x:c r="D4379" s="16" t="str">
        <x:v>* myContacts</x:v>
      </x:c>
      <x:c r="E4379" s="16" t="str">
        <x:v>Missing email</x:v>
      </x:c>
    </x:row>
    <x:row r="4380">
      <x:c r="A4380" s="16" t="n">
        <x:v>4530</x:v>
      </x:c>
      <x:c r="B4380" s="16" t="str">
        <x:v>Mohd Fairul Mursalim</x:v>
      </x:c>
      <x:c r="C4380" s="16" t="str"/>
      <x:c r="D4380" s="16" t="str">
        <x:v>* myContacts</x:v>
      </x:c>
      <x:c r="E4380" s="16" t="str">
        <x:v>Missing email</x:v>
      </x:c>
    </x:row>
    <x:row r="4381">
      <x:c r="A4381" s="16" t="n">
        <x:v>4531</x:v>
      </x:c>
      <x:c r="B4381" s="16" t="str">
        <x:v>Mohd Faisal Ismail Faisal</x:v>
      </x:c>
      <x:c r="C4381" s="16" t="str"/>
      <x:c r="D4381" s="16" t="str">
        <x:v>* myContacts</x:v>
      </x:c>
      <x:c r="E4381" s="16" t="str">
        <x:v>Missing email</x:v>
      </x:c>
    </x:row>
    <x:row r="4382">
      <x:c r="A4382" s="16" t="n">
        <x:v>4532</x:v>
      </x:c>
      <x:c r="B4382" s="16" t="str">
        <x:v>Mohd Faiz Che At</x:v>
      </x:c>
      <x:c r="C4382" s="16" t="str"/>
      <x:c r="D4382" s="16" t="str">
        <x:v>* myContacts</x:v>
      </x:c>
      <x:c r="E4382" s="16" t="str">
        <x:v>Missing email</x:v>
      </x:c>
    </x:row>
    <x:row r="4383">
      <x:c r="A4383" s="16" t="n">
        <x:v>4533</x:v>
      </x:c>
      <x:c r="B4383" s="16" t="str">
        <x:v>Mohd Fakhruddin AGP</x:v>
      </x:c>
      <x:c r="C4383" s="16" t="str"/>
      <x:c r="D4383" s="16" t="str">
        <x:v>* myContacts</x:v>
      </x:c>
      <x:c r="E4383" s="16" t="str">
        <x:v>Missing email</x:v>
      </x:c>
    </x:row>
    <x:row r="4384">
      <x:c r="A4384" s="16" t="n">
        <x:v>4534</x:v>
      </x:c>
      <x:c r="B4384" s="16" t="str">
        <x:v>Mohd Fakhrurozi Mat Zain</x:v>
      </x:c>
      <x:c r="C4384" s="16" t="str"/>
      <x:c r="D4384" s="16" t="str">
        <x:v>* myContacts</x:v>
      </x:c>
      <x:c r="E4384" s="16" t="str">
        <x:v>Missing email</x:v>
      </x:c>
    </x:row>
    <x:row r="4385">
      <x:c r="A4385" s="16" t="n">
        <x:v>4535</x:v>
      </x:c>
      <x:c r="B4385" s="16" t="str">
        <x:v>Mohd Fariel Anuar</x:v>
      </x:c>
      <x:c r="C4385" s="16" t="str"/>
      <x:c r="D4385" s="16" t="str">
        <x:v>* myContacts</x:v>
      </x:c>
      <x:c r="E4385" s="16" t="str">
        <x:v>Missing email</x:v>
      </x:c>
    </x:row>
    <x:row r="4386">
      <x:c r="A4386" s="16" t="n">
        <x:v>4536</x:v>
      </x:c>
      <x:c r="B4386" s="16" t="str">
        <x:v>Mohd Farrid Abd Yaakub</x:v>
      </x:c>
      <x:c r="C4386" s="16" t="str"/>
      <x:c r="D4386" s="16" t="str">
        <x:v>* myContacts</x:v>
      </x:c>
      <x:c r="E4386" s="16" t="str">
        <x:v>Missing email</x:v>
      </x:c>
    </x:row>
    <x:row r="4387">
      <x:c r="A4387" s="16" t="n">
        <x:v>4537</x:v>
      </x:c>
      <x:c r="B4387" s="16" t="str">
        <x:v>Mohd Fauzan Ashaari Appe</x:v>
      </x:c>
      <x:c r="C4387" s="16" t="str"/>
      <x:c r="D4387" s="16" t="str">
        <x:v>* myContacts</x:v>
      </x:c>
      <x:c r="E4387" s="16" t="str">
        <x:v>Missing email</x:v>
      </x:c>
    </x:row>
    <x:row r="4388">
      <x:c r="A4388" s="16" t="n">
        <x:v>4538</x:v>
      </x:c>
      <x:c r="B4388" s="16" t="str">
        <x:v>Mohd Fauzan Fauzi</x:v>
      </x:c>
      <x:c r="C4388" s="16" t="str"/>
      <x:c r="D4388" s="16" t="str">
        <x:v>* myContacts</x:v>
      </x:c>
      <x:c r="E4388" s="16" t="str">
        <x:v>Missing email</x:v>
      </x:c>
    </x:row>
    <x:row r="4389">
      <x:c r="A4389" s="16" t="n">
        <x:v>4539</x:v>
      </x:c>
      <x:c r="B4389" s="16" t="str">
        <x:v>Mohd Fauzi Supeno Agent Essens</x:v>
      </x:c>
      <x:c r="C4389" s="16" t="str"/>
      <x:c r="D4389" s="16" t="str">
        <x:v>* myContacts</x:v>
      </x:c>
      <x:c r="E4389" s="16" t="str">
        <x:v>Missing email</x:v>
      </x:c>
    </x:row>
    <x:row r="4390">
      <x:c r="A4390" s="16" t="n">
        <x:v>4541</x:v>
      </x:c>
      <x:c r="B4390" s="16" t="str">
        <x:v>Mohd Fazli Ismail</x:v>
      </x:c>
      <x:c r="C4390" s="16" t="str"/>
      <x:c r="D4390" s="16" t="str">
        <x:v>* myContacts</x:v>
      </x:c>
      <x:c r="E4390" s="16" t="str">
        <x:v>Missing email</x:v>
      </x:c>
    </x:row>
    <x:row r="4391">
      <x:c r="A4391" s="16" t="n">
        <x:v>4543</x:v>
      </x:c>
      <x:c r="B4391" s="16" t="str">
        <x:v>Mohd Fazril Ahmed</x:v>
      </x:c>
      <x:c r="C4391" s="16" t="str"/>
      <x:c r="D4391" s="16" t="str">
        <x:v>* myContacts</x:v>
      </x:c>
      <x:c r="E4391" s="16" t="str">
        <x:v>Missing email</x:v>
      </x:c>
    </x:row>
    <x:row r="4392">
      <x:c r="A4392" s="16" t="n">
        <x:v>4544</x:v>
      </x:c>
      <x:c r="B4392" s="16" t="str">
        <x:v>Mohd Firdaus Basit</x:v>
      </x:c>
      <x:c r="C4392" s="16" t="str"/>
      <x:c r="D4392" s="16" t="str">
        <x:v>* myContacts</x:v>
      </x:c>
      <x:c r="E4392" s="16" t="str">
        <x:v>Missing email</x:v>
      </x:c>
    </x:row>
    <x:row r="4393">
      <x:c r="A4393" s="16" t="n">
        <x:v>4545</x:v>
      </x:c>
      <x:c r="B4393" s="16" t="str">
        <x:v>Mohd Firol Hissyammudin</x:v>
      </x:c>
      <x:c r="C4393" s="16" t="str"/>
      <x:c r="D4393" s="16" t="str">
        <x:v>* myContacts</x:v>
      </x:c>
      <x:c r="E4393" s="16" t="str">
        <x:v>Missing email</x:v>
      </x:c>
    </x:row>
    <x:row r="4394">
      <x:c r="A4394" s="16" t="n">
        <x:v>4546</x:v>
      </x:c>
      <x:c r="B4394" s="16" t="str">
        <x:v>Mohd Hadiey</x:v>
      </x:c>
      <x:c r="C4394" s="16" t="str"/>
      <x:c r="D4394" s="16" t="str">
        <x:v>* myContacts</x:v>
      </x:c>
      <x:c r="E4394" s="16" t="str">
        <x:v>Missing email</x:v>
      </x:c>
    </x:row>
    <x:row r="4395">
      <x:c r="A4395" s="16" t="n">
        <x:v>4547</x:v>
      </x:c>
      <x:c r="B4395" s="16" t="str">
        <x:v>Mohd Hadil Ishak</x:v>
      </x:c>
      <x:c r="C4395" s="16" t="str"/>
      <x:c r="D4395" s="16" t="str">
        <x:v>* myContacts</x:v>
      </x:c>
      <x:c r="E4395" s="16" t="str">
        <x:v>Missing email</x:v>
      </x:c>
    </x:row>
    <x:row r="4396">
      <x:c r="A4396" s="16" t="n">
        <x:v>4548</x:v>
      </x:c>
      <x:c r="B4396" s="16" t="str">
        <x:v>Mohd Hadzroul</x:v>
      </x:c>
      <x:c r="C4396" s="16" t="str"/>
      <x:c r="D4396" s="16" t="str">
        <x:v>* myContacts</x:v>
      </x:c>
      <x:c r="E4396" s="16" t="str">
        <x:v>Missing email</x:v>
      </x:c>
    </x:row>
    <x:row r="4397">
      <x:c r="A4397" s="16" t="n">
        <x:v>4549</x:v>
      </x:c>
      <x:c r="B4397" s="16" t="str">
        <x:v>Mohd Hafifi</x:v>
      </x:c>
      <x:c r="C4397" s="16" t="str"/>
      <x:c r="D4397" s="16" t="str">
        <x:v>* myContacts</x:v>
      </x:c>
      <x:c r="E4397" s="16" t="str">
        <x:v>Missing email</x:v>
      </x:c>
    </x:row>
    <x:row r="4398">
      <x:c r="A4398" s="16" t="n">
        <x:v>4550</x:v>
      </x:c>
      <x:c r="B4398" s="16" t="str">
        <x:v>Mohd Hafiz</x:v>
      </x:c>
      <x:c r="C4398" s="16" t="str"/>
      <x:c r="D4398" s="16" t="str">
        <x:v>* myContacts</x:v>
      </x:c>
      <x:c r="E4398" s="16" t="str">
        <x:v>Missing email</x:v>
      </x:c>
    </x:row>
    <x:row r="4399">
      <x:c r="A4399" s="16" t="n">
        <x:v>4551</x:v>
      </x:c>
      <x:c r="B4399" s="16" t="str">
        <x:v>mohd hafiz abu bakar pegawai punb bangunan sewaan</x:v>
      </x:c>
      <x:c r="C4399" s="16" t="str"/>
      <x:c r="D4399" s="16" t="str">
        <x:v>* myContacts</x:v>
      </x:c>
      <x:c r="E4399" s="16" t="str">
        <x:v>Missing email</x:v>
      </x:c>
    </x:row>
    <x:row r="4400">
      <x:c r="A4400" s="16" t="n">
        <x:v>4552</x:v>
      </x:c>
      <x:c r="B4400" s="16" t="str">
        <x:v>Mohd Hafiz Bin Kamalrudin</x:v>
      </x:c>
      <x:c r="C4400" s="16" t="str"/>
      <x:c r="D4400" s="16" t="str">
        <x:v>* myContacts</x:v>
      </x:c>
      <x:c r="E4400" s="16" t="str">
        <x:v>Missing email</x:v>
      </x:c>
    </x:row>
    <x:row r="4401">
      <x:c r="A4401" s="16" t="n">
        <x:v>4553</x:v>
      </x:c>
      <x:c r="B4401" s="16" t="str">
        <x:v>Mohd Hafiz Bin Nordin</x:v>
      </x:c>
      <x:c r="C4401" s="16" t="str"/>
      <x:c r="D4401" s="16" t="str">
        <x:v>* myContacts</x:v>
      </x:c>
      <x:c r="E4401" s="16" t="str">
        <x:v>Missing email</x:v>
      </x:c>
    </x:row>
    <x:row r="4402">
      <x:c r="A4402" s="16" t="n">
        <x:v>4554</x:v>
      </x:c>
      <x:c r="B4402" s="16" t="str">
        <x:v>Mohd Hafiz Coway</x:v>
      </x:c>
      <x:c r="C4402" s="16" t="str"/>
      <x:c r="D4402" s="16" t="str">
        <x:v>* myContacts</x:v>
      </x:c>
      <x:c r="E4402" s="16" t="str">
        <x:v>Missing email</x:v>
      </x:c>
    </x:row>
    <x:row r="4403">
      <x:c r="A4403" s="16" t="n">
        <x:v>4555</x:v>
      </x:c>
      <x:c r="B4403" s="16" t="str">
        <x:v>Mohd Hafiz Paiman</x:v>
      </x:c>
      <x:c r="C4403" s="16" t="str"/>
      <x:c r="D4403" s="16" t="str">
        <x:v>* myContacts</x:v>
      </x:c>
      <x:c r="E4403" s="16" t="str">
        <x:v>Missing email</x:v>
      </x:c>
    </x:row>
    <x:row r="4404">
      <x:c r="A4404" s="16" t="n">
        <x:v>4556</x:v>
      </x:c>
      <x:c r="B4404" s="16" t="str">
        <x:v>Mohd Haikal Adnan</x:v>
      </x:c>
      <x:c r="C4404" s="16" t="str"/>
      <x:c r="D4404" s="16" t="str">
        <x:v>* myContacts</x:v>
      </x:c>
      <x:c r="E4404" s="16" t="str">
        <x:v>Missing email</x:v>
      </x:c>
    </x:row>
    <x:row r="4405">
      <x:c r="A4405" s="16" t="n">
        <x:v>4557</x:v>
      </x:c>
      <x:c r="B4405" s="16" t="str">
        <x:v>Mohd Hairul</x:v>
      </x:c>
      <x:c r="C4405" s="16" t="str"/>
      <x:c r="D4405" s="16" t="str">
        <x:v>* myContacts</x:v>
      </x:c>
      <x:c r="E4405" s="16" t="str">
        <x:v>Missing email</x:v>
      </x:c>
    </x:row>
    <x:row r="4406">
      <x:c r="A4406" s="16" t="n">
        <x:v>4558</x:v>
      </x:c>
      <x:c r="B4406" s="16" t="str">
        <x:v>Mohd Hamdan Jue</x:v>
      </x:c>
      <x:c r="C4406" s="16" t="str"/>
      <x:c r="D4406" s="16" t="str">
        <x:v>* myContacts</x:v>
      </x:c>
      <x:c r="E4406" s="16" t="str">
        <x:v>Missing email</x:v>
      </x:c>
    </x:row>
    <x:row r="4407">
      <x:c r="A4407" s="16" t="n">
        <x:v>4559</x:v>
      </x:c>
      <x:c r="B4407" s="16" t="str">
        <x:v>Mohd Hamry Mat</x:v>
      </x:c>
      <x:c r="C4407" s="16" t="str"/>
      <x:c r="D4407" s="16" t="str">
        <x:v>* myContacts</x:v>
      </x:c>
      <x:c r="E4407" s="16" t="str">
        <x:v>Missing email</x:v>
      </x:c>
    </x:row>
    <x:row r="4408">
      <x:c r="A4408" s="16" t="n">
        <x:v>4560</x:v>
      </x:c>
      <x:c r="B4408" s="16" t="str">
        <x:v>Mohd Hamziee</x:v>
      </x:c>
      <x:c r="C4408" s="16" t="str"/>
      <x:c r="D4408" s="16" t="str">
        <x:v>* myContacts</x:v>
      </x:c>
      <x:c r="E4408" s="16" t="str">
        <x:v>Missing email</x:v>
      </x:c>
    </x:row>
    <x:row r="4409">
      <x:c r="A4409" s="16" t="n">
        <x:v>4561</x:v>
      </x:c>
      <x:c r="B4409" s="16" t="str">
        <x:v>mohd hanapi AGP</x:v>
      </x:c>
      <x:c r="C4409" s="16" t="str"/>
      <x:c r="D4409" s="16" t="str">
        <x:v>* myContacts</x:v>
      </x:c>
      <x:c r="E4409" s="16" t="str">
        <x:v>Missing email</x:v>
      </x:c>
    </x:row>
    <x:row r="4410">
      <x:c r="A4410" s="16" t="n">
        <x:v>4563</x:v>
      </x:c>
      <x:c r="B4410" s="16" t="str">
        <x:v>Mohd Hazlin Burger Sempoi</x:v>
      </x:c>
      <x:c r="C4410" s="16" t="str"/>
      <x:c r="D4410" s="16" t="str">
        <x:v>* myContacts</x:v>
      </x:c>
      <x:c r="E4410" s="16" t="str">
        <x:v>Missing email</x:v>
      </x:c>
    </x:row>
    <x:row r="4411">
      <x:c r="A4411" s="16" t="n">
        <x:v>4564</x:v>
      </x:c>
      <x:c r="B4411" s="16" t="str">
        <x:v>Mohd Hazrin</x:v>
      </x:c>
      <x:c r="C4411" s="16" t="str"/>
      <x:c r="D4411" s="16" t="str">
        <x:v>* myContacts</x:v>
      </x:c>
      <x:c r="E4411" s="16" t="str">
        <x:v>Missing email</x:v>
      </x:c>
    </x:row>
    <x:row r="4412">
      <x:c r="A4412" s="16" t="n">
        <x:v>4565</x:v>
      </x:c>
      <x:c r="B4412" s="16" t="str">
        <x:v>Mohd Hezer AGP</x:v>
      </x:c>
      <x:c r="C4412" s="16" t="str"/>
      <x:c r="D4412" s="16" t="str">
        <x:v>* myContacts</x:v>
      </x:c>
      <x:c r="E4412" s="16" t="str">
        <x:v>Missing email</x:v>
      </x:c>
    </x:row>
    <x:row r="4413">
      <x:c r="A4413" s="16" t="n">
        <x:v>4566</x:v>
      </x:c>
      <x:c r="B4413" s="16" t="str">
        <x:v>Mohd Hilmi</x:v>
      </x:c>
      <x:c r="C4413" s="16" t="str"/>
      <x:c r="D4413" s="16" t="str">
        <x:v>* myContacts</x:v>
      </x:c>
      <x:c r="E4413" s="16" t="str">
        <x:v>Missing email</x:v>
      </x:c>
    </x:row>
    <x:row r="4414">
      <x:c r="A4414" s="16" t="n">
        <x:v>4568</x:v>
      </x:c>
      <x:c r="B4414" s="16" t="str">
        <x:v>Mohd Hilmi Hisham Baong</x:v>
      </x:c>
      <x:c r="C4414" s="16" t="str"/>
      <x:c r="D4414" s="16" t="str">
        <x:v>* myContacts</x:v>
      </x:c>
      <x:c r="E4414" s="16" t="str">
        <x:v>Missing email</x:v>
      </x:c>
    </x:row>
    <x:row r="4415">
      <x:c r="A4415" s="16" t="n">
        <x:v>4569</x:v>
      </x:c>
      <x:c r="B4415" s="16" t="str">
        <x:v>Mohd Hilmy</x:v>
      </x:c>
      <x:c r="C4415" s="16" t="str"/>
      <x:c r="D4415" s="16" t="str">
        <x:v>* myContacts</x:v>
      </x:c>
      <x:c r="E4415" s="16" t="str">
        <x:v>Missing email</x:v>
      </x:c>
    </x:row>
    <x:row r="4416">
      <x:c r="A4416" s="16" t="n">
        <x:v>4570</x:v>
      </x:c>
      <x:c r="B4416" s="16" t="str">
        <x:v>Mohd Ibrahim Abu Bakar</x:v>
      </x:c>
      <x:c r="C4416" s="16" t="str"/>
      <x:c r="D4416" s="16" t="str">
        <x:v>* myContacts</x:v>
      </x:c>
      <x:c r="E4416" s="16" t="str">
        <x:v>Missing email</x:v>
      </x:c>
    </x:row>
    <x:row r="4417">
      <x:c r="A4417" s="16" t="n">
        <x:v>4571</x:v>
      </x:c>
      <x:c r="B4417" s="16" t="str">
        <x:v>Mohd Idzwan</x:v>
      </x:c>
      <x:c r="C4417" s="16" t="str"/>
      <x:c r="D4417" s="16" t="str">
        <x:v>* myContacts</x:v>
      </x:c>
      <x:c r="E4417" s="16" t="str">
        <x:v>Missing email</x:v>
      </x:c>
    </x:row>
    <x:row r="4418">
      <x:c r="A4418" s="16" t="n">
        <x:v>4572</x:v>
      </x:c>
      <x:c r="B4418" s="16" t="str">
        <x:v>mohd ikhsan AGP</x:v>
      </x:c>
      <x:c r="C4418" s="16" t="str"/>
      <x:c r="D4418" s="16" t="str">
        <x:v>* myContacts</x:v>
      </x:c>
      <x:c r="E4418" s="16" t="str">
        <x:v>Missing email</x:v>
      </x:c>
    </x:row>
    <x:row r="4419">
      <x:c r="A4419" s="16" t="n">
        <x:v>4573</x:v>
      </x:c>
      <x:c r="B4419" s="16" t="str">
        <x:v>Mohd Imran Perunding Hartanah</x:v>
      </x:c>
      <x:c r="C4419" s="16" t="str"/>
      <x:c r="D4419" s="16" t="str">
        <x:v>* myContacts</x:v>
      </x:c>
      <x:c r="E4419" s="16" t="str">
        <x:v>Missing email</x:v>
      </x:c>
    </x:row>
    <x:row r="4420">
      <x:c r="A4420" s="16" t="n">
        <x:v>4574</x:v>
      </x:c>
      <x:c r="B4420" s="16" t="str">
        <x:v>Mohd Irwan Kamarudin</x:v>
      </x:c>
      <x:c r="C4420" s="16" t="str"/>
      <x:c r="D4420" s="16" t="str">
        <x:v>* myContacts</x:v>
      </x:c>
      <x:c r="E4420" s="16" t="str">
        <x:v>Missing email</x:v>
      </x:c>
    </x:row>
    <x:row r="4421">
      <x:c r="A4421" s="16" t="n">
        <x:v>4575</x:v>
      </x:c>
      <x:c r="B4421" s="16" t="str">
        <x:v>Mohd Izan Md Zin</x:v>
      </x:c>
      <x:c r="C4421" s="16" t="str"/>
      <x:c r="D4421" s="16" t="str">
        <x:v>* myContacts</x:v>
      </x:c>
      <x:c r="E4421" s="16" t="str">
        <x:v>Missing email</x:v>
      </x:c>
    </x:row>
    <x:row r="4422">
      <x:c r="A4422" s="16" t="n">
        <x:v>4576</x:v>
      </x:c>
      <x:c r="B4422" s="16" t="str">
        <x:v>Mohd Izzad</x:v>
      </x:c>
      <x:c r="C4422" s="16" t="str"/>
      <x:c r="D4422" s="16" t="str">
        <x:v>* myContacts</x:v>
      </x:c>
      <x:c r="E4422" s="16" t="str">
        <x:v>Missing email</x:v>
      </x:c>
    </x:row>
    <x:row r="4423">
      <x:c r="A4423" s="16" t="n">
        <x:v>4577</x:v>
      </x:c>
      <x:c r="B4423" s="16" t="str">
        <x:v>Mohd Izzii</x:v>
      </x:c>
      <x:c r="C4423" s="16" t="str"/>
      <x:c r="D4423" s="16" t="str">
        <x:v>* myContacts</x:v>
      </x:c>
      <x:c r="E4423" s="16" t="str">
        <x:v>Missing email</x:v>
      </x:c>
    </x:row>
    <x:row r="4424">
      <x:c r="A4424" s="16" t="n">
        <x:v>4578</x:v>
      </x:c>
      <x:c r="B4424" s="16" t="str">
        <x:v>Mohd Jafni Bin Mohd Safri</x:v>
      </x:c>
      <x:c r="C4424" s="16" t="str"/>
      <x:c r="D4424" s="16" t="str">
        <x:v>* myContacts</x:v>
      </x:c>
      <x:c r="E4424" s="16" t="str">
        <x:v>Missing email</x:v>
      </x:c>
    </x:row>
    <x:row r="4425">
      <x:c r="A4425" s="16" t="n">
        <x:v>4579</x:v>
      </x:c>
      <x:c r="B4425" s="16" t="str">
        <x:v>Mohd Jamil Bin Yacob</x:v>
      </x:c>
      <x:c r="C4425" s="16" t="str"/>
      <x:c r="D4425" s="16" t="str">
        <x:v>* myContacts</x:v>
      </x:c>
      <x:c r="E4425" s="16" t="str">
        <x:v>Missing email</x:v>
      </x:c>
    </x:row>
    <x:row r="4426">
      <x:c r="A4426" s="16" t="n">
        <x:v>4580</x:v>
      </x:c>
      <x:c r="B4426" s="16" t="str">
        <x:v>Mohd Jamil Honda</x:v>
      </x:c>
      <x:c r="C4426" s="16" t="str"/>
      <x:c r="D4426" s="16" t="str">
        <x:v>* myContacts</x:v>
      </x:c>
      <x:c r="E4426" s="16" t="str">
        <x:v>Missing email</x:v>
      </x:c>
    </x:row>
    <x:row r="4427">
      <x:c r="A4427" s="16" t="n">
        <x:v>4581</x:v>
      </x:c>
      <x:c r="B4427" s="16" t="str">
        <x:v>Mohd Kamal</x:v>
      </x:c>
      <x:c r="C4427" s="16" t="str"/>
      <x:c r="D4427" s="16" t="str">
        <x:v>* myContacts</x:v>
      </x:c>
      <x:c r="E4427" s="16" t="str">
        <x:v>Missing email</x:v>
      </x:c>
    </x:row>
    <x:row r="4428">
      <x:c r="A4428" s="16" t="n">
        <x:v>4582</x:v>
      </x:c>
      <x:c r="B4428" s="16" t="str">
        <x:v>Mohd Kamaruzaman</x:v>
      </x:c>
      <x:c r="C4428" s="16" t="str"/>
      <x:c r="D4428" s="16" t="str">
        <x:v>* myContacts</x:v>
      </x:c>
      <x:c r="E4428" s="16" t="str">
        <x:v>Missing email</x:v>
      </x:c>
    </x:row>
    <x:row r="4429">
      <x:c r="A4429" s="16" t="n">
        <x:v>4583</x:v>
      </x:c>
      <x:c r="B4429" s="16" t="str">
        <x:v>Mohd Khafiz</x:v>
      </x:c>
      <x:c r="C4429" s="16" t="str"/>
      <x:c r="D4429" s="16" t="str">
        <x:v>* myContacts</x:v>
      </x:c>
      <x:c r="E4429" s="16" t="str">
        <x:v>Missing email</x:v>
      </x:c>
    </x:row>
    <x:row r="4430">
      <x:c r="A4430" s="16" t="n">
        <x:v>4584</x:v>
      </x:c>
      <x:c r="B4430" s="16" t="str">
        <x:v>Mohd Khairani</x:v>
      </x:c>
      <x:c r="C4430" s="16" t="str"/>
      <x:c r="D4430" s="16" t="str">
        <x:v>* myContacts</x:v>
      </x:c>
      <x:c r="E4430" s="16" t="str">
        <x:v>Missing email</x:v>
      </x:c>
    </x:row>
    <x:row r="4431">
      <x:c r="A4431" s="16" t="n">
        <x:v>4585</x:v>
      </x:c>
      <x:c r="B4431" s="16" t="str">
        <x:v>Mohd Khairi</x:v>
      </x:c>
      <x:c r="C4431" s="16" t="str"/>
      <x:c r="D4431" s="16" t="str">
        <x:v>* myContacts</x:v>
      </x:c>
      <x:c r="E4431" s="16" t="str">
        <x:v>Missing email</x:v>
      </x:c>
    </x:row>
    <x:row r="4432">
      <x:c r="A4432" s="16" t="n">
        <x:v>4586</x:v>
      </x:c>
      <x:c r="B4432" s="16" t="str">
        <x:v>Mohd Khairi Haji Embi</x:v>
      </x:c>
      <x:c r="C4432" s="16" t="str"/>
      <x:c r="D4432" s="16" t="str">
        <x:v>* myContacts</x:v>
      </x:c>
      <x:c r="E4432" s="16" t="str">
        <x:v>Missing email</x:v>
      </x:c>
    </x:row>
    <x:row r="4433">
      <x:c r="A4433" s="16" t="n">
        <x:v>4587</x:v>
      </x:c>
      <x:c r="B4433" s="16" t="str">
        <x:v>Mohd Khairul J.K.D Mahamud</x:v>
      </x:c>
      <x:c r="C4433" s="16" t="str"/>
      <x:c r="D4433" s="16" t="str">
        <x:v>* myContacts</x:v>
      </x:c>
      <x:c r="E4433" s="16" t="str">
        <x:v>Missing email</x:v>
      </x:c>
    </x:row>
    <x:row r="4434">
      <x:c r="A4434" s="16" t="n">
        <x:v>4588</x:v>
      </x:c>
      <x:c r="B4434" s="16" t="str">
        <x:v>Mohd Khari Baharun</x:v>
      </x:c>
      <x:c r="C4434" s="16" t="str"/>
      <x:c r="D4434" s="16" t="str">
        <x:v>* myContacts</x:v>
      </x:c>
      <x:c r="E4434" s="16" t="str">
        <x:v>Missing email</x:v>
      </x:c>
    </x:row>
    <x:row r="4435">
      <x:c r="A4435" s="16" t="n">
        <x:v>4589</x:v>
      </x:c>
      <x:c r="B4435" s="16" t="str">
        <x:v>Mohd Khazrol</x:v>
      </x:c>
      <x:c r="C4435" s="16" t="str"/>
      <x:c r="D4435" s="16" t="str">
        <x:v>* myContacts</x:v>
      </x:c>
      <x:c r="E4435" s="16" t="str">
        <x:v>Missing email</x:v>
      </x:c>
    </x:row>
    <x:row r="4436">
      <x:c r="A4436" s="16" t="n">
        <x:v>4590</x:v>
      </x:c>
      <x:c r="B4436" s="16" t="str">
        <x:v>mohd khir AGP</x:v>
      </x:c>
      <x:c r="C4436" s="16" t="str"/>
      <x:c r="D4436" s="16" t="str">
        <x:v>* myContacts</x:v>
      </x:c>
      <x:c r="E4436" s="16" t="str">
        <x:v>Missing email</x:v>
      </x:c>
    </x:row>
    <x:row r="4437">
      <x:c r="A4437" s="16" t="n">
        <x:v>4591</x:v>
      </x:c>
      <x:c r="B4437" s="16" t="str">
        <x:v>Mohd Lukman AGP</x:v>
      </x:c>
      <x:c r="C4437" s="16" t="str"/>
      <x:c r="D4437" s="16" t="str">
        <x:v>* myContacts</x:v>
      </x:c>
      <x:c r="E4437" s="16" t="str">
        <x:v>Missing email</x:v>
      </x:c>
    </x:row>
    <x:row r="4438">
      <x:c r="A4438" s="16" t="n">
        <x:v>4592</x:v>
      </x:c>
      <x:c r="B4438" s="16" t="str">
        <x:v>Mohd Mazlan</x:v>
      </x:c>
      <x:c r="C4438" s="16" t="str"/>
      <x:c r="D4438" s="16" t="str">
        <x:v>* myContacts</x:v>
      </x:c>
      <x:c r="E4438" s="16" t="str">
        <x:v>Missing email</x:v>
      </x:c>
    </x:row>
    <x:row r="4439">
      <x:c r="A4439" s="16" t="n">
        <x:v>4593</x:v>
      </x:c>
      <x:c r="B4439" s="16" t="str">
        <x:v>Mohd Mujaheed</x:v>
      </x:c>
      <x:c r="C4439" s="16" t="str"/>
      <x:c r="D4439" s="16" t="str">
        <x:v>* myContacts</x:v>
      </x:c>
      <x:c r="E4439" s="16" t="str">
        <x:v>Missing email</x:v>
      </x:c>
    </x:row>
    <x:row r="4440">
      <x:c r="A4440" s="16" t="n">
        <x:v>4594</x:v>
      </x:c>
      <x:c r="B4440" s="16" t="str">
        <x:v>Mohd Mujahid</x:v>
      </x:c>
      <x:c r="C4440" s="16" t="str"/>
      <x:c r="D4440" s="16" t="str">
        <x:v>* myContacts</x:v>
      </x:c>
      <x:c r="E4440" s="16" t="str">
        <x:v>Missing email</x:v>
      </x:c>
    </x:row>
    <x:row r="4441">
      <x:c r="A4441" s="16" t="n">
        <x:v>4595</x:v>
      </x:c>
      <x:c r="B4441" s="16" t="str">
        <x:v>Mohd Munir Abdullah</x:v>
      </x:c>
      <x:c r="C4441" s="16" t="str"/>
      <x:c r="D4441" s="16" t="str">
        <x:v>* myContacts</x:v>
      </x:c>
      <x:c r="E4441" s="16" t="str">
        <x:v>Missing email</x:v>
      </x:c>
    </x:row>
    <x:row r="4442">
      <x:c r="A4442" s="16" t="n">
        <x:v>4596</x:v>
      </x:c>
      <x:c r="B4442" s="16" t="str">
        <x:v>Mohd Nadzari AGP</x:v>
      </x:c>
      <x:c r="C4442" s="16" t="str"/>
      <x:c r="D4442" s="16" t="str">
        <x:v>* myContacts</x:v>
      </x:c>
      <x:c r="E4442" s="16" t="str">
        <x:v>Missing email</x:v>
      </x:c>
    </x:row>
    <x:row r="4443">
      <x:c r="A4443" s="16" t="n">
        <x:v>4597</x:v>
      </x:c>
      <x:c r="B4443" s="16" t="str">
        <x:v>Mohd Najhan Che Aziz</x:v>
      </x:c>
      <x:c r="C4443" s="16" t="str"/>
      <x:c r="D4443" s="16" t="str">
        <x:v>* myContacts</x:v>
      </x:c>
      <x:c r="E4443" s="16" t="str">
        <x:v>Missing email</x:v>
      </x:c>
    </x:row>
    <x:row r="4444">
      <x:c r="A4444" s="16" t="n">
        <x:v>4599</x:v>
      </x:c>
      <x:c r="B4444" s="16" t="str">
        <x:v>Mohd Najib Zainal</x:v>
      </x:c>
      <x:c r="C4444" s="16" t="str"/>
      <x:c r="D4444" s="16" t="str">
        <x:v>* myContacts</x:v>
      </x:c>
      <x:c r="E4444" s="16" t="str">
        <x:v>Missing email</x:v>
      </x:c>
    </x:row>
    <x:row r="4445">
      <x:c r="A4445" s="16" t="n">
        <x:v>4600</x:v>
      </x:c>
      <x:c r="B4445" s="16" t="str">
        <x:v>Mohd Nasir AGP</x:v>
      </x:c>
      <x:c r="C4445" s="16" t="str"/>
      <x:c r="D4445" s="16" t="str">
        <x:v>* myContacts</x:v>
      </x:c>
      <x:c r="E4445" s="16" t="str">
        <x:v>Missing email</x:v>
      </x:c>
    </x:row>
    <x:row r="4446">
      <x:c r="A4446" s="16" t="n">
        <x:v>4601</x:v>
      </x:c>
      <x:c r="B4446" s="16" t="str">
        <x:v>Mohd Nasir Hj Abdullah</x:v>
      </x:c>
      <x:c r="C4446" s="16" t="str"/>
      <x:c r="D4446" s="16" t="str">
        <x:v>* myContacts</x:v>
      </x:c>
      <x:c r="E4446" s="16" t="str">
        <x:v>Missing email</x:v>
      </x:c>
    </x:row>
    <x:row r="4447">
      <x:c r="A4447" s="16" t="n">
        <x:v>4602</x:v>
      </x:c>
      <x:c r="B4447" s="16" t="str">
        <x:v>Mohd Nawi</x:v>
      </x:c>
      <x:c r="C4447" s="16" t="str"/>
      <x:c r="D4447" s="16" t="str">
        <x:v>* myContacts</x:v>
      </x:c>
      <x:c r="E4447" s="16" t="str">
        <x:v>Missing email</x:v>
      </x:c>
    </x:row>
    <x:row r="4448">
      <x:c r="A4448" s="16" t="n">
        <x:v>4603</x:v>
      </x:c>
      <x:c r="B4448" s="16" t="str">
        <x:v>Mohd Nazmi</x:v>
      </x:c>
      <x:c r="C4448" s="16" t="str"/>
      <x:c r="D4448" s="16" t="str">
        <x:v>* myContacts</x:v>
      </x:c>
      <x:c r="E4448" s="16" t="str">
        <x:v>Missing email</x:v>
      </x:c>
    </x:row>
    <x:row r="4449">
      <x:c r="A4449" s="16" t="n">
        <x:v>4604</x:v>
      </x:c>
      <x:c r="B4449" s="16" t="str">
        <x:v>Mohd Nazmi Shah</x:v>
      </x:c>
      <x:c r="C4449" s="16" t="str"/>
      <x:c r="D4449" s="16" t="str">
        <x:v>* myContacts</x:v>
      </x:c>
      <x:c r="E4449" s="16" t="str">
        <x:v>Missing email</x:v>
      </x:c>
    </x:row>
    <x:row r="4450">
      <x:c r="A4450" s="16" t="n">
        <x:v>4605</x:v>
      </x:c>
      <x:c r="B4450" s="16" t="str">
        <x:v>Mohd Nazri BDA</x:v>
      </x:c>
      <x:c r="C4450" s="16" t="str"/>
      <x:c r="D4450" s="16" t="str">
        <x:v>* myContacts</x:v>
      </x:c>
      <x:c r="E4450" s="16" t="str">
        <x:v>Missing email</x:v>
      </x:c>
    </x:row>
    <x:row r="4451">
      <x:c r="A4451" s="16" t="n">
        <x:v>4606</x:v>
      </x:c>
      <x:c r="B4451" s="16" t="str">
        <x:v>Mohd Nazrul</x:v>
      </x:c>
      <x:c r="C4451" s="16" t="str"/>
      <x:c r="D4451" s="16" t="str">
        <x:v>* myContacts</x:v>
      </x:c>
      <x:c r="E4451" s="16" t="str">
        <x:v>Missing email</x:v>
      </x:c>
    </x:row>
    <x:row r="4452">
      <x:c r="A4452" s="16" t="n">
        <x:v>4607</x:v>
      </x:c>
      <x:c r="B4452" s="16" t="str">
        <x:v>Mohd Nazzuan Nayan</x:v>
      </x:c>
      <x:c r="C4452" s="16" t="str"/>
      <x:c r="D4452" s="16" t="str">
        <x:v>* myContacts</x:v>
      </x:c>
      <x:c r="E4452" s="16" t="str">
        <x:v>Missing email</x:v>
      </x:c>
    </x:row>
    <x:row r="4453">
      <x:c r="A4453" s="16" t="n">
        <x:v>4608</x:v>
      </x:c>
      <x:c r="B4453" s="16" t="str">
        <x:v>Mohd Nizam Sharif</x:v>
      </x:c>
      <x:c r="C4453" s="16" t="str"/>
      <x:c r="D4453" s="16" t="str">
        <x:v>* myContacts</x:v>
      </x:c>
      <x:c r="E4453" s="16" t="str">
        <x:v>Missing email</x:v>
      </x:c>
    </x:row>
    <x:row r="4454">
      <x:c r="A4454" s="16" t="n">
        <x:v>4609</x:v>
      </x:c>
      <x:c r="B4454" s="16" t="str">
        <x:v>Mohd Noor Abd Sukor</x:v>
      </x:c>
      <x:c r="C4454" s="16" t="str"/>
      <x:c r="D4454" s="16" t="str">
        <x:v>* myContacts</x:v>
      </x:c>
      <x:c r="E4454" s="16" t="str">
        <x:v>Missing email</x:v>
      </x:c>
    </x:row>
    <x:row r="4455">
      <x:c r="A4455" s="16" t="n">
        <x:v>4610</x:v>
      </x:c>
      <x:c r="B4455" s="16" t="str">
        <x:v>Mohd Noor Hasan TP</x:v>
      </x:c>
      <x:c r="C4455" s="16" t="str"/>
      <x:c r="D4455" s="16" t="str">
        <x:v>* myContacts</x:v>
      </x:c>
      <x:c r="E4455" s="16" t="str">
        <x:v>Missing email</x:v>
      </x:c>
    </x:row>
    <x:row r="4456">
      <x:c r="A4456" s="16" t="n">
        <x:v>4611</x:v>
      </x:c>
      <x:c r="B4456" s="16" t="str">
        <x:v>Mohd Nor Qhidir</x:v>
      </x:c>
      <x:c r="C4456" s="16" t="str"/>
      <x:c r="D4456" s="16" t="str">
        <x:v>* myContacts</x:v>
      </x:c>
      <x:c r="E4456" s="16" t="str">
        <x:v>Missing email</x:v>
      </x:c>
    </x:row>
    <x:row r="4457">
      <x:c r="A4457" s="16" t="n">
        <x:v>4612</x:v>
      </x:c>
      <x:c r="B4457" s="16" t="str">
        <x:v>Mohd Norhisham AGP</x:v>
      </x:c>
      <x:c r="C4457" s="16" t="str"/>
      <x:c r="D4457" s="16" t="str">
        <x:v>* myContacts</x:v>
      </x:c>
      <x:c r="E4457" s="16" t="str">
        <x:v>Missing email</x:v>
      </x:c>
    </x:row>
    <x:row r="4458">
      <x:c r="A4458" s="16" t="n">
        <x:v>4613</x:v>
      </x:c>
      <x:c r="B4458" s="16" t="str">
        <x:v>Mohd Nornikman</x:v>
      </x:c>
      <x:c r="C4458" s="16" t="str"/>
      <x:c r="D4458" s="16" t="str">
        <x:v>* myContacts</x:v>
      </x:c>
      <x:c r="E4458" s="16" t="str">
        <x:v>Missing email</x:v>
      </x:c>
    </x:row>
    <x:row r="4459">
      <x:c r="A4459" s="16" t="n">
        <x:v>4614</x:v>
      </x:c>
      <x:c r="B4459" s="16" t="str">
        <x:v>Mohd Perodua</x:v>
      </x:c>
      <x:c r="C4459" s="16" t="str"/>
      <x:c r="D4459" s="16" t="str">
        <x:v>* myContacts</x:v>
      </x:c>
      <x:c r="E4459" s="16" t="str">
        <x:v>Missing email</x:v>
      </x:c>
    </x:row>
    <x:row r="4460">
      <x:c r="A4460" s="16" t="n">
        <x:v>4615</x:v>
      </x:c>
      <x:c r="B4460" s="16" t="str">
        <x:v>Mohd Phaiz SME CORP SCORE</x:v>
      </x:c>
      <x:c r="C4460" s="16" t="str"/>
      <x:c r="D4460" s="16" t="str">
        <x:v>* myContacts</x:v>
      </x:c>
      <x:c r="E4460" s="16" t="str">
        <x:v>Missing email</x:v>
      </x:c>
    </x:row>
    <x:row r="4461">
      <x:c r="A4461" s="16" t="n">
        <x:v>4616</x:v>
      </x:c>
      <x:c r="B4461" s="16" t="str">
        <x:v>Mohd Radzuan Razali</x:v>
      </x:c>
      <x:c r="C4461" s="16" t="str"/>
      <x:c r="D4461" s="16" t="str">
        <x:v>* myContacts</x:v>
      </x:c>
      <x:c r="E4461" s="16" t="str">
        <x:v>Missing email</x:v>
      </x:c>
    </x:row>
    <x:row r="4462">
      <x:c r="A4462" s="16" t="n">
        <x:v>4617</x:v>
      </x:c>
      <x:c r="B4462" s="16" t="str">
        <x:v>Mohd Rahof</x:v>
      </x:c>
      <x:c r="C4462" s="16" t="str"/>
      <x:c r="D4462" s="16" t="str">
        <x:v>* myContacts</x:v>
      </x:c>
      <x:c r="E4462" s="16" t="str">
        <x:v>Missing email</x:v>
      </x:c>
    </x:row>
    <x:row r="4463">
      <x:c r="A4463" s="16" t="n">
        <x:v>4618</x:v>
      </x:c>
      <x:c r="B4463" s="16" t="str">
        <x:v>Mohd Rais Zulkifli</x:v>
      </x:c>
      <x:c r="C4463" s="16" t="str"/>
      <x:c r="D4463" s="16" t="str">
        <x:v>* myContacts</x:v>
      </x:c>
      <x:c r="E4463" s="16" t="str">
        <x:v>Missing email</x:v>
      </x:c>
    </x:row>
    <x:row r="4464">
      <x:c r="A4464" s="16" t="n">
        <x:v>4619</x:v>
      </x:c>
      <x:c r="B4464" s="16" t="str">
        <x:v>Mohd Ramzhul Hatta</x:v>
      </x:c>
      <x:c r="C4464" s="16" t="str"/>
      <x:c r="D4464" s="16" t="str">
        <x:v>* myContacts</x:v>
      </x:c>
      <x:c r="E4464" s="16" t="str">
        <x:v>Missing email</x:v>
      </x:c>
    </x:row>
    <x:row r="4465">
      <x:c r="A4465" s="16" t="n">
        <x:v>4622</x:v>
      </x:c>
      <x:c r="B4465" s="16" t="str">
        <x:v>Mohd Rasyidi</x:v>
      </x:c>
      <x:c r="C4465" s="16" t="str"/>
      <x:c r="D4465" s="16" t="str">
        <x:v>* myContacts</x:v>
      </x:c>
      <x:c r="E4465" s="16" t="str">
        <x:v>Missing email</x:v>
      </x:c>
    </x:row>
    <x:row r="4466">
      <x:c r="A4466" s="16" t="n">
        <x:v>4623</x:v>
      </x:c>
      <x:c r="B4466" s="16" t="str">
        <x:v>Mohd Razak PERKIM KEPONG</x:v>
      </x:c>
      <x:c r="C4466" s="16" t="str"/>
      <x:c r="D4466" s="16" t="str">
        <x:v>* myContacts</x:v>
      </x:c>
      <x:c r="E4466" s="16" t="str">
        <x:v>Missing email</x:v>
      </x:c>
    </x:row>
    <x:row r="4467">
      <x:c r="A4467" s="16" t="n">
        <x:v>4624</x:v>
      </x:c>
      <x:c r="B4467" s="16" t="str">
        <x:v>Mohd Razin Abul Hasan</x:v>
      </x:c>
      <x:c r="C4467" s="16" t="str"/>
      <x:c r="D4467" s="16" t="str">
        <x:v>* myContacts</x:v>
      </x:c>
      <x:c r="E4467" s="16" t="str">
        <x:v>Missing email</x:v>
      </x:c>
    </x:row>
    <x:row r="4468">
      <x:c r="A4468" s="16" t="n">
        <x:v>4625</x:v>
      </x:c>
      <x:c r="B4468" s="16" t="str">
        <x:v>Mohd Ridhuan</x:v>
      </x:c>
      <x:c r="C4468" s="16" t="str"/>
      <x:c r="D4468" s="16" t="str">
        <x:v>* myContacts</x:v>
      </x:c>
      <x:c r="E4468" s="16" t="str">
        <x:v>Missing email</x:v>
      </x:c>
    </x:row>
    <x:row r="4469">
      <x:c r="A4469" s="16" t="n">
        <x:v>4626</x:v>
      </x:c>
      <x:c r="B4469" s="16" t="str">
        <x:v>Mohd Ridzuan</x:v>
      </x:c>
      <x:c r="C4469" s="16" t="str"/>
      <x:c r="D4469" s="16" t="str">
        <x:v>* myContacts</x:v>
      </x:c>
      <x:c r="E4469" s="16" t="str">
        <x:v>Missing email</x:v>
      </x:c>
    </x:row>
    <x:row r="4470">
      <x:c r="A4470" s="16" t="n">
        <x:v>4627</x:v>
      </x:c>
      <x:c r="B4470" s="16" t="str">
        <x:v>Mohd Rizal AG Hassan AGP</x:v>
      </x:c>
      <x:c r="C4470" s="16" t="str"/>
      <x:c r="D4470" s="16" t="str">
        <x:v>* myContacts</x:v>
      </x:c>
      <x:c r="E4470" s="16" t="str">
        <x:v>Missing email</x:v>
      </x:c>
    </x:row>
    <x:row r="4471">
      <x:c r="A4471" s="16" t="n">
        <x:v>4628</x:v>
      </x:c>
      <x:c r="B4471" s="16" t="str">
        <x:v>mohd rizal AGP</x:v>
      </x:c>
      <x:c r="C4471" s="16" t="str"/>
      <x:c r="D4471" s="16" t="str">
        <x:v>* myContacts</x:v>
      </x:c>
      <x:c r="E4471" s="16" t="str">
        <x:v>Missing email</x:v>
      </x:c>
    </x:row>
    <x:row r="4472">
      <x:c r="A4472" s="16" t="n">
        <x:v>4630</x:v>
      </x:c>
      <x:c r="B4472" s="16" t="str">
        <x:v>Mohd sadri AGP</x:v>
      </x:c>
      <x:c r="C4472" s="16" t="str"/>
      <x:c r="D4472" s="16" t="str">
        <x:v>* myContacts</x:v>
      </x:c>
      <x:c r="E4472" s="16" t="str">
        <x:v>Missing email</x:v>
      </x:c>
    </x:row>
    <x:row r="4473">
      <x:c r="A4473" s="16" t="n">
        <x:v>4631</x:v>
      </x:c>
      <x:c r="B4473" s="16" t="str">
        <x:v>Mohd Saifudin</x:v>
      </x:c>
      <x:c r="C4473" s="16" t="str"/>
      <x:c r="D4473" s="16" t="str">
        <x:v>* myContacts</x:v>
      </x:c>
      <x:c r="E4473" s="16" t="str">
        <x:v>Missing email</x:v>
      </x:c>
    </x:row>
    <x:row r="4474">
      <x:c r="A4474" s="16" t="n">
        <x:v>4632</x:v>
      </x:c>
      <x:c r="B4474" s="16" t="str">
        <x:v>Mohd Salehuddin Mohd Kidin</x:v>
      </x:c>
      <x:c r="C4474" s="16" t="str"/>
      <x:c r="D4474" s="16" t="str">
        <x:v>* myContacts</x:v>
      </x:c>
      <x:c r="E4474" s="16" t="str">
        <x:v>Missing email</x:v>
      </x:c>
    </x:row>
    <x:row r="4475">
      <x:c r="A4475" s="16" t="n">
        <x:v>4633</x:v>
      </x:c>
      <x:c r="B4475" s="16" t="str">
        <x:v>mohd sani AGP</x:v>
      </x:c>
      <x:c r="C4475" s="16" t="str"/>
      <x:c r="D4475" s="16" t="str">
        <x:v>* myContacts</x:v>
      </x:c>
      <x:c r="E4475" s="16" t="str">
        <x:v>Missing email</x:v>
      </x:c>
    </x:row>
    <x:row r="4476">
      <x:c r="A4476" s="16" t="n">
        <x:v>4634</x:v>
      </x:c>
      <x:c r="B4476" s="16" t="str">
        <x:v>Mohd Shafiq</x:v>
      </x:c>
      <x:c r="C4476" s="16" t="str"/>
      <x:c r="D4476" s="16" t="str">
        <x:v>* myContacts</x:v>
      </x:c>
      <x:c r="E4476" s="16" t="str">
        <x:v>Missing email</x:v>
      </x:c>
    </x:row>
    <x:row r="4477">
      <x:c r="A4477" s="16" t="n">
        <x:v>4636</x:v>
      </x:c>
      <x:c r="B4477" s="16" t="str">
        <x:v>Mohd Shafwan</x:v>
      </x:c>
      <x:c r="C4477" s="16" t="str"/>
      <x:c r="D4477" s="16" t="str">
        <x:v>* myContacts</x:v>
      </x:c>
      <x:c r="E4477" s="16" t="str">
        <x:v>Missing email</x:v>
      </x:c>
    </x:row>
    <x:row r="4478">
      <x:c r="A4478" s="16" t="n">
        <x:v>4637</x:v>
      </x:c>
      <x:c r="B4478" s="16" t="str">
        <x:v>Mohd Shaharul Ezany</x:v>
      </x:c>
      <x:c r="C4478" s="16" t="str"/>
      <x:c r="D4478" s="16" t="str">
        <x:v>* myContacts</x:v>
      </x:c>
      <x:c r="E4478" s="16" t="str">
        <x:v>Missing email</x:v>
      </x:c>
    </x:row>
    <x:row r="4479">
      <x:c r="A4479" s="16" t="n">
        <x:v>4638</x:v>
      </x:c>
      <x:c r="B4479" s="16" t="str">
        <x:v>Mohd Shahidi Saadin</x:v>
      </x:c>
      <x:c r="C4479" s="16" t="str"/>
      <x:c r="D4479" s="16" t="str">
        <x:v>* myContacts</x:v>
      </x:c>
      <x:c r="E4479" s="16" t="str">
        <x:v>Missing email</x:v>
      </x:c>
    </x:row>
    <x:row r="4480">
      <x:c r="A4480" s="16" t="n">
        <x:v>4639</x:v>
      </x:c>
      <x:c r="B4480" s="16" t="str">
        <x:v>Mohd Shahreza Sewa Lori</x:v>
      </x:c>
      <x:c r="C4480" s="16" t="str"/>
      <x:c r="D4480" s="16" t="str">
        <x:v>* myContacts</x:v>
      </x:c>
      <x:c r="E4480" s="16" t="str">
        <x:v>Missing email</x:v>
      </x:c>
    </x:row>
    <x:row r="4481">
      <x:c r="A4481" s="16" t="n">
        <x:v>4640</x:v>
      </x:c>
      <x:c r="B4481" s="16" t="str">
        <x:v>Mohd Shahril</x:v>
      </x:c>
      <x:c r="C4481" s="16" t="str"/>
      <x:c r="D4481" s="16" t="str">
        <x:v>* myContacts</x:v>
      </x:c>
      <x:c r="E4481" s="16" t="str">
        <x:v>Missing email</x:v>
      </x:c>
    </x:row>
    <x:row r="4482">
      <x:c r="A4482" s="16" t="n">
        <x:v>4641</x:v>
      </x:c>
      <x:c r="B4482" s="16" t="str">
        <x:v>Mohd Shahril Rave Startup</x:v>
      </x:c>
      <x:c r="C4482" s="16" t="str"/>
      <x:c r="D4482" s="16" t="str">
        <x:v>* myContacts</x:v>
      </x:c>
      <x:c r="E4482" s="16" t="str">
        <x:v>Missing email</x:v>
      </x:c>
    </x:row>
    <x:row r="4483">
      <x:c r="A4483" s="16" t="n">
        <x:v>4644</x:v>
      </x:c>
      <x:c r="B4483" s="16" t="str">
        <x:v>Mohd Shahrizan Bin Shaari</x:v>
      </x:c>
      <x:c r="C4483" s="16" t="str"/>
      <x:c r="D4483" s="16" t="str">
        <x:v>* myContacts</x:v>
      </x:c>
      <x:c r="E4483" s="16" t="str">
        <x:v>Missing email</x:v>
      </x:c>
    </x:row>
    <x:row r="4484">
      <x:c r="A4484" s="16" t="n">
        <x:v>4645</x:v>
      </x:c>
      <x:c r="B4484" s="16" t="str">
        <x:v>Mohd Shamsuddin Shukri</x:v>
      </x:c>
      <x:c r="C4484" s="16" t="str"/>
      <x:c r="D4484" s="16" t="str">
        <x:v>* myContacts</x:v>
      </x:c>
      <x:c r="E4484" s="16" t="str">
        <x:v>Missing email</x:v>
      </x:c>
    </x:row>
    <x:row r="4485">
      <x:c r="A4485" s="16" t="n">
        <x:v>4646</x:v>
      </x:c>
      <x:c r="B4485" s="16" t="str">
        <x:v>Mohd Shamsul Jamel</x:v>
      </x:c>
      <x:c r="C4485" s="16" t="str"/>
      <x:c r="D4485" s="16" t="str">
        <x:v>* myContacts</x:v>
      </x:c>
      <x:c r="E4485" s="16" t="str">
        <x:v>Missing email</x:v>
      </x:c>
    </x:row>
    <x:row r="4486">
      <x:c r="A4486" s="16" t="n">
        <x:v>4647</x:v>
      </x:c>
      <x:c r="B4486" s="16" t="str">
        <x:v>Mohd Shuaidi Ahmad Nazri</x:v>
      </x:c>
      <x:c r="C4486" s="16" t="str"/>
      <x:c r="D4486" s="16" t="str">
        <x:v>* myContacts</x:v>
      </x:c>
      <x:c r="E4486" s="16" t="str">
        <x:v>Missing email</x:v>
      </x:c>
    </x:row>
    <x:row r="4487">
      <x:c r="A4487" s="16" t="n">
        <x:v>4648</x:v>
      </x:c>
      <x:c r="B4487" s="16" t="str">
        <x:v>Mohd Sofian</x:v>
      </x:c>
      <x:c r="C4487" s="16" t="str"/>
      <x:c r="D4487" s="16" t="str">
        <x:v>* myContacts</x:v>
      </x:c>
      <x:c r="E4487" s="16" t="str">
        <x:v>Missing email</x:v>
      </x:c>
    </x:row>
    <x:row r="4488">
      <x:c r="A4488" s="16" t="n">
        <x:v>4649</x:v>
      </x:c>
      <x:c r="B4488" s="16" t="str">
        <x:v>Mohd Syafiq</x:v>
      </x:c>
      <x:c r="C4488" s="16" t="str"/>
      <x:c r="D4488" s="16" t="str">
        <x:v>* myContacts</x:v>
      </x:c>
      <x:c r="E4488" s="16" t="str">
        <x:v>Missing email</x:v>
      </x:c>
    </x:row>
    <x:row r="4489">
      <x:c r="A4489" s="16" t="n">
        <x:v>4650</x:v>
      </x:c>
      <x:c r="B4489" s="16" t="str">
        <x:v>Mohd Syahmi</x:v>
      </x:c>
      <x:c r="C4489" s="16" t="str"/>
      <x:c r="D4489" s="16" t="str">
        <x:v>* myContacts</x:v>
      </x:c>
      <x:c r="E4489" s="16" t="str">
        <x:v>Missing email</x:v>
      </x:c>
    </x:row>
    <x:row r="4490">
      <x:c r="A4490" s="16" t="n">
        <x:v>4651</x:v>
      </x:c>
      <x:c r="B4490" s="16" t="str">
        <x:v>Mohd Syuib</x:v>
      </x:c>
      <x:c r="C4490" s="16" t="str"/>
      <x:c r="D4490" s="16" t="str">
        <x:v>* myContacts</x:v>
      </x:c>
      <x:c r="E4490" s="16" t="str">
        <x:v>Missing email</x:v>
      </x:c>
    </x:row>
    <x:row r="4491">
      <x:c r="A4491" s="16" t="n">
        <x:v>4652</x:v>
      </x:c>
      <x:c r="B4491" s="16" t="str">
        <x:v>Mohd Tahar AGP Agent</x:v>
      </x:c>
      <x:c r="C4491" s="16" t="str"/>
      <x:c r="D4491" s="16" t="str">
        <x:v>* myContacts</x:v>
      </x:c>
      <x:c r="E4491" s="16" t="str">
        <x:v>Missing email</x:v>
      </x:c>
    </x:row>
    <x:row r="4492">
      <x:c r="A4492" s="16" t="n">
        <x:v>4653</x:v>
      </x:c>
      <x:c r="B4492" s="16" t="str">
        <x:v>Mohd Tarmizi</x:v>
      </x:c>
      <x:c r="C4492" s="16" t="str"/>
      <x:c r="D4492" s="16" t="str">
        <x:v>* myContacts</x:v>
      </x:c>
      <x:c r="E4492" s="16" t="str">
        <x:v>Missing email</x:v>
      </x:c>
    </x:row>
    <x:row r="4493">
      <x:c r="A4493" s="16" t="n">
        <x:v>4654</x:v>
      </x:c>
      <x:c r="B4493" s="16" t="str">
        <x:v>Mohd Taufiq Kbbc Agent</x:v>
      </x:c>
      <x:c r="C4493" s="16" t="str"/>
      <x:c r="D4493" s="16" t="str">
        <x:v>* myContacts</x:v>
      </x:c>
      <x:c r="E4493" s="16" t="str">
        <x:v>Missing email</x:v>
      </x:c>
    </x:row>
    <x:row r="4494">
      <x:c r="A4494" s="16" t="n">
        <x:v>4655</x:v>
      </x:c>
      <x:c r="B4494" s="16" t="str">
        <x:v>Mohd Udin</x:v>
      </x:c>
      <x:c r="C4494" s="16" t="str"/>
      <x:c r="D4494" s="16" t="str">
        <x:v>* myContacts</x:v>
      </x:c>
      <x:c r="E4494" s="16" t="str">
        <x:v>Missing email</x:v>
      </x:c>
    </x:row>
    <x:row r="4495">
      <x:c r="A4495" s="16" t="n">
        <x:v>4656</x:v>
      </x:c>
      <x:c r="B4495" s="16" t="str">
        <x:v>Mohd Wafi Aliff</x:v>
      </x:c>
      <x:c r="C4495" s="16" t="str"/>
      <x:c r="D4495" s="16" t="str">
        <x:v>* myContacts</x:v>
      </x:c>
      <x:c r="E4495" s="16" t="str">
        <x:v>Missing email</x:v>
      </x:c>
    </x:row>
    <x:row r="4496">
      <x:c r="A4496" s="16" t="n">
        <x:v>4657</x:v>
      </x:c>
      <x:c r="B4496" s="16" t="str">
        <x:v>Mohd Yunus AGP</x:v>
      </x:c>
      <x:c r="C4496" s="16" t="str"/>
      <x:c r="D4496" s="16" t="str">
        <x:v>* myContacts</x:v>
      </x:c>
      <x:c r="E4496" s="16" t="str">
        <x:v>Missing email</x:v>
      </x:c>
    </x:row>
    <x:row r="4497">
      <x:c r="A4497" s="16" t="n">
        <x:v>4658</x:v>
      </x:c>
      <x:c r="B4497" s="16" t="str">
        <x:v>Mohd Yusaini Mohd Yusof</x:v>
      </x:c>
      <x:c r="C4497" s="16" t="str"/>
      <x:c r="D4497" s="16" t="str">
        <x:v>* myContacts</x:v>
      </x:c>
      <x:c r="E4497" s="16" t="str">
        <x:v>Missing email</x:v>
      </x:c>
    </x:row>
    <x:row r="4498">
      <x:c r="A4498" s="16" t="n">
        <x:v>4659</x:v>
      </x:c>
      <x:c r="B4498" s="16" t="str">
        <x:v>Mohd Zahidi Halim</x:v>
      </x:c>
      <x:c r="C4498" s="16" t="str"/>
      <x:c r="D4498" s="16" t="str">
        <x:v>* myContacts</x:v>
      </x:c>
      <x:c r="E4498" s="16" t="str">
        <x:v>Missing email</x:v>
      </x:c>
    </x:row>
    <x:row r="4499">
      <x:c r="A4499" s="16" t="n">
        <x:v>4660</x:v>
      </x:c>
      <x:c r="B4499" s="16" t="str">
        <x:v>Mohd Zaid Md Fadzil Sistem Developer</x:v>
      </x:c>
      <x:c r="C4499" s="16" t="str"/>
      <x:c r="D4499" s="16" t="str">
        <x:v>* myContacts</x:v>
      </x:c>
      <x:c r="E4499" s="16" t="str">
        <x:v>Missing email</x:v>
      </x:c>
    </x:row>
    <x:row r="4500">
      <x:c r="A4500" s="16" t="n">
        <x:v>4661</x:v>
      </x:c>
      <x:c r="B4500" s="16" t="str">
        <x:v>Mohd Zaim Hamzah</x:v>
      </x:c>
      <x:c r="C4500" s="16" t="str"/>
      <x:c r="D4500" s="16" t="str">
        <x:v>* myContacts</x:v>
      </x:c>
      <x:c r="E4500" s="16" t="str">
        <x:v>Missing email</x:v>
      </x:c>
    </x:row>
    <x:row r="4501">
      <x:c r="A4501" s="16" t="n">
        <x:v>4662</x:v>
      </x:c>
      <x:c r="B4501" s="16" t="str">
        <x:v>Mohd Zaini</x:v>
      </x:c>
      <x:c r="C4501" s="16" t="str"/>
      <x:c r="D4501" s="16" t="str">
        <x:v>* myContacts</x:v>
      </x:c>
      <x:c r="E4501" s="16" t="str">
        <x:v>Missing email</x:v>
      </x:c>
    </x:row>
    <x:row r="4502">
      <x:c r="A4502" s="16" t="n">
        <x:v>4664</x:v>
      </x:c>
      <x:c r="B4502" s="16" t="str">
        <x:v>Mohd Zaki AGP</x:v>
      </x:c>
      <x:c r="C4502" s="16" t="str"/>
      <x:c r="D4502" s="16" t="str">
        <x:v>* myContacts</x:v>
      </x:c>
      <x:c r="E4502" s="16" t="str">
        <x:v>Missing email</x:v>
      </x:c>
    </x:row>
    <x:row r="4503">
      <x:c r="A4503" s="16" t="n">
        <x:v>4665</x:v>
      </x:c>
      <x:c r="B4503" s="16" t="str">
        <x:v>Mohd Zaki Hassan</x:v>
      </x:c>
      <x:c r="C4503" s="16" t="str"/>
      <x:c r="D4503" s="16" t="str">
        <x:v>* myContacts</x:v>
      </x:c>
      <x:c r="E4503" s="16" t="str">
        <x:v>Missing email</x:v>
      </x:c>
    </x:row>
    <x:row r="4504">
      <x:c r="A4504" s="16" t="n">
        <x:v>4666</x:v>
      </x:c>
      <x:c r="B4504" s="16" t="str">
        <x:v>Mohd Zuki Muhammad</x:v>
      </x:c>
      <x:c r="C4504" s="16" t="str"/>
      <x:c r="D4504" s="16" t="str">
        <x:v>* myContacts</x:v>
      </x:c>
      <x:c r="E4504" s="16" t="str">
        <x:v>Missing email</x:v>
      </x:c>
    </x:row>
    <x:row r="4505">
      <x:c r="A4505" s="16" t="n">
        <x:v>4667</x:v>
      </x:c>
      <x:c r="B4505" s="16" t="str">
        <x:v>Mohd Zulazmi Agent AGP</x:v>
      </x:c>
      <x:c r="C4505" s="16" t="str"/>
      <x:c r="D4505" s="16" t="str">
        <x:v>* myContacts</x:v>
      </x:c>
      <x:c r="E4505" s="16" t="str">
        <x:v>Missing email</x:v>
      </x:c>
    </x:row>
    <x:row r="4506">
      <x:c r="A4506" s="16" t="n">
        <x:v>4668</x:v>
      </x:c>
      <x:c r="B4506" s="16" t="str">
        <x:v>Mohd Zulbahari Zainal Abidin</x:v>
      </x:c>
      <x:c r="C4506" s="16" t="str"/>
      <x:c r="D4506" s="16" t="str">
        <x:v>* myContacts</x:v>
      </x:c>
      <x:c r="E4506" s="16" t="str">
        <x:v>Missing email</x:v>
      </x:c>
    </x:row>
    <x:row r="4507">
      <x:c r="A4507" s="16" t="n">
        <x:v>4669</x:v>
      </x:c>
      <x:c r="B4507" s="16" t="str">
        <x:v>Mohd Zulhelmi</x:v>
      </x:c>
      <x:c r="C4507" s="16" t="str"/>
      <x:c r="D4507" s="16" t="str">
        <x:v>* myContacts</x:v>
      </x:c>
      <x:c r="E4507" s="16" t="str">
        <x:v>Missing email</x:v>
      </x:c>
    </x:row>
    <x:row r="4508">
      <x:c r="A4508" s="16" t="n">
        <x:v>4670</x:v>
      </x:c>
      <x:c r="B4508" s="16" t="str">
        <x:v>Mohdfais Mohdfais</x:v>
      </x:c>
      <x:c r="C4508" s="16" t="str"/>
      <x:c r="D4508" s="16" t="str">
        <x:v>* myContacts</x:v>
      </x:c>
      <x:c r="E4508" s="16" t="str">
        <x:v>Missing email</x:v>
      </x:c>
    </x:row>
    <x:row r="4509">
      <x:c r="A4509" s="16" t="n">
        <x:v>4671</x:v>
      </x:c>
      <x:c r="B4509" s="16" t="str">
        <x:v>MohdHasrul Ahmad Chako</x:v>
      </x:c>
      <x:c r="C4509" s="16" t="str"/>
      <x:c r="D4509" s="16" t="str">
        <x:v>* myContacts</x:v>
      </x:c>
      <x:c r="E4509" s="16" t="str">
        <x:v>Missing email</x:v>
      </x:c>
    </x:row>
    <x:row r="4510">
      <x:c r="A4510" s="16" t="n">
        <x:v>4672</x:v>
      </x:c>
      <x:c r="B4510" s="16" t="str">
        <x:v>Mohdkurdin Lasanta</x:v>
      </x:c>
      <x:c r="C4510" s="16" t="str"/>
      <x:c r="D4510" s="16" t="str">
        <x:v>* myContacts</x:v>
      </x:c>
      <x:c r="E4510" s="16" t="str">
        <x:v>Missing email</x:v>
      </x:c>
    </x:row>
    <x:row r="4511">
      <x:c r="A4511" s="16" t="n">
        <x:v>4673</x:v>
      </x:c>
      <x:c r="B4511" s="16" t="str">
        <x:v>Mohdridzuan Wan</x:v>
      </x:c>
      <x:c r="C4511" s="16" t="str"/>
      <x:c r="D4511" s="16" t="str">
        <x:v>* myContacts</x:v>
      </x:c>
      <x:c r="E4511" s="16" t="str">
        <x:v>Missing email</x:v>
      </x:c>
    </x:row>
    <x:row r="4512">
      <x:c r="A4512" s="16" t="n">
        <x:v>4674</x:v>
      </x:c>
      <x:c r="B4512" s="16" t="str">
        <x:v>MohdSabri Zaidin</x:v>
      </x:c>
      <x:c r="C4512" s="16" t="str"/>
      <x:c r="D4512" s="16" t="str">
        <x:v>* myContacts</x:v>
      </x:c>
      <x:c r="E4512" s="16" t="str">
        <x:v>Missing email</x:v>
      </x:c>
    </x:row>
    <x:row r="4513">
      <x:c r="A4513" s="16" t="n">
        <x:v>4675</x:v>
      </x:c>
      <x:c r="B4513" s="16" t="str">
        <x:v>MohdZulkifli Ismail</x:v>
      </x:c>
      <x:c r="C4513" s="16" t="str"/>
      <x:c r="D4513" s="16" t="str">
        <x:v>* myContacts</x:v>
      </x:c>
      <x:c r="E4513" s="16" t="str">
        <x:v>Missing email</x:v>
      </x:c>
    </x:row>
    <x:row r="4514">
      <x:c r="A4514" s="16" t="n">
        <x:v>4676</x:v>
      </x:c>
      <x:c r="B4514" s="16" t="str">
        <x:v>Mohsain Badron</x:v>
      </x:c>
      <x:c r="C4514" s="16" t="str"/>
      <x:c r="D4514" s="16" t="str">
        <x:v>* myContacts</x:v>
      </x:c>
      <x:c r="E4514" s="16" t="str">
        <x:v>Missing email</x:v>
      </x:c>
    </x:row>
    <x:row r="4515">
      <x:c r="A4515" s="16" t="n">
        <x:v>4677</x:v>
      </x:c>
      <x:c r="B4515" s="16" t="str">
        <x:v>Mohsien AGP</x:v>
      </x:c>
      <x:c r="C4515" s="16" t="str"/>
      <x:c r="D4515" s="16" t="str">
        <x:v>* myContacts</x:v>
      </x:c>
      <x:c r="E4515" s="16" t="str">
        <x:v>Missing email</x:v>
      </x:c>
    </x:row>
    <x:row r="4516">
      <x:c r="A4516" s="16" t="n">
        <x:v>4678</x:v>
      </x:c>
      <x:c r="B4516" s="16" t="str">
        <x:v>mohsien dpim</x:v>
      </x:c>
      <x:c r="C4516" s="16" t="str"/>
      <x:c r="D4516" s="16" t="str">
        <x:v>* myContacts</x:v>
      </x:c>
      <x:c r="E4516" s="16" t="str">
        <x:v>Missing email</x:v>
      </x:c>
    </x:row>
    <x:row r="4517">
      <x:c r="A4517" s="16" t="n">
        <x:v>4679</x:v>
      </x:c>
      <x:c r="B4517" s="16" t="str">
        <x:v>Mohsin Chalet</x:v>
      </x:c>
      <x:c r="C4517" s="16" t="str"/>
      <x:c r="D4517" s="16" t="str">
        <x:v>* myContacts</x:v>
      </x:c>
      <x:c r="E4517" s="16" t="str">
        <x:v>Missing email</x:v>
      </x:c>
    </x:row>
    <x:row r="4518">
      <x:c r="A4518" s="16" t="n">
        <x:v>4680</x:v>
      </x:c>
      <x:c r="B4518" s="16" t="str">
        <x:v>Mohsin Gastrik Agp Ampang</x:v>
      </x:c>
      <x:c r="C4518" s="16" t="str"/>
      <x:c r="D4518" s="16" t="str">
        <x:v>* myContacts</x:v>
      </x:c>
      <x:c r="E4518" s="16" t="str">
        <x:v>Missing email</x:v>
      </x:c>
    </x:row>
    <x:row r="4519">
      <x:c r="A4519" s="16" t="n">
        <x:v>4681</x:v>
      </x:c>
      <x:c r="B4519" s="16" t="str">
        <x:v>Mohsin Pakar Copywriting</x:v>
      </x:c>
      <x:c r="C4519" s="16" t="str"/>
      <x:c r="D4519" s="16" t="str">
        <x:v>* myContacts</x:v>
      </x:c>
      <x:c r="E4519" s="16" t="str">
        <x:v>Missing email</x:v>
      </x:c>
    </x:row>
    <x:row r="4520">
      <x:c r="A4520" s="16" t="n">
        <x:v>4682</x:v>
      </x:c>
      <x:c r="B4520" s="16" t="str">
        <x:v>Mokhlis Rahman mdec IM (MOQ)</x:v>
      </x:c>
      <x:c r="C4520" s="16" t="str"/>
      <x:c r="D4520" s="16" t="str">
        <x:v>* myContacts</x:v>
      </x:c>
      <x:c r="E4520" s="16" t="str">
        <x:v>Missing email</x:v>
      </x:c>
    </x:row>
    <x:row r="4521">
      <x:c r="A4521" s="16" t="n">
        <x:v>4683</x:v>
      </x:c>
      <x:c r="B4521" s="16" t="str">
        <x:v>Mokhtar Bakri AGP</x:v>
      </x:c>
      <x:c r="C4521" s="16" t="str"/>
      <x:c r="D4521" s="16" t="str">
        <x:v>* myContacts</x:v>
      </x:c>
      <x:c r="E4521" s="16" t="str">
        <x:v>Missing email</x:v>
      </x:c>
    </x:row>
    <x:row r="4522">
      <x:c r="A4522" s="16" t="n">
        <x:v>4684</x:v>
      </x:c>
      <x:c r="B4522" s="16" t="str">
        <x:v>Mokhtar Ruddin PPMM</x:v>
      </x:c>
      <x:c r="C4522" s="16" t="str"/>
      <x:c r="D4522" s="16" t="str">
        <x:v>* myContacts</x:v>
      </x:c>
      <x:c r="E4522" s="16" t="str">
        <x:v>Missing email</x:v>
      </x:c>
    </x:row>
    <x:row r="4523">
      <x:c r="A4523" s="16" t="n">
        <x:v>4685</x:v>
      </x:c>
      <x:c r="B4523" s="16" t="str">
        <x:v>Molek Molekii</x:v>
      </x:c>
      <x:c r="C4523" s="16" t="str"/>
      <x:c r="D4523" s="16" t="str">
        <x:v>* myContacts</x:v>
      </x:c>
      <x:c r="E4523" s="16" t="str">
        <x:v>Missing email</x:v>
      </x:c>
    </x:row>
    <x:row r="4524">
      <x:c r="A4524" s="16" t="n">
        <x:v>4686</x:v>
      </x:c>
      <x:c r="B4524" s="16" t="str">
        <x:v>Moly Moly</x:v>
      </x:c>
      <x:c r="C4524" s="16" t="str"/>
      <x:c r="D4524" s="16" t="str">
        <x:v>* myContacts</x:v>
      </x:c>
      <x:c r="E4524" s="16" t="str">
        <x:v>Missing email</x:v>
      </x:c>
    </x:row>
    <x:row r="4525">
      <x:c r="A4525" s="16" t="n">
        <x:v>4687</x:v>
      </x:c>
      <x:c r="B4525" s="16" t="str">
        <x:v>Mona Mahadi</x:v>
      </x:c>
      <x:c r="C4525" s="16" t="str"/>
      <x:c r="D4525" s="16" t="str">
        <x:v>* myContacts</x:v>
      </x:c>
      <x:c r="E4525" s="16" t="str">
        <x:v>Missing email</x:v>
      </x:c>
    </x:row>
    <x:row r="4526">
      <x:c r="A4526" s="16" t="n">
        <x:v>4688</x:v>
      </x:c>
      <x:c r="B4526" s="16" t="str">
        <x:v>Mona Veronica</x:v>
      </x:c>
      <x:c r="C4526" s="16" t="str"/>
      <x:c r="D4526" s="16" t="str">
        <x:v>* myContacts</x:v>
      </x:c>
      <x:c r="E4526" s="16" t="str">
        <x:v>Missing email</x:v>
      </x:c>
    </x:row>
    <x:row r="4527">
      <x:c r="A4527" s="16" t="n">
        <x:v>4689</x:v>
      </x:c>
      <x:c r="B4527" s="16" t="str">
        <x:v>Mosses Bob</x:v>
      </x:c>
      <x:c r="C4527" s="16" t="str"/>
      <x:c r="D4527" s="16" t="str">
        <x:v>* myContacts</x:v>
      </x:c>
      <x:c r="E4527" s="16" t="str">
        <x:v>Missing email</x:v>
      </x:c>
    </x:row>
    <x:row r="4528">
      <x:c r="A4528" s="16" t="n">
        <x:v>4690</x:v>
      </x:c>
      <x:c r="B4528" s="16" t="str">
        <x:v>Moylin Linda</x:v>
      </x:c>
      <x:c r="C4528" s="16" t="str"/>
      <x:c r="D4528" s="16" t="str">
        <x:v>* myContacts</x:v>
      </x:c>
      <x:c r="E4528" s="16" t="str">
        <x:v>Missing email</x:v>
      </x:c>
    </x:row>
    <x:row r="4529">
      <x:c r="A4529" s="16" t="n">
        <x:v>4691</x:v>
      </x:c>
      <x:c r="B4529" s="16" t="str">
        <x:v>Mozammir Rosli</x:v>
      </x:c>
      <x:c r="C4529" s="16" t="str"/>
      <x:c r="D4529" s="16" t="str">
        <x:v>* myContacts</x:v>
      </x:c>
      <x:c r="E4529" s="16" t="str">
        <x:v>Missing email</x:v>
      </x:c>
    </x:row>
    <x:row r="4530">
      <x:c r="A4530" s="16" t="n">
        <x:v>4692</x:v>
      </x:c>
      <x:c r="B4530" s="16" t="str">
        <x:v>Mr andrew</x:v>
      </x:c>
      <x:c r="C4530" s="16" t="str"/>
      <x:c r="D4530" s="16" t="str">
        <x:v>* myContacts</x:v>
      </x:c>
      <x:c r="E4530" s="16" t="str">
        <x:v>Missing email</x:v>
      </x:c>
    </x:row>
    <x:row r="4531">
      <x:c r="A4531" s="16" t="n">
        <x:v>4693</x:v>
      </x:c>
      <x:c r="B4531" s="16" t="str">
        <x:v>Mr Haniff Dpim Putrajaya</x:v>
      </x:c>
      <x:c r="C4531" s="16" t="str"/>
      <x:c r="D4531" s="16" t="str">
        <x:v>* myContacts</x:v>
      </x:c>
      <x:c r="E4531" s="16" t="str">
        <x:v>Missing email</x:v>
      </x:c>
    </x:row>
    <x:row r="4532">
      <x:c r="A4532" s="16" t="n">
        <x:v>4694</x:v>
      </x:c>
      <x:c r="B4532" s="16" t="str">
        <x:v>Mr Khairil Consultant Expert</x:v>
      </x:c>
      <x:c r="C4532" s="16" t="str"/>
      <x:c r="D4532" s="16" t="str">
        <x:v>* myContacts</x:v>
      </x:c>
      <x:c r="E4532" s="16" t="str">
        <x:v>Missing email</x:v>
      </x:c>
    </x:row>
    <x:row r="4533">
      <x:c r="A4533" s="16" t="n">
        <x:v>4695</x:v>
      </x:c>
      <x:c r="B4533" s="16" t="str">
        <x:v>Mr Lim Fingo Introducer</x:v>
      </x:c>
      <x:c r="C4533" s="16" t="str"/>
      <x:c r="D4533" s="16" t="str">
        <x:v>* myContacts</x:v>
      </x:c>
      <x:c r="E4533" s="16" t="str">
        <x:v>Missing email</x:v>
      </x:c>
    </x:row>
    <x:row r="4534">
      <x:c r="A4534" s="16" t="n">
        <x:v>4696</x:v>
      </x:c>
      <x:c r="B4534" s="16" t="str">
        <x:v>Mr Loh Jun</x:v>
      </x:c>
      <x:c r="C4534" s="16" t="str"/>
      <x:c r="D4534" s="16" t="str">
        <x:v>* myContacts</x:v>
      </x:c>
      <x:c r="E4534" s="16" t="str">
        <x:v>Missing email</x:v>
      </x:c>
    </x:row>
    <x:row r="4535">
      <x:c r="A4535" s="16" t="n">
        <x:v>4697</x:v>
      </x:c>
      <x:c r="B4535" s="16" t="str">
        <x:v>Mr Sam Technician Hotel Crown Crystal</x:v>
      </x:c>
      <x:c r="C4535" s="16" t="str"/>
      <x:c r="D4535" s="16" t="str">
        <x:v>* myContacts</x:v>
      </x:c>
      <x:c r="E4535" s="16" t="str">
        <x:v>Missing email</x:v>
      </x:c>
    </x:row>
    <x:row r="4536">
      <x:c r="A4536" s="16" t="n">
        <x:v>4698</x:v>
      </x:c>
      <x:c r="B4536" s="16" t="str">
        <x:v>Mr Sato Food Marketing</x:v>
      </x:c>
      <x:c r="C4536" s="16" t="str"/>
      <x:c r="D4536" s="16" t="str">
        <x:v>* myContacts</x:v>
      </x:c>
      <x:c r="E4536" s="16" t="str">
        <x:v>Missing email</x:v>
      </x:c>
    </x:row>
    <x:row r="4537">
      <x:c r="A4537" s="16" t="n">
        <x:v>4699</x:v>
      </x:c>
      <x:c r="B4537" s="16" t="str">
        <x:v>Mr Wong Tauke Perfume</x:v>
      </x:c>
      <x:c r="C4537" s="16" t="str"/>
      <x:c r="D4537" s="16" t="str">
        <x:v>* myContacts</x:v>
      </x:c>
      <x:c r="E4537" s="16" t="str">
        <x:v>Missing email</x:v>
      </x:c>
    </x:row>
    <x:row r="4538">
      <x:c r="A4538" s="16" t="n">
        <x:v>4700</x:v>
      </x:c>
      <x:c r="B4538" s="16" t="str">
        <x:v>Mrchow Agent</x:v>
      </x:c>
      <x:c r="C4538" s="16" t="str"/>
      <x:c r="D4538" s="16" t="str">
        <x:v>* myContacts</x:v>
      </x:c>
      <x:c r="E4538" s="16" t="str">
        <x:v>Missing email</x:v>
      </x:c>
    </x:row>
    <x:row r="4539">
      <x:c r="A4539" s="16" t="n">
        <x:v>4701</x:v>
      </x:c>
      <x:c r="B4539" s="16" t="str">
        <x:v>MrHan Jb</x:v>
      </x:c>
      <x:c r="C4539" s="16" t="str"/>
      <x:c r="D4539" s="16" t="str">
        <x:v>* myContacts</x:v>
      </x:c>
      <x:c r="E4539" s="16" t="str">
        <x:v>Missing email</x:v>
      </x:c>
    </x:row>
    <x:row r="4540">
      <x:c r="A4540" s="16" t="n">
        <x:v>4702</x:v>
      </x:c>
      <x:c r="B4540" s="16" t="str">
        <x:v>Mrizal Hj Azmi</x:v>
      </x:c>
      <x:c r="C4540" s="16" t="str"/>
      <x:c r="D4540" s="16" t="str">
        <x:v>* myContacts</x:v>
      </x:c>
      <x:c r="E4540" s="16" t="str">
        <x:v>Missing email</x:v>
      </x:c>
    </x:row>
    <x:row r="4541">
      <x:c r="A4541" s="16" t="n">
        <x:v>4703</x:v>
      </x:c>
      <x:c r="B4541" s="16" t="str">
        <x:v>Mrshoney Rahayu Hashim</x:v>
      </x:c>
      <x:c r="C4541" s="16" t="str"/>
      <x:c r="D4541" s="16" t="str">
        <x:v>* myContacts</x:v>
      </x:c>
      <x:c r="E4541" s="16" t="str">
        <x:v>Missing email</x:v>
      </x:c>
    </x:row>
    <x:row r="4542">
      <x:c r="A4542" s="16" t="n">
        <x:v>4704</x:v>
      </x:c>
      <x:c r="B4542" s="16" t="str">
        <x:v>Ms T</x:v>
      </x:c>
      <x:c r="C4542" s="16" t="str"/>
      <x:c r="D4542" s="16" t="str">
        <x:v>* myContacts</x:v>
      </x:c>
      <x:c r="E4542" s="16" t="str">
        <x:v>Missing email</x:v>
      </x:c>
    </x:row>
    <x:row r="4543">
      <x:c r="A4543" s="16" t="n">
        <x:v>4705</x:v>
      </x:c>
      <x:c r="B4543" s="16" t="str">
        <x:v>MsNicks Ima</x:v>
      </x:c>
      <x:c r="C4543" s="16" t="str"/>
      <x:c r="D4543" s="16" t="str">
        <x:v>* myContacts</x:v>
      </x:c>
      <x:c r="E4543" s="16" t="str">
        <x:v>Missing email</x:v>
      </x:c>
    </x:row>
    <x:row r="4544">
      <x:c r="A4544" s="16" t="n">
        <x:v>4706</x:v>
      </x:c>
      <x:c r="B4544" s="16" t="str">
        <x:v>Msr Transport</x:v>
      </x:c>
      <x:c r="C4544" s="16" t="str"/>
      <x:c r="D4544" s="16" t="str">
        <x:v>* myContacts</x:v>
      </x:c>
      <x:c r="E4544" s="16" t="str">
        <x:v>Missing email</x:v>
      </x:c>
    </x:row>
    <x:row r="4545">
      <x:c r="A4545" s="16" t="n">
        <x:v>4707</x:v>
      </x:c>
      <x:c r="B4545" s="16" t="str">
        <x:v>Mua Lea Benyamins</x:v>
      </x:c>
      <x:c r="C4545" s="16" t="str"/>
      <x:c r="D4545" s="16" t="str">
        <x:v>* myContacts</x:v>
      </x:c>
      <x:c r="E4545" s="16" t="str">
        <x:v>Missing email</x:v>
      </x:c>
    </x:row>
    <x:row r="4546">
      <x:c r="A4546" s="16" t="n">
        <x:v>4708</x:v>
      </x:c>
      <x:c r="B4546" s="16" t="str">
        <x:v>Muammar Rich Mat Isa</x:v>
      </x:c>
      <x:c r="C4546" s="16" t="str"/>
      <x:c r="D4546" s="16" t="str">
        <x:v>* myContacts</x:v>
      </x:c>
      <x:c r="E4546" s="16" t="str">
        <x:v>Missing email</x:v>
      </x:c>
    </x:row>
    <x:row r="4547">
      <x:c r="A4547" s="16" t="n">
        <x:v>4709</x:v>
      </x:c>
      <x:c r="B4547" s="16" t="str">
        <x:v>muaz anak pak anjang</x:v>
      </x:c>
      <x:c r="C4547" s="16" t="str"/>
      <x:c r="D4547" s="16" t="str">
        <x:v>* myContacts</x:v>
      </x:c>
      <x:c r="E4547" s="16" t="str">
        <x:v>Missing email</x:v>
      </x:c>
    </x:row>
    <x:row r="4548">
      <x:c r="A4548" s="16" t="n">
        <x:v>4710</x:v>
      </x:c>
      <x:c r="B4548" s="16" t="str">
        <x:v>Muaz Bda</x:v>
      </x:c>
      <x:c r="C4548" s="16" t="str"/>
      <x:c r="D4548" s="16" t="str">
        <x:v>* myContacts</x:v>
      </x:c>
      <x:c r="E4548" s="16" t="str">
        <x:v>Missing email</x:v>
      </x:c>
    </x:row>
    <x:row r="4549">
      <x:c r="A4549" s="16" t="n">
        <x:v>4711</x:v>
      </x:c>
      <x:c r="B4549" s="16" t="str">
        <x:v>Muaz Edufusion</x:v>
      </x:c>
      <x:c r="C4549" s="16" t="str"/>
      <x:c r="D4549" s="16" t="str">
        <x:v>* myContacts</x:v>
      </x:c>
      <x:c r="E4549" s="16" t="str">
        <x:v>Missing email</x:v>
      </x:c>
    </x:row>
    <x:row r="4550">
      <x:c r="A4550" s="16" t="n">
        <x:v>4712</x:v>
      </x:c>
      <x:c r="B4550" s="16" t="str">
        <x:v>Muaz Hafiz IM</x:v>
      </x:c>
      <x:c r="C4550" s="16" t="str"/>
      <x:c r="D4550" s="16" t="str">
        <x:v>* myContacts</x:v>
      </x:c>
      <x:c r="E4550" s="16" t="str">
        <x:v>Missing email</x:v>
      </x:c>
    </x:row>
    <x:row r="4551">
      <x:c r="A4551" s="16" t="n">
        <x:v>4713</x:v>
      </x:c>
      <x:c r="B4551" s="16" t="str">
        <x:v>Muaz Umar</x:v>
      </x:c>
      <x:c r="C4551" s="16" t="str"/>
      <x:c r="D4551" s="16" t="str">
        <x:v>* myContacts</x:v>
      </x:c>
      <x:c r="E4551" s="16" t="str">
        <x:v>Missing email</x:v>
      </x:c>
    </x:row>
    <x:row r="4552">
      <x:c r="A4552" s="16" t="n">
        <x:v>4714</x:v>
      </x:c>
      <x:c r="B4552" s="16" t="str">
        <x:v>Muaz Video Expert</x:v>
      </x:c>
      <x:c r="C4552" s="16" t="str"/>
      <x:c r="D4552" s="16" t="str">
        <x:v>* myContacts</x:v>
      </x:c>
      <x:c r="E4552" s="16" t="str">
        <x:v>Missing email</x:v>
      </x:c>
    </x:row>
    <x:row r="4553">
      <x:c r="A4553" s="16" t="n">
        <x:v>4715</x:v>
      </x:c>
      <x:c r="B4553" s="16" t="str">
        <x:v>Muaz Yaid</x:v>
      </x:c>
      <x:c r="C4553" s="16" t="str"/>
      <x:c r="D4553" s="16" t="str">
        <x:v>* myContacts</x:v>
      </x:c>
      <x:c r="E4553" s="16" t="str">
        <x:v>Missing email</x:v>
      </x:c>
    </x:row>
    <x:row r="4554">
      <x:c r="A4554" s="16" t="n">
        <x:v>4716</x:v>
      </x:c>
      <x:c r="B4554" s="16" t="str">
        <x:v>Muhad Apai</x:v>
      </x:c>
      <x:c r="C4554" s="16" t="str"/>
      <x:c r="D4554" s="16" t="str">
        <x:v>* myContacts</x:v>
      </x:c>
      <x:c r="E4554" s="16" t="str">
        <x:v>Missing email</x:v>
      </x:c>
    </x:row>
    <x:row r="4555">
      <x:c r="A4555" s="16" t="n">
        <x:v>4717</x:v>
      </x:c>
      <x:c r="B4555" s="16" t="str">
        <x:v>Muhaimin Bank Simpanan Nasional</x:v>
      </x:c>
      <x:c r="C4555" s="16" t="str"/>
      <x:c r="D4555" s="16" t="str">
        <x:v>* myContacts</x:v>
      </x:c>
      <x:c r="E4555" s="16" t="str">
        <x:v>Missing email</x:v>
      </x:c>
    </x:row>
    <x:row r="4556">
      <x:c r="A4556" s="16" t="n">
        <x:v>4718</x:v>
      </x:c>
      <x:c r="B4556" s="16" t="str">
        <x:v>Muhaimin IM</x:v>
      </x:c>
      <x:c r="C4556" s="16" t="str"/>
      <x:c r="D4556" s="16" t="str">
        <x:v>* myContacts</x:v>
      </x:c>
      <x:c r="E4556" s="16" t="str">
        <x:v>Missing email</x:v>
      </x:c>
    </x:row>
    <x:row r="4557">
      <x:c r="A4557" s="16" t="n">
        <x:v>4719</x:v>
      </x:c>
      <x:c r="B4557" s="16" t="str">
        <x:v>Muhamad Abdul Rahman AGP</x:v>
      </x:c>
      <x:c r="C4557" s="16" t="str"/>
      <x:c r="D4557" s="16" t="str">
        <x:v>* myContacts</x:v>
      </x:c>
      <x:c r="E4557" s="16" t="str">
        <x:v>Missing email</x:v>
      </x:c>
    </x:row>
    <x:row r="4558">
      <x:c r="A4558" s="16" t="n">
        <x:v>4720</x:v>
      </x:c>
      <x:c r="B4558" s="16" t="str">
        <x:v>Muhamad Adnizam</x:v>
      </x:c>
      <x:c r="C4558" s="16" t="str"/>
      <x:c r="D4558" s="16" t="str">
        <x:v>* myContacts</x:v>
      </x:c>
      <x:c r="E4558" s="16" t="str">
        <x:v>Missing email</x:v>
      </x:c>
    </x:row>
    <x:row r="4559">
      <x:c r="A4559" s="16" t="n">
        <x:v>4721</x:v>
      </x:c>
      <x:c r="B4559" s="16" t="str">
        <x:v>Muhamad AN</x:v>
      </x:c>
      <x:c r="C4559" s="16" t="str"/>
      <x:c r="D4559" s="16" t="str">
        <x:v>* myContacts</x:v>
      </x:c>
      <x:c r="E4559" s="16" t="str">
        <x:v>Missing email</x:v>
      </x:c>
    </x:row>
    <x:row r="4560">
      <x:c r="A4560" s="16" t="n">
        <x:v>4722</x:v>
      </x:c>
      <x:c r="B4560" s="16" t="str">
        <x:v>Muhamad Asyraf Haris</x:v>
      </x:c>
      <x:c r="C4560" s="16" t="str"/>
      <x:c r="D4560" s="16" t="str">
        <x:v>* myContacts</x:v>
      </x:c>
      <x:c r="E4560" s="16" t="str">
        <x:v>Missing email</x:v>
      </x:c>
    </x:row>
    <x:row r="4561">
      <x:c r="A4561" s="16" t="n">
        <x:v>4723</x:v>
      </x:c>
      <x:c r="B4561" s="16" t="str">
        <x:v>Muhamad Bestari Jaya</x:v>
      </x:c>
      <x:c r="C4561" s="16" t="str"/>
      <x:c r="D4561" s="16" t="str">
        <x:v>* myContacts</x:v>
      </x:c>
      <x:c r="E4561" s="16" t="str">
        <x:v>Missing email</x:v>
      </x:c>
    </x:row>
    <x:row r="4562">
      <x:c r="A4562" s="16" t="n">
        <x:v>4724</x:v>
      </x:c>
      <x:c r="B4562" s="16" t="str">
        <x:v>Muhamad Fitri</x:v>
      </x:c>
      <x:c r="C4562" s="16" t="str"/>
      <x:c r="D4562" s="16" t="str">
        <x:v>* myContacts</x:v>
      </x:c>
      <x:c r="E4562" s="16" t="str">
        <x:v>Missing email</x:v>
      </x:c>
    </x:row>
    <x:row r="4563">
      <x:c r="A4563" s="16" t="n">
        <x:v>4725</x:v>
      </x:c>
      <x:c r="B4563" s="16" t="str">
        <x:v>Muhamad Hafiz Umar</x:v>
      </x:c>
      <x:c r="C4563" s="16" t="str"/>
      <x:c r="D4563" s="16" t="str">
        <x:v>* myContacts</x:v>
      </x:c>
      <x:c r="E4563" s="16" t="str">
        <x:v>Missing email</x:v>
      </x:c>
    </x:row>
    <x:row r="4564">
      <x:c r="A4564" s="16" t="n">
        <x:v>4726</x:v>
      </x:c>
      <x:c r="B4564" s="16" t="str">
        <x:v>muhamad haikal</x:v>
      </x:c>
      <x:c r="C4564" s="16" t="str"/>
      <x:c r="D4564" s="16" t="str">
        <x:v>* myContacts</x:v>
      </x:c>
      <x:c r="E4564" s="16" t="str">
        <x:v>Missing email</x:v>
      </x:c>
    </x:row>
    <x:row r="4565">
      <x:c r="A4565" s="16" t="n">
        <x:v>4727</x:v>
      </x:c>
      <x:c r="B4565" s="16" t="str">
        <x:v>Muhamad Hamzah Abu Bakar</x:v>
      </x:c>
      <x:c r="C4565" s="16" t="str"/>
      <x:c r="D4565" s="16" t="str">
        <x:v>* myContacts</x:v>
      </x:c>
      <x:c r="E4565" s="16" t="str">
        <x:v>Missing email</x:v>
      </x:c>
    </x:row>
    <x:row r="4566">
      <x:c r="A4566" s="16" t="n">
        <x:v>4728</x:v>
      </x:c>
      <x:c r="B4566" s="16" t="str">
        <x:v>muhamad hazwan husien insken</x:v>
      </x:c>
      <x:c r="C4566" s="16" t="str"/>
      <x:c r="D4566" s="16" t="str">
        <x:v>Alumni INSKEN | * myContacts</x:v>
      </x:c>
      <x:c r="E4566" s="16" t="str">
        <x:v>Missing email</x:v>
      </x:c>
    </x:row>
    <x:row r="4567">
      <x:c r="A4567" s="16" t="n">
        <x:v>4729</x:v>
      </x:c>
      <x:c r="B4567" s="16" t="str">
        <x:v>Muhamad Hirrahmaan Rusli</x:v>
      </x:c>
      <x:c r="C4567" s="16" t="str"/>
      <x:c r="D4567" s="16" t="str">
        <x:v>* myContacts</x:v>
      </x:c>
      <x:c r="E4567" s="16" t="str">
        <x:v>Missing email</x:v>
      </x:c>
    </x:row>
    <x:row r="4568">
      <x:c r="A4568" s="16" t="n">
        <x:v>4730</x:v>
      </x:c>
      <x:c r="B4568" s="16" t="str">
        <x:v>Muhamad Izahar</x:v>
      </x:c>
      <x:c r="C4568" s="16" t="str"/>
      <x:c r="D4568" s="16" t="str">
        <x:v>* myContacts</x:v>
      </x:c>
      <x:c r="E4568" s="16" t="str">
        <x:v>Missing email</x:v>
      </x:c>
    </x:row>
    <x:row r="4569">
      <x:c r="A4569" s="16" t="n">
        <x:v>4731</x:v>
      </x:c>
      <x:c r="B4569" s="16" t="str">
        <x:v>MUHAMAD MUSZAKI BIN MOHD</x:v>
      </x:c>
      <x:c r="C4569" s="16" t="str"/>
      <x:c r="D4569" s="16" t="str">
        <x:v>* myContacts</x:v>
      </x:c>
      <x:c r="E4569" s="16" t="str">
        <x:v>Missing email</x:v>
      </x:c>
    </x:row>
    <x:row r="4570">
      <x:c r="A4570" s="16" t="n">
        <x:v>4732</x:v>
      </x:c>
      <x:c r="B4570" s="16" t="str">
        <x:v>Muhamad Nadzim</x:v>
      </x:c>
      <x:c r="C4570" s="16" t="str"/>
      <x:c r="D4570" s="16" t="str">
        <x:v>* myContacts</x:v>
      </x:c>
      <x:c r="E4570" s="16" t="str">
        <x:v>Missing email</x:v>
      </x:c>
    </x:row>
    <x:row r="4571">
      <x:c r="A4571" s="16" t="n">
        <x:v>4733</x:v>
      </x:c>
      <x:c r="B4571" s="16" t="str">
        <x:v>Muhamad Nasir AGP</x:v>
      </x:c>
      <x:c r="C4571" s="16" t="str"/>
      <x:c r="D4571" s="16" t="str">
        <x:v>* myContacts</x:v>
      </x:c>
      <x:c r="E4571" s="16" t="str">
        <x:v>Missing email</x:v>
      </x:c>
    </x:row>
    <x:row r="4572">
      <x:c r="A4572" s="16" t="n">
        <x:v>4734</x:v>
      </x:c>
      <x:c r="B4572" s="16" t="str">
        <x:v>Muhamad Ridzuan Mat Din</x:v>
      </x:c>
      <x:c r="C4572" s="16" t="str"/>
      <x:c r="D4572" s="16" t="str">
        <x:v>* myContacts</x:v>
      </x:c>
      <x:c r="E4572" s="16" t="str">
        <x:v>Missing email</x:v>
      </x:c>
    </x:row>
    <x:row r="4573">
      <x:c r="A4573" s="16" t="n">
        <x:v>4735</x:v>
      </x:c>
      <x:c r="B4573" s="16" t="str">
        <x:v>Muhamad Safuan</x:v>
      </x:c>
      <x:c r="C4573" s="16" t="str"/>
      <x:c r="D4573" s="16" t="str">
        <x:v>* myContacts</x:v>
      </x:c>
      <x:c r="E4573" s="16" t="str">
        <x:v>Missing email</x:v>
      </x:c>
    </x:row>
    <x:row r="4574">
      <x:c r="A4574" s="16" t="n">
        <x:v>4736</x:v>
      </x:c>
      <x:c r="B4574" s="16" t="str">
        <x:v>Muhamad Sahrulnizam Sahrani</x:v>
      </x:c>
      <x:c r="C4574" s="16" t="str"/>
      <x:c r="D4574" s="16" t="str">
        <x:v>* myContacts</x:v>
      </x:c>
      <x:c r="E4574" s="16" t="str">
        <x:v>Missing email</x:v>
      </x:c>
    </x:row>
    <x:row r="4575">
      <x:c r="A4575" s="16" t="n">
        <x:v>4737</x:v>
      </x:c>
      <x:c r="B4575" s="16" t="str">
        <x:v>Muhamad Syawal Hasbullah</x:v>
      </x:c>
      <x:c r="C4575" s="16" t="str"/>
      <x:c r="D4575" s="16" t="str">
        <x:v>* myContacts</x:v>
      </x:c>
      <x:c r="E4575" s="16" t="str">
        <x:v>Missing email</x:v>
      </x:c>
    </x:row>
    <x:row r="4576">
      <x:c r="A4576" s="16" t="n">
        <x:v>4738</x:v>
      </x:c>
      <x:c r="B4576" s="16" t="str">
        <x:v>Muhamad Zakuwan</x:v>
      </x:c>
      <x:c r="C4576" s="16" t="str"/>
      <x:c r="D4576" s="16" t="str">
        <x:v>* myContacts</x:v>
      </x:c>
      <x:c r="E4576" s="16" t="str">
        <x:v>Missing email</x:v>
      </x:c>
    </x:row>
    <x:row r="4577">
      <x:c r="A4577" s="16" t="n">
        <x:v>4739</x:v>
      </x:c>
      <x:c r="B4577" s="16" t="str">
        <x:v>Muhammad Ab Rashid</x:v>
      </x:c>
      <x:c r="C4577" s="16" t="str"/>
      <x:c r="D4577" s="16" t="str">
        <x:v>* myContacts</x:v>
      </x:c>
      <x:c r="E4577" s="16" t="str">
        <x:v>Missing email</x:v>
      </x:c>
    </x:row>
    <x:row r="4578">
      <x:c r="A4578" s="16" t="n">
        <x:v>4740</x:v>
      </x:c>
      <x:c r="B4578" s="16" t="str">
        <x:v>Muhammad Adam</x:v>
      </x:c>
      <x:c r="C4578" s="16" t="str"/>
      <x:c r="D4578" s="16" t="str">
        <x:v>* myContacts</x:v>
      </x:c>
      <x:c r="E4578" s="16" t="str">
        <x:v>Missing email</x:v>
      </x:c>
    </x:row>
    <x:row r="4579">
      <x:c r="A4579" s="16" t="n">
        <x:v>4741</x:v>
      </x:c>
      <x:c r="B4579" s="16" t="str">
        <x:v>Muhammad Adib</x:v>
      </x:c>
      <x:c r="C4579" s="16" t="str"/>
      <x:c r="D4579" s="16" t="str">
        <x:v>* myContacts</x:v>
      </x:c>
      <x:c r="E4579" s="16" t="str">
        <x:v>Missing email</x:v>
      </x:c>
    </x:row>
    <x:row r="4580">
      <x:c r="A4580" s="16" t="n">
        <x:v>4742</x:v>
      </x:c>
      <x:c r="B4580" s="16" t="str">
        <x:v>Muhammad Aidid</x:v>
      </x:c>
      <x:c r="C4580" s="16" t="str"/>
      <x:c r="D4580" s="16" t="str">
        <x:v>* myContacts</x:v>
      </x:c>
      <x:c r="E4580" s="16" t="str">
        <x:v>Missing email</x:v>
      </x:c>
    </x:row>
    <x:row r="4581">
      <x:c r="A4581" s="16" t="n">
        <x:v>4743</x:v>
      </x:c>
      <x:c r="B4581" s="16" t="str">
        <x:v>Muhammad Al-hafiz</x:v>
      </x:c>
      <x:c r="C4581" s="16" t="str"/>
      <x:c r="D4581" s="16" t="str">
        <x:v>* myContacts</x:v>
      </x:c>
      <x:c r="E4581" s="16" t="str">
        <x:v>Missing email</x:v>
      </x:c>
    </x:row>
    <x:row r="4582">
      <x:c r="A4582" s="16" t="n">
        <x:v>4744</x:v>
      </x:c>
      <x:c r="B4582" s="16" t="str">
        <x:v>Muhammad Ali Hafizal</x:v>
      </x:c>
      <x:c r="C4582" s="16" t="str"/>
      <x:c r="D4582" s="16" t="str">
        <x:v>* myContacts</x:v>
      </x:c>
      <x:c r="E4582" s="16" t="str">
        <x:v>Missing email</x:v>
      </x:c>
    </x:row>
    <x:row r="4583">
      <x:c r="A4583" s="16" t="n">
        <x:v>4745</x:v>
      </x:c>
      <x:c r="B4583" s="16" t="str">
        <x:v>Muhammad Ali Mamat</x:v>
      </x:c>
      <x:c r="C4583" s="16" t="str"/>
      <x:c r="D4583" s="16" t="str">
        <x:v>* myContacts</x:v>
      </x:c>
      <x:c r="E4583" s="16" t="str">
        <x:v>Missing email</x:v>
      </x:c>
    </x:row>
    <x:row r="4584">
      <x:c r="A4584" s="16" t="n">
        <x:v>4746</x:v>
      </x:c>
      <x:c r="B4584" s="16" t="str">
        <x:v>Muhammad Alif Firdaus</x:v>
      </x:c>
      <x:c r="C4584" s="16" t="str"/>
      <x:c r="D4584" s="16" t="str">
        <x:v>* myContacts</x:v>
      </x:c>
      <x:c r="E4584" s="16" t="str">
        <x:v>Missing email</x:v>
      </x:c>
    </x:row>
    <x:row r="4585">
      <x:c r="A4585" s="16" t="n">
        <x:v>4747</x:v>
      </x:c>
      <x:c r="B4585" s="16" t="str">
        <x:v>Muhammad Amada</x:v>
      </x:c>
      <x:c r="C4585" s="16" t="str"/>
      <x:c r="D4585" s="16" t="str">
        <x:v>* myContacts</x:v>
      </x:c>
      <x:c r="E4585" s="16" t="str">
        <x:v>Missing email</x:v>
      </x:c>
    </x:row>
    <x:row r="4586">
      <x:c r="A4586" s="16" t="n">
        <x:v>4748</x:v>
      </x:c>
      <x:c r="B4586" s="16" t="str">
        <x:v>Muhammad Amin Kanli</x:v>
      </x:c>
      <x:c r="C4586" s="16" t="str"/>
      <x:c r="D4586" s="16" t="str">
        <x:v>* myContacts</x:v>
      </x:c>
      <x:c r="E4586" s="16" t="str">
        <x:v>Missing email</x:v>
      </x:c>
    </x:row>
    <x:row r="4587">
      <x:c r="A4587" s="16" t="n">
        <x:v>4749</x:v>
      </x:c>
      <x:c r="B4587" s="16" t="str">
        <x:v>Muhammad Amir Amir</x:v>
      </x:c>
      <x:c r="C4587" s="16" t="str"/>
      <x:c r="D4587" s="16" t="str">
        <x:v>* myContacts</x:v>
      </x:c>
      <x:c r="E4587" s="16" t="str">
        <x:v>Missing email</x:v>
      </x:c>
    </x:row>
    <x:row r="4588">
      <x:c r="A4588" s="16" t="n">
        <x:v>4750</x:v>
      </x:c>
      <x:c r="B4588" s="16" t="str">
        <x:v>Muhammad Ammar</x:v>
      </x:c>
      <x:c r="C4588" s="16" t="str"/>
      <x:c r="D4588" s="16" t="str">
        <x:v>* myContacts</x:v>
      </x:c>
      <x:c r="E4588" s="16" t="str">
        <x:v>Missing email</x:v>
      </x:c>
    </x:row>
    <x:row r="4589">
      <x:c r="A4589" s="16" t="n">
        <x:v>4751</x:v>
      </x:c>
      <x:c r="B4589" s="16" t="str">
        <x:v>Muhammad Arshad Pakistan</x:v>
      </x:c>
      <x:c r="C4589" s="16" t="str"/>
      <x:c r="D4589" s="16" t="str">
        <x:v>* myContacts</x:v>
      </x:c>
      <x:c r="E4589" s="16" t="str">
        <x:v>Missing email</x:v>
      </x:c>
    </x:row>
    <x:row r="4590">
      <x:c r="A4590" s="16" t="n">
        <x:v>4752</x:v>
      </x:c>
      <x:c r="B4590" s="16" t="str">
        <x:v>Muhammad Asraf</x:v>
      </x:c>
      <x:c r="C4590" s="16" t="str"/>
      <x:c r="D4590" s="16" t="str">
        <x:v>* myContacts</x:v>
      </x:c>
      <x:c r="E4590" s="16" t="str">
        <x:v>Missing email</x:v>
      </x:c>
    </x:row>
    <x:row r="4591">
      <x:c r="A4591" s="16" t="n">
        <x:v>4753</x:v>
      </x:c>
      <x:c r="B4591" s="16" t="str">
        <x:v>Muhammad Aswad Zakaria</x:v>
      </x:c>
      <x:c r="C4591" s="16" t="str"/>
      <x:c r="D4591" s="16" t="str">
        <x:v>* myContacts</x:v>
      </x:c>
      <x:c r="E4591" s="16" t="str">
        <x:v>Missing email</x:v>
      </x:c>
    </x:row>
    <x:row r="4592">
      <x:c r="A4592" s="16" t="n">
        <x:v>4754</x:v>
      </x:c>
      <x:c r="B4592" s="16" t="str">
        <x:v>Muhammad Asyraf</x:v>
      </x:c>
      <x:c r="C4592" s="16" t="str"/>
      <x:c r="D4592" s="16" t="str">
        <x:v>* myContacts</x:v>
      </x:c>
      <x:c r="E4592" s="16" t="str">
        <x:v>Missing email</x:v>
      </x:c>
    </x:row>
    <x:row r="4593">
      <x:c r="A4593" s="16" t="n">
        <x:v>4755</x:v>
      </x:c>
      <x:c r="B4593" s="16" t="str">
        <x:v>Muhammad Azlan Burhanudden</x:v>
      </x:c>
      <x:c r="C4593" s="16" t="str"/>
      <x:c r="D4593" s="16" t="str">
        <x:v>* myContacts</x:v>
      </x:c>
      <x:c r="E4593" s="16" t="str">
        <x:v>Missing email</x:v>
      </x:c>
    </x:row>
    <x:row r="4594">
      <x:c r="A4594" s="16" t="n">
        <x:v>4756</x:v>
      </x:c>
      <x:c r="B4594" s="16" t="str">
        <x:v>Muhammad Azmi Bin Jainaludin Student</x:v>
      </x:c>
      <x:c r="C4594" s="16" t="str"/>
      <x:c r="D4594" s="16" t="str">
        <x:v>* myContacts</x:v>
      </x:c>
      <x:c r="E4594" s="16" t="str">
        <x:v>Missing email</x:v>
      </x:c>
    </x:row>
    <x:row r="4595">
      <x:c r="A4595" s="16" t="n">
        <x:v>4757</x:v>
      </x:c>
      <x:c r="B4595" s="16" t="str">
        <x:v>Muhammad Azmi Bin Jainaludin Student</x:v>
      </x:c>
      <x:c r="C4595" s="16" t="str"/>
      <x:c r="D4595" s="16" t="str">
        <x:v>* myContacts</x:v>
      </x:c>
      <x:c r="E4595" s="16" t="str">
        <x:v>Missing email</x:v>
      </x:c>
    </x:row>
    <x:row r="4596">
      <x:c r="A4596" s="16" t="n">
        <x:v>4758</x:v>
      </x:c>
      <x:c r="B4596" s="16" t="str">
        <x:v>Muhammad Din</x:v>
      </x:c>
      <x:c r="C4596" s="16" t="str"/>
      <x:c r="D4596" s="16" t="str">
        <x:v>* myContacts</x:v>
      </x:c>
      <x:c r="E4596" s="16" t="str">
        <x:v>Missing email</x:v>
      </x:c>
    </x:row>
    <x:row r="4597">
      <x:c r="A4597" s="16" t="n">
        <x:v>4759</x:v>
      </x:c>
      <x:c r="B4597" s="16" t="str">
        <x:v>Muhammad Eqmal Defaria</x:v>
      </x:c>
      <x:c r="C4597" s="16" t="str"/>
      <x:c r="D4597" s="16" t="str">
        <x:v>* myContacts</x:v>
      </x:c>
      <x:c r="E4597" s="16" t="str">
        <x:v>Missing email</x:v>
      </x:c>
    </x:row>
    <x:row r="4598">
      <x:c r="A4598" s="16" t="n">
        <x:v>4760</x:v>
      </x:c>
      <x:c r="B4598" s="16" t="str">
        <x:v>Muhammad Fadzli Radi</x:v>
      </x:c>
      <x:c r="C4598" s="16" t="str"/>
      <x:c r="D4598" s="16" t="str">
        <x:v>* myContacts</x:v>
      </x:c>
      <x:c r="E4598" s="16" t="str">
        <x:v>Missing email</x:v>
      </x:c>
    </x:row>
    <x:row r="4599">
      <x:c r="A4599" s="16" t="n">
        <x:v>4761</x:v>
      </x:c>
      <x:c r="B4599" s="16" t="str">
        <x:v>Muhammad Fairuz Othman</x:v>
      </x:c>
      <x:c r="C4599" s="16" t="str"/>
      <x:c r="D4599" s="16" t="str">
        <x:v>* myContacts</x:v>
      </x:c>
      <x:c r="E4599" s="16" t="str">
        <x:v>Missing email</x:v>
      </x:c>
    </x:row>
    <x:row r="4600">
      <x:c r="A4600" s="16" t="n">
        <x:v>4762</x:v>
      </x:c>
      <x:c r="B4600" s="16" t="str">
        <x:v>Muhammad Fais</x:v>
      </x:c>
      <x:c r="C4600" s="16" t="str"/>
      <x:c r="D4600" s="16" t="str">
        <x:v>* myContacts</x:v>
      </x:c>
      <x:c r="E4600" s="16" t="str">
        <x:v>Missing email</x:v>
      </x:c>
    </x:row>
    <x:row r="4601">
      <x:c r="A4601" s="16" t="n">
        <x:v>4763</x:v>
      </x:c>
      <x:c r="B4601" s="16" t="str">
        <x:v>Muhammad Faiz</x:v>
      </x:c>
      <x:c r="C4601" s="16" t="str"/>
      <x:c r="D4601" s="16" t="str">
        <x:v>* myContacts</x:v>
      </x:c>
      <x:c r="E4601" s="16" t="str">
        <x:v>Missing email</x:v>
      </x:c>
    </x:row>
    <x:row r="4602">
      <x:c r="A4602" s="16" t="n">
        <x:v>4764</x:v>
      </x:c>
      <x:c r="B4602" s="16" t="str">
        <x:v>Muhammad Faiz Hamdan</x:v>
      </x:c>
      <x:c r="C4602" s="16" t="str"/>
      <x:c r="D4602" s="16" t="str">
        <x:v>* myContacts</x:v>
      </x:c>
      <x:c r="E4602" s="16" t="str">
        <x:v>Missing email</x:v>
      </x:c>
    </x:row>
    <x:row r="4603">
      <x:c r="A4603" s="16" t="n">
        <x:v>4765</x:v>
      </x:c>
      <x:c r="B4603" s="16" t="str">
        <x:v>Muhammad Faizal Kenji Jai</x:v>
      </x:c>
      <x:c r="C4603" s="16" t="str"/>
      <x:c r="D4603" s="16" t="str">
        <x:v>* myContacts</x:v>
      </x:c>
      <x:c r="E4603" s="16" t="str">
        <x:v>Missing email</x:v>
      </x:c>
    </x:row>
    <x:row r="4604">
      <x:c r="A4604" s="16" t="n">
        <x:v>4766</x:v>
      </x:c>
      <x:c r="B4604" s="16" t="str">
        <x:v>Muhammad Farhan</x:v>
      </x:c>
      <x:c r="C4604" s="16" t="str"/>
      <x:c r="D4604" s="16" t="str">
        <x:v>* myContacts</x:v>
      </x:c>
      <x:c r="E4604" s="16" t="str">
        <x:v>Missing email</x:v>
      </x:c>
    </x:row>
    <x:row r="4605">
      <x:c r="A4605" s="16" t="n">
        <x:v>4767</x:v>
      </x:c>
      <x:c r="B4605" s="16" t="str">
        <x:v>Muhammad Faris Arifin</x:v>
      </x:c>
      <x:c r="C4605" s="16" t="str"/>
      <x:c r="D4605" s="16" t="str">
        <x:v>* myContacts</x:v>
      </x:c>
      <x:c r="E4605" s="16" t="str">
        <x:v>Missing email</x:v>
      </x:c>
    </x:row>
    <x:row r="4606">
      <x:c r="A4606" s="16" t="n">
        <x:v>4768</x:v>
      </x:c>
      <x:c r="B4606" s="16" t="str">
        <x:v>Muhammad Fiqri</x:v>
      </x:c>
      <x:c r="C4606" s="16" t="str"/>
      <x:c r="D4606" s="16" t="str">
        <x:v>* myContacts</x:v>
      </x:c>
      <x:c r="E4606" s="16" t="str">
        <x:v>Missing email</x:v>
      </x:c>
    </x:row>
    <x:row r="4607">
      <x:c r="A4607" s="16" t="n">
        <x:v>4769</x:v>
      </x:c>
      <x:c r="B4607" s="16" t="str">
        <x:v>Muhammad Firdaus Sukemi</x:v>
      </x:c>
      <x:c r="C4607" s="16" t="str"/>
      <x:c r="D4607" s="16" t="str">
        <x:v>* myContacts</x:v>
      </x:c>
      <x:c r="E4607" s="16" t="str">
        <x:v>Missing email</x:v>
      </x:c>
    </x:row>
    <x:row r="4608">
      <x:c r="A4608" s="16" t="n">
        <x:v>4770</x:v>
      </x:c>
      <x:c r="B4608" s="16" t="str">
        <x:v>Muhammad Fitri Mualim</x:v>
      </x:c>
      <x:c r="C4608" s="16" t="str"/>
      <x:c r="D4608" s="16" t="str">
        <x:v>* myContacts</x:v>
      </x:c>
      <x:c r="E4608" s="16" t="str">
        <x:v>Missing email</x:v>
      </x:c>
    </x:row>
    <x:row r="4609">
      <x:c r="A4609" s="16" t="n">
        <x:v>4771</x:v>
      </x:c>
      <x:c r="B4609" s="16" t="str">
        <x:v>Muhammad Ghalik Yahaya</x:v>
      </x:c>
      <x:c r="C4609" s="16" t="str"/>
      <x:c r="D4609" s="16" t="str">
        <x:v>* myContacts</x:v>
      </x:c>
      <x:c r="E4609" s="16" t="str">
        <x:v>Missing email</x:v>
      </x:c>
    </x:row>
    <x:row r="4610">
      <x:c r="A4610" s="16" t="n">
        <x:v>4772</x:v>
      </x:c>
      <x:c r="B4610" s="16" t="str">
        <x:v>Muhammad Habibullah Ismail</x:v>
      </x:c>
      <x:c r="C4610" s="16" t="str"/>
      <x:c r="D4610" s="16" t="str">
        <x:v>* myContacts</x:v>
      </x:c>
      <x:c r="E4610" s="16" t="str">
        <x:v>Missing email</x:v>
      </x:c>
    </x:row>
    <x:row r="4611">
      <x:c r="A4611" s="16" t="n">
        <x:v>4773</x:v>
      </x:c>
      <x:c r="B4611" s="16" t="str">
        <x:v>Muhammad Hafiz Yusof</x:v>
      </x:c>
      <x:c r="C4611" s="16" t="str"/>
      <x:c r="D4611" s="16" t="str">
        <x:v>* myContacts</x:v>
      </x:c>
      <x:c r="E4611" s="16" t="str">
        <x:v>Missing email</x:v>
      </x:c>
    </x:row>
    <x:row r="4612">
      <x:c r="A4612" s="16" t="n">
        <x:v>4774</x:v>
      </x:c>
      <x:c r="B4612" s="16" t="str">
        <x:v>Muhammad Halim Kamaria</x:v>
      </x:c>
      <x:c r="C4612" s="16" t="str"/>
      <x:c r="D4612" s="16" t="str">
        <x:v>* myContacts</x:v>
      </x:c>
      <x:c r="E4612" s="16" t="str">
        <x:v>Missing email</x:v>
      </x:c>
    </x:row>
    <x:row r="4613">
      <x:c r="A4613" s="16" t="n">
        <x:v>4775</x:v>
      </x:c>
      <x:c r="B4613" s="16" t="str">
        <x:v>Muhammad Harith Azim</x:v>
      </x:c>
      <x:c r="C4613" s="16" t="str"/>
      <x:c r="D4613" s="16" t="str">
        <x:v>* myContacts</x:v>
      </x:c>
      <x:c r="E4613" s="16" t="str">
        <x:v>Missing email</x:v>
      </x:c>
    </x:row>
    <x:row r="4614">
      <x:c r="A4614" s="16" t="n">
        <x:v>4776</x:v>
      </x:c>
      <x:c r="B4614" s="16" t="str">
        <x:v>Muhammad Hariz</x:v>
      </x:c>
      <x:c r="C4614" s="16" t="str"/>
      <x:c r="D4614" s="16" t="str">
        <x:v>* myContacts</x:v>
      </x:c>
      <x:c r="E4614" s="16" t="str">
        <x:v>Missing email</x:v>
      </x:c>
    </x:row>
    <x:row r="4615">
      <x:c r="A4615" s="16" t="n">
        <x:v>4777</x:v>
      </x:c>
      <x:c r="B4615" s="16" t="str">
        <x:v>Muhammad Hasbullah</x:v>
      </x:c>
      <x:c r="C4615" s="16" t="str"/>
      <x:c r="D4615" s="16" t="str">
        <x:v>* myContacts</x:v>
      </x:c>
      <x:c r="E4615" s="16" t="str">
        <x:v>Missing email</x:v>
      </x:c>
    </x:row>
    <x:row r="4616">
      <x:c r="A4616" s="16" t="n">
        <x:v>4778</x:v>
      </x:c>
      <x:c r="B4616" s="16" t="str">
        <x:v>Muhammad Helmi Helmi</x:v>
      </x:c>
      <x:c r="C4616" s="16" t="str"/>
      <x:c r="D4616" s="16" t="str">
        <x:v>* myContacts</x:v>
      </x:c>
      <x:c r="E4616" s="16" t="str">
        <x:v>Missing email</x:v>
      </x:c>
    </x:row>
    <x:row r="4617">
      <x:c r="A4617" s="16" t="n">
        <x:v>4779</x:v>
      </x:c>
      <x:c r="B4617" s="16" t="str">
        <x:v>Muhammad Huzaim Che Rosli</x:v>
      </x:c>
      <x:c r="C4617" s="16" t="str"/>
      <x:c r="D4617" s="16" t="str">
        <x:v>* myContacts</x:v>
      </x:c>
      <x:c r="E4617" s="16" t="str">
        <x:v>Missing email</x:v>
      </x:c>
    </x:row>
    <x:row r="4618">
      <x:c r="A4618" s="16" t="n">
        <x:v>4780</x:v>
      </x:c>
      <x:c r="B4618" s="16" t="str">
        <x:v>Muhammad Ibaidullah Abdul Razak</x:v>
      </x:c>
      <x:c r="C4618" s="16" t="str"/>
      <x:c r="D4618" s="16" t="str">
        <x:v>* myContacts</x:v>
      </x:c>
      <x:c r="E4618" s="16" t="str">
        <x:v>Missing email</x:v>
      </x:c>
    </x:row>
    <x:row r="4619">
      <x:c r="A4619" s="16" t="n">
        <x:v>4781</x:v>
      </x:c>
      <x:c r="B4619" s="16" t="str">
        <x:v>Muhammad Ihsan</x:v>
      </x:c>
      <x:c r="C4619" s="16" t="str"/>
      <x:c r="D4619" s="16" t="str">
        <x:v>* myContacts</x:v>
      </x:c>
      <x:c r="E4619" s="16" t="str">
        <x:v>Missing email</x:v>
      </x:c>
    </x:row>
    <x:row r="4620">
      <x:c r="A4620" s="16" t="n">
        <x:v>4782</x:v>
      </x:c>
      <x:c r="B4620" s="16" t="str">
        <x:v>Muhammad Ismadi</x:v>
      </x:c>
      <x:c r="C4620" s="16" t="str"/>
      <x:c r="D4620" s="16" t="str">
        <x:v>* myContacts</x:v>
      </x:c>
      <x:c r="E4620" s="16" t="str">
        <x:v>Missing email</x:v>
      </x:c>
    </x:row>
    <x:row r="4621">
      <x:c r="A4621" s="16" t="n">
        <x:v>4783</x:v>
      </x:c>
      <x:c r="B4621" s="16" t="str">
        <x:v>Muhammad Ismadi Ismail</x:v>
      </x:c>
      <x:c r="C4621" s="16" t="str"/>
      <x:c r="D4621" s="16" t="str">
        <x:v>* myContacts</x:v>
      </x:c>
      <x:c r="E4621" s="16" t="str">
        <x:v>Missing email</x:v>
      </x:c>
    </x:row>
    <x:row r="4622">
      <x:c r="A4622" s="16" t="n">
        <x:v>4784</x:v>
      </x:c>
      <x:c r="B4622" s="16" t="str">
        <x:v>Dr Muhammad Keegan 😊</x:v>
      </x:c>
      <x:c r="C4622" s="16" t="str"/>
      <x:c r="D4622" s="16" t="str">
        <x:v>* myContacts</x:v>
      </x:c>
      <x:c r="E4622" s="16" t="str">
        <x:v>Missing email</x:v>
      </x:c>
    </x:row>
    <x:row r="4623">
      <x:c r="A4623" s="16" t="n">
        <x:v>4785</x:v>
      </x:c>
      <x:c r="B4623" s="16" t="str">
        <x:v>Muhammad Kirom</x:v>
      </x:c>
      <x:c r="C4623" s="16" t="str"/>
      <x:c r="D4623" s="16" t="str">
        <x:v>* myContacts</x:v>
      </x:c>
      <x:c r="E4623" s="16" t="str">
        <x:v>Missing email</x:v>
      </x:c>
    </x:row>
    <x:row r="4624">
      <x:c r="A4624" s="16" t="n">
        <x:v>4786</x:v>
      </x:c>
      <x:c r="B4624" s="16" t="str">
        <x:v>Muhammad Marwan Takaful</x:v>
      </x:c>
      <x:c r="C4624" s="16" t="str"/>
      <x:c r="D4624" s="16" t="str">
        <x:v>* myContacts</x:v>
      </x:c>
      <x:c r="E4624" s="16" t="str">
        <x:v>Missing email</x:v>
      </x:c>
    </x:row>
    <x:row r="4625">
      <x:c r="A4625" s="16" t="n">
        <x:v>4787</x:v>
      </x:c>
      <x:c r="B4625" s="16" t="str">
        <x:v>Muhammad Muaz</x:v>
      </x:c>
      <x:c r="C4625" s="16" t="str"/>
      <x:c r="D4625" s="16" t="str">
        <x:v>* myContacts</x:v>
      </x:c>
      <x:c r="E4625" s="16" t="str">
        <x:v>Missing email</x:v>
      </x:c>
    </x:row>
    <x:row r="4626">
      <x:c r="A4626" s="16" t="n">
        <x:v>4788</x:v>
      </x:c>
      <x:c r="B4626" s="16" t="str">
        <x:v>Muhammad Muddrikah Hassan Fatihah</x:v>
      </x:c>
      <x:c r="C4626" s="16" t="str"/>
      <x:c r="D4626" s="16" t="str">
        <x:v>* myContacts</x:v>
      </x:c>
      <x:c r="E4626" s="16" t="str">
        <x:v>Missing email</x:v>
      </x:c>
    </x:row>
    <x:row r="4627">
      <x:c r="A4627" s="16" t="n">
        <x:v>4789</x:v>
      </x:c>
      <x:c r="B4627" s="16" t="str">
        <x:v>Muhammad Muthohir</x:v>
      </x:c>
      <x:c r="C4627" s="16" t="str"/>
      <x:c r="D4627" s="16" t="str">
        <x:v>* myContacts</x:v>
      </x:c>
      <x:c r="E4627" s="16" t="str">
        <x:v>Missing email</x:v>
      </x:c>
    </x:row>
    <x:row r="4628">
      <x:c r="A4628" s="16" t="n">
        <x:v>4790</x:v>
      </x:c>
      <x:c r="B4628" s="16" t="str">
        <x:v>Muhammad Nabil Idris</x:v>
      </x:c>
      <x:c r="C4628" s="16" t="str"/>
      <x:c r="D4628" s="16" t="str">
        <x:v>* myContacts</x:v>
      </x:c>
      <x:c r="E4628" s="16" t="str">
        <x:v>Missing email</x:v>
      </x:c>
    </x:row>
    <x:row r="4629">
      <x:c r="A4629" s="16" t="n">
        <x:v>4791</x:v>
      </x:c>
      <x:c r="B4629" s="16" t="str">
        <x:v>Muhammad Nasiruddin Ahmad Sukri</x:v>
      </x:c>
      <x:c r="C4629" s="16" t="str"/>
      <x:c r="D4629" s="16" t="str">
        <x:v>* myContacts</x:v>
      </x:c>
      <x:c r="E4629" s="16" t="str">
        <x:v>Missing email</x:v>
      </x:c>
    </x:row>
    <x:row r="4630">
      <x:c r="A4630" s="16" t="n">
        <x:v>4792</x:v>
      </x:c>
      <x:c r="B4630" s="16" t="str">
        <x:v>Muhammad Nazarudin</x:v>
      </x:c>
      <x:c r="C4630" s="16" t="str"/>
      <x:c r="D4630" s="16" t="str">
        <x:v>* myContacts</x:v>
      </x:c>
      <x:c r="E4630" s="16" t="str">
        <x:v>Missing email</x:v>
      </x:c>
    </x:row>
    <x:row r="4631">
      <x:c r="A4631" s="16" t="n">
        <x:v>4794</x:v>
      </x:c>
      <x:c r="B4631" s="16" t="str">
        <x:v>Muhammad Qayyum</x:v>
      </x:c>
      <x:c r="C4631" s="16" t="str"/>
      <x:c r="D4631" s="16" t="str">
        <x:v>* myContacts</x:v>
      </x:c>
      <x:c r="E4631" s="16" t="str">
        <x:v>Missing email</x:v>
      </x:c>
    </x:row>
    <x:row r="4632">
      <x:c r="A4632" s="16" t="n">
        <x:v>4795</x:v>
      </x:c>
      <x:c r="B4632" s="16" t="str">
        <x:v>Muhammad Ridwan</x:v>
      </x:c>
      <x:c r="C4632" s="16" t="str"/>
      <x:c r="D4632" s="16" t="str">
        <x:v>* myContacts</x:v>
      </x:c>
      <x:c r="E4632" s="16" t="str">
        <x:v>Missing email</x:v>
      </x:c>
    </x:row>
    <x:row r="4633">
      <x:c r="A4633" s="16" t="n">
        <x:v>4796</x:v>
      </x:c>
      <x:c r="B4633" s="16" t="str">
        <x:v>Muhammad Rifqi Amad</x:v>
      </x:c>
      <x:c r="C4633" s="16" t="str"/>
      <x:c r="D4633" s="16" t="str">
        <x:v>* myContacts</x:v>
      </x:c>
      <x:c r="E4633" s="16" t="str">
        <x:v>Missing email</x:v>
      </x:c>
    </x:row>
    <x:row r="4634">
      <x:c r="A4634" s="16" t="n">
        <x:v>4797</x:v>
      </x:c>
      <x:c r="B4634" s="16" t="str">
        <x:v>Muhammad Rizal Jamaluddin</x:v>
      </x:c>
      <x:c r="C4634" s="16" t="str"/>
      <x:c r="D4634" s="16" t="str">
        <x:v>* myContacts</x:v>
      </x:c>
      <x:c r="E4634" s="16" t="str">
        <x:v>Missing email</x:v>
      </x:c>
    </x:row>
    <x:row r="4635">
      <x:c r="A4635" s="16" t="n">
        <x:v>4798</x:v>
      </x:c>
      <x:c r="B4635" s="16" t="str">
        <x:v>Muhammad Rofikhi</x:v>
      </x:c>
      <x:c r="C4635" s="16" t="str"/>
      <x:c r="D4635" s="16" t="str">
        <x:v>* myContacts</x:v>
      </x:c>
      <x:c r="E4635" s="16" t="str">
        <x:v>Missing email</x:v>
      </x:c>
    </x:row>
    <x:row r="4636">
      <x:c r="A4636" s="16" t="n">
        <x:v>4799</x:v>
      </x:c>
      <x:c r="B4636" s="16" t="str">
        <x:v>Muhammad Romzie</x:v>
      </x:c>
      <x:c r="C4636" s="16" t="str"/>
      <x:c r="D4636" s="16" t="str">
        <x:v>* myContacts</x:v>
      </x:c>
      <x:c r="E4636" s="16" t="str">
        <x:v>Missing email</x:v>
      </x:c>
    </x:row>
    <x:row r="4637">
      <x:c r="A4637" s="16" t="n">
        <x:v>4800</x:v>
      </x:c>
      <x:c r="B4637" s="16" t="str">
        <x:v>Muhammad Saifuddin Ismail</x:v>
      </x:c>
      <x:c r="C4637" s="16" t="str"/>
      <x:c r="D4637" s="16" t="str">
        <x:v>* myContacts</x:v>
      </x:c>
      <x:c r="E4637" s="16" t="str">
        <x:v>Missing email</x:v>
      </x:c>
    </x:row>
    <x:row r="4638">
      <x:c r="A4638" s="16" t="n">
        <x:v>4801</x:v>
      </x:c>
      <x:c r="B4638" s="16" t="str">
        <x:v>Muhammad Saifullah</x:v>
      </x:c>
      <x:c r="C4638" s="16" t="str"/>
      <x:c r="D4638" s="16" t="str">
        <x:v>* myContacts</x:v>
      </x:c>
      <x:c r="E4638" s="16" t="str">
        <x:v>Missing email</x:v>
      </x:c>
    </x:row>
    <x:row r="4639">
      <x:c r="A4639" s="16" t="n">
        <x:v>4802</x:v>
      </x:c>
      <x:c r="B4639" s="16" t="str">
        <x:v>Muhammad Shahizzudin Radzif</x:v>
      </x:c>
      <x:c r="C4639" s="16" t="str"/>
      <x:c r="D4639" s="16" t="str">
        <x:v>* myContacts</x:v>
      </x:c>
      <x:c r="E4639" s="16" t="str">
        <x:v>Missing email</x:v>
      </x:c>
    </x:row>
    <x:row r="4640">
      <x:c r="A4640" s="16" t="n">
        <x:v>4803</x:v>
      </x:c>
      <x:c r="B4640" s="16" t="str">
        <x:v>Muhammad Solahuddin</x:v>
      </x:c>
      <x:c r="C4640" s="16" t="str"/>
      <x:c r="D4640" s="16" t="str">
        <x:v>* myContacts</x:v>
      </x:c>
      <x:c r="E4640" s="16" t="str">
        <x:v>Missing email</x:v>
      </x:c>
    </x:row>
    <x:row r="4641">
      <x:c r="A4641" s="16" t="n">
        <x:v>4804</x:v>
      </x:c>
      <x:c r="B4641" s="16" t="str">
        <x:v>Muhammad Syafiq</x:v>
      </x:c>
      <x:c r="C4641" s="16" t="str"/>
      <x:c r="D4641" s="16" t="str">
        <x:v>* myContacts</x:v>
      </x:c>
      <x:c r="E4641" s="16" t="str">
        <x:v>Missing email</x:v>
      </x:c>
    </x:row>
    <x:row r="4642">
      <x:c r="A4642" s="16" t="n">
        <x:v>4805</x:v>
      </x:c>
      <x:c r="B4642" s="16" t="str">
        <x:v>Muhammad Syafiq Che Ghani</x:v>
      </x:c>
      <x:c r="C4642" s="16" t="str"/>
      <x:c r="D4642" s="16" t="str">
        <x:v>* myContacts</x:v>
      </x:c>
      <x:c r="E4642" s="16" t="str">
        <x:v>Missing email</x:v>
      </x:c>
    </x:row>
    <x:row r="4643">
      <x:c r="A4643" s="16" t="n">
        <x:v>4807</x:v>
      </x:c>
      <x:c r="B4643" s="16" t="str">
        <x:v>Muhammad Tesar</x:v>
      </x:c>
      <x:c r="C4643" s="16" t="str"/>
      <x:c r="D4643" s="16" t="str">
        <x:v>* myContacts</x:v>
      </x:c>
      <x:c r="E4643" s="16" t="str">
        <x:v>Missing email</x:v>
      </x:c>
    </x:row>
    <x:row r="4644">
      <x:c r="A4644" s="16" t="n">
        <x:v>4808</x:v>
      </x:c>
      <x:c r="B4644" s="16" t="str">
        <x:v>Muhammad Tokmat</x:v>
      </x:c>
      <x:c r="C4644" s="16" t="str"/>
      <x:c r="D4644" s="16" t="str">
        <x:v>* myContacts</x:v>
      </x:c>
      <x:c r="E4644" s="16" t="str">
        <x:v>Missing email</x:v>
      </x:c>
    </x:row>
    <x:row r="4645">
      <x:c r="A4645" s="16" t="n">
        <x:v>4810</x:v>
      </x:c>
      <x:c r="B4645" s="16" t="str">
        <x:v>Muhammad Zaimi</x:v>
      </x:c>
      <x:c r="C4645" s="16" t="str"/>
      <x:c r="D4645" s="16" t="str">
        <x:v>* myContacts</x:v>
      </x:c>
      <x:c r="E4645" s="16" t="str">
        <x:v>Missing email</x:v>
      </x:c>
    </x:row>
    <x:row r="4646">
      <x:c r="A4646" s="16" t="n">
        <x:v>4811</x:v>
      </x:c>
      <x:c r="B4646" s="16" t="str">
        <x:v>Muhammad Zakie Dzulkiflee</x:v>
      </x:c>
      <x:c r="C4646" s="16" t="str"/>
      <x:c r="D4646" s="16" t="str">
        <x:v>* myContacts</x:v>
      </x:c>
      <x:c r="E4646" s="16" t="str">
        <x:v>Missing email</x:v>
      </x:c>
    </x:row>
    <x:row r="4647">
      <x:c r="A4647" s="16" t="n">
        <x:v>4812</x:v>
      </x:c>
      <x:c r="B4647" s="16" t="str">
        <x:v>Muhammad Zakwan Zulkeply</x:v>
      </x:c>
      <x:c r="C4647" s="16" t="str"/>
      <x:c r="D4647" s="16" t="str">
        <x:v>* myContacts</x:v>
      </x:c>
      <x:c r="E4647" s="16" t="str">
        <x:v>Missing email</x:v>
      </x:c>
    </x:row>
    <x:row r="4648">
      <x:c r="A4648" s="16" t="n">
        <x:v>4813</x:v>
      </x:c>
      <x:c r="B4648" s="16" t="str">
        <x:v>Muhammad Zulhaili Abdullah</x:v>
      </x:c>
      <x:c r="C4648" s="16" t="str"/>
      <x:c r="D4648" s="16" t="str">
        <x:v>* myContacts</x:v>
      </x:c>
      <x:c r="E4648" s="16" t="str">
        <x:v>Missing email</x:v>
      </x:c>
    </x:row>
    <x:row r="4649">
      <x:c r="A4649" s="16" t="n">
        <x:v>4814</x:v>
      </x:c>
      <x:c r="B4649" s="16" t="str">
        <x:v>Muhammad Zulhusni</x:v>
      </x:c>
      <x:c r="C4649" s="16" t="str"/>
      <x:c r="D4649" s="16" t="str">
        <x:v>* myContacts</x:v>
      </x:c>
      <x:c r="E4649" s="16" t="str">
        <x:v>Missing email</x:v>
      </x:c>
    </x:row>
    <x:row r="4650">
      <x:c r="A4650" s="16" t="n">
        <x:v>4815</x:v>
      </x:c>
      <x:c r="B4650" s="16" t="str">
        <x:v>MuhammadRizal Sarapan Pasir Gudang</x:v>
      </x:c>
      <x:c r="C4650" s="16" t="str"/>
      <x:c r="D4650" s="16" t="str">
        <x:v>* myContacts</x:v>
      </x:c>
      <x:c r="E4650" s="16" t="str">
        <x:v>Missing email</x:v>
      </x:c>
    </x:row>
    <x:row r="4651">
      <x:c r="A4651" s="16" t="n">
        <x:v>4816</x:v>
      </x:c>
      <x:c r="B4651" s="16" t="str">
        <x:v>Muhammaf Afiq Faiz Poslaju</x:v>
      </x:c>
      <x:c r="C4651" s="16" t="str"/>
      <x:c r="D4651" s="16" t="str">
        <x:v>* myContacts</x:v>
      </x:c>
      <x:c r="E4651" s="16" t="str">
        <x:v>Missing email</x:v>
      </x:c>
    </x:row>
    <x:row r="4652">
      <x:c r="A4652" s="16" t="n">
        <x:v>4817</x:v>
      </x:c>
      <x:c r="B4652" s="16" t="str">
        <x:v>Muhayat Hafifi Ahmad Termizai</x:v>
      </x:c>
      <x:c r="C4652" s="16" t="str"/>
      <x:c r="D4652" s="16" t="str">
        <x:v>* myContacts</x:v>
      </x:c>
      <x:c r="E4652" s="16" t="str">
        <x:v>Missing email</x:v>
      </x:c>
    </x:row>
    <x:row r="4653">
      <x:c r="A4653" s="16" t="n">
        <x:v>4818</x:v>
      </x:c>
      <x:c r="B4653" s="16" t="str">
        <x:v>Muhaydi BDA</x:v>
      </x:c>
      <x:c r="C4653" s="16" t="str"/>
      <x:c r="D4653" s="16" t="str">
        <x:v>* myContacts</x:v>
      </x:c>
      <x:c r="E4653" s="16" t="str">
        <x:v>Missing email</x:v>
      </x:c>
    </x:row>
    <x:row r="4654">
      <x:c r="A4654" s="16" t="n">
        <x:v>4819</x:v>
      </x:c>
      <x:c r="B4654" s="16" t="str">
        <x:v>Muhazli AGP</x:v>
      </x:c>
      <x:c r="C4654" s="16" t="str"/>
      <x:c r="D4654" s="16" t="str">
        <x:v>* myContacts</x:v>
      </x:c>
      <x:c r="E4654" s="16" t="str">
        <x:v>Missing email</x:v>
      </x:c>
    </x:row>
    <x:row r="4655">
      <x:c r="A4655" s="16" t="n">
        <x:v>4820</x:v>
      </x:c>
      <x:c r="B4655" s="16" t="str">
        <x:v>Muhd Afiff Ailan</x:v>
      </x:c>
      <x:c r="C4655" s="16" t="str"/>
      <x:c r="D4655" s="16" t="str">
        <x:v>* myContacts</x:v>
      </x:c>
      <x:c r="E4655" s="16" t="str">
        <x:v>Missing email</x:v>
      </x:c>
    </x:row>
    <x:row r="4656">
      <x:c r="A4656" s="16" t="n">
        <x:v>4821</x:v>
      </x:c>
      <x:c r="B4656" s="16" t="str">
        <x:v>Muhd Afiq</x:v>
      </x:c>
      <x:c r="C4656" s="16" t="str"/>
      <x:c r="D4656" s="16" t="str">
        <x:v>* myContacts</x:v>
      </x:c>
      <x:c r="E4656" s="16" t="str">
        <x:v>Missing email</x:v>
      </x:c>
    </x:row>
    <x:row r="4657">
      <x:c r="A4657" s="16" t="n">
        <x:v>4822</x:v>
      </x:c>
      <x:c r="B4657" s="16" t="str">
        <x:v>Muhd Aizat TP</x:v>
      </x:c>
      <x:c r="C4657" s="16" t="str"/>
      <x:c r="D4657" s="16" t="str">
        <x:v>* myContacts</x:v>
      </x:c>
      <x:c r="E4657" s="16" t="str">
        <x:v>Missing email</x:v>
      </x:c>
    </x:row>
    <x:row r="4658">
      <x:c r="A4658" s="16" t="n">
        <x:v>4823</x:v>
      </x:c>
      <x:c r="B4658" s="16" t="str">
        <x:v>Muhd Aizat TP II</x:v>
      </x:c>
      <x:c r="C4658" s="16" t="str"/>
      <x:c r="D4658" s="16" t="str">
        <x:v>* myContacts</x:v>
      </x:c>
      <x:c r="E4658" s="16" t="str">
        <x:v>Missing email</x:v>
      </x:c>
    </x:row>
    <x:row r="4659">
      <x:c r="A4659" s="16" t="n">
        <x:v>4824</x:v>
      </x:c>
      <x:c r="B4659" s="16" t="str">
        <x:v>Muhd Alif Nik</x:v>
      </x:c>
      <x:c r="C4659" s="16" t="str"/>
      <x:c r="D4659" s="16" t="str">
        <x:v>* myContacts</x:v>
      </x:c>
      <x:c r="E4659" s="16" t="str">
        <x:v>Missing email</x:v>
      </x:c>
    </x:row>
    <x:row r="4660">
      <x:c r="A4660" s="16" t="n">
        <x:v>4825</x:v>
      </x:c>
      <x:c r="B4660" s="16" t="str">
        <x:v>Muhd Amir</x:v>
      </x:c>
      <x:c r="C4660" s="16" t="str"/>
      <x:c r="D4660" s="16" t="str">
        <x:v>* myContacts</x:v>
      </x:c>
      <x:c r="E4660" s="16" t="str">
        <x:v>Missing email</x:v>
      </x:c>
    </x:row>
    <x:row r="4661">
      <x:c r="A4661" s="16" t="n">
        <x:v>4826</x:v>
      </x:c>
      <x:c r="B4661" s="16" t="str">
        <x:v>Muhd Amrullah</x:v>
      </x:c>
      <x:c r="C4661" s="16" t="str"/>
      <x:c r="D4661" s="16" t="str">
        <x:v>* myContacts</x:v>
      </x:c>
      <x:c r="E4661" s="16" t="str">
        <x:v>Missing email</x:v>
      </x:c>
    </x:row>
    <x:row r="4662">
      <x:c r="A4662" s="16" t="n">
        <x:v>4827</x:v>
      </x:c>
      <x:c r="B4662" s="16" t="str">
        <x:v>Muhd Faiz</x:v>
      </x:c>
      <x:c r="C4662" s="16" t="str"/>
      <x:c r="D4662" s="16" t="str">
        <x:v>* myContacts</x:v>
      </x:c>
      <x:c r="E4662" s="16" t="str">
        <x:v>Missing email</x:v>
      </x:c>
    </x:row>
    <x:row r="4663">
      <x:c r="A4663" s="16" t="n">
        <x:v>4828</x:v>
      </x:c>
      <x:c r="B4663" s="16" t="str">
        <x:v>Muhd Fariduddin</x:v>
      </x:c>
      <x:c r="C4663" s="16" t="str"/>
      <x:c r="D4663" s="16" t="str">
        <x:v>* myContacts</x:v>
      </x:c>
      <x:c r="E4663" s="16" t="str">
        <x:v>Missing email</x:v>
      </x:c>
    </x:row>
    <x:row r="4664">
      <x:c r="A4664" s="16" t="n">
        <x:v>4829</x:v>
      </x:c>
      <x:c r="B4664" s="16" t="str">
        <x:v>Muhd Firdaus</x:v>
      </x:c>
      <x:c r="C4664" s="16" t="str"/>
      <x:c r="D4664" s="16" t="str">
        <x:v>* myContacts</x:v>
      </x:c>
      <x:c r="E4664" s="16" t="str">
        <x:v>Missing email</x:v>
      </x:c>
    </x:row>
    <x:row r="4665">
      <x:c r="A4665" s="16" t="n">
        <x:v>4830</x:v>
      </x:c>
      <x:c r="B4665" s="16" t="str">
        <x:v>Muhd Firdaus Rizam</x:v>
      </x:c>
      <x:c r="C4665" s="16" t="str"/>
      <x:c r="D4665" s="16" t="str">
        <x:v>* myContacts</x:v>
      </x:c>
      <x:c r="E4665" s="16" t="str">
        <x:v>Missing email</x:v>
      </x:c>
    </x:row>
    <x:row r="4666">
      <x:c r="A4666" s="16" t="n">
        <x:v>4831</x:v>
      </x:c>
      <x:c r="B4666" s="16" t="str">
        <x:v>Muhd Hakimi</x:v>
      </x:c>
      <x:c r="C4666" s="16" t="str"/>
      <x:c r="D4666" s="16" t="str">
        <x:v>* myContacts</x:v>
      </x:c>
      <x:c r="E4666" s="16" t="str">
        <x:v>Missing email</x:v>
      </x:c>
    </x:row>
    <x:row r="4667">
      <x:c r="A4667" s="16" t="n">
        <x:v>4832</x:v>
      </x:c>
      <x:c r="B4667" s="16" t="str">
        <x:v>Muhd Harris Harris</x:v>
      </x:c>
      <x:c r="C4667" s="16" t="str"/>
      <x:c r="D4667" s="16" t="str">
        <x:v>* myContacts</x:v>
      </x:c>
      <x:c r="E4667" s="16" t="str">
        <x:v>Missing email</x:v>
      </x:c>
    </x:row>
    <x:row r="4668">
      <x:c r="A4668" s="16" t="n">
        <x:v>4833</x:v>
      </x:c>
      <x:c r="B4668" s="16" t="str">
        <x:v>Muhd Husairi</x:v>
      </x:c>
      <x:c r="C4668" s="16" t="str"/>
      <x:c r="D4668" s="16" t="str">
        <x:v>* myContacts</x:v>
      </x:c>
      <x:c r="E4668" s="16" t="str">
        <x:v>Missing email</x:v>
      </x:c>
    </x:row>
    <x:row r="4669">
      <x:c r="A4669" s="16" t="n">
        <x:v>4834</x:v>
      </x:c>
      <x:c r="B4669" s="16" t="str">
        <x:v>Muhd Ikhwan</x:v>
      </x:c>
      <x:c r="C4669" s="16" t="str"/>
      <x:c r="D4669" s="16" t="str">
        <x:v>* myContacts</x:v>
      </x:c>
      <x:c r="E4669" s="16" t="str">
        <x:v>Missing email</x:v>
      </x:c>
    </x:row>
    <x:row r="4670">
      <x:c r="A4670" s="16" t="n">
        <x:v>4835</x:v>
      </x:c>
      <x:c r="B4670" s="16" t="str">
        <x:v>Muhd Nor Shah Izwan</x:v>
      </x:c>
      <x:c r="C4670" s="16" t="str"/>
      <x:c r="D4670" s="16" t="str">
        <x:v>* myContacts</x:v>
      </x:c>
      <x:c r="E4670" s="16" t="str">
        <x:v>Missing email</x:v>
      </x:c>
    </x:row>
    <x:row r="4671">
      <x:c r="A4671" s="16" t="n">
        <x:v>4836</x:v>
      </x:c>
      <x:c r="B4671" s="16" t="str">
        <x:v>Muhd Rizal</x:v>
      </x:c>
      <x:c r="C4671" s="16" t="str"/>
      <x:c r="D4671" s="16" t="str">
        <x:v>* myContacts</x:v>
      </x:c>
      <x:c r="E4671" s="16" t="str">
        <x:v>Missing email</x:v>
      </x:c>
    </x:row>
    <x:row r="4672">
      <x:c r="A4672" s="16" t="n">
        <x:v>4837</x:v>
      </x:c>
      <x:c r="B4672" s="16" t="str">
        <x:v>Muhd Shahrin</x:v>
      </x:c>
      <x:c r="C4672" s="16" t="str"/>
      <x:c r="D4672" s="16" t="str">
        <x:v>* myContacts</x:v>
      </x:c>
      <x:c r="E4672" s="16" t="str">
        <x:v>Missing email</x:v>
      </x:c>
    </x:row>
    <x:row r="4673">
      <x:c r="A4673" s="16" t="n">
        <x:v>4838</x:v>
      </x:c>
      <x:c r="B4673" s="16" t="str">
        <x:v>Muhd Syafeq</x:v>
      </x:c>
      <x:c r="C4673" s="16" t="str"/>
      <x:c r="D4673" s="16" t="str">
        <x:v>* myContacts</x:v>
      </x:c>
      <x:c r="E4673" s="16" t="str">
        <x:v>Missing email</x:v>
      </x:c>
    </x:row>
    <x:row r="4674">
      <x:c r="A4674" s="16" t="n">
        <x:v>4839</x:v>
      </x:c>
      <x:c r="B4674" s="16" t="str">
        <x:v>Muhd Syafique</x:v>
      </x:c>
      <x:c r="C4674" s="16" t="str"/>
      <x:c r="D4674" s="16" t="str">
        <x:v>* myContacts</x:v>
      </x:c>
      <x:c r="E4674" s="16" t="str">
        <x:v>Missing email</x:v>
      </x:c>
    </x:row>
    <x:row r="4675">
      <x:c r="A4675" s="16" t="n">
        <x:v>4840</x:v>
      </x:c>
      <x:c r="B4675" s="16" t="str">
        <x:v>Muhd Syarifuddin Mohd Zahid</x:v>
      </x:c>
      <x:c r="C4675" s="16" t="str"/>
      <x:c r="D4675" s="16" t="str">
        <x:v>* myContacts</x:v>
      </x:c>
      <x:c r="E4675" s="16" t="str">
        <x:v>Missing email</x:v>
      </x:c>
    </x:row>
    <x:row r="4676">
      <x:c r="A4676" s="16" t="n">
        <x:v>4841</x:v>
      </x:c>
      <x:c r="B4676" s="16" t="str">
        <x:v>Muhd Turmuzi Abdullah</x:v>
      </x:c>
      <x:c r="C4676" s="16" t="str"/>
      <x:c r="D4676" s="16" t="str">
        <x:v>* myContacts</x:v>
      </x:c>
      <x:c r="E4676" s="16" t="str">
        <x:v>Missing email</x:v>
      </x:c>
    </x:row>
    <x:row r="4677">
      <x:c r="A4677" s="16" t="n">
        <x:v>4842</x:v>
      </x:c>
      <x:c r="B4677" s="16" t="str">
        <x:v>Muhd Zahiruddin</x:v>
      </x:c>
      <x:c r="C4677" s="16" t="str"/>
      <x:c r="D4677" s="16" t="str">
        <x:v>* myContacts</x:v>
      </x:c>
      <x:c r="E4677" s="16" t="str">
        <x:v>Missing email</x:v>
      </x:c>
    </x:row>
    <x:row r="4678">
      <x:c r="A4678" s="16" t="n">
        <x:v>4843</x:v>
      </x:c>
      <x:c r="B4678" s="16" t="str">
        <x:v>Muhsin Mustafa</x:v>
      </x:c>
      <x:c r="C4678" s="16" t="str"/>
      <x:c r="D4678" s="16" t="str">
        <x:v>* myContacts</x:v>
      </x:c>
      <x:c r="E4678" s="16" t="str">
        <x:v>Missing email</x:v>
      </x:c>
    </x:row>
    <x:row r="4679">
      <x:c r="A4679" s="16" t="n">
        <x:v>4844</x:v>
      </x:c>
      <x:c r="B4679" s="16" t="str">
        <x:v>Muiz Firdaus</x:v>
      </x:c>
      <x:c r="C4679" s="16" t="str"/>
      <x:c r="D4679" s="16" t="str">
        <x:v>* myContacts</x:v>
      </x:c>
      <x:c r="E4679" s="16" t="str">
        <x:v>Missing email</x:v>
      </x:c>
    </x:row>
    <x:row r="4680">
      <x:c r="A4680" s="16" t="n">
        <x:v>4845</x:v>
      </x:c>
      <x:c r="B4680" s="16" t="str">
        <x:v>Mukaram M Jamin</x:v>
      </x:c>
      <x:c r="C4680" s="16" t="str"/>
      <x:c r="D4680" s="16" t="str">
        <x:v>* myContacts</x:v>
      </x:c>
      <x:c r="E4680" s="16" t="str">
        <x:v>Missing email</x:v>
      </x:c>
    </x:row>
    <x:row r="4681">
      <x:c r="A4681" s="16" t="n">
        <x:v>4846</x:v>
      </x:c>
      <x:c r="B4681" s="16" t="str">
        <x:v>Mukesh Kumar S. L</x:v>
      </x:c>
      <x:c r="C4681" s="16" t="str"/>
      <x:c r="D4681" s="16" t="str">
        <x:v>* myContacts</x:v>
      </x:c>
      <x:c r="E4681" s="16" t="str">
        <x:v>Missing email</x:v>
      </x:c>
    </x:row>
    <x:row r="4682">
      <x:c r="A4682" s="16" t="n">
        <x:v>4847</x:v>
      </x:c>
      <x:c r="B4682" s="16" t="str">
        <x:v>mukhriz fama</x:v>
      </x:c>
      <x:c r="C4682" s="16" t="str"/>
      <x:c r="D4682" s="16" t="str">
        <x:v>* myContacts</x:v>
      </x:c>
      <x:c r="E4682" s="16" t="str">
        <x:v>Missing email</x:v>
      </x:c>
    </x:row>
    <x:row r="4683">
      <x:c r="A4683" s="16" t="n">
        <x:v>4848</x:v>
      </x:c>
      <x:c r="B4683" s="16" t="str">
        <x:v>Mumut Dipsa</x:v>
      </x:c>
      <x:c r="C4683" s="16" t="str"/>
      <x:c r="D4683" s="16" t="str">
        <x:v>* myContacts</x:v>
      </x:c>
      <x:c r="E4683" s="16" t="str">
        <x:v>Missing email</x:v>
      </x:c>
    </x:row>
    <x:row r="4684">
      <x:c r="A4684" s="16" t="n">
        <x:v>4849</x:v>
      </x:c>
      <x:c r="B4684" s="16" t="str">
        <x:v>Mun'sDyvet ParkerDayo</x:v>
      </x:c>
      <x:c r="C4684" s="16" t="str"/>
      <x:c r="D4684" s="16" t="str">
        <x:v>* myContacts</x:v>
      </x:c>
      <x:c r="E4684" s="16" t="str">
        <x:v>Missing email</x:v>
      </x:c>
    </x:row>
    <x:row r="4685">
      <x:c r="A4685" s="16" t="n">
        <x:v>4850</x:v>
      </x:c>
      <x:c r="B4685" s="16" t="str">
        <x:v>Munajat Sinergi</x:v>
      </x:c>
      <x:c r="C4685" s="16" t="str"/>
      <x:c r="D4685" s="16" t="str">
        <x:v>* myContacts</x:v>
      </x:c>
      <x:c r="E4685" s="16" t="str">
        <x:v>Missing email</x:v>
      </x:c>
    </x:row>
    <x:row r="4686">
      <x:c r="A4686" s="16" t="n">
        <x:v>4851</x:v>
      </x:c>
      <x:c r="B4686" s="16" t="str">
        <x:v>Munirah Ibrahim</x:v>
      </x:c>
      <x:c r="C4686" s="16" t="str"/>
      <x:c r="D4686" s="16" t="str">
        <x:v>* myContacts</x:v>
      </x:c>
      <x:c r="E4686" s="16" t="str">
        <x:v>Missing email</x:v>
      </x:c>
    </x:row>
    <x:row r="4687">
      <x:c r="A4687" s="16" t="n">
        <x:v>4852</x:v>
      </x:c>
      <x:c r="B4687" s="16" t="str">
        <x:v>Munirah Ira Munirah</x:v>
      </x:c>
      <x:c r="C4687" s="16" t="str"/>
      <x:c r="D4687" s="16" t="str">
        <x:v>* myContacts</x:v>
      </x:c>
      <x:c r="E4687" s="16" t="str">
        <x:v>Missing email</x:v>
      </x:c>
    </x:row>
    <x:row r="4688">
      <x:c r="A4688" s="16" t="n">
        <x:v>4853</x:v>
      </x:c>
      <x:c r="B4688" s="16" t="str">
        <x:v>Munirah Yusof</x:v>
      </x:c>
      <x:c r="C4688" s="16" t="str"/>
      <x:c r="D4688" s="16" t="str">
        <x:v>* myContacts</x:v>
      </x:c>
      <x:c r="E4688" s="16" t="str">
        <x:v>Missing email</x:v>
      </x:c>
    </x:row>
    <x:row r="4689">
      <x:c r="A4689" s="16" t="n">
        <x:v>4854</x:v>
      </x:c>
      <x:c r="B4689" s="16" t="str">
        <x:v>Muntas Jad Candidate</x:v>
      </x:c>
      <x:c r="C4689" s="16" t="str"/>
      <x:c r="D4689" s="16" t="str">
        <x:v>* myContacts</x:v>
      </x:c>
      <x:c r="E4689" s="16" t="str">
        <x:v>Missing email</x:v>
      </x:c>
    </x:row>
    <x:row r="4690">
      <x:c r="A4690" s="16" t="n">
        <x:v>4855</x:v>
      </x:c>
      <x:c r="B4690" s="16" t="str">
        <x:v>Munzir Videoman</x:v>
      </x:c>
      <x:c r="C4690" s="16" t="str"/>
      <x:c r="D4690" s="16" t="str">
        <x:v>* myContacts</x:v>
      </x:c>
      <x:c r="E4690" s="16" t="str">
        <x:v>Missing email</x:v>
      </x:c>
    </x:row>
    <x:row r="4691">
      <x:c r="A4691" s="16" t="n">
        <x:v>4856</x:v>
      </x:c>
      <x:c r="B4691" s="16" t="str">
        <x:v>Murad TeZg</x:v>
      </x:c>
      <x:c r="C4691" s="16" t="str"/>
      <x:c r="D4691" s="16" t="str">
        <x:v>* myContacts</x:v>
      </x:c>
      <x:c r="E4691" s="16" t="str">
        <x:v>Missing email</x:v>
      </x:c>
    </x:row>
    <x:row r="4692">
      <x:c r="A4692" s="16" t="n">
        <x:v>4857</x:v>
      </x:c>
      <x:c r="B4692" s="16" t="str">
        <x:v>Murni JNJ</x:v>
      </x:c>
      <x:c r="C4692" s="16" t="str"/>
      <x:c r="D4692" s="16" t="str">
        <x:v>* myContacts</x:v>
      </x:c>
      <x:c r="E4692" s="16" t="str">
        <x:v>Missing email</x:v>
      </x:c>
    </x:row>
    <x:row r="4693">
      <x:c r="A4693" s="16" t="n">
        <x:v>4858</x:v>
      </x:c>
      <x:c r="B4693" s="16" t="str">
        <x:v>Mursyid</x:v>
      </x:c>
      <x:c r="C4693" s="16" t="str"/>
      <x:c r="D4693" s="16" t="str">
        <x:v>* myContacts</x:v>
      </x:c>
      <x:c r="E4693" s="16" t="str">
        <x:v>Missing email</x:v>
      </x:c>
    </x:row>
    <x:row r="4694">
      <x:c r="A4694" s="16" t="n">
        <x:v>4859</x:v>
      </x:c>
      <x:c r="B4694" s="16" t="str">
        <x:v>Mursyidi Azaki</x:v>
      </x:c>
      <x:c r="C4694" s="16" t="str"/>
      <x:c r="D4694" s="16" t="str">
        <x:v>* myContacts</x:v>
      </x:c>
      <x:c r="E4694" s="16" t="str">
        <x:v>Missing email</x:v>
      </x:c>
    </x:row>
    <x:row r="4695">
      <x:c r="A4695" s="16" t="n">
        <x:v>4860</x:v>
      </x:c>
      <x:c r="B4695" s="16" t="str">
        <x:v>Murtaza Kagalwala</x:v>
      </x:c>
      <x:c r="C4695" s="16" t="str"/>
      <x:c r="D4695" s="16" t="str">
        <x:v>* myContacts</x:v>
      </x:c>
      <x:c r="E4695" s="16" t="str">
        <x:v>Missing email</x:v>
      </x:c>
    </x:row>
    <x:row r="4696">
      <x:c r="A4696" s="16" t="n">
        <x:v>4861</x:v>
      </x:c>
      <x:c r="B4696" s="16" t="str">
        <x:v>Mus Mdec</x:v>
      </x:c>
      <x:c r="C4696" s="16" t="str"/>
      <x:c r="D4696" s="16" t="str">
        <x:v>* myContacts</x:v>
      </x:c>
      <x:c r="E4696" s="16" t="str">
        <x:v>Missing email</x:v>
      </x:c>
    </x:row>
    <x:row r="4697">
      <x:c r="A4697" s="16" t="n">
        <x:v>4862</x:v>
      </x:c>
      <x:c r="B4697" s="16" t="str">
        <x:v>Mus Moon</x:v>
      </x:c>
      <x:c r="C4697" s="16" t="str"/>
      <x:c r="D4697" s="16" t="str">
        <x:v>* myContacts</x:v>
      </x:c>
      <x:c r="E4697" s="16" t="str">
        <x:v>Missing email</x:v>
      </x:c>
    </x:row>
    <x:row r="4698">
      <x:c r="A4698" s="16" t="n">
        <x:v>4863</x:v>
      </x:c>
      <x:c r="B4698" s="16" t="str">
        <x:v>Musliha Ahmad</x:v>
      </x:c>
      <x:c r="C4698" s="16" t="str"/>
      <x:c r="D4698" s="16" t="str">
        <x:v>* myContacts</x:v>
      </x:c>
      <x:c r="E4698" s="16" t="str">
        <x:v>Missing email</x:v>
      </x:c>
    </x:row>
    <x:row r="4699">
      <x:c r="A4699" s="16" t="n">
        <x:v>4864</x:v>
      </x:c>
      <x:c r="B4699" s="16" t="str">
        <x:v>Musliha Omar</x:v>
      </x:c>
      <x:c r="C4699" s="16" t="str"/>
      <x:c r="D4699" s="16" t="str">
        <x:v>* myContacts</x:v>
      </x:c>
      <x:c r="E4699" s="16" t="str">
        <x:v>Missing email</x:v>
      </x:c>
    </x:row>
    <x:row r="4700">
      <x:c r="A4700" s="16" t="n">
        <x:v>4865</x:v>
      </x:c>
      <x:c r="B4700" s="16" t="str">
        <x:v>muslim agp</x:v>
      </x:c>
      <x:c r="C4700" s="16" t="str"/>
      <x:c r="D4700" s="16" t="str">
        <x:v>* myContacts</x:v>
      </x:c>
      <x:c r="E4700" s="16" t="str">
        <x:v>Missing email</x:v>
      </x:c>
    </x:row>
    <x:row r="4701">
      <x:c r="A4701" s="16" t="n">
        <x:v>4866</x:v>
      </x:c>
      <x:c r="B4701" s="16" t="str">
        <x:v>Muslimah Solehah</x:v>
      </x:c>
      <x:c r="C4701" s="16" t="str"/>
      <x:c r="D4701" s="16" t="str">
        <x:v>* myContacts</x:v>
      </x:c>
      <x:c r="E4701" s="16" t="str">
        <x:v>Missing email</x:v>
      </x:c>
    </x:row>
    <x:row r="4702">
      <x:c r="A4702" s="16" t="n">
        <x:v>4867</x:v>
      </x:c>
      <x:c r="B4702" s="16" t="str">
        <x:v>Mustakim Garam Aura</x:v>
      </x:c>
      <x:c r="C4702" s="16" t="str"/>
      <x:c r="D4702" s="16" t="str">
        <x:v>* myContacts</x:v>
      </x:c>
      <x:c r="E4702" s="16" t="str">
        <x:v>Missing email</x:v>
      </x:c>
    </x:row>
    <x:row r="4703">
      <x:c r="A4703" s="16" t="n">
        <x:v>4868</x:v>
      </x:c>
      <x:c r="B4703" s="16" t="str">
        <x:v>Mustaqim Mustafar</x:v>
      </x:c>
      <x:c r="C4703" s="16" t="str"/>
      <x:c r="D4703" s="16" t="str">
        <x:v>* myContacts</x:v>
      </x:c>
      <x:c r="E4703" s="16" t="str">
        <x:v>Missing email</x:v>
      </x:c>
    </x:row>
    <x:row r="4704">
      <x:c r="A4704" s="16" t="n">
        <x:v>4869</x:v>
      </x:c>
      <x:c r="B4704" s="16" t="str">
        <x:v>Mutalib Amal</x:v>
      </x:c>
      <x:c r="C4704" s="16" t="str"/>
      <x:c r="D4704" s="16" t="str">
        <x:v>* myContacts</x:v>
      </x:c>
      <x:c r="E4704" s="16" t="str">
        <x:v>Missing email</x:v>
      </x:c>
    </x:row>
    <x:row r="4705">
      <x:c r="A4705" s="16" t="n">
        <x:v>4870</x:v>
      </x:c>
      <x:c r="B4705" s="16" t="str">
        <x:v>Muz Dabos</x:v>
      </x:c>
      <x:c r="C4705" s="16" t="str"/>
      <x:c r="D4705" s="16" t="str">
        <x:v>* myContacts</x:v>
      </x:c>
      <x:c r="E4705" s="16" t="str">
        <x:v>Missing email</x:v>
      </x:c>
    </x:row>
    <x:row r="4706">
      <x:c r="A4706" s="16" t="n">
        <x:v>4871</x:v>
      </x:c>
      <x:c r="B4706" s="16" t="str">
        <x:v>Muzzamil</x:v>
      </x:c>
      <x:c r="C4706" s="16" t="str"/>
      <x:c r="D4706" s="16" t="str">
        <x:v>* myContacts</x:v>
      </x:c>
      <x:c r="E4706" s="16" t="str">
        <x:v>Missing email</x:v>
      </x:c>
    </x:row>
    <x:row r="4707">
      <x:c r="A4707" s="16" t="n">
        <x:v>4872</x:v>
      </x:c>
      <x:c r="B4707" s="16" t="str">
        <x:v>Mybee Shoppe Mybee</x:v>
      </x:c>
      <x:c r="C4707" s="16" t="str"/>
      <x:c r="D4707" s="16" t="str">
        <x:v>* myContacts</x:v>
      </x:c>
      <x:c r="E4707" s="16" t="str">
        <x:v>Missing email</x:v>
      </x:c>
    </x:row>
    <x:row r="4708">
      <x:c r="A4708" s="16" t="n">
        <x:v>4873</x:v>
      </x:c>
      <x:c r="B4708" s="16" t="str">
        <x:v>Myeg Tesco Ara Damansara</x:v>
      </x:c>
      <x:c r="C4708" s="16" t="str"/>
      <x:c r="D4708" s="16" t="str">
        <x:v>* myContacts</x:v>
      </x:c>
      <x:c r="E4708" s="16" t="str">
        <x:v>Missing email</x:v>
      </x:c>
    </x:row>
    <x:row r="4709">
      <x:c r="A4709" s="16" t="n">
        <x:v>4874</x:v>
      </x:c>
      <x:c r="B4709" s="16" t="str">
        <x:v>Mykantan Upm</x:v>
      </x:c>
      <x:c r="C4709" s="16" t="str"/>
      <x:c r="D4709" s="16" t="str">
        <x:v>* myContacts</x:v>
      </x:c>
      <x:c r="E4709" s="16" t="str">
        <x:v>Missing email</x:v>
      </x:c>
    </x:row>
    <x:row r="4710">
      <x:c r="A4710" s="16" t="n">
        <x:v>4875</x:v>
      </x:c>
      <x:c r="B4710" s="16" t="str">
        <x:v>Mynef Jom Pitch</x:v>
      </x:c>
      <x:c r="C4710" s="16" t="str"/>
      <x:c r="D4710" s="16" t="str">
        <x:v>* myContacts</x:v>
      </x:c>
      <x:c r="E4710" s="16" t="str">
        <x:v>Missing email</x:v>
      </x:c>
    </x:row>
    <x:row r="4711">
      <x:c r="A4711" s="16" t="n">
        <x:v>4876</x:v>
      </x:c>
      <x:c r="B4711" s="16" t="str">
        <x:v>Myra Hana Eusahawan Mantee</x:v>
      </x:c>
      <x:c r="C4711" s="16" t="str"/>
      <x:c r="D4711" s="16" t="str">
        <x:v>* myContacts</x:v>
      </x:c>
      <x:c r="E4711" s="16" t="str">
        <x:v>Missing email</x:v>
      </x:c>
    </x:row>
    <x:row r="4712">
      <x:c r="A4712" s="16" t="n">
        <x:v>4877</x:v>
      </x:c>
      <x:c r="B4712" s="16" t="str">
        <x:v>Myrra Os</x:v>
      </x:c>
      <x:c r="C4712" s="16" t="str"/>
      <x:c r="D4712" s="16" t="str">
        <x:v>* myContacts</x:v>
      </x:c>
      <x:c r="E4712" s="16" t="str">
        <x:v>Missing email</x:v>
      </x:c>
    </x:row>
    <x:row r="4713">
      <x:c r="A4713" s="16" t="n">
        <x:v>4878</x:v>
      </x:c>
      <x:c r="B4713" s="16" t="str">
        <x:v>Myrul Manan</x:v>
      </x:c>
      <x:c r="C4713" s="16" t="str"/>
      <x:c r="D4713" s="16" t="str">
        <x:v>* myContacts</x:v>
      </x:c>
      <x:c r="E4713" s="16" t="str">
        <x:v>Missing email</x:v>
      </x:c>
    </x:row>
    <x:row r="4714">
      <x:c r="A4714" s="16" t="n">
        <x:v>4879</x:v>
      </x:c>
      <x:c r="B4714" s="16" t="str">
        <x:v>Mysarra Hamdan</x:v>
      </x:c>
      <x:c r="C4714" s="16" t="str"/>
      <x:c r="D4714" s="16" t="str">
        <x:v>* myContacts</x:v>
      </x:c>
      <x:c r="E4714" s="16" t="str">
        <x:v>Missing email</x:v>
      </x:c>
    </x:row>
    <x:row r="4715">
      <x:c r="A4715" s="16" t="n">
        <x:v>4880</x:v>
      </x:c>
      <x:c r="B4715" s="16" t="str">
        <x:v>Myss Hani Ali</x:v>
      </x:c>
      <x:c r="C4715" s="16" t="str"/>
      <x:c r="D4715" s="16" t="str">
        <x:v>* myContacts</x:v>
      </x:c>
      <x:c r="E4715" s="16" t="str">
        <x:v>Missing email</x:v>
      </x:c>
    </x:row>
    <x:row r="4716">
      <x:c r="A4716" s="16" t="n">
        <x:v>4881</x:v>
      </x:c>
      <x:c r="B4716" s="16" t="str">
        <x:v>Myza Zawawi</x:v>
      </x:c>
      <x:c r="C4716" s="16" t="str"/>
      <x:c r="D4716" s="16" t="str">
        <x:v>* myContacts</x:v>
      </x:c>
      <x:c r="E4716" s="16" t="str">
        <x:v>Missing email</x:v>
      </x:c>
    </x:row>
    <x:row r="4717">
      <x:c r="A4717" s="16" t="n">
        <x:v>4882</x:v>
      </x:c>
      <x:c r="B4717" s="16" t="str">
        <x:v>N'Qila zie'Killer A'nha</x:v>
      </x:c>
      <x:c r="C4717" s="16" t="str"/>
      <x:c r="D4717" s="16" t="str">
        <x:v>* myContacts</x:v>
      </x:c>
      <x:c r="E4717" s="16" t="str">
        <x:v>Missing email</x:v>
      </x:c>
    </x:row>
    <x:row r="4718">
      <x:c r="A4718" s="16" t="n">
        <x:v>4883</x:v>
      </x:c>
      <x:c r="B4718" s="16" t="str">
        <x:v>NA Nabilah Rahmat</x:v>
      </x:c>
      <x:c r="C4718" s="16" t="str"/>
      <x:c r="D4718" s="16" t="str">
        <x:v>* myContacts</x:v>
      </x:c>
      <x:c r="E4718" s="16" t="str">
        <x:v>Missing email</x:v>
      </x:c>
    </x:row>
    <x:row r="4719">
      <x:c r="A4719" s="16" t="n">
        <x:v>4884</x:v>
      </x:c>
      <x:c r="B4719" s="16" t="str">
        <x:v>Na$rol Muhaimin Training Provider</x:v>
      </x:c>
      <x:c r="C4719" s="16" t="str"/>
      <x:c r="D4719" s="16" t="str">
        <x:v>* myContacts</x:v>
      </x:c>
      <x:c r="E4719" s="16" t="str">
        <x:v>Missing email</x:v>
      </x:c>
    </x:row>
    <x:row r="4720">
      <x:c r="A4720" s="16" t="n">
        <x:v>4885</x:v>
      </x:c>
      <x:c r="B4720" s="16" t="str">
        <x:v>Nabb Nabillah Said</x:v>
      </x:c>
      <x:c r="C4720" s="16" t="str"/>
      <x:c r="D4720" s="16" t="str">
        <x:v>* myContacts</x:v>
      </x:c>
      <x:c r="E4720" s="16" t="str">
        <x:v>Missing email</x:v>
      </x:c>
    </x:row>
    <x:row r="4721">
      <x:c r="A4721" s="16" t="n">
        <x:v>4886</x:v>
      </x:c>
      <x:c r="B4721" s="16" t="str">
        <x:v>Nabella Zakaria</x:v>
      </x:c>
      <x:c r="C4721" s="16" t="str"/>
      <x:c r="D4721" s="16" t="str">
        <x:v>* myContacts</x:v>
      </x:c>
      <x:c r="E4721" s="16" t="str">
        <x:v>Missing email</x:v>
      </x:c>
    </x:row>
    <x:row r="4722">
      <x:c r="A4722" s="16" t="n">
        <x:v>4887</x:v>
      </x:c>
      <x:c r="B4722" s="16" t="str">
        <x:v>Nabila Zakaria</x:v>
      </x:c>
      <x:c r="C4722" s="16" t="str"/>
      <x:c r="D4722" s="16" t="str">
        <x:v>* myContacts</x:v>
      </x:c>
      <x:c r="E4722" s="16" t="str">
        <x:v>Missing email</x:v>
      </x:c>
    </x:row>
    <x:row r="4723">
      <x:c r="A4723" s="16" t="n">
        <x:v>4888</x:v>
      </x:c>
      <x:c r="B4723" s="16" t="str">
        <x:v>Nabilah Al-Zahra</x:v>
      </x:c>
      <x:c r="C4723" s="16" t="str"/>
      <x:c r="D4723" s="16" t="str">
        <x:v>* myContacts</x:v>
      </x:c>
      <x:c r="E4723" s="16" t="str">
        <x:v>Missing email</x:v>
      </x:c>
    </x:row>
    <x:row r="4724">
      <x:c r="A4724" s="16" t="n">
        <x:v>4889</x:v>
      </x:c>
      <x:c r="B4724" s="16" t="str">
        <x:v>Nabilah Ashykeen Anak Alang</x:v>
      </x:c>
      <x:c r="C4724" s="16" t="str"/>
      <x:c r="D4724" s="16" t="str">
        <x:v>* myContacts</x:v>
      </x:c>
      <x:c r="E4724" s="16" t="str">
        <x:v>Missing email</x:v>
      </x:c>
    </x:row>
    <x:row r="4725">
      <x:c r="A4725" s="16" t="n">
        <x:v>4890</x:v>
      </x:c>
      <x:c r="B4725" s="16" t="str">
        <x:v>Nabilah JnJ</x:v>
      </x:c>
      <x:c r="C4725" s="16" t="str"/>
      <x:c r="D4725" s="16" t="str">
        <x:v>* myContacts</x:v>
      </x:c>
      <x:c r="E4725" s="16" t="str">
        <x:v>Missing email</x:v>
      </x:c>
    </x:row>
    <x:row r="4726">
      <x:c r="A4726" s="16" t="n">
        <x:v>4891</x:v>
      </x:c>
      <x:c r="B4726" s="16" t="str">
        <x:v>Nabilah Lup</x:v>
      </x:c>
      <x:c r="C4726" s="16" t="str"/>
      <x:c r="D4726" s="16" t="str">
        <x:v>* myContacts</x:v>
      </x:c>
      <x:c r="E4726" s="16" t="str">
        <x:v>Missing email</x:v>
      </x:c>
    </x:row>
    <x:row r="4727">
      <x:c r="A4727" s="16" t="n">
        <x:v>4892</x:v>
      </x:c>
      <x:c r="B4727" s="16" t="str">
        <x:v>Nabilah NLP MALAYSIA</x:v>
      </x:c>
      <x:c r="C4727" s="16" t="str"/>
      <x:c r="D4727" s="16" t="str">
        <x:v>* myContacts</x:v>
      </x:c>
      <x:c r="E4727" s="16" t="str">
        <x:v>Missing email</x:v>
      </x:c>
    </x:row>
    <x:row r="4728">
      <x:c r="A4728" s="16" t="n">
        <x:v>4893</x:v>
      </x:c>
      <x:c r="B4728" s="16" t="str">
        <x:v>Nabilah Rahmat</x:v>
      </x:c>
      <x:c r="C4728" s="16" t="str"/>
      <x:c r="D4728" s="16" t="str">
        <x:v>* myContacts</x:v>
      </x:c>
      <x:c r="E4728" s="16" t="str">
        <x:v>Missing email</x:v>
      </x:c>
    </x:row>
    <x:row r="4729">
      <x:c r="A4729" s="16" t="n">
        <x:v>4894</x:v>
      </x:c>
      <x:c r="B4729" s="16" t="str">
        <x:v>Nad Omar</x:v>
      </x:c>
      <x:c r="C4729" s="16" t="str"/>
      <x:c r="D4729" s="16" t="str">
        <x:v>* myContacts</x:v>
      </x:c>
      <x:c r="E4729" s="16" t="str">
        <x:v>Missing email</x:v>
      </x:c>
    </x:row>
    <x:row r="4730">
      <x:c r="A4730" s="16" t="n">
        <x:v>4895</x:v>
      </x:c>
      <x:c r="B4730" s="16" t="str">
        <x:v>Nadia Beau</x:v>
      </x:c>
      <x:c r="C4730" s="16" t="str"/>
      <x:c r="D4730" s="16" t="str">
        <x:v>* myContacts</x:v>
      </x:c>
      <x:c r="E4730" s="16" t="str">
        <x:v>Missing email</x:v>
      </x:c>
    </x:row>
    <x:row r="4731">
      <x:c r="A4731" s="16" t="n">
        <x:v>4896</x:v>
      </x:c>
      <x:c r="B4731" s="16" t="str">
        <x:v>nadia Charisma</x:v>
      </x:c>
      <x:c r="C4731" s="16" t="str"/>
      <x:c r="D4731" s="16" t="str">
        <x:v>* myContacts</x:v>
      </x:c>
      <x:c r="E4731" s="16" t="str">
        <x:v>Missing email</x:v>
      </x:c>
    </x:row>
    <x:row r="4732">
      <x:c r="A4732" s="16" t="n">
        <x:v>4897</x:v>
      </x:c>
      <x:c r="B4732" s="16" t="str">
        <x:v>Nadia Emilia</x:v>
      </x:c>
      <x:c r="C4732" s="16" t="str"/>
      <x:c r="D4732" s="16" t="str">
        <x:v>* myContacts</x:v>
      </x:c>
      <x:c r="E4732" s="16" t="str">
        <x:v>Missing email</x:v>
      </x:c>
    </x:row>
    <x:row r="4733">
      <x:c r="A4733" s="16" t="n">
        <x:v>4898</x:v>
      </x:c>
      <x:c r="B4733" s="16" t="str">
        <x:v>Nadia Zulkafli</x:v>
      </x:c>
      <x:c r="C4733" s="16" t="str"/>
      <x:c r="D4733" s="16" t="str">
        <x:v>* myContacts</x:v>
      </x:c>
      <x:c r="E4733" s="16" t="str">
        <x:v>Missing email</x:v>
      </x:c>
    </x:row>
    <x:row r="4734">
      <x:c r="A4734" s="16" t="n">
        <x:v>4899</x:v>
      </x:c>
      <x:c r="B4734" s="16" t="str">
        <x:v>Nadiah Ismail</x:v>
      </x:c>
      <x:c r="C4734" s="16" t="str"/>
      <x:c r="D4734" s="16" t="str">
        <x:v>* myContacts</x:v>
      </x:c>
      <x:c r="E4734" s="16" t="str">
        <x:v>Missing email</x:v>
      </x:c>
    </x:row>
    <x:row r="4735">
      <x:c r="A4735" s="16" t="n">
        <x:v>4900</x:v>
      </x:c>
      <x:c r="B4735" s="16" t="str">
        <x:v>Nadiah Muhammad</x:v>
      </x:c>
      <x:c r="C4735" s="16" t="str"/>
      <x:c r="D4735" s="16" t="str">
        <x:v>* myContacts</x:v>
      </x:c>
      <x:c r="E4735" s="16" t="str">
        <x:v>Missing email</x:v>
      </x:c>
    </x:row>
    <x:row r="4736">
      <x:c r="A4736" s="16" t="n">
        <x:v>4901</x:v>
      </x:c>
      <x:c r="B4736" s="16" t="str">
        <x:v>Nadirah Astro Go</x:v>
      </x:c>
      <x:c r="C4736" s="16" t="str"/>
      <x:c r="D4736" s="16" t="str">
        <x:v>* myContacts</x:v>
      </x:c>
      <x:c r="E4736" s="16" t="str">
        <x:v>Missing email</x:v>
      </x:c>
    </x:row>
    <x:row r="4737">
      <x:c r="A4737" s="16" t="n">
        <x:v>4902</x:v>
      </x:c>
      <x:c r="B4737" s="16" t="str">
        <x:v>Nadzri Kbbc Agent</x:v>
      </x:c>
      <x:c r="C4737" s="16" t="str"/>
      <x:c r="D4737" s="16" t="str">
        <x:v>* myContacts</x:v>
      </x:c>
      <x:c r="E4737" s="16" t="str">
        <x:v>Missing email</x:v>
      </x:c>
    </x:row>
    <x:row r="4738">
      <x:c r="A4738" s="16" t="n">
        <x:v>4903</x:v>
      </x:c>
      <x:c r="B4738" s="16" t="str">
        <x:v>Naem Fadly</x:v>
      </x:c>
      <x:c r="C4738" s="16" t="str"/>
      <x:c r="D4738" s="16" t="str">
        <x:v>* myContacts</x:v>
      </x:c>
      <x:c r="E4738" s="16" t="str">
        <x:v>Missing email</x:v>
      </x:c>
    </x:row>
    <x:row r="4739">
      <x:c r="A4739" s="16" t="n">
        <x:v>4904</x:v>
      </x:c>
      <x:c r="B4739" s="16" t="str">
        <x:v>Naem Videgrapher Umno Penang</x:v>
      </x:c>
      <x:c r="C4739" s="16" t="str"/>
      <x:c r="D4739" s="16" t="str">
        <x:v>* myContacts</x:v>
      </x:c>
      <x:c r="E4739" s="16" t="str">
        <x:v>Missing email</x:v>
      </x:c>
    </x:row>
    <x:row r="4740">
      <x:c r="A4740" s="16" t="n">
        <x:v>4905</x:v>
      </x:c>
      <x:c r="B4740" s="16" t="str">
        <x:v>Naffila Tul Aqma</x:v>
      </x:c>
      <x:c r="C4740" s="16" t="str"/>
      <x:c r="D4740" s="16" t="str">
        <x:v>* myContacts</x:v>
      </x:c>
      <x:c r="E4740" s="16" t="str">
        <x:v>Missing email</x:v>
      </x:c>
    </x:row>
    <x:row r="4741">
      <x:c r="A4741" s="16" t="n">
        <x:v>4906</x:v>
      </x:c>
      <x:c r="B4741" s="16" t="str">
        <x:v>Nafy Nicole Ann'Chua</x:v>
      </x:c>
      <x:c r="C4741" s="16" t="str"/>
      <x:c r="D4741" s="16" t="str">
        <x:v>* myContacts</x:v>
      </x:c>
      <x:c r="E4741" s="16" t="str">
        <x:v>Missing email</x:v>
      </x:c>
    </x:row>
    <x:row r="4742">
      <x:c r="A4742" s="16" t="n">
        <x:v>4907</x:v>
      </x:c>
      <x:c r="B4742" s="16" t="str">
        <x:v>Naim Dengkil Absorber</x:v>
      </x:c>
      <x:c r="C4742" s="16" t="str"/>
      <x:c r="D4742" s="16" t="str">
        <x:v>* myContacts</x:v>
      </x:c>
      <x:c r="E4742" s="16" t="str">
        <x:v>Missing email</x:v>
      </x:c>
    </x:row>
    <x:row r="4743">
      <x:c r="A4743" s="16" t="n">
        <x:v>4908</x:v>
      </x:c>
      <x:c r="B4743" s="16" t="str">
        <x:v>Naim dpim</x:v>
      </x:c>
      <x:c r="C4743" s="16" t="str"/>
      <x:c r="D4743" s="16" t="str">
        <x:v>* myContacts</x:v>
      </x:c>
      <x:c r="E4743" s="16" t="str">
        <x:v>Missing email</x:v>
      </x:c>
    </x:row>
    <x:row r="4744">
      <x:c r="A4744" s="16" t="n">
        <x:v>4909</x:v>
      </x:c>
      <x:c r="B4744" s="16" t="str">
        <x:v>Naim Shamshul</x:v>
      </x:c>
      <x:c r="C4744" s="16" t="str"/>
      <x:c r="D4744" s="16" t="str">
        <x:v>* myContacts</x:v>
      </x:c>
      <x:c r="E4744" s="16" t="str">
        <x:v>Missing email</x:v>
      </x:c>
    </x:row>
    <x:row r="4745">
      <x:c r="A4745" s="16" t="n">
        <x:v>4910</x:v>
      </x:c>
      <x:c r="B4745" s="16" t="str">
        <x:v>Naim Video Marketeer</x:v>
      </x:c>
      <x:c r="C4745" s="16" t="str"/>
      <x:c r="D4745" s="16" t="str">
        <x:v>* myContacts</x:v>
      </x:c>
      <x:c r="E4745" s="16" t="str">
        <x:v>Missing email</x:v>
      </x:c>
    </x:row>
    <x:row r="4746">
      <x:c r="A4746" s="16" t="n">
        <x:v>4911</x:v>
      </x:c>
      <x:c r="B4746" s="16" t="str">
        <x:v>Naimah Abu Kasim</x:v>
      </x:c>
      <x:c r="C4746" s="16" t="str"/>
      <x:c r="D4746" s="16" t="str">
        <x:v>* myContacts</x:v>
      </x:c>
      <x:c r="E4746" s="16" t="str">
        <x:v>Missing email</x:v>
      </x:c>
    </x:row>
    <x:row r="4747">
      <x:c r="A4747" s="16" t="n">
        <x:v>4912</x:v>
      </x:c>
      <x:c r="B4747" s="16" t="str">
        <x:v>Naimah Suziana</x:v>
      </x:c>
      <x:c r="C4747" s="16" t="str"/>
      <x:c r="D4747" s="16" t="str">
        <x:v>* myContacts</x:v>
      </x:c>
      <x:c r="E4747" s="16" t="str">
        <x:v>Missing email</x:v>
      </x:c>
    </x:row>
    <x:row r="4748">
      <x:c r="A4748" s="16" t="n">
        <x:v>4913</x:v>
      </x:c>
      <x:c r="B4748" s="16" t="str">
        <x:v>Najib C5 Lazada</x:v>
      </x:c>
      <x:c r="C4748" s="16" t="str"/>
      <x:c r="D4748" s="16" t="str">
        <x:v>* myContacts</x:v>
      </x:c>
      <x:c r="E4748" s="16" t="str">
        <x:v>Missing email</x:v>
      </x:c>
    </x:row>
    <x:row r="4749">
      <x:c r="A4749" s="16" t="n">
        <x:v>4914</x:v>
      </x:c>
      <x:c r="B4749" s="16" t="str">
        <x:v>Najib Mdec</x:v>
      </x:c>
      <x:c r="C4749" s="16" t="str"/>
      <x:c r="D4749" s="16" t="str">
        <x:v>* myContacts</x:v>
      </x:c>
      <x:c r="E4749" s="16" t="str">
        <x:v>Missing email</x:v>
      </x:c>
    </x:row>
    <x:row r="4750">
      <x:c r="A4750" s="16" t="n">
        <x:v>4915</x:v>
      </x:c>
      <x:c r="B4750" s="16" t="str">
        <x:v>Najib Property</x:v>
      </x:c>
      <x:c r="C4750" s="16" t="str"/>
      <x:c r="D4750" s="16" t="str">
        <x:v>* myContacts</x:v>
      </x:c>
      <x:c r="E4750" s="16" t="str">
        <x:v>Missing email</x:v>
      </x:c>
    </x:row>
    <x:row r="4751">
      <x:c r="A4751" s="16" t="n">
        <x:v>4916</x:v>
      </x:c>
      <x:c r="B4751" s="16" t="str">
        <x:v>Najibmohd Rempit</x:v>
      </x:c>
      <x:c r="C4751" s="16" t="str"/>
      <x:c r="D4751" s="16" t="str">
        <x:v>* myContacts</x:v>
      </x:c>
      <x:c r="E4751" s="16" t="str">
        <x:v>Missing email</x:v>
      </x:c>
    </x:row>
    <x:row r="4752">
      <x:c r="A4752" s="16" t="n">
        <x:v>4917</x:v>
      </x:c>
      <x:c r="B4752" s="16" t="str">
        <x:v>Najla Abdul</x:v>
      </x:c>
      <x:c r="C4752" s="16" t="str"/>
      <x:c r="D4752" s="16" t="str">
        <x:v>* myContacts</x:v>
      </x:c>
      <x:c r="E4752" s="16" t="str">
        <x:v>Missing email</x:v>
      </x:c>
    </x:row>
    <x:row r="4753">
      <x:c r="A4753" s="16" t="n">
        <x:v>4918</x:v>
      </x:c>
      <x:c r="B4753" s="16" t="str">
        <x:v>Najmi Uda Man</x:v>
      </x:c>
      <x:c r="C4753" s="16" t="str"/>
      <x:c r="D4753" s="16" t="str">
        <x:v>* myContacts</x:v>
      </x:c>
      <x:c r="E4753" s="16" t="str">
        <x:v>Missing email</x:v>
      </x:c>
    </x:row>
    <x:row r="4754">
      <x:c r="A4754" s="16" t="n">
        <x:v>4919</x:v>
      </x:c>
      <x:c r="B4754" s="16" t="str">
        <x:v>Najmi UTM</x:v>
      </x:c>
      <x:c r="C4754" s="16" t="str"/>
      <x:c r="D4754" s="16" t="str">
        <x:v>* myContacts</x:v>
      </x:c>
      <x:c r="E4754" s="16" t="str">
        <x:v>Missing email</x:v>
      </x:c>
    </x:row>
    <x:row r="4755">
      <x:c r="A4755" s="16" t="n">
        <x:v>4920</x:v>
      </x:c>
      <x:c r="B4755" s="16" t="str">
        <x:v>najmi video expert</x:v>
      </x:c>
      <x:c r="C4755" s="16" t="str"/>
      <x:c r="D4755" s="16" t="str">
        <x:v>* myContacts</x:v>
      </x:c>
      <x:c r="E4755" s="16" t="str">
        <x:v>Missing email</x:v>
      </x:c>
    </x:row>
    <x:row r="4756">
      <x:c r="A4756" s="16" t="n">
        <x:v>4921</x:v>
      </x:c>
      <x:c r="B4756" s="16" t="str">
        <x:v>Najwa Shukri</x:v>
      </x:c>
      <x:c r="C4756" s="16" t="str"/>
      <x:c r="D4756" s="16" t="str">
        <x:v>* myContacts</x:v>
      </x:c>
      <x:c r="E4756" s="16" t="str">
        <x:v>Missing email</x:v>
      </x:c>
    </x:row>
    <x:row r="4757">
      <x:c r="A4757" s="16" t="n">
        <x:v>4922</x:v>
      </x:c>
      <x:c r="B4757" s="16" t="str">
        <x:v>Nakcun HQ</x:v>
      </x:c>
      <x:c r="C4757" s="16" t="str"/>
      <x:c r="D4757" s="16" t="str">
        <x:v>* myContacts</x:v>
      </x:c>
      <x:c r="E4757" s="16" t="str">
        <x:v>Missing email</x:v>
      </x:c>
    </x:row>
    <x:row r="4758">
      <x:c r="A4758" s="16" t="n">
        <x:v>4923</x:v>
      </x:c>
      <x:c r="B4758" s="16" t="str">
        <x:v>Nalyn Rose</x:v>
      </x:c>
      <x:c r="C4758" s="16" t="str"/>
      <x:c r="D4758" s="16" t="str">
        <x:v>* myContacts</x:v>
      </x:c>
      <x:c r="E4758" s="16" t="str">
        <x:v>Missing email</x:v>
      </x:c>
    </x:row>
    <x:row r="4759">
      <x:c r="A4759" s="16" t="n">
        <x:v>4924</x:v>
      </x:c>
      <x:c r="B4759" s="16" t="str">
        <x:v>Nana Jiha</x:v>
      </x:c>
      <x:c r="C4759" s="16" t="str"/>
      <x:c r="D4759" s="16" t="str">
        <x:v>* myContacts</x:v>
      </x:c>
      <x:c r="E4759" s="16" t="str">
        <x:v>Missing email</x:v>
      </x:c>
    </x:row>
    <x:row r="4760">
      <x:c r="A4760" s="16" t="n">
        <x:v>4925</x:v>
      </x:c>
      <x:c r="B4760" s="16" t="str">
        <x:v>Nanaa Ahmad</x:v>
      </x:c>
      <x:c r="C4760" s="16" t="str"/>
      <x:c r="D4760" s="16" t="str">
        <x:v>* myContacts</x:v>
      </x:c>
      <x:c r="E4760" s="16" t="str">
        <x:v>Missing email</x:v>
      </x:c>
    </x:row>
    <x:row r="4761">
      <x:c r="A4761" s="16" t="n">
        <x:v>4926</x:v>
      </x:c>
      <x:c r="B4761" s="16" t="str">
        <x:v>Nancy Lay</x:v>
      </x:c>
      <x:c r="C4761" s="16" t="str"/>
      <x:c r="D4761" s="16" t="str">
        <x:v>* myContacts</x:v>
      </x:c>
      <x:c r="E4761" s="16" t="str">
        <x:v>Missing email</x:v>
      </x:c>
    </x:row>
    <x:row r="4762">
      <x:c r="A4762" s="16" t="n">
        <x:v>4927</x:v>
      </x:c>
      <x:c r="B4762" s="16" t="str">
        <x:v>Nancy Pagang HG</x:v>
      </x:c>
      <x:c r="C4762" s="16" t="str"/>
      <x:c r="D4762" s="16" t="str">
        <x:v>* myContacts</x:v>
      </x:c>
      <x:c r="E4762" s="16" t="str">
        <x:v>Missing email</x:v>
      </x:c>
    </x:row>
    <x:row r="4763">
      <x:c r="A4763" s="16" t="n">
        <x:v>4928</x:v>
      </x:c>
      <x:c r="B4763" s="16" t="str">
        <x:v>mr Nang youtube trainer</x:v>
      </x:c>
      <x:c r="C4763" s="16" t="str"/>
      <x:c r="D4763" s="16" t="str">
        <x:v>Trainer | * myContacts</x:v>
      </x:c>
      <x:c r="E4763" s="16" t="str">
        <x:v>Missing email</x:v>
      </x:c>
    </x:row>
    <x:row r="4764">
      <x:c r="A4764" s="16" t="n">
        <x:v>4929</x:v>
      </x:c>
      <x:c r="B4764" s="16" t="str">
        <x:v>Nani Darlina Daros</x:v>
      </x:c>
      <x:c r="C4764" s="16" t="str"/>
      <x:c r="D4764" s="16" t="str">
        <x:v>* myContacts</x:v>
      </x:c>
      <x:c r="E4764" s="16" t="str">
        <x:v>Missing email</x:v>
      </x:c>
    </x:row>
    <x:row r="4765">
      <x:c r="A4765" s="16" t="n">
        <x:v>4930</x:v>
      </x:c>
      <x:c r="B4765" s="16" t="str">
        <x:v>Napi Hadi</x:v>
      </x:c>
      <x:c r="C4765" s="16" t="str"/>
      <x:c r="D4765" s="16" t="str">
        <x:v>* myContacts</x:v>
      </x:c>
      <x:c r="E4765" s="16" t="str">
        <x:v>Missing email</x:v>
      </x:c>
    </x:row>
    <x:row r="4766">
      <x:c r="A4766" s="16" t="n">
        <x:v>4931</x:v>
      </x:c>
      <x:c r="B4766" s="16" t="str">
        <x:v>napisah aim</x:v>
      </x:c>
      <x:c r="C4766" s="16" t="str"/>
      <x:c r="D4766" s="16" t="str">
        <x:v>* myContacts</x:v>
      </x:c>
      <x:c r="E4766" s="16" t="str">
        <x:v>Missing email</x:v>
      </x:c>
    </x:row>
    <x:row r="4767">
      <x:c r="A4767" s="16" t="n">
        <x:v>4932</x:v>
      </x:c>
      <x:c r="B4767" s="16" t="str">
        <x:v>Naqia UTM</x:v>
      </x:c>
      <x:c r="C4767" s="16" t="str"/>
      <x:c r="D4767" s="16" t="str">
        <x:v>* myContacts</x:v>
      </x:c>
      <x:c r="E4767" s="16" t="str">
        <x:v>Missing email</x:v>
      </x:c>
    </x:row>
    <x:row r="4768">
      <x:c r="A4768" s="16" t="n">
        <x:v>4933</x:v>
      </x:c>
      <x:c r="B4768" s="16" t="str">
        <x:v>Nara Diandra Beautee's</x:v>
      </x:c>
      <x:c r="C4768" s="16" t="str"/>
      <x:c r="D4768" s="16" t="str">
        <x:v>* myContacts</x:v>
      </x:c>
      <x:c r="E4768" s="16" t="str">
        <x:v>Missing email</x:v>
      </x:c>
    </x:row>
    <x:row r="4769">
      <x:c r="A4769" s="16" t="n">
        <x:v>4934</x:v>
      </x:c>
      <x:c r="B4769" s="16" t="str">
        <x:v>Nas io</x:v>
      </x:c>
      <x:c r="C4769" s="16" t="str"/>
      <x:c r="D4769" s="16" t="str">
        <x:v>* myContacts</x:v>
      </x:c>
      <x:c r="E4769" s="16" t="str">
        <x:v>Missing email</x:v>
      </x:c>
    </x:row>
    <x:row r="4770">
      <x:c r="A4770" s="16" t="n">
        <x:v>4935</x:v>
      </x:c>
      <x:c r="B4770" s="16" t="str">
        <x:v>Nase Buffett</x:v>
      </x:c>
      <x:c r="C4770" s="16" t="str"/>
      <x:c r="D4770" s="16" t="str">
        <x:v>* myContacts</x:v>
      </x:c>
      <x:c r="E4770" s="16" t="str">
        <x:v>Missing email</x:v>
      </x:c>
    </x:row>
    <x:row r="4771">
      <x:c r="A4771" s="16" t="n">
        <x:v>4936</x:v>
      </x:c>
      <x:c r="B4771" s="16" t="str">
        <x:v>Nash Restu</x:v>
      </x:c>
      <x:c r="C4771" s="16" t="str"/>
      <x:c r="D4771" s="16" t="str">
        <x:v>* myContacts</x:v>
      </x:c>
      <x:c r="E4771" s="16" t="str">
        <x:v>Missing email</x:v>
      </x:c>
    </x:row>
    <x:row r="4772">
      <x:c r="A4772" s="16" t="n">
        <x:v>4937</x:v>
      </x:c>
      <x:c r="B4772" s="16" t="str">
        <x:v>Nashahaimi Binshaari</x:v>
      </x:c>
      <x:c r="C4772" s="16" t="str"/>
      <x:c r="D4772" s="16" t="str">
        <x:v>* myContacts</x:v>
      </x:c>
      <x:c r="E4772" s="16" t="str">
        <x:v>Missing email</x:v>
      </x:c>
    </x:row>
    <x:row r="4773">
      <x:c r="A4773" s="16" t="n">
        <x:v>4938</x:v>
      </x:c>
      <x:c r="B4773" s="16" t="str">
        <x:v>Nasharuddin AGP</x:v>
      </x:c>
      <x:c r="C4773" s="16" t="str"/>
      <x:c r="D4773" s="16" t="str">
        <x:v>* myContacts</x:v>
      </x:c>
      <x:c r="E4773" s="16" t="str">
        <x:v>Missing email</x:v>
      </x:c>
    </x:row>
    <x:row r="4774">
      <x:c r="A4774" s="16" t="n">
        <x:v>4939</x:v>
      </x:c>
      <x:c r="B4774" s="16" t="str">
        <x:v>Nashron Business Coach</x:v>
      </x:c>
      <x:c r="C4774" s="16" t="str"/>
      <x:c r="D4774" s="16" t="str">
        <x:v>Trainer | * myContacts</x:v>
      </x:c>
      <x:c r="E4774" s="16" t="str">
        <x:v>Missing email</x:v>
      </x:c>
    </x:row>
    <x:row r="4775">
      <x:c r="A4775" s="16" t="n">
        <x:v>4940</x:v>
      </x:c>
      <x:c r="B4775" s="16" t="str">
        <x:v>nasir im penang</x:v>
      </x:c>
      <x:c r="C4775" s="16" t="str"/>
      <x:c r="D4775" s="16" t="str">
        <x:v>* myContacts</x:v>
      </x:c>
      <x:c r="E4775" s="16" t="str">
        <x:v>Missing email</x:v>
      </x:c>
    </x:row>
    <x:row r="4776">
      <x:c r="A4776" s="16" t="n">
        <x:v>4941</x:v>
      </x:c>
      <x:c r="B4776" s="16" t="str">
        <x:v>Nasran Saat</x:v>
      </x:c>
      <x:c r="C4776" s="16" t="str"/>
      <x:c r="D4776" s="16" t="str">
        <x:v>* myContacts</x:v>
      </x:c>
      <x:c r="E4776" s="16" t="str">
        <x:v>Missing email</x:v>
      </x:c>
    </x:row>
    <x:row r="4777">
      <x:c r="A4777" s="16" t="n">
        <x:v>4942</x:v>
      </x:c>
      <x:c r="B4777" s="16" t="str">
        <x:v>Nasri MC Program</x:v>
      </x:c>
      <x:c r="C4777" s="16" t="str"/>
      <x:c r="D4777" s="16" t="str">
        <x:v>* myContacts</x:v>
      </x:c>
      <x:c r="E4777" s="16" t="str">
        <x:v>Missing email</x:v>
      </x:c>
    </x:row>
    <x:row r="4778">
      <x:c r="A4778" s="16" t="n">
        <x:v>4943</x:v>
      </x:c>
      <x:c r="B4778" s="16" t="str">
        <x:v>Nasriyah Saad</x:v>
      </x:c>
      <x:c r="C4778" s="16" t="str"/>
      <x:c r="D4778" s="16" t="str">
        <x:v>* myContacts</x:v>
      </x:c>
      <x:c r="E4778" s="16" t="str">
        <x:v>Missing email</x:v>
      </x:c>
    </x:row>
    <x:row r="4779">
      <x:c r="A4779" s="16" t="n">
        <x:v>4944</x:v>
      </x:c>
      <x:c r="B4779" s="16" t="str">
        <x:v>Nasrol Repairing</x:v>
      </x:c>
      <x:c r="C4779" s="16" t="str"/>
      <x:c r="D4779" s="16" t="str">
        <x:v>* myContacts</x:v>
      </x:c>
      <x:c r="E4779" s="16" t="str">
        <x:v>Missing email</x:v>
      </x:c>
    </x:row>
    <x:row r="4780">
      <x:c r="A4780" s="16" t="n">
        <x:v>4945</x:v>
      </x:c>
      <x:c r="B4780" s="16" t="str">
        <x:v>Nasron Bin Arshad AGP</x:v>
      </x:c>
      <x:c r="C4780" s="16" t="str"/>
      <x:c r="D4780" s="16" t="str">
        <x:v>* myContacts</x:v>
      </x:c>
      <x:c r="E4780" s="16" t="str">
        <x:v>Missing email</x:v>
      </x:c>
    </x:row>
    <x:row r="4781">
      <x:c r="A4781" s="16" t="n">
        <x:v>4946</x:v>
      </x:c>
      <x:c r="B4781" s="16" t="str">
        <x:v>Nasruddin Mohd Nasri</x:v>
      </x:c>
      <x:c r="C4781" s="16" t="str"/>
      <x:c r="D4781" s="16" t="str">
        <x:v>* myContacts</x:v>
      </x:c>
      <x:c r="E4781" s="16" t="str">
        <x:v>Missing email</x:v>
      </x:c>
    </x:row>
    <x:row r="4782">
      <x:c r="A4782" s="16" t="n">
        <x:v>4947</x:v>
      </x:c>
      <x:c r="B4782" s="16" t="str">
        <x:v>Nasrul AIMI</x:v>
      </x:c>
      <x:c r="C4782" s="16" t="str"/>
      <x:c r="D4782" s="16" t="str">
        <x:v>* myContacts</x:v>
      </x:c>
      <x:c r="E4782" s="16" t="str">
        <x:v>Missing email</x:v>
      </x:c>
    </x:row>
    <x:row r="4783">
      <x:c r="A4783" s="16" t="n">
        <x:v>4948</x:v>
      </x:c>
      <x:c r="B4783" s="16" t="str">
        <x:v>Nasrul FAMA</x:v>
      </x:c>
      <x:c r="C4783" s="16" t="str"/>
      <x:c r="D4783" s="16" t="str">
        <x:v>* myContacts</x:v>
      </x:c>
      <x:c r="E4783" s="16" t="str">
        <x:v>Missing email</x:v>
      </x:c>
    </x:row>
    <x:row r="4784">
      <x:c r="A4784" s="16" t="n">
        <x:v>4949</x:v>
      </x:c>
      <x:c r="B4784" s="16" t="str">
        <x:v>Nasrul Kbbc agent</x:v>
      </x:c>
      <x:c r="C4784" s="16" t="str"/>
      <x:c r="D4784" s="16" t="str">
        <x:v>* myContacts</x:v>
      </x:c>
      <x:c r="E4784" s="16" t="str">
        <x:v>Missing email</x:v>
      </x:c>
    </x:row>
    <x:row r="4785">
      <x:c r="A4785" s="16" t="n">
        <x:v>4950</x:v>
      </x:c>
      <x:c r="B4785" s="16" t="str">
        <x:v>Nasrul Nurseroll</x:v>
      </x:c>
      <x:c r="C4785" s="16" t="str"/>
      <x:c r="D4785" s="16" t="str">
        <x:v>* myContacts</x:v>
      </x:c>
      <x:c r="E4785" s="16" t="str">
        <x:v>Missing email</x:v>
      </x:c>
    </x:row>
    <x:row r="4786">
      <x:c r="A4786" s="16" t="n">
        <x:v>4951</x:v>
      </x:c>
      <x:c r="B4786" s="16" t="str">
        <x:v>Nassar Apek</x:v>
      </x:c>
      <x:c r="C4786" s="16" t="str"/>
      <x:c r="D4786" s="16" t="str">
        <x:v>* myContacts</x:v>
      </x:c>
      <x:c r="E4786" s="16" t="str">
        <x:v>Missing email</x:v>
      </x:c>
    </x:row>
    <x:row r="4787">
      <x:c r="A4787" s="16" t="n">
        <x:v>4952</x:v>
      </x:c>
      <x:c r="B4787" s="16" t="str">
        <x:v>Nastra Abdul Rahim</x:v>
      </x:c>
      <x:c r="C4787" s="16" t="str"/>
      <x:c r="D4787" s="16" t="str">
        <x:v>* myContacts</x:v>
      </x:c>
      <x:c r="E4787" s="16" t="str">
        <x:v>Missing email</x:v>
      </x:c>
    </x:row>
    <x:row r="4788">
      <x:c r="A4788" s="16" t="n">
        <x:v>4953</x:v>
      </x:c>
      <x:c r="B4788" s="16" t="str">
        <x:v>Nasuha Nangin</x:v>
      </x:c>
      <x:c r="C4788" s="16" t="str"/>
      <x:c r="D4788" s="16" t="str">
        <x:v>* myContacts</x:v>
      </x:c>
      <x:c r="E4788" s="16" t="str">
        <x:v>Missing email</x:v>
      </x:c>
    </x:row>
    <x:row r="4789">
      <x:c r="A4789" s="16" t="n">
        <x:v>4954</x:v>
      </x:c>
      <x:c r="B4789" s="16" t="str">
        <x:v>nasurudin AGP</x:v>
      </x:c>
      <x:c r="C4789" s="16" t="str"/>
      <x:c r="D4789" s="16" t="str">
        <x:v>* myContacts</x:v>
      </x:c>
      <x:c r="E4789" s="16" t="str">
        <x:v>Missing email</x:v>
      </x:c>
    </x:row>
    <x:row r="4790">
      <x:c r="A4790" s="16" t="n">
        <x:v>4955</x:v>
      </x:c>
      <x:c r="B4790" s="16" t="str">
        <x:v>Nasz Naszrull</x:v>
      </x:c>
      <x:c r="C4790" s="16" t="str"/>
      <x:c r="D4790" s="16" t="str">
        <x:v>* myContacts</x:v>
      </x:c>
      <x:c r="E4790" s="16" t="str">
        <x:v>Missing email</x:v>
      </x:c>
    </x:row>
    <x:row r="4791">
      <x:c r="A4791" s="16" t="n">
        <x:v>4956</x:v>
      </x:c>
      <x:c r="B4791" s="16" t="str">
        <x:v>Natasha Emmelda S'Ron</x:v>
      </x:c>
      <x:c r="C4791" s="16" t="str"/>
      <x:c r="D4791" s="16" t="str">
        <x:v>* myContacts</x:v>
      </x:c>
      <x:c r="E4791" s="16" t="str">
        <x:v>Missing email</x:v>
      </x:c>
    </x:row>
    <x:row r="4792">
      <x:c r="A4792" s="16" t="n">
        <x:v>4957</x:v>
      </x:c>
      <x:c r="B4792" s="16" t="str">
        <x:v>Natasha Hazlin INSKEN</x:v>
      </x:c>
      <x:c r="C4792" s="16" t="str"/>
      <x:c r="D4792" s="16" t="str">
        <x:v>Alumni INSKEN | * myContacts</x:v>
      </x:c>
      <x:c r="E4792" s="16" t="str">
        <x:v>Missing email</x:v>
      </x:c>
    </x:row>
    <x:row r="4793">
      <x:c r="A4793" s="16" t="n">
        <x:v>4958</x:v>
      </x:c>
      <x:c r="B4793" s="16" t="str">
        <x:v>Nathra Nabila Zulkefli</x:v>
      </x:c>
      <x:c r="C4793" s="16" t="str"/>
      <x:c r="D4793" s="16" t="str">
        <x:v>* myContacts</x:v>
      </x:c>
      <x:c r="E4793" s="16" t="str">
        <x:v>Missing email</x:v>
      </x:c>
    </x:row>
    <x:row r="4794">
      <x:c r="A4794" s="16" t="n">
        <x:v>4959</x:v>
      </x:c>
      <x:c r="B4794" s="16" t="str">
        <x:v>Natural Cover</x:v>
      </x:c>
      <x:c r="C4794" s="16" t="str"/>
      <x:c r="D4794" s="16" t="str">
        <x:v>* myContacts</x:v>
      </x:c>
      <x:c r="E4794" s="16" t="str">
        <x:v>Missing email</x:v>
      </x:c>
    </x:row>
    <x:row r="4795">
      <x:c r="A4795" s="16" t="n">
        <x:v>4960</x:v>
      </x:c>
      <x:c r="B4795" s="16" t="str">
        <x:v>naufal usahawan mara jelebu</x:v>
      </x:c>
      <x:c r="C4795" s="16" t="str"/>
      <x:c r="D4795" s="16" t="str">
        <x:v>* myContacts</x:v>
      </x:c>
      <x:c r="E4795" s="16" t="str">
        <x:v>Missing email</x:v>
      </x:c>
    </x:row>
    <x:row r="4796">
      <x:c r="A4796" s="16" t="n">
        <x:v>4961</x:v>
      </x:c>
      <x:c r="B4796" s="16" t="str">
        <x:v>naveen kuhen energy</x:v>
      </x:c>
      <x:c r="C4796" s="16" t="str"/>
      <x:c r="D4796" s="16" t="str">
        <x:v>* myContacts</x:v>
      </x:c>
      <x:c r="E4796" s="16" t="str">
        <x:v>Missing email</x:v>
      </x:c>
    </x:row>
    <x:row r="4797">
      <x:c r="A4797" s="16" t="n">
        <x:v>4962</x:v>
      </x:c>
      <x:c r="B4797" s="16" t="str">
        <x:v>Nawwaf Bin Zulkifli</x:v>
      </x:c>
      <x:c r="C4797" s="16" t="str"/>
      <x:c r="D4797" s="16" t="str">
        <x:v>* myContacts</x:v>
      </x:c>
      <x:c r="E4797" s="16" t="str">
        <x:v>Missing email</x:v>
      </x:c>
    </x:row>
    <x:row r="4798">
      <x:c r="A4798" s="16" t="n">
        <x:v>4963</x:v>
      </x:c>
      <x:c r="B4798" s="16" t="str">
        <x:v>Nayashi NA</x:v>
      </x:c>
      <x:c r="C4798" s="16" t="str"/>
      <x:c r="D4798" s="16" t="str">
        <x:v>* myContacts</x:v>
      </x:c>
      <x:c r="E4798" s="16" t="str">
        <x:v>Missing email</x:v>
      </x:c>
    </x:row>
    <x:row r="4799">
      <x:c r="A4799" s="16" t="n">
        <x:v>4964</x:v>
      </x:c>
      <x:c r="B4799" s="16" t="str">
        <x:v>Nayna Iskandar</x:v>
      </x:c>
      <x:c r="C4799" s="16" t="str"/>
      <x:c r="D4799" s="16" t="str">
        <x:v>* myContacts</x:v>
      </x:c>
      <x:c r="E4799" s="16" t="str">
        <x:v>Missing email</x:v>
      </x:c>
    </x:row>
    <x:row r="4800">
      <x:c r="A4800" s="16" t="n">
        <x:v>4965</x:v>
      </x:c>
      <x:c r="B4800" s="16" t="str">
        <x:v>Naz Kasnan</x:v>
      </x:c>
      <x:c r="C4800" s="16" t="str"/>
      <x:c r="D4800" s="16" t="str">
        <x:v>* myContacts</x:v>
      </x:c>
      <x:c r="E4800" s="16" t="str">
        <x:v>Missing email</x:v>
      </x:c>
    </x:row>
    <x:row r="4801">
      <x:c r="A4801" s="16" t="n">
        <x:v>4966</x:v>
      </x:c>
      <x:c r="B4801" s="16" t="str">
        <x:v>Nazaruddin Cipuk</x:v>
      </x:c>
      <x:c r="C4801" s="16" t="str"/>
      <x:c r="D4801" s="16" t="str">
        <x:v>* myContacts</x:v>
      </x:c>
      <x:c r="E4801" s="16" t="str">
        <x:v>Missing email</x:v>
      </x:c>
    </x:row>
    <x:row r="4802">
      <x:c r="A4802" s="16" t="n">
        <x:v>4967</x:v>
      </x:c>
      <x:c r="B4802" s="16" t="str">
        <x:v>Nazarull Asward</x:v>
      </x:c>
      <x:c r="C4802" s="16" t="str"/>
      <x:c r="D4802" s="16" t="str">
        <x:v>* myContacts</x:v>
      </x:c>
      <x:c r="E4802" s="16" t="str">
        <x:v>Missing email</x:v>
      </x:c>
    </x:row>
    <x:row r="4803">
      <x:c r="A4803" s="16" t="n">
        <x:v>4968</x:v>
      </x:c>
      <x:c r="B4803" s="16" t="str">
        <x:v>Nazeerah Bashah</x:v>
      </x:c>
      <x:c r="C4803" s="16" t="str"/>
      <x:c r="D4803" s="16" t="str">
        <x:v>* myContacts</x:v>
      </x:c>
      <x:c r="E4803" s="16" t="str">
        <x:v>Missing email</x:v>
      </x:c>
    </x:row>
    <x:row r="4804">
      <x:c r="A4804" s="16" t="n">
        <x:v>4969</x:v>
      </x:c>
      <x:c r="B4804" s="16" t="str">
        <x:v>Nazifa Mazni</x:v>
      </x:c>
      <x:c r="C4804" s="16" t="str"/>
      <x:c r="D4804" s="16" t="str">
        <x:v>* myContacts</x:v>
      </x:c>
      <x:c r="E4804" s="16" t="str">
        <x:v>Missing email</x:v>
      </x:c>
    </x:row>
    <x:row r="4805">
      <x:c r="A4805" s="16" t="n">
        <x:v>4970</x:v>
      </x:c>
      <x:c r="B4805" s="16" t="str">
        <x:v>Nazirah Muhamed</x:v>
      </x:c>
      <x:c r="C4805" s="16" t="str"/>
      <x:c r="D4805" s="16" t="str">
        <x:v>* myContacts</x:v>
      </x:c>
      <x:c r="E4805" s="16" t="str">
        <x:v>Missing email</x:v>
      </x:c>
    </x:row>
    <x:row r="4806">
      <x:c r="A4806" s="16" t="n">
        <x:v>4971</x:v>
      </x:c>
      <x:c r="B4806" s="16" t="str">
        <x:v>Nazirah N Hazlee</x:v>
      </x:c>
      <x:c r="C4806" s="16" t="str"/>
      <x:c r="D4806" s="16" t="str">
        <x:v>* myContacts</x:v>
      </x:c>
      <x:c r="E4806" s="16" t="str">
        <x:v>Missing email</x:v>
      </x:c>
    </x:row>
    <x:row r="4807">
      <x:c r="A4807" s="16" t="n">
        <x:v>4972</x:v>
      </x:c>
      <x:c r="B4807" s="16" t="str">
        <x:v>Nazirah Nazri</x:v>
      </x:c>
      <x:c r="C4807" s="16" t="str"/>
      <x:c r="D4807" s="16" t="str">
        <x:v>* myContacts</x:v>
      </x:c>
      <x:c r="E4807" s="16" t="str">
        <x:v>Missing email</x:v>
      </x:c>
    </x:row>
    <x:row r="4808">
      <x:c r="A4808" s="16" t="n">
        <x:v>4973</x:v>
      </x:c>
      <x:c r="B4808" s="16" t="str">
        <x:v>Nazli Hijrah</x:v>
      </x:c>
      <x:c r="C4808" s="16" t="str"/>
      <x:c r="D4808" s="16" t="str">
        <x:v>Alumni eUsahawan | * myContacts</x:v>
      </x:c>
      <x:c r="E4808" s="16" t="str">
        <x:v>Missing email</x:v>
      </x:c>
    </x:row>
    <x:row r="4809">
      <x:c r="A4809" s="16" t="n">
        <x:v>4974</x:v>
      </x:c>
      <x:c r="B4809" s="16" t="str">
        <x:v>Nazlia Hamzah</x:v>
      </x:c>
      <x:c r="C4809" s="16" t="str"/>
      <x:c r="D4809" s="16" t="str">
        <x:v>* myContacts</x:v>
      </x:c>
      <x:c r="E4809" s="16" t="str">
        <x:v>Missing email</x:v>
      </x:c>
    </x:row>
    <x:row r="4810">
      <x:c r="A4810" s="16" t="n">
        <x:v>4975</x:v>
      </x:c>
      <x:c r="B4810" s="16" t="str">
        <x:v>Nazly Jalaluddin</x:v>
      </x:c>
      <x:c r="C4810" s="16" t="str"/>
      <x:c r="D4810" s="16" t="str">
        <x:v>* myContacts</x:v>
      </x:c>
      <x:c r="E4810" s="16" t="str">
        <x:v>Missing email</x:v>
      </x:c>
    </x:row>
    <x:row r="4811">
      <x:c r="A4811" s="16" t="n">
        <x:v>4976</x:v>
      </x:c>
      <x:c r="B4811" s="16" t="str">
        <x:v>Nazly Lee</x:v>
      </x:c>
      <x:c r="C4811" s="16" t="str"/>
      <x:c r="D4811" s="16" t="str">
        <x:v>* myContacts</x:v>
      </x:c>
      <x:c r="E4811" s="16" t="str">
        <x:v>Missing email</x:v>
      </x:c>
    </x:row>
    <x:row r="4812">
      <x:c r="A4812" s="16" t="n">
        <x:v>4977</x:v>
      </x:c>
      <x:c r="B4812" s="16" t="str">
        <x:v>Nazman</x:v>
      </x:c>
      <x:c r="C4812" s="16" t="str"/>
      <x:c r="D4812" s="16" t="str">
        <x:v>* myContacts</x:v>
      </x:c>
      <x:c r="E4812" s="16" t="str">
        <x:v>Missing email</x:v>
      </x:c>
    </x:row>
    <x:row r="4813">
      <x:c r="A4813" s="16" t="n">
        <x:v>4978</x:v>
      </x:c>
      <x:c r="B4813" s="16" t="str">
        <x:v>Nazmi Azim</x:v>
      </x:c>
      <x:c r="C4813" s="16" t="str"/>
      <x:c r="D4813" s="16" t="str">
        <x:v>* myContacts</x:v>
      </x:c>
      <x:c r="E4813" s="16" t="str">
        <x:v>Missing email</x:v>
      </x:c>
    </x:row>
    <x:row r="4814">
      <x:c r="A4814" s="16" t="n">
        <x:v>4979</x:v>
      </x:c>
      <x:c r="B4814" s="16" t="str">
        <x:v>Nazmi KWSP</x:v>
      </x:c>
      <x:c r="C4814" s="16" t="str"/>
      <x:c r="D4814" s="16" t="str">
        <x:v>* myContacts</x:v>
      </x:c>
      <x:c r="E4814" s="16" t="str">
        <x:v>Missing email</x:v>
      </x:c>
    </x:row>
    <x:row r="4815">
      <x:c r="A4815" s="16" t="n">
        <x:v>4980</x:v>
      </x:c>
      <x:c r="B4815" s="16" t="str">
        <x:v>Nazmi Mahzan</x:v>
      </x:c>
      <x:c r="C4815" s="16" t="str"/>
      <x:c r="D4815" s="16" t="str">
        <x:v>* myContacts</x:v>
      </x:c>
      <x:c r="E4815" s="16" t="str">
        <x:v>Missing email</x:v>
      </x:c>
    </x:row>
    <x:row r="4816">
      <x:c r="A4816" s="16" t="n">
        <x:v>4981</x:v>
      </x:c>
      <x:c r="B4816" s="16" t="str">
        <x:v>Nazri essens agent</x:v>
      </x:c>
      <x:c r="C4816" s="16" t="str"/>
      <x:c r="D4816" s="16" t="str">
        <x:v>* myContacts</x:v>
      </x:c>
      <x:c r="E4816" s="16" t="str">
        <x:v>Missing email</x:v>
      </x:c>
    </x:row>
    <x:row r="4817">
      <x:c r="A4817" s="16" t="n">
        <x:v>4982</x:v>
      </x:c>
      <x:c r="B4817" s="16" t="str">
        <x:v>Nazri Izam</x:v>
      </x:c>
      <x:c r="C4817" s="16" t="str"/>
      <x:c r="D4817" s="16" t="str">
        <x:v>* myContacts</x:v>
      </x:c>
      <x:c r="E4817" s="16" t="str">
        <x:v>Missing email</x:v>
      </x:c>
    </x:row>
    <x:row r="4818">
      <x:c r="A4818" s="16" t="n">
        <x:v>4983</x:v>
      </x:c>
      <x:c r="B4818" s="16" t="str">
        <x:v>Nazrin Basri</x:v>
      </x:c>
      <x:c r="C4818" s="16" t="str"/>
      <x:c r="D4818" s="16" t="str">
        <x:v>* myContacts</x:v>
      </x:c>
      <x:c r="E4818" s="16" t="str">
        <x:v>Missing email</x:v>
      </x:c>
    </x:row>
    <x:row r="4819">
      <x:c r="A4819" s="16" t="n">
        <x:v>4985</x:v>
      </x:c>
      <x:c r="B4819" s="16" t="str">
        <x:v>Nazrin Technical Institution</x:v>
      </x:c>
      <x:c r="C4819" s="16" t="str"/>
      <x:c r="D4819" s="16" t="str">
        <x:v>* myContacts</x:v>
      </x:c>
      <x:c r="E4819" s="16" t="str">
        <x:v>Missing email</x:v>
      </x:c>
    </x:row>
    <x:row r="4820">
      <x:c r="A4820" s="16" t="n">
        <x:v>4986</x:v>
      </x:c>
      <x:c r="B4820" s="16" t="str">
        <x:v>Nazrul BDA</x:v>
      </x:c>
      <x:c r="C4820" s="16" t="str"/>
      <x:c r="D4820" s="16" t="str">
        <x:v>* myContacts</x:v>
      </x:c>
      <x:c r="E4820" s="16" t="str">
        <x:v>Missing email</x:v>
      </x:c>
    </x:row>
    <x:row r="4821">
      <x:c r="A4821" s="16" t="n">
        <x:v>4987</x:v>
      </x:c>
      <x:c r="B4821" s="16" t="str">
        <x:v>Nazrul Safarrin</x:v>
      </x:c>
      <x:c r="C4821" s="16" t="str"/>
      <x:c r="D4821" s="16" t="str">
        <x:v>* myContacts</x:v>
      </x:c>
      <x:c r="E4821" s="16" t="str">
        <x:v>Missing email</x:v>
      </x:c>
    </x:row>
    <x:row r="4822">
      <x:c r="A4822" s="16" t="n">
        <x:v>4988</x:v>
      </x:c>
      <x:c r="B4822" s="16" t="str">
        <x:v>Nazurahlow Zurahlow</x:v>
      </x:c>
      <x:c r="C4822" s="16" t="str"/>
      <x:c r="D4822" s="16" t="str">
        <x:v>* myContacts</x:v>
      </x:c>
      <x:c r="E4822" s="16" t="str">
        <x:v>Missing email</x:v>
      </x:c>
    </x:row>
    <x:row r="4823">
      <x:c r="A4823" s="16" t="n">
        <x:v>4989</x:v>
      </x:c>
      <x:c r="B4823" s="16" t="str">
        <x:v>Nd Paiz Cuckoo</x:v>
      </x:c>
      <x:c r="C4823" s="16" t="str"/>
      <x:c r="D4823" s="16" t="str">
        <x:v>* myContacts</x:v>
      </x:c>
      <x:c r="E4823" s="16" t="str">
        <x:v>Missing email</x:v>
      </x:c>
    </x:row>
    <x:row r="4824">
      <x:c r="A4824" s="16" t="n">
        <x:v>4990</x:v>
      </x:c>
      <x:c r="B4824" s="16" t="str">
        <x:v>Ndoro Busines</x:v>
      </x:c>
      <x:c r="C4824" s="16" t="str"/>
      <x:c r="D4824" s="16" t="str">
        <x:v>* myContacts</x:v>
      </x:c>
      <x:c r="E4824" s="16" t="str">
        <x:v>Missing email</x:v>
      </x:c>
    </x:row>
    <x:row r="4825">
      <x:c r="A4825" s="16" t="n">
        <x:v>4991</x:v>
      </x:c>
      <x:c r="B4825" s="16" t="str">
        <x:v>Nea Fakhrul</x:v>
      </x:c>
      <x:c r="C4825" s="16" t="str"/>
      <x:c r="D4825" s="16" t="str">
        <x:v>* myContacts</x:v>
      </x:c>
      <x:c r="E4825" s="16" t="str">
        <x:v>Missing email</x:v>
      </x:c>
    </x:row>
    <x:row r="4826">
      <x:c r="A4826" s="16" t="n">
        <x:v>4992</x:v>
      </x:c>
      <x:c r="B4826" s="16" t="str">
        <x:v>Neecexa Marcelino</x:v>
      </x:c>
      <x:c r="C4826" s="16" t="str"/>
      <x:c r="D4826" s="16" t="str">
        <x:v>* myContacts</x:v>
      </x:c>
      <x:c r="E4826" s="16" t="str">
        <x:v>Missing email</x:v>
      </x:c>
    </x:row>
    <x:row r="4827">
      <x:c r="A4827" s="16" t="n">
        <x:v>4993</x:v>
      </x:c>
      <x:c r="B4827" s="16" t="str">
        <x:v>Neeza Hasban</x:v>
      </x:c>
      <x:c r="C4827" s="16" t="str"/>
      <x:c r="D4827" s="16" t="str">
        <x:v>* myContacts</x:v>
      </x:c>
      <x:c r="E4827" s="16" t="str">
        <x:v>Missing email</x:v>
      </x:c>
    </x:row>
    <x:row r="4828">
      <x:c r="A4828" s="16" t="n">
        <x:v>4994</x:v>
      </x:c>
      <x:c r="B4828" s="16" t="str">
        <x:v>Neiji Najiha</x:v>
      </x:c>
      <x:c r="C4828" s="16" t="str"/>
      <x:c r="D4828" s="16" t="str">
        <x:v>* myContacts</x:v>
      </x:c>
      <x:c r="E4828" s="16" t="str">
        <x:v>Missing email</x:v>
      </x:c>
    </x:row>
    <x:row r="4829">
      <x:c r="A4829" s="16" t="n">
        <x:v>4995</x:v>
      </x:c>
      <x:c r="B4829" s="16" t="str">
        <x:v>Nella Ratty</x:v>
      </x:c>
      <x:c r="C4829" s="16" t="str"/>
      <x:c r="D4829" s="16" t="str">
        <x:v>* myContacts</x:v>
      </x:c>
      <x:c r="E4829" s="16" t="str">
        <x:v>Missing email</x:v>
      </x:c>
    </x:row>
    <x:row r="4830">
      <x:c r="A4830" s="16" t="n">
        <x:v>4996</x:v>
      </x:c>
      <x:c r="B4830" s="16" t="str">
        <x:v>Nelly Norman Hamid</x:v>
      </x:c>
      <x:c r="C4830" s="16" t="str"/>
      <x:c r="D4830" s="16" t="str">
        <x:v>* myContacts</x:v>
      </x:c>
      <x:c r="E4830" s="16" t="str">
        <x:v>Missing email</x:v>
      </x:c>
    </x:row>
    <x:row r="4831">
      <x:c r="A4831" s="16" t="n">
        <x:v>4997</x:v>
      </x:c>
      <x:c r="B4831" s="16" t="str">
        <x:v>Neng Jaffri</x:v>
      </x:c>
      <x:c r="C4831" s="16" t="str"/>
      <x:c r="D4831" s="16" t="str">
        <x:v>* myContacts</x:v>
      </x:c>
      <x:c r="E4831" s="16" t="str">
        <x:v>Missing email</x:v>
      </x:c>
    </x:row>
    <x:row r="4832">
      <x:c r="A4832" s="16" t="n">
        <x:v>4998</x:v>
      </x:c>
      <x:c r="B4832" s="16" t="str">
        <x:v>nesq sarang burung walid</x:v>
      </x:c>
      <x:c r="C4832" s="16" t="str"/>
      <x:c r="D4832" s="16" t="str">
        <x:v>* myContacts</x:v>
      </x:c>
      <x:c r="E4832" s="16" t="str">
        <x:v>Missing email</x:v>
      </x:c>
    </x:row>
    <x:row r="4833">
      <x:c r="A4833" s="16" t="n">
        <x:v>4999</x:v>
      </x:c>
      <x:c r="B4833" s="16" t="str">
        <x:v>Netty Sari</x:v>
      </x:c>
      <x:c r="C4833" s="16" t="str"/>
      <x:c r="D4833" s="16" t="str">
        <x:v>* myContacts</x:v>
      </x:c>
      <x:c r="E4833" s="16" t="str">
        <x:v>Missing email</x:v>
      </x:c>
    </x:row>
    <x:row r="4834">
      <x:c r="A4834" s="16" t="n">
        <x:v>5000</x:v>
      </x:c>
      <x:c r="B4834" s="16" t="str">
        <x:v>Neymar Neykhai</x:v>
      </x:c>
      <x:c r="C4834" s="16" t="str"/>
      <x:c r="D4834" s="16" t="str">
        <x:v>* myContacts</x:v>
      </x:c>
      <x:c r="E4834" s="16" t="str">
        <x:v>Missing email</x:v>
      </x:c>
    </x:row>
    <x:row r="4835">
      <x:c r="A4835" s="16" t="n">
        <x:v>5001</x:v>
      </x:c>
      <x:c r="B4835" s="16" t="str">
        <x:v>NFaa Plusize</x:v>
      </x:c>
      <x:c r="C4835" s="16" t="str"/>
      <x:c r="D4835" s="16" t="str">
        <x:v>* myContacts</x:v>
      </x:c>
      <x:c r="E4835" s="16" t="str">
        <x:v>Missing email</x:v>
      </x:c>
    </x:row>
    <x:row r="4836">
      <x:c r="A4836" s="16" t="n">
        <x:v>5002</x:v>
      </x:c>
      <x:c r="B4836" s="16" t="str">
        <x:v>Nhur Aynum Abdul Salam</x:v>
      </x:c>
      <x:c r="C4836" s="16" t="str"/>
      <x:c r="D4836" s="16" t="str">
        <x:v>* myContacts</x:v>
      </x:c>
      <x:c r="E4836" s="16" t="str">
        <x:v>Missing email</x:v>
      </x:c>
    </x:row>
    <x:row r="4837">
      <x:c r="A4837" s="16" t="n">
        <x:v>5003</x:v>
      </x:c>
      <x:c r="B4837" s="16" t="str">
        <x:v>Nicholas Choong</x:v>
      </x:c>
      <x:c r="C4837" s="16" t="str"/>
      <x:c r="D4837" s="16" t="str">
        <x:v>* myContacts</x:v>
      </x:c>
      <x:c r="E4837" s="16" t="str">
        <x:v>Missing email</x:v>
      </x:c>
    </x:row>
    <x:row r="4838">
      <x:c r="A4838" s="16" t="n">
        <x:v>5004</x:v>
      </x:c>
      <x:c r="B4838" s="16" t="str">
        <x:v>Nicholas T</x:v>
      </x:c>
      <x:c r="C4838" s="16" t="str"/>
      <x:c r="D4838" s="16" t="str">
        <x:v>* myContacts</x:v>
      </x:c>
      <x:c r="E4838" s="16" t="str">
        <x:v>Missing email</x:v>
      </x:c>
    </x:row>
    <x:row r="4839">
      <x:c r="A4839" s="16" t="n">
        <x:v>5005</x:v>
      </x:c>
      <x:c r="B4839" s="16" t="str">
        <x:v>Nick Chan</x:v>
      </x:c>
      <x:c r="C4839" s="16" t="str"/>
      <x:c r="D4839" s="16" t="str">
        <x:v>* myContacts</x:v>
      </x:c>
      <x:c r="E4839" s="16" t="str">
        <x:v>Missing email</x:v>
      </x:c>
    </x:row>
    <x:row r="4840">
      <x:c r="A4840" s="16" t="n">
        <x:v>5006</x:v>
      </x:c>
      <x:c r="B4840" s="16" t="str">
        <x:v>Nico Singer</x:v>
      </x:c>
      <x:c r="C4840" s="16" t="str"/>
      <x:c r="D4840" s="16" t="str">
        <x:v>* myContacts</x:v>
      </x:c>
      <x:c r="E4840" s="16" t="str">
        <x:v>Missing email</x:v>
      </x:c>
    </x:row>
    <x:row r="4841">
      <x:c r="A4841" s="16" t="n">
        <x:v>5007</x:v>
      </x:c>
      <x:c r="B4841" s="16" t="str">
        <x:v>Nida Arnida</x:v>
      </x:c>
      <x:c r="C4841" s="16" t="str"/>
      <x:c r="D4841" s="16" t="str">
        <x:v>* myContacts</x:v>
      </x:c>
      <x:c r="E4841" s="16" t="str">
        <x:v>Missing email</x:v>
      </x:c>
    </x:row>
    <x:row r="4842">
      <x:c r="A4842" s="16" t="n">
        <x:v>5008</x:v>
      </x:c>
      <x:c r="B4842" s="16" t="str">
        <x:v>Nida Halim</x:v>
      </x:c>
      <x:c r="C4842" s="16" t="str"/>
      <x:c r="D4842" s="16" t="str">
        <x:v>* myContacts</x:v>
      </x:c>
      <x:c r="E4842" s="16" t="str">
        <x:v>Missing email</x:v>
      </x:c>
    </x:row>
    <x:row r="4843">
      <x:c r="A4843" s="16" t="n">
        <x:v>5009</x:v>
      </x:c>
      <x:c r="B4843" s="16" t="str">
        <x:v>Nieta Honey</x:v>
      </x:c>
      <x:c r="C4843" s="16" t="str"/>
      <x:c r="D4843" s="16" t="str">
        <x:v>* myContacts</x:v>
      </x:c>
      <x:c r="E4843" s="16" t="str">
        <x:v>Missing email</x:v>
      </x:c>
    </x:row>
    <x:row r="4844">
      <x:c r="A4844" s="16" t="n">
        <x:v>5010</x:v>
      </x:c>
      <x:c r="B4844" s="16" t="str">
        <x:v>Nieyna Zaieylieyn</x:v>
      </x:c>
      <x:c r="C4844" s="16" t="str"/>
      <x:c r="D4844" s="16" t="str">
        <x:v>* myContacts</x:v>
      </x:c>
      <x:c r="E4844" s="16" t="str">
        <x:v>Missing email</x:v>
      </x:c>
    </x:row>
    <x:row r="4845">
      <x:c r="A4845" s="16" t="n">
        <x:v>5011</x:v>
      </x:c>
      <x:c r="B4845" s="16" t="str">
        <x:v>Niezam Assrol</x:v>
      </x:c>
      <x:c r="C4845" s="16" t="str"/>
      <x:c r="D4845" s="16" t="str">
        <x:v>* myContacts</x:v>
      </x:c>
      <x:c r="E4845" s="16" t="str">
        <x:v>Missing email</x:v>
      </x:c>
    </x:row>
    <x:row r="4846">
      <x:c r="A4846" s="16" t="n">
        <x:v>5012</x:v>
      </x:c>
      <x:c r="B4846" s="16" t="str">
        <x:v>NiEzam SaiFul</x:v>
      </x:c>
      <x:c r="C4846" s="16" t="str"/>
      <x:c r="D4846" s="16" t="str">
        <x:v>* myContacts</x:v>
      </x:c>
      <x:c r="E4846" s="16" t="str">
        <x:v>Missing email</x:v>
      </x:c>
    </x:row>
    <x:row r="4847">
      <x:c r="A4847" s="16" t="n">
        <x:v>5013</x:v>
      </x:c>
      <x:c r="B4847" s="16" t="str">
        <x:v>Niick Wong</x:v>
      </x:c>
      <x:c r="C4847" s="16" t="str"/>
      <x:c r="D4847" s="16" t="str">
        <x:v>* myContacts</x:v>
      </x:c>
      <x:c r="E4847" s="16" t="str">
        <x:v>Missing email</x:v>
      </x:c>
    </x:row>
    <x:row r="4848">
      <x:c r="A4848" s="16" t="n">
        <x:v>5014</x:v>
      </x:c>
      <x:c r="B4848" s="16" t="str">
        <x:v>Nik Abdullah Nik Mod</x:v>
      </x:c>
      <x:c r="C4848" s="16" t="str"/>
      <x:c r="D4848" s="16" t="str">
        <x:v>* myContacts</x:v>
      </x:c>
      <x:c r="E4848" s="16" t="str">
        <x:v>Missing email</x:v>
      </x:c>
    </x:row>
    <x:row r="4849">
      <x:c r="A4849" s="16" t="n">
        <x:v>5015</x:v>
      </x:c>
      <x:c r="B4849" s="16" t="str">
        <x:v>Nik Agro Farm</x:v>
      </x:c>
      <x:c r="C4849" s="16" t="str"/>
      <x:c r="D4849" s="16" t="str">
        <x:v>* myContacts</x:v>
      </x:c>
      <x:c r="E4849" s="16" t="str">
        <x:v>Missing email</x:v>
      </x:c>
    </x:row>
    <x:row r="4850">
      <x:c r="A4850" s="16" t="n">
        <x:v>5016</x:v>
      </x:c>
      <x:c r="B4850" s="16" t="str">
        <x:v>Nik Ashada Nik Mat</x:v>
      </x:c>
      <x:c r="C4850" s="16" t="str"/>
      <x:c r="D4850" s="16" t="str">
        <x:v>* myContacts</x:v>
      </x:c>
      <x:c r="E4850" s="16" t="str">
        <x:v>Missing email</x:v>
      </x:c>
    </x:row>
    <x:row r="4851">
      <x:c r="A4851" s="16" t="n">
        <x:v>5017</x:v>
      </x:c>
      <x:c r="B4851" s="16" t="str">
        <x:v>Nik Azim</x:v>
      </x:c>
      <x:c r="C4851" s="16" t="str"/>
      <x:c r="D4851" s="16" t="str">
        <x:v>* myContacts</x:v>
      </x:c>
      <x:c r="E4851" s="16" t="str">
        <x:v>Missing email</x:v>
      </x:c>
    </x:row>
    <x:row r="4852">
      <x:c r="A4852" s="16" t="n">
        <x:v>5018</x:v>
      </x:c>
      <x:c r="B4852" s="16" t="str">
        <x:v>Nik Aznita AGP</x:v>
      </x:c>
      <x:c r="C4852" s="16" t="str"/>
      <x:c r="D4852" s="16" t="str">
        <x:v>* myContacts</x:v>
      </x:c>
      <x:c r="E4852" s="16" t="str">
        <x:v>Missing email</x:v>
      </x:c>
    </x:row>
    <x:row r="4853">
      <x:c r="A4853" s="16" t="n">
        <x:v>5019</x:v>
      </x:c>
      <x:c r="B4853" s="16" t="str">
        <x:v>Nik Fazliana Nik Far</x:v>
      </x:c>
      <x:c r="C4853" s="16" t="str"/>
      <x:c r="D4853" s="16" t="str">
        <x:v>* myContacts</x:v>
      </x:c>
      <x:c r="E4853" s="16" t="str">
        <x:v>Missing email</x:v>
      </x:c>
    </x:row>
    <x:row r="4854">
      <x:c r="A4854" s="16" t="n">
        <x:v>5020</x:v>
      </x:c>
      <x:c r="B4854" s="16" t="str">
        <x:v>Nik Ghazali</x:v>
      </x:c>
      <x:c r="C4854" s="16" t="str"/>
      <x:c r="D4854" s="16" t="str">
        <x:v>* myContacts</x:v>
      </x:c>
      <x:c r="E4854" s="16" t="str">
        <x:v>Missing email</x:v>
      </x:c>
    </x:row>
    <x:row r="4855">
      <x:c r="A4855" s="16" t="n">
        <x:v>5021</x:v>
      </x:c>
      <x:c r="B4855" s="16" t="str">
        <x:v>Nik Hasrul Nizam Chot</x:v>
      </x:c>
      <x:c r="C4855" s="16" t="str"/>
      <x:c r="D4855" s="16" t="str">
        <x:v>* myContacts</x:v>
      </x:c>
      <x:c r="E4855" s="16" t="str">
        <x:v>Missing email</x:v>
      </x:c>
    </x:row>
    <x:row r="4856">
      <x:c r="A4856" s="16" t="n">
        <x:v>5023</x:v>
      </x:c>
      <x:c r="B4856" s="16" t="str">
        <x:v>Nik Mahyuddin Agent AGP</x:v>
      </x:c>
      <x:c r="C4856" s="16" t="str"/>
      <x:c r="D4856" s="16" t="str">
        <x:v>* myContacts</x:v>
      </x:c>
      <x:c r="E4856" s="16" t="str">
        <x:v>Missing email</x:v>
      </x:c>
    </x:row>
    <x:row r="4857">
      <x:c r="A4857" s="16" t="n">
        <x:v>5024</x:v>
      </x:c>
      <x:c r="B4857" s="16" t="str">
        <x:v>Nik Mohd Rozaimi Rusli</x:v>
      </x:c>
      <x:c r="C4857" s="16" t="str"/>
      <x:c r="D4857" s="16" t="str">
        <x:v>* myContacts</x:v>
      </x:c>
      <x:c r="E4857" s="16" t="str">
        <x:v>Missing email</x:v>
      </x:c>
    </x:row>
    <x:row r="4858">
      <x:c r="A4858" s="16" t="n">
        <x:v>5025</x:v>
      </x:c>
      <x:c r="B4858" s="16" t="str">
        <x:v>Nik Saiful Nik</x:v>
      </x:c>
      <x:c r="C4858" s="16" t="str"/>
      <x:c r="D4858" s="16" t="str">
        <x:v>* myContacts</x:v>
      </x:c>
      <x:c r="E4858" s="16" t="str">
        <x:v>Missing email</x:v>
      </x:c>
    </x:row>
    <x:row r="4859">
      <x:c r="A4859" s="16" t="n">
        <x:v>5026</x:v>
      </x:c>
      <x:c r="B4859" s="16" t="str">
        <x:v>Nik Syazwan Nik Burhanuddin</x:v>
      </x:c>
      <x:c r="C4859" s="16" t="str"/>
      <x:c r="D4859" s="16" t="str">
        <x:v>* myContacts</x:v>
      </x:c>
      <x:c r="E4859" s="16" t="str">
        <x:v>Missing email</x:v>
      </x:c>
    </x:row>
    <x:row r="4860">
      <x:c r="A4860" s="16" t="n">
        <x:v>5027</x:v>
      </x:c>
      <x:c r="B4860" s="16" t="str">
        <x:v>Nik Syukri</x:v>
      </x:c>
      <x:c r="C4860" s="16" t="str"/>
      <x:c r="D4860" s="16" t="str">
        <x:v>* myContacts</x:v>
      </x:c>
      <x:c r="E4860" s="16" t="str">
        <x:v>Missing email</x:v>
      </x:c>
    </x:row>
    <x:row r="4861">
      <x:c r="A4861" s="16" t="n">
        <x:v>5028</x:v>
      </x:c>
      <x:c r="B4861" s="16" t="str">
        <x:v>nik zakiah trainer mdec</x:v>
      </x:c>
      <x:c r="C4861" s="16" t="str"/>
      <x:c r="D4861" s="16" t="str">
        <x:v>* myContacts</x:v>
      </x:c>
      <x:c r="E4861" s="16" t="str">
        <x:v>Missing email</x:v>
      </x:c>
    </x:row>
    <x:row r="4862">
      <x:c r="A4862" s="16" t="n">
        <x:v>5029</x:v>
      </x:c>
      <x:c r="B4862" s="16" t="str">
        <x:v>Nila WeGo</x:v>
      </x:c>
      <x:c r="C4862" s="16" t="str"/>
      <x:c r="D4862" s="16" t="str">
        <x:v>* myContacts</x:v>
      </x:c>
      <x:c r="E4862" s="16" t="str">
        <x:v>Missing email</x:v>
      </x:c>
    </x:row>
    <x:row r="4863">
      <x:c r="A4863" s="16" t="n">
        <x:v>5030</x:v>
      </x:c>
      <x:c r="B4863" s="16" t="str">
        <x:v>Nina Admin Imanina Raihah</x:v>
      </x:c>
      <x:c r="C4863" s="16" t="str"/>
      <x:c r="D4863" s="16" t="str">
        <x:v>* myContacts</x:v>
      </x:c>
      <x:c r="E4863" s="16" t="str">
        <x:v>Missing email</x:v>
      </x:c>
    </x:row>
    <x:row r="4864">
      <x:c r="A4864" s="16" t="n">
        <x:v>5031</x:v>
      </x:c>
      <x:c r="B4864" s="16" t="str">
        <x:v>Nina brand Collection</x:v>
      </x:c>
      <x:c r="C4864" s="16" t="str"/>
      <x:c r="D4864" s="16" t="str">
        <x:v>* myContacts</x:v>
      </x:c>
      <x:c r="E4864" s="16" t="str">
        <x:v>Missing email</x:v>
      </x:c>
    </x:row>
    <x:row r="4865">
      <x:c r="A4865" s="16" t="n">
        <x:v>5032</x:v>
      </x:c>
      <x:c r="B4865" s="16" t="str">
        <x:v>Nina Coway Pom Pom</x:v>
      </x:c>
      <x:c r="C4865" s="16" t="str"/>
      <x:c r="D4865" s="16" t="str">
        <x:v>* myContacts</x:v>
      </x:c>
      <x:c r="E4865" s="16" t="str">
        <x:v>Missing email</x:v>
      </x:c>
    </x:row>
    <x:row r="4866">
      <x:c r="A4866" s="16" t="n">
        <x:v>5033</x:v>
      </x:c>
      <x:c r="B4866" s="16" t="str">
        <x:v>Nina Fattah</x:v>
      </x:c>
      <x:c r="C4866" s="16" t="str"/>
      <x:c r="D4866" s="16" t="str">
        <x:v>* myContacts</x:v>
      </x:c>
      <x:c r="E4866" s="16" t="str">
        <x:v>Missing email</x:v>
      </x:c>
    </x:row>
    <x:row r="4867">
      <x:c r="A4867" s="16" t="n">
        <x:v>5034</x:v>
      </x:c>
      <x:c r="B4867" s="16" t="str">
        <x:v>NINA Handcreative Scarf</x:v>
      </x:c>
      <x:c r="C4867" s="16" t="str"/>
      <x:c r="D4867" s="16" t="str">
        <x:v>* myContacts</x:v>
      </x:c>
      <x:c r="E4867" s="16" t="str">
        <x:v>Missing email</x:v>
      </x:c>
    </x:row>
    <x:row r="4868">
      <x:c r="A4868" s="16" t="n">
        <x:v>5035</x:v>
      </x:c>
      <x:c r="B4868" s="16" t="str">
        <x:v>Nina Mia</x:v>
      </x:c>
      <x:c r="C4868" s="16" t="str"/>
      <x:c r="D4868" s="16" t="str">
        <x:v>* myContacts</x:v>
      </x:c>
      <x:c r="E4868" s="16" t="str">
        <x:v>Missing email</x:v>
      </x:c>
    </x:row>
    <x:row r="4869">
      <x:c r="A4869" s="16" t="n">
        <x:v>5036</x:v>
      </x:c>
      <x:c r="B4869" s="16" t="str">
        <x:v>Nina Salleh</x:v>
      </x:c>
      <x:c r="C4869" s="16" t="str"/>
      <x:c r="D4869" s="16" t="str">
        <x:v>* myContacts</x:v>
      </x:c>
      <x:c r="E4869" s="16" t="str">
        <x:v>Missing email</x:v>
      </x:c>
    </x:row>
    <x:row r="4870">
      <x:c r="A4870" s="16" t="n">
        <x:v>5037</x:v>
      </x:c>
      <x:c r="B4870" s="16" t="str">
        <x:v>Ninie Jnj</x:v>
      </x:c>
      <x:c r="C4870" s="16" t="str"/>
      <x:c r="D4870" s="16" t="str">
        <x:v>* myContacts</x:v>
      </x:c>
      <x:c r="E4870" s="16" t="str">
        <x:v>Missing email</x:v>
      </x:c>
    </x:row>
    <x:row r="4871">
      <x:c r="A4871" s="16" t="n">
        <x:v>5038</x:v>
      </x:c>
      <x:c r="B4871" s="16" t="str">
        <x:v>Ninit Nita</x:v>
      </x:c>
      <x:c r="C4871" s="16" t="str"/>
      <x:c r="D4871" s="16" t="str">
        <x:v>* myContacts</x:v>
      </x:c>
      <x:c r="E4871" s="16" t="str">
        <x:v>Missing email</x:v>
      </x:c>
    </x:row>
    <x:row r="4872">
      <x:c r="A4872" s="16" t="n">
        <x:v>5039</x:v>
      </x:c>
      <x:c r="B4872" s="16" t="str">
        <x:v>Nirazwan Radin</x:v>
      </x:c>
      <x:c r="C4872" s="16" t="str"/>
      <x:c r="D4872" s="16" t="str">
        <x:v>* myContacts</x:v>
      </x:c>
      <x:c r="E4872" s="16" t="str">
        <x:v>Missing email</x:v>
      </x:c>
    </x:row>
    <x:row r="4873">
      <x:c r="A4873" s="16" t="n">
        <x:v>5040</x:v>
      </x:c>
      <x:c r="B4873" s="16" t="str">
        <x:v>Nirmal Singh</x:v>
      </x:c>
      <x:c r="C4873" s="16" t="str"/>
      <x:c r="D4873" s="16" t="str">
        <x:v>* myContacts</x:v>
      </x:c>
      <x:c r="E4873" s="16" t="str">
        <x:v>Missing email</x:v>
      </x:c>
    </x:row>
    <x:row r="4874">
      <x:c r="A4874" s="16" t="n">
        <x:v>5041</x:v>
      </x:c>
      <x:c r="B4874" s="16" t="str">
        <x:v>Nirwan Zulfaka</x:v>
      </x:c>
      <x:c r="C4874" s="16" t="str"/>
      <x:c r="D4874" s="16" t="str">
        <x:v>* myContacts</x:v>
      </x:c>
      <x:c r="E4874" s="16" t="str">
        <x:v>Missing email</x:v>
      </x:c>
    </x:row>
    <x:row r="4875">
      <x:c r="A4875" s="16" t="n">
        <x:v>5042</x:v>
      </x:c>
      <x:c r="B4875" s="16" t="str">
        <x:v>Nirwana Transport</x:v>
      </x:c>
      <x:c r="C4875" s="16" t="str"/>
      <x:c r="D4875" s="16" t="str">
        <x:v>* myContacts</x:v>
      </x:c>
      <x:c r="E4875" s="16" t="str">
        <x:v>Missing email</x:v>
      </x:c>
    </x:row>
    <x:row r="4876">
      <x:c r="A4876" s="16" t="n">
        <x:v>5043</x:v>
      </x:c>
      <x:c r="B4876" s="16" t="str">
        <x:v>Nisa Angent AGP</x:v>
      </x:c>
      <x:c r="C4876" s="16" t="str"/>
      <x:c r="D4876" s="16" t="str">
        <x:v>* myContacts</x:v>
      </x:c>
      <x:c r="E4876" s="16" t="str">
        <x:v>Missing email</x:v>
      </x:c>
    </x:row>
    <x:row r="4877">
      <x:c r="A4877" s="16" t="n">
        <x:v>5044</x:v>
      </x:c>
      <x:c r="B4877" s="16" t="str">
        <x:v>nisa Cuckoo</x:v>
      </x:c>
      <x:c r="C4877" s="16" t="str"/>
      <x:c r="D4877" s="16" t="str">
        <x:v>* myContacts</x:v>
      </x:c>
      <x:c r="E4877" s="16" t="str">
        <x:v>Missing email</x:v>
      </x:c>
    </x:row>
    <x:row r="4878">
      <x:c r="A4878" s="16" t="n">
        <x:v>5045</x:v>
      </x:c>
      <x:c r="B4878" s="16" t="str">
        <x:v>Nisa The GARDEN Hotel</x:v>
      </x:c>
      <x:c r="C4878" s="16" t="str"/>
      <x:c r="D4878" s="16" t="str">
        <x:v>* myContacts</x:v>
      </x:c>
      <x:c r="E4878" s="16" t="str">
        <x:v>Missing email</x:v>
      </x:c>
    </x:row>
    <x:row r="4879">
      <x:c r="A4879" s="16" t="n">
        <x:v>5046</x:v>
      </x:c>
      <x:c r="B4879" s="16" t="str">
        <x:v>Nisreen Fadzil</x:v>
      </x:c>
      <x:c r="C4879" s="16" t="str"/>
      <x:c r="D4879" s="16" t="str">
        <x:v>* myContacts</x:v>
      </x:c>
      <x:c r="E4879" s="16" t="str">
        <x:v>Missing email</x:v>
      </x:c>
    </x:row>
    <x:row r="4880">
      <x:c r="A4880" s="16" t="n">
        <x:v>5047</x:v>
      </x:c>
      <x:c r="B4880" s="16" t="str">
        <x:v>Nissa Fereena</x:v>
      </x:c>
      <x:c r="C4880" s="16" t="str"/>
      <x:c r="D4880" s="16" t="str">
        <x:v>* myContacts</x:v>
      </x:c>
      <x:c r="E4880" s="16" t="str">
        <x:v>Missing email</x:v>
      </x:c>
    </x:row>
    <x:row r="4881">
      <x:c r="A4881" s="16" t="n">
        <x:v>5048</x:v>
      </x:c>
      <x:c r="B4881" s="16" t="str">
        <x:v>Niz Marketing Expert</x:v>
      </x:c>
      <x:c r="C4881" s="16" t="str"/>
      <x:c r="D4881" s="16" t="str">
        <x:v>* myContacts</x:v>
      </x:c>
      <x:c r="E4881" s="16" t="str">
        <x:v>Missing email</x:v>
      </x:c>
    </x:row>
    <x:row r="4882">
      <x:c r="A4882" s="16" t="n">
        <x:v>5049</x:v>
      </x:c>
      <x:c r="B4882" s="16" t="str">
        <x:v>Nizam Adnan Programer</x:v>
      </x:c>
      <x:c r="C4882" s="16" t="str"/>
      <x:c r="D4882" s="16" t="str">
        <x:v>* myContacts</x:v>
      </x:c>
      <x:c r="E4882" s="16" t="str">
        <x:v>Missing email</x:v>
      </x:c>
    </x:row>
    <x:row r="4883">
      <x:c r="A4883" s="16" t="n">
        <x:v>5050</x:v>
      </x:c>
      <x:c r="B4883" s="16" t="str">
        <x:v>Nizam Aircond</x:v>
      </x:c>
      <x:c r="C4883" s="16" t="str"/>
      <x:c r="D4883" s="16" t="str">
        <x:v>* myContacts</x:v>
      </x:c>
      <x:c r="E4883" s="16" t="str">
        <x:v>Missing email</x:v>
      </x:c>
    </x:row>
    <x:row r="4884">
      <x:c r="A4884" s="16" t="n">
        <x:v>5051</x:v>
      </x:c>
      <x:c r="B4884" s="16" t="str">
        <x:v>Nizam Aziz</x:v>
      </x:c>
      <x:c r="C4884" s="16" t="str"/>
      <x:c r="D4884" s="16" t="str">
        <x:v>* myContacts</x:v>
      </x:c>
      <x:c r="E4884" s="16" t="str">
        <x:v>Missing email</x:v>
      </x:c>
    </x:row>
    <x:row r="4885">
      <x:c r="A4885" s="16" t="n">
        <x:v>5052</x:v>
      </x:c>
      <x:c r="B4885" s="16" t="str">
        <x:v>Nizam Bin Hassan</x:v>
      </x:c>
      <x:c r="C4885" s="16" t="str"/>
      <x:c r="D4885" s="16" t="str">
        <x:v>* myContacts</x:v>
      </x:c>
      <x:c r="E4885" s="16" t="str">
        <x:v>Missing email</x:v>
      </x:c>
    </x:row>
    <x:row r="4886">
      <x:c r="A4886" s="16" t="n">
        <x:v>5053</x:v>
      </x:c>
      <x:c r="B4886" s="16" t="str">
        <x:v>Nizam PID Tanjung</x:v>
      </x:c>
      <x:c r="C4886" s="16" t="str"/>
      <x:c r="D4886" s="16" t="str">
        <x:v>* myContacts</x:v>
      </x:c>
      <x:c r="E4886" s="16" t="str">
        <x:v>Missing email</x:v>
      </x:c>
    </x:row>
    <x:row r="4887">
      <x:c r="A4887" s="16" t="n">
        <x:v>5054</x:v>
      </x:c>
      <x:c r="B4887" s="16" t="str">
        <x:v>Nizam Said</x:v>
      </x:c>
      <x:c r="C4887" s="16" t="str"/>
      <x:c r="D4887" s="16" t="str">
        <x:v>* myContacts</x:v>
      </x:c>
      <x:c r="E4887" s="16" t="str">
        <x:v>Missing email</x:v>
      </x:c>
    </x:row>
    <x:row r="4888">
      <x:c r="A4888" s="16" t="n">
        <x:v>5055</x:v>
      </x:c>
      <x:c r="B4888" s="16" t="str">
        <x:v>Nizam Zakaria</x:v>
      </x:c>
      <x:c r="C4888" s="16" t="str"/>
      <x:c r="D4888" s="16" t="str">
        <x:v>* myContacts</x:v>
      </x:c>
      <x:c r="E4888" s="16" t="str">
        <x:v>Missing email</x:v>
      </x:c>
    </x:row>
    <x:row r="4889">
      <x:c r="A4889" s="16" t="n">
        <x:v>5056</x:v>
      </x:c>
      <x:c r="B4889" s="16" t="str">
        <x:v>Nizam Zulfikri</x:v>
      </x:c>
      <x:c r="C4889" s="16" t="str"/>
      <x:c r="D4889" s="16" t="str">
        <x:v>* myContacts</x:v>
      </x:c>
      <x:c r="E4889" s="16" t="str">
        <x:v>Missing email</x:v>
      </x:c>
    </x:row>
    <x:row r="4890">
      <x:c r="A4890" s="16" t="n">
        <x:v>5057</x:v>
      </x:c>
      <x:c r="B4890" s="16" t="str">
        <x:v>Nizar Helmi</x:v>
      </x:c>
      <x:c r="C4890" s="16" t="str"/>
      <x:c r="D4890" s="16" t="str">
        <x:v>* myContacts</x:v>
      </x:c>
      <x:c r="E4890" s="16" t="str">
        <x:v>Missing email</x:v>
      </x:c>
    </x:row>
    <x:row r="4891">
      <x:c r="A4891" s="16" t="n">
        <x:v>5058</x:v>
      </x:c>
      <x:c r="B4891" s="16" t="str">
        <x:v>Nj Tekun</x:v>
      </x:c>
      <x:c r="C4891" s="16" t="str"/>
      <x:c r="D4891" s="16" t="str">
        <x:v>* myContacts</x:v>
      </x:c>
      <x:c r="E4891" s="16" t="str">
        <x:v>Missing email</x:v>
      </x:c>
    </x:row>
    <x:row r="4892">
      <x:c r="A4892" s="16" t="n">
        <x:v>5059</x:v>
      </x:c>
      <x:c r="B4892" s="16" t="str">
        <x:v>Nlp Malaysia</x:v>
      </x:c>
      <x:c r="C4892" s="16" t="str"/>
      <x:c r="D4892" s="16" t="str">
        <x:v>* myContacts</x:v>
      </x:c>
      <x:c r="E4892" s="16" t="str">
        <x:v>Missing email</x:v>
      </x:c>
    </x:row>
    <x:row r="4893">
      <x:c r="A4893" s="16" t="n">
        <x:v>5060</x:v>
      </x:c>
      <x:c r="B4893" s="16" t="str">
        <x:v>No Pejabat Aishah</x:v>
      </x:c>
      <x:c r="C4893" s="16" t="str"/>
      <x:c r="D4893" s="16" t="str">
        <x:v>* myContacts</x:v>
      </x:c>
      <x:c r="E4893" s="16" t="str">
        <x:v>Missing email</x:v>
      </x:c>
    </x:row>
    <x:row r="4894">
      <x:c r="A4894" s="16" t="n">
        <x:v>5061</x:v>
      </x:c>
      <x:c r="B4894" s="16" t="str">
        <x:v>Noh IM</x:v>
      </x:c>
      <x:c r="C4894" s="16" t="str"/>
      <x:c r="D4894" s="16" t="str">
        <x:v>* myContacts</x:v>
      </x:c>
      <x:c r="E4894" s="16" t="str">
        <x:v>Missing email</x:v>
      </x:c>
    </x:row>
    <x:row r="4895">
      <x:c r="A4895" s="16" t="n">
        <x:v>5062</x:v>
      </x:c>
      <x:c r="B4895" s="16" t="str">
        <x:v>Noi Student</x:v>
      </x:c>
      <x:c r="C4895" s="16" t="str"/>
      <x:c r="D4895" s="16" t="str">
        <x:v>* myContacts</x:v>
      </x:c>
      <x:c r="E4895" s="16" t="str">
        <x:v>Missing email</x:v>
      </x:c>
    </x:row>
    <x:row r="4896">
      <x:c r="A4896" s="16" t="n">
        <x:v>5063</x:v>
      </x:c>
      <x:c r="B4896" s="16" t="str">
        <x:v>NONA TV3 Emmy</x:v>
      </x:c>
      <x:c r="C4896" s="16" t="str"/>
      <x:c r="D4896" s="16" t="str">
        <x:v>* myContacts</x:v>
      </x:c>
      <x:c r="E4896" s="16" t="str">
        <x:v>Missing email</x:v>
      </x:c>
    </x:row>
    <x:row r="4897">
      <x:c r="A4897" s="16" t="n">
        <x:v>5064</x:v>
      </x:c>
      <x:c r="B4897" s="16" t="str">
        <x:v>Noni anak paksu</x:v>
      </x:c>
      <x:c r="C4897" s="16" t="str"/>
      <x:c r="D4897" s="16" t="str">
        <x:v>* myContacts</x:v>
      </x:c>
      <x:c r="E4897" s="16" t="str">
        <x:v>Missing email</x:v>
      </x:c>
    </x:row>
    <x:row r="4898">
      <x:c r="A4898" s="16" t="n">
        <x:v>5065</x:v>
      </x:c>
      <x:c r="B4898" s="16" t="str">
        <x:v>Noor Adilah Ismail</x:v>
      </x:c>
      <x:c r="C4898" s="16" t="str"/>
      <x:c r="D4898" s="16" t="str">
        <x:v>* myContacts</x:v>
      </x:c>
      <x:c r="E4898" s="16" t="str">
        <x:v>Missing email</x:v>
      </x:c>
    </x:row>
    <x:row r="4899">
      <x:c r="A4899" s="16" t="n">
        <x:v>5066</x:v>
      </x:c>
      <x:c r="B4899" s="16" t="str">
        <x:v>Noor Aida</x:v>
      </x:c>
      <x:c r="C4899" s="16" t="str"/>
      <x:c r="D4899" s="16" t="str">
        <x:v>* myContacts</x:v>
      </x:c>
      <x:c r="E4899" s="16" t="str">
        <x:v>Missing email</x:v>
      </x:c>
    </x:row>
    <x:row r="4900">
      <x:c r="A4900" s="16" t="n">
        <x:v>5067</x:v>
      </x:c>
      <x:c r="B4900" s="16" t="str">
        <x:v>Noor Ajeera</x:v>
      </x:c>
      <x:c r="C4900" s="16" t="str"/>
      <x:c r="D4900" s="16" t="str">
        <x:v>* myContacts</x:v>
      </x:c>
      <x:c r="E4900" s="16" t="str">
        <x:v>Missing email</x:v>
      </x:c>
    </x:row>
    <x:row r="4901">
      <x:c r="A4901" s="16" t="n">
        <x:v>5068</x:v>
      </x:c>
      <x:c r="B4901" s="16" t="str">
        <x:v>Noor Asiah Abdullah</x:v>
      </x:c>
      <x:c r="C4901" s="16" t="str"/>
      <x:c r="D4901" s="16" t="str">
        <x:v>* myContacts</x:v>
      </x:c>
      <x:c r="E4901" s="16" t="str">
        <x:v>Missing email</x:v>
      </x:c>
    </x:row>
    <x:row r="4902">
      <x:c r="A4902" s="16" t="n">
        <x:v>5069</x:v>
      </x:c>
      <x:c r="B4902" s="16" t="str">
        <x:v>Noor Azamudin</x:v>
      </x:c>
      <x:c r="C4902" s="16" t="str"/>
      <x:c r="D4902" s="16" t="str">
        <x:v>* myContacts</x:v>
      </x:c>
      <x:c r="E4902" s="16" t="str">
        <x:v>Missing email</x:v>
      </x:c>
    </x:row>
    <x:row r="4903">
      <x:c r="A4903" s="16" t="n">
        <x:v>5070</x:v>
      </x:c>
      <x:c r="B4903" s="16" t="str">
        <x:v>Noor Azilah Manan</x:v>
      </x:c>
      <x:c r="C4903" s="16" t="str"/>
      <x:c r="D4903" s="16" t="str">
        <x:v>* myContacts</x:v>
      </x:c>
      <x:c r="E4903" s="16" t="str">
        <x:v>Missing email</x:v>
      </x:c>
    </x:row>
    <x:row r="4904">
      <x:c r="A4904" s="16" t="n">
        <x:v>5072</x:v>
      </x:c>
      <x:c r="B4904" s="16" t="str">
        <x:v>Noor Azleen Sazale</x:v>
      </x:c>
      <x:c r="C4904" s="16" t="str"/>
      <x:c r="D4904" s="16" t="str">
        <x:v>* myContacts</x:v>
      </x:c>
      <x:c r="E4904" s="16" t="str">
        <x:v>Missing email</x:v>
      </x:c>
    </x:row>
    <x:row r="4905">
      <x:c r="A4905" s="16" t="n">
        <x:v>5073</x:v>
      </x:c>
      <x:c r="B4905" s="16" t="str">
        <x:v>Noor Azlina</x:v>
      </x:c>
      <x:c r="C4905" s="16" t="str"/>
      <x:c r="D4905" s="16" t="str">
        <x:v>* myContacts</x:v>
      </x:c>
      <x:c r="E4905" s="16" t="str">
        <x:v>Missing email</x:v>
      </x:c>
    </x:row>
    <x:row r="4906">
      <x:c r="A4906" s="16" t="n">
        <x:v>5074</x:v>
      </x:c>
      <x:c r="B4906" s="16" t="str">
        <x:v>Noor Azlinda Student</x:v>
      </x:c>
      <x:c r="C4906" s="16" t="str"/>
      <x:c r="D4906" s="16" t="str">
        <x:v>* myContacts</x:v>
      </x:c>
      <x:c r="E4906" s="16" t="str">
        <x:v>Missing email</x:v>
      </x:c>
    </x:row>
    <x:row r="4907">
      <x:c r="A4907" s="16" t="n">
        <x:v>5075</x:v>
      </x:c>
      <x:c r="B4907" s="16" t="str">
        <x:v>Noor Azman Mansor</x:v>
      </x:c>
      <x:c r="C4907" s="16" t="str"/>
      <x:c r="D4907" s="16" t="str">
        <x:v>* myContacts</x:v>
      </x:c>
      <x:c r="E4907" s="16" t="str">
        <x:v>Missing email</x:v>
      </x:c>
    </x:row>
    <x:row r="4908">
      <x:c r="A4908" s="16" t="n">
        <x:v>5076</x:v>
      </x:c>
      <x:c r="B4908" s="16" t="str">
        <x:v>Noor Bazla</x:v>
      </x:c>
      <x:c r="C4908" s="16" t="str"/>
      <x:c r="D4908" s="16" t="str">
        <x:v>* myContacts</x:v>
      </x:c>
      <x:c r="E4908" s="16" t="str">
        <x:v>Missing email</x:v>
      </x:c>
    </x:row>
    <x:row r="4909">
      <x:c r="A4909" s="16" t="n">
        <x:v>5077</x:v>
      </x:c>
      <x:c r="B4909" s="16" t="str">
        <x:v>Noor Fariza</x:v>
      </x:c>
      <x:c r="C4909" s="16" t="str"/>
      <x:c r="D4909" s="16" t="str">
        <x:v>* myContacts</x:v>
      </x:c>
      <x:c r="E4909" s="16" t="str">
        <x:v>Missing email</x:v>
      </x:c>
    </x:row>
    <x:row r="4910">
      <x:c r="A4910" s="16" t="n">
        <x:v>5078</x:v>
      </x:c>
      <x:c r="B4910" s="16" t="str">
        <x:v>Noor Hamizah Roslan</x:v>
      </x:c>
      <x:c r="C4910" s="16" t="str"/>
      <x:c r="D4910" s="16" t="str">
        <x:v>* myContacts</x:v>
      </x:c>
      <x:c r="E4910" s="16" t="str">
        <x:v>Missing email</x:v>
      </x:c>
    </x:row>
    <x:row r="4911">
      <x:c r="A4911" s="16" t="n">
        <x:v>5079</x:v>
      </x:c>
      <x:c r="B4911" s="16" t="str">
        <x:v>Noor Hashimi AGP</x:v>
      </x:c>
      <x:c r="C4911" s="16" t="str"/>
      <x:c r="D4911" s="16" t="str">
        <x:v>* myContacts</x:v>
      </x:c>
      <x:c r="E4911" s="16" t="str">
        <x:v>Missing email</x:v>
      </x:c>
    </x:row>
    <x:row r="4912">
      <x:c r="A4912" s="16" t="n">
        <x:v>5080</x:v>
      </x:c>
      <x:c r="B4912" s="16" t="str">
        <x:v>Noor Hidayu</x:v>
      </x:c>
      <x:c r="C4912" s="16" t="str"/>
      <x:c r="D4912" s="16" t="str">
        <x:v>* myContacts</x:v>
      </x:c>
      <x:c r="E4912" s="16" t="str">
        <x:v>Missing email</x:v>
      </x:c>
    </x:row>
    <x:row r="4913">
      <x:c r="A4913" s="16" t="n">
        <x:v>5081</x:v>
      </x:c>
      <x:c r="B4913" s="16" t="str">
        <x:v>Noor Joe</x:v>
      </x:c>
      <x:c r="C4913" s="16" t="str"/>
      <x:c r="D4913" s="16" t="str">
        <x:v>* myContacts</x:v>
      </x:c>
      <x:c r="E4913" s="16" t="str">
        <x:v>Missing email</x:v>
      </x:c>
    </x:row>
    <x:row r="4914">
      <x:c r="A4914" s="16" t="n">
        <x:v>5082</x:v>
      </x:c>
      <x:c r="B4914" s="16" t="str">
        <x:v>Noor Roamiza BT Azami</x:v>
      </x:c>
      <x:c r="C4914" s="16" t="str"/>
      <x:c r="D4914" s="16" t="str">
        <x:v>* myContacts</x:v>
      </x:c>
      <x:c r="E4914" s="16" t="str">
        <x:v>Missing email</x:v>
      </x:c>
    </x:row>
    <x:row r="4915">
      <x:c r="A4915" s="16" t="n">
        <x:v>5083</x:v>
      </x:c>
      <x:c r="B4915" s="16" t="str">
        <x:v>Noor Saimah Abdul Rahman</x:v>
      </x:c>
      <x:c r="C4915" s="16" t="str"/>
      <x:c r="D4915" s="16" t="str">
        <x:v>* myContacts</x:v>
      </x:c>
      <x:c r="E4915" s="16" t="str">
        <x:v>Missing email</x:v>
      </x:c>
    </x:row>
    <x:row r="4916">
      <x:c r="A4916" s="16" t="n">
        <x:v>5084</x:v>
      </x:c>
      <x:c r="B4916" s="16" t="str">
        <x:v>Noor Shuhaida Mohd Noor</x:v>
      </x:c>
      <x:c r="C4916" s="16" t="str"/>
      <x:c r="D4916" s="16" t="str">
        <x:v>* myContacts</x:v>
      </x:c>
      <x:c r="E4916" s="16" t="str">
        <x:v>Missing email</x:v>
      </x:c>
    </x:row>
    <x:row r="4917">
      <x:c r="A4917" s="16" t="n">
        <x:v>5085</x:v>
      </x:c>
      <x:c r="B4917" s="16" t="str">
        <x:v>Noor Syawalriah</x:v>
      </x:c>
      <x:c r="C4917" s="16" t="str"/>
      <x:c r="D4917" s="16" t="str">
        <x:v>* myContacts</x:v>
      </x:c>
      <x:c r="E4917" s="16" t="str">
        <x:v>Missing email</x:v>
      </x:c>
    </x:row>
    <x:row r="4918">
      <x:c r="A4918" s="16" t="n">
        <x:v>5086</x:v>
      </x:c>
      <x:c r="B4918" s="16" t="str">
        <x:v>Noor Wardah Tajudin</x:v>
      </x:c>
      <x:c r="C4918" s="16" t="str"/>
      <x:c r="D4918" s="16" t="str">
        <x:v>* myContacts</x:v>
      </x:c>
      <x:c r="E4918" s="16" t="str">
        <x:v>Missing email</x:v>
      </x:c>
    </x:row>
    <x:row r="4919">
      <x:c r="A4919" s="16" t="n">
        <x:v>5087</x:v>
      </x:c>
      <x:c r="B4919" s="16" t="str">
        <x:v>Noora Afila</x:v>
      </x:c>
      <x:c r="C4919" s="16" t="str"/>
      <x:c r="D4919" s="16" t="str">
        <x:v>* myContacts</x:v>
      </x:c>
      <x:c r="E4919" s="16" t="str">
        <x:v>Missing email</x:v>
      </x:c>
    </x:row>
    <x:row r="4920">
      <x:c r="A4920" s="16" t="n">
        <x:v>5088</x:v>
      </x:c>
      <x:c r="B4920" s="16" t="str">
        <x:v>Noora Dyba</x:v>
      </x:c>
      <x:c r="C4920" s="16" t="str"/>
      <x:c r="D4920" s="16" t="str">
        <x:v>* myContacts</x:v>
      </x:c>
      <x:c r="E4920" s="16" t="str">
        <x:v>Missing email</x:v>
      </x:c>
    </x:row>
    <x:row r="4921">
      <x:c r="A4921" s="16" t="n">
        <x:v>5089</x:v>
      </x:c>
      <x:c r="B4921" s="16" t="str">
        <x:v>Noorafni Mohamad Pozi</x:v>
      </x:c>
      <x:c r="C4921" s="16" t="str"/>
      <x:c r="D4921" s="16" t="str">
        <x:v>* myContacts</x:v>
      </x:c>
      <x:c r="E4921" s="16" t="str">
        <x:v>Missing email</x:v>
      </x:c>
    </x:row>
    <x:row r="4922">
      <x:c r="A4922" s="16" t="n">
        <x:v>5090</x:v>
      </x:c>
      <x:c r="B4922" s="16" t="str">
        <x:v>Noorain Zulkifly</x:v>
      </x:c>
      <x:c r="C4922" s="16" t="str"/>
      <x:c r="D4922" s="16" t="str">
        <x:v>* myContacts</x:v>
      </x:c>
      <x:c r="E4922" s="16" t="str">
        <x:v>Missing email</x:v>
      </x:c>
    </x:row>
    <x:row r="4923">
      <x:c r="A4923" s="16" t="n">
        <x:v>5091</x:v>
      </x:c>
      <x:c r="B4923" s="16" t="str">
        <x:v>Nooraishah Abdul Razak</x:v>
      </x:c>
      <x:c r="C4923" s="16" t="str"/>
      <x:c r="D4923" s="16" t="str">
        <x:v>* myContacts</x:v>
      </x:c>
      <x:c r="E4923" s="16" t="str">
        <x:v>Missing email</x:v>
      </x:c>
    </x:row>
    <x:row r="4924">
      <x:c r="A4924" s="16" t="n">
        <x:v>5092</x:v>
      </x:c>
      <x:c r="B4924" s="16" t="str">
        <x:v>Nooramalina Selamat</x:v>
      </x:c>
      <x:c r="C4924" s="16" t="str"/>
      <x:c r="D4924" s="16" t="str">
        <x:v>* myContacts</x:v>
      </x:c>
      <x:c r="E4924" s="16" t="str">
        <x:v>Missing email</x:v>
      </x:c>
    </x:row>
    <x:row r="4925">
      <x:c r="A4925" s="16" t="n">
        <x:v>5093</x:v>
      </x:c>
      <x:c r="B4925" s="16" t="str">
        <x:v>Nooramiera Abdul Rahim</x:v>
      </x:c>
      <x:c r="C4925" s="16" t="str"/>
      <x:c r="D4925" s="16" t="str">
        <x:v>* myContacts</x:v>
      </x:c>
      <x:c r="E4925" s="16" t="str">
        <x:v>Missing email</x:v>
      </x:c>
    </x:row>
    <x:row r="4926">
      <x:c r="A4926" s="16" t="n">
        <x:v>5094</x:v>
      </x:c>
      <x:c r="B4926" s="16" t="str">
        <x:v>Noorashyikin Osman</x:v>
      </x:c>
      <x:c r="C4926" s="16" t="str"/>
      <x:c r="D4926" s="16" t="str">
        <x:v>* myContacts</x:v>
      </x:c>
      <x:c r="E4926" s="16" t="str">
        <x:v>Missing email</x:v>
      </x:c>
    </x:row>
    <x:row r="4927">
      <x:c r="A4927" s="16" t="n">
        <x:v>5095</x:v>
      </x:c>
      <x:c r="B4927" s="16" t="str">
        <x:v>Noorasikin Ekin</x:v>
      </x:c>
      <x:c r="C4927" s="16" t="str"/>
      <x:c r="D4927" s="16" t="str">
        <x:v>* myContacts</x:v>
      </x:c>
      <x:c r="E4927" s="16" t="str">
        <x:v>Missing email</x:v>
      </x:c>
    </x:row>
    <x:row r="4928">
      <x:c r="A4928" s="16" t="n">
        <x:v>5096</x:v>
      </x:c>
      <x:c r="B4928" s="16" t="str">
        <x:v>Noorazimah TE</x:v>
      </x:c>
      <x:c r="C4928" s="16" t="str"/>
      <x:c r="D4928" s="16" t="str">
        <x:v>* myContacts</x:v>
      </x:c>
      <x:c r="E4928" s="16" t="str">
        <x:v>Missing email</x:v>
      </x:c>
    </x:row>
    <x:row r="4929">
      <x:c r="A4929" s="16" t="n">
        <x:v>5097</x:v>
      </x:c>
      <x:c r="B4929" s="16" t="str">
        <x:v>Nooraznida Nieyda</x:v>
      </x:c>
      <x:c r="C4929" s="16" t="str"/>
      <x:c r="D4929" s="16" t="str">
        <x:v>* myContacts</x:v>
      </x:c>
      <x:c r="E4929" s="16" t="str">
        <x:v>Missing email</x:v>
      </x:c>
    </x:row>
    <x:row r="4930">
      <x:c r="A4930" s="16" t="n">
        <x:v>5098</x:v>
      </x:c>
      <x:c r="B4930" s="16" t="str">
        <x:v>noorazura AGP</x:v>
      </x:c>
      <x:c r="C4930" s="16" t="str"/>
      <x:c r="D4930" s="16" t="str">
        <x:v>* myContacts</x:v>
      </x:c>
      <x:c r="E4930" s="16" t="str">
        <x:v>Missing email</x:v>
      </x:c>
    </x:row>
    <x:row r="4931">
      <x:c r="A4931" s="16" t="n">
        <x:v>5099</x:v>
      </x:c>
      <x:c r="B4931" s="16" t="str">
        <x:v>Noordin Ahmad AGP</x:v>
      </x:c>
      <x:c r="C4931" s="16" t="str"/>
      <x:c r="D4931" s="16" t="str">
        <x:v>* myContacts</x:v>
      </x:c>
      <x:c r="E4931" s="16" t="str">
        <x:v>Missing email</x:v>
      </x:c>
    </x:row>
    <x:row r="4932">
      <x:c r="A4932" s="16" t="n">
        <x:v>5100</x:v>
      </x:c>
      <x:c r="B4932" s="16" t="str">
        <x:v>Nooreza Abdullah</x:v>
      </x:c>
      <x:c r="C4932" s="16" t="str"/>
      <x:c r="D4932" s="16" t="str">
        <x:v>* myContacts</x:v>
      </x:c>
      <x:c r="E4932" s="16" t="str">
        <x:v>Missing email</x:v>
      </x:c>
    </x:row>
    <x:row r="4933">
      <x:c r="A4933" s="16" t="n">
        <x:v>5101</x:v>
      </x:c>
      <x:c r="B4933" s="16" t="str">
        <x:v>Noorfadilah Mhd Yusuf</x:v>
      </x:c>
      <x:c r="C4933" s="16" t="str"/>
      <x:c r="D4933" s="16" t="str">
        <x:v>* myContacts</x:v>
      </x:c>
      <x:c r="E4933" s="16" t="str">
        <x:v>Missing email</x:v>
      </x:c>
    </x:row>
    <x:row r="4934">
      <x:c r="A4934" s="16" t="n">
        <x:v>5102</x:v>
      </x:c>
      <x:c r="B4934" s="16" t="str">
        <x:v>Noorfarazila Supandi Fara</x:v>
      </x:c>
      <x:c r="C4934" s="16" t="str"/>
      <x:c r="D4934" s="16" t="str">
        <x:v>* myContacts</x:v>
      </x:c>
      <x:c r="E4934" s="16" t="str">
        <x:v>Missing email</x:v>
      </x:c>
    </x:row>
    <x:row r="4935">
      <x:c r="A4935" s="16" t="n">
        <x:v>5103</x:v>
      </x:c>
      <x:c r="B4935" s="16" t="str">
        <x:v>Noorhafidah Said Fifie</x:v>
      </x:c>
      <x:c r="C4935" s="16" t="str"/>
      <x:c r="D4935" s="16" t="str">
        <x:v>* myContacts</x:v>
      </x:c>
      <x:c r="E4935" s="16" t="str">
        <x:v>Missing email</x:v>
      </x:c>
    </x:row>
    <x:row r="4936">
      <x:c r="A4936" s="16" t="n">
        <x:v>5104</x:v>
      </x:c>
      <x:c r="B4936" s="16" t="str">
        <x:v>Noorhayati Ibrahim Atie Acik</x:v>
      </x:c>
      <x:c r="C4936" s="16" t="str"/>
      <x:c r="D4936" s="16" t="str">
        <x:v>* myContacts</x:v>
      </x:c>
      <x:c r="E4936" s="16" t="str">
        <x:v>Missing email</x:v>
      </x:c>
    </x:row>
    <x:row r="4937">
      <x:c r="A4937" s="16" t="n">
        <x:v>5105</x:v>
      </x:c>
      <x:c r="B4937" s="16" t="str">
        <x:v>Noorita Mat Said</x:v>
      </x:c>
      <x:c r="C4937" s="16" t="str"/>
      <x:c r="D4937" s="16" t="str">
        <x:v>* myContacts</x:v>
      </x:c>
      <x:c r="E4937" s="16" t="str">
        <x:v>Missing email</x:v>
      </x:c>
    </x:row>
    <x:row r="4938">
      <x:c r="A4938" s="16" t="n">
        <x:v>5106</x:v>
      </x:c>
      <x:c r="B4938" s="16" t="str">
        <x:v>Noorizan AGP</x:v>
      </x:c>
      <x:c r="C4938" s="16" t="str"/>
      <x:c r="D4938" s="16" t="str">
        <x:v>* myContacts</x:v>
      </x:c>
      <x:c r="E4938" s="16" t="str">
        <x:v>Missing email</x:v>
      </x:c>
    </x:row>
    <x:row r="4939">
      <x:c r="A4939" s="16" t="n">
        <x:v>5107</x:v>
      </x:c>
      <x:c r="B4939" s="16" t="str">
        <x:v>Noorliza Liza</x:v>
      </x:c>
      <x:c r="C4939" s="16" t="str"/>
      <x:c r="D4939" s="16" t="str">
        <x:v>* myContacts</x:v>
      </x:c>
      <x:c r="E4939" s="16" t="str">
        <x:v>Missing email</x:v>
      </x:c>
    </x:row>
    <x:row r="4940">
      <x:c r="A4940" s="16" t="n">
        <x:v>5108</x:v>
      </x:c>
      <x:c r="B4940" s="16" t="str">
        <x:v>Noorman Abdul Ghani</x:v>
      </x:c>
      <x:c r="C4940" s="16" t="str"/>
      <x:c r="D4940" s="16" t="str">
        <x:v>* myContacts</x:v>
      </x:c>
      <x:c r="E4940" s="16" t="str">
        <x:v>Missing email</x:v>
      </x:c>
    </x:row>
    <x:row r="4941">
      <x:c r="A4941" s="16" t="n">
        <x:v>5109</x:v>
      </x:c>
      <x:c r="B4941" s="16" t="str">
        <x:v>Noorshafini Nordin</x:v>
      </x:c>
      <x:c r="C4941" s="16" t="str"/>
      <x:c r="D4941" s="16" t="str">
        <x:v>* myContacts</x:v>
      </x:c>
      <x:c r="E4941" s="16" t="str">
        <x:v>Missing email</x:v>
      </x:c>
    </x:row>
    <x:row r="4942">
      <x:c r="A4942" s="16" t="n">
        <x:v>5110</x:v>
      </x:c>
      <x:c r="B4942" s="16" t="str">
        <x:v>Noorulsani Sanitakaful</x:v>
      </x:c>
      <x:c r="C4942" s="16" t="str"/>
      <x:c r="D4942" s="16" t="str">
        <x:v>* myContacts</x:v>
      </x:c>
      <x:c r="E4942" s="16" t="str">
        <x:v>Missing email</x:v>
      </x:c>
    </x:row>
    <x:row r="4943">
      <x:c r="A4943" s="16" t="n">
        <x:v>5111</x:v>
      </x:c>
      <x:c r="B4943" s="16" t="str">
        <x:v>Noorza Zdine</x:v>
      </x:c>
      <x:c r="C4943" s="16" t="str"/>
      <x:c r="D4943" s="16" t="str">
        <x:v>* myContacts</x:v>
      </x:c>
      <x:c r="E4943" s="16" t="str">
        <x:v>Missing email</x:v>
      </x:c>
    </x:row>
    <x:row r="4944">
      <x:c r="A4944" s="16" t="n">
        <x:v>5112</x:v>
      </x:c>
      <x:c r="B4944" s="16" t="str">
        <x:v>Noorzakiah Fadzillah Ahmad</x:v>
      </x:c>
      <x:c r="C4944" s="16" t="str"/>
      <x:c r="D4944" s="16" t="str">
        <x:v>* myContacts</x:v>
      </x:c>
      <x:c r="E4944" s="16" t="str">
        <x:v>Missing email</x:v>
      </x:c>
    </x:row>
    <x:row r="4945">
      <x:c r="A4945" s="16" t="n">
        <x:v>5113</x:v>
      </x:c>
      <x:c r="B4945" s="16" t="str">
        <x:v>Nor Afiqah</x:v>
      </x:c>
      <x:c r="C4945" s="16" t="str"/>
      <x:c r="D4945" s="16" t="str">
        <x:v>* myContacts</x:v>
      </x:c>
      <x:c r="E4945" s="16" t="str">
        <x:v>Missing email</x:v>
      </x:c>
    </x:row>
    <x:row r="4946">
      <x:c r="A4946" s="16" t="n">
        <x:v>5114</x:v>
      </x:c>
      <x:c r="B4946" s="16" t="str">
        <x:v>Nor Aini Eusahawan 2024</x:v>
      </x:c>
      <x:c r="C4946" s="16" t="str"/>
      <x:c r="D4946" s="16" t="str">
        <x:v>* myContacts</x:v>
      </x:c>
      <x:c r="E4946" s="16" t="str">
        <x:v>Missing email</x:v>
      </x:c>
    </x:row>
    <x:row r="4947">
      <x:c r="A4947" s="16" t="n">
        <x:v>5115</x:v>
      </x:c>
      <x:c r="B4947" s="16" t="str">
        <x:v>Nor Aishah Azizi</x:v>
      </x:c>
      <x:c r="C4947" s="16" t="str"/>
      <x:c r="D4947" s="16" t="str">
        <x:v>* myContacts</x:v>
      </x:c>
      <x:c r="E4947" s="16" t="str">
        <x:v>Missing email</x:v>
      </x:c>
    </x:row>
    <x:row r="4948">
      <x:c r="A4948" s="16" t="n">
        <x:v>5116</x:v>
      </x:c>
      <x:c r="B4948" s="16" t="str">
        <x:v>Nor Aklima</x:v>
      </x:c>
      <x:c r="C4948" s="16" t="str"/>
      <x:c r="D4948" s="16" t="str">
        <x:v>* myContacts</x:v>
      </x:c>
      <x:c r="E4948" s="16" t="str">
        <x:v>Missing email</x:v>
      </x:c>
    </x:row>
    <x:row r="4949">
      <x:c r="A4949" s="16" t="n">
        <x:v>5117</x:v>
      </x:c>
      <x:c r="B4949" s="16" t="str">
        <x:v>Nor Arfah Basyirah Z 170823</x:v>
      </x:c>
      <x:c r="C4949" s="16" t="str"/>
      <x:c r="D4949" s="16" t="str">
        <x:v>* myContacts</x:v>
      </x:c>
      <x:c r="E4949" s="16" t="str">
        <x:v>Missing email</x:v>
      </x:c>
    </x:row>
    <x:row r="4950">
      <x:c r="A4950" s="16" t="n">
        <x:v>5118</x:v>
      </x:c>
      <x:c r="B4950" s="16" t="str">
        <x:v>Nor Ashikin AGP</x:v>
      </x:c>
      <x:c r="C4950" s="16" t="str"/>
      <x:c r="D4950" s="16" t="str">
        <x:v>* myContacts</x:v>
      </x:c>
      <x:c r="E4950" s="16" t="str">
        <x:v>Missing email</x:v>
      </x:c>
    </x:row>
    <x:row r="4951">
      <x:c r="A4951" s="16" t="n">
        <x:v>5119</x:v>
      </x:c>
      <x:c r="B4951" s="16" t="str">
        <x:v>Nor Ashikin M</x:v>
      </x:c>
      <x:c r="C4951" s="16" t="str"/>
      <x:c r="D4951" s="16" t="str">
        <x:v>* myContacts</x:v>
      </x:c>
      <x:c r="E4951" s="16" t="str">
        <x:v>Missing email</x:v>
      </x:c>
    </x:row>
    <x:row r="4952">
      <x:c r="A4952" s="16" t="n">
        <x:v>5120</x:v>
      </x:c>
      <x:c r="B4952" s="16" t="str">
        <x:v>Nor Ashikin Nawardin</x:v>
      </x:c>
      <x:c r="C4952" s="16" t="str"/>
      <x:c r="D4952" s="16" t="str">
        <x:v>* myContacts</x:v>
      </x:c>
      <x:c r="E4952" s="16" t="str">
        <x:v>Missing email</x:v>
      </x:c>
    </x:row>
    <x:row r="4953">
      <x:c r="A4953" s="16" t="n">
        <x:v>5121</x:v>
      </x:c>
      <x:c r="B4953" s="16" t="str">
        <x:v>Nor Ashikin Student</x:v>
      </x:c>
      <x:c r="C4953" s="16" t="str"/>
      <x:c r="D4953" s="16" t="str">
        <x:v>* myContacts</x:v>
      </x:c>
      <x:c r="E4953" s="16" t="str">
        <x:v>Missing email</x:v>
      </x:c>
    </x:row>
    <x:row r="4954">
      <x:c r="A4954" s="16" t="n">
        <x:v>5122</x:v>
      </x:c>
      <x:c r="B4954" s="16" t="str">
        <x:v>Nor Aslina</x:v>
      </x:c>
      <x:c r="C4954" s="16" t="str"/>
      <x:c r="D4954" s="16" t="str">
        <x:v>* myContacts</x:v>
      </x:c>
      <x:c r="E4954" s="16" t="str">
        <x:v>Missing email</x:v>
      </x:c>
    </x:row>
    <x:row r="4955">
      <x:c r="A4955" s="16" t="n">
        <x:v>5123</x:v>
      </x:c>
      <x:c r="B4955" s="16" t="str">
        <x:v>Nor Asmah. AGP</x:v>
      </x:c>
      <x:c r="C4955" s="16" t="str"/>
      <x:c r="D4955" s="16" t="str">
        <x:v>* myContacts</x:v>
      </x:c>
      <x:c r="E4955" s="16" t="str">
        <x:v>Missing email</x:v>
      </x:c>
    </x:row>
    <x:row r="4956">
      <x:c r="A4956" s="16" t="n">
        <x:v>5124</x:v>
      </x:c>
      <x:c r="B4956" s="16" t="str">
        <x:v>Nor Asmizawatie</x:v>
      </x:c>
      <x:c r="C4956" s="16" t="str"/>
      <x:c r="D4956" s="16" t="str">
        <x:v>* myContacts</x:v>
      </x:c>
      <x:c r="E4956" s="16" t="str">
        <x:v>Missing email</x:v>
      </x:c>
    </x:row>
    <x:row r="4957">
      <x:c r="A4957" s="16" t="n">
        <x:v>5125</x:v>
      </x:c>
      <x:c r="B4957" s="16" t="str">
        <x:v>Nor Atieffa Sani</x:v>
      </x:c>
      <x:c r="C4957" s="16" t="str"/>
      <x:c r="D4957" s="16" t="str">
        <x:v>* myContacts</x:v>
      </x:c>
      <x:c r="E4957" s="16" t="str">
        <x:v>Missing email</x:v>
      </x:c>
    </x:row>
    <x:row r="4958">
      <x:c r="A4958" s="16" t="n">
        <x:v>5126</x:v>
      </x:c>
      <x:c r="B4958" s="16" t="str">
        <x:v>Nor Azam Jaafar</x:v>
      </x:c>
      <x:c r="C4958" s="16" t="str"/>
      <x:c r="D4958" s="16" t="str">
        <x:v>* myContacts</x:v>
      </x:c>
      <x:c r="E4958" s="16" t="str">
        <x:v>Missing email</x:v>
      </x:c>
    </x:row>
    <x:row r="4959">
      <x:c r="A4959" s="16" t="n">
        <x:v>5127</x:v>
      </x:c>
      <x:c r="B4959" s="16" t="str">
        <x:v>Nor Azila Nor Azila</x:v>
      </x:c>
      <x:c r="C4959" s="16" t="str"/>
      <x:c r="D4959" s="16" t="str">
        <x:v>* myContacts</x:v>
      </x:c>
      <x:c r="E4959" s="16" t="str">
        <x:v>Missing email</x:v>
      </x:c>
    </x:row>
    <x:row r="4960">
      <x:c r="A4960" s="16" t="n">
        <x:v>5128</x:v>
      </x:c>
      <x:c r="B4960" s="16" t="str">
        <x:v>Nor Azilnah Azyl</x:v>
      </x:c>
      <x:c r="C4960" s="16" t="str"/>
      <x:c r="D4960" s="16" t="str">
        <x:v>* myContacts</x:v>
      </x:c>
      <x:c r="E4960" s="16" t="str">
        <x:v>Missing email</x:v>
      </x:c>
    </x:row>
    <x:row r="4961">
      <x:c r="A4961" s="16" t="n">
        <x:v>5129</x:v>
      </x:c>
      <x:c r="B4961" s="16" t="str">
        <x:v>Nor Azizah</x:v>
      </x:c>
      <x:c r="C4961" s="16" t="str"/>
      <x:c r="D4961" s="16" t="str">
        <x:v>* myContacts</x:v>
      </x:c>
      <x:c r="E4961" s="16" t="str">
        <x:v>Missing email</x:v>
      </x:c>
    </x:row>
    <x:row r="4962">
      <x:c r="A4962" s="16" t="n">
        <x:v>5130</x:v>
      </x:c>
      <x:c r="B4962" s="16" t="str">
        <x:v>Nor Azlina Abdul Rashid AGP</x:v>
      </x:c>
      <x:c r="C4962" s="16" t="str"/>
      <x:c r="D4962" s="16" t="str">
        <x:v>* myContacts</x:v>
      </x:c>
      <x:c r="E4962" s="16" t="str">
        <x:v>Missing email</x:v>
      </x:c>
    </x:row>
    <x:row r="4963">
      <x:c r="A4963" s="16" t="n">
        <x:v>5131</x:v>
      </x:c>
      <x:c r="B4963" s="16" t="str">
        <x:v>Nor Azlinaz Abd Aziz</x:v>
      </x:c>
      <x:c r="C4963" s="16" t="str"/>
      <x:c r="D4963" s="16" t="str">
        <x:v>* myContacts</x:v>
      </x:c>
      <x:c r="E4963" s="16" t="str">
        <x:v>Missing email</x:v>
      </x:c>
    </x:row>
    <x:row r="4964">
      <x:c r="A4964" s="16" t="n">
        <x:v>5132</x:v>
      </x:c>
      <x:c r="B4964" s="16" t="str">
        <x:v>Nor Azliza Liza</x:v>
      </x:c>
      <x:c r="C4964" s="16" t="str"/>
      <x:c r="D4964" s="16" t="str">
        <x:v>* myContacts</x:v>
      </x:c>
      <x:c r="E4964" s="16" t="str">
        <x:v>Missing email</x:v>
      </x:c>
    </x:row>
    <x:row r="4965">
      <x:c r="A4965" s="16" t="n">
        <x:v>5133</x:v>
      </x:c>
      <x:c r="B4965" s="16" t="str">
        <x:v>Nor Azlyn</x:v>
      </x:c>
      <x:c r="C4965" s="16" t="str"/>
      <x:c r="D4965" s="16" t="str">
        <x:v>* myContacts</x:v>
      </x:c>
      <x:c r="E4965" s="16" t="str">
        <x:v>Missing email</x:v>
      </x:c>
    </x:row>
    <x:row r="4966">
      <x:c r="A4966" s="16" t="n">
        <x:v>5134</x:v>
      </x:c>
      <x:c r="B4966" s="16" t="str">
        <x:v>Nor Azmi</x:v>
      </x:c>
      <x:c r="C4966" s="16" t="str"/>
      <x:c r="D4966" s="16" t="str">
        <x:v>* myContacts</x:v>
      </x:c>
      <x:c r="E4966" s="16" t="str">
        <x:v>Missing email</x:v>
      </x:c>
    </x:row>
    <x:row r="4967">
      <x:c r="A4967" s="16" t="n">
        <x:v>5135</x:v>
      </x:c>
      <x:c r="B4967" s="16" t="str">
        <x:v>Dr nor azmi bakhary uitm</x:v>
      </x:c>
      <x:c r="C4967" s="16" t="str"/>
      <x:c r="D4967" s="16" t="str">
        <x:v>* myContacts</x:v>
      </x:c>
      <x:c r="E4967" s="16" t="str">
        <x:v>Missing email</x:v>
      </x:c>
    </x:row>
    <x:row r="4968">
      <x:c r="A4968" s="16" t="n">
        <x:v>5136</x:v>
      </x:c>
      <x:c r="B4968" s="16" t="str">
        <x:v>Nor Baizura</x:v>
      </x:c>
      <x:c r="C4968" s="16" t="str"/>
      <x:c r="D4968" s="16" t="str">
        <x:v>* myContacts</x:v>
      </x:c>
      <x:c r="E4968" s="16" t="str">
        <x:v>Missing email</x:v>
      </x:c>
    </x:row>
    <x:row r="4969">
      <x:c r="A4969" s="16" t="n">
        <x:v>5137</x:v>
      </x:c>
      <x:c r="B4969" s="16" t="str">
        <x:v>Nor Emera</x:v>
      </x:c>
      <x:c r="C4969" s="16" t="str"/>
      <x:c r="D4969" s="16" t="str">
        <x:v>* myContacts</x:v>
      </x:c>
      <x:c r="E4969" s="16" t="str">
        <x:v>Missing email</x:v>
      </x:c>
    </x:row>
    <x:row r="4970">
      <x:c r="A4970" s="16" t="n">
        <x:v>5138</x:v>
      </x:c>
      <x:c r="B4970" s="16" t="str">
        <x:v>Nor Ezza</x:v>
      </x:c>
      <x:c r="C4970" s="16" t="str"/>
      <x:c r="D4970" s="16" t="str">
        <x:v>* myContacts</x:v>
      </x:c>
      <x:c r="E4970" s="16" t="str">
        <x:v>Missing email</x:v>
      </x:c>
    </x:row>
    <x:row r="4971">
      <x:c r="A4971" s="16" t="n">
        <x:v>5139</x:v>
      </x:c>
      <x:c r="B4971" s="16" t="str">
        <x:v>Nor Fadzilah Rumah Dusun Janda Baik</x:v>
      </x:c>
      <x:c r="C4971" s="16" t="str"/>
      <x:c r="D4971" s="16" t="str">
        <x:v>* myContacts</x:v>
      </x:c>
      <x:c r="E4971" s="16" t="str">
        <x:v>Missing email</x:v>
      </x:c>
    </x:row>
    <x:row r="4972">
      <x:c r="A4972" s="16" t="n">
        <x:v>5140</x:v>
      </x:c>
      <x:c r="B4972" s="16" t="str">
        <x:v>Nor Faezah</x:v>
      </x:c>
      <x:c r="C4972" s="16" t="str"/>
      <x:c r="D4972" s="16" t="str">
        <x:v>* myContacts</x:v>
      </x:c>
      <x:c r="E4972" s="16" t="str">
        <x:v>Missing email</x:v>
      </x:c>
    </x:row>
    <x:row r="4973">
      <x:c r="A4973" s="16" t="n">
        <x:v>5141</x:v>
      </x:c>
      <x:c r="B4973" s="16" t="str">
        <x:v>Nor Fatihah Binti Zulkifli</x:v>
      </x:c>
      <x:c r="C4973" s="16" t="str"/>
      <x:c r="D4973" s="16" t="str">
        <x:v>* myContacts</x:v>
      </x:c>
      <x:c r="E4973" s="16" t="str">
        <x:v>Missing email</x:v>
      </x:c>
    </x:row>
    <x:row r="4974">
      <x:c r="A4974" s="16" t="n">
        <x:v>5143</x:v>
      </x:c>
      <x:c r="B4974" s="16" t="str">
        <x:v>Nor Fattihah</x:v>
      </x:c>
      <x:c r="C4974" s="16" t="str"/>
      <x:c r="D4974" s="16" t="str">
        <x:v>* myContacts</x:v>
      </x:c>
      <x:c r="E4974" s="16" t="str">
        <x:v>Missing email</x:v>
      </x:c>
    </x:row>
    <x:row r="4975">
      <x:c r="A4975" s="16" t="n">
        <x:v>5144</x:v>
      </x:c>
      <x:c r="B4975" s="16" t="str">
        <x:v>Nor Fazila Ahmad Zore</x:v>
      </x:c>
      <x:c r="C4975" s="16" t="str"/>
      <x:c r="D4975" s="16" t="str">
        <x:v>* myContacts</x:v>
      </x:c>
      <x:c r="E4975" s="16" t="str">
        <x:v>Missing email</x:v>
      </x:c>
    </x:row>
    <x:row r="4976">
      <x:c r="A4976" s="16" t="n">
        <x:v>5145</x:v>
      </x:c>
      <x:c r="B4976" s="16" t="str">
        <x:v>Nor Firdaus Nor Razalan</x:v>
      </x:c>
      <x:c r="C4976" s="16" t="str"/>
      <x:c r="D4976" s="16" t="str">
        <x:v>* myContacts</x:v>
      </x:c>
      <x:c r="E4976" s="16" t="str">
        <x:v>Missing email</x:v>
      </x:c>
    </x:row>
    <x:row r="4977">
      <x:c r="A4977" s="16" t="n">
        <x:v>5146</x:v>
      </x:c>
      <x:c r="B4977" s="16" t="str">
        <x:v>Nor Hasidah</x:v>
      </x:c>
      <x:c r="C4977" s="16" t="str"/>
      <x:c r="D4977" s="16" t="str">
        <x:v>* myContacts</x:v>
      </x:c>
      <x:c r="E4977" s="16" t="str">
        <x:v>Missing email</x:v>
      </x:c>
    </x:row>
    <x:row r="4978">
      <x:c r="A4978" s="16" t="n">
        <x:v>5147</x:v>
      </x:c>
      <x:c r="B4978" s="16" t="str">
        <x:v>Nor HaTrah Mat Salleh</x:v>
      </x:c>
      <x:c r="C4978" s="16" t="str"/>
      <x:c r="D4978" s="16" t="str">
        <x:v>* myContacts</x:v>
      </x:c>
      <x:c r="E4978" s="16" t="str">
        <x:v>Missing email</x:v>
      </x:c>
    </x:row>
    <x:row r="4979">
      <x:c r="A4979" s="16" t="n">
        <x:v>5148</x:v>
      </x:c>
      <x:c r="B4979" s="16" t="str">
        <x:v>Nor Hayati Mansor</x:v>
      </x:c>
      <x:c r="C4979" s="16" t="str"/>
      <x:c r="D4979" s="16" t="str">
        <x:v>* myContacts</x:v>
      </x:c>
      <x:c r="E4979" s="16" t="str">
        <x:v>Missing email</x:v>
      </x:c>
    </x:row>
    <x:row r="4980">
      <x:c r="A4980" s="16" t="n">
        <x:v>5149</x:v>
      </x:c>
      <x:c r="B4980" s="16" t="str">
        <x:v>Nor Hazila Buwari</x:v>
      </x:c>
      <x:c r="C4980" s="16" t="str"/>
      <x:c r="D4980" s="16" t="str">
        <x:v>* myContacts</x:v>
      </x:c>
      <x:c r="E4980" s="16" t="str">
        <x:v>Missing email</x:v>
      </x:c>
    </x:row>
    <x:row r="4981">
      <x:c r="A4981" s="16" t="n">
        <x:v>5150</x:v>
      </x:c>
      <x:c r="B4981" s="16" t="str">
        <x:v>Nor Hisham Bin Mohamad Nor AGP</x:v>
      </x:c>
      <x:c r="C4981" s="16" t="str"/>
      <x:c r="D4981" s="16" t="str">
        <x:v>* myContacts</x:v>
      </x:c>
      <x:c r="E4981" s="16" t="str">
        <x:v>Missing email</x:v>
      </x:c>
    </x:row>
    <x:row r="4982">
      <x:c r="A4982" s="16" t="n">
        <x:v>5151</x:v>
      </x:c>
      <x:c r="B4982" s="16" t="str">
        <x:v>Nor Idayu</x:v>
      </x:c>
      <x:c r="C4982" s="16" t="str"/>
      <x:c r="D4982" s="16" t="str">
        <x:v>* myContacts</x:v>
      </x:c>
      <x:c r="E4982" s="16" t="str">
        <x:v>Missing email</x:v>
      </x:c>
    </x:row>
    <x:row r="4983">
      <x:c r="A4983" s="16" t="n">
        <x:v>5152</x:v>
      </x:c>
      <x:c r="B4983" s="16" t="str">
        <x:v>Nor Laily Nor</x:v>
      </x:c>
      <x:c r="C4983" s="16" t="str"/>
      <x:c r="D4983" s="16" t="str">
        <x:v>* myContacts</x:v>
      </x:c>
      <x:c r="E4983" s="16" t="str">
        <x:v>Missing email</x:v>
      </x:c>
    </x:row>
    <x:row r="4984">
      <x:c r="A4984" s="16" t="n">
        <x:v>5153</x:v>
      </x:c>
      <x:c r="B4984" s="16" t="str">
        <x:v>Nor Najira Md Saad</x:v>
      </x:c>
      <x:c r="C4984" s="16" t="str"/>
      <x:c r="D4984" s="16" t="str">
        <x:v>* myContacts</x:v>
      </x:c>
      <x:c r="E4984" s="16" t="str">
        <x:v>Missing email</x:v>
      </x:c>
    </x:row>
    <x:row r="4985">
      <x:c r="A4985" s="16" t="n">
        <x:v>5154</x:v>
      </x:c>
      <x:c r="B4985" s="16" t="str">
        <x:v>Nor Sabiha Mohd Sani</x:v>
      </x:c>
      <x:c r="C4985" s="16" t="str"/>
      <x:c r="D4985" s="16" t="str">
        <x:v>* myContacts</x:v>
      </x:c>
      <x:c r="E4985" s="16" t="str">
        <x:v>Missing email</x:v>
      </x:c>
    </x:row>
    <x:row r="4986">
      <x:c r="A4986" s="16" t="n">
        <x:v>5155</x:v>
      </x:c>
      <x:c r="B4986" s="16" t="str">
        <x:v>Nor Wahida Mahdi</x:v>
      </x:c>
      <x:c r="C4986" s="16" t="str"/>
      <x:c r="D4986" s="16" t="str">
        <x:v>* myContacts</x:v>
      </x:c>
      <x:c r="E4986" s="16" t="str">
        <x:v>Missing email</x:v>
      </x:c>
    </x:row>
    <x:row r="4987">
      <x:c r="A4987" s="16" t="n">
        <x:v>5156</x:v>
      </x:c>
      <x:c r="B4987" s="16" t="str">
        <x:v>Nor Zalina Abd Aziz</x:v>
      </x:c>
      <x:c r="C4987" s="16" t="str"/>
      <x:c r="D4987" s="16" t="str">
        <x:v>* myContacts</x:v>
      </x:c>
      <x:c r="E4987" s="16" t="str">
        <x:v>Missing email</x:v>
      </x:c>
    </x:row>
    <x:row r="4988">
      <x:c r="A4988" s="16" t="n">
        <x:v>5157</x:v>
      </x:c>
      <x:c r="B4988" s="16" t="str">
        <x:v>Nor Zamzarina PEDAS TANJUNG MALIM</x:v>
      </x:c>
      <x:c r="C4988" s="16" t="str"/>
      <x:c r="D4988" s="16" t="str">
        <x:v>* myContacts</x:v>
      </x:c>
      <x:c r="E4988" s="16" t="str">
        <x:v>Missing email</x:v>
      </x:c>
    </x:row>
    <x:row r="4989">
      <x:c r="A4989" s="16" t="n">
        <x:v>5158</x:v>
      </x:c>
      <x:c r="B4989" s="16" t="str">
        <x:v>Nor Zuraida Mat Nayan</x:v>
      </x:c>
      <x:c r="C4989" s="16" t="str"/>
      <x:c r="D4989" s="16" t="str">
        <x:v>* myContacts</x:v>
      </x:c>
      <x:c r="E4989" s="16" t="str">
        <x:v>Missing email</x:v>
      </x:c>
    </x:row>
    <x:row r="4990">
      <x:c r="A4990" s="16" t="n">
        <x:v>5159</x:v>
      </x:c>
      <x:c r="B4990" s="16" t="str">
        <x:v>Nor'Jamira Tailor</x:v>
      </x:c>
      <x:c r="C4990" s="16" t="str"/>
      <x:c r="D4990" s="16" t="str">
        <x:v>* myContacts</x:v>
      </x:c>
      <x:c r="E4990" s="16" t="str">
        <x:v>Missing email</x:v>
      </x:c>
    </x:row>
    <x:row r="4991">
      <x:c r="A4991" s="16" t="n">
        <x:v>5160</x:v>
      </x:c>
      <x:c r="B4991" s="16" t="str">
        <x:v>Nora Ashikin</x:v>
      </x:c>
      <x:c r="C4991" s="16" t="str"/>
      <x:c r="D4991" s="16" t="str">
        <x:v>* myContacts</x:v>
      </x:c>
      <x:c r="E4991" s="16" t="str">
        <x:v>Missing email</x:v>
      </x:c>
    </x:row>
    <x:row r="4992">
      <x:c r="A4992" s="16" t="n">
        <x:v>5161</x:v>
      </x:c>
      <x:c r="B4992" s="16" t="str">
        <x:v>nora avana</x:v>
      </x:c>
      <x:c r="C4992" s="16" t="str"/>
      <x:c r="D4992" s="16" t="str">
        <x:v>* myContacts</x:v>
      </x:c>
      <x:c r="E4992" s="16" t="str">
        <x:v>Missing email</x:v>
      </x:c>
    </x:row>
    <x:row r="4993">
      <x:c r="A4993" s="16" t="n">
        <x:v>5162</x:v>
      </x:c>
      <x:c r="B4993" s="16" t="str">
        <x:v>Nora BDA</x:v>
      </x:c>
      <x:c r="C4993" s="16" t="str"/>
      <x:c r="D4993" s="16" t="str">
        <x:v>* myContacts</x:v>
      </x:c>
      <x:c r="E4993" s="16" t="str">
        <x:v>Missing email</x:v>
      </x:c>
    </x:row>
    <x:row r="4994">
      <x:c r="A4994" s="16" t="n">
        <x:v>5163</x:v>
      </x:c>
      <x:c r="B4994" s="16" t="str">
        <x:v>Nora Khumairah</x:v>
      </x:c>
      <x:c r="C4994" s="16" t="str"/>
      <x:c r="D4994" s="16" t="str">
        <x:v>* myContacts</x:v>
      </x:c>
      <x:c r="E4994" s="16" t="str">
        <x:v>Missing email</x:v>
      </x:c>
    </x:row>
    <x:row r="4995">
      <x:c r="A4995" s="16" t="n">
        <x:v>5164</x:v>
      </x:c>
      <x:c r="B4995" s="16" t="str">
        <x:v>Norafidah Musa</x:v>
      </x:c>
      <x:c r="C4995" s="16" t="str"/>
      <x:c r="D4995" s="16" t="str">
        <x:v>* myContacts</x:v>
      </x:c>
      <x:c r="E4995" s="16" t="str">
        <x:v>Missing email</x:v>
      </x:c>
    </x:row>
    <x:row r="4996">
      <x:c r="A4996" s="16" t="n">
        <x:v>5165</x:v>
      </x:c>
      <x:c r="B4996" s="16" t="str">
        <x:v>Noraini Anie</x:v>
      </x:c>
      <x:c r="C4996" s="16" t="str"/>
      <x:c r="D4996" s="16" t="str">
        <x:v>* myContacts</x:v>
      </x:c>
      <x:c r="E4996" s="16" t="str">
        <x:v>Missing email</x:v>
      </x:c>
    </x:row>
    <x:row r="4997">
      <x:c r="A4997" s="16" t="n">
        <x:v>5167</x:v>
      </x:c>
      <x:c r="B4997" s="16" t="str">
        <x:v>Noraini Hassin</x:v>
      </x:c>
      <x:c r="C4997" s="16" t="str"/>
      <x:c r="D4997" s="16" t="str">
        <x:v>* myContacts</x:v>
      </x:c>
      <x:c r="E4997" s="16" t="str">
        <x:v>Missing email</x:v>
      </x:c>
    </x:row>
    <x:row r="4998">
      <x:c r="A4998" s="16" t="n">
        <x:v>5168</x:v>
      </x:c>
      <x:c r="B4998" s="16" t="str">
        <x:v>Noraini Kamarudin</x:v>
      </x:c>
      <x:c r="C4998" s="16" t="str"/>
      <x:c r="D4998" s="16" t="str">
        <x:v>* myContacts</x:v>
      </x:c>
      <x:c r="E4998" s="16" t="str">
        <x:v>Missing email</x:v>
      </x:c>
    </x:row>
    <x:row r="4999">
      <x:c r="A4999" s="16" t="n">
        <x:v>5169</x:v>
      </x:c>
      <x:c r="B4999" s="16" t="str">
        <x:v>Noraishah Arsad</x:v>
      </x:c>
      <x:c r="C4999" s="16" t="str"/>
      <x:c r="D4999" s="16" t="str">
        <x:v>* myContacts</x:v>
      </x:c>
      <x:c r="E4999" s="16" t="str">
        <x:v>Missing email</x:v>
      </x:c>
    </x:row>
    <x:row r="5000">
      <x:c r="A5000" s="16" t="n">
        <x:v>5170</x:v>
      </x:c>
      <x:c r="B5000" s="16" t="str">
        <x:v>Noraisyahfadli Trusted Seller</x:v>
      </x:c>
      <x:c r="C5000" s="16" t="str"/>
      <x:c r="D5000" s="16" t="str">
        <x:v>* myContacts</x:v>
      </x:c>
      <x:c r="E5000" s="16" t="str">
        <x:v>Missing email</x:v>
      </x:c>
    </x:row>
    <x:row r="5001">
      <x:c r="A5001" s="16" t="n">
        <x:v>5171</x:v>
      </x:c>
      <x:c r="B5001" s="16" t="str">
        <x:v>Noramira Syakira</x:v>
      </x:c>
      <x:c r="C5001" s="16" t="str"/>
      <x:c r="D5001" s="16" t="str">
        <x:v>* myContacts</x:v>
      </x:c>
      <x:c r="E5001" s="16" t="str">
        <x:v>Missing email</x:v>
      </x:c>
    </x:row>
    <x:row r="5002">
      <x:c r="A5002" s="16" t="n">
        <x:v>5172</x:v>
      </x:c>
      <x:c r="B5002" s="16" t="str">
        <x:v>Norani Amin</x:v>
      </x:c>
      <x:c r="C5002" s="16" t="str"/>
      <x:c r="D5002" s="16" t="str">
        <x:v>* myContacts</x:v>
      </x:c>
      <x:c r="E5002" s="16" t="str">
        <x:v>Missing email</x:v>
      </x:c>
    </x:row>
    <x:row r="5003">
      <x:c r="A5003" s="16" t="n">
        <x:v>5173</x:v>
      </x:c>
      <x:c r="B5003" s="16" t="str">
        <x:v>Noranisah Zahari</x:v>
      </x:c>
      <x:c r="C5003" s="16" t="str"/>
      <x:c r="D5003" s="16" t="str">
        <x:v>* myContacts</x:v>
      </x:c>
      <x:c r="E5003" s="16" t="str">
        <x:v>Missing email</x:v>
      </x:c>
    </x:row>
    <x:row r="5004">
      <x:c r="A5004" s="16" t="n">
        <x:v>5174</x:v>
      </x:c>
      <x:c r="B5004" s="16" t="str">
        <x:v>Norasdayanti Mohd Jamil</x:v>
      </x:c>
      <x:c r="C5004" s="16" t="str"/>
      <x:c r="D5004" s="16" t="str">
        <x:v>* myContacts</x:v>
      </x:c>
      <x:c r="E5004" s="16" t="str">
        <x:v>Missing email</x:v>
      </x:c>
    </x:row>
    <x:row r="5005">
      <x:c r="A5005" s="16" t="n">
        <x:v>5175</x:v>
      </x:c>
      <x:c r="B5005" s="16" t="str">
        <x:v>Norashikin Seri Pacific</x:v>
      </x:c>
      <x:c r="C5005" s="16" t="str"/>
      <x:c r="D5005" s="16" t="str">
        <x:v>* myContacts</x:v>
      </x:c>
      <x:c r="E5005" s="16" t="str">
        <x:v>Missing email</x:v>
      </x:c>
    </x:row>
    <x:row r="5006">
      <x:c r="A5006" s="16" t="n">
        <x:v>5176</x:v>
      </x:c>
      <x:c r="B5006" s="16" t="str">
        <x:v>Norashimah Salleh</x:v>
      </x:c>
      <x:c r="C5006" s="16" t="str"/>
      <x:c r="D5006" s="16" t="str">
        <x:v>* myContacts</x:v>
      </x:c>
      <x:c r="E5006" s="16" t="str">
        <x:v>Missing email</x:v>
      </x:c>
    </x:row>
    <x:row r="5007">
      <x:c r="A5007" s="16" t="n">
        <x:v>5177</x:v>
      </x:c>
      <x:c r="B5007" s="16" t="str">
        <x:v>Norasiah INSKEN</x:v>
      </x:c>
      <x:c r="C5007" s="16" t="str"/>
      <x:c r="D5007" s="16" t="str">
        <x:v>Alumni INSKEN | * myContacts</x:v>
      </x:c>
      <x:c r="E5007" s="16" t="str">
        <x:v>Missing email</x:v>
      </x:c>
    </x:row>
    <x:row r="5008">
      <x:c r="A5008" s="16" t="n">
        <x:v>5178</x:v>
      </x:c>
      <x:c r="B5008" s="16" t="str">
        <x:v>Norasmawati Zainal</x:v>
      </x:c>
      <x:c r="C5008" s="16" t="str"/>
      <x:c r="D5008" s="16" t="str">
        <x:v>* myContacts</x:v>
      </x:c>
      <x:c r="E5008" s="16" t="str">
        <x:v>Missing email</x:v>
      </x:c>
    </x:row>
    <x:row r="5009">
      <x:c r="A5009" s="16" t="n">
        <x:v>5179</x:v>
      </x:c>
      <x:c r="B5009" s="16" t="str">
        <x:v>Noraziah Puncak Alam</x:v>
      </x:c>
      <x:c r="C5009" s="16" t="str"/>
      <x:c r="D5009" s="16" t="str">
        <x:v>* myContacts</x:v>
      </x:c>
      <x:c r="E5009" s="16" t="str">
        <x:v>Missing email</x:v>
      </x:c>
    </x:row>
    <x:row r="5010">
      <x:c r="A5010" s="16" t="n">
        <x:v>5180</x:v>
      </x:c>
      <x:c r="B5010" s="16" t="str">
        <x:v>Norazila Zaini</x:v>
      </x:c>
      <x:c r="C5010" s="16" t="str"/>
      <x:c r="D5010" s="16" t="str">
        <x:v>* myContacts</x:v>
      </x:c>
      <x:c r="E5010" s="16" t="str">
        <x:v>Missing email</x:v>
      </x:c>
    </x:row>
    <x:row r="5011">
      <x:c r="A5011" s="16" t="n">
        <x:v>5181</x:v>
      </x:c>
      <x:c r="B5011" s="16" t="str">
        <x:v>Norazizan AGP</x:v>
      </x:c>
      <x:c r="C5011" s="16" t="str"/>
      <x:c r="D5011" s="16" t="str">
        <x:v>* myContacts</x:v>
      </x:c>
      <x:c r="E5011" s="16" t="str">
        <x:v>Missing email</x:v>
      </x:c>
    </x:row>
    <x:row r="5012">
      <x:c r="A5012" s="16" t="n">
        <x:v>5182</x:v>
      </x:c>
      <x:c r="B5012" s="16" t="str">
        <x:v>Norazizi A Aziz</x:v>
      </x:c>
      <x:c r="C5012" s="16" t="str"/>
      <x:c r="D5012" s="16" t="str">
        <x:v>* myContacts</x:v>
      </x:c>
      <x:c r="E5012" s="16" t="str">
        <x:v>Missing email</x:v>
      </x:c>
    </x:row>
    <x:row r="5013">
      <x:c r="A5013" s="16" t="n">
        <x:v>5183</x:v>
      </x:c>
      <x:c r="B5013" s="16" t="str">
        <x:v>NorAzliana Alias Yanaa</x:v>
      </x:c>
      <x:c r="C5013" s="16" t="str"/>
      <x:c r="D5013" s="16" t="str">
        <x:v>* myContacts</x:v>
      </x:c>
      <x:c r="E5013" s="16" t="str">
        <x:v>Missing email</x:v>
      </x:c>
    </x:row>
    <x:row r="5014">
      <x:c r="A5014" s="16" t="n">
        <x:v>5184</x:v>
      </x:c>
      <x:c r="B5014" s="16" t="str">
        <x:v>Norazlin Abdul Halim</x:v>
      </x:c>
      <x:c r="C5014" s="16" t="str"/>
      <x:c r="D5014" s="16" t="str">
        <x:v>* myContacts</x:v>
      </x:c>
      <x:c r="E5014" s="16" t="str">
        <x:v>Missing email</x:v>
      </x:c>
    </x:row>
    <x:row r="5015">
      <x:c r="A5015" s="16" t="n">
        <x:v>5185</x:v>
      </x:c>
      <x:c r="B5015" s="16" t="str">
        <x:v>Norazlinda AGP</x:v>
      </x:c>
      <x:c r="C5015" s="16" t="str"/>
      <x:c r="D5015" s="16" t="str">
        <x:v>* myContacts</x:v>
      </x:c>
      <x:c r="E5015" s="16" t="str">
        <x:v>Missing email</x:v>
      </x:c>
    </x:row>
    <x:row r="5016">
      <x:c r="A5016" s="16" t="n">
        <x:v>5186</x:v>
      </x:c>
      <x:c r="B5016" s="16" t="str">
        <x:v>Norazman Man</x:v>
      </x:c>
      <x:c r="C5016" s="16" t="str"/>
      <x:c r="D5016" s="16" t="str">
        <x:v>* myContacts</x:v>
      </x:c>
      <x:c r="E5016" s="16" t="str">
        <x:v>Missing email</x:v>
      </x:c>
    </x:row>
    <x:row r="5017">
      <x:c r="A5017" s="16" t="n">
        <x:v>5187</x:v>
      </x:c>
      <x:c r="B5017" s="16" t="str">
        <x:v>Norazwa Wahab</x:v>
      </x:c>
      <x:c r="C5017" s="16" t="str"/>
      <x:c r="D5017" s="16" t="str">
        <x:v>* myContacts</x:v>
      </x:c>
      <x:c r="E5017" s="16" t="str">
        <x:v>Missing email</x:v>
      </x:c>
    </x:row>
    <x:row r="5018">
      <x:c r="A5018" s="16" t="n">
        <x:v>5188</x:v>
      </x:c>
      <x:c r="B5018" s="16" t="str">
        <x:v>Norbaya Balqisyah</x:v>
      </x:c>
      <x:c r="C5018" s="16" t="str"/>
      <x:c r="D5018" s="16" t="str">
        <x:v>* myContacts</x:v>
      </x:c>
      <x:c r="E5018" s="16" t="str">
        <x:v>Missing email</x:v>
      </x:c>
    </x:row>
    <x:row r="5019">
      <x:c r="A5019" s="16" t="n">
        <x:v>5189</x:v>
      </x:c>
      <x:c r="B5019" s="16" t="str">
        <x:v>Nordiana Hassan</x:v>
      </x:c>
      <x:c r="C5019" s="16" t="str"/>
      <x:c r="D5019" s="16" t="str">
        <x:v>* myContacts</x:v>
      </x:c>
      <x:c r="E5019" s="16" t="str">
        <x:v>Missing email</x:v>
      </x:c>
    </x:row>
    <x:row r="5020">
      <x:c r="A5020" s="16" t="n">
        <x:v>5190</x:v>
      </x:c>
      <x:c r="B5020" s="16" t="str">
        <x:v>NorErliana Bte Hafizi</x:v>
      </x:c>
      <x:c r="C5020" s="16" t="str"/>
      <x:c r="D5020" s="16" t="str">
        <x:v>* myContacts</x:v>
      </x:c>
      <x:c r="E5020" s="16" t="str">
        <x:v>Missing email</x:v>
      </x:c>
    </x:row>
    <x:row r="5021">
      <x:c r="A5021" s="16" t="n">
        <x:v>5191</x:v>
      </x:c>
      <x:c r="B5021" s="16" t="str">
        <x:v>Norfadilah Mohd Nawi</x:v>
      </x:c>
      <x:c r="C5021" s="16" t="str"/>
      <x:c r="D5021" s="16" t="str">
        <x:v>* myContacts</x:v>
      </x:c>
      <x:c r="E5021" s="16" t="str">
        <x:v>Missing email</x:v>
      </x:c>
    </x:row>
    <x:row r="5022">
      <x:c r="A5022" s="16" t="n">
        <x:v>5192</x:v>
      </x:c>
      <x:c r="B5022" s="16" t="str">
        <x:v>Norhafiszin Ramlan</x:v>
      </x:c>
      <x:c r="C5022" s="16" t="str"/>
      <x:c r="D5022" s="16" t="str">
        <x:v>* myContacts</x:v>
      </x:c>
      <x:c r="E5022" s="16" t="str">
        <x:v>Missing email</x:v>
      </x:c>
    </x:row>
    <x:row r="5023">
      <x:c r="A5023" s="16" t="n">
        <x:v>5193</x:v>
      </x:c>
      <x:c r="B5023" s="16" t="str">
        <x:v>Norhafizah Rameli</x:v>
      </x:c>
      <x:c r="C5023" s="16" t="str"/>
      <x:c r="D5023" s="16" t="str">
        <x:v>* myContacts</x:v>
      </x:c>
      <x:c r="E5023" s="16" t="str">
        <x:v>Missing email</x:v>
      </x:c>
    </x:row>
    <x:row r="5024">
      <x:c r="A5024" s="16" t="n">
        <x:v>5194</x:v>
      </x:c>
      <x:c r="B5024" s="16" t="str">
        <x:v>Norhafizah Salim</x:v>
      </x:c>
      <x:c r="C5024" s="16" t="str"/>
      <x:c r="D5024" s="16" t="str">
        <x:v>* myContacts</x:v>
      </x:c>
      <x:c r="E5024" s="16" t="str">
        <x:v>Missing email</x:v>
      </x:c>
    </x:row>
    <x:row r="5025">
      <x:c r="A5025" s="16" t="n">
        <x:v>5195</x:v>
      </x:c>
      <x:c r="B5025" s="16" t="str">
        <x:v>Norhaida Mohd Arshad</x:v>
      </x:c>
      <x:c r="C5025" s="16" t="str"/>
      <x:c r="D5025" s="16" t="str">
        <x:v>* myContacts</x:v>
      </x:c>
      <x:c r="E5025" s="16" t="str">
        <x:v>Missing email</x:v>
      </x:c>
    </x:row>
    <x:row r="5026">
      <x:c r="A5026" s="16" t="n">
        <x:v>5196</x:v>
      </x:c>
      <x:c r="B5026" s="16" t="str">
        <x:v>Norhaslinda Pardi</x:v>
      </x:c>
      <x:c r="C5026" s="16" t="str"/>
      <x:c r="D5026" s="16" t="str">
        <x:v>* myContacts</x:v>
      </x:c>
      <x:c r="E5026" s="16" t="str">
        <x:v>Missing email</x:v>
      </x:c>
    </x:row>
    <x:row r="5027">
      <x:c r="A5027" s="16" t="n">
        <x:v>5197</x:v>
      </x:c>
      <x:c r="B5027" s="16" t="str">
        <x:v>Norhayati AGP</x:v>
      </x:c>
      <x:c r="C5027" s="16" t="str"/>
      <x:c r="D5027" s="16" t="str">
        <x:v>* myContacts</x:v>
      </x:c>
      <x:c r="E5027" s="16" t="str">
        <x:v>Missing email</x:v>
      </x:c>
    </x:row>
    <x:row r="5028">
      <x:c r="A5028" s="16" t="n">
        <x:v>5198</x:v>
      </x:c>
      <x:c r="B5028" s="16" t="str">
        <x:v>Norhayati Mahmud</x:v>
      </x:c>
      <x:c r="C5028" s="16" t="str"/>
      <x:c r="D5028" s="16" t="str">
        <x:v>* myContacts</x:v>
      </x:c>
      <x:c r="E5028" s="16" t="str">
        <x:v>Missing email</x:v>
      </x:c>
    </x:row>
    <x:row r="5029">
      <x:c r="A5029" s="16" t="n">
        <x:v>5199</x:v>
      </x:c>
      <x:c r="B5029" s="16" t="str">
        <x:v>Norhayati Md Mohdin</x:v>
      </x:c>
      <x:c r="C5029" s="16" t="str"/>
      <x:c r="D5029" s="16" t="str">
        <x:v>* myContacts</x:v>
      </x:c>
      <x:c r="E5029" s="16" t="str">
        <x:v>Missing email</x:v>
      </x:c>
    </x:row>
    <x:row r="5030">
      <x:c r="A5030" s="16" t="n">
        <x:v>5200</x:v>
      </x:c>
      <x:c r="B5030" s="16" t="str">
        <x:v>Norhayati Mohamed</x:v>
      </x:c>
      <x:c r="C5030" s="16" t="str"/>
      <x:c r="D5030" s="16" t="str">
        <x:v>* myContacts</x:v>
      </x:c>
      <x:c r="E5030" s="16" t="str">
        <x:v>Missing email</x:v>
      </x:c>
    </x:row>
    <x:row r="5031">
      <x:c r="A5031" s="16" t="n">
        <x:v>5201</x:v>
      </x:c>
      <x:c r="B5031" s="16" t="str">
        <x:v>Norhayati NurinsBeauty</x:v>
      </x:c>
      <x:c r="C5031" s="16" t="str"/>
      <x:c r="D5031" s="16" t="str">
        <x:v>* myContacts</x:v>
      </x:c>
      <x:c r="E5031" s="16" t="str">
        <x:v>Missing email</x:v>
      </x:c>
    </x:row>
    <x:row r="5032">
      <x:c r="A5032" s="16" t="n">
        <x:v>5202</x:v>
      </x:c>
      <x:c r="B5032" s="16" t="str">
        <x:v>Norhayati Zakaria Atiey</x:v>
      </x:c>
      <x:c r="C5032" s="16" t="str"/>
      <x:c r="D5032" s="16" t="str">
        <x:v>* myContacts</x:v>
      </x:c>
      <x:c r="E5032" s="16" t="str">
        <x:v>Missing email</x:v>
      </x:c>
    </x:row>
    <x:row r="5033">
      <x:c r="A5033" s="16" t="n">
        <x:v>5203</x:v>
      </x:c>
      <x:c r="B5033" s="16" t="str">
        <x:v>Norhazwani Maseiana</x:v>
      </x:c>
      <x:c r="C5033" s="16" t="str"/>
      <x:c r="D5033" s="16" t="str">
        <x:v>* myContacts</x:v>
      </x:c>
      <x:c r="E5033" s="16" t="str">
        <x:v>Missing email</x:v>
      </x:c>
    </x:row>
    <x:row r="5034">
      <x:c r="A5034" s="16" t="n">
        <x:v>5204</x:v>
      </x:c>
      <x:c r="B5034" s="16" t="str">
        <x:v>Norhidaya Kosran</x:v>
      </x:c>
      <x:c r="C5034" s="16" t="str"/>
      <x:c r="D5034" s="16" t="str">
        <x:v>* myContacts</x:v>
      </x:c>
      <x:c r="E5034" s="16" t="str">
        <x:v>Missing email</x:v>
      </x:c>
    </x:row>
    <x:row r="5035">
      <x:c r="A5035" s="16" t="n">
        <x:v>5205</x:v>
      </x:c>
      <x:c r="B5035" s="16" t="str">
        <x:v>Norhidayah Hidayah Lyss</x:v>
      </x:c>
      <x:c r="C5035" s="16" t="str"/>
      <x:c r="D5035" s="16" t="str">
        <x:v>* myContacts</x:v>
      </x:c>
      <x:c r="E5035" s="16" t="str">
        <x:v>Missing email</x:v>
      </x:c>
    </x:row>
    <x:row r="5036">
      <x:c r="A5036" s="16" t="n">
        <x:v>5206</x:v>
      </x:c>
      <x:c r="B5036" s="16" t="str">
        <x:v>Norhosnita Halil</x:v>
      </x:c>
      <x:c r="C5036" s="16" t="str"/>
      <x:c r="D5036" s="16" t="str">
        <x:v>* myContacts</x:v>
      </x:c>
      <x:c r="E5036" s="16" t="str">
        <x:v>Missing email</x:v>
      </x:c>
    </x:row>
    <x:row r="5037">
      <x:c r="A5037" s="16" t="n">
        <x:v>5207</x:v>
      </x:c>
      <x:c r="B5037" s="16" t="str">
        <x:v>Norillahi Cuckoo Service</x:v>
      </x:c>
      <x:c r="C5037" s="16" t="str"/>
      <x:c r="D5037" s="16" t="str">
        <x:v>* myContacts</x:v>
      </x:c>
      <x:c r="E5037" s="16" t="str">
        <x:v>Missing email</x:v>
      </x:c>
    </x:row>
    <x:row r="5038">
      <x:c r="A5038" s="16" t="n">
        <x:v>5208</x:v>
      </x:c>
      <x:c r="B5038" s="16" t="str">
        <x:v>Norilyana AbLah</x:v>
      </x:c>
      <x:c r="C5038" s="16" t="str"/>
      <x:c r="D5038" s="16" t="str">
        <x:v>* myContacts</x:v>
      </x:c>
      <x:c r="E5038" s="16" t="str">
        <x:v>Missing email</x:v>
      </x:c>
    </x:row>
    <x:row r="5039">
      <x:c r="A5039" s="16" t="n">
        <x:v>5209</x:v>
      </x:c>
      <x:c r="B5039" s="16" t="str">
        <x:v>Norita Jasman</x:v>
      </x:c>
      <x:c r="C5039" s="16" t="str"/>
      <x:c r="D5039" s="16" t="str">
        <x:v>* myContacts</x:v>
      </x:c>
      <x:c r="E5039" s="16" t="str">
        <x:v>Missing email</x:v>
      </x:c>
    </x:row>
    <x:row r="5040">
      <x:c r="A5040" s="16" t="n">
        <x:v>5210</x:v>
      </x:c>
      <x:c r="B5040" s="16" t="str">
        <x:v>Noriza Ramlan</x:v>
      </x:c>
      <x:c r="C5040" s="16" t="str"/>
      <x:c r="D5040" s="16" t="str">
        <x:v>* myContacts</x:v>
      </x:c>
      <x:c r="E5040" s="16" t="str">
        <x:v>Missing email</x:v>
      </x:c>
    </x:row>
    <x:row r="5041">
      <x:c r="A5041" s="16" t="n">
        <x:v>5211</x:v>
      </x:c>
      <x:c r="B5041" s="16" t="str">
        <x:v>Norizan Zulkifli</x:v>
      </x:c>
      <x:c r="C5041" s="16" t="str"/>
      <x:c r="D5041" s="16" t="str">
        <x:v>* myContacts</x:v>
      </x:c>
      <x:c r="E5041" s="16" t="str">
        <x:v>Missing email</x:v>
      </x:c>
    </x:row>
    <x:row r="5042">
      <x:c r="A5042" s="16" t="n">
        <x:v>5212</x:v>
      </x:c>
      <x:c r="B5042" s="16" t="str">
        <x:v>Norkhafiza AGP</x:v>
      </x:c>
      <x:c r="C5042" s="16" t="str"/>
      <x:c r="D5042" s="16" t="str">
        <x:v>* myContacts</x:v>
      </x:c>
      <x:c r="E5042" s="16" t="str">
        <x:v>Missing email</x:v>
      </x:c>
    </x:row>
    <x:row r="5043">
      <x:c r="A5043" s="16" t="n">
        <x:v>5213</x:v>
      </x:c>
      <x:c r="B5043" s="16" t="str">
        <x:v>Norlaili Abd Satar</x:v>
      </x:c>
      <x:c r="C5043" s="16" t="str"/>
      <x:c r="D5043" s="16" t="str">
        <x:v>* myContacts</x:v>
      </x:c>
      <x:c r="E5043" s="16" t="str">
        <x:v>Missing email</x:v>
      </x:c>
    </x:row>
    <x:row r="5044">
      <x:c r="A5044" s="16" t="n">
        <x:v>5214</x:v>
      </x:c>
      <x:c r="B5044" s="16" t="str">
        <x:v>Norlaili Sidik</x:v>
      </x:c>
      <x:c r="C5044" s="16" t="str"/>
      <x:c r="D5044" s="16" t="str">
        <x:v>* myContacts</x:v>
      </x:c>
      <x:c r="E5044" s="16" t="str">
        <x:v>Missing email</x:v>
      </x:c>
    </x:row>
    <x:row r="5045">
      <x:c r="A5045" s="16" t="n">
        <x:v>5215</x:v>
      </x:c>
      <x:c r="B5045" s="16" t="str">
        <x:v>Norlela Aisy Lela</x:v>
      </x:c>
      <x:c r="C5045" s="16" t="str"/>
      <x:c r="D5045" s="16" t="str">
        <x:v>* myContacts</x:v>
      </x:c>
      <x:c r="E5045" s="16" t="str">
        <x:v>Missing email</x:v>
      </x:c>
    </x:row>
    <x:row r="5046">
      <x:c r="A5046" s="16" t="n">
        <x:v>5216</x:v>
      </x:c>
      <x:c r="B5046" s="16" t="str">
        <x:v>Norlelah Ahid</x:v>
      </x:c>
      <x:c r="C5046" s="16" t="str"/>
      <x:c r="D5046" s="16" t="str">
        <x:v>* myContacts</x:v>
      </x:c>
      <x:c r="E5046" s="16" t="str">
        <x:v>Missing email</x:v>
      </x:c>
    </x:row>
    <x:row r="5047">
      <x:c r="A5047" s="16" t="n">
        <x:v>5217</x:v>
      </x:c>
      <x:c r="B5047" s="16" t="str">
        <x:v>Norli PID Rasa</x:v>
      </x:c>
      <x:c r="C5047" s="16" t="str"/>
      <x:c r="D5047" s="16" t="str">
        <x:v>* myContacts</x:v>
      </x:c>
      <x:c r="E5047" s="16" t="str">
        <x:v>Missing email</x:v>
      </x:c>
    </x:row>
    <x:row r="5048">
      <x:c r="A5048" s="16" t="n">
        <x:v>5218</x:v>
      </x:c>
      <x:c r="B5048" s="16" t="str">
        <x:v>Norlia Zainal</x:v>
      </x:c>
      <x:c r="C5048" s="16" t="str"/>
      <x:c r="D5048" s="16" t="str">
        <x:v>* myContacts</x:v>
      </x:c>
      <x:c r="E5048" s="16" t="str">
        <x:v>Missing email</x:v>
      </x:c>
    </x:row>
    <x:row r="5049">
      <x:c r="A5049" s="16" t="n">
        <x:v>5219</x:v>
      </x:c>
      <x:c r="B5049" s="16" t="str">
        <x:v>Norliana Amchas</x:v>
      </x:c>
      <x:c r="C5049" s="16" t="str"/>
      <x:c r="D5049" s="16" t="str">
        <x:v>* myContacts</x:v>
      </x:c>
      <x:c r="E5049" s="16" t="str">
        <x:v>Missing email</x:v>
      </x:c>
    </x:row>
    <x:row r="5050">
      <x:c r="A5050" s="16" t="n">
        <x:v>5220</x:v>
      </x:c>
      <x:c r="B5050" s="16" t="str">
        <x:v>Norlida IM</x:v>
      </x:c>
      <x:c r="C5050" s="16" t="str"/>
      <x:c r="D5050" s="16" t="str">
        <x:v>* myContacts</x:v>
      </x:c>
      <x:c r="E5050" s="16" t="str">
        <x:v>Missing email</x:v>
      </x:c>
    </x:row>
    <x:row r="5051">
      <x:c r="A5051" s="16" t="n">
        <x:v>5221</x:v>
      </x:c>
      <x:c r="B5051" s="16" t="str">
        <x:v>Norly Aslinda</x:v>
      </x:c>
      <x:c r="C5051" s="16" t="str"/>
      <x:c r="D5051" s="16" t="str">
        <x:v>* myContacts</x:v>
      </x:c>
      <x:c r="E5051" s="16" t="str">
        <x:v>Missing email</x:v>
      </x:c>
    </x:row>
    <x:row r="5052">
      <x:c r="A5052" s="16" t="n">
        <x:v>5222</x:v>
      </x:c>
      <x:c r="B5052" s="16" t="str">
        <x:v>Norma Hazambi</x:v>
      </x:c>
      <x:c r="C5052" s="16" t="str"/>
      <x:c r="D5052" s="16" t="str">
        <x:v>* myContacts</x:v>
      </x:c>
      <x:c r="E5052" s="16" t="str">
        <x:v>Missing email</x:v>
      </x:c>
    </x:row>
    <x:row r="5053">
      <x:c r="A5053" s="16" t="n">
        <x:v>5223</x:v>
      </x:c>
      <x:c r="B5053" s="16" t="str">
        <x:v>Normah AGP</x:v>
      </x:c>
      <x:c r="C5053" s="16" t="str"/>
      <x:c r="D5053" s="16" t="str">
        <x:v>* myContacts</x:v>
      </x:c>
      <x:c r="E5053" s="16" t="str">
        <x:v>Missing email</x:v>
      </x:c>
    </x:row>
    <x:row r="5054">
      <x:c r="A5054" s="16" t="n">
        <x:v>5224</x:v>
      </x:c>
      <x:c r="B5054" s="16" t="str">
        <x:v>Normala Hamzah</x:v>
      </x:c>
      <x:c r="C5054" s="16" t="str"/>
      <x:c r="D5054" s="16" t="str">
        <x:v>* myContacts</x:v>
      </x:c>
      <x:c r="E5054" s="16" t="str">
        <x:v>Missing email</x:v>
      </x:c>
    </x:row>
    <x:row r="5055">
      <x:c r="A5055" s="16" t="n">
        <x:v>5225</x:v>
      </x:c>
      <x:c r="B5055" s="16" t="str">
        <x:v>Normalisa Mohd Musarupi</x:v>
      </x:c>
      <x:c r="C5055" s="16" t="str"/>
      <x:c r="D5055" s="16" t="str">
        <x:v>* myContacts</x:v>
      </x:c>
      <x:c r="E5055" s="16" t="str">
        <x:v>Missing email</x:v>
      </x:c>
    </x:row>
    <x:row r="5056">
      <x:c r="A5056" s="16" t="n">
        <x:v>5226</x:v>
      </x:c>
      <x:c r="B5056" s="16" t="str">
        <x:v>Normaya Osman</x:v>
      </x:c>
      <x:c r="C5056" s="16" t="str"/>
      <x:c r="D5056" s="16" t="str">
        <x:v>* myContacts</x:v>
      </x:c>
      <x:c r="E5056" s="16" t="str">
        <x:v>Missing email</x:v>
      </x:c>
    </x:row>
    <x:row r="5057">
      <x:c r="A5057" s="16" t="n">
        <x:v>5227</x:v>
      </x:c>
      <x:c r="B5057" s="16" t="str">
        <x:v>Nornazurah Mohammad</x:v>
      </x:c>
      <x:c r="C5057" s="16" t="str"/>
      <x:c r="D5057" s="16" t="str">
        <x:v>* myContacts</x:v>
      </x:c>
      <x:c r="E5057" s="16" t="str">
        <x:v>Missing email</x:v>
      </x:c>
    </x:row>
    <x:row r="5058">
      <x:c r="A5058" s="16" t="n">
        <x:v>5228</x:v>
      </x:c>
      <x:c r="B5058" s="16" t="str">
        <x:v>Nornikman Mat Yusoff</x:v>
      </x:c>
      <x:c r="C5058" s="16" t="str"/>
      <x:c r="D5058" s="16" t="str">
        <x:v>* myContacts</x:v>
      </x:c>
      <x:c r="E5058" s="16" t="str">
        <x:v>Missing email</x:v>
      </x:c>
    </x:row>
    <x:row r="5059">
      <x:c r="A5059" s="16" t="n">
        <x:v>5229</x:v>
      </x:c>
      <x:c r="B5059" s="16" t="str">
        <x:v>Norsamsida AGP</x:v>
      </x:c>
      <x:c r="C5059" s="16" t="str"/>
      <x:c r="D5059" s="16" t="str">
        <x:v>* myContacts</x:v>
      </x:c>
      <x:c r="E5059" s="16" t="str">
        <x:v>Missing email</x:v>
      </x:c>
    </x:row>
    <x:row r="5060">
      <x:c r="A5060" s="16" t="n">
        <x:v>5230</x:v>
      </x:c>
      <x:c r="B5060" s="16" t="str">
        <x:v>Norshahila Shiela</x:v>
      </x:c>
      <x:c r="C5060" s="16" t="str"/>
      <x:c r="D5060" s="16" t="str">
        <x:v>* myContacts</x:v>
      </x:c>
      <x:c r="E5060" s="16" t="str">
        <x:v>Missing email</x:v>
      </x:c>
    </x:row>
    <x:row r="5061">
      <x:c r="A5061" s="16" t="n">
        <x:v>5231</x:v>
      </x:c>
      <x:c r="B5061" s="16" t="str">
        <x:v>Norsharmila Mohd Yasar</x:v>
      </x:c>
      <x:c r="C5061" s="16" t="str"/>
      <x:c r="D5061" s="16" t="str">
        <x:v>* myContacts</x:v>
      </x:c>
      <x:c r="E5061" s="16" t="str">
        <x:v>Missing email</x:v>
      </x:c>
    </x:row>
    <x:row r="5062">
      <x:c r="A5062" s="16" t="n">
        <x:v>5232</x:v>
      </x:c>
      <x:c r="B5062" s="16" t="str">
        <x:v>Norsuzila Suzi</x:v>
      </x:c>
      <x:c r="C5062" s="16" t="str"/>
      <x:c r="D5062" s="16" t="str">
        <x:v>* myContacts</x:v>
      </x:c>
      <x:c r="E5062" s="16" t="str">
        <x:v>Missing email</x:v>
      </x:c>
    </x:row>
    <x:row r="5063">
      <x:c r="A5063" s="16" t="n">
        <x:v>5233</x:v>
      </x:c>
      <x:c r="B5063" s="16" t="str">
        <x:v>Norsyuhada Safri</x:v>
      </x:c>
      <x:c r="C5063" s="16" t="str"/>
      <x:c r="D5063" s="16" t="str">
        <x:v>* myContacts</x:v>
      </x:c>
      <x:c r="E5063" s="16" t="str">
        <x:v>Missing email</x:v>
      </x:c>
    </x:row>
    <x:row r="5064">
      <x:c r="A5064" s="16" t="n">
        <x:v>5234</x:v>
      </x:c>
      <x:c r="B5064" s="16" t="str">
        <x:v>Norsyuhada Shrul</x:v>
      </x:c>
      <x:c r="C5064" s="16" t="str"/>
      <x:c r="D5064" s="16" t="str">
        <x:v>* myContacts</x:v>
      </x:c>
      <x:c r="E5064" s="16" t="str">
        <x:v>Missing email</x:v>
      </x:c>
    </x:row>
    <x:row r="5065">
      <x:c r="A5065" s="16" t="n">
        <x:v>5235</x:v>
      </x:c>
      <x:c r="B5065" s="16" t="str">
        <x:v>Norul Hidayah</x:v>
      </x:c>
      <x:c r="C5065" s="16" t="str"/>
      <x:c r="D5065" s="16" t="str">
        <x:v>* myContacts</x:v>
      </x:c>
      <x:c r="E5065" s="16" t="str">
        <x:v>Missing email</x:v>
      </x:c>
    </x:row>
    <x:row r="5066">
      <x:c r="A5066" s="16" t="n">
        <x:v>5236</x:v>
      </x:c>
      <x:c r="B5066" s="16" t="str">
        <x:v>Norysham Kek Lapis</x:v>
      </x:c>
      <x:c r="C5066" s="16" t="str"/>
      <x:c r="D5066" s="16" t="str">
        <x:v>* myContacts</x:v>
      </x:c>
      <x:c r="E5066" s="16" t="str">
        <x:v>Missing email</x:v>
      </x:c>
    </x:row>
    <x:row r="5067">
      <x:c r="A5067" s="16" t="n">
        <x:v>5237</x:v>
      </x:c>
      <x:c r="B5067" s="16" t="str">
        <x:v>Norzureimy Mursal</x:v>
      </x:c>
      <x:c r="C5067" s="16" t="str"/>
      <x:c r="D5067" s="16" t="str">
        <x:v>* myContacts</x:v>
      </x:c>
      <x:c r="E5067" s="16" t="str">
        <x:v>Missing email</x:v>
      </x:c>
    </x:row>
    <x:row r="5068">
      <x:c r="A5068" s="16" t="n">
        <x:v>5238</x:v>
      </x:c>
      <x:c r="B5068" s="16" t="str">
        <x:v>Nourel Iman Iman</x:v>
      </x:c>
      <x:c r="C5068" s="16" t="str"/>
      <x:c r="D5068" s="16" t="str">
        <x:v>* myContacts</x:v>
      </x:c>
      <x:c r="E5068" s="16" t="str">
        <x:v>Missing email</x:v>
      </x:c>
    </x:row>
    <x:row r="5069">
      <x:c r="A5069" s="16" t="n">
        <x:v>5239</x:v>
      </x:c>
      <x:c r="B5069" s="16" t="str">
        <x:v>Nova Chabrety Ciiperkeleng</x:v>
      </x:c>
      <x:c r="C5069" s="16" t="str"/>
      <x:c r="D5069" s="16" t="str">
        <x:v>* myContacts</x:v>
      </x:c>
      <x:c r="E5069" s="16" t="str">
        <x:v>Missing email</x:v>
      </x:c>
    </x:row>
    <x:row r="5070">
      <x:c r="A5070" s="16" t="n">
        <x:v>5240</x:v>
      </x:c>
      <x:c r="B5070" s="16" t="str">
        <x:v>Novi Widi Yanti Yanti</x:v>
      </x:c>
      <x:c r="C5070" s="16" t="str"/>
      <x:c r="D5070" s="16" t="str">
        <x:v>* myContacts</x:v>
      </x:c>
      <x:c r="E5070" s="16" t="str">
        <x:v>Missing email</x:v>
      </x:c>
    </x:row>
    <x:row r="5071">
      <x:c r="A5071" s="16" t="n">
        <x:v>5241</x:v>
      </x:c>
      <x:c r="B5071" s="16" t="str">
        <x:v>Nrl AfifaRoslan</x:v>
      </x:c>
      <x:c r="C5071" s="16" t="str"/>
      <x:c r="D5071" s="16" t="str">
        <x:v>* myContacts</x:v>
      </x:c>
      <x:c r="E5071" s="16" t="str">
        <x:v>Missing email</x:v>
      </x:c>
    </x:row>
    <x:row r="5072">
      <x:c r="A5072" s="16" t="n">
        <x:v>5242</x:v>
      </x:c>
      <x:c r="B5072" s="16" t="str">
        <x:v>Nuliana Ana</x:v>
      </x:c>
      <x:c r="C5072" s="16" t="str"/>
      <x:c r="D5072" s="16" t="str">
        <x:v>* myContacts</x:v>
      </x:c>
      <x:c r="E5072" s="16" t="str">
        <x:v>Missing email</x:v>
      </x:c>
    </x:row>
    <x:row r="5073">
      <x:c r="A5073" s="16" t="n">
        <x:v>5243</x:v>
      </x:c>
      <x:c r="B5073" s="16" t="str">
        <x:v>Nunung Ilyani Makkawaru</x:v>
      </x:c>
      <x:c r="C5073" s="16" t="str"/>
      <x:c r="D5073" s="16" t="str">
        <x:v>* myContacts</x:v>
      </x:c>
      <x:c r="E5073" s="16" t="str">
        <x:v>Missing email</x:v>
      </x:c>
    </x:row>
    <x:row r="5074">
      <x:c r="A5074" s="16" t="n">
        <x:v>5244</x:v>
      </x:c>
      <x:c r="B5074" s="16" t="str">
        <x:v>Nuqman Nabil</x:v>
      </x:c>
      <x:c r="C5074" s="16" t="str"/>
      <x:c r="D5074" s="16" t="str">
        <x:v>* myContacts</x:v>
      </x:c>
      <x:c r="E5074" s="16" t="str">
        <x:v>Missing email</x:v>
      </x:c>
    </x:row>
    <x:row r="5075">
      <x:c r="A5075" s="16" t="n">
        <x:v>5245</x:v>
      </x:c>
      <x:c r="B5075" s="16" t="str">
        <x:v>Nur Adira QM</x:v>
      </x:c>
      <x:c r="C5075" s="16" t="str"/>
      <x:c r="D5075" s="16" t="str">
        <x:v>* myContacts</x:v>
      </x:c>
      <x:c r="E5075" s="16" t="str">
        <x:v>Missing email</x:v>
      </x:c>
    </x:row>
    <x:row r="5076">
      <x:c r="A5076" s="16" t="n">
        <x:v>5246</x:v>
      </x:c>
      <x:c r="B5076" s="16" t="str">
        <x:v>Nur Afiq Izham</x:v>
      </x:c>
      <x:c r="C5076" s="16" t="str"/>
      <x:c r="D5076" s="16" t="str">
        <x:v>* myContacts</x:v>
      </x:c>
      <x:c r="E5076" s="16" t="str">
        <x:v>Missing email</x:v>
      </x:c>
    </x:row>
    <x:row r="5077">
      <x:c r="A5077" s="16" t="n">
        <x:v>5247</x:v>
      </x:c>
      <x:c r="B5077" s="16" t="str">
        <x:v>Nur Afiqah</x:v>
      </x:c>
      <x:c r="C5077" s="16" t="str"/>
      <x:c r="D5077" s="16" t="str">
        <x:v>* myContacts</x:v>
      </x:c>
      <x:c r="E5077" s="16" t="str">
        <x:v>Missing email</x:v>
      </x:c>
    </x:row>
    <x:row r="5078">
      <x:c r="A5078" s="16" t="n">
        <x:v>5248</x:v>
      </x:c>
      <x:c r="B5078" s="16" t="str">
        <x:v>Nur Ain AGP</x:v>
      </x:c>
      <x:c r="C5078" s="16" t="str"/>
      <x:c r="D5078" s="16" t="str">
        <x:v>* myContacts</x:v>
      </x:c>
      <x:c r="E5078" s="16" t="str">
        <x:v>Missing email</x:v>
      </x:c>
    </x:row>
    <x:row r="5079">
      <x:c r="A5079" s="16" t="n">
        <x:v>5249</x:v>
      </x:c>
      <x:c r="B5079" s="16" t="str">
        <x:v>Nur Ain Nazri</x:v>
      </x:c>
      <x:c r="C5079" s="16" t="str"/>
      <x:c r="D5079" s="16" t="str">
        <x:v>* myContacts</x:v>
      </x:c>
      <x:c r="E5079" s="16" t="str">
        <x:v>Missing email</x:v>
      </x:c>
    </x:row>
    <x:row r="5080">
      <x:c r="A5080" s="16" t="n">
        <x:v>5250</x:v>
      </x:c>
      <x:c r="B5080" s="16" t="str">
        <x:v>Nur Aini</x:v>
      </x:c>
      <x:c r="C5080" s="16" t="str"/>
      <x:c r="D5080" s="16" t="str">
        <x:v>* myContacts</x:v>
      </x:c>
      <x:c r="E5080" s="16" t="str">
        <x:v>Missing email</x:v>
      </x:c>
    </x:row>
    <x:row r="5081">
      <x:c r="A5081" s="16" t="n">
        <x:v>5251</x:v>
      </x:c>
      <x:c r="B5081" s="16" t="str">
        <x:v>Nur Ainie</x:v>
      </x:c>
      <x:c r="C5081" s="16" t="str"/>
      <x:c r="D5081" s="16" t="str">
        <x:v>* myContacts</x:v>
      </x:c>
      <x:c r="E5081" s="16" t="str">
        <x:v>Missing email</x:v>
      </x:c>
    </x:row>
    <x:row r="5082">
      <x:c r="A5082" s="16" t="n">
        <x:v>5252</x:v>
      </x:c>
      <x:c r="B5082" s="16" t="str">
        <x:v>Nur Aireen Natasha</x:v>
      </x:c>
      <x:c r="C5082" s="16" t="str"/>
      <x:c r="D5082" s="16" t="str">
        <x:v>* myContacts</x:v>
      </x:c>
      <x:c r="E5082" s="16" t="str">
        <x:v>Missing email</x:v>
      </x:c>
    </x:row>
    <x:row r="5083">
      <x:c r="A5083" s="16" t="n">
        <x:v>5253</x:v>
      </x:c>
      <x:c r="B5083" s="16" t="str">
        <x:v>Nur Aishah Rohaizat</x:v>
      </x:c>
      <x:c r="C5083" s="16" t="str"/>
      <x:c r="D5083" s="16" t="str">
        <x:v>* myContacts</x:v>
      </x:c>
      <x:c r="E5083" s="16" t="str">
        <x:v>Missing email</x:v>
      </x:c>
    </x:row>
    <x:row r="5084">
      <x:c r="A5084" s="16" t="n">
        <x:v>5254</x:v>
      </x:c>
      <x:c r="B5084" s="16" t="str">
        <x:v>Nur Aizah Rjb</x:v>
      </x:c>
      <x:c r="C5084" s="16" t="str"/>
      <x:c r="D5084" s="16" t="str">
        <x:v>* myContacts</x:v>
      </x:c>
      <x:c r="E5084" s="16" t="str">
        <x:v>Missing email</x:v>
      </x:c>
    </x:row>
    <x:row r="5085">
      <x:c r="A5085" s="16" t="n">
        <x:v>5255</x:v>
      </x:c>
      <x:c r="B5085" s="16" t="str">
        <x:v>Nur Akmar Ariffin</x:v>
      </x:c>
      <x:c r="C5085" s="16" t="str"/>
      <x:c r="D5085" s="16" t="str">
        <x:v>* myContacts</x:v>
      </x:c>
      <x:c r="E5085" s="16" t="str">
        <x:v>Missing email</x:v>
      </x:c>
    </x:row>
    <x:row r="5086">
      <x:c r="A5086" s="16" t="n">
        <x:v>5256</x:v>
      </x:c>
      <x:c r="B5086" s="16" t="str">
        <x:v>Nur Amiera Syuhada</x:v>
      </x:c>
      <x:c r="C5086" s="16" t="str"/>
      <x:c r="D5086" s="16" t="str">
        <x:v>* myContacts</x:v>
      </x:c>
      <x:c r="E5086" s="16" t="str">
        <x:v>Missing email</x:v>
      </x:c>
    </x:row>
    <x:row r="5087">
      <x:c r="A5087" s="16" t="n">
        <x:v>5257</x:v>
      </x:c>
      <x:c r="B5087" s="16" t="str">
        <x:v>Nur Amira</x:v>
      </x:c>
      <x:c r="C5087" s="16" t="str"/>
      <x:c r="D5087" s="16" t="str">
        <x:v>* myContacts</x:v>
      </x:c>
      <x:c r="E5087" s="16" t="str">
        <x:v>Missing email</x:v>
      </x:c>
    </x:row>
    <x:row r="5088">
      <x:c r="A5088" s="16" t="n">
        <x:v>5258</x:v>
      </x:c>
      <x:c r="B5088" s="16" t="str">
        <x:v>Nur Amiza Azmi</x:v>
      </x:c>
      <x:c r="C5088" s="16" t="str"/>
      <x:c r="D5088" s="16" t="str">
        <x:v>* myContacts</x:v>
      </x:c>
      <x:c r="E5088" s="16" t="str">
        <x:v>Missing email</x:v>
      </x:c>
    </x:row>
    <x:row r="5089">
      <x:c r="A5089" s="16" t="n">
        <x:v>5259</x:v>
      </x:c>
      <x:c r="B5089" s="16" t="str">
        <x:v>Nur Anisah Abdullah</x:v>
      </x:c>
      <x:c r="C5089" s="16" t="str"/>
      <x:c r="D5089" s="16" t="str">
        <x:v>* myContacts</x:v>
      </x:c>
      <x:c r="E5089" s="16" t="str">
        <x:v>Missing email</x:v>
      </x:c>
    </x:row>
    <x:row r="5090">
      <x:c r="A5090" s="16" t="n">
        <x:v>5261</x:v>
      </x:c>
      <x:c r="B5090" s="16" t="str">
        <x:v>Nur Aqilah MK</x:v>
      </x:c>
      <x:c r="C5090" s="16" t="str"/>
      <x:c r="D5090" s="16" t="str">
        <x:v>* myContacts</x:v>
      </x:c>
      <x:c r="E5090" s="16" t="str">
        <x:v>Missing email</x:v>
      </x:c>
    </x:row>
    <x:row r="5091">
      <x:c r="A5091" s="16" t="n">
        <x:v>5262</x:v>
      </x:c>
      <x:c r="B5091" s="16" t="str">
        <x:v>Nur Arimi Suhada Bakar</x:v>
      </x:c>
      <x:c r="C5091" s="16" t="str"/>
      <x:c r="D5091" s="16" t="str">
        <x:v>* myContacts</x:v>
      </x:c>
      <x:c r="E5091" s="16" t="str">
        <x:v>Missing email</x:v>
      </x:c>
    </x:row>
    <x:row r="5092">
      <x:c r="A5092" s="16" t="n">
        <x:v>5263</x:v>
      </x:c>
      <x:c r="B5092" s="16" t="str">
        <x:v>Nur Athma Zulkarnaini</x:v>
      </x:c>
      <x:c r="C5092" s="16" t="str"/>
      <x:c r="D5092" s="16" t="str">
        <x:v>* myContacts</x:v>
      </x:c>
      <x:c r="E5092" s="16" t="str">
        <x:v>Missing email</x:v>
      </x:c>
    </x:row>
    <x:row r="5093">
      <x:c r="A5093" s="16" t="n">
        <x:v>5264</x:v>
      </x:c>
      <x:c r="B5093" s="16" t="str">
        <x:v>Nur Azila</x:v>
      </x:c>
      <x:c r="C5093" s="16" t="str"/>
      <x:c r="D5093" s="16" t="str">
        <x:v>* myContacts</x:v>
      </x:c>
      <x:c r="E5093" s="16" t="str">
        <x:v>Missing email</x:v>
      </x:c>
    </x:row>
    <x:row r="5094">
      <x:c r="A5094" s="16" t="n">
        <x:v>5265</x:v>
      </x:c>
      <x:c r="B5094" s="16" t="str">
        <x:v>Nur Azlina Eina</x:v>
      </x:c>
      <x:c r="C5094" s="16" t="str"/>
      <x:c r="D5094" s="16" t="str">
        <x:v>* myContacts</x:v>
      </x:c>
      <x:c r="E5094" s="16" t="str">
        <x:v>Missing email</x:v>
      </x:c>
    </x:row>
    <x:row r="5095">
      <x:c r="A5095" s="16" t="n">
        <x:v>5266</x:v>
      </x:c>
      <x:c r="B5095" s="16" t="str">
        <x:v>Nur Azmannur</x:v>
      </x:c>
      <x:c r="C5095" s="16" t="str"/>
      <x:c r="D5095" s="16" t="str">
        <x:v>* myContacts</x:v>
      </x:c>
      <x:c r="E5095" s="16" t="str">
        <x:v>Missing email</x:v>
      </x:c>
    </x:row>
    <x:row r="5096">
      <x:c r="A5096" s="16" t="n">
        <x:v>5268</x:v>
      </x:c>
      <x:c r="B5096" s="16" t="str">
        <x:v>Nur Azrita GE Takaful</x:v>
      </x:c>
      <x:c r="C5096" s="16" t="str"/>
      <x:c r="D5096" s="16" t="str">
        <x:v>* myContacts</x:v>
      </x:c>
      <x:c r="E5096" s="16" t="str">
        <x:v>Missing email</x:v>
      </x:c>
    </x:row>
    <x:row r="5097">
      <x:c r="A5097" s="16" t="n">
        <x:v>5269</x:v>
      </x:c>
      <x:c r="B5097" s="16" t="str">
        <x:v>Nur Baizura Md Shariff</x:v>
      </x:c>
      <x:c r="C5097" s="16" t="str"/>
      <x:c r="D5097" s="16" t="str">
        <x:v>* myContacts</x:v>
      </x:c>
      <x:c r="E5097" s="16" t="str">
        <x:v>Missing email</x:v>
      </x:c>
    </x:row>
    <x:row r="5098">
      <x:c r="A5098" s="16" t="n">
        <x:v>5270</x:v>
      </x:c>
      <x:c r="B5098" s="16" t="str">
        <x:v>Nur Diyana Jamaludin</x:v>
      </x:c>
      <x:c r="C5098" s="16" t="str"/>
      <x:c r="D5098" s="16" t="str">
        <x:v>* myContacts</x:v>
      </x:c>
      <x:c r="E5098" s="16" t="str">
        <x:v>Missing email</x:v>
      </x:c>
    </x:row>
    <x:row r="5099">
      <x:c r="A5099" s="16" t="n">
        <x:v>5271</x:v>
      </x:c>
      <x:c r="B5099" s="16" t="str">
        <x:v>Nur Elisa</x:v>
      </x:c>
      <x:c r="C5099" s="16" t="str"/>
      <x:c r="D5099" s="16" t="str">
        <x:v>* myContacts</x:v>
      </x:c>
      <x:c r="E5099" s="16" t="str">
        <x:v>Missing email</x:v>
      </x:c>
    </x:row>
    <x:row r="5100">
      <x:c r="A5100" s="16" t="n">
        <x:v>5272</x:v>
      </x:c>
      <x:c r="B5100" s="16" t="str">
        <x:v>Nur Fadzlina Othman</x:v>
      </x:c>
      <x:c r="C5100" s="16" t="str"/>
      <x:c r="D5100" s="16" t="str">
        <x:v>* myContacts</x:v>
      </x:c>
      <x:c r="E5100" s="16" t="str">
        <x:v>Missing email</x:v>
      </x:c>
    </x:row>
    <x:row r="5101">
      <x:c r="A5101" s="16" t="n">
        <x:v>5273</x:v>
      </x:c>
      <x:c r="B5101" s="16" t="str">
        <x:v>Nur Farhana ZA</x:v>
      </x:c>
      <x:c r="C5101" s="16" t="str"/>
      <x:c r="D5101" s="16" t="str">
        <x:v>* myContacts</x:v>
      </x:c>
      <x:c r="E5101" s="16" t="str">
        <x:v>Missing email</x:v>
      </x:c>
    </x:row>
    <x:row r="5102">
      <x:c r="A5102" s="16" t="n">
        <x:v>5274</x:v>
      </x:c>
      <x:c r="B5102" s="16" t="str">
        <x:v>Nur Fathin Muhamad Fadzil</x:v>
      </x:c>
      <x:c r="C5102" s="16" t="str"/>
      <x:c r="D5102" s="16" t="str">
        <x:v>* myContacts</x:v>
      </x:c>
      <x:c r="E5102" s="16" t="str">
        <x:v>Missing email</x:v>
      </x:c>
    </x:row>
    <x:row r="5103">
      <x:c r="A5103" s="16" t="n">
        <x:v>5275</x:v>
      </x:c>
      <x:c r="B5103" s="16" t="str">
        <x:v>Nur Fatihah Ibeauty</x:v>
      </x:c>
      <x:c r="C5103" s="16" t="str"/>
      <x:c r="D5103" s="16" t="str">
        <x:v>* myContacts</x:v>
      </x:c>
      <x:c r="E5103" s="16" t="str">
        <x:v>Missing email</x:v>
      </x:c>
    </x:row>
    <x:row r="5104">
      <x:c r="A5104" s="16" t="n">
        <x:v>5276</x:v>
      </x:c>
      <x:c r="B5104" s="16" t="str">
        <x:v>Nur Fatihah NurilImani</x:v>
      </x:c>
      <x:c r="C5104" s="16" t="str"/>
      <x:c r="D5104" s="16" t="str">
        <x:v>* myContacts</x:v>
      </x:c>
      <x:c r="E5104" s="16" t="str">
        <x:v>Missing email</x:v>
      </x:c>
    </x:row>
    <x:row r="5105">
      <x:c r="A5105" s="16" t="n">
        <x:v>5277</x:v>
      </x:c>
      <x:c r="B5105" s="16" t="str">
        <x:v>Nur Fatin Awanis VOE EU2023</x:v>
      </x:c>
      <x:c r="C5105" s="16" t="str"/>
      <x:c r="D5105" s="16" t="str">
        <x:v>* myContacts</x:v>
      </x:c>
      <x:c r="E5105" s="16" t="str">
        <x:v>Missing email</x:v>
      </x:c>
    </x:row>
    <x:row r="5106">
      <x:c r="A5106" s="16" t="n">
        <x:v>5278</x:v>
      </x:c>
      <x:c r="B5106" s="16" t="str">
        <x:v>Nur Fatin Nazihah Ideris</x:v>
      </x:c>
      <x:c r="C5106" s="16" t="str"/>
      <x:c r="D5106" s="16" t="str">
        <x:v>* myContacts</x:v>
      </x:c>
      <x:c r="E5106" s="16" t="str">
        <x:v>Missing email</x:v>
      </x:c>
    </x:row>
    <x:row r="5107">
      <x:c r="A5107" s="16" t="n">
        <x:v>5279</x:v>
      </x:c>
      <x:c r="B5107" s="16" t="str">
        <x:v>Nur Fazlina</x:v>
      </x:c>
      <x:c r="C5107" s="16" t="str"/>
      <x:c r="D5107" s="16" t="str">
        <x:v>* myContacts</x:v>
      </x:c>
      <x:c r="E5107" s="16" t="str">
        <x:v>Missing email</x:v>
      </x:c>
    </x:row>
    <x:row r="5108">
      <x:c r="A5108" s="16" t="n">
        <x:v>5280</x:v>
      </x:c>
      <x:c r="B5108" s="16" t="str">
        <x:v>Nur Fikri</x:v>
      </x:c>
      <x:c r="C5108" s="16" t="str"/>
      <x:c r="D5108" s="16" t="str">
        <x:v>* myContacts</x:v>
      </x:c>
      <x:c r="E5108" s="16" t="str">
        <x:v>Missing email</x:v>
      </x:c>
    </x:row>
    <x:row r="5109">
      <x:c r="A5109" s="16" t="n">
        <x:v>5281</x:v>
      </x:c>
      <x:c r="B5109" s="16" t="str">
        <x:v>Nur Firdaus Hijrah Selangor</x:v>
      </x:c>
      <x:c r="C5109" s="16" t="str"/>
      <x:c r="D5109" s="16" t="str">
        <x:v>* myContacts</x:v>
      </x:c>
      <x:c r="E5109" s="16" t="str">
        <x:v>Missing email</x:v>
      </x:c>
    </x:row>
    <x:row r="5110">
      <x:c r="A5110" s="16" t="n">
        <x:v>5282</x:v>
      </x:c>
      <x:c r="B5110" s="16" t="str">
        <x:v>Nur Fittri Azmi</x:v>
      </x:c>
      <x:c r="C5110" s="16" t="str"/>
      <x:c r="D5110" s="16" t="str">
        <x:v>* myContacts</x:v>
      </x:c>
      <x:c r="E5110" s="16" t="str">
        <x:v>Missing email</x:v>
      </x:c>
    </x:row>
    <x:row r="5111">
      <x:c r="A5111" s="16" t="n">
        <x:v>5283</x:v>
      </x:c>
      <x:c r="B5111" s="16" t="str">
        <x:v>Nur Hamizah</x:v>
      </x:c>
      <x:c r="C5111" s="16" t="str"/>
      <x:c r="D5111" s="16" t="str">
        <x:v>* myContacts</x:v>
      </x:c>
      <x:c r="E5111" s="16" t="str">
        <x:v>Missing email</x:v>
      </x:c>
    </x:row>
    <x:row r="5112">
      <x:c r="A5112" s="16" t="n">
        <x:v>5284</x:v>
      </x:c>
      <x:c r="B5112" s="16" t="str">
        <x:v>Nur Hanim Abu Bakar</x:v>
      </x:c>
      <x:c r="C5112" s="16" t="str"/>
      <x:c r="D5112" s="16" t="str">
        <x:v>* myContacts</x:v>
      </x:c>
      <x:c r="E5112" s="16" t="str">
        <x:v>Missing email</x:v>
      </x:c>
    </x:row>
    <x:row r="5113">
      <x:c r="A5113" s="16" t="n">
        <x:v>5285</x:v>
      </x:c>
      <x:c r="B5113" s="16" t="str">
        <x:v>Nur Haniss</x:v>
      </x:c>
      <x:c r="C5113" s="16" t="str"/>
      <x:c r="D5113" s="16" t="str">
        <x:v>* myContacts</x:v>
      </x:c>
      <x:c r="E5113" s="16" t="str">
        <x:v>Missing email</x:v>
      </x:c>
    </x:row>
    <x:row r="5114">
      <x:c r="A5114" s="16" t="n">
        <x:v>5286</x:v>
      </x:c>
      <x:c r="B5114" s="16" t="str">
        <x:v>Nur Hayati Abu Hassan</x:v>
      </x:c>
      <x:c r="C5114" s="16" t="str"/>
      <x:c r="D5114" s="16" t="str">
        <x:v>* myContacts</x:v>
      </x:c>
      <x:c r="E5114" s="16" t="str">
        <x:v>Missing email</x:v>
      </x:c>
    </x:row>
    <x:row r="5115">
      <x:c r="A5115" s="16" t="n">
        <x:v>5287</x:v>
      </x:c>
      <x:c r="B5115" s="16" t="str">
        <x:v>Nur Hayati Khalid</x:v>
      </x:c>
      <x:c r="C5115" s="16" t="str"/>
      <x:c r="D5115" s="16" t="str">
        <x:v>* myContacts</x:v>
      </x:c>
      <x:c r="E5115" s="16" t="str">
        <x:v>Missing email</x:v>
      </x:c>
    </x:row>
    <x:row r="5116">
      <x:c r="A5116" s="16" t="n">
        <x:v>5288</x:v>
      </x:c>
      <x:c r="B5116" s="16" t="str">
        <x:v>Nur Hazalizah Noorahim</x:v>
      </x:c>
      <x:c r="C5116" s="16" t="str"/>
      <x:c r="D5116" s="16" t="str">
        <x:v>* myContacts</x:v>
      </x:c>
      <x:c r="E5116" s="16" t="str">
        <x:v>Missing email</x:v>
      </x:c>
    </x:row>
    <x:row r="5117">
      <x:c r="A5117" s="16" t="n">
        <x:v>5289</x:v>
      </x:c>
      <x:c r="B5117" s="16" t="str">
        <x:v>Nur Hazirah</x:v>
      </x:c>
      <x:c r="C5117" s="16" t="str"/>
      <x:c r="D5117" s="16" t="str">
        <x:v>* myContacts</x:v>
      </x:c>
      <x:c r="E5117" s="16" t="str">
        <x:v>Missing email</x:v>
      </x:c>
    </x:row>
    <x:row r="5118">
      <x:c r="A5118" s="16" t="n">
        <x:v>5290</x:v>
      </x:c>
      <x:c r="B5118" s="16" t="str">
        <x:v>Nur Hisyam Azmi</x:v>
      </x:c>
      <x:c r="C5118" s="16" t="str"/>
      <x:c r="D5118" s="16" t="str">
        <x:v>* myContacts</x:v>
      </x:c>
      <x:c r="E5118" s="16" t="str">
        <x:v>Missing email</x:v>
      </x:c>
    </x:row>
    <x:row r="5119">
      <x:c r="A5119" s="16" t="n">
        <x:v>5291</x:v>
      </x:c>
      <x:c r="B5119" s="16" t="str">
        <x:v>Nur Iliayahna</x:v>
      </x:c>
      <x:c r="C5119" s="16" t="str"/>
      <x:c r="D5119" s="16" t="str">
        <x:v>* myContacts</x:v>
      </x:c>
      <x:c r="E5119" s="16" t="str">
        <x:v>Missing email</x:v>
      </x:c>
    </x:row>
    <x:row r="5120">
      <x:c r="A5120" s="16" t="n">
        <x:v>5292</x:v>
      </x:c>
      <x:c r="B5120" s="16" t="str">
        <x:v>Nur Iman Islam</x:v>
      </x:c>
      <x:c r="C5120" s="16" t="str"/>
      <x:c r="D5120" s="16" t="str">
        <x:v>* myContacts</x:v>
      </x:c>
      <x:c r="E5120" s="16" t="str">
        <x:v>Missing email</x:v>
      </x:c>
    </x:row>
    <x:row r="5121">
      <x:c r="A5121" s="16" t="n">
        <x:v>5293</x:v>
      </x:c>
      <x:c r="B5121" s="16" t="str">
        <x:v>Nur Irfan</x:v>
      </x:c>
      <x:c r="C5121" s="16" t="str"/>
      <x:c r="D5121" s="16" t="str">
        <x:v>* myContacts</x:v>
      </x:c>
      <x:c r="E5121" s="16" t="str">
        <x:v>Missing email</x:v>
      </x:c>
    </x:row>
    <x:row r="5122">
      <x:c r="A5122" s="16" t="n">
        <x:v>5294</x:v>
      </x:c>
      <x:c r="B5122" s="16" t="str">
        <x:v>Nur Is</x:v>
      </x:c>
      <x:c r="C5122" s="16" t="str"/>
      <x:c r="D5122" s="16" t="str">
        <x:v>* myContacts</x:v>
      </x:c>
      <x:c r="E5122" s="16" t="str">
        <x:v>Missing email</x:v>
      </x:c>
    </x:row>
    <x:row r="5123">
      <x:c r="A5123" s="16" t="n">
        <x:v>5295</x:v>
      </x:c>
      <x:c r="B5123" s="16" t="str">
        <x:v>Nur Ismidatul Akmal Ismail</x:v>
      </x:c>
      <x:c r="C5123" s="16" t="str"/>
      <x:c r="D5123" s="16" t="str">
        <x:v>* myContacts</x:v>
      </x:c>
      <x:c r="E5123" s="16" t="str">
        <x:v>Missing email</x:v>
      </x:c>
    </x:row>
    <x:row r="5124">
      <x:c r="A5124" s="16" t="n">
        <x:v>5296</x:v>
      </x:c>
      <x:c r="B5124" s="16" t="str">
        <x:v>Nur Kasih</x:v>
      </x:c>
      <x:c r="C5124" s="16" t="str"/>
      <x:c r="D5124" s="16" t="str">
        <x:v>* myContacts</x:v>
      </x:c>
      <x:c r="E5124" s="16" t="str">
        <x:v>Missing email</x:v>
      </x:c>
    </x:row>
    <x:row r="5125">
      <x:c r="A5125" s="16" t="n">
        <x:v>5297</x:v>
      </x:c>
      <x:c r="B5125" s="16" t="str">
        <x:v>NUR LAMAN BESTARI</x:v>
      </x:c>
      <x:c r="C5125" s="16" t="str"/>
      <x:c r="D5125" s="16" t="str">
        <x:v>* myContacts</x:v>
      </x:c>
      <x:c r="E5125" s="16" t="str">
        <x:v>Missing email</x:v>
      </x:c>
    </x:row>
    <x:row r="5126">
      <x:c r="A5126" s="16" t="n">
        <x:v>5298</x:v>
      </x:c>
      <x:c r="B5126" s="16" t="str">
        <x:v>Nur Lina</x:v>
      </x:c>
      <x:c r="C5126" s="16" t="str"/>
      <x:c r="D5126" s="16" t="str">
        <x:v>* myContacts</x:v>
      </x:c>
      <x:c r="E5126" s="16" t="str">
        <x:v>Missing email</x:v>
      </x:c>
    </x:row>
    <x:row r="5127">
      <x:c r="A5127" s="16" t="n">
        <x:v>5299</x:v>
      </x:c>
      <x:c r="B5127" s="16" t="str">
        <x:v>Nur Liyanah</x:v>
      </x:c>
      <x:c r="C5127" s="16" t="str"/>
      <x:c r="D5127" s="16" t="str">
        <x:v>* myContacts</x:v>
      </x:c>
      <x:c r="E5127" s="16" t="str">
        <x:v>Missing email</x:v>
      </x:c>
    </x:row>
    <x:row r="5128">
      <x:c r="A5128" s="16" t="n">
        <x:v>5300</x:v>
      </x:c>
      <x:c r="B5128" s="16" t="str">
        <x:v>Nur Madihah</x:v>
      </x:c>
      <x:c r="C5128" s="16" t="str"/>
      <x:c r="D5128" s="16" t="str">
        <x:v>* myContacts</x:v>
      </x:c>
      <x:c r="E5128" s="16" t="str">
        <x:v>Missing email</x:v>
      </x:c>
    </x:row>
    <x:row r="5129">
      <x:c r="A5129" s="16" t="n">
        <x:v>5301</x:v>
      </x:c>
      <x:c r="B5129" s="16" t="str">
        <x:v>Nur Madihah Muhamad Nor</x:v>
      </x:c>
      <x:c r="C5129" s="16" t="str"/>
      <x:c r="D5129" s="16" t="str">
        <x:v>* myContacts</x:v>
      </x:c>
      <x:c r="E5129" s="16" t="str">
        <x:v>Missing email</x:v>
      </x:c>
    </x:row>
    <x:row r="5130">
      <x:c r="A5130" s="16" t="n">
        <x:v>5302</x:v>
      </x:c>
      <x:c r="B5130" s="16" t="str">
        <x:v>Nur Mardhiah</x:v>
      </x:c>
      <x:c r="C5130" s="16" t="str"/>
      <x:c r="D5130" s="16" t="str">
        <x:v>* myContacts</x:v>
      </x:c>
      <x:c r="E5130" s="16" t="str">
        <x:v>Missing email</x:v>
      </x:c>
    </x:row>
    <x:row r="5131">
      <x:c r="A5131" s="16" t="n">
        <x:v>5303</x:v>
      </x:c>
      <x:c r="B5131" s="16" t="str">
        <x:v>Nur Nabila Mansor</x:v>
      </x:c>
      <x:c r="C5131" s="16" t="str"/>
      <x:c r="D5131" s="16" t="str">
        <x:v>* myContacts</x:v>
      </x:c>
      <x:c r="E5131" s="16" t="str">
        <x:v>Missing email</x:v>
      </x:c>
    </x:row>
    <x:row r="5132">
      <x:c r="A5132" s="16" t="n">
        <x:v>5304</x:v>
      </x:c>
      <x:c r="B5132" s="16" t="str">
        <x:v>Nur Nurhaizah</x:v>
      </x:c>
      <x:c r="C5132" s="16" t="str"/>
      <x:c r="D5132" s="16" t="str">
        <x:v>* myContacts</x:v>
      </x:c>
      <x:c r="E5132" s="16" t="str">
        <x:v>Missing email</x:v>
      </x:c>
    </x:row>
    <x:row r="5133">
      <x:c r="A5133" s="16" t="n">
        <x:v>5305</x:v>
      </x:c>
      <x:c r="B5133" s="16" t="str">
        <x:v>Nur Power Revo</x:v>
      </x:c>
      <x:c r="C5133" s="16" t="str"/>
      <x:c r="D5133" s="16" t="str">
        <x:v>* myContacts</x:v>
      </x:c>
      <x:c r="E5133" s="16" t="str">
        <x:v>Missing email</x:v>
      </x:c>
    </x:row>
    <x:row r="5134">
      <x:c r="A5134" s="16" t="n">
        <x:v>5306</x:v>
      </x:c>
      <x:c r="B5134" s="16" t="str">
        <x:v>Nur Qolbi</x:v>
      </x:c>
      <x:c r="C5134" s="16" t="str"/>
      <x:c r="D5134" s="16" t="str">
        <x:v>* myContacts</x:v>
      </x:c>
      <x:c r="E5134" s="16" t="str">
        <x:v>Missing email</x:v>
      </x:c>
    </x:row>
    <x:row r="5135">
      <x:c r="A5135" s="16" t="n">
        <x:v>5307</x:v>
      </x:c>
      <x:c r="B5135" s="16" t="str">
        <x:v>Nur Shahila Abd Rahman</x:v>
      </x:c>
      <x:c r="C5135" s="16" t="str"/>
      <x:c r="D5135" s="16" t="str">
        <x:v>* myContacts</x:v>
      </x:c>
      <x:c r="E5135" s="16" t="str">
        <x:v>Missing email</x:v>
      </x:c>
    </x:row>
    <x:row r="5136">
      <x:c r="A5136" s="16" t="n">
        <x:v>5308</x:v>
      </x:c>
      <x:c r="B5136" s="16" t="str">
        <x:v>Nur Shahsila Razalee</x:v>
      </x:c>
      <x:c r="C5136" s="16" t="str"/>
      <x:c r="D5136" s="16" t="str">
        <x:v>* myContacts</x:v>
      </x:c>
      <x:c r="E5136" s="16" t="str">
        <x:v>Missing email</x:v>
      </x:c>
    </x:row>
    <x:row r="5137">
      <x:c r="A5137" s="16" t="n">
        <x:v>5309</x:v>
      </x:c>
      <x:c r="B5137" s="16" t="str">
        <x:v>Nur Shuhada</x:v>
      </x:c>
      <x:c r="C5137" s="16" t="str"/>
      <x:c r="D5137" s="16" t="str">
        <x:v>* myContacts</x:v>
      </x:c>
      <x:c r="E5137" s="16" t="str">
        <x:v>Missing email</x:v>
      </x:c>
    </x:row>
    <x:row r="5138">
      <x:c r="A5138" s="16" t="n">
        <x:v>5310</x:v>
      </x:c>
      <x:c r="B5138" s="16" t="str">
        <x:v>Nur Sue</x:v>
      </x:c>
      <x:c r="C5138" s="16" t="str"/>
      <x:c r="D5138" s="16" t="str">
        <x:v>* myContacts</x:v>
      </x:c>
      <x:c r="E5138" s="16" t="str">
        <x:v>Missing email</x:v>
      </x:c>
    </x:row>
    <x:row r="5139">
      <x:c r="A5139" s="16" t="n">
        <x:v>5311</x:v>
      </x:c>
      <x:c r="B5139" s="16" t="str">
        <x:v>Nur Syahira</x:v>
      </x:c>
      <x:c r="C5139" s="16" t="str"/>
      <x:c r="D5139" s="16" t="str">
        <x:v>* myContacts</x:v>
      </x:c>
      <x:c r="E5139" s="16" t="str">
        <x:v>Missing email</x:v>
      </x:c>
    </x:row>
    <x:row r="5140">
      <x:c r="A5140" s="16" t="n">
        <x:v>5312</x:v>
      </x:c>
      <x:c r="B5140" s="16" t="str">
        <x:v>Nur Syamimi</x:v>
      </x:c>
      <x:c r="C5140" s="16" t="str"/>
      <x:c r="D5140" s="16" t="str">
        <x:v>* myContacts</x:v>
      </x:c>
      <x:c r="E5140" s="16" t="str">
        <x:v>Missing email</x:v>
      </x:c>
    </x:row>
    <x:row r="5141">
      <x:c r="A5141" s="16" t="n">
        <x:v>5313</x:v>
      </x:c>
      <x:c r="B5141" s="16" t="str">
        <x:v>Nur Syaq</x:v>
      </x:c>
      <x:c r="C5141" s="16" t="str"/>
      <x:c r="D5141" s="16" t="str">
        <x:v>* myContacts</x:v>
      </x:c>
      <x:c r="E5141" s="16" t="str">
        <x:v>Missing email</x:v>
      </x:c>
    </x:row>
    <x:row r="5142">
      <x:c r="A5142" s="16" t="n">
        <x:v>5314</x:v>
      </x:c>
      <x:c r="B5142" s="16" t="str">
        <x:v>Nur Syawani</x:v>
      </x:c>
      <x:c r="C5142" s="16" t="str"/>
      <x:c r="D5142" s="16" t="str">
        <x:v>* myContacts</x:v>
      </x:c>
      <x:c r="E5142" s="16" t="str">
        <x:v>Missing email</x:v>
      </x:c>
    </x:row>
    <x:row r="5143">
      <x:c r="A5143" s="16" t="n">
        <x:v>5315</x:v>
      </x:c>
      <x:c r="B5143" s="16" t="str">
        <x:v>Nur Syifaa Amirah Awang</x:v>
      </x:c>
      <x:c r="C5143" s="16" t="str"/>
      <x:c r="D5143" s="16" t="str">
        <x:v>* myContacts</x:v>
      </x:c>
      <x:c r="E5143" s="16" t="str">
        <x:v>Missing email</x:v>
      </x:c>
    </x:row>
    <x:row r="5144">
      <x:c r="A5144" s="16" t="n">
        <x:v>5317</x:v>
      </x:c>
      <x:c r="B5144" s="16" t="str">
        <x:v>Nur Wahyu</x:v>
      </x:c>
      <x:c r="C5144" s="16" t="str"/>
      <x:c r="D5144" s="16" t="str">
        <x:v>* myContacts</x:v>
      </x:c>
      <x:c r="E5144" s="16" t="str">
        <x:v>Missing email</x:v>
      </x:c>
    </x:row>
    <x:row r="5145">
      <x:c r="A5145" s="16" t="n">
        <x:v>5318</x:v>
      </x:c>
      <x:c r="B5145" s="16" t="str">
        <x:v>Nur wazni eusahawan</x:v>
      </x:c>
      <x:c r="C5145" s="16" t="str"/>
      <x:c r="D5145" s="16" t="str">
        <x:v>Alumni eUsahawan | * myContacts</x:v>
      </x:c>
      <x:c r="E5145" s="16" t="str">
        <x:v>Missing email</x:v>
      </x:c>
    </x:row>
    <x:row r="5146">
      <x:c r="A5146" s="16" t="n">
        <x:v>5319</x:v>
      </x:c>
      <x:c r="B5146" s="16" t="str">
        <x:v>Nur Zahidah Razak</x:v>
      </x:c>
      <x:c r="C5146" s="16" t="str"/>
      <x:c r="D5146" s="16" t="str">
        <x:v>* myContacts</x:v>
      </x:c>
      <x:c r="E5146" s="16" t="str">
        <x:v>Missing email</x:v>
      </x:c>
    </x:row>
    <x:row r="5147">
      <x:c r="A5147" s="16" t="n">
        <x:v>5320</x:v>
      </x:c>
      <x:c r="B5147" s="16" t="str">
        <x:v>Nur Zawani</x:v>
      </x:c>
      <x:c r="C5147" s="16" t="str"/>
      <x:c r="D5147" s="16" t="str">
        <x:v>* myContacts</x:v>
      </x:c>
      <x:c r="E5147" s="16" t="str">
        <x:v>Missing email</x:v>
      </x:c>
    </x:row>
    <x:row r="5148">
      <x:c r="A5148" s="16" t="n">
        <x:v>5321</x:v>
      </x:c>
      <x:c r="B5148" s="16" t="str">
        <x:v>Nura Mdec IM</x:v>
      </x:c>
      <x:c r="C5148" s="16" t="str"/>
      <x:c r="D5148" s="16" t="str">
        <x:v>* myContacts</x:v>
      </x:c>
      <x:c r="E5148" s="16" t="str">
        <x:v>Missing email</x:v>
      </x:c>
    </x:row>
    <x:row r="5149">
      <x:c r="A5149" s="16" t="n">
        <x:v>5322</x:v>
      </x:c>
      <x:c r="B5149" s="16" t="str">
        <x:v>Nurain Asri</x:v>
      </x:c>
      <x:c r="C5149" s="16" t="str"/>
      <x:c r="D5149" s="16" t="str">
        <x:v>* myContacts</x:v>
      </x:c>
      <x:c r="E5149" s="16" t="str">
        <x:v>Missing email</x:v>
      </x:c>
    </x:row>
    <x:row r="5150">
      <x:c r="A5150" s="16" t="n">
        <x:v>5323</x:v>
      </x:c>
      <x:c r="B5150" s="16" t="str">
        <x:v>Nuraina Atieqa</x:v>
      </x:c>
      <x:c r="C5150" s="16" t="str"/>
      <x:c r="D5150" s="16" t="str">
        <x:v>* myContacts</x:v>
      </x:c>
      <x:c r="E5150" s="16" t="str">
        <x:v>Missing email</x:v>
      </x:c>
    </x:row>
    <x:row r="5151">
      <x:c r="A5151" s="16" t="n">
        <x:v>5324</x:v>
      </x:c>
      <x:c r="B5151" s="16" t="str">
        <x:v>nurashikin Man Resources</x:v>
      </x:c>
      <x:c r="C5151" s="16" t="str"/>
      <x:c r="D5151" s="16" t="str">
        <x:v>* myContacts</x:v>
      </x:c>
      <x:c r="E5151" s="16" t="str">
        <x:v>Missing email</x:v>
      </x:c>
    </x:row>
    <x:row r="5152">
      <x:c r="A5152" s="16" t="n">
        <x:v>5325</x:v>
      </x:c>
      <x:c r="B5152" s="16" t="str">
        <x:v>Nuratikah Moin</x:v>
      </x:c>
      <x:c r="C5152" s="16" t="str"/>
      <x:c r="D5152" s="16" t="str">
        <x:v>* myContacts</x:v>
      </x:c>
      <x:c r="E5152" s="16" t="str">
        <x:v>Missing email</x:v>
      </x:c>
    </x:row>
    <x:row r="5153">
      <x:c r="A5153" s="16" t="n">
        <x:v>5326</x:v>
      </x:c>
      <x:c r="B5153" s="16" t="str">
        <x:v>Nurdiana Nordin</x:v>
      </x:c>
      <x:c r="C5153" s="16" t="str"/>
      <x:c r="D5153" s="16" t="str">
        <x:v>* myContacts</x:v>
      </x:c>
      <x:c r="E5153" s="16" t="str">
        <x:v>Missing email</x:v>
      </x:c>
    </x:row>
    <x:row r="5154">
      <x:c r="A5154" s="16" t="n">
        <x:v>5328</x:v>
      </x:c>
      <x:c r="B5154" s="16" t="str">
        <x:v>Nurfarah Izzat Abd Aziz</x:v>
      </x:c>
      <x:c r="C5154" s="16" t="str"/>
      <x:c r="D5154" s="16" t="str">
        <x:v>* myContacts</x:v>
      </x:c>
      <x:c r="E5154" s="16" t="str">
        <x:v>Missing email</x:v>
      </x:c>
    </x:row>
    <x:row r="5155">
      <x:c r="A5155" s="16" t="n">
        <x:v>5329</x:v>
      </x:c>
      <x:c r="B5155" s="16" t="str">
        <x:v>Nurfarahin Mohd Shariff</x:v>
      </x:c>
      <x:c r="C5155" s="16" t="str"/>
      <x:c r="D5155" s="16" t="str">
        <x:v>* myContacts</x:v>
      </x:c>
      <x:c r="E5155" s="16" t="str">
        <x:v>Missing email</x:v>
      </x:c>
    </x:row>
    <x:row r="5156">
      <x:c r="A5156" s="16" t="n">
        <x:v>5330</x:v>
      </x:c>
      <x:c r="B5156" s="16" t="str">
        <x:v>NURFARHANA BINTI SAMLAN Elektriksola</x:v>
      </x:c>
      <x:c r="C5156" s="16" t="str"/>
      <x:c r="D5156" s="16" t="str">
        <x:v>* myContacts</x:v>
      </x:c>
      <x:c r="E5156" s="16" t="str">
        <x:v>Missing email</x:v>
      </x:c>
    </x:row>
    <x:row r="5157">
      <x:c r="A5157" s="16" t="n">
        <x:v>5331</x:v>
      </x:c>
      <x:c r="B5157" s="16" t="str">
        <x:v>Nurfarisha Mohamad Ruslan</x:v>
      </x:c>
      <x:c r="C5157" s="16" t="str"/>
      <x:c r="D5157" s="16" t="str">
        <x:v>* myContacts</x:v>
      </x:c>
      <x:c r="E5157" s="16" t="str">
        <x:v>Missing email</x:v>
      </x:c>
    </x:row>
    <x:row r="5158">
      <x:c r="A5158" s="16" t="n">
        <x:v>5333</x:v>
      </x:c>
      <x:c r="B5158" s="16" t="str">
        <x:v>Nurfitrah Hidayah</x:v>
      </x:c>
      <x:c r="C5158" s="16" t="str"/>
      <x:c r="D5158" s="16" t="str">
        <x:v>* myContacts</x:v>
      </x:c>
      <x:c r="E5158" s="16" t="str">
        <x:v>Missing email</x:v>
      </x:c>
    </x:row>
    <x:row r="5159">
      <x:c r="A5159" s="16" t="n">
        <x:v>5334</x:v>
      </x:c>
      <x:c r="B5159" s="16" t="str">
        <x:v>Nurhafiza Madzki</x:v>
      </x:c>
      <x:c r="C5159" s="16" t="str"/>
      <x:c r="D5159" s="16" t="str">
        <x:v>* myContacts</x:v>
      </x:c>
      <x:c r="E5159" s="16" t="str">
        <x:v>Missing email</x:v>
      </x:c>
    </x:row>
    <x:row r="5160">
      <x:c r="A5160" s="16" t="n">
        <x:v>5335</x:v>
      </x:c>
      <x:c r="B5160" s="16" t="str">
        <x:v>Nurhaija Andung Januwi</x:v>
      </x:c>
      <x:c r="C5160" s="16" t="str"/>
      <x:c r="D5160" s="16" t="str">
        <x:v>* myContacts</x:v>
      </x:c>
      <x:c r="E5160" s="16" t="str">
        <x:v>Missing email</x:v>
      </x:c>
    </x:row>
    <x:row r="5161">
      <x:c r="A5161" s="16" t="n">
        <x:v>5336</x:v>
      </x:c>
      <x:c r="B5161" s="16" t="str">
        <x:v>Nurhanani Zulkefli</x:v>
      </x:c>
      <x:c r="C5161" s="16" t="str"/>
      <x:c r="D5161" s="16" t="str">
        <x:v>* myContacts</x:v>
      </x:c>
      <x:c r="E5161" s="16" t="str">
        <x:v>Missing email</x:v>
      </x:c>
    </x:row>
    <x:row r="5162">
      <x:c r="A5162" s="16" t="n">
        <x:v>5337</x:v>
      </x:c>
      <x:c r="B5162" s="16" t="str">
        <x:v>Nurhidayah AGP</x:v>
      </x:c>
      <x:c r="C5162" s="16" t="str"/>
      <x:c r="D5162" s="16" t="str">
        <x:v>* myContacts</x:v>
      </x:c>
      <x:c r="E5162" s="16" t="str">
        <x:v>Missing email</x:v>
      </x:c>
    </x:row>
    <x:row r="5163">
      <x:c r="A5163" s="16" t="n">
        <x:v>5338</x:v>
      </x:c>
      <x:c r="B5163" s="16" t="str">
        <x:v>Nuriman Zaini</x:v>
      </x:c>
      <x:c r="C5163" s="16" t="str"/>
      <x:c r="D5163" s="16" t="str">
        <x:v>* myContacts</x:v>
      </x:c>
      <x:c r="E5163" s="16" t="str">
        <x:v>Missing email</x:v>
      </x:c>
    </x:row>
    <x:row r="5164">
      <x:c r="A5164" s="16" t="n">
        <x:v>5339</x:v>
      </x:c>
      <x:c r="B5164" s="16" t="str">
        <x:v>Nurin Farisha</x:v>
      </x:c>
      <x:c r="C5164" s="16" t="str"/>
      <x:c r="D5164" s="16" t="str">
        <x:v>* myContacts</x:v>
      </x:c>
      <x:c r="E5164" s="16" t="str">
        <x:v>Missing email</x:v>
      </x:c>
    </x:row>
    <x:row r="5165">
      <x:c r="A5165" s="16" t="n">
        <x:v>5340</x:v>
      </x:c>
      <x:c r="B5165" s="16" t="str">
        <x:v>Nurin Hanani</x:v>
      </x:c>
      <x:c r="C5165" s="16" t="str"/>
      <x:c r="D5165" s="16" t="str">
        <x:v>* myContacts</x:v>
      </x:c>
      <x:c r="E5165" s="16" t="str">
        <x:v>Missing email</x:v>
      </x:c>
    </x:row>
    <x:row r="5166">
      <x:c r="A5166" s="16" t="n">
        <x:v>5341</x:v>
      </x:c>
      <x:c r="B5166" s="16" t="str">
        <x:v>Nurine Siripatana</x:v>
      </x:c>
      <x:c r="C5166" s="16" t="str"/>
      <x:c r="D5166" s="16" t="str">
        <x:v>* myContacts</x:v>
      </x:c>
      <x:c r="E5166" s="16" t="str">
        <x:v>Missing email</x:v>
      </x:c>
    </x:row>
    <x:row r="5167">
      <x:c r="A5167" s="16" t="n">
        <x:v>5342</x:v>
      </x:c>
      <x:c r="B5167" s="16" t="str">
        <x:v>Nuris Iris</x:v>
      </x:c>
      <x:c r="C5167" s="16" t="str"/>
      <x:c r="D5167" s="16" t="str">
        <x:v>* myContacts</x:v>
      </x:c>
      <x:c r="E5167" s="16" t="str">
        <x:v>Missing email</x:v>
      </x:c>
    </x:row>
    <x:row r="5168">
      <x:c r="A5168" s="16" t="n">
        <x:v>5343</x:v>
      </x:c>
      <x:c r="B5168" s="16" t="str">
        <x:v>Nuris Ismail</x:v>
      </x:c>
      <x:c r="C5168" s="16" t="str"/>
      <x:c r="D5168" s="16" t="str">
        <x:v>* myContacts</x:v>
      </x:c>
      <x:c r="E5168" s="16" t="str">
        <x:v>Missing email</x:v>
      </x:c>
    </x:row>
    <x:row r="5169">
      <x:c r="A5169" s="16" t="n">
        <x:v>5344</x:v>
      </x:c>
      <x:c r="B5169" s="16" t="str">
        <x:v>Nurizam Hasan</x:v>
      </x:c>
      <x:c r="C5169" s="16" t="str"/>
      <x:c r="D5169" s="16" t="str">
        <x:v>* myContacts</x:v>
      </x:c>
      <x:c r="E5169" s="16" t="str">
        <x:v>Missing email</x:v>
      </x:c>
    </x:row>
    <x:row r="5170">
      <x:c r="A5170" s="16" t="n">
        <x:v>5345</x:v>
      </x:c>
      <x:c r="B5170" s="16" t="str">
        <x:v>Nurliana Ahmad</x:v>
      </x:c>
      <x:c r="C5170" s="16" t="str"/>
      <x:c r="D5170" s="16" t="str">
        <x:v>* myContacts</x:v>
      </x:c>
      <x:c r="E5170" s="16" t="str">
        <x:v>Missing email</x:v>
      </x:c>
    </x:row>
    <x:row r="5171">
      <x:c r="A5171" s="16" t="n">
        <x:v>5346</x:v>
      </x:c>
      <x:c r="B5171" s="16" t="str">
        <x:v>Nurlina Nana Marlina</x:v>
      </x:c>
      <x:c r="C5171" s="16" t="str"/>
      <x:c r="D5171" s="16" t="str">
        <x:v>* myContacts</x:v>
      </x:c>
      <x:c r="E5171" s="16" t="str">
        <x:v>Missing email</x:v>
      </x:c>
    </x:row>
    <x:row r="5172">
      <x:c r="A5172" s="16" t="n">
        <x:v>5347</x:v>
      </x:c>
      <x:c r="B5172" s="16" t="str">
        <x:v>Nurliyana Safian</x:v>
      </x:c>
      <x:c r="C5172" s="16" t="str"/>
      <x:c r="D5172" s="16" t="str">
        <x:v>* myContacts</x:v>
      </x:c>
      <x:c r="E5172" s="16" t="str">
        <x:v>Missing email</x:v>
      </x:c>
    </x:row>
    <x:row r="5173">
      <x:c r="A5173" s="16" t="n">
        <x:v>5348</x:v>
      </x:c>
      <x:c r="B5173" s="16" t="str">
        <x:v>Nurmaya Bonda Furniture</x:v>
      </x:c>
      <x:c r="C5173" s="16" t="str"/>
      <x:c r="D5173" s="16" t="str">
        <x:v>* myContacts</x:v>
      </x:c>
      <x:c r="E5173" s="16" t="str">
        <x:v>Missing email</x:v>
      </x:c>
    </x:row>
    <x:row r="5174">
      <x:c r="A5174" s="16" t="n">
        <x:v>5349</x:v>
      </x:c>
      <x:c r="B5174" s="16" t="str">
        <x:v>Nurnabila AGP</x:v>
      </x:c>
      <x:c r="C5174" s="16" t="str"/>
      <x:c r="D5174" s="16" t="str">
        <x:v>* myContacts</x:v>
      </x:c>
      <x:c r="E5174" s="16" t="str">
        <x:v>Missing email</x:v>
      </x:c>
    </x:row>
    <x:row r="5175">
      <x:c r="A5175" s="16" t="n">
        <x:v>5350</x:v>
      </x:c>
      <x:c r="B5175" s="16" t="str">
        <x:v>Nurrain Jamal</x:v>
      </x:c>
      <x:c r="C5175" s="16" t="str"/>
      <x:c r="D5175" s="16" t="str">
        <x:v>* myContacts</x:v>
      </x:c>
      <x:c r="E5175" s="16" t="str">
        <x:v>Missing email</x:v>
      </x:c>
    </x:row>
    <x:row r="5176">
      <x:c r="A5176" s="16" t="n">
        <x:v>5351</x:v>
      </x:c>
      <x:c r="B5176" s="16" t="str">
        <x:v>Nurraysa Hazlin</x:v>
      </x:c>
      <x:c r="C5176" s="16" t="str"/>
      <x:c r="D5176" s="16" t="str">
        <x:v>* myContacts</x:v>
      </x:c>
      <x:c r="E5176" s="16" t="str">
        <x:v>Missing email</x:v>
      </x:c>
    </x:row>
    <x:row r="5177">
      <x:c r="A5177" s="16" t="n">
        <x:v>5352</x:v>
      </x:c>
      <x:c r="B5177" s="16" t="str">
        <x:v>Nurrul Jannah</x:v>
      </x:c>
      <x:c r="C5177" s="16" t="str"/>
      <x:c r="D5177" s="16" t="str">
        <x:v>* myContacts</x:v>
      </x:c>
      <x:c r="E5177" s="16" t="str">
        <x:v>Missing email</x:v>
      </x:c>
    </x:row>
    <x:row r="5178">
      <x:c r="A5178" s="16" t="n">
        <x:v>5353</x:v>
      </x:c>
      <x:c r="B5178" s="16" t="str">
        <x:v>NurShahiera Ismail</x:v>
      </x:c>
      <x:c r="C5178" s="16" t="str"/>
      <x:c r="D5178" s="16" t="str">
        <x:v>* myContacts</x:v>
      </x:c>
      <x:c r="E5178" s="16" t="str">
        <x:v>Missing email</x:v>
      </x:c>
    </x:row>
    <x:row r="5179">
      <x:c r="A5179" s="16" t="n">
        <x:v>5354</x:v>
      </x:c>
      <x:c r="B5179" s="16" t="str">
        <x:v>Nurshazwany Nurshazwany</x:v>
      </x:c>
      <x:c r="C5179" s="16" t="str"/>
      <x:c r="D5179" s="16" t="str">
        <x:v>* myContacts</x:v>
      </x:c>
      <x:c r="E5179" s="16" t="str">
        <x:v>Missing email</x:v>
      </x:c>
    </x:row>
    <x:row r="5180">
      <x:c r="A5180" s="16" t="n">
        <x:v>5355</x:v>
      </x:c>
      <x:c r="B5180" s="16" t="str">
        <x:v>Nurshoppe Greenapple</x:v>
      </x:c>
      <x:c r="C5180" s="16" t="str"/>
      <x:c r="D5180" s="16" t="str">
        <x:v>* myContacts</x:v>
      </x:c>
      <x:c r="E5180" s="16" t="str">
        <x:v>Missing email</x:v>
      </x:c>
    </x:row>
    <x:row r="5181">
      <x:c r="A5181" s="16" t="n">
        <x:v>5356</x:v>
      </x:c>
      <x:c r="B5181" s="16" t="str">
        <x:v>Nursia Juhari</x:v>
      </x:c>
      <x:c r="C5181" s="16" t="str"/>
      <x:c r="D5181" s="16" t="str">
        <x:v>* myContacts</x:v>
      </x:c>
      <x:c r="E5181" s="16" t="str">
        <x:v>Missing email</x:v>
      </x:c>
    </x:row>
    <x:row r="5182">
      <x:c r="A5182" s="16" t="n">
        <x:v>5357</x:v>
      </x:c>
      <x:c r="B5182" s="16" t="str">
        <x:v>Nursyafiqa Nik Abd Rahim</x:v>
      </x:c>
      <x:c r="C5182" s="16" t="str"/>
      <x:c r="D5182" s="16" t="str">
        <x:v>* myContacts</x:v>
      </x:c>
      <x:c r="E5182" s="16" t="str">
        <x:v>Missing email</x:v>
      </x:c>
    </x:row>
    <x:row r="5183">
      <x:c r="A5183" s="16" t="n">
        <x:v>5358</x:v>
      </x:c>
      <x:c r="B5183" s="16" t="str">
        <x:v>Nurul Adila Azmi</x:v>
      </x:c>
      <x:c r="C5183" s="16" t="str"/>
      <x:c r="D5183" s="16" t="str">
        <x:v>* myContacts</x:v>
      </x:c>
      <x:c r="E5183" s="16" t="str">
        <x:v>Missing email</x:v>
      </x:c>
    </x:row>
    <x:row r="5184">
      <x:c r="A5184" s="16" t="n">
        <x:v>5359</x:v>
      </x:c>
      <x:c r="B5184" s="16" t="str">
        <x:v>Nurul Afiqah</x:v>
      </x:c>
      <x:c r="C5184" s="16" t="str"/>
      <x:c r="D5184" s="16" t="str">
        <x:v>* myContacts</x:v>
      </x:c>
      <x:c r="E5184" s="16" t="str">
        <x:v>Missing email</x:v>
      </x:c>
    </x:row>
    <x:row r="5185">
      <x:c r="A5185" s="16" t="n">
        <x:v>5360</x:v>
      </x:c>
      <x:c r="B5185" s="16" t="str">
        <x:v>Nurul Afiqah Khairul Adnan</x:v>
      </x:c>
      <x:c r="C5185" s="16" t="str"/>
      <x:c r="D5185" s="16" t="str">
        <x:v>* myContacts</x:v>
      </x:c>
      <x:c r="E5185" s="16" t="str">
        <x:v>Missing email</x:v>
      </x:c>
    </x:row>
    <x:row r="5186">
      <x:c r="A5186" s="16" t="n">
        <x:v>5361</x:v>
      </x:c>
      <x:c r="B5186" s="16" t="str">
        <x:v>Nurul Aien</x:v>
      </x:c>
      <x:c r="C5186" s="16" t="str"/>
      <x:c r="D5186" s="16" t="str">
        <x:v>* myContacts</x:v>
      </x:c>
      <x:c r="E5186" s="16" t="str">
        <x:v>Missing email</x:v>
      </x:c>
    </x:row>
    <x:row r="5187">
      <x:c r="A5187" s="16" t="n">
        <x:v>5362</x:v>
      </x:c>
      <x:c r="B5187" s="16" t="str">
        <x:v>Nurul Ain</x:v>
      </x:c>
      <x:c r="C5187" s="16" t="str"/>
      <x:c r="D5187" s="16" t="str">
        <x:v>* myContacts</x:v>
      </x:c>
      <x:c r="E5187" s="16" t="str">
        <x:v>Missing email</x:v>
      </x:c>
    </x:row>
    <x:row r="5188">
      <x:c r="A5188" s="16" t="n">
        <x:v>5363</x:v>
      </x:c>
      <x:c r="B5188" s="16" t="str">
        <x:v>Nurul Ain Aide</x:v>
      </x:c>
      <x:c r="C5188" s="16" t="str"/>
      <x:c r="D5188" s="16" t="str">
        <x:v>* myContacts</x:v>
      </x:c>
      <x:c r="E5188" s="16" t="str">
        <x:v>Missing email</x:v>
      </x:c>
    </x:row>
    <x:row r="5189">
      <x:c r="A5189" s="16" t="n">
        <x:v>5364</x:v>
      </x:c>
      <x:c r="B5189" s="16" t="str">
        <x:v>Nurul Ain Izzatti Arijan</x:v>
      </x:c>
      <x:c r="C5189" s="16" t="str"/>
      <x:c r="D5189" s="16" t="str">
        <x:v>* myContacts</x:v>
      </x:c>
      <x:c r="E5189" s="16" t="str">
        <x:v>Missing email</x:v>
      </x:c>
    </x:row>
    <x:row r="5190">
      <x:c r="A5190" s="16" t="n">
        <x:v>5365</x:v>
      </x:c>
      <x:c r="B5190" s="16" t="str">
        <x:v>Nurul Aini AGP</x:v>
      </x:c>
      <x:c r="C5190" s="16" t="str"/>
      <x:c r="D5190" s="16" t="str">
        <x:v>* myContacts</x:v>
      </x:c>
      <x:c r="E5190" s="16" t="str">
        <x:v>Missing email</x:v>
      </x:c>
    </x:row>
    <x:row r="5191">
      <x:c r="A5191" s="16" t="n">
        <x:v>5366</x:v>
      </x:c>
      <x:c r="B5191" s="16" t="str">
        <x:v>Nurul Aini Ain</x:v>
      </x:c>
      <x:c r="C5191" s="16" t="str"/>
      <x:c r="D5191" s="16" t="str">
        <x:v>* myContacts</x:v>
      </x:c>
      <x:c r="E5191" s="16" t="str">
        <x:v>Missing email</x:v>
      </x:c>
    </x:row>
    <x:row r="5192">
      <x:c r="A5192" s="16" t="n">
        <x:v>5367</x:v>
      </x:c>
      <x:c r="B5192" s="16" t="str">
        <x:v>Nurul Amiratul</x:v>
      </x:c>
      <x:c r="C5192" s="16" t="str"/>
      <x:c r="D5192" s="16" t="str">
        <x:v>* myContacts</x:v>
      </x:c>
      <x:c r="E5192" s="16" t="str">
        <x:v>Missing email</x:v>
      </x:c>
    </x:row>
    <x:row r="5193">
      <x:c r="A5193" s="16" t="n">
        <x:v>5368</x:v>
      </x:c>
      <x:c r="B5193" s="16" t="str">
        <x:v>Nurul Amylea</x:v>
      </x:c>
      <x:c r="C5193" s="16" t="str"/>
      <x:c r="D5193" s="16" t="str">
        <x:v>* myContacts</x:v>
      </x:c>
      <x:c r="E5193" s="16" t="str">
        <x:v>Missing email</x:v>
      </x:c>
    </x:row>
    <x:row r="5194">
      <x:c r="A5194" s="16" t="n">
        <x:v>5369</x:v>
      </x:c>
      <x:c r="B5194" s="16" t="str">
        <x:v>Nurul Aqidah</x:v>
      </x:c>
      <x:c r="C5194" s="16" t="str"/>
      <x:c r="D5194" s="16" t="str">
        <x:v>* myContacts</x:v>
      </x:c>
      <x:c r="E5194" s="16" t="str">
        <x:v>Missing email</x:v>
      </x:c>
    </x:row>
    <x:row r="5195">
      <x:c r="A5195" s="16" t="n">
        <x:v>5370</x:v>
      </x:c>
      <x:c r="B5195" s="16" t="str">
        <x:v>Nurul Ashiqqin</x:v>
      </x:c>
      <x:c r="C5195" s="16" t="str"/>
      <x:c r="D5195" s="16" t="str">
        <x:v>* myContacts</x:v>
      </x:c>
      <x:c r="E5195" s="16" t="str">
        <x:v>Missing email</x:v>
      </x:c>
    </x:row>
    <x:row r="5196">
      <x:c r="A5196" s="16" t="n">
        <x:v>5371</x:v>
      </x:c>
      <x:c r="B5196" s="16" t="str">
        <x:v>Nurul Asma Nudar</x:v>
      </x:c>
      <x:c r="C5196" s="16" t="str"/>
      <x:c r="D5196" s="16" t="str">
        <x:v>* myContacts</x:v>
      </x:c>
      <x:c r="E5196" s="16" t="str">
        <x:v>Missing email</x:v>
      </x:c>
    </x:row>
    <x:row r="5197">
      <x:c r="A5197" s="16" t="n">
        <x:v>5372</x:v>
      </x:c>
      <x:c r="B5197" s="16" t="str">
        <x:v>Nurul Asmida Pengasuh Langkawi</x:v>
      </x:c>
      <x:c r="C5197" s="16" t="str"/>
      <x:c r="D5197" s="16" t="str">
        <x:v>* myContacts</x:v>
      </x:c>
      <x:c r="E5197" s="16" t="str">
        <x:v>Missing email</x:v>
      </x:c>
    </x:row>
    <x:row r="5198">
      <x:c r="A5198" s="16" t="n">
        <x:v>5373</x:v>
      </x:c>
      <x:c r="B5198" s="16" t="str">
        <x:v>Nurul Asyiqin Zahir</x:v>
      </x:c>
      <x:c r="C5198" s="16" t="str"/>
      <x:c r="D5198" s="16" t="str">
        <x:v>* myContacts</x:v>
      </x:c>
      <x:c r="E5198" s="16" t="str">
        <x:v>Missing email</x:v>
      </x:c>
    </x:row>
    <x:row r="5199">
      <x:c r="A5199" s="16" t="n">
        <x:v>5374</x:v>
      </x:c>
      <x:c r="B5199" s="16" t="str">
        <x:v>Nurul Athirah Ramdin Stg</x:v>
      </x:c>
      <x:c r="C5199" s="16" t="str"/>
      <x:c r="D5199" s="16" t="str">
        <x:v>* myContacts</x:v>
      </x:c>
      <x:c r="E5199" s="16" t="str">
        <x:v>Missing email</x:v>
      </x:c>
    </x:row>
    <x:row r="5200">
      <x:c r="A5200" s="16" t="n">
        <x:v>5375</x:v>
      </x:c>
      <x:c r="B5200" s="16" t="str">
        <x:v>Nurul Azeera Tiktok MANAGER</x:v>
      </x:c>
      <x:c r="C5200" s="16" t="str"/>
      <x:c r="D5200" s="16" t="str">
        <x:v>* myContacts</x:v>
      </x:c>
      <x:c r="E5200" s="16" t="str">
        <x:v>Missing email</x:v>
      </x:c>
    </x:row>
    <x:row r="5201">
      <x:c r="A5201" s="16" t="n">
        <x:v>5376</x:v>
      </x:c>
      <x:c r="B5201" s="16" t="str">
        <x:v>Nurul Azrina Kadri</x:v>
      </x:c>
      <x:c r="C5201" s="16" t="str"/>
      <x:c r="D5201" s="16" t="str">
        <x:v>* myContacts</x:v>
      </x:c>
      <x:c r="E5201" s="16" t="str">
        <x:v>Missing email</x:v>
      </x:c>
    </x:row>
    <x:row r="5202">
      <x:c r="A5202" s="16" t="n">
        <x:v>5377</x:v>
      </x:c>
      <x:c r="B5202" s="16" t="str">
        <x:v>Nurul dpim</x:v>
      </x:c>
      <x:c r="C5202" s="16" t="str"/>
      <x:c r="D5202" s="16" t="str">
        <x:v>* myContacts</x:v>
      </x:c>
      <x:c r="E5202" s="16" t="str">
        <x:v>Missing email</x:v>
      </x:c>
    </x:row>
    <x:row r="5203">
      <x:c r="A5203" s="16" t="n">
        <x:v>5378</x:v>
      </x:c>
      <x:c r="B5203" s="16" t="str">
        <x:v>Nurul Fadzilah Noordin Trainer Sabah</x:v>
      </x:c>
      <x:c r="C5203" s="16" t="str"/>
      <x:c r="D5203" s="16" t="str">
        <x:v>* myContacts</x:v>
      </x:c>
      <x:c r="E5203" s="16" t="str">
        <x:v>Missing email</x:v>
      </x:c>
    </x:row>
    <x:row r="5204">
      <x:c r="A5204" s="16" t="n">
        <x:v>5379</x:v>
      </x:c>
      <x:c r="B5204" s="16" t="str">
        <x:v>Nurul Farhana Sardimin</x:v>
      </x:c>
      <x:c r="C5204" s="16" t="str"/>
      <x:c r="D5204" s="16" t="str">
        <x:v>* myContacts</x:v>
      </x:c>
      <x:c r="E5204" s="16" t="str">
        <x:v>Missing email</x:v>
      </x:c>
    </x:row>
    <x:row r="5205">
      <x:c r="A5205" s="16" t="n">
        <x:v>5380</x:v>
      </x:c>
      <x:c r="B5205" s="16" t="str">
        <x:v>Nurul Fatiha</x:v>
      </x:c>
      <x:c r="C5205" s="16" t="str"/>
      <x:c r="D5205" s="16" t="str">
        <x:v>* myContacts</x:v>
      </x:c>
      <x:c r="E5205" s="16" t="str">
        <x:v>Missing email</x:v>
      </x:c>
    </x:row>
    <x:row r="5206">
      <x:c r="A5206" s="16" t="n">
        <x:v>5381</x:v>
      </x:c>
      <x:c r="B5206" s="16" t="str">
        <x:v>Nurul Fatin</x:v>
      </x:c>
      <x:c r="C5206" s="16" t="str"/>
      <x:c r="D5206" s="16" t="str">
        <x:v>* myContacts</x:v>
      </x:c>
      <x:c r="E5206" s="16" t="str">
        <x:v>Missing email</x:v>
      </x:c>
    </x:row>
    <x:row r="5207">
      <x:c r="A5207" s="16" t="n">
        <x:v>5382</x:v>
      </x:c>
      <x:c r="B5207" s="16" t="str">
        <x:v>Nurul Faziella Nasir</x:v>
      </x:c>
      <x:c r="C5207" s="16" t="str"/>
      <x:c r="D5207" s="16" t="str">
        <x:v>* myContacts</x:v>
      </x:c>
      <x:c r="E5207" s="16" t="str">
        <x:v>Missing email</x:v>
      </x:c>
    </x:row>
    <x:row r="5208">
      <x:c r="A5208" s="16" t="n">
        <x:v>5383</x:v>
      </x:c>
      <x:c r="B5208" s="16" t="str">
        <x:v>Nurul Hairi</x:v>
      </x:c>
      <x:c r="C5208" s="16" t="str"/>
      <x:c r="D5208" s="16" t="str">
        <x:v>* myContacts</x:v>
      </x:c>
      <x:c r="E5208" s="16" t="str">
        <x:v>Missing email</x:v>
      </x:c>
    </x:row>
    <x:row r="5209">
      <x:c r="A5209" s="16" t="n">
        <x:v>5384</x:v>
      </x:c>
      <x:c r="B5209" s="16" t="str">
        <x:v>Nurul Hayati Badri</x:v>
      </x:c>
      <x:c r="C5209" s="16" t="str"/>
      <x:c r="D5209" s="16" t="str">
        <x:v>* myContacts</x:v>
      </x:c>
      <x:c r="E5209" s="16" t="str">
        <x:v>Missing email</x:v>
      </x:c>
    </x:row>
    <x:row r="5210">
      <x:c r="A5210" s="16" t="n">
        <x:v>5386</x:v>
      </x:c>
      <x:c r="B5210" s="16" t="str">
        <x:v>Nurul Hiddayah</x:v>
      </x:c>
      <x:c r="C5210" s="16" t="str"/>
      <x:c r="D5210" s="16" t="str">
        <x:v>* myContacts</x:v>
      </x:c>
      <x:c r="E5210" s="16" t="str">
        <x:v>Missing email</x:v>
      </x:c>
    </x:row>
    <x:row r="5211">
      <x:c r="A5211" s="16" t="n">
        <x:v>5387</x:v>
      </x:c>
      <x:c r="B5211" s="16" t="str">
        <x:v>Nurul Huda</x:v>
      </x:c>
      <x:c r="C5211" s="16" t="str"/>
      <x:c r="D5211" s="16" t="str">
        <x:v>* myContacts</x:v>
      </x:c>
      <x:c r="E5211" s="16" t="str">
        <x:v>Missing email</x:v>
      </x:c>
    </x:row>
    <x:row r="5212">
      <x:c r="A5212" s="16" t="n">
        <x:v>5389</x:v>
      </x:c>
      <x:c r="B5212" s="16" t="str">
        <x:v>Nurul Huda Supian</x:v>
      </x:c>
      <x:c r="C5212" s="16" t="str"/>
      <x:c r="D5212" s="16" t="str">
        <x:v>* myContacts</x:v>
      </x:c>
      <x:c r="E5212" s="16" t="str">
        <x:v>Missing email</x:v>
      </x:c>
    </x:row>
    <x:row r="5213">
      <x:c r="A5213" s="16" t="n">
        <x:v>5390</x:v>
      </x:c>
      <x:c r="B5213" s="16" t="str">
        <x:v>Nurul Huda Zakaria</x:v>
      </x:c>
      <x:c r="C5213" s="16" t="str"/>
      <x:c r="D5213" s="16" t="str">
        <x:v>* myContacts</x:v>
      </x:c>
      <x:c r="E5213" s="16" t="str">
        <x:v>Missing email</x:v>
      </x:c>
    </x:row>
    <x:row r="5214">
      <x:c r="A5214" s="16" t="n">
        <x:v>5391</x:v>
      </x:c>
      <x:c r="B5214" s="16" t="str">
        <x:v>Nurul Husna JN</x:v>
      </x:c>
      <x:c r="C5214" s="16" t="str"/>
      <x:c r="D5214" s="16" t="str">
        <x:v>* myContacts</x:v>
      </x:c>
      <x:c r="E5214" s="16" t="str">
        <x:v>Missing email</x:v>
      </x:c>
    </x:row>
    <x:row r="5215">
      <x:c r="A5215" s="16" t="n">
        <x:v>5392</x:v>
      </x:c>
      <x:c r="B5215" s="16" t="str">
        <x:v>Nurul Husna Shafie</x:v>
      </x:c>
      <x:c r="C5215" s="16" t="str"/>
      <x:c r="D5215" s="16" t="str">
        <x:v>* myContacts</x:v>
      </x:c>
      <x:c r="E5215" s="16" t="str">
        <x:v>Missing email</x:v>
      </x:c>
    </x:row>
    <x:row r="5216">
      <x:c r="A5216" s="16" t="n">
        <x:v>5393</x:v>
      </x:c>
      <x:c r="B5216" s="16" t="str">
        <x:v>Nurul Iffah Sabri</x:v>
      </x:c>
      <x:c r="C5216" s="16" t="str"/>
      <x:c r="D5216" s="16" t="str">
        <x:v>* myContacts</x:v>
      </x:c>
      <x:c r="E5216" s="16" t="str">
        <x:v>Missing email</x:v>
      </x:c>
    </x:row>
    <x:row r="5217">
      <x:c r="A5217" s="16" t="n">
        <x:v>5394</x:v>
      </x:c>
      <x:c r="B5217" s="16" t="str">
        <x:v>Nurul Izza</x:v>
      </x:c>
      <x:c r="C5217" s="16" t="str"/>
      <x:c r="D5217" s="16" t="str">
        <x:v>* myContacts</x:v>
      </x:c>
      <x:c r="E5217" s="16" t="str">
        <x:v>Missing email</x:v>
      </x:c>
    </x:row>
    <x:row r="5218">
      <x:c r="A5218" s="16" t="n">
        <x:v>5396</x:v>
      </x:c>
      <x:c r="B5218" s="16" t="str">
        <x:v>Nurul Jannah Bongsu</x:v>
      </x:c>
      <x:c r="C5218" s="16" t="str"/>
      <x:c r="D5218" s="16" t="str">
        <x:v>* myContacts</x:v>
      </x:c>
      <x:c r="E5218" s="16" t="str">
        <x:v>Missing email</x:v>
      </x:c>
    </x:row>
    <x:row r="5219">
      <x:c r="A5219" s="16" t="n">
        <x:v>5397</x:v>
      </x:c>
      <x:c r="B5219" s="16" t="str">
        <x:v>Nurul Jannah Mustapa</x:v>
      </x:c>
      <x:c r="C5219" s="16" t="str"/>
      <x:c r="D5219" s="16" t="str">
        <x:v>* myContacts</x:v>
      </x:c>
      <x:c r="E5219" s="16" t="str">
        <x:v>Missing email</x:v>
      </x:c>
    </x:row>
    <x:row r="5220">
      <x:c r="A5220" s="16" t="n">
        <x:v>5398</x:v>
      </x:c>
      <x:c r="B5220" s="16" t="str">
        <x:v>Nurul Jawe</x:v>
      </x:c>
      <x:c r="C5220" s="16" t="str"/>
      <x:c r="D5220" s="16" t="str">
        <x:v>* myContacts</x:v>
      </x:c>
      <x:c r="E5220" s="16" t="str">
        <x:v>Missing email</x:v>
      </x:c>
    </x:row>
    <x:row r="5221">
      <x:c r="A5221" s="16" t="n">
        <x:v>5399</x:v>
      </x:c>
      <x:c r="B5221" s="16" t="str">
        <x:v>Nurul Kasut Plus Size</x:v>
      </x:c>
      <x:c r="C5221" s="16" t="str"/>
      <x:c r="D5221" s="16" t="str">
        <x:v>* myContacts</x:v>
      </x:c>
      <x:c r="E5221" s="16" t="str">
        <x:v>Missing email</x:v>
      </x:c>
    </x:row>
    <x:row r="5222">
      <x:c r="A5222" s="16" t="n">
        <x:v>5400</x:v>
      </x:c>
      <x:c r="B5222" s="16" t="str">
        <x:v>Nurul Latifah Zulkifli</x:v>
      </x:c>
      <x:c r="C5222" s="16" t="str"/>
      <x:c r="D5222" s="16" t="str">
        <x:v>* myContacts</x:v>
      </x:c>
      <x:c r="E5222" s="16" t="str">
        <x:v>Missing email</x:v>
      </x:c>
    </x:row>
    <x:row r="5223">
      <x:c r="A5223" s="16" t="n">
        <x:v>5401</x:v>
      </x:c>
      <x:c r="B5223" s="16" t="str">
        <x:v>Nurul Liyana</x:v>
      </x:c>
      <x:c r="C5223" s="16" t="str"/>
      <x:c r="D5223" s="16" t="str">
        <x:v>* myContacts</x:v>
      </x:c>
      <x:c r="E5223" s="16" t="str">
        <x:v>Missing email</x:v>
      </x:c>
    </x:row>
    <x:row r="5224">
      <x:c r="A5224" s="16" t="n">
        <x:v>5402</x:v>
      </x:c>
      <x:c r="B5224" s="16" t="str">
        <x:v>Nurul Medina</x:v>
      </x:c>
      <x:c r="C5224" s="16" t="str"/>
      <x:c r="D5224" s="16" t="str">
        <x:v>* myContacts</x:v>
      </x:c>
      <x:c r="E5224" s="16" t="str">
        <x:v>Missing email</x:v>
      </x:c>
    </x:row>
    <x:row r="5225">
      <x:c r="A5225" s="16" t="n">
        <x:v>5403</x:v>
      </x:c>
      <x:c r="B5225" s="16" t="str">
        <x:v>Nurul Nabila Hashim</x:v>
      </x:c>
      <x:c r="C5225" s="16" t="str"/>
      <x:c r="D5225" s="16" t="str">
        <x:v>* myContacts</x:v>
      </x:c>
      <x:c r="E5225" s="16" t="str">
        <x:v>Missing email</x:v>
      </x:c>
    </x:row>
    <x:row r="5226">
      <x:c r="A5226" s="16" t="n">
        <x:v>5404</x:v>
      </x:c>
      <x:c r="B5226" s="16" t="str">
        <x:v>Nurul Naimullah Abdullah Zawawi</x:v>
      </x:c>
      <x:c r="C5226" s="16" t="str"/>
      <x:c r="D5226" s="16" t="str">
        <x:v>* myContacts</x:v>
      </x:c>
      <x:c r="E5226" s="16" t="str">
        <x:v>Missing email</x:v>
      </x:c>
    </x:row>
    <x:row r="5227">
      <x:c r="A5227" s="16" t="n">
        <x:v>5405</x:v>
      </x:c>
      <x:c r="B5227" s="16" t="str">
        <x:v>Nurul Najwa Abdullah</x:v>
      </x:c>
      <x:c r="C5227" s="16" t="str"/>
      <x:c r="D5227" s="16" t="str">
        <x:v>* myContacts</x:v>
      </x:c>
      <x:c r="E5227" s="16" t="str">
        <x:v>Missing email</x:v>
      </x:c>
    </x:row>
    <x:row r="5228">
      <x:c r="A5228" s="16" t="n">
        <x:v>5406</x:v>
      </x:c>
      <x:c r="B5228" s="16" t="str">
        <x:v>Nurul Nayla</x:v>
      </x:c>
      <x:c r="C5228" s="16" t="str"/>
      <x:c r="D5228" s="16" t="str">
        <x:v>* myContacts</x:v>
      </x:c>
      <x:c r="E5228" s="16" t="str">
        <x:v>Missing email</x:v>
      </x:c>
    </x:row>
    <x:row r="5229">
      <x:c r="A5229" s="16" t="n">
        <x:v>5407</x:v>
      </x:c>
      <x:c r="B5229" s="16" t="str">
        <x:v>Nurul Nisha Ishak</x:v>
      </x:c>
      <x:c r="C5229" s="16" t="str"/>
      <x:c r="D5229" s="16" t="str">
        <x:v>* myContacts</x:v>
      </x:c>
      <x:c r="E5229" s="16" t="str">
        <x:v>Missing email</x:v>
      </x:c>
    </x:row>
    <x:row r="5230">
      <x:c r="A5230" s="16" t="n">
        <x:v>5408</x:v>
      </x:c>
      <x:c r="B5230" s="16" t="str">
        <x:v>Nurul Razali</x:v>
      </x:c>
      <x:c r="C5230" s="16" t="str"/>
      <x:c r="D5230" s="16" t="str">
        <x:v>* myContacts</x:v>
      </x:c>
      <x:c r="E5230" s="16" t="str">
        <x:v>Missing email</x:v>
      </x:c>
    </x:row>
    <x:row r="5231">
      <x:c r="A5231" s="16" t="n">
        <x:v>5409</x:v>
      </x:c>
      <x:c r="B5231" s="16" t="str">
        <x:v>Nurul Shyafika</x:v>
      </x:c>
      <x:c r="C5231" s="16" t="str"/>
      <x:c r="D5231" s="16" t="str">
        <x:v>* myContacts</x:v>
      </x:c>
      <x:c r="E5231" s="16" t="str">
        <x:v>Missing email</x:v>
      </x:c>
    </x:row>
    <x:row r="5232">
      <x:c r="A5232" s="16" t="n">
        <x:v>5410</x:v>
      </x:c>
      <x:c r="B5232" s="16" t="str">
        <x:v>Nurul Syafiqah Wakaf Selangor</x:v>
      </x:c>
      <x:c r="C5232" s="16" t="str"/>
      <x:c r="D5232" s="16" t="str">
        <x:v>* myContacts</x:v>
      </x:c>
      <x:c r="E5232" s="16" t="str">
        <x:v>Missing email</x:v>
      </x:c>
    </x:row>
    <x:row r="5233">
      <x:c r="A5233" s="16" t="n">
        <x:v>5411</x:v>
      </x:c>
      <x:c r="B5233" s="16" t="str">
        <x:v>Nurul Syazleen</x:v>
      </x:c>
      <x:c r="C5233" s="16" t="str"/>
      <x:c r="D5233" s="16" t="str">
        <x:v>* myContacts</x:v>
      </x:c>
      <x:c r="E5233" s="16" t="str">
        <x:v>Missing email</x:v>
      </x:c>
    </x:row>
    <x:row r="5234">
      <x:c r="A5234" s="16" t="n">
        <x:v>5412</x:v>
      </x:c>
      <x:c r="B5234" s="16" t="str">
        <x:v>Nurul Syazwana Mat Yasin</x:v>
      </x:c>
      <x:c r="C5234" s="16" t="str"/>
      <x:c r="D5234" s="16" t="str">
        <x:v>* myContacts</x:v>
      </x:c>
      <x:c r="E5234" s="16" t="str">
        <x:v>Missing email</x:v>
      </x:c>
    </x:row>
    <x:row r="5235">
      <x:c r="A5235" s="16" t="n">
        <x:v>5413</x:v>
      </x:c>
      <x:c r="B5235" s="16" t="str">
        <x:v>Nurul Syazwani Sabri</x:v>
      </x:c>
      <x:c r="C5235" s="16" t="str"/>
      <x:c r="D5235" s="16" t="str">
        <x:v>* myContacts</x:v>
      </x:c>
      <x:c r="E5235" s="16" t="str">
        <x:v>Missing email</x:v>
      </x:c>
    </x:row>
    <x:row r="5236">
      <x:c r="A5236" s="16" t="n">
        <x:v>5414</x:v>
      </x:c>
      <x:c r="B5236" s="16" t="str">
        <x:v>Nurul Syuhada</x:v>
      </x:c>
      <x:c r="C5236" s="16" t="str"/>
      <x:c r="D5236" s="16" t="str">
        <x:v>* myContacts</x:v>
      </x:c>
      <x:c r="E5236" s="16" t="str">
        <x:v>Missing email</x:v>
      </x:c>
    </x:row>
    <x:row r="5237">
      <x:c r="A5237" s="16" t="n">
        <x:v>5415</x:v>
      </x:c>
      <x:c r="B5237" s="16" t="str">
        <x:v>Nurul Zulaikha Agent Essens</x:v>
      </x:c>
      <x:c r="C5237" s="16" t="str"/>
      <x:c r="D5237" s="16" t="str">
        <x:v>* myContacts</x:v>
      </x:c>
      <x:c r="E5237" s="16" t="str">
        <x:v>Missing email</x:v>
      </x:c>
    </x:row>
    <x:row r="5238">
      <x:c r="A5238" s="16" t="n">
        <x:v>5416</x:v>
      </x:c>
      <x:c r="B5238" s="16" t="str">
        <x:v>NurulAin AGP</x:v>
      </x:c>
      <x:c r="C5238" s="16" t="str"/>
      <x:c r="D5238" s="16" t="str">
        <x:v>* myContacts</x:v>
      </x:c>
      <x:c r="E5238" s="16" t="str">
        <x:v>Missing email</x:v>
      </x:c>
    </x:row>
    <x:row r="5239">
      <x:c r="A5239" s="16" t="n">
        <x:v>5417</x:v>
      </x:c>
      <x:c r="B5239" s="16" t="str">
        <x:v>NurulHuda Amir</x:v>
      </x:c>
      <x:c r="C5239" s="16" t="str"/>
      <x:c r="D5239" s="16" t="str">
        <x:v>* myContacts</x:v>
      </x:c>
      <x:c r="E5239" s="16" t="str">
        <x:v>Missing email</x:v>
      </x:c>
    </x:row>
    <x:row r="5240">
      <x:c r="A5240" s="16" t="n">
        <x:v>5418</x:v>
      </x:c>
      <x:c r="B5240" s="16" t="str">
        <x:v>Nuruljannah Munawwarah</x:v>
      </x:c>
      <x:c r="C5240" s="16" t="str"/>
      <x:c r="D5240" s="16" t="str">
        <x:v>* myContacts</x:v>
      </x:c>
      <x:c r="E5240" s="16" t="str">
        <x:v>Missing email</x:v>
      </x:c>
    </x:row>
    <x:row r="5241">
      <x:c r="A5241" s="16" t="n">
        <x:v>5419</x:v>
      </x:c>
      <x:c r="B5241" s="16" t="str">
        <x:v>NurulJannah Salleh</x:v>
      </x:c>
      <x:c r="C5241" s="16" t="str"/>
      <x:c r="D5241" s="16" t="str">
        <x:v>* myContacts</x:v>
      </x:c>
      <x:c r="E5241" s="16" t="str">
        <x:v>Missing email</x:v>
      </x:c>
    </x:row>
    <x:row r="5242">
      <x:c r="A5242" s="16" t="n">
        <x:v>5420</x:v>
      </x:c>
      <x:c r="B5242" s="16" t="str">
        <x:v>nurullah khemah unta</x:v>
      </x:c>
      <x:c r="C5242" s="16" t="str"/>
      <x:c r="D5242" s="16" t="str">
        <x:v>* myContacts</x:v>
      </x:c>
      <x:c r="E5242" s="16" t="str">
        <x:v>Missing email</x:v>
      </x:c>
    </x:row>
    <x:row r="5243">
      <x:c r="A5243" s="16" t="n">
        <x:v>5421</x:v>
      </x:c>
      <x:c r="B5243" s="16" t="str">
        <x:v>Nuryeehan Derahing</x:v>
      </x:c>
      <x:c r="C5243" s="16" t="str"/>
      <x:c r="D5243" s="16" t="str">
        <x:v>* myContacts</x:v>
      </x:c>
      <x:c r="E5243" s="16" t="str">
        <x:v>Missing email</x:v>
      </x:c>
    </x:row>
    <x:row r="5244">
      <x:c r="A5244" s="16" t="n">
        <x:v>5422</x:v>
      </x:c>
      <x:c r="B5244" s="16" t="str">
        <x:v>Nyann Dyee</x:v>
      </x:c>
      <x:c r="C5244" s="16" t="str"/>
      <x:c r="D5244" s="16" t="str">
        <x:v>* myContacts</x:v>
      </x:c>
      <x:c r="E5244" s="16" t="str">
        <x:v>Missing email</x:v>
      </x:c>
    </x:row>
    <x:row r="5245">
      <x:c r="A5245" s="16" t="n">
        <x:v>5423</x:v>
      </x:c>
      <x:c r="B5245" s="16" t="str">
        <x:v>Nyimas Marianti</x:v>
      </x:c>
      <x:c r="C5245" s="16" t="str"/>
      <x:c r="D5245" s="16" t="str">
        <x:v>* myContacts</x:v>
      </x:c>
      <x:c r="E5245" s="16" t="str">
        <x:v>Missing email</x:v>
      </x:c>
    </x:row>
    <x:row r="5246">
      <x:c r="A5246" s="16" t="n">
        <x:v>5424</x:v>
      </x:c>
      <x:c r="B5246" s="16" t="str">
        <x:v>NZ Zura</x:v>
      </x:c>
      <x:c r="C5246" s="16" t="str"/>
      <x:c r="D5246" s="16" t="str">
        <x:v>* myContacts</x:v>
      </x:c>
      <x:c r="E5246" s="16" t="str">
        <x:v>Missing email</x:v>
      </x:c>
    </x:row>
    <x:row r="5247">
      <x:c r="A5247" s="16" t="n">
        <x:v>5425</x:v>
      </x:c>
      <x:c r="B5247" s="16" t="str">
        <x:v>Ochiro Shinbey</x:v>
      </x:c>
      <x:c r="C5247" s="16" t="str"/>
      <x:c r="D5247" s="16" t="str">
        <x:v>* myContacts</x:v>
      </x:c>
      <x:c r="E5247" s="16" t="str">
        <x:v>Missing email</x:v>
      </x:c>
    </x:row>
    <x:row r="5248">
      <x:c r="A5248" s="16" t="n">
        <x:v>5426</x:v>
      </x:c>
      <x:c r="B5248" s="16" t="str">
        <x:v>Office Aishah Wife</x:v>
      </x:c>
      <x:c r="C5248" s="16" t="str"/>
      <x:c r="D5248" s="16" t="str">
        <x:v>* myContacts</x:v>
      </x:c>
      <x:c r="E5248" s="16" t="str">
        <x:v>Missing email</x:v>
      </x:c>
    </x:row>
    <x:row r="5249">
      <x:c r="A5249" s="16" t="n">
        <x:v>5427</x:v>
      </x:c>
      <x:c r="B5249" s="16" t="str">
        <x:v>Officer tm 𝕾𝖚𝖍𝖆𝖎𝖓𝖎 𝖎𝖘𝖒𝖆𝖎𝖑</x:v>
      </x:c>
      <x:c r="C5249" s="16" t="str"/>
      <x:c r="D5249" s="16" t="str">
        <x:v>* myContacts</x:v>
      </x:c>
      <x:c r="E5249" s="16" t="str">
        <x:v>Missing email</x:v>
      </x:c>
    </x:row>
    <x:row r="5250">
      <x:c r="A5250" s="16" t="n">
        <x:v>5428</x:v>
      </x:c>
      <x:c r="B5250" s="16" t="str">
        <x:v>Ofis Abg Abu Mekanik Wang</x:v>
      </x:c>
      <x:c r="C5250" s="16" t="str"/>
      <x:c r="D5250" s="16" t="str">
        <x:v>* myContacts</x:v>
      </x:c>
      <x:c r="E5250" s="16" t="str">
        <x:v>Missing email</x:v>
      </x:c>
    </x:row>
    <x:row r="5251">
      <x:c r="A5251" s="16" t="n">
        <x:v>5429</x:v>
      </x:c>
      <x:c r="B5251" s="16" t="str">
        <x:v>Ogy Ahmad Daud</x:v>
      </x:c>
      <x:c r="C5251" s="16" t="str"/>
      <x:c r="D5251" s="16" t="str">
        <x:v>* myContacts</x:v>
      </x:c>
      <x:c r="E5251" s="16" t="str">
        <x:v>Missing email</x:v>
      </x:c>
    </x:row>
    <x:row r="5252">
      <x:c r="A5252" s="16" t="n">
        <x:v>5430</x:v>
      </x:c>
      <x:c r="B5252" s="16" t="str">
        <x:v>Oles Skincare</x:v>
      </x:c>
      <x:c r="C5252" s="16" t="str"/>
      <x:c r="D5252" s="16" t="str">
        <x:v>* myContacts</x:v>
      </x:c>
      <x:c r="E5252" s="16" t="str">
        <x:v>Missing email</x:v>
      </x:c>
    </x:row>
    <x:row r="5253">
      <x:c r="A5253" s="16" t="n">
        <x:v>5431</x:v>
      </x:c>
      <x:c r="B5253" s="16" t="str">
        <x:v>Oman</x:v>
      </x:c>
      <x:c r="C5253" s="16" t="str"/>
      <x:c r="D5253" s="16" t="str">
        <x:v>* myContacts</x:v>
      </x:c>
      <x:c r="E5253" s="16" t="str">
        <x:v>Missing email</x:v>
      </x:c>
    </x:row>
    <x:row r="5254">
      <x:c r="A5254" s="16" t="n">
        <x:v>5432</x:v>
      </x:c>
      <x:c r="B5254" s="16" t="str">
        <x:v>Omar</x:v>
      </x:c>
      <x:c r="C5254" s="16" t="str"/>
      <x:c r="D5254" s="16" t="str">
        <x:v>* myContacts</x:v>
      </x:c>
      <x:c r="E5254" s="16" t="str">
        <x:v>Missing email</x:v>
      </x:c>
    </x:row>
    <x:row r="5255">
      <x:c r="A5255" s="16" t="n">
        <x:v>5433</x:v>
      </x:c>
      <x:c r="B5255" s="16" t="str">
        <x:v>Omar Bin Mohd Azmi</x:v>
      </x:c>
      <x:c r="C5255" s="16" t="str"/>
      <x:c r="D5255" s="16" t="str">
        <x:v>* myContacts</x:v>
      </x:c>
      <x:c r="E5255" s="16" t="str">
        <x:v>Missing email</x:v>
      </x:c>
    </x:row>
    <x:row r="5256">
      <x:c r="A5256" s="16" t="n">
        <x:v>5434</x:v>
      </x:c>
      <x:c r="B5256" s="16" t="str">
        <x:v>Omar Sterling</x:v>
      </x:c>
      <x:c r="C5256" s="16" t="str"/>
      <x:c r="D5256" s="16" t="str">
        <x:v>* myContacts</x:v>
      </x:c>
      <x:c r="E5256" s="16" t="str">
        <x:v>Missing email</x:v>
      </x:c>
    </x:row>
    <x:row r="5257">
      <x:c r="A5257" s="16" t="n">
        <x:v>5435</x:v>
      </x:c>
      <x:c r="B5257" s="16" t="str">
        <x:v>One cookies</x:v>
      </x:c>
      <x:c r="C5257" s="16" t="str"/>
      <x:c r="D5257" s="16" t="str">
        <x:v>* myContacts</x:v>
      </x:c>
      <x:c r="E5257" s="16" t="str">
        <x:v>Missing email</x:v>
      </x:c>
    </x:row>
    <x:row r="5258">
      <x:c r="A5258" s="16" t="n">
        <x:v>5436</x:v>
      </x:c>
      <x:c r="B5258" s="16" t="str">
        <x:v>Ordersini Notifier</x:v>
      </x:c>
      <x:c r="C5258" s="16" t="str"/>
      <x:c r="D5258" s="16" t="str">
        <x:v>* myContacts</x:v>
      </x:c>
      <x:c r="E5258" s="16" t="str">
        <x:v>Missing email</x:v>
      </x:c>
    </x:row>
    <x:row r="5259">
      <x:c r="A5259" s="16" t="n">
        <x:v>5437</x:v>
      </x:c>
      <x:c r="B5259" s="16" t="str">
        <x:v>Os Notification Bot</x:v>
      </x:c>
      <x:c r="C5259" s="16" t="str"/>
      <x:c r="D5259" s="16" t="str">
        <x:v>* myContacts</x:v>
      </x:c>
      <x:c r="E5259" s="16" t="str">
        <x:v>Missing email</x:v>
      </x:c>
    </x:row>
    <x:row r="5260">
      <x:c r="A5260" s="16" t="n">
        <x:v>5438</x:v>
      </x:c>
      <x:c r="B5260" s="16" t="str">
        <x:v>Otai Puaka</x:v>
      </x:c>
      <x:c r="C5260" s="16" t="str"/>
      <x:c r="D5260" s="16" t="str">
        <x:v>* myContacts</x:v>
      </x:c>
      <x:c r="E5260" s="16" t="str">
        <x:v>Missing email</x:v>
      </x:c>
    </x:row>
    <x:row r="5261">
      <x:c r="A5261" s="16" t="n">
        <x:v>5439</x:v>
      </x:c>
      <x:c r="B5261" s="16" t="str">
        <x:v>Othman Bin Yahya</x:v>
      </x:c>
      <x:c r="C5261" s="16" t="str"/>
      <x:c r="D5261" s="16" t="str">
        <x:v>* myContacts</x:v>
      </x:c>
      <x:c r="E5261" s="16" t="str">
        <x:v>Missing email</x:v>
      </x:c>
    </x:row>
    <x:row r="5262">
      <x:c r="A5262" s="16" t="n">
        <x:v>5440</x:v>
      </x:c>
      <x:c r="B5262" s="16" t="str">
        <x:v>Outdoorworldadventure Owa</x:v>
      </x:c>
      <x:c r="C5262" s="16" t="str"/>
      <x:c r="D5262" s="16" t="str">
        <x:v>* myContacts</x:v>
      </x:c>
      <x:c r="E5262" s="16" t="str">
        <x:v>Missing email</x:v>
      </x:c>
    </x:row>
    <x:row r="5263">
      <x:c r="A5263" s="16" t="n">
        <x:v>5441</x:v>
      </x:c>
      <x:c r="B5263" s="16" t="str">
        <x:v>Oyo hotel cyberjaya</x:v>
      </x:c>
      <x:c r="C5263" s="16" t="str"/>
      <x:c r="D5263" s="16" t="str">
        <x:v>* myContacts</x:v>
      </x:c>
      <x:c r="E5263" s="16" t="str">
        <x:v>Missing email</x:v>
      </x:c>
    </x:row>
    <x:row r="5264">
      <x:c r="A5264" s="16" t="n">
        <x:v>5442</x:v>
      </x:c>
      <x:c r="B5264" s="16" t="str">
        <x:v>ozir master agent</x:v>
      </x:c>
      <x:c r="C5264" s="16" t="str"/>
      <x:c r="D5264" s="16" t="str">
        <x:v>* myContacts</x:v>
      </x:c>
      <x:c r="E5264" s="16" t="str">
        <x:v>Missing email</x:v>
      </x:c>
    </x:row>
    <x:row r="5265">
      <x:c r="A5265" s="16" t="n">
        <x:v>5443</x:v>
      </x:c>
      <x:c r="B5265" s="16" t="str">
        <x:v>Ozir Zuri</x:v>
      </x:c>
      <x:c r="C5265" s="16" t="str"/>
      <x:c r="D5265" s="16" t="str">
        <x:v>* myContacts</x:v>
      </x:c>
      <x:c r="E5265" s="16" t="str">
        <x:v>Missing email</x:v>
      </x:c>
    </x:row>
    <x:row r="5266">
      <x:c r="A5266" s="16" t="n">
        <x:v>5444</x:v>
      </x:c>
      <x:c r="B5266" s="16" t="str">
        <x:v>PA Adly Remizer BMB BMB Shafinaz</x:v>
      </x:c>
      <x:c r="C5266" s="16" t="str"/>
      <x:c r="D5266" s="16" t="str">
        <x:v>* myContacts</x:v>
      </x:c>
      <x:c r="E5266" s="16" t="str">
        <x:v>Missing email</x:v>
      </x:c>
    </x:row>
    <x:row r="5267">
      <x:c r="A5267" s="16" t="n">
        <x:v>5445</x:v>
      </x:c>
      <x:c r="B5267" s="16" t="str">
        <x:v>PA Syed Nawaz</x:v>
      </x:c>
      <x:c r="C5267" s="16" t="str"/>
      <x:c r="D5267" s="16" t="str">
        <x:v>* myContacts</x:v>
      </x:c>
      <x:c r="E5267" s="16" t="str">
        <x:v>Missing email</x:v>
      </x:c>
    </x:row>
    <x:row r="5268">
      <x:c r="A5268" s="16" t="n">
        <x:v>5446</x:v>
      </x:c>
      <x:c r="B5268" s="16" t="str">
        <x:v>Pai Lee</x:v>
      </x:c>
      <x:c r="C5268" s="16" t="str"/>
      <x:c r="D5268" s="16" t="str">
        <x:v>* myContacts</x:v>
      </x:c>
      <x:c r="E5268" s="16" t="str">
        <x:v>Missing email</x:v>
      </x:c>
    </x:row>
    <x:row r="5269">
      <x:c r="A5269" s="16" t="n">
        <x:v>5447</x:v>
      </x:c>
      <x:c r="B5269" s="16" t="str">
        <x:v>Pais Pembangunan</x:v>
      </x:c>
      <x:c r="C5269" s="16" t="str"/>
      <x:c r="D5269" s="16" t="str">
        <x:v>* myContacts</x:v>
      </x:c>
      <x:c r="E5269" s="16" t="str">
        <x:v>Missing email</x:v>
      </x:c>
    </x:row>
    <x:row r="5270">
      <x:c r="A5270" s="16" t="n">
        <x:v>5449</x:v>
      </x:c>
      <x:c r="B5270" s="16" t="str">
        <x:v>Pak abu Tauke Nenas</x:v>
      </x:c>
      <x:c r="C5270" s="16" t="str"/>
      <x:c r="D5270" s="16" t="str">
        <x:v>* myContacts</x:v>
      </x:c>
      <x:c r="E5270" s="16" t="str">
        <x:v>Missing email</x:v>
      </x:c>
    </x:row>
    <x:row r="5271">
      <x:c r="A5271" s="16" t="n">
        <x:v>5450</x:v>
      </x:c>
      <x:c r="B5271" s="16" t="str">
        <x:v>Pak Agus Sifu IM</x:v>
      </x:c>
      <x:c r="C5271" s="16" t="str"/>
      <x:c r="D5271" s="16" t="str">
        <x:v>* myContacts</x:v>
      </x:c>
      <x:c r="E5271" s="16" t="str">
        <x:v>Missing email</x:v>
      </x:c>
    </x:row>
    <x:row r="5272">
      <x:c r="A5272" s="16" t="n">
        <x:v>5451</x:v>
      </x:c>
      <x:c r="B5272" s="16" t="str">
        <x:v>Pak Ali Master Tukang Urut</x:v>
      </x:c>
      <x:c r="C5272" s="16" t="str"/>
      <x:c r="D5272" s="16" t="str">
        <x:v>* myContacts</x:v>
      </x:c>
      <x:c r="E5272" s="16" t="str">
        <x:v>Missing email</x:v>
      </x:c>
    </x:row>
    <x:row r="5273">
      <x:c r="A5273" s="16" t="n">
        <x:v>5452</x:v>
      </x:c>
      <x:c r="B5273" s="16" t="str">
        <x:v>Pak Ali Parit Expert</x:v>
      </x:c>
      <x:c r="C5273" s="16" t="str"/>
      <x:c r="D5273" s="16" t="str">
        <x:v>* myContacts</x:v>
      </x:c>
      <x:c r="E5273" s="16" t="str">
        <x:v>Missing email</x:v>
      </x:c>
    </x:row>
    <x:row r="5274">
      <x:c r="A5274" s="16" t="n">
        <x:v>5453</x:v>
      </x:c>
      <x:c r="B5274" s="16" t="str">
        <x:v>Pak Anjang Wife</x:v>
      </x:c>
      <x:c r="C5274" s="16" t="str"/>
      <x:c r="D5274" s="16" t="str">
        <x:v>* myContacts</x:v>
      </x:c>
      <x:c r="E5274" s="16" t="str">
        <x:v>Missing email</x:v>
      </x:c>
    </x:row>
    <x:row r="5275">
      <x:c r="A5275" s="16" t="n">
        <x:v>5454</x:v>
      </x:c>
      <x:c r="B5275" s="16" t="str">
        <x:v>Pak Aziz Lee</x:v>
      </x:c>
      <x:c r="C5275" s="16" t="str"/>
      <x:c r="D5275" s="16" t="str">
        <x:v>* myContacts</x:v>
      </x:c>
      <x:c r="E5275" s="16" t="str">
        <x:v>Missing email</x:v>
      </x:c>
    </x:row>
    <x:row r="5276">
      <x:c r="A5276" s="16" t="n">
        <x:v>5455</x:v>
      </x:c>
      <x:c r="B5276" s="16" t="str">
        <x:v>Pak Bilong</x:v>
      </x:c>
      <x:c r="C5276" s="16" t="str"/>
      <x:c r="D5276" s="16" t="str">
        <x:v>* myContacts</x:v>
      </x:c>
      <x:c r="E5276" s="16" t="str">
        <x:v>Missing email</x:v>
      </x:c>
    </x:row>
    <x:row r="5277">
      <x:c r="A5277" s="16" t="n">
        <x:v>5456</x:v>
      </x:c>
      <x:c r="B5277" s="16" t="str">
        <x:v>Pak Cik Din Risda</x:v>
      </x:c>
      <x:c r="C5277" s="16" t="str"/>
      <x:c r="D5277" s="16" t="str">
        <x:v>* myContacts</x:v>
      </x:c>
      <x:c r="E5277" s="16" t="str">
        <x:v>Missing email</x:v>
      </x:c>
    </x:row>
    <x:row r="5278">
      <x:c r="A5278" s="16" t="n">
        <x:v>5457</x:v>
      </x:c>
      <x:c r="B5278" s="16" t="str">
        <x:v>Pak Din Fisio Ipoh</x:v>
      </x:c>
      <x:c r="C5278" s="16" t="str"/>
      <x:c r="D5278" s="16" t="str">
        <x:v>* myContacts</x:v>
      </x:c>
      <x:c r="E5278" s="16" t="str">
        <x:v>Missing email</x:v>
      </x:c>
    </x:row>
    <x:row r="5279">
      <x:c r="A5279" s="16" t="n">
        <x:v>5458</x:v>
      </x:c>
      <x:c r="B5279" s="16" t="str">
        <x:v>Pak Lang Budi Tukang Rumah</x:v>
      </x:c>
      <x:c r="C5279" s="16" t="str"/>
      <x:c r="D5279" s="16" t="str">
        <x:v>* myContacts</x:v>
      </x:c>
      <x:c r="E5279" s="16" t="str">
        <x:v>Missing email</x:v>
      </x:c>
    </x:row>
    <x:row r="5280">
      <x:c r="A5280" s="16" t="n">
        <x:v>5459</x:v>
      </x:c>
      <x:c r="B5280" s="16" t="str">
        <x:v>Pak Long II</x:v>
      </x:c>
      <x:c r="C5280" s="16" t="str"/>
      <x:c r="D5280" s="16" t="str">
        <x:v>* myContacts</x:v>
      </x:c>
      <x:c r="E5280" s="16" t="str">
        <x:v>Missing email</x:v>
      </x:c>
    </x:row>
    <x:row r="5281">
      <x:c r="A5281" s="16" t="n">
        <x:v>5460</x:v>
      </x:c>
      <x:c r="B5281" s="16" t="str">
        <x:v>Pak Mat Trainer Mdec</x:v>
      </x:c>
      <x:c r="C5281" s="16" t="str"/>
      <x:c r="D5281" s="16" t="str">
        <x:v>* myContacts</x:v>
      </x:c>
      <x:c r="E5281" s="16" t="str">
        <x:v>Missing email</x:v>
      </x:c>
    </x:row>
    <x:row r="5282">
      <x:c r="A5282" s="16" t="n">
        <x:v>5461</x:v>
      </x:c>
      <x:c r="B5282" s="16" t="str">
        <x:v>Pak Ngah Kown Fakhruddin</x:v>
      </x:c>
      <x:c r="C5282" s="16" t="str"/>
      <x:c r="D5282" s="16" t="str">
        <x:v>* myContacts | * starred</x:v>
      </x:c>
      <x:c r="E5282" s="16" t="str">
        <x:v>Missing email</x:v>
      </x:c>
    </x:row>
    <x:row r="5283">
      <x:c r="A5283" s="16" t="n">
        <x:v>5462</x:v>
      </x:c>
      <x:c r="B5283" s="16" t="str">
        <x:v>Pak Nik Rjb</x:v>
      </x:c>
      <x:c r="C5283" s="16" t="str"/>
      <x:c r="D5283" s="16" t="str">
        <x:v>* myContacts</x:v>
      </x:c>
      <x:c r="E5283" s="16" t="str">
        <x:v>Missing email</x:v>
      </x:c>
    </x:row>
    <x:row r="5284">
      <x:c r="A5284" s="16" t="n">
        <x:v>5463</x:v>
      </x:c>
      <x:c r="B5284" s="16" t="str">
        <x:v>Pak Nil GRAND BLASTER</x:v>
      </x:c>
      <x:c r="C5284" s="16" t="str"/>
      <x:c r="D5284" s="16" t="str">
        <x:v>* myContacts</x:v>
      </x:c>
      <x:c r="E5284" s="16" t="str">
        <x:v>Missing email</x:v>
      </x:c>
    </x:row>
    <x:row r="5285">
      <x:c r="A5285" s="16" t="n">
        <x:v>5464</x:v>
      </x:c>
      <x:c r="B5285" s="16" t="str">
        <x:v>Pak Rudy Hutagalung</x:v>
      </x:c>
      <x:c r="C5285" s="16" t="str"/>
      <x:c r="D5285" s="16" t="str">
        <x:v>* myContacts</x:v>
      </x:c>
      <x:c r="E5285" s="16" t="str">
        <x:v>Missing email</x:v>
      </x:c>
    </x:row>
    <x:row r="5286">
      <x:c r="A5286" s="16" t="n">
        <x:v>5465</x:v>
      </x:c>
      <x:c r="B5286" s="16" t="str">
        <x:v>Pak su IM</x:v>
      </x:c>
      <x:c r="C5286" s="16" t="str"/>
      <x:c r="D5286" s="16" t="str">
        <x:v>* myContacts</x:v>
      </x:c>
      <x:c r="E5286" s="16" t="str">
        <x:v>Missing email</x:v>
      </x:c>
    </x:row>
    <x:row r="5287">
      <x:c r="A5287" s="16" t="n">
        <x:v>5466</x:v>
      </x:c>
      <x:c r="B5287" s="16" t="str">
        <x:v>Pak suardi rjb</x:v>
      </x:c>
      <x:c r="C5287" s="16" t="str"/>
      <x:c r="D5287" s="16" t="str">
        <x:v>* myContacts</x:v>
      </x:c>
      <x:c r="E5287" s="16" t="str">
        <x:v>Missing email</x:v>
      </x:c>
    </x:row>
    <x:row r="5288">
      <x:c r="A5288" s="16" t="n">
        <x:v>5467</x:v>
      </x:c>
      <x:c r="B5288" s="16" t="str">
        <x:v>Pak sulaiman rjb</x:v>
      </x:c>
      <x:c r="C5288" s="16" t="str"/>
      <x:c r="D5288" s="16" t="str">
        <x:v>* myContacts</x:v>
      </x:c>
      <x:c r="E5288" s="16" t="str">
        <x:v>Missing email</x:v>
      </x:c>
    </x:row>
    <x:row r="5289">
      <x:c r="A5289" s="16" t="n">
        <x:v>5468</x:v>
      </x:c>
      <x:c r="B5289" s="16" t="str">
        <x:v>pak tam trainer</x:v>
      </x:c>
      <x:c r="C5289" s="16" t="str"/>
      <x:c r="D5289" s="16" t="str">
        <x:v>Trainer | * myContacts</x:v>
      </x:c>
      <x:c r="E5289" s="16" t="str">
        <x:v>Missing email</x:v>
      </x:c>
    </x:row>
    <x:row r="5290">
      <x:c r="A5290" s="16" t="n">
        <x:v>5469</x:v>
      </x:c>
      <x:c r="B5290" s="16" t="str">
        <x:v>Pak Teh Jan tukang urut</x:v>
      </x:c>
      <x:c r="C5290" s="16" t="str"/>
      <x:c r="D5290" s="16" t="str">
        <x:v>* myContacts</x:v>
      </x:c>
      <x:c r="E5290" s="16" t="str">
        <x:v>Missing email</x:v>
      </x:c>
    </x:row>
    <x:row r="5291">
      <x:c r="A5291" s="16" t="n">
        <x:v>5470</x:v>
      </x:c>
      <x:c r="B5291" s="16" t="str">
        <x:v>Pak Uda Beriani Gam</x:v>
      </x:c>
      <x:c r="C5291" s="16" t="str"/>
      <x:c r="D5291" s="16" t="str">
        <x:v>* myContacts</x:v>
      </x:c>
      <x:c r="E5291" s="16" t="str">
        <x:v>Missing email</x:v>
      </x:c>
    </x:row>
    <x:row r="5292">
      <x:c r="A5292" s="16" t="n">
        <x:v>5471</x:v>
      </x:c>
      <x:c r="B5292" s="16" t="str">
        <x:v>Pak Ude</x:v>
      </x:c>
      <x:c r="C5292" s="16" t="str"/>
      <x:c r="D5292" s="16" t="str">
        <x:v>* myContacts</x:v>
      </x:c>
      <x:c r="E5292" s="16" t="str">
        <x:v>Missing email</x:v>
      </x:c>
    </x:row>
    <x:row r="5293">
      <x:c r="A5293" s="16" t="n">
        <x:v>5472</x:v>
      </x:c>
      <x:c r="B5293" s="16" t="str">
        <x:v>Pak Ya Trader</x:v>
      </x:c>
      <x:c r="C5293" s="16" t="str"/>
      <x:c r="D5293" s="16" t="str">
        <x:v>* myContacts</x:v>
      </x:c>
      <x:c r="E5293" s="16" t="str">
        <x:v>Missing email</x:v>
      </x:c>
    </x:row>
    <x:row r="5294">
      <x:c r="A5294" s="16" t="n">
        <x:v>5473</x:v>
      </x:c>
      <x:c r="B5294" s="16" t="str">
        <x:v>Pakaian Pilihan</x:v>
      </x:c>
      <x:c r="C5294" s="16" t="str"/>
      <x:c r="D5294" s="16" t="str">
        <x:v>* myContacts</x:v>
      </x:c>
      <x:c r="E5294" s="16" t="str">
        <x:v>Missing email</x:v>
      </x:c>
    </x:row>
    <x:row r="5295">
      <x:c r="A5295" s="16" t="n">
        <x:v>5474</x:v>
      </x:c>
      <x:c r="B5295" s="16" t="str">
        <x:v>Pakchu kasah ipoh</x:v>
      </x:c>
      <x:c r="C5295" s="16" t="str"/>
      <x:c r="D5295" s="16" t="str">
        <x:v>* myContacts</x:v>
      </x:c>
      <x:c r="E5295" s="16" t="str">
        <x:v>Missing email</x:v>
      </x:c>
    </x:row>
    <x:row r="5296">
      <x:c r="A5296" s="16" t="n">
        <x:v>5475</x:v>
      </x:c>
      <x:c r="B5296" s="16" t="str">
        <x:v>Pakcik Tupperware En Shah</x:v>
      </x:c>
      <x:c r="C5296" s="16" t="str"/>
      <x:c r="D5296" s="16" t="str">
        <x:v>* myContacts</x:v>
      </x:c>
      <x:c r="E5296" s="16" t="str">
        <x:v>Missing email</x:v>
      </x:c>
    </x:row>
    <x:row r="5297">
      <x:c r="A5297" s="16" t="n">
        <x:v>5476</x:v>
      </x:c>
      <x:c r="B5297" s="16" t="str">
        <x:v>Pakcik zali Gelung Pepuyu</x:v>
      </x:c>
      <x:c r="C5297" s="16" t="str"/>
      <x:c r="D5297" s="16" t="str">
        <x:v>* myContacts</x:v>
      </x:c>
      <x:c r="E5297" s="16" t="str">
        <x:v>Missing email</x:v>
      </x:c>
    </x:row>
    <x:row r="5298">
      <x:c r="A5298" s="16" t="n">
        <x:v>5477</x:v>
      </x:c>
      <x:c r="B5298" s="16" t="str">
        <x:v>PakNyah Shah Alam</x:v>
      </x:c>
      <x:c r="C5298" s="16" t="str"/>
      <x:c r="D5298" s="16" t="str">
        <x:v>* myContacts</x:v>
      </x:c>
      <x:c r="E5298" s="16" t="str">
        <x:v>Missing email</x:v>
      </x:c>
    </x:row>
    <x:row r="5299">
      <x:c r="A5299" s="16" t="n">
        <x:v>5478</x:v>
      </x:c>
      <x:c r="B5299" s="16" t="str">
        <x:v>PAKSU KU AIMAN</x:v>
      </x:c>
      <x:c r="C5299" s="16" t="str"/>
      <x:c r="D5299" s="16" t="str">
        <x:v>* myContacts</x:v>
      </x:c>
      <x:c r="E5299" s="16" t="str">
        <x:v>Missing email</x:v>
      </x:c>
    </x:row>
    <x:row r="5300">
      <x:c r="A5300" s="16" t="n">
        <x:v>5479</x:v>
      </x:c>
      <x:c r="B5300" s="16" t="str">
        <x:v>Paksu sham</x:v>
      </x:c>
      <x:c r="C5300" s="16" t="str"/>
      <x:c r="D5300" s="16" t="str">
        <x:v>* myContacts</x:v>
      </x:c>
      <x:c r="E5300" s="16" t="str">
        <x:v>Missing email</x:v>
      </x:c>
    </x:row>
    <x:row r="5301">
      <x:c r="A5301" s="16" t="n">
        <x:v>5480</x:v>
      </x:c>
      <x:c r="B5301" s="16" t="str">
        <x:v>Paksuku Aiman Aiman</x:v>
      </x:c>
      <x:c r="C5301" s="16" t="str"/>
      <x:c r="D5301" s="16" t="str">
        <x:v>* myContacts</x:v>
      </x:c>
      <x:c r="E5301" s="16" t="str">
        <x:v>Missing email</x:v>
      </x:c>
    </x:row>
    <x:row r="5302">
      <x:c r="A5302" s="16" t="n">
        <x:v>5481</x:v>
      </x:c>
      <x:c r="B5302" s="16" t="str">
        <x:v>Paktharm AsrOr</x:v>
      </x:c>
      <x:c r="C5302" s="16" t="str"/>
      <x:c r="D5302" s="16" t="str">
        <x:v>* myContacts</x:v>
      </x:c>
      <x:c r="E5302" s="16" t="str">
        <x:v>Missing email</x:v>
      </x:c>
    </x:row>
    <x:row r="5303">
      <x:c r="A5303" s="16" t="n">
        <x:v>5483</x:v>
      </x:c>
      <x:c r="B5303" s="16" t="str">
        <x:v>pakya suami kak lin</x:v>
      </x:c>
      <x:c r="C5303" s="16" t="str"/>
      <x:c r="D5303" s="16" t="str">
        <x:v>* myContacts</x:v>
      </x:c>
      <x:c r="E5303" s="16" t="str">
        <x:v>Missing email</x:v>
      </x:c>
    </x:row>
    <x:row r="5304">
      <x:c r="A5304" s="16" t="n">
        <x:v>5484</x:v>
      </x:c>
      <x:c r="B5304" s="16" t="str">
        <x:v>Panglima Hitam</x:v>
      </x:c>
      <x:c r="C5304" s="16" t="str"/>
      <x:c r="D5304" s="16" t="str">
        <x:v>* myContacts</x:v>
      </x:c>
      <x:c r="E5304" s="16" t="str">
        <x:v>Missing email</x:v>
      </x:c>
    </x:row>
    <x:row r="5305">
      <x:c r="A5305" s="16" t="n">
        <x:v>5485</x:v>
      </x:c>
      <x:c r="B5305" s="16" t="str">
        <x:v>Panglima Trogan</x:v>
      </x:c>
      <x:c r="C5305" s="16" t="str"/>
      <x:c r="D5305" s="16" t="str">
        <x:v>* myContacts</x:v>
      </x:c>
      <x:c r="E5305" s="16" t="str">
        <x:v>Missing email</x:v>
      </x:c>
    </x:row>
    <x:row r="5306">
      <x:c r="A5306" s="16" t="n">
        <x:v>5486</x:v>
      </x:c>
      <x:c r="B5306" s="16" t="str">
        <x:v>Panjang Jj</x:v>
      </x:c>
      <x:c r="C5306" s="16" t="str"/>
      <x:c r="D5306" s="16" t="str">
        <x:v>* myContacts</x:v>
      </x:c>
      <x:c r="E5306" s="16" t="str">
        <x:v>Missing email</x:v>
      </x:c>
    </x:row>
    <x:row r="5307">
      <x:c r="A5307" s="16" t="n">
        <x:v>5487</x:v>
      </x:c>
      <x:c r="B5307" s="16" t="str">
        <x:v>Papa Amira</x:v>
      </x:c>
      <x:c r="C5307" s="16" t="str"/>
      <x:c r="D5307" s="16" t="str">
        <x:v>* myContacts</x:v>
      </x:c>
      <x:c r="E5307" s="16" t="str">
        <x:v>Missing email</x:v>
      </x:c>
    </x:row>
    <x:row r="5308">
      <x:c r="A5308" s="16" t="n">
        <x:v>5488</x:v>
      </x:c>
      <x:c r="B5308" s="16" t="str">
        <x:v>Param</x:v>
      </x:c>
      <x:c r="C5308" s="16" t="str"/>
      <x:c r="D5308" s="16" t="str">
        <x:v>* myContacts</x:v>
      </x:c>
      <x:c r="E5308" s="16" t="str">
        <x:v>Missing email</x:v>
      </x:c>
    </x:row>
    <x:row r="5309">
      <x:c r="A5309" s="16" t="n">
        <x:v>5489</x:v>
      </x:c>
      <x:c r="B5309" s="16" t="str">
        <x:v>Parking Kuala Perlis</x:v>
      </x:c>
      <x:c r="C5309" s="16" t="str"/>
      <x:c r="D5309" s="16" t="str">
        <x:v>* myContacts</x:v>
      </x:c>
      <x:c r="E5309" s="16" t="str">
        <x:v>Missing email</x:v>
      </x:c>
    </x:row>
    <x:row r="5310">
      <x:c r="A5310" s="16" t="n">
        <x:v>5490</x:v>
      </x:c>
      <x:c r="B5310" s="16" t="str">
        <x:v>Patchwork Wholesaler</x:v>
      </x:c>
      <x:c r="C5310" s="16" t="str"/>
      <x:c r="D5310" s="16" t="str">
        <x:v>* myContacts</x:v>
      </x:c>
      <x:c r="E5310" s="16" t="str">
        <x:v>Missing email</x:v>
      </x:c>
    </x:row>
    <x:row r="5311">
      <x:c r="A5311" s="16" t="n">
        <x:v>5491</x:v>
      </x:c>
      <x:c r="B5311" s="16" t="str">
        <x:v>Pathee Padzilah</x:v>
      </x:c>
      <x:c r="C5311" s="16" t="str"/>
      <x:c r="D5311" s="16" t="str">
        <x:v>* myContacts</x:v>
      </x:c>
      <x:c r="E5311" s="16" t="str">
        <x:v>Missing email</x:v>
      </x:c>
    </x:row>
    <x:row r="5312">
      <x:c r="A5312" s="16" t="n">
        <x:v>5492</x:v>
      </x:c>
      <x:c r="B5312" s="16" t="str">
        <x:v>Payroll Panda</x:v>
      </x:c>
      <x:c r="C5312" s="16" t="str"/>
      <x:c r="D5312" s="16" t="str">
        <x:v>* myContacts</x:v>
      </x:c>
      <x:c r="E5312" s="16" t="str">
        <x:v>Missing email</x:v>
      </x:c>
    </x:row>
    <x:row r="5313">
      <x:c r="A5313" s="16" t="n">
        <x:v>5493</x:v>
      </x:c>
      <x:c r="B5313" s="16" t="str">
        <x:v>Pdot Dfm</x:v>
      </x:c>
      <x:c r="C5313" s="16" t="str"/>
      <x:c r="D5313" s="16" t="str">
        <x:v>* myContacts</x:v>
      </x:c>
      <x:c r="E5313" s="16" t="str">
        <x:v>Missing email</x:v>
      </x:c>
    </x:row>
    <x:row r="5314">
      <x:c r="A5314" s="16" t="n">
        <x:v>5494</x:v>
      </x:c>
      <x:c r="B5314" s="16" t="str">
        <x:v>Peah Busan Jsd</x:v>
      </x:c>
      <x:c r="C5314" s="16" t="str"/>
      <x:c r="D5314" s="16" t="str">
        <x:v>* myContacts</x:v>
      </x:c>
      <x:c r="E5314" s="16" t="str">
        <x:v>Missing email</x:v>
      </x:c>
    </x:row>
    <x:row r="5315">
      <x:c r="A5315" s="16" t="n">
        <x:v>5495</x:v>
      </x:c>
      <x:c r="B5315" s="16" t="str">
        <x:v>PEGAWAI TEKUN M NASIRUDDIN</x:v>
      </x:c>
      <x:c r="C5315" s="16" t="str"/>
      <x:c r="D5315" s="16" t="str">
        <x:v>* myContacts</x:v>
      </x:c>
      <x:c r="E5315" s="16" t="str">
        <x:v>Missing email</x:v>
      </x:c>
    </x:row>
    <x:row r="5316">
      <x:c r="A5316" s="16" t="n">
        <x:v>5496</x:v>
      </x:c>
      <x:c r="B5316" s="16" t="str">
        <x:v>Pejabat Galian Hasil</x:v>
      </x:c>
      <x:c r="C5316" s="16" t="str"/>
      <x:c r="D5316" s="16" t="str">
        <x:v>* myContacts</x:v>
      </x:c>
      <x:c r="E5316" s="16" t="str">
        <x:v>Missing email</x:v>
      </x:c>
    </x:row>
    <x:row r="5317">
      <x:c r="A5317" s="16" t="n">
        <x:v>5497</x:v>
      </x:c>
      <x:c r="B5317" s="16" t="str">
        <x:v>Pejabat HRDF</x:v>
      </x:c>
      <x:c r="C5317" s="16" t="str"/>
      <x:c r="D5317" s="16" t="str">
        <x:v>* myContacts</x:v>
      </x:c>
      <x:c r="E5317" s="16" t="str">
        <x:v>Missing email</x:v>
      </x:c>
    </x:row>
    <x:row r="5318">
      <x:c r="A5318" s="16" t="n">
        <x:v>5498</x:v>
      </x:c>
      <x:c r="B5318" s="16" t="str">
        <x:v>Pekerja Essens</x:v>
      </x:c>
      <x:c r="C5318" s="16" t="str"/>
      <x:c r="D5318" s="16" t="str">
        <x:v>* myContacts</x:v>
      </x:c>
      <x:c r="E5318" s="16" t="str">
        <x:v>Missing email</x:v>
      </x:c>
    </x:row>
    <x:row r="5319">
      <x:c r="A5319" s="16" t="n">
        <x:v>5499</x:v>
      </x:c>
      <x:c r="B5319" s="16" t="str">
        <x:v>Pelangi Hijau</x:v>
      </x:c>
      <x:c r="C5319" s="16" t="str"/>
      <x:c r="D5319" s="16" t="str">
        <x:v>* myContacts</x:v>
      </x:c>
      <x:c r="E5319" s="16" t="str">
        <x:v>Missing email</x:v>
      </x:c>
    </x:row>
    <x:row r="5320">
      <x:c r="A5320" s="16" t="n">
        <x:v>5500</x:v>
      </x:c>
      <x:c r="B5320" s="16" t="str">
        <x:v>Pelayar Sepi</x:v>
      </x:c>
      <x:c r="C5320" s="16" t="str"/>
      <x:c r="D5320" s="16" t="str">
        <x:v>* myContacts</x:v>
      </x:c>
      <x:c r="E5320" s="16" t="str">
        <x:v>Missing email</x:v>
      </x:c>
    </x:row>
    <x:row r="5321">
      <x:c r="A5321" s="16" t="n">
        <x:v>5501</x:v>
      </x:c>
      <x:c r="B5321" s="16" t="str">
        <x:v>Pembenci Badman</x:v>
      </x:c>
      <x:c r="C5321" s="16" t="str"/>
      <x:c r="D5321" s="16" t="str">
        <x:v>* myContacts</x:v>
      </x:c>
      <x:c r="E5321" s="16" t="str">
        <x:v>Missing email</x:v>
      </x:c>
    </x:row>
    <x:row r="5322">
      <x:c r="A5322" s="16" t="n">
        <x:v>5502</x:v>
      </x:c>
      <x:c r="B5322" s="16" t="str">
        <x:v>Pemborong Kosmetik Murah Sofea</x:v>
      </x:c>
      <x:c r="C5322" s="16" t="str"/>
      <x:c r="D5322" s="16" t="str">
        <x:v>* myContacts</x:v>
      </x:c>
      <x:c r="E5322" s="16" t="str">
        <x:v>Missing email</x:v>
      </x:c>
    </x:row>
    <x:row r="5323">
      <x:c r="A5323" s="16" t="n">
        <x:v>5503</x:v>
      </x:c>
      <x:c r="B5323" s="16" t="str">
        <x:v>PENAN</x:v>
      </x:c>
      <x:c r="C5323" s="16" t="str"/>
      <x:c r="D5323" s="16" t="str">
        <x:v>* myContacts</x:v>
      </x:c>
      <x:c r="E5323" s="16" t="str">
        <x:v>Missing email</x:v>
      </x:c>
    </x:row>
    <x:row r="5324">
      <x:c r="A5324" s="16" t="n">
        <x:v>5504</x:v>
      </x:c>
      <x:c r="B5324" s="16" t="str">
        <x:v>Penang Jml</x:v>
      </x:c>
      <x:c r="C5324" s="16" t="str"/>
      <x:c r="D5324" s="16" t="str">
        <x:v>* myContacts</x:v>
      </x:c>
      <x:c r="E5324" s="16" t="str">
        <x:v>Missing email</x:v>
      </x:c>
    </x:row>
    <x:row r="5325">
      <x:c r="A5325" s="16" t="n">
        <x:v>5505</x:v>
      </x:c>
      <x:c r="B5325" s="16" t="str">
        <x:v>Penasihat Kewangan Anda</x:v>
      </x:c>
      <x:c r="C5325" s="16" t="str"/>
      <x:c r="D5325" s="16" t="str">
        <x:v>* myContacts</x:v>
      </x:c>
      <x:c r="E5325" s="16" t="str">
        <x:v>Missing email</x:v>
      </x:c>
    </x:row>
    <x:row r="5326">
      <x:c r="A5326" s="16" t="n">
        <x:v>5506</x:v>
      </x:c>
      <x:c r="B5326" s="16" t="str">
        <x:v>pendi korea</x:v>
      </x:c>
      <x:c r="C5326" s="16" t="str"/>
      <x:c r="D5326" s="16" t="str">
        <x:v>* myContacts</x:v>
      </x:c>
      <x:c r="E5326" s="16" t="str">
        <x:v>Missing email</x:v>
      </x:c>
    </x:row>
    <x:row r="5327">
      <x:c r="A5327" s="16" t="n">
        <x:v>5507</x:v>
      </x:c>
      <x:c r="B5327" s="16" t="str">
        <x:v>penganjur acara ukm</x:v>
      </x:c>
      <x:c r="C5327" s="16" t="str"/>
      <x:c r="D5327" s="16" t="str">
        <x:v>* myContacts</x:v>
      </x:c>
      <x:c r="E5327" s="16" t="str">
        <x:v>Missing email</x:v>
      </x:c>
    </x:row>
    <x:row r="5328">
      <x:c r="A5328" s="16" t="n">
        <x:v>5508</x:v>
      </x:c>
      <x:c r="B5328" s="16" t="str">
        <x:v>Pengendali Program Punb</x:v>
      </x:c>
      <x:c r="C5328" s="16" t="str"/>
      <x:c r="D5328" s="16" t="str">
        <x:v>* myContacts</x:v>
      </x:c>
      <x:c r="E5328" s="16" t="str">
        <x:v>Missing email</x:v>
      </x:c>
    </x:row>
    <x:row r="5329">
      <x:c r="A5329" s="16" t="n">
        <x:v>5509</x:v>
      </x:c>
      <x:c r="B5329" s="16" t="str">
        <x:v>Pengiklanan Dan Percetakan Perlis</x:v>
      </x:c>
      <x:c r="C5329" s="16" t="str"/>
      <x:c r="D5329" s="16" t="str">
        <x:v>* myContacts</x:v>
      </x:c>
      <x:c r="E5329" s="16" t="str">
        <x:v>Missing email</x:v>
      </x:c>
    </x:row>
    <x:row r="5330">
      <x:c r="A5330" s="16" t="n">
        <x:v>5510</x:v>
      </x:c>
      <x:c r="B5330" s="16" t="str">
        <x:v>penjual buku 7 angka</x:v>
      </x:c>
      <x:c r="C5330" s="16" t="str"/>
      <x:c r="D5330" s="16" t="str">
        <x:v>* myContacts</x:v>
      </x:c>
      <x:c r="E5330" s="16" t="str">
        <x:v>Missing email</x:v>
      </x:c>
    </x:row>
    <x:row r="5331">
      <x:c r="A5331" s="16" t="n">
        <x:v>5511</x:v>
      </x:c>
      <x:c r="B5331" s="16" t="str">
        <x:v>Penunggu Waktu</x:v>
      </x:c>
      <x:c r="C5331" s="16" t="str"/>
      <x:c r="D5331" s="16" t="str">
        <x:v>* myContacts</x:v>
      </x:c>
      <x:c r="E5331" s="16" t="str">
        <x:v>Missing email</x:v>
      </x:c>
    </x:row>
    <x:row r="5332">
      <x:c r="A5332" s="16" t="n">
        <x:v>5512</x:v>
      </x:c>
      <x:c r="B5332" s="16" t="str">
        <x:v>Penyelia EUsahawan SA</x:v>
      </x:c>
      <x:c r="C5332" s="16" t="str"/>
      <x:c r="D5332" s="16" t="str">
        <x:v>* myContacts</x:v>
      </x:c>
      <x:c r="E5332" s="16" t="str">
        <x:v>Missing email</x:v>
      </x:c>
    </x:row>
    <x:row r="5333">
      <x:c r="A5333" s="16" t="n">
        <x:v>5513</x:v>
      </x:c>
      <x:c r="B5333" s="16" t="str">
        <x:v>Percilla Cylla Menisa</x:v>
      </x:c>
      <x:c r="C5333" s="16" t="str"/>
      <x:c r="D5333" s="16" t="str">
        <x:v>* myContacts</x:v>
      </x:c>
      <x:c r="E5333" s="16" t="str">
        <x:v>Missing email</x:v>
      </x:c>
    </x:row>
    <x:row r="5334">
      <x:c r="A5334" s="16" t="n">
        <x:v>5514</x:v>
      </x:c>
      <x:c r="B5334" s="16" t="str">
        <x:v>Perfume Borong Murah</x:v>
      </x:c>
      <x:c r="C5334" s="16" t="str"/>
      <x:c r="D5334" s="16" t="str">
        <x:v>* myContacts</x:v>
      </x:c>
      <x:c r="E5334" s="16" t="str">
        <x:v>Missing email</x:v>
      </x:c>
    </x:row>
    <x:row r="5335">
      <x:c r="A5335" s="16" t="n">
        <x:v>5515</x:v>
      </x:c>
      <x:c r="B5335" s="16" t="str">
        <x:v>Perniagaan Osaki</x:v>
      </x:c>
      <x:c r="C5335" s="16" t="str"/>
      <x:c r="D5335" s="16" t="str">
        <x:v>* myContacts</x:v>
      </x:c>
      <x:c r="E5335" s="16" t="str">
        <x:v>Missing email</x:v>
      </x:c>
    </x:row>
    <x:row r="5336">
      <x:c r="A5336" s="16" t="n">
        <x:v>5516</x:v>
      </x:c>
      <x:c r="B5336" s="16" t="str">
        <x:v>Perodua Mohd Haidir</x:v>
      </x:c>
      <x:c r="C5336" s="16" t="str"/>
      <x:c r="D5336" s="16" t="str">
        <x:v>* myContacts</x:v>
      </x:c>
      <x:c r="E5336" s="16" t="str">
        <x:v>Missing email</x:v>
      </x:c>
    </x:row>
    <x:row r="5337">
      <x:c r="A5337" s="16" t="n">
        <x:v>5517</x:v>
      </x:c>
      <x:c r="B5337" s="16" t="str">
        <x:v>personal brand video</x:v>
      </x:c>
      <x:c r="C5337" s="16" t="str"/>
      <x:c r="D5337" s="16" t="str">
        <x:v>* myContacts</x:v>
      </x:c>
      <x:c r="E5337" s="16" t="str">
        <x:v>Missing email</x:v>
      </x:c>
    </x:row>
    <x:row r="5338">
      <x:c r="A5338" s="16" t="n">
        <x:v>5518</x:v>
      </x:c>
      <x:c r="B5338" s="16" t="str">
        <x:v>Peter Han Chong Kuang</x:v>
      </x:c>
      <x:c r="C5338" s="16" t="str"/>
      <x:c r="D5338" s="16" t="str">
        <x:v>* myContacts</x:v>
      </x:c>
      <x:c r="E5338" s="16" t="str">
        <x:v>Missing email</x:v>
      </x:c>
    </x:row>
    <x:row r="5339">
      <x:c r="A5339" s="16" t="n">
        <x:v>5519</x:v>
      </x:c>
      <x:c r="B5339" s="16" t="str">
        <x:v>PG Faizul</x:v>
      </x:c>
      <x:c r="C5339" s="16" t="str"/>
      <x:c r="D5339" s="16" t="str">
        <x:v>* myContacts</x:v>
      </x:c>
      <x:c r="E5339" s="16" t="str">
        <x:v>Missing email</x:v>
      </x:c>
    </x:row>
    <x:row r="5340">
      <x:c r="A5340" s="16" t="n">
        <x:v>5520</x:v>
      </x:c>
      <x:c r="B5340" s="16" t="str">
        <x:v>Pgmd Zzala</x:v>
      </x:c>
      <x:c r="C5340" s="16" t="str"/>
      <x:c r="D5340" s="16" t="str">
        <x:v>* myContacts</x:v>
      </x:c>
      <x:c r="E5340" s="16" t="str">
        <x:v>Missing email</x:v>
      </x:c>
    </x:row>
    <x:row r="5341">
      <x:c r="A5341" s="16" t="n">
        <x:v>5521</x:v>
      </x:c>
      <x:c r="B5341" s="16" t="str">
        <x:v>pher mohd learning port</x:v>
      </x:c>
      <x:c r="C5341" s="16" t="str"/>
      <x:c r="D5341" s="16" t="str">
        <x:v>* myContacts</x:v>
      </x:c>
      <x:c r="E5341" s="16" t="str">
        <x:v>Missing email</x:v>
      </x:c>
    </x:row>
    <x:row r="5342">
      <x:c r="A5342" s="16" t="n">
        <x:v>5522</x:v>
      </x:c>
      <x:c r="B5342" s="16" t="str">
        <x:v>Pi Ai</x:v>
      </x:c>
      <x:c r="C5342" s="16" t="str"/>
      <x:c r="D5342" s="16" t="str">
        <x:v>* myContacts</x:v>
      </x:c>
      <x:c r="E5342" s="16" t="str">
        <x:v>Missing email</x:v>
      </x:c>
    </x:row>
    <x:row r="5343">
      <x:c r="A5343" s="16" t="n">
        <x:v>5523</x:v>
      </x:c>
      <x:c r="B5343" s="16" t="str">
        <x:v>Pian Otai Bit Coin</x:v>
      </x:c>
      <x:c r="C5343" s="16" t="str"/>
      <x:c r="D5343" s="16" t="str">
        <x:v>* myContacts</x:v>
      </x:c>
      <x:c r="E5343" s="16" t="str">
        <x:v>Missing email</x:v>
      </x:c>
    </x:row>
    <x:row r="5344">
      <x:c r="A5344" s="16" t="n">
        <x:v>5524</x:v>
      </x:c>
      <x:c r="B5344" s="16" t="str">
        <x:v>Pibon WC</x:v>
      </x:c>
      <x:c r="C5344" s="16" t="str"/>
      <x:c r="D5344" s="16" t="str">
        <x:v>* myContacts</x:v>
      </x:c>
      <x:c r="E5344" s="16" t="str">
        <x:v>Missing email</x:v>
      </x:c>
    </x:row>
    <x:row r="5345">
      <x:c r="A5345" s="16" t="n">
        <x:v>5525</x:v>
      </x:c>
      <x:c r="B5345" s="16" t="str">
        <x:v>Pika</x:v>
      </x:c>
      <x:c r="C5345" s="16" t="str"/>
      <x:c r="D5345" s="16" t="str">
        <x:v>* myContacts</x:v>
      </x:c>
      <x:c r="E5345" s="16" t="str">
        <x:v>Missing email</x:v>
      </x:c>
    </x:row>
    <x:row r="5346">
      <x:c r="A5346" s="16" t="n">
        <x:v>5526</x:v>
      </x:c>
      <x:c r="B5346" s="16" t="str">
        <x:v>Pilot Darat iskandar Bidor</x:v>
      </x:c>
      <x:c r="C5346" s="16" t="str"/>
      <x:c r="D5346" s="16" t="str">
        <x:v>* myContacts</x:v>
      </x:c>
      <x:c r="E5346" s="16" t="str">
        <x:v>Missing email</x:v>
      </x:c>
    </x:row>
    <x:row r="5347">
      <x:c r="A5347" s="16" t="n">
        <x:v>5527</x:v>
      </x:c>
      <x:c r="B5347" s="16" t="str">
        <x:v>Pinky LensShop</x:v>
      </x:c>
      <x:c r="C5347" s="16" t="str"/>
      <x:c r="D5347" s="16" t="str">
        <x:v>* myContacts</x:v>
      </x:c>
      <x:c r="E5347" s="16" t="str">
        <x:v>Missing email</x:v>
      </x:c>
    </x:row>
    <x:row r="5348">
      <x:c r="A5348" s="16" t="n">
        <x:v>5528</x:v>
      </x:c>
      <x:c r="B5348" s="16" t="str">
        <x:v>Pj Tayar</x:v>
      </x:c>
      <x:c r="C5348" s="16" t="str"/>
      <x:c r="D5348" s="16" t="str">
        <x:v>* myContacts</x:v>
      </x:c>
      <x:c r="E5348" s="16" t="str">
        <x:v>Missing email</x:v>
      </x:c>
    </x:row>
    <x:row r="5349">
      <x:c r="A5349" s="16" t="n">
        <x:v>5529</x:v>
      </x:c>
      <x:c r="B5349" s="16" t="str">
        <x:v>Pklong Mat Baja Kedah</x:v>
      </x:c>
      <x:c r="C5349" s="16" t="str"/>
      <x:c r="D5349" s="16" t="str">
        <x:v>* myContacts</x:v>
      </x:c>
      <x:c r="E5349" s="16" t="str">
        <x:v>Missing email</x:v>
      </x:c>
    </x:row>
    <x:row r="5350">
      <x:c r="A5350" s="16" t="n">
        <x:v>5530</x:v>
      </x:c>
      <x:c r="B5350" s="16" t="str">
        <x:v>Plaster Ceiling</x:v>
      </x:c>
      <x:c r="C5350" s="16" t="str"/>
      <x:c r="D5350" s="16" t="str">
        <x:v>* myContacts</x:v>
      </x:c>
      <x:c r="E5350" s="16" t="str">
        <x:v>Missing email</x:v>
      </x:c>
    </x:row>
    <x:row r="5351">
      <x:c r="A5351" s="16" t="n">
        <x:v>5531</x:v>
      </x:c>
      <x:c r="B5351" s="16" t="str">
        <x:v>PLF Coach Hanna Ismail</x:v>
      </x:c>
      <x:c r="C5351" s="16" t="str"/>
      <x:c r="D5351" s="16" t="str">
        <x:v>Trainer | * myContacts</x:v>
      </x:c>
      <x:c r="E5351" s="16" t="str">
        <x:v>Missing email</x:v>
      </x:c>
    </x:row>
    <x:row r="5352">
      <x:c r="A5352" s="16" t="n">
        <x:v>5532</x:v>
      </x:c>
      <x:c r="B5352" s="16" t="str">
        <x:v>Pn Adda Koperasi Hartanah Bersatu</x:v>
      </x:c>
      <x:c r="C5352" s="16" t="str"/>
      <x:c r="D5352" s="16" t="str">
        <x:v>* myContacts</x:v>
      </x:c>
      <x:c r="E5352" s="16" t="str">
        <x:v>Missing email</x:v>
      </x:c>
    </x:row>
    <x:row r="5353">
      <x:c r="A5353" s="16" t="n">
        <x:v>5533</x:v>
      </x:c>
      <x:c r="B5353" s="16" t="str">
        <x:v>Pn Adzura Guru Masak</x:v>
      </x:c>
      <x:c r="C5353" s="16" t="str"/>
      <x:c r="D5353" s="16" t="str">
        <x:v>* myContacts</x:v>
      </x:c>
      <x:c r="E5353" s="16" t="str">
        <x:v>Missing email</x:v>
      </x:c>
    </x:row>
    <x:row r="5354">
      <x:c r="A5354" s="16" t="n">
        <x:v>5534</x:v>
      </x:c>
      <x:c r="B5354" s="16" t="str">
        <x:v>Pn Aida Student eusahawan sg besar</x:v>
      </x:c>
      <x:c r="C5354" s="16" t="str"/>
      <x:c r="D5354" s="16" t="str">
        <x:v>Alumni eUsahawan | * myContacts</x:v>
      </x:c>
      <x:c r="E5354" s="16" t="str">
        <x:v>Missing email</x:v>
      </x:c>
    </x:row>
    <x:row r="5355">
      <x:c r="A5355" s="16" t="n">
        <x:v>5535</x:v>
      </x:c>
      <x:c r="B5355" s="16" t="str">
        <x:v>Pn Aina Staff Perhebat</x:v>
      </x:c>
      <x:c r="C5355" s="16" t="str"/>
      <x:c r="D5355" s="16" t="str">
        <x:v>* myContacts</x:v>
      </x:c>
      <x:c r="E5355" s="16" t="str">
        <x:v>Missing email</x:v>
      </x:c>
    </x:row>
    <x:row r="5356">
      <x:c r="A5356" s="16" t="n">
        <x:v>5536</x:v>
      </x:c>
      <x:c r="B5356" s="16" t="str">
        <x:v>pn ainon coach accounting</x:v>
      </x:c>
      <x:c r="C5356" s="16" t="str"/>
      <x:c r="D5356" s="16" t="str">
        <x:v>* myContacts</x:v>
      </x:c>
      <x:c r="E5356" s="16" t="str">
        <x:v>Missing email</x:v>
      </x:c>
    </x:row>
    <x:row r="5357">
      <x:c r="A5357" s="16" t="n">
        <x:v>5537</x:v>
      </x:c>
      <x:c r="B5357" s="16" t="str">
        <x:v>Pn Aishah INSKEN</x:v>
      </x:c>
      <x:c r="C5357" s="16" t="str"/>
      <x:c r="D5357" s="16" t="str">
        <x:v>Alumni INSKEN | * myContacts</x:v>
      </x:c>
      <x:c r="E5357" s="16" t="str">
        <x:v>Missing email</x:v>
      </x:c>
    </x:row>
    <x:row r="5358">
      <x:c r="A5358" s="16" t="n">
        <x:v>5538</x:v>
      </x:c>
      <x:c r="B5358" s="16" t="str">
        <x:v>Pn Alya INKSEN</x:v>
      </x:c>
      <x:c r="C5358" s="16" t="str"/>
      <x:c r="D5358" s="16" t="str">
        <x:v>* myContacts</x:v>
      </x:c>
      <x:c r="E5358" s="16" t="str">
        <x:v>Missing email</x:v>
      </x:c>
    </x:row>
    <x:row r="5359">
      <x:c r="A5359" s="16" t="n">
        <x:v>5539</x:v>
      </x:c>
      <x:c r="B5359" s="16" t="str">
        <x:v>Pn Anisah INSKEN</x:v>
      </x:c>
      <x:c r="C5359" s="16" t="str"/>
      <x:c r="D5359" s="16" t="str">
        <x:v>Alumni INSKEN | * myContacts</x:v>
      </x:c>
      <x:c r="E5359" s="16" t="str">
        <x:v>Missing email</x:v>
      </x:c>
    </x:row>
    <x:row r="5360">
      <x:c r="A5360" s="16" t="n">
        <x:v>5540</x:v>
      </x:c>
      <x:c r="B5360" s="16" t="str">
        <x:v>Pn Anne Solvy</x:v>
      </x:c>
      <x:c r="C5360" s="16" t="str"/>
      <x:c r="D5360" s="16" t="str">
        <x:v>* myContacts</x:v>
      </x:c>
      <x:c r="E5360" s="16" t="str">
        <x:v>Missing email</x:v>
      </x:c>
    </x:row>
    <x:row r="5361">
      <x:c r="A5361" s="16" t="n">
        <x:v>5541</x:v>
      </x:c>
      <x:c r="B5361" s="16" t="str">
        <x:v>Pn Aqilah Sewa Rumah no. 12</x:v>
      </x:c>
      <x:c r="C5361" s="16" t="str"/>
      <x:c r="D5361" s="16" t="str">
        <x:v>* myContacts</x:v>
      </x:c>
      <x:c r="E5361" s="16" t="str">
        <x:v>Missing email</x:v>
      </x:c>
    </x:row>
    <x:row r="5362">
      <x:c r="A5362" s="16" t="n">
        <x:v>5542</x:v>
      </x:c>
      <x:c r="B5362" s="16" t="str">
        <x:v>Pn Ayu</x:v>
      </x:c>
      <x:c r="C5362" s="16" t="str"/>
      <x:c r="D5362" s="16" t="str">
        <x:v>* myContacts</x:v>
      </x:c>
      <x:c r="E5362" s="16" t="str">
        <x:v>Missing email</x:v>
      </x:c>
    </x:row>
    <x:row r="5363">
      <x:c r="A5363" s="16" t="n">
        <x:v>5543</x:v>
      </x:c>
      <x:c r="B5363" s="16" t="str">
        <x:v>Pn Azura Kemahiran</x:v>
      </x:c>
      <x:c r="C5363" s="16" t="str"/>
      <x:c r="D5363" s="16" t="str">
        <x:v>* myContacts</x:v>
      </x:c>
      <x:c r="E5363" s="16" t="str">
        <x:v>Missing email</x:v>
      </x:c>
    </x:row>
    <x:row r="5364">
      <x:c r="A5364" s="16" t="n">
        <x:v>5544</x:v>
      </x:c>
      <x:c r="B5364" s="16" t="str">
        <x:v>Pn Busra Student EU</x:v>
      </x:c>
      <x:c r="C5364" s="16" t="str"/>
      <x:c r="D5364" s="16" t="str">
        <x:v>Alumni eUsahawan | * myContacts</x:v>
      </x:c>
      <x:c r="E5364" s="16" t="str">
        <x:v>Missing email</x:v>
      </x:c>
    </x:row>
    <x:row r="5365">
      <x:c r="A5365" s="16" t="n">
        <x:v>5545</x:v>
      </x:c>
      <x:c r="B5365" s="16" t="str">
        <x:v>Pn Che Romanila AGP</x:v>
      </x:c>
      <x:c r="C5365" s="16" t="str"/>
      <x:c r="D5365" s="16" t="str">
        <x:v>* myContacts</x:v>
      </x:c>
      <x:c r="E5365" s="16" t="str">
        <x:v>Missing email</x:v>
      </x:c>
    </x:row>
    <x:row r="5366">
      <x:c r="A5366" s="16" t="n">
        <x:v>5546</x:v>
      </x:c>
      <x:c r="B5366" s="16" t="str">
        <x:v>Pn Elly Training Hijrah</x:v>
      </x:c>
      <x:c r="C5366" s="16" t="str"/>
      <x:c r="D5366" s="16" t="str">
        <x:v>Alumni eUsahawan | * myContacts</x:v>
      </x:c>
      <x:c r="E5366" s="16" t="str">
        <x:v>Missing email</x:v>
      </x:c>
    </x:row>
    <x:row r="5367">
      <x:c r="A5367" s="16" t="n">
        <x:v>5547</x:v>
      </x:c>
      <x:c r="B5367" s="16" t="str">
        <x:v>Pn Esza Mdec</x:v>
      </x:c>
      <x:c r="C5367" s="16" t="str"/>
      <x:c r="D5367" s="16" t="str">
        <x:v>* myContacts</x:v>
      </x:c>
      <x:c r="E5367" s="16" t="str">
        <x:v>Missing email</x:v>
      </x:c>
    </x:row>
    <x:row r="5368">
      <x:c r="A5368" s="16" t="n">
        <x:v>5548</x:v>
      </x:c>
      <x:c r="B5368" s="16" t="str">
        <x:v>Pn Fida Trainer Hair Stylist</x:v>
      </x:c>
      <x:c r="C5368" s="16" t="str"/>
      <x:c r="D5368" s="16" t="str">
        <x:v>Trainer | * myContacts</x:v>
      </x:c>
      <x:c r="E5368" s="16" t="str">
        <x:v>Missing email</x:v>
      </x:c>
    </x:row>
    <x:row r="5369">
      <x:c r="A5369" s="16" t="n">
        <x:v>5549</x:v>
      </x:c>
      <x:c r="B5369" s="16" t="str">
        <x:v>Pn Fleexa nicol</x:v>
      </x:c>
      <x:c r="C5369" s="16" t="str"/>
      <x:c r="D5369" s="16" t="str">
        <x:v>* myContacts</x:v>
      </x:c>
      <x:c r="E5369" s="16" t="str">
        <x:v>Missing email</x:v>
      </x:c>
    </x:row>
    <x:row r="5370">
      <x:c r="A5370" s="16" t="n">
        <x:v>5550</x:v>
      </x:c>
      <x:c r="B5370" s="16" t="str">
        <x:v>Pn Habibah Jagaan Orang Orang Tua</x:v>
      </x:c>
      <x:c r="C5370" s="16" t="str"/>
      <x:c r="D5370" s="16" t="str">
        <x:v>* myContacts</x:v>
      </x:c>
      <x:c r="E5370" s="16" t="str">
        <x:v>Missing email</x:v>
      </x:c>
    </x:row>
    <x:row r="5371">
      <x:c r="A5371" s="16" t="n">
        <x:v>5553</x:v>
      </x:c>
      <x:c r="B5371" s="16" t="str">
        <x:v>Pn Haslina</x:v>
      </x:c>
      <x:c r="C5371" s="16" t="str"/>
      <x:c r="D5371" s="16" t="str">
        <x:v>* myContacts</x:v>
      </x:c>
      <x:c r="E5371" s="16" t="str">
        <x:v>Missing email</x:v>
      </x:c>
    </x:row>
    <x:row r="5372">
      <x:c r="A5372" s="16" t="n">
        <x:v>5554</x:v>
      </x:c>
      <x:c r="B5372" s="16" t="str">
        <x:v>Pn Hayati CGC</x:v>
      </x:c>
      <x:c r="C5372" s="16" t="str"/>
      <x:c r="D5372" s="16" t="str">
        <x:v>* myContacts</x:v>
      </x:c>
      <x:c r="E5372" s="16" t="str">
        <x:v>Missing email</x:v>
      </x:c>
    </x:row>
    <x:row r="5373">
      <x:c r="A5373" s="16" t="n">
        <x:v>5555</x:v>
      </x:c>
      <x:c r="B5373" s="16" t="str">
        <x:v>Pn Hidayah Auditor Syam and Co</x:v>
      </x:c>
      <x:c r="C5373" s="16" t="str"/>
      <x:c r="D5373" s="16" t="str">
        <x:v>* myContacts</x:v>
      </x:c>
      <x:c r="E5373" s="16" t="str">
        <x:v>Missing email</x:v>
      </x:c>
    </x:row>
    <x:row r="5374">
      <x:c r="A5374" s="16" t="n">
        <x:v>5556</x:v>
      </x:c>
      <x:c r="B5374" s="16" t="str">
        <x:v>Pn ijah cikgu politeknik engku omar</x:v>
      </x:c>
      <x:c r="C5374" s="16" t="str"/>
      <x:c r="D5374" s="16" t="str">
        <x:v>* myContacts</x:v>
      </x:c>
      <x:c r="E5374" s="16" t="str">
        <x:v>Missing email</x:v>
      </x:c>
    </x:row>
    <x:row r="5375">
      <x:c r="A5375" s="16" t="n">
        <x:v>5557</x:v>
      </x:c>
      <x:c r="B5375" s="16" t="str">
        <x:v>Pn Irmailyana Hijrah Hulu Langat</x:v>
      </x:c>
      <x:c r="C5375" s="16" t="str"/>
      <x:c r="D5375" s="16" t="str">
        <x:v>Alumni eUsahawan | * myContacts</x:v>
      </x:c>
      <x:c r="E5375" s="16" t="str">
        <x:v>Missing email</x:v>
      </x:c>
    </x:row>
    <x:row r="5376">
      <x:c r="A5376" s="16" t="n">
        <x:v>5558</x:v>
      </x:c>
      <x:c r="B5376" s="16" t="str">
        <x:v>Pn Kalai Insurance</x:v>
      </x:c>
      <x:c r="C5376" s="16" t="str"/>
      <x:c r="D5376" s="16" t="str">
        <x:v>* myContacts</x:v>
      </x:c>
      <x:c r="E5376" s="16" t="str">
        <x:v>Missing email</x:v>
      </x:c>
    </x:row>
    <x:row r="5377">
      <x:c r="A5377" s="16" t="n">
        <x:v>5559</x:v>
      </x:c>
      <x:c r="B5377" s="16" t="str">
        <x:v>Pn Khadijah</x:v>
      </x:c>
      <x:c r="C5377" s="16" t="str"/>
      <x:c r="D5377" s="16" t="str">
        <x:v>* myContacts</x:v>
      </x:c>
      <x:c r="E5377" s="16" t="str">
        <x:v>Missing email</x:v>
      </x:c>
    </x:row>
    <x:row r="5378">
      <x:c r="A5378" s="16" t="n">
        <x:v>5560</x:v>
      </x:c>
      <x:c r="B5378" s="16" t="str">
        <x:v>Pn Kuza RA8</x:v>
      </x:c>
      <x:c r="C5378" s="16" t="str"/>
      <x:c r="D5378" s="16" t="str">
        <x:v>* myContacts</x:v>
      </x:c>
      <x:c r="E5378" s="16" t="str">
        <x:v>Missing email</x:v>
      </x:c>
    </x:row>
    <x:row r="5379">
      <x:c r="A5379" s="16" t="n">
        <x:v>5561</x:v>
      </x:c>
      <x:c r="B5379" s="16" t="str">
        <x:v>Pn Kuza RA8</x:v>
      </x:c>
      <x:c r="C5379" s="16" t="str"/>
      <x:c r="D5379" s="16" t="str">
        <x:v>* myContacts</x:v>
      </x:c>
      <x:c r="E5379" s="16" t="str">
        <x:v>Missing email</x:v>
      </x:c>
    </x:row>
    <x:row r="5380">
      <x:c r="A5380" s="16" t="n">
        <x:v>5562</x:v>
      </x:c>
      <x:c r="B5380" s="16" t="str">
        <x:v>Pn Latifah Tax Expert</x:v>
      </x:c>
      <x:c r="C5380" s="16" t="str"/>
      <x:c r="D5380" s="16" t="str">
        <x:v>* myContacts</x:v>
      </x:c>
      <x:c r="E5380" s="16" t="str">
        <x:v>Missing email</x:v>
      </x:c>
    </x:row>
    <x:row r="5381">
      <x:c r="A5381" s="16" t="n">
        <x:v>5563</x:v>
      </x:c>
      <x:c r="B5381" s="16" t="str">
        <x:v>Pn lela student</x:v>
      </x:c>
      <x:c r="C5381" s="16" t="str"/>
      <x:c r="D5381" s="16" t="str">
        <x:v>* myContacts</x:v>
      </x:c>
      <x:c r="E5381" s="16" t="str">
        <x:v>Missing email</x:v>
      </x:c>
    </x:row>
    <x:row r="5382">
      <x:c r="A5382" s="16" t="n">
        <x:v>5564</x:v>
      </x:c>
      <x:c r="B5382" s="16" t="str">
        <x:v>Pn lily Sabrina Media Online</x:v>
      </x:c>
      <x:c r="C5382" s="16" t="str"/>
      <x:c r="D5382" s="16" t="str">
        <x:v>* myContacts</x:v>
      </x:c>
      <x:c r="E5382" s="16" t="str">
        <x:v>Missing email</x:v>
      </x:c>
    </x:row>
    <x:row r="5383">
      <x:c r="A5383" s="16" t="n">
        <x:v>5565</x:v>
      </x:c>
      <x:c r="B5383" s="16" t="str">
        <x:v>Pn Lina Meru PKM</x:v>
      </x:c>
      <x:c r="C5383" s="16" t="str"/>
      <x:c r="D5383" s="16" t="str">
        <x:v>* myContacts</x:v>
      </x:c>
      <x:c r="E5383" s="16" t="str">
        <x:v>Missing email</x:v>
      </x:c>
    </x:row>
    <x:row r="5384">
      <x:c r="A5384" s="16" t="n">
        <x:v>5566</x:v>
      </x:c>
      <x:c r="B5384" s="16" t="str">
        <x:v>Pn Lina Meru PKM</x:v>
      </x:c>
      <x:c r="C5384" s="16" t="str"/>
      <x:c r="D5384" s="16" t="str">
        <x:v>* myContacts</x:v>
      </x:c>
      <x:c r="E5384" s="16" t="str">
        <x:v>Missing email</x:v>
      </x:c>
    </x:row>
    <x:row r="5385">
      <x:c r="A5385" s="16" t="n">
        <x:v>5567</x:v>
      </x:c>
      <x:c r="B5385" s="16" t="str">
        <x:v>Pn linda agro bank kajang</x:v>
      </x:c>
      <x:c r="C5385" s="16" t="str"/>
      <x:c r="D5385" s="16" t="str">
        <x:v>* myContacts</x:v>
      </x:c>
      <x:c r="E5385" s="16" t="str">
        <x:v>Missing email</x:v>
      </x:c>
    </x:row>
    <x:row r="5386">
      <x:c r="A5386" s="16" t="n">
        <x:v>5568</x:v>
      </x:c>
      <x:c r="B5386" s="16" t="str">
        <x:v>Pn MAHANI</x:v>
      </x:c>
      <x:c r="C5386" s="16" t="str"/>
      <x:c r="D5386" s="16" t="str">
        <x:v>* myContacts</x:v>
      </x:c>
      <x:c r="E5386" s="16" t="str">
        <x:v>Missing email</x:v>
      </x:c>
    </x:row>
    <x:row r="5387">
      <x:c r="A5387" s="16" t="n">
        <x:v>5569</x:v>
      </x:c>
      <x:c r="B5387" s="16" t="str">
        <x:v>Pn Majidah Man power Factory DPIM TERENGGANU</x:v>
      </x:c>
      <x:c r="C5387" s="16" t="str"/>
      <x:c r="D5387" s="16" t="str">
        <x:v>* myContacts</x:v>
      </x:c>
      <x:c r="E5387" s="16" t="str">
        <x:v>Missing email</x:v>
      </x:c>
    </x:row>
    <x:row r="5388">
      <x:c r="A5388" s="16" t="n">
        <x:v>5570</x:v>
      </x:c>
      <x:c r="B5388" s="16" t="str">
        <x:v>Pn Maria Uitm Specialist Food and Beveragest Industry</x:v>
      </x:c>
      <x:c r="C5388" s="16" t="str"/>
      <x:c r="D5388" s="16" t="str">
        <x:v>* myContacts</x:v>
      </x:c>
      <x:c r="E5388" s="16" t="str">
        <x:v>Missing email</x:v>
      </x:c>
    </x:row>
    <x:row r="5389">
      <x:c r="A5389" s="16" t="n">
        <x:v>5571</x:v>
      </x:c>
      <x:c r="B5389" s="16" t="str">
        <x:v>Pn Moon EU2017</x:v>
      </x:c>
      <x:c r="C5389" s="16" t="str"/>
      <x:c r="D5389" s="16" t="str">
        <x:v>* myContacts</x:v>
      </x:c>
      <x:c r="E5389" s="16" t="str">
        <x:v>Missing email</x:v>
      </x:c>
    </x:row>
    <x:row r="5390">
      <x:c r="A5390" s="16" t="n">
        <x:v>5572</x:v>
      </x:c>
      <x:c r="B5390" s="16" t="str">
        <x:v>Pn Nadia Mh. A. CGC</x:v>
      </x:c>
      <x:c r="C5390" s="16" t="str"/>
      <x:c r="D5390" s="16" t="str">
        <x:v>* myContacts</x:v>
      </x:c>
      <x:c r="E5390" s="16" t="str">
        <x:v>Missing email</x:v>
      </x:c>
    </x:row>
    <x:row r="5391">
      <x:c r="A5391" s="16" t="n">
        <x:v>5573</x:v>
      </x:c>
      <x:c r="B5391" s="16" t="str">
        <x:v>Pn napisah AIM</x:v>
      </x:c>
      <x:c r="C5391" s="16" t="str"/>
      <x:c r="D5391" s="16" t="str">
        <x:v>* myContacts</x:v>
      </x:c>
      <x:c r="E5391" s="16" t="str">
        <x:v>Missing email</x:v>
      </x:c>
    </x:row>
    <x:row r="5392">
      <x:c r="A5392" s="16" t="n">
        <x:v>5574</x:v>
      </x:c>
      <x:c r="B5392" s="16" t="str">
        <x:v>Pn Nik Hanaliza Agent AGP Tier 1</x:v>
      </x:c>
      <x:c r="C5392" s="16" t="str"/>
      <x:c r="D5392" s="16" t="str">
        <x:v>* myContacts</x:v>
      </x:c>
      <x:c r="E5392" s="16" t="str">
        <x:v>Missing email</x:v>
      </x:c>
    </x:row>
    <x:row r="5393">
      <x:c r="A5393" s="16" t="n">
        <x:v>5575</x:v>
      </x:c>
      <x:c r="B5393" s="16" t="str">
        <x:v>Pn Nina Coway</x:v>
      </x:c>
      <x:c r="C5393" s="16" t="str"/>
      <x:c r="D5393" s="16" t="str">
        <x:v>* myContacts</x:v>
      </x:c>
      <x:c r="E5393" s="16" t="str">
        <x:v>Missing email</x:v>
      </x:c>
    </x:row>
    <x:row r="5394">
      <x:c r="A5394" s="16" t="n">
        <x:v>5576</x:v>
      </x:c>
      <x:c r="B5394" s="16" t="str">
        <x:v>Pn Nina Shienaz Griffin</x:v>
      </x:c>
      <x:c r="C5394" s="16" t="str"/>
      <x:c r="D5394" s="16" t="str">
        <x:v>* myContacts</x:v>
      </x:c>
      <x:c r="E5394" s="16" t="str">
        <x:v>Missing email</x:v>
      </x:c>
    </x:row>
    <x:row r="5395">
      <x:c r="A5395" s="16" t="n">
        <x:v>5577</x:v>
      </x:c>
      <x:c r="B5395" s="16" t="str">
        <x:v>Pn Nor Persatuan Peladang JOHOR BHARU</x:v>
      </x:c>
      <x:c r="C5395" s="16" t="str"/>
      <x:c r="D5395" s="16" t="str">
        <x:v>* myContacts</x:v>
      </x:c>
      <x:c r="E5395" s="16" t="str">
        <x:v>Missing email</x:v>
      </x:c>
    </x:row>
    <x:row r="5396">
      <x:c r="A5396" s="16" t="n">
        <x:v>5578</x:v>
      </x:c>
      <x:c r="B5396" s="16" t="str">
        <x:v>Pn Nora KWSP</x:v>
      </x:c>
      <x:c r="C5396" s="16" t="str"/>
      <x:c r="D5396" s="16" t="str">
        <x:v>* myContacts</x:v>
      </x:c>
      <x:c r="E5396" s="16" t="str">
        <x:v>Missing email</x:v>
      </x:c>
    </x:row>
    <x:row r="5397">
      <x:c r="A5397" s="16" t="n">
        <x:v>5580</x:v>
      </x:c>
      <x:c r="B5397" s="16" t="str">
        <x:v>Pn Nora Student Mdec</x:v>
      </x:c>
      <x:c r="C5397" s="16" t="str"/>
      <x:c r="D5397" s="16" t="str">
        <x:v>* myContacts</x:v>
      </x:c>
      <x:c r="E5397" s="16" t="str">
        <x:v>Missing email</x:v>
      </x:c>
    </x:row>
    <x:row r="5398">
      <x:c r="A5398" s="16" t="n">
        <x:v>5581</x:v>
      </x:c>
      <x:c r="B5398" s="16" t="str">
        <x:v>Pn Nurul dari TPM</x:v>
      </x:c>
      <x:c r="C5398" s="16" t="str"/>
      <x:c r="D5398" s="16" t="str">
        <x:v>* myContacts</x:v>
      </x:c>
      <x:c r="E5398" s="16" t="str">
        <x:v>Missing email</x:v>
      </x:c>
    </x:row>
    <x:row r="5399">
      <x:c r="A5399" s="16" t="n">
        <x:v>5582</x:v>
      </x:c>
      <x:c r="B5399" s="16" t="str">
        <x:v>Pn Nurul Politeknik Sabak Bernam</x:v>
      </x:c>
      <x:c r="C5399" s="16" t="str"/>
      <x:c r="D5399" s="16" t="str">
        <x:v>* myContacts</x:v>
      </x:c>
      <x:c r="E5399" s="16" t="str">
        <x:v>Missing email</x:v>
      </x:c>
    </x:row>
    <x:row r="5400">
      <x:c r="A5400" s="16" t="n">
        <x:v>5583</x:v>
      </x:c>
      <x:c r="B5400" s="16" t="str">
        <x:v>Pn Pozih Sidik</x:v>
      </x:c>
      <x:c r="C5400" s="16" t="str"/>
      <x:c r="D5400" s="16" t="str">
        <x:v>* myContacts</x:v>
      </x:c>
      <x:c r="E5400" s="16" t="str">
        <x:v>Missing email</x:v>
      </x:c>
    </x:row>
    <x:row r="5401">
      <x:c r="A5401" s="16" t="n">
        <x:v>5584</x:v>
      </x:c>
      <x:c r="B5401" s="16" t="str">
        <x:v>Pn Renu 1MINE</x:v>
      </x:c>
      <x:c r="C5401" s="16" t="str"/>
      <x:c r="D5401" s="16" t="str">
        <x:v>* myContacts</x:v>
      </x:c>
      <x:c r="E5401" s="16" t="str">
        <x:v>Missing email</x:v>
      </x:c>
    </x:row>
    <x:row r="5402">
      <x:c r="A5402" s="16" t="n">
        <x:v>5585</x:v>
      </x:c>
      <x:c r="B5402" s="16" t="str">
        <x:v>Pn Rina Student Bomm 2023</x:v>
      </x:c>
      <x:c r="C5402" s="16" t="str"/>
      <x:c r="D5402" s="16" t="str">
        <x:v>* myContacts</x:v>
      </x:c>
      <x:c r="E5402" s="16" t="str">
        <x:v>Missing email</x:v>
      </x:c>
    </x:row>
    <x:row r="5403">
      <x:c r="A5403" s="16" t="n">
        <x:v>5586</x:v>
      </x:c>
      <x:c r="B5403" s="16" t="str">
        <x:v>Pn Rosni Insken</x:v>
      </x:c>
      <x:c r="C5403" s="16" t="str"/>
      <x:c r="D5403" s="16" t="str">
        <x:v>Alumni INSKEN | * myContacts</x:v>
      </x:c>
      <x:c r="E5403" s="16" t="str">
        <x:v>Missing email</x:v>
      </x:c>
    </x:row>
    <x:row r="5404">
      <x:c r="A5404" s="16" t="n">
        <x:v>5587</x:v>
      </x:c>
      <x:c r="B5404" s="16" t="str">
        <x:v>Pn Rozita Training Provider</x:v>
      </x:c>
      <x:c r="C5404" s="16" t="str"/>
      <x:c r="D5404" s="16" t="str">
        <x:v>* myContacts</x:v>
      </x:c>
      <x:c r="E5404" s="16" t="str">
        <x:v>Missing email</x:v>
      </x:c>
    </x:row>
    <x:row r="5405">
      <x:c r="A5405" s="16" t="n">
        <x:v>5588</x:v>
      </x:c>
      <x:c r="B5405" s="16" t="str">
        <x:v>Pn Saidati C6 Eboard</x:v>
      </x:c>
      <x:c r="C5405" s="16" t="str"/>
      <x:c r="D5405" s="16" t="str">
        <x:v>Alumni INSKEN | * myContacts</x:v>
      </x:c>
      <x:c r="E5405" s="16" t="str">
        <x:v>Missing email</x:v>
      </x:c>
    </x:row>
    <x:row r="5406">
      <x:c r="A5406" s="16" t="n">
        <x:v>5589</x:v>
      </x:c>
      <x:c r="B5406" s="16" t="str">
        <x:v>Pn Salmiah KK Hulu Langat</x:v>
      </x:c>
      <x:c r="C5406" s="16" t="str"/>
      <x:c r="D5406" s="16" t="str">
        <x:v>* myContacts</x:v>
      </x:c>
      <x:c r="E5406" s="16" t="str">
        <x:v>Missing email</x:v>
      </x:c>
    </x:row>
    <x:row r="5407">
      <x:c r="A5407" s="16" t="n">
        <x:v>5590</x:v>
      </x:c>
      <x:c r="B5407" s="16" t="str">
        <x:v>Pn Samaratul</x:v>
      </x:c>
      <x:c r="C5407" s="16" t="str"/>
      <x:c r="D5407" s="16" t="str">
        <x:v>* myContacts</x:v>
      </x:c>
      <x:c r="E5407" s="16" t="str">
        <x:v>Missing email</x:v>
      </x:c>
    </x:row>
    <x:row r="5408">
      <x:c r="A5408" s="16" t="n">
        <x:v>5591</x:v>
      </x:c>
      <x:c r="B5408" s="16" t="str">
        <x:v>Pn Sanah HG</x:v>
      </x:c>
      <x:c r="C5408" s="16" t="str"/>
      <x:c r="D5408" s="16" t="str">
        <x:v>* myContacts</x:v>
      </x:c>
      <x:c r="E5408" s="16" t="str">
        <x:v>Missing email</x:v>
      </x:c>
    </x:row>
    <x:row r="5409">
      <x:c r="A5409" s="16" t="n">
        <x:v>5592</x:v>
      </x:c>
      <x:c r="B5409" s="16" t="str">
        <x:v>Pn Sarah Mdec</x:v>
      </x:c>
      <x:c r="C5409" s="16" t="str"/>
      <x:c r="D5409" s="16" t="str">
        <x:v>* myContacts</x:v>
      </x:c>
      <x:c r="E5409" s="16" t="str">
        <x:v>Missing email</x:v>
      </x:c>
    </x:row>
    <x:row r="5410">
      <x:c r="A5410" s="16" t="n">
        <x:v>5593</x:v>
      </x:c>
      <x:c r="B5410" s="16" t="str">
        <x:v>Pn Seha Care Giver</x:v>
      </x:c>
      <x:c r="C5410" s="16" t="str"/>
      <x:c r="D5410" s="16" t="str">
        <x:v>* myContacts</x:v>
      </x:c>
      <x:c r="E5410" s="16" t="str">
        <x:v>Missing email</x:v>
      </x:c>
    </x:row>
    <x:row r="5411">
      <x:c r="A5411" s="16" t="n">
        <x:v>5594</x:v>
      </x:c>
      <x:c r="B5411" s="16" t="str">
        <x:v>PN SHILA Rjb</x:v>
      </x:c>
      <x:c r="C5411" s="16" t="str"/>
      <x:c r="D5411" s="16" t="str">
        <x:v>* myContacts</x:v>
      </x:c>
      <x:c r="E5411" s="16" t="str">
        <x:v>Missing email</x:v>
      </x:c>
    </x:row>
    <x:row r="5412">
      <x:c r="A5412" s="16" t="n">
        <x:v>5595</x:v>
      </x:c>
      <x:c r="B5412" s="16" t="str">
        <x:v>Pn sue PPMM</x:v>
      </x:c>
      <x:c r="C5412" s="16" t="str"/>
      <x:c r="D5412" s="16" t="str">
        <x:v>* myContacts</x:v>
      </x:c>
      <x:c r="E5412" s="16" t="str">
        <x:v>Missing email</x:v>
      </x:c>
    </x:row>
    <x:row r="5413">
      <x:c r="A5413" s="16" t="n">
        <x:v>5596</x:v>
      </x:c>
      <x:c r="B5413" s="16" t="str">
        <x:v>Pn Suhaila Dpim Perak</x:v>
      </x:c>
      <x:c r="C5413" s="16" t="str"/>
      <x:c r="D5413" s="16" t="str">
        <x:v>* myContacts</x:v>
      </x:c>
      <x:c r="E5413" s="16" t="str">
        <x:v>Missing email</x:v>
      </x:c>
    </x:row>
    <x:row r="5414">
      <x:c r="A5414" s="16" t="n">
        <x:v>5597</x:v>
      </x:c>
      <x:c r="B5414" s="16" t="str">
        <x:v>Pn Syamimi TAOP Ai</x:v>
      </x:c>
      <x:c r="C5414" s="16" t="str"/>
      <x:c r="D5414" s="16" t="str">
        <x:v>* myContacts</x:v>
      </x:c>
      <x:c r="E5414" s="16" t="str">
        <x:v>Missing email</x:v>
      </x:c>
    </x:row>
    <x:row r="5415">
      <x:c r="A5415" s="16" t="n">
        <x:v>5598</x:v>
      </x:c>
      <x:c r="B5415" s="16" t="str">
        <x:v>Pn Syikin Envent organizer toyyibcart</x:v>
      </x:c>
      <x:c r="C5415" s="16" t="str"/>
      <x:c r="D5415" s="16" t="str">
        <x:v>* myContacts</x:v>
      </x:c>
      <x:c r="E5415" s="16" t="str">
        <x:v>Missing email</x:v>
      </x:c>
    </x:row>
    <x:row r="5416">
      <x:c r="A5416" s="16" t="n">
        <x:v>5599</x:v>
      </x:c>
      <x:c r="B5416" s="16" t="str">
        <x:v>Pn Syima Mahkamah Majistret Putrajaya</x:v>
      </x:c>
      <x:c r="C5416" s="16" t="str"/>
      <x:c r="D5416" s="16" t="str">
        <x:v>* myContacts</x:v>
      </x:c>
      <x:c r="E5416" s="16" t="str">
        <x:v>Missing email</x:v>
      </x:c>
    </x:row>
    <x:row r="5417">
      <x:c r="A5417" s="16" t="n">
        <x:v>5600</x:v>
      </x:c>
      <x:c r="B5417" s="16" t="str">
        <x:v>Pn Wahira PEDAS</x:v>
      </x:c>
      <x:c r="C5417" s="16" t="str"/>
      <x:c r="D5417" s="16" t="str">
        <x:v>* myContacts</x:v>
      </x:c>
      <x:c r="E5417" s="16" t="str">
        <x:v>Missing email</x:v>
      </x:c>
    </x:row>
    <x:row r="5418">
      <x:c r="A5418" s="16" t="n">
        <x:v>5601</x:v>
      </x:c>
      <x:c r="B5418" s="16" t="str">
        <x:v>Pn Wan Kabel Ultimate</x:v>
      </x:c>
      <x:c r="C5418" s="16" t="str"/>
      <x:c r="D5418" s="16" t="str">
        <x:v>* myContacts</x:v>
      </x:c>
      <x:c r="E5418" s="16" t="str">
        <x:v>Missing email</x:v>
      </x:c>
    </x:row>
    <x:row r="5419">
      <x:c r="A5419" s="16" t="n">
        <x:v>5602</x:v>
      </x:c>
      <x:c r="B5419" s="16" t="str">
        <x:v>Pn Wanie Msjd Putra</x:v>
      </x:c>
      <x:c r="C5419" s="16" t="str"/>
      <x:c r="D5419" s="16" t="str">
        <x:v>* myContacts</x:v>
      </x:c>
      <x:c r="E5419" s="16" t="str">
        <x:v>Missing email</x:v>
      </x:c>
    </x:row>
    <x:row r="5420">
      <x:c r="A5420" s="16" t="n">
        <x:v>5603</x:v>
      </x:c>
      <x:c r="B5420" s="16" t="str">
        <x:v>Pn Wirda Adnan</x:v>
      </x:c>
      <x:c r="C5420" s="16" t="str"/>
      <x:c r="D5420" s="16" t="str">
        <x:v>* myContacts</x:v>
      </x:c>
      <x:c r="E5420" s="16" t="str">
        <x:v>Missing email</x:v>
      </x:c>
    </x:row>
    <x:row r="5421">
      <x:c r="A5421" s="16" t="n">
        <x:v>5604</x:v>
      </x:c>
      <x:c r="B5421" s="16" t="str">
        <x:v>Pn Yati INSKEN</x:v>
      </x:c>
      <x:c r="C5421" s="16" t="str"/>
      <x:c r="D5421" s="16" t="str">
        <x:v>Alumni INSKEN | * myContacts</x:v>
      </x:c>
      <x:c r="E5421" s="16" t="str">
        <x:v>Missing email</x:v>
      </x:c>
    </x:row>
    <x:row r="5422">
      <x:c r="A5422" s="16" t="n">
        <x:v>5605</x:v>
      </x:c>
      <x:c r="B5422" s="16" t="str">
        <x:v>Pn Yazira Ikma Zone Selatan</x:v>
      </x:c>
      <x:c r="C5422" s="16" t="str"/>
      <x:c r="D5422" s="16" t="str">
        <x:v>* myContacts</x:v>
      </x:c>
      <x:c r="E5422" s="16" t="str">
        <x:v>Missing email</x:v>
      </x:c>
    </x:row>
    <x:row r="5423">
      <x:c r="A5423" s="16" t="n">
        <x:v>5606</x:v>
      </x:c>
      <x:c r="B5423" s="16" t="str">
        <x:v>Pn Zaiti Kolej tinggi kemahiran mara</x:v>
      </x:c>
      <x:c r="C5423" s="16" t="str"/>
      <x:c r="D5423" s="16" t="str">
        <x:v>* myContacts</x:v>
      </x:c>
      <x:c r="E5423" s="16" t="str">
        <x:v>Missing email</x:v>
      </x:c>
    </x:row>
    <x:row r="5424">
      <x:c r="A5424" s="16" t="n">
        <x:v>5607</x:v>
      </x:c>
      <x:c r="B5424" s="16" t="str">
        <x:v>Pn Zalina Jabatan Perpaduan negeri Pahang</x:v>
      </x:c>
      <x:c r="C5424" s="16" t="str"/>
      <x:c r="D5424" s="16" t="str">
        <x:v>* myContacts</x:v>
      </x:c>
      <x:c r="E5424" s="16" t="str">
        <x:v>Missing email</x:v>
      </x:c>
    </x:row>
    <x:row r="5425">
      <x:c r="A5425" s="16" t="n">
        <x:v>5608</x:v>
      </x:c>
      <x:c r="B5425" s="16" t="str">
        <x:v>Pn Zia masjid gombak setia</x:v>
      </x:c>
      <x:c r="C5425" s="16" t="str"/>
      <x:c r="D5425" s="16" t="str">
        <x:v>* myContacts</x:v>
      </x:c>
      <x:c r="E5425" s="16" t="str">
        <x:v>Missing email</x:v>
      </x:c>
    </x:row>
    <x:row r="5426">
      <x:c r="A5426" s="16" t="n">
        <x:v>5609</x:v>
      </x:c>
      <x:c r="B5426" s="16" t="str">
        <x:v>PNS Adriansyah</x:v>
      </x:c>
      <x:c r="C5426" s="16" t="str"/>
      <x:c r="D5426" s="16" t="str">
        <x:v>* myContacts</x:v>
      </x:c>
      <x:c r="E5426" s="16" t="str">
        <x:v>Missing email</x:v>
      </x:c>
    </x:row>
    <x:row r="5427">
      <x:c r="A5427" s="16" t="n">
        <x:v>5610</x:v>
      </x:c>
      <x:c r="B5427" s="16" t="str">
        <x:v>Pojan Kaki Kari</x:v>
      </x:c>
      <x:c r="C5427" s="16" t="str"/>
      <x:c r="D5427" s="16" t="str">
        <x:v>* myContacts</x:v>
      </x:c>
      <x:c r="E5427" s="16" t="str">
        <x:v>Missing email</x:v>
      </x:c>
    </x:row>
    <x:row r="5428">
      <x:c r="A5428" s="16" t="n">
        <x:v>5611</x:v>
      </x:c>
      <x:c r="B5428" s="16" t="str">
        <x:v>Pok NIk Klate</x:v>
      </x:c>
      <x:c r="C5428" s="16" t="str"/>
      <x:c r="D5428" s="16" t="str">
        <x:v>* myContacts</x:v>
      </x:c>
      <x:c r="E5428" s="16" t="str">
        <x:v>Missing email</x:v>
      </x:c>
    </x:row>
    <x:row r="5429">
      <x:c r="A5429" s="16" t="n">
        <x:v>5612</x:v>
      </x:c>
      <x:c r="B5429" s="16" t="str">
        <x:v>Pok Su</x:v>
      </x:c>
      <x:c r="C5429" s="16" t="str"/>
      <x:c r="D5429" s="16" t="str">
        <x:v>* myContacts</x:v>
      </x:c>
      <x:c r="E5429" s="16" t="str">
        <x:v>Missing email</x:v>
      </x:c>
    </x:row>
    <x:row r="5430">
      <x:c r="A5430" s="16" t="n">
        <x:v>5613</x:v>
      </x:c>
      <x:c r="B5430" s="16" t="str">
        <x:v>Pokchek Wakluu</x:v>
      </x:c>
      <x:c r="C5430" s="16" t="str"/>
      <x:c r="D5430" s="16" t="str">
        <x:v>* myContacts</x:v>
      </x:c>
      <x:c r="E5430" s="16" t="str">
        <x:v>Missing email</x:v>
      </x:c>
    </x:row>
    <x:row r="5431">
      <x:c r="A5431" s="16" t="n">
        <x:v>5614</x:v>
      </x:c>
      <x:c r="B5431" s="16" t="str">
        <x:v>Poknik Master Online</x:v>
      </x:c>
      <x:c r="C5431" s="16" t="str"/>
      <x:c r="D5431" s="16" t="str">
        <x:v>* myContacts</x:v>
      </x:c>
      <x:c r="E5431" s="16" t="str">
        <x:v>Missing email</x:v>
      </x:c>
    </x:row>
    <x:row r="5432">
      <x:c r="A5432" s="16" t="n">
        <x:v>5615</x:v>
      </x:c>
      <x:c r="B5432" s="16" t="str">
        <x:v>Poknik Um Jerung Putih</x:v>
      </x:c>
      <x:c r="C5432" s="16" t="str"/>
      <x:c r="D5432" s="16" t="str">
        <x:v>* myContacts</x:v>
      </x:c>
      <x:c r="E5432" s="16" t="str">
        <x:v>Missing email</x:v>
      </x:c>
    </x:row>
    <x:row r="5433">
      <x:c r="A5433" s="16" t="n">
        <x:v>5616</x:v>
      </x:c>
      <x:c r="B5433" s="16" t="str">
        <x:v>Pola Bear</x:v>
      </x:c>
      <x:c r="C5433" s="16" t="str"/>
      <x:c r="D5433" s="16" t="str">
        <x:v>* myContacts</x:v>
      </x:c>
      <x:c r="E5433" s="16" t="str">
        <x:v>Missing email</x:v>
      </x:c>
    </x:row>
    <x:row r="5434">
      <x:c r="A5434" s="16" t="n">
        <x:v>5617</x:v>
      </x:c>
      <x:c r="B5434" s="16" t="str">
        <x:v>poliklinik shaik</x:v>
      </x:c>
      <x:c r="C5434" s="16" t="str"/>
      <x:c r="D5434" s="16" t="str">
        <x:v>* myContacts</x:v>
      </x:c>
      <x:c r="E5434" s="16" t="str">
        <x:v>Missing email</x:v>
      </x:c>
    </x:row>
    <x:row r="5435">
      <x:c r="A5435" s="16" t="n">
        <x:v>5618</x:v>
      </x:c>
      <x:c r="B5435" s="16" t="str">
        <x:v>Pomade Color</x:v>
      </x:c>
      <x:c r="C5435" s="16" t="str"/>
      <x:c r="D5435" s="16" t="str">
        <x:v>* myContacts</x:v>
      </x:c>
      <x:c r="E5435" s="16" t="str">
        <x:v>Missing email</x:v>
      </x:c>
    </x:row>
    <x:row r="5436">
      <x:c r="A5436" s="16" t="n">
        <x:v>5619</x:v>
      </x:c>
      <x:c r="B5436" s="16" t="str">
        <x:v>Pomen Sg Buloh Towing</x:v>
      </x:c>
      <x:c r="C5436" s="16" t="str"/>
      <x:c r="D5436" s="16" t="str">
        <x:v>* myContacts</x:v>
      </x:c>
      <x:c r="E5436" s="16" t="str">
        <x:v>Missing email</x:v>
      </x:c>
    </x:row>
    <x:row r="5437">
      <x:c r="A5437" s="16" t="n">
        <x:v>5620</x:v>
      </x:c>
      <x:c r="B5437" s="16" t="str">
        <x:v>Popon Celemutz Aje</x:v>
      </x:c>
      <x:c r="C5437" s="16" t="str"/>
      <x:c r="D5437" s="16" t="str">
        <x:v>* myContacts</x:v>
      </x:c>
      <x:c r="E5437" s="16" t="str">
        <x:v>Missing email</x:v>
      </x:c>
    </x:row>
    <x:row r="5438">
      <x:c r="A5438" s="16" t="n">
        <x:v>5621</x:v>
      </x:c>
      <x:c r="B5438" s="16" t="str">
        <x:v>poslaju Brunei</x:v>
      </x:c>
      <x:c r="C5438" s="16" t="str"/>
      <x:c r="D5438" s="16" t="str">
        <x:v>* myContacts</x:v>
      </x:c>
      <x:c r="E5438" s="16" t="str">
        <x:v>Missing email</x:v>
      </x:c>
    </x:row>
    <x:row r="5439">
      <x:c r="A5439" s="16" t="n">
        <x:v>5622</x:v>
      </x:c>
      <x:c r="B5439" s="16" t="str">
        <x:v>Potrec Stu Dio</x:v>
      </x:c>
      <x:c r="C5439" s="16" t="str"/>
      <x:c r="D5439" s="16" t="str">
        <x:v>* myContacts</x:v>
      </x:c>
      <x:c r="E5439" s="16" t="str">
        <x:v>Missing email</x:v>
      </x:c>
    </x:row>
    <x:row r="5440">
      <x:c r="A5440" s="16" t="n">
        <x:v>5623</x:v>
      </x:c>
      <x:c r="B5440" s="16" t="str">
        <x:v>Powergreen Powergreen</x:v>
      </x:c>
      <x:c r="C5440" s="16" t="str"/>
      <x:c r="D5440" s="16" t="str">
        <x:v>* myContacts</x:v>
      </x:c>
      <x:c r="E5440" s="16" t="str">
        <x:v>Missing email</x:v>
      </x:c>
    </x:row>
    <x:row r="5441">
      <x:c r="A5441" s="16" t="n">
        <x:v>5625</x:v>
      </x:c>
      <x:c r="B5441" s="16" t="str">
        <x:v>Prastya Simple Audience</x:v>
      </x:c>
      <x:c r="C5441" s="16" t="str"/>
      <x:c r="D5441" s="16" t="str">
        <x:v>* myContacts</x:v>
      </x:c>
      <x:c r="E5441" s="16" t="str">
        <x:v>Missing email</x:v>
      </x:c>
    </x:row>
    <x:row r="5442">
      <x:c r="A5442" s="16" t="n">
        <x:v>5626</x:v>
      </x:c>
      <x:c r="B5442" s="16" t="str">
        <x:v>Pravin Krishnan</x:v>
      </x:c>
      <x:c r="C5442" s="16" t="str"/>
      <x:c r="D5442" s="16" t="str">
        <x:v>* myContacts</x:v>
      </x:c>
      <x:c r="E5442" s="16" t="str">
        <x:v>Missing email</x:v>
      </x:c>
    </x:row>
    <x:row r="5443">
      <x:c r="A5443" s="16" t="n">
        <x:v>5627</x:v>
      </x:c>
      <x:c r="B5443" s="16" t="str">
        <x:v>premio print</x:v>
      </x:c>
      <x:c r="C5443" s="16" t="str"/>
      <x:c r="D5443" s="16" t="str">
        <x:v>* myContacts</x:v>
      </x:c>
      <x:c r="E5443" s="16" t="str">
        <x:v>Missing email</x:v>
      </x:c>
    </x:row>
    <x:row r="5444">
      <x:c r="A5444" s="16" t="n">
        <x:v>5628</x:v>
      </x:c>
      <x:c r="B5444" s="16" t="str">
        <x:v>Presiden Shukex Rahim</x:v>
      </x:c>
      <x:c r="C5444" s="16" t="str"/>
      <x:c r="D5444" s="16" t="str">
        <x:v>* myContacts</x:v>
      </x:c>
      <x:c r="E5444" s="16" t="str">
        <x:v>Missing email</x:v>
      </x:c>
    </x:row>
    <x:row r="5445">
      <x:c r="A5445" s="16" t="n">
        <x:v>5629</x:v>
      </x:c>
      <x:c r="B5445" s="16" t="str">
        <x:v>Princes Mawar</x:v>
      </x:c>
      <x:c r="C5445" s="16" t="str"/>
      <x:c r="D5445" s="16" t="str">
        <x:v>* myContacts</x:v>
      </x:c>
      <x:c r="E5445" s="16" t="str">
        <x:v>Missing email</x:v>
      </x:c>
    </x:row>
    <x:row r="5446">
      <x:c r="A5446" s="16" t="n">
        <x:v>5630</x:v>
      </x:c>
      <x:c r="B5446" s="16" t="str">
        <x:v>Princess Wanie</x:v>
      </x:c>
      <x:c r="C5446" s="16" t="str"/>
      <x:c r="D5446" s="16" t="str">
        <x:v>* myContacts</x:v>
      </x:c>
      <x:c r="E5446" s="16" t="str">
        <x:v>Missing email</x:v>
      </x:c>
    </x:row>
    <x:row r="5447">
      <x:c r="A5447" s="16" t="n">
        <x:v>5631</x:v>
      </x:c>
      <x:c r="B5447" s="16" t="str">
        <x:v>Pro Profit</x:v>
      </x:c>
      <x:c r="C5447" s="16" t="str"/>
      <x:c r="D5447" s="16" t="str">
        <x:v>* myContacts</x:v>
      </x:c>
      <x:c r="E5447" s="16" t="str">
        <x:v>Missing email</x:v>
      </x:c>
    </x:row>
    <x:row r="5448">
      <x:c r="A5448" s="16" t="n">
        <x:v>5632</x:v>
      </x:c>
      <x:c r="B5448" s="16" t="str">
        <x:v>Prof Madya Dr Suhaimee</x:v>
      </x:c>
      <x:c r="C5448" s="16" t="str"/>
      <x:c r="D5448" s="16" t="str">
        <x:v>* myContacts</x:v>
      </x:c>
      <x:c r="E5448" s="16" t="str">
        <x:v>Missing email</x:v>
      </x:c>
    </x:row>
    <x:row r="5449">
      <x:c r="A5449" s="16" t="n">
        <x:v>5634</x:v>
      </x:c>
      <x:c r="B5449" s="16" t="str">
        <x:v>Profit Makmur</x:v>
      </x:c>
      <x:c r="C5449" s="16" t="str"/>
      <x:c r="D5449" s="16" t="str">
        <x:v>* myContacts</x:v>
      </x:c>
      <x:c r="E5449" s="16" t="str">
        <x:v>Missing email</x:v>
      </x:c>
    </x:row>
    <x:row r="5450">
      <x:c r="A5450" s="16" t="n">
        <x:v>5635</x:v>
      </x:c>
      <x:c r="B5450" s="16" t="str">
        <x:v>Programmer Ferdy Fauzi</x:v>
      </x:c>
      <x:c r="C5450" s="16" t="str"/>
      <x:c r="D5450" s="16" t="str">
        <x:v>* myContacts</x:v>
      </x:c>
      <x:c r="E5450" s="16" t="str">
        <x:v>Missing email</x:v>
      </x:c>
    </x:row>
    <x:row r="5451">
      <x:c r="A5451" s="16" t="n">
        <x:v>5636</x:v>
      </x:c>
      <x:c r="B5451" s="16" t="str">
        <x:v>Prolink Biosteen Sabah</x:v>
      </x:c>
      <x:c r="C5451" s="16" t="str"/>
      <x:c r="D5451" s="16" t="str">
        <x:v>* myContacts</x:v>
      </x:c>
      <x:c r="E5451" s="16" t="str">
        <x:v>Missing email</x:v>
      </x:c>
    </x:row>
    <x:row r="5452">
      <x:c r="A5452" s="16" t="n">
        <x:v>5637</x:v>
      </x:c>
      <x:c r="B5452" s="16" t="str">
        <x:v>promedia</x:v>
      </x:c>
      <x:c r="C5452" s="16" t="str"/>
      <x:c r="D5452" s="16" t="str">
        <x:v>* myContacts</x:v>
      </x:c>
      <x:c r="E5452" s="16" t="str">
        <x:v>Missing email</x:v>
      </x:c>
    </x:row>
    <x:row r="5453">
      <x:c r="A5453" s="16" t="n">
        <x:v>5638</x:v>
      </x:c>
      <x:c r="B5453" s="16" t="str">
        <x:v>azizi promedia</x:v>
      </x:c>
      <x:c r="C5453" s="16" t="str"/>
      <x:c r="D5453" s="16" t="str">
        <x:v>* myContacts</x:v>
      </x:c>
      <x:c r="E5453" s="16" t="str">
        <x:v>Missing email</x:v>
      </x:c>
    </x:row>
    <x:row r="5454">
      <x:c r="A5454" s="16" t="n">
        <x:v>5639</x:v>
      </x:c>
      <x:c r="B5454" s="16" t="str">
        <x:v>Proprint Proprint</x:v>
      </x:c>
      <x:c r="C5454" s="16" t="str"/>
      <x:c r="D5454" s="16" t="str">
        <x:v>* myContacts</x:v>
      </x:c>
      <x:c r="E5454" s="16" t="str">
        <x:v>Missing email</x:v>
      </x:c>
    </x:row>
    <x:row r="5455">
      <x:c r="A5455" s="16" t="n">
        <x:v>5640</x:v>
      </x:c>
      <x:c r="B5455" s="16" t="str">
        <x:v>pros140516</x:v>
      </x:c>
      <x:c r="C5455" s="16" t="str"/>
      <x:c r="D5455" s="16" t="str">
        <x:v>* myContacts</x:v>
      </x:c>
      <x:c r="E5455" s="16" t="str">
        <x:v>Missing email</x:v>
      </x:c>
    </x:row>
    <x:row r="5456">
      <x:c r="A5456" s="16" t="n">
        <x:v>5641</x:v>
      </x:c>
      <x:c r="B5456" s="16" t="str">
        <x:v>pros190616</x:v>
      </x:c>
      <x:c r="C5456" s="16" t="str"/>
      <x:c r="D5456" s="16" t="str">
        <x:v>* myContacts</x:v>
      </x:c>
      <x:c r="E5456" s="16" t="str">
        <x:v>Missing email</x:v>
      </x:c>
    </x:row>
    <x:row r="5457">
      <x:c r="A5457" s="16" t="n">
        <x:v>5642</x:v>
      </x:c>
      <x:c r="B5457" s="16" t="str">
        <x:v>prospek 040616</x:v>
      </x:c>
      <x:c r="C5457" s="16" t="str"/>
      <x:c r="D5457" s="16" t="str">
        <x:v>* myContacts</x:v>
      </x:c>
      <x:c r="E5457" s="16" t="str">
        <x:v>Missing email</x:v>
      </x:c>
    </x:row>
    <x:row r="5458">
      <x:c r="A5458" s="16" t="n">
        <x:v>5643</x:v>
      </x:c>
      <x:c r="B5458" s="16" t="str">
        <x:v>prospek agp 18052015</x:v>
      </x:c>
      <x:c r="C5458" s="16" t="str"/>
      <x:c r="D5458" s="16" t="str">
        <x:v>* myContacts</x:v>
      </x:c>
      <x:c r="E5458" s="16" t="str">
        <x:v>Missing email</x:v>
      </x:c>
    </x:row>
    <x:row r="5459">
      <x:c r="A5459" s="16" t="n">
        <x:v>5644</x:v>
      </x:c>
      <x:c r="B5459" s="16" t="str">
        <x:v>Proton Perodua Terengganu</x:v>
      </x:c>
      <x:c r="C5459" s="16" t="str"/>
      <x:c r="D5459" s="16" t="str">
        <x:v>* myContacts</x:v>
      </x:c>
      <x:c r="E5459" s="16" t="str">
        <x:v>Missing email</x:v>
      </x:c>
    </x:row>
    <x:row r="5460">
      <x:c r="A5460" s="16" t="n">
        <x:v>5645</x:v>
      </x:c>
      <x:c r="B5460" s="16" t="str">
        <x:v>Puan Alia</x:v>
      </x:c>
      <x:c r="C5460" s="16" t="str"/>
      <x:c r="D5460" s="16" t="str">
        <x:v>* myContacts</x:v>
      </x:c>
      <x:c r="E5460" s="16" t="str">
        <x:v>Missing email</x:v>
      </x:c>
    </x:row>
    <x:row r="5461">
      <x:c r="A5461" s="16" t="n">
        <x:v>5646</x:v>
      </x:c>
      <x:c r="B5461" s="16" t="str">
        <x:v>Puan Alyssa CEDAR</x:v>
      </x:c>
      <x:c r="C5461" s="16" t="str"/>
      <x:c r="D5461" s="16" t="str">
        <x:v>* myContacts</x:v>
      </x:c>
      <x:c r="E5461" s="16" t="str">
        <x:v>Missing email</x:v>
      </x:c>
    </x:row>
    <x:row r="5462">
      <x:c r="A5462" s="16" t="n">
        <x:v>5647</x:v>
      </x:c>
      <x:c r="B5462" s="16" t="str">
        <x:v>Puan Aniza Student Ai</x:v>
      </x:c>
      <x:c r="C5462" s="16" t="str"/>
      <x:c r="D5462" s="16" t="str">
        <x:v>* myContacts</x:v>
      </x:c>
      <x:c r="E5462" s="16" t="str">
        <x:v>Missing email</x:v>
      </x:c>
    </x:row>
    <x:row r="5463">
      <x:c r="A5463" s="16" t="n">
        <x:v>5648</x:v>
      </x:c>
      <x:c r="B5463" s="16" t="str">
        <x:v>Puan Anna Farhana Basic Uitm</x:v>
      </x:c>
      <x:c r="C5463" s="16" t="str"/>
      <x:c r="D5463" s="16" t="str">
        <x:v>* myContacts</x:v>
      </x:c>
      <x:c r="E5463" s="16" t="str">
        <x:v>Missing email</x:v>
      </x:c>
    </x:row>
    <x:row r="5464">
      <x:c r="A5464" s="16" t="n">
        <x:v>5649</x:v>
      </x:c>
      <x:c r="B5464" s="16" t="str">
        <x:v>Puan Annie Tauke Beach Front</x:v>
      </x:c>
      <x:c r="C5464" s="16" t="str"/>
      <x:c r="D5464" s="16" t="str">
        <x:v>* myContacts</x:v>
      </x:c>
      <x:c r="E5464" s="16" t="str">
        <x:v>Missing email</x:v>
      </x:c>
    </x:row>
    <x:row r="5465">
      <x:c r="A5465" s="16" t="n">
        <x:v>5650</x:v>
      </x:c>
      <x:c r="B5465" s="16" t="str">
        <x:v>Puan Annna Lotus DesaruBeachResort&amp;SpaSdnBhd</x:v>
      </x:c>
      <x:c r="C5465" s="16" t="str"/>
      <x:c r="D5465" s="16" t="str">
        <x:v>* myContacts</x:v>
      </x:c>
      <x:c r="E5465" s="16" t="str">
        <x:v>Missing email</x:v>
      </x:c>
    </x:row>
    <x:row r="5466">
      <x:c r="A5466" s="16" t="n">
        <x:v>5651</x:v>
      </x:c>
      <x:c r="B5466" s="16" t="str">
        <x:v>Puan Aqilah Sewa Rumah</x:v>
      </x:c>
      <x:c r="C5466" s="16" t="str"/>
      <x:c r="D5466" s="16" t="str">
        <x:v>* myContacts</x:v>
      </x:c>
      <x:c r="E5466" s="16" t="str">
        <x:v>Missing email</x:v>
      </x:c>
    </x:row>
    <x:row r="5467">
      <x:c r="A5467" s="16" t="n">
        <x:v>5652</x:v>
      </x:c>
      <x:c r="B5467" s="16" t="str">
        <x:v>Puan Asmahani Muhammad</x:v>
      </x:c>
      <x:c r="C5467" s="16" t="str"/>
      <x:c r="D5467" s="16" t="str">
        <x:v>* myContacts</x:v>
      </x:c>
      <x:c r="E5467" s="16" t="str">
        <x:v>Missing email</x:v>
      </x:c>
    </x:row>
    <x:row r="5468">
      <x:c r="A5468" s="16" t="n">
        <x:v>5653</x:v>
      </x:c>
      <x:c r="B5468" s="16" t="str">
        <x:v>Puan Emma Job Hunter</x:v>
      </x:c>
      <x:c r="C5468" s="16" t="str"/>
      <x:c r="D5468" s="16" t="str">
        <x:v>* myContacts</x:v>
      </x:c>
      <x:c r="E5468" s="16" t="str">
        <x:v>Missing email</x:v>
      </x:c>
    </x:row>
    <x:row r="5469">
      <x:c r="A5469" s="16" t="n">
        <x:v>5654</x:v>
      </x:c>
      <x:c r="B5469" s="16" t="str">
        <x:v>Puan Faridah</x:v>
      </x:c>
      <x:c r="C5469" s="16" t="str"/>
      <x:c r="D5469" s="16" t="str">
        <x:v>* myContacts</x:v>
      </x:c>
      <x:c r="E5469" s="16" t="str">
        <x:v>Missing email</x:v>
      </x:c>
    </x:row>
    <x:row r="5470">
      <x:c r="A5470" s="16" t="n">
        <x:v>5655</x:v>
      </x:c>
      <x:c r="B5470" s="16" t="str">
        <x:v>puan Firzah eKasih</x:v>
      </x:c>
      <x:c r="C5470" s="16" t="str"/>
      <x:c r="D5470" s="16" t="str">
        <x:v>* myContacts</x:v>
      </x:c>
      <x:c r="E5470" s="16" t="str">
        <x:v>Missing email</x:v>
      </x:c>
    </x:row>
    <x:row r="5471">
      <x:c r="A5471" s="16" t="n">
        <x:v>5656</x:v>
      </x:c>
      <x:c r="B5471" s="16" t="str">
        <x:v>Puan Hajjah Sue</x:v>
      </x:c>
      <x:c r="C5471" s="16" t="str"/>
      <x:c r="D5471" s="16" t="str">
        <x:v>* myContacts</x:v>
      </x:c>
      <x:c r="E5471" s="16" t="str">
        <x:v>Missing email</x:v>
      </x:c>
    </x:row>
    <x:row r="5472">
      <x:c r="A5472" s="16" t="n">
        <x:v>5657</x:v>
      </x:c>
      <x:c r="B5472" s="16" t="str">
        <x:v>Puan Halimah Lecturer Polisas</x:v>
      </x:c>
      <x:c r="C5472" s="16" t="str"/>
      <x:c r="D5472" s="16" t="str">
        <x:v>* myContacts</x:v>
      </x:c>
      <x:c r="E5472" s="16" t="str">
        <x:v>Missing email</x:v>
      </x:c>
    </x:row>
    <x:row r="5473">
      <x:c r="A5473" s="16" t="n">
        <x:v>5658</x:v>
      </x:c>
      <x:c r="B5473" s="16" t="str">
        <x:v>Puan Haliza TM</x:v>
      </x:c>
      <x:c r="C5473" s="16" t="str"/>
      <x:c r="D5473" s="16" t="str">
        <x:v>* myContacts</x:v>
      </x:c>
      <x:c r="E5473" s="16" t="str">
        <x:v>Missing email</x:v>
      </x:c>
    </x:row>
    <x:row r="5474">
      <x:c r="A5474" s="16" t="n">
        <x:v>5661</x:v>
      </x:c>
      <x:c r="B5474" s="16" t="str">
        <x:v>Puan Husna</x:v>
      </x:c>
      <x:c r="C5474" s="16" t="str"/>
      <x:c r="D5474" s="16" t="str">
        <x:v>* myContacts</x:v>
      </x:c>
      <x:c r="E5474" s="16" t="str">
        <x:v>Missing email</x:v>
      </x:c>
    </x:row>
    <x:row r="5475">
      <x:c r="A5475" s="16" t="n">
        <x:v>5662</x:v>
      </x:c>
      <x:c r="B5475" s="16" t="str">
        <x:v>Puan Juniana Usahawan Chemor</x:v>
      </x:c>
      <x:c r="C5475" s="16" t="str"/>
      <x:c r="D5475" s="16" t="str">
        <x:v>* myContacts</x:v>
      </x:c>
      <x:c r="E5475" s="16" t="str">
        <x:v>Missing email</x:v>
      </x:c>
    </x:row>
    <x:row r="5476">
      <x:c r="A5476" s="16" t="n">
        <x:v>5663</x:v>
      </x:c>
      <x:c r="B5476" s="16" t="str">
        <x:v>Puan Linda</x:v>
      </x:c>
      <x:c r="C5476" s="16" t="str"/>
      <x:c r="D5476" s="16" t="str">
        <x:v>* myContacts</x:v>
      </x:c>
      <x:c r="E5476" s="16" t="str">
        <x:v>Missing email</x:v>
      </x:c>
    </x:row>
    <x:row r="5477">
      <x:c r="A5477" s="16" t="n">
        <x:v>5664</x:v>
      </x:c>
      <x:c r="B5477" s="16" t="str">
        <x:v>PUAN MARDIANA NAJIHAH PELADANG</x:v>
      </x:c>
      <x:c r="C5477" s="16" t="str"/>
      <x:c r="D5477" s="16" t="str">
        <x:v>* myContacts</x:v>
      </x:c>
      <x:c r="E5477" s="16" t="str">
        <x:v>Missing email</x:v>
      </x:c>
    </x:row>
    <x:row r="5478">
      <x:c r="A5478" s="16" t="n">
        <x:v>5665</x:v>
      </x:c>
      <x:c r="B5478" s="16" t="str">
        <x:v>Puan Marlia Manan</x:v>
      </x:c>
      <x:c r="C5478" s="16" t="str"/>
      <x:c r="D5478" s="16" t="str">
        <x:v>* myContacts</x:v>
      </x:c>
      <x:c r="E5478" s="16" t="str">
        <x:v>Missing email</x:v>
      </x:c>
    </x:row>
    <x:row r="5479">
      <x:c r="A5479" s="16" t="n">
        <x:v>5666</x:v>
      </x:c>
      <x:c r="B5479" s="16" t="str">
        <x:v>Puan Mawarni Inno Hear</x:v>
      </x:c>
      <x:c r="C5479" s="16" t="str"/>
      <x:c r="D5479" s="16" t="str">
        <x:v>* myContacts</x:v>
      </x:c>
      <x:c r="E5479" s="16" t="str">
        <x:v>Missing email</x:v>
      </x:c>
    </x:row>
    <x:row r="5480">
      <x:c r="A5480" s="16" t="n">
        <x:v>5667</x:v>
      </x:c>
      <x:c r="B5480" s="16" t="str">
        <x:v>Puan Najwa Komuniti Klang</x:v>
      </x:c>
      <x:c r="C5480" s="16" t="str"/>
      <x:c r="D5480" s="16" t="str">
        <x:v>* myContacts</x:v>
      </x:c>
      <x:c r="E5480" s="16" t="str">
        <x:v>Missing email</x:v>
      </x:c>
    </x:row>
    <x:row r="5481">
      <x:c r="A5481" s="16" t="n">
        <x:v>5668</x:v>
      </x:c>
      <x:c r="B5481" s="16" t="str">
        <x:v>Puan Noreen Agp</x:v>
      </x:c>
      <x:c r="C5481" s="16" t="str"/>
      <x:c r="D5481" s="16" t="str">
        <x:v>* myContacts</x:v>
      </x:c>
      <x:c r="E5481" s="16" t="str">
        <x:v>Missing email</x:v>
      </x:c>
    </x:row>
    <x:row r="5482">
      <x:c r="A5482" s="16" t="n">
        <x:v>5669</x:v>
      </x:c>
      <x:c r="B5482" s="16" t="str">
        <x:v>Puan Nurul</x:v>
      </x:c>
      <x:c r="C5482" s="16" t="str"/>
      <x:c r="D5482" s="16" t="str">
        <x:v>* myContacts</x:v>
      </x:c>
      <x:c r="E5482" s="16" t="str">
        <x:v>Missing email</x:v>
      </x:c>
    </x:row>
    <x:row r="5483">
      <x:c r="A5483" s="16" t="n">
        <x:v>5670</x:v>
      </x:c>
      <x:c r="B5483" s="16" t="str">
        <x:v>Puan Nurul JutawanPink Que</x:v>
      </x:c>
      <x:c r="C5483" s="16" t="str"/>
      <x:c r="D5483" s="16" t="str">
        <x:v>* myContacts</x:v>
      </x:c>
      <x:c r="E5483" s="16" t="str">
        <x:v>Missing email</x:v>
      </x:c>
    </x:row>
    <x:row r="5484">
      <x:c r="A5484" s="16" t="n">
        <x:v>5671</x:v>
      </x:c>
      <x:c r="B5484" s="16" t="str">
        <x:v>Puan Qema</x:v>
      </x:c>
      <x:c r="C5484" s="16" t="str"/>
      <x:c r="D5484" s="16" t="str">
        <x:v>* myContacts</x:v>
      </x:c>
      <x:c r="E5484" s="16" t="str">
        <x:v>Missing email</x:v>
      </x:c>
    </x:row>
    <x:row r="5485">
      <x:c r="A5485" s="16" t="n">
        <x:v>5672</x:v>
      </x:c>
      <x:c r="B5485" s="16" t="str">
        <x:v>Puan Rabiah Seman Email Expert</x:v>
      </x:c>
      <x:c r="C5485" s="16" t="str"/>
      <x:c r="D5485" s="16" t="str">
        <x:v>* myContacts</x:v>
      </x:c>
      <x:c r="E5485" s="16" t="str">
        <x:v>Missing email</x:v>
      </x:c>
    </x:row>
    <x:row r="5486">
      <x:c r="A5486" s="16" t="n">
        <x:v>5673</x:v>
      </x:c>
      <x:c r="B5486" s="16" t="str">
        <x:v>Puan Rosni PSUM</x:v>
      </x:c>
      <x:c r="C5486" s="16" t="str"/>
      <x:c r="D5486" s="16" t="str">
        <x:v>* myContacts</x:v>
      </x:c>
      <x:c r="E5486" s="16" t="str">
        <x:v>Missing email</x:v>
      </x:c>
    </x:row>
    <x:row r="5487">
      <x:c r="A5487" s="16" t="n">
        <x:v>5674</x:v>
      </x:c>
      <x:c r="B5487" s="16" t="str">
        <x:v>Puan Sabariah Women Institute</x:v>
      </x:c>
      <x:c r="C5487" s="16" t="str"/>
      <x:c r="D5487" s="16" t="str">
        <x:v>* myContacts</x:v>
      </x:c>
      <x:c r="E5487" s="16" t="str">
        <x:v>Missing email</x:v>
      </x:c>
    </x:row>
    <x:row r="5488">
      <x:c r="A5488" s="16" t="n">
        <x:v>5675</x:v>
      </x:c>
      <x:c r="B5488" s="16" t="str">
        <x:v>Puan Saie Amanah Ikhtiar Malaysia Kelantan</x:v>
      </x:c>
      <x:c r="C5488" s="16" t="str"/>
      <x:c r="D5488" s="16" t="str">
        <x:v>* myContacts</x:v>
      </x:c>
      <x:c r="E5488" s="16" t="str">
        <x:v>Missing email</x:v>
      </x:c>
    </x:row>
    <x:row r="5489">
      <x:c r="A5489" s="16" t="n">
        <x:v>5676</x:v>
      </x:c>
      <x:c r="B5489" s="16" t="str">
        <x:v>Puan Siti Fauziah Tauke Serunding Cendawan Volvareilla</x:v>
      </x:c>
      <x:c r="C5489" s="16" t="str"/>
      <x:c r="D5489" s="16" t="str">
        <x:v>* myContacts</x:v>
      </x:c>
      <x:c r="E5489" s="16" t="str">
        <x:v>Missing email</x:v>
      </x:c>
    </x:row>
    <x:row r="5490">
      <x:c r="A5490" s="16" t="n">
        <x:v>5677</x:v>
      </x:c>
      <x:c r="B5490" s="16" t="str">
        <x:v>Puan Siti Training Provider Yusnani</x:v>
      </x:c>
      <x:c r="C5490" s="16" t="str"/>
      <x:c r="D5490" s="16" t="str">
        <x:v>* myContacts</x:v>
      </x:c>
      <x:c r="E5490" s="16" t="str">
        <x:v>Missing email</x:v>
      </x:c>
    </x:row>
    <x:row r="5491">
      <x:c r="A5491" s="16" t="n">
        <x:v>5678</x:v>
      </x:c>
      <x:c r="B5491" s="16" t="str">
        <x:v>Puan Siti Zamiah Assistant Coach Mohsin</x:v>
      </x:c>
      <x:c r="C5491" s="16" t="str"/>
      <x:c r="D5491" s="16" t="str">
        <x:v>* myContacts</x:v>
      </x:c>
      <x:c r="E5491" s="16" t="str">
        <x:v>Missing email</x:v>
      </x:c>
    </x:row>
    <x:row r="5492">
      <x:c r="A5492" s="16" t="n">
        <x:v>5679</x:v>
      </x:c>
      <x:c r="B5492" s="16" t="str">
        <x:v>Puan Tina (Wife Coach Azad) Tajuddin</x:v>
      </x:c>
      <x:c r="C5492" s="16" t="str"/>
      <x:c r="D5492" s="16" t="str">
        <x:v>Trainer | * myContacts</x:v>
      </x:c>
      <x:c r="E5492" s="16" t="str">
        <x:v>Missing email</x:v>
      </x:c>
    </x:row>
    <x:row r="5493">
      <x:c r="A5493" s="16" t="n">
        <x:v>5680</x:v>
      </x:c>
      <x:c r="B5493" s="16" t="str">
        <x:v>Puan Yang Mahani TM</x:v>
      </x:c>
      <x:c r="C5493" s="16" t="str"/>
      <x:c r="D5493" s="16" t="str">
        <x:v>* myContacts</x:v>
      </x:c>
      <x:c r="E5493" s="16" t="str">
        <x:v>Missing email</x:v>
      </x:c>
    </x:row>
    <x:row r="5494">
      <x:c r="A5494" s="16" t="n">
        <x:v>5681</x:v>
      </x:c>
      <x:c r="B5494" s="16" t="str">
        <x:v>Puan Yatie Karim Permodalan Kedah</x:v>
      </x:c>
      <x:c r="C5494" s="16" t="str"/>
      <x:c r="D5494" s="16" t="str">
        <x:v>* myContacts</x:v>
      </x:c>
      <x:c r="E5494" s="16" t="str">
        <x:v>Missing email</x:v>
      </x:c>
    </x:row>
    <x:row r="5495">
      <x:c r="A5495" s="16" t="n">
        <x:v>5682</x:v>
      </x:c>
      <x:c r="B5495" s="16" t="str">
        <x:v>Puan Zai</x:v>
      </x:c>
      <x:c r="C5495" s="16" t="str"/>
      <x:c r="D5495" s="16" t="str">
        <x:v>* myContacts</x:v>
      </x:c>
      <x:c r="E5495" s="16" t="str">
        <x:v>Missing email</x:v>
      </x:c>
    </x:row>
    <x:row r="5496">
      <x:c r="A5496" s="16" t="n">
        <x:v>5683</x:v>
      </x:c>
      <x:c r="B5496" s="16" t="str">
        <x:v>Puan Zuliana Accountant Solahuddin</x:v>
      </x:c>
      <x:c r="C5496" s="16" t="str"/>
      <x:c r="D5496" s="16" t="str">
        <x:v>* myContacts</x:v>
      </x:c>
      <x:c r="E5496" s="16" t="str">
        <x:v>Missing email</x:v>
      </x:c>
    </x:row>
    <x:row r="5497">
      <x:c r="A5497" s="16" t="n">
        <x:v>5684</x:v>
      </x:c>
      <x:c r="B5497" s="16" t="str">
        <x:v>Pulang Resort Penarik</x:v>
      </x:c>
      <x:c r="C5497" s="16" t="str"/>
      <x:c r="D5497" s="16" t="str">
        <x:v>* myContacts</x:v>
      </x:c>
      <x:c r="E5497" s="16" t="str">
        <x:v>Missing email</x:v>
      </x:c>
    </x:row>
    <x:row r="5498">
      <x:c r="A5498" s="16" t="n">
        <x:v>5685</x:v>
      </x:c>
      <x:c r="B5498" s="16" t="str">
        <x:v>Puncak Pelangi Emas</x:v>
      </x:c>
      <x:c r="C5498" s="16" t="str"/>
      <x:c r="D5498" s="16" t="str">
        <x:v>* myContacts</x:v>
      </x:c>
      <x:c r="E5498" s="16" t="str">
        <x:v>Missing email</x:v>
      </x:c>
    </x:row>
    <x:row r="5499">
      <x:c r="A5499" s="16" t="n">
        <x:v>5686</x:v>
      </x:c>
      <x:c r="B5499" s="16" t="str">
        <x:v>Puqn Deqma Tanty..😘 KADA</x:v>
      </x:c>
      <x:c r="C5499" s="16" t="str"/>
      <x:c r="D5499" s="16" t="str">
        <x:v>* myContacts</x:v>
      </x:c>
      <x:c r="E5499" s="16" t="str">
        <x:v>Missing email</x:v>
      </x:c>
    </x:row>
    <x:row r="5500">
      <x:c r="A5500" s="16" t="n">
        <x:v>5687</x:v>
      </x:c>
      <x:c r="B5500" s="16" t="str">
        <x:v>Puremal Lori DRIVER</x:v>
      </x:c>
      <x:c r="C5500" s="16" t="str"/>
      <x:c r="D5500" s="16" t="str">
        <x:v>* myContacts</x:v>
      </x:c>
      <x:c r="E5500" s="16" t="str">
        <x:v>Missing email</x:v>
      </x:c>
    </x:row>
    <x:row r="5501">
      <x:c r="A5501" s="16" t="n">
        <x:v>5688</x:v>
      </x:c>
      <x:c r="B5501" s="16" t="str">
        <x:v>Putera Aiman Ishak</x:v>
      </x:c>
      <x:c r="C5501" s="16" t="str"/>
      <x:c r="D5501" s="16" t="str">
        <x:v>* myContacts</x:v>
      </x:c>
      <x:c r="E5501" s="16" t="str">
        <x:v>Missing email</x:v>
      </x:c>
    </x:row>
    <x:row r="5502">
      <x:c r="A5502" s="16" t="n">
        <x:v>5689</x:v>
      </x:c>
      <x:c r="B5502" s="16" t="str">
        <x:v>Putera Cheq Detz</x:v>
      </x:c>
      <x:c r="C5502" s="16" t="str"/>
      <x:c r="D5502" s="16" t="str">
        <x:v>* myContacts</x:v>
      </x:c>
      <x:c r="E5502" s="16" t="str">
        <x:v>Missing email</x:v>
      </x:c>
    </x:row>
    <x:row r="5503">
      <x:c r="A5503" s="16" t="n">
        <x:v>5690</x:v>
      </x:c>
      <x:c r="B5503" s="16" t="str">
        <x:v>Putera Sulung</x:v>
      </x:c>
      <x:c r="C5503" s="16" t="str"/>
      <x:c r="D5503" s="16" t="str">
        <x:v>* myContacts</x:v>
      </x:c>
      <x:c r="E5503" s="16" t="str">
        <x:v>Missing email</x:v>
      </x:c>
    </x:row>
    <x:row r="5504">
      <x:c r="A5504" s="16" t="n">
        <x:v>5691</x:v>
      </x:c>
      <x:c r="B5504" s="16" t="str">
        <x:v>Putera Zai</x:v>
      </x:c>
      <x:c r="C5504" s="16" t="str"/>
      <x:c r="D5504" s="16" t="str">
        <x:v>* myContacts</x:v>
      </x:c>
      <x:c r="E5504" s="16" t="str">
        <x:v>Missing email</x:v>
      </x:c>
    </x:row>
    <x:row r="5505">
      <x:c r="A5505" s="16" t="n">
        <x:v>5692</x:v>
      </x:c>
      <x:c r="B5505" s="16" t="str">
        <x:v>Puteri Anggerik</x:v>
      </x:c>
      <x:c r="C5505" s="16" t="str"/>
      <x:c r="D5505" s="16" t="str">
        <x:v>* myContacts</x:v>
      </x:c>
      <x:c r="E5505" s="16" t="str">
        <x:v>Missing email</x:v>
      </x:c>
    </x:row>
    <x:row r="5506">
      <x:c r="A5506" s="16" t="n">
        <x:v>5693</x:v>
      </x:c>
      <x:c r="B5506" s="16" t="str">
        <x:v>Puteri Fateeha</x:v>
      </x:c>
      <x:c r="C5506" s="16" t="str"/>
      <x:c r="D5506" s="16" t="str">
        <x:v>* myContacts</x:v>
      </x:c>
      <x:c r="E5506" s="16" t="str">
        <x:v>Missing email</x:v>
      </x:c>
    </x:row>
    <x:row r="5507">
      <x:c r="A5507" s="16" t="n">
        <x:v>5694</x:v>
      </x:c>
      <x:c r="B5507" s="16" t="str">
        <x:v>Puteri Impian</x:v>
      </x:c>
      <x:c r="C5507" s="16" t="str"/>
      <x:c r="D5507" s="16" t="str">
        <x:v>* myContacts</x:v>
      </x:c>
      <x:c r="E5507" s="16" t="str">
        <x:v>Missing email</x:v>
      </x:c>
    </x:row>
    <x:row r="5508">
      <x:c r="A5508" s="16" t="n">
        <x:v>5695</x:v>
      </x:c>
      <x:c r="B5508" s="16" t="str">
        <x:v>Puteri Kek Lapis Sarawak</x:v>
      </x:c>
      <x:c r="C5508" s="16" t="str"/>
      <x:c r="D5508" s="16" t="str">
        <x:v>* myContacts</x:v>
      </x:c>
      <x:c r="E5508" s="16" t="str">
        <x:v>Missing email</x:v>
      </x:c>
    </x:row>
    <x:row r="5509">
      <x:c r="A5509" s="16" t="n">
        <x:v>5696</x:v>
      </x:c>
      <x:c r="B5509" s="16" t="str">
        <x:v>Puteri Nor Azimah</x:v>
      </x:c>
      <x:c r="C5509" s="16" t="str"/>
      <x:c r="D5509" s="16" t="str">
        <x:v>* myContacts</x:v>
      </x:c>
      <x:c r="E5509" s="16" t="str">
        <x:v>Missing email</x:v>
      </x:c>
    </x:row>
    <x:row r="5510">
      <x:c r="A5510" s="16" t="n">
        <x:v>5697</x:v>
      </x:c>
      <x:c r="B5510" s="16" t="str">
        <x:v>Putra Ali Wbw</x:v>
      </x:c>
      <x:c r="C5510" s="16" t="str"/>
      <x:c r="D5510" s="16" t="str">
        <x:v>* myContacts</x:v>
      </x:c>
      <x:c r="E5510" s="16" t="str">
        <x:v>Missing email</x:v>
      </x:c>
    </x:row>
    <x:row r="5511">
      <x:c r="A5511" s="16" t="n">
        <x:v>5698</x:v>
      </x:c>
      <x:c r="B5511" s="16" t="str">
        <x:v>Putra Andalas</x:v>
      </x:c>
      <x:c r="C5511" s="16" t="str"/>
      <x:c r="D5511" s="16" t="str">
        <x:v>* myContacts</x:v>
      </x:c>
      <x:c r="E5511" s="16" t="str">
        <x:v>Missing email</x:v>
      </x:c>
    </x:row>
    <x:row r="5512">
      <x:c r="A5512" s="16" t="n">
        <x:v>5699</x:v>
      </x:c>
      <x:c r="B5512" s="16" t="str">
        <x:v>Putra Ariffin</x:v>
      </x:c>
      <x:c r="C5512" s="16" t="str"/>
      <x:c r="D5512" s="16" t="str">
        <x:v>* myContacts</x:v>
      </x:c>
      <x:c r="E5512" s="16" t="str">
        <x:v>Missing email</x:v>
      </x:c>
    </x:row>
    <x:row r="5513">
      <x:c r="A5513" s="16" t="n">
        <x:v>5700</x:v>
      </x:c>
      <x:c r="B5513" s="16" t="str">
        <x:v>Putra IM</x:v>
      </x:c>
      <x:c r="C5513" s="16" t="str"/>
      <x:c r="D5513" s="16" t="str">
        <x:v>* myContacts</x:v>
      </x:c>
      <x:c r="E5513" s="16" t="str">
        <x:v>Missing email</x:v>
      </x:c>
    </x:row>
    <x:row r="5514">
      <x:c r="A5514" s="16" t="n">
        <x:v>5701</x:v>
      </x:c>
      <x:c r="B5514" s="16" t="str">
        <x:v>Putra Izam</x:v>
      </x:c>
      <x:c r="C5514" s="16" t="str"/>
      <x:c r="D5514" s="16" t="str">
        <x:v>* myContacts</x:v>
      </x:c>
      <x:c r="E5514" s="16" t="str">
        <x:v>Missing email</x:v>
      </x:c>
    </x:row>
    <x:row r="5515">
      <x:c r="A5515" s="16" t="n">
        <x:v>5702</x:v>
      </x:c>
      <x:c r="B5515" s="16" t="str">
        <x:v>Putra Khusyairi</x:v>
      </x:c>
      <x:c r="C5515" s="16" t="str"/>
      <x:c r="D5515" s="16" t="str">
        <x:v>* myContacts</x:v>
      </x:c>
      <x:c r="E5515" s="16" t="str">
        <x:v>Missing email</x:v>
      </x:c>
    </x:row>
    <x:row r="5516">
      <x:c r="A5516" s="16" t="n">
        <x:v>5703</x:v>
      </x:c>
      <x:c r="B5516" s="16" t="str">
        <x:v>Putra Zack Jtx</x:v>
      </x:c>
      <x:c r="C5516" s="16" t="str"/>
      <x:c r="D5516" s="16" t="str">
        <x:v>* myContacts</x:v>
      </x:c>
      <x:c r="E5516" s="16" t="str">
        <x:v>Missing email</x:v>
      </x:c>
    </x:row>
    <x:row r="5517">
      <x:c r="A5517" s="16" t="n">
        <x:v>5704</x:v>
      </x:c>
      <x:c r="B5517" s="16" t="str">
        <x:v>Putri Assitant Coach Sam Suresh</x:v>
      </x:c>
      <x:c r="C5517" s="16" t="str"/>
      <x:c r="D5517" s="16" t="str">
        <x:v>Trainer | * myContacts</x:v>
      </x:c>
      <x:c r="E5517" s="16" t="str">
        <x:v>Missing email</x:v>
      </x:c>
    </x:row>
    <x:row r="5518">
      <x:c r="A5518" s="16" t="n">
        <x:v>5705</x:v>
      </x:c>
      <x:c r="B5518" s="16" t="str">
        <x:v>Putri Cardock Academy</x:v>
      </x:c>
      <x:c r="C5518" s="16" t="str"/>
      <x:c r="D5518" s="16" t="str">
        <x:v>* myContacts</x:v>
      </x:c>
      <x:c r="E5518" s="16" t="str">
        <x:v>Missing email</x:v>
      </x:c>
    </x:row>
    <x:row r="5519">
      <x:c r="A5519" s="16" t="n">
        <x:v>5706</x:v>
      </x:c>
      <x:c r="B5519" s="16" t="str">
        <x:v>Putri Damiea Adriana</x:v>
      </x:c>
      <x:c r="C5519" s="16" t="str"/>
      <x:c r="D5519" s="16" t="str">
        <x:v>* myContacts</x:v>
      </x:c>
      <x:c r="E5519" s="16" t="str">
        <x:v>Missing email</x:v>
      </x:c>
    </x:row>
    <x:row r="5520">
      <x:c r="A5520" s="16" t="n">
        <x:v>5707</x:v>
      </x:c>
      <x:c r="B5520" s="16" t="str">
        <x:v>Putry Shazleen Imani Norshafiqizuan</x:v>
      </x:c>
      <x:c r="C5520" s="16" t="str"/>
      <x:c r="D5520" s="16" t="str">
        <x:v>* myContacts</x:v>
      </x:c>
      <x:c r="E5520" s="16" t="str">
        <x:v>Missing email</x:v>
      </x:c>
    </x:row>
    <x:row r="5521">
      <x:c r="A5521" s="16" t="n">
        <x:v>5708</x:v>
      </x:c>
      <x:c r="B5521" s="16" t="str">
        <x:v>PV Nomi</x:v>
      </x:c>
      <x:c r="C5521" s="16" t="str"/>
      <x:c r="D5521" s="16" t="str">
        <x:v>* myContacts</x:v>
      </x:c>
      <x:c r="E5521" s="16" t="str">
        <x:v>Missing email</x:v>
      </x:c>
    </x:row>
    <x:row r="5522">
      <x:c r="A5522" s="16" t="n">
        <x:v>5709</x:v>
      </x:c>
      <x:c r="B5522" s="16" t="str">
        <x:v>Qairul HaQiem Fatt Qoon</x:v>
      </x:c>
      <x:c r="C5522" s="16" t="str"/>
      <x:c r="D5522" s="16" t="str">
        <x:v>* myContacts</x:v>
      </x:c>
      <x:c r="E5522" s="16" t="str">
        <x:v>Missing email</x:v>
      </x:c>
    </x:row>
    <x:row r="5523">
      <x:c r="A5523" s="16" t="n">
        <x:v>5710</x:v>
      </x:c>
      <x:c r="B5523" s="16" t="str">
        <x:v>Qaleesya Nisrina Zamrina</x:v>
      </x:c>
      <x:c r="C5523" s="16" t="str"/>
      <x:c r="D5523" s="16" t="str">
        <x:v>* myContacts</x:v>
      </x:c>
      <x:c r="E5523" s="16" t="str">
        <x:v>Missing email</x:v>
      </x:c>
    </x:row>
    <x:row r="5524">
      <x:c r="A5524" s="16" t="n">
        <x:v>5711</x:v>
      </x:c>
      <x:c r="B5524" s="16" t="str">
        <x:v>Qalzuwa Mikhail</x:v>
      </x:c>
      <x:c r="C5524" s="16" t="str"/>
      <x:c r="D5524" s="16" t="str">
        <x:v>* myContacts</x:v>
      </x:c>
      <x:c r="E5524" s="16" t="str">
        <x:v>Missing email</x:v>
      </x:c>
    </x:row>
    <x:row r="5525">
      <x:c r="A5525" s="16" t="n">
        <x:v>5712</x:v>
      </x:c>
      <x:c r="B5525" s="16" t="str">
        <x:v>Qamelya Hijab</x:v>
      </x:c>
      <x:c r="C5525" s="16" t="str"/>
      <x:c r="D5525" s="16" t="str">
        <x:v>* myContacts</x:v>
      </x:c>
      <x:c r="E5525" s="16" t="str">
        <x:v>Missing email</x:v>
      </x:c>
    </x:row>
    <x:row r="5526">
      <x:c r="A5526" s="16" t="n">
        <x:v>5713</x:v>
      </x:c>
      <x:c r="B5526" s="16" t="str">
        <x:v>Qaseh Ita</x:v>
      </x:c>
      <x:c r="C5526" s="16" t="str"/>
      <x:c r="D5526" s="16" t="str">
        <x:v>* myContacts</x:v>
      </x:c>
      <x:c r="E5526" s="16" t="str">
        <x:v>Missing email</x:v>
      </x:c>
    </x:row>
    <x:row r="5527">
      <x:c r="A5527" s="16" t="n">
        <x:v>5714</x:v>
      </x:c>
      <x:c r="B5527" s="16" t="str">
        <x:v>Qaseh Kalbu Homefacial</x:v>
      </x:c>
      <x:c r="C5527" s="16" t="str"/>
      <x:c r="D5527" s="16" t="str">
        <x:v>* myContacts</x:v>
      </x:c>
      <x:c r="E5527" s="16" t="str">
        <x:v>Missing email</x:v>
      </x:c>
    </x:row>
    <x:row r="5528">
      <x:c r="A5528" s="16" t="n">
        <x:v>5715</x:v>
      </x:c>
      <x:c r="B5528" s="16" t="str">
        <x:v>Qasem Sayo</x:v>
      </x:c>
      <x:c r="C5528" s="16" t="str"/>
      <x:c r="D5528" s="16" t="str">
        <x:v>* myContacts</x:v>
      </x:c>
      <x:c r="E5528" s="16" t="str">
        <x:v>Missing email</x:v>
      </x:c>
    </x:row>
    <x:row r="5529">
      <x:c r="A5529" s="16" t="n">
        <x:v>5716</x:v>
      </x:c>
      <x:c r="B5529" s="16" t="str">
        <x:v>QASHRINA qash</x:v>
      </x:c>
      <x:c r="C5529" s="16" t="str"/>
      <x:c r="D5529" s="16" t="str">
        <x:v>* myContacts</x:v>
      </x:c>
      <x:c r="E5529" s="16" t="str">
        <x:v>Missing email</x:v>
      </x:c>
    </x:row>
    <x:row r="5530">
      <x:c r="A5530" s="16" t="n">
        <x:v>5717</x:v>
      </x:c>
      <x:c r="B5530" s="16" t="str">
        <x:v>qasrinaaa</x:v>
      </x:c>
      <x:c r="C5530" s="16" t="str"/>
      <x:c r="D5530" s="16" t="str">
        <x:v>* myContacts</x:v>
      </x:c>
      <x:c r="E5530" s="16" t="str">
        <x:v>Missing email</x:v>
      </x:c>
    </x:row>
    <x:row r="5531">
      <x:c r="A5531" s="16" t="n">
        <x:v>5718</x:v>
      </x:c>
      <x:c r="B5531" s="16" t="str">
        <x:v>Qawiy Tiktok Creator</x:v>
      </x:c>
      <x:c r="C5531" s="16" t="str"/>
      <x:c r="D5531" s="16" t="str">
        <x:v>* myContacts</x:v>
      </x:c>
      <x:c r="E5531" s="16" t="str">
        <x:v>Missing email</x:v>
      </x:c>
    </x:row>
    <x:row r="5532">
      <x:c r="A5532" s="16" t="n">
        <x:v>5719</x:v>
      </x:c>
      <x:c r="B5532" s="16" t="str">
        <x:v>Qayyum Adik Ipar Broku</x:v>
      </x:c>
      <x:c r="C5532" s="16" t="str"/>
      <x:c r="D5532" s="16" t="str">
        <x:v>* myContacts</x:v>
      </x:c>
      <x:c r="E5532" s="16" t="str">
        <x:v>Missing email</x:v>
      </x:c>
    </x:row>
    <x:row r="5533">
      <x:c r="A5533" s="16" t="n">
        <x:v>5720</x:v>
      </x:c>
      <x:c r="B5533" s="16" t="str">
        <x:v>Qijang Kuhaan</x:v>
      </x:c>
      <x:c r="C5533" s="16" t="str"/>
      <x:c r="D5533" s="16" t="str">
        <x:v>* myContacts</x:v>
      </x:c>
      <x:c r="E5533" s="16" t="str">
        <x:v>Missing email</x:v>
      </x:c>
    </x:row>
    <x:row r="5534">
      <x:c r="A5534" s="16" t="n">
        <x:v>5721</x:v>
      </x:c>
      <x:c r="B5534" s="16" t="str">
        <x:v>Qijang Nor Mazita</x:v>
      </x:c>
      <x:c r="C5534" s="16" t="str"/>
      <x:c r="D5534" s="16" t="str">
        <x:v>* myContacts</x:v>
      </x:c>
      <x:c r="E5534" s="16" t="str">
        <x:v>Missing email</x:v>
      </x:c>
    </x:row>
    <x:row r="5535">
      <x:c r="A5535" s="16" t="n">
        <x:v>5722</x:v>
      </x:c>
      <x:c r="B5535" s="16" t="str">
        <x:v>Qing Lee Ari</x:v>
      </x:c>
      <x:c r="C5535" s="16" t="str"/>
      <x:c r="D5535" s="16" t="str">
        <x:v>* myContacts</x:v>
      </x:c>
      <x:c r="E5535" s="16" t="str">
        <x:v>Missing email</x:v>
      </x:c>
    </x:row>
    <x:row r="5536">
      <x:c r="A5536" s="16" t="n">
        <x:v>5723</x:v>
      </x:c>
      <x:c r="B5536" s="16" t="str">
        <x:v>QISTINA</x:v>
      </x:c>
      <x:c r="C5536" s="16" t="str"/>
      <x:c r="D5536" s="16" t="str">
        <x:v>* myContacts</x:v>
      </x:c>
      <x:c r="E5536" s="16" t="str">
        <x:v>Missing email</x:v>
      </x:c>
    </x:row>
    <x:row r="5537">
      <x:c r="A5537" s="16" t="n">
        <x:v>5725</x:v>
      </x:c>
      <x:c r="B5537" s="16" t="str">
        <x:v>Que Zara</x:v>
      </x:c>
      <x:c r="C5537" s="16" t="str"/>
      <x:c r="D5537" s="16" t="str">
        <x:v>* myContacts</x:v>
      </x:c>
      <x:c r="E5537" s="16" t="str">
        <x:v>Missing email</x:v>
      </x:c>
    </x:row>
    <x:row r="5538">
      <x:c r="A5538" s="16" t="n">
        <x:v>5726</x:v>
      </x:c>
      <x:c r="B5538" s="16" t="str">
        <x:v>Quran Tag Mujam</x:v>
      </x:c>
      <x:c r="C5538" s="16" t="str"/>
      <x:c r="D5538" s="16" t="str">
        <x:v>* myContacts</x:v>
      </x:c>
      <x:c r="E5538" s="16" t="str">
        <x:v>Missing email</x:v>
      </x:c>
    </x:row>
    <x:row r="5539">
      <x:c r="A5539" s="16" t="n">
        <x:v>5727</x:v>
      </x:c>
      <x:c r="B5539" s="16" t="str">
        <x:v>Qyum Hamid</x:v>
      </x:c>
      <x:c r="C5539" s="16" t="str"/>
      <x:c r="D5539" s="16" t="str">
        <x:v>* myContacts</x:v>
      </x:c>
      <x:c r="E5539" s="16" t="str">
        <x:v>Missing email</x:v>
      </x:c>
    </x:row>
    <x:row r="5540">
      <x:c r="A5540" s="16" t="n">
        <x:v>5728</x:v>
      </x:c>
      <x:c r="B5540" s="16" t="str">
        <x:v>R Kay Borewell</x:v>
      </x:c>
      <x:c r="C5540" s="16" t="str"/>
      <x:c r="D5540" s="16" t="str">
        <x:v>* myContacts</x:v>
      </x:c>
      <x:c r="E5540" s="16" t="str">
        <x:v>Missing email</x:v>
      </x:c>
    </x:row>
    <x:row r="5541">
      <x:c r="A5541" s="16" t="n">
        <x:v>5729</x:v>
      </x:c>
      <x:c r="B5541" s="16" t="str">
        <x:v>Raba'ee Aju</x:v>
      </x:c>
      <x:c r="C5541" s="16" t="str"/>
      <x:c r="D5541" s="16" t="str">
        <x:v>* myContacts</x:v>
      </x:c>
      <x:c r="E5541" s="16" t="str">
        <x:v>Missing email</x:v>
      </x:c>
    </x:row>
    <x:row r="5542">
      <x:c r="A5542" s="16" t="n">
        <x:v>5730</x:v>
      </x:c>
      <x:c r="B5542" s="16" t="str">
        <x:v>Rabbiatul Addawiyah</x:v>
      </x:c>
      <x:c r="C5542" s="16" t="str"/>
      <x:c r="D5542" s="16" t="str">
        <x:v>* myContacts</x:v>
      </x:c>
      <x:c r="E5542" s="16" t="str">
        <x:v>Missing email</x:v>
      </x:c>
    </x:row>
    <x:row r="5543">
      <x:c r="A5543" s="16" t="n">
        <x:v>5731</x:v>
      </x:c>
      <x:c r="B5543" s="16" t="str">
        <x:v>Rabiatul Nazri</x:v>
      </x:c>
      <x:c r="C5543" s="16" t="str"/>
      <x:c r="D5543" s="16" t="str">
        <x:v>* myContacts</x:v>
      </x:c>
      <x:c r="E5543" s="16" t="str">
        <x:v>Missing email</x:v>
      </x:c>
    </x:row>
    <x:row r="5544">
      <x:c r="A5544" s="16" t="n">
        <x:v>5732</x:v>
      </x:c>
      <x:c r="B5544" s="16" t="str">
        <x:v>Radaha Abu Bakar</x:v>
      </x:c>
      <x:c r="C5544" s="16" t="str"/>
      <x:c r="D5544" s="16" t="str">
        <x:v>* myContacts</x:v>
      </x:c>
      <x:c r="E5544" s="16" t="str">
        <x:v>Missing email</x:v>
      </x:c>
    </x:row>
    <x:row r="5545">
      <x:c r="A5545" s="16" t="n">
        <x:v>5733</x:v>
      </x:c>
      <x:c r="B5545" s="16" t="str">
        <x:v>Radaiyah Lastam</x:v>
      </x:c>
      <x:c r="C5545" s="16" t="str"/>
      <x:c r="D5545" s="16" t="str">
        <x:v>* myContacts</x:v>
      </x:c>
      <x:c r="E5545" s="16" t="str">
        <x:v>Missing email</x:v>
      </x:c>
    </x:row>
    <x:row r="5546">
      <x:c r="A5546" s="16" t="n">
        <x:v>5734</x:v>
      </x:c>
      <x:c r="B5546" s="16" t="str">
        <x:v>Raden Ismail</x:v>
      </x:c>
      <x:c r="C5546" s="16" t="str"/>
      <x:c r="D5546" s="16" t="str">
        <x:v>* myContacts</x:v>
      </x:c>
      <x:c r="E5546" s="16" t="str">
        <x:v>Missing email</x:v>
      </x:c>
    </x:row>
    <x:row r="5547">
      <x:c r="A5547" s="16" t="n">
        <x:v>5735</x:v>
      </x:c>
      <x:c r="B5547" s="16" t="str">
        <x:v>Radhi Kbbc Agent</x:v>
      </x:c>
      <x:c r="C5547" s="16" t="str"/>
      <x:c r="D5547" s="16" t="str">
        <x:v>* myContacts</x:v>
      </x:c>
      <x:c r="E5547" s="16" t="str">
        <x:v>Missing email</x:v>
      </x:c>
    </x:row>
    <x:row r="5548">
      <x:c r="A5548" s="16" t="n">
        <x:v>5736</x:v>
      </x:c>
      <x:c r="B5548" s="16" t="str">
        <x:v>Radin Fama Muse</x:v>
      </x:c>
      <x:c r="C5548" s="16" t="str"/>
      <x:c r="D5548" s="16" t="str">
        <x:v>* myContacts</x:v>
      </x:c>
      <x:c r="E5548" s="16" t="str">
        <x:v>Missing email</x:v>
      </x:c>
    </x:row>
    <x:row r="5549">
      <x:c r="A5549" s="16" t="n">
        <x:v>5738</x:v>
      </x:c>
      <x:c r="B5549" s="16" t="str">
        <x:v>Radziah Che Yahya</x:v>
      </x:c>
      <x:c r="C5549" s="16" t="str"/>
      <x:c r="D5549" s="16" t="str">
        <x:v>* myContacts</x:v>
      </x:c>
      <x:c r="E5549" s="16" t="str">
        <x:v>Missing email</x:v>
      </x:c>
    </x:row>
    <x:row r="5550">
      <x:c r="A5550" s="16" t="n">
        <x:v>5739</x:v>
      </x:c>
      <x:c r="B5550" s="16" t="str">
        <x:v>Radzman Basinon (dRB)</x:v>
      </x:c>
      <x:c r="C5550" s="16" t="str"/>
      <x:c r="D5550" s="16" t="str">
        <x:v>* myContacts</x:v>
      </x:c>
      <x:c r="E5550" s="16" t="str">
        <x:v>Missing email</x:v>
      </x:c>
    </x:row>
    <x:row r="5551">
      <x:c r="A5551" s="16" t="n">
        <x:v>5740</x:v>
      </x:c>
      <x:c r="B5551" s="16" t="str">
        <x:v>Radzmil Hassan</x:v>
      </x:c>
      <x:c r="C5551" s="16" t="str"/>
      <x:c r="D5551" s="16" t="str">
        <x:v>* myContacts</x:v>
      </x:c>
      <x:c r="E5551" s="16" t="str">
        <x:v>Missing email</x:v>
      </x:c>
    </x:row>
    <x:row r="5552">
      <x:c r="A5552" s="16" t="n">
        <x:v>5741</x:v>
      </x:c>
      <x:c r="B5552" s="16" t="str">
        <x:v>Rafa Q Hakimi</x:v>
      </x:c>
      <x:c r="C5552" s="16" t="str"/>
      <x:c r="D5552" s="16" t="str">
        <x:v>* myContacts</x:v>
      </x:c>
      <x:c r="E5552" s="16" t="str">
        <x:v>Missing email</x:v>
      </x:c>
    </x:row>
    <x:row r="5553">
      <x:c r="A5553" s="16" t="n">
        <x:v>5742</x:v>
      </x:c>
      <x:c r="B5553" s="16" t="str">
        <x:v>rafhan politik consultant</x:v>
      </x:c>
      <x:c r="C5553" s="16" t="str"/>
      <x:c r="D5553" s="16" t="str">
        <x:v>* myContacts</x:v>
      </x:c>
      <x:c r="E5553" s="16" t="str">
        <x:v>Missing email</x:v>
      </x:c>
    </x:row>
    <x:row r="5554">
      <x:c r="A5554" s="16" t="n">
        <x:v>5743</x:v>
      </x:c>
      <x:c r="B5554" s="16" t="str">
        <x:v>Rafi Rafael</x:v>
      </x:c>
      <x:c r="C5554" s="16" t="str"/>
      <x:c r="D5554" s="16" t="str">
        <x:v>* myContacts</x:v>
      </x:c>
      <x:c r="E5554" s="16" t="str">
        <x:v>Missing email</x:v>
      </x:c>
    </x:row>
    <x:row r="5555">
      <x:c r="A5555" s="16" t="n">
        <x:v>5744</x:v>
      </x:c>
      <x:c r="B5555" s="16" t="str">
        <x:v>Rafiqah Jobli</x:v>
      </x:c>
      <x:c r="C5555" s="16" t="str"/>
      <x:c r="D5555" s="16" t="str">
        <x:v>* myContacts</x:v>
      </x:c>
      <x:c r="E5555" s="16" t="str">
        <x:v>Missing email</x:v>
      </x:c>
    </x:row>
    <x:row r="5556">
      <x:c r="A5556" s="16" t="n">
        <x:v>5745</x:v>
      </x:c>
      <x:c r="B5556" s="16" t="str">
        <x:v>Raflieyza Onlne Trding</x:v>
      </x:c>
      <x:c r="C5556" s="16" t="str"/>
      <x:c r="D5556" s="16" t="str">
        <x:v>* myContacts</x:v>
      </x:c>
      <x:c r="E5556" s="16" t="str">
        <x:v>Missing email</x:v>
      </x:c>
    </x:row>
    <x:row r="5557">
      <x:c r="A5557" s="16" t="n">
        <x:v>5746</x:v>
      </x:c>
      <x:c r="B5557" s="16" t="str">
        <x:v>Ragenee Channel Trainer HRDF</x:v>
      </x:c>
      <x:c r="C5557" s="16" t="str"/>
      <x:c r="D5557" s="16" t="str">
        <x:v>* myContacts</x:v>
      </x:c>
      <x:c r="E5557" s="16" t="str">
        <x:v>Missing email</x:v>
      </x:c>
    </x:row>
    <x:row r="5558">
      <x:c r="A5558" s="16" t="n">
        <x:v>5747</x:v>
      </x:c>
      <x:c r="B5558" s="16" t="str">
        <x:v>Rahayu Binti Edward</x:v>
      </x:c>
      <x:c r="C5558" s="16" t="str"/>
      <x:c r="D5558" s="16" t="str">
        <x:v>* myContacts</x:v>
      </x:c>
      <x:c r="E5558" s="16" t="str">
        <x:v>Missing email</x:v>
      </x:c>
    </x:row>
    <x:row r="5559">
      <x:c r="A5559" s="16" t="n">
        <x:v>5748</x:v>
      </x:c>
      <x:c r="B5559" s="16" t="str">
        <x:v>Rahayu Irfan</x:v>
      </x:c>
      <x:c r="C5559" s="16" t="str"/>
      <x:c r="D5559" s="16" t="str">
        <x:v>* myContacts</x:v>
      </x:c>
      <x:c r="E5559" s="16" t="str">
        <x:v>Missing email</x:v>
      </x:c>
    </x:row>
    <x:row r="5560">
      <x:c r="A5560" s="16" t="n">
        <x:v>5749</x:v>
      </x:c>
      <x:c r="B5560" s="16" t="str">
        <x:v>Rahim Ehatie</x:v>
      </x:c>
      <x:c r="C5560" s="16" t="str"/>
      <x:c r="D5560" s="16" t="str">
        <x:v>* myContacts</x:v>
      </x:c>
      <x:c r="E5560" s="16" t="str">
        <x:v>Missing email</x:v>
      </x:c>
    </x:row>
    <x:row r="5561">
      <x:c r="A5561" s="16" t="n">
        <x:v>5750</x:v>
      </x:c>
      <x:c r="B5561" s="16" t="str">
        <x:v>Rahim Hamed</x:v>
      </x:c>
      <x:c r="C5561" s="16" t="str"/>
      <x:c r="D5561" s="16" t="str">
        <x:v>* myContacts</x:v>
      </x:c>
      <x:c r="E5561" s="16" t="str">
        <x:v>Missing email</x:v>
      </x:c>
    </x:row>
    <x:row r="5562">
      <x:c r="A5562" s="16" t="n">
        <x:v>5751</x:v>
      </x:c>
      <x:c r="B5562" s="16" t="str">
        <x:v>Rahim Husain</x:v>
      </x:c>
      <x:c r="C5562" s="16" t="str"/>
      <x:c r="D5562" s="16" t="str">
        <x:v>* myContacts</x:v>
      </x:c>
      <x:c r="E5562" s="16" t="str">
        <x:v>Missing email</x:v>
      </x:c>
    </x:row>
    <x:row r="5563">
      <x:c r="A5563" s="16" t="n">
        <x:v>5752</x:v>
      </x:c>
      <x:c r="B5563" s="16" t="str">
        <x:v>Rahim Niaga</x:v>
      </x:c>
      <x:c r="C5563" s="16" t="str"/>
      <x:c r="D5563" s="16" t="str">
        <x:v>* myContacts</x:v>
      </x:c>
      <x:c r="E5563" s="16" t="str">
        <x:v>Missing email</x:v>
      </x:c>
    </x:row>
    <x:row r="5564">
      <x:c r="A5564" s="16" t="n">
        <x:v>5753</x:v>
      </x:c>
      <x:c r="B5564" s="16" t="str">
        <x:v>Dr Rahim Pakar Branding</x:v>
      </x:c>
      <x:c r="C5564" s="16" t="str"/>
      <x:c r="D5564" s="16" t="str">
        <x:v>* myContacts</x:v>
      </x:c>
      <x:c r="E5564" s="16" t="str">
        <x:v>Missing email</x:v>
      </x:c>
    </x:row>
    <x:row r="5565">
      <x:c r="A5565" s="16" t="n">
        <x:v>5754</x:v>
      </x:c>
      <x:c r="B5565" s="16" t="str">
        <x:v>Rahim Travller Korea</x:v>
      </x:c>
      <x:c r="C5565" s="16" t="str"/>
      <x:c r="D5565" s="16" t="str">
        <x:v>* myContacts</x:v>
      </x:c>
      <x:c r="E5565" s="16" t="str">
        <x:v>Missing email</x:v>
      </x:c>
    </x:row>
    <x:row r="5566">
      <x:c r="A5566" s="16" t="n">
        <x:v>5755</x:v>
      </x:c>
      <x:c r="B5566" s="16" t="str">
        <x:v>Rahimah Ahmad Akhirudin</x:v>
      </x:c>
      <x:c r="C5566" s="16" t="str"/>
      <x:c r="D5566" s="16" t="str">
        <x:v>* myContacts</x:v>
      </x:c>
      <x:c r="E5566" s="16" t="str">
        <x:v>Missing email</x:v>
      </x:c>
    </x:row>
    <x:row r="5567">
      <x:c r="A5567" s="16" t="n">
        <x:v>5756</x:v>
      </x:c>
      <x:c r="B5567" s="16" t="str">
        <x:v>Rahimi Mohd Alwi</x:v>
      </x:c>
      <x:c r="C5567" s="16" t="str"/>
      <x:c r="D5567" s="16" t="str">
        <x:v>* myContacts</x:v>
      </x:c>
      <x:c r="E5567" s="16" t="str">
        <x:v>Missing email</x:v>
      </x:c>
    </x:row>
    <x:row r="5568">
      <x:c r="A5568" s="16" t="n">
        <x:v>5758</x:v>
      </x:c>
      <x:c r="B5568" s="16" t="str">
        <x:v>Rahman Bohry</x:v>
      </x:c>
      <x:c r="C5568" s="16" t="str"/>
      <x:c r="D5568" s="16" t="str">
        <x:v>* myContacts</x:v>
      </x:c>
      <x:c r="E5568" s="16" t="str">
        <x:v>Missing email</x:v>
      </x:c>
    </x:row>
    <x:row r="5569">
      <x:c r="A5569" s="16" t="n">
        <x:v>5759</x:v>
      </x:c>
      <x:c r="B5569" s="16" t="str">
        <x:v>Rahman Mustafa</x:v>
      </x:c>
      <x:c r="C5569" s="16" t="str"/>
      <x:c r="D5569" s="16" t="str">
        <x:v>* myContacts</x:v>
      </x:c>
      <x:c r="E5569" s="16" t="str">
        <x:v>Missing email</x:v>
      </x:c>
    </x:row>
    <x:row r="5570">
      <x:c r="A5570" s="16" t="n">
        <x:v>5760</x:v>
      </x:c>
      <x:c r="B5570" s="16" t="str">
        <x:v>Rahman Saad</x:v>
      </x:c>
      <x:c r="C5570" s="16" t="str"/>
      <x:c r="D5570" s="16" t="str">
        <x:v>* myContacts</x:v>
      </x:c>
      <x:c r="E5570" s="16" t="str">
        <x:v>Missing email</x:v>
      </x:c>
    </x:row>
    <x:row r="5571">
      <x:c r="A5571" s="16" t="n">
        <x:v>5761</x:v>
      </x:c>
      <x:c r="B5571" s="16" t="str">
        <x:v>Rahman Sifu IM</x:v>
      </x:c>
      <x:c r="C5571" s="16" t="str"/>
      <x:c r="D5571" s="16" t="str">
        <x:v>* myContacts</x:v>
      </x:c>
      <x:c r="E5571" s="16" t="str">
        <x:v>Missing email</x:v>
      </x:c>
    </x:row>
    <x:row r="5572">
      <x:c r="A5572" s="16" t="n">
        <x:v>5762</x:v>
      </x:c>
      <x:c r="B5572" s="16" t="str">
        <x:v>Rahman Syifa</x:v>
      </x:c>
      <x:c r="C5572" s="16" t="str"/>
      <x:c r="D5572" s="16" t="str">
        <x:v>* myContacts</x:v>
      </x:c>
      <x:c r="E5572" s="16" t="str">
        <x:v>Missing email</x:v>
      </x:c>
    </x:row>
    <x:row r="5573">
      <x:c r="A5573" s="16" t="n">
        <x:v>5763</x:v>
      </x:c>
      <x:c r="B5573" s="16" t="str">
        <x:v>Rahmat Badan HG</x:v>
      </x:c>
      <x:c r="C5573" s="16" t="str"/>
      <x:c r="D5573" s="16" t="str">
        <x:v>* myContacts</x:v>
      </x:c>
      <x:c r="E5573" s="16" t="str">
        <x:v>Missing email</x:v>
      </x:c>
    </x:row>
    <x:row r="5574">
      <x:c r="A5574" s="16" t="n">
        <x:v>5764</x:v>
      </x:c>
      <x:c r="B5574" s="16" t="str">
        <x:v>Rahmat Efendy AL Rohman</x:v>
      </x:c>
      <x:c r="C5574" s="16" t="str"/>
      <x:c r="D5574" s="16" t="str">
        <x:v>* myContacts</x:v>
      </x:c>
      <x:c r="E5574" s="16" t="str">
        <x:v>Missing email</x:v>
      </x:c>
    </x:row>
    <x:row r="5575">
      <x:c r="A5575" s="16" t="n">
        <x:v>5765</x:v>
      </x:c>
      <x:c r="B5575" s="16" t="str">
        <x:v>Rahmat Jnj</x:v>
      </x:c>
      <x:c r="C5575" s="16" t="str"/>
      <x:c r="D5575" s="16" t="str">
        <x:v>* myContacts</x:v>
      </x:c>
      <x:c r="E5575" s="16" t="str">
        <x:v>Missing email</x:v>
      </x:c>
    </x:row>
    <x:row r="5576">
      <x:c r="A5576" s="16" t="n">
        <x:v>5766</x:v>
      </x:c>
      <x:c r="B5576" s="16" t="str">
        <x:v>Rahmat Junid</x:v>
      </x:c>
      <x:c r="C5576" s="16" t="str"/>
      <x:c r="D5576" s="16" t="str">
        <x:v>* myContacts</x:v>
      </x:c>
      <x:c r="E5576" s="16" t="str">
        <x:v>Missing email</x:v>
      </x:c>
    </x:row>
    <x:row r="5577">
      <x:c r="A5577" s="16" t="n">
        <x:v>5767</x:v>
      </x:c>
      <x:c r="B5577" s="16" t="str">
        <x:v>Rahmat Magician Jnj</x:v>
      </x:c>
      <x:c r="C5577" s="16" t="str"/>
      <x:c r="D5577" s="16" t="str">
        <x:v>* myContacts</x:v>
      </x:c>
      <x:c r="E5577" s="16" t="str">
        <x:v>Missing email</x:v>
      </x:c>
    </x:row>
    <x:row r="5578">
      <x:c r="A5578" s="16" t="n">
        <x:v>5768</x:v>
      </x:c>
      <x:c r="B5578" s="16" t="str">
        <x:v>rahmat malaysia tribune</x:v>
      </x:c>
      <x:c r="C5578" s="16" t="str"/>
      <x:c r="D5578" s="16" t="str">
        <x:v>* myContacts</x:v>
      </x:c>
      <x:c r="E5578" s="16" t="str">
        <x:v>Missing email</x:v>
      </x:c>
    </x:row>
    <x:row r="5579">
      <x:c r="A5579" s="16" t="n">
        <x:v>5769</x:v>
      </x:c>
      <x:c r="B5579" s="16" t="str">
        <x:v>Rahmat Sentiasa Rahmat</x:v>
      </x:c>
      <x:c r="C5579" s="16" t="str"/>
      <x:c r="D5579" s="16" t="str">
        <x:v>* myContacts</x:v>
      </x:c>
      <x:c r="E5579" s="16" t="str">
        <x:v>Missing email</x:v>
      </x:c>
    </x:row>
    <x:row r="5580">
      <x:c r="A5580" s="16" t="n">
        <x:v>5770</x:v>
      </x:c>
      <x:c r="B5580" s="16" t="str">
        <x:v>Rahmat Tauke Muffin Indulgence Pontian</x:v>
      </x:c>
      <x:c r="C5580" s="16" t="str"/>
      <x:c r="D5580" s="16" t="str">
        <x:v>* myContacts</x:v>
      </x:c>
      <x:c r="E5580" s="16" t="str">
        <x:v>Missing email</x:v>
      </x:c>
    </x:row>
    <x:row r="5581">
      <x:c r="A5581" s="16" t="n">
        <x:v>5771</x:v>
      </x:c>
      <x:c r="B5581" s="16" t="str">
        <x:v>Rahmatullah Dahrawi Edrus</x:v>
      </x:c>
      <x:c r="C5581" s="16" t="str"/>
      <x:c r="D5581" s="16" t="str">
        <x:v>* myContacts</x:v>
      </x:c>
      <x:c r="E5581" s="16" t="str">
        <x:v>Missing email</x:v>
      </x:c>
    </x:row>
    <x:row r="5582">
      <x:c r="A5582" s="16" t="n">
        <x:v>5772</x:v>
      </x:c>
      <x:c r="B5582" s="16" t="str">
        <x:v>Rahsia Baja Organik</x:v>
      </x:c>
      <x:c r="C5582" s="16" t="str"/>
      <x:c r="D5582" s="16" t="str">
        <x:v>* myContacts</x:v>
      </x:c>
      <x:c r="E5582" s="16" t="str">
        <x:v>Missing email</x:v>
      </x:c>
    </x:row>
    <x:row r="5583">
      <x:c r="A5583" s="16" t="n">
        <x:v>5773</x:v>
      </x:c>
      <x:c r="B5583" s="16" t="str">
        <x:v>Rahsia Hati</x:v>
      </x:c>
      <x:c r="C5583" s="16" t="str"/>
      <x:c r="D5583" s="16" t="str">
        <x:v>* myContacts</x:v>
      </x:c>
      <x:c r="E5583" s="16" t="str">
        <x:v>Missing email</x:v>
      </x:c>
    </x:row>
    <x:row r="5584">
      <x:c r="A5584" s="16" t="n">
        <x:v>5774</x:v>
      </x:c>
      <x:c r="B5584" s="16" t="str">
        <x:v>Rahul Tomar</x:v>
      </x:c>
      <x:c r="C5584" s="16" t="str"/>
      <x:c r="D5584" s="16" t="str">
        <x:v>* myContacts</x:v>
      </x:c>
      <x:c r="E5584" s="16" t="str">
        <x:v>Missing email</x:v>
      </x:c>
    </x:row>
    <x:row r="5585">
      <x:c r="A5585" s="16" t="n">
        <x:v>5775</x:v>
      </x:c>
      <x:c r="B5585" s="16" t="str">
        <x:v>Raingers Hujan</x:v>
      </x:c>
      <x:c r="C5585" s="16" t="str"/>
      <x:c r="D5585" s="16" t="str">
        <x:v>* myContacts</x:v>
      </x:c>
      <x:c r="E5585" s="16" t="str">
        <x:v>Missing email</x:v>
      </x:c>
    </x:row>
    <x:row r="5586">
      <x:c r="A5586" s="16" t="n">
        <x:v>5776</x:v>
      </x:c>
      <x:c r="B5586" s="16" t="str">
        <x:v>Raisha Humayra</x:v>
      </x:c>
      <x:c r="C5586" s="16" t="str"/>
      <x:c r="D5586" s="16" t="str">
        <x:v>* myContacts</x:v>
      </x:c>
      <x:c r="E5586" s="16" t="str">
        <x:v>Missing email</x:v>
      </x:c>
    </x:row>
    <x:row r="5587">
      <x:c r="A5587" s="16" t="n">
        <x:v>5777</x:v>
      </x:c>
      <x:c r="B5587" s="16" t="str">
        <x:v>Raisya Kid's</x:v>
      </x:c>
      <x:c r="C5587" s="16" t="str"/>
      <x:c r="D5587" s="16" t="str">
        <x:v>* myContacts</x:v>
      </x:c>
      <x:c r="E5587" s="16" t="str">
        <x:v>Missing email</x:v>
      </x:c>
    </x:row>
    <x:row r="5588">
      <x:c r="A5588" s="16" t="n">
        <x:v>5778</x:v>
      </x:c>
      <x:c r="B5588" s="16" t="str">
        <x:v>Raizah Aini</x:v>
      </x:c>
      <x:c r="C5588" s="16" t="str"/>
      <x:c r="D5588" s="16" t="str">
        <x:v>* myContacts</x:v>
      </x:c>
      <x:c r="E5588" s="16" t="str">
        <x:v>Missing email</x:v>
      </x:c>
    </x:row>
    <x:row r="5589">
      <x:c r="A5589" s="16" t="n">
        <x:v>5779</x:v>
      </x:c>
      <x:c r="B5589" s="16" t="str">
        <x:v>Raja Elyana</x:v>
      </x:c>
      <x:c r="C5589" s="16" t="str"/>
      <x:c r="D5589" s="16" t="str">
        <x:v>* myContacts</x:v>
      </x:c>
      <x:c r="E5589" s="16" t="str">
        <x:v>Missing email</x:v>
      </x:c>
    </x:row>
    <x:row r="5590">
      <x:c r="A5590" s="16" t="n">
        <x:v>5780</x:v>
      </x:c>
      <x:c r="B5590" s="16" t="str">
        <x:v>Raja Faris</x:v>
      </x:c>
      <x:c r="C5590" s="16" t="str"/>
      <x:c r="D5590" s="16" t="str">
        <x:v>* myContacts</x:v>
      </x:c>
      <x:c r="E5590" s="16" t="str">
        <x:v>Missing email</x:v>
      </x:c>
    </x:row>
    <x:row r="5591">
      <x:c r="A5591" s="16" t="n">
        <x:v>5781</x:v>
      </x:c>
      <x:c r="B5591" s="16" t="str">
        <x:v>raja kamil IM</x:v>
      </x:c>
      <x:c r="C5591" s="16" t="str"/>
      <x:c r="D5591" s="16" t="str">
        <x:v>* myContacts</x:v>
      </x:c>
      <x:c r="E5591" s="16" t="str">
        <x:v>Missing email</x:v>
      </x:c>
    </x:row>
    <x:row r="5592">
      <x:c r="A5592" s="16" t="n">
        <x:v>5782</x:v>
      </x:c>
      <x:c r="B5592" s="16" t="str">
        <x:v>Raja Norsharani</x:v>
      </x:c>
      <x:c r="C5592" s="16" t="str"/>
      <x:c r="D5592" s="16" t="str">
        <x:v>* myContacts</x:v>
      </x:c>
      <x:c r="E5592" s="16" t="str">
        <x:v>Missing email</x:v>
      </x:c>
    </x:row>
    <x:row r="5593">
      <x:c r="A5593" s="16" t="n">
        <x:v>5783</x:v>
      </x:c>
      <x:c r="B5593" s="16" t="str">
        <x:v>Raja Rashtam</x:v>
      </x:c>
      <x:c r="C5593" s="16" t="str"/>
      <x:c r="D5593" s="16" t="str">
        <x:v>* myContacts</x:v>
      </x:c>
      <x:c r="E5593" s="16" t="str">
        <x:v>Missing email</x:v>
      </x:c>
    </x:row>
    <x:row r="5594">
      <x:c r="A5594" s="16" t="n">
        <x:v>5785</x:v>
      </x:c>
      <x:c r="B5594" s="16" t="str">
        <x:v>Raja Zarina Raja Abdul Rahman VOE EU2023</x:v>
      </x:c>
      <x:c r="C5594" s="16" t="str"/>
      <x:c r="D5594" s="16" t="str">
        <x:v>* myContacts</x:v>
      </x:c>
      <x:c r="E5594" s="16" t="str">
        <x:v>Missing email</x:v>
      </x:c>
    </x:row>
    <x:row r="5595">
      <x:c r="A5595" s="16" t="n">
        <x:v>5786</x:v>
      </x:c>
      <x:c r="B5595" s="16" t="str">
        <x:v>Rajendran AGP</x:v>
      </x:c>
      <x:c r="C5595" s="16" t="str"/>
      <x:c r="D5595" s="16" t="str">
        <x:v>* myContacts</x:v>
      </x:c>
      <x:c r="E5595" s="16" t="str">
        <x:v>Missing email</x:v>
      </x:c>
    </x:row>
    <x:row r="5596">
      <x:c r="A5596" s="16" t="n">
        <x:v>5787</x:v>
      </x:c>
      <x:c r="B5596" s="16" t="str">
        <x:v>rakimin galisin AGP</x:v>
      </x:c>
      <x:c r="C5596" s="16" t="str"/>
      <x:c r="D5596" s="16" t="str">
        <x:v>* myContacts</x:v>
      </x:c>
      <x:c r="E5596" s="16" t="str">
        <x:v>Missing email</x:v>
      </x:c>
    </x:row>
    <x:row r="5597">
      <x:c r="A5597" s="16" t="n">
        <x:v>5788</x:v>
      </x:c>
      <x:c r="B5597" s="16" t="str">
        <x:v>Ram Lan</x:v>
      </x:c>
      <x:c r="C5597" s="16" t="str"/>
      <x:c r="D5597" s="16" t="str">
        <x:v>* myContacts</x:v>
      </x:c>
      <x:c r="E5597" s="16" t="str">
        <x:v>Missing email</x:v>
      </x:c>
    </x:row>
    <x:row r="5598">
      <x:c r="A5598" s="16" t="n">
        <x:v>5789</x:v>
      </x:c>
      <x:c r="B5598" s="16" t="str">
        <x:v>Ramdan Johari Borong China</x:v>
      </x:c>
      <x:c r="C5598" s="16" t="str"/>
      <x:c r="D5598" s="16" t="str">
        <x:v>* myContacts</x:v>
      </x:c>
      <x:c r="E5598" s="16" t="str">
        <x:v>Missing email</x:v>
      </x:c>
    </x:row>
    <x:row r="5599">
      <x:c r="A5599" s="16" t="n">
        <x:v>5790</x:v>
      </x:c>
      <x:c r="B5599" s="16" t="str">
        <x:v>Ramdan Rave Incubator</x:v>
      </x:c>
      <x:c r="C5599" s="16" t="str"/>
      <x:c r="D5599" s="16" t="str">
        <x:v>* myContacts</x:v>
      </x:c>
      <x:c r="E5599" s="16" t="str">
        <x:v>Missing email</x:v>
      </x:c>
    </x:row>
    <x:row r="5600">
      <x:c r="A5600" s="16" t="n">
        <x:v>5791</x:v>
      </x:c>
      <x:c r="B5600" s="16" t="str">
        <x:v>Ramdani Saputra</x:v>
      </x:c>
      <x:c r="C5600" s="16" t="str"/>
      <x:c r="D5600" s="16" t="str">
        <x:v>* myContacts</x:v>
      </x:c>
      <x:c r="E5600" s="16" t="str">
        <x:v>Missing email</x:v>
      </x:c>
    </x:row>
    <x:row r="5601">
      <x:c r="A5601" s="16" t="n">
        <x:v>5792</x:v>
      </x:c>
      <x:c r="B5601" s="16" t="str">
        <x:v>Ramil Densing Rasonable</x:v>
      </x:c>
      <x:c r="C5601" s="16" t="str"/>
      <x:c r="D5601" s="16" t="str">
        <x:v>* myContacts</x:v>
      </x:c>
      <x:c r="E5601" s="16" t="str">
        <x:v>Missing email</x:v>
      </x:c>
    </x:row>
    <x:row r="5602">
      <x:c r="A5602" s="16" t="n">
        <x:v>5793</x:v>
      </x:c>
      <x:c r="B5602" s="16" t="str">
        <x:v>Ramlah Binti Jendol AGP</x:v>
      </x:c>
      <x:c r="C5602" s="16" t="str"/>
      <x:c r="D5602" s="16" t="str">
        <x:v>* myContacts</x:v>
      </x:c>
      <x:c r="E5602" s="16" t="str">
        <x:v>Missing email</x:v>
      </x:c>
    </x:row>
    <x:row r="5603">
      <x:c r="A5603" s="16" t="n">
        <x:v>5794</x:v>
      </x:c>
      <x:c r="B5603" s="16" t="str">
        <x:v>Ramle Hj Ibrahim AGP</x:v>
      </x:c>
      <x:c r="C5603" s="16" t="str"/>
      <x:c r="D5603" s="16" t="str">
        <x:v>* myContacts</x:v>
      </x:c>
      <x:c r="E5603" s="16" t="str">
        <x:v>Missing email</x:v>
      </x:c>
    </x:row>
    <x:row r="5604">
      <x:c r="A5604" s="16" t="n">
        <x:v>5795</x:v>
      </x:c>
      <x:c r="B5604" s="16" t="str">
        <x:v>Ramli Ibrahim</x:v>
      </x:c>
      <x:c r="C5604" s="16" t="str"/>
      <x:c r="D5604" s="16" t="str">
        <x:v>* myContacts</x:v>
      </x:c>
      <x:c r="E5604" s="16" t="str">
        <x:v>Missing email</x:v>
      </x:c>
    </x:row>
    <x:row r="5605">
      <x:c r="A5605" s="16" t="n">
        <x:v>5796</x:v>
      </x:c>
      <x:c r="B5605" s="16" t="str">
        <x:v>Ramzan Bin Ismail Ajan</x:v>
      </x:c>
      <x:c r="C5605" s="16" t="str"/>
      <x:c r="D5605" s="16" t="str">
        <x:v>* myContacts</x:v>
      </x:c>
      <x:c r="E5605" s="16" t="str">
        <x:v>Missing email</x:v>
      </x:c>
    </x:row>
    <x:row r="5606">
      <x:c r="A5606" s="16" t="n">
        <x:v>5797</x:v>
      </x:c>
      <x:c r="B5606" s="16" t="str">
        <x:v>Rana Don</x:v>
      </x:c>
      <x:c r="C5606" s="16" t="str"/>
      <x:c r="D5606" s="16" t="str">
        <x:v>* myContacts</x:v>
      </x:c>
      <x:c r="E5606" s="16" t="str">
        <x:v>Missing email</x:v>
      </x:c>
    </x:row>
    <x:row r="5607">
      <x:c r="A5607" s="16" t="n">
        <x:v>5798</x:v>
      </x:c>
      <x:c r="B5607" s="16" t="str">
        <x:v>Raniey Rahman</x:v>
      </x:c>
      <x:c r="C5607" s="16" t="str"/>
      <x:c r="D5607" s="16" t="str">
        <x:v>* myContacts</x:v>
      </x:c>
      <x:c r="E5607" s="16" t="str">
        <x:v>Missing email</x:v>
      </x:c>
    </x:row>
    <x:row r="5608">
      <x:c r="A5608" s="16" t="n">
        <x:v>5799</x:v>
      </x:c>
      <x:c r="B5608" s="16" t="str">
        <x:v>Raouf Hackalaunch</x:v>
      </x:c>
      <x:c r="C5608" s="16" t="str"/>
      <x:c r="D5608" s="16" t="str">
        <x:v>* myContacts</x:v>
      </x:c>
      <x:c r="E5608" s="16" t="str">
        <x:v>Missing email</x:v>
      </x:c>
    </x:row>
    <x:row r="5609">
      <x:c r="A5609" s="16" t="n">
        <x:v>5800</x:v>
      </x:c>
      <x:c r="B5609" s="16" t="str">
        <x:v>Rashid Thomas</x:v>
      </x:c>
      <x:c r="C5609" s="16" t="str"/>
      <x:c r="D5609" s="16" t="str">
        <x:v>* myContacts</x:v>
      </x:c>
      <x:c r="E5609" s="16" t="str">
        <x:v>Missing email</x:v>
      </x:c>
    </x:row>
    <x:row r="5610">
      <x:c r="A5610" s="16" t="n">
        <x:v>5801</x:v>
      </x:c>
      <x:c r="B5610" s="16" t="str">
        <x:v>Rashidah Rosdi</x:v>
      </x:c>
      <x:c r="C5610" s="16" t="str"/>
      <x:c r="D5610" s="16" t="str">
        <x:v>* myContacts</x:v>
      </x:c>
      <x:c r="E5610" s="16" t="str">
        <x:v>Missing email</x:v>
      </x:c>
    </x:row>
    <x:row r="5611">
      <x:c r="A5611" s="16" t="n">
        <x:v>5802</x:v>
      </x:c>
      <x:c r="B5611" s="16" t="str">
        <x:v>rashidi isa</x:v>
      </x:c>
      <x:c r="C5611" s="16" t="str"/>
      <x:c r="D5611" s="16" t="str">
        <x:v>* myContacts</x:v>
      </x:c>
      <x:c r="E5611" s="16" t="str">
        <x:v>Missing email</x:v>
      </x:c>
    </x:row>
    <x:row r="5612">
      <x:c r="A5612" s="16" t="n">
        <x:v>5803</x:v>
      </x:c>
      <x:c r="B5612" s="16" t="str">
        <x:v>Rashidi master trainer</x:v>
      </x:c>
      <x:c r="C5612" s="16" t="str"/>
      <x:c r="D5612" s="16" t="str">
        <x:v>Trainer | * myContacts</x:v>
      </x:c>
      <x:c r="E5612" s="16" t="str">
        <x:v>Missing email</x:v>
      </x:c>
    </x:row>
    <x:row r="5613">
      <x:c r="A5613" s="16" t="n">
        <x:v>5804</x:v>
      </x:c>
      <x:c r="B5613" s="16" t="str">
        <x:v>Rashidi Ultimate CEO</x:v>
      </x:c>
      <x:c r="C5613" s="16" t="str"/>
      <x:c r="D5613" s="16" t="str">
        <x:v>* myContacts</x:v>
      </x:c>
      <x:c r="E5613" s="16" t="str">
        <x:v>Missing email</x:v>
      </x:c>
    </x:row>
    <x:row r="5614">
      <x:c r="A5614" s="16" t="n">
        <x:v>5805</x:v>
      </x:c>
      <x:c r="B5614" s="16" t="str">
        <x:v>rasidi AGP</x:v>
      </x:c>
      <x:c r="C5614" s="16" t="str"/>
      <x:c r="D5614" s="16" t="str">
        <x:v>* myContacts</x:v>
      </x:c>
      <x:c r="E5614" s="16" t="str">
        <x:v>Missing email</x:v>
      </x:c>
    </x:row>
    <x:row r="5615">
      <x:c r="A5615" s="16" t="n">
        <x:v>5806</x:v>
      </x:c>
      <x:c r="B5615" s="16" t="str">
        <x:v>Rassid Abd Ghani</x:v>
      </x:c>
      <x:c r="C5615" s="16" t="str"/>
      <x:c r="D5615" s="16" t="str">
        <x:v>* myContacts</x:v>
      </x:c>
      <x:c r="E5615" s="16" t="str">
        <x:v>Missing email</x:v>
      </x:c>
    </x:row>
    <x:row r="5616">
      <x:c r="A5616" s="16" t="n">
        <x:v>5807</x:v>
      </x:c>
      <x:c r="B5616" s="16" t="str">
        <x:v>Rasul Blogger</x:v>
      </x:c>
      <x:c r="C5616" s="16" t="str"/>
      <x:c r="D5616" s="16" t="str">
        <x:v>* myContacts</x:v>
      </x:c>
      <x:c r="E5616" s="16" t="str">
        <x:v>Missing email</x:v>
      </x:c>
    </x:row>
    <x:row r="5617">
      <x:c r="A5617" s="16" t="n">
        <x:v>5808</x:v>
      </x:c>
      <x:c r="B5617" s="16" t="str">
        <x:v>Rasul Haidi</x:v>
      </x:c>
      <x:c r="C5617" s="16" t="str"/>
      <x:c r="D5617" s="16" t="str">
        <x:v>* myContacts</x:v>
      </x:c>
      <x:c r="E5617" s="16" t="str">
        <x:v>Missing email</x:v>
      </x:c>
    </x:row>
    <x:row r="5618">
      <x:c r="A5618" s="16" t="n">
        <x:v>5809</x:v>
      </x:c>
      <x:c r="B5618" s="16" t="str">
        <x:v>Rasyid Farid</x:v>
      </x:c>
      <x:c r="C5618" s="16" t="str"/>
      <x:c r="D5618" s="16" t="str">
        <x:v>* myContacts</x:v>
      </x:c>
      <x:c r="E5618" s="16" t="str">
        <x:v>Missing email</x:v>
      </x:c>
    </x:row>
    <x:row r="5619">
      <x:c r="A5619" s="16" t="n">
        <x:v>5810</x:v>
      </x:c>
      <x:c r="B5619" s="16" t="str">
        <x:v>Rasyidah</x:v>
      </x:c>
      <x:c r="C5619" s="16" t="str"/>
      <x:c r="D5619" s="16" t="str">
        <x:v>* myContacts</x:v>
      </x:c>
      <x:c r="E5619" s="16" t="str">
        <x:v>Missing email</x:v>
      </x:c>
    </x:row>
    <x:row r="5620">
      <x:c r="A5620" s="16" t="n">
        <x:v>5811</x:v>
      </x:c>
      <x:c r="B5620" s="16" t="str">
        <x:v>Ratna Aziena Aziena</x:v>
      </x:c>
      <x:c r="C5620" s="16" t="str"/>
      <x:c r="D5620" s="16" t="str">
        <x:v>* myContacts</x:v>
      </x:c>
      <x:c r="E5620" s="16" t="str">
        <x:v>Missing email</x:v>
      </x:c>
    </x:row>
    <x:row r="5621">
      <x:c r="A5621" s="16" t="n">
        <x:v>5812</x:v>
      </x:c>
      <x:c r="B5621" s="16" t="str">
        <x:v>Ratu Hatii</x:v>
      </x:c>
      <x:c r="C5621" s="16" t="str"/>
      <x:c r="D5621" s="16" t="str">
        <x:v>* myContacts</x:v>
      </x:c>
      <x:c r="E5621" s="16" t="str">
        <x:v>Missing email</x:v>
      </x:c>
    </x:row>
    <x:row r="5622">
      <x:c r="A5622" s="16" t="n">
        <x:v>5813</x:v>
      </x:c>
      <x:c r="B5622" s="16" t="str">
        <x:v>Ratu Maliamellia</x:v>
      </x:c>
      <x:c r="C5622" s="16" t="str"/>
      <x:c r="D5622" s="16" t="str">
        <x:v>* myContacts</x:v>
      </x:c>
      <x:c r="E5622" s="16" t="str">
        <x:v>Missing email</x:v>
      </x:c>
    </x:row>
    <x:row r="5623">
      <x:c r="A5623" s="16" t="n">
        <x:v>5814</x:v>
      </x:c>
      <x:c r="B5623" s="16" t="str">
        <x:v>Raudah AGP</x:v>
      </x:c>
      <x:c r="C5623" s="16" t="str"/>
      <x:c r="D5623" s="16" t="str">
        <x:v>* myContacts</x:v>
      </x:c>
      <x:c r="E5623" s="16" t="str">
        <x:v>Missing email</x:v>
      </x:c>
    </x:row>
    <x:row r="5624">
      <x:c r="A5624" s="16" t="n">
        <x:v>5815</x:v>
      </x:c>
      <x:c r="B5624" s="16" t="str">
        <x:v>Raudah Student</x:v>
      </x:c>
      <x:c r="C5624" s="16" t="str"/>
      <x:c r="D5624" s="16" t="str">
        <x:v>* myContacts</x:v>
      </x:c>
      <x:c r="E5624" s="16" t="str">
        <x:v>Missing email</x:v>
      </x:c>
    </x:row>
    <x:row r="5625">
      <x:c r="A5625" s="16" t="n">
        <x:v>5816</x:v>
      </x:c>
      <x:c r="B5625" s="16" t="str">
        <x:v>Raudatul Iman</x:v>
      </x:c>
      <x:c r="C5625" s="16" t="str"/>
      <x:c r="D5625" s="16" t="str">
        <x:v>* myContacts</x:v>
      </x:c>
      <x:c r="E5625" s="16" t="str">
        <x:v>Missing email</x:v>
      </x:c>
    </x:row>
    <x:row r="5626">
      <x:c r="A5626" s="16" t="n">
        <x:v>5817</x:v>
      </x:c>
      <x:c r="B5626" s="16" t="str">
        <x:v>Raudhahpay Azarul Hakim</x:v>
      </x:c>
      <x:c r="C5626" s="16" t="str"/>
      <x:c r="D5626" s="16" t="str">
        <x:v>* myContacts</x:v>
      </x:c>
      <x:c r="E5626" s="16" t="str">
        <x:v>Missing email</x:v>
      </x:c>
    </x:row>
    <x:row r="5627">
      <x:c r="A5627" s="16" t="n">
        <x:v>5818</x:v>
      </x:c>
      <x:c r="B5627" s="16" t="str">
        <x:v>Raudhatuljannah Abubakar</x:v>
      </x:c>
      <x:c r="C5627" s="16" t="str"/>
      <x:c r="D5627" s="16" t="str">
        <x:v>* myContacts</x:v>
      </x:c>
      <x:c r="E5627" s="16" t="str">
        <x:v>Missing email</x:v>
      </x:c>
    </x:row>
    <x:row r="5628">
      <x:c r="A5628" s="16" t="n">
        <x:v>5819</x:v>
      </x:c>
      <x:c r="B5628" s="16" t="str">
        <x:v>Ray MDEC Eusahawan Coordinator</x:v>
      </x:c>
      <x:c r="C5628" s="16" t="str"/>
      <x:c r="D5628" s="16" t="str">
        <x:v>* myContacts</x:v>
      </x:c>
      <x:c r="E5628" s="16" t="str">
        <x:v>Missing email</x:v>
      </x:c>
    </x:row>
    <x:row r="5629">
      <x:c r="A5629" s="16" t="n">
        <x:v>5820</x:v>
      </x:c>
      <x:c r="B5629" s="16" t="str">
        <x:v>mr ray muay thai</x:v>
      </x:c>
      <x:c r="C5629" s="16" t="str"/>
      <x:c r="D5629" s="16" t="str">
        <x:v>* myContacts</x:v>
      </x:c>
      <x:c r="E5629" s="16" t="str">
        <x:v>Missing email</x:v>
      </x:c>
    </x:row>
    <x:row r="5630">
      <x:c r="A5630" s="16" t="n">
        <x:v>5821</x:v>
      </x:c>
      <x:c r="B5630" s="16" t="str">
        <x:v>Ray SaRa</x:v>
      </x:c>
      <x:c r="C5630" s="16" t="str"/>
      <x:c r="D5630" s="16" t="str">
        <x:v>* myContacts</x:v>
      </x:c>
      <x:c r="E5630" s="16" t="str">
        <x:v>Missing email</x:v>
      </x:c>
    </x:row>
    <x:row r="5631">
      <x:c r="A5631" s="16" t="n">
        <x:v>5822</x:v>
      </x:c>
      <x:c r="B5631" s="16" t="str">
        <x:v>Rayan Daniyal</x:v>
      </x:c>
      <x:c r="C5631" s="16" t="str"/>
      <x:c r="D5631" s="16" t="str">
        <x:v>* myContacts</x:v>
      </x:c>
      <x:c r="E5631" s="16" t="str">
        <x:v>Missing email</x:v>
      </x:c>
    </x:row>
    <x:row r="5632">
      <x:c r="A5632" s="16" t="n">
        <x:v>5823</x:v>
      </x:c>
      <x:c r="B5632" s="16" t="str">
        <x:v>Raymond Donjuan</x:v>
      </x:c>
      <x:c r="C5632" s="16" t="str"/>
      <x:c r="D5632" s="16" t="str">
        <x:v>* myContacts</x:v>
      </x:c>
      <x:c r="E5632" s="16" t="str">
        <x:v>Missing email</x:v>
      </x:c>
    </x:row>
    <x:row r="5633">
      <x:c r="A5633" s="16" t="n">
        <x:v>5824</x:v>
      </x:c>
      <x:c r="B5633" s="16" t="str">
        <x:v>Dr Rayyan Grand Blaster</x:v>
      </x:c>
      <x:c r="C5633" s="16" t="str"/>
      <x:c r="D5633" s="16" t="str">
        <x:v>* myContacts</x:v>
      </x:c>
      <x:c r="E5633" s="16" t="str">
        <x:v>Missing email</x:v>
      </x:c>
    </x:row>
    <x:row r="5634">
      <x:c r="A5634" s="16" t="n">
        <x:v>5825</x:v>
      </x:c>
      <x:c r="B5634" s="16" t="str">
        <x:v>Rayzal Jay Yusoff</x:v>
      </x:c>
      <x:c r="C5634" s="16" t="str"/>
      <x:c r="D5634" s="16" t="str">
        <x:v>* myContacts</x:v>
      </x:c>
      <x:c r="E5634" s="16" t="str">
        <x:v>Missing email</x:v>
      </x:c>
    </x:row>
    <x:row r="5635">
      <x:c r="A5635" s="16" t="n">
        <x:v>5826</x:v>
      </x:c>
      <x:c r="B5635" s="16" t="str">
        <x:v>Raz Aziz</x:v>
      </x:c>
      <x:c r="C5635" s="16" t="str"/>
      <x:c r="D5635" s="16" t="str">
        <x:v>* myContacts</x:v>
      </x:c>
      <x:c r="E5635" s="16" t="str">
        <x:v>Missing email</x:v>
      </x:c>
    </x:row>
    <x:row r="5636">
      <x:c r="A5636" s="16" t="n">
        <x:v>5827</x:v>
      </x:c>
      <x:c r="B5636" s="16" t="str">
        <x:v>Raz Man</x:v>
      </x:c>
      <x:c r="C5636" s="16" t="str"/>
      <x:c r="D5636" s="16" t="str">
        <x:v>* myContacts</x:v>
      </x:c>
      <x:c r="E5636" s="16" t="str">
        <x:v>Missing email</x:v>
      </x:c>
    </x:row>
    <x:row r="5637">
      <x:c r="A5637" s="16" t="n">
        <x:v>5828</x:v>
      </x:c>
      <x:c r="B5637" s="16" t="str">
        <x:v>Razak damisin AGP</x:v>
      </x:c>
      <x:c r="C5637" s="16" t="str"/>
      <x:c r="D5637" s="16" t="str">
        <x:v>* myContacts</x:v>
      </x:c>
      <x:c r="E5637" s="16" t="str">
        <x:v>Missing email</x:v>
      </x:c>
    </x:row>
    <x:row r="5638">
      <x:c r="A5638" s="16" t="n">
        <x:v>5829</x:v>
      </x:c>
      <x:c r="B5638" s="16" t="str">
        <x:v>razak youth tiktok</x:v>
      </x:c>
      <x:c r="C5638" s="16" t="str"/>
      <x:c r="D5638" s="16" t="str">
        <x:v>* myContacts</x:v>
      </x:c>
      <x:c r="E5638" s="16" t="str">
        <x:v>Missing email</x:v>
      </x:c>
    </x:row>
    <x:row r="5639">
      <x:c r="A5639" s="16" t="n">
        <x:v>5830</x:v>
      </x:c>
      <x:c r="B5639" s="16" t="str">
        <x:v>Razali Client CWA</x:v>
      </x:c>
      <x:c r="C5639" s="16" t="str"/>
      <x:c r="D5639" s="16" t="str">
        <x:v>* myContacts</x:v>
      </x:c>
      <x:c r="E5639" s="16" t="str">
        <x:v>Missing email</x:v>
      </x:c>
    </x:row>
    <x:row r="5640">
      <x:c r="A5640" s="16" t="n">
        <x:v>5831</x:v>
      </x:c>
      <x:c r="B5640" s="16" t="str">
        <x:v>Razali Coach</x:v>
      </x:c>
      <x:c r="C5640" s="16" t="str"/>
      <x:c r="D5640" s="16" t="str">
        <x:v>Trainer | * myContacts</x:v>
      </x:c>
      <x:c r="E5640" s="16" t="str">
        <x:v>Missing email</x:v>
      </x:c>
    </x:row>
    <x:row r="5641">
      <x:c r="A5641" s="16" t="n">
        <x:v>5832</x:v>
      </x:c>
      <x:c r="B5641" s="16" t="str">
        <x:v>Razali Hijrah Tanjung Karang</x:v>
      </x:c>
      <x:c r="C5641" s="16" t="str"/>
      <x:c r="D5641" s="16" t="str">
        <x:v>* myContacts</x:v>
      </x:c>
      <x:c r="E5641" s="16" t="str">
        <x:v>Missing email</x:v>
      </x:c>
    </x:row>
    <x:row r="5642">
      <x:c r="A5642" s="16" t="n">
        <x:v>5833</x:v>
      </x:c>
      <x:c r="B5642" s="16" t="str">
        <x:v>Razali Maarof</x:v>
      </x:c>
      <x:c r="C5642" s="16" t="str"/>
      <x:c r="D5642" s="16" t="str">
        <x:v>* myContacts</x:v>
      </x:c>
      <x:c r="E5642" s="16" t="str">
        <x:v>Missing email</x:v>
      </x:c>
    </x:row>
    <x:row r="5643">
      <x:c r="A5643" s="16" t="n">
        <x:v>5834</x:v>
      </x:c>
      <x:c r="B5643" s="16" t="str">
        <x:v>Dr Razali Maarof</x:v>
      </x:c>
      <x:c r="C5643" s="16" t="str"/>
      <x:c r="D5643" s="16" t="str">
        <x:v>* myContacts</x:v>
      </x:c>
      <x:c r="E5643" s="16" t="str">
        <x:v>Missing email</x:v>
      </x:c>
    </x:row>
    <x:row r="5644">
      <x:c r="A5644" s="16" t="n">
        <x:v>5836</x:v>
      </x:c>
      <x:c r="B5644" s="16" t="str">
        <x:v>Razif Rashidi Adiku</x:v>
      </x:c>
      <x:c r="C5644" s="16" t="str"/>
      <x:c r="D5644" s="16" t="str">
        <x:v>* myContacts</x:v>
      </x:c>
      <x:c r="E5644" s="16" t="str">
        <x:v>Missing email</x:v>
      </x:c>
    </x:row>
    <x:row r="5645">
      <x:c r="A5645" s="16" t="n">
        <x:v>5837</x:v>
      </x:c>
      <x:c r="B5645" s="16" t="str">
        <x:v>Razif Yusof</x:v>
      </x:c>
      <x:c r="C5645" s="16" t="str"/>
      <x:c r="D5645" s="16" t="str">
        <x:v>* myContacts</x:v>
      </x:c>
      <x:c r="E5645" s="16" t="str">
        <x:v>Missing email</x:v>
      </x:c>
    </x:row>
    <x:row r="5646">
      <x:c r="A5646" s="16" t="n">
        <x:v>5838</x:v>
      </x:c>
      <x:c r="B5646" s="16" t="str">
        <x:v>Razila Wanis Daud</x:v>
      </x:c>
      <x:c r="C5646" s="16" t="str"/>
      <x:c r="D5646" s="16" t="str">
        <x:v>* myContacts</x:v>
      </x:c>
      <x:c r="E5646" s="16" t="str">
        <x:v>Missing email</x:v>
      </x:c>
    </x:row>
    <x:row r="5647">
      <x:c r="A5647" s="16" t="n">
        <x:v>5839</x:v>
      </x:c>
      <x:c r="B5647" s="16" t="str">
        <x:v>Razin Bin Jamaluddin</x:v>
      </x:c>
      <x:c r="C5647" s="16" t="str"/>
      <x:c r="D5647" s="16" t="str">
        <x:v>* myContacts</x:v>
      </x:c>
      <x:c r="E5647" s="16" t="str">
        <x:v>Missing email</x:v>
      </x:c>
    </x:row>
    <x:row r="5648">
      <x:c r="A5648" s="16" t="n">
        <x:v>5840</x:v>
      </x:c>
      <x:c r="B5648" s="16" t="str">
        <x:v>Razman Bp</x:v>
      </x:c>
      <x:c r="C5648" s="16" t="str"/>
      <x:c r="D5648" s="16" t="str">
        <x:v>* myContacts</x:v>
      </x:c>
      <x:c r="E5648" s="16" t="str">
        <x:v>Missing email</x:v>
      </x:c>
    </x:row>
    <x:row r="5649">
      <x:c r="A5649" s="16" t="n">
        <x:v>5841</x:v>
      </x:c>
      <x:c r="B5649" s="16" t="str">
        <x:v>Razman DPIM</x:v>
      </x:c>
      <x:c r="C5649" s="16" t="str"/>
      <x:c r="D5649" s="16" t="str">
        <x:v>* myContacts</x:v>
      </x:c>
      <x:c r="E5649" s="16" t="str">
        <x:v>Missing email</x:v>
      </x:c>
    </x:row>
    <x:row r="5650">
      <x:c r="A5650" s="16" t="n">
        <x:v>5842</x:v>
      </x:c>
      <x:c r="B5650" s="16" t="str">
        <x:v>Razman Hartanah DPIM</x:v>
      </x:c>
      <x:c r="C5650" s="16" t="str"/>
      <x:c r="D5650" s="16" t="str">
        <x:v>* myContacts</x:v>
      </x:c>
      <x:c r="E5650" s="16" t="str">
        <x:v>Missing email</x:v>
      </x:c>
    </x:row>
    <x:row r="5651">
      <x:c r="A5651" s="16" t="n">
        <x:v>5843</x:v>
      </x:c>
      <x:c r="B5651" s="16" t="str">
        <x:v>Razman Nlp Kl</x:v>
      </x:c>
      <x:c r="C5651" s="16" t="str"/>
      <x:c r="D5651" s="16" t="str">
        <x:v>* myContacts</x:v>
      </x:c>
      <x:c r="E5651" s="16" t="str">
        <x:v>Missing email</x:v>
      </x:c>
    </x:row>
    <x:row r="5652">
      <x:c r="A5652" s="16" t="n">
        <x:v>5844</x:v>
      </x:c>
      <x:c r="B5652" s="16" t="str">
        <x:v>Razman Ridzwan</x:v>
      </x:c>
      <x:c r="C5652" s="16" t="str"/>
      <x:c r="D5652" s="16" t="str">
        <x:v>* myContacts</x:v>
      </x:c>
      <x:c r="E5652" s="16" t="str">
        <x:v>Missing email</x:v>
      </x:c>
    </x:row>
    <x:row r="5653">
      <x:c r="A5653" s="16" t="n">
        <x:v>5845</x:v>
      </x:c>
      <x:c r="B5653" s="16" t="str">
        <x:v>Razman Safie</x:v>
      </x:c>
      <x:c r="C5653" s="16" t="str"/>
      <x:c r="D5653" s="16" t="str">
        <x:v>* myContacts</x:v>
      </x:c>
      <x:c r="E5653" s="16" t="str">
        <x:v>Missing email</x:v>
      </x:c>
    </x:row>
    <x:row r="5654">
      <x:c r="A5654" s="16" t="n">
        <x:v>5846</x:v>
      </x:c>
      <x:c r="B5654" s="16" t="str">
        <x:v>razuwan AGP</x:v>
      </x:c>
      <x:c r="C5654" s="16" t="str"/>
      <x:c r="D5654" s="16" t="str">
        <x:v>* myContacts</x:v>
      </x:c>
      <x:c r="E5654" s="16" t="str">
        <x:v>Missing email</x:v>
      </x:c>
    </x:row>
    <x:row r="5655">
      <x:c r="A5655" s="16" t="n">
        <x:v>5847</x:v>
      </x:c>
      <x:c r="B5655" s="16" t="str">
        <x:v>Razze Ajie</x:v>
      </x:c>
      <x:c r="C5655" s="16" t="str"/>
      <x:c r="D5655" s="16" t="str">
        <x:v>* myContacts</x:v>
      </x:c>
      <x:c r="E5655" s="16" t="str">
        <x:v>Missing email</x:v>
      </x:c>
    </x:row>
    <x:row r="5656">
      <x:c r="A5656" s="16" t="n">
        <x:v>5848</x:v>
      </x:c>
      <x:c r="B5656" s="16" t="str">
        <x:v>Rdl Devid</x:v>
      </x:c>
      <x:c r="C5656" s="16" t="str"/>
      <x:c r="D5656" s="16" t="str">
        <x:v>* myContacts</x:v>
      </x:c>
      <x:c r="E5656" s="16" t="str">
        <x:v>Missing email</x:v>
      </x:c>
    </x:row>
    <x:row r="5657">
      <x:c r="A5657" s="16" t="n">
        <x:v>5849</x:v>
      </x:c>
      <x:c r="B5657" s="16" t="str">
        <x:v>Red Ambulance Dras</x:v>
      </x:c>
      <x:c r="C5657" s="16" t="str"/>
      <x:c r="D5657" s="16" t="str">
        <x:v>* myContacts</x:v>
      </x:c>
      <x:c r="E5657" s="16" t="str">
        <x:v>Missing email</x:v>
      </x:c>
    </x:row>
    <x:row r="5658">
      <x:c r="A5658" s="16" t="n">
        <x:v>5850</x:v>
      </x:c>
      <x:c r="B5658" s="16" t="str">
        <x:v>Red Stone</x:v>
      </x:c>
      <x:c r="C5658" s="16" t="str"/>
      <x:c r="D5658" s="16" t="str">
        <x:v>* myContacts</x:v>
      </x:c>
      <x:c r="E5658" s="16" t="str">
        <x:v>Missing email</x:v>
      </x:c>
    </x:row>
    <x:row r="5659">
      <x:c r="A5659" s="16" t="n">
        <x:v>5851</x:v>
      </x:c>
      <x:c r="B5659" s="16" t="str">
        <x:v>RedOne Pasir Mas</x:v>
      </x:c>
      <x:c r="C5659" s="16" t="str"/>
      <x:c r="D5659" s="16" t="str">
        <x:v>* myContacts</x:v>
      </x:c>
      <x:c r="E5659" s="16" t="str">
        <x:v>Missing email</x:v>
      </x:c>
    </x:row>
    <x:row r="5660">
      <x:c r="A5660" s="16" t="n">
        <x:v>5852</x:v>
      </x:c>
      <x:c r="B5660" s="16" t="str">
        <x:v>Redone Postpaid Jimat</x:v>
      </x:c>
      <x:c r="C5660" s="16" t="str"/>
      <x:c r="D5660" s="16" t="str">
        <x:v>* myContacts</x:v>
      </x:c>
      <x:c r="E5660" s="16" t="str">
        <x:v>Missing email</x:v>
      </x:c>
    </x:row>
    <x:row r="5661">
      <x:c r="A5661" s="16" t="n">
        <x:v>5853</x:v>
      </x:c>
      <x:c r="B5661" s="16" t="str">
        <x:v>Redza Achik</x:v>
      </x:c>
      <x:c r="C5661" s="16" t="str"/>
      <x:c r="D5661" s="16" t="str">
        <x:v>* myContacts</x:v>
      </x:c>
      <x:c r="E5661" s="16" t="str">
        <x:v>Missing email</x:v>
      </x:c>
    </x:row>
    <x:row r="5662">
      <x:c r="A5662" s="16" t="n">
        <x:v>5854</x:v>
      </x:c>
      <x:c r="B5662" s="16" t="str">
        <x:v>Redza Angel Investor Qirad</x:v>
      </x:c>
      <x:c r="C5662" s="16" t="str"/>
      <x:c r="D5662" s="16" t="str">
        <x:v>* myContacts</x:v>
      </x:c>
      <x:c r="E5662" s="16" t="str">
        <x:v>Missing email</x:v>
      </x:c>
    </x:row>
    <x:row r="5663">
      <x:c r="A5663" s="16" t="n">
        <x:v>5855</x:v>
      </x:c>
      <x:c r="B5663" s="16" t="str">
        <x:v>Redzuan PLF Lawyer Penang</x:v>
      </x:c>
      <x:c r="C5663" s="16" t="str"/>
      <x:c r="D5663" s="16" t="str">
        <x:v>* myContacts</x:v>
      </x:c>
      <x:c r="E5663" s="16" t="str">
        <x:v>Missing email</x:v>
      </x:c>
    </x:row>
    <x:row r="5664">
      <x:c r="A5664" s="16" t="n">
        <x:v>5856</x:v>
      </x:c>
      <x:c r="B5664" s="16" t="str">
        <x:v>Reedzuan AR</x:v>
      </x:c>
      <x:c r="C5664" s="16" t="str"/>
      <x:c r="D5664" s="16" t="str">
        <x:v>* myContacts</x:v>
      </x:c>
      <x:c r="E5664" s="16" t="str">
        <x:v>Missing email</x:v>
      </x:c>
    </x:row>
    <x:row r="5665">
      <x:c r="A5665" s="16" t="n">
        <x:v>5857</x:v>
      </x:c>
      <x:c r="B5665" s="16" t="str">
        <x:v>Reen Rusli</x:v>
      </x:c>
      <x:c r="C5665" s="16" t="str"/>
      <x:c r="D5665" s="16" t="str">
        <x:v>* myContacts</x:v>
      </x:c>
      <x:c r="E5665" s="16" t="str">
        <x:v>Missing email</x:v>
      </x:c>
    </x:row>
    <x:row r="5666">
      <x:c r="A5666" s="16" t="n">
        <x:v>5858</x:v>
      </x:c>
      <x:c r="B5666" s="16" t="str">
        <x:v>Reey Bersamaselamanya</x:v>
      </x:c>
      <x:c r="C5666" s="16" t="str"/>
      <x:c r="D5666" s="16" t="str">
        <x:v>* myContacts</x:v>
      </x:c>
      <x:c r="E5666" s="16" t="str">
        <x:v>Missing email</x:v>
      </x:c>
    </x:row>
    <x:row r="5667">
      <x:c r="A5667" s="16" t="n">
        <x:v>5859</x:v>
      </x:c>
      <x:c r="B5667" s="16" t="str">
        <x:v>Reez Blogger</x:v>
      </x:c>
      <x:c r="C5667" s="16" t="str"/>
      <x:c r="D5667" s="16" t="str">
        <x:v>* myContacts</x:v>
      </x:c>
      <x:c r="E5667" s="16" t="str">
        <x:v>Missing email</x:v>
      </x:c>
    </x:row>
    <x:row r="5668">
      <x:c r="A5668" s="16" t="n">
        <x:v>5861</x:v>
      </x:c>
      <x:c r="B5668" s="16" t="str">
        <x:v>Reha Nazeha</x:v>
      </x:c>
      <x:c r="C5668" s="16" t="str"/>
      <x:c r="D5668" s="16" t="str">
        <x:v>* myContacts</x:v>
      </x:c>
      <x:c r="E5668" s="16" t="str">
        <x:v>Missing email</x:v>
      </x:c>
    </x:row>
    <x:row r="5669">
      <x:c r="A5669" s="16" t="n">
        <x:v>5862</x:v>
      </x:c>
      <x:c r="B5669" s="16" t="str">
        <x:v>Rehan Bin Rahmat</x:v>
      </x:c>
      <x:c r="C5669" s="16" t="str"/>
      <x:c r="D5669" s="16" t="str">
        <x:v>* myContacts</x:v>
      </x:c>
      <x:c r="E5669" s="16" t="str">
        <x:v>Missing email</x:v>
      </x:c>
    </x:row>
    <x:row r="5670">
      <x:c r="A5670" s="16" t="n">
        <x:v>5863</x:v>
      </x:c>
      <x:c r="B5670" s="16" t="str">
        <x:v>Rein Rich</x:v>
      </x:c>
      <x:c r="C5670" s="16" t="str"/>
      <x:c r="D5670" s="16" t="str">
        <x:v>* myContacts</x:v>
      </x:c>
      <x:c r="E5670" s="16" t="str">
        <x:v>Missing email</x:v>
      </x:c>
    </x:row>
    <x:row r="5671">
      <x:c r="A5671" s="16" t="n">
        <x:v>5864</x:v>
      </x:c>
      <x:c r="B5671" s="16" t="str">
        <x:v>Reko Hotel</x:v>
      </x:c>
      <x:c r="C5671" s="16" t="str"/>
      <x:c r="D5671" s="16" t="str">
        <x:v>* myContacts</x:v>
      </x:c>
      <x:c r="E5671" s="16" t="str">
        <x:v>Missing email</x:v>
      </x:c>
    </x:row>
    <x:row r="5672">
      <x:c r="A5672" s="16" t="n">
        <x:v>5865</x:v>
      </x:c>
      <x:c r="B5672" s="16" t="str">
        <x:v>Rem Trainer Provider</x:v>
      </x:c>
      <x:c r="C5672" s="16" t="str"/>
      <x:c r="D5672" s="16" t="str">
        <x:v>* myContacts</x:v>
      </x:c>
      <x:c r="E5672" s="16" t="str">
        <x:v>Missing email</x:v>
      </x:c>
    </x:row>
    <x:row r="5673">
      <x:c r="A5673" s="16" t="n">
        <x:v>5866</x:v>
      </x:c>
      <x:c r="B5673" s="16" t="str">
        <x:v>Rem Trainer Provider</x:v>
      </x:c>
      <x:c r="C5673" s="16" t="str"/>
      <x:c r="D5673" s="16" t="str">
        <x:v>* myContacts</x:v>
      </x:c>
      <x:c r="E5673" s="16" t="str">
        <x:v>Missing email</x:v>
      </x:c>
    </x:row>
    <x:row r="5674">
      <x:c r="A5674" s="16" t="n">
        <x:v>5867</x:v>
      </x:c>
      <x:c r="B5674" s="16" t="str">
        <x:v>Remie Machang</x:v>
      </x:c>
      <x:c r="C5674" s="16" t="str"/>
      <x:c r="D5674" s="16" t="str">
        <x:v>* myContacts</x:v>
      </x:c>
      <x:c r="E5674" s="16" t="str">
        <x:v>Missing email</x:v>
      </x:c>
    </x:row>
    <x:row r="5675">
      <x:c r="A5675" s="16" t="n">
        <x:v>5868</x:v>
      </x:c>
      <x:c r="B5675" s="16" t="str">
        <x:v>Remy Liew Mdec Trainer</x:v>
      </x:c>
      <x:c r="C5675" s="16" t="str"/>
      <x:c r="D5675" s="16" t="str">
        <x:v>Trainer | * myContacts</x:v>
      </x:c>
      <x:c r="E5675" s="16" t="str">
        <x:v>Missing email</x:v>
      </x:c>
    </x:row>
    <x:row r="5676">
      <x:c r="A5676" s="16" t="n">
        <x:v>5869</x:v>
      </x:c>
      <x:c r="B5676" s="16" t="str">
        <x:v>Ren Kalodata Regional Manager Malaysia</x:v>
      </x:c>
      <x:c r="C5676" s="16" t="str"/>
      <x:c r="D5676" s="16" t="str">
        <x:v>* myContacts</x:v>
      </x:c>
      <x:c r="E5676" s="16" t="str">
        <x:v>Missing email</x:v>
      </x:c>
    </x:row>
    <x:row r="5677">
      <x:c r="A5677" s="16" t="n">
        <x:v>5870</x:v>
      </x:c>
      <x:c r="B5677" s="16" t="str">
        <x:v>Reni Ananda</x:v>
      </x:c>
      <x:c r="C5677" s="16" t="str"/>
      <x:c r="D5677" s="16" t="str">
        <x:v>* myContacts</x:v>
      </x:c>
      <x:c r="E5677" s="16" t="str">
        <x:v>Missing email</x:v>
      </x:c>
    </x:row>
    <x:row r="5678">
      <x:c r="A5678" s="16" t="n">
        <x:v>5871</x:v>
      </x:c>
      <x:c r="B5678" s="16" t="str">
        <x:v>Renny Rozdiana</x:v>
      </x:c>
      <x:c r="C5678" s="16" t="str"/>
      <x:c r="D5678" s="16" t="str">
        <x:v>* myContacts</x:v>
      </x:c>
      <x:c r="E5678" s="16" t="str">
        <x:v>Missing email</x:v>
      </x:c>
    </x:row>
    <x:row r="5679">
      <x:c r="A5679" s="16" t="n">
        <x:v>5872</x:v>
      </x:c>
      <x:c r="B5679" s="16" t="str">
        <x:v>Renu NGO</x:v>
      </x:c>
      <x:c r="C5679" s="16" t="str"/>
      <x:c r="D5679" s="16" t="str">
        <x:v>* myContacts</x:v>
      </x:c>
      <x:c r="E5679" s="16" t="str">
        <x:v>Missing email</x:v>
      </x:c>
    </x:row>
    <x:row r="5680">
      <x:c r="A5680" s="16" t="n">
        <x:v>5873</x:v>
      </x:c>
      <x:c r="B5680" s="16" t="str">
        <x:v>Repair absorber</x:v>
      </x:c>
      <x:c r="C5680" s="16" t="str"/>
      <x:c r="D5680" s="16" t="str">
        <x:v>* myContacts</x:v>
      </x:c>
      <x:c r="E5680" s="16" t="str">
        <x:v>Missing email</x:v>
      </x:c>
    </x:row>
    <x:row r="5681">
      <x:c r="A5681" s="16" t="n">
        <x:v>5874</x:v>
      </x:c>
      <x:c r="B5681" s="16" t="str">
        <x:v>Republik Lan</x:v>
      </x:c>
      <x:c r="C5681" s="16" t="str"/>
      <x:c r="D5681" s="16" t="str">
        <x:v>* myContacts</x:v>
      </x:c>
      <x:c r="E5681" s="16" t="str">
        <x:v>Missing email</x:v>
      </x:c>
    </x:row>
    <x:row r="5682">
      <x:c r="A5682" s="16" t="n">
        <x:v>5875</x:v>
      </x:c>
      <x:c r="B5682" s="16" t="str">
        <x:v>restoran aidania</x:v>
      </x:c>
      <x:c r="C5682" s="16" t="str"/>
      <x:c r="D5682" s="16" t="str">
        <x:v>* myContacts</x:v>
      </x:c>
      <x:c r="E5682" s="16" t="str">
        <x:v>Missing email</x:v>
      </x:c>
    </x:row>
    <x:row r="5683">
      <x:c r="A5683" s="16" t="n">
        <x:v>5876</x:v>
      </x:c>
      <x:c r="B5683" s="16" t="str">
        <x:v>Rexton Spare Part KL</x:v>
      </x:c>
      <x:c r="C5683" s="16" t="str"/>
      <x:c r="D5683" s="16" t="str">
        <x:v>* myContacts</x:v>
      </x:c>
      <x:c r="E5683" s="16" t="str">
        <x:v>Missing email</x:v>
      </x:c>
    </x:row>
    <x:row r="5684">
      <x:c r="A5684" s="16" t="n">
        <x:v>5877</x:v>
      </x:c>
      <x:c r="B5684" s="16" t="str">
        <x:v>Reyaz AGP</x:v>
      </x:c>
      <x:c r="C5684" s="16" t="str"/>
      <x:c r="D5684" s="16" t="str">
        <x:v>* myContacts</x:v>
      </x:c>
      <x:c r="E5684" s="16" t="str">
        <x:v>Missing email</x:v>
      </x:c>
    </x:row>
    <x:row r="5685">
      <x:c r="A5685" s="16" t="n">
        <x:v>5878</x:v>
      </x:c>
      <x:c r="B5685" s="16" t="str">
        <x:v>Reynu'z Bridal</x:v>
      </x:c>
      <x:c r="C5685" s="16" t="str"/>
      <x:c r="D5685" s="16" t="str">
        <x:v>* myContacts</x:v>
      </x:c>
      <x:c r="E5685" s="16" t="str">
        <x:v>Missing email</x:v>
      </x:c>
    </x:row>
    <x:row r="5686">
      <x:c r="A5686" s="16" t="n">
        <x:v>5880</x:v>
      </x:c>
      <x:c r="B5686" s="16" t="str">
        <x:v>Rezani Ibrahim Rezani Ibrahim</x:v>
      </x:c>
      <x:c r="C5686" s="16" t="str"/>
      <x:c r="D5686" s="16" t="str">
        <x:v>* myContacts</x:v>
      </x:c>
      <x:c r="E5686" s="16" t="str">
        <x:v>Missing email</x:v>
      </x:c>
    </x:row>
    <x:row r="5687">
      <x:c r="A5687" s="16" t="n">
        <x:v>5882</x:v>
      </x:c>
      <x:c r="B5687" s="16" t="str">
        <x:v>Rhaz Jahanam Fc</x:v>
      </x:c>
      <x:c r="C5687" s="16" t="str"/>
      <x:c r="D5687" s="16" t="str">
        <x:v>* myContacts</x:v>
      </x:c>
      <x:c r="E5687" s="16" t="str">
        <x:v>Missing email</x:v>
      </x:c>
    </x:row>
    <x:row r="5688">
      <x:c r="A5688" s="16" t="n">
        <x:v>5883</x:v>
      </x:c>
      <x:c r="B5688" s="16" t="str">
        <x:v>Ria Atika</x:v>
      </x:c>
      <x:c r="C5688" s="16" t="str"/>
      <x:c r="D5688" s="16" t="str">
        <x:v>* myContacts</x:v>
      </x:c>
      <x:c r="E5688" s="16" t="str">
        <x:v>Missing email</x:v>
      </x:c>
    </x:row>
    <x:row r="5689">
      <x:c r="A5689" s="16" t="n">
        <x:v>5884</x:v>
      </x:c>
      <x:c r="B5689" s="16" t="str">
        <x:v>Richestdesign RD</x:v>
      </x:c>
      <x:c r="C5689" s="16" t="str"/>
      <x:c r="D5689" s="16" t="str">
        <x:v>* myContacts</x:v>
      </x:c>
      <x:c r="E5689" s="16" t="str">
        <x:v>Missing email</x:v>
      </x:c>
    </x:row>
    <x:row r="5690">
      <x:c r="A5690" s="16" t="n">
        <x:v>5885</x:v>
      </x:c>
      <x:c r="B5690" s="16" t="str">
        <x:v>Richworks Tips</x:v>
      </x:c>
      <x:c r="C5690" s="16" t="str"/>
      <x:c r="D5690" s="16" t="str">
        <x:v>* myContacts</x:v>
      </x:c>
      <x:c r="E5690" s="16" t="str">
        <x:v>Missing email</x:v>
      </x:c>
    </x:row>
    <x:row r="5691">
      <x:c r="A5691" s="16" t="n">
        <x:v>5886</x:v>
      </x:c>
      <x:c r="B5691" s="16" t="str">
        <x:v>Riduan Coach</x:v>
      </x:c>
      <x:c r="C5691" s="16" t="str"/>
      <x:c r="D5691" s="16" t="str">
        <x:v>Trainer | * myContacts</x:v>
      </x:c>
      <x:c r="E5691" s="16" t="str">
        <x:v>Missing email</x:v>
      </x:c>
    </x:row>
    <x:row r="5692">
      <x:c r="A5692" s="16" t="n">
        <x:v>5887</x:v>
      </x:c>
      <x:c r="B5692" s="16" t="str">
        <x:v>Riduan Fx</x:v>
      </x:c>
      <x:c r="C5692" s="16" t="str"/>
      <x:c r="D5692" s="16" t="str">
        <x:v>* myContacts</x:v>
      </x:c>
      <x:c r="E5692" s="16" t="str">
        <x:v>Missing email</x:v>
      </x:c>
    </x:row>
    <x:row r="5693">
      <x:c r="A5693" s="16" t="n">
        <x:v>5888</x:v>
      </x:c>
      <x:c r="B5693" s="16" t="str">
        <x:v>Riduan IM</x:v>
      </x:c>
      <x:c r="C5693" s="16" t="str"/>
      <x:c r="D5693" s="16" t="str">
        <x:v>* myContacts</x:v>
      </x:c>
      <x:c r="E5693" s="16" t="str">
        <x:v>Missing email</x:v>
      </x:c>
    </x:row>
    <x:row r="5694">
      <x:c r="A5694" s="16" t="n">
        <x:v>5889</x:v>
      </x:c>
      <x:c r="B5694" s="16" t="str">
        <x:v>Ridzhwann Eone ZzerohOne</x:v>
      </x:c>
      <x:c r="C5694" s="16" t="str"/>
      <x:c r="D5694" s="16" t="str">
        <x:v>* myContacts</x:v>
      </x:c>
      <x:c r="E5694" s="16" t="str">
        <x:v>Missing email</x:v>
      </x:c>
    </x:row>
    <x:row r="5695">
      <x:c r="A5695" s="16" t="n">
        <x:v>5890</x:v>
      </x:c>
      <x:c r="B5695" s="16" t="str">
        <x:v>RidzOne September</x:v>
      </x:c>
      <x:c r="C5695" s="16" t="str"/>
      <x:c r="D5695" s="16" t="str">
        <x:v>* myContacts</x:v>
      </x:c>
      <x:c r="E5695" s="16" t="str">
        <x:v>Missing email</x:v>
      </x:c>
    </x:row>
    <x:row r="5696">
      <x:c r="A5696" s="16" t="n">
        <x:v>5891</x:v>
      </x:c>
      <x:c r="B5696" s="16" t="str">
        <x:v>Ridzuan boss eusahawan Mdec</x:v>
      </x:c>
      <x:c r="C5696" s="16" t="str"/>
      <x:c r="D5696" s="16" t="str">
        <x:v>Alumni eUsahawan | * myContacts</x:v>
      </x:c>
      <x:c r="E5696" s="16" t="str">
        <x:v>Missing email</x:v>
      </x:c>
    </x:row>
    <x:row r="5697">
      <x:c r="A5697" s="16" t="n">
        <x:v>5892</x:v>
      </x:c>
      <x:c r="B5697" s="16" t="str">
        <x:v>Ridzuan Rahimin</x:v>
      </x:c>
      <x:c r="C5697" s="16" t="str"/>
      <x:c r="D5697" s="16" t="str">
        <x:v>* myContacts</x:v>
      </x:c>
      <x:c r="E5697" s="16" t="str">
        <x:v>Missing email</x:v>
      </x:c>
    </x:row>
    <x:row r="5698">
      <x:c r="A5698" s="16" t="n">
        <x:v>5893</x:v>
      </x:c>
      <x:c r="B5698" s="16" t="str">
        <x:v>Ridzuan Ramli</x:v>
      </x:c>
      <x:c r="C5698" s="16" t="str"/>
      <x:c r="D5698" s="16" t="str">
        <x:v>* myContacts</x:v>
      </x:c>
      <x:c r="E5698" s="16" t="str">
        <x:v>Missing email</x:v>
      </x:c>
    </x:row>
    <x:row r="5699">
      <x:c r="A5699" s="16" t="n">
        <x:v>5894</x:v>
      </x:c>
      <x:c r="B5699" s="16" t="str">
        <x:v>Ridzuanyahya Ridzuan</x:v>
      </x:c>
      <x:c r="C5699" s="16" t="str"/>
      <x:c r="D5699" s="16" t="str">
        <x:v>* myContacts</x:v>
      </x:c>
      <x:c r="E5699" s="16" t="str">
        <x:v>Missing email</x:v>
      </x:c>
    </x:row>
    <x:row r="5700">
      <x:c r="A5700" s="16" t="n">
        <x:v>5895</x:v>
      </x:c>
      <x:c r="B5700" s="16" t="str">
        <x:v>Rienz Arsi</x:v>
      </x:c>
      <x:c r="C5700" s="16" t="str"/>
      <x:c r="D5700" s="16" t="str">
        <x:v>* myContacts</x:v>
      </x:c>
      <x:c r="E5700" s="16" t="str">
        <x:v>Missing email</x:v>
      </x:c>
    </x:row>
    <x:row r="5701">
      <x:c r="A5701" s="16" t="n">
        <x:v>5896</x:v>
      </x:c>
      <x:c r="B5701" s="16" t="str">
        <x:v>Riesha Riduan</x:v>
      </x:c>
      <x:c r="C5701" s="16" t="str"/>
      <x:c r="D5701" s="16" t="str">
        <x:v>* myContacts</x:v>
      </x:c>
      <x:c r="E5701" s="16" t="str">
        <x:v>Missing email</x:v>
      </x:c>
    </x:row>
    <x:row r="5702">
      <x:c r="A5702" s="16" t="n">
        <x:v>5897</x:v>
      </x:c>
      <x:c r="B5702" s="16" t="str">
        <x:v>Rifthan Hamraa</x:v>
      </x:c>
      <x:c r="C5702" s="16" t="str"/>
      <x:c r="D5702" s="16" t="str">
        <x:v>* myContacts</x:v>
      </x:c>
      <x:c r="E5702" s="16" t="str">
        <x:v>Missing email</x:v>
      </x:c>
    </x:row>
    <x:row r="5703">
      <x:c r="A5703" s="16" t="n">
        <x:v>5898</x:v>
      </x:c>
      <x:c r="B5703" s="16" t="str">
        <x:v>Rina Khalidna</x:v>
      </x:c>
      <x:c r="C5703" s="16" t="str"/>
      <x:c r="D5703" s="16" t="str">
        <x:v>* myContacts</x:v>
      </x:c>
      <x:c r="E5703" s="16" t="str">
        <x:v>Missing email</x:v>
      </x:c>
    </x:row>
    <x:row r="5704">
      <x:c r="A5704" s="16" t="n">
        <x:v>5899</x:v>
      </x:c>
      <x:c r="B5704" s="16" t="str">
        <x:v>Rinah Rollend</x:v>
      </x:c>
      <x:c r="C5704" s="16" t="str"/>
      <x:c r="D5704" s="16" t="str">
        <x:v>* myContacts</x:v>
      </x:c>
      <x:c r="E5704" s="16" t="str">
        <x:v>Missing email</x:v>
      </x:c>
    </x:row>
    <x:row r="5705">
      <x:c r="A5705" s="16" t="n">
        <x:v>5900</x:v>
      </x:c>
      <x:c r="B5705" s="16" t="str">
        <x:v>Rini Marty</x:v>
      </x:c>
      <x:c r="C5705" s="16" t="str"/>
      <x:c r="D5705" s="16" t="str">
        <x:v>* myContacts</x:v>
      </x:c>
      <x:c r="E5705" s="16" t="str">
        <x:v>Missing email</x:v>
      </x:c>
    </x:row>
    <x:row r="5706">
      <x:c r="A5706" s="16" t="n">
        <x:v>5901</x:v>
      </x:c>
      <x:c r="B5706" s="16" t="str">
        <x:v>Rinie Kuching</x:v>
      </x:c>
      <x:c r="C5706" s="16" t="str"/>
      <x:c r="D5706" s="16" t="str">
        <x:v>* myContacts</x:v>
      </x:c>
      <x:c r="E5706" s="16" t="str">
        <x:v>Missing email</x:v>
      </x:c>
    </x:row>
    <x:row r="5707">
      <x:c r="A5707" s="16" t="n">
        <x:v>5902</x:v>
      </x:c>
      <x:c r="B5707" s="16" t="str">
        <x:v>Rinie Suriani Zakaria</x:v>
      </x:c>
      <x:c r="C5707" s="16" t="str"/>
      <x:c r="D5707" s="16" t="str">
        <x:v>* myContacts</x:v>
      </x:c>
      <x:c r="E5707" s="16" t="str">
        <x:v>Missing email</x:v>
      </x:c>
    </x:row>
    <x:row r="5708">
      <x:c r="A5708" s="16" t="n">
        <x:v>5903</x:v>
      </x:c>
      <x:c r="B5708" s="16" t="str">
        <x:v>Risman Ncii Slankrzarantas</x:v>
      </x:c>
      <x:c r="C5708" s="16" t="str"/>
      <x:c r="D5708" s="16" t="str">
        <x:v>* myContacts</x:v>
      </x:c>
      <x:c r="E5708" s="16" t="str">
        <x:v>Missing email</x:v>
      </x:c>
    </x:row>
    <x:row r="5709">
      <x:c r="A5709" s="16" t="n">
        <x:v>5904</x:v>
      </x:c>
      <x:c r="B5709" s="16" t="str">
        <x:v>Rita Velita Putri</x:v>
      </x:c>
      <x:c r="C5709" s="16" t="str"/>
      <x:c r="D5709" s="16" t="str">
        <x:v>* myContacts</x:v>
      </x:c>
      <x:c r="E5709" s="16" t="str">
        <x:v>Missing email</x:v>
      </x:c>
    </x:row>
    <x:row r="5710">
      <x:c r="A5710" s="16" t="n">
        <x:v>5905</x:v>
      </x:c>
      <x:c r="B5710" s="16" t="str">
        <x:v>Ritzwan Coach</x:v>
      </x:c>
      <x:c r="C5710" s="16" t="str"/>
      <x:c r="D5710" s="16" t="str">
        <x:v>Trainer | * myContacts</x:v>
      </x:c>
      <x:c r="E5710" s="16" t="str">
        <x:v>Missing email</x:v>
      </x:c>
    </x:row>
    <x:row r="5711">
      <x:c r="A5711" s="16" t="n">
        <x:v>5906</x:v>
      </x:c>
      <x:c r="B5711" s="16" t="str">
        <x:v>Ritzwan Rosli</x:v>
      </x:c>
      <x:c r="C5711" s="16" t="str"/>
      <x:c r="D5711" s="16" t="str">
        <x:v>* myContacts</x:v>
      </x:c>
      <x:c r="E5711" s="16" t="str">
        <x:v>Missing email</x:v>
      </x:c>
    </x:row>
    <x:row r="5712">
      <x:c r="A5712" s="16" t="n">
        <x:v>5907</x:v>
      </x:c>
      <x:c r="B5712" s="16" t="str">
        <x:v>Riwayadi Laming</x:v>
      </x:c>
      <x:c r="C5712" s="16" t="str"/>
      <x:c r="D5712" s="16" t="str">
        <x:v>* myContacts</x:v>
      </x:c>
      <x:c r="E5712" s="16" t="str">
        <x:v>Missing email</x:v>
      </x:c>
    </x:row>
    <x:row r="5713">
      <x:c r="A5713" s="16" t="n">
        <x:v>5908</x:v>
      </x:c>
      <x:c r="B5713" s="16" t="str">
        <x:v>Riyan W</x:v>
      </x:c>
      <x:c r="C5713" s="16" t="str"/>
      <x:c r="D5713" s="16" t="str">
        <x:v>* myContacts</x:v>
      </x:c>
      <x:c r="E5713" s="16" t="str">
        <x:v>Missing email</x:v>
      </x:c>
    </x:row>
    <x:row r="5714">
      <x:c r="A5714" s="16" t="n">
        <x:v>5909</x:v>
      </x:c>
      <x:c r="B5714" s="16" t="str">
        <x:v>Riz Farhan</x:v>
      </x:c>
      <x:c r="C5714" s="16" t="str"/>
      <x:c r="D5714" s="16" t="str">
        <x:v>* myContacts</x:v>
      </x:c>
      <x:c r="E5714" s="16" t="str">
        <x:v>Missing email</x:v>
      </x:c>
    </x:row>
    <x:row r="5715">
      <x:c r="A5715" s="16" t="n">
        <x:v>5910</x:v>
      </x:c>
      <x:c r="B5715" s="16" t="str">
        <x:v>Riza Khalid</x:v>
      </x:c>
      <x:c r="C5715" s="16" t="str"/>
      <x:c r="D5715" s="16" t="str">
        <x:v>* myContacts</x:v>
      </x:c>
      <x:c r="E5715" s="16" t="str">
        <x:v>Missing email</x:v>
      </x:c>
    </x:row>
    <x:row r="5716">
      <x:c r="A5716" s="16" t="n">
        <x:v>5911</x:v>
      </x:c>
      <x:c r="B5716" s="16" t="str">
        <x:v>Rizal Ismail</x:v>
      </x:c>
      <x:c r="C5716" s="16" t="str"/>
      <x:c r="D5716" s="16" t="str">
        <x:v>* myContacts</x:v>
      </x:c>
      <x:c r="E5716" s="16" t="str">
        <x:v>Missing email</x:v>
      </x:c>
    </x:row>
    <x:row r="5717">
      <x:c r="A5717" s="16" t="n">
        <x:v>5912</x:v>
      </x:c>
      <x:c r="B5717" s="16" t="str">
        <x:v>Rizal PPMM</x:v>
      </x:c>
      <x:c r="C5717" s="16" t="str"/>
      <x:c r="D5717" s="16" t="str">
        <x:v>* myContacts</x:v>
      </x:c>
      <x:c r="E5717" s="16" t="str">
        <x:v>Missing email</x:v>
      </x:c>
    </x:row>
    <x:row r="5718">
      <x:c r="A5718" s="16" t="n">
        <x:v>5913</x:v>
      </x:c>
      <x:c r="B5718" s="16" t="str">
        <x:v>Rizal Rashid</x:v>
      </x:c>
      <x:c r="C5718" s="16" t="str"/>
      <x:c r="D5718" s="16" t="str">
        <x:v>* myContacts</x:v>
      </x:c>
      <x:c r="E5718" s="16" t="str">
        <x:v>Missing email</x:v>
      </x:c>
    </x:row>
    <x:row r="5719">
      <x:c r="A5719" s="16" t="n">
        <x:v>5914</x:v>
      </x:c>
      <x:c r="B5719" s="16" t="str">
        <x:v>Rizal Razak</x:v>
      </x:c>
      <x:c r="C5719" s="16" t="str"/>
      <x:c r="D5719" s="16" t="str">
        <x:v>* myContacts</x:v>
      </x:c>
      <x:c r="E5719" s="16" t="str">
        <x:v>Missing email</x:v>
      </x:c>
    </x:row>
    <x:row r="5720">
      <x:c r="A5720" s="16" t="n">
        <x:v>5915</x:v>
      </x:c>
      <x:c r="B5720" s="16" t="str">
        <x:v>Rizal Shah tukang paip</x:v>
      </x:c>
      <x:c r="C5720" s="16" t="str"/>
      <x:c r="D5720" s="16" t="str">
        <x:v>* myContacts</x:v>
      </x:c>
      <x:c r="E5720" s="16" t="str">
        <x:v>Missing email</x:v>
      </x:c>
    </x:row>
    <x:row r="5721">
      <x:c r="A5721" s="16" t="n">
        <x:v>5916</x:v>
      </x:c>
      <x:c r="B5721" s="16" t="str">
        <x:v>Rizal Teknik Penang</x:v>
      </x:c>
      <x:c r="C5721" s="16" t="str"/>
      <x:c r="D5721" s="16" t="str">
        <x:v>* myContacts</x:v>
      </x:c>
      <x:c r="E5721" s="16" t="str">
        <x:v>Missing email</x:v>
      </x:c>
    </x:row>
    <x:row r="5722">
      <x:c r="A5722" s="16" t="n">
        <x:v>5917</x:v>
      </x:c>
      <x:c r="B5722" s="16" t="str">
        <x:v>Rizqin Azzahrah Arisha</x:v>
      </x:c>
      <x:c r="C5722" s="16" t="str"/>
      <x:c r="D5722" s="16" t="str">
        <x:v>* myContacts</x:v>
      </x:c>
      <x:c r="E5722" s="16" t="str">
        <x:v>Missing email</x:v>
      </x:c>
    </x:row>
    <x:row r="5723">
      <x:c r="A5723" s="16" t="n">
        <x:v>5918</x:v>
      </x:c>
      <x:c r="B5723" s="16" t="str">
        <x:v>Rizuan Sewa Kereta Langkawi</x:v>
      </x:c>
      <x:c r="C5723" s="16" t="str"/>
      <x:c r="D5723" s="16" t="str">
        <x:v>* myContacts</x:v>
      </x:c>
      <x:c r="E5723" s="16" t="str">
        <x:v>Missing email</x:v>
      </x:c>
    </x:row>
    <x:row r="5724">
      <x:c r="A5724" s="16" t="n">
        <x:v>5919</x:v>
      </x:c>
      <x:c r="B5724" s="16" t="str">
        <x:v>Rizz Tebuk Lubang Deco</x:v>
      </x:c>
      <x:c r="C5724" s="16" t="str"/>
      <x:c r="D5724" s="16" t="str">
        <x:v>* myContacts</x:v>
      </x:c>
      <x:c r="E5724" s="16" t="str">
        <x:v>Missing email</x:v>
      </x:c>
    </x:row>
    <x:row r="5725">
      <x:c r="A5725" s="16" t="n">
        <x:v>5920</x:v>
      </x:c>
      <x:c r="B5725" s="16" t="str">
        <x:v>RN Squad</x:v>
      </x:c>
      <x:c r="C5725" s="16" t="str"/>
      <x:c r="D5725" s="16" t="str">
        <x:v>* myContacts</x:v>
      </x:c>
      <x:c r="E5725" s="16" t="str">
        <x:v>Missing email</x:v>
      </x:c>
    </x:row>
    <x:row r="5726">
      <x:c r="A5726" s="16" t="n">
        <x:v>5921</x:v>
      </x:c>
      <x:c r="B5726" s="16" t="str">
        <x:v>Roadtax BMS</x:v>
      </x:c>
      <x:c r="C5726" s="16" t="str"/>
      <x:c r="D5726" s="16" t="str">
        <x:v>* myContacts</x:v>
      </x:c>
      <x:c r="E5726" s="16" t="str">
        <x:v>Missing email</x:v>
      </x:c>
    </x:row>
    <x:row r="5727">
      <x:c r="A5727" s="16" t="n">
        <x:v>5922</x:v>
      </x:c>
      <x:c r="B5727" s="16" t="str">
        <x:v>Roahayah student eusahawan</x:v>
      </x:c>
      <x:c r="C5727" s="16" t="str"/>
      <x:c r="D5727" s="16" t="str">
        <x:v>Alumni eUsahawan | * myContacts</x:v>
      </x:c>
      <x:c r="E5727" s="16" t="str">
        <x:v>Missing email</x:v>
      </x:c>
    </x:row>
    <x:row r="5728">
      <x:c r="A5728" s="16" t="n">
        <x:v>5924</x:v>
      </x:c>
      <x:c r="B5728" s="16" t="str">
        <x:v>Rock Lee Babe'ne Sheryl</x:v>
      </x:c>
      <x:c r="C5728" s="16" t="str"/>
      <x:c r="D5728" s="16" t="str">
        <x:v>* myContacts</x:v>
      </x:c>
      <x:c r="E5728" s="16" t="str">
        <x:v>Missing email</x:v>
      </x:c>
    </x:row>
    <x:row r="5729">
      <x:c r="A5729" s="16" t="n">
        <x:v>5925</x:v>
      </x:c>
      <x:c r="B5729" s="16" t="str">
        <x:v>Dr Rodziah BDA</x:v>
      </x:c>
      <x:c r="C5729" s="16" t="str"/>
      <x:c r="D5729" s="16" t="str">
        <x:v>* myContacts</x:v>
      </x:c>
      <x:c r="E5729" s="16" t="str">
        <x:v>Missing email</x:v>
      </x:c>
    </x:row>
    <x:row r="5730">
      <x:c r="A5730" s="16" t="n">
        <x:v>5926</x:v>
      </x:c>
      <x:c r="B5730" s="16" t="str">
        <x:v>Rofaizol Lazim</x:v>
      </x:c>
      <x:c r="C5730" s="16" t="str"/>
      <x:c r="D5730" s="16" t="str">
        <x:v>* myContacts</x:v>
      </x:c>
      <x:c r="E5730" s="16" t="str">
        <x:v>Missing email</x:v>
      </x:c>
    </x:row>
    <x:row r="5731">
      <x:c r="A5731" s="16" t="n">
        <x:v>5927</x:v>
      </x:c>
      <x:c r="B5731" s="16" t="str">
        <x:v>Rofizah Ahmad</x:v>
      </x:c>
      <x:c r="C5731" s="16" t="str"/>
      <x:c r="D5731" s="16" t="str">
        <x:v>* myContacts</x:v>
      </x:c>
      <x:c r="E5731" s="16" t="str">
        <x:v>Missing email</x:v>
      </x:c>
    </x:row>
    <x:row r="5732">
      <x:c r="A5732" s="16" t="n">
        <x:v>5928</x:v>
      </x:c>
      <x:c r="B5732" s="16" t="str">
        <x:v>Rohanany Abu Seman</x:v>
      </x:c>
      <x:c r="C5732" s="16" t="str"/>
      <x:c r="D5732" s="16" t="str">
        <x:v>* myContacts</x:v>
      </x:c>
      <x:c r="E5732" s="16" t="str">
        <x:v>Missing email</x:v>
      </x:c>
    </x:row>
    <x:row r="5733">
      <x:c r="A5733" s="16" t="n">
        <x:v>5929</x:v>
      </x:c>
      <x:c r="B5733" s="16" t="str">
        <x:v>Rohaya Basir</x:v>
      </x:c>
      <x:c r="C5733" s="16" t="str"/>
      <x:c r="D5733" s="16" t="str">
        <x:v>* myContacts</x:v>
      </x:c>
      <x:c r="E5733" s="16" t="str">
        <x:v>Missing email</x:v>
      </x:c>
    </x:row>
    <x:row r="5734">
      <x:c r="A5734" s="16" t="n">
        <x:v>5930</x:v>
      </x:c>
      <x:c r="B5734" s="16" t="str">
        <x:v>Rohit Khan</x:v>
      </x:c>
      <x:c r="C5734" s="16" t="str"/>
      <x:c r="D5734" s="16" t="str">
        <x:v>* myContacts</x:v>
      </x:c>
      <x:c r="E5734" s="16" t="str">
        <x:v>Missing email</x:v>
      </x:c>
    </x:row>
    <x:row r="5735">
      <x:c r="A5735" s="16" t="n">
        <x:v>5931</x:v>
      </x:c>
      <x:c r="B5735" s="16" t="str">
        <x:v>Rojak Makrose</x:v>
      </x:c>
      <x:c r="C5735" s="16" t="str"/>
      <x:c r="D5735" s="16" t="str">
        <x:v>* myContacts</x:v>
      </x:c>
      <x:c r="E5735" s="16" t="str">
        <x:v>Missing email</x:v>
      </x:c>
    </x:row>
    <x:row r="5736">
      <x:c r="A5736" s="16" t="n">
        <x:v>5932</x:v>
      </x:c>
      <x:c r="B5736" s="16" t="str">
        <x:v>Romeos Studio Barbershop</x:v>
      </x:c>
      <x:c r="C5736" s="16" t="str"/>
      <x:c r="D5736" s="16" t="str">
        <x:v>* myContacts</x:v>
      </x:c>
      <x:c r="E5736" s="16" t="str">
        <x:v>Missing email</x:v>
      </x:c>
    </x:row>
    <x:row r="5737">
      <x:c r="A5737" s="16" t="n">
        <x:v>5933</x:v>
      </x:c>
      <x:c r="B5737" s="16" t="str">
        <x:v>Ronald Esq</x:v>
      </x:c>
      <x:c r="C5737" s="16" t="str"/>
      <x:c r="D5737" s="16" t="str">
        <x:v>* myContacts</x:v>
      </x:c>
      <x:c r="E5737" s="16" t="str">
        <x:v>Missing email</x:v>
      </x:c>
    </x:row>
    <x:row r="5738">
      <x:c r="A5738" s="16" t="n">
        <x:v>5934</x:v>
      </x:c>
      <x:c r="B5738" s="16" t="str">
        <x:v>Ros Hanafi</x:v>
      </x:c>
      <x:c r="C5738" s="16" t="str"/>
      <x:c r="D5738" s="16" t="str">
        <x:v>* myContacts</x:v>
      </x:c>
      <x:c r="E5738" s="16" t="str">
        <x:v>Missing email</x:v>
      </x:c>
    </x:row>
    <x:row r="5739">
      <x:c r="A5739" s="16" t="n">
        <x:v>5935</x:v>
      </x:c>
      <x:c r="B5739" s="16" t="str">
        <x:v>Ros Ma Di</x:v>
      </x:c>
      <x:c r="C5739" s="16" t="str"/>
      <x:c r="D5739" s="16" t="str">
        <x:v>* myContacts</x:v>
      </x:c>
      <x:c r="E5739" s="16" t="str">
        <x:v>Missing email</x:v>
      </x:c>
    </x:row>
    <x:row r="5740">
      <x:c r="A5740" s="16" t="n">
        <x:v>5936</x:v>
      </x:c>
      <x:c r="B5740" s="16" t="str">
        <x:v>ros terubuk kek lapis sarawak</x:v>
      </x:c>
      <x:c r="C5740" s="16" t="str"/>
      <x:c r="D5740" s="16" t="str">
        <x:v>* myContacts</x:v>
      </x:c>
      <x:c r="E5740" s="16" t="str">
        <x:v>Missing email</x:v>
      </x:c>
    </x:row>
    <x:row r="5741">
      <x:c r="A5741" s="16" t="n">
        <x:v>5937</x:v>
      </x:c>
      <x:c r="B5741" s="16" t="str">
        <x:v>Ros'cyiema Jfr</x:v>
      </x:c>
      <x:c r="C5741" s="16" t="str"/>
      <x:c r="D5741" s="16" t="str">
        <x:v>* myContacts</x:v>
      </x:c>
      <x:c r="E5741" s="16" t="str">
        <x:v>Missing email</x:v>
      </x:c>
    </x:row>
    <x:row r="5742">
      <x:c r="A5742" s="16" t="n">
        <x:v>5938</x:v>
      </x:c>
      <x:c r="B5742" s="16" t="str">
        <x:v>Rosbazilah Azie Mohd Basri</x:v>
      </x:c>
      <x:c r="C5742" s="16" t="str"/>
      <x:c r="D5742" s="16" t="str">
        <x:v>* myContacts</x:v>
      </x:c>
      <x:c r="E5742" s="16" t="str">
        <x:v>Missing email</x:v>
      </x:c>
    </x:row>
    <x:row r="5743">
      <x:c r="A5743" s="16" t="n">
        <x:v>5939</x:v>
      </x:c>
      <x:c r="B5743" s="16" t="str">
        <x:v>Rose A Manaf</x:v>
      </x:c>
      <x:c r="C5743" s="16" t="str"/>
      <x:c r="D5743" s="16" t="str">
        <x:v>* myContacts</x:v>
      </x:c>
      <x:c r="E5743" s="16" t="str">
        <x:v>Missing email</x:v>
      </x:c>
    </x:row>
    <x:row r="5744">
      <x:c r="A5744" s="16" t="n">
        <x:v>5940</x:v>
      </x:c>
      <x:c r="B5744" s="16" t="str">
        <x:v>Rose Mawar</x:v>
      </x:c>
      <x:c r="C5744" s="16" t="str"/>
      <x:c r="D5744" s="16" t="str">
        <x:v>* myContacts</x:v>
      </x:c>
      <x:c r="E5744" s="16" t="str">
        <x:v>Missing email</x:v>
      </x:c>
    </x:row>
    <x:row r="5745">
      <x:c r="A5745" s="16" t="n">
        <x:v>5941</x:v>
      </x:c>
      <x:c r="B5745" s="16" t="str">
        <x:v>Rose Raslan</x:v>
      </x:c>
      <x:c r="C5745" s="16" t="str"/>
      <x:c r="D5745" s="16" t="str">
        <x:v>* myContacts</x:v>
      </x:c>
      <x:c r="E5745" s="16" t="str">
        <x:v>Missing email</x:v>
      </x:c>
    </x:row>
    <x:row r="5746">
      <x:c r="A5746" s="16" t="n">
        <x:v>5942</x:v>
      </x:c>
      <x:c r="B5746" s="16" t="str">
        <x:v>Rose Tiara Mra</x:v>
      </x:c>
      <x:c r="C5746" s="16" t="str"/>
      <x:c r="D5746" s="16" t="str">
        <x:v>* myContacts</x:v>
      </x:c>
      <x:c r="E5746" s="16" t="str">
        <x:v>Missing email</x:v>
      </x:c>
    </x:row>
    <x:row r="5747">
      <x:c r="A5747" s="16" t="n">
        <x:v>5943</x:v>
      </x:c>
      <x:c r="B5747" s="16" t="str">
        <x:v>Rose Tyara</x:v>
      </x:c>
      <x:c r="C5747" s="16" t="str"/>
      <x:c r="D5747" s="16" t="str">
        <x:v>* myContacts</x:v>
      </x:c>
      <x:c r="E5747" s="16" t="str">
        <x:v>Missing email</x:v>
      </x:c>
    </x:row>
    <x:row r="5748">
      <x:c r="A5748" s="16" t="n">
        <x:v>5944</x:v>
      </x:c>
      <x:c r="B5748" s="16" t="str">
        <x:v>Roselein Student</x:v>
      </x:c>
      <x:c r="C5748" s="16" t="str"/>
      <x:c r="D5748" s="16" t="str">
        <x:v>* myContacts</x:v>
      </x:c>
      <x:c r="E5748" s="16" t="str">
        <x:v>Missing email</x:v>
      </x:c>
    </x:row>
    <x:row r="5749">
      <x:c r="A5749" s="16" t="n">
        <x:v>5945</x:v>
      </x:c>
      <x:c r="B5749" s="16" t="str">
        <x:v>Roseneany AGP</x:v>
      </x:c>
      <x:c r="C5749" s="16" t="str"/>
      <x:c r="D5749" s="16" t="str">
        <x:v>* myContacts</x:v>
      </x:c>
      <x:c r="E5749" s="16" t="str">
        <x:v>Missing email</x:v>
      </x:c>
    </x:row>
    <x:row r="5750">
      <x:c r="A5750" s="16" t="n">
        <x:v>5946</x:v>
      </x:c>
      <x:c r="B5750" s="16" t="str">
        <x:v>Rosfaizah Rosli</x:v>
      </x:c>
      <x:c r="C5750" s="16" t="str"/>
      <x:c r="D5750" s="16" t="str">
        <x:v>* myContacts</x:v>
      </x:c>
      <x:c r="E5750" s="16" t="str">
        <x:v>Missing email</x:v>
      </x:c>
    </x:row>
    <x:row r="5751">
      <x:c r="A5751" s="16" t="n">
        <x:v>5947</x:v>
      </x:c>
      <x:c r="B5751" s="16" t="str">
        <x:v>Rosidi Al Ansar Biz Point</x:v>
      </x:c>
      <x:c r="C5751" s="16" t="str"/>
      <x:c r="D5751" s="16" t="str">
        <x:v>* myContacts</x:v>
      </x:c>
      <x:c r="E5751" s="16" t="str">
        <x:v>Missing email</x:v>
      </x:c>
    </x:row>
    <x:row r="5752">
      <x:c r="A5752" s="16" t="n">
        <x:v>5948</x:v>
      </x:c>
      <x:c r="B5752" s="16" t="str">
        <x:v>Roslan Bin Masimpun</x:v>
      </x:c>
      <x:c r="C5752" s="16" t="str"/>
      <x:c r="D5752" s="16" t="str">
        <x:v>* myContacts</x:v>
      </x:c>
      <x:c r="E5752" s="16" t="str">
        <x:v>Missing email</x:v>
      </x:c>
    </x:row>
    <x:row r="5753">
      <x:c r="A5753" s="16" t="n">
        <x:v>5949</x:v>
      </x:c>
      <x:c r="B5753" s="16" t="str">
        <x:v>Roslan Rahman</x:v>
      </x:c>
      <x:c r="C5753" s="16" t="str"/>
      <x:c r="D5753" s="16" t="str">
        <x:v>* myContacts</x:v>
      </x:c>
      <x:c r="E5753" s="16" t="str">
        <x:v>Missing email</x:v>
      </x:c>
    </x:row>
    <x:row r="5754">
      <x:c r="A5754" s="16" t="n">
        <x:v>5950</x:v>
      </x:c>
      <x:c r="B5754" s="16" t="str">
        <x:v>Roslee Bin Daud</x:v>
      </x:c>
      <x:c r="C5754" s="16" t="str"/>
      <x:c r="D5754" s="16" t="str">
        <x:v>* myContacts</x:v>
      </x:c>
      <x:c r="E5754" s="16" t="str">
        <x:v>Missing email</x:v>
      </x:c>
    </x:row>
    <x:row r="5755">
      <x:c r="A5755" s="16" t="n">
        <x:v>5951</x:v>
      </x:c>
      <x:c r="B5755" s="16" t="str">
        <x:v>Rosleena Binti Sulaiman</x:v>
      </x:c>
      <x:c r="C5755" s="16" t="str"/>
      <x:c r="D5755" s="16" t="str">
        <x:v>* myContacts</x:v>
      </x:c>
      <x:c r="E5755" s="16" t="str">
        <x:v>Missing email</x:v>
      </x:c>
    </x:row>
    <x:row r="5756">
      <x:c r="A5756" s="16" t="n">
        <x:v>5952</x:v>
      </x:c>
      <x:c r="B5756" s="16" t="str">
        <x:v>Rosli Abdul Rani AGP</x:v>
      </x:c>
      <x:c r="C5756" s="16" t="str"/>
      <x:c r="D5756" s="16" t="str">
        <x:v>* myContacts</x:v>
      </x:c>
      <x:c r="E5756" s="16" t="str">
        <x:v>Missing email</x:v>
      </x:c>
    </x:row>
    <x:row r="5757">
      <x:c r="A5757" s="16" t="n">
        <x:v>5953</x:v>
      </x:c>
      <x:c r="B5757" s="16" t="str">
        <x:v>Rosli CWA</x:v>
      </x:c>
      <x:c r="C5757" s="16" t="str"/>
      <x:c r="D5757" s="16" t="str">
        <x:v>* myContacts</x:v>
      </x:c>
      <x:c r="E5757" s="16" t="str">
        <x:v>Missing email</x:v>
      </x:c>
    </x:row>
    <x:row r="5758">
      <x:c r="A5758" s="16" t="n">
        <x:v>5954</x:v>
      </x:c>
      <x:c r="B5758" s="16" t="str">
        <x:v>Rosli Raof</x:v>
      </x:c>
      <x:c r="C5758" s="16" t="str"/>
      <x:c r="D5758" s="16" t="str">
        <x:v>* myContacts</x:v>
      </x:c>
      <x:c r="E5758" s="16" t="str">
        <x:v>Missing email</x:v>
      </x:c>
    </x:row>
    <x:row r="5759">
      <x:c r="A5759" s="16" t="n">
        <x:v>5955</x:v>
      </x:c>
      <x:c r="B5759" s="16" t="str">
        <x:v>Rosli Yusop</x:v>
      </x:c>
      <x:c r="C5759" s="16" t="str"/>
      <x:c r="D5759" s="16" t="str">
        <x:v>* myContacts</x:v>
      </x:c>
      <x:c r="E5759" s="16" t="str">
        <x:v>Missing email</x:v>
      </x:c>
    </x:row>
    <x:row r="5760">
      <x:c r="A5760" s="16" t="n">
        <x:v>5956</x:v>
      </x:c>
      <x:c r="B5760" s="16" t="str">
        <x:v>Roslina Harini</x:v>
      </x:c>
      <x:c r="C5760" s="16" t="str"/>
      <x:c r="D5760" s="16" t="str">
        <x:v>* myContacts</x:v>
      </x:c>
      <x:c r="E5760" s="16" t="str">
        <x:v>Missing email</x:v>
      </x:c>
    </x:row>
    <x:row r="5761">
      <x:c r="A5761" s="16" t="n">
        <x:v>5957</x:v>
      </x:c>
      <x:c r="B5761" s="16" t="str">
        <x:v>Roslina Kamaludin</x:v>
      </x:c>
      <x:c r="C5761" s="16" t="str"/>
      <x:c r="D5761" s="16" t="str">
        <x:v>* myContacts</x:v>
      </x:c>
      <x:c r="E5761" s="16" t="str">
        <x:v>Missing email</x:v>
      </x:c>
    </x:row>
    <x:row r="5762">
      <x:c r="A5762" s="16" t="n">
        <x:v>5958</x:v>
      </x:c>
      <x:c r="B5762" s="16" t="str">
        <x:v>Roslina Nazira</x:v>
      </x:c>
      <x:c r="C5762" s="16" t="str"/>
      <x:c r="D5762" s="16" t="str">
        <x:v>* myContacts</x:v>
      </x:c>
      <x:c r="E5762" s="16" t="str">
        <x:v>Missing email</x:v>
      </x:c>
    </x:row>
    <x:row r="5763">
      <x:c r="A5763" s="16" t="n">
        <x:v>5959</x:v>
      </x:c>
      <x:c r="B5763" s="16" t="str">
        <x:v>Roslinda Imani Ghafar</x:v>
      </x:c>
      <x:c r="C5763" s="16" t="str"/>
      <x:c r="D5763" s="16" t="str">
        <x:v>* myContacts</x:v>
      </x:c>
      <x:c r="E5763" s="16" t="str">
        <x:v>Missing email</x:v>
      </x:c>
    </x:row>
    <x:row r="5764">
      <x:c r="A5764" s="16" t="n">
        <x:v>5960</x:v>
      </x:c>
      <x:c r="B5764" s="16" t="str">
        <x:v>Roslini Training Tekun Nasional</x:v>
      </x:c>
      <x:c r="C5764" s="16" t="str"/>
      <x:c r="D5764" s="16" t="str">
        <x:v>* myContacts</x:v>
      </x:c>
      <x:c r="E5764" s="16" t="str">
        <x:v>Missing email</x:v>
      </x:c>
    </x:row>
    <x:row r="5765">
      <x:c r="A5765" s="16" t="n">
        <x:v>5961</x:v>
      </x:c>
      <x:c r="B5765" s="16" t="str">
        <x:v>Rosman Solvy</x:v>
      </x:c>
      <x:c r="C5765" s="16" t="str"/>
      <x:c r="D5765" s="16" t="str">
        <x:v>* myContacts</x:v>
      </x:c>
      <x:c r="E5765" s="16" t="str">
        <x:v>Missing email</x:v>
      </x:c>
    </x:row>
    <x:row r="5766">
      <x:c r="A5766" s="16" t="n">
        <x:v>5962</x:v>
      </x:c>
      <x:c r="B5766" s="16" t="str">
        <x:v>RosMia Zie</x:v>
      </x:c>
      <x:c r="C5766" s="16" t="str"/>
      <x:c r="D5766" s="16" t="str">
        <x:v>* myContacts</x:v>
      </x:c>
      <x:c r="E5766" s="16" t="str">
        <x:v>Missing email</x:v>
      </x:c>
    </x:row>
    <x:row r="5767">
      <x:c r="A5767" s="16" t="n">
        <x:v>5963</x:v>
      </x:c>
      <x:c r="B5767" s="16" t="str">
        <x:v>Rosnah Abdul Karim</x:v>
      </x:c>
      <x:c r="C5767" s="16" t="str"/>
      <x:c r="D5767" s="16" t="str">
        <x:v>* myContacts</x:v>
      </x:c>
      <x:c r="E5767" s="16" t="str">
        <x:v>Missing email</x:v>
      </x:c>
    </x:row>
    <x:row r="5768">
      <x:c r="A5768" s="16" t="n">
        <x:v>5964</x:v>
      </x:c>
      <x:c r="B5768" s="16" t="str">
        <x:v>Rosnah Abdullah Thani</x:v>
      </x:c>
      <x:c r="C5768" s="16" t="str"/>
      <x:c r="D5768" s="16" t="str">
        <x:v>* myContacts</x:v>
      </x:c>
      <x:c r="E5768" s="16" t="str">
        <x:v>Missing email</x:v>
      </x:c>
    </x:row>
    <x:row r="5769">
      <x:c r="A5769" s="16" t="n">
        <x:v>5967</x:v>
      </x:c>
      <x:c r="B5769" s="16" t="str">
        <x:v>Rosnah Ros</x:v>
      </x:c>
      <x:c r="C5769" s="16" t="str"/>
      <x:c r="D5769" s="16" t="str">
        <x:v>* myContacts</x:v>
      </x:c>
      <x:c r="E5769" s="16" t="str">
        <x:v>Missing email</x:v>
      </x:c>
    </x:row>
    <x:row r="5770">
      <x:c r="A5770" s="16" t="n">
        <x:v>5968</x:v>
      </x:c>
      <x:c r="B5770" s="16" t="str">
        <x:v>Rosnaliza Agent Essens</x:v>
      </x:c>
      <x:c r="C5770" s="16" t="str"/>
      <x:c r="D5770" s="16" t="str">
        <x:v>* myContacts</x:v>
      </x:c>
      <x:c r="E5770" s="16" t="str">
        <x:v>Missing email</x:v>
      </x:c>
    </x:row>
    <x:row r="5771">
      <x:c r="A5771" s="16" t="n">
        <x:v>5969</x:v>
      </x:c>
      <x:c r="B5771" s="16" t="str">
        <x:v>Rosnani Mohd Zain</x:v>
      </x:c>
      <x:c r="C5771" s="16" t="str"/>
      <x:c r="D5771" s="16" t="str">
        <x:v>* myContacts</x:v>
      </x:c>
      <x:c r="E5771" s="16" t="str">
        <x:v>Missing email</x:v>
      </x:c>
    </x:row>
    <x:row r="5772">
      <x:c r="A5772" s="16" t="n">
        <x:v>5970</x:v>
      </x:c>
      <x:c r="B5772" s="16" t="str">
        <x:v>Rosniati Jurai</x:v>
      </x:c>
      <x:c r="C5772" s="16" t="str"/>
      <x:c r="D5772" s="16" t="str">
        <x:v>* myContacts</x:v>
      </x:c>
      <x:c r="E5772" s="16" t="str">
        <x:v>Missing email</x:v>
      </x:c>
    </x:row>
    <x:row r="5773">
      <x:c r="A5773" s="16" t="n">
        <x:v>5971</x:v>
      </x:c>
      <x:c r="B5773" s="16" t="str">
        <x:v>Rosnizam Agent Agp</x:v>
      </x:c>
      <x:c r="C5773" s="16" t="str"/>
      <x:c r="D5773" s="16" t="str">
        <x:v>* myContacts</x:v>
      </x:c>
      <x:c r="E5773" s="16" t="str">
        <x:v>Missing email</x:v>
      </x:c>
    </x:row>
    <x:row r="5774">
      <x:c r="A5774" s="16" t="n">
        <x:v>5972</x:v>
      </x:c>
      <x:c r="B5774" s="16" t="str">
        <x:v>Rosnyda Mamat Rosnyda</x:v>
      </x:c>
      <x:c r="C5774" s="16" t="str"/>
      <x:c r="D5774" s="16" t="str">
        <x:v>* myContacts</x:v>
      </x:c>
      <x:c r="E5774" s="16" t="str">
        <x:v>Missing email</x:v>
      </x:c>
    </x:row>
    <x:row r="5775">
      <x:c r="A5775" s="16" t="n">
        <x:v>5973</x:v>
      </x:c>
      <x:c r="B5775" s="16" t="str">
        <x:v>Ross Izal</x:v>
      </x:c>
      <x:c r="C5775" s="16" t="str"/>
      <x:c r="D5775" s="16" t="str">
        <x:v>* myContacts</x:v>
      </x:c>
      <x:c r="E5775" s="16" t="str">
        <x:v>Missing email</x:v>
      </x:c>
    </x:row>
    <x:row r="5776">
      <x:c r="A5776" s="16" t="n">
        <x:v>5974</x:v>
      </x:c>
      <x:c r="B5776" s="16" t="str">
        <x:v>Rossila Mohammad</x:v>
      </x:c>
      <x:c r="C5776" s="16" t="str"/>
      <x:c r="D5776" s="16" t="str">
        <x:v>* myContacts</x:v>
      </x:c>
      <x:c r="E5776" s="16" t="str">
        <x:v>Missing email</x:v>
      </x:c>
    </x:row>
    <x:row r="5777">
      <x:c r="A5777" s="16" t="n">
        <x:v>5975</x:v>
      </x:c>
      <x:c r="B5777" s="16" t="str">
        <x:v>Rosyanty Abu Bakar</x:v>
      </x:c>
      <x:c r="C5777" s="16" t="str"/>
      <x:c r="D5777" s="16" t="str">
        <x:v>* myContacts</x:v>
      </x:c>
      <x:c r="E5777" s="16" t="str">
        <x:v>Missing email</x:v>
      </x:c>
    </x:row>
    <x:row r="5778">
      <x:c r="A5778" s="16" t="n">
        <x:v>5976</x:v>
      </x:c>
      <x:c r="B5778" s="16" t="str">
        <x:v>Rosyusmawati Yusof</x:v>
      </x:c>
      <x:c r="C5778" s="16" t="str"/>
      <x:c r="D5778" s="16" t="str">
        <x:v>* myContacts</x:v>
      </x:c>
      <x:c r="E5778" s="16" t="str">
        <x:v>Missing email</x:v>
      </x:c>
    </x:row>
    <x:row r="5779">
      <x:c r="A5779" s="16" t="n">
        <x:v>5977</x:v>
      </x:c>
      <x:c r="B5779" s="16" t="str">
        <x:v>Roszaliza Abdul Nyzam</x:v>
      </x:c>
      <x:c r="C5779" s="16" t="str"/>
      <x:c r="D5779" s="16" t="str">
        <x:v>* myContacts</x:v>
      </x:c>
      <x:c r="E5779" s="16" t="str">
        <x:v>Missing email</x:v>
      </x:c>
    </x:row>
    <x:row r="5780">
      <x:c r="A5780" s="16" t="n">
        <x:v>5978</x:v>
      </x:c>
      <x:c r="B5780" s="16" t="str">
        <x:v>Roti Telur Kentang Power</x:v>
      </x:c>
      <x:c r="C5780" s="16" t="str"/>
      <x:c r="D5780" s="16" t="str">
        <x:v>* myContacts</x:v>
      </x:c>
      <x:c r="E5780" s="16" t="str">
        <x:v>Missing email</x:v>
      </x:c>
    </x:row>
    <x:row r="5781">
      <x:c r="A5781" s="16" t="n">
        <x:v>5979</x:v>
      </x:c>
      <x:c r="B5781" s="16" t="str">
        <x:v>RotiCanai Terbang AsmawiYati</x:v>
      </x:c>
      <x:c r="C5781" s="16" t="str"/>
      <x:c r="D5781" s="16" t="str">
        <x:v>* myContacts</x:v>
      </x:c>
      <x:c r="E5781" s="16" t="str">
        <x:v>Missing email</x:v>
      </x:c>
    </x:row>
    <x:row r="5782">
      <x:c r="A5782" s="16" t="n">
        <x:v>5980</x:v>
      </x:c>
      <x:c r="B5782" s="16" t="str">
        <x:v>Rov Pomade Perfumes</x:v>
      </x:c>
      <x:c r="C5782" s="16" t="str"/>
      <x:c r="D5782" s="16" t="str">
        <x:v>* myContacts</x:v>
      </x:c>
      <x:c r="E5782" s="16" t="str">
        <x:v>Missing email</x:v>
      </x:c>
    </x:row>
    <x:row r="5783">
      <x:c r="A5783" s="16" t="n">
        <x:v>5981</x:v>
      </x:c>
      <x:c r="B5783" s="16" t="str">
        <x:v>Roy Ani</x:v>
      </x:c>
      <x:c r="C5783" s="16" t="str"/>
      <x:c r="D5783" s="16" t="str">
        <x:v>* myContacts</x:v>
      </x:c>
      <x:c r="E5783" s="16" t="str">
        <x:v>Missing email</x:v>
      </x:c>
    </x:row>
    <x:row r="5784">
      <x:c r="A5784" s="16" t="n">
        <x:v>5982</x:v>
      </x:c>
      <x:c r="B5784" s="16" t="str">
        <x:v>Roy Hamuy Digital Marketing Promoter</x:v>
      </x:c>
      <x:c r="C5784" s="16" t="str"/>
      <x:c r="D5784" s="16" t="str">
        <x:v>* myContacts</x:v>
      </x:c>
      <x:c r="E5784" s="16" t="str">
        <x:v>Missing email</x:v>
      </x:c>
    </x:row>
    <x:row r="5785">
      <x:c r="A5785" s="16" t="n">
        <x:v>5983</x:v>
      </x:c>
      <x:c r="B5785" s="16" t="str">
        <x:v>Roy Kawa</x:v>
      </x:c>
      <x:c r="C5785" s="16" t="str"/>
      <x:c r="D5785" s="16" t="str">
        <x:v>* myContacts</x:v>
      </x:c>
      <x:c r="E5785" s="16" t="str">
        <x:v>Missing email</x:v>
      </x:c>
    </x:row>
    <x:row r="5786">
      <x:c r="A5786" s="16" t="n">
        <x:v>5985</x:v>
      </x:c>
      <x:c r="B5786" s="16" t="str">
        <x:v>Royal Hans Airways Latiff</x:v>
      </x:c>
      <x:c r="C5786" s="16" t="str"/>
      <x:c r="D5786" s="16" t="str">
        <x:v>* myContacts</x:v>
      </x:c>
      <x:c r="E5786" s="16" t="str">
        <x:v>Missing email</x:v>
      </x:c>
    </x:row>
    <x:row r="5787">
      <x:c r="A5787" s="16" t="n">
        <x:v>5986</x:v>
      </x:c>
      <x:c r="B5787" s="16" t="str">
        <x:v>Rozaidi Rozali</x:v>
      </x:c>
      <x:c r="C5787" s="16" t="str"/>
      <x:c r="D5787" s="16" t="str">
        <x:v>* myContacts</x:v>
      </x:c>
      <x:c r="E5787" s="16" t="str">
        <x:v>Missing email</x:v>
      </x:c>
    </x:row>
    <x:row r="5788">
      <x:c r="A5788" s="16" t="n">
        <x:v>5987</x:v>
      </x:c>
      <x:c r="B5788" s="16" t="str">
        <x:v>Rozaimah Tajul Arus</x:v>
      </x:c>
      <x:c r="C5788" s="16" t="str"/>
      <x:c r="D5788" s="16" t="str">
        <x:v>* myContacts</x:v>
      </x:c>
      <x:c r="E5788" s="16" t="str">
        <x:v>Missing email</x:v>
      </x:c>
    </x:row>
    <x:row r="5789">
      <x:c r="A5789" s="16" t="n">
        <x:v>5988</x:v>
      </x:c>
      <x:c r="B5789" s="16" t="str">
        <x:v>Rozana Abd Manaf</x:v>
      </x:c>
      <x:c r="C5789" s="16" t="str"/>
      <x:c r="D5789" s="16" t="str">
        <x:v>* myContacts</x:v>
      </x:c>
      <x:c r="E5789" s="16" t="str">
        <x:v>Missing email</x:v>
      </x:c>
    </x:row>
    <x:row r="5790">
      <x:c r="A5790" s="16" t="n">
        <x:v>5989</x:v>
      </x:c>
      <x:c r="B5790" s="16" t="str">
        <x:v>Rozhan Yahaya</x:v>
      </x:c>
      <x:c r="C5790" s="16" t="str"/>
      <x:c r="D5790" s="16" t="str">
        <x:v>* myContacts</x:v>
      </x:c>
      <x:c r="E5790" s="16" t="str">
        <x:v>Missing email</x:v>
      </x:c>
    </x:row>
    <x:row r="5791">
      <x:c r="A5791" s="16" t="n">
        <x:v>5990</x:v>
      </x:c>
      <x:c r="B5791" s="16" t="str">
        <x:v>Rozila Alokma Elaa</x:v>
      </x:c>
      <x:c r="C5791" s="16" t="str"/>
      <x:c r="D5791" s="16" t="str">
        <x:v>* myContacts</x:v>
      </x:c>
      <x:c r="E5791" s="16" t="str">
        <x:v>Missing email</x:v>
      </x:c>
    </x:row>
    <x:row r="5792">
      <x:c r="A5792" s="16" t="n">
        <x:v>5991</x:v>
      </x:c>
      <x:c r="B5792" s="16" t="str">
        <x:v>Rozilah Mohdturji</x:v>
      </x:c>
      <x:c r="C5792" s="16" t="str"/>
      <x:c r="D5792" s="16" t="str">
        <x:v>* myContacts</x:v>
      </x:c>
      <x:c r="E5792" s="16" t="str">
        <x:v>Missing email</x:v>
      </x:c>
    </x:row>
    <x:row r="5793">
      <x:c r="A5793" s="16" t="n">
        <x:v>5992</x:v>
      </x:c>
      <x:c r="B5793" s="16" t="str">
        <x:v>Rozita C6 Lazada</x:v>
      </x:c>
      <x:c r="C5793" s="16" t="str"/>
      <x:c r="D5793" s="16" t="str">
        <x:v>* myContacts</x:v>
      </x:c>
      <x:c r="E5793" s="16" t="str">
        <x:v>Missing email</x:v>
      </x:c>
    </x:row>
    <x:row r="5794">
      <x:c r="A5794" s="16" t="n">
        <x:v>5993</x:v>
      </x:c>
      <x:c r="B5794" s="16" t="str">
        <x:v>Rozlyn La'soul Stokist Sdkn</x:v>
      </x:c>
      <x:c r="C5794" s="16" t="str"/>
      <x:c r="D5794" s="16" t="str">
        <x:v>* myContacts</x:v>
      </x:c>
      <x:c r="E5794" s="16" t="str">
        <x:v>Missing email</x:v>
      </x:c>
    </x:row>
    <x:row r="5795">
      <x:c r="A5795" s="16" t="n">
        <x:v>5994</x:v>
      </x:c>
      <x:c r="B5795" s="16" t="str">
        <x:v>Rtw Byellie</x:v>
      </x:c>
      <x:c r="C5795" s="16" t="str"/>
      <x:c r="D5795" s="16" t="str">
        <x:v>* myContacts</x:v>
      </x:c>
      <x:c r="E5795" s="16" t="str">
        <x:v>Missing email</x:v>
      </x:c>
    </x:row>
    <x:row r="5796">
      <x:c r="A5796" s="16" t="n">
        <x:v>5995</x:v>
      </x:c>
      <x:c r="B5796" s="16" t="str">
        <x:v>Rubiatul Aidawiyah</x:v>
      </x:c>
      <x:c r="C5796" s="16" t="str"/>
      <x:c r="D5796" s="16" t="str">
        <x:v>* myContacts</x:v>
      </x:c>
      <x:c r="E5796" s="16" t="str">
        <x:v>Missing email</x:v>
      </x:c>
    </x:row>
    <x:row r="5797">
      <x:c r="A5797" s="16" t="n">
        <x:v>5996</x:v>
      </x:c>
      <x:c r="B5797" s="16" t="str">
        <x:v>Ruddys Populerr</x:v>
      </x:c>
      <x:c r="C5797" s="16" t="str"/>
      <x:c r="D5797" s="16" t="str">
        <x:v>* myContacts</x:v>
      </x:c>
      <x:c r="E5797" s="16" t="str">
        <x:v>Missing email</x:v>
      </x:c>
    </x:row>
    <x:row r="5798">
      <x:c r="A5798" s="16" t="n">
        <x:v>5998</x:v>
      </x:c>
      <x:c r="B5798" s="16" t="str">
        <x:v>Rudy Shah</x:v>
      </x:c>
      <x:c r="C5798" s="16" t="str"/>
      <x:c r="D5798" s="16" t="str">
        <x:v>* myContacts</x:v>
      </x:c>
      <x:c r="E5798" s="16" t="str">
        <x:v>Missing email</x:v>
      </x:c>
    </x:row>
    <x:row r="5799">
      <x:c r="A5799" s="16" t="n">
        <x:v>5999</x:v>
      </x:c>
      <x:c r="B5799" s="16" t="str">
        <x:v>Rudy Sweet Pictures</x:v>
      </x:c>
      <x:c r="C5799" s="16" t="str"/>
      <x:c r="D5799" s="16" t="str">
        <x:v>* myContacts</x:v>
      </x:c>
      <x:c r="E5799" s="16" t="str">
        <x:v>Missing email</x:v>
      </x:c>
    </x:row>
    <x:row r="5800">
      <x:c r="A5800" s="16" t="n">
        <x:v>6000</x:v>
      </x:c>
      <x:c r="B5800" s="16" t="str">
        <x:v>Rumah DiSelangor Untuk Dijual</x:v>
      </x:c>
      <x:c r="C5800" s="16" t="str"/>
      <x:c r="D5800" s="16" t="str">
        <x:v>* myContacts</x:v>
      </x:c>
      <x:c r="E5800" s="16" t="str">
        <x:v>Missing email</x:v>
      </x:c>
    </x:row>
    <x:row r="5801">
      <x:c r="A5801" s="16" t="n">
        <x:v>6001</x:v>
      </x:c>
      <x:c r="B5801" s="16" t="str">
        <x:v>Rumah Impian</x:v>
      </x:c>
      <x:c r="C5801" s="16" t="str"/>
      <x:c r="D5801" s="16" t="str">
        <x:v>* myContacts</x:v>
      </x:c>
      <x:c r="E5801" s="16" t="str">
        <x:v>Missing email</x:v>
      </x:c>
    </x:row>
    <x:row r="5802">
      <x:c r="A5802" s="16" t="n">
        <x:v>6002</x:v>
      </x:c>
      <x:c r="B5802" s="16" t="str">
        <x:v>Rumah Sumbangan Darul Inshirah</x:v>
      </x:c>
      <x:c r="C5802" s="16" t="str"/>
      <x:c r="D5802" s="16" t="str">
        <x:v>* myContacts</x:v>
      </x:c>
      <x:c r="E5802" s="16" t="str">
        <x:v>Missing email</x:v>
      </x:c>
    </x:row>
    <x:row r="5803">
      <x:c r="A5803" s="16" t="n">
        <x:v>6004</x:v>
      </x:c>
      <x:c r="B5803" s="16" t="str">
        <x:v>Rushdan Bumiputra Department CGC</x:v>
      </x:c>
      <x:c r="C5803" s="16" t="str"/>
      <x:c r="D5803" s="16" t="str">
        <x:v>* myContacts</x:v>
      </x:c>
      <x:c r="E5803" s="16" t="str">
        <x:v>Missing email</x:v>
      </x:c>
    </x:row>
    <x:row r="5804">
      <x:c r="A5804" s="16" t="n">
        <x:v>6005</x:v>
      </x:c>
      <x:c r="B5804" s="16" t="str">
        <x:v>Rushdan Hamzah</x:v>
      </x:c>
      <x:c r="C5804" s="16" t="str"/>
      <x:c r="D5804" s="16" t="str">
        <x:v>* myContacts</x:v>
      </x:c>
      <x:c r="E5804" s="16" t="str">
        <x:v>Missing email</x:v>
      </x:c>
    </x:row>
    <x:row r="5805">
      <x:c r="A5805" s="16" t="n">
        <x:v>6006</x:v>
      </x:c>
      <x:c r="B5805" s="16" t="str">
        <x:v>rushdan rjb</x:v>
      </x:c>
      <x:c r="C5805" s="16" t="str"/>
      <x:c r="D5805" s="16" t="str">
        <x:v>* myContacts</x:v>
      </x:c>
      <x:c r="E5805" s="16" t="str">
        <x:v>Missing email</x:v>
      </x:c>
    </x:row>
    <x:row r="5806">
      <x:c r="A5806" s="16" t="n">
        <x:v>6007</x:v>
      </x:c>
      <x:c r="B5806" s="16" t="str">
        <x:v>Rushdi Ramli</x:v>
      </x:c>
      <x:c r="C5806" s="16" t="str"/>
      <x:c r="D5806" s="16" t="str">
        <x:v>* myContacts</x:v>
      </x:c>
      <x:c r="E5806" s="16" t="str">
        <x:v>Missing email</x:v>
      </x:c>
    </x:row>
    <x:row r="5807">
      <x:c r="A5807" s="16" t="n">
        <x:v>6008</x:v>
      </x:c>
      <x:c r="B5807" s="16" t="str">
        <x:v>Rusisman Bin Isnin</x:v>
      </x:c>
      <x:c r="C5807" s="16" t="str"/>
      <x:c r="D5807" s="16" t="str">
        <x:v>* myContacts</x:v>
      </x:c>
      <x:c r="E5807" s="16" t="str">
        <x:v>Missing email</x:v>
      </x:c>
    </x:row>
    <x:row r="5808">
      <x:c r="A5808" s="16" t="n">
        <x:v>6009</x:v>
      </x:c>
      <x:c r="B5808" s="16" t="str">
        <x:v>Rusnakim Akim</x:v>
      </x:c>
      <x:c r="C5808" s="16" t="str"/>
      <x:c r="D5808" s="16" t="str">
        <x:v>* myContacts</x:v>
      </x:c>
      <x:c r="E5808" s="16" t="str">
        <x:v>Missing email</x:v>
      </x:c>
    </x:row>
    <x:row r="5809">
      <x:c r="A5809" s="16" t="n">
        <x:v>6010</x:v>
      </x:c>
      <x:c r="B5809" s="16" t="str">
        <x:v>Rusnidaryanti Adleesya</x:v>
      </x:c>
      <x:c r="C5809" s="16" t="str"/>
      <x:c r="D5809" s="16" t="str">
        <x:v>* myContacts</x:v>
      </x:c>
      <x:c r="E5809" s="16" t="str">
        <x:v>Missing email</x:v>
      </x:c>
    </x:row>
    <x:row r="5810">
      <x:c r="A5810" s="16" t="n">
        <x:v>6011</x:v>
      </x:c>
      <x:c r="B5810" s="16" t="str">
        <x:v>Rusnizah Rus</x:v>
      </x:c>
      <x:c r="C5810" s="16" t="str"/>
      <x:c r="D5810" s="16" t="str">
        <x:v>* myContacts</x:v>
      </x:c>
      <x:c r="E5810" s="16" t="str">
        <x:v>Missing email</x:v>
      </x:c>
    </x:row>
    <x:row r="5811">
      <x:c r="A5811" s="16" t="n">
        <x:v>6012</x:v>
      </x:c>
      <x:c r="B5811" s="16" t="str">
        <x:v>Ruzaini Kulim</x:v>
      </x:c>
      <x:c r="C5811" s="16" t="str"/>
      <x:c r="D5811" s="16" t="str">
        <x:v>* myContacts</x:v>
      </x:c>
      <x:c r="E5811" s="16" t="str">
        <x:v>Missing email</x:v>
      </x:c>
    </x:row>
    <x:row r="5812">
      <x:c r="A5812" s="16" t="n">
        <x:v>6013</x:v>
      </x:c>
      <x:c r="B5812" s="16" t="str">
        <x:v>Ruzaini Ramin</x:v>
      </x:c>
      <x:c r="C5812" s="16" t="str"/>
      <x:c r="D5812" s="16" t="str">
        <x:v>* myContacts</x:v>
      </x:c>
      <x:c r="E5812" s="16" t="str">
        <x:v>Missing email</x:v>
      </x:c>
    </x:row>
    <x:row r="5813">
      <x:c r="A5813" s="16" t="n">
        <x:v>6014</x:v>
      </x:c>
      <x:c r="B5813" s="16" t="str">
        <x:v>Ruzita Ahmad AGP</x:v>
      </x:c>
      <x:c r="C5813" s="16" t="str"/>
      <x:c r="D5813" s="16" t="str">
        <x:v>* myContacts</x:v>
      </x:c>
      <x:c r="E5813" s="16" t="str">
        <x:v>Missing email</x:v>
      </x:c>
    </x:row>
    <x:row r="5814">
      <x:c r="A5814" s="16" t="n">
        <x:v>6015</x:v>
      </x:c>
      <x:c r="B5814" s="16" t="str">
        <x:v>Ruzita Rz</x:v>
      </x:c>
      <x:c r="C5814" s="16" t="str"/>
      <x:c r="D5814" s="16" t="str">
        <x:v>* myContacts</x:v>
      </x:c>
      <x:c r="E5814" s="16" t="str">
        <x:v>Missing email</x:v>
      </x:c>
    </x:row>
    <x:row r="5815">
      <x:c r="A5815" s="16" t="n">
        <x:v>6016</x:v>
      </x:c>
      <x:c r="B5815" s="16" t="str">
        <x:v>Ryan Syah</x:v>
      </x:c>
      <x:c r="C5815" s="16" t="str"/>
      <x:c r="D5815" s="16" t="str">
        <x:v>* myContacts</x:v>
      </x:c>
      <x:c r="E5815" s="16" t="str">
        <x:v>Missing email</x:v>
      </x:c>
    </x:row>
    <x:row r="5816">
      <x:c r="A5816" s="16" t="n">
        <x:v>6017</x:v>
      </x:c>
      <x:c r="B5816" s="16" t="str">
        <x:v>Ryn Shari</x:v>
      </x:c>
      <x:c r="C5816" s="16" t="str"/>
      <x:c r="D5816" s="16" t="str">
        <x:v>* myContacts</x:v>
      </x:c>
      <x:c r="E5816" s="16" t="str">
        <x:v>Missing email</x:v>
      </x:c>
    </x:row>
    <x:row r="5817">
      <x:c r="A5817" s="16" t="n">
        <x:v>6018</x:v>
      </x:c>
      <x:c r="B5817" s="16" t="str">
        <x:v>RyNa EOna SweEt</x:v>
      </x:c>
      <x:c r="C5817" s="16" t="str"/>
      <x:c r="D5817" s="16" t="str">
        <x:v>* myContacts</x:v>
      </x:c>
      <x:c r="E5817" s="16" t="str">
        <x:v>Missing email</x:v>
      </x:c>
    </x:row>
    <x:row r="5818">
      <x:c r="A5818" s="16" t="n">
        <x:v>6019</x:v>
      </x:c>
      <x:c r="B5818" s="16" t="str">
        <x:v>Rynna Errynna</x:v>
      </x:c>
      <x:c r="C5818" s="16" t="str"/>
      <x:c r="D5818" s="16" t="str">
        <x:v>* myContacts</x:v>
      </x:c>
      <x:c r="E5818" s="16" t="str">
        <x:v>Missing email</x:v>
      </x:c>
    </x:row>
    <x:row r="5819">
      <x:c r="A5819" s="16" t="n">
        <x:v>6020</x:v>
      </x:c>
      <x:c r="B5819" s="16" t="str">
        <x:v>Ryoq Hasrul Radak Gopeng Campsite And Kayak</x:v>
      </x:c>
      <x:c r="C5819" s="16" t="str"/>
      <x:c r="D5819" s="16" t="str">
        <x:v>* myContacts</x:v>
      </x:c>
      <x:c r="E5819" s="16" t="str">
        <x:v>Missing email</x:v>
      </x:c>
    </x:row>
    <x:row r="5820">
      <x:c r="A5820" s="16" t="n">
        <x:v>6021</x:v>
      </x:c>
      <x:c r="B5820" s="16" t="str">
        <x:v>Ryynriena Jamaluddin</x:v>
      </x:c>
      <x:c r="C5820" s="16" t="str"/>
      <x:c r="D5820" s="16" t="str">
        <x:v>* myContacts</x:v>
      </x:c>
      <x:c r="E5820" s="16" t="str">
        <x:v>Missing email</x:v>
      </x:c>
    </x:row>
    <x:row r="5821">
      <x:c r="A5821" s="16" t="n">
        <x:v>6022</x:v>
      </x:c>
      <x:c r="B5821" s="16" t="str">
        <x:v>S'zana S'judin</x:v>
      </x:c>
      <x:c r="C5821" s="16" t="str"/>
      <x:c r="D5821" s="16" t="str">
        <x:v>* myContacts</x:v>
      </x:c>
      <x:c r="E5821" s="16" t="str">
        <x:v>Missing email</x:v>
      </x:c>
    </x:row>
    <x:row r="5822">
      <x:c r="A5822" s="16" t="n">
        <x:v>6023</x:v>
      </x:c>
      <x:c r="B5822" s="16" t="str">
        <x:v>Sa'ari Ari</x:v>
      </x:c>
      <x:c r="C5822" s="16" t="str"/>
      <x:c r="D5822" s="16" t="str">
        <x:v>* myContacts</x:v>
      </x:c>
      <x:c r="E5822" s="16" t="str">
        <x:v>Missing email</x:v>
      </x:c>
    </x:row>
    <x:row r="5823">
      <x:c r="A5823" s="16" t="n">
        <x:v>6024</x:v>
      </x:c>
      <x:c r="B5823" s="16" t="str">
        <x:v>Saadah Kamarulzaman</x:v>
      </x:c>
      <x:c r="C5823" s="16" t="str"/>
      <x:c r="D5823" s="16" t="str">
        <x:v>* myContacts</x:v>
      </x:c>
      <x:c r="E5823" s="16" t="str">
        <x:v>Missing email</x:v>
      </x:c>
    </x:row>
    <x:row r="5824">
      <x:c r="A5824" s="16" t="n">
        <x:v>6025</x:v>
      </x:c>
      <x:c r="B5824" s="16" t="str">
        <x:v>Saadah putrajaya</x:v>
      </x:c>
      <x:c r="C5824" s="16" t="str"/>
      <x:c r="D5824" s="16" t="str">
        <x:v>* myContacts</x:v>
      </x:c>
      <x:c r="E5824" s="16" t="str">
        <x:v>Missing email</x:v>
      </x:c>
    </x:row>
    <x:row r="5825">
      <x:c r="A5825" s="16" t="n">
        <x:v>6026</x:v>
      </x:c>
      <x:c r="B5825" s="16" t="str">
        <x:v>Saadiah Alias</x:v>
      </x:c>
      <x:c r="C5825" s="16" t="str"/>
      <x:c r="D5825" s="16" t="str">
        <x:v>* myContacts</x:v>
      </x:c>
      <x:c r="E5825" s="16" t="str">
        <x:v>Missing email</x:v>
      </x:c>
    </x:row>
    <x:row r="5826">
      <x:c r="A5826" s="16" t="n">
        <x:v>6027</x:v>
      </x:c>
      <x:c r="B5826" s="16" t="str">
        <x:v>Saadik Stylo Mylo</x:v>
      </x:c>
      <x:c r="C5826" s="16" t="str"/>
      <x:c r="D5826" s="16" t="str">
        <x:v>* myContacts</x:v>
      </x:c>
      <x:c r="E5826" s="16" t="str">
        <x:v>Missing email</x:v>
      </x:c>
    </x:row>
    <x:row r="5827">
      <x:c r="A5827" s="16" t="n">
        <x:v>6028</x:v>
      </x:c>
      <x:c r="B5827" s="16" t="str">
        <x:v>Sabah Batik Sabah Batik</x:v>
      </x:c>
      <x:c r="C5827" s="16" t="str"/>
      <x:c r="D5827" s="16" t="str">
        <x:v>* myContacts</x:v>
      </x:c>
      <x:c r="E5827" s="16" t="str">
        <x:v>Missing email</x:v>
      </x:c>
    </x:row>
    <x:row r="5828">
      <x:c r="A5828" s="16" t="n">
        <x:v>6029</x:v>
      </x:c>
      <x:c r="B5828" s="16" t="str">
        <x:v>Sabahuddin Talib</x:v>
      </x:c>
      <x:c r="C5828" s="16" t="str"/>
      <x:c r="D5828" s="16" t="str">
        <x:v>* myContacts</x:v>
      </x:c>
      <x:c r="E5828" s="16" t="str">
        <x:v>Missing email</x:v>
      </x:c>
    </x:row>
    <x:row r="5829">
      <x:c r="A5829" s="16" t="n">
        <x:v>6030</x:v>
      </x:c>
      <x:c r="B5829" s="16" t="str">
        <x:v>Sabariah IM</x:v>
      </x:c>
      <x:c r="C5829" s="16" t="str"/>
      <x:c r="D5829" s="16" t="str">
        <x:v>* myContacts</x:v>
      </x:c>
      <x:c r="E5829" s="16" t="str">
        <x:v>Missing email</x:v>
      </x:c>
    </x:row>
    <x:row r="5830">
      <x:c r="A5830" s="16" t="n">
        <x:v>6031</x:v>
      </x:c>
      <x:c r="B5830" s="16" t="str">
        <x:v>Sabri Ibrahim Agent Kbbc</x:v>
      </x:c>
      <x:c r="C5830" s="16" t="str"/>
      <x:c r="D5830" s="16" t="str">
        <x:v>* myContacts</x:v>
      </x:c>
      <x:c r="E5830" s="16" t="str">
        <x:v>Missing email</x:v>
      </x:c>
    </x:row>
    <x:row r="5831">
      <x:c r="A5831" s="16" t="n">
        <x:v>6032</x:v>
      </x:c>
      <x:c r="B5831" s="16" t="str">
        <x:v>sabri im</x:v>
      </x:c>
      <x:c r="C5831" s="16" t="str"/>
      <x:c r="D5831" s="16" t="str">
        <x:v>* myContacts</x:v>
      </x:c>
      <x:c r="E5831" s="16" t="str">
        <x:v>Missing email</x:v>
      </x:c>
    </x:row>
    <x:row r="5832">
      <x:c r="A5832" s="16" t="n">
        <x:v>6033</x:v>
      </x:c>
      <x:c r="B5832" s="16" t="str">
        <x:v>Sabri Kiras Mdec</x:v>
      </x:c>
      <x:c r="C5832" s="16" t="str"/>
      <x:c r="D5832" s="16" t="str">
        <x:v>* myContacts</x:v>
      </x:c>
      <x:c r="E5832" s="16" t="str">
        <x:v>Missing email</x:v>
      </x:c>
    </x:row>
    <x:row r="5833">
      <x:c r="A5833" s="16" t="n">
        <x:v>6034</x:v>
      </x:c>
      <x:c r="B5833" s="16" t="str">
        <x:v>Sabri NTI</x:v>
      </x:c>
      <x:c r="C5833" s="16" t="str"/>
      <x:c r="D5833" s="16" t="str">
        <x:v>* myContacts</x:v>
      </x:c>
      <x:c r="E5833" s="16" t="str">
        <x:v>Missing email</x:v>
      </x:c>
    </x:row>
    <x:row r="5834">
      <x:c r="A5834" s="16" t="n">
        <x:v>6035</x:v>
      </x:c>
      <x:c r="B5834" s="16" t="str">
        <x:v>Sabri Pest</x:v>
      </x:c>
      <x:c r="C5834" s="16" t="str"/>
      <x:c r="D5834" s="16" t="str">
        <x:v>* myContacts</x:v>
      </x:c>
      <x:c r="E5834" s="16" t="str">
        <x:v>Missing email</x:v>
      </x:c>
    </x:row>
    <x:row r="5835">
      <x:c r="A5835" s="16" t="n">
        <x:v>6036</x:v>
      </x:c>
      <x:c r="B5835" s="16" t="str">
        <x:v>Sabri Sulong Sabri Sulong</x:v>
      </x:c>
      <x:c r="C5835" s="16" t="str"/>
      <x:c r="D5835" s="16" t="str">
        <x:v>* myContacts</x:v>
      </x:c>
      <x:c r="E5835" s="16" t="str">
        <x:v>Missing email</x:v>
      </x:c>
    </x:row>
    <x:row r="5836">
      <x:c r="A5836" s="16" t="n">
        <x:v>6037</x:v>
      </x:c>
      <x:c r="B5836" s="16" t="str">
        <x:v>Sabri Uda Flp</x:v>
      </x:c>
      <x:c r="C5836" s="16" t="str"/>
      <x:c r="D5836" s="16" t="str">
        <x:v>* myContacts</x:v>
      </x:c>
      <x:c r="E5836" s="16" t="str">
        <x:v>Missing email</x:v>
      </x:c>
    </x:row>
    <x:row r="5837">
      <x:c r="A5837" s="16" t="n">
        <x:v>6038</x:v>
      </x:c>
      <x:c r="B5837" s="16" t="str">
        <x:v>Sabri UTM</x:v>
      </x:c>
      <x:c r="C5837" s="16" t="str"/>
      <x:c r="D5837" s="16" t="str">
        <x:v>* myContacts</x:v>
      </x:c>
      <x:c r="E5837" s="16" t="str">
        <x:v>Missing email</x:v>
      </x:c>
    </x:row>
    <x:row r="5838">
      <x:c r="A5838" s="16" t="n">
        <x:v>6039</x:v>
      </x:c>
      <x:c r="B5838" s="16" t="str">
        <x:v>Sabrizan Salleh</x:v>
      </x:c>
      <x:c r="C5838" s="16" t="str"/>
      <x:c r="D5838" s="16" t="str">
        <x:v>* myContacts</x:v>
      </x:c>
      <x:c r="E5838" s="16" t="str">
        <x:v>Missing email</x:v>
      </x:c>
    </x:row>
    <x:row r="5839">
      <x:c r="A5839" s="16" t="n">
        <x:v>6040</x:v>
      </x:c>
      <x:c r="B5839" s="16" t="str">
        <x:v>Sadenk Manes</x:v>
      </x:c>
      <x:c r="C5839" s="16" t="str"/>
      <x:c r="D5839" s="16" t="str">
        <x:v>* myContacts</x:v>
      </x:c>
      <x:c r="E5839" s="16" t="str">
        <x:v>Missing email</x:v>
      </x:c>
    </x:row>
    <x:row r="5840">
      <x:c r="A5840" s="16" t="n">
        <x:v>6041</x:v>
      </x:c>
      <x:c r="B5840" s="16" t="str">
        <x:v>Sadiq Eatai</x:v>
      </x:c>
      <x:c r="C5840" s="16" t="str"/>
      <x:c r="D5840" s="16" t="str">
        <x:v>* myContacts</x:v>
      </x:c>
      <x:c r="E5840" s="16" t="str">
        <x:v>Missing email</x:v>
      </x:c>
    </x:row>
    <x:row r="5841">
      <x:c r="A5841" s="16" t="n">
        <x:v>6042</x:v>
      </x:c>
      <x:c r="B5841" s="16" t="str">
        <x:v>Safia Shaharuddin</x:v>
      </x:c>
      <x:c r="C5841" s="16" t="str"/>
      <x:c r="D5841" s="16" t="str">
        <x:v>* myContacts</x:v>
      </x:c>
      <x:c r="E5841" s="16" t="str">
        <x:v>Missing email</x:v>
      </x:c>
    </x:row>
    <x:row r="5842">
      <x:c r="A5842" s="16" t="n">
        <x:v>6043</x:v>
      </x:c>
      <x:c r="B5842" s="16" t="str">
        <x:v>Safiya Rayzal</x:v>
      </x:c>
      <x:c r="C5842" s="16" t="str"/>
      <x:c r="D5842" s="16" t="str">
        <x:v>* myContacts</x:v>
      </x:c>
      <x:c r="E5842" s="16" t="str">
        <x:v>Missing email</x:v>
      </x:c>
    </x:row>
    <x:row r="5843">
      <x:c r="A5843" s="16" t="n">
        <x:v>6044</x:v>
      </x:c>
      <x:c r="B5843" s="16" t="str">
        <x:v>Safwan Pinoqyo</x:v>
      </x:c>
      <x:c r="C5843" s="16" t="str"/>
      <x:c r="D5843" s="16" t="str">
        <x:v>* myContacts</x:v>
      </x:c>
      <x:c r="E5843" s="16" t="str">
        <x:v>Missing email</x:v>
      </x:c>
    </x:row>
    <x:row r="5844">
      <x:c r="A5844" s="16" t="n">
        <x:v>6045</x:v>
      </x:c>
      <x:c r="B5844" s="16" t="str">
        <x:v>safwan seth</x:v>
      </x:c>
      <x:c r="C5844" s="16" t="str"/>
      <x:c r="D5844" s="16" t="str">
        <x:v>* myContacts</x:v>
      </x:c>
      <x:c r="E5844" s="16" t="str">
        <x:v>Missing email</x:v>
      </x:c>
    </x:row>
    <x:row r="5845">
      <x:c r="A5845" s="16" t="n">
        <x:v>6046</x:v>
      </x:c>
      <x:c r="B5845" s="16" t="str">
        <x:v>safwan seth IM</x:v>
      </x:c>
      <x:c r="C5845" s="16" t="str"/>
      <x:c r="D5845" s="16" t="str">
        <x:v>* myContacts</x:v>
      </x:c>
      <x:c r="E5845" s="16" t="str">
        <x:v>Missing email</x:v>
      </x:c>
    </x:row>
    <x:row r="5846">
      <x:c r="A5846" s="16" t="n">
        <x:v>6047</x:v>
      </x:c>
      <x:c r="B5846" s="16" t="str">
        <x:v>Safwan Wan</x:v>
      </x:c>
      <x:c r="C5846" s="16" t="str"/>
      <x:c r="D5846" s="16" t="str">
        <x:v>* myContacts</x:v>
      </x:c>
      <x:c r="E5846" s="16" t="str">
        <x:v>Missing email</x:v>
      </x:c>
    </x:row>
    <x:row r="5847">
      <x:c r="A5847" s="16" t="n">
        <x:v>6048</x:v>
      </x:c>
      <x:c r="B5847" s="16" t="str">
        <x:v>Saharudin Abu Seman</x:v>
      </x:c>
      <x:c r="C5847" s="16" t="str"/>
      <x:c r="D5847" s="16" t="str">
        <x:v>* myContacts</x:v>
      </x:c>
      <x:c r="E5847" s="16" t="str">
        <x:v>Missing email</x:v>
      </x:c>
    </x:row>
    <x:row r="5848">
      <x:c r="A5848" s="16" t="n">
        <x:v>6049</x:v>
      </x:c>
      <x:c r="B5848" s="16" t="str">
        <x:v>Sahbi Drihmi</x:v>
      </x:c>
      <x:c r="C5848" s="16" t="str"/>
      <x:c r="D5848" s="16" t="str">
        <x:v>* myContacts</x:v>
      </x:c>
      <x:c r="E5848" s="16" t="str">
        <x:v>Missing email</x:v>
      </x:c>
    </x:row>
    <x:row r="5849">
      <x:c r="A5849" s="16" t="n">
        <x:v>6050</x:v>
      </x:c>
      <x:c r="B5849" s="16" t="str">
        <x:v>Sahidin Msr</x:v>
      </x:c>
      <x:c r="C5849" s="16" t="str"/>
      <x:c r="D5849" s="16" t="str">
        <x:v>* myContacts</x:v>
      </x:c>
      <x:c r="E5849" s="16" t="str">
        <x:v>Missing email</x:v>
      </x:c>
    </x:row>
    <x:row r="5850">
      <x:c r="A5850" s="16" t="n">
        <x:v>6051</x:v>
      </x:c>
      <x:c r="B5850" s="16" t="str">
        <x:v>Sahli Alumni Kelas Online</x:v>
      </x:c>
      <x:c r="C5850" s="16" t="str"/>
      <x:c r="D5850" s="16" t="str">
        <x:v>* myContacts</x:v>
      </x:c>
      <x:c r="E5850" s="16" t="str">
        <x:v>Missing email</x:v>
      </x:c>
    </x:row>
    <x:row r="5851">
      <x:c r="A5851" s="16" t="n">
        <x:v>6052</x:v>
      </x:c>
      <x:c r="B5851" s="16" t="str">
        <x:v>Sahrial Baharudin</x:v>
      </x:c>
      <x:c r="C5851" s="16" t="str"/>
      <x:c r="D5851" s="16" t="str">
        <x:v>* myContacts</x:v>
      </x:c>
      <x:c r="E5851" s="16" t="str">
        <x:v>Missing email</x:v>
      </x:c>
    </x:row>
    <x:row r="5852">
      <x:c r="A5852" s="16" t="n">
        <x:v>6053</x:v>
      </x:c>
      <x:c r="B5852" s="16" t="str">
        <x:v>Sai Veera</x:v>
      </x:c>
      <x:c r="C5852" s="16" t="str"/>
      <x:c r="D5852" s="16" t="str">
        <x:v>* myContacts</x:v>
      </x:c>
      <x:c r="E5852" s="16" t="str">
        <x:v>Missing email</x:v>
      </x:c>
    </x:row>
    <x:row r="5853">
      <x:c r="A5853" s="16" t="n">
        <x:v>6054</x:v>
      </x:c>
      <x:c r="B5853" s="16" t="str">
        <x:v>Said imad</x:v>
      </x:c>
      <x:c r="C5853" s="16" t="str"/>
      <x:c r="D5853" s="16" t="str">
        <x:v>* myContacts</x:v>
      </x:c>
      <x:c r="E5853" s="16" t="str">
        <x:v>Missing email</x:v>
      </x:c>
    </x:row>
    <x:row r="5854">
      <x:c r="A5854" s="16" t="n">
        <x:v>6055</x:v>
      </x:c>
      <x:c r="B5854" s="16" t="str">
        <x:v>Saidatul Hq Admin</x:v>
      </x:c>
      <x:c r="C5854" s="16" t="str"/>
      <x:c r="D5854" s="16" t="str">
        <x:v>* myContacts</x:v>
      </x:c>
      <x:c r="E5854" s="16" t="str">
        <x:v>Missing email</x:v>
      </x:c>
    </x:row>
    <x:row r="5855">
      <x:c r="A5855" s="16" t="n">
        <x:v>6057</x:v>
      </x:c>
      <x:c r="B5855" s="16" t="str">
        <x:v>Saif</x:v>
      </x:c>
      <x:c r="C5855" s="16" t="str"/>
      <x:c r="D5855" s="16" t="str">
        <x:v>* myContacts</x:v>
      </x:c>
      <x:c r="E5855" s="16" t="str">
        <x:v>Missing email</x:v>
      </x:c>
    </x:row>
    <x:row r="5856">
      <x:c r="A5856" s="16" t="n">
        <x:v>6058</x:v>
      </x:c>
      <x:c r="B5856" s="16" t="str">
        <x:v>saifuddin creative print baju</x:v>
      </x:c>
      <x:c r="C5856" s="16" t="str"/>
      <x:c r="D5856" s="16" t="str">
        <x:v>* myContacts</x:v>
      </x:c>
      <x:c r="E5856" s="16" t="str">
        <x:v>Missing email</x:v>
      </x:c>
    </x:row>
    <x:row r="5857">
      <x:c r="A5857" s="16" t="n">
        <x:v>6059</x:v>
      </x:c>
      <x:c r="B5857" s="16" t="str">
        <x:v>Saiful Azwan</x:v>
      </x:c>
      <x:c r="C5857" s="16" t="str"/>
      <x:c r="D5857" s="16" t="str">
        <x:v>* myContacts</x:v>
      </x:c>
      <x:c r="E5857" s="16" t="str">
        <x:v>Missing email</x:v>
      </x:c>
    </x:row>
    <x:row r="5858">
      <x:c r="A5858" s="16" t="n">
        <x:v>6060</x:v>
      </x:c>
      <x:c r="B5858" s="16" t="str">
        <x:v>Saiful Bahari</x:v>
      </x:c>
      <x:c r="C5858" s="16" t="str"/>
      <x:c r="D5858" s="16" t="str">
        <x:v>* myContacts</x:v>
      </x:c>
      <x:c r="E5858" s="16" t="str">
        <x:v>Missing email</x:v>
      </x:c>
    </x:row>
    <x:row r="5859">
      <x:c r="A5859" s="16" t="n">
        <x:v>6061</x:v>
      </x:c>
      <x:c r="B5859" s="16" t="str">
        <x:v>Saiful Hakimin</x:v>
      </x:c>
      <x:c r="C5859" s="16" t="str"/>
      <x:c r="D5859" s="16" t="str">
        <x:v>* myContacts</x:v>
      </x:c>
      <x:c r="E5859" s="16" t="str">
        <x:v>Missing email</x:v>
      </x:c>
    </x:row>
    <x:row r="5860">
      <x:c r="A5860" s="16" t="n">
        <x:v>6062</x:v>
      </x:c>
      <x:c r="B5860" s="16" t="str">
        <x:v>Saiful Nilai Harta</x:v>
      </x:c>
      <x:c r="C5860" s="16" t="str"/>
      <x:c r="D5860" s="16" t="str">
        <x:v>* myContacts</x:v>
      </x:c>
      <x:c r="E5860" s="16" t="str">
        <x:v>Missing email</x:v>
      </x:c>
    </x:row>
    <x:row r="5861">
      <x:c r="A5861" s="16" t="n">
        <x:v>6063</x:v>
      </x:c>
      <x:c r="B5861" s="16" t="str">
        <x:v>saiful perahu bestari jaya</x:v>
      </x:c>
      <x:c r="C5861" s="16" t="str"/>
      <x:c r="D5861" s="16" t="str">
        <x:v>* myContacts</x:v>
      </x:c>
      <x:c r="E5861" s="16" t="str">
        <x:v>Missing email</x:v>
      </x:c>
    </x:row>
    <x:row r="5862">
      <x:c r="A5862" s="16" t="n">
        <x:v>6064</x:v>
      </x:c>
      <x:c r="B5862" s="16" t="str">
        <x:v>Saiful Ridzuan Latiff</x:v>
      </x:c>
      <x:c r="C5862" s="16" t="str"/>
      <x:c r="D5862" s="16" t="str">
        <x:v>* myContacts</x:v>
      </x:c>
      <x:c r="E5862" s="16" t="str">
        <x:v>Missing email</x:v>
      </x:c>
    </x:row>
    <x:row r="5863">
      <x:c r="A5863" s="16" t="n">
        <x:v>6065</x:v>
      </x:c>
      <x:c r="B5863" s="16" t="str">
        <x:v>Saiful Trainer Energizer</x:v>
      </x:c>
      <x:c r="C5863" s="16" t="str"/>
      <x:c r="D5863" s="16" t="str">
        <x:v>* myContacts</x:v>
      </x:c>
      <x:c r="E5863" s="16" t="str">
        <x:v>Missing email</x:v>
      </x:c>
    </x:row>
    <x:row r="5864">
      <x:c r="A5864" s="16" t="n">
        <x:v>6066</x:v>
      </x:c>
      <x:c r="B5864" s="16" t="str">
        <x:v>Saiful Utara Sales</x:v>
      </x:c>
      <x:c r="C5864" s="16" t="str"/>
      <x:c r="D5864" s="16" t="str">
        <x:v>* myContacts</x:v>
      </x:c>
      <x:c r="E5864" s="16" t="str">
        <x:v>Missing email</x:v>
      </x:c>
    </x:row>
    <x:row r="5865">
      <x:c r="A5865" s="16" t="n">
        <x:v>6067</x:v>
      </x:c>
      <x:c r="B5865" s="16" t="str">
        <x:v>Saiful Zinam Baharudin</x:v>
      </x:c>
      <x:c r="C5865" s="16" t="str"/>
      <x:c r="D5865" s="16" t="str">
        <x:v>* myContacts</x:v>
      </x:c>
      <x:c r="E5865" s="16" t="str">
        <x:v>Missing email</x:v>
      </x:c>
    </x:row>
    <x:row r="5866">
      <x:c r="A5866" s="16" t="n">
        <x:v>6068</x:v>
      </x:c>
      <x:c r="B5866" s="16" t="str">
        <x:v>Saifullah Ali Jobran Ti</x:v>
      </x:c>
      <x:c r="C5866" s="16" t="str"/>
      <x:c r="D5866" s="16" t="str">
        <x:v>* myContacts</x:v>
      </x:c>
      <x:c r="E5866" s="16" t="str">
        <x:v>Missing email</x:v>
      </x:c>
    </x:row>
    <x:row r="5867">
      <x:c r="A5867" s="16" t="n">
        <x:v>6069</x:v>
      </x:c>
      <x:c r="B5867" s="16" t="str">
        <x:v>Sajidah Nurazmatun Zaimi</x:v>
      </x:c>
      <x:c r="C5867" s="16" t="str"/>
      <x:c r="D5867" s="16" t="str">
        <x:v>* myContacts</x:v>
      </x:c>
      <x:c r="E5867" s="16" t="str">
        <x:v>Missing email</x:v>
      </x:c>
    </x:row>
    <x:row r="5868">
      <x:c r="A5868" s="16" t="n">
        <x:v>6070</x:v>
      </x:c>
      <x:c r="B5868" s="16" t="str">
        <x:v>Sal Salfiez</x:v>
      </x:c>
      <x:c r="C5868" s="16" t="str"/>
      <x:c r="D5868" s="16" t="str">
        <x:v>* myContacts</x:v>
      </x:c>
      <x:c r="E5868" s="16" t="str">
        <x:v>Missing email</x:v>
      </x:c>
    </x:row>
    <x:row r="5869">
      <x:c r="A5869" s="16" t="n">
        <x:v>6071</x:v>
      </x:c>
      <x:c r="B5869" s="16" t="str">
        <x:v>Salehin Said</x:v>
      </x:c>
      <x:c r="C5869" s="16" t="str"/>
      <x:c r="D5869" s="16" t="str">
        <x:v>* myContacts</x:v>
      </x:c>
      <x:c r="E5869" s="16" t="str">
        <x:v>Missing email</x:v>
      </x:c>
    </x:row>
    <x:row r="5870">
      <x:c r="A5870" s="16" t="n">
        <x:v>6072</x:v>
      </x:c>
      <x:c r="B5870" s="16" t="str">
        <x:v>Salihah Sally</x:v>
      </x:c>
      <x:c r="C5870" s="16" t="str"/>
      <x:c r="D5870" s="16" t="str">
        <x:v>* myContacts</x:v>
      </x:c>
      <x:c r="E5870" s="16" t="str">
        <x:v>Missing email</x:v>
      </x:c>
    </x:row>
    <x:row r="5871">
      <x:c r="A5871" s="16" t="n">
        <x:v>6073</x:v>
      </x:c>
      <x:c r="B5871" s="16" t="str">
        <x:v>SALIHIN ABANG</x:v>
      </x:c>
      <x:c r="C5871" s="16" t="str"/>
      <x:c r="D5871" s="16" t="str">
        <x:v>* myContacts</x:v>
      </x:c>
      <x:c r="E5871" s="16" t="str">
        <x:v>Missing email</x:v>
      </x:c>
    </x:row>
    <x:row r="5872">
      <x:c r="A5872" s="16" t="n">
        <x:v>6074</x:v>
      </x:c>
      <x:c r="B5872" s="16" t="str">
        <x:v>Dr SALIHIN ABANG</x:v>
      </x:c>
      <x:c r="C5872" s="16" t="str"/>
      <x:c r="D5872" s="16" t="str">
        <x:v>* myContacts</x:v>
      </x:c>
      <x:c r="E5872" s="16" t="str">
        <x:v>Missing email</x:v>
      </x:c>
    </x:row>
    <x:row r="5873">
      <x:c r="A5873" s="16" t="n">
        <x:v>6075</x:v>
      </x:c>
      <x:c r="B5873" s="16" t="str">
        <x:v>Salihin Fx</x:v>
      </x:c>
      <x:c r="C5873" s="16" t="str"/>
      <x:c r="D5873" s="16" t="str">
        <x:v>* myContacts</x:v>
      </x:c>
      <x:c r="E5873" s="16" t="str">
        <x:v>Missing email</x:v>
      </x:c>
    </x:row>
    <x:row r="5874">
      <x:c r="A5874" s="16" t="n">
        <x:v>6076</x:v>
      </x:c>
      <x:c r="B5874" s="16" t="str">
        <x:v>Salihin Mie</x:v>
      </x:c>
      <x:c r="C5874" s="16" t="str"/>
      <x:c r="D5874" s="16" t="str">
        <x:v>* myContacts</x:v>
      </x:c>
      <x:c r="E5874" s="16" t="str">
        <x:v>Missing email</x:v>
      </x:c>
    </x:row>
    <x:row r="5875">
      <x:c r="A5875" s="16" t="n">
        <x:v>6077</x:v>
      </x:c>
      <x:c r="B5875" s="16" t="str">
        <x:v>Salihinroslan Kecik Gile</x:v>
      </x:c>
      <x:c r="C5875" s="16" t="str"/>
      <x:c r="D5875" s="16" t="str">
        <x:v>* myContacts</x:v>
      </x:c>
      <x:c r="E5875" s="16" t="str">
        <x:v>Missing email</x:v>
      </x:c>
    </x:row>
    <x:row r="5876">
      <x:c r="A5876" s="16" t="n">
        <x:v>6078</x:v>
      </x:c>
      <x:c r="B5876" s="16" t="str">
        <x:v>Salim Thayubkhan</x:v>
      </x:c>
      <x:c r="C5876" s="16" t="str"/>
      <x:c r="D5876" s="16" t="str">
        <x:v>* myContacts</x:v>
      </x:c>
      <x:c r="E5876" s="16" t="str">
        <x:v>Missing email</x:v>
      </x:c>
    </x:row>
    <x:row r="5877">
      <x:c r="A5877" s="16" t="n">
        <x:v>6079</x:v>
      </x:c>
      <x:c r="B5877" s="16" t="str">
        <x:v>Salina BM Sec6</x:v>
      </x:c>
      <x:c r="C5877" s="16" t="str"/>
      <x:c r="D5877" s="16" t="str">
        <x:v>* myContacts</x:v>
      </x:c>
      <x:c r="E5877" s="16" t="str">
        <x:v>Missing email</x:v>
      </x:c>
    </x:row>
    <x:row r="5878">
      <x:c r="A5878" s="16" t="n">
        <x:v>6080</x:v>
      </x:c>
      <x:c r="B5878" s="16" t="str">
        <x:v>Salina Sari AGP</x:v>
      </x:c>
      <x:c r="C5878" s="16" t="str"/>
      <x:c r="D5878" s="16" t="str">
        <x:v>* myContacts</x:v>
      </x:c>
      <x:c r="E5878" s="16" t="str">
        <x:v>Missing email</x:v>
      </x:c>
    </x:row>
    <x:row r="5879">
      <x:c r="A5879" s="16" t="n">
        <x:v>6081</x:v>
      </x:c>
      <x:c r="B5879" s="16" t="str">
        <x:v>Salis Ong AGP</x:v>
      </x:c>
      <x:c r="C5879" s="16" t="str"/>
      <x:c r="D5879" s="16" t="str">
        <x:v>* myContacts</x:v>
      </x:c>
      <x:c r="E5879" s="16" t="str">
        <x:v>Missing email</x:v>
      </x:c>
    </x:row>
    <x:row r="5880">
      <x:c r="A5880" s="16" t="n">
        <x:v>6082</x:v>
      </x:c>
      <x:c r="B5880" s="16" t="str">
        <x:v>Salizan Izan</x:v>
      </x:c>
      <x:c r="C5880" s="16" t="str"/>
      <x:c r="D5880" s="16" t="str">
        <x:v>* myContacts</x:v>
      </x:c>
      <x:c r="E5880" s="16" t="str">
        <x:v>Missing email</x:v>
      </x:c>
    </x:row>
    <x:row r="5881">
      <x:c r="A5881" s="16" t="n">
        <x:v>6083</x:v>
      </x:c>
      <x:c r="B5881" s="16" t="str">
        <x:v>mr saljuk</x:v>
      </x:c>
      <x:c r="C5881" s="16" t="str"/>
      <x:c r="D5881" s="16" t="str">
        <x:v>* myContacts</x:v>
      </x:c>
      <x:c r="E5881" s="16" t="str">
        <x:v>Missing email</x:v>
      </x:c>
    </x:row>
    <x:row r="5882">
      <x:c r="A5882" s="16" t="n">
        <x:v>6084</x:v>
      </x:c>
      <x:c r="B5882" s="16" t="str">
        <x:v>Sally Uitm</x:v>
      </x:c>
      <x:c r="C5882" s="16" t="str"/>
      <x:c r="D5882" s="16" t="str">
        <x:v>* myContacts</x:v>
      </x:c>
      <x:c r="E5882" s="16" t="str">
        <x:v>Missing email</x:v>
      </x:c>
    </x:row>
    <x:row r="5883">
      <x:c r="A5883" s="16" t="n">
        <x:v>6085</x:v>
      </x:c>
      <x:c r="B5883" s="16" t="str">
        <x:v>Salmah HRDF</x:v>
      </x:c>
      <x:c r="C5883" s="16" t="str"/>
      <x:c r="D5883" s="16" t="str">
        <x:v>* myContacts</x:v>
      </x:c>
      <x:c r="E5883" s="16" t="str">
        <x:v>Missing email</x:v>
      </x:c>
    </x:row>
    <x:row r="5884">
      <x:c r="A5884" s="16" t="n">
        <x:v>6086</x:v>
      </x:c>
      <x:c r="B5884" s="16" t="str">
        <x:v>Salman Khairul Hazmi</x:v>
      </x:c>
      <x:c r="C5884" s="16" t="str"/>
      <x:c r="D5884" s="16" t="str">
        <x:v>* myContacts</x:v>
      </x:c>
      <x:c r="E5884" s="16" t="str">
        <x:v>Missing email</x:v>
      </x:c>
    </x:row>
    <x:row r="5885">
      <x:c r="A5885" s="16" t="n">
        <x:v>6087</x:v>
      </x:c>
      <x:c r="B5885" s="16" t="str">
        <x:v>Salman Sahya</x:v>
      </x:c>
      <x:c r="C5885" s="16" t="str"/>
      <x:c r="D5885" s="16" t="str">
        <x:v>* myContacts</x:v>
      </x:c>
      <x:c r="E5885" s="16" t="str">
        <x:v>Missing email</x:v>
      </x:c>
    </x:row>
    <x:row r="5886">
      <x:c r="A5886" s="16" t="n">
        <x:v>6088</x:v>
      </x:c>
      <x:c r="B5886" s="16" t="str">
        <x:v>Salmany Akir Trainer</x:v>
      </x:c>
      <x:c r="C5886" s="16" t="str"/>
      <x:c r="D5886" s="16" t="str">
        <x:v>Trainer | * myContacts</x:v>
      </x:c>
      <x:c r="E5886" s="16" t="str">
        <x:v>Missing email</x:v>
      </x:c>
    </x:row>
    <x:row r="5887">
      <x:c r="A5887" s="16" t="n">
        <x:v>6089</x:v>
      </x:c>
      <x:c r="B5887" s="16" t="str">
        <x:v>SaLmiah Ghani</x:v>
      </x:c>
      <x:c r="C5887" s="16" t="str"/>
      <x:c r="D5887" s="16" t="str">
        <x:v>* myContacts</x:v>
      </x:c>
      <x:c r="E5887" s="16" t="str">
        <x:v>Missing email</x:v>
      </x:c>
    </x:row>
    <x:row r="5888">
      <x:c r="A5888" s="16" t="n">
        <x:v>6090</x:v>
      </x:c>
      <x:c r="B5888" s="16" t="str">
        <x:v>Salmieah Mohamad AGP</x:v>
      </x:c>
      <x:c r="C5888" s="16" t="str"/>
      <x:c r="D5888" s="16" t="str">
        <x:v>* myContacts</x:v>
      </x:c>
      <x:c r="E5888" s="16" t="str">
        <x:v>Missing email</x:v>
      </x:c>
    </x:row>
    <x:row r="5889">
      <x:c r="A5889" s="16" t="n">
        <x:v>6091</x:v>
      </x:c>
      <x:c r="B5889" s="16" t="str">
        <x:v>Salvin Michael</x:v>
      </x:c>
      <x:c r="C5889" s="16" t="str"/>
      <x:c r="D5889" s="16" t="str">
        <x:v>* myContacts</x:v>
      </x:c>
      <x:c r="E5889" s="16" t="str">
        <x:v>Missing email</x:v>
      </x:c>
    </x:row>
    <x:row r="5890">
      <x:c r="A5890" s="16" t="n">
        <x:v>6092</x:v>
      </x:c>
      <x:c r="B5890" s="16" t="str">
        <x:v>Salwa Masdan</x:v>
      </x:c>
      <x:c r="C5890" s="16" t="str"/>
      <x:c r="D5890" s="16" t="str">
        <x:v>* myContacts</x:v>
      </x:c>
      <x:c r="E5890" s="16" t="str">
        <x:v>Missing email</x:v>
      </x:c>
    </x:row>
    <x:row r="5891">
      <x:c r="A5891" s="16" t="n">
        <x:v>6093</x:v>
      </x:c>
      <x:c r="B5891" s="16" t="str">
        <x:v>Salwa Mdec IM</x:v>
      </x:c>
      <x:c r="C5891" s="16" t="str"/>
      <x:c r="D5891" s="16" t="str">
        <x:v>* myContacts</x:v>
      </x:c>
      <x:c r="E5891" s="16" t="str">
        <x:v>Missing email</x:v>
      </x:c>
    </x:row>
    <x:row r="5892">
      <x:c r="A5892" s="16" t="n">
        <x:v>6094</x:v>
      </x:c>
      <x:c r="B5892" s="16" t="str">
        <x:v>Sam Sen</x:v>
      </x:c>
      <x:c r="C5892" s="16" t="str"/>
      <x:c r="D5892" s="16" t="str">
        <x:v>* myContacts</x:v>
      </x:c>
      <x:c r="E5892" s="16" t="str">
        <x:v>Missing email</x:v>
      </x:c>
    </x:row>
    <x:row r="5893">
      <x:c r="A5893" s="16" t="n">
        <x:v>6095</x:v>
      </x:c>
      <x:c r="B5893" s="16" t="str">
        <x:v>Samad Rugiman AGP</x:v>
      </x:c>
      <x:c r="C5893" s="16" t="str"/>
      <x:c r="D5893" s="16" t="str">
        <x:v>* myContacts</x:v>
      </x:c>
      <x:c r="E5893" s="16" t="str">
        <x:v>Missing email</x:v>
      </x:c>
    </x:row>
    <x:row r="5894">
      <x:c r="A5894" s="16" t="n">
        <x:v>6096</x:v>
      </x:c>
      <x:c r="B5894" s="16" t="str">
        <x:v>Sambaleena Pasti Terangkat</x:v>
      </x:c>
      <x:c r="C5894" s="16" t="str"/>
      <x:c r="D5894" s="16" t="str">
        <x:v>* myContacts</x:v>
      </x:c>
      <x:c r="E5894" s="16" t="str">
        <x:v>Missing email</x:v>
      </x:c>
    </x:row>
    <x:row r="5895">
      <x:c r="A5895" s="16" t="n">
        <x:v>6097</x:v>
      </x:c>
      <x:c r="B5895" s="16" t="str">
        <x:v>Samihah Ahmad</x:v>
      </x:c>
      <x:c r="C5895" s="16" t="str"/>
      <x:c r="D5895" s="16" t="str">
        <x:v>* myContacts</x:v>
      </x:c>
      <x:c r="E5895" s="16" t="str">
        <x:v>Missing email</x:v>
      </x:c>
    </x:row>
    <x:row r="5896">
      <x:c r="A5896" s="16" t="n">
        <x:v>6098</x:v>
      </x:c>
      <x:c r="B5896" s="16" t="str">
        <x:v>Samsul Ariffin Muktar</x:v>
      </x:c>
      <x:c r="C5896" s="16" t="str"/>
      <x:c r="D5896" s="16" t="str">
        <x:v>* myContacts</x:v>
      </x:c>
      <x:c r="E5896" s="16" t="str">
        <x:v>Missing email</x:v>
      </x:c>
    </x:row>
    <x:row r="5897">
      <x:c r="A5897" s="16" t="n">
        <x:v>6099</x:v>
      </x:c>
      <x:c r="B5897" s="16" t="str">
        <x:v>Samsul Mamu Kitchen</x:v>
      </x:c>
      <x:c r="C5897" s="16" t="str"/>
      <x:c r="D5897" s="16" t="str">
        <x:v>* myContacts</x:v>
      </x:c>
      <x:c r="E5897" s="16" t="str">
        <x:v>Missing email</x:v>
      </x:c>
    </x:row>
    <x:row r="5898">
      <x:c r="A5898" s="16" t="n">
        <x:v>6100</x:v>
      </x:c>
      <x:c r="B5898" s="16" t="str">
        <x:v>Samsunazri Bin Md Noor</x:v>
      </x:c>
      <x:c r="C5898" s="16" t="str"/>
      <x:c r="D5898" s="16" t="str">
        <x:v>* myContacts</x:v>
      </x:c>
      <x:c r="E5898" s="16" t="str">
        <x:v>Missing email</x:v>
      </x:c>
    </x:row>
    <x:row r="5899">
      <x:c r="A5899" s="16" t="n">
        <x:v>6101</x:v>
      </x:c>
      <x:c r="B5899" s="16" t="str">
        <x:v>Samsuri Iris utm</x:v>
      </x:c>
      <x:c r="C5899" s="16" t="str"/>
      <x:c r="D5899" s="16" t="str">
        <x:v>* myContacts</x:v>
      </x:c>
      <x:c r="E5899" s="16" t="str">
        <x:v>Missing email</x:v>
      </x:c>
    </x:row>
    <x:row r="5900">
      <x:c r="A5900" s="16" t="n">
        <x:v>6102</x:v>
      </x:c>
      <x:c r="B5900" s="16" t="str">
        <x:v>Sandhu Sandhu</x:v>
      </x:c>
      <x:c r="C5900" s="16" t="str"/>
      <x:c r="D5900" s="16" t="str">
        <x:v>* myContacts</x:v>
      </x:c>
      <x:c r="E5900" s="16" t="str">
        <x:v>Missing email</x:v>
      </x:c>
    </x:row>
    <x:row r="5901">
      <x:c r="A5901" s="16" t="n">
        <x:v>6103</x:v>
      </x:c>
      <x:c r="B5901" s="16" t="str">
        <x:v>Sandy Agasthi</x:v>
      </x:c>
      <x:c r="C5901" s="16" t="str"/>
      <x:c r="D5901" s="16" t="str">
        <x:v>* myContacts</x:v>
      </x:c>
      <x:c r="E5901" s="16" t="str">
        <x:v>Missing email</x:v>
      </x:c>
    </x:row>
    <x:row r="5902">
      <x:c r="A5902" s="16" t="n">
        <x:v>6104</x:v>
      </x:c>
      <x:c r="B5902" s="16" t="str">
        <x:v>Sangkapuri Pro Ject</x:v>
      </x:c>
      <x:c r="C5902" s="16" t="str"/>
      <x:c r="D5902" s="16" t="str">
        <x:v>* myContacts</x:v>
      </x:c>
      <x:c r="E5902" s="16" t="str">
        <x:v>Missing email</x:v>
      </x:c>
    </x:row>
    <x:row r="5903">
      <x:c r="A5903" s="16" t="n">
        <x:v>6105</x:v>
      </x:c>
      <x:c r="B5903" s="16" t="str">
        <x:v>Sanjay Khanna Chand</x:v>
      </x:c>
      <x:c r="C5903" s="16" t="str"/>
      <x:c r="D5903" s="16" t="str">
        <x:v>* myContacts</x:v>
      </x:c>
      <x:c r="E5903" s="16" t="str">
        <x:v>Missing email</x:v>
      </x:c>
    </x:row>
    <x:row r="5904">
      <x:c r="A5904" s="16" t="n">
        <x:v>6106</x:v>
      </x:c>
      <x:c r="B5904" s="16" t="str">
        <x:v>Sany Skc</x:v>
      </x:c>
      <x:c r="C5904" s="16" t="str"/>
      <x:c r="D5904" s="16" t="str">
        <x:v>* myContacts</x:v>
      </x:c>
      <x:c r="E5904" s="16" t="str">
        <x:v>Missing email</x:v>
      </x:c>
    </x:row>
    <x:row r="5905">
      <x:c r="A5905" s="16" t="n">
        <x:v>6107</x:v>
      </x:c>
      <x:c r="B5905" s="16" t="str">
        <x:v>Sapian Ramli</x:v>
      </x:c>
      <x:c r="C5905" s="16" t="str"/>
      <x:c r="D5905" s="16" t="str">
        <x:v>* myContacts</x:v>
      </x:c>
      <x:c r="E5905" s="16" t="str">
        <x:v>Missing email</x:v>
      </x:c>
    </x:row>
    <x:row r="5906">
      <x:c r="A5906" s="16" t="n">
        <x:v>6110</x:v>
      </x:c>
      <x:c r="B5906" s="16" t="str">
        <x:v>Saptuyah AGP</x:v>
      </x:c>
      <x:c r="C5906" s="16" t="str"/>
      <x:c r="D5906" s="16" t="str">
        <x:v>* myContacts</x:v>
      </x:c>
      <x:c r="E5906" s="16" t="str">
        <x:v>Missing email</x:v>
      </x:c>
    </x:row>
    <x:row r="5907">
      <x:c r="A5907" s="16" t="n">
        <x:v>6111</x:v>
      </x:c>
      <x:c r="B5907" s="16" t="str">
        <x:v>SAR ARAB SAUDI</x:v>
      </x:c>
      <x:c r="C5907" s="16" t="str"/>
      <x:c r="D5907" s="16" t="str">
        <x:v>* myContacts</x:v>
      </x:c>
      <x:c r="E5907" s="16" t="str">
        <x:v>Missing email</x:v>
      </x:c>
    </x:row>
    <x:row r="5908">
      <x:c r="A5908" s="16" t="n">
        <x:v>6112</x:v>
      </x:c>
      <x:c r="B5908" s="16" t="str">
        <x:v>Sara YOKOK Foundation Training Provider</x:v>
      </x:c>
      <x:c r="C5908" s="16" t="str"/>
      <x:c r="D5908" s="16" t="str">
        <x:v>* myContacts</x:v>
      </x:c>
      <x:c r="E5908" s="16" t="str">
        <x:v>Missing email</x:v>
      </x:c>
    </x:row>
    <x:row r="5909">
      <x:c r="A5909" s="16" t="n">
        <x:v>6113</x:v>
      </x:c>
      <x:c r="B5909" s="16" t="str">
        <x:v>Sarah Anak Makwee'</x:v>
      </x:c>
      <x:c r="C5909" s="16" t="str"/>
      <x:c r="D5909" s="16" t="str">
        <x:v>* myContacts</x:v>
      </x:c>
      <x:c r="E5909" s="16" t="str">
        <x:v>Missing email</x:v>
      </x:c>
    </x:row>
    <x:row r="5910">
      <x:c r="A5910" s="16" t="n">
        <x:v>6115</x:v>
      </x:c>
      <x:c r="B5910" s="16" t="str">
        <x:v>Sarah Asari Py</x:v>
      </x:c>
      <x:c r="C5910" s="16" t="str"/>
      <x:c r="D5910" s="16" t="str">
        <x:v>* myContacts</x:v>
      </x:c>
      <x:c r="E5910" s="16" t="str">
        <x:v>Missing email</x:v>
      </x:c>
    </x:row>
    <x:row r="5911">
      <x:c r="A5911" s="16" t="n">
        <x:v>6116</x:v>
      </x:c>
      <x:c r="B5911" s="16" t="str">
        <x:v>Sarah Emylia</x:v>
      </x:c>
      <x:c r="C5911" s="16" t="str"/>
      <x:c r="D5911" s="16" t="str">
        <x:v>* myContacts</x:v>
      </x:c>
      <x:c r="E5911" s="16" t="str">
        <x:v>Missing email</x:v>
      </x:c>
    </x:row>
    <x:row r="5912">
      <x:c r="A5912" s="16" t="n">
        <x:v>6117</x:v>
      </x:c>
      <x:c r="B5912" s="16" t="str">
        <x:v>Sarifuddin Suhari</x:v>
      </x:c>
      <x:c r="C5912" s="16" t="str"/>
      <x:c r="D5912" s="16" t="str">
        <x:v>* myContacts</x:v>
      </x:c>
      <x:c r="E5912" s="16" t="str">
        <x:v>Missing email</x:v>
      </x:c>
    </x:row>
    <x:row r="5913">
      <x:c r="A5913" s="16" t="n">
        <x:v>6118</x:v>
      </x:c>
      <x:c r="B5913" s="16" t="str">
        <x:v>Sarila AGP</x:v>
      </x:c>
      <x:c r="C5913" s="16" t="str"/>
      <x:c r="D5913" s="16" t="str">
        <x:v>* myContacts</x:v>
      </x:c>
      <x:c r="E5913" s="16" t="str">
        <x:v>Missing email</x:v>
      </x:c>
    </x:row>
    <x:row r="5914">
      <x:c r="A5914" s="16" t="n">
        <x:v>6119</x:v>
      </x:c>
      <x:c r="B5914" s="16" t="str">
        <x:v>Sarimah Ndlife</x:v>
      </x:c>
      <x:c r="C5914" s="16" t="str"/>
      <x:c r="D5914" s="16" t="str">
        <x:v>* myContacts</x:v>
      </x:c>
      <x:c r="E5914" s="16" t="str">
        <x:v>Missing email</x:v>
      </x:c>
    </x:row>
    <x:row r="5915">
      <x:c r="A5915" s="16" t="n">
        <x:v>6120</x:v>
      </x:c>
      <x:c r="B5915" s="16" t="str">
        <x:v>Sarina Sanip</x:v>
      </x:c>
      <x:c r="C5915" s="16" t="str"/>
      <x:c r="D5915" s="16" t="str">
        <x:v>* myContacts</x:v>
      </x:c>
      <x:c r="E5915" s="16" t="str">
        <x:v>Missing email</x:v>
      </x:c>
    </x:row>
    <x:row r="5916">
      <x:c r="A5916" s="16" t="n">
        <x:v>6121</x:v>
      </x:c>
      <x:c r="B5916" s="16" t="str">
        <x:v>Sarini</x:v>
      </x:c>
      <x:c r="C5916" s="16" t="str"/>
      <x:c r="D5916" s="16" t="str">
        <x:v>* myContacts</x:v>
      </x:c>
      <x:c r="E5916" s="16" t="str">
        <x:v>Missing email</x:v>
      </x:c>
    </x:row>
    <x:row r="5917">
      <x:c r="A5917" s="16" t="n">
        <x:v>6122</x:v>
      </x:c>
      <x:c r="B5917" s="16" t="str">
        <x:v>Sarini Edupreneur</x:v>
      </x:c>
      <x:c r="C5917" s="16" t="str"/>
      <x:c r="D5917" s="16" t="str">
        <x:v>* myContacts</x:v>
      </x:c>
      <x:c r="E5917" s="16" t="str">
        <x:v>Missing email</x:v>
      </x:c>
    </x:row>
    <x:row r="5918">
      <x:c r="A5918" s="16" t="n">
        <x:v>6123</x:v>
      </x:c>
      <x:c r="B5918" s="16" t="str">
        <x:v>Sarip Dol</x:v>
      </x:c>
      <x:c r="C5918" s="16" t="str"/>
      <x:c r="D5918" s="16" t="str">
        <x:v>* myContacts</x:v>
      </x:c>
      <x:c r="E5918" s="16" t="str">
        <x:v>Missing email</x:v>
      </x:c>
    </x:row>
    <x:row r="5919">
      <x:c r="A5919" s="16" t="n">
        <x:v>6124</x:v>
      </x:c>
      <x:c r="B5919" s="16" t="str">
        <x:v>Saripah Hamid</x:v>
      </x:c>
      <x:c r="C5919" s="16" t="str"/>
      <x:c r="D5919" s="16" t="str">
        <x:v>* myContacts</x:v>
      </x:c>
      <x:c r="E5919" s="16" t="str">
        <x:v>Missing email</x:v>
      </x:c>
    </x:row>
    <x:row r="5920">
      <x:c r="A5920" s="16" t="n">
        <x:v>6125</x:v>
      </x:c>
      <x:c r="B5920" s="16" t="str">
        <x:v>Saripah Loraine HG</x:v>
      </x:c>
      <x:c r="C5920" s="16" t="str"/>
      <x:c r="D5920" s="16" t="str">
        <x:v>* myContacts</x:v>
      </x:c>
      <x:c r="E5920" s="16" t="str">
        <x:v>Missing email</x:v>
      </x:c>
    </x:row>
    <x:row r="5921">
      <x:c r="A5921" s="16" t="n">
        <x:v>6126</x:v>
      </x:c>
      <x:c r="B5921" s="16" t="str">
        <x:v>Sarjan Mus Kuala Selangor</x:v>
      </x:c>
      <x:c r="C5921" s="16" t="str"/>
      <x:c r="D5921" s="16" t="str">
        <x:v>* myContacts</x:v>
      </x:c>
      <x:c r="E5921" s="16" t="str">
        <x:v>Missing email</x:v>
      </x:c>
    </x:row>
    <x:row r="5922">
      <x:c r="A5922" s="16" t="n">
        <x:v>6127</x:v>
      </x:c>
      <x:c r="B5922" s="16" t="str">
        <x:v>Sarker Sarker</x:v>
      </x:c>
      <x:c r="C5922" s="16" t="str"/>
      <x:c r="D5922" s="16" t="str">
        <x:v>* myContacts</x:v>
      </x:c>
      <x:c r="E5922" s="16" t="str">
        <x:v>Missing email</x:v>
      </x:c>
    </x:row>
    <x:row r="5923">
      <x:c r="A5923" s="16" t="n">
        <x:v>6128</x:v>
      </x:c>
      <x:c r="B5923" s="16" t="str">
        <x:v>Sarra Ain</x:v>
      </x:c>
      <x:c r="C5923" s="16" t="str"/>
      <x:c r="D5923" s="16" t="str">
        <x:v>* myContacts</x:v>
      </x:c>
      <x:c r="E5923" s="16" t="str">
        <x:v>Missing email</x:v>
      </x:c>
    </x:row>
    <x:row r="5924">
      <x:c r="A5924" s="16" t="n">
        <x:v>6129</x:v>
      </x:c>
      <x:c r="B5924" s="16" t="str">
        <x:v>Sartika Lerence</x:v>
      </x:c>
      <x:c r="C5924" s="16" t="str"/>
      <x:c r="D5924" s="16" t="str">
        <x:v>* myContacts</x:v>
      </x:c>
      <x:c r="E5924" s="16" t="str">
        <x:v>Missing email</x:v>
      </x:c>
    </x:row>
    <x:row r="5925">
      <x:c r="A5925" s="16" t="n">
        <x:v>6130</x:v>
      </x:c>
      <x:c r="B5925" s="16" t="str">
        <x:v>Sartika Sahat Rjb</x:v>
      </x:c>
      <x:c r="C5925" s="16" t="str"/>
      <x:c r="D5925" s="16" t="str">
        <x:v>* myContacts</x:v>
      </x:c>
      <x:c r="E5925" s="16" t="str">
        <x:v>Missing email</x:v>
      </x:c>
    </x:row>
    <x:row r="5926">
      <x:c r="A5926" s="16" t="n">
        <x:v>6131</x:v>
      </x:c>
      <x:c r="B5926" s="16" t="str">
        <x:v>Sas Rizal Mdec</x:v>
      </x:c>
      <x:c r="C5926" s="16" t="str"/>
      <x:c r="D5926" s="16" t="str">
        <x:v>* myContacts</x:v>
      </x:c>
      <x:c r="E5926" s="16" t="str">
        <x:v>Missing email</x:v>
      </x:c>
    </x:row>
    <x:row r="5927">
      <x:c r="A5927" s="16" t="n">
        <x:v>6132</x:v>
      </x:c>
      <x:c r="B5927" s="16" t="str">
        <x:v>Sasha</x:v>
      </x:c>
      <x:c r="C5927" s="16" t="str"/>
      <x:c r="D5927" s="16" t="str">
        <x:v>* myContacts</x:v>
      </x:c>
      <x:c r="E5927" s="16" t="str">
        <x:v>Missing email</x:v>
      </x:c>
    </x:row>
    <x:row r="5928">
      <x:c r="A5928" s="16" t="n">
        <x:v>6133</x:v>
      </x:c>
      <x:c r="B5928" s="16" t="str">
        <x:v>Satay Kuala Lumpur Akhrams</x:v>
      </x:c>
      <x:c r="C5928" s="16" t="str"/>
      <x:c r="D5928" s="16" t="str">
        <x:v>* myContacts</x:v>
      </x:c>
      <x:c r="E5928" s="16" t="str">
        <x:v>Missing email</x:v>
      </x:c>
    </x:row>
    <x:row r="5929">
      <x:c r="A5929" s="16" t="n">
        <x:v>6134</x:v>
      </x:c>
      <x:c r="B5929" s="16" t="str">
        <x:v>satish</x:v>
      </x:c>
      <x:c r="C5929" s="16" t="str"/>
      <x:c r="D5929" s="16" t="str">
        <x:v>* myContacts</x:v>
      </x:c>
      <x:c r="E5929" s="16" t="str">
        <x:v>Missing email</x:v>
      </x:c>
    </x:row>
    <x:row r="5930">
      <x:c r="A5930" s="16" t="n">
        <x:v>6135</x:v>
      </x:c>
      <x:c r="B5930" s="16" t="str">
        <x:v>Saudagar Bat</x:v>
      </x:c>
      <x:c r="C5930" s="16" t="str"/>
      <x:c r="D5930" s="16" t="str">
        <x:v>* myContacts</x:v>
      </x:c>
      <x:c r="E5930" s="16" t="str">
        <x:v>Missing email</x:v>
      </x:c>
    </x:row>
    <x:row r="5931">
      <x:c r="A5931" s="16" t="n">
        <x:v>6136</x:v>
      </x:c>
      <x:c r="B5931" s="16" t="str">
        <x:v>Saudagar Perfumes Dxandra</x:v>
      </x:c>
      <x:c r="C5931" s="16" t="str"/>
      <x:c r="D5931" s="16" t="str">
        <x:v>* myContacts</x:v>
      </x:c>
      <x:c r="E5931" s="16" t="str">
        <x:v>Missing email</x:v>
      </x:c>
    </x:row>
    <x:row r="5932">
      <x:c r="A5932" s="16" t="n">
        <x:v>6137</x:v>
      </x:c>
      <x:c r="B5932" s="16" t="str">
        <x:v>Saudagar Zohir</x:v>
      </x:c>
      <x:c r="C5932" s="16" t="str"/>
      <x:c r="D5932" s="16" t="str">
        <x:v>* myContacts</x:v>
      </x:c>
      <x:c r="E5932" s="16" t="str">
        <x:v>Missing email</x:v>
      </x:c>
    </x:row>
    <x:row r="5933">
      <x:c r="A5933" s="16" t="n">
        <x:v>6138</x:v>
      </x:c>
      <x:c r="B5933" s="16" t="str">
        <x:v>Saufi Sifu Video</x:v>
      </x:c>
      <x:c r="C5933" s="16" t="str"/>
      <x:c r="D5933" s="16" t="str">
        <x:v>* myContacts</x:v>
      </x:c>
      <x:c r="E5933" s="16" t="str">
        <x:v>Missing email</x:v>
      </x:c>
    </x:row>
    <x:row r="5934">
      <x:c r="A5934" s="16" t="n">
        <x:v>6139</x:v>
      </x:c>
      <x:c r="B5934" s="16" t="str">
        <x:v>Saufiq Grab Bintulu</x:v>
      </x:c>
      <x:c r="C5934" s="16" t="str"/>
      <x:c r="D5934" s="16" t="str">
        <x:v>* myContacts</x:v>
      </x:c>
      <x:c r="E5934" s="16" t="str">
        <x:v>Missing email</x:v>
      </x:c>
    </x:row>
    <x:row r="5935">
      <x:c r="A5935" s="16" t="n">
        <x:v>6140</x:v>
      </x:c>
      <x:c r="B5935" s="16" t="str">
        <x:v>SavanahWow HQ</x:v>
      </x:c>
      <x:c r="C5935" s="16" t="str"/>
      <x:c r="D5935" s="16" t="str">
        <x:v>* myContacts</x:v>
      </x:c>
      <x:c r="E5935" s="16" t="str">
        <x:v>Missing email</x:v>
      </x:c>
    </x:row>
    <x:row r="5936">
      <x:c r="A5936" s="16" t="n">
        <x:v>6141</x:v>
      </x:c>
      <x:c r="B5936" s="16" t="str">
        <x:v>Saya Nak Komen</x:v>
      </x:c>
      <x:c r="C5936" s="16" t="str"/>
      <x:c r="D5936" s="16" t="str">
        <x:v>* myContacts</x:v>
      </x:c>
      <x:c r="E5936" s="16" t="str">
        <x:v>Missing email</x:v>
      </x:c>
    </x:row>
    <x:row r="5937">
      <x:c r="A5937" s="16" t="n">
        <x:v>6142</x:v>
      </x:c>
      <x:c r="B5937" s="16" t="str">
        <x:v>Saypol FGM</x:v>
      </x:c>
      <x:c r="C5937" s="16" t="str"/>
      <x:c r="D5937" s="16" t="str">
        <x:v>* myContacts</x:v>
      </x:c>
      <x:c r="E5937" s="16" t="str">
        <x:v>Missing email</x:v>
      </x:c>
    </x:row>
    <x:row r="5938">
      <x:c r="A5938" s="16" t="n">
        <x:v>6143</x:v>
      </x:c>
      <x:c r="B5938" s="16" t="str">
        <x:v>Sazan Hassan</x:v>
      </x:c>
      <x:c r="C5938" s="16" t="str"/>
      <x:c r="D5938" s="16" t="str">
        <x:v>* myContacts</x:v>
      </x:c>
      <x:c r="E5938" s="16" t="str">
        <x:v>Missing email</x:v>
      </x:c>
    </x:row>
    <x:row r="5939">
      <x:c r="A5939" s="16" t="n">
        <x:v>6144</x:v>
      </x:c>
      <x:c r="B5939" s="16" t="str">
        <x:v>Sazarina Tanjak</x:v>
      </x:c>
      <x:c r="C5939" s="16" t="str"/>
      <x:c r="D5939" s="16" t="str">
        <x:v>* myContacts</x:v>
      </x:c>
      <x:c r="E5939" s="16" t="str">
        <x:v>Missing email</x:v>
      </x:c>
    </x:row>
    <x:row r="5940">
      <x:c r="A5940" s="16" t="n">
        <x:v>6145</x:v>
      </x:c>
      <x:c r="B5940" s="16" t="str">
        <x:v>Sazila Ismail</x:v>
      </x:c>
      <x:c r="C5940" s="16" t="str"/>
      <x:c r="D5940" s="16" t="str">
        <x:v>* myContacts</x:v>
      </x:c>
      <x:c r="E5940" s="16" t="str">
        <x:v>Missing email</x:v>
      </x:c>
    </x:row>
    <x:row r="5941">
      <x:c r="A5941" s="16" t="n">
        <x:v>6146</x:v>
      </x:c>
      <x:c r="B5941" s="16" t="str">
        <x:v>Sazureen Abu Hasan</x:v>
      </x:c>
      <x:c r="C5941" s="16" t="str"/>
      <x:c r="D5941" s="16" t="str">
        <x:v>* myContacts</x:v>
      </x:c>
      <x:c r="E5941" s="16" t="str">
        <x:v>Missing email</x:v>
      </x:c>
    </x:row>
    <x:row r="5942">
      <x:c r="A5942" s="16" t="n">
        <x:v>6147</x:v>
      </x:c>
      <x:c r="B5942" s="16" t="str">
        <x:v>Scarlet Hafi</x:v>
      </x:c>
      <x:c r="C5942" s="16" t="str"/>
      <x:c r="D5942" s="16" t="str">
        <x:v>* myContacts</x:v>
      </x:c>
      <x:c r="E5942" s="16" t="str">
        <x:v>Missing email</x:v>
      </x:c>
    </x:row>
    <x:row r="5943">
      <x:c r="A5943" s="16" t="n">
        <x:v>6148</x:v>
      </x:c>
      <x:c r="B5943" s="16" t="str">
        <x:v>Schatzs Hq</x:v>
      </x:c>
      <x:c r="C5943" s="16" t="str"/>
      <x:c r="D5943" s="16" t="str">
        <x:v>* myContacts</x:v>
      </x:c>
      <x:c r="E5943" s="16" t="str">
        <x:v>Missing email</x:v>
      </x:c>
    </x:row>
    <x:row r="5944">
      <x:c r="A5944" s="16" t="n">
        <x:v>6149</x:v>
      </x:c>
      <x:c r="B5944" s="16" t="str">
        <x:v>Schumacher Macher</x:v>
      </x:c>
      <x:c r="C5944" s="16" t="str"/>
      <x:c r="D5944" s="16" t="str">
        <x:v>* myContacts</x:v>
      </x:c>
      <x:c r="E5944" s="16" t="str">
        <x:v>Missing email</x:v>
      </x:c>
    </x:row>
    <x:row r="5945">
      <x:c r="A5945" s="16" t="n">
        <x:v>6151</x:v>
      </x:c>
      <x:c r="B5945" s="16" t="str">
        <x:v>Sean Ipoh Garden Akupunture</x:v>
      </x:c>
      <x:c r="C5945" s="16" t="str"/>
      <x:c r="D5945" s="16" t="str">
        <x:v>* myContacts</x:v>
      </x:c>
      <x:c r="E5945" s="16" t="str">
        <x:v>Missing email</x:v>
      </x:c>
    </x:row>
    <x:row r="5946">
      <x:c r="A5946" s="16" t="n">
        <x:v>6152</x:v>
      </x:c>
      <x:c r="B5946" s="16" t="str">
        <x:v>Sebastian Schwarzenegger Negger</x:v>
      </x:c>
      <x:c r="C5946" s="16" t="str"/>
      <x:c r="D5946" s="16" t="str">
        <x:v>* myContacts</x:v>
      </x:c>
      <x:c r="E5946" s="16" t="str">
        <x:v>Missing email</x:v>
      </x:c>
    </x:row>
    <x:row r="5947">
      <x:c r="A5947" s="16" t="n">
        <x:v>6153</x:v>
      </x:c>
      <x:c r="B5947" s="16" t="str">
        <x:v>Secretariat DPIM</x:v>
      </x:c>
      <x:c r="C5947" s="16" t="str"/>
      <x:c r="D5947" s="16" t="str">
        <x:v>* myContacts</x:v>
      </x:c>
      <x:c r="E5947" s="16" t="str">
        <x:v>Missing email</x:v>
      </x:c>
    </x:row>
    <x:row r="5948">
      <x:c r="A5948" s="16" t="n">
        <x:v>6154</x:v>
      </x:c>
      <x:c r="B5948" s="16" t="str">
        <x:v>Sekamat Champs</x:v>
      </x:c>
      <x:c r="C5948" s="16" t="str"/>
      <x:c r="D5948" s="16" t="str">
        <x:v>* myContacts</x:v>
      </x:c>
      <x:c r="E5948" s="16" t="str">
        <x:v>Missing email</x:v>
      </x:c>
    </x:row>
    <x:row r="5949">
      <x:c r="A5949" s="16" t="n">
        <x:v>6155</x:v>
      </x:c>
      <x:c r="B5949" s="16" t="str">
        <x:v>Selendang Hijau</x:v>
      </x:c>
      <x:c r="C5949" s="16" t="str"/>
      <x:c r="D5949" s="16" t="str">
        <x:v>* myContacts</x:v>
      </x:c>
      <x:c r="E5949" s="16" t="str">
        <x:v>Missing email</x:v>
      </x:c>
    </x:row>
    <x:row r="5950">
      <x:c r="A5950" s="16" t="n">
        <x:v>6156</x:v>
      </x:c>
      <x:c r="B5950" s="16" t="str">
        <x:v>Selva Siva</x:v>
      </x:c>
      <x:c r="C5950" s="16" t="str"/>
      <x:c r="D5950" s="16" t="str">
        <x:v>* myContacts</x:v>
      </x:c>
      <x:c r="E5950" s="16" t="str">
        <x:v>Missing email</x:v>
      </x:c>
    </x:row>
    <x:row r="5951">
      <x:c r="A5951" s="16" t="n">
        <x:v>6157</x:v>
      </x:c>
      <x:c r="B5951" s="16" t="str">
        <x:v>Seman Rashid Seman Rashid</x:v>
      </x:c>
      <x:c r="C5951" s="16" t="str"/>
      <x:c r="D5951" s="16" t="str">
        <x:v>* myContacts</x:v>
      </x:c>
      <x:c r="E5951" s="16" t="str">
        <x:v>Missing email</x:v>
      </x:c>
    </x:row>
    <x:row r="5952">
      <x:c r="A5952" s="16" t="n">
        <x:v>6158</x:v>
      </x:c>
      <x:c r="B5952" s="16" t="str">
        <x:v>Seng Mir Maju</x:v>
      </x:c>
      <x:c r="C5952" s="16" t="str"/>
      <x:c r="D5952" s="16" t="str">
        <x:v>* myContacts</x:v>
      </x:c>
      <x:c r="E5952" s="16" t="str">
        <x:v>Missing email</x:v>
      </x:c>
    </x:row>
    <x:row r="5953">
      <x:c r="A5953" s="16" t="n">
        <x:v>6159</x:v>
      </x:c>
      <x:c r="B5953" s="16" t="str">
        <x:v>Seniora Malaysia</x:v>
      </x:c>
      <x:c r="C5953" s="16" t="str"/>
      <x:c r="D5953" s="16" t="str">
        <x:v>* myContacts</x:v>
      </x:c>
      <x:c r="E5953" s="16" t="str">
        <x:v>Missing email</x:v>
      </x:c>
    </x:row>
    <x:row r="5954">
      <x:c r="A5954" s="16" t="n">
        <x:v>6160</x:v>
      </x:c>
      <x:c r="B5954" s="16" t="str">
        <x:v>Seno Tono</x:v>
      </x:c>
      <x:c r="C5954" s="16" t="str"/>
      <x:c r="D5954" s="16" t="str">
        <x:v>* myContacts</x:v>
      </x:c>
      <x:c r="E5954" s="16" t="str">
        <x:v>Missing email</x:v>
      </x:c>
    </x:row>
    <x:row r="5955">
      <x:c r="A5955" s="16" t="n">
        <x:v>6161</x:v>
      </x:c>
      <x:c r="B5955" s="16" t="str">
        <x:v>Senyum Saja Bah</x:v>
      </x:c>
      <x:c r="C5955" s="16" t="str"/>
      <x:c r="D5955" s="16" t="str">
        <x:v>* myContacts</x:v>
      </x:c>
      <x:c r="E5955" s="16" t="str">
        <x:v>Missing email</x:v>
      </x:c>
    </x:row>
    <x:row r="5956">
      <x:c r="A5956" s="16" t="n">
        <x:v>6162</x:v>
      </x:c>
      <x:c r="B5956" s="16" t="str">
        <x:v>Senyum Tangis</x:v>
      </x:c>
      <x:c r="C5956" s="16" t="str"/>
      <x:c r="D5956" s="16" t="str">
        <x:v>* myContacts</x:v>
      </x:c>
      <x:c r="E5956" s="16" t="str">
        <x:v>Missing email</x:v>
      </x:c>
    </x:row>
    <x:row r="5957">
      <x:c r="A5957" s="16" t="n">
        <x:v>6163</x:v>
      </x:c>
      <x:c r="B5957" s="16" t="str">
        <x:v>Serah Qlateww</x:v>
      </x:c>
      <x:c r="C5957" s="16" t="str"/>
      <x:c r="D5957" s="16" t="str">
        <x:v>* myContacts</x:v>
      </x:c>
      <x:c r="E5957" s="16" t="str">
        <x:v>Missing email</x:v>
      </x:c>
    </x:row>
    <x:row r="5958">
      <x:c r="A5958" s="16" t="n">
        <x:v>6164</x:v>
      </x:c>
      <x:c r="B5958" s="16" t="str">
        <x:v>Serok Bolok</x:v>
      </x:c>
      <x:c r="C5958" s="16" t="str"/>
      <x:c r="D5958" s="16" t="str">
        <x:v>* myContacts</x:v>
      </x:c>
      <x:c r="E5958" s="16" t="str">
        <x:v>Missing email</x:v>
      </x:c>
    </x:row>
    <x:row r="5959">
      <x:c r="A5959" s="16" t="n">
        <x:v>6165</x:v>
      </x:c>
      <x:c r="B5959" s="16" t="str">
        <x:v>Serv Unifi Pn. Musalmah (intan Network)</x:v>
      </x:c>
      <x:c r="C5959" s="16" t="str"/>
      <x:c r="D5959" s="16" t="str">
        <x:v>* myContacts</x:v>
      </x:c>
      <x:c r="E5959" s="16" t="str">
        <x:v>Missing email</x:v>
      </x:c>
    </x:row>
    <x:row r="5960">
      <x:c r="A5960" s="16" t="n">
        <x:v>6166</x:v>
      </x:c>
      <x:c r="B5960" s="16" t="str">
        <x:v>SetyaShop</x:v>
      </x:c>
      <x:c r="C5960" s="16" t="str"/>
      <x:c r="D5960" s="16" t="str">
        <x:v>* myContacts</x:v>
      </x:c>
      <x:c r="E5960" s="16" t="str">
        <x:v>Missing email</x:v>
      </x:c>
    </x:row>
    <x:row r="5961">
      <x:c r="A5961" s="16" t="n">
        <x:v>6167</x:v>
      </x:c>
      <x:c r="B5961" s="16" t="str">
        <x:v>Seven Osim</x:v>
      </x:c>
      <x:c r="C5961" s="16" t="str"/>
      <x:c r="D5961" s="16" t="str">
        <x:v>* myContacts</x:v>
      </x:c>
      <x:c r="E5961" s="16" t="str">
        <x:v>Missing email</x:v>
      </x:c>
    </x:row>
    <x:row r="5962">
      <x:c r="A5962" s="16" t="n">
        <x:v>6168</x:v>
      </x:c>
      <x:c r="B5962" s="16" t="str">
        <x:v>Sha -Ariel</x:v>
      </x:c>
      <x:c r="C5962" s="16" t="str"/>
      <x:c r="D5962" s="16" t="str">
        <x:v>* myContacts</x:v>
      </x:c>
      <x:c r="E5962" s="16" t="str">
        <x:v>Missing email</x:v>
      </x:c>
    </x:row>
    <x:row r="5963">
      <x:c r="A5963" s="16" t="n">
        <x:v>6169</x:v>
      </x:c>
      <x:c r="B5963" s="16" t="str">
        <x:v>Sha Iecha</x:v>
      </x:c>
      <x:c r="C5963" s="16" t="str"/>
      <x:c r="D5963" s="16" t="str">
        <x:v>* myContacts</x:v>
      </x:c>
      <x:c r="E5963" s="16" t="str">
        <x:v>Missing email</x:v>
      </x:c>
    </x:row>
    <x:row r="5964">
      <x:c r="A5964" s="16" t="n">
        <x:v>6170</x:v>
      </x:c>
      <x:c r="B5964" s="16" t="str">
        <x:v>Sha Jamilah Mdec Trainer</x:v>
      </x:c>
      <x:c r="C5964" s="16" t="str"/>
      <x:c r="D5964" s="16" t="str">
        <x:v>Trainer | * myContacts</x:v>
      </x:c>
      <x:c r="E5964" s="16" t="str">
        <x:v>Missing email</x:v>
      </x:c>
    </x:row>
    <x:row r="5965">
      <x:c r="A5965" s="16" t="n">
        <x:v>6171</x:v>
      </x:c>
      <x:c r="B5965" s="16" t="str">
        <x:v>Sha Kosmetik</x:v>
      </x:c>
      <x:c r="C5965" s="16" t="str"/>
      <x:c r="D5965" s="16" t="str">
        <x:v>* myContacts</x:v>
      </x:c>
      <x:c r="E5965" s="16" t="str">
        <x:v>Missing email</x:v>
      </x:c>
    </x:row>
    <x:row r="5966">
      <x:c r="A5966" s="16" t="n">
        <x:v>6172</x:v>
      </x:c>
      <x:c r="B5966" s="16" t="str">
        <x:v>Sha Mdy</x:v>
      </x:c>
      <x:c r="C5966" s="16" t="str"/>
      <x:c r="D5966" s="16" t="str">
        <x:v>* myContacts</x:v>
      </x:c>
      <x:c r="E5966" s="16" t="str">
        <x:v>Missing email</x:v>
      </x:c>
    </x:row>
    <x:row r="5967">
      <x:c r="A5967" s="16" t="n">
        <x:v>6173</x:v>
      </x:c>
      <x:c r="B5967" s="16" t="str">
        <x:v>Sha wife adry</x:v>
      </x:c>
      <x:c r="C5967" s="16" t="str"/>
      <x:c r="D5967" s="16" t="str">
        <x:v>* myContacts</x:v>
      </x:c>
      <x:c r="E5967" s="16" t="str">
        <x:v>Missing email</x:v>
      </x:c>
    </x:row>
    <x:row r="5968">
      <x:c r="A5968" s="16" t="n">
        <x:v>6174</x:v>
      </x:c>
      <x:c r="B5968" s="16" t="str">
        <x:v>SHAARI ISHAK</x:v>
      </x:c>
      <x:c r="C5968" s="16" t="str"/>
      <x:c r="D5968" s="16" t="str">
        <x:v>* myContacts</x:v>
      </x:c>
      <x:c r="E5968" s="16" t="str">
        <x:v>Missing email</x:v>
      </x:c>
    </x:row>
    <x:row r="5969">
      <x:c r="A5969" s="16" t="n">
        <x:v>6175</x:v>
      </x:c>
      <x:c r="B5969" s="16" t="str">
        <x:v>shaeza INSKEN</x:v>
      </x:c>
      <x:c r="C5969" s="16" t="str"/>
      <x:c r="D5969" s="16" t="str">
        <x:v>Alumni INSKEN | * myContacts</x:v>
      </x:c>
      <x:c r="E5969" s="16" t="str">
        <x:v>Missing email</x:v>
      </x:c>
    </x:row>
    <x:row r="5970">
      <x:c r="A5970" s="16" t="n">
        <x:v>6176</x:v>
      </x:c>
      <x:c r="B5970" s="16" t="str">
        <x:v>Shafaril Rey</x:v>
      </x:c>
      <x:c r="C5970" s="16" t="str"/>
      <x:c r="D5970" s="16" t="str">
        <x:v>* myContacts</x:v>
      </x:c>
      <x:c r="E5970" s="16" t="str">
        <x:v>Missing email</x:v>
      </x:c>
    </x:row>
    <x:row r="5971">
      <x:c r="A5971" s="16" t="n">
        <x:v>6177</x:v>
      </x:c>
      <x:c r="B5971" s="16" t="str">
        <x:v>Shafawati Nadiah</x:v>
      </x:c>
      <x:c r="C5971" s="16" t="str"/>
      <x:c r="D5971" s="16" t="str">
        <x:v>* myContacts</x:v>
      </x:c>
      <x:c r="E5971" s="16" t="str">
        <x:v>Missing email</x:v>
      </x:c>
    </x:row>
    <x:row r="5972">
      <x:c r="A5972" s="16" t="n">
        <x:v>6178</x:v>
      </x:c>
      <x:c r="B5972" s="16" t="str">
        <x:v>Shafie Ahmad</x:v>
      </x:c>
      <x:c r="C5972" s="16" t="str"/>
      <x:c r="D5972" s="16" t="str">
        <x:v>* myContacts</x:v>
      </x:c>
      <x:c r="E5972" s="16" t="str">
        <x:v>Missing email</x:v>
      </x:c>
    </x:row>
    <x:row r="5973">
      <x:c r="A5973" s="16" t="n">
        <x:v>6179</x:v>
      </x:c>
      <x:c r="B5973" s="16" t="str">
        <x:v>Shafie Perunding Hartanah</x:v>
      </x:c>
      <x:c r="C5973" s="16" t="str"/>
      <x:c r="D5973" s="16" t="str">
        <x:v>* myContacts</x:v>
      </x:c>
      <x:c r="E5973" s="16" t="str">
        <x:v>Missing email</x:v>
      </x:c>
    </x:row>
    <x:row r="5974">
      <x:c r="A5974" s="16" t="n">
        <x:v>6180</x:v>
      </x:c>
      <x:c r="B5974" s="16" t="str">
        <x:v>shafieie im</x:v>
      </x:c>
      <x:c r="C5974" s="16" t="str"/>
      <x:c r="D5974" s="16" t="str">
        <x:v>* myContacts</x:v>
      </x:c>
      <x:c r="E5974" s="16" t="str">
        <x:v>Missing email</x:v>
      </x:c>
    </x:row>
    <x:row r="5975">
      <x:c r="A5975" s="16" t="n">
        <x:v>6181</x:v>
      </x:c>
      <x:c r="B5975" s="16" t="str">
        <x:v>Shafini Ab Aziz Mdec</x:v>
      </x:c>
      <x:c r="C5975" s="16" t="str"/>
      <x:c r="D5975" s="16" t="str">
        <x:v>* myContacts</x:v>
      </x:c>
      <x:c r="E5975" s="16" t="str">
        <x:v>Missing email</x:v>
      </x:c>
    </x:row>
    <x:row r="5976">
      <x:c r="A5976" s="16" t="n">
        <x:v>6182</x:v>
      </x:c>
      <x:c r="B5976" s="16" t="str">
        <x:v>Shafiq 2 Jookaplee</x:v>
      </x:c>
      <x:c r="C5976" s="16" t="str"/>
      <x:c r="D5976" s="16" t="str">
        <x:v>* myContacts</x:v>
      </x:c>
      <x:c r="E5976" s="16" t="str">
        <x:v>Missing email</x:v>
      </x:c>
    </x:row>
    <x:row r="5977">
      <x:c r="A5977" s="16" t="n">
        <x:v>6183</x:v>
      </x:c>
      <x:c r="B5977" s="16" t="str">
        <x:v>Shafiq Almansuri</x:v>
      </x:c>
      <x:c r="C5977" s="16" t="str"/>
      <x:c r="D5977" s="16" t="str">
        <x:v>* myContacts</x:v>
      </x:c>
      <x:c r="E5977" s="16" t="str">
        <x:v>Missing email</x:v>
      </x:c>
    </x:row>
    <x:row r="5978">
      <x:c r="A5978" s="16" t="n">
        <x:v>6184</x:v>
      </x:c>
      <x:c r="B5978" s="16" t="str">
        <x:v>Shafiq Dji 1 Utama</x:v>
      </x:c>
      <x:c r="C5978" s="16" t="str"/>
      <x:c r="D5978" s="16" t="str">
        <x:v>* myContacts</x:v>
      </x:c>
      <x:c r="E5978" s="16" t="str">
        <x:v>Missing email</x:v>
      </x:c>
    </x:row>
    <x:row r="5979">
      <x:c r="A5979" s="16" t="n">
        <x:v>6185</x:v>
      </x:c>
      <x:c r="B5979" s="16" t="str">
        <x:v>Shafiq G-Mart Group</x:v>
      </x:c>
      <x:c r="C5979" s="16" t="str"/>
      <x:c r="D5979" s="16" t="str">
        <x:v>* myContacts</x:v>
      </x:c>
      <x:c r="E5979" s="16" t="str">
        <x:v>Missing email</x:v>
      </x:c>
    </x:row>
    <x:row r="5980">
      <x:c r="A5980" s="16" t="n">
        <x:v>6186</x:v>
      </x:c>
      <x:c r="B5980" s="16" t="str">
        <x:v>Shafiq Jookepli Metro Academy</x:v>
      </x:c>
      <x:c r="C5980" s="16" t="str"/>
      <x:c r="D5980" s="16" t="str">
        <x:v>* myContacts | * starred</x:v>
      </x:c>
      <x:c r="E5980" s="16" t="str">
        <x:v>Missing email</x:v>
      </x:c>
    </x:row>
    <x:row r="5981">
      <x:c r="A5981" s="16" t="n">
        <x:v>6187</x:v>
      </x:c>
      <x:c r="B5981" s="16" t="str">
        <x:v>Shafiq Otai Pancig</x:v>
      </x:c>
      <x:c r="C5981" s="16" t="str"/>
      <x:c r="D5981" s="16" t="str">
        <x:v>* myContacts</x:v>
      </x:c>
      <x:c r="E5981" s="16" t="str">
        <x:v>Missing email</x:v>
      </x:c>
    </x:row>
    <x:row r="5982">
      <x:c r="A5982" s="16" t="n">
        <x:v>6188</x:v>
      </x:c>
      <x:c r="B5982" s="16" t="str">
        <x:v>Shafiq Xii</x:v>
      </x:c>
      <x:c r="C5982" s="16" t="str"/>
      <x:c r="D5982" s="16" t="str">
        <x:v>* myContacts</x:v>
      </x:c>
      <x:c r="E5982" s="16" t="str">
        <x:v>Missing email</x:v>
      </x:c>
    </x:row>
    <x:row r="5983">
      <x:c r="A5983" s="16" t="n">
        <x:v>6189</x:v>
      </x:c>
      <x:c r="B5983" s="16" t="str">
        <x:v>Shah Advert Consultant</x:v>
      </x:c>
      <x:c r="C5983" s="16" t="str"/>
      <x:c r="D5983" s="16" t="str">
        <x:v>* myContacts</x:v>
      </x:c>
      <x:c r="E5983" s="16" t="str">
        <x:v>Missing email</x:v>
      </x:c>
    </x:row>
    <x:row r="5984">
      <x:c r="A5984" s="16" t="n">
        <x:v>6190</x:v>
      </x:c>
      <x:c r="B5984" s="16" t="str">
        <x:v>Shah Arol</x:v>
      </x:c>
      <x:c r="C5984" s="16" t="str"/>
      <x:c r="D5984" s="16" t="str">
        <x:v>* myContacts</x:v>
      </x:c>
      <x:c r="E5984" s="16" t="str">
        <x:v>Missing email</x:v>
      </x:c>
    </x:row>
    <x:row r="5985">
      <x:c r="A5985" s="16" t="n">
        <x:v>6191</x:v>
      </x:c>
      <x:c r="B5985" s="16" t="str">
        <x:v>Shah Aziq</x:v>
      </x:c>
      <x:c r="C5985" s="16" t="str"/>
      <x:c r="D5985" s="16" t="str">
        <x:v>* myContacts</x:v>
      </x:c>
      <x:c r="E5985" s="16" t="str">
        <x:v>Missing email</x:v>
      </x:c>
    </x:row>
    <x:row r="5986">
      <x:c r="A5986" s="16" t="n">
        <x:v>6192</x:v>
      </x:c>
      <x:c r="B5986" s="16" t="str">
        <x:v>Shah Biz</x:v>
      </x:c>
      <x:c r="C5986" s="16" t="str"/>
      <x:c r="D5986" s="16" t="str">
        <x:v>* myContacts</x:v>
      </x:c>
      <x:c r="E5986" s="16" t="str">
        <x:v>Missing email</x:v>
      </x:c>
    </x:row>
    <x:row r="5987">
      <x:c r="A5987" s="16" t="n">
        <x:v>6193</x:v>
      </x:c>
      <x:c r="B5987" s="16" t="str">
        <x:v>Shah Coach</x:v>
      </x:c>
      <x:c r="C5987" s="16" t="str"/>
      <x:c r="D5987" s="16" t="str">
        <x:v>Trainer | * myContacts</x:v>
      </x:c>
      <x:c r="E5987" s="16" t="str">
        <x:v>Missing email</x:v>
      </x:c>
    </x:row>
    <x:row r="5988">
      <x:c r="A5988" s="16" t="n">
        <x:v>6194</x:v>
      </x:c>
      <x:c r="B5988" s="16" t="str">
        <x:v>Shah Darwin</x:v>
      </x:c>
      <x:c r="C5988" s="16" t="str"/>
      <x:c r="D5988" s="16" t="str">
        <x:v>* myContacts</x:v>
      </x:c>
      <x:c r="E5988" s="16" t="str">
        <x:v>Missing email</x:v>
      </x:c>
    </x:row>
    <x:row r="5989">
      <x:c r="A5989" s="16" t="n">
        <x:v>6195</x:v>
      </x:c>
      <x:c r="B5989" s="16" t="str">
        <x:v>Shah Ezard Shazard</x:v>
      </x:c>
      <x:c r="C5989" s="16" t="str"/>
      <x:c r="D5989" s="16" t="str">
        <x:v>* myContacts</x:v>
      </x:c>
      <x:c r="E5989" s="16" t="str">
        <x:v>Missing email</x:v>
      </x:c>
    </x:row>
    <x:row r="5990">
      <x:c r="A5990" s="16" t="n">
        <x:v>6196</x:v>
      </x:c>
      <x:c r="B5990" s="16" t="str">
        <x:v>Shah Half Cut</x:v>
      </x:c>
      <x:c r="C5990" s="16" t="str"/>
      <x:c r="D5990" s="16" t="str">
        <x:v>* myContacts</x:v>
      </x:c>
      <x:c r="E5990" s="16" t="str">
        <x:v>Missing email</x:v>
      </x:c>
    </x:row>
    <x:row r="5991">
      <x:c r="A5991" s="16" t="n">
        <x:v>6197</x:v>
      </x:c>
      <x:c r="B5991" s="16" t="str">
        <x:v>Shah Izwan Nazlin</x:v>
      </x:c>
      <x:c r="C5991" s="16" t="str"/>
      <x:c r="D5991" s="16" t="str">
        <x:v>* myContacts</x:v>
      </x:c>
      <x:c r="E5991" s="16" t="str">
        <x:v>Missing email</x:v>
      </x:c>
    </x:row>
    <x:row r="5992">
      <x:c r="A5992" s="16" t="n">
        <x:v>6198</x:v>
      </x:c>
      <x:c r="B5992" s="16" t="str">
        <x:v>Shah Nlp Taiping</x:v>
      </x:c>
      <x:c r="C5992" s="16" t="str"/>
      <x:c r="D5992" s="16" t="str">
        <x:v>* myContacts</x:v>
      </x:c>
      <x:c r="E5992" s="16" t="str">
        <x:v>Missing email</x:v>
      </x:c>
    </x:row>
    <x:row r="5993">
      <x:c r="A5993" s="16" t="n">
        <x:v>6199</x:v>
      </x:c>
      <x:c r="B5993" s="16" t="str">
        <x:v>Shah Nor Azdzilawaty</x:v>
      </x:c>
      <x:c r="C5993" s="16" t="str"/>
      <x:c r="D5993" s="16" t="str">
        <x:v>* myContacts</x:v>
      </x:c>
      <x:c r="E5993" s="16" t="str">
        <x:v>Missing email</x:v>
      </x:c>
    </x:row>
    <x:row r="5994">
      <x:c r="A5994" s="16" t="n">
        <x:v>6200</x:v>
      </x:c>
      <x:c r="B5994" s="16" t="str">
        <x:v>Shah Right</x:v>
      </x:c>
      <x:c r="C5994" s="16" t="str"/>
      <x:c r="D5994" s="16" t="str">
        <x:v>* myContacts</x:v>
      </x:c>
      <x:c r="E5994" s="16" t="str">
        <x:v>Missing email</x:v>
      </x:c>
    </x:row>
    <x:row r="5995">
      <x:c r="A5995" s="16" t="n">
        <x:v>6201</x:v>
      </x:c>
      <x:c r="B5995" s="16" t="str">
        <x:v>Shah Samat Shah</x:v>
      </x:c>
      <x:c r="C5995" s="16" t="str"/>
      <x:c r="D5995" s="16" t="str">
        <x:v>* myContacts</x:v>
      </x:c>
      <x:c r="E5995" s="16" t="str">
        <x:v>Missing email</x:v>
      </x:c>
    </x:row>
    <x:row r="5996">
      <x:c r="A5996" s="16" t="n">
        <x:v>6202</x:v>
      </x:c>
      <x:c r="B5996" s="16" t="str">
        <x:v>Shaha Perak</x:v>
      </x:c>
      <x:c r="C5996" s="16" t="str"/>
      <x:c r="D5996" s="16" t="str">
        <x:v>* myContacts</x:v>
      </x:c>
      <x:c r="E5996" s="16" t="str">
        <x:v>Missing email</x:v>
      </x:c>
    </x:row>
    <x:row r="5997">
      <x:c r="A5997" s="16" t="n">
        <x:v>6204</x:v>
      </x:c>
      <x:c r="B5997" s="16" t="str">
        <x:v>Shaharin Azhar Shahadan</x:v>
      </x:c>
      <x:c r="C5997" s="16" t="str"/>
      <x:c r="D5997" s="16" t="str">
        <x:v>* myContacts</x:v>
      </x:c>
      <x:c r="E5997" s="16" t="str">
        <x:v>Missing email</x:v>
      </x:c>
    </x:row>
    <x:row r="5998">
      <x:c r="A5998" s="16" t="n">
        <x:v>6205</x:v>
      </x:c>
      <x:c r="B5998" s="16" t="str">
        <x:v>Shaheera Dira</x:v>
      </x:c>
      <x:c r="C5998" s="16" t="str"/>
      <x:c r="D5998" s="16" t="str">
        <x:v>* myContacts</x:v>
      </x:c>
      <x:c r="E5998" s="16" t="str">
        <x:v>Missing email</x:v>
      </x:c>
    </x:row>
    <x:row r="5999">
      <x:c r="A5999" s="16" t="n">
        <x:v>6206</x:v>
      </x:c>
      <x:c r="B5999" s="16" t="str">
        <x:v>Shahfizan Fizan</x:v>
      </x:c>
      <x:c r="C5999" s="16" t="str"/>
      <x:c r="D5999" s="16" t="str">
        <x:v>* myContacts</x:v>
      </x:c>
      <x:c r="E5999" s="16" t="str">
        <x:v>Missing email</x:v>
      </x:c>
    </x:row>
    <x:row r="6000">
      <x:c r="A6000" s="16" t="n">
        <x:v>6207</x:v>
      </x:c>
      <x:c r="B6000" s="16" t="str">
        <x:v>Shahid Ismail</x:v>
      </x:c>
      <x:c r="C6000" s="16" t="str"/>
      <x:c r="D6000" s="16" t="str">
        <x:v>* myContacts</x:v>
      </x:c>
      <x:c r="E6000" s="16" t="str">
        <x:v>Missing email</x:v>
      </x:c>
    </x:row>
    <x:row r="6001">
      <x:c r="A6001" s="16" t="n">
        <x:v>6208</x:v>
      </x:c>
      <x:c r="B6001" s="16" t="str">
        <x:v>Shahila Fadzli</x:v>
      </x:c>
      <x:c r="C6001" s="16" t="str"/>
      <x:c r="D6001" s="16" t="str">
        <x:v>* myContacts</x:v>
      </x:c>
      <x:c r="E6001" s="16" t="str">
        <x:v>Missing email</x:v>
      </x:c>
    </x:row>
    <x:row r="6002">
      <x:c r="A6002" s="16" t="n">
        <x:v>6209</x:v>
      </x:c>
      <x:c r="B6002" s="16" t="str">
        <x:v>Shahir Sa'ad</x:v>
      </x:c>
      <x:c r="C6002" s="16" t="str"/>
      <x:c r="D6002" s="16" t="str">
        <x:v>* myContacts</x:v>
      </x:c>
      <x:c r="E6002" s="16" t="str">
        <x:v>Missing email</x:v>
      </x:c>
    </x:row>
    <x:row r="6003">
      <x:c r="A6003" s="16" t="n">
        <x:v>6210</x:v>
      </x:c>
      <x:c r="B6003" s="16" t="str">
        <x:v>Shahira Ismail</x:v>
      </x:c>
      <x:c r="C6003" s="16" t="str"/>
      <x:c r="D6003" s="16" t="str">
        <x:v>* myContacts</x:v>
      </x:c>
      <x:c r="E6003" s="16" t="str">
        <x:v>Missing email</x:v>
      </x:c>
    </x:row>
    <x:row r="6004">
      <x:c r="A6004" s="16" t="n">
        <x:v>6211</x:v>
      </x:c>
      <x:c r="B6004" s="16" t="str">
        <x:v>Shahirah Student FB</x:v>
      </x:c>
      <x:c r="C6004" s="16" t="str"/>
      <x:c r="D6004" s="16" t="str">
        <x:v>* myContacts</x:v>
      </x:c>
      <x:c r="E6004" s="16" t="str">
        <x:v>Missing email</x:v>
      </x:c>
    </x:row>
    <x:row r="6005">
      <x:c r="A6005" s="16" t="n">
        <x:v>6212</x:v>
      </x:c>
      <x:c r="B6005" s="16" t="str">
        <x:v>Shahirah Yusoff</x:v>
      </x:c>
      <x:c r="C6005" s="16" t="str"/>
      <x:c r="D6005" s="16" t="str">
        <x:v>* myContacts</x:v>
      </x:c>
      <x:c r="E6005" s="16" t="str">
        <x:v>Missing email</x:v>
      </x:c>
    </x:row>
    <x:row r="6006">
      <x:c r="A6006" s="16" t="n">
        <x:v>6213</x:v>
      </x:c>
      <x:c r="B6006" s="16" t="str">
        <x:v>Shahiran Car War GPR Puncak Alam</x:v>
      </x:c>
      <x:c r="C6006" s="16" t="str"/>
      <x:c r="D6006" s="16" t="str">
        <x:v>* myContacts</x:v>
      </x:c>
      <x:c r="E6006" s="16" t="str">
        <x:v>Missing email</x:v>
      </x:c>
    </x:row>
    <x:row r="6007">
      <x:c r="A6007" s="16" t="n">
        <x:v>6214</x:v>
      </x:c>
      <x:c r="B6007" s="16" t="str">
        <x:v>shahril bos abaata</x:v>
      </x:c>
      <x:c r="C6007" s="16" t="str"/>
      <x:c r="D6007" s="16" t="str">
        <x:v>* myContacts</x:v>
      </x:c>
      <x:c r="E6007" s="16" t="str">
        <x:v>Missing email</x:v>
      </x:c>
    </x:row>
    <x:row r="6008">
      <x:c r="A6008" s="16" t="n">
        <x:v>6215</x:v>
      </x:c>
      <x:c r="B6008" s="16" t="str">
        <x:v>shahril mdec im</x:v>
      </x:c>
      <x:c r="C6008" s="16" t="str"/>
      <x:c r="D6008" s="16" t="str">
        <x:v>* myContacts</x:v>
      </x:c>
      <x:c r="E6008" s="16" t="str">
        <x:v>Missing email</x:v>
      </x:c>
    </x:row>
    <x:row r="6009">
      <x:c r="A6009" s="16" t="n">
        <x:v>6216</x:v>
      </x:c>
      <x:c r="B6009" s="16" t="str">
        <x:v>Shahril Suwardi</x:v>
      </x:c>
      <x:c r="C6009" s="16" t="str"/>
      <x:c r="D6009" s="16" t="str">
        <x:v>* myContacts</x:v>
      </x:c>
      <x:c r="E6009" s="16" t="str">
        <x:v>Missing email</x:v>
      </x:c>
    </x:row>
    <x:row r="6010">
      <x:c r="A6010" s="16" t="n">
        <x:v>6217</x:v>
      </x:c>
      <x:c r="B6010" s="16" t="str">
        <x:v>Shahrin Sifu Fb Ads Expert Insken</x:v>
      </x:c>
      <x:c r="C6010" s="16" t="str"/>
      <x:c r="D6010" s="16" t="str">
        <x:v>Alumni INSKEN | Trainer | * myContacts</x:v>
      </x:c>
      <x:c r="E6010" s="16" t="str">
        <x:v>Missing email</x:v>
      </x:c>
    </x:row>
    <x:row r="6011">
      <x:c r="A6011" s="16" t="n">
        <x:v>6218</x:v>
      </x:c>
      <x:c r="B6011" s="16" t="str">
        <x:v>shahrin sifu fb ads Im</x:v>
      </x:c>
      <x:c r="C6011" s="16" t="str"/>
      <x:c r="D6011" s="16" t="str">
        <x:v>Trainer | * myContacts</x:v>
      </x:c>
      <x:c r="E6011" s="16" t="str">
        <x:v>Missing email</x:v>
      </x:c>
    </x:row>
    <x:row r="6012">
      <x:c r="A6012" s="16" t="n">
        <x:v>6219</x:v>
      </x:c>
      <x:c r="B6012" s="16" t="str">
        <x:v>Shahrizal AGP Agent</x:v>
      </x:c>
      <x:c r="C6012" s="16" t="str"/>
      <x:c r="D6012" s="16" t="str">
        <x:v>* myContacts</x:v>
      </x:c>
      <x:c r="E6012" s="16" t="str">
        <x:v>Missing email</x:v>
      </x:c>
    </x:row>
    <x:row r="6013">
      <x:c r="A6013" s="16" t="n">
        <x:v>6220</x:v>
      </x:c>
      <x:c r="B6013" s="16" t="str">
        <x:v>shahrizal perfume</x:v>
      </x:c>
      <x:c r="C6013" s="16" t="str"/>
      <x:c r="D6013" s="16" t="str">
        <x:v>* myContacts</x:v>
      </x:c>
      <x:c r="E6013" s="16" t="str">
        <x:v>Missing email</x:v>
      </x:c>
    </x:row>
    <x:row r="6014">
      <x:c r="A6014" s="16" t="n">
        <x:v>6221</x:v>
      </x:c>
      <x:c r="B6014" s="16" t="str">
        <x:v>Shahrizan Daud At Turabi</x:v>
      </x:c>
      <x:c r="C6014" s="16" t="str"/>
      <x:c r="D6014" s="16" t="str">
        <x:v>* myContacts</x:v>
      </x:c>
      <x:c r="E6014" s="16" t="str">
        <x:v>Missing email</x:v>
      </x:c>
    </x:row>
    <x:row r="6015">
      <x:c r="A6015" s="16" t="n">
        <x:v>6222</x:v>
      </x:c>
      <x:c r="B6015" s="16" t="str">
        <x:v>Shahrom IM</x:v>
      </x:c>
      <x:c r="C6015" s="16" t="str"/>
      <x:c r="D6015" s="16" t="str">
        <x:v>* myContacts</x:v>
      </x:c>
      <x:c r="E6015" s="16" t="str">
        <x:v>Missing email</x:v>
      </x:c>
    </x:row>
    <x:row r="6016">
      <x:c r="A6016" s="16" t="n">
        <x:v>6223</x:v>
      </x:c>
      <x:c r="B6016" s="16" t="str">
        <x:v>shahrul librarian perpustakaan bestari jaya</x:v>
      </x:c>
      <x:c r="C6016" s="16" t="str"/>
      <x:c r="D6016" s="16" t="str">
        <x:v>* myContacts</x:v>
      </x:c>
      <x:c r="E6016" s="16" t="str">
        <x:v>Missing email</x:v>
      </x:c>
    </x:row>
    <x:row r="6017">
      <x:c r="A6017" s="16" t="n">
        <x:v>6224</x:v>
      </x:c>
      <x:c r="B6017" s="16" t="str">
        <x:v>Shahrul Amin Hijrah Kuala Selangor</x:v>
      </x:c>
      <x:c r="C6017" s="16" t="str"/>
      <x:c r="D6017" s="16" t="str">
        <x:v>* myContacts</x:v>
      </x:c>
      <x:c r="E6017" s="16" t="str">
        <x:v>Missing email</x:v>
      </x:c>
    </x:row>
    <x:row r="6018">
      <x:c r="A6018" s="16" t="n">
        <x:v>6225</x:v>
      </x:c>
      <x:c r="B6018" s="16" t="str">
        <x:v>Shahrul Anuar</x:v>
      </x:c>
      <x:c r="C6018" s="16" t="str"/>
      <x:c r="D6018" s="16" t="str">
        <x:v>* myContacts</x:v>
      </x:c>
      <x:c r="E6018" s="16" t="str">
        <x:v>Missing email</x:v>
      </x:c>
    </x:row>
    <x:row r="6019">
      <x:c r="A6019" s="16" t="n">
        <x:v>6226</x:v>
      </x:c>
      <x:c r="B6019" s="16" t="str">
        <x:v>shahrul azri P2</x:v>
      </x:c>
      <x:c r="C6019" s="16" t="str"/>
      <x:c r="D6019" s="16" t="str">
        <x:v>* myContacts</x:v>
      </x:c>
      <x:c r="E6019" s="16" t="str">
        <x:v>Missing email</x:v>
      </x:c>
    </x:row>
    <x:row r="6020">
      <x:c r="A6020" s="16" t="n">
        <x:v>6227</x:v>
      </x:c>
      <x:c r="B6020" s="16" t="str">
        <x:v>Shahrul Fahmi</x:v>
      </x:c>
      <x:c r="C6020" s="16" t="str"/>
      <x:c r="D6020" s="16" t="str">
        <x:v>* myContacts</x:v>
      </x:c>
      <x:c r="E6020" s="16" t="str">
        <x:v>Missing email</x:v>
      </x:c>
    </x:row>
    <x:row r="6021">
      <x:c r="A6021" s="16" t="n">
        <x:v>6228</x:v>
      </x:c>
      <x:c r="B6021" s="16" t="str">
        <x:v>Shahrul Hafizi Zakaria</x:v>
      </x:c>
      <x:c r="C6021" s="16" t="str"/>
      <x:c r="D6021" s="16" t="str">
        <x:v>* myContacts</x:v>
      </x:c>
      <x:c r="E6021" s="16" t="str">
        <x:v>Missing email</x:v>
      </x:c>
    </x:row>
    <x:row r="6022">
      <x:c r="A6022" s="16" t="n">
        <x:v>6229</x:v>
      </x:c>
      <x:c r="B6022" s="16" t="str">
        <x:v>Shahrul Nashriq 2nd Number</x:v>
      </x:c>
      <x:c r="C6022" s="16" t="str"/>
      <x:c r="D6022" s="16" t="str">
        <x:v>* myContacts</x:v>
      </x:c>
      <x:c r="E6022" s="16" t="str">
        <x:v>Missing email</x:v>
      </x:c>
    </x:row>
    <x:row r="6023">
      <x:c r="A6023" s="16" t="n">
        <x:v>6230</x:v>
      </x:c>
      <x:c r="B6023" s="16" t="str">
        <x:v>Shahrul Nashriq Agent AGP</x:v>
      </x:c>
      <x:c r="C6023" s="16" t="str"/>
      <x:c r="D6023" s="16" t="str">
        <x:v>* myContacts</x:v>
      </x:c>
      <x:c r="E6023" s="16" t="str">
        <x:v>Missing email</x:v>
      </x:c>
    </x:row>
    <x:row r="6024">
      <x:c r="A6024" s="16" t="n">
        <x:v>6231</x:v>
      </x:c>
      <x:c r="B6024" s="16" t="str">
        <x:v>Shahrul Nizam</x:v>
      </x:c>
      <x:c r="C6024" s="16" t="str"/>
      <x:c r="D6024" s="16" t="str">
        <x:v>* myContacts</x:v>
      </x:c>
      <x:c r="E6024" s="16" t="str">
        <x:v>Missing email</x:v>
      </x:c>
    </x:row>
    <x:row r="6025">
      <x:c r="A6025" s="16" t="n">
        <x:v>6232</x:v>
      </x:c>
      <x:c r="B6025" s="16" t="str">
        <x:v>SHAHRUL RIDHWAN BIN DESA</x:v>
      </x:c>
      <x:c r="C6025" s="16" t="str"/>
      <x:c r="D6025" s="16" t="str">
        <x:v>* myContacts</x:v>
      </x:c>
      <x:c r="E6025" s="16" t="str">
        <x:v>Missing email</x:v>
      </x:c>
    </x:row>
    <x:row r="6026">
      <x:c r="A6026" s="16" t="n">
        <x:v>6233</x:v>
      </x:c>
      <x:c r="B6026" s="16" t="str">
        <x:v>Shahrul Sabri</x:v>
      </x:c>
      <x:c r="C6026" s="16" t="str"/>
      <x:c r="D6026" s="16" t="str">
        <x:v>* myContacts</x:v>
      </x:c>
      <x:c r="E6026" s="16" t="str">
        <x:v>Missing email</x:v>
      </x:c>
    </x:row>
    <x:row r="6027">
      <x:c r="A6027" s="16" t="n">
        <x:v>6234</x:v>
      </x:c>
      <x:c r="B6027" s="16" t="str">
        <x:v>Shahrul Shah</x:v>
      </x:c>
      <x:c r="C6027" s="16" t="str"/>
      <x:c r="D6027" s="16" t="str">
        <x:v>* myContacts</x:v>
      </x:c>
      <x:c r="E6027" s="16" t="str">
        <x:v>Missing email</x:v>
      </x:c>
    </x:row>
    <x:row r="6028">
      <x:c r="A6028" s="16" t="n">
        <x:v>6235</x:v>
      </x:c>
      <x:c r="B6028" s="16" t="str">
        <x:v>Shahrul Te</x:v>
      </x:c>
      <x:c r="C6028" s="16" t="str"/>
      <x:c r="D6028" s="16" t="str">
        <x:v>* myContacts</x:v>
      </x:c>
      <x:c r="E6028" s="16" t="str">
        <x:v>Missing email</x:v>
      </x:c>
    </x:row>
    <x:row r="6029">
      <x:c r="A6029" s="16" t="n">
        <x:v>6236</x:v>
      </x:c>
      <x:c r="B6029" s="16" t="str">
        <x:v>Shahrul Tvet ILP Mersing</x:v>
      </x:c>
      <x:c r="C6029" s="16" t="str"/>
      <x:c r="D6029" s="16" t="str">
        <x:v>* myContacts</x:v>
      </x:c>
      <x:c r="E6029" s="16" t="str">
        <x:v>Missing email</x:v>
      </x:c>
    </x:row>
    <x:row r="6030">
      <x:c r="A6030" s="16" t="n">
        <x:v>6237</x:v>
      </x:c>
      <x:c r="B6030" s="16" t="str">
        <x:v>Shahrul Website Developer</x:v>
      </x:c>
      <x:c r="C6030" s="16" t="str"/>
      <x:c r="D6030" s="16" t="str">
        <x:v>* myContacts</x:v>
      </x:c>
      <x:c r="E6030" s="16" t="str">
        <x:v>Missing email</x:v>
      </x:c>
    </x:row>
    <x:row r="6031">
      <x:c r="A6031" s="16" t="n">
        <x:v>6238</x:v>
      </x:c>
      <x:c r="B6031" s="16" t="str">
        <x:v>Shahrulnizam Saud</x:v>
      </x:c>
      <x:c r="C6031" s="16" t="str"/>
      <x:c r="D6031" s="16" t="str">
        <x:v>* myContacts</x:v>
      </x:c>
      <x:c r="E6031" s="16" t="str">
        <x:v>Missing email</x:v>
      </x:c>
    </x:row>
    <x:row r="6032">
      <x:c r="A6032" s="16" t="n">
        <x:v>6239</x:v>
      </x:c>
      <x:c r="B6032" s="16" t="str">
        <x:v>Shaiful Epul</x:v>
      </x:c>
      <x:c r="C6032" s="16" t="str"/>
      <x:c r="D6032" s="16" t="str">
        <x:v>* myContacts</x:v>
      </x:c>
      <x:c r="E6032" s="16" t="str">
        <x:v>Missing email</x:v>
      </x:c>
    </x:row>
    <x:row r="6033">
      <x:c r="A6033" s="16" t="n">
        <x:v>6240</x:v>
      </x:c>
      <x:c r="B6033" s="16" t="str">
        <x:v>Shaiful Rizal Maybank</x:v>
      </x:c>
      <x:c r="C6033" s="16" t="str"/>
      <x:c r="D6033" s="16" t="str">
        <x:v>* myContacts</x:v>
      </x:c>
      <x:c r="E6033" s="16" t="str">
        <x:v>Missing email</x:v>
      </x:c>
    </x:row>
    <x:row r="6034">
      <x:c r="A6034" s="16" t="n">
        <x:v>6241</x:v>
      </x:c>
      <x:c r="B6034" s="16" t="str">
        <x:v>Shairul Azam Lee</x:v>
      </x:c>
      <x:c r="C6034" s="16" t="str"/>
      <x:c r="D6034" s="16" t="str">
        <x:v>* myContacts</x:v>
      </x:c>
      <x:c r="E6034" s="16" t="str">
        <x:v>Missing email</x:v>
      </x:c>
    </x:row>
    <x:row r="6035">
      <x:c r="A6035" s="16" t="n">
        <x:v>6242</x:v>
      </x:c>
      <x:c r="B6035" s="16" t="str">
        <x:v>Shajril Ganu</x:v>
      </x:c>
      <x:c r="C6035" s="16" t="str"/>
      <x:c r="D6035" s="16" t="str">
        <x:v>* myContacts</x:v>
      </x:c>
      <x:c r="E6035" s="16" t="str">
        <x:v>Missing email</x:v>
      </x:c>
    </x:row>
    <x:row r="6036">
      <x:c r="A6036" s="16" t="n">
        <x:v>6243</x:v>
      </x:c>
      <x:c r="B6036" s="16" t="str">
        <x:v>Shakir Pasak Team</x:v>
      </x:c>
      <x:c r="C6036" s="16" t="str"/>
      <x:c r="D6036" s="16" t="str">
        <x:v>* myContacts</x:v>
      </x:c>
      <x:c r="E6036" s="16" t="str">
        <x:v>Missing email</x:v>
      </x:c>
    </x:row>
    <x:row r="6037">
      <x:c r="A6037" s="16" t="n">
        <x:v>6244</x:v>
      </x:c>
      <x:c r="B6037" s="16" t="str">
        <x:v>Shakir SS</x:v>
      </x:c>
      <x:c r="C6037" s="16" t="str"/>
      <x:c r="D6037" s="16" t="str">
        <x:v>* myContacts</x:v>
      </x:c>
      <x:c r="E6037" s="16" t="str">
        <x:v>Missing email</x:v>
      </x:c>
    </x:row>
    <x:row r="6038">
      <x:c r="A6038" s="16" t="n">
        <x:v>6246</x:v>
      </x:c>
      <x:c r="B6038" s="16" t="str">
        <x:v>Shakirim Rahim</x:v>
      </x:c>
      <x:c r="C6038" s="16" t="str"/>
      <x:c r="D6038" s="16" t="str">
        <x:v>* myContacts</x:v>
      </x:c>
      <x:c r="E6038" s="16" t="str">
        <x:v>Missing email</x:v>
      </x:c>
    </x:row>
    <x:row r="6039">
      <x:c r="A6039" s="16" t="n">
        <x:v>6247</x:v>
      </x:c>
      <x:c r="B6039" s="16" t="str">
        <x:v>Shalina Anuar</x:v>
      </x:c>
      <x:c r="C6039" s="16" t="str"/>
      <x:c r="D6039" s="16" t="str">
        <x:v>* myContacts</x:v>
      </x:c>
      <x:c r="E6039" s="16" t="str">
        <x:v>Missing email</x:v>
      </x:c>
    </x:row>
    <x:row r="6040">
      <x:c r="A6040" s="16" t="n">
        <x:v>6248</x:v>
      </x:c>
      <x:c r="B6040" s="16" t="str">
        <x:v>Shalini Mdec Trainer</x:v>
      </x:c>
      <x:c r="C6040" s="16" t="str"/>
      <x:c r="D6040" s="16" t="str">
        <x:v>Trainer | * myContacts</x:v>
      </x:c>
      <x:c r="E6040" s="16" t="str">
        <x:v>Missing email</x:v>
      </x:c>
    </x:row>
    <x:row r="6041">
      <x:c r="A6041" s="16" t="n">
        <x:v>6249</x:v>
      </x:c>
      <x:c r="B6041" s="16" t="str">
        <x:v>Sham Bujangga</x:v>
      </x:c>
      <x:c r="C6041" s="16" t="str"/>
      <x:c r="D6041" s="16" t="str">
        <x:v>* myContacts</x:v>
      </x:c>
      <x:c r="E6041" s="16" t="str">
        <x:v>Missing email</x:v>
      </x:c>
    </x:row>
    <x:row r="6042">
      <x:c r="A6042" s="16" t="n">
        <x:v>6250</x:v>
      </x:c>
      <x:c r="B6042" s="16" t="str">
        <x:v>Sham JNJ</x:v>
      </x:c>
      <x:c r="C6042" s="16" t="str"/>
      <x:c r="D6042" s="16" t="str">
        <x:v>* myContacts</x:v>
      </x:c>
      <x:c r="E6042" s="16" t="str">
        <x:v>Missing email</x:v>
      </x:c>
    </x:row>
    <x:row r="6043">
      <x:c r="A6043" s="16" t="n">
        <x:v>6251</x:v>
      </x:c>
      <x:c r="B6043" s="16" t="str">
        <x:v>Sham Nana</x:v>
      </x:c>
      <x:c r="C6043" s="16" t="str"/>
      <x:c r="D6043" s="16" t="str">
        <x:v>* myContacts</x:v>
      </x:c>
      <x:c r="E6043" s="16" t="str">
        <x:v>Missing email</x:v>
      </x:c>
    </x:row>
    <x:row r="6044">
      <x:c r="A6044" s="16" t="n">
        <x:v>6252</x:v>
      </x:c>
      <x:c r="B6044" s="16" t="str">
        <x:v>Sham Outrider Kedah</x:v>
      </x:c>
      <x:c r="C6044" s="16" t="str"/>
      <x:c r="D6044" s="16" t="str">
        <x:v>* myContacts</x:v>
      </x:c>
      <x:c r="E6044" s="16" t="str">
        <x:v>Missing email</x:v>
      </x:c>
    </x:row>
    <x:row r="6045">
      <x:c r="A6045" s="16" t="n">
        <x:v>6253</x:v>
      </x:c>
      <x:c r="B6045" s="16" t="str">
        <x:v>Shamel Property Shamil</x:v>
      </x:c>
      <x:c r="C6045" s="16" t="str"/>
      <x:c r="D6045" s="16" t="str">
        <x:v>* myContacts</x:v>
      </x:c>
      <x:c r="E6045" s="16" t="str">
        <x:v>Missing email</x:v>
      </x:c>
    </x:row>
    <x:row r="6046">
      <x:c r="A6046" s="16" t="n">
        <x:v>6254</x:v>
      </x:c>
      <x:c r="B6046" s="16" t="str">
        <x:v>Shamil IM</x:v>
      </x:c>
      <x:c r="C6046" s="16" t="str"/>
      <x:c r="D6046" s="16" t="str">
        <x:v>* myContacts</x:v>
      </x:c>
      <x:c r="E6046" s="16" t="str">
        <x:v>Missing email</x:v>
      </x:c>
    </x:row>
    <x:row r="6047">
      <x:c r="A6047" s="16" t="n">
        <x:v>6255</x:v>
      </x:c>
      <x:c r="B6047" s="16" t="str">
        <x:v>shamil trip jalan jalan</x:v>
      </x:c>
      <x:c r="C6047" s="16" t="str"/>
      <x:c r="D6047" s="16" t="str">
        <x:v>* myContacts</x:v>
      </x:c>
      <x:c r="E6047" s="16" t="str">
        <x:v>Missing email</x:v>
      </x:c>
    </x:row>
    <x:row r="6048">
      <x:c r="A6048" s="16" t="n">
        <x:v>6256</x:v>
      </x:c>
      <x:c r="B6048" s="16" t="str">
        <x:v>Shamshul Anuar</x:v>
      </x:c>
      <x:c r="C6048" s="16" t="str"/>
      <x:c r="D6048" s="16" t="str">
        <x:v>* myContacts</x:v>
      </x:c>
      <x:c r="E6048" s="16" t="str">
        <x:v>Missing email</x:v>
      </x:c>
    </x:row>
    <x:row r="6049">
      <x:c r="A6049" s="16" t="n">
        <x:v>6257</x:v>
      </x:c>
      <x:c r="B6049" s="16" t="str">
        <x:v>Shamsol Photographer</x:v>
      </x:c>
      <x:c r="C6049" s="16" t="str"/>
      <x:c r="D6049" s="16" t="str">
        <x:v>* myContacts</x:v>
      </x:c>
      <x:c r="E6049" s="16" t="str">
        <x:v>Missing email</x:v>
      </x:c>
    </x:row>
    <x:row r="6050">
      <x:c r="A6050" s="16" t="n">
        <x:v>6258</x:v>
      </x:c>
      <x:c r="B6050" s="16" t="str">
        <x:v>Shamsul Coach Golf</x:v>
      </x:c>
      <x:c r="C6050" s="16" t="str"/>
      <x:c r="D6050" s="16" t="str">
        <x:v>* myContacts</x:v>
      </x:c>
      <x:c r="E6050" s="16" t="str">
        <x:v>Missing email</x:v>
      </x:c>
    </x:row>
    <x:row r="6051">
      <x:c r="A6051" s="16" t="n">
        <x:v>6259</x:v>
      </x:c>
      <x:c r="B6051" s="16" t="str">
        <x:v>Shamsul Selloo</x:v>
      </x:c>
      <x:c r="C6051" s="16" t="str"/>
      <x:c r="D6051" s="16" t="str">
        <x:v>* myContacts</x:v>
      </x:c>
      <x:c r="E6051" s="16" t="str">
        <x:v>Missing email</x:v>
      </x:c>
    </x:row>
    <x:row r="6052">
      <x:c r="A6052" s="16" t="n">
        <x:v>6261</x:v>
      </x:c>
      <x:c r="B6052" s="16" t="str">
        <x:v>Shan Fadhil Annamalay</x:v>
      </x:c>
      <x:c r="C6052" s="16" t="str"/>
      <x:c r="D6052" s="16" t="str">
        <x:v>* myContacts</x:v>
      </x:c>
      <x:c r="E6052" s="16" t="str">
        <x:v>Missing email</x:v>
      </x:c>
    </x:row>
    <x:row r="6053">
      <x:c r="A6053" s="16" t="n">
        <x:v>6262</x:v>
      </x:c>
      <x:c r="B6053" s="16" t="str">
        <x:v>Shara Ahmad Saleh</x:v>
      </x:c>
      <x:c r="C6053" s="16" t="str"/>
      <x:c r="D6053" s="16" t="str">
        <x:v>* myContacts</x:v>
      </x:c>
      <x:c r="E6053" s="16" t="str">
        <x:v>Missing email</x:v>
      </x:c>
    </x:row>
    <x:row r="6054">
      <x:c r="A6054" s="16" t="n">
        <x:v>6263</x:v>
      </x:c>
      <x:c r="B6054" s="16" t="str">
        <x:v>Sharani Rapiaun</x:v>
      </x:c>
      <x:c r="C6054" s="16" t="str"/>
      <x:c r="D6054" s="16" t="str">
        <x:v>* myContacts</x:v>
      </x:c>
      <x:c r="E6054" s="16" t="str">
        <x:v>Missing email</x:v>
      </x:c>
    </x:row>
    <x:row r="6055">
      <x:c r="A6055" s="16" t="n">
        <x:v>6264</x:v>
      </x:c>
      <x:c r="B6055" s="16" t="str">
        <x:v>Sharian Senang Insurance Simplified</x:v>
      </x:c>
      <x:c r="C6055" s="16" t="str"/>
      <x:c r="D6055" s="16" t="str">
        <x:v>* myContacts</x:v>
      </x:c>
      <x:c r="E6055" s="16" t="str">
        <x:v>Missing email</x:v>
      </x:c>
    </x:row>
    <x:row r="6056">
      <x:c r="A6056" s="16" t="n">
        <x:v>6265</x:v>
      </x:c>
      <x:c r="B6056" s="16" t="str">
        <x:v>Sharif Draja</x:v>
      </x:c>
      <x:c r="C6056" s="16" t="str"/>
      <x:c r="D6056" s="16" t="str">
        <x:v>* myContacts</x:v>
      </x:c>
      <x:c r="E6056" s="16" t="str">
        <x:v>Missing email</x:v>
      </x:c>
    </x:row>
    <x:row r="6057">
      <x:c r="A6057" s="16" t="n">
        <x:v>6266</x:v>
      </x:c>
      <x:c r="B6057" s="16" t="str">
        <x:v>Sharifah Nur Aimi Fatihah</x:v>
      </x:c>
      <x:c r="C6057" s="16" t="str"/>
      <x:c r="D6057" s="16" t="str">
        <x:v>* myContacts</x:v>
      </x:c>
      <x:c r="E6057" s="16" t="str">
        <x:v>Missing email</x:v>
      </x:c>
    </x:row>
    <x:row r="6058">
      <x:c r="A6058" s="16" t="n">
        <x:v>6267</x:v>
      </x:c>
      <x:c r="B6058" s="16" t="str">
        <x:v>Sharifah Saadiah Saadiah</x:v>
      </x:c>
      <x:c r="C6058" s="16" t="str"/>
      <x:c r="D6058" s="16" t="str">
        <x:v>* myContacts</x:v>
      </x:c>
      <x:c r="E6058" s="16" t="str">
        <x:v>Missing email</x:v>
      </x:c>
    </x:row>
    <x:row r="6059">
      <x:c r="A6059" s="16" t="n">
        <x:v>6268</x:v>
      </x:c>
      <x:c r="B6059" s="16" t="str">
        <x:v>Shariman Mdec IM</x:v>
      </x:c>
      <x:c r="C6059" s="16" t="str"/>
      <x:c r="D6059" s="16" t="str">
        <x:v>* myContacts</x:v>
      </x:c>
      <x:c r="E6059" s="16" t="str">
        <x:v>Missing email</x:v>
      </x:c>
    </x:row>
    <x:row r="6060">
      <x:c r="A6060" s="16" t="n">
        <x:v>6269</x:v>
      </x:c>
      <x:c r="B6060" s="16" t="str">
        <x:v>Sharina Mdec IM</x:v>
      </x:c>
      <x:c r="C6060" s="16" t="str"/>
      <x:c r="D6060" s="16" t="str">
        <x:v>* myContacts</x:v>
      </x:c>
      <x:c r="E6060" s="16" t="str">
        <x:v>Missing email</x:v>
      </x:c>
    </x:row>
    <x:row r="6061">
      <x:c r="A6061" s="16" t="n">
        <x:v>6270</x:v>
      </x:c>
      <x:c r="B6061" s="16" t="str">
        <x:v>Sharizal Shariff</x:v>
      </x:c>
      <x:c r="C6061" s="16" t="str"/>
      <x:c r="D6061" s="16" t="str">
        <x:v>* myContacts</x:v>
      </x:c>
      <x:c r="E6061" s="16" t="str">
        <x:v>Missing email</x:v>
      </x:c>
    </x:row>
    <x:row r="6062">
      <x:c r="A6062" s="16" t="n">
        <x:v>6271</x:v>
      </x:c>
      <x:c r="B6062" s="16" t="str">
        <x:v>Sharkawie Kawie</x:v>
      </x:c>
      <x:c r="C6062" s="16" t="str"/>
      <x:c r="D6062" s="16" t="str">
        <x:v>* myContacts</x:v>
      </x:c>
      <x:c r="E6062" s="16" t="str">
        <x:v>Missing email</x:v>
      </x:c>
    </x:row>
    <x:row r="6063">
      <x:c r="A6063" s="16" t="n">
        <x:v>6272</x:v>
      </x:c>
      <x:c r="B6063" s="16" t="str">
        <x:v>Sharona IM</x:v>
      </x:c>
      <x:c r="C6063" s="16" t="str"/>
      <x:c r="D6063" s="16" t="str">
        <x:v>* myContacts</x:v>
      </x:c>
      <x:c r="E6063" s="16" t="str">
        <x:v>Missing email</x:v>
      </x:c>
    </x:row>
    <x:row r="6064">
      <x:c r="A6064" s="16" t="n">
        <x:v>6273</x:v>
      </x:c>
      <x:c r="B6064" s="16" t="str">
        <x:v>Sharul Sk</x:v>
      </x:c>
      <x:c r="C6064" s="16" t="str"/>
      <x:c r="D6064" s="16" t="str">
        <x:v>* myContacts</x:v>
      </x:c>
      <x:c r="E6064" s="16" t="str">
        <x:v>Missing email</x:v>
      </x:c>
    </x:row>
    <x:row r="6065">
      <x:c r="A6065" s="16" t="n">
        <x:v>6274</x:v>
      </x:c>
      <x:c r="B6065" s="16" t="str">
        <x:v>Shasya Nur Atiqah</x:v>
      </x:c>
      <x:c r="C6065" s="16" t="str"/>
      <x:c r="D6065" s="16" t="str">
        <x:v>* myContacts</x:v>
      </x:c>
      <x:c r="E6065" s="16" t="str">
        <x:v>Missing email</x:v>
      </x:c>
    </x:row>
    <x:row r="6066">
      <x:c r="A6066" s="16" t="n">
        <x:v>6275</x:v>
      </x:c>
      <x:c r="B6066" s="16" t="str">
        <x:v>Shaz Shazzul Shaziana Zul</x:v>
      </x:c>
      <x:c r="C6066" s="16" t="str"/>
      <x:c r="D6066" s="16" t="str">
        <x:v>* myContacts</x:v>
      </x:c>
      <x:c r="E6066" s="16" t="str">
        <x:v>Missing email</x:v>
      </x:c>
    </x:row>
    <x:row r="6067">
      <x:c r="A6067" s="16" t="n">
        <x:v>6276</x:v>
      </x:c>
      <x:c r="B6067" s="16" t="str">
        <x:v>Shaza Azlin Hassan</x:v>
      </x:c>
      <x:c r="C6067" s="16" t="str"/>
      <x:c r="D6067" s="16" t="str">
        <x:v>* myContacts</x:v>
      </x:c>
      <x:c r="E6067" s="16" t="str">
        <x:v>Missing email</x:v>
      </x:c>
    </x:row>
    <x:row r="6068">
      <x:c r="A6068" s="16" t="n">
        <x:v>6277</x:v>
      </x:c>
      <x:c r="B6068" s="16" t="str">
        <x:v>Shaza Essens Serum</x:v>
      </x:c>
      <x:c r="C6068" s="16" t="str"/>
      <x:c r="D6068" s="16" t="str">
        <x:v>* myContacts</x:v>
      </x:c>
      <x:c r="E6068" s="16" t="str">
        <x:v>Missing email</x:v>
      </x:c>
    </x:row>
    <x:row r="6069">
      <x:c r="A6069" s="16" t="n">
        <x:v>6278</x:v>
      </x:c>
      <x:c r="B6069" s="16" t="str">
        <x:v>Shaza Mdec</x:v>
      </x:c>
      <x:c r="C6069" s="16" t="str"/>
      <x:c r="D6069" s="16" t="str">
        <x:v>* myContacts</x:v>
      </x:c>
      <x:c r="E6069" s="16" t="str">
        <x:v>Missing email</x:v>
      </x:c>
    </x:row>
    <x:row r="6070">
      <x:c r="A6070" s="16" t="n">
        <x:v>6279</x:v>
      </x:c>
      <x:c r="B6070" s="16" t="str">
        <x:v>Shazlin Rahman</x:v>
      </x:c>
      <x:c r="C6070" s="16" t="str"/>
      <x:c r="D6070" s="16" t="str">
        <x:v>* myContacts</x:v>
      </x:c>
      <x:c r="E6070" s="16" t="str">
        <x:v>Missing email</x:v>
      </x:c>
    </x:row>
    <x:row r="6071">
      <x:c r="A6071" s="16" t="n">
        <x:v>6281</x:v>
      </x:c>
      <x:c r="B6071" s="16" t="str">
        <x:v>Shazril web developer</x:v>
      </x:c>
      <x:c r="C6071" s="16" t="str"/>
      <x:c r="D6071" s="16" t="str">
        <x:v>* myContacts</x:v>
      </x:c>
      <x:c r="E6071" s="16" t="str">
        <x:v>Missing email</x:v>
      </x:c>
    </x:row>
    <x:row r="6072">
      <x:c r="A6072" s="16" t="n">
        <x:v>6282</x:v>
      </x:c>
      <x:c r="B6072" s="16" t="str">
        <x:v>Shazrul Ell</x:v>
      </x:c>
      <x:c r="C6072" s="16" t="str"/>
      <x:c r="D6072" s="16" t="str">
        <x:v>* myContacts</x:v>
      </x:c>
      <x:c r="E6072" s="16" t="str">
        <x:v>Missing email</x:v>
      </x:c>
    </x:row>
    <x:row r="6073">
      <x:c r="A6073" s="16" t="n">
        <x:v>6283</x:v>
      </x:c>
      <x:c r="B6073" s="16" t="str">
        <x:v>shazwan jnj</x:v>
      </x:c>
      <x:c r="C6073" s="16" t="str"/>
      <x:c r="D6073" s="16" t="str">
        <x:v>* myContacts</x:v>
      </x:c>
      <x:c r="E6073" s="16" t="str">
        <x:v>Missing email</x:v>
      </x:c>
    </x:row>
    <x:row r="6074">
      <x:c r="A6074" s="16" t="n">
        <x:v>6284</x:v>
      </x:c>
      <x:c r="B6074" s="16" t="str">
        <x:v>Shazwani Zass</x:v>
      </x:c>
      <x:c r="C6074" s="16" t="str"/>
      <x:c r="D6074" s="16" t="str">
        <x:v>* myContacts</x:v>
      </x:c>
      <x:c r="E6074" s="16" t="str">
        <x:v>Missing email</x:v>
      </x:c>
    </x:row>
    <x:row r="6075">
      <x:c r="A6075" s="16" t="n">
        <x:v>6285</x:v>
      </x:c>
      <x:c r="B6075" s="16" t="str">
        <x:v>Sheda Mzabidin</x:v>
      </x:c>
      <x:c r="C6075" s="16" t="str"/>
      <x:c r="D6075" s="16" t="str">
        <x:v>* myContacts</x:v>
      </x:c>
      <x:c r="E6075" s="16" t="str">
        <x:v>Missing email</x:v>
      </x:c>
    </x:row>
    <x:row r="6076">
      <x:c r="A6076" s="16" t="n">
        <x:v>6286</x:v>
      </x:c>
      <x:c r="B6076" s="16" t="str">
        <x:v>Sherena Abd Hamid</x:v>
      </x:c>
      <x:c r="C6076" s="16" t="str"/>
      <x:c r="D6076" s="16" t="str">
        <x:v>* myContacts</x:v>
      </x:c>
      <x:c r="E6076" s="16" t="str">
        <x:v>Missing email</x:v>
      </x:c>
    </x:row>
    <x:row r="6077">
      <x:c r="A6077" s="16" t="n">
        <x:v>6288</x:v>
      </x:c>
      <x:c r="B6077" s="16" t="str">
        <x:v>Shida Ida</x:v>
      </x:c>
      <x:c r="C6077" s="16" t="str"/>
      <x:c r="D6077" s="16" t="str">
        <x:v>* myContacts</x:v>
      </x:c>
      <x:c r="E6077" s="16" t="str">
        <x:v>Missing email</x:v>
      </x:c>
    </x:row>
    <x:row r="6078">
      <x:c r="A6078" s="16" t="n">
        <x:v>6290</x:v>
      </x:c>
      <x:c r="B6078" s="16" t="str">
        <x:v>Shida Rahman</x:v>
      </x:c>
      <x:c r="C6078" s="16" t="str"/>
      <x:c r="D6078" s="16" t="str">
        <x:v>* myContacts</x:v>
      </x:c>
      <x:c r="E6078" s="16" t="str">
        <x:v>Missing email</x:v>
      </x:c>
    </x:row>
    <x:row r="6079">
      <x:c r="A6079" s="16" t="n">
        <x:v>6291</x:v>
      </x:c>
      <x:c r="B6079" s="16" t="str">
        <x:v>Shidah Khoo</x:v>
      </x:c>
      <x:c r="C6079" s="16" t="str"/>
      <x:c r="D6079" s="16" t="str">
        <x:v>* myContacts</x:v>
      </x:c>
      <x:c r="E6079" s="16" t="str">
        <x:v>Missing email</x:v>
      </x:c>
    </x:row>
    <x:row r="6080">
      <x:c r="A6080" s="16" t="n">
        <x:v>6292</x:v>
      </x:c>
      <x:c r="B6080" s="16" t="str">
        <x:v>Shidi Otai Pancing</x:v>
      </x:c>
      <x:c r="C6080" s="16" t="str"/>
      <x:c r="D6080" s="16" t="str">
        <x:v>* myContacts</x:v>
      </x:c>
      <x:c r="E6080" s="16" t="str">
        <x:v>Missing email</x:v>
      </x:c>
    </x:row>
    <x:row r="6081">
      <x:c r="A6081" s="16" t="n">
        <x:v>6293</x:v>
      </x:c>
      <x:c r="B6081" s="16" t="str">
        <x:v>Shieyla Roslan</x:v>
      </x:c>
      <x:c r="C6081" s="16" t="str"/>
      <x:c r="D6081" s="16" t="str">
        <x:v>* myContacts</x:v>
      </x:c>
      <x:c r="E6081" s="16" t="str">
        <x:v>Missing email</x:v>
      </x:c>
    </x:row>
    <x:row r="6082">
      <x:c r="A6082" s="16" t="n">
        <x:v>6294</x:v>
      </x:c>
      <x:c r="B6082" s="16" t="str">
        <x:v>Shikin Mazlan</x:v>
      </x:c>
      <x:c r="C6082" s="16" t="str"/>
      <x:c r="D6082" s="16" t="str">
        <x:v>* myContacts</x:v>
      </x:c>
      <x:c r="E6082" s="16" t="str">
        <x:v>Missing email</x:v>
      </x:c>
    </x:row>
    <x:row r="6083">
      <x:c r="A6083" s="16" t="n">
        <x:v>6295</x:v>
      </x:c>
      <x:c r="B6083" s="16" t="str">
        <x:v>Shikin Mohd Noor</x:v>
      </x:c>
      <x:c r="C6083" s="16" t="str"/>
      <x:c r="D6083" s="16" t="str">
        <x:v>* myContacts</x:v>
      </x:c>
      <x:c r="E6083" s="16" t="str">
        <x:v>Missing email</x:v>
      </x:c>
    </x:row>
    <x:row r="6084">
      <x:c r="A6084" s="16" t="n">
        <x:v>6296</x:v>
      </x:c>
      <x:c r="B6084" s="16" t="str">
        <x:v>Shila Mdec</x:v>
      </x:c>
      <x:c r="C6084" s="16" t="str"/>
      <x:c r="D6084" s="16" t="str">
        <x:v>* myContacts</x:v>
      </x:c>
      <x:c r="E6084" s="16" t="str">
        <x:v>Missing email</x:v>
      </x:c>
    </x:row>
    <x:row r="6085">
      <x:c r="A6085" s="16" t="n">
        <x:v>6297</x:v>
      </x:c>
      <x:c r="B6085" s="16" t="str">
        <x:v>Shima Sameru</x:v>
      </x:c>
      <x:c r="C6085" s="16" t="str"/>
      <x:c r="D6085" s="16" t="str">
        <x:v>* myContacts</x:v>
      </x:c>
      <x:c r="E6085" s="16" t="str">
        <x:v>Missing email</x:v>
      </x:c>
    </x:row>
    <x:row r="6086">
      <x:c r="A6086" s="16" t="n">
        <x:v>6298</x:v>
      </x:c>
      <x:c r="B6086" s="16" t="str">
        <x:v>Shiman OneXox</x:v>
      </x:c>
      <x:c r="C6086" s="16" t="str"/>
      <x:c r="D6086" s="16" t="str">
        <x:v>* myContacts</x:v>
      </x:c>
      <x:c r="E6086" s="16" t="str">
        <x:v>Missing email</x:v>
      </x:c>
    </x:row>
    <x:row r="6087">
      <x:c r="A6087" s="16" t="n">
        <x:v>6299</x:v>
      </x:c>
      <x:c r="B6087" s="16" t="str">
        <x:v>Shira Qistina</x:v>
      </x:c>
      <x:c r="C6087" s="16" t="str"/>
      <x:c r="D6087" s="16" t="str">
        <x:v>* myContacts</x:v>
      </x:c>
      <x:c r="E6087" s="16" t="str">
        <x:v>Missing email</x:v>
      </x:c>
    </x:row>
    <x:row r="6088">
      <x:c r="A6088" s="16" t="n">
        <x:v>6300</x:v>
      </x:c>
      <x:c r="B6088" s="16" t="str">
        <x:v>Shirley Ong</x:v>
      </x:c>
      <x:c r="C6088" s="16" t="str"/>
      <x:c r="D6088" s="16" t="str">
        <x:v>* myContacts</x:v>
      </x:c>
      <x:c r="E6088" s="16" t="str">
        <x:v>Missing email</x:v>
      </x:c>
    </x:row>
    <x:row r="6089">
      <x:c r="A6089" s="16" t="n">
        <x:v>6301</x:v>
      </x:c>
      <x:c r="B6089" s="16" t="str">
        <x:v>Shokri Dropship</x:v>
      </x:c>
      <x:c r="C6089" s="16" t="str"/>
      <x:c r="D6089" s="16" t="str">
        <x:v>* myContacts</x:v>
      </x:c>
      <x:c r="E6089" s="16" t="str">
        <x:v>Missing email</x:v>
      </x:c>
    </x:row>
    <x:row r="6090">
      <x:c r="A6090" s="16" t="n">
        <x:v>6302</x:v>
      </x:c>
      <x:c r="B6090" s="16" t="str">
        <x:v>Shopee Support Centre</x:v>
      </x:c>
      <x:c r="C6090" s="16" t="str"/>
      <x:c r="D6090" s="16" t="str">
        <x:v>* myContacts | * starred</x:v>
      </x:c>
      <x:c r="E6090" s="16" t="str">
        <x:v>Missing email</x:v>
      </x:c>
    </x:row>
    <x:row r="6091">
      <x:c r="A6091" s="16" t="n">
        <x:v>6303</x:v>
      </x:c>
      <x:c r="B6091" s="16" t="str">
        <x:v>Show Love</x:v>
      </x:c>
      <x:c r="C6091" s="16" t="str"/>
      <x:c r="D6091" s="16" t="str">
        <x:v>* myContacts</x:v>
      </x:c>
      <x:c r="E6091" s="16" t="str">
        <x:v>Missing email</x:v>
      </x:c>
    </x:row>
    <x:row r="6092">
      <x:c r="A6092" s="16" t="n">
        <x:v>6304</x:v>
      </x:c>
      <x:c r="B6092" s="16" t="str">
        <x:v>Shuhada Zuraini</x:v>
      </x:c>
      <x:c r="C6092" s="16" t="str"/>
      <x:c r="D6092" s="16" t="str">
        <x:v>* myContacts</x:v>
      </x:c>
      <x:c r="E6092" s="16" t="str">
        <x:v>Missing email</x:v>
      </x:c>
    </x:row>
    <x:row r="6093">
      <x:c r="A6093" s="16" t="n">
        <x:v>6305</x:v>
      </x:c>
      <x:c r="B6093" s="16" t="str">
        <x:v>Shuhaira Arifin</x:v>
      </x:c>
      <x:c r="C6093" s="16" t="str"/>
      <x:c r="D6093" s="16" t="str">
        <x:v>* myContacts</x:v>
      </x:c>
      <x:c r="E6093" s="16" t="str">
        <x:v>Missing email</x:v>
      </x:c>
    </x:row>
    <x:row r="6094">
      <x:c r="A6094" s="16" t="n">
        <x:v>6306</x:v>
      </x:c>
      <x:c r="B6094" s="16" t="str">
        <x:v>Shuk Ryan</x:v>
      </x:c>
      <x:c r="C6094" s="16" t="str"/>
      <x:c r="D6094" s="16" t="str">
        <x:v>* myContacts</x:v>
      </x:c>
      <x:c r="E6094" s="16" t="str">
        <x:v>Missing email</x:v>
      </x:c>
    </x:row>
    <x:row r="6095">
      <x:c r="A6095" s="16" t="n">
        <x:v>6307</x:v>
      </x:c>
      <x:c r="B6095" s="16" t="str">
        <x:v>shukran kanaz. marketing</x:v>
      </x:c>
      <x:c r="C6095" s="16" t="str"/>
      <x:c r="D6095" s="16" t="str">
        <x:v>* myContacts</x:v>
      </x:c>
      <x:c r="E6095" s="16" t="str">
        <x:v>Missing email</x:v>
      </x:c>
    </x:row>
    <x:row r="6096">
      <x:c r="A6096" s="16" t="n">
        <x:v>6308</x:v>
      </x:c>
      <x:c r="B6096" s="16" t="str">
        <x:v>Shukri Azidan</x:v>
      </x:c>
      <x:c r="C6096" s="16" t="str"/>
      <x:c r="D6096" s="16" t="str">
        <x:v>* myContacts</x:v>
      </x:c>
      <x:c r="E6096" s="16" t="str">
        <x:v>Missing email</x:v>
      </x:c>
    </x:row>
    <x:row r="6097">
      <x:c r="A6097" s="16" t="n">
        <x:v>6310</x:v>
      </x:c>
      <x:c r="B6097" s="16" t="str">
        <x:v>Shukri Sewa Ofis WTW</x:v>
      </x:c>
      <x:c r="C6097" s="16" t="str"/>
      <x:c r="D6097" s="16" t="str">
        <x:v>* myContacts</x:v>
      </x:c>
      <x:c r="E6097" s="16" t="str">
        <x:v>Missing email</x:v>
      </x:c>
    </x:row>
    <x:row r="6098">
      <x:c r="A6098" s="16" t="n">
        <x:v>6311</x:v>
      </x:c>
      <x:c r="B6098" s="16" t="str">
        <x:v>Shukri Supian</x:v>
      </x:c>
      <x:c r="C6098" s="16" t="str"/>
      <x:c r="D6098" s="16" t="str">
        <x:v>* myContacts</x:v>
      </x:c>
      <x:c r="E6098" s="16" t="str">
        <x:v>Missing email</x:v>
      </x:c>
    </x:row>
    <x:row r="6099">
      <x:c r="A6099" s="16" t="n">
        <x:v>6312</x:v>
      </x:c>
      <x:c r="B6099" s="16" t="str">
        <x:v>Shyamsuddin HG</x:v>
      </x:c>
      <x:c r="C6099" s="16" t="str"/>
      <x:c r="D6099" s="16" t="str">
        <x:v>* myContacts</x:v>
      </x:c>
      <x:c r="E6099" s="16" t="str">
        <x:v>Missing email</x:v>
      </x:c>
    </x:row>
    <x:row r="6100">
      <x:c r="A6100" s="16" t="n">
        <x:v>6313</x:v>
      </x:c>
      <x:c r="B6100" s="16" t="str">
        <x:v>Si Mell</x:v>
      </x:c>
      <x:c r="C6100" s="16" t="str"/>
      <x:c r="D6100" s="16" t="str">
        <x:v>* myContacts</x:v>
      </x:c>
      <x:c r="E6100" s="16" t="str">
        <x:v>Missing email</x:v>
      </x:c>
    </x:row>
    <x:row r="6101">
      <x:c r="A6101" s="16" t="n">
        <x:v>6314</x:v>
      </x:c>
      <x:c r="B6101" s="16" t="str">
        <x:v>Sifoo Fadly</x:v>
      </x:c>
      <x:c r="C6101" s="16" t="str"/>
      <x:c r="D6101" s="16" t="str">
        <x:v>* myContacts</x:v>
      </x:c>
      <x:c r="E6101" s="16" t="str">
        <x:v>Missing email</x:v>
      </x:c>
    </x:row>
    <x:row r="6102">
      <x:c r="A6102" s="16" t="n">
        <x:v>6315</x:v>
      </x:c>
      <x:c r="B6102" s="16" t="str">
        <x:v>Sifoo Haziq</x:v>
      </x:c>
      <x:c r="C6102" s="16" t="str"/>
      <x:c r="D6102" s="16" t="str">
        <x:v>* myContacts</x:v>
      </x:c>
      <x:c r="E6102" s="16" t="str">
        <x:v>Missing email</x:v>
      </x:c>
    </x:row>
    <x:row r="6103">
      <x:c r="A6103" s="16" t="n">
        <x:v>6316</x:v>
      </x:c>
      <x:c r="B6103" s="16" t="str">
        <x:v>Sifu Aulis Uwais IM</x:v>
      </x:c>
      <x:c r="C6103" s="16" t="str"/>
      <x:c r="D6103" s="16" t="str">
        <x:v>Trainer | * myContacts</x:v>
      </x:c>
      <x:c r="E6103" s="16" t="str">
        <x:v>Missing email</x:v>
      </x:c>
    </x:row>
    <x:row r="6104">
      <x:c r="A6104" s="16" t="n">
        <x:v>6317</x:v>
      </x:c>
      <x:c r="B6104" s="16" t="str">
        <x:v>Sifu Balun Instagram</x:v>
      </x:c>
      <x:c r="C6104" s="16" t="str"/>
      <x:c r="D6104" s="16" t="str">
        <x:v>Trainer | * myContacts</x:v>
      </x:c>
      <x:c r="E6104" s="16" t="str">
        <x:v>Missing email</x:v>
      </x:c>
    </x:row>
    <x:row r="6105">
      <x:c r="A6105" s="16" t="n">
        <x:v>6318</x:v>
      </x:c>
      <x:c r="B6105" s="16" t="str">
        <x:v>Sifu Faris Osman</x:v>
      </x:c>
      <x:c r="C6105" s="16" t="str"/>
      <x:c r="D6105" s="16" t="str">
        <x:v>Trainer | * myContacts</x:v>
      </x:c>
      <x:c r="E6105" s="16" t="str">
        <x:v>Missing email</x:v>
      </x:c>
    </x:row>
    <x:row r="6106">
      <x:c r="A6106" s="16" t="n">
        <x:v>6319</x:v>
      </x:c>
      <x:c r="B6106" s="16" t="str">
        <x:v>Sifu Firdaus</x:v>
      </x:c>
      <x:c r="C6106" s="16" t="str"/>
      <x:c r="D6106" s="16" t="str">
        <x:v>Trainer | * myContacts</x:v>
      </x:c>
      <x:c r="E6106" s="16" t="str">
        <x:v>Missing email</x:v>
      </x:c>
    </x:row>
    <x:row r="6107">
      <x:c r="A6107" s="16" t="n">
        <x:v>6320</x:v>
      </x:c>
      <x:c r="B6107" s="16" t="str">
        <x:v>Sifu GB Media Coverage King</x:v>
      </x:c>
      <x:c r="C6107" s="16" t="str"/>
      <x:c r="D6107" s="16" t="str">
        <x:v>Trainer | * myContacts</x:v>
      </x:c>
      <x:c r="E6107" s="16" t="str">
        <x:v>Missing email</x:v>
      </x:c>
    </x:row>
    <x:row r="6108">
      <x:c r="A6108" s="16" t="n">
        <x:v>6321</x:v>
      </x:c>
      <x:c r="B6108" s="16" t="str">
        <x:v>Sifu Grandmaster CK</x:v>
      </x:c>
      <x:c r="C6108" s="16" t="str"/>
      <x:c r="D6108" s="16" t="str">
        <x:v>Trainer | * myContacts</x:v>
      </x:c>
      <x:c r="E6108" s="16" t="str">
        <x:v>Missing email</x:v>
      </x:c>
    </x:row>
    <x:row r="6109">
      <x:c r="A6109" s="16" t="n">
        <x:v>6322</x:v>
      </x:c>
      <x:c r="B6109" s="16" t="str">
        <x:v>Sifu halim panji timur</x:v>
      </x:c>
      <x:c r="C6109" s="16" t="str"/>
      <x:c r="D6109" s="16" t="str">
        <x:v>Trainer | * myContacts</x:v>
      </x:c>
      <x:c r="E6109" s="16" t="str">
        <x:v>Missing email</x:v>
      </x:c>
    </x:row>
    <x:row r="6110">
      <x:c r="A6110" s="16" t="n">
        <x:v>6323</x:v>
      </x:c>
      <x:c r="B6110" s="16" t="str">
        <x:v>Sifu Imran</x:v>
      </x:c>
      <x:c r="C6110" s="16" t="str"/>
      <x:c r="D6110" s="16" t="str">
        <x:v>Trainer | * myContacts</x:v>
      </x:c>
      <x:c r="E6110" s="16" t="str">
        <x:v>Missing email</x:v>
      </x:c>
    </x:row>
    <x:row r="6111">
      <x:c r="A6111" s="16" t="n">
        <x:v>6324</x:v>
      </x:c>
      <x:c r="B6111" s="16" t="str">
        <x:v>Sifu Jason Adword</x:v>
      </x:c>
      <x:c r="C6111" s="16" t="str"/>
      <x:c r="D6111" s="16" t="str">
        <x:v>Trainer | * myContacts</x:v>
      </x:c>
      <x:c r="E6111" s="16" t="str">
        <x:v>Missing email</x:v>
      </x:c>
    </x:row>
    <x:row r="6112">
      <x:c r="A6112" s="16" t="n">
        <x:v>6325</x:v>
      </x:c>
      <x:c r="B6112" s="16" t="str">
        <x:v>Sifu Khairul AI</x:v>
      </x:c>
      <x:c r="C6112" s="16" t="str"/>
      <x:c r="D6112" s="16" t="str">
        <x:v>Trainer | * myContacts</x:v>
      </x:c>
      <x:c r="E6112" s="16" t="str">
        <x:v>Missing email</x:v>
      </x:c>
    </x:row>
    <x:row r="6113">
      <x:c r="A6113" s="16" t="n">
        <x:v>6326</x:v>
      </x:c>
      <x:c r="B6113" s="16" t="str">
        <x:v>Sifu khairul content</x:v>
      </x:c>
      <x:c r="C6113" s="16" t="str"/>
      <x:c r="D6113" s="16" t="str">
        <x:v>Trainer | * myContacts</x:v>
      </x:c>
      <x:c r="E6113" s="16" t="str">
        <x:v>Missing email</x:v>
      </x:c>
    </x:row>
    <x:row r="6114">
      <x:c r="A6114" s="16" t="n">
        <x:v>6327</x:v>
      </x:c>
      <x:c r="B6114" s="16" t="str">
        <x:v>Sifu LOA master Jamal</x:v>
      </x:c>
      <x:c r="C6114" s="16" t="str"/>
      <x:c r="D6114" s="16" t="str">
        <x:v>Trainer | * myContacts</x:v>
      </x:c>
      <x:c r="E6114" s="16" t="str">
        <x:v>Missing email</x:v>
      </x:c>
    </x:row>
    <x:row r="6115">
      <x:c r="A6115" s="16" t="n">
        <x:v>6329</x:v>
      </x:c>
      <x:c r="B6115" s="16" t="str">
        <x:v>Sifu Maria</x:v>
      </x:c>
      <x:c r="C6115" s="16" t="str"/>
      <x:c r="D6115" s="16" t="str">
        <x:v>Trainer | * myContacts</x:v>
      </x:c>
      <x:c r="E6115" s="16" t="str">
        <x:v>Missing email</x:v>
      </x:c>
    </x:row>
    <x:row r="6116">
      <x:c r="A6116" s="16" t="n">
        <x:v>6330</x:v>
      </x:c>
      <x:c r="B6116" s="16" t="str">
        <x:v>Sifu Mazlan IM</x:v>
      </x:c>
      <x:c r="C6116" s="16" t="str"/>
      <x:c r="D6116" s="16" t="str">
        <x:v>Trainer | * myContacts</x:v>
      </x:c>
      <x:c r="E6116" s="16" t="str">
        <x:v>Missing email</x:v>
      </x:c>
    </x:row>
    <x:row r="6117">
      <x:c r="A6117" s="16" t="n">
        <x:v>6331</x:v>
      </x:c>
      <x:c r="B6117" s="16" t="str">
        <x:v>sifu noah im</x:v>
      </x:c>
      <x:c r="C6117" s="16" t="str"/>
      <x:c r="D6117" s="16" t="str">
        <x:v>* myContacts</x:v>
      </x:c>
      <x:c r="E6117" s="16" t="str">
        <x:v>Missing email</x:v>
      </x:c>
    </x:row>
    <x:row r="6118">
      <x:c r="A6118" s="16" t="n">
        <x:v>6332</x:v>
      </x:c>
      <x:c r="B6118" s="16" t="str">
        <x:v>Sifu Norlukmal Mat Ghani</x:v>
      </x:c>
      <x:c r="C6118" s="16" t="str"/>
      <x:c r="D6118" s="16" t="str">
        <x:v>Trainer | * myContacts</x:v>
      </x:c>
      <x:c r="E6118" s="16" t="str">
        <x:v>Missing email</x:v>
      </x:c>
    </x:row>
    <x:row r="6119">
      <x:c r="A6119" s="16" t="n">
        <x:v>6333</x:v>
      </x:c>
      <x:c r="B6119" s="16" t="str">
        <x:v>Sifu Rafiq Mobile Apps Expert</x:v>
      </x:c>
      <x:c r="C6119" s="16" t="str"/>
      <x:c r="D6119" s="16" t="str">
        <x:v>Trainer | * myContacts</x:v>
      </x:c>
      <x:c r="E6119" s="16" t="str">
        <x:v>Missing email</x:v>
      </x:c>
    </x:row>
    <x:row r="6120">
      <x:c r="A6120" s="16" t="n">
        <x:v>6334</x:v>
      </x:c>
      <x:c r="B6120" s="16" t="str">
        <x:v>Sifu Ryzul MyIpo</x:v>
      </x:c>
      <x:c r="C6120" s="16" t="str"/>
      <x:c r="D6120" s="16" t="str">
        <x:v>Trainer | * myContacts</x:v>
      </x:c>
      <x:c r="E6120" s="16" t="str">
        <x:v>Missing email</x:v>
      </x:c>
    </x:row>
    <x:row r="6121">
      <x:c r="A6121" s="16" t="n">
        <x:v>6335</x:v>
      </x:c>
      <x:c r="B6121" s="16" t="str">
        <x:v>Sifu Safuan Borhan</x:v>
      </x:c>
      <x:c r="C6121" s="16" t="str"/>
      <x:c r="D6121" s="16" t="str">
        <x:v>Trainer | * myContacts</x:v>
      </x:c>
      <x:c r="E6121" s="16" t="str">
        <x:v>Missing email</x:v>
      </x:c>
    </x:row>
    <x:row r="6122">
      <x:c r="A6122" s="16" t="n">
        <x:v>6336</x:v>
      </x:c>
      <x:c r="B6122" s="16" t="str">
        <x:v>Sifu Sales Azim</x:v>
      </x:c>
      <x:c r="C6122" s="16" t="str"/>
      <x:c r="D6122" s="16" t="str">
        <x:v>Trainer | * myContacts</x:v>
      </x:c>
      <x:c r="E6122" s="16" t="str">
        <x:v>Missing email</x:v>
      </x:c>
    </x:row>
    <x:row r="6123">
      <x:c r="A6123" s="16" t="n">
        <x:v>6337</x:v>
      </x:c>
      <x:c r="B6123" s="16" t="str">
        <x:v>Sifu Shahizam Ibrahim</x:v>
      </x:c>
      <x:c r="C6123" s="16" t="str"/>
      <x:c r="D6123" s="16" t="str">
        <x:v>Trainer | * myContacts</x:v>
      </x:c>
      <x:c r="E6123" s="16" t="str">
        <x:v>Missing email</x:v>
      </x:c>
    </x:row>
    <x:row r="6124">
      <x:c r="A6124" s="16" t="n">
        <x:v>6338</x:v>
      </x:c>
      <x:c r="B6124" s="16" t="str">
        <x:v>Sifu Syamsul Adlan Mahrim</x:v>
      </x:c>
      <x:c r="C6124" s="16" t="str"/>
      <x:c r="D6124" s="16" t="str">
        <x:v>Trainer | * myContacts</x:v>
      </x:c>
      <x:c r="E6124" s="16" t="str">
        <x:v>Missing email</x:v>
      </x:c>
    </x:row>
    <x:row r="6125">
      <x:c r="A6125" s="16" t="n">
        <x:v>6339</x:v>
      </x:c>
      <x:c r="B6125" s="16" t="str">
        <x:v>Sifu Wan Nong</x:v>
      </x:c>
      <x:c r="C6125" s="16" t="str"/>
      <x:c r="D6125" s="16" t="str">
        <x:v>Trainer | * myContacts</x:v>
      </x:c>
      <x:c r="E6125" s="16" t="str">
        <x:v>Missing email</x:v>
      </x:c>
    </x:row>
    <x:row r="6126">
      <x:c r="A6126" s="16" t="n">
        <x:v>6340</x:v>
      </x:c>
      <x:c r="B6126" s="16" t="str">
        <x:v>Silfara R. Dewi</x:v>
      </x:c>
      <x:c r="C6126" s="16" t="str"/>
      <x:c r="D6126" s="16" t="str">
        <x:v>* myContacts</x:v>
      </x:c>
      <x:c r="E6126" s="16" t="str">
        <x:v>Missing email</x:v>
      </x:c>
    </x:row>
    <x:row r="6127">
      <x:c r="A6127" s="16" t="n">
        <x:v>6341</x:v>
      </x:c>
      <x:c r="B6127" s="16" t="str">
        <x:v>Sim Ameim</x:v>
      </x:c>
      <x:c r="C6127" s="16" t="str"/>
      <x:c r="D6127" s="16" t="str">
        <x:v>* myContacts</x:v>
      </x:c>
      <x:c r="E6127" s="16" t="str">
        <x:v>Missing email</x:v>
      </x:c>
    </x:row>
    <x:row r="6128">
      <x:c r="A6128" s="16" t="n">
        <x:v>6342</x:v>
      </x:c>
      <x:c r="B6128" s="16" t="str">
        <x:v>Sima StokisJsd HuluLangat</x:v>
      </x:c>
      <x:c r="C6128" s="16" t="str"/>
      <x:c r="D6128" s="16" t="str">
        <x:v>* myContacts</x:v>
      </x:c>
      <x:c r="E6128" s="16" t="str">
        <x:v>Missing email</x:v>
      </x:c>
    </x:row>
    <x:row r="6129">
      <x:c r="A6129" s="16" t="n">
        <x:v>6343</x:v>
      </x:c>
      <x:c r="B6129" s="16" t="str">
        <x:v>Sinar Cristal</x:v>
      </x:c>
      <x:c r="C6129" s="16" t="str"/>
      <x:c r="D6129" s="16" t="str">
        <x:v>* myContacts</x:v>
      </x:c>
      <x:c r="E6129" s="16" t="str">
        <x:v>Missing email</x:v>
      </x:c>
    </x:row>
    <x:row r="6130">
      <x:c r="A6130" s="16" t="n">
        <x:v>6344</x:v>
      </x:c>
      <x:c r="B6130" s="16" t="str">
        <x:v>Sinar Elektrikal Servis</x:v>
      </x:c>
      <x:c r="C6130" s="16" t="str"/>
      <x:c r="D6130" s="16" t="str">
        <x:v>* myContacts</x:v>
      </x:c>
      <x:c r="E6130" s="16" t="str">
        <x:v>Missing email</x:v>
      </x:c>
    </x:row>
    <x:row r="6131">
      <x:c r="A6131" s="16" t="n">
        <x:v>6345</x:v>
      </x:c>
      <x:c r="B6131" s="16" t="str">
        <x:v>SIP PPMM</x:v>
      </x:c>
      <x:c r="C6131" s="16" t="str"/>
      <x:c r="D6131" s="16" t="str">
        <x:v>* myContacts</x:v>
      </x:c>
      <x:c r="E6131" s="16" t="str">
        <x:v>Missing email</x:v>
      </x:c>
    </x:row>
    <x:row r="6132">
      <x:c r="A6132" s="16" t="n">
        <x:v>6346</x:v>
      </x:c>
      <x:c r="B6132" s="16" t="str">
        <x:v>SIR AIZAT</x:v>
      </x:c>
      <x:c r="C6132" s="16" t="str"/>
      <x:c r="D6132" s="16" t="str">
        <x:v>* myContacts</x:v>
      </x:c>
      <x:c r="E6132" s="16" t="str">
        <x:v>Missing email</x:v>
      </x:c>
    </x:row>
    <x:row r="6133">
      <x:c r="A6133" s="16" t="n">
        <x:v>6347</x:v>
      </x:c>
      <x:c r="B6133" s="16" t="str">
        <x:v>Sir Hafiz</x:v>
      </x:c>
      <x:c r="C6133" s="16" t="str"/>
      <x:c r="D6133" s="16" t="str">
        <x:v>* myContacts</x:v>
      </x:c>
      <x:c r="E6133" s="16" t="str">
        <x:v>Missing email</x:v>
      </x:c>
    </x:row>
    <x:row r="6134">
      <x:c r="A6134" s="16" t="n">
        <x:v>6348</x:v>
      </x:c>
      <x:c r="B6134" s="16" t="str">
        <x:v>Sir Lotfi Unisel Seni Visual</x:v>
      </x:c>
      <x:c r="C6134" s="16" t="str"/>
      <x:c r="D6134" s="16" t="str">
        <x:v>* myContacts</x:v>
      </x:c>
      <x:c r="E6134" s="16" t="str">
        <x:v>Missing email</x:v>
      </x:c>
    </x:row>
    <x:row r="6135">
      <x:c r="A6135" s="16" t="n">
        <x:v>6349</x:v>
      </x:c>
      <x:c r="B6135" s="16" t="str">
        <x:v>Sis Lia MBM</x:v>
      </x:c>
      <x:c r="C6135" s="16" t="str"/>
      <x:c r="D6135" s="16" t="str">
        <x:v>* myContacts</x:v>
      </x:c>
      <x:c r="E6135" s="16" t="str">
        <x:v>Missing email</x:v>
      </x:c>
    </x:row>
    <x:row r="6136">
      <x:c r="A6136" s="16" t="n">
        <x:v>6350</x:v>
      </x:c>
      <x:c r="B6136" s="16" t="str">
        <x:v>Sis Yuyu</x:v>
      </x:c>
      <x:c r="C6136" s="16" t="str"/>
      <x:c r="D6136" s="16" t="str">
        <x:v>* myContacts</x:v>
      </x:c>
      <x:c r="E6136" s="16" t="str">
        <x:v>Missing email</x:v>
      </x:c>
    </x:row>
    <x:row r="6137">
      <x:c r="A6137" s="16" t="n">
        <x:v>6351</x:v>
      </x:c>
      <x:c r="B6137" s="16" t="str">
        <x:v>Siti Afiqah</x:v>
      </x:c>
      <x:c r="C6137" s="16" t="str"/>
      <x:c r="D6137" s="16" t="str">
        <x:v>* myContacts</x:v>
      </x:c>
      <x:c r="E6137" s="16" t="str">
        <x:v>Missing email</x:v>
      </x:c>
    </x:row>
    <x:row r="6138">
      <x:c r="A6138" s="16" t="n">
        <x:v>6352</x:v>
      </x:c>
      <x:c r="B6138" s="16" t="str">
        <x:v>Siti Aisah Afiesyah</x:v>
      </x:c>
      <x:c r="C6138" s="16" t="str"/>
      <x:c r="D6138" s="16" t="str">
        <x:v>* myContacts</x:v>
      </x:c>
      <x:c r="E6138" s="16" t="str">
        <x:v>Missing email</x:v>
      </x:c>
    </x:row>
    <x:row r="6139">
      <x:c r="A6139" s="16" t="n">
        <x:v>6353</x:v>
      </x:c>
      <x:c r="B6139" s="16" t="str">
        <x:v>Siti Aishah Hanapi</x:v>
      </x:c>
      <x:c r="C6139" s="16" t="str"/>
      <x:c r="D6139" s="16" t="str">
        <x:v>* myContacts</x:v>
      </x:c>
      <x:c r="E6139" s="16" t="str">
        <x:v>Missing email</x:v>
      </x:c>
    </x:row>
    <x:row r="6140">
      <x:c r="A6140" s="16" t="n">
        <x:v>6354</x:v>
      </x:c>
      <x:c r="B6140" s="16" t="str">
        <x:v>Siti Aisyah</x:v>
      </x:c>
      <x:c r="C6140" s="16" t="str"/>
      <x:c r="D6140" s="16" t="str">
        <x:v>* myContacts</x:v>
      </x:c>
      <x:c r="E6140" s="16" t="str">
        <x:v>Missing email</x:v>
      </x:c>
    </x:row>
    <x:row r="6141">
      <x:c r="A6141" s="16" t="n">
        <x:v>6355</x:v>
      </x:c>
      <x:c r="B6141" s="16" t="str">
        <x:v>Siti Aleysa</x:v>
      </x:c>
      <x:c r="C6141" s="16" t="str"/>
      <x:c r="D6141" s="16" t="str">
        <x:v>* myContacts</x:v>
      </x:c>
      <x:c r="E6141" s="16" t="str">
        <x:v>Missing email</x:v>
      </x:c>
    </x:row>
    <x:row r="6142">
      <x:c r="A6142" s="16" t="n">
        <x:v>6356</x:v>
      </x:c>
      <x:c r="B6142" s="16" t="str">
        <x:v>Siti Ayu Ayu</x:v>
      </x:c>
      <x:c r="C6142" s="16" t="str"/>
      <x:c r="D6142" s="16" t="str">
        <x:v>* myContacts</x:v>
      </x:c>
      <x:c r="E6142" s="16" t="str">
        <x:v>Missing email</x:v>
      </x:c>
    </x:row>
    <x:row r="6143">
      <x:c r="A6143" s="16" t="n">
        <x:v>6357</x:v>
      </x:c>
      <x:c r="B6143" s="16" t="str">
        <x:v>Siti Azirah Abdul Wahab</x:v>
      </x:c>
      <x:c r="C6143" s="16" t="str"/>
      <x:c r="D6143" s="16" t="str">
        <x:v>* myContacts</x:v>
      </x:c>
      <x:c r="E6143" s="16" t="str">
        <x:v>Missing email</x:v>
      </x:c>
    </x:row>
    <x:row r="6144">
      <x:c r="A6144" s="16" t="n">
        <x:v>6358</x:v>
      </x:c>
      <x:c r="B6144" s="16" t="str">
        <x:v>Siti Azlina Ismail</x:v>
      </x:c>
      <x:c r="C6144" s="16" t="str"/>
      <x:c r="D6144" s="16" t="str">
        <x:v>* myContacts</x:v>
      </x:c>
      <x:c r="E6144" s="16" t="str">
        <x:v>Missing email</x:v>
      </x:c>
    </x:row>
    <x:row r="6145">
      <x:c r="A6145" s="16" t="n">
        <x:v>6359</x:v>
      </x:c>
      <x:c r="B6145" s="16" t="str">
        <x:v>Siti Azlina Nordin</x:v>
      </x:c>
      <x:c r="C6145" s="16" t="str"/>
      <x:c r="D6145" s="16" t="str">
        <x:v>* myContacts</x:v>
      </x:c>
      <x:c r="E6145" s="16" t="str">
        <x:v>Missing email</x:v>
      </x:c>
    </x:row>
    <x:row r="6146">
      <x:c r="A6146" s="16" t="n">
        <x:v>6360</x:v>
      </x:c>
      <x:c r="B6146" s="16" t="str">
        <x:v>Siti Azura</x:v>
      </x:c>
      <x:c r="C6146" s="16" t="str"/>
      <x:c r="D6146" s="16" t="str">
        <x:v>* myContacts</x:v>
      </x:c>
      <x:c r="E6146" s="16" t="str">
        <x:v>Missing email</x:v>
      </x:c>
    </x:row>
    <x:row r="6147">
      <x:c r="A6147" s="16" t="n">
        <x:v>6361</x:v>
      </x:c>
      <x:c r="B6147" s="16" t="str">
        <x:v>Siti Bashirah AGP</x:v>
      </x:c>
      <x:c r="C6147" s="16" t="str"/>
      <x:c r="D6147" s="16" t="str">
        <x:v>* myContacts</x:v>
      </x:c>
      <x:c r="E6147" s="16" t="str">
        <x:v>Missing email</x:v>
      </x:c>
    </x:row>
    <x:row r="6148">
      <x:c r="A6148" s="16" t="n">
        <x:v>6362</x:v>
      </x:c>
      <x:c r="B6148" s="16" t="str">
        <x:v>Siti Edah</x:v>
      </x:c>
      <x:c r="C6148" s="16" t="str"/>
      <x:c r="D6148" s="16" t="str">
        <x:v>* myContacts</x:v>
      </x:c>
      <x:c r="E6148" s="16" t="str">
        <x:v>Missing email</x:v>
      </x:c>
    </x:row>
    <x:row r="6149">
      <x:c r="A6149" s="16" t="n">
        <x:v>6363</x:v>
      </x:c>
      <x:c r="B6149" s="16" t="str">
        <x:v>Siti Fairuz Mohd Yusof</x:v>
      </x:c>
      <x:c r="C6149" s="16" t="str"/>
      <x:c r="D6149" s="16" t="str">
        <x:v>* myContacts</x:v>
      </x:c>
      <x:c r="E6149" s="16" t="str">
        <x:v>Missing email</x:v>
      </x:c>
    </x:row>
    <x:row r="6150">
      <x:c r="A6150" s="16" t="n">
        <x:v>6364</x:v>
      </x:c>
      <x:c r="B6150" s="16" t="str">
        <x:v>Siti Fatimah</x:v>
      </x:c>
      <x:c r="C6150" s="16" t="str"/>
      <x:c r="D6150" s="16" t="str">
        <x:v>* myContacts</x:v>
      </x:c>
      <x:c r="E6150" s="16" t="str">
        <x:v>Missing email</x:v>
      </x:c>
    </x:row>
    <x:row r="6151">
      <x:c r="A6151" s="16" t="n">
        <x:v>6365</x:v>
      </x:c>
      <x:c r="B6151" s="16" t="str">
        <x:v>Siti Fatimah Abdul Karim</x:v>
      </x:c>
      <x:c r="C6151" s="16" t="str"/>
      <x:c r="D6151" s="16" t="str">
        <x:v>* myContacts</x:v>
      </x:c>
      <x:c r="E6151" s="16" t="str">
        <x:v>Missing email</x:v>
      </x:c>
    </x:row>
    <x:row r="6152">
      <x:c r="A6152" s="16" t="n">
        <x:v>6366</x:v>
      </x:c>
      <x:c r="B6152" s="16" t="str">
        <x:v>Siti Fatimah Che Awang</x:v>
      </x:c>
      <x:c r="C6152" s="16" t="str"/>
      <x:c r="D6152" s="16" t="str">
        <x:v>* myContacts</x:v>
      </x:c>
      <x:c r="E6152" s="16" t="str">
        <x:v>Missing email</x:v>
      </x:c>
    </x:row>
    <x:row r="6153">
      <x:c r="A6153" s="16" t="n">
        <x:v>6367</x:v>
      </x:c>
      <x:c r="B6153" s="16" t="str">
        <x:v>Siti Fazira</x:v>
      </x:c>
      <x:c r="C6153" s="16" t="str"/>
      <x:c r="D6153" s="16" t="str">
        <x:v>* myContacts</x:v>
      </x:c>
      <x:c r="E6153" s="16" t="str">
        <x:v>Missing email</x:v>
      </x:c>
    </x:row>
    <x:row r="6154">
      <x:c r="A6154" s="16" t="n">
        <x:v>6368</x:v>
      </x:c>
      <x:c r="B6154" s="16" t="str">
        <x:v>Siti Hairiah Cik Ya</x:v>
      </x:c>
      <x:c r="C6154" s="16" t="str"/>
      <x:c r="D6154" s="16" t="str">
        <x:v>* myContacts</x:v>
      </x:c>
      <x:c r="E6154" s="16" t="str">
        <x:v>Missing email</x:v>
      </x:c>
    </x:row>
    <x:row r="6155">
      <x:c r="A6155" s="16" t="n">
        <x:v>6369</x:v>
      </x:c>
      <x:c r="B6155" s="16" t="str">
        <x:v>Siti Hajar Inqaidah VOC EU2023</x:v>
      </x:c>
      <x:c r="C6155" s="16" t="str"/>
      <x:c r="D6155" s="16" t="str">
        <x:v>* myContacts</x:v>
      </x:c>
      <x:c r="E6155" s="16" t="str">
        <x:v>Missing email</x:v>
      </x:c>
    </x:row>
    <x:row r="6156">
      <x:c r="A6156" s="16" t="n">
        <x:v>6370</x:v>
      </x:c>
      <x:c r="B6156" s="16" t="str">
        <x:v>Siti Hajariah</x:v>
      </x:c>
      <x:c r="C6156" s="16" t="str"/>
      <x:c r="D6156" s="16" t="str">
        <x:v>* myContacts</x:v>
      </x:c>
      <x:c r="E6156" s="16" t="str">
        <x:v>Missing email</x:v>
      </x:c>
    </x:row>
    <x:row r="6157">
      <x:c r="A6157" s="16" t="n">
        <x:v>6371</x:v>
      </x:c>
      <x:c r="B6157" s="16" t="str">
        <x:v>Siti Halijah Mdec Officer</x:v>
      </x:c>
      <x:c r="C6157" s="16" t="str"/>
      <x:c r="D6157" s="16" t="str">
        <x:v>* myContacts</x:v>
      </x:c>
      <x:c r="E6157" s="16" t="str">
        <x:v>Missing email</x:v>
      </x:c>
    </x:row>
    <x:row r="6158">
      <x:c r="A6158" s="16" t="n">
        <x:v>6372</x:v>
      </x:c>
      <x:c r="B6158" s="16" t="str">
        <x:v>Siti Hamizah Aspin Agent AGP</x:v>
      </x:c>
      <x:c r="C6158" s="16" t="str"/>
      <x:c r="D6158" s="16" t="str">
        <x:v>* myContacts</x:v>
      </x:c>
      <x:c r="E6158" s="16" t="str">
        <x:v>Missing email</x:v>
      </x:c>
    </x:row>
    <x:row r="6159">
      <x:c r="A6159" s="16" t="n">
        <x:v>6373</x:v>
      </x:c>
      <x:c r="B6159" s="16" t="str">
        <x:v>Siti Hawa</x:v>
      </x:c>
      <x:c r="C6159" s="16" t="str"/>
      <x:c r="D6159" s="16" t="str">
        <x:v>* myContacts</x:v>
      </x:c>
      <x:c r="E6159" s="16" t="str">
        <x:v>Missing email</x:v>
      </x:c>
    </x:row>
    <x:row r="6160">
      <x:c r="A6160" s="16" t="n">
        <x:v>6374</x:v>
      </x:c>
      <x:c r="B6160" s="16" t="str">
        <x:v>Siti Hawa</x:v>
      </x:c>
      <x:c r="C6160" s="16" t="str"/>
      <x:c r="D6160" s="16" t="str">
        <x:v>* myContacts</x:v>
      </x:c>
      <x:c r="E6160" s="16" t="str">
        <x:v>Missing email</x:v>
      </x:c>
    </x:row>
    <x:row r="6161">
      <x:c r="A6161" s="16" t="n">
        <x:v>6375</x:v>
      </x:c>
      <x:c r="B6161" s="16" t="str">
        <x:v>Siti JohAri</x:v>
      </x:c>
      <x:c r="C6161" s="16" t="str"/>
      <x:c r="D6161" s="16" t="str">
        <x:v>* myContacts</x:v>
      </x:c>
      <x:c r="E6161" s="16" t="str">
        <x:v>Missing email</x:v>
      </x:c>
    </x:row>
    <x:row r="6162">
      <x:c r="A6162" s="16" t="n">
        <x:v>6376</x:v>
      </x:c>
      <x:c r="B6162" s="16" t="str">
        <x:v>Siti Khadijah</x:v>
      </x:c>
      <x:c r="C6162" s="16" t="str"/>
      <x:c r="D6162" s="16" t="str">
        <x:v>* myContacts</x:v>
      </x:c>
      <x:c r="E6162" s="16" t="str">
        <x:v>Missing email</x:v>
      </x:c>
    </x:row>
    <x:row r="6163">
      <x:c r="A6163" s="16" t="n">
        <x:v>6378</x:v>
      </x:c>
      <x:c r="B6163" s="16" t="str">
        <x:v>Siti Khalijah Siti Sitisidi</x:v>
      </x:c>
      <x:c r="C6163" s="16" t="str"/>
      <x:c r="D6163" s="16" t="str">
        <x:v>* myContacts</x:v>
      </x:c>
      <x:c r="E6163" s="16" t="str">
        <x:v>Missing email</x:v>
      </x:c>
    </x:row>
    <x:row r="6164">
      <x:c r="A6164" s="16" t="n">
        <x:v>6379</x:v>
      </x:c>
      <x:c r="B6164" s="16" t="str">
        <x:v>Siti Khuzaimah</x:v>
      </x:c>
      <x:c r="C6164" s="16" t="str"/>
      <x:c r="D6164" s="16" t="str">
        <x:v>* myContacts</x:v>
      </x:c>
      <x:c r="E6164" s="16" t="str">
        <x:v>Missing email</x:v>
      </x:c>
    </x:row>
    <x:row r="6165">
      <x:c r="A6165" s="16" t="n">
        <x:v>6380</x:v>
      </x:c>
      <x:c r="B6165" s="16" t="str">
        <x:v>Siti Lela</x:v>
      </x:c>
      <x:c r="C6165" s="16" t="str"/>
      <x:c r="D6165" s="16" t="str">
        <x:v>* myContacts</x:v>
      </x:c>
      <x:c r="E6165" s="16" t="str">
        <x:v>Missing email</x:v>
      </x:c>
    </x:row>
    <x:row r="6166">
      <x:c r="A6166" s="16" t="n">
        <x:v>6381</x:v>
      </x:c>
      <x:c r="B6166" s="16" t="str">
        <x:v>Siti Mariam Agent AGP</x:v>
      </x:c>
      <x:c r="C6166" s="16" t="str"/>
      <x:c r="D6166" s="16" t="str">
        <x:v>* myContacts</x:v>
      </x:c>
      <x:c r="E6166" s="16" t="str">
        <x:v>Missing email</x:v>
      </x:c>
    </x:row>
    <x:row r="6167">
      <x:c r="A6167" s="16" t="n">
        <x:v>6383</x:v>
      </x:c>
      <x:c r="B6167" s="16" t="str">
        <x:v>Siti Mazura Kip</x:v>
      </x:c>
      <x:c r="C6167" s="16" t="str"/>
      <x:c r="D6167" s="16" t="str">
        <x:v>* myContacts</x:v>
      </x:c>
      <x:c r="E6167" s="16" t="str">
        <x:v>Missing email</x:v>
      </x:c>
    </x:row>
    <x:row r="6168">
      <x:c r="A6168" s="16" t="n">
        <x:v>6384</x:v>
      </x:c>
      <x:c r="B6168" s="16" t="str">
        <x:v>Siti N Sheikh Abdullah</x:v>
      </x:c>
      <x:c r="C6168" s="16" t="str"/>
      <x:c r="D6168" s="16" t="str">
        <x:v>* myContacts</x:v>
      </x:c>
      <x:c r="E6168" s="16" t="str">
        <x:v>Missing email</x:v>
      </x:c>
    </x:row>
    <x:row r="6169">
      <x:c r="A6169" s="16" t="n">
        <x:v>6385</x:v>
      </x:c>
      <x:c r="B6169" s="16" t="str">
        <x:v>Siti NGO Jnj</x:v>
      </x:c>
      <x:c r="C6169" s="16" t="str"/>
      <x:c r="D6169" s="16" t="str">
        <x:v>* myContacts</x:v>
      </x:c>
      <x:c r="E6169" s="16" t="str">
        <x:v>Missing email</x:v>
      </x:c>
    </x:row>
    <x:row r="6170">
      <x:c r="A6170" s="16" t="n">
        <x:v>6386</x:v>
      </x:c>
      <x:c r="B6170" s="16" t="str">
        <x:v>Siti Noor Arni</x:v>
      </x:c>
      <x:c r="C6170" s="16" t="str"/>
      <x:c r="D6170" s="16" t="str">
        <x:v>* myContacts</x:v>
      </x:c>
      <x:c r="E6170" s="16" t="str">
        <x:v>Missing email</x:v>
      </x:c>
    </x:row>
    <x:row r="6171">
      <x:c r="A6171" s="16" t="n">
        <x:v>6387</x:v>
      </x:c>
      <x:c r="B6171" s="16" t="str">
        <x:v>Siti Nooryani Yani</x:v>
      </x:c>
      <x:c r="C6171" s="16" t="str"/>
      <x:c r="D6171" s="16" t="str">
        <x:v>* myContacts</x:v>
      </x:c>
      <x:c r="E6171" s="16" t="str">
        <x:v>Missing email</x:v>
      </x:c>
    </x:row>
    <x:row r="6172">
      <x:c r="A6172" s="16" t="n">
        <x:v>6388</x:v>
      </x:c>
      <x:c r="B6172" s="16" t="str">
        <x:v>Siti Nor Wahida</x:v>
      </x:c>
      <x:c r="C6172" s="16" t="str"/>
      <x:c r="D6172" s="16" t="str">
        <x:v>* myContacts</x:v>
      </x:c>
      <x:c r="E6172" s="16" t="str">
        <x:v>Missing email</x:v>
      </x:c>
    </x:row>
    <x:row r="6173">
      <x:c r="A6173" s="16" t="n">
        <x:v>6389</x:v>
      </x:c>
      <x:c r="B6173" s="16" t="str">
        <x:v>Siti Nor ZainolAbidin</x:v>
      </x:c>
      <x:c r="C6173" s="16" t="str"/>
      <x:c r="D6173" s="16" t="str">
        <x:v>* myContacts</x:v>
      </x:c>
      <x:c r="E6173" s="16" t="str">
        <x:v>Missing email</x:v>
      </x:c>
    </x:row>
    <x:row r="6174">
      <x:c r="A6174" s="16" t="n">
        <x:v>6390</x:v>
      </x:c>
      <x:c r="B6174" s="16" t="str">
        <x:v>Siti Norddiana</x:v>
      </x:c>
      <x:c r="C6174" s="16" t="str"/>
      <x:c r="D6174" s="16" t="str">
        <x:v>* myContacts</x:v>
      </x:c>
      <x:c r="E6174" s="16" t="str">
        <x:v>Missing email</x:v>
      </x:c>
    </x:row>
    <x:row r="6175">
      <x:c r="A6175" s="16" t="n">
        <x:v>6391</x:v>
      </x:c>
      <x:c r="B6175" s="16" t="str">
        <x:v>Siti Nordiah INSPEN</x:v>
      </x:c>
      <x:c r="C6175" s="16" t="str"/>
      <x:c r="D6175" s="16" t="str">
        <x:v>* myContacts</x:v>
      </x:c>
      <x:c r="E6175" s="16" t="str">
        <x:v>Missing email</x:v>
      </x:c>
    </x:row>
    <x:row r="6176">
      <x:c r="A6176" s="16" t="n">
        <x:v>6392</x:v>
      </x:c>
      <x:c r="B6176" s="16" t="str">
        <x:v>Siti Norhadhinah Hijrah Sepang</x:v>
      </x:c>
      <x:c r="C6176" s="16" t="str"/>
      <x:c r="D6176" s="16" t="str">
        <x:v>Alumni eUsahawan | * myContacts</x:v>
      </x:c>
      <x:c r="E6176" s="16" t="str">
        <x:v>Missing email</x:v>
      </x:c>
    </x:row>
    <x:row r="6177">
      <x:c r="A6177" s="16" t="n">
        <x:v>6393</x:v>
      </x:c>
      <x:c r="B6177" s="16" t="str">
        <x:v>Siti Nur Aishah</x:v>
      </x:c>
      <x:c r="C6177" s="16" t="str"/>
      <x:c r="D6177" s="16" t="str">
        <x:v>* myContacts</x:v>
      </x:c>
      <x:c r="E6177" s="16" t="str">
        <x:v>Missing email</x:v>
      </x:c>
    </x:row>
    <x:row r="6178">
      <x:c r="A6178" s="16" t="n">
        <x:v>6394</x:v>
      </x:c>
      <x:c r="B6178" s="16" t="str">
        <x:v>Siti Nur Faizah</x:v>
      </x:c>
      <x:c r="C6178" s="16" t="str"/>
      <x:c r="D6178" s="16" t="str">
        <x:v>* myContacts</x:v>
      </x:c>
      <x:c r="E6178" s="16" t="str">
        <x:v>Missing email</x:v>
      </x:c>
    </x:row>
    <x:row r="6179">
      <x:c r="A6179" s="16" t="n">
        <x:v>6395</x:v>
      </x:c>
      <x:c r="B6179" s="16" t="str">
        <x:v>Siti Nur Zulaiha</x:v>
      </x:c>
      <x:c r="C6179" s="16" t="str"/>
      <x:c r="D6179" s="16" t="str">
        <x:v>* myContacts</x:v>
      </x:c>
      <x:c r="E6179" s="16" t="str">
        <x:v>Missing email</x:v>
      </x:c>
    </x:row>
    <x:row r="6180">
      <x:c r="A6180" s="16" t="n">
        <x:v>6396</x:v>
      </x:c>
      <x:c r="B6180" s="16" t="str">
        <x:v>Siti Nurain Abdullah</x:v>
      </x:c>
      <x:c r="C6180" s="16" t="str"/>
      <x:c r="D6180" s="16" t="str">
        <x:v>* myContacts</x:v>
      </x:c>
      <x:c r="E6180" s="16" t="str">
        <x:v>Missing email</x:v>
      </x:c>
    </x:row>
    <x:row r="6181">
      <x:c r="A6181" s="16" t="n">
        <x:v>6397</x:v>
      </x:c>
      <x:c r="B6181" s="16" t="str">
        <x:v>Siti Nurain Angah</x:v>
      </x:c>
      <x:c r="C6181" s="16" t="str"/>
      <x:c r="D6181" s="16" t="str">
        <x:v>* myContacts</x:v>
      </x:c>
      <x:c r="E6181" s="16" t="str">
        <x:v>Missing email</x:v>
      </x:c>
    </x:row>
    <x:row r="6182">
      <x:c r="A6182" s="16" t="n">
        <x:v>6398</x:v>
      </x:c>
      <x:c r="B6182" s="16" t="str">
        <x:v>Siti Nuratifah Ahmat Tajidin</x:v>
      </x:c>
      <x:c r="C6182" s="16" t="str"/>
      <x:c r="D6182" s="16" t="str">
        <x:v>* myContacts</x:v>
      </x:c>
      <x:c r="E6182" s="16" t="str">
        <x:v>Missing email</x:v>
      </x:c>
    </x:row>
    <x:row r="6183">
      <x:c r="A6183" s="16" t="n">
        <x:v>6399</x:v>
      </x:c>
      <x:c r="B6183" s="16" t="str">
        <x:v>Siti Nurhairiza RJB</x:v>
      </x:c>
      <x:c r="C6183" s="16" t="str"/>
      <x:c r="D6183" s="16" t="str">
        <x:v>* myContacts</x:v>
      </x:c>
      <x:c r="E6183" s="16" t="str">
        <x:v>Missing email</x:v>
      </x:c>
    </x:row>
    <x:row r="6184">
      <x:c r="A6184" s="16" t="n">
        <x:v>6400</x:v>
      </x:c>
      <x:c r="B6184" s="16" t="str">
        <x:v>Siti Nursabariah Mohd Redwan</x:v>
      </x:c>
      <x:c r="C6184" s="16" t="str"/>
      <x:c r="D6184" s="16" t="str">
        <x:v>* myContacts</x:v>
      </x:c>
      <x:c r="E6184" s="16" t="str">
        <x:v>Missing email</x:v>
      </x:c>
    </x:row>
    <x:row r="6185">
      <x:c r="A6185" s="16" t="n">
        <x:v>6401</x:v>
      </x:c>
      <x:c r="B6185" s="16" t="str">
        <x:v>Siti Ratna Azhreen</x:v>
      </x:c>
      <x:c r="C6185" s="16" t="str"/>
      <x:c r="D6185" s="16" t="str">
        <x:v>* myContacts</x:v>
      </x:c>
      <x:c r="E6185" s="16" t="str">
        <x:v>Missing email</x:v>
      </x:c>
    </x:row>
    <x:row r="6186">
      <x:c r="A6186" s="16" t="n">
        <x:v>6402</x:v>
      </x:c>
      <x:c r="B6186" s="16" t="str">
        <x:v>Siti Rohani E-Shop</x:v>
      </x:c>
      <x:c r="C6186" s="16" t="str"/>
      <x:c r="D6186" s="16" t="str">
        <x:v>* myContacts</x:v>
      </x:c>
      <x:c r="E6186" s="16" t="str">
        <x:v>Missing email</x:v>
      </x:c>
    </x:row>
    <x:row r="6187">
      <x:c r="A6187" s="16" t="n">
        <x:v>6403</x:v>
      </x:c>
      <x:c r="B6187" s="16" t="str">
        <x:v>Siti Rohaya IM</x:v>
      </x:c>
      <x:c r="C6187" s="16" t="str"/>
      <x:c r="D6187" s="16" t="str">
        <x:v>* myContacts</x:v>
      </x:c>
      <x:c r="E6187" s="16" t="str">
        <x:v>Missing email</x:v>
      </x:c>
    </x:row>
    <x:row r="6188">
      <x:c r="A6188" s="16" t="n">
        <x:v>6404</x:v>
      </x:c>
      <x:c r="B6188" s="16" t="str">
        <x:v>Siti Safiera</x:v>
      </x:c>
      <x:c r="C6188" s="16" t="str"/>
      <x:c r="D6188" s="16" t="str">
        <x:v>* myContacts</x:v>
      </x:c>
      <x:c r="E6188" s="16" t="str">
        <x:v>Missing email</x:v>
      </x:c>
    </x:row>
    <x:row r="6189">
      <x:c r="A6189" s="16" t="n">
        <x:v>6405</x:v>
      </x:c>
      <x:c r="B6189" s="16" t="str">
        <x:v>Siti Sahira</x:v>
      </x:c>
      <x:c r="C6189" s="16" t="str"/>
      <x:c r="D6189" s="16" t="str">
        <x:v>* myContacts</x:v>
      </x:c>
      <x:c r="E6189" s="16" t="str">
        <x:v>Missing email</x:v>
      </x:c>
    </x:row>
    <x:row r="6190">
      <x:c r="A6190" s="16" t="n">
        <x:v>6406</x:v>
      </x:c>
      <x:c r="B6190" s="16" t="str">
        <x:v>Siti Salwaa Mohd Saleh</x:v>
      </x:c>
      <x:c r="C6190" s="16" t="str"/>
      <x:c r="D6190" s="16" t="str">
        <x:v>* myContacts</x:v>
      </x:c>
      <x:c r="E6190" s="16" t="str">
        <x:v>Missing email</x:v>
      </x:c>
    </x:row>
    <x:row r="6191">
      <x:c r="A6191" s="16" t="n">
        <x:v>6407</x:v>
      </x:c>
      <x:c r="B6191" s="16" t="str">
        <x:v>Siti Saudah Bt Amri</x:v>
      </x:c>
      <x:c r="C6191" s="16" t="str"/>
      <x:c r="D6191" s="16" t="str">
        <x:v>* myContacts</x:v>
      </x:c>
      <x:c r="E6191" s="16" t="str">
        <x:v>Missing email</x:v>
      </x:c>
    </x:row>
    <x:row r="6192">
      <x:c r="A6192" s="16" t="n">
        <x:v>6408</x:v>
      </x:c>
      <x:c r="B6192" s="16" t="str">
        <x:v>Siti Shafariza</x:v>
      </x:c>
      <x:c r="C6192" s="16" t="str"/>
      <x:c r="D6192" s="16" t="str">
        <x:v>* myContacts</x:v>
      </x:c>
      <x:c r="E6192" s="16" t="str">
        <x:v>Missing email</x:v>
      </x:c>
    </x:row>
    <x:row r="6193">
      <x:c r="A6193" s="16" t="n">
        <x:v>6409</x:v>
      </x:c>
      <x:c r="B6193" s="16" t="str">
        <x:v>Siti Sofrah Khasiballah</x:v>
      </x:c>
      <x:c r="C6193" s="16" t="str"/>
      <x:c r="D6193" s="16" t="str">
        <x:v>* myContacts</x:v>
      </x:c>
      <x:c r="E6193" s="16" t="str">
        <x:v>Missing email</x:v>
      </x:c>
    </x:row>
    <x:row r="6194">
      <x:c r="A6194" s="16" t="n">
        <x:v>6410</x:v>
      </x:c>
      <x:c r="B6194" s="16" t="str">
        <x:v>Siti Soleha</x:v>
      </x:c>
      <x:c r="C6194" s="16" t="str"/>
      <x:c r="D6194" s="16" t="str">
        <x:v>* myContacts</x:v>
      </x:c>
      <x:c r="E6194" s="16" t="str">
        <x:v>Missing email</x:v>
      </x:c>
    </x:row>
    <x:row r="6195">
      <x:c r="A6195" s="16" t="n">
        <x:v>6411</x:v>
      </x:c>
      <x:c r="B6195" s="16" t="str">
        <x:v>Siti Sue Hassan</x:v>
      </x:c>
      <x:c r="C6195" s="16" t="str"/>
      <x:c r="D6195" s="16" t="str">
        <x:v>* myContacts</x:v>
      </x:c>
      <x:c r="E6195" s="16" t="str">
        <x:v>Missing email</x:v>
      </x:c>
    </x:row>
    <x:row r="6196">
      <x:c r="A6196" s="16" t="n">
        <x:v>6412</x:v>
      </x:c>
      <x:c r="B6196" s="16" t="str">
        <x:v>Siti Suhaibah Awang</x:v>
      </x:c>
      <x:c r="C6196" s="16" t="str"/>
      <x:c r="D6196" s="16" t="str">
        <x:v>* myContacts</x:v>
      </x:c>
      <x:c r="E6196" s="16" t="str">
        <x:v>Missing email</x:v>
      </x:c>
    </x:row>
    <x:row r="6197">
      <x:c r="A6197" s="16" t="n">
        <x:v>6413</x:v>
      </x:c>
      <x:c r="B6197" s="16" t="str">
        <x:v>Siti Suhainee Che Haris</x:v>
      </x:c>
      <x:c r="C6197" s="16" t="str"/>
      <x:c r="D6197" s="16" t="str">
        <x:v>* myContacts</x:v>
      </x:c>
      <x:c r="E6197" s="16" t="str">
        <x:v>Missing email</x:v>
      </x:c>
    </x:row>
    <x:row r="6198">
      <x:c r="A6198" s="16" t="n">
        <x:v>6414</x:v>
      </x:c>
      <x:c r="B6198" s="16" t="str">
        <x:v>Siti Syahrmila Janna</x:v>
      </x:c>
      <x:c r="C6198" s="16" t="str"/>
      <x:c r="D6198" s="16" t="str">
        <x:v>* myContacts</x:v>
      </x:c>
      <x:c r="E6198" s="16" t="str">
        <x:v>Missing email</x:v>
      </x:c>
    </x:row>
    <x:row r="6199">
      <x:c r="A6199" s="16" t="n">
        <x:v>6415</x:v>
      </x:c>
      <x:c r="B6199" s="16" t="str">
        <x:v>siti wan hainina Customer AGP</x:v>
      </x:c>
      <x:c r="C6199" s="16" t="str"/>
      <x:c r="D6199" s="16" t="str">
        <x:v>* myContacts</x:v>
      </x:c>
      <x:c r="E6199" s="16" t="str">
        <x:v>Missing email</x:v>
      </x:c>
    </x:row>
    <x:row r="6200">
      <x:c r="A6200" s="16" t="n">
        <x:v>6416</x:v>
      </x:c>
      <x:c r="B6200" s="16" t="str">
        <x:v>Siti Zainab</x:v>
      </x:c>
      <x:c r="C6200" s="16" t="str"/>
      <x:c r="D6200" s="16" t="str">
        <x:v>* myContacts</x:v>
      </x:c>
      <x:c r="E6200" s="16" t="str">
        <x:v>Missing email</x:v>
      </x:c>
    </x:row>
    <x:row r="6201">
      <x:c r="A6201" s="16" t="n">
        <x:v>6417</x:v>
      </x:c>
      <x:c r="B6201" s="16" t="str">
        <x:v>Siti Zubaidah Bahari</x:v>
      </x:c>
      <x:c r="C6201" s="16" t="str"/>
      <x:c r="D6201" s="16" t="str">
        <x:v>* myContacts</x:v>
      </x:c>
      <x:c r="E6201" s="16" t="str">
        <x:v>Missing email</x:v>
      </x:c>
    </x:row>
    <x:row r="6202">
      <x:c r="A6202" s="16" t="n">
        <x:v>6418</x:v>
      </x:c>
      <x:c r="B6202" s="16" t="str">
        <x:v>Siti Zulaiha</x:v>
      </x:c>
      <x:c r="C6202" s="16" t="str"/>
      <x:c r="D6202" s="16" t="str">
        <x:v>* myContacts</x:v>
      </x:c>
      <x:c r="E6202" s="16" t="str">
        <x:v>Missing email</x:v>
      </x:c>
    </x:row>
    <x:row r="6203">
      <x:c r="A6203" s="16" t="n">
        <x:v>6420</x:v>
      </x:c>
      <x:c r="B6203" s="16" t="str">
        <x:v>Siti Zuraidah</x:v>
      </x:c>
      <x:c r="C6203" s="16" t="str"/>
      <x:c r="D6203" s="16" t="str">
        <x:v>* myContacts</x:v>
      </x:c>
      <x:c r="E6203" s="16" t="str">
        <x:v>Missing email</x:v>
      </x:c>
    </x:row>
    <x:row r="6204">
      <x:c r="A6204" s="16" t="n">
        <x:v>6421</x:v>
      </x:c>
      <x:c r="B6204" s="16" t="str">
        <x:v>Sitiey 'CT'</x:v>
      </x:c>
      <x:c r="C6204" s="16" t="str"/>
      <x:c r="D6204" s="16" t="str">
        <x:v>* myContacts</x:v>
      </x:c>
      <x:c r="E6204" s="16" t="str">
        <x:v>Missing email</x:v>
      </x:c>
    </x:row>
    <x:row r="6205">
      <x:c r="A6205" s="16" t="n">
        <x:v>6422</x:v>
      </x:c>
      <x:c r="B6205" s="16" t="str">
        <x:v>Siutt Mat Jiwang</x:v>
      </x:c>
      <x:c r="C6205" s="16" t="str"/>
      <x:c r="D6205" s="16" t="str">
        <x:v>* myContacts</x:v>
      </x:c>
      <x:c r="E6205" s="16" t="str">
        <x:v>Missing email</x:v>
      </x:c>
    </x:row>
    <x:row r="6206">
      <x:c r="A6206" s="16" t="n">
        <x:v>6423</x:v>
      </x:c>
      <x:c r="B6206" s="16" t="str">
        <x:v>Sketchers Sickkers</x:v>
      </x:c>
      <x:c r="C6206" s="16" t="str"/>
      <x:c r="D6206" s="16" t="str">
        <x:v>* myContacts</x:v>
      </x:c>
      <x:c r="E6206" s="16" t="str">
        <x:v>Missing email</x:v>
      </x:c>
    </x:row>
    <x:row r="6207">
      <x:c r="A6207" s="16" t="n">
        <x:v>6424</x:v>
      </x:c>
      <x:c r="B6207" s="16" t="str">
        <x:v>Skyline Gtr</x:v>
      </x:c>
      <x:c r="C6207" s="16" t="str"/>
      <x:c r="D6207" s="16" t="str">
        <x:v>* myContacts</x:v>
      </x:c>
      <x:c r="E6207" s="16" t="str">
        <x:v>Missing email</x:v>
      </x:c>
    </x:row>
    <x:row r="6208">
      <x:c r="A6208" s="16" t="n">
        <x:v>6425</x:v>
      </x:c>
      <x:c r="B6208" s="16" t="str">
        <x:v>smart adv</x:v>
      </x:c>
      <x:c r="C6208" s="16" t="str"/>
      <x:c r="D6208" s="16" t="str">
        <x:v>* myContacts</x:v>
      </x:c>
      <x:c r="E6208" s="16" t="str">
        <x:v>Missing email</x:v>
      </x:c>
    </x:row>
    <x:row r="6209">
      <x:c r="A6209" s="16" t="n">
        <x:v>6426</x:v>
      </x:c>
      <x:c r="B6209" s="16" t="str">
        <x:v>Smash Fb Ads Jual Account</x:v>
      </x:c>
      <x:c r="C6209" s="16" t="str"/>
      <x:c r="D6209" s="16" t="str">
        <x:v>* myContacts</x:v>
      </x:c>
      <x:c r="E6209" s="16" t="str">
        <x:v>Missing email</x:v>
      </x:c>
    </x:row>
    <x:row r="6210">
      <x:c r="A6210" s="16" t="n">
        <x:v>6427</x:v>
      </x:c>
      <x:c r="B6210" s="16" t="str">
        <x:v>SN Farihan Ghazali</x:v>
      </x:c>
      <x:c r="C6210" s="16" t="str"/>
      <x:c r="D6210" s="16" t="str">
        <x:v>* myContacts</x:v>
      </x:c>
      <x:c r="E6210" s="16" t="str">
        <x:v>Missing email</x:v>
      </x:c>
    </x:row>
    <x:row r="6211">
      <x:c r="A6211" s="16" t="n">
        <x:v>6428</x:v>
      </x:c>
      <x:c r="B6211" s="16" t="str">
        <x:v>Sobri Misyan</x:v>
      </x:c>
      <x:c r="C6211" s="16" t="str"/>
      <x:c r="D6211" s="16" t="str">
        <x:v>* myContacts</x:v>
      </x:c>
      <x:c r="E6211" s="16" t="str">
        <x:v>Missing email</x:v>
      </x:c>
    </x:row>
    <x:row r="6212">
      <x:c r="A6212" s="16" t="n">
        <x:v>6429</x:v>
      </x:c>
      <x:c r="B6212" s="16" t="str">
        <x:v>Soefi Halal Mart</x:v>
      </x:c>
      <x:c r="C6212" s="16" t="str"/>
      <x:c r="D6212" s="16" t="str">
        <x:v>* myContacts</x:v>
      </x:c>
      <x:c r="E6212" s="16" t="str">
        <x:v>Missing email</x:v>
      </x:c>
    </x:row>
    <x:row r="6213">
      <x:c r="A6213" s="16" t="n">
        <x:v>6430</x:v>
      </x:c>
      <x:c r="B6213" s="16" t="str">
        <x:v>Sofea Ashikin</x:v>
      </x:c>
      <x:c r="C6213" s="16" t="str"/>
      <x:c r="D6213" s="16" t="str">
        <x:v>* myContacts</x:v>
      </x:c>
      <x:c r="E6213" s="16" t="str">
        <x:v>Missing email</x:v>
      </x:c>
    </x:row>
    <x:row r="6214">
      <x:c r="A6214" s="16" t="n">
        <x:v>6431</x:v>
      </x:c>
      <x:c r="B6214" s="16" t="str">
        <x:v>Sofea Seramik</x:v>
      </x:c>
      <x:c r="C6214" s="16" t="str"/>
      <x:c r="D6214" s="16" t="str">
        <x:v>* myContacts</x:v>
      </x:c>
      <x:c r="E6214" s="16" t="str">
        <x:v>Missing email</x:v>
      </x:c>
    </x:row>
    <x:row r="6215">
      <x:c r="A6215" s="16" t="n">
        <x:v>6432</x:v>
      </x:c>
      <x:c r="B6215" s="16" t="str">
        <x:v>Sofia Arie</x:v>
      </x:c>
      <x:c r="C6215" s="16" t="str"/>
      <x:c r="D6215" s="16" t="str">
        <x:v>* myContacts</x:v>
      </x:c>
      <x:c r="E6215" s="16" t="str">
        <x:v>Missing email</x:v>
      </x:c>
    </x:row>
    <x:row r="6216">
      <x:c r="A6216" s="16" t="n">
        <x:v>6433</x:v>
      </x:c>
      <x:c r="B6216" s="16" t="str">
        <x:v>Sofia Burhan</x:v>
      </x:c>
      <x:c r="C6216" s="16" t="str"/>
      <x:c r="D6216" s="16" t="str">
        <x:v>* myContacts</x:v>
      </x:c>
      <x:c r="E6216" s="16" t="str">
        <x:v>Missing email</x:v>
      </x:c>
    </x:row>
    <x:row r="6217">
      <x:c r="A6217" s="16" t="n">
        <x:v>6434</x:v>
      </x:c>
      <x:c r="B6217" s="16" t="str">
        <x:v>Sofiah Ibrahim</x:v>
      </x:c>
      <x:c r="C6217" s="16" t="str"/>
      <x:c r="D6217" s="16" t="str">
        <x:v>* myContacts</x:v>
      </x:c>
      <x:c r="E6217" s="16" t="str">
        <x:v>Missing email</x:v>
      </x:c>
    </x:row>
    <x:row r="6218">
      <x:c r="A6218" s="16" t="n">
        <x:v>6435</x:v>
      </x:c>
      <x:c r="B6218" s="16" t="str">
        <x:v>Sofie Dodife</x:v>
      </x:c>
      <x:c r="C6218" s="16" t="str"/>
      <x:c r="D6218" s="16" t="str">
        <x:v>* myContacts</x:v>
      </x:c>
      <x:c r="E6218" s="16" t="str">
        <x:v>Missing email</x:v>
      </x:c>
    </x:row>
    <x:row r="6219">
      <x:c r="A6219" s="16" t="n">
        <x:v>6436</x:v>
      </x:c>
      <x:c r="B6219" s="16" t="str">
        <x:v>Sofiyuddin Yusoff</x:v>
      </x:c>
      <x:c r="C6219" s="16" t="str"/>
      <x:c r="D6219" s="16" t="str">
        <x:v>* myContacts</x:v>
      </x:c>
      <x:c r="E6219" s="16" t="str">
        <x:v>Missing email</x:v>
      </x:c>
    </x:row>
    <x:row r="6220">
      <x:c r="A6220" s="16" t="n">
        <x:v>6437</x:v>
      </x:c>
      <x:c r="B6220" s="16" t="str">
        <x:v>Sofwan Razak Remizer Junior</x:v>
      </x:c>
      <x:c r="C6220" s="16" t="str"/>
      <x:c r="D6220" s="16" t="str">
        <x:v>* myContacts</x:v>
      </x:c>
      <x:c r="E6220" s="16" t="str">
        <x:v>Missing email</x:v>
      </x:c>
    </x:row>
    <x:row r="6221">
      <x:c r="A6221" s="16" t="n">
        <x:v>6438</x:v>
      </x:c>
      <x:c r="B6221" s="16" t="str">
        <x:v>Sohaib Sabri</x:v>
      </x:c>
      <x:c r="C6221" s="16" t="str"/>
      <x:c r="D6221" s="16" t="str">
        <x:v>* myContacts</x:v>
      </x:c>
      <x:c r="E6221" s="16" t="str">
        <x:v>Missing email</x:v>
      </x:c>
    </x:row>
    <x:row r="6222">
      <x:c r="A6222" s="16" t="n">
        <x:v>6439</x:v>
      </x:c>
      <x:c r="B6222" s="16" t="str">
        <x:v>Sohaimi A Hamid AGP</x:v>
      </x:c>
      <x:c r="C6222" s="16" t="str"/>
      <x:c r="D6222" s="16" t="str">
        <x:v>* myContacts</x:v>
      </x:c>
      <x:c r="E6222" s="16" t="str">
        <x:v>Missing email</x:v>
      </x:c>
    </x:row>
    <x:row r="6223">
      <x:c r="A6223" s="16" t="n">
        <x:v>6440</x:v>
      </x:c>
      <x:c r="B6223" s="16" t="str">
        <x:v>Soleyha Sha'ari</x:v>
      </x:c>
      <x:c r="C6223" s="16" t="str"/>
      <x:c r="D6223" s="16" t="str">
        <x:v>* myContacts</x:v>
      </x:c>
      <x:c r="E6223" s="16" t="str">
        <x:v>Missing email</x:v>
      </x:c>
    </x:row>
    <x:row r="6224">
      <x:c r="A6224" s="16" t="n">
        <x:v>6441</x:v>
      </x:c>
      <x:c r="B6224" s="16" t="str">
        <x:v>Solihah Omar</x:v>
      </x:c>
      <x:c r="C6224" s="16" t="str"/>
      <x:c r="D6224" s="16" t="str">
        <x:v>* myContacts</x:v>
      </x:c>
      <x:c r="E6224" s="16" t="str">
        <x:v>Missing email</x:v>
      </x:c>
    </x:row>
    <x:row r="6225">
      <x:c r="A6225" s="16" t="n">
        <x:v>6442</x:v>
      </x:c>
      <x:c r="B6225" s="16" t="str">
        <x:v>Solihin Lukmansyah Mahmudin</x:v>
      </x:c>
      <x:c r="C6225" s="16" t="str"/>
      <x:c r="D6225" s="16" t="str">
        <x:v>* myContacts</x:v>
      </x:c>
      <x:c r="E6225" s="16" t="str">
        <x:v>Missing email</x:v>
      </x:c>
    </x:row>
    <x:row r="6226">
      <x:c r="A6226" s="16" t="n">
        <x:v>6443</x:v>
      </x:c>
      <x:c r="B6226" s="16" t="str">
        <x:v>Solleh Indah SecretVee</x:v>
      </x:c>
      <x:c r="C6226" s="16" t="str"/>
      <x:c r="D6226" s="16" t="str">
        <x:v>* myContacts</x:v>
      </x:c>
      <x:c r="E6226" s="16" t="str">
        <x:v>Missing email</x:v>
      </x:c>
    </x:row>
    <x:row r="6227">
      <x:c r="A6227" s="16" t="n">
        <x:v>6444</x:v>
      </x:c>
      <x:c r="B6227" s="16" t="str">
        <x:v>Son Novarex</x:v>
      </x:c>
      <x:c r="C6227" s="16" t="str"/>
      <x:c r="D6227" s="16" t="str">
        <x:v>* myContacts</x:v>
      </x:c>
      <x:c r="E6227" s="16" t="str">
        <x:v>Missing email</x:v>
      </x:c>
    </x:row>
    <x:row r="6228">
      <x:c r="A6228" s="16" t="n">
        <x:v>6447</x:v>
      </x:c>
      <x:c r="B6228" s="16" t="str">
        <x:v>Sopian Sales Team2</x:v>
      </x:c>
      <x:c r="C6228" s="16" t="str"/>
      <x:c r="D6228" s="16" t="str">
        <x:v>* myContacts</x:v>
      </x:c>
      <x:c r="E6228" s="16" t="str">
        <x:v>Missing email</x:v>
      </x:c>
    </x:row>
    <x:row r="6229">
      <x:c r="A6229" s="16" t="n">
        <x:v>6448</x:v>
      </x:c>
      <x:c r="B6229" s="16" t="str">
        <x:v>Sou Nek Wa Bui</x:v>
      </x:c>
      <x:c r="C6229" s="16" t="str"/>
      <x:c r="D6229" s="16" t="str">
        <x:v>* myContacts</x:v>
      </x:c>
      <x:c r="E6229" s="16" t="str">
        <x:v>Missing email</x:v>
      </x:c>
    </x:row>
    <x:row r="6230">
      <x:c r="A6230" s="16" t="n">
        <x:v>6449</x:v>
      </x:c>
      <x:c r="B6230" s="16" t="str">
        <x:v>Soyet Khan</x:v>
      </x:c>
      <x:c r="C6230" s="16" t="str"/>
      <x:c r="D6230" s="16" t="str">
        <x:v>* myContacts</x:v>
      </x:c>
      <x:c r="E6230" s="16" t="str">
        <x:v>Missing email</x:v>
      </x:c>
    </x:row>
    <x:row r="6231">
      <x:c r="A6231" s="16" t="n">
        <x:v>6450</x:v>
      </x:c>
      <x:c r="B6231" s="16" t="str">
        <x:v>Sree Mantra</x:v>
      </x:c>
      <x:c r="C6231" s="16" t="str"/>
      <x:c r="D6231" s="16" t="str">
        <x:v>* myContacts</x:v>
      </x:c>
      <x:c r="E6231" s="16" t="str">
        <x:v>Missing email</x:v>
      </x:c>
    </x:row>
    <x:row r="6232">
      <x:c r="A6232" s="16" t="n">
        <x:v>6451</x:v>
      </x:c>
      <x:c r="B6232" s="16" t="str">
        <x:v>Sriwahyuni Shope</x:v>
      </x:c>
      <x:c r="C6232" s="16" t="str"/>
      <x:c r="D6232" s="16" t="str">
        <x:v>* myContacts</x:v>
      </x:c>
      <x:c r="E6232" s="16" t="str">
        <x:v>Missing email</x:v>
      </x:c>
    </x:row>
    <x:row r="6233">
      <x:c r="A6233" s="16" t="n">
        <x:v>6452</x:v>
      </x:c>
      <x:c r="B6233" s="16" t="str">
        <x:v>Staf AFK Mukram Husaini</x:v>
      </x:c>
      <x:c r="C6233" s="16" t="str"/>
      <x:c r="D6233" s="16" t="str">
        <x:v>* myContacts</x:v>
      </x:c>
      <x:c r="E6233" s="16" t="str">
        <x:v>Missing email</x:v>
      </x:c>
    </x:row>
    <x:row r="6234">
      <x:c r="A6234" s="16" t="n">
        <x:v>6453</x:v>
      </x:c>
      <x:c r="B6234" s="16" t="str">
        <x:v>staf garmin setia alam</x:v>
      </x:c>
      <x:c r="C6234" s="16" t="str"/>
      <x:c r="D6234" s="16" t="str">
        <x:v>* myContacts</x:v>
      </x:c>
      <x:c r="E6234" s="16" t="str">
        <x:v>Missing email</x:v>
      </x:c>
    </x:row>
    <x:row r="6235">
      <x:c r="A6235" s="16" t="n">
        <x:v>6454</x:v>
      </x:c>
      <x:c r="B6235" s="16" t="str">
        <x:v>Stavic Zaha Shah Alam</x:v>
      </x:c>
      <x:c r="C6235" s="16" t="str"/>
      <x:c r="D6235" s="16" t="str">
        <x:v>* myContacts</x:v>
      </x:c>
      <x:c r="E6235" s="16" t="str">
        <x:v>Missing email</x:v>
      </x:c>
    </x:row>
    <x:row r="6236">
      <x:c r="A6236" s="16" t="n">
        <x:v>6455</x:v>
      </x:c>
      <x:c r="B6236" s="16" t="str">
        <x:v>Stella Agent Essens</x:v>
      </x:c>
      <x:c r="C6236" s="16" t="str"/>
      <x:c r="D6236" s="16" t="str">
        <x:v>* myContacts</x:v>
      </x:c>
      <x:c r="E6236" s="16" t="str">
        <x:v>Missing email</x:v>
      </x:c>
    </x:row>
    <x:row r="6237">
      <x:c r="A6237" s="16" t="n">
        <x:v>6456</x:v>
      </x:c>
      <x:c r="B6237" s="16" t="str">
        <x:v>Steven Yeow</x:v>
      </x:c>
      <x:c r="C6237" s="16" t="str"/>
      <x:c r="D6237" s="16" t="str">
        <x:v>* myContacts</x:v>
      </x:c>
      <x:c r="E6237" s="16" t="str">
        <x:v>Missing email</x:v>
      </x:c>
    </x:row>
    <x:row r="6238">
      <x:c r="A6238" s="16" t="n">
        <x:v>6457</x:v>
      </x:c>
      <x:c r="B6238" s="16" t="str">
        <x:v>Stevenz Stevenz</x:v>
      </x:c>
      <x:c r="C6238" s="16" t="str"/>
      <x:c r="D6238" s="16" t="str">
        <x:v>* myContacts</x:v>
      </x:c>
      <x:c r="E6238" s="16" t="str">
        <x:v>Missing email</x:v>
      </x:c>
    </x:row>
    <x:row r="6239">
      <x:c r="A6239" s="16" t="n">
        <x:v>6458</x:v>
      </x:c>
      <x:c r="B6239" s="16" t="str">
        <x:v>Sticker Mudah</x:v>
      </x:c>
      <x:c r="C6239" s="16" t="str"/>
      <x:c r="D6239" s="16" t="str">
        <x:v>* myContacts</x:v>
      </x:c>
      <x:c r="E6239" s="16" t="str">
        <x:v>Missing email</x:v>
      </x:c>
    </x:row>
    <x:row r="6240">
      <x:c r="A6240" s="16" t="n">
        <x:v>6459</x:v>
      </x:c>
      <x:c r="B6240" s="16" t="str">
        <x:v>Stokis Jsd Maziah Mohamad</x:v>
      </x:c>
      <x:c r="C6240" s="16" t="str"/>
      <x:c r="D6240" s="16" t="str">
        <x:v>* myContacts</x:v>
      </x:c>
      <x:c r="E6240" s="16" t="str">
        <x:v>Missing email</x:v>
      </x:c>
    </x:row>
    <x:row r="6241">
      <x:c r="A6241" s="16" t="n">
        <x:v>6460</x:v>
      </x:c>
      <x:c r="B6241" s="16" t="str">
        <x:v>Studio Akmal</x:v>
      </x:c>
      <x:c r="C6241" s="16" t="str"/>
      <x:c r="D6241" s="16" t="str">
        <x:v>* myContacts</x:v>
      </x:c>
      <x:c r="E6241" s="16" t="str">
        <x:v>Missing email</x:v>
      </x:c>
    </x:row>
    <x:row r="6242">
      <x:c r="A6242" s="16" t="n">
        <x:v>6461</x:v>
      </x:c>
      <x:c r="B6242" s="16" t="str">
        <x:v>SuÄ›haÃ­da Abu Bakar</x:v>
      </x:c>
      <x:c r="C6242" s="16" t="str"/>
      <x:c r="D6242" s="16" t="str">
        <x:v>* myContacts</x:v>
      </x:c>
      <x:c r="E6242" s="16" t="str">
        <x:v>Missing email</x:v>
      </x:c>
    </x:row>
    <x:row r="6243">
      <x:c r="A6243" s="16" t="n">
        <x:v>6462</x:v>
      </x:c>
      <x:c r="B6243" s="16" t="str">
        <x:v>Suanit Shaari Dms</x:v>
      </x:c>
      <x:c r="C6243" s="16" t="str"/>
      <x:c r="D6243" s="16" t="str">
        <x:v>* myContacts</x:v>
      </x:c>
      <x:c r="E6243" s="16" t="str">
        <x:v>Missing email</x:v>
      </x:c>
    </x:row>
    <x:row r="6244">
      <x:c r="A6244" s="16" t="n">
        <x:v>6463</x:v>
      </x:c>
      <x:c r="B6244" s="16" t="str">
        <x:v>Subaidah Agp Customer</x:v>
      </x:c>
      <x:c r="C6244" s="16" t="str"/>
      <x:c r="D6244" s="16" t="str">
        <x:v>* myContacts</x:v>
      </x:c>
      <x:c r="E6244" s="16" t="str">
        <x:v>Missing email</x:v>
      </x:c>
    </x:row>
    <x:row r="6245">
      <x:c r="A6245" s="16" t="n">
        <x:v>6464</x:v>
      </x:c>
      <x:c r="B6245" s="16" t="str">
        <x:v>Mr Subra Qijang</x:v>
      </x:c>
      <x:c r="C6245" s="16" t="str"/>
      <x:c r="D6245" s="16" t="str">
        <x:v>* myContacts</x:v>
      </x:c>
      <x:c r="E6245" s="16" t="str">
        <x:v>Missing email</x:v>
      </x:c>
    </x:row>
    <x:row r="6246">
      <x:c r="A6246" s="16" t="n">
        <x:v>6465</x:v>
      </x:c>
      <x:c r="B6246" s="16" t="str">
        <x:v>Subri Contractor</x:v>
      </x:c>
      <x:c r="C6246" s="16" t="str"/>
      <x:c r="D6246" s="16" t="str">
        <x:v>* myContacts</x:v>
      </x:c>
      <x:c r="E6246" s="16" t="str">
        <x:v>Missing email</x:v>
      </x:c>
    </x:row>
    <x:row r="6247">
      <x:c r="A6247" s="16" t="n">
        <x:v>6466</x:v>
      </x:c>
      <x:c r="B6247" s="16" t="str">
        <x:v>Suci Mardiah</x:v>
      </x:c>
      <x:c r="C6247" s="16" t="str"/>
      <x:c r="D6247" s="16" t="str">
        <x:v>* myContacts</x:v>
      </x:c>
      <x:c r="E6247" s="16" t="str">
        <x:v>Missing email</x:v>
      </x:c>
    </x:row>
    <x:row r="6248">
      <x:c r="A6248" s="16" t="n">
        <x:v>6467</x:v>
      </x:c>
      <x:c r="B6248" s="16" t="str">
        <x:v>Sue AR</x:v>
      </x:c>
      <x:c r="C6248" s="16" t="str"/>
      <x:c r="D6248" s="16" t="str">
        <x:v>* myContacts</x:v>
      </x:c>
      <x:c r="E6248" s="16" t="str">
        <x:v>Missing email</x:v>
      </x:c>
    </x:row>
    <x:row r="6249">
      <x:c r="A6249" s="16" t="n">
        <x:v>6468</x:v>
      </x:c>
      <x:c r="B6249" s="16" t="str">
        <x:v>Sue Hairul</x:v>
      </x:c>
      <x:c r="C6249" s="16" t="str"/>
      <x:c r="D6249" s="16" t="str">
        <x:v>* myContacts</x:v>
      </x:c>
      <x:c r="E6249" s="16" t="str">
        <x:v>Missing email</x:v>
      </x:c>
    </x:row>
    <x:row r="6250">
      <x:c r="A6250" s="16" t="n">
        <x:v>6469</x:v>
      </x:c>
      <x:c r="B6250" s="16" t="str">
        <x:v>Sue Nilam HB</x:v>
      </x:c>
      <x:c r="C6250" s="16" t="str"/>
      <x:c r="D6250" s="16" t="str">
        <x:v>* myContacts</x:v>
      </x:c>
      <x:c r="E6250" s="16" t="str">
        <x:v>Missing email</x:v>
      </x:c>
    </x:row>
    <x:row r="6251">
      <x:c r="A6251" s="16" t="n">
        <x:v>6470</x:v>
      </x:c>
      <x:c r="B6251" s="16" t="str">
        <x:v>Sue Ryana K'zaman</x:v>
      </x:c>
      <x:c r="C6251" s="16" t="str"/>
      <x:c r="D6251" s="16" t="str">
        <x:v>* myContacts</x:v>
      </x:c>
      <x:c r="E6251" s="16" t="str">
        <x:v>Missing email</x:v>
      </x:c>
    </x:row>
    <x:row r="6252">
      <x:c r="A6252" s="16" t="n">
        <x:v>6471</x:v>
      </x:c>
      <x:c r="B6252" s="16" t="str">
        <x:v>Sueraya Suremin</x:v>
      </x:c>
      <x:c r="C6252" s="16" t="str"/>
      <x:c r="D6252" s="16" t="str">
        <x:v>* myContacts</x:v>
      </x:c>
      <x:c r="E6252" s="16" t="str">
        <x:v>Missing email</x:v>
      </x:c>
    </x:row>
    <x:row r="6253">
      <x:c r="A6253" s="16" t="n">
        <x:v>6472</x:v>
      </x:c>
      <x:c r="B6253" s="16" t="str">
        <x:v>Suey Mimi Suey Mimi</x:v>
      </x:c>
      <x:c r="C6253" s="16" t="str"/>
      <x:c r="D6253" s="16" t="str">
        <x:v>* myContacts</x:v>
      </x:c>
      <x:c r="E6253" s="16" t="str">
        <x:v>Missing email</x:v>
      </x:c>
    </x:row>
    <x:row r="6254">
      <x:c r="A6254" s="16" t="n">
        <x:v>6473</x:v>
      </x:c>
      <x:c r="B6254" s="16" t="str">
        <x:v>sufi designer power</x:v>
      </x:c>
      <x:c r="C6254" s="16" t="str"/>
      <x:c r="D6254" s="16" t="str">
        <x:v>* myContacts</x:v>
      </x:c>
      <x:c r="E6254" s="16" t="str">
        <x:v>Missing email</x:v>
      </x:c>
    </x:row>
    <x:row r="6255">
      <x:c r="A6255" s="16" t="n">
        <x:v>6474</x:v>
      </x:c>
      <x:c r="B6255" s="16" t="str">
        <x:v>Sufiyan Insken</x:v>
      </x:c>
      <x:c r="C6255" s="16" t="str"/>
      <x:c r="D6255" s="16" t="str">
        <x:v>Alumni INSKEN | * myContacts</x:v>
      </x:c>
      <x:c r="E6255" s="16" t="str">
        <x:v>Missing email</x:v>
      </x:c>
    </x:row>
    <x:row r="6256">
      <x:c r="A6256" s="16" t="n">
        <x:v>6476</x:v>
      </x:c>
      <x:c r="B6256" s="16" t="str">
        <x:v>Suhaida Hassan IM</x:v>
      </x:c>
      <x:c r="C6256" s="16" t="str"/>
      <x:c r="D6256" s="16" t="str">
        <x:v>* myContacts</x:v>
      </x:c>
      <x:c r="E6256" s="16" t="str">
        <x:v>Missing email</x:v>
      </x:c>
    </x:row>
    <x:row r="6257">
      <x:c r="A6257" s="16" t="n">
        <x:v>6477</x:v>
      </x:c>
      <x:c r="B6257" s="16" t="str">
        <x:v>Suhaila Agent Kbbc</x:v>
      </x:c>
      <x:c r="C6257" s="16" t="str"/>
      <x:c r="D6257" s="16" t="str">
        <x:v>* myContacts</x:v>
      </x:c>
      <x:c r="E6257" s="16" t="str">
        <x:v>Missing email</x:v>
      </x:c>
    </x:row>
    <x:row r="6258">
      <x:c r="A6258" s="16" t="n">
        <x:v>6478</x:v>
      </x:c>
      <x:c r="B6258" s="16" t="str">
        <x:v>Suhaila Ismail</x:v>
      </x:c>
      <x:c r="C6258" s="16" t="str"/>
      <x:c r="D6258" s="16" t="str">
        <x:v>* myContacts</x:v>
      </x:c>
      <x:c r="E6258" s="16" t="str">
        <x:v>Missing email</x:v>
      </x:c>
    </x:row>
    <x:row r="6259">
      <x:c r="A6259" s="16" t="n">
        <x:v>6479</x:v>
      </x:c>
      <x:c r="B6259" s="16" t="str">
        <x:v>Suhaila Sah Nufah</x:v>
      </x:c>
      <x:c r="C6259" s="16" t="str"/>
      <x:c r="D6259" s="16" t="str">
        <x:v>* myContacts</x:v>
      </x:c>
      <x:c r="E6259" s="16" t="str">
        <x:v>Missing email</x:v>
      </x:c>
    </x:row>
    <x:row r="6260">
      <x:c r="A6260" s="16" t="n">
        <x:v>6480</x:v>
      </x:c>
      <x:c r="B6260" s="16" t="str">
        <x:v>Suhailah Kamal Agent AGP</x:v>
      </x:c>
      <x:c r="C6260" s="16" t="str"/>
      <x:c r="D6260" s="16" t="str">
        <x:v>* myContacts</x:v>
      </x:c>
      <x:c r="E6260" s="16" t="str">
        <x:v>Missing email</x:v>
      </x:c>
    </x:row>
    <x:row r="6261">
      <x:c r="A6261" s="16" t="n">
        <x:v>6481</x:v>
      </x:c>
      <x:c r="B6261" s="16" t="str">
        <x:v>Suhaili AGP</x:v>
      </x:c>
      <x:c r="C6261" s="16" t="str"/>
      <x:c r="D6261" s="16" t="str">
        <x:v>* myContacts</x:v>
      </x:c>
      <x:c r="E6261" s="16" t="str">
        <x:v>Missing email</x:v>
      </x:c>
    </x:row>
    <x:row r="6262">
      <x:c r="A6262" s="16" t="n">
        <x:v>6482</x:v>
      </x:c>
      <x:c r="B6262" s="16" t="str">
        <x:v>Suhaili Aili</x:v>
      </x:c>
      <x:c r="C6262" s="16" t="str"/>
      <x:c r="D6262" s="16" t="str">
        <x:v>* myContacts</x:v>
      </x:c>
      <x:c r="E6262" s="16" t="str">
        <x:v>Missing email</x:v>
      </x:c>
    </x:row>
    <x:row r="6263">
      <x:c r="A6263" s="16" t="n">
        <x:v>6483</x:v>
      </x:c>
      <x:c r="B6263" s="16" t="str">
        <x:v>Suhaime Mat Rasul</x:v>
      </x:c>
      <x:c r="C6263" s="16" t="str"/>
      <x:c r="D6263" s="16" t="str">
        <x:v>* myContacts</x:v>
      </x:c>
      <x:c r="E6263" s="16" t="str">
        <x:v>Missing email</x:v>
      </x:c>
    </x:row>
    <x:row r="6264">
      <x:c r="A6264" s="16" t="n">
        <x:v>6484</x:v>
      </x:c>
      <x:c r="B6264" s="16" t="str">
        <x:v>Suhaimi Abdul Karim</x:v>
      </x:c>
      <x:c r="C6264" s="16" t="str"/>
      <x:c r="D6264" s="16" t="str">
        <x:v>* myContacts</x:v>
      </x:c>
      <x:c r="E6264" s="16" t="str">
        <x:v>Missing email</x:v>
      </x:c>
    </x:row>
    <x:row r="6265">
      <x:c r="A6265" s="16" t="n">
        <x:v>6485</x:v>
      </x:c>
      <x:c r="B6265" s="16" t="str">
        <x:v>Suhaimi AGP</x:v>
      </x:c>
      <x:c r="C6265" s="16" t="str"/>
      <x:c r="D6265" s="16" t="str">
        <x:v>* myContacts</x:v>
      </x:c>
      <x:c r="E6265" s="16" t="str">
        <x:v>Missing email</x:v>
      </x:c>
    </x:row>
    <x:row r="6266">
      <x:c r="A6266" s="16" t="n">
        <x:v>6486</x:v>
      </x:c>
      <x:c r="B6266" s="16" t="str">
        <x:v>suhaimi IM Otai</x:v>
      </x:c>
      <x:c r="C6266" s="16" t="str"/>
      <x:c r="D6266" s="16" t="str">
        <x:v>* myContacts</x:v>
      </x:c>
      <x:c r="E6266" s="16" t="str">
        <x:v>Missing email</x:v>
      </x:c>
    </x:row>
    <x:row r="6267">
      <x:c r="A6267" s="16" t="n">
        <x:v>6487</x:v>
      </x:c>
      <x:c r="B6267" s="16" t="str">
        <x:v>Suhaimi kawan di UTM</x:v>
      </x:c>
      <x:c r="C6267" s="16" t="str"/>
      <x:c r="D6267" s="16" t="str">
        <x:v>* myContacts</x:v>
      </x:c>
      <x:c r="E6267" s="16" t="str">
        <x:v>Missing email</x:v>
      </x:c>
    </x:row>
    <x:row r="6268">
      <x:c r="A6268" s="16" t="n">
        <x:v>6488</x:v>
      </x:c>
      <x:c r="B6268" s="16" t="str">
        <x:v>suhaimi utm</x:v>
      </x:c>
      <x:c r="C6268" s="16" t="str"/>
      <x:c r="D6268" s="16" t="str">
        <x:v>* myContacts</x:v>
      </x:c>
      <x:c r="E6268" s="16" t="str">
        <x:v>Missing email</x:v>
      </x:c>
    </x:row>
    <x:row r="6269">
      <x:c r="A6269" s="16" t="n">
        <x:v>6489</x:v>
      </x:c>
      <x:c r="B6269" s="16" t="str">
        <x:v>Suhaimie Pak Long</x:v>
      </x:c>
      <x:c r="C6269" s="16" t="str"/>
      <x:c r="D6269" s="16" t="str">
        <x:v>* myContacts</x:v>
      </x:c>
      <x:c r="E6269" s="16" t="str">
        <x:v>Missing email</x:v>
      </x:c>
    </x:row>
    <x:row r="6270">
      <x:c r="A6270" s="16" t="n">
        <x:v>6490</x:v>
      </x:c>
      <x:c r="B6270" s="16" t="str">
        <x:v>Suhaini Mohd Zain Su</x:v>
      </x:c>
      <x:c r="C6270" s="16" t="str"/>
      <x:c r="D6270" s="16" t="str">
        <x:v>* myContacts</x:v>
      </x:c>
      <x:c r="E6270" s="16" t="str">
        <x:v>Missing email</x:v>
      </x:c>
    </x:row>
    <x:row r="6271">
      <x:c r="A6271" s="16" t="n">
        <x:v>6491</x:v>
      </x:c>
      <x:c r="B6271" s="16" t="str">
        <x:v>Suhairi Emarketplace Penang</x:v>
      </x:c>
      <x:c r="C6271" s="16" t="str"/>
      <x:c r="D6271" s="16" t="str">
        <x:v>* myContacts</x:v>
      </x:c>
      <x:c r="E6271" s="16" t="str">
        <x:v>Missing email</x:v>
      </x:c>
    </x:row>
    <x:row r="6272">
      <x:c r="A6272" s="16" t="n">
        <x:v>6492</x:v>
      </x:c>
      <x:c r="B6272" s="16" t="str">
        <x:v>Suhairi Hery</x:v>
      </x:c>
      <x:c r="C6272" s="16" t="str"/>
      <x:c r="D6272" s="16" t="str">
        <x:v>* myContacts</x:v>
      </x:c>
      <x:c r="E6272" s="16" t="str">
        <x:v>Missing email</x:v>
      </x:c>
    </x:row>
    <x:row r="6273">
      <x:c r="A6273" s="16" t="n">
        <x:v>6493</x:v>
      </x:c>
      <x:c r="B6273" s="16" t="str">
        <x:v>Suhaiza Mohd Ali</x:v>
      </x:c>
      <x:c r="C6273" s="16" t="str"/>
      <x:c r="D6273" s="16" t="str">
        <x:v>* myContacts</x:v>
      </x:c>
      <x:c r="E6273" s="16" t="str">
        <x:v>Missing email</x:v>
      </x:c>
    </x:row>
    <x:row r="6274">
      <x:c r="A6274" s="16" t="n">
        <x:v>6494</x:v>
      </x:c>
      <x:c r="B6274" s="16" t="str">
        <x:v>Suhaizal Pdp</x:v>
      </x:c>
      <x:c r="C6274" s="16" t="str"/>
      <x:c r="D6274" s="16" t="str">
        <x:v>* myContacts</x:v>
      </x:c>
      <x:c r="E6274" s="16" t="str">
        <x:v>Missing email</x:v>
      </x:c>
    </x:row>
    <x:row r="6275">
      <x:c r="A6275" s="16" t="n">
        <x:v>6495</x:v>
      </x:c>
      <x:c r="B6275" s="16" t="str">
        <x:v>Suhaizreen Sauti</x:v>
      </x:c>
      <x:c r="C6275" s="16" t="str"/>
      <x:c r="D6275" s="16" t="str">
        <x:v>* myContacts</x:v>
      </x:c>
      <x:c r="E6275" s="16" t="str">
        <x:v>Missing email</x:v>
      </x:c>
    </x:row>
    <x:row r="6276">
      <x:c r="A6276" s="16" t="n">
        <x:v>6496</x:v>
      </x:c>
      <x:c r="B6276" s="16" t="str">
        <x:v>Suhana Yatim Awie</x:v>
      </x:c>
      <x:c r="C6276" s="16" t="str"/>
      <x:c r="D6276" s="16" t="str">
        <x:v>* myContacts</x:v>
      </x:c>
      <x:c r="E6276" s="16" t="str">
        <x:v>Missing email</x:v>
      </x:c>
    </x:row>
    <x:row r="6277">
      <x:c r="A6277" s="16" t="n">
        <x:v>6497</x:v>
      </x:c>
      <x:c r="B6277" s="16" t="str">
        <x:v>Suhanna Hameed</x:v>
      </x:c>
      <x:c r="C6277" s="16" t="str"/>
      <x:c r="D6277" s="16" t="str">
        <x:v>* myContacts</x:v>
      </x:c>
      <x:c r="E6277" s="16" t="str">
        <x:v>Missing email</x:v>
      </x:c>
    </x:row>
    <x:row r="6278">
      <x:c r="A6278" s="16" t="n">
        <x:v>6498</x:v>
      </x:c>
      <x:c r="B6278" s="16" t="str">
        <x:v>Suhardi Coach</x:v>
      </x:c>
      <x:c r="C6278" s="16" t="str"/>
      <x:c r="D6278" s="16" t="str">
        <x:v>Trainer | * myContacts</x:v>
      </x:c>
      <x:c r="E6278" s="16" t="str">
        <x:v>Missing email</x:v>
      </x:c>
    </x:row>
    <x:row r="6279">
      <x:c r="A6279" s="16" t="n">
        <x:v>6499</x:v>
      </x:c>
      <x:c r="B6279" s="16" t="str">
        <x:v>Suhardi Telkong Suha Telkong</x:v>
      </x:c>
      <x:c r="C6279" s="16" t="str"/>
      <x:c r="D6279" s="16" t="str">
        <x:v>* myContacts</x:v>
      </x:c>
      <x:c r="E6279" s="16" t="str">
        <x:v>Missing email</x:v>
      </x:c>
    </x:row>
    <x:row r="6280">
      <x:c r="A6280" s="16" t="n">
        <x:v>6500</x:v>
      </x:c>
      <x:c r="B6280" s="16" t="str">
        <x:v>Sul Hazzan</x:v>
      </x:c>
      <x:c r="C6280" s="16" t="str"/>
      <x:c r="D6280" s="16" t="str">
        <x:v>* myContacts</x:v>
      </x:c>
      <x:c r="E6280" s="16" t="str">
        <x:v>Missing email</x:v>
      </x:c>
    </x:row>
    <x:row r="6281">
      <x:c r="A6281" s="16" t="n">
        <x:v>6502</x:v>
      </x:c>
      <x:c r="B6281" s="16" t="str">
        <x:v>Sulham Tron</x:v>
      </x:c>
      <x:c r="C6281" s="16" t="str"/>
      <x:c r="D6281" s="16" t="str">
        <x:v>* myContacts</x:v>
      </x:c>
      <x:c r="E6281" s="16" t="str">
        <x:v>Missing email</x:v>
      </x:c>
    </x:row>
    <x:row r="6282">
      <x:c r="A6282" s="16" t="n">
        <x:v>6503</x:v>
      </x:c>
      <x:c r="B6282" s="16" t="str">
        <x:v>Sulhan Hakka</x:v>
      </x:c>
      <x:c r="C6282" s="16" t="str"/>
      <x:c r="D6282" s="16" t="str">
        <x:v>* myContacts</x:v>
      </x:c>
      <x:c r="E6282" s="16" t="str">
        <x:v>Missing email</x:v>
      </x:c>
    </x:row>
    <x:row r="6283">
      <x:c r="A6283" s="16" t="n">
        <x:v>6504</x:v>
      </x:c>
      <x:c r="B6283" s="16" t="str">
        <x:v>Suliza Misyam</x:v>
      </x:c>
      <x:c r="C6283" s="16" t="str"/>
      <x:c r="D6283" s="16" t="str">
        <x:v>* myContacts</x:v>
      </x:c>
      <x:c r="E6283" s="16" t="str">
        <x:v>Missing email</x:v>
      </x:c>
    </x:row>
    <x:row r="6284">
      <x:c r="A6284" s="16" t="n">
        <x:v>6505</x:v>
      </x:c>
      <x:c r="B6284" s="16" t="str">
        <x:v>Sumatboh Kkm</x:v>
      </x:c>
      <x:c r="C6284" s="16" t="str"/>
      <x:c r="D6284" s="16" t="str">
        <x:v>* myContacts</x:v>
      </x:c>
      <x:c r="E6284" s="16" t="str">
        <x:v>Missing email</x:v>
      </x:c>
    </x:row>
    <x:row r="6285">
      <x:c r="A6285" s="16" t="n">
        <x:v>6506</x:v>
      </x:c>
      <x:c r="B6285" s="16" t="str">
        <x:v>Sumathy Ratnam AGP</x:v>
      </x:c>
      <x:c r="C6285" s="16" t="str"/>
      <x:c r="D6285" s="16" t="str">
        <x:v>* myContacts</x:v>
      </x:c>
      <x:c r="E6285" s="16" t="str">
        <x:v>Missing email</x:v>
      </x:c>
    </x:row>
    <x:row r="6286">
      <x:c r="A6286" s="16" t="n">
        <x:v>6507</x:v>
      </x:c>
      <x:c r="B6286" s="16" t="str">
        <x:v>Sumi Phone Specialist</x:v>
      </x:c>
      <x:c r="C6286" s="16" t="str"/>
      <x:c r="D6286" s="16" t="str">
        <x:v>* myContacts</x:v>
      </x:c>
      <x:c r="E6286" s="16" t="str">
        <x:v>Missing email</x:v>
      </x:c>
    </x:row>
    <x:row r="6287">
      <x:c r="A6287" s="16" t="n">
        <x:v>6509</x:v>
      </x:c>
      <x:c r="B6287" s="16" t="str">
        <x:v>Sunny Verma</x:v>
      </x:c>
      <x:c r="C6287" s="16" t="str"/>
      <x:c r="D6287" s="16" t="str">
        <x:v>* myContacts</x:v>
      </x:c>
      <x:c r="E6287" s="16" t="str">
        <x:v>Missing email</x:v>
      </x:c>
    </x:row>
    <x:row r="6288">
      <x:c r="A6288" s="16" t="n">
        <x:v>6510</x:v>
      </x:c>
      <x:c r="B6288" s="16" t="str">
        <x:v>Superb Mutiara Ville Cyberjaya</x:v>
      </x:c>
      <x:c r="C6288" s="16" t="str"/>
      <x:c r="D6288" s="16" t="str">
        <x:v>* myContacts</x:v>
      </x:c>
      <x:c r="E6288" s="16" t="str">
        <x:v>Missing email</x:v>
      </x:c>
    </x:row>
    <x:row r="6289">
      <x:c r="A6289" s="16" t="n">
        <x:v>6511</x:v>
      </x:c>
      <x:c r="B6289" s="16" t="str">
        <x:v>Supinar Mohd</x:v>
      </x:c>
      <x:c r="C6289" s="16" t="str"/>
      <x:c r="D6289" s="16" t="str">
        <x:v>* myContacts</x:v>
      </x:c>
      <x:c r="E6289" s="16" t="str">
        <x:v>Missing email</x:v>
      </x:c>
    </x:row>
    <x:row r="6290">
      <x:c r="A6290" s="16" t="n">
        <x:v>6512</x:v>
      </x:c>
      <x:c r="B6290" s="16" t="str">
        <x:v>Suppiah McCurry</x:v>
      </x:c>
      <x:c r="C6290" s="16" t="str"/>
      <x:c r="D6290" s="16" t="str">
        <x:v>* myContacts</x:v>
      </x:c>
      <x:c r="E6290" s="16" t="str">
        <x:v>Missing email</x:v>
      </x:c>
    </x:row>
    <x:row r="6291">
      <x:c r="A6291" s="16" t="n">
        <x:v>6513</x:v>
      </x:c>
      <x:c r="B6291" s="16" t="str">
        <x:v>Support Billpliz</x:v>
      </x:c>
      <x:c r="C6291" s="16" t="str"/>
      <x:c r="D6291" s="16" t="str">
        <x:v>* myContacts</x:v>
      </x:c>
      <x:c r="E6291" s="16" t="str">
        <x:v>Missing email</x:v>
      </x:c>
    </x:row>
    <x:row r="6292">
      <x:c r="A6292" s="16" t="n">
        <x:v>6514</x:v>
      </x:c>
      <x:c r="B6292" s="16" t="str">
        <x:v>Support Internet Webhosting</x:v>
      </x:c>
      <x:c r="C6292" s="16" t="str"/>
      <x:c r="D6292" s="16" t="str">
        <x:v>* myContacts</x:v>
      </x:c>
      <x:c r="E6292" s="16" t="str">
        <x:v>Missing email</x:v>
      </x:c>
    </x:row>
    <x:row r="6293">
      <x:c r="A6293" s="16" t="n">
        <x:v>6515</x:v>
      </x:c>
      <x:c r="B6293" s="16" t="str">
        <x:v>Support Onpay</x:v>
      </x:c>
      <x:c r="C6293" s="16" t="str"/>
      <x:c r="D6293" s="16" t="str">
        <x:v>* myContacts</x:v>
      </x:c>
      <x:c r="E6293" s="16" t="str">
        <x:v>Missing email</x:v>
      </x:c>
    </x:row>
    <x:row r="6294">
      <x:c r="A6294" s="16" t="n">
        <x:v>6516</x:v>
      </x:c>
      <x:c r="B6294" s="16" t="str">
        <x:v>Support Revo Hosting</x:v>
      </x:c>
      <x:c r="C6294" s="16" t="str"/>
      <x:c r="D6294" s="16" t="str">
        <x:v>* myContacts</x:v>
      </x:c>
      <x:c r="E6294" s="16" t="str">
        <x:v>Missing email</x:v>
      </x:c>
    </x:row>
    <x:row r="6295">
      <x:c r="A6295" s="16" t="n">
        <x:v>6517</x:v>
      </x:c>
      <x:c r="B6295" s="16" t="str">
        <x:v>Suprianto Gheruk</x:v>
      </x:c>
      <x:c r="C6295" s="16" t="str"/>
      <x:c r="D6295" s="16" t="str">
        <x:v>* myContacts</x:v>
      </x:c>
      <x:c r="E6295" s="16" t="str">
        <x:v>Missing email</x:v>
      </x:c>
    </x:row>
    <x:row r="6296">
      <x:c r="A6296" s="16" t="n">
        <x:v>6518</x:v>
      </x:c>
      <x:c r="B6296" s="16" t="str">
        <x:v>Suprise Delivery Elle Senrose</x:v>
      </x:c>
      <x:c r="C6296" s="16" t="str"/>
      <x:c r="D6296" s="16" t="str">
        <x:v>* myContacts</x:v>
      </x:c>
      <x:c r="E6296" s="16" t="str">
        <x:v>Missing email</x:v>
      </x:c>
    </x:row>
    <x:row r="6297">
      <x:c r="A6297" s="16" t="n">
        <x:v>6519</x:v>
      </x:c>
      <x:c r="B6297" s="16" t="str">
        <x:v>Suraya Ali</x:v>
      </x:c>
      <x:c r="C6297" s="16" t="str"/>
      <x:c r="D6297" s="16" t="str">
        <x:v>* myContacts</x:v>
      </x:c>
      <x:c r="E6297" s="16" t="str">
        <x:v>Missing email</x:v>
      </x:c>
    </x:row>
    <x:row r="6298">
      <x:c r="A6298" s="16" t="n">
        <x:v>6520</x:v>
      </x:c>
      <x:c r="B6298" s="16" t="str">
        <x:v>Suraya Mdec</x:v>
      </x:c>
      <x:c r="C6298" s="16" t="str"/>
      <x:c r="D6298" s="16" t="str">
        <x:v>* myContacts</x:v>
      </x:c>
      <x:c r="E6298" s="16" t="str">
        <x:v>Missing email</x:v>
      </x:c>
    </x:row>
    <x:row r="6299">
      <x:c r="A6299" s="16" t="n">
        <x:v>6521</x:v>
      </x:c>
      <x:c r="B6299" s="16" t="str">
        <x:v>Suri HQC</x:v>
      </x:c>
      <x:c r="C6299" s="16" t="str"/>
      <x:c r="D6299" s="16" t="str">
        <x:v>* myContacts</x:v>
      </x:c>
      <x:c r="E6299" s="16" t="str">
        <x:v>Missing email</x:v>
      </x:c>
    </x:row>
    <x:row r="6300">
      <x:c r="A6300" s="16" t="n">
        <x:v>6522</x:v>
      </x:c>
      <x:c r="B6300" s="16" t="str">
        <x:v>Suri Ishak</x:v>
      </x:c>
      <x:c r="C6300" s="16" t="str"/>
      <x:c r="D6300" s="16" t="str">
        <x:v>* myContacts</x:v>
      </x:c>
      <x:c r="E6300" s="16" t="str">
        <x:v>Missing email</x:v>
      </x:c>
    </x:row>
    <x:row r="6301">
      <x:c r="A6301" s="16" t="n">
        <x:v>6523</x:v>
      </x:c>
      <x:c r="B6301" s="16" t="str">
        <x:v>Suria Afendi</x:v>
      </x:c>
      <x:c r="C6301" s="16" t="str"/>
      <x:c r="D6301" s="16" t="str">
        <x:v>* myContacts</x:v>
      </x:c>
      <x:c r="E6301" s="16" t="str">
        <x:v>Missing email</x:v>
      </x:c>
    </x:row>
    <x:row r="6302">
      <x:c r="A6302" s="16" t="n">
        <x:v>6524</x:v>
      </x:c>
      <x:c r="B6302" s="16" t="str">
        <x:v>Suria Shop</x:v>
      </x:c>
      <x:c r="C6302" s="16" t="str"/>
      <x:c r="D6302" s="16" t="str">
        <x:v>* myContacts</x:v>
      </x:c>
      <x:c r="E6302" s="16" t="str">
        <x:v>Missing email</x:v>
      </x:c>
    </x:row>
    <x:row r="6303">
      <x:c r="A6303" s="16" t="n">
        <x:v>6525</x:v>
      </x:c>
      <x:c r="B6303" s="16" t="str">
        <x:v>Suria Warisan</x:v>
      </x:c>
      <x:c r="C6303" s="16" t="str"/>
      <x:c r="D6303" s="16" t="str">
        <x:v>* myContacts</x:v>
      </x:c>
      <x:c r="E6303" s="16" t="str">
        <x:v>Missing email</x:v>
      </x:c>
    </x:row>
    <x:row r="6304">
      <x:c r="A6304" s="16" t="n">
        <x:v>6526</x:v>
      </x:c>
      <x:c r="B6304" s="16" t="str">
        <x:v>Suriana Ya</x:v>
      </x:c>
      <x:c r="C6304" s="16" t="str"/>
      <x:c r="D6304" s="16" t="str">
        <x:v>* myContacts</x:v>
      </x:c>
      <x:c r="E6304" s="16" t="str">
        <x:v>Missing email</x:v>
      </x:c>
    </x:row>
    <x:row r="6305">
      <x:c r="A6305" s="16" t="n">
        <x:v>6527</x:v>
      </x:c>
      <x:c r="B6305" s="16" t="str">
        <x:v>Suriyani Hashim</x:v>
      </x:c>
      <x:c r="C6305" s="16" t="str"/>
      <x:c r="D6305" s="16" t="str">
        <x:v>* myContacts</x:v>
      </x:c>
      <x:c r="E6305" s="16" t="str">
        <x:v>Missing email</x:v>
      </x:c>
    </x:row>
    <x:row r="6306">
      <x:c r="A6306" s="16" t="n">
        <x:v>6528</x:v>
      </x:c>
      <x:c r="B6306" s="16" t="str">
        <x:v>Surnan Yusoh</x:v>
      </x:c>
      <x:c r="C6306" s="16" t="str"/>
      <x:c r="D6306" s="16" t="str">
        <x:v>* myContacts</x:v>
      </x:c>
      <x:c r="E6306" s="16" t="str">
        <x:v>Missing email</x:v>
      </x:c>
    </x:row>
    <x:row r="6307">
      <x:c r="A6307" s="16" t="n">
        <x:v>6529</x:v>
      </x:c>
      <x:c r="B6307" s="16" t="str">
        <x:v>Surya Dlombok</x:v>
      </x:c>
      <x:c r="C6307" s="16" t="str"/>
      <x:c r="D6307" s="16" t="str">
        <x:v>* myContacts</x:v>
      </x:c>
      <x:c r="E6307" s="16" t="str">
        <x:v>Missing email</x:v>
      </x:c>
    </x:row>
    <x:row r="6308">
      <x:c r="A6308" s="16" t="n">
        <x:v>6530</x:v>
      </x:c>
      <x:c r="B6308" s="16" t="str">
        <x:v>Surya Zakaria AGP</x:v>
      </x:c>
      <x:c r="C6308" s="16" t="str"/>
      <x:c r="D6308" s="16" t="str">
        <x:v>* myContacts</x:v>
      </x:c>
      <x:c r="E6308" s="16" t="str">
        <x:v>Missing email</x:v>
      </x:c>
    </x:row>
    <x:row r="6309">
      <x:c r="A6309" s="16" t="n">
        <x:v>6531</x:v>
      </x:c>
      <x:c r="B6309" s="16" t="str">
        <x:v>Susi Candra</x:v>
      </x:c>
      <x:c r="C6309" s="16" t="str"/>
      <x:c r="D6309" s="16" t="str">
        <x:v>* myContacts</x:v>
      </x:c>
      <x:c r="E6309" s="16" t="str">
        <x:v>Missing email</x:v>
      </x:c>
    </x:row>
    <x:row r="6310">
      <x:c r="A6310" s="16" t="n">
        <x:v>6532</x:v>
      </x:c>
      <x:c r="B6310" s="16" t="str">
        <x:v>Susu Kambing Segar Sunnah</x:v>
      </x:c>
      <x:c r="C6310" s="16" t="str"/>
      <x:c r="D6310" s="16" t="str">
        <x:v>* myContacts</x:v>
      </x:c>
      <x:c r="E6310" s="16" t="str">
        <x:v>Missing email</x:v>
      </x:c>
    </x:row>
    <x:row r="6311">
      <x:c r="A6311" s="16" t="n">
        <x:v>6533</x:v>
      </x:c>
      <x:c r="B6311" s="16" t="str">
        <x:v>Sutera Merah</x:v>
      </x:c>
      <x:c r="C6311" s="16" t="str"/>
      <x:c r="D6311" s="16" t="str">
        <x:v>* myContacts</x:v>
      </x:c>
      <x:c r="E6311" s="16" t="str">
        <x:v>Missing email</x:v>
      </x:c>
    </x:row>
    <x:row r="6312">
      <x:c r="A6312" s="16" t="n">
        <x:v>6534</x:v>
      </x:c>
      <x:c r="B6312" s="16" t="str">
        <x:v>Suwaidah Idrus</x:v>
      </x:c>
      <x:c r="C6312" s="16" t="str"/>
      <x:c r="D6312" s="16" t="str">
        <x:v>* myContacts</x:v>
      </x:c>
      <x:c r="E6312" s="16" t="str">
        <x:v>Missing email</x:v>
      </x:c>
    </x:row>
    <x:row r="6313">
      <x:c r="A6313" s="16" t="n">
        <x:v>6535</x:v>
      </x:c>
      <x:c r="B6313" s="16" t="str">
        <x:v>Suzaima Shamsuddin</x:v>
      </x:c>
      <x:c r="C6313" s="16" t="str"/>
      <x:c r="D6313" s="16" t="str">
        <x:v>* myContacts</x:v>
      </x:c>
      <x:c r="E6313" s="16" t="str">
        <x:v>Missing email</x:v>
      </x:c>
    </x:row>
    <x:row r="6314">
      <x:c r="A6314" s="16" t="n">
        <x:v>6536</x:v>
      </x:c>
      <x:c r="B6314" s="16" t="str">
        <x:v>Suzana Auditor</x:v>
      </x:c>
      <x:c r="C6314" s="16" t="str"/>
      <x:c r="D6314" s="16" t="str">
        <x:v>* myContacts</x:v>
      </x:c>
      <x:c r="E6314" s="16" t="str">
        <x:v>Missing email</x:v>
      </x:c>
    </x:row>
    <x:row r="6315">
      <x:c r="A6315" s="16" t="n">
        <x:v>6537</x:v>
      </x:c>
      <x:c r="B6315" s="16" t="str">
        <x:v>Suzana Salim</x:v>
      </x:c>
      <x:c r="C6315" s="16" t="str"/>
      <x:c r="D6315" s="16" t="str">
        <x:v>* myContacts</x:v>
      </x:c>
      <x:c r="E6315" s="16" t="str">
        <x:v>Missing email</x:v>
      </x:c>
    </x:row>
    <x:row r="6316">
      <x:c r="A6316" s="16" t="n">
        <x:v>6538</x:v>
      </x:c>
      <x:c r="B6316" s="16" t="str">
        <x:v>Suzana Sukor</x:v>
      </x:c>
      <x:c r="C6316" s="16" t="str"/>
      <x:c r="D6316" s="16" t="str">
        <x:v>* myContacts</x:v>
      </x:c>
      <x:c r="E6316" s="16" t="str">
        <x:v>Missing email</x:v>
      </x:c>
    </x:row>
    <x:row r="6317">
      <x:c r="A6317" s="16" t="n">
        <x:v>6539</x:v>
      </x:c>
      <x:c r="B6317" s="16" t="str">
        <x:v>Suzana Sulaiman</x:v>
      </x:c>
      <x:c r="C6317" s="16" t="str"/>
      <x:c r="D6317" s="16" t="str">
        <x:v>* myContacts</x:v>
      </x:c>
      <x:c r="E6317" s="16" t="str">
        <x:v>Missing email</x:v>
      </x:c>
    </x:row>
    <x:row r="6318">
      <x:c r="A6318" s="16" t="n">
        <x:v>6540</x:v>
      </x:c>
      <x:c r="B6318" s="16" t="str">
        <x:v>Suzana Yaakub</x:v>
      </x:c>
      <x:c r="C6318" s="16" t="str"/>
      <x:c r="D6318" s="16" t="str">
        <x:v>* myContacts</x:v>
      </x:c>
      <x:c r="E6318" s="16" t="str">
        <x:v>Missing email</x:v>
      </x:c>
    </x:row>
    <x:row r="6319">
      <x:c r="A6319" s="16" t="n">
        <x:v>6541</x:v>
      </x:c>
      <x:c r="B6319" s="16" t="str">
        <x:v>Suziatie Jukey</x:v>
      </x:c>
      <x:c r="C6319" s="16" t="str"/>
      <x:c r="D6319" s="16" t="str">
        <x:v>* myContacts</x:v>
      </x:c>
      <x:c r="E6319" s="16" t="str">
        <x:v>Missing email</x:v>
      </x:c>
    </x:row>
    <x:row r="6320">
      <x:c r="A6320" s="16" t="n">
        <x:v>6542</x:v>
      </x:c>
      <x:c r="B6320" s="16" t="str">
        <x:v>Suzila Zakaria</x:v>
      </x:c>
      <x:c r="C6320" s="16" t="str"/>
      <x:c r="D6320" s="16" t="str">
        <x:v>* myContacts</x:v>
      </x:c>
      <x:c r="E6320" s="16" t="str">
        <x:v>Missing email</x:v>
      </x:c>
    </x:row>
    <x:row r="6321">
      <x:c r="A6321" s="16" t="n">
        <x:v>6543</x:v>
      </x:c>
      <x:c r="B6321" s="16" t="str">
        <x:v>Suziyana Ahmad</x:v>
      </x:c>
      <x:c r="C6321" s="16" t="str"/>
      <x:c r="D6321" s="16" t="str">
        <x:v>* myContacts</x:v>
      </x:c>
      <x:c r="E6321" s="16" t="str">
        <x:v>Missing email</x:v>
      </x:c>
    </x:row>
    <x:row r="6322">
      <x:c r="A6322" s="16" t="n">
        <x:v>6544</x:v>
      </x:c>
      <x:c r="B6322" s="16" t="str">
        <x:v>Suzliyana Mustapha</x:v>
      </x:c>
      <x:c r="C6322" s="16" t="str"/>
      <x:c r="D6322" s="16" t="str">
        <x:v>* myContacts</x:v>
      </x:c>
      <x:c r="E6322" s="16" t="str">
        <x:v>Missing email</x:v>
      </x:c>
    </x:row>
    <x:row r="6323">
      <x:c r="A6323" s="16" t="n">
        <x:v>6545</x:v>
      </x:c>
      <x:c r="B6323" s="16" t="str">
        <x:v>Suzylawati Che Otheman</x:v>
      </x:c>
      <x:c r="C6323" s="16" t="str"/>
      <x:c r="D6323" s="16" t="str">
        <x:v>* myContacts</x:v>
      </x:c>
      <x:c r="E6323" s="16" t="str">
        <x:v>Missing email</x:v>
      </x:c>
    </x:row>
    <x:row r="6324">
      <x:c r="A6324" s="16" t="n">
        <x:v>6546</x:v>
      </x:c>
      <x:c r="B6324" s="16" t="str">
        <x:v>Sweetie Blue Door Gift</x:v>
      </x:c>
      <x:c r="C6324" s="16" t="str"/>
      <x:c r="D6324" s="16" t="str">
        <x:v>* myContacts</x:v>
      </x:c>
      <x:c r="E6324" s="16" t="str">
        <x:v>Missing email</x:v>
      </x:c>
    </x:row>
    <x:row r="6325">
      <x:c r="A6325" s="16" t="n">
        <x:v>6547</x:v>
      </x:c>
      <x:c r="B6325" s="16" t="str">
        <x:v>Sya Hid</x:v>
      </x:c>
      <x:c r="C6325" s="16" t="str"/>
      <x:c r="D6325" s="16" t="str">
        <x:v>* myContacts</x:v>
      </x:c>
      <x:c r="E6325" s="16" t="str">
        <x:v>Missing email</x:v>
      </x:c>
    </x:row>
    <x:row r="6326">
      <x:c r="A6326" s="16" t="n">
        <x:v>6548</x:v>
      </x:c>
      <x:c r="B6326" s="16" t="str">
        <x:v>Syaeza Fendy</x:v>
      </x:c>
      <x:c r="C6326" s="16" t="str"/>
      <x:c r="D6326" s="16" t="str">
        <x:v>* myContacts</x:v>
      </x:c>
      <x:c r="E6326" s="16" t="str">
        <x:v>Missing email</x:v>
      </x:c>
    </x:row>
    <x:row r="6327">
      <x:c r="A6327" s="16" t="n">
        <x:v>6549</x:v>
      </x:c>
      <x:c r="B6327" s="16" t="str">
        <x:v>Syaf Ultra Bro</x:v>
      </x:c>
      <x:c r="C6327" s="16" t="str"/>
      <x:c r="D6327" s="16" t="str">
        <x:v>* myContacts</x:v>
      </x:c>
      <x:c r="E6327" s="16" t="str">
        <x:v>Missing email</x:v>
      </x:c>
    </x:row>
    <x:row r="6328">
      <x:c r="A6328" s="16" t="n">
        <x:v>6550</x:v>
      </x:c>
      <x:c r="B6328" s="16" t="str">
        <x:v>SyafapOetry Njawanie</x:v>
      </x:c>
      <x:c r="C6328" s="16" t="str"/>
      <x:c r="D6328" s="16" t="str">
        <x:v>* myContacts</x:v>
      </x:c>
      <x:c r="E6328" s="16" t="str">
        <x:v>Missing email</x:v>
      </x:c>
    </x:row>
    <x:row r="6329">
      <x:c r="A6329" s="16" t="n">
        <x:v>6551</x:v>
      </x:c>
      <x:c r="B6329" s="16" t="str">
        <x:v>SYAFI Eusahawan 2023</x:v>
      </x:c>
      <x:c r="C6329" s="16" t="str"/>
      <x:c r="D6329" s="16" t="str">
        <x:v>* myContacts</x:v>
      </x:c>
      <x:c r="E6329" s="16" t="str">
        <x:v>Missing email</x:v>
      </x:c>
    </x:row>
    <x:row r="6330">
      <x:c r="A6330" s="16" t="n">
        <x:v>6552</x:v>
      </x:c>
      <x:c r="B6330" s="16" t="str">
        <x:v>Syafi'ain Rahiman</x:v>
      </x:c>
      <x:c r="C6330" s="16" t="str"/>
      <x:c r="D6330" s="16" t="str">
        <x:v>* myContacts</x:v>
      </x:c>
      <x:c r="E6330" s="16" t="str">
        <x:v>Missing email</x:v>
      </x:c>
    </x:row>
    <x:row r="6331">
      <x:c r="A6331" s="16" t="n">
        <x:v>6553</x:v>
      </x:c>
      <x:c r="B6331" s="16" t="str">
        <x:v>Syafie Nassar II</x:v>
      </x:c>
      <x:c r="C6331" s="16" t="str"/>
      <x:c r="D6331" s="16" t="str">
        <x:v>* myContacts</x:v>
      </x:c>
      <x:c r="E6331" s="16" t="str">
        <x:v>Missing email</x:v>
      </x:c>
    </x:row>
    <x:row r="6332">
      <x:c r="A6332" s="16" t="n">
        <x:v>6554</x:v>
      </x:c>
      <x:c r="B6332" s="16" t="str">
        <x:v>Syafik Sapik Ikwan</x:v>
      </x:c>
      <x:c r="C6332" s="16" t="str"/>
      <x:c r="D6332" s="16" t="str">
        <x:v>* myContacts</x:v>
      </x:c>
      <x:c r="E6332" s="16" t="str">
        <x:v>Missing email</x:v>
      </x:c>
    </x:row>
    <x:row r="6333">
      <x:c r="A6333" s="16" t="n">
        <x:v>6555</x:v>
      </x:c>
      <x:c r="B6333" s="16" t="str">
        <x:v>Syafikah IShak</x:v>
      </x:c>
      <x:c r="C6333" s="16" t="str"/>
      <x:c r="D6333" s="16" t="str">
        <x:v>* myContacts</x:v>
      </x:c>
      <x:c r="E6333" s="16" t="str">
        <x:v>Missing email</x:v>
      </x:c>
    </x:row>
    <x:row r="6334">
      <x:c r="A6334" s="16" t="n">
        <x:v>6556</x:v>
      </x:c>
      <x:c r="B6334" s="16" t="str">
        <x:v>Syafiq Afiq</x:v>
      </x:c>
      <x:c r="C6334" s="16" t="str"/>
      <x:c r="D6334" s="16" t="str">
        <x:v>* myContacts</x:v>
      </x:c>
      <x:c r="E6334" s="16" t="str">
        <x:v>Missing email</x:v>
      </x:c>
    </x:row>
    <x:row r="6335">
      <x:c r="A6335" s="16" t="n">
        <x:v>6557</x:v>
      </x:c>
      <x:c r="B6335" s="16" t="str">
        <x:v>Syafiq boss ultra mahad</x:v>
      </x:c>
      <x:c r="C6335" s="16" t="str"/>
      <x:c r="D6335" s="16" t="str">
        <x:v>* myContacts</x:v>
      </x:c>
      <x:c r="E6335" s="16" t="str">
        <x:v>Missing email</x:v>
      </x:c>
    </x:row>
    <x:row r="6336">
      <x:c r="A6336" s="16" t="n">
        <x:v>6558</x:v>
      </x:c>
      <x:c r="B6336" s="16" t="str">
        <x:v>Syafiq HALUAN</x:v>
      </x:c>
      <x:c r="C6336" s="16" t="str"/>
      <x:c r="D6336" s="16" t="str">
        <x:v>* myContacts</x:v>
      </x:c>
      <x:c r="E6336" s="16" t="str">
        <x:v>Missing email</x:v>
      </x:c>
    </x:row>
    <x:row r="6337">
      <x:c r="A6337" s="16" t="n">
        <x:v>6559</x:v>
      </x:c>
      <x:c r="B6337" s="16" t="str">
        <x:v>Syafiq Izwan</x:v>
      </x:c>
      <x:c r="C6337" s="16" t="str"/>
      <x:c r="D6337" s="16" t="str">
        <x:v>* myContacts</x:v>
      </x:c>
      <x:c r="E6337" s="16" t="str">
        <x:v>Missing email</x:v>
      </x:c>
    </x:row>
    <x:row r="6338">
      <x:c r="A6338" s="16" t="n">
        <x:v>6560</x:v>
      </x:c>
      <x:c r="B6338" s="16" t="str">
        <x:v>syafiq mais selangor</x:v>
      </x:c>
      <x:c r="C6338" s="16" t="str"/>
      <x:c r="D6338" s="16" t="str">
        <x:v>* myContacts</x:v>
      </x:c>
      <x:c r="E6338" s="16" t="str">
        <x:v>Missing email</x:v>
      </x:c>
    </x:row>
    <x:row r="6339">
      <x:c r="A6339" s="16" t="n">
        <x:v>6561</x:v>
      </x:c>
      <x:c r="B6339" s="16" t="str">
        <x:v>Syafiq Roslan</x:v>
      </x:c>
      <x:c r="C6339" s="16" t="str"/>
      <x:c r="D6339" s="16" t="str">
        <x:v>* myContacts</x:v>
      </x:c>
      <x:c r="E6339" s="16" t="str">
        <x:v>Missing email</x:v>
      </x:c>
    </x:row>
    <x:row r="6340">
      <x:c r="A6340" s="16" t="n">
        <x:v>6562</x:v>
      </x:c>
      <x:c r="B6340" s="16" t="str">
        <x:v>Syafiq Synthesys</x:v>
      </x:c>
      <x:c r="C6340" s="16" t="str"/>
      <x:c r="D6340" s="16" t="str">
        <x:v>* myContacts</x:v>
      </x:c>
      <x:c r="E6340" s="16" t="str">
        <x:v>Missing email</x:v>
      </x:c>
    </x:row>
    <x:row r="6341">
      <x:c r="A6341" s="16" t="n">
        <x:v>6563</x:v>
      </x:c>
      <x:c r="B6341" s="16" t="str">
        <x:v>Syafiq Vidmill</x:v>
      </x:c>
      <x:c r="C6341" s="16" t="str"/>
      <x:c r="D6341" s="16" t="str">
        <x:v>* myContacts</x:v>
      </x:c>
      <x:c r="E6341" s="16" t="str">
        <x:v>Missing email</x:v>
      </x:c>
    </x:row>
    <x:row r="6342">
      <x:c r="A6342" s="16" t="n">
        <x:v>6564</x:v>
      </x:c>
      <x:c r="B6342" s="16" t="str">
        <x:v>Syafiq Zawawi</x:v>
      </x:c>
      <x:c r="C6342" s="16" t="str"/>
      <x:c r="D6342" s="16" t="str">
        <x:v>* myContacts</x:v>
      </x:c>
      <x:c r="E6342" s="16" t="str">
        <x:v>Missing email</x:v>
      </x:c>
    </x:row>
    <x:row r="6343">
      <x:c r="A6343" s="16" t="n">
        <x:v>6565</x:v>
      </x:c>
      <x:c r="B6343" s="16" t="str">
        <x:v>Syafiqah Evieyy</x:v>
      </x:c>
      <x:c r="C6343" s="16" t="str"/>
      <x:c r="D6343" s="16" t="str">
        <x:v>* myContacts</x:v>
      </x:c>
      <x:c r="E6343" s="16" t="str">
        <x:v>Missing email</x:v>
      </x:c>
    </x:row>
    <x:row r="6344">
      <x:c r="A6344" s="16" t="n">
        <x:v>6566</x:v>
      </x:c>
      <x:c r="B6344" s="16" t="str">
        <x:v>Syafiqah Fisioterapi Ipoh</x:v>
      </x:c>
      <x:c r="C6344" s="16" t="str"/>
      <x:c r="D6344" s="16" t="str">
        <x:v>* myContacts</x:v>
      </x:c>
      <x:c r="E6344" s="16" t="str">
        <x:v>Missing email</x:v>
      </x:c>
    </x:row>
    <x:row r="6345">
      <x:c r="A6345" s="16" t="n">
        <x:v>6567</x:v>
      </x:c>
      <x:c r="B6345" s="16" t="str">
        <x:v>SyAh Mi</x:v>
      </x:c>
      <x:c r="C6345" s="16" t="str"/>
      <x:c r="D6345" s="16" t="str">
        <x:v>* myContacts</x:v>
      </x:c>
      <x:c r="E6345" s="16" t="str">
        <x:v>Missing email</x:v>
      </x:c>
    </x:row>
    <x:row r="6346">
      <x:c r="A6346" s="16" t="n">
        <x:v>6568</x:v>
      </x:c>
      <x:c r="B6346" s="16" t="str">
        <x:v>Syah Mohd Brand Consultant</x:v>
      </x:c>
      <x:c r="C6346" s="16" t="str"/>
      <x:c r="D6346" s="16" t="str">
        <x:v>* myContacts</x:v>
      </x:c>
      <x:c r="E6346" s="16" t="str">
        <x:v>Missing email</x:v>
      </x:c>
    </x:row>
    <x:row r="6347">
      <x:c r="A6347" s="16" t="n">
        <x:v>6569</x:v>
      </x:c>
      <x:c r="B6347" s="16" t="str">
        <x:v>Syahfiq Yusof</x:v>
      </x:c>
      <x:c r="C6347" s="16" t="str"/>
      <x:c r="D6347" s="16" t="str">
        <x:v>* myContacts</x:v>
      </x:c>
      <x:c r="E6347" s="16" t="str">
        <x:v>Missing email</x:v>
      </x:c>
    </x:row>
    <x:row r="6348">
      <x:c r="A6348" s="16" t="n">
        <x:v>6570</x:v>
      </x:c>
      <x:c r="B6348" s="16" t="str">
        <x:v>Syahid Gmc</x:v>
      </x:c>
      <x:c r="C6348" s="16" t="str"/>
      <x:c r="D6348" s="16" t="str">
        <x:v>* myContacts</x:v>
      </x:c>
      <x:c r="E6348" s="16" t="str">
        <x:v>Missing email</x:v>
      </x:c>
    </x:row>
    <x:row r="6349">
      <x:c r="A6349" s="16" t="n">
        <x:v>6571</x:v>
      </x:c>
      <x:c r="B6349" s="16" t="str">
        <x:v>Syahida Maaroff</x:v>
      </x:c>
      <x:c r="C6349" s="16" t="str"/>
      <x:c r="D6349" s="16" t="str">
        <x:v>* myContacts</x:v>
      </x:c>
      <x:c r="E6349" s="16" t="str">
        <x:v>Missing email</x:v>
      </x:c>
    </x:row>
    <x:row r="6350">
      <x:c r="A6350" s="16" t="n">
        <x:v>6572</x:v>
      </x:c>
      <x:c r="B6350" s="16" t="str">
        <x:v>Syahida Perodua Syahida Perodua</x:v>
      </x:c>
      <x:c r="C6350" s="16" t="str"/>
      <x:c r="D6350" s="16" t="str">
        <x:v>* myContacts</x:v>
      </x:c>
      <x:c r="E6350" s="16" t="str">
        <x:v>Missing email</x:v>
      </x:c>
    </x:row>
    <x:row r="6351">
      <x:c r="A6351" s="16" t="n">
        <x:v>6573</x:v>
      </x:c>
      <x:c r="B6351" s="16" t="str">
        <x:v>Syahiey Solyman</x:v>
      </x:c>
      <x:c r="C6351" s="16" t="str"/>
      <x:c r="D6351" s="16" t="str">
        <x:v>* myContacts</x:v>
      </x:c>
      <x:c r="E6351" s="16" t="str">
        <x:v>Missing email</x:v>
      </x:c>
    </x:row>
    <x:row r="6352">
      <x:c r="A6352" s="16" t="n">
        <x:v>6574</x:v>
      </x:c>
      <x:c r="B6352" s="16" t="str">
        <x:v>syahir kawan zakwan</x:v>
      </x:c>
      <x:c r="C6352" s="16" t="str"/>
      <x:c r="D6352" s="16" t="str">
        <x:v>* myContacts</x:v>
      </x:c>
      <x:c r="E6352" s="16" t="str">
        <x:v>Missing email</x:v>
      </x:c>
    </x:row>
    <x:row r="6353">
      <x:c r="A6353" s="16" t="n">
        <x:v>6575</x:v>
      </x:c>
      <x:c r="B6353" s="16" t="str">
        <x:v>Syahirah Bakhri</x:v>
      </x:c>
      <x:c r="C6353" s="16" t="str"/>
      <x:c r="D6353" s="16" t="str">
        <x:v>* myContacts</x:v>
      </x:c>
      <x:c r="E6353" s="16" t="str">
        <x:v>Missing email</x:v>
      </x:c>
    </x:row>
    <x:row r="6354">
      <x:c r="A6354" s="16" t="n">
        <x:v>6576</x:v>
      </x:c>
      <x:c r="B6354" s="16" t="str">
        <x:v>SyaHirah Fikri</x:v>
      </x:c>
      <x:c r="C6354" s="16" t="str"/>
      <x:c r="D6354" s="16" t="str">
        <x:v>* myContacts</x:v>
      </x:c>
      <x:c r="E6354" s="16" t="str">
        <x:v>Missing email</x:v>
      </x:c>
    </x:row>
    <x:row r="6355">
      <x:c r="A6355" s="16" t="n">
        <x:v>6578</x:v>
      </x:c>
      <x:c r="B6355" s="16" t="str">
        <x:v>Syahman RJB</x:v>
      </x:c>
      <x:c r="C6355" s="16" t="str"/>
      <x:c r="D6355" s="16" t="str">
        <x:v>* myContacts</x:v>
      </x:c>
      <x:c r="E6355" s="16" t="str">
        <x:v>Missing email</x:v>
      </x:c>
    </x:row>
    <x:row r="6356">
      <x:c r="A6356" s="16" t="n">
        <x:v>6580</x:v>
      </x:c>
      <x:c r="B6356" s="16" t="str">
        <x:v>Syahmi MyNeF</x:v>
      </x:c>
      <x:c r="C6356" s="16" t="str"/>
      <x:c r="D6356" s="16" t="str">
        <x:v>* myContacts</x:v>
      </x:c>
      <x:c r="E6356" s="16" t="str">
        <x:v>Missing email</x:v>
      </x:c>
    </x:row>
    <x:row r="6357">
      <x:c r="A6357" s="16" t="n">
        <x:v>6581</x:v>
      </x:c>
      <x:c r="B6357" s="16" t="str">
        <x:v>Syahmohdradzi Radzi</x:v>
      </x:c>
      <x:c r="C6357" s="16" t="str"/>
      <x:c r="D6357" s="16" t="str">
        <x:v>* myContacts</x:v>
      </x:c>
      <x:c r="E6357" s="16" t="str">
        <x:v>Missing email</x:v>
      </x:c>
    </x:row>
    <x:row r="6358">
      <x:c r="A6358" s="16" t="n">
        <x:v>6582</x:v>
      </x:c>
      <x:c r="B6358" s="16" t="str">
        <x:v>Syahril Hj Kurdus Wcb</x:v>
      </x:c>
      <x:c r="C6358" s="16" t="str"/>
      <x:c r="D6358" s="16" t="str">
        <x:v>* myContacts</x:v>
      </x:c>
      <x:c r="E6358" s="16" t="str">
        <x:v>Missing email</x:v>
      </x:c>
    </x:row>
    <x:row r="6359">
      <x:c r="A6359" s="16" t="n">
        <x:v>6583</x:v>
      </x:c>
      <x:c r="B6359" s="16" t="str">
        <x:v>Syahrul Syazmin</x:v>
      </x:c>
      <x:c r="C6359" s="16" t="str"/>
      <x:c r="D6359" s="16" t="str">
        <x:v>* myContacts</x:v>
      </x:c>
      <x:c r="E6359" s="16" t="str">
        <x:v>Missing email</x:v>
      </x:c>
    </x:row>
    <x:row r="6360">
      <x:c r="A6360" s="16" t="n">
        <x:v>6584</x:v>
      </x:c>
      <x:c r="B6360" s="16" t="str">
        <x:v>syaidi it programer</x:v>
      </x:c>
      <x:c r="C6360" s="16" t="str"/>
      <x:c r="D6360" s="16" t="str">
        <x:v>* myContacts</x:v>
      </x:c>
      <x:c r="E6360" s="16" t="str">
        <x:v>Missing email</x:v>
      </x:c>
    </x:row>
    <x:row r="6361">
      <x:c r="A6361" s="16" t="n">
        <x:v>6586</x:v>
      </x:c>
      <x:c r="B6361" s="16" t="str">
        <x:v>Syakila Amani</x:v>
      </x:c>
      <x:c r="C6361" s="16" t="str"/>
      <x:c r="D6361" s="16" t="str">
        <x:v>* myContacts</x:v>
      </x:c>
      <x:c r="E6361" s="16" t="str">
        <x:v>Missing email</x:v>
      </x:c>
    </x:row>
    <x:row r="6362">
      <x:c r="A6362" s="16" t="n">
        <x:v>6587</x:v>
      </x:c>
      <x:c r="B6362" s="16" t="str">
        <x:v>Syakila Fadzil</x:v>
      </x:c>
      <x:c r="C6362" s="16" t="str"/>
      <x:c r="D6362" s="16" t="str">
        <x:v>* myContacts</x:v>
      </x:c>
      <x:c r="E6362" s="16" t="str">
        <x:v>Missing email</x:v>
      </x:c>
    </x:row>
    <x:row r="6363">
      <x:c r="A6363" s="16" t="n">
        <x:v>6588</x:v>
      </x:c>
      <x:c r="B6363" s="16" t="str">
        <x:v>Syakira Ismail</x:v>
      </x:c>
      <x:c r="C6363" s="16" t="str"/>
      <x:c r="D6363" s="16" t="str">
        <x:v>* myContacts</x:v>
      </x:c>
      <x:c r="E6363" s="16" t="str">
        <x:v>Missing email</x:v>
      </x:c>
    </x:row>
    <x:row r="6364">
      <x:c r="A6364" s="16" t="n">
        <x:v>6589</x:v>
      </x:c>
      <x:c r="B6364" s="16" t="str">
        <x:v>Syakirin Bin Ismail</x:v>
      </x:c>
      <x:c r="C6364" s="16" t="str"/>
      <x:c r="D6364" s="16" t="str">
        <x:v>* myContacts</x:v>
      </x:c>
      <x:c r="E6364" s="16" t="str">
        <x:v>Missing email</x:v>
      </x:c>
    </x:row>
    <x:row r="6365">
      <x:c r="A6365" s="16" t="n">
        <x:v>6590</x:v>
      </x:c>
      <x:c r="B6365" s="16" t="str">
        <x:v>Syalafol Mohd</x:v>
      </x:c>
      <x:c r="C6365" s="16" t="str"/>
      <x:c r="D6365" s="16" t="str">
        <x:v>* myContacts</x:v>
      </x:c>
      <x:c r="E6365" s="16" t="str">
        <x:v>Missing email</x:v>
      </x:c>
    </x:row>
    <x:row r="6366">
      <x:c r="A6366" s="16" t="n">
        <x:v>6591</x:v>
      </x:c>
      <x:c r="B6366" s="16" t="str">
        <x:v>Syam Swiss</x:v>
      </x:c>
      <x:c r="C6366" s="16" t="str"/>
      <x:c r="D6366" s="16" t="str">
        <x:v>* myContacts</x:v>
      </x:c>
      <x:c r="E6366" s="16" t="str">
        <x:v>Missing email</x:v>
      </x:c>
    </x:row>
    <x:row r="6367">
      <x:c r="A6367" s="16" t="n">
        <x:v>6592</x:v>
      </x:c>
      <x:c r="B6367" s="16" t="str">
        <x:v>Syamhussin Syamct</x:v>
      </x:c>
      <x:c r="C6367" s="16" t="str"/>
      <x:c r="D6367" s="16" t="str">
        <x:v>* myContacts</x:v>
      </x:c>
      <x:c r="E6367" s="16" t="str">
        <x:v>Missing email</x:v>
      </x:c>
    </x:row>
    <x:row r="6368">
      <x:c r="A6368" s="16" t="n">
        <x:v>6593</x:v>
      </x:c>
      <x:c r="B6368" s="16" t="str">
        <x:v>Syamil Syam</x:v>
      </x:c>
      <x:c r="C6368" s="16" t="str"/>
      <x:c r="D6368" s="16" t="str">
        <x:v>* myContacts</x:v>
      </x:c>
      <x:c r="E6368" s="16" t="str">
        <x:v>Missing email</x:v>
      </x:c>
    </x:row>
    <x:row r="6369">
      <x:c r="A6369" s="16" t="n">
        <x:v>6594</x:v>
      </x:c>
      <x:c r="B6369" s="16" t="str">
        <x:v>Syamim Shukor</x:v>
      </x:c>
      <x:c r="C6369" s="16" t="str"/>
      <x:c r="D6369" s="16" t="str">
        <x:v>* myContacts</x:v>
      </x:c>
      <x:c r="E6369" s="16" t="str">
        <x:v>Missing email</x:v>
      </x:c>
    </x:row>
    <x:row r="6370">
      <x:c r="A6370" s="16" t="n">
        <x:v>6595</x:v>
      </x:c>
      <x:c r="B6370" s="16" t="str">
        <x:v>Syamira Suffri JAIS</x:v>
      </x:c>
      <x:c r="C6370" s="16" t="str"/>
      <x:c r="D6370" s="16" t="str">
        <x:v>* myContacts</x:v>
      </x:c>
      <x:c r="E6370" s="16" t="str">
        <x:v>Missing email</x:v>
      </x:c>
    </x:row>
    <x:row r="6371">
      <x:c r="A6371" s="16" t="n">
        <x:v>6596</x:v>
      </x:c>
      <x:c r="B6371" s="16" t="str">
        <x:v>Syamiza Ahmad</x:v>
      </x:c>
      <x:c r="C6371" s="16" t="str"/>
      <x:c r="D6371" s="16" t="str">
        <x:v>* myContacts</x:v>
      </x:c>
      <x:c r="E6371" s="16" t="str">
        <x:v>Missing email</x:v>
      </x:c>
    </x:row>
    <x:row r="6372">
      <x:c r="A6372" s="16" t="n">
        <x:v>6597</x:v>
      </x:c>
      <x:c r="B6372" s="16" t="str">
        <x:v>Syanon Kumoten</x:v>
      </x:c>
      <x:c r="C6372" s="16" t="str"/>
      <x:c r="D6372" s="16" t="str">
        <x:v>* myContacts</x:v>
      </x:c>
      <x:c r="E6372" s="16" t="str">
        <x:v>Missing email</x:v>
      </x:c>
    </x:row>
    <x:row r="6373">
      <x:c r="A6373" s="16" t="n">
        <x:v>6598</x:v>
      </x:c>
      <x:c r="B6373" s="16" t="str">
        <x:v>Syarfiqar Amirah Zaini</x:v>
      </x:c>
      <x:c r="C6373" s="16" t="str"/>
      <x:c r="D6373" s="16" t="str">
        <x:v>* myContacts</x:v>
      </x:c>
      <x:c r="E6373" s="16" t="str">
        <x:v>Missing email</x:v>
      </x:c>
    </x:row>
    <x:row r="6374">
      <x:c r="A6374" s="16" t="n">
        <x:v>6599</x:v>
      </x:c>
      <x:c r="B6374" s="16" t="str">
        <x:v>Syarif Muhammad Abdelkhan</x:v>
      </x:c>
      <x:c r="C6374" s="16" t="str"/>
      <x:c r="D6374" s="16" t="str">
        <x:v>* myContacts</x:v>
      </x:c>
      <x:c r="E6374" s="16" t="str">
        <x:v>Missing email</x:v>
      </x:c>
    </x:row>
    <x:row r="6375">
      <x:c r="A6375" s="16" t="n">
        <x:v>6600</x:v>
      </x:c>
      <x:c r="B6375" s="16" t="str">
        <x:v>Syarizul Mohamad Ihsan Zulkaffly</x:v>
      </x:c>
      <x:c r="C6375" s="16" t="str"/>
      <x:c r="D6375" s="16" t="str">
        <x:v>* myContacts</x:v>
      </x:c>
      <x:c r="E6375" s="16" t="str">
        <x:v>Missing email</x:v>
      </x:c>
    </x:row>
    <x:row r="6376">
      <x:c r="A6376" s="16" t="n">
        <x:v>6601</x:v>
      </x:c>
      <x:c r="B6376" s="16" t="str">
        <x:v>Syawal Evoing</x:v>
      </x:c>
      <x:c r="C6376" s="16" t="str"/>
      <x:c r="D6376" s="16" t="str">
        <x:v>* myContacts</x:v>
      </x:c>
      <x:c r="E6376" s="16" t="str">
        <x:v>Missing email</x:v>
      </x:c>
    </x:row>
    <x:row r="6377">
      <x:c r="A6377" s="16" t="n">
        <x:v>6602</x:v>
      </x:c>
      <x:c r="B6377" s="16" t="str">
        <x:v>Syawalieza Fathia</x:v>
      </x:c>
      <x:c r="C6377" s="16" t="str"/>
      <x:c r="D6377" s="16" t="str">
        <x:v>* myContacts</x:v>
      </x:c>
      <x:c r="E6377" s="16" t="str">
        <x:v>Missing email</x:v>
      </x:c>
    </x:row>
    <x:row r="6378">
      <x:c r="A6378" s="16" t="n">
        <x:v>6603</x:v>
      </x:c>
      <x:c r="B6378" s="16" t="str">
        <x:v>Syaz Ika</x:v>
      </x:c>
      <x:c r="C6378" s="16" t="str"/>
      <x:c r="D6378" s="16" t="str">
        <x:v>* myContacts</x:v>
      </x:c>
      <x:c r="E6378" s="16" t="str">
        <x:v>Missing email</x:v>
      </x:c>
    </x:row>
    <x:row r="6379">
      <x:c r="A6379" s="16" t="n">
        <x:v>6605</x:v>
      </x:c>
      <x:c r="B6379" s="16" t="str">
        <x:v>Syazana Sulaiman</x:v>
      </x:c>
      <x:c r="C6379" s="16" t="str"/>
      <x:c r="D6379" s="16" t="str">
        <x:v>* myContacts</x:v>
      </x:c>
      <x:c r="E6379" s="16" t="str">
        <x:v>Missing email</x:v>
      </x:c>
    </x:row>
    <x:row r="6380">
      <x:c r="A6380" s="16" t="n">
        <x:v>6606</x:v>
      </x:c>
      <x:c r="B6380" s="16" t="str">
        <x:v>Syazrina Shazali</x:v>
      </x:c>
      <x:c r="C6380" s="16" t="str"/>
      <x:c r="D6380" s="16" t="str">
        <x:v>* myContacts</x:v>
      </x:c>
      <x:c r="E6380" s="16" t="str">
        <x:v>Missing email</x:v>
      </x:c>
    </x:row>
    <x:row r="6381">
      <x:c r="A6381" s="16" t="n">
        <x:v>6607</x:v>
      </x:c>
      <x:c r="B6381" s="16" t="str">
        <x:v>Syazwan Ramlee</x:v>
      </x:c>
      <x:c r="C6381" s="16" t="str"/>
      <x:c r="D6381" s="16" t="str">
        <x:v>* myContacts</x:v>
      </x:c>
      <x:c r="E6381" s="16" t="str">
        <x:v>Missing email</x:v>
      </x:c>
    </x:row>
    <x:row r="6382">
      <x:c r="A6382" s="16" t="n">
        <x:v>6608</x:v>
      </x:c>
      <x:c r="B6382" s="16" t="str">
        <x:v>Syazwana Sarian</x:v>
      </x:c>
      <x:c r="C6382" s="16" t="str"/>
      <x:c r="D6382" s="16" t="str">
        <x:v>* myContacts</x:v>
      </x:c>
      <x:c r="E6382" s="16" t="str">
        <x:v>Missing email</x:v>
      </x:c>
    </x:row>
    <x:row r="6383">
      <x:c r="A6383" s="16" t="n">
        <x:v>6609</x:v>
      </x:c>
      <x:c r="B6383" s="16" t="str">
        <x:v>Syazwani Shabudin</x:v>
      </x:c>
      <x:c r="C6383" s="16" t="str"/>
      <x:c r="D6383" s="16" t="str">
        <x:v>* myContacts</x:v>
      </x:c>
      <x:c r="E6383" s="16" t="str">
        <x:v>Missing email</x:v>
      </x:c>
    </x:row>
    <x:row r="6384">
      <x:c r="A6384" s="16" t="n">
        <x:v>6610</x:v>
      </x:c>
      <x:c r="B6384" s="16" t="str">
        <x:v>Syazwani Shamsuddin</x:v>
      </x:c>
      <x:c r="C6384" s="16" t="str"/>
      <x:c r="D6384" s="16" t="str">
        <x:v>* myContacts</x:v>
      </x:c>
      <x:c r="E6384" s="16" t="str">
        <x:v>Missing email</x:v>
      </x:c>
    </x:row>
    <x:row r="6385">
      <x:c r="A6385" s="16" t="n">
        <x:v>6611</x:v>
      </x:c>
      <x:c r="B6385" s="16" t="str">
        <x:v>Syazwanie Jailani</x:v>
      </x:c>
      <x:c r="C6385" s="16" t="str"/>
      <x:c r="D6385" s="16" t="str">
        <x:v>* myContacts</x:v>
      </x:c>
      <x:c r="E6385" s="16" t="str">
        <x:v>Missing email</x:v>
      </x:c>
    </x:row>
    <x:row r="6386">
      <x:c r="A6386" s="16" t="n">
        <x:v>6612</x:v>
      </x:c>
      <x:c r="B6386" s="16" t="str">
        <x:v>Syazwanie Shaari</x:v>
      </x:c>
      <x:c r="C6386" s="16" t="str"/>
      <x:c r="D6386" s="16" t="str">
        <x:v>* myContacts</x:v>
      </x:c>
      <x:c r="E6386" s="16" t="str">
        <x:v>Missing email</x:v>
      </x:c>
    </x:row>
    <x:row r="6387">
      <x:c r="A6387" s="16" t="n">
        <x:v>6613</x:v>
      </x:c>
      <x:c r="B6387" s="16" t="str">
        <x:v>Syed</x:v>
      </x:c>
      <x:c r="C6387" s="16" t="str"/>
      <x:c r="D6387" s="16" t="str">
        <x:v>* myContacts</x:v>
      </x:c>
      <x:c r="E6387" s="16" t="str">
        <x:v>Missing email</x:v>
      </x:c>
    </x:row>
    <x:row r="6388">
      <x:c r="A6388" s="16" t="n">
        <x:v>6614</x:v>
      </x:c>
      <x:c r="B6388" s="16" t="str">
        <x:v>Syed Bahri Master Blaster</x:v>
      </x:c>
      <x:c r="C6388" s="16" t="str"/>
      <x:c r="D6388" s="16" t="str">
        <x:v>* myContacts</x:v>
      </x:c>
      <x:c r="E6388" s="16" t="str">
        <x:v>Missing email</x:v>
      </x:c>
    </x:row>
    <x:row r="6389">
      <x:c r="A6389" s="16" t="n">
        <x:v>6615</x:v>
      </x:c>
      <x:c r="B6389" s="16" t="str">
        <x:v>Syed Ecommerce Geng Ultra</x:v>
      </x:c>
      <x:c r="C6389" s="16" t="str"/>
      <x:c r="D6389" s="16" t="str">
        <x:v>* myContacts</x:v>
      </x:c>
      <x:c r="E6389" s="16" t="str">
        <x:v>Missing email</x:v>
      </x:c>
    </x:row>
    <x:row r="6390">
      <x:c r="A6390" s="16" t="n">
        <x:v>6616</x:v>
      </x:c>
      <x:c r="B6390" s="16" t="str">
        <x:v>Syed Expert Financial Projection</x:v>
      </x:c>
      <x:c r="C6390" s="16" t="str"/>
      <x:c r="D6390" s="16" t="str">
        <x:v>* myContacts</x:v>
      </x:c>
      <x:c r="E6390" s="16" t="str">
        <x:v>Missing email</x:v>
      </x:c>
    </x:row>
    <x:row r="6391">
      <x:c r="A6391" s="16" t="n">
        <x:v>6617</x:v>
      </x:c>
      <x:c r="B6391" s="16" t="str">
        <x:v>syed fauzi</x:v>
      </x:c>
      <x:c r="C6391" s="16" t="str"/>
      <x:c r="D6391" s="16" t="str">
        <x:v>* myContacts</x:v>
      </x:c>
      <x:c r="E6391" s="16" t="str">
        <x:v>Missing email</x:v>
      </x:c>
    </x:row>
    <x:row r="6392">
      <x:c r="A6392" s="16" t="n">
        <x:v>6618</x:v>
      </x:c>
      <x:c r="B6392" s="16" t="str">
        <x:v>Syed JB student PPMM</x:v>
      </x:c>
      <x:c r="C6392" s="16" t="str"/>
      <x:c r="D6392" s="16" t="str">
        <x:v>* myContacts</x:v>
      </x:c>
      <x:c r="E6392" s="16" t="str">
        <x:v>Missing email</x:v>
      </x:c>
    </x:row>
    <x:row r="6393">
      <x:c r="A6393" s="16" t="n">
        <x:v>6619</x:v>
      </x:c>
      <x:c r="B6393" s="16" t="str">
        <x:v>Syed Nasir Syed Mahther</x:v>
      </x:c>
      <x:c r="C6393" s="16" t="str"/>
      <x:c r="D6393" s="16" t="str">
        <x:v>* myContacts</x:v>
      </x:c>
      <x:c r="E6393" s="16" t="str">
        <x:v>Missing email</x:v>
      </x:c>
    </x:row>
    <x:row r="6394">
      <x:c r="A6394" s="16" t="n">
        <x:v>6620</x:v>
      </x:c>
      <x:c r="B6394" s="16" t="str">
        <x:v>Syed Nawaz DPIM</x:v>
      </x:c>
      <x:c r="C6394" s="16" t="str"/>
      <x:c r="D6394" s="16" t="str">
        <x:v>* myContacts</x:v>
      </x:c>
      <x:c r="E6394" s="16" t="str">
        <x:v>Missing email</x:v>
      </x:c>
    </x:row>
    <x:row r="6395">
      <x:c r="A6395" s="16" t="n">
        <x:v>6621</x:v>
      </x:c>
      <x:c r="B6395" s="16" t="str">
        <x:v>Syed Nawaz RJB</x:v>
      </x:c>
      <x:c r="C6395" s="16" t="str"/>
      <x:c r="D6395" s="16" t="str">
        <x:v>* myContacts</x:v>
      </x:c>
      <x:c r="E6395" s="16" t="str">
        <x:v>Missing email</x:v>
      </x:c>
    </x:row>
    <x:row r="6396">
      <x:c r="A6396" s="16" t="n">
        <x:v>6622</x:v>
      </x:c>
      <x:c r="B6396" s="16" t="str">
        <x:v>Syed Rusdi Agent (MDEC)</x:v>
      </x:c>
      <x:c r="C6396" s="16" t="str"/>
      <x:c r="D6396" s="16" t="str">
        <x:v>* myContacts</x:v>
      </x:c>
      <x:c r="E6396" s="16" t="str">
        <x:v>Missing email</x:v>
      </x:c>
    </x:row>
    <x:row r="6397">
      <x:c r="A6397" s="16" t="n">
        <x:v>6623</x:v>
      </x:c>
      <x:c r="B6397" s="16" t="str">
        <x:v>Syed Saiful Al Jufri</x:v>
      </x:c>
      <x:c r="C6397" s="16" t="str"/>
      <x:c r="D6397" s="16" t="str">
        <x:v>* myContacts</x:v>
      </x:c>
      <x:c r="E6397" s="16" t="str">
        <x:v>Missing email</x:v>
      </x:c>
    </x:row>
    <x:row r="6398">
      <x:c r="A6398" s="16" t="n">
        <x:v>6624</x:v>
      </x:c>
      <x:c r="B6398" s="16" t="str">
        <x:v>Syed Sudin Trainer</x:v>
      </x:c>
      <x:c r="C6398" s="16" t="str"/>
      <x:c r="D6398" s="16" t="str">
        <x:v>Trainer | * myContacts</x:v>
      </x:c>
      <x:c r="E6398" s="16" t="str">
        <x:v>Missing email</x:v>
      </x:c>
    </x:row>
    <x:row r="6399">
      <x:c r="A6399" s="16" t="n">
        <x:v>6625</x:v>
      </x:c>
      <x:c r="B6399" s="16" t="str">
        <x:v>Syeda</x:v>
      </x:c>
      <x:c r="C6399" s="16" t="str"/>
      <x:c r="D6399" s="16" t="str">
        <x:v>* myContacts</x:v>
      </x:c>
      <x:c r="E6399" s="16" t="str">
        <x:v>Missing email</x:v>
      </x:c>
    </x:row>
    <x:row r="6400">
      <x:c r="A6400" s="16" t="n">
        <x:v>6626</x:v>
      </x:c>
      <x:c r="B6400" s="16" t="str">
        <x:v>Syemi Klinik Kesihatan Kuantan</x:v>
      </x:c>
      <x:c r="C6400" s="16" t="str"/>
      <x:c r="D6400" s="16" t="str">
        <x:v>* myContacts</x:v>
      </x:c>
      <x:c r="E6400" s="16" t="str">
        <x:v>Missing email</x:v>
      </x:c>
    </x:row>
    <x:row r="6401">
      <x:c r="A6401" s="16" t="n">
        <x:v>6627</x:v>
      </x:c>
      <x:c r="B6401" s="16" t="str">
        <x:v>Syieda Suyot</x:v>
      </x:c>
      <x:c r="C6401" s="16" t="str"/>
      <x:c r="D6401" s="16" t="str">
        <x:v>* myContacts</x:v>
      </x:c>
      <x:c r="E6401" s="16" t="str">
        <x:v>Missing email</x:v>
      </x:c>
    </x:row>
    <x:row r="6402">
      <x:c r="A6402" s="16" t="n">
        <x:v>6628</x:v>
      </x:c>
      <x:c r="B6402" s="16" t="str">
        <x:v>Syifa Adik Abang Abu</x:v>
      </x:c>
      <x:c r="C6402" s="16" t="str"/>
      <x:c r="D6402" s="16" t="str">
        <x:v>* myContacts</x:v>
      </x:c>
      <x:c r="E6402" s="16" t="str">
        <x:v>Missing email</x:v>
      </x:c>
    </x:row>
    <x:row r="6403">
      <x:c r="A6403" s="16" t="n">
        <x:v>6629</x:v>
      </x:c>
      <x:c r="B6403" s="16" t="str">
        <x:v>Syifa Adik Abang Abu</x:v>
      </x:c>
      <x:c r="C6403" s="16" t="str"/>
      <x:c r="D6403" s="16" t="str">
        <x:v>* myContacts</x:v>
      </x:c>
      <x:c r="E6403" s="16" t="str">
        <x:v>Missing email</x:v>
      </x:c>
    </x:row>
    <x:row r="6404">
      <x:c r="A6404" s="16" t="n">
        <x:v>6630</x:v>
      </x:c>
      <x:c r="B6404" s="16" t="str">
        <x:v>Syifa Ahmadi</x:v>
      </x:c>
      <x:c r="C6404" s="16" t="str"/>
      <x:c r="D6404" s="16" t="str">
        <x:v>* myContacts</x:v>
      </x:c>
      <x:c r="E6404" s="16" t="str">
        <x:v>Missing email</x:v>
      </x:c>
    </x:row>
    <x:row r="6405">
      <x:c r="A6405" s="16" t="n">
        <x:v>6631</x:v>
      </x:c>
      <x:c r="B6405" s="16" t="str">
        <x:v>Syifa Ketua Puteri Bagan</x:v>
      </x:c>
      <x:c r="C6405" s="16" t="str"/>
      <x:c r="D6405" s="16" t="str">
        <x:v>* myContacts</x:v>
      </x:c>
      <x:c r="E6405" s="16" t="str">
        <x:v>Missing email</x:v>
      </x:c>
    </x:row>
    <x:row r="6406">
      <x:c r="A6406" s="16" t="n">
        <x:v>6632</x:v>
      </x:c>
      <x:c r="B6406" s="16" t="str">
        <x:v>Syikin Abd Khalim</x:v>
      </x:c>
      <x:c r="C6406" s="16" t="str"/>
      <x:c r="D6406" s="16" t="str">
        <x:v>* myContacts</x:v>
      </x:c>
      <x:c r="E6406" s="16" t="str">
        <x:v>Missing email</x:v>
      </x:c>
    </x:row>
    <x:row r="6407">
      <x:c r="A6407" s="16" t="n">
        <x:v>6633</x:v>
      </x:c>
      <x:c r="B6407" s="16" t="str">
        <x:v>Syikin Hasan</x:v>
      </x:c>
      <x:c r="C6407" s="16" t="str"/>
      <x:c r="D6407" s="16" t="str">
        <x:v>* myContacts</x:v>
      </x:c>
      <x:c r="E6407" s="16" t="str">
        <x:v>Missing email</x:v>
      </x:c>
    </x:row>
    <x:row r="6408">
      <x:c r="A6408" s="16" t="n">
        <x:v>6634</x:v>
      </x:c>
      <x:c r="B6408" s="16" t="str">
        <x:v>Syikin Ppmm</x:v>
      </x:c>
      <x:c r="C6408" s="16" t="str"/>
      <x:c r="D6408" s="16" t="str">
        <x:v>* myContacts</x:v>
      </x:c>
      <x:c r="E6408" s="16" t="str">
        <x:v>Missing email</x:v>
      </x:c>
    </x:row>
    <x:row r="6409">
      <x:c r="A6409" s="16" t="n">
        <x:v>6635</x:v>
      </x:c>
      <x:c r="B6409" s="16" t="str">
        <x:v>Syima Mohd Saharuddin</x:v>
      </x:c>
      <x:c r="C6409" s="16" t="str"/>
      <x:c r="D6409" s="16" t="str">
        <x:v>* myContacts</x:v>
      </x:c>
      <x:c r="E6409" s="16" t="str">
        <x:v>Missing email</x:v>
      </x:c>
    </x:row>
    <x:row r="6410">
      <x:c r="A6410" s="16" t="n">
        <x:v>6636</x:v>
      </x:c>
      <x:c r="B6410" s="16" t="str">
        <x:v>Syuhada Furmon Hamil</x:v>
      </x:c>
      <x:c r="C6410" s="16" t="str"/>
      <x:c r="D6410" s="16" t="str">
        <x:v>* myContacts</x:v>
      </x:c>
      <x:c r="E6410" s="16" t="str">
        <x:v>Missing email</x:v>
      </x:c>
    </x:row>
    <x:row r="6411">
      <x:c r="A6411" s="16" t="n">
        <x:v>6637</x:v>
      </x:c>
      <x:c r="B6411" s="16" t="str">
        <x:v>Syuhada Ismail</x:v>
      </x:c>
      <x:c r="C6411" s="16" t="str"/>
      <x:c r="D6411" s="16" t="str">
        <x:v>* myContacts</x:v>
      </x:c>
      <x:c r="E6411" s="16" t="str">
        <x:v>Missing email</x:v>
      </x:c>
    </x:row>
    <x:row r="6412">
      <x:c r="A6412" s="16" t="n">
        <x:v>6638</x:v>
      </x:c>
      <x:c r="B6412" s="16" t="str">
        <x:v>Syuhada TV3</x:v>
      </x:c>
      <x:c r="C6412" s="16" t="str"/>
      <x:c r="D6412" s="16" t="str">
        <x:v>* myContacts</x:v>
      </x:c>
      <x:c r="E6412" s="16" t="str">
        <x:v>Missing email</x:v>
      </x:c>
    </x:row>
    <x:row r="6413">
      <x:c r="A6413" s="16" t="n">
        <x:v>6639</x:v>
      </x:c>
      <x:c r="B6413" s="16" t="str">
        <x:v>Syuk Best IM</x:v>
      </x:c>
      <x:c r="C6413" s="16" t="str"/>
      <x:c r="D6413" s="16" t="str">
        <x:v>* myContacts</x:v>
      </x:c>
      <x:c r="E6413" s="16" t="str">
        <x:v>Missing email</x:v>
      </x:c>
    </x:row>
    <x:row r="6414">
      <x:c r="A6414" s="16" t="n">
        <x:v>6641</x:v>
      </x:c>
      <x:c r="B6414" s="16" t="str">
        <x:v>Syukri hijrah</x:v>
      </x:c>
      <x:c r="C6414" s="16" t="str"/>
      <x:c r="D6414" s="16" t="str">
        <x:v>Alumni eUsahawan | * myContacts</x:v>
      </x:c>
      <x:c r="E6414" s="16" t="str">
        <x:v>Missing email</x:v>
      </x:c>
    </x:row>
    <x:row r="6415">
      <x:c r="A6415" s="16" t="n">
        <x:v>6642</x:v>
      </x:c>
      <x:c r="B6415" s="16" t="str">
        <x:v>Syukri Otai Pancing</x:v>
      </x:c>
      <x:c r="C6415" s="16" t="str"/>
      <x:c r="D6415" s="16" t="str">
        <x:v>* myContacts</x:v>
      </x:c>
      <x:c r="E6415" s="16" t="str">
        <x:v>Missing email</x:v>
      </x:c>
    </x:row>
    <x:row r="6416">
      <x:c r="A6416" s="16" t="n">
        <x:v>6643</x:v>
      </x:c>
      <x:c r="B6416" s="16" t="str">
        <x:v>Syukri Trip Borong China</x:v>
      </x:c>
      <x:c r="C6416" s="16" t="str"/>
      <x:c r="D6416" s="16" t="str">
        <x:v>* myContacts</x:v>
      </x:c>
      <x:c r="E6416" s="16" t="str">
        <x:v>Missing email</x:v>
      </x:c>
    </x:row>
    <x:row r="6417">
      <x:c r="A6417" s="16" t="n">
        <x:v>6644</x:v>
      </x:c>
      <x:c r="B6417" s="16" t="str">
        <x:v>Syura Qistina</x:v>
      </x:c>
      <x:c r="C6417" s="16" t="str"/>
      <x:c r="D6417" s="16" t="str">
        <x:v>* myContacts</x:v>
      </x:c>
      <x:c r="E6417" s="16" t="str">
        <x:v>Missing email</x:v>
      </x:c>
    </x:row>
    <x:row r="6418">
      <x:c r="A6418" s="16" t="n">
        <x:v>6645</x:v>
      </x:c>
      <x:c r="B6418" s="16" t="str">
        <x:v>TaawunrizqiBarakah Trb</x:v>
      </x:c>
      <x:c r="C6418" s="16" t="str"/>
      <x:c r="D6418" s="16" t="str">
        <x:v>* myContacts</x:v>
      </x:c>
      <x:c r="E6418" s="16" t="str">
        <x:v>Missing email</x:v>
      </x:c>
    </x:row>
    <x:row r="6419">
      <x:c r="A6419" s="16" t="n">
        <x:v>6646</x:v>
      </x:c>
      <x:c r="B6419" s="16" t="str">
        <x:v>Tabib Hamrie</x:v>
      </x:c>
      <x:c r="C6419" s="16" t="str"/>
      <x:c r="D6419" s="16" t="str">
        <x:v>* myContacts</x:v>
      </x:c>
      <x:c r="E6419" s="16" t="str">
        <x:v>Missing email</x:v>
      </x:c>
    </x:row>
    <x:row r="6420">
      <x:c r="A6420" s="16" t="n">
        <x:v>6647</x:v>
      </x:c>
      <x:c r="B6420" s="16" t="str">
        <x:v>Tablet Sebelah</x:v>
      </x:c>
      <x:c r="C6420" s="16" t="str"/>
      <x:c r="D6420" s="16" t="str">
        <x:v>* myContacts</x:v>
      </x:c>
      <x:c r="E6420" s="16" t="str">
        <x:v>Missing email</x:v>
      </x:c>
    </x:row>
    <x:row r="6421">
      <x:c r="A6421" s="16" t="n">
        <x:v>6648</x:v>
      </x:c>
      <x:c r="B6421" s="16" t="str">
        <x:v>Tahir Awais</x:v>
      </x:c>
      <x:c r="C6421" s="16" t="str"/>
      <x:c r="D6421" s="16" t="str">
        <x:v>* myContacts</x:v>
      </x:c>
      <x:c r="E6421" s="16" t="str">
        <x:v>Missing email</x:v>
      </x:c>
    </x:row>
    <x:row r="6422">
      <x:c r="A6422" s="16" t="n">
        <x:v>6649</x:v>
      </x:c>
      <x:c r="B6422" s="16" t="str">
        <x:v>Tahir Berahima</x:v>
      </x:c>
      <x:c r="C6422" s="16" t="str"/>
      <x:c r="D6422" s="16" t="str">
        <x:v>* myContacts</x:v>
      </x:c>
      <x:c r="E6422" s="16" t="str">
        <x:v>Missing email</x:v>
      </x:c>
    </x:row>
    <x:row r="6423">
      <x:c r="A6423" s="16" t="n">
        <x:v>6650</x:v>
      </x:c>
      <x:c r="B6423" s="16" t="str">
        <x:v>Mr Tai Logistic</x:v>
      </x:c>
      <x:c r="C6423" s="16" t="str"/>
      <x:c r="D6423" s="16" t="str">
        <x:v>* myContacts</x:v>
      </x:c>
      <x:c r="E6423" s="16" t="str">
        <x:v>Missing email</x:v>
      </x:c>
    </x:row>
    <x:row r="6424">
      <x:c r="A6424" s="16" t="n">
        <x:v>6653</x:v>
      </x:c>
      <x:c r="B6424" s="16" t="str">
        <x:v>Tajul otai</x:v>
      </x:c>
      <x:c r="C6424" s="16" t="str"/>
      <x:c r="D6424" s="16" t="str">
        <x:v>* myContacts</x:v>
      </x:c>
      <x:c r="E6424" s="16" t="str">
        <x:v>Missing email</x:v>
      </x:c>
    </x:row>
    <x:row r="6425">
      <x:c r="A6425" s="16" t="n">
        <x:v>6654</x:v>
      </x:c>
      <x:c r="B6425" s="16" t="str">
        <x:v>Takashi Nara</x:v>
      </x:c>
      <x:c r="C6425" s="16" t="str"/>
      <x:c r="D6425" s="16" t="str">
        <x:v>* myContacts</x:v>
      </x:c>
      <x:c r="E6425" s="16" t="str">
        <x:v>Missing email</x:v>
      </x:c>
    </x:row>
    <x:row r="6426">
      <x:c r="A6426" s="16" t="n">
        <x:v>6655</x:v>
      </x:c>
      <x:c r="B6426" s="16" t="str">
        <x:v>Talib Dpim perak</x:v>
      </x:c>
      <x:c r="C6426" s="16" t="str"/>
      <x:c r="D6426" s="16" t="str">
        <x:v>* myContacts</x:v>
      </x:c>
      <x:c r="E6426" s="16" t="str">
        <x:v>Missing email</x:v>
      </x:c>
    </x:row>
    <x:row r="6427">
      <x:c r="A6427" s="16" t="n">
        <x:v>6656</x:v>
      </x:c>
      <x:c r="B6427" s="16" t="str">
        <x:v>Talma Mohammad</x:v>
      </x:c>
      <x:c r="C6427" s="16" t="str"/>
      <x:c r="D6427" s="16" t="str">
        <x:v>* myContacts</x:v>
      </x:c>
      <x:c r="E6427" s="16" t="str">
        <x:v>Missing email</x:v>
      </x:c>
    </x:row>
    <x:row r="6428">
      <x:c r="A6428" s="16" t="n">
        <x:v>6657</x:v>
      </x:c>
      <x:c r="B6428" s="16" t="str">
        <x:v>Taman Negara Pahang</x:v>
      </x:c>
      <x:c r="C6428" s="16" t="str"/>
      <x:c r="D6428" s="16" t="str">
        <x:v>* myContacts</x:v>
      </x:c>
      <x:c r="E6428" s="16" t="str">
        <x:v>Missing email</x:v>
      </x:c>
    </x:row>
    <x:row r="6429">
      <x:c r="A6429" s="16" t="n">
        <x:v>6658</x:v>
      </x:c>
      <x:c r="B6429" s="16" t="str">
        <x:v>Tamao Akief</x:v>
      </x:c>
      <x:c r="C6429" s="16" t="str"/>
      <x:c r="D6429" s="16" t="str">
        <x:v>* myContacts</x:v>
      </x:c>
      <x:c r="E6429" s="16" t="str">
        <x:v>Missing email</x:v>
      </x:c>
    </x:row>
    <x:row r="6430">
      <x:c r="A6430" s="16" t="n">
        <x:v>6659</x:v>
      </x:c>
      <x:c r="B6430" s="16" t="str">
        <x:v>Tamil Pushpa</x:v>
      </x:c>
      <x:c r="C6430" s="16" t="str"/>
      <x:c r="D6430" s="16" t="str">
        <x:v>* myContacts</x:v>
      </x:c>
      <x:c r="E6430" s="16" t="str">
        <x:v>Missing email</x:v>
      </x:c>
    </x:row>
    <x:row r="6431">
      <x:c r="A6431" s="16" t="n">
        <x:v>6660</x:v>
      </x:c>
      <x:c r="B6431" s="16" t="str">
        <x:v>Tan Are Lee</x:v>
      </x:c>
      <x:c r="C6431" s="16" t="str"/>
      <x:c r="D6431" s="16" t="str">
        <x:v>* myContacts</x:v>
      </x:c>
      <x:c r="E6431" s="16" t="str">
        <x:v>Missing email</x:v>
      </x:c>
    </x:row>
    <x:row r="6432">
      <x:c r="A6432" s="16" t="n">
        <x:v>6661</x:v>
      </x:c>
      <x:c r="B6432" s="16" t="str">
        <x:v>Tan Chong Service Kuala Selangor</x:v>
      </x:c>
      <x:c r="C6432" s="16" t="str"/>
      <x:c r="D6432" s="16" t="str">
        <x:v>* myContacts</x:v>
      </x:c>
      <x:c r="E6432" s="16" t="str">
        <x:v>Missing email</x:v>
      </x:c>
    </x:row>
    <x:row r="6433">
      <x:c r="A6433" s="16" t="n">
        <x:v>6662</x:v>
      </x:c>
      <x:c r="B6433" s="16" t="str">
        <x:v>Tan Genius</x:v>
      </x:c>
      <x:c r="C6433" s="16" t="str"/>
      <x:c r="D6433" s="16" t="str">
        <x:v>* myContacts</x:v>
      </x:c>
      <x:c r="E6433" s="16" t="str">
        <x:v>Missing email</x:v>
      </x:c>
    </x:row>
    <x:row r="6434">
      <x:c r="A6434" s="16" t="n">
        <x:v>6663</x:v>
      </x:c>
      <x:c r="B6434" s="16" t="str">
        <x:v>Mr Tan Genius</x:v>
      </x:c>
      <x:c r="C6434" s="16" t="str"/>
      <x:c r="D6434" s="16" t="str">
        <x:v>* myContacts</x:v>
      </x:c>
      <x:c r="E6434" s="16" t="str">
        <x:v>Missing email</x:v>
      </x:c>
    </x:row>
    <x:row r="6435">
      <x:c r="A6435" s="16" t="n">
        <x:v>6664</x:v>
      </x:c>
      <x:c r="B6435" s="16" t="str">
        <x:v>Tan Sri Ali Hashim</x:v>
      </x:c>
      <x:c r="C6435" s="16" t="str"/>
      <x:c r="D6435" s="16" t="str">
        <x:v>* myContacts</x:v>
      </x:c>
      <x:c r="E6435" s="16" t="str">
        <x:v>Missing email</x:v>
      </x:c>
    </x:row>
    <x:row r="6436">
      <x:c r="A6436" s="16" t="n">
        <x:v>6665</x:v>
      </x:c>
      <x:c r="B6436" s="16" t="str">
        <x:v>Tan Sri Anas Think Quran And Lazada EXPERT</x:v>
      </x:c>
      <x:c r="C6436" s="16" t="str"/>
      <x:c r="D6436" s="16" t="str">
        <x:v>* myContacts</x:v>
      </x:c>
      <x:c r="E6436" s="16" t="str">
        <x:v>Missing email</x:v>
      </x:c>
    </x:row>
    <x:row r="6437">
      <x:c r="A6437" s="16" t="n">
        <x:v>6666</x:v>
      </x:c>
      <x:c r="B6437" s="16" t="str">
        <x:v>Tania Samad</x:v>
      </x:c>
      <x:c r="C6437" s="16" t="str"/>
      <x:c r="D6437" s="16" t="str">
        <x:v>* myContacts</x:v>
      </x:c>
      <x:c r="E6437" s="16" t="str">
        <x:v>Missing email</x:v>
      </x:c>
    </x:row>
    <x:row r="6438">
      <x:c r="A6438" s="16" t="n">
        <x:v>6668</x:v>
      </x:c>
      <x:c r="B6438" s="16" t="str">
        <x:v>Taranjeet Kaur</x:v>
      </x:c>
      <x:c r="C6438" s="16" t="str"/>
      <x:c r="D6438" s="16" t="str">
        <x:v>* myContacts</x:v>
      </x:c>
      <x:c r="E6438" s="16" t="str">
        <x:v>Missing email</x:v>
      </x:c>
    </x:row>
    <x:row r="6439">
      <x:c r="A6439" s="16" t="n">
        <x:v>6669</x:v>
      </x:c>
      <x:c r="B6439" s="16" t="str">
        <x:v>Tariq HRDF</x:v>
      </x:c>
      <x:c r="C6439" s="16" t="str"/>
      <x:c r="D6439" s="16" t="str">
        <x:v>* myContacts</x:v>
      </x:c>
      <x:c r="E6439" s="16" t="str">
        <x:v>Missing email</x:v>
      </x:c>
    </x:row>
    <x:row r="6440">
      <x:c r="A6440" s="16" t="n">
        <x:v>6670</x:v>
      </x:c>
      <x:c r="B6440" s="16" t="str">
        <x:v>Tarong Support</x:v>
      </x:c>
      <x:c r="C6440" s="16" t="str"/>
      <x:c r="D6440" s="16" t="str">
        <x:v>* myContacts</x:v>
      </x:c>
      <x:c r="E6440" s="16" t="str">
        <x:v>Missing email</x:v>
      </x:c>
    </x:row>
    <x:row r="6441">
      <x:c r="A6441" s="16" t="n">
        <x:v>6671</x:v>
      </x:c>
      <x:c r="B6441" s="16" t="str">
        <x:v>Tasha Marican</x:v>
      </x:c>
      <x:c r="C6441" s="16" t="str"/>
      <x:c r="D6441" s="16" t="str">
        <x:v>* myContacts</x:v>
      </x:c>
      <x:c r="E6441" s="16" t="str">
        <x:v>Missing email</x:v>
      </x:c>
    </x:row>
    <x:row r="6442">
      <x:c r="A6442" s="16" t="n">
        <x:v>6672</x:v>
      </x:c>
      <x:c r="B6442" s="16" t="str">
        <x:v>Tasik Villa Reservation</x:v>
      </x:c>
      <x:c r="C6442" s="16" t="str"/>
      <x:c r="D6442" s="16" t="str">
        <x:v>* myContacts</x:v>
      </x:c>
      <x:c r="E6442" s="16" t="str">
        <x:v>Missing email</x:v>
      </x:c>
    </x:row>
    <x:row r="6443">
      <x:c r="A6443" s="16" t="n">
        <x:v>6673</x:v>
      </x:c>
      <x:c r="B6443" s="16" t="str">
        <x:v>Taska Hanney</x:v>
      </x:c>
      <x:c r="C6443" s="16" t="str"/>
      <x:c r="D6443" s="16" t="str">
        <x:v>* myContacts</x:v>
      </x:c>
      <x:c r="E6443" s="16" t="str">
        <x:v>Missing email</x:v>
      </x:c>
    </x:row>
    <x:row r="6444">
      <x:c r="A6444" s="16" t="n">
        <x:v>6674</x:v>
      </x:c>
      <x:c r="B6444" s="16" t="str">
        <x:v>Taufik Kamaruddin</x:v>
      </x:c>
      <x:c r="C6444" s="16" t="str"/>
      <x:c r="D6444" s="16" t="str">
        <x:v>* myContacts</x:v>
      </x:c>
      <x:c r="E6444" s="16" t="str">
        <x:v>Missing email</x:v>
      </x:c>
    </x:row>
    <x:row r="6445">
      <x:c r="A6445" s="16" t="n">
        <x:v>6675</x:v>
      </x:c>
      <x:c r="B6445" s="16" t="str">
        <x:v>Taufiq JNJ</x:v>
      </x:c>
      <x:c r="C6445" s="16" t="str"/>
      <x:c r="D6445" s="16" t="str">
        <x:v>* myContacts</x:v>
      </x:c>
      <x:c r="E6445" s="16" t="str">
        <x:v>Missing email</x:v>
      </x:c>
    </x:row>
    <x:row r="6446">
      <x:c r="A6446" s="16" t="n">
        <x:v>6676</x:v>
      </x:c>
      <x:c r="B6446" s="16" t="str">
        <x:v>taufiq kontractor taiping</x:v>
      </x:c>
      <x:c r="C6446" s="16" t="str"/>
      <x:c r="D6446" s="16" t="str">
        <x:v>* myContacts</x:v>
      </x:c>
      <x:c r="E6446" s="16" t="str">
        <x:v>Missing email</x:v>
      </x:c>
    </x:row>
    <x:row r="6447">
      <x:c r="A6447" s="16" t="n">
        <x:v>6677</x:v>
      </x:c>
      <x:c r="B6447" s="16" t="str">
        <x:v>Taufiq pakar tarik duit</x:v>
      </x:c>
      <x:c r="C6447" s="16" t="str"/>
      <x:c r="D6447" s="16" t="str">
        <x:v>* myContacts</x:v>
      </x:c>
      <x:c r="E6447" s="16" t="str">
        <x:v>Missing email</x:v>
      </x:c>
    </x:row>
    <x:row r="6448">
      <x:c r="A6448" s="16" t="n">
        <x:v>6678</x:v>
      </x:c>
      <x:c r="B6448" s="16" t="str">
        <x:v>Taufiqil Najihah</x:v>
      </x:c>
      <x:c r="C6448" s="16" t="str"/>
      <x:c r="D6448" s="16" t="str">
        <x:v>* myContacts</x:v>
      </x:c>
      <x:c r="E6448" s="16" t="str">
        <x:v>Missing email</x:v>
      </x:c>
    </x:row>
    <x:row r="6449">
      <x:c r="A6449" s="16" t="n">
        <x:v>6679</x:v>
      </x:c>
      <x:c r="B6449" s="16" t="str">
        <x:v>Tauke Berani King</x:v>
      </x:c>
      <x:c r="C6449" s="16" t="str"/>
      <x:c r="D6449" s="16" t="str">
        <x:v>* myContacts</x:v>
      </x:c>
      <x:c r="E6449" s="16" t="str">
        <x:v>Missing email</x:v>
      </x:c>
    </x:row>
    <x:row r="6450">
      <x:c r="A6450" s="16" t="n">
        <x:v>6680</x:v>
      </x:c>
      <x:c r="B6450" s="16" t="str">
        <x:v>Tauke Faizul Lee</x:v>
      </x:c>
      <x:c r="C6450" s="16" t="str"/>
      <x:c r="D6450" s="16" t="str">
        <x:v>* myContacts</x:v>
      </x:c>
      <x:c r="E6450" s="16" t="str">
        <x:v>Missing email</x:v>
      </x:c>
    </x:row>
    <x:row r="6451">
      <x:c r="A6451" s="16" t="n">
        <x:v>6681</x:v>
      </x:c>
      <x:c r="B6451" s="16" t="str">
        <x:v>Tauke Homestay Cameron</x:v>
      </x:c>
      <x:c r="C6451" s="16" t="str"/>
      <x:c r="D6451" s="16" t="str">
        <x:v>* myContacts</x:v>
      </x:c>
      <x:c r="E6451" s="16" t="str">
        <x:v>Missing email</x:v>
      </x:c>
    </x:row>
    <x:row r="6452">
      <x:c r="A6452" s="16" t="n">
        <x:v>6682</x:v>
      </x:c>
      <x:c r="B6452" s="16" t="str">
        <x:v>Tauke Jam Azan Diana</x:v>
      </x:c>
      <x:c r="C6452" s="16" t="str"/>
      <x:c r="D6452" s="16" t="str">
        <x:v>* myContacts</x:v>
      </x:c>
      <x:c r="E6452" s="16" t="str">
        <x:v>Missing email</x:v>
      </x:c>
    </x:row>
    <x:row r="6453">
      <x:c r="A6453" s="16" t="n">
        <x:v>6683</x:v>
      </x:c>
      <x:c r="B6453" s="16" t="str">
        <x:v>Tauke Johar Jaafat</x:v>
      </x:c>
      <x:c r="C6453" s="16" t="str"/>
      <x:c r="D6453" s="16" t="str">
        <x:v>* myContacts</x:v>
      </x:c>
      <x:c r="E6453" s="16" t="str">
        <x:v>Missing email</x:v>
      </x:c>
    </x:row>
    <x:row r="6454">
      <x:c r="A6454" s="16" t="n">
        <x:v>6684</x:v>
      </x:c>
      <x:c r="B6454" s="16" t="str">
        <x:v>Tauke Kereta Abg Hamka</x:v>
      </x:c>
      <x:c r="C6454" s="16" t="str"/>
      <x:c r="D6454" s="16" t="str">
        <x:v>* myContacts</x:v>
      </x:c>
      <x:c r="E6454" s="16" t="str">
        <x:v>Missing email</x:v>
      </x:c>
    </x:row>
    <x:row r="6455">
      <x:c r="A6455" s="16" t="n">
        <x:v>6685</x:v>
      </x:c>
      <x:c r="B6455" s="16" t="str">
        <x:v>tauke runner yip</x:v>
      </x:c>
      <x:c r="C6455" s="16" t="str"/>
      <x:c r="D6455" s="16" t="str">
        <x:v>* myContacts</x:v>
      </x:c>
      <x:c r="E6455" s="16" t="str">
        <x:v>Missing email</x:v>
      </x:c>
    </x:row>
    <x:row r="6456">
      <x:c r="A6456" s="16" t="n">
        <x:v>6686</x:v>
      </x:c>
      <x:c r="B6456" s="16" t="str">
        <x:v>Taukey Ezieypay Enteprise</x:v>
      </x:c>
      <x:c r="C6456" s="16" t="str"/>
      <x:c r="D6456" s="16" t="str">
        <x:v>* myContacts</x:v>
      </x:c>
      <x:c r="E6456" s="16" t="str">
        <x:v>Missing email</x:v>
      </x:c>
    </x:row>
    <x:row r="6457">
      <x:c r="A6457" s="16" t="n">
        <x:v>6687</x:v>
      </x:c>
      <x:c r="B6457" s="16" t="str">
        <x:v>Tazlimatuliza Wan Din</x:v>
      </x:c>
      <x:c r="C6457" s="16" t="str"/>
      <x:c r="D6457" s="16" t="str">
        <x:v>* myContacts</x:v>
      </x:c>
      <x:c r="E6457" s="16" t="str">
        <x:v>Missing email</x:v>
      </x:c>
    </x:row>
    <x:row r="6458">
      <x:c r="A6458" s="16" t="n">
        <x:v>6688</x:v>
      </x:c>
      <x:c r="B6458" s="16" t="str">
        <x:v>Teah abang abu</x:v>
      </x:c>
      <x:c r="C6458" s="16" t="str"/>
      <x:c r="D6458" s="16" t="str">
        <x:v>* myContacts</x:v>
      </x:c>
      <x:c r="E6458" s="16" t="str">
        <x:v>Missing email</x:v>
      </x:c>
    </x:row>
    <x:row r="6459">
      <x:c r="A6459" s="16" t="n">
        <x:v>6689</x:v>
      </x:c>
      <x:c r="B6459" s="16" t="str">
        <x:v>Technical June Kmedia</x:v>
      </x:c>
      <x:c r="C6459" s="16" t="str"/>
      <x:c r="D6459" s="16" t="str">
        <x:v>* myContacts</x:v>
      </x:c>
      <x:c r="E6459" s="16" t="str">
        <x:v>Missing email</x:v>
      </x:c>
    </x:row>
    <x:row r="6460">
      <x:c r="A6460" s="16" t="n">
        <x:v>6690</x:v>
      </x:c>
      <x:c r="B6460" s="16" t="str">
        <x:v>Technician Komputer Pinjam</x:v>
      </x:c>
      <x:c r="C6460" s="16" t="str"/>
      <x:c r="D6460" s="16" t="str">
        <x:v>* myContacts</x:v>
      </x:c>
      <x:c r="E6460" s="16" t="str">
        <x:v>Missing email</x:v>
      </x:c>
    </x:row>
    <x:row r="6461">
      <x:c r="A6461" s="16" t="n">
        <x:v>6691</x:v>
      </x:c>
      <x:c r="B6461" s="16" t="str">
        <x:v>Technician Tabung Haji</x:v>
      </x:c>
      <x:c r="C6461" s="16" t="str"/>
      <x:c r="D6461" s="16" t="str">
        <x:v>* myContacts</x:v>
      </x:c>
      <x:c r="E6461" s="16" t="str">
        <x:v>Missing email</x:v>
      </x:c>
    </x:row>
    <x:row r="6462">
      <x:c r="A6462" s="16" t="n">
        <x:v>6692</x:v>
      </x:c>
      <x:c r="B6462" s="16" t="str">
        <x:v>Teddy Ishiro</x:v>
      </x:c>
      <x:c r="C6462" s="16" t="str"/>
      <x:c r="D6462" s="16" t="str">
        <x:v>* myContacts</x:v>
      </x:c>
      <x:c r="E6462" s="16" t="str">
        <x:v>Missing email</x:v>
      </x:c>
    </x:row>
    <x:row r="6463">
      <x:c r="A6463" s="16" t="n">
        <x:v>6693</x:v>
      </x:c>
      <x:c r="B6463" s="16" t="str">
        <x:v>Teddy Mdec IM</x:v>
      </x:c>
      <x:c r="C6463" s="16" t="str"/>
      <x:c r="D6463" s="16" t="str">
        <x:v>* myContacts</x:v>
      </x:c>
      <x:c r="E6463" s="16" t="str">
        <x:v>Missing email</x:v>
      </x:c>
    </x:row>
    <x:row r="6464">
      <x:c r="A6464" s="16" t="n">
        <x:v>6694</x:v>
      </x:c>
      <x:c r="B6464" s="16" t="str">
        <x:v>Teha Myfriend. fm</x:v>
      </x:c>
      <x:c r="C6464" s="16" t="str"/>
      <x:c r="D6464" s="16" t="str">
        <x:v>* myContacts</x:v>
      </x:c>
      <x:c r="E6464" s="16" t="str">
        <x:v>Missing email</x:v>
      </x:c>
    </x:row>
    <x:row r="6465">
      <x:c r="A6465" s="16" t="n">
        <x:v>6695</x:v>
      </x:c>
      <x:c r="B6465" s="16" t="str">
        <x:v>Teknik Mudah Tarik Rezeki</x:v>
      </x:c>
      <x:c r="C6465" s="16" t="str"/>
      <x:c r="D6465" s="16" t="str">
        <x:v>* myContacts</x:v>
      </x:c>
      <x:c r="E6465" s="16" t="str">
        <x:v>Missing email</x:v>
      </x:c>
    </x:row>
    <x:row r="6466">
      <x:c r="A6466" s="16" t="n">
        <x:v>6696</x:v>
      </x:c>
      <x:c r="B6466" s="16" t="str">
        <x:v>Teksi Kota Kinabalu Sabah</x:v>
      </x:c>
      <x:c r="C6466" s="16" t="str"/>
      <x:c r="D6466" s="16" t="str">
        <x:v>* myContacts</x:v>
      </x:c>
      <x:c r="E6466" s="16" t="str">
        <x:v>Missing email</x:v>
      </x:c>
    </x:row>
    <x:row r="6467">
      <x:c r="A6467" s="16" t="n">
        <x:v>6697</x:v>
      </x:c>
      <x:c r="B6467" s="16" t="str">
        <x:v>Tekun Nasional Hq</x:v>
      </x:c>
      <x:c r="C6467" s="16" t="str"/>
      <x:c r="D6467" s="16" t="str">
        <x:v>* myContacts</x:v>
      </x:c>
      <x:c r="E6467" s="16" t="str">
        <x:v>Missing email</x:v>
      </x:c>
    </x:row>
    <x:row r="6468">
      <x:c r="A6468" s="16" t="n">
        <x:v>6698</x:v>
      </x:c>
      <x:c r="B6468" s="16" t="str">
        <x:v>Tempa Kirana</x:v>
      </x:c>
      <x:c r="C6468" s="16" t="str"/>
      <x:c r="D6468" s="16" t="str">
        <x:v>* myContacts</x:v>
      </x:c>
      <x:c r="E6468" s="16" t="str">
        <x:v>Missing email</x:v>
      </x:c>
    </x:row>
    <x:row r="6469">
      <x:c r="A6469" s="16" t="n">
        <x:v>6699</x:v>
      </x:c>
      <x:c r="B6469" s="16" t="str">
        <x:v>Teng Ming Insurance Tanjong Karang</x:v>
      </x:c>
      <x:c r="C6469" s="16" t="str"/>
      <x:c r="D6469" s="16" t="str">
        <x:v>* myContacts</x:v>
      </x:c>
      <x:c r="E6469" s="16" t="str">
        <x:v>Missing email</x:v>
      </x:c>
    </x:row>
    <x:row r="6470">
      <x:c r="A6470" s="16" t="n">
        <x:v>6700</x:v>
      </x:c>
      <x:c r="B6470" s="16" t="str">
        <x:v>Tengku Adri</x:v>
      </x:c>
      <x:c r="C6470" s="16" t="str"/>
      <x:c r="D6470" s="16" t="str">
        <x:v>* myContacts</x:v>
      </x:c>
      <x:c r="E6470" s="16" t="str">
        <x:v>Missing email</x:v>
      </x:c>
    </x:row>
    <x:row r="6471">
      <x:c r="A6471" s="16" t="n">
        <x:v>6701</x:v>
      </x:c>
      <x:c r="B6471" s="16" t="str">
        <x:v>TenGku AQim</x:v>
      </x:c>
      <x:c r="C6471" s="16" t="str"/>
      <x:c r="D6471" s="16" t="str">
        <x:v>* myContacts</x:v>
      </x:c>
      <x:c r="E6471" s="16" t="str">
        <x:v>Missing email</x:v>
      </x:c>
    </x:row>
    <x:row r="6472">
      <x:c r="A6472" s="16" t="n">
        <x:v>6702</x:v>
      </x:c>
      <x:c r="B6472" s="16" t="str">
        <x:v>Tengku Asmadi AGP Agent</x:v>
      </x:c>
      <x:c r="C6472" s="16" t="str"/>
      <x:c r="D6472" s="16" t="str">
        <x:v>* myContacts</x:v>
      </x:c>
      <x:c r="E6472" s="16" t="str">
        <x:v>Missing email</x:v>
      </x:c>
    </x:row>
    <x:row r="6473">
      <x:c r="A6473" s="16" t="n">
        <x:v>6703</x:v>
      </x:c>
      <x:c r="B6473" s="16" t="str">
        <x:v>Tengku Faisal</x:v>
      </x:c>
      <x:c r="C6473" s="16" t="str"/>
      <x:c r="D6473" s="16" t="str">
        <x:v>* myContacts</x:v>
      </x:c>
      <x:c r="E6473" s="16" t="str">
        <x:v>Missing email</x:v>
      </x:c>
    </x:row>
    <x:row r="6474">
      <x:c r="A6474" s="16" t="n">
        <x:v>6704</x:v>
      </x:c>
      <x:c r="B6474" s="16" t="str">
        <x:v>Tengku Isma Faiz</x:v>
      </x:c>
      <x:c r="C6474" s="16" t="str"/>
      <x:c r="D6474" s="16" t="str">
        <x:v>* myContacts</x:v>
      </x:c>
      <x:c r="E6474" s="16" t="str">
        <x:v>Missing email</x:v>
      </x:c>
    </x:row>
    <x:row r="6475">
      <x:c r="A6475" s="16" t="n">
        <x:v>6705</x:v>
      </x:c>
      <x:c r="B6475" s="16" t="str">
        <x:v>Tengku Muidz Jhaill</x:v>
      </x:c>
      <x:c r="C6475" s="16" t="str"/>
      <x:c r="D6475" s="16" t="str">
        <x:v>* myContacts</x:v>
      </x:c>
      <x:c r="E6475" s="16" t="str">
        <x:v>Missing email</x:v>
      </x:c>
    </x:row>
    <x:row r="6476">
      <x:c r="A6476" s="16" t="n">
        <x:v>6706</x:v>
      </x:c>
      <x:c r="B6476" s="16" t="str">
        <x:v>Tengku Putra Ahmad Dany</x:v>
      </x:c>
      <x:c r="C6476" s="16" t="str"/>
      <x:c r="D6476" s="16" t="str">
        <x:v>* myContacts</x:v>
      </x:c>
      <x:c r="E6476" s="16" t="str">
        <x:v>Missing email</x:v>
      </x:c>
    </x:row>
    <x:row r="6477">
      <x:c r="A6477" s="16" t="n">
        <x:v>6707</x:v>
      </x:c>
      <x:c r="B6477" s="16" t="str">
        <x:v>Tengku Shahriman Aizat</x:v>
      </x:c>
      <x:c r="C6477" s="16" t="str"/>
      <x:c r="D6477" s="16" t="str">
        <x:v>* myContacts</x:v>
      </x:c>
      <x:c r="E6477" s="16" t="str">
        <x:v>Missing email</x:v>
      </x:c>
    </x:row>
    <x:row r="6478">
      <x:c r="A6478" s="16" t="n">
        <x:v>6708</x:v>
      </x:c>
      <x:c r="B6478" s="16" t="str">
        <x:v>Tengku Topix Komputer</x:v>
      </x:c>
      <x:c r="C6478" s="16" t="str"/>
      <x:c r="D6478" s="16" t="str">
        <x:v>* myContacts</x:v>
      </x:c>
      <x:c r="E6478" s="16" t="str">
        <x:v>Missing email</x:v>
      </x:c>
    </x:row>
    <x:row r="6479">
      <x:c r="A6479" s="16" t="n">
        <x:v>6709</x:v>
      </x:c>
      <x:c r="B6479" s="16" t="str">
        <x:v>teo tuan xiang</x:v>
      </x:c>
      <x:c r="C6479" s="16" t="str"/>
      <x:c r="D6479" s="16" t="str">
        <x:v>* myContacts</x:v>
      </x:c>
      <x:c r="E6479" s="16" t="str">
        <x:v>Missing email</x:v>
      </x:c>
    </x:row>
    <x:row r="6480">
      <x:c r="A6480" s="16" t="n">
        <x:v>6710</x:v>
      </x:c>
      <x:c r="B6480" s="16" t="str">
        <x:v>Teratak Impian</x:v>
      </x:c>
      <x:c r="C6480" s="16" t="str"/>
      <x:c r="D6480" s="16" t="str">
        <x:v>* myContacts</x:v>
      </x:c>
      <x:c r="E6480" s="16" t="str">
        <x:v>Missing email</x:v>
      </x:c>
    </x:row>
    <x:row r="6481">
      <x:c r="A6481" s="16" t="n">
        <x:v>6711</x:v>
      </x:c>
      <x:c r="B6481" s="16" t="str">
        <x:v>Terkukur Teragung</x:v>
      </x:c>
      <x:c r="C6481" s="16" t="str"/>
      <x:c r="D6481" s="16" t="str">
        <x:v>* myContacts</x:v>
      </x:c>
      <x:c r="E6481" s="16" t="str">
        <x:v>Missing email</x:v>
      </x:c>
    </x:row>
    <x:row r="6482">
      <x:c r="A6482" s="16" t="n">
        <x:v>6712</x:v>
      </x:c>
      <x:c r="B6482" s="16" t="str">
        <x:v>Terrence Ren</x:v>
      </x:c>
      <x:c r="C6482" s="16" t="str"/>
      <x:c r="D6482" s="16" t="str">
        <x:v>* myContacts</x:v>
      </x:c>
      <x:c r="E6482" s="16" t="str">
        <x:v>Missing email</x:v>
      </x:c>
    </x:row>
    <x:row r="6483">
      <x:c r="A6483" s="16" t="n">
        <x:v>6713</x:v>
      </x:c>
      <x:c r="B6483" s="16" t="str">
        <x:v>Teruna Desaku</x:v>
      </x:c>
      <x:c r="C6483" s="16" t="str"/>
      <x:c r="D6483" s="16" t="str">
        <x:v>* myContacts</x:v>
      </x:c>
      <x:c r="E6483" s="16" t="str">
        <x:v>Missing email</x:v>
      </x:c>
    </x:row>
    <x:row r="6484">
      <x:c r="A6484" s="16" t="n">
        <x:v>6714</x:v>
      </x:c>
      <x:c r="B6484" s="16" t="str">
        <x:v>Tetuan Shah</x:v>
      </x:c>
      <x:c r="C6484" s="16" t="str"/>
      <x:c r="D6484" s="16" t="str">
        <x:v>* myContacts</x:v>
      </x:c>
      <x:c r="E6484" s="16" t="str">
        <x:v>Missing email</x:v>
      </x:c>
    </x:row>
    <x:row r="6485">
      <x:c r="A6485" s="16" t="n">
        <x:v>6716</x:v>
      </x:c>
      <x:c r="B6485" s="16" t="str">
        <x:v>Thangaraju Raju</x:v>
      </x:c>
      <x:c r="C6485" s="16" t="str"/>
      <x:c r="D6485" s="16" t="str">
        <x:v>* myContacts</x:v>
      </x:c>
      <x:c r="E6485" s="16" t="str">
        <x:v>Missing email</x:v>
      </x:c>
    </x:row>
    <x:row r="6486">
      <x:c r="A6486" s="16" t="n">
        <x:v>6717</x:v>
      </x:c>
      <x:c r="B6486" s="16" t="str">
        <x:v>the printqr studio</x:v>
      </x:c>
      <x:c r="C6486" s="16" t="str"/>
      <x:c r="D6486" s="16" t="str">
        <x:v>* myContacts</x:v>
      </x:c>
      <x:c r="E6486" s="16" t="str">
        <x:v>Missing email</x:v>
      </x:c>
    </x:row>
    <x:row r="6487">
      <x:c r="A6487" s="16" t="n">
        <x:v>6718</x:v>
      </x:c>
      <x:c r="B6487" s="16" t="str">
        <x:v>Thea Technician Dr Komputer</x:v>
      </x:c>
      <x:c r="C6487" s="16" t="str"/>
      <x:c r="D6487" s="16" t="str">
        <x:v>* myContacts</x:v>
      </x:c>
      <x:c r="E6487" s="16" t="str">
        <x:v>Missing email</x:v>
      </x:c>
    </x:row>
    <x:row r="6488">
      <x:c r="A6488" s="16" t="n">
        <x:v>6719</x:v>
      </x:c>
      <x:c r="B6488" s="16" t="str">
        <x:v>Thishee Mine</x:v>
      </x:c>
      <x:c r="C6488" s="16" t="str"/>
      <x:c r="D6488" s="16" t="str">
        <x:v>* myContacts</x:v>
      </x:c>
      <x:c r="E6488" s="16" t="str">
        <x:v>Missing email</x:v>
      </x:c>
    </x:row>
    <x:row r="6489">
      <x:c r="A6489" s="16" t="n">
        <x:v>6720</x:v>
      </x:c>
      <x:c r="B6489" s="16" t="str">
        <x:v>Tie Hawa</x:v>
      </x:c>
      <x:c r="C6489" s="16" t="str"/>
      <x:c r="D6489" s="16" t="str">
        <x:v>* myContacts</x:v>
      </x:c>
      <x:c r="E6489" s="16" t="str">
        <x:v>Missing email</x:v>
      </x:c>
    </x:row>
    <x:row r="6490">
      <x:c r="A6490" s="16" t="n">
        <x:v>6721</x:v>
      </x:c>
      <x:c r="B6490" s="16" t="str">
        <x:v>Tieka Atika</x:v>
      </x:c>
      <x:c r="C6490" s="16" t="str"/>
      <x:c r="D6490" s="16" t="str">
        <x:v>* myContacts</x:v>
      </x:c>
      <x:c r="E6490" s="16" t="str">
        <x:v>Missing email</x:v>
      </x:c>
    </x:row>
    <x:row r="6491">
      <x:c r="A6491" s="16" t="n">
        <x:v>6722</x:v>
      </x:c>
      <x:c r="B6491" s="16" t="str">
        <x:v>Tiesya Mohd</x:v>
      </x:c>
      <x:c r="C6491" s="16" t="str"/>
      <x:c r="D6491" s="16" t="str">
        <x:v>* myContacts</x:v>
      </x:c>
      <x:c r="E6491" s="16" t="str">
        <x:v>Missing email</x:v>
      </x:c>
    </x:row>
    <x:row r="6492">
      <x:c r="A6492" s="16" t="n">
        <x:v>6723</x:v>
      </x:c>
      <x:c r="B6492" s="16" t="str">
        <x:v>Tiffany Nufairy Printing</x:v>
      </x:c>
      <x:c r="C6492" s="16" t="str"/>
      <x:c r="D6492" s="16" t="str">
        <x:v>* myContacts</x:v>
      </x:c>
      <x:c r="E6492" s="16" t="str">
        <x:v>Missing email</x:v>
      </x:c>
    </x:row>
    <x:row r="6493">
      <x:c r="A6493" s="16" t="n">
        <x:v>6724</x:v>
      </x:c>
      <x:c r="B6493" s="16" t="str">
        <x:v>Tiger Bone</x:v>
      </x:c>
      <x:c r="C6493" s="16" t="str"/>
      <x:c r="D6493" s="16" t="str">
        <x:v>* myContacts</x:v>
      </x:c>
      <x:c r="E6493" s="16" t="str">
        <x:v>Missing email</x:v>
      </x:c>
    </x:row>
    <x:row r="6494">
      <x:c r="A6494" s="16" t="n">
        <x:v>6725</x:v>
      </x:c>
      <x:c r="B6494" s="16" t="str">
        <x:v>Tiger Felix</x:v>
      </x:c>
      <x:c r="C6494" s="16" t="str"/>
      <x:c r="D6494" s="16" t="str">
        <x:v>* myContacts</x:v>
      </x:c>
      <x:c r="E6494" s="16" t="str">
        <x:v>Missing email</x:v>
      </x:c>
    </x:row>
    <x:row r="6495">
      <x:c r="A6495" s="16" t="n">
        <x:v>6726</x:v>
      </x:c>
      <x:c r="B6495" s="16" t="str">
        <x:v>Tika Nasaha</x:v>
      </x:c>
      <x:c r="C6495" s="16" t="str"/>
      <x:c r="D6495" s="16" t="str">
        <x:v>* myContacts</x:v>
      </x:c>
      <x:c r="E6495" s="16" t="str">
        <x:v>Missing email</x:v>
      </x:c>
    </x:row>
    <x:row r="6496">
      <x:c r="A6496" s="16" t="n">
        <x:v>6727</x:v>
      </x:c>
      <x:c r="B6496" s="16" t="str">
        <x:v>Tiktok Shop Live Hub x Tekun Kl</x:v>
      </x:c>
      <x:c r="C6496" s="16" t="str"/>
      <x:c r="D6496" s="16" t="str">
        <x:v>* myContacts</x:v>
      </x:c>
      <x:c r="E6496" s="16" t="str">
        <x:v>Missing email</x:v>
      </x:c>
    </x:row>
    <x:row r="6497">
      <x:c r="A6497" s="16" t="n">
        <x:v>6728</x:v>
      </x:c>
      <x:c r="B6497" s="16" t="str">
        <x:v>Tiktok Verfication</x:v>
      </x:c>
      <x:c r="C6497" s="16" t="str"/>
      <x:c r="D6497" s="16" t="str">
        <x:v>* myContacts</x:v>
      </x:c>
      <x:c r="E6497" s="16" t="str">
        <x:v>Missing email</x:v>
      </x:c>
    </x:row>
    <x:row r="6498">
      <x:c r="A6498" s="16" t="n">
        <x:v>6729</x:v>
      </x:c>
      <x:c r="B6498" s="16" t="str">
        <x:v>Timothy Lim Sinn Min</x:v>
      </x:c>
      <x:c r="C6498" s="16" t="str"/>
      <x:c r="D6498" s="16" t="str">
        <x:v>* myContacts</x:v>
      </x:c>
      <x:c r="E6498" s="16" t="str">
        <x:v>Missing email</x:v>
      </x:c>
    </x:row>
    <x:row r="6499">
      <x:c r="A6499" s="16" t="n">
        <x:v>6730</x:v>
      </x:c>
      <x:c r="B6499" s="16" t="str">
        <x:v>Tiyaa Rahim</x:v>
      </x:c>
      <x:c r="C6499" s="16" t="str"/>
      <x:c r="D6499" s="16" t="str">
        <x:v>* myContacts</x:v>
      </x:c>
      <x:c r="E6499" s="16" t="str">
        <x:v>Missing email</x:v>
      </x:c>
    </x:row>
    <x:row r="6500">
      <x:c r="A6500" s="16" t="n">
        <x:v>6731</x:v>
      </x:c>
      <x:c r="B6500" s="16" t="str">
        <x:v>Tmb Management</x:v>
      </x:c>
      <x:c r="C6500" s="16" t="str"/>
      <x:c r="D6500" s="16" t="str">
        <x:v>* myContacts</x:v>
      </x:c>
      <x:c r="E6500" s="16" t="str">
        <x:v>Missing email</x:v>
      </x:c>
    </x:row>
    <x:row r="6501">
      <x:c r="A6501" s="16" t="n">
        <x:v>6732</x:v>
      </x:c>
      <x:c r="B6501" s="16" t="str">
        <x:v>tn haji hariz pengelola kem tamu</x:v>
      </x:c>
      <x:c r="C6501" s="16" t="str"/>
      <x:c r="D6501" s="16" t="str">
        <x:v>* myContacts</x:v>
      </x:c>
      <x:c r="E6501" s="16" t="str">
        <x:v>Missing email</x:v>
      </x:c>
    </x:row>
    <x:row r="6502">
      <x:c r="A6502" s="16" t="n">
        <x:v>6733</x:v>
      </x:c>
      <x:c r="B6502" s="16" t="str">
        <x:v>Tn Haji Wan Abdullah Student Insken Tauke Serunding</x:v>
      </x:c>
      <x:c r="C6502" s="16" t="str"/>
      <x:c r="D6502" s="16" t="str">
        <x:v>Alumni INSKEN | * myContacts</x:v>
      </x:c>
      <x:c r="E6502" s="16" t="str">
        <x:v>Missing email</x:v>
      </x:c>
    </x:row>
    <x:row r="6503">
      <x:c r="A6503" s="16" t="n">
        <x:v>6734</x:v>
      </x:c>
      <x:c r="B6503" s="16" t="str">
        <x:v>Tn Hj Ibrahim HALUAN</x:v>
      </x:c>
      <x:c r="C6503" s="16" t="str"/>
      <x:c r="D6503" s="16" t="str">
        <x:v>* myContacts</x:v>
      </x:c>
      <x:c r="E6503" s="16" t="str">
        <x:v>Missing email</x:v>
      </x:c>
    </x:row>
    <x:row r="6504">
      <x:c r="A6504" s="16" t="n">
        <x:v>6735</x:v>
      </x:c>
      <x:c r="B6504" s="16" t="str">
        <x:v>Tn Hj Saypol</x:v>
      </x:c>
      <x:c r="C6504" s="16" t="str"/>
      <x:c r="D6504" s="16" t="str">
        <x:v>* myContacts</x:v>
      </x:c>
      <x:c r="E6504" s="16" t="str">
        <x:v>Missing email</x:v>
      </x:c>
    </x:row>
    <x:row r="6505">
      <x:c r="A6505" s="16" t="n">
        <x:v>6736</x:v>
      </x:c>
      <x:c r="B6505" s="16" t="str">
        <x:v>Tn Jamhur Kelulut</x:v>
      </x:c>
      <x:c r="C6505" s="16" t="str"/>
      <x:c r="D6505" s="16" t="str">
        <x:v>* myContacts</x:v>
      </x:c>
      <x:c r="E6505" s="16" t="str">
        <x:v>Missing email</x:v>
      </x:c>
    </x:row>
    <x:row r="6506">
      <x:c r="A6506" s="16" t="n">
        <x:v>6737</x:v>
      </x:c>
      <x:c r="B6506" s="16" t="str">
        <x:v>Tn Najib SSM</x:v>
      </x:c>
      <x:c r="C6506" s="16" t="str"/>
      <x:c r="D6506" s="16" t="str">
        <x:v>* myContacts</x:v>
      </x:c>
      <x:c r="E6506" s="16" t="str">
        <x:v>Missing email</x:v>
      </x:c>
    </x:row>
    <x:row r="6507">
      <x:c r="A6507" s="16" t="n">
        <x:v>6738</x:v>
      </x:c>
      <x:c r="B6507" s="16" t="str">
        <x:v>Todoshidota Kaarimeikatoki</x:v>
      </x:c>
      <x:c r="C6507" s="16" t="str"/>
      <x:c r="D6507" s="16" t="str">
        <x:v>* myContacts</x:v>
      </x:c>
      <x:c r="E6507" s="16" t="str">
        <x:v>Missing email</x:v>
      </x:c>
    </x:row>
    <x:row r="6508">
      <x:c r="A6508" s="16" t="n">
        <x:v>6739</x:v>
      </x:c>
      <x:c r="B6508" s="16" t="str">
        <x:v>Tofik Nasa</x:v>
      </x:c>
      <x:c r="C6508" s="16" t="str"/>
      <x:c r="D6508" s="16" t="str">
        <x:v>* myContacts</x:v>
      </x:c>
      <x:c r="E6508" s="16" t="str">
        <x:v>Missing email</x:v>
      </x:c>
    </x:row>
    <x:row r="6509">
      <x:c r="A6509" s="16" t="n">
        <x:v>6740</x:v>
      </x:c>
      <x:c r="B6509" s="16" t="str">
        <x:v>tok kk awang kampung bambangan</x:v>
      </x:c>
      <x:c r="C6509" s="16" t="str"/>
      <x:c r="D6509" s="16" t="str">
        <x:v>* myContacts</x:v>
      </x:c>
      <x:c r="E6509" s="16" t="str">
        <x:v>Missing email</x:v>
      </x:c>
    </x:row>
    <x:row r="6510">
      <x:c r="A6510" s="16" t="n">
        <x:v>6741</x:v>
      </x:c>
      <x:c r="B6510" s="16" t="str">
        <x:v>Tok Meor IM</x:v>
      </x:c>
      <x:c r="C6510" s="16" t="str"/>
      <x:c r="D6510" s="16" t="str">
        <x:v>* myContacts</x:v>
      </x:c>
      <x:c r="E6510" s="16" t="str">
        <x:v>Missing email</x:v>
      </x:c>
    </x:row>
    <x:row r="6511">
      <x:c r="A6511" s="16" t="n">
        <x:v>6742</x:v>
      </x:c>
      <x:c r="B6511" s="16" t="str">
        <x:v>tokey</x:v>
      </x:c>
      <x:c r="C6511" s="16" t="str"/>
      <x:c r="D6511" s="16" t="str">
        <x:v>* myContacts</x:v>
      </x:c>
      <x:c r="E6511" s="16" t="str">
        <x:v>Missing email</x:v>
      </x:c>
    </x:row>
    <x:row r="6512">
      <x:c r="A6512" s="16" t="n">
        <x:v>6743</x:v>
      </x:c>
      <x:c r="B6512" s="16" t="str">
        <x:v>Tokey Pekan Rabu</x:v>
      </x:c>
      <x:c r="C6512" s="16" t="str"/>
      <x:c r="D6512" s="16" t="str">
        <x:v>* myContacts</x:v>
      </x:c>
      <x:c r="E6512" s="16" t="str">
        <x:v>Missing email</x:v>
      </x:c>
    </x:row>
    <x:row r="6513">
      <x:c r="A6513" s="16" t="n">
        <x:v>6744</x:v>
      </x:c>
      <x:c r="B6513" s="16" t="str">
        <x:v>Tokkie Sohor V'Village</x:v>
      </x:c>
      <x:c r="C6513" s="16" t="str"/>
      <x:c r="D6513" s="16" t="str">
        <x:v>* myContacts</x:v>
      </x:c>
      <x:c r="E6513" s="16" t="str">
        <x:v>Missing email</x:v>
      </x:c>
    </x:row>
    <x:row r="6514">
      <x:c r="A6514" s="16" t="n">
        <x:v>6745</x:v>
      </x:c>
      <x:c r="B6514" s="16" t="str">
        <x:v>Tokman Jstudio BDA</x:v>
      </x:c>
      <x:c r="C6514" s="16" t="str"/>
      <x:c r="D6514" s="16" t="str">
        <x:v>* myContacts</x:v>
      </x:c>
      <x:c r="E6514" s="16" t="str">
        <x:v>Missing email</x:v>
      </x:c>
    </x:row>
    <x:row r="6515">
      <x:c r="A6515" s="16" t="n">
        <x:v>6746</x:v>
      </x:c>
      <x:c r="B6515" s="16" t="str">
        <x:v>Toko Jamu Kemaman</x:v>
      </x:c>
      <x:c r="C6515" s="16" t="str"/>
      <x:c r="D6515" s="16" t="str">
        <x:v>* myContacts</x:v>
      </x:c>
      <x:c r="E6515" s="16" t="str">
        <x:v>Missing email</x:v>
      </x:c>
    </x:row>
    <x:row r="6516">
      <x:c r="A6516" s="16" t="n">
        <x:v>6747</x:v>
      </x:c>
      <x:c r="B6516" s="16" t="str">
        <x:v>Tone Asri Wahid</x:v>
      </x:c>
      <x:c r="C6516" s="16" t="str"/>
      <x:c r="D6516" s="16" t="str">
        <x:v>* myContacts</x:v>
      </x:c>
      <x:c r="E6516" s="16" t="str">
        <x:v>Missing email</x:v>
      </x:c>
    </x:row>
    <x:row r="6517">
      <x:c r="A6517" s="16" t="n">
        <x:v>6748</x:v>
      </x:c>
      <x:c r="B6517" s="16" t="str">
        <x:v>Toneexcel Sarawak</x:v>
      </x:c>
      <x:c r="C6517" s="16" t="str"/>
      <x:c r="D6517" s="16" t="str">
        <x:v>* myContacts</x:v>
      </x:c>
      <x:c r="E6517" s="16" t="str">
        <x:v>Missing email</x:v>
      </x:c>
    </x:row>
    <x:row r="6518">
      <x:c r="A6518" s="16" t="n">
        <x:v>6749</x:v>
      </x:c>
      <x:c r="B6518" s="16" t="str">
        <x:v>Mr Tong Nursery Pahang Karak</x:v>
      </x:c>
      <x:c r="C6518" s="16" t="str"/>
      <x:c r="D6518" s="16" t="str">
        <x:v>* myContacts</x:v>
      </x:c>
      <x:c r="E6518" s="16" t="str">
        <x:v>Missing email</x:v>
      </x:c>
    </x:row>
    <x:row r="6519">
      <x:c r="A6519" s="16" t="n">
        <x:v>6750</x:v>
      </x:c>
      <x:c r="B6519" s="16" t="str">
        <x:v>Topek Pomen</x:v>
      </x:c>
      <x:c r="C6519" s="16" t="str"/>
      <x:c r="D6519" s="16" t="str">
        <x:v>* myContacts</x:v>
      </x:c>
      <x:c r="E6519" s="16" t="str">
        <x:v>Missing email</x:v>
      </x:c>
    </x:row>
    <x:row r="6520">
      <x:c r="A6520" s="16" t="n">
        <x:v>6751</x:v>
      </x:c>
      <x:c r="B6520" s="16" t="str">
        <x:v>Topex Tjm</x:v>
      </x:c>
      <x:c r="C6520" s="16" t="str"/>
      <x:c r="D6520" s="16" t="str">
        <x:v>* myContacts</x:v>
      </x:c>
      <x:c r="E6520" s="16" t="str">
        <x:v>Missing email</x:v>
      </x:c>
    </x:row>
    <x:row r="6521">
      <x:c r="A6521" s="16" t="n">
        <x:v>6752</x:v>
      </x:c>
      <x:c r="B6521" s="16" t="str">
        <x:v>topix computer</x:v>
      </x:c>
      <x:c r="C6521" s="16" t="str"/>
      <x:c r="D6521" s="16" t="str">
        <x:v>* myContacts</x:v>
      </x:c>
      <x:c r="E6521" s="16" t="str">
        <x:v>Missing email</x:v>
      </x:c>
    </x:row>
    <x:row r="6522">
      <x:c r="A6522" s="16" t="n">
        <x:v>6753</x:v>
      </x:c>
      <x:c r="B6522" s="16" t="str">
        <x:v>TopupEload Trading</x:v>
      </x:c>
      <x:c r="C6522" s="16" t="str"/>
      <x:c r="D6522" s="16" t="str">
        <x:v>* myContacts</x:v>
      </x:c>
      <x:c r="E6522" s="16" t="str">
        <x:v>Missing email</x:v>
      </x:c>
    </x:row>
    <x:row r="6523">
      <x:c r="A6523" s="16" t="n">
        <x:v>6755</x:v>
      </x:c>
      <x:c r="B6523" s="16" t="str">
        <x:v>TOWING KUANG</x:v>
      </x:c>
      <x:c r="C6523" s="16" t="str"/>
      <x:c r="D6523" s="16" t="str">
        <x:v>* myContacts</x:v>
      </x:c>
      <x:c r="E6523" s="16" t="str">
        <x:v>Missing email</x:v>
      </x:c>
    </x:row>
    <x:row r="6524">
      <x:c r="A6524" s="16" t="n">
        <x:v>6756</x:v>
      </x:c>
      <x:c r="B6524" s="16" t="str">
        <x:v>Toys Kingdoms Eli's</x:v>
      </x:c>
      <x:c r="C6524" s="16" t="str"/>
      <x:c r="D6524" s="16" t="str">
        <x:v>* myContacts</x:v>
      </x:c>
      <x:c r="E6524" s="16" t="str">
        <x:v>Missing email</x:v>
      </x:c>
    </x:row>
    <x:row r="6525">
      <x:c r="A6525" s="16" t="n">
        <x:v>6757</x:v>
      </x:c>
      <x:c r="B6525" s="16" t="str">
        <x:v>Tree tent campsite</x:v>
      </x:c>
      <x:c r="C6525" s="16" t="str"/>
      <x:c r="D6525" s="16" t="str">
        <x:v>* myContacts</x:v>
      </x:c>
      <x:c r="E6525" s="16" t="str">
        <x:v>Missing email</x:v>
      </x:c>
    </x:row>
    <x:row r="6526">
      <x:c r="A6526" s="16" t="n">
        <x:v>6758</x:v>
      </x:c>
      <x:c r="B6526" s="16" t="str">
        <x:v>Trie Adler</x:v>
      </x:c>
      <x:c r="C6526" s="16" t="str"/>
      <x:c r="D6526" s="16" t="str">
        <x:v>* myContacts</x:v>
      </x:c>
      <x:c r="E6526" s="16" t="str">
        <x:v>Missing email</x:v>
      </x:c>
    </x:row>
    <x:row r="6527">
      <x:c r="A6527" s="16" t="n">
        <x:v>6759</x:v>
      </x:c>
      <x:c r="B6527" s="16" t="str">
        <x:v>Trisya Alvis Tristan</x:v>
      </x:c>
      <x:c r="C6527" s="16" t="str"/>
      <x:c r="D6527" s="16" t="str">
        <x:v>* myContacts</x:v>
      </x:c>
      <x:c r="E6527" s="16" t="str">
        <x:v>Missing email</x:v>
      </x:c>
    </x:row>
    <x:row r="6528">
      <x:c r="A6528" s="16" t="n">
        <x:v>6760</x:v>
      </x:c>
      <x:c r="B6528" s="16" t="str">
        <x:v>Tronexus Simkad</x:v>
      </x:c>
      <x:c r="C6528" s="16" t="str"/>
      <x:c r="D6528" s="16" t="str">
        <x:v>* myContacts</x:v>
      </x:c>
      <x:c r="E6528" s="16" t="str">
        <x:v>Missing email</x:v>
      </x:c>
    </x:row>
    <x:row r="6529">
      <x:c r="A6529" s="16" t="n">
        <x:v>6761</x:v>
      </x:c>
      <x:c r="B6529" s="16" t="str">
        <x:v>Ts Olya Dollah</x:v>
      </x:c>
      <x:c r="C6529" s="16" t="str"/>
      <x:c r="D6529" s="16" t="str">
        <x:v>* myContacts</x:v>
      </x:c>
      <x:c r="E6529" s="16" t="str">
        <x:v>Missing email</x:v>
      </x:c>
    </x:row>
    <x:row r="6530">
      <x:c r="A6530" s="16" t="n">
        <x:v>6762</x:v>
      </x:c>
      <x:c r="B6530" s="16" t="str">
        <x:v>Tuaj Noraeffendy FAMA SABAH</x:v>
      </x:c>
      <x:c r="C6530" s="16" t="str"/>
      <x:c r="D6530" s="16" t="str">
        <x:v>* myContacts</x:v>
      </x:c>
      <x:c r="E6530" s="16" t="str">
        <x:v>Missing email</x:v>
      </x:c>
    </x:row>
    <x:row r="6531">
      <x:c r="A6531" s="16" t="n">
        <x:v>6763</x:v>
      </x:c>
      <x:c r="B6531" s="16" t="str">
        <x:v>Tuan A. Bakar Futurist Ir4. 0</x:v>
      </x:c>
      <x:c r="C6531" s="16" t="str"/>
      <x:c r="D6531" s="16" t="str">
        <x:v>* myContacts</x:v>
      </x:c>
      <x:c r="E6531" s="16" t="str">
        <x:v>Missing email</x:v>
      </x:c>
    </x:row>
    <x:row r="6532">
      <x:c r="A6532" s="16" t="n">
        <x:v>6764</x:v>
      </x:c>
      <x:c r="B6532" s="16" t="str">
        <x:v>Tuan Abdul Hajis Unikeb</x:v>
      </x:c>
      <x:c r="C6532" s="16" t="str"/>
      <x:c r="D6532" s="16" t="str">
        <x:v>* myContacts</x:v>
      </x:c>
      <x:c r="E6532" s="16" t="str">
        <x:v>Missing email</x:v>
      </x:c>
    </x:row>
    <x:row r="6533">
      <x:c r="A6533" s="16" t="n">
        <x:v>6766</x:v>
      </x:c>
      <x:c r="B6533" s="16" t="str">
        <x:v>Tuan Adam Anak Pak Habib</x:v>
      </x:c>
      <x:c r="C6533" s="16" t="str"/>
      <x:c r="D6533" s="16" t="str">
        <x:v>* myContacts</x:v>
      </x:c>
      <x:c r="E6533" s="16" t="str">
        <x:v>Missing email</x:v>
      </x:c>
    </x:row>
    <x:row r="6534">
      <x:c r="A6534" s="16" t="n">
        <x:v>6767</x:v>
      </x:c>
      <x:c r="B6534" s="16" t="str">
        <x:v>tuan ahmad mahyudin</x:v>
      </x:c>
      <x:c r="C6534" s="16" t="str"/>
      <x:c r="D6534" s="16" t="str">
        <x:v>* myContacts</x:v>
      </x:c>
      <x:c r="E6534" s="16" t="str">
        <x:v>Missing email</x:v>
      </x:c>
    </x:row>
    <x:row r="6535">
      <x:c r="A6535" s="16" t="n">
        <x:v>6768</x:v>
      </x:c>
      <x:c r="B6535" s="16" t="str">
        <x:v>Tuan Akmal DPIM Putrajaya</x:v>
      </x:c>
      <x:c r="C6535" s="16" t="str"/>
      <x:c r="D6535" s="16" t="str">
        <x:v>* myContacts</x:v>
      </x:c>
      <x:c r="E6535" s="16" t="str">
        <x:v>Missing email</x:v>
      </x:c>
    </x:row>
    <x:row r="6536">
      <x:c r="A6536" s="16" t="n">
        <x:v>6769</x:v>
      </x:c>
      <x:c r="B6536" s="16" t="str">
        <x:v>Tuan Al Hadee Website Expert</x:v>
      </x:c>
      <x:c r="C6536" s="16" t="str"/>
      <x:c r="D6536" s="16" t="str">
        <x:v>* myContacts</x:v>
      </x:c>
      <x:c r="E6536" s="16" t="str">
        <x:v>Missing email</x:v>
      </x:c>
    </x:row>
    <x:row r="6537">
      <x:c r="A6537" s="16" t="n">
        <x:v>6770</x:v>
      </x:c>
      <x:c r="B6537" s="16" t="str">
        <x:v>Tuan Amin Faudzi Ceo Toyyibpay</x:v>
      </x:c>
      <x:c r="C6537" s="16" t="str"/>
      <x:c r="D6537" s="16" t="str">
        <x:v>* myContacts</x:v>
      </x:c>
      <x:c r="E6537" s="16" t="str">
        <x:v>Missing email</x:v>
      </x:c>
    </x:row>
    <x:row r="6538">
      <x:c r="A6538" s="16" t="n">
        <x:v>6771</x:v>
      </x:c>
      <x:c r="B6538" s="16" t="str">
        <x:v>Tuan Anas AR Skuad Drone</x:v>
      </x:c>
      <x:c r="C6538" s="16" t="str"/>
      <x:c r="D6538" s="16" t="str">
        <x:v>* myContacts</x:v>
      </x:c>
      <x:c r="E6538" s="16" t="str">
        <x:v>Missing email</x:v>
      </x:c>
    </x:row>
    <x:row r="6539">
      <x:c r="A6539" s="16" t="n">
        <x:v>6772</x:v>
      </x:c>
      <x:c r="B6539" s="16" t="str">
        <x:v>tuan anuar khusar</x:v>
      </x:c>
      <x:c r="C6539" s="16" t="str"/>
      <x:c r="D6539" s="16" t="str">
        <x:v>* myContacts</x:v>
      </x:c>
      <x:c r="E6539" s="16" t="str">
        <x:v>Missing email</x:v>
      </x:c>
    </x:row>
    <x:row r="6540">
      <x:c r="A6540" s="16" t="n">
        <x:v>6773</x:v>
      </x:c>
      <x:c r="B6540" s="16" t="str">
        <x:v>Tuan Ariffin OTAI china</x:v>
      </x:c>
      <x:c r="C6540" s="16" t="str"/>
      <x:c r="D6540" s="16" t="str">
        <x:v>* myContacts</x:v>
      </x:c>
      <x:c r="E6540" s="16" t="str">
        <x:v>Missing email</x:v>
      </x:c>
    </x:row>
    <x:row r="6541">
      <x:c r="A6541" s="16" t="n">
        <x:v>6774</x:v>
      </x:c>
      <x:c r="B6541" s="16" t="str">
        <x:v>Tuan Asmadi TEKUN</x:v>
      </x:c>
      <x:c r="C6541" s="16" t="str"/>
      <x:c r="D6541" s="16" t="str">
        <x:v>* myContacts</x:v>
      </x:c>
      <x:c r="E6541" s="16" t="str">
        <x:v>Missing email</x:v>
      </x:c>
    </x:row>
    <x:row r="6542">
      <x:c r="A6542" s="16" t="n">
        <x:v>6775</x:v>
      </x:c>
      <x:c r="B6542" s="16" t="str">
        <x:v>Tuan Asrul Kuskop</x:v>
      </x:c>
      <x:c r="C6542" s="16" t="str"/>
      <x:c r="D6542" s="16" t="str">
        <x:v>* myContacts</x:v>
      </x:c>
      <x:c r="E6542" s="16" t="str">
        <x:v>Missing email</x:v>
      </x:c>
    </x:row>
    <x:row r="6543">
      <x:c r="A6543" s="16" t="n">
        <x:v>6776</x:v>
      </x:c>
      <x:c r="B6543" s="16" t="str">
        <x:v>Tuan Azam JEM Inspen</x:v>
      </x:c>
      <x:c r="C6543" s="16" t="str"/>
      <x:c r="D6543" s="16" t="str">
        <x:v>* myContacts</x:v>
      </x:c>
      <x:c r="E6543" s="16" t="str">
        <x:v>Missing email</x:v>
      </x:c>
    </x:row>
    <x:row r="6544">
      <x:c r="A6544" s="16" t="n">
        <x:v>6777</x:v>
      </x:c>
      <x:c r="B6544" s="16" t="str">
        <x:v>TUAN AZIM HIJRAH SELANGOR KAJANG</x:v>
      </x:c>
      <x:c r="C6544" s="16" t="str"/>
      <x:c r="D6544" s="16" t="str">
        <x:v>Alumni eUsahawan | * myContacts</x:v>
      </x:c>
      <x:c r="E6544" s="16" t="str">
        <x:v>Missing email</x:v>
      </x:c>
    </x:row>
    <x:row r="6545">
      <x:c r="A6545" s="16" t="n">
        <x:v>6778</x:v>
      </x:c>
      <x:c r="B6545" s="16" t="str">
        <x:v>Tuan azizi hotel kucing</x:v>
      </x:c>
      <x:c r="C6545" s="16" t="str"/>
      <x:c r="D6545" s="16" t="str">
        <x:v>* myContacts</x:v>
      </x:c>
      <x:c r="E6545" s="16" t="str">
        <x:v>Missing email</x:v>
      </x:c>
    </x:row>
    <x:row r="6546">
      <x:c r="A6546" s="16" t="n">
        <x:v>6779</x:v>
      </x:c>
      <x:c r="B6546" s="16" t="str">
        <x:v>tuan azlan sales power rangers</x:v>
      </x:c>
      <x:c r="C6546" s="16" t="str"/>
      <x:c r="D6546" s="16" t="str">
        <x:v>* myContacts</x:v>
      </x:c>
      <x:c r="E6546" s="16" t="str">
        <x:v>Missing email</x:v>
      </x:c>
    </x:row>
    <x:row r="6547">
      <x:c r="A6547" s="16" t="n">
        <x:v>6780</x:v>
      </x:c>
      <x:c r="B6547" s="16" t="str">
        <x:v>Tuan Azman KWSP</x:v>
      </x:c>
      <x:c r="C6547" s="16" t="str"/>
      <x:c r="D6547" s="16" t="str">
        <x:v>* myContacts</x:v>
      </x:c>
      <x:c r="E6547" s="16" t="str">
        <x:v>Missing email</x:v>
      </x:c>
    </x:row>
    <x:row r="6548">
      <x:c r="A6548" s="16" t="n">
        <x:v>6781</x:v>
      </x:c>
      <x:c r="B6548" s="16" t="str">
        <x:v>Tuan Azmi Mustapha</x:v>
      </x:c>
      <x:c r="C6548" s="16" t="str"/>
      <x:c r="D6548" s="16" t="str">
        <x:v>* myContacts</x:v>
      </x:c>
      <x:c r="E6548" s="16" t="str">
        <x:v>Missing email</x:v>
      </x:c>
    </x:row>
    <x:row r="6549">
      <x:c r="A6549" s="16" t="n">
        <x:v>6782</x:v>
      </x:c>
      <x:c r="B6549" s="16" t="str">
        <x:v>Tuan azmil Perodua 8</x:v>
      </x:c>
      <x:c r="C6549" s="16" t="str"/>
      <x:c r="D6549" s="16" t="str">
        <x:v>* myContacts</x:v>
      </x:c>
      <x:c r="E6549" s="16" t="str">
        <x:v>Missing email</x:v>
      </x:c>
    </x:row>
    <x:row r="6550">
      <x:c r="A6550" s="16" t="n">
        <x:v>6783</x:v>
      </x:c>
      <x:c r="B6550" s="16" t="str">
        <x:v>Tuan Azroy Fahmi</x:v>
      </x:c>
      <x:c r="C6550" s="16" t="str"/>
      <x:c r="D6550" s="16" t="str">
        <x:v>* myContacts</x:v>
      </x:c>
      <x:c r="E6550" s="16" t="str">
        <x:v>Missing email</x:v>
      </x:c>
    </x:row>
    <x:row r="6551">
      <x:c r="A6551" s="16" t="n">
        <x:v>6784</x:v>
      </x:c>
      <x:c r="B6551" s="16" t="str">
        <x:v>Tuan Azrul Tauke Homestay INSKEN Temerloh</x:v>
      </x:c>
      <x:c r="C6551" s="16" t="str"/>
      <x:c r="D6551" s="16" t="str">
        <x:v>* myContacts</x:v>
      </x:c>
      <x:c r="E6551" s="16" t="str">
        <x:v>Missing email</x:v>
      </x:c>
    </x:row>
    <x:row r="6552">
      <x:c r="A6552" s="16" t="n">
        <x:v>6785</x:v>
      </x:c>
      <x:c r="B6552" s="16" t="str">
        <x:v>Tuan Don Yayasan Katil Ayahku</x:v>
      </x:c>
      <x:c r="C6552" s="16" t="str"/>
      <x:c r="D6552" s="16" t="str">
        <x:v>* myContacts</x:v>
      </x:c>
      <x:c r="E6552" s="16" t="str">
        <x:v>Missing email</x:v>
      </x:c>
    </x:row>
    <x:row r="6553">
      <x:c r="A6553" s="16" t="n">
        <x:v>6786</x:v>
      </x:c>
      <x:c r="B6553" s="16" t="str">
        <x:v>tuan edika yusof</x:v>
      </x:c>
      <x:c r="C6553" s="16" t="str"/>
      <x:c r="D6553" s="16" t="str">
        <x:v>* myContacts</x:v>
      </x:c>
      <x:c r="E6553" s="16" t="str">
        <x:v>Missing email</x:v>
      </x:c>
    </x:row>
    <x:row r="6554">
      <x:c r="A6554" s="16" t="n">
        <x:v>6788</x:v>
      </x:c>
      <x:c r="B6554" s="16" t="str">
        <x:v>Tuan Faizal Manager Dtandoor</x:v>
      </x:c>
      <x:c r="C6554" s="16" t="str"/>
      <x:c r="D6554" s="16" t="str">
        <x:v>* myContacts</x:v>
      </x:c>
      <x:c r="E6554" s="16" t="str">
        <x:v>Missing email</x:v>
      </x:c>
    </x:row>
    <x:row r="6555">
      <x:c r="A6555" s="16" t="n">
        <x:v>6790</x:v>
      </x:c>
      <x:c r="B6555" s="16" t="str">
        <x:v>Tuan Faris Destinasi TV</x:v>
      </x:c>
      <x:c r="C6555" s="16" t="str"/>
      <x:c r="D6555" s="16" t="str">
        <x:v>* myContacts</x:v>
      </x:c>
      <x:c r="E6555" s="16" t="str">
        <x:v>Missing email</x:v>
      </x:c>
    </x:row>
    <x:row r="6556">
      <x:c r="A6556" s="16" t="n">
        <x:v>6791</x:v>
      </x:c>
      <x:c r="B6556" s="16" t="str">
        <x:v>Tuan Faris INSKEN</x:v>
      </x:c>
      <x:c r="C6556" s="16" t="str"/>
      <x:c r="D6556" s="16" t="str">
        <x:v>Alumni INSKEN | * myContacts</x:v>
      </x:c>
      <x:c r="E6556" s="16" t="str">
        <x:v>Missing email</x:v>
      </x:c>
    </x:row>
    <x:row r="6557">
      <x:c r="A6557" s="16" t="n">
        <x:v>6792</x:v>
      </x:c>
      <x:c r="B6557" s="16" t="str">
        <x:v>Tuan Fauzee Unikl</x:v>
      </x:c>
      <x:c r="C6557" s="16" t="str"/>
      <x:c r="D6557" s="16" t="str">
        <x:v>* myContacts</x:v>
      </x:c>
      <x:c r="E6557" s="16" t="str">
        <x:v>Missing email</x:v>
      </x:c>
    </x:row>
    <x:row r="6558">
      <x:c r="A6558" s="16" t="n">
        <x:v>6794</x:v>
      </x:c>
      <x:c r="B6558" s="16" t="str">
        <x:v>tuan firdaus uitm iceps kelantan</x:v>
      </x:c>
      <x:c r="C6558" s="16" t="str"/>
      <x:c r="D6558" s="16" t="str">
        <x:v>* myContacts</x:v>
      </x:c>
      <x:c r="E6558" s="16" t="str">
        <x:v>Missing email</x:v>
      </x:c>
    </x:row>
    <x:row r="6559">
      <x:c r="A6559" s="16" t="n">
        <x:v>6795</x:v>
      </x:c>
      <x:c r="B6559" s="16" t="str">
        <x:v>tuan hafiz homeophathy</x:v>
      </x:c>
      <x:c r="C6559" s="16" t="str"/>
      <x:c r="D6559" s="16" t="str">
        <x:v>* myContacts</x:v>
      </x:c>
      <x:c r="E6559" s="16" t="str">
        <x:v>Missing email</x:v>
      </x:c>
    </x:row>
    <x:row r="6560">
      <x:c r="A6560" s="16" t="n">
        <x:v>6796</x:v>
      </x:c>
      <x:c r="B6560" s="16" t="str">
        <x:v>Tuan Hafiz Shezali</x:v>
      </x:c>
      <x:c r="C6560" s="16" t="str"/>
      <x:c r="D6560" s="16" t="str">
        <x:v>* myContacts</x:v>
      </x:c>
      <x:c r="E6560" s="16" t="str">
        <x:v>Missing email</x:v>
      </x:c>
    </x:row>
    <x:row r="6561">
      <x:c r="A6561" s="16" t="n">
        <x:v>6797</x:v>
      </x:c>
      <x:c r="B6561" s="16" t="str">
        <x:v>tuan hafiz uitm seri iskandar</x:v>
      </x:c>
      <x:c r="C6561" s="16" t="str"/>
      <x:c r="D6561" s="16" t="str">
        <x:v>* myContacts</x:v>
      </x:c>
      <x:c r="E6561" s="16" t="str">
        <x:v>Missing email</x:v>
      </x:c>
    </x:row>
    <x:row r="6562">
      <x:c r="A6562" s="16" t="n">
        <x:v>6798</x:v>
      </x:c>
      <x:c r="B6562" s="16" t="str">
        <x:v>Tuan Hairum DPIM</x:v>
      </x:c>
      <x:c r="C6562" s="16" t="str"/>
      <x:c r="D6562" s="16" t="str">
        <x:v>* myContacts</x:v>
      </x:c>
      <x:c r="E6562" s="16" t="str">
        <x:v>Missing email</x:v>
      </x:c>
    </x:row>
    <x:row r="6563">
      <x:c r="A6563" s="16" t="n">
        <x:v>6799</x:v>
      </x:c>
      <x:c r="B6563" s="16" t="str">
        <x:v>Tuan Haji Muhibah Ardani</x:v>
      </x:c>
      <x:c r="C6563" s="16" t="str"/>
      <x:c r="D6563" s="16" t="str">
        <x:v>* myContacts</x:v>
      </x:c>
      <x:c r="E6563" s="16" t="str">
        <x:v>Missing email</x:v>
      </x:c>
    </x:row>
    <x:row r="6564">
      <x:c r="A6564" s="16" t="n">
        <x:v>6800</x:v>
      </x:c>
      <x:c r="B6564" s="16" t="str">
        <x:v>tuan haji saypol dpim</x:v>
      </x:c>
      <x:c r="C6564" s="16" t="str"/>
      <x:c r="D6564" s="16" t="str">
        <x:v>* myContacts</x:v>
      </x:c>
      <x:c r="E6564" s="16" t="str">
        <x:v>Missing email</x:v>
      </x:c>
    </x:row>
    <x:row r="6565">
      <x:c r="A6565" s="16" t="n">
        <x:v>6801</x:v>
      </x:c>
      <x:c r="B6565" s="16" t="str">
        <x:v>Tuan Haji Zakaria Tauke Cuka Kayu</x:v>
      </x:c>
      <x:c r="C6565" s="16" t="str"/>
      <x:c r="D6565" s="16" t="str">
        <x:v>* myContacts</x:v>
      </x:c>
      <x:c r="E6565" s="16" t="str">
        <x:v>Missing email</x:v>
      </x:c>
    </x:row>
    <x:row r="6566">
      <x:c r="A6566" s="16" t="n">
        <x:v>6802</x:v>
      </x:c>
      <x:c r="B6566" s="16" t="str">
        <x:v>Tuan Halmi Yusoff Thinker PENGKAJI</x:v>
      </x:c>
      <x:c r="C6566" s="16" t="str"/>
      <x:c r="D6566" s="16" t="str">
        <x:v>* myContacts</x:v>
      </x:c>
      <x:c r="E6566" s="16" t="str">
        <x:v>Missing email</x:v>
      </x:c>
    </x:row>
    <x:row r="6567">
      <x:c r="A6567" s="16" t="n">
        <x:v>6803</x:v>
      </x:c>
      <x:c r="B6567" s="16" t="str">
        <x:v>Tuan Hasnawi</x:v>
      </x:c>
      <x:c r="C6567" s="16" t="str"/>
      <x:c r="D6567" s="16" t="str">
        <x:v>* myContacts</x:v>
      </x:c>
      <x:c r="E6567" s="16" t="str">
        <x:v>Missing email</x:v>
      </x:c>
    </x:row>
    <x:row r="6568">
      <x:c r="A6568" s="16" t="n">
        <x:v>6804</x:v>
      </x:c>
      <x:c r="B6568" s="16" t="str">
        <x:v>Tuan Hazirman Tuan Pua'ad</x:v>
      </x:c>
      <x:c r="C6568" s="16" t="str"/>
      <x:c r="D6568" s="16" t="str">
        <x:v>* myContacts</x:v>
      </x:c>
      <x:c r="E6568" s="16" t="str">
        <x:v>Missing email</x:v>
      </x:c>
    </x:row>
    <x:row r="6569">
      <x:c r="A6569" s="16" t="n">
        <x:v>6805</x:v>
      </x:c>
      <x:c r="B6569" s="16" t="str">
        <x:v>Tuan Helmi Komunikasi</x:v>
      </x:c>
      <x:c r="C6569" s="16" t="str"/>
      <x:c r="D6569" s="16" t="str">
        <x:v>* myContacts</x:v>
      </x:c>
      <x:c r="E6569" s="16" t="str">
        <x:v>Missing email</x:v>
      </x:c>
    </x:row>
    <x:row r="6570">
      <x:c r="A6570" s="16" t="n">
        <x:v>6806</x:v>
      </x:c>
      <x:c r="B6570" s="16" t="str">
        <x:v>Tuan Helmi MC</x:v>
      </x:c>
      <x:c r="C6570" s="16" t="str"/>
      <x:c r="D6570" s="16" t="str">
        <x:v>* myContacts</x:v>
      </x:c>
      <x:c r="E6570" s="16" t="str">
        <x:v>Missing email</x:v>
      </x:c>
    </x:row>
    <x:row r="6571">
      <x:c r="A6571" s="16" t="n">
        <x:v>6807</x:v>
      </x:c>
      <x:c r="B6571" s="16" t="str">
        <x:v>Tuan Hj Coach Badrul Sani</x:v>
      </x:c>
      <x:c r="C6571" s="16" t="str"/>
      <x:c r="D6571" s="16" t="str">
        <x:v>* myContacts</x:v>
      </x:c>
      <x:c r="E6571" s="16" t="str">
        <x:v>Missing email</x:v>
      </x:c>
    </x:row>
    <x:row r="6572">
      <x:c r="A6572" s="16" t="n">
        <x:v>6808</x:v>
      </x:c>
      <x:c r="B6572" s="16" t="str">
        <x:v>Tuan Hj Sahar RJB</x:v>
      </x:c>
      <x:c r="C6572" s="16" t="str"/>
      <x:c r="D6572" s="16" t="str">
        <x:v>* myContacts</x:v>
      </x:c>
      <x:c r="E6572" s="16" t="str">
        <x:v>Missing email</x:v>
      </x:c>
    </x:row>
    <x:row r="6573">
      <x:c r="A6573" s="16" t="n">
        <x:v>6809</x:v>
      </x:c>
      <x:c r="B6573" s="16" t="str">
        <x:v>Tuan ihram poliklinik</x:v>
      </x:c>
      <x:c r="C6573" s="16" t="str"/>
      <x:c r="D6573" s="16" t="str">
        <x:v>* myContacts</x:v>
      </x:c>
      <x:c r="E6573" s="16" t="str">
        <x:v>Missing email</x:v>
      </x:c>
    </x:row>
    <x:row r="6574">
      <x:c r="A6574" s="16" t="n">
        <x:v>6810</x:v>
      </x:c>
      <x:c r="B6574" s="16" t="str">
        <x:v>Tuan Imran Bda</x:v>
      </x:c>
      <x:c r="C6574" s="16" t="str"/>
      <x:c r="D6574" s="16" t="str">
        <x:v>* myContacts</x:v>
      </x:c>
      <x:c r="E6574" s="16" t="str">
        <x:v>Missing email</x:v>
      </x:c>
    </x:row>
    <x:row r="6575">
      <x:c r="A6575" s="16" t="n">
        <x:v>6811</x:v>
      </x:c>
      <x:c r="B6575" s="16" t="str">
        <x:v>Tuan Iskandar Danial ARIQ Training Centre Klang</x:v>
      </x:c>
      <x:c r="C6575" s="16" t="str"/>
      <x:c r="D6575" s="16" t="str">
        <x:v>* myContacts</x:v>
      </x:c>
      <x:c r="E6575" s="16" t="str">
        <x:v>Missing email</x:v>
      </x:c>
    </x:row>
    <x:row r="6576">
      <x:c r="A6576" s="16" t="n">
        <x:v>6812</x:v>
      </x:c>
      <x:c r="B6576" s="16" t="str">
        <x:v>Tuan Ismail Kamarudin AFK Along Academy</x:v>
      </x:c>
      <x:c r="C6576" s="16" t="str"/>
      <x:c r="D6576" s="16" t="str">
        <x:v>* myContacts</x:v>
      </x:c>
      <x:c r="E6576" s="16" t="str">
        <x:v>Missing email</x:v>
      </x:c>
    </x:row>
    <x:row r="6577">
      <x:c r="A6577" s="16" t="n">
        <x:v>6813</x:v>
      </x:c>
      <x:c r="B6577" s="16" t="str">
        <x:v>Tuan Ismaliza</x:v>
      </x:c>
      <x:c r="C6577" s="16" t="str"/>
      <x:c r="D6577" s="16" t="str">
        <x:v>* myContacts</x:v>
      </x:c>
      <x:c r="E6577" s="16" t="str">
        <x:v>Missing email</x:v>
      </x:c>
    </x:row>
    <x:row r="6578">
      <x:c r="A6578" s="16" t="n">
        <x:v>6814</x:v>
      </x:c>
      <x:c r="B6578" s="16" t="str">
        <x:v>tuan izan</x:v>
      </x:c>
      <x:c r="C6578" s="16" t="str"/>
      <x:c r="D6578" s="16" t="str">
        <x:v>* myContacts</x:v>
      </x:c>
      <x:c r="E6578" s="16" t="str">
        <x:v>Missing email</x:v>
      </x:c>
    </x:row>
    <x:row r="6579">
      <x:c r="A6579" s="16" t="n">
        <x:v>6815</x:v>
      </x:c>
      <x:c r="B6579" s="16" t="str">
        <x:v>Tuan Izwan Vps Expert</x:v>
      </x:c>
      <x:c r="C6579" s="16" t="str"/>
      <x:c r="D6579" s="16" t="str">
        <x:v>* myContacts</x:v>
      </x:c>
      <x:c r="E6579" s="16" t="str">
        <x:v>Missing email</x:v>
      </x:c>
    </x:row>
    <x:row r="6580">
      <x:c r="A6580" s="16" t="n">
        <x:v>6816</x:v>
      </x:c>
      <x:c r="B6580" s="16" t="str">
        <x:v>Tuan Izzat Epf</x:v>
      </x:c>
      <x:c r="C6580" s="16" t="str"/>
      <x:c r="D6580" s="16" t="str">
        <x:v>* myContacts</x:v>
      </x:c>
      <x:c r="E6580" s="16" t="str">
        <x:v>Missing email</x:v>
      </x:c>
    </x:row>
    <x:row r="6581">
      <x:c r="A6581" s="16" t="n">
        <x:v>6817</x:v>
      </x:c>
      <x:c r="B6581" s="16" t="str">
        <x:v>Tuan Jamil Flexis Printing And Stationery</x:v>
      </x:c>
      <x:c r="C6581" s="16" t="str"/>
      <x:c r="D6581" s="16" t="str">
        <x:v>* myContacts</x:v>
      </x:c>
      <x:c r="E6581" s="16" t="str">
        <x:v>Missing email</x:v>
      </x:c>
    </x:row>
    <x:row r="6582">
      <x:c r="A6582" s="16" t="n">
        <x:v>6818</x:v>
      </x:c>
      <x:c r="B6582" s="16" t="str">
        <x:v>Tuan Kamil Training Provider</x:v>
      </x:c>
      <x:c r="C6582" s="16" t="str"/>
      <x:c r="D6582" s="16" t="str">
        <x:v>* myContacts</x:v>
      </x:c>
      <x:c r="E6582" s="16" t="str">
        <x:v>Missing email</x:v>
      </x:c>
    </x:row>
    <x:row r="6583">
      <x:c r="A6583" s="16" t="n">
        <x:v>6819</x:v>
      </x:c>
      <x:c r="B6583" s="16" t="str">
        <x:v>Tuan Khairy TmNET</x:v>
      </x:c>
      <x:c r="C6583" s="16" t="str"/>
      <x:c r="D6583" s="16" t="str">
        <x:v>* myContacts</x:v>
      </x:c>
      <x:c r="E6583" s="16" t="str">
        <x:v>Missing email</x:v>
      </x:c>
    </x:row>
    <x:row r="6584">
      <x:c r="A6584" s="16" t="n">
        <x:v>6820</x:v>
      </x:c>
      <x:c r="B6584" s="16" t="str">
        <x:v>Tuan Mohamad Nizam Pakar Packaging</x:v>
      </x:c>
      <x:c r="C6584" s="16" t="str"/>
      <x:c r="D6584" s="16" t="str">
        <x:v>* myContacts</x:v>
      </x:c>
      <x:c r="E6584" s="16" t="str">
        <x:v>Missing email</x:v>
      </x:c>
    </x:row>
    <x:row r="6585">
      <x:c r="A6585" s="16" t="n">
        <x:v>6821</x:v>
      </x:c>
      <x:c r="B6585" s="16" t="str">
        <x:v>tuan mohd azila uitm fakulti perniagaan</x:v>
      </x:c>
      <x:c r="C6585" s="16" t="str"/>
      <x:c r="D6585" s="16" t="str">
        <x:v>* myContacts</x:v>
      </x:c>
      <x:c r="E6585" s="16" t="str">
        <x:v>Missing email</x:v>
      </x:c>
    </x:row>
    <x:row r="6586">
      <x:c r="A6586" s="16" t="n">
        <x:v>6822</x:v>
      </x:c>
      <x:c r="B6586" s="16" t="str">
        <x:v>Tuan Muaz PUIM</x:v>
      </x:c>
      <x:c r="C6586" s="16" t="str"/>
      <x:c r="D6586" s="16" t="str">
        <x:v>* myContacts</x:v>
      </x:c>
      <x:c r="E6586" s="16" t="str">
        <x:v>Missing email</x:v>
      </x:c>
    </x:row>
    <x:row r="6587">
      <x:c r="A6587" s="16" t="n">
        <x:v>6823</x:v>
      </x:c>
      <x:c r="B6587" s="16" t="str">
        <x:v>Tuan MV Shankar</x:v>
      </x:c>
      <x:c r="C6587" s="16" t="str"/>
      <x:c r="D6587" s="16" t="str">
        <x:v>* myContacts</x:v>
      </x:c>
      <x:c r="E6587" s="16" t="str">
        <x:v>Missing email</x:v>
      </x:c>
    </x:row>
    <x:row r="6588">
      <x:c r="A6588" s="16" t="n">
        <x:v>6824</x:v>
      </x:c>
      <x:c r="B6588" s="16" t="str">
        <x:v>Tuan Nazrin TI</x:v>
      </x:c>
      <x:c r="C6588" s="16" t="str"/>
      <x:c r="D6588" s="16" t="str">
        <x:v>* myContacts</x:v>
      </x:c>
      <x:c r="E6588" s="16" t="str">
        <x:v>Missing email</x:v>
      </x:c>
    </x:row>
    <x:row r="6589">
      <x:c r="A6589" s="16" t="n">
        <x:v>6825</x:v>
      </x:c>
      <x:c r="B6589" s="16" t="str">
        <x:v>Tuan Nordin mohd Projaya Board</x:v>
      </x:c>
      <x:c r="C6589" s="16" t="str"/>
      <x:c r="D6589" s="16" t="str">
        <x:v>* myContacts</x:v>
      </x:c>
      <x:c r="E6589" s="16" t="str">
        <x:v>Missing email</x:v>
      </x:c>
    </x:row>
    <x:row r="6590">
      <x:c r="A6590" s="16" t="n">
        <x:v>6826</x:v>
      </x:c>
      <x:c r="B6590" s="16" t="str">
        <x:v>Tuan Onn DPIM</x:v>
      </x:c>
      <x:c r="C6590" s="16" t="str"/>
      <x:c r="D6590" s="16" t="str">
        <x:v>* myContacts</x:v>
      </x:c>
      <x:c r="E6590" s="16" t="str">
        <x:v>Missing email</x:v>
      </x:c>
    </x:row>
    <x:row r="6591">
      <x:c r="A6591" s="16" t="n">
        <x:v>6827</x:v>
      </x:c>
      <x:c r="B6591" s="16" t="str">
        <x:v>Tuan Ra</x:v>
      </x:c>
      <x:c r="C6591" s="16" t="str"/>
      <x:c r="D6591" s="16" t="str">
        <x:v>* myContacts</x:v>
      </x:c>
      <x:c r="E6591" s="16" t="str">
        <x:v>Missing email</x:v>
      </x:c>
    </x:row>
    <x:row r="6592">
      <x:c r="A6592" s="16" t="n">
        <x:v>6828</x:v>
      </x:c>
      <x:c r="B6592" s="16" t="str">
        <x:v>Tuan Radin Erus Uitm Puncak Perdana</x:v>
      </x:c>
      <x:c r="C6592" s="16" t="str"/>
      <x:c r="D6592" s="16" t="str">
        <x:v>* myContacts</x:v>
      </x:c>
      <x:c r="E6592" s="16" t="str">
        <x:v>Missing email</x:v>
      </x:c>
    </x:row>
    <x:row r="6593">
      <x:c r="A6593" s="16" t="n">
        <x:v>6829</x:v>
      </x:c>
      <x:c r="B6593" s="16" t="str">
        <x:v>Tuan Rahiemi Uitm</x:v>
      </x:c>
      <x:c r="C6593" s="16" t="str"/>
      <x:c r="D6593" s="16" t="str">
        <x:v>* myContacts</x:v>
      </x:c>
      <x:c r="E6593" s="16" t="str">
        <x:v>Missing email</x:v>
      </x:c>
    </x:row>
    <x:row r="6594">
      <x:c r="A6594" s="16" t="n">
        <x:v>6830</x:v>
      </x:c>
      <x:c r="B6594" s="16" t="str">
        <x:v>Tuan Razib ESQ</x:v>
      </x:c>
      <x:c r="C6594" s="16" t="str"/>
      <x:c r="D6594" s="16" t="str">
        <x:v>* myContacts</x:v>
      </x:c>
      <x:c r="E6594" s="16" t="str">
        <x:v>Missing email</x:v>
      </x:c>
    </x:row>
    <x:row r="6595">
      <x:c r="A6595" s="16" t="n">
        <x:v>6831</x:v>
      </x:c>
      <x:c r="B6595" s="16" t="str">
        <x:v>Tuan Razin Mdec</x:v>
      </x:c>
      <x:c r="C6595" s="16" t="str"/>
      <x:c r="D6595" s="16" t="str">
        <x:v>* myContacts</x:v>
      </x:c>
      <x:c r="E6595" s="16" t="str">
        <x:v>Missing email</x:v>
      </x:c>
    </x:row>
    <x:row r="6596">
      <x:c r="A6596" s="16" t="n">
        <x:v>6832</x:v>
      </x:c>
      <x:c r="B6596" s="16" t="str">
        <x:v>Tuan Reen Meatech Studio</x:v>
      </x:c>
      <x:c r="C6596" s="16" t="str"/>
      <x:c r="D6596" s="16" t="str">
        <x:v>* myContacts</x:v>
      </x:c>
      <x:c r="E6596" s="16" t="str">
        <x:v>Missing email</x:v>
      </x:c>
    </x:row>
    <x:row r="6597">
      <x:c r="A6597" s="16" t="n">
        <x:v>6833</x:v>
      </x:c>
      <x:c r="B6597" s="16" t="str">
        <x:v>Tuan Rezza Trainer</x:v>
      </x:c>
      <x:c r="C6597" s="16" t="str"/>
      <x:c r="D6597" s="16" t="str">
        <x:v>Trainer | * myContacts</x:v>
      </x:c>
      <x:c r="E6597" s="16" t="str">
        <x:v>Missing email</x:v>
      </x:c>
    </x:row>
    <x:row r="6598">
      <x:c r="A6598" s="16" t="n">
        <x:v>6834</x:v>
      </x:c>
      <x:c r="B6598" s="16" t="str">
        <x:v>Tuan Rizal Mahaguru Plf</x:v>
      </x:c>
      <x:c r="C6598" s="16" t="str"/>
      <x:c r="D6598" s="16" t="str">
        <x:v>* myContacts</x:v>
      </x:c>
      <x:c r="E6598" s="16" t="str">
        <x:v>Missing email</x:v>
      </x:c>
    </x:row>
    <x:row r="6599">
      <x:c r="A6599" s="16" t="n">
        <x:v>6835</x:v>
      </x:c>
      <x:c r="B6599" s="16" t="str">
        <x:v>Tuan Sableh Pakar Zero Kos Marketing</x:v>
      </x:c>
      <x:c r="C6599" s="16" t="str"/>
      <x:c r="D6599" s="16" t="str">
        <x:v>* myContacts</x:v>
      </x:c>
      <x:c r="E6599" s="16" t="str">
        <x:v>Missing email</x:v>
      </x:c>
    </x:row>
    <x:row r="6600">
      <x:c r="A6600" s="16" t="n">
        <x:v>6836</x:v>
      </x:c>
      <x:c r="B6600" s="16" t="str">
        <x:v>Tuan Saiful</x:v>
      </x:c>
      <x:c r="C6600" s="16" t="str"/>
      <x:c r="D6600" s="16" t="str">
        <x:v>* myContacts</x:v>
      </x:c>
      <x:c r="E6600" s="16" t="str">
        <x:v>Missing email</x:v>
      </x:c>
    </x:row>
    <x:row r="6601">
      <x:c r="A6601" s="16" t="n">
        <x:v>6837</x:v>
      </x:c>
      <x:c r="B6601" s="16" t="str">
        <x:v>Tuan Saiful Mbm</x:v>
      </x:c>
      <x:c r="C6601" s="16" t="str"/>
      <x:c r="D6601" s="16" t="str">
        <x:v>* myContacts</x:v>
      </x:c>
      <x:c r="E6601" s="16" t="str">
        <x:v>Missing email</x:v>
      </x:c>
    </x:row>
    <x:row r="6602">
      <x:c r="A6602" s="16" t="n">
        <x:v>6838</x:v>
      </x:c>
      <x:c r="B6602" s="16" t="str">
        <x:v>Tuan Saiful Pegawai jaga Hijrah Shah Alam</x:v>
      </x:c>
      <x:c r="C6602" s="16" t="str"/>
      <x:c r="D6602" s="16" t="str">
        <x:v>Alumni eUsahawan | * myContacts</x:v>
      </x:c>
      <x:c r="E6602" s="16" t="str">
        <x:v>Missing email</x:v>
      </x:c>
    </x:row>
    <x:row r="6603">
      <x:c r="A6603" s="16" t="n">
        <x:v>6839</x:v>
      </x:c>
      <x:c r="B6603" s="16" t="str">
        <x:v>Tuan Saifulzaman</x:v>
      </x:c>
      <x:c r="C6603" s="16" t="str"/>
      <x:c r="D6603" s="16" t="str">
        <x:v>* myContacts</x:v>
      </x:c>
      <x:c r="E6603" s="16" t="str">
        <x:v>Missing email</x:v>
      </x:c>
    </x:row>
    <x:row r="6604">
      <x:c r="A6604" s="16" t="n">
        <x:v>6840</x:v>
      </x:c>
      <x:c r="B6604" s="16" t="str">
        <x:v>Tuan Salmi</x:v>
      </x:c>
      <x:c r="C6604" s="16" t="str"/>
      <x:c r="D6604" s="16" t="str">
        <x:v>* myContacts</x:v>
      </x:c>
      <x:c r="E6604" s="16" t="str">
        <x:v>Missing email</x:v>
      </x:c>
    </x:row>
    <x:row r="6605">
      <x:c r="A6605" s="16" t="n">
        <x:v>6841</x:v>
      </x:c>
      <x:c r="B6605" s="16" t="str">
        <x:v>Tuan Shahril Sudin Pakar Copywriting</x:v>
      </x:c>
      <x:c r="C6605" s="16" t="str"/>
      <x:c r="D6605" s="16" t="str">
        <x:v>* myContacts</x:v>
      </x:c>
      <x:c r="E6605" s="16" t="str">
        <x:v>Missing email</x:v>
      </x:c>
    </x:row>
    <x:row r="6606">
      <x:c r="A6606" s="16" t="n">
        <x:v>6842</x:v>
      </x:c>
      <x:c r="B6606" s="16" t="str">
        <x:v>Tuan Sifu Sam Khudd</x:v>
      </x:c>
      <x:c r="C6606" s="16" t="str"/>
      <x:c r="D6606" s="16" t="str">
        <x:v>Trainer | * myContacts</x:v>
      </x:c>
      <x:c r="E6606" s="16" t="str">
        <x:v>Missing email</x:v>
      </x:c>
    </x:row>
    <x:row r="6607">
      <x:c r="A6607" s="16" t="n">
        <x:v>6843</x:v>
      </x:c>
      <x:c r="B6607" s="16" t="str">
        <x:v>Tuan Sulaiman Trainer Eusahawan</x:v>
      </x:c>
      <x:c r="C6607" s="16" t="str"/>
      <x:c r="D6607" s="16" t="str">
        <x:v>Alumni eUsahawan | * myContacts</x:v>
      </x:c>
      <x:c r="E6607" s="16" t="str">
        <x:v>Missing email</x:v>
      </x:c>
    </x:row>
    <x:row r="6608">
      <x:c r="A6608" s="16" t="n">
        <x:v>6844</x:v>
      </x:c>
      <x:c r="B6608" s="16" t="str">
        <x:v>Tuan Syah</x:v>
      </x:c>
      <x:c r="C6608" s="16" t="str"/>
      <x:c r="D6608" s="16" t="str">
        <x:v>* myContacts</x:v>
      </x:c>
      <x:c r="E6608" s="16" t="str">
        <x:v>Missing email</x:v>
      </x:c>
    </x:row>
    <x:row r="6609">
      <x:c r="A6609" s="16" t="n">
        <x:v>6845</x:v>
      </x:c>
      <x:c r="B6609" s="16" t="str">
        <x:v>Tuan Syed Azril BDA</x:v>
      </x:c>
      <x:c r="C6609" s="16" t="str"/>
      <x:c r="D6609" s="16" t="str">
        <x:v>* myContacts</x:v>
      </x:c>
      <x:c r="E6609" s="16" t="str">
        <x:v>Missing email</x:v>
      </x:c>
    </x:row>
    <x:row r="6610">
      <x:c r="A6610" s="16" t="n">
        <x:v>6846</x:v>
      </x:c>
      <x:c r="B6610" s="16" t="str">
        <x:v>Tuan Trainer Fahmie Abu Bakar</x:v>
      </x:c>
      <x:c r="C6610" s="16" t="str"/>
      <x:c r="D6610" s="16" t="str">
        <x:v>Trainer | * myContacts</x:v>
      </x:c>
      <x:c r="E6610" s="16" t="str">
        <x:v>Missing email</x:v>
      </x:c>
    </x:row>
    <x:row r="6611">
      <x:c r="A6611" s="16" t="n">
        <x:v>6847</x:v>
      </x:c>
      <x:c r="B6611" s="16" t="str">
        <x:v>tuan yahya tauke facemask</x:v>
      </x:c>
      <x:c r="C6611" s="16" t="str"/>
      <x:c r="D6611" s="16" t="str">
        <x:v>* myContacts</x:v>
      </x:c>
      <x:c r="E6611" s="16" t="str">
        <x:v>Missing email</x:v>
      </x:c>
    </x:row>
    <x:row r="6612">
      <x:c r="A6612" s="16" t="n">
        <x:v>6848</x:v>
      </x:c>
      <x:c r="B6612" s="16" t="str">
        <x:v>Tuan Yusri FAMA MUKAH</x:v>
      </x:c>
      <x:c r="C6612" s="16" t="str"/>
      <x:c r="D6612" s="16" t="str">
        <x:v>* myContacts</x:v>
      </x:c>
      <x:c r="E6612" s="16" t="str">
        <x:v>Missing email</x:v>
      </x:c>
    </x:row>
    <x:row r="6613">
      <x:c r="A6613" s="16" t="n">
        <x:v>6849</x:v>
      </x:c>
      <x:c r="B6613" s="16" t="str">
        <x:v>Tuan Zaif AMD GROUP</x:v>
      </x:c>
      <x:c r="C6613" s="16" t="str"/>
      <x:c r="D6613" s="16" t="str">
        <x:v>* myContacts</x:v>
      </x:c>
      <x:c r="E6613" s="16" t="str">
        <x:v>Missing email</x:v>
      </x:c>
    </x:row>
    <x:row r="6614">
      <x:c r="A6614" s="16" t="n">
        <x:v>6850</x:v>
      </x:c>
      <x:c r="B6614" s="16" t="str">
        <x:v>Tuan Zainal Rexton</x:v>
      </x:c>
      <x:c r="C6614" s="16" t="str"/>
      <x:c r="D6614" s="16" t="str">
        <x:v>* myContacts</x:v>
      </x:c>
      <x:c r="E6614" s="16" t="str">
        <x:v>Missing email</x:v>
      </x:c>
    </x:row>
    <x:row r="6615">
      <x:c r="A6615" s="16" t="n">
        <x:v>6851</x:v>
      </x:c>
      <x:c r="B6615" s="16" t="str">
        <x:v>Tuan Zaini Fama</x:v>
      </x:c>
      <x:c r="C6615" s="16" t="str"/>
      <x:c r="D6615" s="16" t="str">
        <x:v>* myContacts</x:v>
      </x:c>
      <x:c r="E6615" s="16" t="str">
        <x:v>Missing email</x:v>
      </x:c>
    </x:row>
    <x:row r="6616">
      <x:c r="A6616" s="16" t="n">
        <x:v>6852</x:v>
      </x:c>
      <x:c r="B6616" s="16" t="str">
        <x:v>Tuan Zaki Internet Marketeer</x:v>
      </x:c>
      <x:c r="C6616" s="16" t="str"/>
      <x:c r="D6616" s="16" t="str">
        <x:v>* myContacts</x:v>
      </x:c>
      <x:c r="E6616" s="16" t="str">
        <x:v>Missing email</x:v>
      </x:c>
    </x:row>
    <x:row r="6617">
      <x:c r="A6617" s="16" t="n">
        <x:v>6853</x:v>
      </x:c>
      <x:c r="B6617" s="16" t="str">
        <x:v>Tuan Zul Ultimate CEO</x:v>
      </x:c>
      <x:c r="C6617" s="16" t="str"/>
      <x:c r="D6617" s="16" t="str">
        <x:v>* myContacts</x:v>
      </x:c>
      <x:c r="E6617" s="16" t="str">
        <x:v>Missing email</x:v>
      </x:c>
    </x:row>
    <x:row r="6618">
      <x:c r="A6618" s="16" t="n">
        <x:v>6854</x:v>
      </x:c>
      <x:c r="B6618" s="16" t="str">
        <x:v>TuanDin ToneExcel</x:v>
      </x:c>
      <x:c r="C6618" s="16" t="str"/>
      <x:c r="D6618" s="16" t="str">
        <x:v>* myContacts</x:v>
      </x:c>
      <x:c r="E6618" s="16" t="str">
        <x:v>Missing email</x:v>
      </x:c>
    </x:row>
    <x:row r="6619">
      <x:c r="A6619" s="16" t="n">
        <x:v>6855</x:v>
      </x:c>
      <x:c r="B6619" s="16" t="str">
        <x:v>Tukang urut ipoh</x:v>
      </x:c>
      <x:c r="C6619" s="16" t="str"/>
      <x:c r="D6619" s="16" t="str">
        <x:v>* myContacts</x:v>
      </x:c>
      <x:c r="E6619" s="16" t="str">
        <x:v>Missing email</x:v>
      </x:c>
    </x:row>
    <x:row r="6620">
      <x:c r="A6620" s="16" t="n">
        <x:v>6856</x:v>
      </x:c>
      <x:c r="B6620" s="16" t="str">
        <x:v>tukang urut ipoh 2</x:v>
      </x:c>
      <x:c r="C6620" s="16" t="str"/>
      <x:c r="D6620" s="16" t="str">
        <x:v>* myContacts</x:v>
      </x:c>
      <x:c r="E6620" s="16" t="str">
        <x:v>Missing email</x:v>
      </x:c>
    </x:row>
    <x:row r="6621">
      <x:c r="A6621" s="16" t="n">
        <x:v>6857</x:v>
      </x:c>
      <x:c r="B6621" s="16" t="str">
        <x:v>Tun Mohd Rizal</x:v>
      </x:c>
      <x:c r="C6621" s="16" t="str"/>
      <x:c r="D6621" s="16" t="str">
        <x:v>* myContacts</x:v>
      </x:c>
      <x:c r="E6621" s="16" t="str">
        <x:v>Missing email</x:v>
      </x:c>
    </x:row>
    <x:row r="6622">
      <x:c r="A6622" s="16" t="n">
        <x:v>6858</x:v>
      </x:c>
      <x:c r="B6622" s="16" t="str">
        <x:v>Tun Syafiq Tun Baharum Terengganu Digital</x:v>
      </x:c>
      <x:c r="C6622" s="16" t="str"/>
      <x:c r="D6622" s="16" t="str">
        <x:v>* myContacts</x:v>
      </x:c>
      <x:c r="E6622" s="16" t="str">
        <x:v>Missing email</x:v>
      </x:c>
    </x:row>
    <x:row r="6623">
      <x:c r="A6623" s="16" t="n">
        <x:v>6859</x:v>
      </x:c>
      <x:c r="B6623" s="16" t="str">
        <x:v>Tunai Zakat Selangor</x:v>
      </x:c>
      <x:c r="C6623" s="16" t="str"/>
      <x:c r="D6623" s="16" t="str">
        <x:v>* myContacts</x:v>
      </x:c>
      <x:c r="E6623" s="16" t="str">
        <x:v>Missing email</x:v>
      </x:c>
    </x:row>
    <x:row r="6624">
      <x:c r="A6624" s="16" t="n">
        <x:v>6860</x:v>
      </x:c>
      <x:c r="B6624" s="16" t="str">
        <x:v>Tvern Recycle Besi Buruk Bestari Jaya</x:v>
      </x:c>
      <x:c r="C6624" s="16" t="str"/>
      <x:c r="D6624" s="16" t="str">
        <x:v>* myContacts</x:v>
      </x:c>
      <x:c r="E6624" s="16" t="str">
        <x:v>Missing email</x:v>
      </x:c>
    </x:row>
    <x:row r="6625">
      <x:c r="A6625" s="16" t="n">
        <x:v>6861</x:v>
      </x:c>
      <x:c r="B6625" s="16" t="str">
        <x:v>Twinter Winx Twinter Winx</x:v>
      </x:c>
      <x:c r="C6625" s="16" t="str"/>
      <x:c r="D6625" s="16" t="str">
        <x:v>* myContacts</x:v>
      </x:c>
      <x:c r="E6625" s="16" t="str">
        <x:v>Missing email</x:v>
      </x:c>
    </x:row>
    <x:row r="6626">
      <x:c r="A6626" s="16" t="n">
        <x:v>6862</x:v>
      </x:c>
      <x:c r="B6626" s="16" t="str">
        <x:v>Tyre Sumec</x:v>
      </x:c>
      <x:c r="C6626" s="16" t="str"/>
      <x:c r="D6626" s="16" t="str">
        <x:v>* myContacts</x:v>
      </x:c>
      <x:c r="E6626" s="16" t="str">
        <x:v>Missing email</x:v>
      </x:c>
    </x:row>
    <x:row r="6627">
      <x:c r="A6627" s="16" t="n">
        <x:v>6863</x:v>
      </x:c>
      <x:c r="B6627" s="16" t="str">
        <x:v>U'jerydxbc</x:v>
      </x:c>
      <x:c r="C6627" s="16" t="str"/>
      <x:c r="D6627" s="16" t="str">
        <x:v>* myContacts</x:v>
      </x:c>
      <x:c r="E6627" s="16" t="str">
        <x:v>Missing email</x:v>
      </x:c>
    </x:row>
    <x:row r="6628">
      <x:c r="A6628" s="16" t="n">
        <x:v>6864</x:v>
      </x:c>
      <x:c r="B6628" s="16" t="str">
        <x:v>UB Wong</x:v>
      </x:c>
      <x:c r="C6628" s="16" t="str"/>
      <x:c r="D6628" s="16" t="str">
        <x:v>* myContacts</x:v>
      </x:c>
      <x:c r="E6628" s="16" t="str">
        <x:v>Missing email</x:v>
      </x:c>
    </x:row>
    <x:row r="6629">
      <x:c r="A6629" s="16" t="n">
        <x:v>6865</x:v>
      </x:c>
      <x:c r="B6629" s="16" t="str">
        <x:v>Ubahsuai Rumah</x:v>
      </x:c>
      <x:c r="C6629" s="16" t="str"/>
      <x:c r="D6629" s="16" t="str">
        <x:v>* myContacts</x:v>
      </x:c>
      <x:c r="E6629" s="16" t="str">
        <x:v>Missing email</x:v>
      </x:c>
    </x:row>
    <x:row r="6630">
      <x:c r="A6630" s="16" t="n">
        <x:v>6866</x:v>
      </x:c>
      <x:c r="B6630" s="16" t="str">
        <x:v>Ubai Internet Marketeer</x:v>
      </x:c>
      <x:c r="C6630" s="16" t="str"/>
      <x:c r="D6630" s="16" t="str">
        <x:v>* myContacts</x:v>
      </x:c>
      <x:c r="E6630" s="16" t="str">
        <x:v>Missing email</x:v>
      </x:c>
    </x:row>
    <x:row r="6631">
      <x:c r="A6631" s="16" t="n">
        <x:v>6867</x:v>
      </x:c>
      <x:c r="B6631" s="16" t="str">
        <x:v>Ubat Kuat Power Booster</x:v>
      </x:c>
      <x:c r="C6631" s="16" t="str"/>
      <x:c r="D6631" s="16" t="str">
        <x:v>* myContacts</x:v>
      </x:c>
      <x:c r="E6631" s="16" t="str">
        <x:v>Missing email</x:v>
      </x:c>
    </x:row>
    <x:row r="6632">
      <x:c r="A6632" s="16" t="n">
        <x:v>6868</x:v>
      </x:c>
      <x:c r="B6632" s="16" t="str">
        <x:v>Ubat Pesaka</x:v>
      </x:c>
      <x:c r="C6632" s="16" t="str"/>
      <x:c r="D6632" s="16" t="str">
        <x:v>* myContacts</x:v>
      </x:c>
      <x:c r="E6632" s="16" t="str">
        <x:v>Missing email</x:v>
      </x:c>
    </x:row>
    <x:row r="6633">
      <x:c r="A6633" s="16" t="n">
        <x:v>6869</x:v>
      </x:c>
      <x:c r="B6633" s="16" t="str">
        <x:v>Ubi TT SHOP Affiliate</x:v>
      </x:c>
      <x:c r="C6633" s="16" t="str"/>
      <x:c r="D6633" s="16" t="str">
        <x:v>* myContacts</x:v>
      </x:c>
      <x:c r="E6633" s="16" t="str">
        <x:v>Missing email</x:v>
      </x:c>
    </x:row>
    <x:row r="6634">
      <x:c r="A6634" s="16" t="n">
        <x:v>6870</x:v>
      </x:c>
      <x:c r="B6634" s="16" t="str">
        <x:v>UChantek Flowers</x:v>
      </x:c>
      <x:c r="C6634" s="16" t="str"/>
      <x:c r="D6634" s="16" t="str">
        <x:v>* myContacts</x:v>
      </x:c>
      <x:c r="E6634" s="16" t="str">
        <x:v>Missing email</x:v>
      </x:c>
    </x:row>
    <x:row r="6635">
      <x:c r="A6635" s="16" t="n">
        <x:v>6871</x:v>
      </x:c>
      <x:c r="B6635" s="16" t="str">
        <x:v>Uchiha Qristal</x:v>
      </x:c>
      <x:c r="C6635" s="16" t="str"/>
      <x:c r="D6635" s="16" t="str">
        <x:v>* myContacts</x:v>
      </x:c>
      <x:c r="E6635" s="16" t="str">
        <x:v>Missing email</x:v>
      </x:c>
    </x:row>
    <x:row r="6636">
      <x:c r="A6636" s="16" t="n">
        <x:v>6872</x:v>
      </x:c>
      <x:c r="B6636" s="16" t="str">
        <x:v>Uda Naeim Abd Rahim</x:v>
      </x:c>
      <x:c r="C6636" s="16" t="str"/>
      <x:c r="D6636" s="16" t="str">
        <x:v>* myContacts</x:v>
      </x:c>
      <x:c r="E6636" s="16" t="str">
        <x:v>Missing email</x:v>
      </x:c>
    </x:row>
    <x:row r="6637">
      <x:c r="A6637" s="16" t="n">
        <x:v>6873</x:v>
      </x:c>
      <x:c r="B6637" s="16" t="str">
        <x:v>Udanis DPIM Kuantan</x:v>
      </x:c>
      <x:c r="C6637" s="16" t="str"/>
      <x:c r="D6637" s="16" t="str">
        <x:v>* myContacts</x:v>
      </x:c>
      <x:c r="E6637" s="16" t="str">
        <x:v>Missing email</x:v>
      </x:c>
    </x:row>
    <x:row r="6638">
      <x:c r="A6638" s="16" t="n">
        <x:v>6874</x:v>
      </x:c>
      <x:c r="B6638" s="16" t="str">
        <x:v>Udax Kechik</x:v>
      </x:c>
      <x:c r="C6638" s="16" t="str"/>
      <x:c r="D6638" s="16" t="str">
        <x:v>* myContacts</x:v>
      </x:c>
      <x:c r="E6638" s="16" t="str">
        <x:v>Missing email</x:v>
      </x:c>
    </x:row>
    <x:row r="6639">
      <x:c r="A6639" s="16" t="n">
        <x:v>6875</x:v>
      </x:c>
      <x:c r="B6639" s="16" t="str">
        <x:v>Udin Najmuddin</x:v>
      </x:c>
      <x:c r="C6639" s="16" t="str"/>
      <x:c r="D6639" s="16" t="str">
        <x:v>* myContacts</x:v>
      </x:c>
      <x:c r="E6639" s="16" t="str">
        <x:v>Missing email</x:v>
      </x:c>
    </x:row>
    <x:row r="6640">
      <x:c r="A6640" s="16" t="n">
        <x:v>6876</x:v>
      </x:c>
      <x:c r="B6640" s="16" t="str">
        <x:v>Ugie Tawau</x:v>
      </x:c>
      <x:c r="C6640" s="16" t="str"/>
      <x:c r="D6640" s="16" t="str">
        <x:v>* myContacts</x:v>
      </x:c>
      <x:c r="E6640" s="16" t="str">
        <x:v>Missing email</x:v>
      </x:c>
    </x:row>
    <x:row r="6641">
      <x:c r="A6641" s="16" t="n">
        <x:v>6877</x:v>
      </x:c>
      <x:c r="B6641" s="16" t="str">
        <x:v>UITM Akila P Alam</x:v>
      </x:c>
      <x:c r="C6641" s="16" t="str"/>
      <x:c r="D6641" s="16" t="str">
        <x:v>* myContacts</x:v>
      </x:c>
      <x:c r="E6641" s="16" t="str">
        <x:v>Missing email</x:v>
      </x:c>
    </x:row>
    <x:row r="6642">
      <x:c r="A6642" s="16" t="n">
        <x:v>6878</x:v>
      </x:c>
      <x:c r="B6642" s="16" t="str">
        <x:v>Ujang Hajjar</x:v>
      </x:c>
      <x:c r="C6642" s="16" t="str"/>
      <x:c r="D6642" s="16" t="str">
        <x:v>* myContacts</x:v>
      </x:c>
      <x:c r="E6642" s="16" t="str">
        <x:v>Missing email</x:v>
      </x:c>
    </x:row>
    <x:row r="6643">
      <x:c r="A6643" s="16" t="n">
        <x:v>6879</x:v>
      </x:c>
      <x:c r="B6643" s="16" t="str">
        <x:v>Ullah Perabot</x:v>
      </x:c>
      <x:c r="C6643" s="16" t="str"/>
      <x:c r="D6643" s="16" t="str">
        <x:v>* myContacts</x:v>
      </x:c>
      <x:c r="E6643" s="16" t="str">
        <x:v>Missing email</x:v>
      </x:c>
    </x:row>
    <x:row r="6644">
      <x:c r="A6644" s="16" t="n">
        <x:v>6880</x:v>
      </x:c>
      <x:c r="B6644" s="16" t="str">
        <x:v>Umaira Uitm</x:v>
      </x:c>
      <x:c r="C6644" s="16" t="str"/>
      <x:c r="D6644" s="16" t="str">
        <x:v>* myContacts</x:v>
      </x:c>
      <x:c r="E6644" s="16" t="str">
        <x:v>Missing email</x:v>
      </x:c>
    </x:row>
    <x:row r="6645">
      <x:c r="A6645" s="16" t="n">
        <x:v>6881</x:v>
      </x:c>
      <x:c r="B6645" s="16" t="str">
        <x:v>Umairra Razali</x:v>
      </x:c>
      <x:c r="C6645" s="16" t="str"/>
      <x:c r="D6645" s="16" t="str">
        <x:v>* myContacts</x:v>
      </x:c>
      <x:c r="E6645" s="16" t="str">
        <x:v>Missing email</x:v>
      </x:c>
    </x:row>
    <x:row r="6646">
      <x:c r="A6646" s="16" t="n">
        <x:v>6882</x:v>
      </x:c>
      <x:c r="B6646" s="16" t="str">
        <x:v>Umar Khairan</x:v>
      </x:c>
      <x:c r="C6646" s="16" t="str"/>
      <x:c r="D6646" s="16" t="str">
        <x:v>* myContacts</x:v>
      </x:c>
      <x:c r="E6646" s="16" t="str">
        <x:v>Missing email</x:v>
      </x:c>
    </x:row>
    <x:row r="6647">
      <x:c r="A6647" s="16" t="n">
        <x:v>6883</x:v>
      </x:c>
      <x:c r="B6647" s="16" t="str">
        <x:v>Umar Nlp Kajang</x:v>
      </x:c>
      <x:c r="C6647" s="16" t="str"/>
      <x:c r="D6647" s="16" t="str">
        <x:v>* myContacts</x:v>
      </x:c>
      <x:c r="E6647" s="16" t="str">
        <x:v>Missing email</x:v>
      </x:c>
    </x:row>
    <x:row r="6648">
      <x:c r="A6648" s="16" t="n">
        <x:v>6884</x:v>
      </x:c>
      <x:c r="B6648" s="16" t="str">
        <x:v>Umar Taib Mudah IM</x:v>
      </x:c>
      <x:c r="C6648" s="16" t="str"/>
      <x:c r="D6648" s="16" t="str">
        <x:v>* myContacts</x:v>
      </x:c>
      <x:c r="E6648" s="16" t="str">
        <x:v>Missing email</x:v>
      </x:c>
    </x:row>
    <x:row r="6649">
      <x:c r="A6649" s="16" t="n">
        <x:v>6885</x:v>
      </x:c>
      <x:c r="B6649" s="16" t="str">
        <x:v>Umesh tech mahendra class assistant</x:v>
      </x:c>
      <x:c r="C6649" s="16" t="str"/>
      <x:c r="D6649" s="16" t="str">
        <x:v>* myContacts</x:v>
      </x:c>
      <x:c r="E6649" s="16" t="str">
        <x:v>Missing email</x:v>
      </x:c>
    </x:row>
    <x:row r="6650">
      <x:c r="A6650" s="16" t="n">
        <x:v>6886</x:v>
      </x:c>
      <x:c r="B6650" s="16" t="str">
        <x:v>Umi Abi Nurul</x:v>
      </x:c>
      <x:c r="C6650" s="16" t="str"/>
      <x:c r="D6650" s="16" t="str">
        <x:v>* myContacts</x:v>
      </x:c>
      <x:c r="E6650" s="16" t="str">
        <x:v>Missing email</x:v>
      </x:c>
    </x:row>
    <x:row r="6651">
      <x:c r="A6651" s="16" t="n">
        <x:v>6887</x:v>
      </x:c>
      <x:c r="B6651" s="16" t="str">
        <x:v>Umi Fatin Amirah AGP</x:v>
      </x:c>
      <x:c r="C6651" s="16" t="str"/>
      <x:c r="D6651" s="16" t="str">
        <x:v>* myContacts</x:v>
      </x:c>
      <x:c r="E6651" s="16" t="str">
        <x:v>Missing email</x:v>
      </x:c>
    </x:row>
    <x:row r="6652">
      <x:c r="A6652" s="16" t="n">
        <x:v>6888</x:v>
      </x:c>
      <x:c r="B6652" s="16" t="str">
        <x:v>Umie Asyraf Arsyad</x:v>
      </x:c>
      <x:c r="C6652" s="16" t="str"/>
      <x:c r="D6652" s="16" t="str">
        <x:v>* myContacts</x:v>
      </x:c>
      <x:c r="E6652" s="16" t="str">
        <x:v>Missing email</x:v>
      </x:c>
    </x:row>
    <x:row r="6653">
      <x:c r="A6653" s="16" t="n">
        <x:v>6889</x:v>
      </x:c>
      <x:c r="B6653" s="16" t="str">
        <x:v>Umie Md Zain</x:v>
      </x:c>
      <x:c r="C6653" s="16" t="str"/>
      <x:c r="D6653" s="16" t="str">
        <x:v>* myContacts</x:v>
      </x:c>
      <x:c r="E6653" s="16" t="str">
        <x:v>Missing email</x:v>
      </x:c>
    </x:row>
    <x:row r="6654">
      <x:c r="A6654" s="16" t="n">
        <x:v>6890</x:v>
      </x:c>
      <x:c r="B6654" s="16" t="str">
        <x:v>Umie N Abie Ukail</x:v>
      </x:c>
      <x:c r="C6654" s="16" t="str"/>
      <x:c r="D6654" s="16" t="str">
        <x:v>* myContacts</x:v>
      </x:c>
      <x:c r="E6654" s="16" t="str">
        <x:v>Missing email</x:v>
      </x:c>
    </x:row>
    <x:row r="6655">
      <x:c r="A6655" s="16" t="n">
        <x:v>6892</x:v>
      </x:c>
      <x:c r="B6655" s="16" t="str">
        <x:v>Umiek Salman</x:v>
      </x:c>
      <x:c r="C6655" s="16" t="str"/>
      <x:c r="D6655" s="16" t="str">
        <x:v>* myContacts</x:v>
      </x:c>
      <x:c r="E6655" s="16" t="str">
        <x:v>Missing email</x:v>
      </x:c>
    </x:row>
    <x:row r="6656">
      <x:c r="A6656" s="16" t="n">
        <x:v>6893</x:v>
      </x:c>
      <x:c r="B6656" s="16" t="str">
        <x:v>Ummi Cyg</x:v>
      </x:c>
      <x:c r="C6656" s="16" t="str"/>
      <x:c r="D6656" s="16" t="str">
        <x:v>* myContacts</x:v>
      </x:c>
      <x:c r="E6656" s="16" t="str">
        <x:v>Missing email</x:v>
      </x:c>
    </x:row>
    <x:row r="6657">
      <x:c r="A6657" s="16" t="n">
        <x:v>6894</x:v>
      </x:c>
      <x:c r="B6657" s="16" t="str">
        <x:v>Uncle Amir STP</x:v>
      </x:c>
      <x:c r="C6657" s="16" t="str"/>
      <x:c r="D6657" s="16" t="str">
        <x:v>* myContacts</x:v>
      </x:c>
      <x:c r="E6657" s="16" t="str">
        <x:v>Missing email</x:v>
      </x:c>
    </x:row>
    <x:row r="6658">
      <x:c r="A6658" s="16" t="n">
        <x:v>6895</x:v>
      </x:c>
      <x:c r="B6658" s="16" t="str">
        <x:v>Uncle JO</x:v>
      </x:c>
      <x:c r="C6658" s="16" t="str"/>
      <x:c r="D6658" s="16" t="str">
        <x:v>* myContacts</x:v>
      </x:c>
      <x:c r="E6658" s="16" t="str">
        <x:v>Missing email</x:v>
      </x:c>
    </x:row>
    <x:row r="6659">
      <x:c r="A6659" s="16" t="n">
        <x:v>6896</x:v>
      </x:c>
      <x:c r="B6659" s="16" t="str">
        <x:v>Ungku Ubaidillah Ungku Farouk</x:v>
      </x:c>
      <x:c r="C6659" s="16" t="str"/>
      <x:c r="D6659" s="16" t="str">
        <x:v>* myContacts</x:v>
      </x:c>
      <x:c r="E6659" s="16" t="str">
        <x:v>Missing email</x:v>
      </x:c>
    </x:row>
    <x:row r="6660">
      <x:c r="A6660" s="16" t="n">
        <x:v>6897</x:v>
      </x:c>
      <x:c r="B6660" s="16" t="str">
        <x:v>UniKL Shafiq</x:v>
      </x:c>
      <x:c r="C6660" s="16" t="str"/>
      <x:c r="D6660" s="16" t="str">
        <x:v>* myContacts</x:v>
      </x:c>
      <x:c r="E6660" s="16" t="str">
        <x:v>Missing email</x:v>
      </x:c>
    </x:row>
    <x:row r="6661">
      <x:c r="A6661" s="16" t="n">
        <x:v>6898</x:v>
      </x:c>
      <x:c r="B6661" s="16" t="str">
        <x:v>Unisel Faiz Pembangunan</x:v>
      </x:c>
      <x:c r="C6661" s="16" t="str"/>
      <x:c r="D6661" s="16" t="str">
        <x:v>* myContacts</x:v>
      </x:c>
      <x:c r="E6661" s="16" t="str">
        <x:v>Missing email</x:v>
      </x:c>
    </x:row>
    <x:row r="6662">
      <x:c r="A6662" s="16" t="n">
        <x:v>6899</x:v>
      </x:c>
      <x:c r="B6662" s="16" t="str">
        <x:v>UnitechSolution Unitech</x:v>
      </x:c>
      <x:c r="C6662" s="16" t="str"/>
      <x:c r="D6662" s="16" t="str">
        <x:v>* myContacts</x:v>
      </x:c>
      <x:c r="E6662" s="16" t="str">
        <x:v>Missing email</x:v>
      </x:c>
    </x:row>
    <x:row r="6663">
      <x:c r="A6663" s="16" t="n">
        <x:v>6900</x:v>
      </x:c>
      <x:c r="B6663" s="16" t="str">
        <x:v>Unqle Reza</x:v>
      </x:c>
      <x:c r="C6663" s="16" t="str"/>
      <x:c r="D6663" s="16" t="str">
        <x:v>* myContacts</x:v>
      </x:c>
      <x:c r="E6663" s="16" t="str">
        <x:v>Missing email</x:v>
      </x:c>
    </x:row>
    <x:row r="6664">
      <x:c r="A6664" s="16" t="n">
        <x:v>6901</x:v>
      </x:c>
      <x:c r="B6664" s="16" t="str">
        <x:v>upm hainizawati</x:v>
      </x:c>
      <x:c r="C6664" s="16" t="str"/>
      <x:c r="D6664" s="16" t="str">
        <x:v>* myContacts</x:v>
      </x:c>
      <x:c r="E6664" s="16" t="str">
        <x:v>Missing email</x:v>
      </x:c>
    </x:row>
    <x:row r="6665">
      <x:c r="A6665" s="16" t="n">
        <x:v>6902</x:v>
      </x:c>
      <x:c r="B6665" s="16" t="str">
        <x:v>upm khairul hisham</x:v>
      </x:c>
      <x:c r="C6665" s="16" t="str"/>
      <x:c r="D6665" s="16" t="str">
        <x:v>* myContacts</x:v>
      </x:c>
      <x:c r="E6665" s="16" t="str">
        <x:v>Missing email</x:v>
      </x:c>
    </x:row>
    <x:row r="6666">
      <x:c r="A6666" s="16" t="n">
        <x:v>6903</x:v>
      </x:c>
      <x:c r="B6666" s="16" t="str">
        <x:v>upm khalil imran kamarudin</x:v>
      </x:c>
      <x:c r="C6666" s="16" t="str"/>
      <x:c r="D6666" s="16" t="str">
        <x:v>* myContacts</x:v>
      </x:c>
      <x:c r="E6666" s="16" t="str">
        <x:v>Missing email</x:v>
      </x:c>
    </x:row>
    <x:row r="6667">
      <x:c r="A6667" s="16" t="n">
        <x:v>6904</x:v>
      </x:c>
      <x:c r="B6667" s="16" t="str">
        <x:v>upm maznizazura man</x:v>
      </x:c>
      <x:c r="C6667" s="16" t="str"/>
      <x:c r="D6667" s="16" t="str">
        <x:v>* myContacts</x:v>
      </x:c>
      <x:c r="E6667" s="16" t="str">
        <x:v>Missing email</x:v>
      </x:c>
    </x:row>
    <x:row r="6668">
      <x:c r="A6668" s="16" t="n">
        <x:v>6905</x:v>
      </x:c>
      <x:c r="B6668" s="16" t="str">
        <x:v>upm Mislan Bin Jamri</x:v>
      </x:c>
      <x:c r="C6668" s="16" t="str"/>
      <x:c r="D6668" s="16" t="str">
        <x:v>* myContacts</x:v>
      </x:c>
      <x:c r="E6668" s="16" t="str">
        <x:v>Missing email</x:v>
      </x:c>
    </x:row>
    <x:row r="6669">
      <x:c r="A6669" s="16" t="n">
        <x:v>6906</x:v>
      </x:c>
      <x:c r="B6669" s="16" t="str">
        <x:v>upm mohd shaifulnizam</x:v>
      </x:c>
      <x:c r="C6669" s="16" t="str"/>
      <x:c r="D6669" s="16" t="str">
        <x:v>* myContacts</x:v>
      </x:c>
      <x:c r="E6669" s="16" t="str">
        <x:v>Missing email</x:v>
      </x:c>
    </x:row>
    <x:row r="6670">
      <x:c r="A6670" s="16" t="n">
        <x:v>6907</x:v>
      </x:c>
      <x:c r="B6670" s="16" t="str">
        <x:v>Upm Nik Muhammad Sadri</x:v>
      </x:c>
      <x:c r="C6670" s="16" t="str"/>
      <x:c r="D6670" s="16" t="str">
        <x:v>* myContacts</x:v>
      </x:c>
      <x:c r="E6670" s="16" t="str">
        <x:v>Missing email</x:v>
      </x:c>
    </x:row>
    <x:row r="6671">
      <x:c r="A6671" s="16" t="n">
        <x:v>6908</x:v>
      </x:c>
      <x:c r="B6671" s="16" t="str">
        <x:v>upm nor azwan bin sarbani</x:v>
      </x:c>
      <x:c r="C6671" s="16" t="str"/>
      <x:c r="D6671" s="16" t="str">
        <x:v>* myContacts</x:v>
      </x:c>
      <x:c r="E6671" s="16" t="str">
        <x:v>Missing email</x:v>
      </x:c>
    </x:row>
    <x:row r="6672">
      <x:c r="A6672" s="16" t="n">
        <x:v>6909</x:v>
      </x:c>
      <x:c r="B6672" s="16" t="str">
        <x:v>upm nor razliana</x:v>
      </x:c>
      <x:c r="C6672" s="16" t="str"/>
      <x:c r="D6672" s="16" t="str">
        <x:v>* myContacts</x:v>
      </x:c>
      <x:c r="E6672" s="16" t="str">
        <x:v>Missing email</x:v>
      </x:c>
    </x:row>
    <x:row r="6673">
      <x:c r="A6673" s="16" t="n">
        <x:v>6910</x:v>
      </x:c>
      <x:c r="B6673" s="16" t="str">
        <x:v>upm norazfaniza abdullah</x:v>
      </x:c>
      <x:c r="C6673" s="16" t="str"/>
      <x:c r="D6673" s="16" t="str">
        <x:v>* myContacts</x:v>
      </x:c>
      <x:c r="E6673" s="16" t="str">
        <x:v>Missing email</x:v>
      </x:c>
    </x:row>
    <x:row r="6674">
      <x:c r="A6674" s="16" t="n">
        <x:v>6911</x:v>
      </x:c>
      <x:c r="B6674" s="16" t="str">
        <x:v>upm norizan bte yaacob</x:v>
      </x:c>
      <x:c r="C6674" s="16" t="str"/>
      <x:c r="D6674" s="16" t="str">
        <x:v>* myContacts</x:v>
      </x:c>
      <x:c r="E6674" s="16" t="str">
        <x:v>Missing email</x:v>
      </x:c>
    </x:row>
    <x:row r="6675">
      <x:c r="A6675" s="16" t="n">
        <x:v>6912</x:v>
      </x:c>
      <x:c r="B6675" s="16" t="str">
        <x:v>upm rahimah mohd razali</x:v>
      </x:c>
      <x:c r="C6675" s="16" t="str"/>
      <x:c r="D6675" s="16" t="str">
        <x:v>* myContacts</x:v>
      </x:c>
      <x:c r="E6675" s="16" t="str">
        <x:v>Missing email</x:v>
      </x:c>
    </x:row>
    <x:row r="6676">
      <x:c r="A6676" s="16" t="n">
        <x:v>6913</x:v>
      </x:c>
      <x:c r="B6676" s="16" t="str">
        <x:v>upm zinazman bin mustafa</x:v>
      </x:c>
      <x:c r="C6676" s="16" t="str"/>
      <x:c r="D6676" s="16" t="str">
        <x:v>* myContacts</x:v>
      </x:c>
      <x:c r="E6676" s="16" t="str">
        <x:v>Missing email</x:v>
      </x:c>
    </x:row>
    <x:row r="6677">
      <x:c r="A6677" s="16" t="n">
        <x:v>6914</x:v>
      </x:c>
      <x:c r="B6677" s="16" t="str">
        <x:v>Uqbah Abdul Rahman</x:v>
      </x:c>
      <x:c r="C6677" s="16" t="str"/>
      <x:c r="D6677" s="16" t="str">
        <x:v>* myContacts</x:v>
      </x:c>
      <x:c r="E6677" s="16" t="str">
        <x:v>Missing email</x:v>
      </x:c>
    </x:row>
    <x:row r="6678">
      <x:c r="A6678" s="16" t="n">
        <x:v>6915</x:v>
      </x:c>
      <x:c r="B6678" s="16" t="str">
        <x:v>Urusan Pembiayaan Perumahan DanTakaful</x:v>
      </x:c>
      <x:c r="C6678" s="16" t="str"/>
      <x:c r="D6678" s="16" t="str">
        <x:v>* myContacts</x:v>
      </x:c>
      <x:c r="E6678" s="16" t="str">
        <x:v>Missing email</x:v>
      </x:c>
    </x:row>
    <x:row r="6679">
      <x:c r="A6679" s="16" t="n">
        <x:v>6916</x:v>
      </x:c>
      <x:c r="B6679" s="16" t="str">
        <x:v>urusetia ahmad tabib stroke</x:v>
      </x:c>
      <x:c r="C6679" s="16" t="str"/>
      <x:c r="D6679" s="16" t="str">
        <x:v>* myContacts</x:v>
      </x:c>
      <x:c r="E6679" s="16" t="str">
        <x:v>Missing email</x:v>
      </x:c>
    </x:row>
    <x:row r="6680">
      <x:c r="A6680" s="16" t="n">
        <x:v>6917</x:v>
      </x:c>
      <x:c r="B6680" s="16" t="str">
        <x:v>Urut M Kenet</x:v>
      </x:c>
      <x:c r="C6680" s="16" t="str"/>
      <x:c r="D6680" s="16" t="str">
        <x:v>* myContacts</x:v>
      </x:c>
      <x:c r="E6680" s="16" t="str">
        <x:v>Missing email</x:v>
      </x:c>
    </x:row>
    <x:row r="6681">
      <x:c r="A6681" s="16" t="n">
        <x:v>6918</x:v>
      </x:c>
      <x:c r="B6681" s="16" t="str">
        <x:v>Urut Mat Sufi</x:v>
      </x:c>
      <x:c r="C6681" s="16" t="str"/>
      <x:c r="D6681" s="16" t="str">
        <x:v>* myContacts</x:v>
      </x:c>
      <x:c r="E6681" s="16" t="str">
        <x:v>Missing email</x:v>
      </x:c>
    </x:row>
    <x:row r="6682">
      <x:c r="A6682" s="16" t="n">
        <x:v>6919</x:v>
      </x:c>
      <x:c r="B6682" s="16" t="str">
        <x:v>urut tradisional ipoh ar razzi</x:v>
      </x:c>
      <x:c r="C6682" s="16" t="str"/>
      <x:c r="D6682" s="16" t="str">
        <x:v>* myContacts</x:v>
      </x:c>
      <x:c r="E6682" s="16" t="str">
        <x:v>Missing email</x:v>
      </x:c>
    </x:row>
    <x:row r="6683">
      <x:c r="A6683" s="16" t="n">
        <x:v>6920</x:v>
      </x:c>
      <x:c r="B6683" s="16" t="str">
        <x:v>ustaz areal mohd bakhair</x:v>
      </x:c>
      <x:c r="C6683" s="16" t="str"/>
      <x:c r="D6683" s="16" t="str">
        <x:v>* myContacts</x:v>
      </x:c>
      <x:c r="E6683" s="16" t="str">
        <x:v>Missing email</x:v>
      </x:c>
    </x:row>
    <x:row r="6684">
      <x:c r="A6684" s="16" t="n">
        <x:v>6921</x:v>
      </x:c>
      <x:c r="B6684" s="16" t="str">
        <x:v>ustaz aznil</x:v>
      </x:c>
      <x:c r="C6684" s="16" t="str"/>
      <x:c r="D6684" s="16" t="str">
        <x:v>* myContacts</x:v>
      </x:c>
      <x:c r="E6684" s="16" t="str">
        <x:v>Missing email</x:v>
      </x:c>
    </x:row>
    <x:row r="6685">
      <x:c r="A6685" s="16" t="n">
        <x:v>6922</x:v>
      </x:c>
      <x:c r="B6685" s="16" t="str">
        <x:v>Ustaz Ezriq</x:v>
      </x:c>
      <x:c r="C6685" s="16" t="str"/>
      <x:c r="D6685" s="16" t="str">
        <x:v>* myContacts</x:v>
      </x:c>
      <x:c r="E6685" s="16" t="str">
        <x:v>Missing email</x:v>
      </x:c>
    </x:row>
    <x:row r="6686">
      <x:c r="A6686" s="16" t="n">
        <x:v>6923</x:v>
      </x:c>
      <x:c r="B6686" s="16" t="str">
        <x:v>ustaz fajharuddin dpim perlis</x:v>
      </x:c>
      <x:c r="C6686" s="16" t="str"/>
      <x:c r="D6686" s="16" t="str">
        <x:v>* myContacts</x:v>
      </x:c>
      <x:c r="E6686" s="16" t="str">
        <x:v>Missing email</x:v>
      </x:c>
    </x:row>
    <x:row r="6687">
      <x:c r="A6687" s="16" t="n">
        <x:v>6924</x:v>
      </x:c>
      <x:c r="B6687" s="16" t="str">
        <x:v>ustaz gallery ilmu</x:v>
      </x:c>
      <x:c r="C6687" s="16" t="str"/>
      <x:c r="D6687" s="16" t="str">
        <x:v>* myContacts</x:v>
      </x:c>
      <x:c r="E6687" s="16" t="str">
        <x:v>Missing email</x:v>
      </x:c>
    </x:row>
    <x:row r="6688">
      <x:c r="A6688" s="16" t="n">
        <x:v>6925</x:v>
      </x:c>
      <x:c r="B6688" s="16" t="str">
        <x:v>Ustaz Ghazali</x:v>
      </x:c>
      <x:c r="C6688" s="16" t="str"/>
      <x:c r="D6688" s="16" t="str">
        <x:v>* myContacts</x:v>
      </x:c>
      <x:c r="E6688" s="16" t="str">
        <x:v>Missing email</x:v>
      </x:c>
    </x:row>
    <x:row r="6689">
      <x:c r="A6689" s="16" t="n">
        <x:v>6926</x:v>
      </x:c>
      <x:c r="B6689" s="16" t="str">
        <x:v>ustaz hamdan soif</x:v>
      </x:c>
      <x:c r="C6689" s="16" t="str"/>
      <x:c r="D6689" s="16" t="str">
        <x:v>* myContacts</x:v>
      </x:c>
      <x:c r="E6689" s="16" t="str">
        <x:v>Missing email</x:v>
      </x:c>
    </x:row>
    <x:row r="6690">
      <x:c r="A6690" s="16" t="n">
        <x:v>6927</x:v>
      </x:c>
      <x:c r="B6690" s="16" t="str">
        <x:v>Ustaz Muhammad Amir Hafiz</x:v>
      </x:c>
      <x:c r="C6690" s="16" t="str"/>
      <x:c r="D6690" s="16" t="str">
        <x:v>* myContacts</x:v>
      </x:c>
      <x:c r="E6690" s="16" t="str">
        <x:v>Missing email</x:v>
      </x:c>
    </x:row>
    <x:row r="6691">
      <x:c r="A6691" s="16" t="n">
        <x:v>6928</x:v>
      </x:c>
      <x:c r="B6691" s="16" t="str">
        <x:v>USTAZ MUHAMMAD KKQ</x:v>
      </x:c>
      <x:c r="C6691" s="16" t="str"/>
      <x:c r="D6691" s="16" t="str">
        <x:v>* myContacts</x:v>
      </x:c>
      <x:c r="E6691" s="16" t="str">
        <x:v>Missing email</x:v>
      </x:c>
    </x:row>
    <x:row r="6692">
      <x:c r="A6692" s="16" t="n">
        <x:v>6929</x:v>
      </x:c>
      <x:c r="B6692" s="16" t="str">
        <x:v>ustaz naim</x:v>
      </x:c>
      <x:c r="C6692" s="16" t="str"/>
      <x:c r="D6692" s="16" t="str">
        <x:v>* myContacts</x:v>
      </x:c>
      <x:c r="E6692" s="16" t="str">
        <x:v>Missing email</x:v>
      </x:c>
    </x:row>
    <x:row r="6693">
      <x:c r="A6693" s="16" t="n">
        <x:v>6930</x:v>
      </x:c>
      <x:c r="B6693" s="16" t="str">
        <x:v>Ustaz Nazir</x:v>
      </x:c>
      <x:c r="C6693" s="16" t="str"/>
      <x:c r="D6693" s="16" t="str">
        <x:v>* myContacts</x:v>
      </x:c>
      <x:c r="E6693" s="16" t="str">
        <x:v>Missing email</x:v>
      </x:c>
    </x:row>
    <x:row r="6694">
      <x:c r="A6694" s="16" t="n">
        <x:v>6931</x:v>
      </x:c>
      <x:c r="B6694" s="16" t="str">
        <x:v>Ustaz Nordin Bn</x:v>
      </x:c>
      <x:c r="C6694" s="16" t="str"/>
      <x:c r="D6694" s="16" t="str">
        <x:v>* myContacts</x:v>
      </x:c>
      <x:c r="E6694" s="16" t="str">
        <x:v>Missing email</x:v>
      </x:c>
    </x:row>
    <x:row r="6695">
      <x:c r="A6695" s="16" t="n">
        <x:v>6932</x:v>
      </x:c>
      <x:c r="B6695" s="16" t="str">
        <x:v>Ustaz Rahim</x:v>
      </x:c>
      <x:c r="C6695" s="16" t="str"/>
      <x:c r="D6695" s="16" t="str">
        <x:v>* myContacts</x:v>
      </x:c>
      <x:c r="E6695" s="16" t="str">
        <x:v>Missing email</x:v>
      </x:c>
    </x:row>
    <x:row r="6696">
      <x:c r="A6696" s="16" t="n">
        <x:v>6933</x:v>
      </x:c>
      <x:c r="B6696" s="16" t="str">
        <x:v>Ustaz Razali Nasir</x:v>
      </x:c>
      <x:c r="C6696" s="16" t="str"/>
      <x:c r="D6696" s="16" t="str">
        <x:v>* myContacts</x:v>
      </x:c>
      <x:c r="E6696" s="16" t="str">
        <x:v>Missing email</x:v>
      </x:c>
    </x:row>
    <x:row r="6697">
      <x:c r="A6697" s="16" t="n">
        <x:v>6934</x:v>
      </x:c>
      <x:c r="B6697" s="16" t="str">
        <x:v>ustaz roza</x:v>
      </x:c>
      <x:c r="C6697" s="16" t="str"/>
      <x:c r="D6697" s="16" t="str">
        <x:v>* myContacts</x:v>
      </x:c>
      <x:c r="E6697" s="16" t="str">
        <x:v>Missing email</x:v>
      </x:c>
    </x:row>
    <x:row r="6698">
      <x:c r="A6698" s="16" t="n">
        <x:v>6935</x:v>
      </x:c>
      <x:c r="B6698" s="16" t="str">
        <x:v>Ustaz Rozaly Adam</x:v>
      </x:c>
      <x:c r="C6698" s="16" t="str"/>
      <x:c r="D6698" s="16" t="str">
        <x:v>* myContacts</x:v>
      </x:c>
      <x:c r="E6698" s="16" t="str">
        <x:v>Missing email</x:v>
      </x:c>
    </x:row>
    <x:row r="6699">
      <x:c r="A6699" s="16" t="n">
        <x:v>6936</x:v>
      </x:c>
      <x:c r="B6699" s="16" t="str">
        <x:v>Ustaz saiful tahfiz</x:v>
      </x:c>
      <x:c r="C6699" s="16" t="str"/>
      <x:c r="D6699" s="16" t="str">
        <x:v>* myContacts</x:v>
      </x:c>
      <x:c r="E6699" s="16" t="str">
        <x:v>Missing email</x:v>
      </x:c>
    </x:row>
    <x:row r="6700">
      <x:c r="A6700" s="16" t="n">
        <x:v>6937</x:v>
      </x:c>
      <x:c r="B6700" s="16" t="str">
        <x:v>Ustaz Suhaidi Nlp</x:v>
      </x:c>
      <x:c r="C6700" s="16" t="str"/>
      <x:c r="D6700" s="16" t="str">
        <x:v>* myContacts</x:v>
      </x:c>
      <x:c r="E6700" s="16" t="str">
        <x:v>Missing email</x:v>
      </x:c>
    </x:row>
    <x:row r="6701">
      <x:c r="A6701" s="16" t="n">
        <x:v>6938</x:v>
      </x:c>
      <x:c r="B6701" s="16" t="str">
        <x:v>Ustaz Uda Kassim</x:v>
      </x:c>
      <x:c r="C6701" s="16" t="str"/>
      <x:c r="D6701" s="16" t="str">
        <x:v>* myContacts</x:v>
      </x:c>
      <x:c r="E6701" s="16" t="str">
        <x:v>Missing email</x:v>
      </x:c>
    </x:row>
    <x:row r="6702">
      <x:c r="A6702" s="16" t="n">
        <x:v>6939</x:v>
      </x:c>
      <x:c r="B6702" s="16" t="str">
        <x:v>Ustaz Ustazah Fund Rising</x:v>
      </x:c>
      <x:c r="C6702" s="16" t="str"/>
      <x:c r="D6702" s="16" t="str">
        <x:v>* myContacts</x:v>
      </x:c>
      <x:c r="E6702" s="16" t="str">
        <x:v>Missing email</x:v>
      </x:c>
    </x:row>
    <x:row r="6703">
      <x:c r="A6703" s="16" t="n">
        <x:v>6940</x:v>
      </x:c>
      <x:c r="B6703" s="16" t="str">
        <x:v>Ustaz Yusri Maahad Addiniah</x:v>
      </x:c>
      <x:c r="C6703" s="16" t="str"/>
      <x:c r="D6703" s="16" t="str">
        <x:v>* myContacts</x:v>
      </x:c>
      <x:c r="E6703" s="16" t="str">
        <x:v>Missing email</x:v>
      </x:c>
    </x:row>
    <x:row r="6704">
      <x:c r="A6704" s="16" t="n">
        <x:v>6941</x:v>
      </x:c>
      <x:c r="B6704" s="16" t="str">
        <x:v>Ustaz zainal hanif tukang urut</x:v>
      </x:c>
      <x:c r="C6704" s="16" t="str"/>
      <x:c r="D6704" s="16" t="str">
        <x:v>* myContacts</x:v>
      </x:c>
      <x:c r="E6704" s="16" t="str">
        <x:v>Missing email</x:v>
      </x:c>
    </x:row>
    <x:row r="6705">
      <x:c r="A6705" s="16" t="n">
        <x:v>6942</x:v>
      </x:c>
      <x:c r="B6705" s="16" t="str">
        <x:v>Ustaz Zaini</x:v>
      </x:c>
      <x:c r="C6705" s="16" t="str"/>
      <x:c r="D6705" s="16" t="str">
        <x:v>* myContacts</x:v>
      </x:c>
      <x:c r="E6705" s="16" t="str">
        <x:v>Missing email</x:v>
      </x:c>
    </x:row>
    <x:row r="6706">
      <x:c r="A6706" s="16" t="n">
        <x:v>6943</x:v>
      </x:c>
      <x:c r="B6706" s="16" t="str">
        <x:v>Ustaz Zhofran DPIM</x:v>
      </x:c>
      <x:c r="C6706" s="16" t="str"/>
      <x:c r="D6706" s="16" t="str">
        <x:v>* myContacts</x:v>
      </x:c>
      <x:c r="E6706" s="16" t="str">
        <x:v>Missing email</x:v>
      </x:c>
    </x:row>
    <x:row r="6707">
      <x:c r="A6707" s="16" t="n">
        <x:v>6944</x:v>
      </x:c>
      <x:c r="B6707" s="16" t="str">
        <x:v>Ustaz Zul Ramli</x:v>
      </x:c>
      <x:c r="C6707" s="16" t="str"/>
      <x:c r="D6707" s="16" t="str">
        <x:v>* myContacts</x:v>
      </x:c>
      <x:c r="E6707" s="16" t="str">
        <x:v>Missing email</x:v>
      </x:c>
    </x:row>
    <x:row r="6708">
      <x:c r="A6708" s="16" t="n">
        <x:v>6945</x:v>
      </x:c>
      <x:c r="B6708" s="16" t="str">
        <x:v>USTAZAH NABILAH</x:v>
      </x:c>
      <x:c r="C6708" s="16" t="str"/>
      <x:c r="D6708" s="16" t="str">
        <x:v>* myContacts</x:v>
      </x:c>
      <x:c r="E6708" s="16" t="str">
        <x:v>Missing email</x:v>
      </x:c>
    </x:row>
    <x:row r="6709">
      <x:c r="A6709" s="16" t="n">
        <x:v>6946</x:v>
      </x:c>
      <x:c r="B6709" s="16" t="str">
        <x:v>Ustazah Nina</x:v>
      </x:c>
      <x:c r="C6709" s="16" t="str"/>
      <x:c r="D6709" s="16" t="str">
        <x:v>* myContacts</x:v>
      </x:c>
      <x:c r="E6709" s="16" t="str">
        <x:v>Missing email</x:v>
      </x:c>
    </x:row>
    <x:row r="6710">
      <x:c r="A6710" s="16" t="n">
        <x:v>6947</x:v>
      </x:c>
      <x:c r="B6710" s="16" t="str">
        <x:v>Utak Herry Saied</x:v>
      </x:c>
      <x:c r="C6710" s="16" t="str"/>
      <x:c r="D6710" s="16" t="str">
        <x:v>* myContacts</x:v>
      </x:c>
      <x:c r="E6710" s="16" t="str">
        <x:v>Missing email</x:v>
      </x:c>
    </x:row>
    <x:row r="6711">
      <x:c r="A6711" s="16" t="n">
        <x:v>6948</x:v>
      </x:c>
      <x:c r="B6711" s="16" t="str">
        <x:v>Uzair Forex</x:v>
      </x:c>
      <x:c r="C6711" s="16" t="str"/>
      <x:c r="D6711" s="16" t="str">
        <x:v>* myContacts</x:v>
      </x:c>
      <x:c r="E6711" s="16" t="str">
        <x:v>Missing email</x:v>
      </x:c>
    </x:row>
    <x:row r="6712">
      <x:c r="A6712" s="16" t="n">
        <x:v>6949</x:v>
      </x:c>
      <x:c r="B6712" s="16" t="str">
        <x:v>VÃ¬Ã±Ã‡Ã¨Ã±t Ã‡hÃ¸Ã±g</x:v>
      </x:c>
      <x:c r="C6712" s="16" t="str"/>
      <x:c r="D6712" s="16" t="str">
        <x:v>* myContacts</x:v>
      </x:c>
      <x:c r="E6712" s="16" t="str">
        <x:v>Missing email</x:v>
      </x:c>
    </x:row>
    <x:row r="6713">
      <x:c r="A6713" s="16" t="n">
        <x:v>6950</x:v>
      </x:c>
      <x:c r="B6713" s="16" t="str">
        <x:v>Veeramani Subramanian</x:v>
      </x:c>
      <x:c r="C6713" s="16" t="str"/>
      <x:c r="D6713" s="16" t="str">
        <x:v>* myContacts</x:v>
      </x:c>
      <x:c r="E6713" s="16" t="str">
        <x:v>Missing email</x:v>
      </x:c>
    </x:row>
    <x:row r="6714">
      <x:c r="A6714" s="16" t="n">
        <x:v>6951</x:v>
      </x:c>
      <x:c r="B6714" s="16" t="str">
        <x:v>Victoria Vicky Jayanathan</x:v>
      </x:c>
      <x:c r="C6714" s="16" t="str"/>
      <x:c r="D6714" s="16" t="str">
        <x:v>* myContacts</x:v>
      </x:c>
      <x:c r="E6714" s="16" t="str">
        <x:v>Missing email</x:v>
      </x:c>
    </x:row>
    <x:row r="6715">
      <x:c r="A6715" s="16" t="n">
        <x:v>6952</x:v>
      </x:c>
      <x:c r="B6715" s="16" t="str">
        <x:v>Vie Ariffin Assitant Tuan Hazril Hafiz</x:v>
      </x:c>
      <x:c r="C6715" s="16" t="str"/>
      <x:c r="D6715" s="16" t="str">
        <x:v>* myContacts</x:v>
      </x:c>
      <x:c r="E6715" s="16" t="str">
        <x:v>Missing email</x:v>
      </x:c>
    </x:row>
    <x:row r="6716">
      <x:c r="A6716" s="16" t="n">
        <x:v>6953</x:v>
      </x:c>
      <x:c r="B6716" s="16" t="str">
        <x:v>Vienna's Eyna</x:v>
      </x:c>
      <x:c r="C6716" s="16" t="str"/>
      <x:c r="D6716" s="16" t="str">
        <x:v>* myContacts</x:v>
      </x:c>
      <x:c r="E6716" s="16" t="str">
        <x:v>Missing email</x:v>
      </x:c>
    </x:row>
    <x:row r="6717">
      <x:c r="A6717" s="16" t="n">
        <x:v>6954</x:v>
      </x:c>
      <x:c r="B6717" s="16" t="str">
        <x:v>Vijay Bin Loganathan</x:v>
      </x:c>
      <x:c r="C6717" s="16" t="str"/>
      <x:c r="D6717" s="16" t="str">
        <x:v>* myContacts</x:v>
      </x:c>
      <x:c r="E6717" s="16" t="str">
        <x:v>Missing email</x:v>
      </x:c>
    </x:row>
    <x:row r="6718">
      <x:c r="A6718" s="16" t="n">
        <x:v>6955</x:v>
      </x:c>
      <x:c r="B6718" s="16" t="str">
        <x:v>Vincent BBC</x:v>
      </x:c>
      <x:c r="C6718" s="16" t="str"/>
      <x:c r="D6718" s="16" t="str">
        <x:v>* myContacts</x:v>
      </x:c>
      <x:c r="E6718" s="16" t="str">
        <x:v>Missing email</x:v>
      </x:c>
    </x:row>
    <x:row r="6719">
      <x:c r="A6719" s="16" t="n">
        <x:v>6956</x:v>
      </x:c>
      <x:c r="B6719" s="16" t="str">
        <x:v>Vivian</x:v>
      </x:c>
      <x:c r="C6719" s="16" t="str"/>
      <x:c r="D6719" s="16" t="str">
        <x:v>* myContacts</x:v>
      </x:c>
      <x:c r="E6719" s="16" t="str">
        <x:v>Missing email</x:v>
      </x:c>
    </x:row>
    <x:row r="6720">
      <x:c r="A6720" s="16" t="n">
        <x:v>6957</x:v>
      </x:c>
      <x:c r="B6720" s="16" t="str">
        <x:v>Vivian Tan Wellness Concept -</x:v>
      </x:c>
      <x:c r="C6720" s="16" t="str"/>
      <x:c r="D6720" s="16" t="str">
        <x:v>* myContacts</x:v>
      </x:c>
      <x:c r="E6720" s="16" t="str">
        <x:v>Missing email</x:v>
      </x:c>
    </x:row>
    <x:row r="6721">
      <x:c r="A6721" s="16" t="n">
        <x:v>6958</x:v>
      </x:c>
      <x:c r="B6721" s="16" t="str">
        <x:v>Vladamir Gonzales</x:v>
      </x:c>
      <x:c r="C6721" s="16" t="str"/>
      <x:c r="D6721" s="16" t="str">
        <x:v>* myContacts</x:v>
      </x:c>
      <x:c r="E6721" s="16" t="str">
        <x:v>Missing email</x:v>
      </x:c>
    </x:row>
    <x:row r="6722">
      <x:c r="A6722" s="16" t="n">
        <x:v>6959</x:v>
      </x:c>
      <x:c r="B6722" s="16" t="str">
        <x:v>W. Rusli W Awang AGP</x:v>
      </x:c>
      <x:c r="C6722" s="16" t="str"/>
      <x:c r="D6722" s="16" t="str">
        <x:v>* myContacts</x:v>
      </x:c>
      <x:c r="E6722" s="16" t="str">
        <x:v>Missing email</x:v>
      </x:c>
    </x:row>
    <x:row r="6723">
      <x:c r="A6723" s="16" t="n">
        <x:v>6960</x:v>
      </x:c>
      <x:c r="B6723" s="16" t="str">
        <x:v>Wabot AI Redibit Tester</x:v>
      </x:c>
      <x:c r="C6723" s="16" t="str"/>
      <x:c r="D6723" s="16" t="str">
        <x:v>* myContacts</x:v>
      </x:c>
      <x:c r="E6723" s="16" t="str">
        <x:v>Missing email</x:v>
      </x:c>
    </x:row>
    <x:row r="6724">
      <x:c r="A6724" s="16" t="n">
        <x:v>6961</x:v>
      </x:c>
      <x:c r="B6724" s="16" t="str">
        <x:v>wabot support</x:v>
      </x:c>
      <x:c r="C6724" s="16" t="str"/>
      <x:c r="D6724" s="16" t="str">
        <x:v>* myContacts</x:v>
      </x:c>
      <x:c r="E6724" s="16" t="str">
        <x:v>Missing email</x:v>
      </x:c>
    </x:row>
    <x:row r="6725">
      <x:c r="A6725" s="16" t="n">
        <x:v>6962</x:v>
      </x:c>
      <x:c r="B6725" s="16" t="str">
        <x:v>Wabot Support</x:v>
      </x:c>
      <x:c r="C6725" s="16" t="str"/>
      <x:c r="D6725" s="16" t="str">
        <x:v>* myContacts</x:v>
      </x:c>
      <x:c r="E6725" s="16" t="str">
        <x:v>Missing email</x:v>
      </x:c>
    </x:row>
    <x:row r="6726">
      <x:c r="A6726" s="16" t="n">
        <x:v>6963</x:v>
      </x:c>
      <x:c r="B6726" s="16" t="str">
        <x:v>Wadah Fazlini Bt Durami</x:v>
      </x:c>
      <x:c r="C6726" s="16" t="str"/>
      <x:c r="D6726" s="16" t="str">
        <x:v>* myContacts</x:v>
      </x:c>
      <x:c r="E6726" s="16" t="str">
        <x:v>Missing email</x:v>
      </x:c>
    </x:row>
    <x:row r="6727">
      <x:c r="A6727" s="16" t="n">
        <x:v>6964</x:v>
      </x:c>
      <x:c r="B6727" s="16" t="str">
        <x:v>wadi transporter</x:v>
      </x:c>
      <x:c r="C6727" s="16" t="str"/>
      <x:c r="D6727" s="16" t="str">
        <x:v>* myContacts</x:v>
      </x:c>
      <x:c r="E6727" s="16" t="str">
        <x:v>Missing email</x:v>
      </x:c>
    </x:row>
    <x:row r="6728">
      <x:c r="A6728" s="16" t="n">
        <x:v>6965</x:v>
      </x:c>
      <x:c r="B6728" s="16" t="str">
        <x:v>Wafi Trainer Sifu Branding</x:v>
      </x:c>
      <x:c r="C6728" s="16" t="str"/>
      <x:c r="D6728" s="16" t="str">
        <x:v>Trainer | * myContacts</x:v>
      </x:c>
      <x:c r="E6728" s="16" t="str">
        <x:v>Missing email</x:v>
      </x:c>
    </x:row>
    <x:row r="6729">
      <x:c r="A6729" s="16" t="n">
        <x:v>6966</x:v>
      </x:c>
      <x:c r="B6729" s="16" t="str">
        <x:v>Wahab Driver</x:v>
      </x:c>
      <x:c r="C6729" s="16" t="str"/>
      <x:c r="D6729" s="16" t="str">
        <x:v>* myContacts</x:v>
      </x:c>
      <x:c r="E6729" s="16" t="str">
        <x:v>Missing email</x:v>
      </x:c>
    </x:row>
    <x:row r="6730">
      <x:c r="A6730" s="16" t="n">
        <x:v>6967</x:v>
      </x:c>
      <x:c r="B6730" s="16" t="str">
        <x:v>Wahida Abdul Samad</x:v>
      </x:c>
      <x:c r="C6730" s="16" t="str"/>
      <x:c r="D6730" s="16" t="str">
        <x:v>* myContacts</x:v>
      </x:c>
      <x:c r="E6730" s="16" t="str">
        <x:v>Missing email</x:v>
      </x:c>
    </x:row>
    <x:row r="6731">
      <x:c r="A6731" s="16" t="n">
        <x:v>6968</x:v>
      </x:c>
      <x:c r="B6731" s="16" t="str">
        <x:v>Wahyu Farhan</x:v>
      </x:c>
      <x:c r="C6731" s="16" t="str"/>
      <x:c r="D6731" s="16" t="str">
        <x:v>* myContacts</x:v>
      </x:c>
      <x:c r="E6731" s="16" t="str">
        <x:v>Missing email</x:v>
      </x:c>
    </x:row>
    <x:row r="6732">
      <x:c r="A6732" s="16" t="n">
        <x:v>6969</x:v>
      </x:c>
      <x:c r="B6732" s="16" t="str">
        <x:v>Wahyu Mirage</x:v>
      </x:c>
      <x:c r="C6732" s="16" t="str"/>
      <x:c r="D6732" s="16" t="str">
        <x:v>* myContacts</x:v>
      </x:c>
      <x:c r="E6732" s="16" t="str">
        <x:v>Missing email</x:v>
      </x:c>
    </x:row>
    <x:row r="6733">
      <x:c r="A6733" s="16" t="n">
        <x:v>6970</x:v>
      </x:c>
      <x:c r="B6733" s="16" t="str">
        <x:v>Wai Hoe Chia AV Export</x:v>
      </x:c>
      <x:c r="C6733" s="16" t="str"/>
      <x:c r="D6733" s="16" t="str">
        <x:v>* myContacts</x:v>
      </x:c>
      <x:c r="E6733" s="16" t="str">
        <x:v>Missing email</x:v>
      </x:c>
    </x:row>
    <x:row r="6734">
      <x:c r="A6734" s="16" t="n">
        <x:v>6971</x:v>
      </x:c>
      <x:c r="B6734" s="16" t="str">
        <x:v>Wai M. Nor</x:v>
      </x:c>
      <x:c r="C6734" s="16" t="str"/>
      <x:c r="D6734" s="16" t="str">
        <x:v>* myContacts</x:v>
      </x:c>
      <x:c r="E6734" s="16" t="str">
        <x:v>Missing email</x:v>
      </x:c>
    </x:row>
    <x:row r="6735">
      <x:c r="A6735" s="16" t="n">
        <x:v>6972</x:v>
      </x:c>
      <x:c r="B6735" s="16" t="str">
        <x:v>wajid umar</x:v>
      </x:c>
      <x:c r="C6735" s="16" t="str"/>
      <x:c r="D6735" s="16" t="str">
        <x:v>* myContacts</x:v>
      </x:c>
      <x:c r="E6735" s="16" t="str">
        <x:v>Missing email</x:v>
      </x:c>
    </x:row>
    <x:row r="6736">
      <x:c r="A6736" s="16" t="n">
        <x:v>6973</x:v>
      </x:c>
      <x:c r="B6736" s="16" t="str">
        <x:v>Wak Kontrak Umah</x:v>
      </x:c>
      <x:c r="C6736" s="16" t="str"/>
      <x:c r="D6736" s="16" t="str">
        <x:v>* myContacts</x:v>
      </x:c>
      <x:c r="E6736" s="16" t="str">
        <x:v>Missing email</x:v>
      </x:c>
    </x:row>
    <x:row r="6737">
      <x:c r="A6737" s="16" t="n">
        <x:v>6974</x:v>
      </x:c>
      <x:c r="B6737" s="16" t="str">
        <x:v>Wak Mazli</x:v>
      </x:c>
      <x:c r="C6737" s="16" t="str"/>
      <x:c r="D6737" s="16" t="str">
        <x:v>* myContacts</x:v>
      </x:c>
      <x:c r="E6737" s="16" t="str">
        <x:v>Missing email</x:v>
      </x:c>
    </x:row>
    <x:row r="6738">
      <x:c r="A6738" s="16" t="n">
        <x:v>6975</x:v>
      </x:c>
      <x:c r="B6738" s="16" t="str">
        <x:v>Wak Saripan</x:v>
      </x:c>
      <x:c r="C6738" s="16" t="str"/>
      <x:c r="D6738" s="16" t="str">
        <x:v>* myContacts</x:v>
      </x:c>
      <x:c r="E6738" s="16" t="str">
        <x:v>Missing email</x:v>
      </x:c>
    </x:row>
    <x:row r="6739">
      <x:c r="A6739" s="16" t="n">
        <x:v>6976</x:v>
      </x:c>
      <x:c r="B6739" s="16" t="str">
        <x:v>Wak Urut</x:v>
      </x:c>
      <x:c r="C6739" s="16" t="str"/>
      <x:c r="D6739" s="16" t="str">
        <x:v>* myContacts</x:v>
      </x:c>
      <x:c r="E6739" s="16" t="str">
        <x:v>Missing email</x:v>
      </x:c>
    </x:row>
    <x:row r="6740">
      <x:c r="A6740" s="16" t="n">
        <x:v>6977</x:v>
      </x:c>
      <x:c r="B6740" s="16" t="str">
        <x:v>Wak Zod IM</x:v>
      </x:c>
      <x:c r="C6740" s="16" t="str"/>
      <x:c r="D6740" s="16" t="str">
        <x:v>* myContacts</x:v>
      </x:c>
      <x:c r="E6740" s="16" t="str">
        <x:v>Missing email</x:v>
      </x:c>
    </x:row>
    <x:row r="6741">
      <x:c r="A6741" s="16" t="n">
        <x:v>6978</x:v>
      </x:c>
      <x:c r="B6741" s="16" t="str">
        <x:v>WaKrun SB</x:v>
      </x:c>
      <x:c r="C6741" s="16" t="str"/>
      <x:c r="D6741" s="16" t="str">
        <x:v>* myContacts</x:v>
      </x:c>
      <x:c r="E6741" s="16" t="str">
        <x:v>Missing email</x:v>
      </x:c>
    </x:row>
    <x:row r="6742">
      <x:c r="A6742" s="16" t="n">
        <x:v>6979</x:v>
      </x:c>
      <x:c r="B6742" s="16" t="str">
        <x:v>WalidCreative Printing</x:v>
      </x:c>
      <x:c r="C6742" s="16" t="str"/>
      <x:c r="D6742" s="16" t="str">
        <x:v>* myContacts</x:v>
      </x:c>
      <x:c r="E6742" s="16" t="str">
        <x:v>Missing email</x:v>
      </x:c>
    </x:row>
    <x:row r="6743">
      <x:c r="A6743" s="16" t="n">
        <x:v>6980</x:v>
      </x:c>
      <x:c r="B6743" s="16" t="str">
        <x:v>Wallpaper Ezy</x:v>
      </x:c>
      <x:c r="C6743" s="16" t="str"/>
      <x:c r="D6743" s="16" t="str">
        <x:v>* myContacts</x:v>
      </x:c>
      <x:c r="E6743" s="16" t="str">
        <x:v>Missing email</x:v>
      </x:c>
    </x:row>
    <x:row r="6744">
      <x:c r="A6744" s="16" t="n">
        <x:v>6981</x:v>
      </x:c>
      <x:c r="B6744" s="16" t="str">
        <x:v>Wan Adam</x:v>
      </x:c>
      <x:c r="C6744" s="16" t="str"/>
      <x:c r="D6744" s="16" t="str">
        <x:v>* myContacts</x:v>
      </x:c>
      <x:c r="E6744" s="16" t="str">
        <x:v>Missing email</x:v>
      </x:c>
    </x:row>
    <x:row r="6745">
      <x:c r="A6745" s="16" t="n">
        <x:v>6982</x:v>
      </x:c>
      <x:c r="B6745" s="16" t="str">
        <x:v>Wan Adib Yusof Islam</x:v>
      </x:c>
      <x:c r="C6745" s="16" t="str"/>
      <x:c r="D6745" s="16" t="str">
        <x:v>* myContacts</x:v>
      </x:c>
      <x:c r="E6745" s="16" t="str">
        <x:v>Missing email</x:v>
      </x:c>
    </x:row>
    <x:row r="6746">
      <x:c r="A6746" s="16" t="n">
        <x:v>6983</x:v>
      </x:c>
      <x:c r="B6746" s="16" t="str">
        <x:v>wan afifah politeknik behrang</x:v>
      </x:c>
      <x:c r="C6746" s="16" t="str"/>
      <x:c r="D6746" s="16" t="str">
        <x:v>* myContacts</x:v>
      </x:c>
      <x:c r="E6746" s="16" t="str">
        <x:v>Missing email</x:v>
      </x:c>
    </x:row>
    <x:row r="6747">
      <x:c r="A6747" s="16" t="n">
        <x:v>6984</x:v>
      </x:c>
      <x:c r="B6747" s="16" t="str">
        <x:v>Wan Aishah AGP</x:v>
      </x:c>
      <x:c r="C6747" s="16" t="str"/>
      <x:c r="D6747" s="16" t="str">
        <x:v>* myContacts</x:v>
      </x:c>
      <x:c r="E6747" s="16" t="str">
        <x:v>Missing email</x:v>
      </x:c>
    </x:row>
    <x:row r="6748">
      <x:c r="A6748" s="16" t="n">
        <x:v>6985</x:v>
      </x:c>
      <x:c r="B6748" s="16" t="str">
        <x:v>wan boss ultra</x:v>
      </x:c>
      <x:c r="C6748" s="16" t="str"/>
      <x:c r="D6748" s="16" t="str">
        <x:v>* myContacts</x:v>
      </x:c>
      <x:c r="E6748" s="16" t="str">
        <x:v>Missing email</x:v>
      </x:c>
    </x:row>
    <x:row r="6749">
      <x:c r="A6749" s="16" t="n">
        <x:v>6986</x:v>
      </x:c>
      <x:c r="B6749" s="16" t="str">
        <x:v>Wan Ceramic Coating</x:v>
      </x:c>
      <x:c r="C6749" s="16" t="str"/>
      <x:c r="D6749" s="16" t="str">
        <x:v>* myContacts</x:v>
      </x:c>
      <x:c r="E6749" s="16" t="str">
        <x:v>Missing email</x:v>
      </x:c>
    </x:row>
    <x:row r="6750">
      <x:c r="A6750" s="16" t="n">
        <x:v>6987</x:v>
      </x:c>
      <x:c r="B6750" s="16" t="str">
        <x:v>Wan Chai</x:v>
      </x:c>
      <x:c r="C6750" s="16" t="str"/>
      <x:c r="D6750" s="16" t="str">
        <x:v>* myContacts</x:v>
      </x:c>
      <x:c r="E6750" s="16" t="str">
        <x:v>Missing email</x:v>
      </x:c>
    </x:row>
    <x:row r="6751">
      <x:c r="A6751" s="16" t="n">
        <x:v>6988</x:v>
      </x:c>
      <x:c r="B6751" s="16" t="str">
        <x:v>wan designer</x:v>
      </x:c>
      <x:c r="C6751" s="16" t="str"/>
      <x:c r="D6751" s="16" t="str">
        <x:v>* myContacts</x:v>
      </x:c>
      <x:c r="E6751" s="16" t="str">
        <x:v>Missing email</x:v>
      </x:c>
    </x:row>
    <x:row r="6752">
      <x:c r="A6752" s="16" t="n">
        <x:v>6989</x:v>
      </x:c>
      <x:c r="B6752" s="16" t="str">
        <x:v>Wan Faizah Ghapar</x:v>
      </x:c>
      <x:c r="C6752" s="16" t="str"/>
      <x:c r="D6752" s="16" t="str">
        <x:v>* myContacts</x:v>
      </x:c>
      <x:c r="E6752" s="16" t="str">
        <x:v>Missing email</x:v>
      </x:c>
    </x:row>
    <x:row r="6753">
      <x:c r="A6753" s="16" t="n">
        <x:v>6990</x:v>
      </x:c>
      <x:c r="B6753" s="16" t="str">
        <x:v>Wan Faris Umi</x:v>
      </x:c>
      <x:c r="C6753" s="16" t="str"/>
      <x:c r="D6753" s="16" t="str">
        <x:v>* myContacts</x:v>
      </x:c>
      <x:c r="E6753" s="16" t="str">
        <x:v>Missing email</x:v>
      </x:c>
    </x:row>
    <x:row r="6754">
      <x:c r="A6754" s="16" t="n">
        <x:v>6991</x:v>
      </x:c>
      <x:c r="B6754" s="16" t="str">
        <x:v>Wan Fatma IM</x:v>
      </x:c>
      <x:c r="C6754" s="16" t="str"/>
      <x:c r="D6754" s="16" t="str">
        <x:v>* myContacts</x:v>
      </x:c>
      <x:c r="E6754" s="16" t="str">
        <x:v>Missing email</x:v>
      </x:c>
    </x:row>
    <x:row r="6755">
      <x:c r="A6755" s="16" t="n">
        <x:v>6992</x:v>
      </x:c>
      <x:c r="B6755" s="16" t="str">
        <x:v>Wan Fikr</x:v>
      </x:c>
      <x:c r="C6755" s="16" t="str"/>
      <x:c r="D6755" s="16" t="str">
        <x:v>* myContacts</x:v>
      </x:c>
      <x:c r="E6755" s="16" t="str">
        <x:v>Missing email</x:v>
      </x:c>
    </x:row>
    <x:row r="6756">
      <x:c r="A6756" s="16" t="n">
        <x:v>6993</x:v>
      </x:c>
      <x:c r="B6756" s="16" t="str">
        <x:v>Wan Fitness Coach</x:v>
      </x:c>
      <x:c r="C6756" s="16" t="str"/>
      <x:c r="D6756" s="16" t="str">
        <x:v>Trainer | * myContacts</x:v>
      </x:c>
      <x:c r="E6756" s="16" t="str">
        <x:v>Missing email</x:v>
      </x:c>
    </x:row>
    <x:row r="6757">
      <x:c r="A6757" s="16" t="n">
        <x:v>6994</x:v>
      </x:c>
      <x:c r="B6757" s="16" t="str">
        <x:v>Wan Hafiz Wan Samsudin</x:v>
      </x:c>
      <x:c r="C6757" s="16" t="str"/>
      <x:c r="D6757" s="16" t="str">
        <x:v>* myContacts</x:v>
      </x:c>
      <x:c r="E6757" s="16" t="str">
        <x:v>Missing email</x:v>
      </x:c>
    </x:row>
    <x:row r="6758">
      <x:c r="A6758" s="16" t="n">
        <x:v>6995</x:v>
      </x:c>
      <x:c r="B6758" s="16" t="str">
        <x:v>Wan Hanee Agent Essens</x:v>
      </x:c>
      <x:c r="C6758" s="16" t="str"/>
      <x:c r="D6758" s="16" t="str">
        <x:v>* myContacts</x:v>
      </x:c>
      <x:c r="E6758" s="16" t="str">
        <x:v>Missing email</x:v>
      </x:c>
    </x:row>
    <x:row r="6759">
      <x:c r="A6759" s="16" t="n">
        <x:v>6996</x:v>
      </x:c>
      <x:c r="B6759" s="16" t="str">
        <x:v>Wan Hasbullah Mobile Apps Designer Harga rm4500 ajer</x:v>
      </x:c>
      <x:c r="C6759" s="16" t="str"/>
      <x:c r="D6759" s="16" t="str">
        <x:v>* myContacts</x:v>
      </x:c>
      <x:c r="E6759" s="16" t="str">
        <x:v>Missing email</x:v>
      </x:c>
    </x:row>
    <x:row r="6760">
      <x:c r="A6760" s="16" t="n">
        <x:v>6997</x:v>
      </x:c>
      <x:c r="B6760" s="16" t="str">
        <x:v>Wan Ima</x:v>
      </x:c>
      <x:c r="C6760" s="16" t="str"/>
      <x:c r="D6760" s="16" t="str">
        <x:v>* myContacts</x:v>
      </x:c>
      <x:c r="E6760" s="16" t="str">
        <x:v>Missing email</x:v>
      </x:c>
    </x:row>
    <x:row r="6761">
      <x:c r="A6761" s="16" t="n">
        <x:v>6998</x:v>
      </x:c>
      <x:c r="B6761" s="16" t="str">
        <x:v>Wan Izwan Is</x:v>
      </x:c>
      <x:c r="C6761" s="16" t="str"/>
      <x:c r="D6761" s="16" t="str">
        <x:v>* myContacts</x:v>
      </x:c>
      <x:c r="E6761" s="16" t="str">
        <x:v>Missing email</x:v>
      </x:c>
    </x:row>
    <x:row r="6762">
      <x:c r="A6762" s="16" t="n">
        <x:v>6999</x:v>
      </x:c>
      <x:c r="B6762" s="16" t="str">
        <x:v>Wan Jetski</x:v>
      </x:c>
      <x:c r="C6762" s="16" t="str"/>
      <x:c r="D6762" s="16" t="str">
        <x:v>* myContacts</x:v>
      </x:c>
      <x:c r="E6762" s="16" t="str">
        <x:v>Missing email</x:v>
      </x:c>
    </x:row>
    <x:row r="6763">
      <x:c r="A6763" s="16" t="n">
        <x:v>7000</x:v>
      </x:c>
      <x:c r="B6763" s="16" t="str">
        <x:v>Wan Kecik Pmd</x:v>
      </x:c>
      <x:c r="C6763" s="16" t="str"/>
      <x:c r="D6763" s="16" t="str">
        <x:v>* myContacts</x:v>
      </x:c>
      <x:c r="E6763" s="16" t="str">
        <x:v>Missing email</x:v>
      </x:c>
    </x:row>
    <x:row r="6764">
      <x:c r="A6764" s="16" t="n">
        <x:v>7001</x:v>
      </x:c>
      <x:c r="B6764" s="16" t="str">
        <x:v>Wan Khairunnisa Wan Daud</x:v>
      </x:c>
      <x:c r="C6764" s="16" t="str"/>
      <x:c r="D6764" s="16" t="str">
        <x:v>* myContacts</x:v>
      </x:c>
      <x:c r="E6764" s="16" t="str">
        <x:v>Missing email</x:v>
      </x:c>
    </x:row>
    <x:row r="6765">
      <x:c r="A6765" s="16" t="n">
        <x:v>7002</x:v>
      </x:c>
      <x:c r="B6765" s="16" t="str">
        <x:v>Wan Ku Sayang</x:v>
      </x:c>
      <x:c r="C6765" s="16" t="str"/>
      <x:c r="D6765" s="16" t="str">
        <x:v>* myContacts</x:v>
      </x:c>
      <x:c r="E6765" s="16" t="str">
        <x:v>Missing email</x:v>
      </x:c>
    </x:row>
    <x:row r="6766">
      <x:c r="A6766" s="16" t="n">
        <x:v>7003</x:v>
      </x:c>
      <x:c r="B6766" s="16" t="str">
        <x:v>Wan maisarah usahawan penjana kuantan</x:v>
      </x:c>
      <x:c r="C6766" s="16" t="str"/>
      <x:c r="D6766" s="16" t="str">
        <x:v>* myContacts</x:v>
      </x:c>
      <x:c r="E6766" s="16" t="str">
        <x:v>Missing email</x:v>
      </x:c>
    </x:row>
    <x:row r="6767">
      <x:c r="A6767" s="16" t="n">
        <x:v>7004</x:v>
      </x:c>
      <x:c r="B6767" s="16" t="str">
        <x:v>Wan Man</x:v>
      </x:c>
      <x:c r="C6767" s="16" t="str"/>
      <x:c r="D6767" s="16" t="str">
        <x:v>* myContacts</x:v>
      </x:c>
      <x:c r="E6767" s="16" t="str">
        <x:v>Missing email</x:v>
      </x:c>
    </x:row>
    <x:row r="6768">
      <x:c r="A6768" s="16" t="n">
        <x:v>7005</x:v>
      </x:c>
      <x:c r="B6768" s="16" t="str">
        <x:v>Wan Mdec</x:v>
      </x:c>
      <x:c r="C6768" s="16" t="str"/>
      <x:c r="D6768" s="16" t="str">
        <x:v>* myContacts</x:v>
      </x:c>
      <x:c r="E6768" s="16" t="str">
        <x:v>Missing email</x:v>
      </x:c>
    </x:row>
    <x:row r="6769">
      <x:c r="A6769" s="16" t="n">
        <x:v>7006</x:v>
      </x:c>
      <x:c r="B6769" s="16" t="str">
        <x:v>Wan Milah</x:v>
      </x:c>
      <x:c r="C6769" s="16" t="str"/>
      <x:c r="D6769" s="16" t="str">
        <x:v>* myContacts</x:v>
      </x:c>
      <x:c r="E6769" s="16" t="str">
        <x:v>Missing email</x:v>
      </x:c>
    </x:row>
    <x:row r="6770">
      <x:c r="A6770" s="16" t="n">
        <x:v>7007</x:v>
      </x:c>
      <x:c r="B6770" s="16" t="str">
        <x:v>Wan Mohammad</x:v>
      </x:c>
      <x:c r="C6770" s="16" t="str"/>
      <x:c r="D6770" s="16" t="str">
        <x:v>* myContacts</x:v>
      </x:c>
      <x:c r="E6770" s="16" t="str">
        <x:v>Missing email</x:v>
      </x:c>
    </x:row>
    <x:row r="6771">
      <x:c r="A6771" s="16" t="n">
        <x:v>7008</x:v>
      </x:c>
      <x:c r="B6771" s="16" t="str">
        <x:v>Wan Mohd Izz Izzan</x:v>
      </x:c>
      <x:c r="C6771" s="16" t="str"/>
      <x:c r="D6771" s="16" t="str">
        <x:v>* myContacts</x:v>
      </x:c>
      <x:c r="E6771" s="16" t="str">
        <x:v>Missing email</x:v>
      </x:c>
    </x:row>
    <x:row r="6772">
      <x:c r="A6772" s="16" t="n">
        <x:v>7009</x:v>
      </x:c>
      <x:c r="B6772" s="16" t="str">
        <x:v>Wan Mohd Nazwandy Othman Student</x:v>
      </x:c>
      <x:c r="C6772" s="16" t="str"/>
      <x:c r="D6772" s="16" t="str">
        <x:v>* myContacts</x:v>
      </x:c>
      <x:c r="E6772" s="16" t="str">
        <x:v>Missing email</x:v>
      </x:c>
    </x:row>
    <x:row r="6773">
      <x:c r="A6773" s="16" t="n">
        <x:v>7010</x:v>
      </x:c>
      <x:c r="B6773" s="16" t="str">
        <x:v>Wan Mohd Zulkifli</x:v>
      </x:c>
      <x:c r="C6773" s="16" t="str"/>
      <x:c r="D6773" s="16" t="str">
        <x:v>* myContacts</x:v>
      </x:c>
      <x:c r="E6773" s="16" t="str">
        <x:v>Missing email</x:v>
      </x:c>
    </x:row>
    <x:row r="6774">
      <x:c r="A6774" s="16" t="n">
        <x:v>7011</x:v>
      </x:c>
      <x:c r="B6774" s="16" t="str">
        <x:v>Wan Mus IM</x:v>
      </x:c>
      <x:c r="C6774" s="16" t="str"/>
      <x:c r="D6774" s="16" t="str">
        <x:v>* myContacts</x:v>
      </x:c>
      <x:c r="E6774" s="16" t="str">
        <x:v>Missing email</x:v>
      </x:c>
    </x:row>
    <x:row r="6775">
      <x:c r="A6775" s="16" t="n">
        <x:v>7012</x:v>
      </x:c>
      <x:c r="B6775" s="16" t="str">
        <x:v>Wan Najib Mdec</x:v>
      </x:c>
      <x:c r="C6775" s="16" t="str"/>
      <x:c r="D6775" s="16" t="str">
        <x:v>* myContacts</x:v>
      </x:c>
      <x:c r="E6775" s="16" t="str">
        <x:v>Missing email</x:v>
      </x:c>
    </x:row>
    <x:row r="6776">
      <x:c r="A6776" s="16" t="n">
        <x:v>7013</x:v>
      </x:c>
      <x:c r="B6776" s="16" t="str">
        <x:v>Wan Nor Asiah</x:v>
      </x:c>
      <x:c r="C6776" s="16" t="str"/>
      <x:c r="D6776" s="16" t="str">
        <x:v>* myContacts</x:v>
      </x:c>
      <x:c r="E6776" s="16" t="str">
        <x:v>Missing email</x:v>
      </x:c>
    </x:row>
    <x:row r="6777">
      <x:c r="A6777" s="16" t="n">
        <x:v>7014</x:v>
      </x:c>
      <x:c r="B6777" s="16" t="str">
        <x:v>Wan Norafiqah</x:v>
      </x:c>
      <x:c r="C6777" s="16" t="str"/>
      <x:c r="D6777" s="16" t="str">
        <x:v>* myContacts</x:v>
      </x:c>
      <x:c r="E6777" s="16" t="str">
        <x:v>Missing email</x:v>
      </x:c>
    </x:row>
    <x:row r="6778">
      <x:c r="A6778" s="16" t="n">
        <x:v>7015</x:v>
      </x:c>
      <x:c r="B6778" s="16" t="str">
        <x:v>Wan Nur Shazleen Aida</x:v>
      </x:c>
      <x:c r="C6778" s="16" t="str"/>
      <x:c r="D6778" s="16" t="str">
        <x:v>* myContacts</x:v>
      </x:c>
      <x:c r="E6778" s="16" t="str">
        <x:v>Missing email</x:v>
      </x:c>
    </x:row>
    <x:row r="6779">
      <x:c r="A6779" s="16" t="n">
        <x:v>7016</x:v>
      </x:c>
      <x:c r="B6779" s="16" t="str">
        <x:v>Wan Nurul Afiqah</x:v>
      </x:c>
      <x:c r="C6779" s="16" t="str"/>
      <x:c r="D6779" s="16" t="str">
        <x:v>* myContacts</x:v>
      </x:c>
      <x:c r="E6779" s="16" t="str">
        <x:v>Missing email</x:v>
      </x:c>
    </x:row>
    <x:row r="6780">
      <x:c r="A6780" s="16" t="n">
        <x:v>7017</x:v>
      </x:c>
      <x:c r="B6780" s="16" t="str">
        <x:v>Wan Rohani</x:v>
      </x:c>
      <x:c r="C6780" s="16" t="str"/>
      <x:c r="D6780" s="16" t="str">
        <x:v>* myContacts</x:v>
      </x:c>
      <x:c r="E6780" s="16" t="str">
        <x:v>Missing email</x:v>
      </x:c>
    </x:row>
    <x:row r="6781">
      <x:c r="A6781" s="16" t="n">
        <x:v>7018</x:v>
      </x:c>
      <x:c r="B6781" s="16" t="str">
        <x:v>Wan Rohayani Wan Mansor</x:v>
      </x:c>
      <x:c r="C6781" s="16" t="str"/>
      <x:c r="D6781" s="16" t="str">
        <x:v>* myContacts</x:v>
      </x:c>
      <x:c r="E6781" s="16" t="str">
        <x:v>Missing email</x:v>
      </x:c>
    </x:row>
    <x:row r="6782">
      <x:c r="A6782" s="16" t="n">
        <x:v>7019</x:v>
      </x:c>
      <x:c r="B6782" s="16" t="str">
        <x:v>Wan Rosli AGP</x:v>
      </x:c>
      <x:c r="C6782" s="16" t="str"/>
      <x:c r="D6782" s="16" t="str">
        <x:v>* myContacts</x:v>
      </x:c>
      <x:c r="E6782" s="16" t="str">
        <x:v>Missing email</x:v>
      </x:c>
    </x:row>
    <x:row r="6783">
      <x:c r="A6783" s="16" t="n">
        <x:v>7020</x:v>
      </x:c>
      <x:c r="B6783" s="16" t="str">
        <x:v>Wan Shabariah Saliny</x:v>
      </x:c>
      <x:c r="C6783" s="16" t="str"/>
      <x:c r="D6783" s="16" t="str">
        <x:v>* myContacts</x:v>
      </x:c>
      <x:c r="E6783" s="16" t="str">
        <x:v>Missing email</x:v>
      </x:c>
    </x:row>
    <x:row r="6784">
      <x:c r="A6784" s="16" t="n">
        <x:v>7021</x:v>
      </x:c>
      <x:c r="B6784" s="16" t="str">
        <x:v>Wan Sport</x:v>
      </x:c>
      <x:c r="C6784" s="16" t="str"/>
      <x:c r="D6784" s="16" t="str">
        <x:v>* myContacts</x:v>
      </x:c>
      <x:c r="E6784" s="16" t="str">
        <x:v>Missing email</x:v>
      </x:c>
    </x:row>
    <x:row r="6785">
      <x:c r="A6785" s="16" t="n">
        <x:v>7022</x:v>
      </x:c>
      <x:c r="B6785" s="16" t="str">
        <x:v>Wan Student Fb Ads</x:v>
      </x:c>
      <x:c r="C6785" s="16" t="str"/>
      <x:c r="D6785" s="16" t="str">
        <x:v>* myContacts</x:v>
      </x:c>
      <x:c r="E6785" s="16" t="str">
        <x:v>Missing email</x:v>
      </x:c>
    </x:row>
    <x:row r="6786">
      <x:c r="A6786" s="16" t="n">
        <x:v>7023</x:v>
      </x:c>
      <x:c r="B6786" s="16" t="str">
        <x:v>Wan Tukang Cari Maid</x:v>
      </x:c>
      <x:c r="C6786" s="16" t="str"/>
      <x:c r="D6786" s="16" t="str">
        <x:v>* myContacts</x:v>
      </x:c>
      <x:c r="E6786" s="16" t="str">
        <x:v>Missing email</x:v>
      </x:c>
    </x:row>
    <x:row r="6787">
      <x:c r="A6787" s="16" t="n">
        <x:v>7024</x:v>
      </x:c>
      <x:c r="B6787" s="16" t="str">
        <x:v>Wan's Homestay i-City</x:v>
      </x:c>
      <x:c r="C6787" s="16" t="str"/>
      <x:c r="D6787" s="16" t="str">
        <x:v>* myContacts</x:v>
      </x:c>
      <x:c r="E6787" s="16" t="str">
        <x:v>Missing email</x:v>
      </x:c>
    </x:row>
    <x:row r="6788">
      <x:c r="A6788" s="16" t="n">
        <x:v>7025</x:v>
      </x:c>
      <x:c r="B6788" s="16" t="str">
        <x:v>wanchu</x:v>
      </x:c>
      <x:c r="C6788" s="16" t="str"/>
      <x:c r="D6788" s="16" t="str">
        <x:v>* myContacts</x:v>
      </x:c>
      <x:c r="E6788" s="16" t="str">
        <x:v>Missing email</x:v>
      </x:c>
    </x:row>
    <x:row r="6789">
      <x:c r="A6789" s="16" t="n">
        <x:v>7027</x:v>
      </x:c>
      <x:c r="B6789" s="16" t="str">
        <x:v>Wanda Wan Sulaiman</x:v>
      </x:c>
      <x:c r="C6789" s="16" t="str"/>
      <x:c r="D6789" s="16" t="str">
        <x:v>* myContacts</x:v>
      </x:c>
      <x:c r="E6789" s="16" t="str">
        <x:v>Missing email</x:v>
      </x:c>
    </x:row>
    <x:row r="6790">
      <x:c r="A6790" s="16" t="n">
        <x:v>7028</x:v>
      </x:c>
      <x:c r="B6790" s="16" t="str">
        <x:v>Wani Rohani</x:v>
      </x:c>
      <x:c r="C6790" s="16" t="str"/>
      <x:c r="D6790" s="16" t="str">
        <x:v>* myContacts</x:v>
      </x:c>
      <x:c r="E6790" s="16" t="str">
        <x:v>Missing email</x:v>
      </x:c>
    </x:row>
    <x:row r="6791">
      <x:c r="A6791" s="16" t="n">
        <x:v>7029</x:v>
      </x:c>
      <x:c r="B6791" s="16" t="str">
        <x:v>Wani Sari</x:v>
      </x:c>
      <x:c r="C6791" s="16" t="str"/>
      <x:c r="D6791" s="16" t="str">
        <x:v>* myContacts</x:v>
      </x:c>
      <x:c r="E6791" s="16" t="str">
        <x:v>Missing email</x:v>
      </x:c>
    </x:row>
    <x:row r="6792">
      <x:c r="A6792" s="16" t="n">
        <x:v>7030</x:v>
      </x:c>
      <x:c r="B6792" s="16" t="str">
        <x:v>Wanida Wahid MK</x:v>
      </x:c>
      <x:c r="C6792" s="16" t="str"/>
      <x:c r="D6792" s="16" t="str">
        <x:v>* myContacts</x:v>
      </x:c>
      <x:c r="E6792" s="16" t="str">
        <x:v>Missing email</x:v>
      </x:c>
    </x:row>
    <x:row r="6793">
      <x:c r="A6793" s="16" t="n">
        <x:v>7031</x:v>
      </x:c>
      <x:c r="B6793" s="16" t="str">
        <x:v>Wanie Nanie</x:v>
      </x:c>
      <x:c r="C6793" s="16" t="str"/>
      <x:c r="D6793" s="16" t="str">
        <x:v>* myContacts</x:v>
      </x:c>
      <x:c r="E6793" s="16" t="str">
        <x:v>Missing email</x:v>
      </x:c>
    </x:row>
    <x:row r="6794">
      <x:c r="A6794" s="16" t="n">
        <x:v>7032</x:v>
      </x:c>
      <x:c r="B6794" s="16" t="str">
        <x:v>Wankk Pdboysworkshop</x:v>
      </x:c>
      <x:c r="C6794" s="16" t="str"/>
      <x:c r="D6794" s="16" t="str">
        <x:v>* myContacts</x:v>
      </x:c>
      <x:c r="E6794" s="16" t="str">
        <x:v>Missing email</x:v>
      </x:c>
    </x:row>
    <x:row r="6795">
      <x:c r="A6795" s="16" t="n">
        <x:v>7033</x:v>
      </x:c>
      <x:c r="B6795" s="16" t="str">
        <x:v>Wanmaisarah Wanmaisarah</x:v>
      </x:c>
      <x:c r="C6795" s="16" t="str"/>
      <x:c r="D6795" s="16" t="str">
        <x:v>* myContacts</x:v>
      </x:c>
      <x:c r="E6795" s="16" t="str">
        <x:v>Missing email</x:v>
      </x:c>
    </x:row>
    <x:row r="6796">
      <x:c r="A6796" s="16" t="n">
        <x:v>7034</x:v>
      </x:c>
      <x:c r="B6796" s="16" t="str">
        <x:v>Wann Hassan</x:v>
      </x:c>
      <x:c r="C6796" s="16" t="str"/>
      <x:c r="D6796" s="16" t="str">
        <x:v>* myContacts</x:v>
      </x:c>
      <x:c r="E6796" s="16" t="str">
        <x:v>Missing email</x:v>
      </x:c>
    </x:row>
    <x:row r="6797">
      <x:c r="A6797" s="16" t="n">
        <x:v>7035</x:v>
      </x:c>
      <x:c r="B6797" s="16" t="str">
        <x:v>Wann Natuwrel Perlis</x:v>
      </x:c>
      <x:c r="C6797" s="16" t="str"/>
      <x:c r="D6797" s="16" t="str">
        <x:v>* myContacts</x:v>
      </x:c>
      <x:c r="E6797" s="16" t="str">
        <x:v>Missing email</x:v>
      </x:c>
    </x:row>
    <x:row r="6798">
      <x:c r="A6798" s="16" t="n">
        <x:v>7036</x:v>
      </x:c>
      <x:c r="B6798" s="16" t="str">
        <x:v>Wany Rafi</x:v>
      </x:c>
      <x:c r="C6798" s="16" t="str"/>
      <x:c r="D6798" s="16" t="str">
        <x:v>* myContacts</x:v>
      </x:c>
      <x:c r="E6798" s="16" t="str">
        <x:v>Missing email</x:v>
      </x:c>
    </x:row>
    <x:row r="6799">
      <x:c r="A6799" s="16" t="n">
        <x:v>7037</x:v>
      </x:c>
      <x:c r="B6799" s="16" t="str">
        <x:v>Waqas Azmi</x:v>
      </x:c>
      <x:c r="C6799" s="16" t="str"/>
      <x:c r="D6799" s="16" t="str">
        <x:v>* myContacts</x:v>
      </x:c>
      <x:c r="E6799" s="16" t="str">
        <x:v>Missing email</x:v>
      </x:c>
    </x:row>
    <x:row r="6800">
      <x:c r="A6800" s="16" t="n">
        <x:v>7038</x:v>
      </x:c>
      <x:c r="B6800" s="16" t="str">
        <x:v>Warie IM</x:v>
      </x:c>
      <x:c r="C6800" s="16" t="str"/>
      <x:c r="D6800" s="16" t="str">
        <x:v>* myContacts</x:v>
      </x:c>
      <x:c r="E6800" s="16" t="str">
        <x:v>Missing email</x:v>
      </x:c>
    </x:row>
    <x:row r="6801">
      <x:c r="A6801" s="16" t="n">
        <x:v>7039</x:v>
      </x:c>
      <x:c r="B6801" s="16" t="str">
        <x:v>Watashi Watashi</x:v>
      </x:c>
      <x:c r="C6801" s="16" t="str"/>
      <x:c r="D6801" s="16" t="str">
        <x:v>* myContacts</x:v>
      </x:c>
      <x:c r="E6801" s="16" t="str">
        <x:v>Missing email</x:v>
      </x:c>
    </x:row>
    <x:row r="6802">
      <x:c r="A6802" s="16" t="n">
        <x:v>7040</x:v>
      </x:c>
      <x:c r="B6802" s="16" t="str">
        <x:v>water filter</x:v>
      </x:c>
      <x:c r="C6802" s="16" t="str"/>
      <x:c r="D6802" s="16" t="str">
        <x:v>* myContacts</x:v>
      </x:c>
      <x:c r="E6802" s="16" t="str">
        <x:v>Missing email</x:v>
      </x:c>
    </x:row>
    <x:row r="6803">
      <x:c r="A6803" s="16" t="n">
        <x:v>7041</x:v>
      </x:c>
      <x:c r="B6803" s="16" t="str">
        <x:v>Watie Zali</x:v>
      </x:c>
      <x:c r="C6803" s="16" t="str"/>
      <x:c r="D6803" s="16" t="str">
        <x:v>* myContacts</x:v>
      </x:c>
      <x:c r="E6803" s="16" t="str">
        <x:v>Missing email</x:v>
      </x:c>
    </x:row>
    <x:row r="6804">
      <x:c r="A6804" s="16" t="n">
        <x:v>7042</x:v>
      </x:c>
      <x:c r="B6804" s="16" t="str">
        <x:v>Wawa Khanaz Creative</x:v>
      </x:c>
      <x:c r="C6804" s="16" t="str"/>
      <x:c r="D6804" s="16" t="str">
        <x:v>* myContacts</x:v>
      </x:c>
      <x:c r="E6804" s="16" t="str">
        <x:v>Missing email</x:v>
      </x:c>
    </x:row>
    <x:row r="6805">
      <x:c r="A6805" s="16" t="n">
        <x:v>7043</x:v>
      </x:c>
      <x:c r="B6805" s="16" t="str">
        <x:v>Wawa Lieya</x:v>
      </x:c>
      <x:c r="C6805" s="16" t="str"/>
      <x:c r="D6805" s="16" t="str">
        <x:v>* myContacts</x:v>
      </x:c>
      <x:c r="E6805" s="16" t="str">
        <x:v>Missing email</x:v>
      </x:c>
    </x:row>
    <x:row r="6806">
      <x:c r="A6806" s="16" t="n">
        <x:v>7044</x:v>
      </x:c>
      <x:c r="B6806" s="16" t="str">
        <x:v>Wawan Kren</x:v>
      </x:c>
      <x:c r="C6806" s="16" t="str"/>
      <x:c r="D6806" s="16" t="str">
        <x:v>* myContacts</x:v>
      </x:c>
      <x:c r="E6806" s="16" t="str">
        <x:v>Missing email</x:v>
      </x:c>
    </x:row>
    <x:row r="6807">
      <x:c r="A6807" s="16" t="n">
        <x:v>7045</x:v>
      </x:c>
      <x:c r="B6807" s="16" t="str">
        <x:v>WeeBiker Sdn Bhd</x:v>
      </x:c>
      <x:c r="C6807" s="16" t="str"/>
      <x:c r="D6807" s="16" t="str">
        <x:v>* myContacts</x:v>
      </x:c>
      <x:c r="E6807" s="16" t="str">
        <x:v>Missing email</x:v>
      </x:c>
    </x:row>
    <x:row r="6808">
      <x:c r="A6808" s="16" t="n">
        <x:v>7046</x:v>
      </x:c>
      <x:c r="B6808" s="16" t="str">
        <x:v>Whosend Log</x:v>
      </x:c>
      <x:c r="C6808" s="16" t="str"/>
      <x:c r="D6808" s="16" t="str">
        <x:v>* myContacts</x:v>
      </x:c>
      <x:c r="E6808" s="16" t="str">
        <x:v>Missing email</x:v>
      </x:c>
    </x:row>
    <x:row r="6809">
      <x:c r="A6809" s="16" t="n">
        <x:v>7047</x:v>
      </x:c>
      <x:c r="B6809" s="16" t="str">
        <x:v>WiaGazebo Bina Rumah Viral</x:v>
      </x:c>
      <x:c r="C6809" s="16" t="str"/>
      <x:c r="D6809" s="16" t="str">
        <x:v>* myContacts</x:v>
      </x:c>
      <x:c r="E6809" s="16" t="str">
        <x:v>Missing email</x:v>
      </x:c>
    </x:row>
    <x:row r="6810">
      <x:c r="A6810" s="16" t="n">
        <x:v>7049</x:v>
      </x:c>
      <x:c r="B6810" s="16" t="str">
        <x:v>Willie Shim HG</x:v>
      </x:c>
      <x:c r="C6810" s="16" t="str"/>
      <x:c r="D6810" s="16" t="str">
        <x:v>* myContacts</x:v>
      </x:c>
      <x:c r="E6810" s="16" t="str">
        <x:v>Missing email</x:v>
      </x:c>
    </x:row>
    <x:row r="6811">
      <x:c r="A6811" s="16" t="n">
        <x:v>7050</x:v>
      </x:c>
      <x:c r="B6811" s="16" t="str">
        <x:v>Wisy Ayumie</x:v>
      </x:c>
      <x:c r="C6811" s="16" t="str"/>
      <x:c r="D6811" s="16" t="str">
        <x:v>* myContacts</x:v>
      </x:c>
      <x:c r="E6811" s="16" t="str">
        <x:v>Missing email</x:v>
      </x:c>
    </x:row>
    <x:row r="6812">
      <x:c r="A6812" s="16" t="n">
        <x:v>7051</x:v>
      </x:c>
      <x:c r="B6812" s="16" t="str">
        <x:v>WL Chong</x:v>
      </x:c>
      <x:c r="C6812" s="16" t="str"/>
      <x:c r="D6812" s="16" t="str">
        <x:v>* myContacts</x:v>
      </x:c>
      <x:c r="E6812" s="16" t="str">
        <x:v>Missing email</x:v>
      </x:c>
    </x:row>
    <x:row r="6813">
      <x:c r="A6813" s="16" t="n">
        <x:v>7052</x:v>
      </x:c>
      <x:c r="B6813" s="16" t="str">
        <x:v>Wma Azmi</x:v>
      </x:c>
      <x:c r="C6813" s="16" t="str"/>
      <x:c r="D6813" s="16" t="str">
        <x:v>* myContacts</x:v>
      </x:c>
      <x:c r="E6813" s="16" t="str">
        <x:v>Missing email</x:v>
      </x:c>
    </x:row>
    <x:row r="6814">
      <x:c r="A6814" s="16" t="n">
        <x:v>7053</x:v>
      </x:c>
      <x:c r="B6814" s="16" t="str">
        <x:v>Wong Kok Yen</x:v>
      </x:c>
      <x:c r="C6814" s="16" t="str"/>
      <x:c r="D6814" s="16" t="str">
        <x:v>* myContacts</x:v>
      </x:c>
      <x:c r="E6814" s="16" t="str">
        <x:v>Missing email</x:v>
      </x:c>
    </x:row>
    <x:row r="6815">
      <x:c r="A6815" s="16" t="n">
        <x:v>7054</x:v>
      </x:c>
      <x:c r="B6815" s="16" t="str">
        <x:v>Woodwork HarrisDesign</x:v>
      </x:c>
      <x:c r="C6815" s="16" t="str"/>
      <x:c r="D6815" s="16" t="str">
        <x:v>* myContacts</x:v>
      </x:c>
      <x:c r="E6815" s="16" t="str">
        <x:v>Missing email</x:v>
      </x:c>
    </x:row>
    <x:row r="6816">
      <x:c r="A6816" s="16" t="n">
        <x:v>7056</x:v>
      </x:c>
      <x:c r="B6816" s="16" t="str">
        <x:v>Wuslah Almumathalah</x:v>
      </x:c>
      <x:c r="C6816" s="16" t="str"/>
      <x:c r="D6816" s="16" t="str">
        <x:v>* myContacts</x:v>
      </x:c>
      <x:c r="E6816" s="16" t="str">
        <x:v>Missing email</x:v>
      </x:c>
    </x:row>
    <x:row r="6817">
      <x:c r="A6817" s="16" t="n">
        <x:v>7057</x:v>
      </x:c>
      <x:c r="B6817" s="16" t="str">
        <x:v>X Nikkei Pro</x:v>
      </x:c>
      <x:c r="C6817" s="16" t="str"/>
      <x:c r="D6817" s="16" t="str">
        <x:v>* myContacts</x:v>
      </x:c>
      <x:c r="E6817" s="16" t="str">
        <x:v>Missing email</x:v>
      </x:c>
    </x:row>
    <x:row r="6818">
      <x:c r="A6818" s="16" t="n">
        <x:v>7058</x:v>
      </x:c>
      <x:c r="B6818" s="16" t="str">
        <x:v>Xhar Xzan</x:v>
      </x:c>
      <x:c r="C6818" s="16" t="str"/>
      <x:c r="D6818" s="16" t="str">
        <x:v>* myContacts</x:v>
      </x:c>
      <x:c r="E6818" s="16" t="str">
        <x:v>Missing email</x:v>
      </x:c>
    </x:row>
    <x:row r="6819">
      <x:c r="A6819" s="16" t="n">
        <x:v>7059</x:v>
      </x:c>
      <x:c r="B6819" s="16" t="str">
        <x:v>Xpah Starang</x:v>
      </x:c>
      <x:c r="C6819" s="16" t="str"/>
      <x:c r="D6819" s="16" t="str">
        <x:v>* myContacts</x:v>
      </x:c>
      <x:c r="E6819" s="16" t="str">
        <x:v>Missing email</x:v>
      </x:c>
    </x:row>
    <x:row r="6820">
      <x:c r="A6820" s="16" t="n">
        <x:v>7060</x:v>
      </x:c>
      <x:c r="B6820" s="16" t="str">
        <x:v>Yadi Shaari</x:v>
      </x:c>
      <x:c r="C6820" s="16" t="str"/>
      <x:c r="D6820" s="16" t="str">
        <x:v>* myContacts</x:v>
      </x:c>
      <x:c r="E6820" s="16" t="str">
        <x:v>Missing email</x:v>
      </x:c>
    </x:row>
    <x:row r="6821">
      <x:c r="A6821" s="16" t="n">
        <x:v>7061</x:v>
      </x:c>
      <x:c r="B6821" s="16" t="str">
        <x:v>Yahna Mohd Nor</x:v>
      </x:c>
      <x:c r="C6821" s="16" t="str"/>
      <x:c r="D6821" s="16" t="str">
        <x:v>* myContacts</x:v>
      </x:c>
      <x:c r="E6821" s="16" t="str">
        <x:v>Missing email</x:v>
      </x:c>
    </x:row>
    <x:row r="6822">
      <x:c r="A6822" s="16" t="n">
        <x:v>7062</x:v>
      </x:c>
      <x:c r="B6822" s="16" t="str">
        <x:v>Yahya Haidrus</x:v>
      </x:c>
      <x:c r="C6822" s="16" t="str"/>
      <x:c r="D6822" s="16" t="str">
        <x:v>* myContacts</x:v>
      </x:c>
      <x:c r="E6822" s="16" t="str">
        <x:v>Missing email</x:v>
      </x:c>
    </x:row>
    <x:row r="6823">
      <x:c r="A6823" s="16" t="n">
        <x:v>7063</x:v>
      </x:c>
      <x:c r="B6823" s="16" t="str">
        <x:v>Yahya Welder</x:v>
      </x:c>
      <x:c r="C6823" s="16" t="str"/>
      <x:c r="D6823" s="16" t="str">
        <x:v>* myContacts</x:v>
      </x:c>
      <x:c r="E6823" s="16" t="str">
        <x:v>Missing email</x:v>
      </x:c>
    </x:row>
    <x:row r="6824">
      <x:c r="A6824" s="16" t="n">
        <x:v>7064</x:v>
      </x:c>
      <x:c r="B6824" s="16" t="str">
        <x:v>Yan Marina</x:v>
      </x:c>
      <x:c r="C6824" s="16" t="str"/>
      <x:c r="D6824" s="16" t="str">
        <x:v>* myContacts</x:v>
      </x:c>
      <x:c r="E6824" s="16" t="str">
        <x:v>Missing email</x:v>
      </x:c>
    </x:row>
    <x:row r="6825">
      <x:c r="A6825" s="16" t="n">
        <x:v>7065</x:v>
      </x:c>
      <x:c r="B6825" s="16" t="str">
        <x:v>Yan Raja</x:v>
      </x:c>
      <x:c r="C6825" s="16" t="str"/>
      <x:c r="D6825" s="16" t="str">
        <x:v>* myContacts</x:v>
      </x:c>
      <x:c r="E6825" s="16" t="str">
        <x:v>Missing email</x:v>
      </x:c>
    </x:row>
    <x:row r="6826">
      <x:c r="A6826" s="16" t="n">
        <x:v>7066</x:v>
      </x:c>
      <x:c r="B6826" s="16" t="str">
        <x:v>Yana</x:v>
      </x:c>
      <x:c r="C6826" s="16" t="str"/>
      <x:c r="D6826" s="16" t="str">
        <x:v>* myContacts</x:v>
      </x:c>
      <x:c r="E6826" s="16" t="str">
        <x:v>Missing email</x:v>
      </x:c>
    </x:row>
    <x:row r="6827">
      <x:c r="A6827" s="16" t="n">
        <x:v>7067</x:v>
      </x:c>
      <x:c r="B6827" s="16" t="str">
        <x:v>Yana Bambam Cafe</x:v>
      </x:c>
      <x:c r="C6827" s="16" t="str"/>
      <x:c r="D6827" s="16" t="str">
        <x:v>* myContacts</x:v>
      </x:c>
      <x:c r="E6827" s="16" t="str">
        <x:v>Missing email</x:v>
      </x:c>
    </x:row>
    <x:row r="6828">
      <x:c r="A6828" s="16" t="n">
        <x:v>7068</x:v>
      </x:c>
      <x:c r="B6828" s="16" t="str">
        <x:v>Yana Ceng</x:v>
      </x:c>
      <x:c r="C6828" s="16" t="str"/>
      <x:c r="D6828" s="16" t="str">
        <x:v>* myContacts</x:v>
      </x:c>
      <x:c r="E6828" s="16" t="str">
        <x:v>Missing email</x:v>
      </x:c>
    </x:row>
    <x:row r="6829">
      <x:c r="A6829" s="16" t="n">
        <x:v>7069</x:v>
      </x:c>
      <x:c r="B6829" s="16" t="str">
        <x:v>yana CM homemade (biskut kek</x:v>
      </x:c>
      <x:c r="C6829" s="16" t="str"/>
      <x:c r="D6829" s="16" t="str">
        <x:v>* myContacts</x:v>
      </x:c>
      <x:c r="E6829" s="16" t="str">
        <x:v>Missing email</x:v>
      </x:c>
    </x:row>
    <x:row r="6830">
      <x:c r="A6830" s="16" t="n">
        <x:v>7070</x:v>
      </x:c>
      <x:c r="B6830" s="16" t="str">
        <x:v>yana CM homemade (biskut kek roti)</x:v>
      </x:c>
      <x:c r="C6830" s="16" t="str"/>
      <x:c r="D6830" s="16" t="str">
        <x:v>* myContacts</x:v>
      </x:c>
      <x:c r="E6830" s="16" t="str">
        <x:v>Missing email</x:v>
      </x:c>
    </x:row>
    <x:row r="6831">
      <x:c r="A6831" s="16" t="n">
        <x:v>7071</x:v>
      </x:c>
      <x:c r="B6831" s="16" t="str">
        <x:v>Yana Dpim</x:v>
      </x:c>
      <x:c r="C6831" s="16" t="str"/>
      <x:c r="D6831" s="16" t="str">
        <x:v>* myContacts</x:v>
      </x:c>
      <x:c r="E6831" s="16" t="str">
        <x:v>Missing email</x:v>
      </x:c>
    </x:row>
    <x:row r="6832">
      <x:c r="A6832" s="16" t="n">
        <x:v>7072</x:v>
      </x:c>
      <x:c r="B6832" s="16" t="str">
        <x:v>Yana Nuar</x:v>
      </x:c>
      <x:c r="C6832" s="16" t="str"/>
      <x:c r="D6832" s="16" t="str">
        <x:v>* myContacts</x:v>
      </x:c>
      <x:c r="E6832" s="16" t="str">
        <x:v>Missing email</x:v>
      </x:c>
    </x:row>
    <x:row r="6833">
      <x:c r="A6833" s="16" t="n">
        <x:v>7073</x:v>
      </x:c>
      <x:c r="B6833" s="16" t="str">
        <x:v>Yana Yusof</x:v>
      </x:c>
      <x:c r="C6833" s="16" t="str"/>
      <x:c r="D6833" s="16" t="str">
        <x:v>* myContacts</x:v>
      </x:c>
      <x:c r="E6833" s="16" t="str">
        <x:v>Missing email</x:v>
      </x:c>
    </x:row>
    <x:row r="6834">
      <x:c r="A6834" s="16" t="n">
        <x:v>7074</x:v>
      </x:c>
      <x:c r="B6834" s="16" t="str">
        <x:v>Yanaa Hamzah</x:v>
      </x:c>
      <x:c r="C6834" s="16" t="str"/>
      <x:c r="D6834" s="16" t="str">
        <x:v>* myContacts</x:v>
      </x:c>
      <x:c r="E6834" s="16" t="str">
        <x:v>Missing email</x:v>
      </x:c>
    </x:row>
    <x:row r="6835">
      <x:c r="A6835" s="16" t="n">
        <x:v>7075</x:v>
      </x:c>
      <x:c r="B6835" s="16" t="str">
        <x:v>Yani Stokis Nurraysa</x:v>
      </x:c>
      <x:c r="C6835" s="16" t="str"/>
      <x:c r="D6835" s="16" t="str">
        <x:v>* myContacts</x:v>
      </x:c>
      <x:c r="E6835" s="16" t="str">
        <x:v>Missing email</x:v>
      </x:c>
    </x:row>
    <x:row r="6836">
      <x:c r="A6836" s="16" t="n">
        <x:v>7076</x:v>
      </x:c>
      <x:c r="B6836" s="16" t="str">
        <x:v>YaNy Property Negotiator</x:v>
      </x:c>
      <x:c r="C6836" s="16" t="str"/>
      <x:c r="D6836" s="16" t="str">
        <x:v>* myContacts</x:v>
      </x:c>
      <x:c r="E6836" s="16" t="str">
        <x:v>Missing email</x:v>
      </x:c>
    </x:row>
    <x:row r="6837">
      <x:c r="A6837" s="16" t="n">
        <x:v>7077</x:v>
      </x:c>
      <x:c r="B6837" s="16" t="str">
        <x:v>Yarsir Gaddafi</x:v>
      </x:c>
      <x:c r="C6837" s="16" t="str"/>
      <x:c r="D6837" s="16" t="str">
        <x:v>* myContacts</x:v>
      </x:c>
      <x:c r="E6837" s="16" t="str">
        <x:v>Missing email</x:v>
      </x:c>
    </x:row>
    <x:row r="6838">
      <x:c r="A6838" s="16" t="n">
        <x:v>7079</x:v>
      </x:c>
      <x:c r="B6838" s="16" t="str">
        <x:v>Yasmeen Humaira</x:v>
      </x:c>
      <x:c r="C6838" s="16" t="str"/>
      <x:c r="D6838" s="16" t="str">
        <x:v>* myContacts</x:v>
      </x:c>
      <x:c r="E6838" s="16" t="str">
        <x:v>Missing email</x:v>
      </x:c>
    </x:row>
    <x:row r="6839">
      <x:c r="A6839" s="16" t="n">
        <x:v>7080</x:v>
      </x:c>
      <x:c r="B6839" s="16" t="str">
        <x:v>Yasmine Student Ttdi</x:v>
      </x:c>
      <x:c r="C6839" s="16" t="str"/>
      <x:c r="D6839" s="16" t="str">
        <x:v>* myContacts</x:v>
      </x:c>
      <x:c r="E6839" s="16" t="str">
        <x:v>Missing email</x:v>
      </x:c>
    </x:row>
    <x:row r="6840">
      <x:c r="A6840" s="16" t="n">
        <x:v>7081</x:v>
      </x:c>
      <x:c r="B6840" s="16" t="str">
        <x:v>Yasnita Yasnita</x:v>
      </x:c>
      <x:c r="C6840" s="16" t="str"/>
      <x:c r="D6840" s="16" t="str">
        <x:v>* myContacts</x:v>
      </x:c>
      <x:c r="E6840" s="16" t="str">
        <x:v>Missing email</x:v>
      </x:c>
    </x:row>
    <x:row r="6841">
      <x:c r="A6841" s="16" t="n">
        <x:v>7082</x:v>
      </x:c>
      <x:c r="B6841" s="16" t="str">
        <x:v>Yaso toastmaster</x:v>
      </x:c>
      <x:c r="C6841" s="16" t="str"/>
      <x:c r="D6841" s="16" t="str">
        <x:v>* myContacts</x:v>
      </x:c>
      <x:c r="E6841" s="16" t="str">
        <x:v>Missing email</x:v>
      </x:c>
    </x:row>
    <x:row r="6842">
      <x:c r="A6842" s="16" t="n">
        <x:v>7083</x:v>
      </x:c>
      <x:c r="B6842" s="16" t="str">
        <x:v>Yastieyrah Ayzah Shaz</x:v>
      </x:c>
      <x:c r="C6842" s="16" t="str"/>
      <x:c r="D6842" s="16" t="str">
        <x:v>* myContacts</x:v>
      </x:c>
      <x:c r="E6842" s="16" t="str">
        <x:v>Missing email</x:v>
      </x:c>
    </x:row>
    <x:row r="6843">
      <x:c r="A6843" s="16" t="n">
        <x:v>7084</x:v>
      </x:c>
      <x:c r="B6843" s="16" t="str">
        <x:v>Yat Rasid</x:v>
      </x:c>
      <x:c r="C6843" s="16" t="str"/>
      <x:c r="D6843" s="16" t="str">
        <x:v>* myContacts</x:v>
      </x:c>
      <x:c r="E6843" s="16" t="str">
        <x:v>Missing email</x:v>
      </x:c>
    </x:row>
    <x:row r="6844">
      <x:c r="A6844" s="16" t="n">
        <x:v>7085</x:v>
      </x:c>
      <x:c r="B6844" s="16" t="str">
        <x:v>Yati Lgk</x:v>
      </x:c>
      <x:c r="C6844" s="16" t="str"/>
      <x:c r="D6844" s="16" t="str">
        <x:v>* myContacts</x:v>
      </x:c>
      <x:c r="E6844" s="16" t="str">
        <x:v>Missing email</x:v>
      </x:c>
    </x:row>
    <x:row r="6845">
      <x:c r="A6845" s="16" t="n">
        <x:v>7086</x:v>
      </x:c>
      <x:c r="B6845" s="16" t="str">
        <x:v>Yati Prospect Minta Kerja</x:v>
      </x:c>
      <x:c r="C6845" s="16" t="str"/>
      <x:c r="D6845" s="16" t="str">
        <x:v>* myContacts</x:v>
      </x:c>
      <x:c r="E6845" s="16" t="str">
        <x:v>Missing email</x:v>
      </x:c>
    </x:row>
    <x:row r="6846">
      <x:c r="A6846" s="16" t="n">
        <x:v>7087</x:v>
      </x:c>
      <x:c r="B6846" s="16" t="str">
        <x:v>Yatt Abd</x:v>
      </x:c>
      <x:c r="C6846" s="16" t="str"/>
      <x:c r="D6846" s="16" t="str">
        <x:v>* myContacts</x:v>
      </x:c>
      <x:c r="E6846" s="16" t="str">
        <x:v>Missing email</x:v>
      </x:c>
    </x:row>
    <x:row r="6847">
      <x:c r="A6847" s="16" t="n">
        <x:v>7088</x:v>
      </x:c>
      <x:c r="B6847" s="16" t="str">
        <x:v>Yazid Razali</x:v>
      </x:c>
      <x:c r="C6847" s="16" t="str"/>
      <x:c r="D6847" s="16" t="str">
        <x:v>* myContacts</x:v>
      </x:c>
      <x:c r="E6847" s="16" t="str">
        <x:v>Missing email</x:v>
      </x:c>
    </x:row>
    <x:row r="6848">
      <x:c r="A6848" s="16" t="n">
        <x:v>7089</x:v>
      </x:c>
      <x:c r="B6848" s="16" t="str">
        <x:v>Yb Yahya Saari</x:v>
      </x:c>
      <x:c r="C6848" s="16" t="str"/>
      <x:c r="D6848" s="16" t="str">
        <x:v>* myContacts</x:v>
      </x:c>
      <x:c r="E6848" s="16" t="str">
        <x:v>Missing email</x:v>
      </x:c>
    </x:row>
    <x:row r="6849">
      <x:c r="A6849" s="16" t="n">
        <x:v>7090</x:v>
      </x:c>
      <x:c r="B6849" s="16" t="str">
        <x:v>Yiienn Macho</x:v>
      </x:c>
      <x:c r="C6849" s="16" t="str"/>
      <x:c r="D6849" s="16" t="str">
        <x:v>* myContacts</x:v>
      </x:c>
      <x:c r="E6849" s="16" t="str">
        <x:v>Missing email</x:v>
      </x:c>
    </x:row>
    <x:row r="6850">
      <x:c r="A6850" s="16" t="n">
        <x:v>7091</x:v>
      </x:c>
      <x:c r="B6850" s="16" t="str">
        <x:v>Yob Nuar</x:v>
      </x:c>
      <x:c r="C6850" s="16" t="str"/>
      <x:c r="D6850" s="16" t="str">
        <x:v>* myContacts</x:v>
      </x:c>
      <x:c r="E6850" s="16" t="str">
        <x:v>Missing email</x:v>
      </x:c>
    </x:row>
    <x:row r="6851">
      <x:c r="A6851" s="16" t="n">
        <x:v>7092</x:v>
      </x:c>
      <x:c r="B6851" s="16" t="str">
        <x:v>Yoga Regare Paste</x:v>
      </x:c>
      <x:c r="C6851" s="16" t="str"/>
      <x:c r="D6851" s="16" t="str">
        <x:v>* myContacts</x:v>
      </x:c>
      <x:c r="E6851" s="16" t="str">
        <x:v>Missing email</x:v>
      </x:c>
    </x:row>
    <x:row r="6852">
      <x:c r="A6852" s="16" t="n">
        <x:v>7093</x:v>
      </x:c>
      <x:c r="B6852" s="16" t="str">
        <x:v>Yol</x:v>
      </x:c>
      <x:c r="C6852" s="16" t="str"/>
      <x:c r="D6852" s="16" t="str">
        <x:v>* myContacts</x:v>
      </x:c>
      <x:c r="E6852" s="16" t="str">
        <x:v>Missing email</x:v>
      </x:c>
    </x:row>
    <x:row r="6853">
      <x:c r="A6853" s="16" t="n">
        <x:v>7094</x:v>
      </x:c>
      <x:c r="B6853" s="16" t="str">
        <x:v>Yukarmi AGP</x:v>
      </x:c>
      <x:c r="C6853" s="16" t="str"/>
      <x:c r="D6853" s="16" t="str">
        <x:v>* myContacts</x:v>
      </x:c>
      <x:c r="E6853" s="16" t="str">
        <x:v>Missing email</x:v>
      </x:c>
    </x:row>
    <x:row r="6854">
      <x:c r="A6854" s="16" t="n">
        <x:v>7095</x:v>
      </x:c>
      <x:c r="B6854" s="16" t="str">
        <x:v>Yulaeha Haris</x:v>
      </x:c>
      <x:c r="C6854" s="16" t="str"/>
      <x:c r="D6854" s="16" t="str">
        <x:v>* myContacts</x:v>
      </x:c>
      <x:c r="E6854" s="16" t="str">
        <x:v>Missing email</x:v>
      </x:c>
    </x:row>
    <x:row r="6855">
      <x:c r="A6855" s="16" t="n">
        <x:v>7096</x:v>
      </x:c>
      <x:c r="B6855" s="16" t="str">
        <x:v>Yuliza Boru Panggoaran</x:v>
      </x:c>
      <x:c r="C6855" s="16" t="str"/>
      <x:c r="D6855" s="16" t="str">
        <x:v>* myContacts</x:v>
      </x:c>
      <x:c r="E6855" s="16" t="str">
        <x:v>Missing email</x:v>
      </x:c>
    </x:row>
    <x:row r="6856">
      <x:c r="A6856" s="16" t="n">
        <x:v>7097</x:v>
      </x:c>
      <x:c r="B6856" s="16" t="str">
        <x:v>Yullinafirdous Kamarudin</x:v>
      </x:c>
      <x:c r="C6856" s="16" t="str"/>
      <x:c r="D6856" s="16" t="str">
        <x:v>* myContacts</x:v>
      </x:c>
      <x:c r="E6856" s="16" t="str">
        <x:v>Missing email</x:v>
      </x:c>
    </x:row>
    <x:row r="6857">
      <x:c r="A6857" s="16" t="n">
        <x:v>7098</x:v>
      </x:c>
      <x:c r="B6857" s="16" t="str">
        <x:v>Yuniees Pretty</x:v>
      </x:c>
      <x:c r="C6857" s="16" t="str"/>
      <x:c r="D6857" s="16" t="str">
        <x:v>* myContacts</x:v>
      </x:c>
      <x:c r="E6857" s="16" t="str">
        <x:v>Missing email</x:v>
      </x:c>
    </x:row>
    <x:row r="6858">
      <x:c r="A6858" s="16" t="n">
        <x:v>7099</x:v>
      </x:c>
      <x:c r="B6858" s="16" t="str">
        <x:v>Yunus Safuan Soleh Wakaf Penang</x:v>
      </x:c>
      <x:c r="C6858" s="16" t="str"/>
      <x:c r="D6858" s="16" t="str">
        <x:v>* myContacts</x:v>
      </x:c>
      <x:c r="E6858" s="16" t="str">
        <x:v>Missing email</x:v>
      </x:c>
    </x:row>
    <x:row r="6859">
      <x:c r="A6859" s="16" t="n">
        <x:v>7100</x:v>
      </x:c>
      <x:c r="B6859" s="16" t="str">
        <x:v>Yus dari syarikat label sendiri</x:v>
      </x:c>
      <x:c r="C6859" s="16" t="str"/>
      <x:c r="D6859" s="16" t="str">
        <x:v>* myContacts</x:v>
      </x:c>
      <x:c r="E6859" s="16" t="str">
        <x:v>Missing email</x:v>
      </x:c>
    </x:row>
    <x:row r="6860">
      <x:c r="A6860" s="16" t="n">
        <x:v>7101</x:v>
      </x:c>
      <x:c r="B6860" s="16" t="str">
        <x:v>Yus Dewan</x:v>
      </x:c>
      <x:c r="C6860" s="16" t="str"/>
      <x:c r="D6860" s="16" t="str">
        <x:v>* myContacts</x:v>
      </x:c>
      <x:c r="E6860" s="16" t="str">
        <x:v>Missing email</x:v>
      </x:c>
    </x:row>
    <x:row r="6861">
      <x:c r="A6861" s="16" t="n">
        <x:v>7102</x:v>
      </x:c>
      <x:c r="B6861" s="16" t="str">
        <x:v>Yus e world Trade Bda</x:v>
      </x:c>
      <x:c r="C6861" s="16" t="str"/>
      <x:c r="D6861" s="16" t="str">
        <x:v>* myContacts</x:v>
      </x:c>
      <x:c r="E6861" s="16" t="str">
        <x:v>Missing email</x:v>
      </x:c>
    </x:row>
    <x:row r="6862">
      <x:c r="A6862" s="16" t="n">
        <x:v>7103</x:v>
      </x:c>
      <x:c r="B6862" s="16" t="str">
        <x:v>Yuslan Bidi</x:v>
      </x:c>
      <x:c r="C6862" s="16" t="str"/>
      <x:c r="D6862" s="16" t="str">
        <x:v>* myContacts</x:v>
      </x:c>
      <x:c r="E6862" s="16" t="str">
        <x:v>Missing email</x:v>
      </x:c>
    </x:row>
    <x:row r="6863">
      <x:c r="A6863" s="16" t="n">
        <x:v>7104</x:v>
      </x:c>
      <x:c r="B6863" s="16" t="str">
        <x:v>Yusliana Yusof</x:v>
      </x:c>
      <x:c r="C6863" s="16" t="str"/>
      <x:c r="D6863" s="16" t="str">
        <x:v>* myContacts</x:v>
      </x:c>
      <x:c r="E6863" s="16" t="str">
        <x:v>Missing email</x:v>
      </x:c>
    </x:row>
    <x:row r="6864">
      <x:c r="A6864" s="16" t="n">
        <x:v>7105</x:v>
      </x:c>
      <x:c r="B6864" s="16" t="str">
        <x:v>Yusmarianti Yusop</x:v>
      </x:c>
      <x:c r="C6864" s="16" t="str"/>
      <x:c r="D6864" s="16" t="str">
        <x:v>* myContacts</x:v>
      </x:c>
      <x:c r="E6864" s="16" t="str">
        <x:v>Missing email</x:v>
      </x:c>
    </x:row>
    <x:row r="6865">
      <x:c r="A6865" s="16" t="n">
        <x:v>7106</x:v>
      </x:c>
      <x:c r="B6865" s="16" t="str">
        <x:v>Yusni Labbang</x:v>
      </x:c>
      <x:c r="C6865" s="16" t="str"/>
      <x:c r="D6865" s="16" t="str">
        <x:v>* myContacts</x:v>
      </x:c>
      <x:c r="E6865" s="16" t="str">
        <x:v>Missing email</x:v>
      </x:c>
    </x:row>
    <x:row r="6866">
      <x:c r="A6866" s="16" t="n">
        <x:v>7107</x:v>
      </x:c>
      <x:c r="B6866" s="16" t="str">
        <x:v>Yusnimasita Abd Hamid</x:v>
      </x:c>
      <x:c r="C6866" s="16" t="str"/>
      <x:c r="D6866" s="16" t="str">
        <x:v>* myContacts</x:v>
      </x:c>
      <x:c r="E6866" s="16" t="str">
        <x:v>Missing email</x:v>
      </x:c>
    </x:row>
    <x:row r="6867">
      <x:c r="A6867" s="16" t="n">
        <x:v>7108</x:v>
      </x:c>
      <x:c r="B6867" s="16" t="str">
        <x:v>Yusof IM</x:v>
      </x:c>
      <x:c r="C6867" s="16" t="str"/>
      <x:c r="D6867" s="16" t="str">
        <x:v>* myContacts</x:v>
      </x:c>
      <x:c r="E6867" s="16" t="str">
        <x:v>Missing email</x:v>
      </x:c>
    </x:row>
    <x:row r="6868">
      <x:c r="A6868" s="16" t="n">
        <x:v>7109</x:v>
      </x:c>
      <x:c r="B6868" s="16" t="str">
        <x:v>Yusof Yusri</x:v>
      </x:c>
      <x:c r="C6868" s="16" t="str"/>
      <x:c r="D6868" s="16" t="str">
        <x:v>* myContacts</x:v>
      </x:c>
      <x:c r="E6868" s="16" t="str">
        <x:v>Missing email</x:v>
      </x:c>
    </x:row>
    <x:row r="6869">
      <x:c r="A6869" s="16" t="n">
        <x:v>7110</x:v>
      </x:c>
      <x:c r="B6869" s="16" t="str">
        <x:v>Yusran Abdullah</x:v>
      </x:c>
      <x:c r="C6869" s="16" t="str"/>
      <x:c r="D6869" s="16" t="str">
        <x:v>* myContacts</x:v>
      </x:c>
      <x:c r="E6869" s="16" t="str">
        <x:v>Missing email</x:v>
      </x:c>
    </x:row>
    <x:row r="6870">
      <x:c r="A6870" s="16" t="n">
        <x:v>7111</x:v>
      </x:c>
      <x:c r="B6870" s="16" t="str">
        <x:v>Yusriah Awal</x:v>
      </x:c>
      <x:c r="C6870" s="16" t="str"/>
      <x:c r="D6870" s="16" t="str">
        <x:v>* myContacts</x:v>
      </x:c>
      <x:c r="E6870" s="16" t="str">
        <x:v>Missing email</x:v>
      </x:c>
    </x:row>
    <x:row r="6871">
      <x:c r="A6871" s="16" t="n">
        <x:v>7112</x:v>
      </x:c>
      <x:c r="B6871" s="16" t="str">
        <x:v>Yusry Hafiz</x:v>
      </x:c>
      <x:c r="C6871" s="16" t="str"/>
      <x:c r="D6871" s="16" t="str">
        <x:v>* myContacts</x:v>
      </x:c>
      <x:c r="E6871" s="16" t="str">
        <x:v>Missing email</x:v>
      </x:c>
    </x:row>
    <x:row r="6872">
      <x:c r="A6872" s="16" t="n">
        <x:v>7113</x:v>
      </x:c>
      <x:c r="B6872" s="16" t="str">
        <x:v>Yusuf Amad</x:v>
      </x:c>
      <x:c r="C6872" s="16" t="str"/>
      <x:c r="D6872" s="16" t="str">
        <x:v>* myContacts</x:v>
      </x:c>
      <x:c r="E6872" s="16" t="str">
        <x:v>Missing email</x:v>
      </x:c>
    </x:row>
    <x:row r="6873">
      <x:c r="A6873" s="16" t="n">
        <x:v>7114</x:v>
      </x:c>
      <x:c r="B6873" s="16" t="str">
        <x:v>Yuya Yusra</x:v>
      </x:c>
      <x:c r="C6873" s="16" t="str"/>
      <x:c r="D6873" s="16" t="str">
        <x:v>* myContacts</x:v>
      </x:c>
      <x:c r="E6873" s="16" t="str">
        <x:v>Missing email</x:v>
      </x:c>
    </x:row>
    <x:row r="6874">
      <x:c r="A6874" s="16" t="n">
        <x:v>7115</x:v>
      </x:c>
      <x:c r="B6874" s="16" t="str">
        <x:v>Yuzaini Jujai</x:v>
      </x:c>
      <x:c r="C6874" s="16" t="str"/>
      <x:c r="D6874" s="16" t="str">
        <x:v>* myContacts</x:v>
      </x:c>
      <x:c r="E6874" s="16" t="str">
        <x:v>Missing email</x:v>
      </x:c>
    </x:row>
    <x:row r="6875">
      <x:c r="A6875" s="16" t="n">
        <x:v>7116</x:v>
      </x:c>
      <x:c r="B6875" s="16" t="str">
        <x:v>Yuzrihairul MY</x:v>
      </x:c>
      <x:c r="C6875" s="16" t="str"/>
      <x:c r="D6875" s="16" t="str">
        <x:v>* myContacts</x:v>
      </x:c>
      <x:c r="E6875" s="16" t="str">
        <x:v>Missing email</x:v>
      </x:c>
    </x:row>
    <x:row r="6876">
      <x:c r="A6876" s="16" t="n">
        <x:v>7117</x:v>
      </x:c>
      <x:c r="B6876" s="16" t="str">
        <x:v>Yvonne Sky Loh</x:v>
      </x:c>
      <x:c r="C6876" s="16" t="str"/>
      <x:c r="D6876" s="16" t="str">
        <x:v>* myContacts</x:v>
      </x:c>
      <x:c r="E6876" s="16" t="str">
        <x:v>Missing email</x:v>
      </x:c>
    </x:row>
    <x:row r="6877">
      <x:c r="A6877" s="16" t="n">
        <x:v>7118</x:v>
      </x:c>
      <x:c r="B6877" s="16" t="str">
        <x:v>Z At'tin</x:v>
      </x:c>
      <x:c r="C6877" s="16" t="str"/>
      <x:c r="D6877" s="16" t="str">
        <x:v>* myContacts</x:v>
      </x:c>
      <x:c r="E6877" s="16" t="str">
        <x:v>Missing email</x:v>
      </x:c>
    </x:row>
    <x:row r="6878">
      <x:c r="A6878" s="16" t="n">
        <x:v>7119</x:v>
      </x:c>
      <x:c r="B6878" s="16" t="str">
        <x:v>Zaama Mdec im</x:v>
      </x:c>
      <x:c r="C6878" s="16" t="str"/>
      <x:c r="D6878" s="16" t="str">
        <x:v>* myContacts</x:v>
      </x:c>
      <x:c r="E6878" s="16" t="str">
        <x:v>Missing email</x:v>
      </x:c>
    </x:row>
    <x:row r="6879">
      <x:c r="A6879" s="16" t="n">
        <x:v>7120</x:v>
      </x:c>
      <x:c r="B6879" s="16" t="str">
        <x:v>Zabur CAR SELLER</x:v>
      </x:c>
      <x:c r="C6879" s="16" t="str"/>
      <x:c r="D6879" s="16" t="str">
        <x:v>* myContacts</x:v>
      </x:c>
      <x:c r="E6879" s="16" t="str">
        <x:v>Missing email</x:v>
      </x:c>
    </x:row>
    <x:row r="6880">
      <x:c r="A6880" s="16" t="n">
        <x:v>7121</x:v>
      </x:c>
      <x:c r="B6880" s="16" t="str">
        <x:v>ZaCk Dzeko</x:v>
      </x:c>
      <x:c r="C6880" s="16" t="str"/>
      <x:c r="D6880" s="16" t="str">
        <x:v>* myContacts</x:v>
      </x:c>
      <x:c r="E6880" s="16" t="str">
        <x:v>Missing email</x:v>
      </x:c>
    </x:row>
    <x:row r="6881">
      <x:c r="A6881" s="16" t="n">
        <x:v>7122</x:v>
      </x:c>
      <x:c r="B6881" s="16" t="str">
        <x:v>Mr Zack Graphic Designer</x:v>
      </x:c>
      <x:c r="C6881" s="16" t="str"/>
      <x:c r="D6881" s="16" t="str">
        <x:v>* myContacts</x:v>
      </x:c>
      <x:c r="E6881" s="16" t="str">
        <x:v>Missing email</x:v>
      </x:c>
    </x:row>
    <x:row r="6882">
      <x:c r="A6882" s="16" t="n">
        <x:v>7123</x:v>
      </x:c>
      <x:c r="B6882" s="16" t="str">
        <x:v>Zack Mal</x:v>
      </x:c>
      <x:c r="C6882" s="16" t="str"/>
      <x:c r="D6882" s="16" t="str">
        <x:v>* myContacts</x:v>
      </x:c>
      <x:c r="E6882" s="16" t="str">
        <x:v>Missing email</x:v>
      </x:c>
    </x:row>
    <x:row r="6883">
      <x:c r="A6883" s="16" t="n">
        <x:v>7124</x:v>
      </x:c>
      <x:c r="B6883" s="16" t="str">
        <x:v>Zack Seven</x:v>
      </x:c>
      <x:c r="C6883" s="16" t="str"/>
      <x:c r="D6883" s="16" t="str">
        <x:v>* myContacts</x:v>
      </x:c>
      <x:c r="E6883" s="16" t="str">
        <x:v>Missing email</x:v>
      </x:c>
    </x:row>
    <x:row r="6884">
      <x:c r="A6884" s="16" t="n">
        <x:v>7125</x:v>
      </x:c>
      <x:c r="B6884" s="16" t="str">
        <x:v>Zack Zulkifli</x:v>
      </x:c>
      <x:c r="C6884" s="16" t="str"/>
      <x:c r="D6884" s="16" t="str">
        <x:v>* myContacts</x:v>
      </x:c>
      <x:c r="E6884" s="16" t="str">
        <x:v>Missing email</x:v>
      </x:c>
    </x:row>
    <x:row r="6885">
      <x:c r="A6885" s="16" t="n">
        <x:v>7126</x:v>
      </x:c>
      <x:c r="B6885" s="16" t="str">
        <x:v>Zackwan Zainal</x:v>
      </x:c>
      <x:c r="C6885" s="16" t="str"/>
      <x:c r="D6885" s="16" t="str">
        <x:v>* myContacts</x:v>
      </x:c>
      <x:c r="E6885" s="16" t="str">
        <x:v>Missing email</x:v>
      </x:c>
    </x:row>
    <x:row r="6886">
      <x:c r="A6886" s="16" t="n">
        <x:v>7127</x:v>
      </x:c>
      <x:c r="B6886" s="16" t="str">
        <x:v>ZaFa Zf</x:v>
      </x:c>
      <x:c r="C6886" s="16" t="str"/>
      <x:c r="D6886" s="16" t="str">
        <x:v>* myContacts</x:v>
      </x:c>
      <x:c r="E6886" s="16" t="str">
        <x:v>Missing email</x:v>
      </x:c>
    </x:row>
    <x:row r="6887">
      <x:c r="A6887" s="16" t="n">
        <x:v>7128</x:v>
      </x:c>
      <x:c r="B6887" s="16" t="str">
        <x:v>Zafar Media Putri</x:v>
      </x:c>
      <x:c r="C6887" s="16" t="str"/>
      <x:c r="D6887" s="16" t="str">
        <x:v>* myContacts</x:v>
      </x:c>
      <x:c r="E6887" s="16" t="str">
        <x:v>Missing email</x:v>
      </x:c>
    </x:row>
    <x:row r="6888">
      <x:c r="A6888" s="16" t="n">
        <x:v>7129</x:v>
      </x:c>
      <x:c r="B6888" s="16" t="str">
        <x:v>Zaff Lan Maarof</x:v>
      </x:c>
      <x:c r="C6888" s="16" t="str"/>
      <x:c r="D6888" s="16" t="str">
        <x:v>* myContacts</x:v>
      </x:c>
      <x:c r="E6888" s="16" t="str">
        <x:v>Missing email</x:v>
      </x:c>
    </x:row>
    <x:row r="6889">
      <x:c r="A6889" s="16" t="n">
        <x:v>7130</x:v>
      </x:c>
      <x:c r="B6889" s="16" t="str">
        <x:v>Zaffran Norizam</x:v>
      </x:c>
      <x:c r="C6889" s="16" t="str"/>
      <x:c r="D6889" s="16" t="str">
        <x:v>* myContacts</x:v>
      </x:c>
      <x:c r="E6889" s="16" t="str">
        <x:v>Missing email</x:v>
      </x:c>
    </x:row>
    <x:row r="6890">
      <x:c r="A6890" s="16" t="n">
        <x:v>7131</x:v>
      </x:c>
      <x:c r="B6890" s="16" t="str">
        <x:v>Zafi C5 SHOPEE EBOARDING STUDENT</x:v>
      </x:c>
      <x:c r="C6890" s="16" t="str"/>
      <x:c r="D6890" s="16" t="str">
        <x:v>* myContacts</x:v>
      </x:c>
      <x:c r="E6890" s="16" t="str">
        <x:v>Missing email</x:v>
      </x:c>
    </x:row>
    <x:row r="6891">
      <x:c r="A6891" s="16" t="n">
        <x:v>7132</x:v>
      </x:c>
      <x:c r="B6891" s="16" t="str">
        <x:v>zafida AGP</x:v>
      </x:c>
      <x:c r="C6891" s="16" t="str"/>
      <x:c r="D6891" s="16" t="str">
        <x:v>* myContacts</x:v>
      </x:c>
      <x:c r="E6891" s="16" t="str">
        <x:v>Missing email</x:v>
      </x:c>
    </x:row>
    <x:row r="6892">
      <x:c r="A6892" s="16" t="n">
        <x:v>7134</x:v>
      </x:c>
      <x:c r="B6892" s="16" t="str">
        <x:v>Zaha Bin Yasin</x:v>
      </x:c>
      <x:c r="C6892" s="16" t="str"/>
      <x:c r="D6892" s="16" t="str">
        <x:v>* myContacts</x:v>
      </x:c>
      <x:c r="E6892" s="16" t="str">
        <x:v>Missing email</x:v>
      </x:c>
    </x:row>
    <x:row r="6893">
      <x:c r="A6893" s="16" t="n">
        <x:v>7135</x:v>
      </x:c>
      <x:c r="B6893" s="16" t="str">
        <x:v>Zahar Awang Noh</x:v>
      </x:c>
      <x:c r="C6893" s="16" t="str"/>
      <x:c r="D6893" s="16" t="str">
        <x:v>* myContacts</x:v>
      </x:c>
      <x:c r="E6893" s="16" t="str">
        <x:v>Missing email</x:v>
      </x:c>
    </x:row>
    <x:row r="6894">
      <x:c r="A6894" s="16" t="n">
        <x:v>7136</x:v>
      </x:c>
      <x:c r="B6894" s="16" t="str">
        <x:v>Zaharah Bt Mohamad AGP</x:v>
      </x:c>
      <x:c r="C6894" s="16" t="str"/>
      <x:c r="D6894" s="16" t="str">
        <x:v>* myContacts</x:v>
      </x:c>
      <x:c r="E6894" s="16" t="str">
        <x:v>Missing email</x:v>
      </x:c>
    </x:row>
    <x:row r="6895">
      <x:c r="A6895" s="16" t="n">
        <x:v>7137</x:v>
      </x:c>
      <x:c r="B6895" s="16" t="str">
        <x:v>Zaharatulaili Mokhtar</x:v>
      </x:c>
      <x:c r="C6895" s="16" t="str"/>
      <x:c r="D6895" s="16" t="str">
        <x:v>* myContacts</x:v>
      </x:c>
      <x:c r="E6895" s="16" t="str">
        <x:v>Missing email</x:v>
      </x:c>
    </x:row>
    <x:row r="6896">
      <x:c r="A6896" s="16" t="n">
        <x:v>7138</x:v>
      </x:c>
      <x:c r="B6896" s="16" t="str">
        <x:v>Zahari Ahmad</x:v>
      </x:c>
      <x:c r="C6896" s="16" t="str"/>
      <x:c r="D6896" s="16" t="str">
        <x:v>* myContacts</x:v>
      </x:c>
      <x:c r="E6896" s="16" t="str">
        <x:v>Missing email</x:v>
      </x:c>
    </x:row>
    <x:row r="6897">
      <x:c r="A6897" s="16" t="n">
        <x:v>7139</x:v>
      </x:c>
      <x:c r="B6897" s="16" t="str">
        <x:v>Dr Zahib Utm</x:v>
      </x:c>
      <x:c r="C6897" s="16" t="str"/>
      <x:c r="D6897" s="16" t="str">
        <x:v>* myContacts</x:v>
      </x:c>
      <x:c r="E6897" s="16" t="str">
        <x:v>Missing email</x:v>
      </x:c>
    </x:row>
    <x:row r="6898">
      <x:c r="A6898" s="16" t="n">
        <x:v>7140</x:v>
      </x:c>
      <x:c r="B6898" s="16" t="str">
        <x:v>zahidan IM</x:v>
      </x:c>
      <x:c r="C6898" s="16" t="str"/>
      <x:c r="D6898" s="16" t="str">
        <x:v>* myContacts</x:v>
      </x:c>
      <x:c r="E6898" s="16" t="str">
        <x:v>Missing email</x:v>
      </x:c>
    </x:row>
    <x:row r="6899">
      <x:c r="A6899" s="16" t="n">
        <x:v>7141</x:v>
      </x:c>
      <x:c r="B6899" s="16" t="str">
        <x:v>Zahirah Ahmad</x:v>
      </x:c>
      <x:c r="C6899" s="16" t="str"/>
      <x:c r="D6899" s="16" t="str">
        <x:v>* myContacts</x:v>
      </x:c>
      <x:c r="E6899" s="16" t="str">
        <x:v>Missing email</x:v>
      </x:c>
    </x:row>
    <x:row r="6900">
      <x:c r="A6900" s="16" t="n">
        <x:v>7142</x:v>
      </x:c>
      <x:c r="B6900" s="16" t="str">
        <x:v>zahirul Toyyibpay. com Sales</x:v>
      </x:c>
      <x:c r="C6900" s="16" t="str"/>
      <x:c r="D6900" s="16" t="str">
        <x:v>* myContacts</x:v>
      </x:c>
      <x:c r="E6900" s="16" t="str">
        <x:v>Missing email</x:v>
      </x:c>
    </x:row>
    <x:row r="6901">
      <x:c r="A6901" s="16" t="n">
        <x:v>7143</x:v>
      </x:c>
      <x:c r="B6901" s="16" t="str">
        <x:v>zahrul im</x:v>
      </x:c>
      <x:c r="C6901" s="16" t="str"/>
      <x:c r="D6901" s="16" t="str">
        <x:v>* myContacts</x:v>
      </x:c>
      <x:c r="E6901" s="16" t="str">
        <x:v>Missing email</x:v>
      </x:c>
    </x:row>
    <x:row r="6902">
      <x:c r="A6902" s="16" t="n">
        <x:v>7144</x:v>
      </x:c>
      <x:c r="B6902" s="16" t="str">
        <x:v>Zaid Zakaria AGP</x:v>
      </x:c>
      <x:c r="C6902" s="16" t="str"/>
      <x:c r="D6902" s="16" t="str">
        <x:v>* myContacts</x:v>
      </x:c>
      <x:c r="E6902" s="16" t="str">
        <x:v>Missing email</x:v>
      </x:c>
    </x:row>
    <x:row r="6903">
      <x:c r="A6903" s="16" t="n">
        <x:v>7145</x:v>
      </x:c>
      <x:c r="B6903" s="16" t="str">
        <x:v>Zaidah Wonderlab</x:v>
      </x:c>
      <x:c r="C6903" s="16" t="str"/>
      <x:c r="D6903" s="16" t="str">
        <x:v>* myContacts</x:v>
      </x:c>
      <x:c r="E6903" s="16" t="str">
        <x:v>Missing email</x:v>
      </x:c>
    </x:row>
    <x:row r="6904">
      <x:c r="A6904" s="16" t="n">
        <x:v>7146</x:v>
      </x:c>
      <x:c r="B6904" s="16" t="str">
        <x:v>Zaidi Agent Essens</x:v>
      </x:c>
      <x:c r="C6904" s="16" t="str"/>
      <x:c r="D6904" s="16" t="str">
        <x:v>* myContacts</x:v>
      </x:c>
      <x:c r="E6904" s="16" t="str">
        <x:v>Missing email</x:v>
      </x:c>
    </x:row>
    <x:row r="6905">
      <x:c r="A6905" s="16" t="n">
        <x:v>7147</x:v>
      </x:c>
      <x:c r="B6905" s="16" t="str">
        <x:v>Zaidi Badri</x:v>
      </x:c>
      <x:c r="C6905" s="16" t="str"/>
      <x:c r="D6905" s="16" t="str">
        <x:v>* myContacts</x:v>
      </x:c>
      <x:c r="E6905" s="16" t="str">
        <x:v>Missing email</x:v>
      </x:c>
    </x:row>
    <x:row r="6906">
      <x:c r="A6906" s="16" t="n">
        <x:v>7148</x:v>
      </x:c>
      <x:c r="B6906" s="16" t="str">
        <x:v>Zaidi Hussain</x:v>
      </x:c>
      <x:c r="C6906" s="16" t="str"/>
      <x:c r="D6906" s="16" t="str">
        <x:v>* myContacts</x:v>
      </x:c>
      <x:c r="E6906" s="16" t="str">
        <x:v>Missing email</x:v>
      </x:c>
    </x:row>
    <x:row r="6907">
      <x:c r="A6907" s="16" t="n">
        <x:v>7149</x:v>
      </x:c>
      <x:c r="B6907" s="16" t="str">
        <x:v>Zaidi Kernai</x:v>
      </x:c>
      <x:c r="C6907" s="16" t="str"/>
      <x:c r="D6907" s="16" t="str">
        <x:v>* myContacts</x:v>
      </x:c>
      <x:c r="E6907" s="16" t="str">
        <x:v>Missing email</x:v>
      </x:c>
    </x:row>
    <x:row r="6908">
      <x:c r="A6908" s="16" t="n">
        <x:v>7150</x:v>
      </x:c>
      <x:c r="B6908" s="16" t="str">
        <x:v>ZaiDi Lah</x:v>
      </x:c>
      <x:c r="C6908" s="16" t="str"/>
      <x:c r="D6908" s="16" t="str">
        <x:v>* myContacts</x:v>
      </x:c>
      <x:c r="E6908" s="16" t="str">
        <x:v>Missing email</x:v>
      </x:c>
    </x:row>
    <x:row r="6909">
      <x:c r="A6909" s="16" t="n">
        <x:v>7152</x:v>
      </x:c>
      <x:c r="B6909" s="16" t="str">
        <x:v>Zaidi Mohd Supiah</x:v>
      </x:c>
      <x:c r="C6909" s="16" t="str"/>
      <x:c r="D6909" s="16" t="str">
        <x:v>* myContacts</x:v>
      </x:c>
      <x:c r="E6909" s="16" t="str">
        <x:v>Missing email</x:v>
      </x:c>
    </x:row>
    <x:row r="6910">
      <x:c r="A6910" s="16" t="n">
        <x:v>7153</x:v>
      </x:c>
      <x:c r="B6910" s="16" t="str">
        <x:v>Zaidi Ppmm</x:v>
      </x:c>
      <x:c r="C6910" s="16" t="str"/>
      <x:c r="D6910" s="16" t="str">
        <x:v>* myContacts</x:v>
      </x:c>
      <x:c r="E6910" s="16" t="str">
        <x:v>Missing email</x:v>
      </x:c>
    </x:row>
    <x:row r="6911">
      <x:c r="A6911" s="16" t="n">
        <x:v>7154</x:v>
      </x:c>
      <x:c r="B6911" s="16" t="str">
        <x:v>Zaiem Ibrahim</x:v>
      </x:c>
      <x:c r="C6911" s="16" t="str"/>
      <x:c r="D6911" s="16" t="str">
        <x:v>* myContacts</x:v>
      </x:c>
      <x:c r="E6911" s="16" t="str">
        <x:v>Missing email</x:v>
      </x:c>
    </x:row>
    <x:row r="6912">
      <x:c r="A6912" s="16" t="n">
        <x:v>7155</x:v>
      </x:c>
      <x:c r="B6912" s="16" t="str">
        <x:v>Zaifol Lori Abanglori</x:v>
      </x:c>
      <x:c r="C6912" s="16" t="str"/>
      <x:c r="D6912" s="16" t="str">
        <x:v>* myContacts</x:v>
      </x:c>
      <x:c r="E6912" s="16" t="str">
        <x:v>Missing email</x:v>
      </x:c>
    </x:row>
    <x:row r="6913">
      <x:c r="A6913" s="16" t="n">
        <x:v>7156</x:v>
      </x:c>
      <x:c r="B6913" s="16" t="str">
        <x:v>Zaihan Nod</x:v>
      </x:c>
      <x:c r="C6913" s="16" t="str"/>
      <x:c r="D6913" s="16" t="str">
        <x:v>* myContacts</x:v>
      </x:c>
      <x:c r="E6913" s="16" t="str">
        <x:v>Missing email</x:v>
      </x:c>
    </x:row>
    <x:row r="6914">
      <x:c r="A6914" s="16" t="n">
        <x:v>7157</x:v>
      </x:c>
      <x:c r="B6914" s="16" t="str">
        <x:v>Zailatulaspa Daud</x:v>
      </x:c>
      <x:c r="C6914" s="16" t="str"/>
      <x:c r="D6914" s="16" t="str">
        <x:v>* myContacts</x:v>
      </x:c>
      <x:c r="E6914" s="16" t="str">
        <x:v>Missing email</x:v>
      </x:c>
    </x:row>
    <x:row r="6915">
      <x:c r="A6915" s="16" t="n">
        <x:v>7158</x:v>
      </x:c>
      <x:c r="B6915" s="16" t="str">
        <x:v>Zailiana Yahya</x:v>
      </x:c>
      <x:c r="C6915" s="16" t="str"/>
      <x:c r="D6915" s="16" t="str">
        <x:v>* myContacts</x:v>
      </x:c>
      <x:c r="E6915" s="16" t="str">
        <x:v>Missing email</x:v>
      </x:c>
    </x:row>
    <x:row r="6916">
      <x:c r="A6916" s="16" t="n">
        <x:v>7159</x:v>
      </x:c>
      <x:c r="B6916" s="16" t="str">
        <x:v>zaim cat litter</x:v>
      </x:c>
      <x:c r="C6916" s="16" t="str"/>
      <x:c r="D6916" s="16" t="str">
        <x:v>* myContacts</x:v>
      </x:c>
      <x:c r="E6916" s="16" t="str">
        <x:v>Missing email</x:v>
      </x:c>
    </x:row>
    <x:row r="6917">
      <x:c r="A6917" s="16" t="n">
        <x:v>7160</x:v>
      </x:c>
      <x:c r="B6917" s="16" t="str">
        <x:v>Zaim Mustaffa</x:v>
      </x:c>
      <x:c r="C6917" s="16" t="str"/>
      <x:c r="D6917" s="16" t="str">
        <x:v>* myContacts</x:v>
      </x:c>
      <x:c r="E6917" s="16" t="str">
        <x:v>Missing email</x:v>
      </x:c>
    </x:row>
    <x:row r="6918">
      <x:c r="A6918" s="16" t="n">
        <x:v>7161</x:v>
      </x:c>
      <x:c r="B6918" s="16" t="str">
        <x:v>Zain Samoin</x:v>
      </x:c>
      <x:c r="C6918" s="16" t="str"/>
      <x:c r="D6918" s="16" t="str">
        <x:v>* myContacts</x:v>
      </x:c>
      <x:c r="E6918" s="16" t="str">
        <x:v>Missing email</x:v>
      </x:c>
    </x:row>
    <x:row r="6919">
      <x:c r="A6919" s="16" t="n">
        <x:v>7162</x:v>
      </x:c>
      <x:c r="B6919" s="16" t="str">
        <x:v>Zainal Ardi AGP</x:v>
      </x:c>
      <x:c r="C6919" s="16" t="str"/>
      <x:c r="D6919" s="16" t="str">
        <x:v>* myContacts</x:v>
      </x:c>
      <x:c r="E6919" s="16" t="str">
        <x:v>Missing email</x:v>
      </x:c>
    </x:row>
    <x:row r="6920">
      <x:c r="A6920" s="16" t="n">
        <x:v>7163</x:v>
      </x:c>
      <x:c r="B6920" s="16" t="str">
        <x:v>Zainal Ibrahim</x:v>
      </x:c>
      <x:c r="C6920" s="16" t="str"/>
      <x:c r="D6920" s="16" t="str">
        <x:v>* myContacts</x:v>
      </x:c>
      <x:c r="E6920" s="16" t="str">
        <x:v>Missing email</x:v>
      </x:c>
    </x:row>
    <x:row r="6921">
      <x:c r="A6921" s="16" t="n">
        <x:v>7164</x:v>
      </x:c>
      <x:c r="B6921" s="16" t="str">
        <x:v>zainal ppim</x:v>
      </x:c>
      <x:c r="C6921" s="16" t="str"/>
      <x:c r="D6921" s="16" t="str">
        <x:v>* myContacts</x:v>
      </x:c>
      <x:c r="E6921" s="16" t="str">
        <x:v>Missing email</x:v>
      </x:c>
    </x:row>
    <x:row r="6922">
      <x:c r="A6922" s="16" t="n">
        <x:v>7165</x:v>
      </x:c>
      <x:c r="B6922" s="16" t="str">
        <x:v>Zaini Amar Pakar Printing</x:v>
      </x:c>
      <x:c r="C6922" s="16" t="str"/>
      <x:c r="D6922" s="16" t="str">
        <x:v>* myContacts</x:v>
      </x:c>
      <x:c r="E6922" s="16" t="str">
        <x:v>Missing email</x:v>
      </x:c>
    </x:row>
    <x:row r="6923">
      <x:c r="A6923" s="16" t="n">
        <x:v>7166</x:v>
      </x:c>
      <x:c r="B6923" s="16" t="str">
        <x:v>Zaini Lecturer Politeknik Sabak Bernam</x:v>
      </x:c>
      <x:c r="C6923" s="16" t="str"/>
      <x:c r="D6923" s="16" t="str">
        <x:v>* myContacts</x:v>
      </x:c>
      <x:c r="E6923" s="16" t="str">
        <x:v>Missing email</x:v>
      </x:c>
    </x:row>
    <x:row r="6924">
      <x:c r="A6924" s="16" t="n">
        <x:v>7167</x:v>
      </x:c>
      <x:c r="B6924" s="16" t="str">
        <x:v>zaini zan 2</x:v>
      </x:c>
      <x:c r="C6924" s="16" t="str"/>
      <x:c r="D6924" s="16" t="str">
        <x:v>* myContacts</x:v>
      </x:c>
      <x:c r="E6924" s="16" t="str">
        <x:v>Missing email</x:v>
      </x:c>
    </x:row>
    <x:row r="6925">
      <x:c r="A6925" s="16" t="n">
        <x:v>7168</x:v>
      </x:c>
      <x:c r="B6925" s="16" t="str">
        <x:v>Zaini Zan Kbbc Agent</x:v>
      </x:c>
      <x:c r="C6925" s="16" t="str"/>
      <x:c r="D6925" s="16" t="str">
        <x:v>* myContacts</x:v>
      </x:c>
      <x:c r="E6925" s="16" t="str">
        <x:v>Missing email</x:v>
      </x:c>
    </x:row>
    <x:row r="6926">
      <x:c r="A6926" s="16" t="n">
        <x:v>7169</x:v>
      </x:c>
      <x:c r="B6926" s="16" t="str">
        <x:v>Zainol Effandy Matrasidin</x:v>
      </x:c>
      <x:c r="C6926" s="16" t="str"/>
      <x:c r="D6926" s="16" t="str">
        <x:v>* myContacts</x:v>
      </x:c>
      <x:c r="E6926" s="16" t="str">
        <x:v>Missing email</x:v>
      </x:c>
    </x:row>
    <x:row r="6927">
      <x:c r="A6927" s="16" t="n">
        <x:v>7170</x:v>
      </x:c>
      <x:c r="B6927" s="16" t="str">
        <x:v>Zainuddin Agent AGP Tier 1</x:v>
      </x:c>
      <x:c r="C6927" s="16" t="str"/>
      <x:c r="D6927" s="16" t="str">
        <x:v>* myContacts</x:v>
      </x:c>
      <x:c r="E6927" s="16" t="str">
        <x:v>Missing email</x:v>
      </x:c>
    </x:row>
    <x:row r="6928">
      <x:c r="A6928" s="16" t="n">
        <x:v>7171</x:v>
      </x:c>
      <x:c r="B6928" s="16" t="str">
        <x:v>Zainul Abiddin</x:v>
      </x:c>
      <x:c r="C6928" s="16" t="str"/>
      <x:c r="D6928" s="16" t="str">
        <x:v>* myContacts</x:v>
      </x:c>
      <x:c r="E6928" s="16" t="str">
        <x:v>Missing email</x:v>
      </x:c>
    </x:row>
    <x:row r="6929">
      <x:c r="A6929" s="16" t="n">
        <x:v>7172</x:v>
      </x:c>
      <x:c r="B6929" s="16" t="str">
        <x:v>Zairin Kbbc Agent</x:v>
      </x:c>
      <x:c r="C6929" s="16" t="str"/>
      <x:c r="D6929" s="16" t="str">
        <x:v>* myContacts</x:v>
      </x:c>
      <x:c r="E6929" s="16" t="str">
        <x:v>Missing email</x:v>
      </x:c>
    </x:row>
    <x:row r="6930">
      <x:c r="A6930" s="16" t="n">
        <x:v>7173</x:v>
      </x:c>
      <x:c r="B6930" s="16" t="str">
        <x:v>Zairudin Meatech College</x:v>
      </x:c>
      <x:c r="C6930" s="16" t="str"/>
      <x:c r="D6930" s="16" t="str">
        <x:v>* myContacts</x:v>
      </x:c>
      <x:c r="E6930" s="16" t="str">
        <x:v>Missing email</x:v>
      </x:c>
    </x:row>
    <x:row r="6931">
      <x:c r="A6931" s="16" t="n">
        <x:v>7174</x:v>
      </x:c>
      <x:c r="B6931" s="16" t="str">
        <x:v>Zaiton Azaboys</x:v>
      </x:c>
      <x:c r="C6931" s="16" t="str"/>
      <x:c r="D6931" s="16" t="str">
        <x:v>* myContacts</x:v>
      </x:c>
      <x:c r="E6931" s="16" t="str">
        <x:v>Missing email</x:v>
      </x:c>
    </x:row>
    <x:row r="6932">
      <x:c r="A6932" s="16" t="n">
        <x:v>7175</x:v>
      </x:c>
      <x:c r="B6932" s="16" t="str">
        <x:v>Zaiton Md Daud AGP</x:v>
      </x:c>
      <x:c r="C6932" s="16" t="str"/>
      <x:c r="D6932" s="16" t="str">
        <x:v>* myContacts</x:v>
      </x:c>
      <x:c r="E6932" s="16" t="str">
        <x:v>Missing email</x:v>
      </x:c>
    </x:row>
    <x:row r="6933">
      <x:c r="A6933" s="16" t="n">
        <x:v>7176</x:v>
      </x:c>
      <x:c r="B6933" s="16" t="str">
        <x:v>Zaitun Bahtiar</x:v>
      </x:c>
      <x:c r="C6933" s="16" t="str"/>
      <x:c r="D6933" s="16" t="str">
        <x:v>* myContacts</x:v>
      </x:c>
      <x:c r="E6933" s="16" t="str">
        <x:v>Missing email</x:v>
      </x:c>
    </x:row>
    <x:row r="6934">
      <x:c r="A6934" s="16" t="n">
        <x:v>7177</x:v>
      </x:c>
      <x:c r="B6934" s="16" t="str">
        <x:v>Zakaria Baharom AGP</x:v>
      </x:c>
      <x:c r="C6934" s="16" t="str"/>
      <x:c r="D6934" s="16" t="str">
        <x:v>* myContacts</x:v>
      </x:c>
      <x:c r="E6934" s="16" t="str">
        <x:v>Missing email</x:v>
      </x:c>
    </x:row>
    <x:row r="6935">
      <x:c r="A6935" s="16" t="n">
        <x:v>7178</x:v>
      </x:c>
      <x:c r="B6935" s="16" t="str">
        <x:v>Zaki Coway</x:v>
      </x:c>
      <x:c r="C6935" s="16" t="str"/>
      <x:c r="D6935" s="16" t="str">
        <x:v>* myContacts</x:v>
      </x:c>
      <x:c r="E6935" s="16" t="str">
        <x:v>Missing email</x:v>
      </x:c>
    </x:row>
    <x:row r="6936">
      <x:c r="A6936" s="16" t="n">
        <x:v>7179</x:v>
      </x:c>
      <x:c r="B6936" s="16" t="str">
        <x:v>Zakiah Ismail</x:v>
      </x:c>
      <x:c r="C6936" s="16" t="str"/>
      <x:c r="D6936" s="16" t="str">
        <x:v>* myContacts</x:v>
      </x:c>
      <x:c r="E6936" s="16" t="str">
        <x:v>Missing email</x:v>
      </x:c>
    </x:row>
    <x:row r="6937">
      <x:c r="A6937" s="16" t="n">
        <x:v>7180</x:v>
      </x:c>
      <x:c r="B6937" s="16" t="str">
        <x:v>Zakiyah Rasmin</x:v>
      </x:c>
      <x:c r="C6937" s="16" t="str"/>
      <x:c r="D6937" s="16" t="str">
        <x:v>* myContacts</x:v>
      </x:c>
      <x:c r="E6937" s="16" t="str">
        <x:v>Missing email</x:v>
      </x:c>
    </x:row>
    <x:row r="6938">
      <x:c r="A6938" s="16" t="n">
        <x:v>7181</x:v>
      </x:c>
      <x:c r="B6938" s="16" t="str">
        <x:v>Zakwan Syakir</x:v>
      </x:c>
      <x:c r="C6938" s="16" t="str"/>
      <x:c r="D6938" s="16" t="str">
        <x:v>* myContacts</x:v>
      </x:c>
      <x:c r="E6938" s="16" t="str">
        <x:v>Missing email</x:v>
      </x:c>
    </x:row>
    <x:row r="6939">
      <x:c r="A6939" s="16" t="n">
        <x:v>7182</x:v>
      </x:c>
      <x:c r="B6939" s="16" t="str">
        <x:v>zal sea walking</x:v>
      </x:c>
      <x:c r="C6939" s="16" t="str"/>
      <x:c r="D6939" s="16" t="str">
        <x:v>* myContacts</x:v>
      </x:c>
      <x:c r="E6939" s="16" t="str">
        <x:v>Missing email</x:v>
      </x:c>
    </x:row>
    <x:row r="6940">
      <x:c r="A6940" s="16" t="n">
        <x:v>7183</x:v>
      </x:c>
      <x:c r="B6940" s="16" t="str">
        <x:v>Zalaikha Eika</x:v>
      </x:c>
      <x:c r="C6940" s="16" t="str"/>
      <x:c r="D6940" s="16" t="str">
        <x:v>* myContacts</x:v>
      </x:c>
      <x:c r="E6940" s="16" t="str">
        <x:v>Missing email</x:v>
      </x:c>
    </x:row>
    <x:row r="6941">
      <x:c r="A6941" s="16" t="n">
        <x:v>7184</x:v>
      </x:c>
      <x:c r="B6941" s="16" t="str">
        <x:v>Zali Razali</x:v>
      </x:c>
      <x:c r="C6941" s="16" t="str"/>
      <x:c r="D6941" s="16" t="str">
        <x:v>* myContacts</x:v>
      </x:c>
      <x:c r="E6941" s="16" t="str">
        <x:v>Missing email</x:v>
      </x:c>
    </x:row>
    <x:row r="6942">
      <x:c r="A6942" s="16" t="n">
        <x:v>7185</x:v>
      </x:c>
      <x:c r="B6942" s="16" t="str">
        <x:v>Zaliah PID Tg. Malim</x:v>
      </x:c>
      <x:c r="C6942" s="16" t="str"/>
      <x:c r="D6942" s="16" t="str">
        <x:v>* myContacts</x:v>
      </x:c>
      <x:c r="E6942" s="16" t="str">
        <x:v>Missing email</x:v>
      </x:c>
    </x:row>
    <x:row r="6943">
      <x:c r="A6943" s="16" t="n">
        <x:v>7186</x:v>
      </x:c>
      <x:c r="B6943" s="16" t="str">
        <x:v>Zalieynaimza Ieyza Lieyza</x:v>
      </x:c>
      <x:c r="C6943" s="16" t="str"/>
      <x:c r="D6943" s="16" t="str">
        <x:v>* myContacts</x:v>
      </x:c>
      <x:c r="E6943" s="16" t="str">
        <x:v>Missing email</x:v>
      </x:c>
    </x:row>
    <x:row r="6944">
      <x:c r="A6944" s="16" t="n">
        <x:v>7187</x:v>
      </x:c>
      <x:c r="B6944" s="16" t="str">
        <x:v>Zalika Sauddi</x:v>
      </x:c>
      <x:c r="C6944" s="16" t="str"/>
      <x:c r="D6944" s="16" t="str">
        <x:v>* myContacts</x:v>
      </x:c>
      <x:c r="E6944" s="16" t="str">
        <x:v>Missing email</x:v>
      </x:c>
    </x:row>
    <x:row r="6945">
      <x:c r="A6945" s="16" t="n">
        <x:v>7188</x:v>
      </x:c>
      <x:c r="B6945" s="16" t="str">
        <x:v>Zalikha Kerani Kbbc</x:v>
      </x:c>
      <x:c r="C6945" s="16" t="str"/>
      <x:c r="D6945" s="16" t="str">
        <x:v>* myContacts</x:v>
      </x:c>
      <x:c r="E6945" s="16" t="str">
        <x:v>Missing email</x:v>
      </x:c>
    </x:row>
    <x:row r="6946">
      <x:c r="A6946" s="16" t="n">
        <x:v>7189</x:v>
      </x:c>
      <x:c r="B6946" s="16" t="str">
        <x:v>Zalina Zabri</x:v>
      </x:c>
      <x:c r="C6946" s="16" t="str"/>
      <x:c r="D6946" s="16" t="str">
        <x:v>* myContacts</x:v>
      </x:c>
      <x:c r="E6946" s="16" t="str">
        <x:v>Missing email</x:v>
      </x:c>
    </x:row>
    <x:row r="6947">
      <x:c r="A6947" s="16" t="n">
        <x:v>7190</x:v>
      </x:c>
      <x:c r="B6947" s="16" t="str">
        <x:v>Zam Abd Rahman</x:v>
      </x:c>
      <x:c r="C6947" s="16" t="str"/>
      <x:c r="D6947" s="16" t="str">
        <x:v>* myContacts</x:v>
      </x:c>
      <x:c r="E6947" s="16" t="str">
        <x:v>Missing email</x:v>
      </x:c>
    </x:row>
    <x:row r="6948">
      <x:c r="A6948" s="16" t="n">
        <x:v>7191</x:v>
      </x:c>
      <x:c r="B6948" s="16" t="str">
        <x:v>Zam Ngo Politic</x:v>
      </x:c>
      <x:c r="C6948" s="16" t="str"/>
      <x:c r="D6948" s="16" t="str">
        <x:v>* myContacts</x:v>
      </x:c>
      <x:c r="E6948" s="16" t="str">
        <x:v>Missing email</x:v>
      </x:c>
    </x:row>
    <x:row r="6949">
      <x:c r="A6949" s="16" t="n">
        <x:v>7192</x:v>
      </x:c>
      <x:c r="B6949" s="16" t="str">
        <x:v>Zam Ry AGP</x:v>
      </x:c>
      <x:c r="C6949" s="16" t="str"/>
      <x:c r="D6949" s="16" t="str">
        <x:v>* myContacts</x:v>
      </x:c>
      <x:c r="E6949" s="16" t="str">
        <x:v>Missing email</x:v>
      </x:c>
    </x:row>
    <x:row r="6950">
      <x:c r="A6950" s="16" t="n">
        <x:v>7193</x:v>
      </x:c>
      <x:c r="B6950" s="16" t="str">
        <x:v>Zam Zam Printing SB</x:v>
      </x:c>
      <x:c r="C6950" s="16" t="str"/>
      <x:c r="D6950" s="16" t="str">
        <x:v>* myContacts</x:v>
      </x:c>
      <x:c r="E6950" s="16" t="str">
        <x:v>Missing email</x:v>
      </x:c>
    </x:row>
    <x:row r="6951">
      <x:c r="A6951" s="16" t="n">
        <x:v>7194</x:v>
      </x:c>
      <x:c r="B6951" s="16" t="str">
        <x:v>Zamiah Burhan</x:v>
      </x:c>
      <x:c r="C6951" s="16" t="str"/>
      <x:c r="D6951" s="16" t="str">
        <x:v>* myContacts</x:v>
      </x:c>
      <x:c r="E6951" s="16" t="str">
        <x:v>Missing email</x:v>
      </x:c>
    </x:row>
    <x:row r="6952">
      <x:c r="A6952" s="16" t="n">
        <x:v>7195</x:v>
      </x:c>
      <x:c r="B6952" s="16" t="str">
        <x:v>Zamri Forklift</x:v>
      </x:c>
      <x:c r="C6952" s="16" t="str"/>
      <x:c r="D6952" s="16" t="str">
        <x:v>* myContacts</x:v>
      </x:c>
      <x:c r="E6952" s="16" t="str">
        <x:v>Missing email</x:v>
      </x:c>
    </x:row>
    <x:row r="6953">
      <x:c r="A6953" s="16" t="n">
        <x:v>7196</x:v>
      </x:c>
      <x:c r="B6953" s="16" t="str">
        <x:v>Zamri Jamaludin</x:v>
      </x:c>
      <x:c r="C6953" s="16" t="str"/>
      <x:c r="D6953" s="16" t="str">
        <x:v>* myContacts</x:v>
      </x:c>
      <x:c r="E6953" s="16" t="str">
        <x:v>Missing email</x:v>
      </x:c>
    </x:row>
    <x:row r="6954">
      <x:c r="A6954" s="16" t="n">
        <x:v>7197</x:v>
      </x:c>
      <x:c r="B6954" s="16" t="str">
        <x:v>Zamri JPJ Wangsa Maju</x:v>
      </x:c>
      <x:c r="C6954" s="16" t="str"/>
      <x:c r="D6954" s="16" t="str">
        <x:v>* myContacts</x:v>
      </x:c>
      <x:c r="E6954" s="16" t="str">
        <x:v>Missing email</x:v>
      </x:c>
    </x:row>
    <x:row r="6955">
      <x:c r="A6955" s="16" t="n">
        <x:v>7198</x:v>
      </x:c>
      <x:c r="B6955" s="16" t="str">
        <x:v>zamri kasi jadi web</x:v>
      </x:c>
      <x:c r="C6955" s="16" t="str"/>
      <x:c r="D6955" s="16" t="str">
        <x:v>* myContacts</x:v>
      </x:c>
      <x:c r="E6955" s="16" t="str">
        <x:v>Missing email</x:v>
      </x:c>
    </x:row>
    <x:row r="6956">
      <x:c r="A6956" s="16" t="n">
        <x:v>7199</x:v>
      </x:c>
      <x:c r="B6956" s="16" t="str">
        <x:v>Zamri Meri</x:v>
      </x:c>
      <x:c r="C6956" s="16" t="str"/>
      <x:c r="D6956" s="16" t="str">
        <x:v>* myContacts</x:v>
      </x:c>
      <x:c r="E6956" s="16" t="str">
        <x:v>Missing email</x:v>
      </x:c>
    </x:row>
    <x:row r="6957">
      <x:c r="A6957" s="16" t="n">
        <x:v>7200</x:v>
      </x:c>
      <x:c r="B6957" s="16" t="str">
        <x:v>Zamri Romaniaga Tangkak</x:v>
      </x:c>
      <x:c r="C6957" s="16" t="str"/>
      <x:c r="D6957" s="16" t="str">
        <x:v>* myContacts</x:v>
      </x:c>
      <x:c r="E6957" s="16" t="str">
        <x:v>Missing email</x:v>
      </x:c>
    </x:row>
    <x:row r="6958">
      <x:c r="A6958" s="16" t="n">
        <x:v>7201</x:v>
      </x:c>
      <x:c r="B6958" s="16" t="str">
        <x:v>Zamzulaika Kassim</x:v>
      </x:c>
      <x:c r="C6958" s="16" t="str"/>
      <x:c r="D6958" s="16" t="str">
        <x:v>* myContacts</x:v>
      </x:c>
      <x:c r="E6958" s="16" t="str">
        <x:v>Missing email</x:v>
      </x:c>
    </x:row>
    <x:row r="6959">
      <x:c r="A6959" s="16" t="n">
        <x:v>7202</x:v>
      </x:c>
      <x:c r="B6959" s="16" t="str">
        <x:v>zamzulia Meatech</x:v>
      </x:c>
      <x:c r="C6959" s="16" t="str"/>
      <x:c r="D6959" s="16" t="str">
        <x:v>* myContacts</x:v>
      </x:c>
      <x:c r="E6959" s="16" t="str">
        <x:v>Missing email</x:v>
      </x:c>
    </x:row>
    <x:row r="6960">
      <x:c r="A6960" s="16" t="n">
        <x:v>7203</x:v>
      </x:c>
      <x:c r="B6960" s="16" t="str">
        <x:v>Zamzuri Aia Takaful</x:v>
      </x:c>
      <x:c r="C6960" s="16" t="str"/>
      <x:c r="D6960" s="16" t="str">
        <x:v>* myContacts</x:v>
      </x:c>
      <x:c r="E6960" s="16" t="str">
        <x:v>Missing email</x:v>
      </x:c>
    </x:row>
    <x:row r="6961">
      <x:c r="A6961" s="16" t="n">
        <x:v>7204</x:v>
      </x:c>
      <x:c r="B6961" s="16" t="str">
        <x:v>ZAMZURIMAN Tekun Nasional</x:v>
      </x:c>
      <x:c r="C6961" s="16" t="str"/>
      <x:c r="D6961" s="16" t="str">
        <x:v>* myContacts</x:v>
      </x:c>
      <x:c r="E6961" s="16" t="str">
        <x:v>Missing email</x:v>
      </x:c>
    </x:row>
    <x:row r="6962">
      <x:c r="A6962" s="16" t="n">
        <x:v>7205</x:v>
      </x:c>
      <x:c r="B6962" s="16" t="str">
        <x:v>Zana Ruzanna Rahim</x:v>
      </x:c>
      <x:c r="C6962" s="16" t="str"/>
      <x:c r="D6962" s="16" t="str">
        <x:v>* myContacts</x:v>
      </x:c>
      <x:c r="E6962" s="16" t="str">
        <x:v>Missing email</x:v>
      </x:c>
    </x:row>
    <x:row r="6963">
      <x:c r="A6963" s="16" t="n">
        <x:v>7206</x:v>
      </x:c>
      <x:c r="B6963" s="16" t="str">
        <x:v>Zana Student</x:v>
      </x:c>
      <x:c r="C6963" s="16" t="str"/>
      <x:c r="D6963" s="16" t="str">
        <x:v>* myContacts</x:v>
      </x:c>
      <x:c r="E6963" s="16" t="str">
        <x:v>Missing email</x:v>
      </x:c>
    </x:row>
    <x:row r="6964">
      <x:c r="A6964" s="16" t="n">
        <x:v>7207</x:v>
      </x:c>
      <x:c r="B6964" s="16" t="str">
        <x:v>Zanarita Mat Lazi</x:v>
      </x:c>
      <x:c r="C6964" s="16" t="str"/>
      <x:c r="D6964" s="16" t="str">
        <x:v>* myContacts</x:v>
      </x:c>
      <x:c r="E6964" s="16" t="str">
        <x:v>Missing email</x:v>
      </x:c>
    </x:row>
    <x:row r="6965">
      <x:c r="A6965" s="16" t="n">
        <x:v>7208</x:v>
      </x:c>
      <x:c r="B6965" s="16" t="str">
        <x:v>Zarak Amjad</x:v>
      </x:c>
      <x:c r="C6965" s="16" t="str"/>
      <x:c r="D6965" s="16" t="str">
        <x:v>* myContacts</x:v>
      </x:c>
      <x:c r="E6965" s="16" t="str">
        <x:v>Missing email</x:v>
      </x:c>
    </x:row>
    <x:row r="6966">
      <x:c r="A6966" s="16" t="n">
        <x:v>7209</x:v>
      </x:c>
      <x:c r="B6966" s="16" t="str">
        <x:v>Zarep IM</x:v>
      </x:c>
      <x:c r="C6966" s="16" t="str"/>
      <x:c r="D6966" s="16" t="str">
        <x:v>* myContacts</x:v>
      </x:c>
      <x:c r="E6966" s="16" t="str">
        <x:v>Missing email</x:v>
      </x:c>
    </x:row>
    <x:row r="6967">
      <x:c r="A6967" s="16" t="n">
        <x:v>7210</x:v>
      </x:c>
      <x:c r="B6967" s="16" t="str">
        <x:v>Zari Dropship Operator</x:v>
      </x:c>
      <x:c r="C6967" s="16" t="str"/>
      <x:c r="D6967" s="16" t="str">
        <x:v>* myContacts</x:v>
      </x:c>
      <x:c r="E6967" s="16" t="str">
        <x:v>Missing email</x:v>
      </x:c>
    </x:row>
    <x:row r="6968">
      <x:c r="A6968" s="16" t="n">
        <x:v>7211</x:v>
      </x:c>
      <x:c r="B6968" s="16" t="str">
        <x:v>Zarif</x:v>
      </x:c>
      <x:c r="C6968" s="16" t="str"/>
      <x:c r="D6968" s="16" t="str">
        <x:v>* myContacts</x:v>
      </x:c>
      <x:c r="E6968" s="16" t="str">
        <x:v>Missing email</x:v>
      </x:c>
    </x:row>
    <x:row r="6969">
      <x:c r="A6969" s="16" t="n">
        <x:v>7212</x:v>
      </x:c>
      <x:c r="B6969" s="16" t="str">
        <x:v>Tuan Zarif Fikri</x:v>
      </x:c>
      <x:c r="C6969" s="16" t="str"/>
      <x:c r="D6969" s="16" t="str">
        <x:v>* myContacts</x:v>
      </x:c>
      <x:c r="E6969" s="16" t="str">
        <x:v>Missing email</x:v>
      </x:c>
    </x:row>
    <x:row r="6970">
      <x:c r="A6970" s="16" t="n">
        <x:v>7213</x:v>
      </x:c>
      <x:c r="B6970" s="16" t="str">
        <x:v>Zariha Opecks II</x:v>
      </x:c>
      <x:c r="C6970" s="16" t="str"/>
      <x:c r="D6970" s="16" t="str">
        <x:v>* myContacts</x:v>
      </x:c>
      <x:c r="E6970" s="16" t="str">
        <x:v>Missing email</x:v>
      </x:c>
    </x:row>
    <x:row r="6971">
      <x:c r="A6971" s="16" t="n">
        <x:v>7214</x:v>
      </x:c>
      <x:c r="B6971" s="16" t="str">
        <x:v>Zarin Empayar Kotak</x:v>
      </x:c>
      <x:c r="C6971" s="16" t="str"/>
      <x:c r="D6971" s="16" t="str">
        <x:v>* myContacts</x:v>
      </x:c>
      <x:c r="E6971" s="16" t="str">
        <x:v>Missing email</x:v>
      </x:c>
    </x:row>
    <x:row r="6972">
      <x:c r="A6972" s="16" t="n">
        <x:v>7215</x:v>
      </x:c>
      <x:c r="B6972" s="16" t="str">
        <x:v>Zarina Anis</x:v>
      </x:c>
      <x:c r="C6972" s="16" t="str"/>
      <x:c r="D6972" s="16" t="str">
        <x:v>* myContacts</x:v>
      </x:c>
      <x:c r="E6972" s="16" t="str">
        <x:v>Missing email</x:v>
      </x:c>
    </x:row>
    <x:row r="6973">
      <x:c r="A6973" s="16" t="n">
        <x:v>7216</x:v>
      </x:c>
      <x:c r="B6973" s="16" t="str">
        <x:v>Zarinah Jin</x:v>
      </x:c>
      <x:c r="C6973" s="16" t="str"/>
      <x:c r="D6973" s="16" t="str">
        <x:v>* myContacts</x:v>
      </x:c>
      <x:c r="E6973" s="16" t="str">
        <x:v>Missing email</x:v>
      </x:c>
    </x:row>
    <x:row r="6974">
      <x:c r="A6974" s="16" t="n">
        <x:v>7217</x:v>
      </x:c>
      <x:c r="B6974" s="16" t="str">
        <x:v>Zarmi Zaibal Abidin</x:v>
      </x:c>
      <x:c r="C6974" s="16" t="str"/>
      <x:c r="D6974" s="16" t="str">
        <x:v>* myContacts</x:v>
      </x:c>
      <x:c r="E6974" s="16" t="str">
        <x:v>Missing email</x:v>
      </x:c>
    </x:row>
    <x:row r="6975">
      <x:c r="A6975" s="16" t="n">
        <x:v>7218</x:v>
      </x:c>
      <x:c r="B6975" s="16" t="str">
        <x:v>Zarra Lavender</x:v>
      </x:c>
      <x:c r="C6975" s="16" t="str"/>
      <x:c r="D6975" s="16" t="str">
        <x:v>* myContacts</x:v>
      </x:c>
      <x:c r="E6975" s="16" t="str">
        <x:v>Missing email</x:v>
      </x:c>
    </x:row>
    <x:row r="6976">
      <x:c r="A6976" s="16" t="n">
        <x:v>7219</x:v>
      </x:c>
      <x:c r="B6976" s="16" t="str">
        <x:v>Zarra Lawalah</x:v>
      </x:c>
      <x:c r="C6976" s="16" t="str"/>
      <x:c r="D6976" s="16" t="str">
        <x:v>* myContacts</x:v>
      </x:c>
      <x:c r="E6976" s="16" t="str">
        <x:v>Missing email</x:v>
      </x:c>
    </x:row>
    <x:row r="6977">
      <x:c r="A6977" s="16" t="n">
        <x:v>7220</x:v>
      </x:c>
      <x:c r="B6977" s="16" t="str">
        <x:v>Zati Azhani Abdul Rahman</x:v>
      </x:c>
      <x:c r="C6977" s="16" t="str"/>
      <x:c r="D6977" s="16" t="str">
        <x:v>* myContacts</x:v>
      </x:c>
      <x:c r="E6977" s="16" t="str">
        <x:v>Missing email</x:v>
      </x:c>
    </x:row>
    <x:row r="6978">
      <x:c r="A6978" s="16" t="n">
        <x:v>7221</x:v>
      </x:c>
      <x:c r="B6978" s="16" t="str">
        <x:v>Zati Shafie</x:v>
      </x:c>
      <x:c r="C6978" s="16" t="str"/>
      <x:c r="D6978" s="16" t="str">
        <x:v>* myContacts</x:v>
      </x:c>
      <x:c r="E6978" s="16" t="str">
        <x:v>Missing email</x:v>
      </x:c>
    </x:row>
    <x:row r="6979">
      <x:c r="A6979" s="16" t="n">
        <x:v>7222</x:v>
      </x:c>
      <x:c r="B6979" s="16" t="str">
        <x:v>Zaty Zaly</x:v>
      </x:c>
      <x:c r="C6979" s="16" t="str"/>
      <x:c r="D6979" s="16" t="str">
        <x:v>* myContacts</x:v>
      </x:c>
      <x:c r="E6979" s="16" t="str">
        <x:v>Missing email</x:v>
      </x:c>
    </x:row>
    <x:row r="6980">
      <x:c r="A6980" s="16" t="n">
        <x:v>7223</x:v>
      </x:c>
      <x:c r="B6980" s="16" t="str">
        <x:v>Zawanis Idris</x:v>
      </x:c>
      <x:c r="C6980" s="16" t="str"/>
      <x:c r="D6980" s="16" t="str">
        <x:v>* myContacts</x:v>
      </x:c>
      <x:c r="E6980" s="16" t="str">
        <x:v>Missing email</x:v>
      </x:c>
    </x:row>
    <x:row r="6981">
      <x:c r="A6981" s="16" t="n">
        <x:v>7224</x:v>
      </x:c>
      <x:c r="B6981" s="16" t="str">
        <x:v>Zeck Zaiddy</x:v>
      </x:c>
      <x:c r="C6981" s="16" t="str"/>
      <x:c r="D6981" s="16" t="str">
        <x:v>* myContacts</x:v>
      </x:c>
      <x:c r="E6981" s="16" t="str">
        <x:v>Missing email</x:v>
      </x:c>
    </x:row>
    <x:row r="6982">
      <x:c r="A6982" s="16" t="n">
        <x:v>7225</x:v>
      </x:c>
      <x:c r="B6982" s="16" t="str">
        <x:v>Zehan Siti</x:v>
      </x:c>
      <x:c r="C6982" s="16" t="str"/>
      <x:c r="D6982" s="16" t="str">
        <x:v>* myContacts</x:v>
      </x:c>
      <x:c r="E6982" s="16" t="str">
        <x:v>Missing email</x:v>
      </x:c>
    </x:row>
    <x:row r="6983">
      <x:c r="A6983" s="16" t="n">
        <x:v>7226</x:v>
      </x:c>
      <x:c r="B6983" s="16" t="str">
        <x:v>Zeti Khalid</x:v>
      </x:c>
      <x:c r="C6983" s="16" t="str"/>
      <x:c r="D6983" s="16" t="str">
        <x:v>* myContacts</x:v>
      </x:c>
      <x:c r="E6983" s="16" t="str">
        <x:v>Missing email</x:v>
      </x:c>
    </x:row>
    <x:row r="6984">
      <x:c r="A6984" s="16" t="n">
        <x:v>7227</x:v>
      </x:c>
      <x:c r="B6984" s="16" t="str">
        <x:v>Zetty Trainer Mdec Johor</x:v>
      </x:c>
      <x:c r="C6984" s="16" t="str"/>
      <x:c r="D6984" s="16" t="str">
        <x:v>Trainer | * myContacts</x:v>
      </x:c>
      <x:c r="E6984" s="16" t="str">
        <x:v>Missing email</x:v>
      </x:c>
    </x:row>
    <x:row r="6985">
      <x:c r="A6985" s="16" t="n">
        <x:v>7228</x:v>
      </x:c>
      <x:c r="B6985" s="16" t="str">
        <x:v>𝒁𝒉𝒂𝒇𝒊𝒓 𝒀𝒂𝒛𝒊𝒌 Upsi</x:v>
      </x:c>
      <x:c r="C6985" s="16" t="str"/>
      <x:c r="D6985" s="16" t="str">
        <x:v>* myContacts</x:v>
      </x:c>
      <x:c r="E6985" s="16" t="str">
        <x:v>Missing email</x:v>
      </x:c>
    </x:row>
    <x:row r="6986">
      <x:c r="A6986" s="16" t="n">
        <x:v>7229</x:v>
      </x:c>
      <x:c r="B6986" s="16" t="str">
        <x:v>Zhafran Fazren</x:v>
      </x:c>
      <x:c r="C6986" s="16" t="str"/>
      <x:c r="D6986" s="16" t="str">
        <x:v>* myContacts</x:v>
      </x:c>
      <x:c r="E6986" s="16" t="str">
        <x:v>Missing email</x:v>
      </x:c>
    </x:row>
    <x:row r="6987">
      <x:c r="A6987" s="16" t="n">
        <x:v>7230</x:v>
      </x:c>
      <x:c r="B6987" s="16" t="str">
        <x:v>zhulan jpj</x:v>
      </x:c>
      <x:c r="C6987" s="16" t="str"/>
      <x:c r="D6987" s="16" t="str">
        <x:v>* myContacts</x:v>
      </x:c>
      <x:c r="E6987" s="16" t="str">
        <x:v>Missing email</x:v>
      </x:c>
    </x:row>
    <x:row r="6988">
      <x:c r="A6988" s="16" t="n">
        <x:v>7231</x:v>
      </x:c>
      <x:c r="B6988" s="16" t="str">
        <x:v>Zi Sha</x:v>
      </x:c>
      <x:c r="C6988" s="16" t="str"/>
      <x:c r="D6988" s="16" t="str">
        <x:v>* myContacts</x:v>
      </x:c>
      <x:c r="E6988" s="16" t="str">
        <x:v>Missing email</x:v>
      </x:c>
    </x:row>
    <x:row r="6989">
      <x:c r="A6989" s="16" t="n">
        <x:v>7232</x:v>
      </x:c>
      <x:c r="B6989" s="16" t="str">
        <x:v>Zie Zie</x:v>
      </x:c>
      <x:c r="C6989" s="16" t="str"/>
      <x:c r="D6989" s="16" t="str">
        <x:v>* myContacts</x:v>
      </x:c>
      <x:c r="E6989" s="16" t="str">
        <x:v>Missing email</x:v>
      </x:c>
    </x:row>
    <x:row r="6990">
      <x:c r="A6990" s="16" t="n">
        <x:v>7233</x:v>
      </x:c>
      <x:c r="B6990" s="16" t="str">
        <x:v>Ziera founder girlsscarves2018</x:v>
      </x:c>
      <x:c r="C6990" s="16" t="str"/>
      <x:c r="D6990" s="16" t="str">
        <x:v>* myContacts</x:v>
      </x:c>
      <x:c r="E6990" s="16" t="str">
        <x:v>Missing email</x:v>
      </x:c>
    </x:row>
    <x:row r="6991">
      <x:c r="A6991" s="16" t="n">
        <x:v>7234</x:v>
      </x:c>
      <x:c r="B6991" s="16" t="str">
        <x:v>Zigov Apprl</x:v>
      </x:c>
      <x:c r="C6991" s="16" t="str"/>
      <x:c r="D6991" s="16" t="str">
        <x:v>* myContacts</x:v>
      </x:c>
      <x:c r="E6991" s="16" t="str">
        <x:v>Missing email</x:v>
      </x:c>
    </x:row>
    <x:row r="6992">
      <x:c r="A6992" s="16" t="n">
        <x:v>7235</x:v>
      </x:c>
      <x:c r="B6992" s="16" t="str">
        <x:v>Zikri Aimi Academy</x:v>
      </x:c>
      <x:c r="C6992" s="16" t="str"/>
      <x:c r="D6992" s="16" t="str">
        <x:v>* myContacts</x:v>
      </x:c>
      <x:c r="E6992" s="16" t="str">
        <x:v>Missing email</x:v>
      </x:c>
    </x:row>
    <x:row r="6993">
      <x:c r="A6993" s="16" t="n">
        <x:v>7236</x:v>
      </x:c>
      <x:c r="B6993" s="16" t="str">
        <x:v>ZilFahriza Ru Khairil</x:v>
      </x:c>
      <x:c r="C6993" s="16" t="str"/>
      <x:c r="D6993" s="16" t="str">
        <x:v>* myContacts</x:v>
      </x:c>
      <x:c r="E6993" s="16" t="str">
        <x:v>Missing email</x:v>
      </x:c>
    </x:row>
    <x:row r="6994">
      <x:c r="A6994" s="16" t="n">
        <x:v>7237</x:v>
      </x:c>
      <x:c r="B6994" s="16" t="str">
        <x:v>Zilla Sweetsorpresa Bn</x:v>
      </x:c>
      <x:c r="C6994" s="16" t="str"/>
      <x:c r="D6994" s="16" t="str">
        <x:v>* myContacts</x:v>
      </x:c>
      <x:c r="E6994" s="16" t="str">
        <x:v>Missing email</x:v>
      </x:c>
    </x:row>
    <x:row r="6995">
      <x:c r="A6995" s="16" t="n">
        <x:v>7238</x:v>
      </x:c>
      <x:c r="B6995" s="16" t="str">
        <x:v>Zizulumie Lias</x:v>
      </x:c>
      <x:c r="C6995" s="16" t="str"/>
      <x:c r="D6995" s="16" t="str">
        <x:v>* myContacts</x:v>
      </x:c>
      <x:c r="E6995" s="16" t="str">
        <x:v>Missing email</x:v>
      </x:c>
    </x:row>
    <x:row r="6996">
      <x:c r="A6996" s="16" t="n">
        <x:v>7239</x:v>
      </x:c>
      <x:c r="B6996" s="16" t="str">
        <x:v>Zlzaidi Addy</x:v>
      </x:c>
      <x:c r="C6996" s="16" t="str"/>
      <x:c r="D6996" s="16" t="str">
        <x:v>* myContacts</x:v>
      </x:c>
      <x:c r="E6996" s="16" t="str">
        <x:v>Missing email</x:v>
      </x:c>
    </x:row>
    <x:row r="6997">
      <x:c r="A6997" s="16" t="n">
        <x:v>7240</x:v>
      </x:c>
      <x:c r="B6997" s="16" t="str">
        <x:v>Zmz Nur</x:v>
      </x:c>
      <x:c r="C6997" s="16" t="str"/>
      <x:c r="D6997" s="16" t="str">
        <x:v>* myContacts</x:v>
      </x:c>
      <x:c r="E6997" s="16" t="str">
        <x:v>Missing email</x:v>
      </x:c>
    </x:row>
    <x:row r="6998">
      <x:c r="A6998" s="16" t="n">
        <x:v>7241</x:v>
      </x:c>
      <x:c r="B6998" s="16" t="str">
        <x:v>Zoel hilmi</x:v>
      </x:c>
      <x:c r="C6998" s="16" t="str"/>
      <x:c r="D6998" s="16" t="str">
        <x:v>* myContacts</x:v>
      </x:c>
      <x:c r="E6998" s="16" t="str">
        <x:v>Missing email</x:v>
      </x:c>
    </x:row>
    <x:row r="6999">
      <x:c r="A6999" s="16" t="n">
        <x:v>7242</x:v>
      </x:c>
      <x:c r="B6999" s="16" t="str">
        <x:v>Zoer Kang</x:v>
      </x:c>
      <x:c r="C6999" s="16" t="str"/>
      <x:c r="D6999" s="16" t="str">
        <x:v>* myContacts</x:v>
      </x:c>
      <x:c r="E6999" s="16" t="str">
        <x:v>Missing email</x:v>
      </x:c>
    </x:row>
    <x:row r="7000">
      <x:c r="A7000" s="16" t="n">
        <x:v>7243</x:v>
      </x:c>
      <x:c r="B7000" s="16" t="str">
        <x:v>Zol Baidy</x:v>
      </x:c>
      <x:c r="C7000" s="16" t="str"/>
      <x:c r="D7000" s="16" t="str">
        <x:v>* myContacts</x:v>
      </x:c>
      <x:c r="E7000" s="16" t="str">
        <x:v>Missing email</x:v>
      </x:c>
    </x:row>
    <x:row r="7001">
      <x:c r="A7001" s="16" t="n">
        <x:v>7244</x:v>
      </x:c>
      <x:c r="B7001" s="16" t="str">
        <x:v>Zreef Silver</x:v>
      </x:c>
      <x:c r="C7001" s="16" t="str"/>
      <x:c r="D7001" s="16" t="str">
        <x:v>* myContacts</x:v>
      </x:c>
      <x:c r="E7001" s="16" t="str">
        <x:v>Missing email</x:v>
      </x:c>
    </x:row>
    <x:row r="7002">
      <x:c r="A7002" s="16" t="n">
        <x:v>7245</x:v>
      </x:c>
      <x:c r="B7002" s="16" t="str">
        <x:v>Zu Ibrahim</x:v>
      </x:c>
      <x:c r="C7002" s="16" t="str"/>
      <x:c r="D7002" s="16" t="str">
        <x:v>* myContacts</x:v>
      </x:c>
      <x:c r="E7002" s="16" t="str">
        <x:v>Missing email</x:v>
      </x:c>
    </x:row>
    <x:row r="7003">
      <x:c r="A7003" s="16" t="n">
        <x:v>7246</x:v>
      </x:c>
      <x:c r="B7003" s="16" t="str">
        <x:v>Zubair Ahmad Aby</x:v>
      </x:c>
      <x:c r="C7003" s="16" t="str"/>
      <x:c r="D7003" s="16" t="str">
        <x:v>* myContacts</x:v>
      </x:c>
      <x:c r="E7003" s="16" t="str">
        <x:v>Missing email</x:v>
      </x:c>
    </x:row>
    <x:row r="7004">
      <x:c r="A7004" s="16" t="n">
        <x:v>7247</x:v>
      </x:c>
      <x:c r="B7004" s="16" t="str">
        <x:v>zue dpim</x:v>
      </x:c>
      <x:c r="C7004" s="16" t="str"/>
      <x:c r="D7004" s="16" t="str">
        <x:v>* myContacts</x:v>
      </x:c>
      <x:c r="E7004" s="16" t="str">
        <x:v>Missing email</x:v>
      </x:c>
    </x:row>
    <x:row r="7005">
      <x:c r="A7005" s="16" t="n">
        <x:v>7248</x:v>
      </x:c>
      <x:c r="B7005" s="16" t="str">
        <x:v>Zue Hassim DPIM</x:v>
      </x:c>
      <x:c r="C7005" s="16" t="str"/>
      <x:c r="D7005" s="16" t="str">
        <x:v>* myContacts</x:v>
      </x:c>
      <x:c r="E7005" s="16" t="str">
        <x:v>Missing email</x:v>
      </x:c>
    </x:row>
    <x:row r="7006">
      <x:c r="A7006" s="16" t="n">
        <x:v>7249</x:v>
      </x:c>
      <x:c r="B7006" s="16" t="str">
        <x:v>Zue Mobipay</x:v>
      </x:c>
      <x:c r="C7006" s="16" t="str"/>
      <x:c r="D7006" s="16" t="str">
        <x:v>* myContacts</x:v>
      </x:c>
      <x:c r="E7006" s="16" t="str">
        <x:v>Missing email</x:v>
      </x:c>
    </x:row>
    <x:row r="7007">
      <x:c r="A7007" s="16" t="n">
        <x:v>7250</x:v>
      </x:c>
      <x:c r="B7007" s="16" t="str">
        <x:v>Zue Wati</x:v>
      </x:c>
      <x:c r="C7007" s="16" t="str"/>
      <x:c r="D7007" s="16" t="str">
        <x:v>* myContacts</x:v>
      </x:c>
      <x:c r="E7007" s="16" t="str">
        <x:v>Missing email</x:v>
      </x:c>
    </x:row>
    <x:row r="7008">
      <x:c r="A7008" s="16" t="n">
        <x:v>7251</x:v>
      </x:c>
      <x:c r="B7008" s="16" t="str">
        <x:v>Zue Zulkipli</x:v>
      </x:c>
      <x:c r="C7008" s="16" t="str"/>
      <x:c r="D7008" s="16" t="str">
        <x:v>* myContacts</x:v>
      </x:c>
      <x:c r="E7008" s="16" t="str">
        <x:v>Missing email</x:v>
      </x:c>
    </x:row>
    <x:row r="7009">
      <x:c r="A7009" s="16" t="n">
        <x:v>7252</x:v>
      </x:c>
      <x:c r="B7009" s="16" t="str">
        <x:v>Zuhaidi Alc Sg Ara</x:v>
      </x:c>
      <x:c r="C7009" s="16" t="str"/>
      <x:c r="D7009" s="16" t="str">
        <x:v>* myContacts</x:v>
      </x:c>
      <x:c r="E7009" s="16" t="str">
        <x:v>Missing email</x:v>
      </x:c>
    </x:row>
    <x:row r="7010">
      <x:c r="A7010" s="16" t="n">
        <x:v>7253</x:v>
      </x:c>
      <x:c r="B7010" s="16" t="str">
        <x:v>Zuhaili Assisttant PakYa first time registration</x:v>
      </x:c>
      <x:c r="C7010" s="16" t="str"/>
      <x:c r="D7010" s="16" t="str">
        <x:v>* myContacts</x:v>
      </x:c>
      <x:c r="E7010" s="16" t="str">
        <x:v>Missing email</x:v>
      </x:c>
    </x:row>
    <x:row r="7011">
      <x:c r="A7011" s="16" t="n">
        <x:v>7254</x:v>
      </x:c>
      <x:c r="B7011" s="16" t="str">
        <x:v>Zuhaili Nasir</x:v>
      </x:c>
      <x:c r="C7011" s="16" t="str"/>
      <x:c r="D7011" s="16" t="str">
        <x:v>* myContacts</x:v>
      </x:c>
      <x:c r="E7011" s="16" t="str">
        <x:v>Missing email</x:v>
      </x:c>
    </x:row>
    <x:row r="7012">
      <x:c r="A7012" s="16" t="n">
        <x:v>7255</x:v>
      </x:c>
      <x:c r="B7012" s="16" t="str">
        <x:v>zuhaini santan perak imkk</x:v>
      </x:c>
      <x:c r="C7012" s="16" t="str"/>
      <x:c r="D7012" s="16" t="str">
        <x:v>* myContacts</x:v>
      </x:c>
      <x:c r="E7012" s="16" t="str">
        <x:v>Missing email</x:v>
      </x:c>
    </x:row>
    <x:row r="7013">
      <x:c r="A7013" s="16" t="n">
        <x:v>7256</x:v>
      </x:c>
      <x:c r="B7013" s="16" t="str">
        <x:v>Zuhairi Razi Insken</x:v>
      </x:c>
      <x:c r="C7013" s="16" t="str"/>
      <x:c r="D7013" s="16" t="str">
        <x:v>Alumni INSKEN | * myContacts</x:v>
      </x:c>
      <x:c r="E7013" s="16" t="str">
        <x:v>Missing email</x:v>
      </x:c>
    </x:row>
    <x:row r="7014">
      <x:c r="A7014" s="16" t="n">
        <x:v>7257</x:v>
      </x:c>
      <x:c r="B7014" s="16" t="str">
        <x:v>Zul blogger utm</x:v>
      </x:c>
      <x:c r="C7014" s="16" t="str"/>
      <x:c r="D7014" s="16" t="str">
        <x:v>* myContacts</x:v>
      </x:c>
      <x:c r="E7014" s="16" t="str">
        <x:v>Missing email</x:v>
      </x:c>
    </x:row>
    <x:row r="7015">
      <x:c r="A7015" s="16" t="n">
        <x:v>7258</x:v>
      </x:c>
      <x:c r="B7015" s="16" t="str">
        <x:v>Zul Hadi NLP</x:v>
      </x:c>
      <x:c r="C7015" s="16" t="str"/>
      <x:c r="D7015" s="16" t="str">
        <x:v>* myContacts</x:v>
      </x:c>
      <x:c r="E7015" s="16" t="str">
        <x:v>Missing email</x:v>
      </x:c>
    </x:row>
    <x:row r="7016">
      <x:c r="A7016" s="16" t="n">
        <x:v>7259</x:v>
      </x:c>
      <x:c r="B7016" s="16" t="str">
        <x:v>Zul Haikal Haikal</x:v>
      </x:c>
      <x:c r="C7016" s="16" t="str"/>
      <x:c r="D7016" s="16" t="str">
        <x:v>* myContacts</x:v>
      </x:c>
      <x:c r="E7016" s="16" t="str">
        <x:v>Missing email</x:v>
      </x:c>
    </x:row>
    <x:row r="7017">
      <x:c r="A7017" s="16" t="n">
        <x:v>7260</x:v>
      </x:c>
      <x:c r="B7017" s="16" t="str">
        <x:v>zul it programing</x:v>
      </x:c>
      <x:c r="C7017" s="16" t="str"/>
      <x:c r="D7017" s="16" t="str">
        <x:v>* myContacts</x:v>
      </x:c>
      <x:c r="E7017" s="16" t="str">
        <x:v>Missing email</x:v>
      </x:c>
    </x:row>
    <x:row r="7018">
      <x:c r="A7018" s="16" t="n">
        <x:v>7261</x:v>
      </x:c>
      <x:c r="B7018" s="16" t="str">
        <x:v>zul kindness</x:v>
      </x:c>
      <x:c r="C7018" s="16" t="str"/>
      <x:c r="D7018" s="16" t="str">
        <x:v>* myContacts</x:v>
      </x:c>
      <x:c r="E7018" s="16" t="str">
        <x:v>Missing email</x:v>
      </x:c>
    </x:row>
    <x:row r="7019">
      <x:c r="A7019" s="16" t="n">
        <x:v>7262</x:v>
      </x:c>
      <x:c r="B7019" s="16" t="str">
        <x:v>Zul Mdec IM</x:v>
      </x:c>
      <x:c r="C7019" s="16" t="str"/>
      <x:c r="D7019" s="16" t="str">
        <x:v>* myContacts</x:v>
      </x:c>
      <x:c r="E7019" s="16" t="str">
        <x:v>Missing email</x:v>
      </x:c>
    </x:row>
    <x:row r="7020">
      <x:c r="A7020" s="16" t="n">
        <x:v>7263</x:v>
      </x:c>
      <x:c r="B7020" s="16" t="str">
        <x:v>Zul Pimpin Eusahawan</x:v>
      </x:c>
      <x:c r="C7020" s="16" t="str"/>
      <x:c r="D7020" s="16" t="str">
        <x:v>Alumni eUsahawan | * myContacts</x:v>
      </x:c>
      <x:c r="E7020" s="16" t="str">
        <x:v>Missing email</x:v>
      </x:c>
    </x:row>
    <x:row r="7021">
      <x:c r="A7021" s="16" t="n">
        <x:v>7264</x:v>
      </x:c>
      <x:c r="B7021" s="16" t="str">
        <x:v>Zul Printing Baju Murah</x:v>
      </x:c>
      <x:c r="C7021" s="16" t="str"/>
      <x:c r="D7021" s="16" t="str">
        <x:v>* myContacts</x:v>
      </x:c>
      <x:c r="E7021" s="16" t="str">
        <x:v>Missing email</x:v>
      </x:c>
    </x:row>
    <x:row r="7022">
      <x:c r="A7022" s="16" t="n">
        <x:v>7265</x:v>
      </x:c>
      <x:c r="B7022" s="16" t="str">
        <x:v>Zul Putra Shulunk</x:v>
      </x:c>
      <x:c r="C7022" s="16" t="str"/>
      <x:c r="D7022" s="16" t="str">
        <x:v>* myContacts</x:v>
      </x:c>
      <x:c r="E7022" s="16" t="str">
        <x:v>Missing email</x:v>
      </x:c>
    </x:row>
    <x:row r="7023">
      <x:c r="A7023" s="16" t="n">
        <x:v>7266</x:v>
      </x:c>
      <x:c r="B7023" s="16" t="str">
        <x:v>Zul Zareena</x:v>
      </x:c>
      <x:c r="C7023" s="16" t="str"/>
      <x:c r="D7023" s="16" t="str">
        <x:v>* myContacts</x:v>
      </x:c>
      <x:c r="E7023" s="16" t="str">
        <x:v>Missing email</x:v>
      </x:c>
    </x:row>
    <x:row r="7024">
      <x:c r="A7024" s="16" t="n">
        <x:v>7267</x:v>
      </x:c>
      <x:c r="B7024" s="16" t="str">
        <x:v>Zul Zela</x:v>
      </x:c>
      <x:c r="C7024" s="16" t="str"/>
      <x:c r="D7024" s="16" t="str">
        <x:v>* myContacts</x:v>
      </x:c>
      <x:c r="E7024" s="16" t="str">
        <x:v>Missing email</x:v>
      </x:c>
    </x:row>
    <x:row r="7025">
      <x:c r="A7025" s="16" t="n">
        <x:v>7268</x:v>
      </x:c>
      <x:c r="B7025" s="16" t="str">
        <x:v>Zul'izzi Ady</x:v>
      </x:c>
      <x:c r="C7025" s="16" t="str"/>
      <x:c r="D7025" s="16" t="str">
        <x:v>* myContacts</x:v>
      </x:c>
      <x:c r="E7025" s="16" t="str">
        <x:v>Missing email</x:v>
      </x:c>
    </x:row>
    <x:row r="7026">
      <x:c r="A7026" s="16" t="n">
        <x:v>7269</x:v>
      </x:c>
      <x:c r="B7026" s="16" t="str">
        <x:v>Zulaikha Nurdilaya</x:v>
      </x:c>
      <x:c r="C7026" s="16" t="str"/>
      <x:c r="D7026" s="16" t="str">
        <x:v>* myContacts</x:v>
      </x:c>
      <x:c r="E7026" s="16" t="str">
        <x:v>Missing email</x:v>
      </x:c>
    </x:row>
    <x:row r="7027">
      <x:c r="A7027" s="16" t="n">
        <x:v>7270</x:v>
      </x:c>
      <x:c r="B7027" s="16" t="str">
        <x:v>Zulaikha Payroll Panda</x:v>
      </x:c>
      <x:c r="C7027" s="16" t="str"/>
      <x:c r="D7027" s="16" t="str">
        <x:v>* myContacts</x:v>
      </x:c>
      <x:c r="E7027" s="16" t="str">
        <x:v>Missing email</x:v>
      </x:c>
    </x:row>
    <x:row r="7028">
      <x:c r="A7028" s="16" t="n">
        <x:v>7271</x:v>
      </x:c>
      <x:c r="B7028" s="16" t="str">
        <x:v>Zulasnizam</x:v>
      </x:c>
      <x:c r="C7028" s="16" t="str"/>
      <x:c r="D7028" s="16" t="str">
        <x:v>* myContacts</x:v>
      </x:c>
      <x:c r="E7028" s="16" t="str">
        <x:v>Missing email</x:v>
      </x:c>
    </x:row>
    <x:row r="7029">
      <x:c r="A7029" s="16" t="n">
        <x:v>7272</x:v>
      </x:c>
      <x:c r="B7029" s="16" t="str">
        <x:v>Zulazmi Hj Latib</x:v>
      </x:c>
      <x:c r="C7029" s="16" t="str"/>
      <x:c r="D7029" s="16" t="str">
        <x:v>* myContacts</x:v>
      </x:c>
      <x:c r="E7029" s="16" t="str">
        <x:v>Missing email</x:v>
      </x:c>
    </x:row>
    <x:row r="7030">
      <x:c r="A7030" s="16" t="n">
        <x:v>7273</x:v>
      </x:c>
      <x:c r="B7030" s="16" t="str">
        <x:v>Zulfadli Student Shopee</x:v>
      </x:c>
      <x:c r="C7030" s="16" t="str"/>
      <x:c r="D7030" s="16" t="str">
        <x:v>* myContacts</x:v>
      </x:c>
      <x:c r="E7030" s="16" t="str">
        <x:v>Missing email</x:v>
      </x:c>
    </x:row>
    <x:row r="7031">
      <x:c r="A7031" s="16" t="n">
        <x:v>7274</x:v>
      </x:c>
      <x:c r="B7031" s="16" t="str">
        <x:v>Zulfifly Said AGP</x:v>
      </x:c>
      <x:c r="C7031" s="16" t="str"/>
      <x:c r="D7031" s="16" t="str">
        <x:v>* myContacts</x:v>
      </x:c>
      <x:c r="E7031" s="16" t="str">
        <x:v>Missing email</x:v>
      </x:c>
    </x:row>
    <x:row r="7032">
      <x:c r="A7032" s="16" t="n">
        <x:v>7275</x:v>
      </x:c>
      <x:c r="B7032" s="16" t="str">
        <x:v>Zulfikri Hma</x:v>
      </x:c>
      <x:c r="C7032" s="16" t="str"/>
      <x:c r="D7032" s="16" t="str">
        <x:v>* myContacts</x:v>
      </x:c>
      <x:c r="E7032" s="16" t="str">
        <x:v>Missing email</x:v>
      </x:c>
    </x:row>
    <x:row r="7033">
      <x:c r="A7033" s="16" t="n">
        <x:v>7276</x:v>
      </x:c>
      <x:c r="B7033" s="16" t="str">
        <x:v>Zulhafidz Desinger</x:v>
      </x:c>
      <x:c r="C7033" s="16" t="str"/>
      <x:c r="D7033" s="16" t="str">
        <x:v>* myContacts</x:v>
      </x:c>
      <x:c r="E7033" s="16" t="str">
        <x:v>Missing email</x:v>
      </x:c>
    </x:row>
    <x:row r="7034">
      <x:c r="A7034" s="16" t="n">
        <x:v>7277</x:v>
      </x:c>
      <x:c r="B7034" s="16" t="str">
        <x:v>Zulhaya AGP</x:v>
      </x:c>
      <x:c r="C7034" s="16" t="str"/>
      <x:c r="D7034" s="16" t="str">
        <x:v>* myContacts</x:v>
      </x:c>
      <x:c r="E7034" s="16" t="str">
        <x:v>Missing email</x:v>
      </x:c>
    </x:row>
    <x:row r="7035">
      <x:c r="A7035" s="16" t="n">
        <x:v>7278</x:v>
      </x:c>
      <x:c r="B7035" s="16" t="str">
        <x:v>Zulhelmi Bob</x:v>
      </x:c>
      <x:c r="C7035" s="16" t="str"/>
      <x:c r="D7035" s="16" t="str">
        <x:v>* myContacts</x:v>
      </x:c>
      <x:c r="E7035" s="16" t="str">
        <x:v>Missing email</x:v>
      </x:c>
    </x:row>
    <x:row r="7036">
      <x:c r="A7036" s="16" t="n">
        <x:v>7279</x:v>
      </x:c>
      <x:c r="B7036" s="16" t="str">
        <x:v>Zulhelmi Hakim</x:v>
      </x:c>
      <x:c r="C7036" s="16" t="str"/>
      <x:c r="D7036" s="16" t="str">
        <x:v>* myContacts</x:v>
      </x:c>
      <x:c r="E7036" s="16" t="str">
        <x:v>Missing email</x:v>
      </x:c>
    </x:row>
    <x:row r="7037">
      <x:c r="A7037" s="16" t="n">
        <x:v>7280</x:v>
      </x:c>
      <x:c r="B7037" s="16" t="str">
        <x:v>Zuliana Isa Training Provider</x:v>
      </x:c>
      <x:c r="C7037" s="16" t="str"/>
      <x:c r="D7037" s="16" t="str">
        <x:v>* myContacts</x:v>
      </x:c>
      <x:c r="E7037" s="16" t="str">
        <x:v>Missing email</x:v>
      </x:c>
    </x:row>
    <x:row r="7038">
      <x:c r="A7038" s="16" t="n">
        <x:v>7281</x:v>
      </x:c>
      <x:c r="B7038" s="16" t="str">
        <x:v>Zulitahayani Baharuddin</x:v>
      </x:c>
      <x:c r="C7038" s="16" t="str"/>
      <x:c r="D7038" s="16" t="str">
        <x:v>* myContacts</x:v>
      </x:c>
      <x:c r="E7038" s="16" t="str">
        <x:v>Missing email</x:v>
      </x:c>
    </x:row>
    <x:row r="7039">
      <x:c r="A7039" s="16" t="n">
        <x:v>7282</x:v>
      </x:c>
      <x:c r="B7039" s="16" t="str">
        <x:v>Zulkarnain AGP</x:v>
      </x:c>
      <x:c r="C7039" s="16" t="str"/>
      <x:c r="D7039" s="16" t="str">
        <x:v>* myContacts</x:v>
      </x:c>
      <x:c r="E7039" s="16" t="str">
        <x:v>Missing email</x:v>
      </x:c>
    </x:row>
    <x:row r="7040">
      <x:c r="A7040" s="16" t="n">
        <x:v>7283</x:v>
      </x:c>
      <x:c r="B7040" s="16" t="str">
        <x:v>Zulkarnain Atau Joe</x:v>
      </x:c>
      <x:c r="C7040" s="16" t="str"/>
      <x:c r="D7040" s="16" t="str">
        <x:v>* myContacts</x:v>
      </x:c>
      <x:c r="E7040" s="16" t="str">
        <x:v>Missing email</x:v>
      </x:c>
    </x:row>
    <x:row r="7041">
      <x:c r="A7041" s="16" t="n">
        <x:v>7284</x:v>
      </x:c>
      <x:c r="B7041" s="16" t="str">
        <x:v>Zulkarnain Tanjak</x:v>
      </x:c>
      <x:c r="C7041" s="16" t="str"/>
      <x:c r="D7041" s="16" t="str">
        <x:v>* myContacts</x:v>
      </x:c>
      <x:c r="E7041" s="16" t="str">
        <x:v>Missing email</x:v>
      </x:c>
    </x:row>
    <x:row r="7042">
      <x:c r="A7042" s="16" t="n">
        <x:v>7285</x:v>
      </x:c>
      <x:c r="B7042" s="16" t="str">
        <x:v>Zulkhairi AGP</x:v>
      </x:c>
      <x:c r="C7042" s="16" t="str"/>
      <x:c r="D7042" s="16" t="str">
        <x:v>* myContacts</x:v>
      </x:c>
      <x:c r="E7042" s="16" t="str">
        <x:v>Missing email</x:v>
      </x:c>
    </x:row>
    <x:row r="7043">
      <x:c r="A7043" s="16" t="n">
        <x:v>7286</x:v>
      </x:c>
      <x:c r="B7043" s="16" t="str">
        <x:v>Zulkifli Abu Bakar</x:v>
      </x:c>
      <x:c r="C7043" s="16" t="str"/>
      <x:c r="D7043" s="16" t="str">
        <x:v>* myContacts</x:v>
      </x:c>
      <x:c r="E7043" s="16" t="str">
        <x:v>Missing email</x:v>
      </x:c>
    </x:row>
    <x:row r="7044">
      <x:c r="A7044" s="16" t="n">
        <x:v>7287</x:v>
      </x:c>
      <x:c r="B7044" s="16" t="str">
        <x:v>Zulleggs Leggs Joe</x:v>
      </x:c>
      <x:c r="C7044" s="16" t="str"/>
      <x:c r="D7044" s="16" t="str">
        <x:v>* myContacts</x:v>
      </x:c>
      <x:c r="E7044" s="16" t="str">
        <x:v>Missing email</x:v>
      </x:c>
    </x:row>
    <x:row r="7045">
      <x:c r="A7045" s="16" t="n">
        <x:v>7288</x:v>
      </x:c>
      <x:c r="B7045" s="16" t="str">
        <x:v>Zumaida Sanderi</x:v>
      </x:c>
      <x:c r="C7045" s="16" t="str"/>
      <x:c r="D7045" s="16" t="str">
        <x:v>* myContacts</x:v>
      </x:c>
      <x:c r="E7045" s="16" t="str">
        <x:v>Missing email</x:v>
      </x:c>
    </x:row>
    <x:row r="7046">
      <x:c r="A7046" s="16" t="n">
        <x:v>7289</x:v>
      </x:c>
      <x:c r="B7046" s="16" t="str">
        <x:v>Zumaidi Zukri</x:v>
      </x:c>
      <x:c r="C7046" s="16" t="str"/>
      <x:c r="D7046" s="16" t="str">
        <x:v>* myContacts</x:v>
      </x:c>
      <x:c r="E7046" s="16" t="str">
        <x:v>Missing email</x:v>
      </x:c>
    </x:row>
    <x:row r="7047">
      <x:c r="A7047" s="16" t="n">
        <x:v>7290</x:v>
      </x:c>
      <x:c r="B7047" s="16" t="str">
        <x:v>Zumiry Marry Sokon</x:v>
      </x:c>
      <x:c r="C7047" s="16" t="str"/>
      <x:c r="D7047" s="16" t="str">
        <x:v>* myContacts</x:v>
      </x:c>
      <x:c r="E7047" s="16" t="str">
        <x:v>Missing email</x:v>
      </x:c>
    </x:row>
    <x:row r="7048">
      <x:c r="A7048" s="16" t="n">
        <x:v>7291</x:v>
      </x:c>
      <x:c r="B7048" s="16" t="str">
        <x:v>zunaitai AGP</x:v>
      </x:c>
      <x:c r="C7048" s="16" t="str"/>
      <x:c r="D7048" s="16" t="str">
        <x:v>* myContacts</x:v>
      </x:c>
      <x:c r="E7048" s="16" t="str">
        <x:v>Missing email</x:v>
      </x:c>
    </x:row>
    <x:row r="7049">
      <x:c r="A7049" s="16" t="n">
        <x:v>7292</x:v>
      </x:c>
      <x:c r="B7049" s="16" t="str">
        <x:v>Zur Matlen</x:v>
      </x:c>
      <x:c r="C7049" s="16" t="str"/>
      <x:c r="D7049" s="16" t="str">
        <x:v>* myContacts</x:v>
      </x:c>
      <x:c r="E7049" s="16" t="str">
        <x:v>Missing email</x:v>
      </x:c>
    </x:row>
    <x:row r="7050">
      <x:c r="A7050" s="16" t="n">
        <x:v>7293</x:v>
      </x:c>
      <x:c r="B7050" s="16" t="str">
        <x:v>Zura Ampang</x:v>
      </x:c>
      <x:c r="C7050" s="16" t="str"/>
      <x:c r="D7050" s="16" t="str">
        <x:v>* myContacts</x:v>
      </x:c>
      <x:c r="E7050" s="16" t="str">
        <x:v>Missing email</x:v>
      </x:c>
    </x:row>
    <x:row r="7051">
      <x:c r="A7051" s="16" t="n">
        <x:v>7294</x:v>
      </x:c>
      <x:c r="B7051" s="16" t="str">
        <x:v>Zura Qaseh</x:v>
      </x:c>
      <x:c r="C7051" s="16" t="str"/>
      <x:c r="D7051" s="16" t="str">
        <x:v>* myContacts</x:v>
      </x:c>
      <x:c r="E7051" s="16" t="str">
        <x:v>Missing email</x:v>
      </x:c>
    </x:row>
    <x:row r="7052">
      <x:c r="A7052" s="16" t="n">
        <x:v>7295</x:v>
      </x:c>
      <x:c r="B7052" s="16" t="str">
        <x:v>Zura Staff Ash Dan Abu</x:v>
      </x:c>
      <x:c r="C7052" s="16" t="str"/>
      <x:c r="D7052" s="16" t="str">
        <x:v>* myContacts</x:v>
      </x:c>
      <x:c r="E7052" s="16" t="str">
        <x:v>Missing email</x:v>
      </x:c>
    </x:row>
    <x:row r="7053">
      <x:c r="A7053" s="16" t="n">
        <x:v>7296</x:v>
      </x:c>
      <x:c r="B7053" s="16" t="str">
        <x:v>Zura Wqy</x:v>
      </x:c>
      <x:c r="C7053" s="16" t="str"/>
      <x:c r="D7053" s="16" t="str">
        <x:v>* myContacts</x:v>
      </x:c>
      <x:c r="E7053" s="16" t="str">
        <x:v>Missing email</x:v>
      </x:c>
    </x:row>
    <x:row r="7054">
      <x:c r="A7054" s="16" t="n">
        <x:v>7297</x:v>
      </x:c>
      <x:c r="B7054" s="16" t="str">
        <x:v>Zura Zuriati</x:v>
      </x:c>
      <x:c r="C7054" s="16" t="str"/>
      <x:c r="D7054" s="16" t="str">
        <x:v>* myContacts</x:v>
      </x:c>
      <x:c r="E7054" s="16" t="str">
        <x:v>Missing email</x:v>
      </x:c>
    </x:row>
    <x:row r="7055">
      <x:c r="A7055" s="16" t="n">
        <x:v>7299</x:v>
      </x:c>
      <x:c r="B7055" s="16" t="str">
        <x:v>Zuraida Zakaria</x:v>
      </x:c>
      <x:c r="C7055" s="16" t="str"/>
      <x:c r="D7055" s="16" t="str">
        <x:v>* myContacts</x:v>
      </x:c>
      <x:c r="E7055" s="16" t="str">
        <x:v>Missing email</x:v>
      </x:c>
    </x:row>
    <x:row r="7056">
      <x:c r="A7056" s="16" t="n">
        <x:v>7300</x:v>
      </x:c>
      <x:c r="B7056" s="16" t="str">
        <x:v>Zuraidah Chick Richworks</x:v>
      </x:c>
      <x:c r="C7056" s="16" t="str"/>
      <x:c r="D7056" s="16" t="str">
        <x:v>* myContacts</x:v>
      </x:c>
      <x:c r="E7056" s="16" t="str">
        <x:v>Missing email</x:v>
      </x:c>
    </x:row>
    <x:row r="7057">
      <x:c r="A7057" s="16" t="n">
        <x:v>7301</x:v>
      </x:c>
      <x:c r="B7057" s="16" t="str">
        <x:v>Zuraidah Yaacob</x:v>
      </x:c>
      <x:c r="C7057" s="16" t="str"/>
      <x:c r="D7057" s="16" t="str">
        <x:v>* myContacts</x:v>
      </x:c>
      <x:c r="E7057" s="16" t="str">
        <x:v>Missing email</x:v>
      </x:c>
    </x:row>
    <x:row r="7058">
      <x:c r="A7058" s="16" t="n">
        <x:v>7302</x:v>
      </x:c>
      <x:c r="B7058" s="16" t="str">
        <x:v>Zuraini AGP</x:v>
      </x:c>
      <x:c r="C7058" s="16" t="str"/>
      <x:c r="D7058" s="16" t="str">
        <x:v>* myContacts</x:v>
      </x:c>
      <x:c r="E7058" s="16" t="str">
        <x:v>Missing email</x:v>
      </x:c>
    </x:row>
    <x:row r="7059">
      <x:c r="A7059" s="16" t="n">
        <x:v>7303</x:v>
      </x:c>
      <x:c r="B7059" s="16" t="str">
        <x:v>Zuraini Awang</x:v>
      </x:c>
      <x:c r="C7059" s="16" t="str"/>
      <x:c r="D7059" s="16" t="str">
        <x:v>* myContacts</x:v>
      </x:c>
      <x:c r="E7059" s="16" t="str">
        <x:v>Missing email</x:v>
      </x:c>
    </x:row>
    <x:row r="7060">
      <x:c r="A7060" s="16" t="n">
        <x:v>7304</x:v>
      </x:c>
      <x:c r="B7060" s="16" t="str">
        <x:v>Zuraini Mat Arshad</x:v>
      </x:c>
      <x:c r="C7060" s="16" t="str"/>
      <x:c r="D7060" s="16" t="str">
        <x:v>* myContacts</x:v>
      </x:c>
      <x:c r="E7060" s="16" t="str">
        <x:v>Missing email</x:v>
      </x:c>
    </x:row>
    <x:row r="7061">
      <x:c r="A7061" s="16" t="n">
        <x:v>7305</x:v>
      </x:c>
      <x:c r="B7061" s="16" t="str">
        <x:v>Zurfarine Zura</x:v>
      </x:c>
      <x:c r="C7061" s="16" t="str"/>
      <x:c r="D7061" s="16" t="str">
        <x:v>* myContacts</x:v>
      </x:c>
      <x:c r="E7061" s="16" t="str">
        <x:v>Missing email</x:v>
      </x:c>
    </x:row>
    <x:row r="7062">
      <x:c r="A7062" s="16" t="n">
        <x:v>7306</x:v>
      </x:c>
      <x:c r="B7062" s="16" t="str">
        <x:v>Zuria Fatmi</x:v>
      </x:c>
      <x:c r="C7062" s="16" t="str"/>
      <x:c r="D7062" s="16" t="str">
        <x:v>* myContacts</x:v>
      </x:c>
      <x:c r="E7062" s="16" t="str">
        <x:v>Missing email</x:v>
      </x:c>
    </x:row>
    <x:row r="7063">
      <x:c r="A7063" s="16" t="n">
        <x:v>7307</x:v>
      </x:c>
      <x:c r="B7063" s="16" t="str">
        <x:v>Zuriah AGP</x:v>
      </x:c>
      <x:c r="C7063" s="16" t="str"/>
      <x:c r="D7063" s="16" t="str">
        <x:v>* myContacts</x:v>
      </x:c>
      <x:c r="E7063" s="16" t="str">
        <x:v>Missing email</x:v>
      </x:c>
    </x:row>
    <x:row r="7064">
      <x:c r="A7064" s="16" t="n">
        <x:v>7308</x:v>
      </x:c>
      <x:c r="B7064" s="16" t="str">
        <x:v>Zuriana Yahya</x:v>
      </x:c>
      <x:c r="C7064" s="16" t="str"/>
      <x:c r="D7064" s="16" t="str">
        <x:v>* myContacts</x:v>
      </x:c>
      <x:c r="E7064" s="16" t="str">
        <x:v>Missing email</x:v>
      </x:c>
    </x:row>
    <x:row r="7065">
      <x:c r="A7065" s="16" t="n">
        <x:v>7309</x:v>
      </x:c>
      <x:c r="B7065" s="16" t="str">
        <x:v>Zuriati Rasyid</x:v>
      </x:c>
      <x:c r="C7065" s="16" t="str"/>
      <x:c r="D7065" s="16" t="str">
        <x:v>* myContacts</x:v>
      </x:c>
      <x:c r="E7065" s="16" t="str">
        <x:v>Missing email</x:v>
      </x:c>
    </x:row>
    <x:row r="7066">
      <x:c r="A7066" s="16" t="n">
        <x:v>7310</x:v>
      </x:c>
      <x:c r="B7066" s="16" t="str">
        <x:v>Zurina Flp</x:v>
      </x:c>
      <x:c r="C7066" s="16" t="str"/>
      <x:c r="D7066" s="16" t="str">
        <x:v>* myContacts</x:v>
      </x:c>
      <x:c r="E7066" s="16" t="str">
        <x:v>Missing email</x:v>
      </x:c>
    </x:row>
    <x:row r="7067">
      <x:c r="A7067" s="16" t="n">
        <x:v>7311</x:v>
      </x:c>
      <x:c r="B7067" s="16" t="str">
        <x:v>Zurisuraizawati Mohd Zain</x:v>
      </x:c>
      <x:c r="C7067" s="16" t="str"/>
      <x:c r="D7067" s="16" t="str">
        <x:v>* myContacts</x:v>
      </x:c>
      <x:c r="E7067" s="16" t="str">
        <x:v>Missing email</x:v>
      </x:c>
    </x:row>
    <x:row r="7068">
      <x:c r="A7068" s="16" t="n">
        <x:v>7312</x:v>
      </x:c>
      <x:c r="B7068" s="16" t="str">
        <x:v>ຸMusfirah Perkim Media</x:v>
      </x:c>
      <x:c r="C7068" s="16" t="str"/>
      <x:c r="D7068" s="16" t="str">
        <x:v>* myContacts</x:v>
      </x:c>
      <x:c r="E7068" s="16" t="str">
        <x:v>Missing email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18" hidden="0" customWidth="1"/>
    <x:col min="5" max="5" width="38" hidden="0" customWidth="1"/>
  </x:cols>
  <x:sheetData>
    <x:row r="1" ht="30" customHeight="1">
      <x:c r="A1" s="3" t="str">
        <x:v>Phone Normalization Issues</x:v>
      </x:c>
      <x:c r="B1" s="3"/>
      <x:c r="C1" s="3"/>
      <x:c r="D1" s="3"/>
      <x:c r="E1" s="3"/>
    </x:row>
    <x:row r="2" ht="28" customHeight="1">
      <x:c r="A2" s="6" t="str">
        <x:v>Invalid or ambiguous numbers were not inserted into the clean phone columns.</x:v>
      </x:c>
      <x:c r="B2" s="6"/>
      <x:c r="C2" s="6"/>
      <x:c r="D2" s="6"/>
      <x:c r="E2" s="6"/>
    </x:row>
    <x:row r="4" ht="28" customHeight="1">
      <x:c r="A4" s="12" t="str">
        <x:v>Source Row</x:v>
      </x:c>
      <x:c r="B4" s="12" t="str">
        <x:v>Name</x:v>
      </x:c>
      <x:c r="C4" s="12" t="str">
        <x:v>Raw Phone</x:v>
      </x:c>
      <x:c r="D4" s="12" t="str">
        <x:v>Phone Label</x:v>
      </x:c>
      <x:c r="E4" s="12" t="str">
        <x:v>Reason</x:v>
      </x:c>
    </x:row>
    <x:row r="5">
      <x:c r="A5" s="16" t="n">
        <x:v>1531</x:v>
      </x:c>
      <x:c r="B5" s="16" t="str"/>
      <x:c r="C5" s="16" t="str">
        <x:v>celcom</x:v>
      </x:c>
      <x:c r="D5" s="16" t="str">
        <x:v>Mobile</x:v>
      </x:c>
      <x:c r="E5" s="16" t="str">
        <x:v>Contains unsupported letters</x:v>
      </x:c>
    </x:row>
    <x:row r="6">
      <x:c r="A6" s="16" t="n">
        <x:v>1560</x:v>
      </x:c>
      <x:c r="B6" s="16" t="str">
        <x:v>CHEF MUHAMMAD SHAZWAN BIN HJ. RUSL\N</x:v>
      </x:c>
      <x:c r="C6" s="16" t="str">
        <x:v>61373399</x:v>
      </x:c>
      <x:c r="D6" s="16" t="str">
        <x:v>Work</x:v>
      </x:c>
      <x:c r="E6" s="16" t="str">
        <x:v>Missing/ambiguous country code</x:v>
      </x:c>
    </x:row>
    <x:row r="7">
      <x:c r="A7" s="16" t="n">
        <x:v>1561</x:v>
      </x:c>
      <x:c r="B7" s="16" t="str">
        <x:v>CHEF MUHAMMAD SHAZWAN BIN HJ. RUSL\N</x:v>
      </x:c>
      <x:c r="C7" s="16" t="str">
        <x:v>61373399</x:v>
      </x:c>
      <x:c r="D7" s="16" t="str">
        <x:v>Work</x:v>
      </x:c>
      <x:c r="E7" s="16" t="str">
        <x:v>Missing/ambiguous country code</x:v>
      </x:c>
    </x:row>
    <x:row r="8">
      <x:c r="A8" s="16" t="n">
        <x:v>1933</x:v>
      </x:c>
      <x:c r="B8" s="16" t="str">
        <x:v>Dr ABDUL HAKIM JAAFAR</x:v>
      </x:c>
      <x:c r="C8" s="16" t="str">
        <x:v>1196678666</x:v>
      </x:c>
      <x:c r="D8" s="16" t="str">
        <x:v>Work</x:v>
      </x:c>
      <x:c r="E8" s="16" t="str">
        <x:v>Missing/ambiguous country code</x:v>
      </x:c>
    </x:row>
    <x:row r="9">
      <x:c r="A9" s="16" t="n">
        <x:v>1933</x:v>
      </x:c>
      <x:c r="B9" s="16" t="str">
        <x:v>Dr ABDUL HAKIM JAAFAR</x:v>
      </x:c>
      <x:c r="C9" s="16" t="str">
        <x:v>1196678666</x:v>
      </x:c>
      <x:c r="D9" s="16" t="str">
        <x:v>Work</x:v>
      </x:c>
      <x:c r="E9" s="16" t="str">
        <x:v>Missing/ambiguous country code</x:v>
      </x:c>
    </x:row>
    <x:row r="10">
      <x:c r="A10" s="16" t="n">
        <x:v>2257</x:v>
      </x:c>
      <x:c r="B10" s="16" t="str">
        <x:v>Era Delivery</x:v>
      </x:c>
      <x:c r="C10" s="16" t="str">
        <x:v>011280955906</x:v>
      </x:c>
      <x:c r="D10" s="16" t="str">
        <x:v>Mobile</x:v>
      </x:c>
      <x:c r="E10" s="16" t="str">
        <x:v>Missing/ambiguous country code</x:v>
      </x:c>
    </x:row>
    <x:row r="11">
      <x:c r="A11" s="16" t="n">
        <x:v>2347</x:v>
      </x:c>
      <x:c r="B11" s="16" t="str">
        <x:v>eu mohd syarif z 060823</x:v>
      </x:c>
      <x:c r="C11" s="16" t="str">
        <x:v>01728795</x:v>
      </x:c>
      <x:c r="D11" s="16" t="str">
        <x:v>Mobile</x:v>
      </x:c>
      <x:c r="E11" s="16" t="str">
        <x:v>Missing/ambiguous country code</x:v>
      </x:c>
    </x:row>
    <x:row r="12">
      <x:c r="A12" s="16" t="n">
        <x:v>2840</x:v>
      </x:c>
      <x:c r="B12" s="16" t="str">
        <x:v>FRANCIS LUI</x:v>
      </x:c>
      <x:c r="C12" s="16" t="str">
        <x:v>164212023086</x:v>
      </x:c>
      <x:c r="D12" s="16" t="str">
        <x:v>Mobile</x:v>
      </x:c>
      <x:c r="E12" s="16" t="str">
        <x:v>Missing/ambiguous country code</x:v>
      </x:c>
    </x:row>
    <x:row r="13">
      <x:c r="A13" s="16" t="n">
        <x:v>2840</x:v>
      </x:c>
      <x:c r="B13" s="16" t="str">
        <x:v>FRANCIS LUI</x:v>
      </x:c>
      <x:c r="C13" s="16" t="str">
        <x:v>460380790918</x:v>
      </x:c>
      <x:c r="D13" s="16" t="str">
        <x:v>Work</x:v>
      </x:c>
      <x:c r="E13" s="16" t="str">
        <x:v>Missing/ambiguous country code</x:v>
      </x:c>
    </x:row>
    <x:row r="14">
      <x:c r="A14" s="16" t="n">
        <x:v>2885</x:v>
      </x:c>
      <x:c r="B14" s="16" t="str">
        <x:v>Google Ads Support</x:v>
      </x:c>
      <x:c r="C14" s="16" t="str">
        <x:v>1800815872</x:v>
      </x:c>
      <x:c r="D14" s="16" t="str">
        <x:v>Mobile</x:v>
      </x:c>
      <x:c r="E14" s="16" t="str">
        <x:v>Missing/ambiguous country code</x:v>
      </x:c>
    </x:row>
    <x:row r="15">
      <x:c r="A15" s="16" t="n">
        <x:v>3223</x:v>
      </x:c>
      <x:c r="B15" s="16" t="str">
        <x:v>HUZAIREEN BIN HASSAN ASRI</x:v>
      </x:c>
      <x:c r="C15" s="16" t="str">
        <x:v>7716152</x:v>
      </x:c>
      <x:c r="D15" s="16" t="str">
        <x:v>Work</x:v>
      </x:c>
      <x:c r="E15" s="16" t="str">
        <x:v>Invalid E.164 length or characters</x:v>
      </x:c>
    </x:row>
    <x:row r="16">
      <x:c r="A16" s="16" t="n">
        <x:v>3223</x:v>
      </x:c>
      <x:c r="B16" s="16" t="str">
        <x:v>HUZAIREEN BIN HASSAN ASRI</x:v>
      </x:c>
      <x:c r="C16" s="16" t="str">
        <x:v>7716152</x:v>
      </x:c>
      <x:c r="D16" s="16" t="str">
        <x:v>Work</x:v>
      </x:c>
      <x:c r="E16" s="16" t="str">
        <x:v>Invalid E.164 length or characters</x:v>
      </x:c>
    </x:row>
    <x:row r="17">
      <x:c r="A17" s="16" t="n">
        <x:v>3999</x:v>
      </x:c>
      <x:c r="B17" s="16" t="str">
        <x:v>Kurnia Auto Assist</x:v>
      </x:c>
      <x:c r="C17" s="16" t="str">
        <x:v>1800883833</x:v>
      </x:c>
      <x:c r="D17" s="16" t="str">
        <x:v>Mobile</x:v>
      </x:c>
      <x:c r="E17" s="16" t="str">
        <x:v>Missing/ambiguous country code</x:v>
      </x:c>
    </x:row>
    <x:row r="18">
      <x:c r="A18" s="16" t="n">
        <x:v>4121</x:v>
      </x:c>
      <x:c r="B18" s="16" t="str">
        <x:v>Luqman tikok incubation team</x:v>
      </x:c>
      <x:c r="C18" s="16" t="str">
        <x:v>13-297 0775</x:v>
      </x:c>
      <x:c r="D18" s="16" t="str">
        <x:v>Work</x:v>
      </x:c>
      <x:c r="E18" s="16" t="str">
        <x:v>Missing/ambiguous country code</x:v>
      </x:c>
    </x:row>
    <x:row r="19">
      <x:c r="A19" s="16" t="n">
        <x:v>4121</x:v>
      </x:c>
      <x:c r="B19" s="16" t="str">
        <x:v>Luqman tikok incubation team</x:v>
      </x:c>
      <x:c r="C19" s="16" t="str">
        <x:v>132970775</x:v>
      </x:c>
      <x:c r="D19" s="16" t="str">
        <x:v>Work</x:v>
      </x:c>
      <x:c r="E19" s="16" t="str">
        <x:v>Missing/ambiguous country code</x:v>
      </x:c>
    </x:row>
    <x:row r="20">
      <x:c r="A20" s="16" t="n">
        <x:v>4369</x:v>
      </x:c>
      <x:c r="B20" s="16" t="str">
        <x:v>Microsoft Malaysia</x:v>
      </x:c>
      <x:c r="C20" s="16" t="str">
        <x:v>1800886295</x:v>
      </x:c>
      <x:c r="D20" s="16" t="str">
        <x:v>Mobile</x:v>
      </x:c>
      <x:c r="E20" s="16" t="str">
        <x:v>Missing/ambiguous country code</x:v>
      </x:c>
    </x:row>
    <x:row r="21">
      <x:c r="A21" s="16" t="n">
        <x:v>5579</x:v>
      </x:c>
      <x:c r="B21" s="16" t="str">
        <x:v>pn nora power cable ministry</x:v>
      </x:c>
      <x:c r="C21" s="16" t="str">
        <x:v>01</x:v>
      </x:c>
      <x:c r="D21" s="16" t="str">
        <x:v>Mobile</x:v>
      </x:c>
      <x:c r="E21" s="16" t="str">
        <x:v>Invalid E.164 length or characters</x:v>
      </x:c>
    </x:row>
    <x:row r="22">
      <x:c r="A22" s="16" t="n">
        <x:v>5624</x:v>
      </x:c>
      <x:c r="B22" s="16" t="str">
        <x:v>Prasad Babu Ramulu</x:v>
      </x:c>
      <x:c r="C22" s="16" t="str">
        <x:v>1800888338</x:v>
      </x:c>
      <x:c r="D22" s="16" t="str">
        <x:v>Work</x:v>
      </x:c>
      <x:c r="E22" s="16" t="str">
        <x:v>Missing/ambiguous country code</x:v>
      </x:c>
    </x:row>
    <x:row r="23">
      <x:c r="A23" s="16" t="n">
        <x:v>6425</x:v>
      </x:c>
      <x:c r="B23" s="16" t="str">
        <x:v>smart adv</x:v>
      </x:c>
      <x:c r="C23" s="16" t="str">
        <x:v>081250744300</x:v>
      </x:c>
      <x:c r="D23" s="16" t="str">
        <x:v>Mobile</x:v>
      </x:c>
      <x:c r="E23" s="16" t="str">
        <x:v>Missing/ambiguous country code</x:v>
      </x:c>
    </x:row>
    <x:row r="24">
      <x:c r="A24" s="16" t="n">
        <x:v>6425</x:v>
      </x:c>
      <x:c r="B24" s="16" t="str">
        <x:v>smart adv</x:v>
      </x:c>
      <x:c r="C24" s="16" t="str">
        <x:v>085283000900</x:v>
      </x:c>
      <x:c r="D24" s="16" t="str">
        <x:v>Home</x:v>
      </x:c>
      <x:c r="E24" s="16" t="str">
        <x:v>Missing/ambiguous country code</x:v>
      </x:c>
    </x:row>
    <x:row r="25">
      <x:c r="A25" s="16" t="n">
        <x:v>6852</x:v>
      </x:c>
      <x:c r="B25" s="16" t="str">
        <x:v>Tuan Zaki Internet Marketeer</x:v>
      </x:c>
      <x:c r="C25" s="16" t="str">
        <x:v>11-1664 9439</x:v>
      </x:c>
      <x:c r="D25" s="16" t="str">
        <x:v>Work</x:v>
      </x:c>
      <x:c r="E25" s="16" t="str">
        <x:v>Missing/ambiguous country code</x:v>
      </x:c>
    </x:row>
    <x:row r="26">
      <x:c r="A26" s="16" t="n">
        <x:v>6852</x:v>
      </x:c>
      <x:c r="B26" s="16" t="str">
        <x:v>Tuan Zaki Internet Marketeer</x:v>
      </x:c>
      <x:c r="C26" s="16" t="str">
        <x:v>1116649439</x:v>
      </x:c>
      <x:c r="D26" s="16" t="str">
        <x:v>Work</x:v>
      </x:c>
      <x:c r="E26" s="16" t="str">
        <x:v>Missing/ambiguous country code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34" hidden="0" customWidth="1"/>
    <x:col min="5" max="5" width="28" hidden="0" customWidth="1"/>
    <x:col min="6" max="6" width="30" hidden="0" customWidth="1"/>
    <x:col min="7" max="7" width="30" hidden="0" customWidth="1"/>
    <x:col min="8" max="8" width="14" hidden="0" customWidth="1"/>
    <x:col min="9" max="9" width="40" hidden="0" customWidth="1"/>
  </x:cols>
  <x:sheetData>
    <x:row r="1" ht="30" customHeight="1">
      <x:c r="A1" s="3" t="str">
        <x:v>Full Contact Audit Log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Contact-level audit trail for all exported source rows.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12" t="str">
        <x:v>Source Row</x:v>
      </x:c>
      <x:c r="B4" s="12" t="str">
        <x:v>Name</x:v>
      </x:c>
      <x:c r="C4" s="12" t="str">
        <x:v>Raw Emails</x:v>
      </x:c>
      <x:c r="D4" s="12" t="str">
        <x:v>Valid Emails</x:v>
      </x:c>
      <x:c r="E4" s="12" t="str">
        <x:v>Labels</x:v>
      </x:c>
      <x:c r="F4" s="12" t="str">
        <x:v>Raw Phones</x:v>
      </x:c>
      <x:c r="G4" s="12" t="str">
        <x:v>Normalized Phones</x:v>
      </x:c>
      <x:c r="H4" s="12" t="str">
        <x:v>Result</x:v>
      </x:c>
      <x:c r="I4" s="12" t="str">
        <x:v>Issues</x:v>
      </x:c>
    </x:row>
    <x:row r="5">
      <x:c r="A5" s="16" t="n">
        <x:v>2</x:v>
      </x:c>
      <x:c r="B5" s="16" t="str">
        <x:v>!!ايريس iris</x:v>
      </x:c>
      <x:c r="C5" s="16" t="str"/>
      <x:c r="D5" s="16" t="str"/>
      <x:c r="E5" s="16" t="str">
        <x:v>* myContacts</x:v>
      </x:c>
      <x:c r="F5" s="16" t="str">
        <x:v>+60149663410</x:v>
      </x:c>
      <x:c r="G5" s="16" t="str">
        <x:v>+60149663410</x:v>
      </x:c>
      <x:c r="H5" s="16" t="str">
        <x:v>Excluded</x:v>
      </x:c>
      <x:c r="I5" s="16" t="str">
        <x:v>Missing email</x:v>
      </x:c>
    </x:row>
    <x:row r="6">
      <x:c r="A6" s="16" t="n">
        <x:v>3</x:v>
      </x:c>
      <x:c r="B6" s="16" t="str">
        <x:v>..Anak anuar</x:v>
      </x:c>
      <x:c r="C6" s="16" t="str"/>
      <x:c r="D6" s="16" t="str"/>
      <x:c r="E6" s="16" t="str">
        <x:v>* myContacts</x:v>
      </x:c>
      <x:c r="F6" s="16" t="str">
        <x:v>+60124196907</x:v>
      </x:c>
      <x:c r="G6" s="16" t="str">
        <x:v>+60124196907</x:v>
      </x:c>
      <x:c r="H6" s="16" t="str">
        <x:v>Excluded</x:v>
      </x:c>
      <x:c r="I6" s="16" t="str">
        <x:v>Missing email</x:v>
      </x:c>
    </x:row>
    <x:row r="7">
      <x:c r="A7" s="16" t="n">
        <x:v>4</x:v>
      </x:c>
      <x:c r="B7" s="16" t="str">
        <x:v>@Thy KK kok Lanas</x:v>
      </x:c>
      <x:c r="C7" s="16" t="str"/>
      <x:c r="D7" s="16" t="str"/>
      <x:c r="E7" s="16" t="str">
        <x:v>* myContacts</x:v>
      </x:c>
      <x:c r="F7" s="16" t="str">
        <x:v>+60 12-989 8234 | +60129898234</x:v>
      </x:c>
      <x:c r="G7" s="16" t="str">
        <x:v>+60129898234 | +60129898234</x:v>
      </x:c>
      <x:c r="H7" s="16" t="str">
        <x:v>Excluded</x:v>
      </x:c>
      <x:c r="I7" s="16" t="str">
        <x:v>Missing email</x:v>
      </x:c>
    </x:row>
    <x:row r="8">
      <x:c r="A8" s="16" t="n">
        <x:v>5</x:v>
      </x:c>
      <x:c r="B8" s="16" t="str"/>
      <x:c r="C8" s="16" t="str"/>
      <x:c r="D8" s="16" t="str"/>
      <x:c r="E8" s="16" t="str">
        <x:v>* myContacts</x:v>
      </x:c>
      <x:c r="F8" s="16" t="str">
        <x:v>+60103824614</x:v>
      </x:c>
      <x:c r="G8" s="16" t="str">
        <x:v>+60103824614</x:v>
      </x:c>
      <x:c r="H8" s="16" t="str">
        <x:v>Excluded</x:v>
      </x:c>
      <x:c r="I8" s="16" t="str">
        <x:v>Missing name; Missing email</x:v>
      </x:c>
    </x:row>
    <x:row r="9">
      <x:c r="A9" s="16" t="n">
        <x:v>6</x:v>
      </x:c>
      <x:c r="B9" s="16" t="str"/>
      <x:c r="C9" s="16" t="str"/>
      <x:c r="D9" s="16" t="str"/>
      <x:c r="E9" s="16" t="str">
        <x:v>* myContacts</x:v>
      </x:c>
      <x:c r="F9" s="16" t="str">
        <x:v>+60 11-1125 6643 | +601111256643</x:v>
      </x:c>
      <x:c r="G9" s="16" t="str">
        <x:v>+601111256643 | +601111256643</x:v>
      </x:c>
      <x:c r="H9" s="16" t="str">
        <x:v>Excluded</x:v>
      </x:c>
      <x:c r="I9" s="16" t="str">
        <x:v>Missing name; Missing email</x:v>
      </x:c>
    </x:row>
    <x:row r="10">
      <x:c r="A10" s="16" t="n">
        <x:v>7</x:v>
      </x:c>
      <x:c r="B10" s="16" t="str"/>
      <x:c r="C10" s="16" t="str"/>
      <x:c r="D10" s="16" t="str"/>
      <x:c r="E10" s="16" t="str">
        <x:v>* myContacts</x:v>
      </x:c>
      <x:c r="F10" s="16" t="str">
        <x:v>+601151659818</x:v>
      </x:c>
      <x:c r="G10" s="16" t="str">
        <x:v>+601151659818</x:v>
      </x:c>
      <x:c r="H10" s="16" t="str">
        <x:v>Excluded</x:v>
      </x:c>
      <x:c r="I10" s="16" t="str">
        <x:v>Missing name; Missing email</x:v>
      </x:c>
    </x:row>
    <x:row r="11">
      <x:c r="A11" s="16" t="n">
        <x:v>8</x:v>
      </x:c>
      <x:c r="B11" s="16" t="str"/>
      <x:c r="C11" s="16" t="str"/>
      <x:c r="D11" s="16" t="str"/>
      <x:c r="E11" s="16" t="str">
        <x:v>* myContacts</x:v>
      </x:c>
      <x:c r="F11" s="16" t="str">
        <x:v>+60172099330</x:v>
      </x:c>
      <x:c r="G11" s="16" t="str">
        <x:v>+60172099330</x:v>
      </x:c>
      <x:c r="H11" s="16" t="str">
        <x:v>Excluded</x:v>
      </x:c>
      <x:c r="I11" s="16" t="str">
        <x:v>Missing name; Missing email</x:v>
      </x:c>
    </x:row>
    <x:row r="12">
      <x:c r="A12" s="16" t="n">
        <x:v>9</x:v>
      </x:c>
      <x:c r="B12" s="16" t="str"/>
      <x:c r="C12" s="16" t="str"/>
      <x:c r="D12" s="16" t="str"/>
      <x:c r="E12" s="16" t="str">
        <x:v>* myContacts</x:v>
      </x:c>
      <x:c r="F12" s="16" t="str">
        <x:v>+60 17-232 0685 | +60172320685</x:v>
      </x:c>
      <x:c r="G12" s="16" t="str">
        <x:v>+60172320685 | +60172320685</x:v>
      </x:c>
      <x:c r="H12" s="16" t="str">
        <x:v>Excluded</x:v>
      </x:c>
      <x:c r="I12" s="16" t="str">
        <x:v>Missing name; Missing email</x:v>
      </x:c>
    </x:row>
    <x:row r="13">
      <x:c r="A13" s="16" t="n">
        <x:v>10</x:v>
      </x:c>
      <x:c r="B13" s="16" t="str"/>
      <x:c r="C13" s="16" t="str"/>
      <x:c r="D13" s="16" t="str"/>
      <x:c r="E13" s="16" t="str">
        <x:v>* myContacts</x:v>
      </x:c>
      <x:c r="F13" s="16" t="str">
        <x:v>+60172990281</x:v>
      </x:c>
      <x:c r="G13" s="16" t="str">
        <x:v>+60172990281</x:v>
      </x:c>
      <x:c r="H13" s="16" t="str">
        <x:v>Excluded</x:v>
      </x:c>
      <x:c r="I13" s="16" t="str">
        <x:v>Missing name; Missing email</x:v>
      </x:c>
    </x:row>
    <x:row r="14">
      <x:c r="A14" s="16" t="n">
        <x:v>11</x:v>
      </x:c>
      <x:c r="B14" s="16" t="str"/>
      <x:c r="C14" s="16" t="str"/>
      <x:c r="D14" s="16" t="str"/>
      <x:c r="E14" s="16" t="str">
        <x:v>* myContacts</x:v>
      </x:c>
      <x:c r="F14" s="16" t="str">
        <x:v>+60175331125 | 01117888248</x:v>
      </x:c>
      <x:c r="G14" s="16" t="str">
        <x:v>+60175331125 | +601117888248</x:v>
      </x:c>
      <x:c r="H14" s="16" t="str">
        <x:v>Excluded</x:v>
      </x:c>
      <x:c r="I14" s="16" t="str">
        <x:v>Missing name; Missing email</x:v>
      </x:c>
    </x:row>
    <x:row r="15">
      <x:c r="A15" s="16" t="n">
        <x:v>12</x:v>
      </x:c>
      <x:c r="B15" s="16" t="str">
        <x:v>pro himah niaga</x:v>
      </x:c>
      <x:c r="C15" s="16" t="str"/>
      <x:c r="D15" s="16" t="str"/>
      <x:c r="E15" s="16" t="str">
        <x:v>* myContacts</x:v>
      </x:c>
      <x:c r="F15" s="16" t="str">
        <x:v>+60195064949</x:v>
      </x:c>
      <x:c r="G15" s="16" t="str">
        <x:v>+60195064949</x:v>
      </x:c>
      <x:c r="H15" s="16" t="str">
        <x:v>Excluded</x:v>
      </x:c>
      <x:c r="I15" s="16" t="str">
        <x:v>Missing email</x:v>
      </x:c>
    </x:row>
    <x:row r="16">
      <x:c r="A16" s="16" t="n">
        <x:v>13</x:v>
      </x:c>
      <x:c r="B16" s="16" t="str">
        <x:v>~ ARINA Kampung Baru 𝑸𝒂𝒔𝒊𝒎 𝒔𝒉𝒆𝒊𝒌𝒉</x:v>
      </x:c>
      <x:c r="C16" s="16" t="str"/>
      <x:c r="D16" s="16" t="str"/>
      <x:c r="E16" s="16" t="str">
        <x:v>* myContacts</x:v>
      </x:c>
      <x:c r="F16" s="16" t="str">
        <x:v>0165071554 | +60165071554</x:v>
      </x:c>
      <x:c r="G16" s="16" t="str">
        <x:v>+60165071554 | +60165071554</x:v>
      </x:c>
      <x:c r="H16" s="16" t="str">
        <x:v>Excluded</x:v>
      </x:c>
      <x:c r="I16" s="16" t="str">
        <x:v>Missing email</x:v>
      </x:c>
    </x:row>
    <x:row r="17">
      <x:c r="A17" s="16" t="n">
        <x:v>14</x:v>
      </x:c>
      <x:c r="B17" s="16" t="str">
        <x:v>~~!!</x:v>
      </x:c>
      <x:c r="C17" s="16" t="str"/>
      <x:c r="D17" s="16" t="str"/>
      <x:c r="E17" s="16" t="str">
        <x:v>* myContacts</x:v>
      </x:c>
      <x:c r="F17" s="16" t="str">
        <x:v>+60137179973</x:v>
      </x:c>
      <x:c r="G17" s="16" t="str">
        <x:v>+60137179973</x:v>
      </x:c>
      <x:c r="H17" s="16" t="str">
        <x:v>Excluded</x:v>
      </x:c>
      <x:c r="I17" s="16" t="str">
        <x:v>Missing email</x:v>
      </x:c>
    </x:row>
    <x:row r="18">
      <x:c r="A18" s="16" t="n">
        <x:v>15</x:v>
      </x:c>
      <x:c r="B18" s="16" t="str">
        <x:v>🌹 AMANI</x:v>
      </x:c>
      <x:c r="C18" s="16" t="str"/>
      <x:c r="D18" s="16" t="str"/>
      <x:c r="E18" s="16" t="str">
        <x:v>* myContacts</x:v>
      </x:c>
      <x:c r="F18" s="16" t="str">
        <x:v>+60182275685</x:v>
      </x:c>
      <x:c r="G18" s="16" t="str">
        <x:v>+60182275685</x:v>
      </x:c>
      <x:c r="H18" s="16" t="str">
        <x:v>Excluded</x:v>
      </x:c>
      <x:c r="I18" s="16" t="str">
        <x:v>Missing email</x:v>
      </x:c>
    </x:row>
    <x:row r="19">
      <x:c r="A19" s="16" t="n">
        <x:v>16</x:v>
      </x:c>
      <x:c r="B19" s="16" t="str">
        <x:v>1 Emak 011</x:v>
      </x:c>
      <x:c r="C19" s="16" t="str"/>
      <x:c r="D19" s="16" t="str"/>
      <x:c r="E19" s="16" t="str">
        <x:v>* myContacts</x:v>
      </x:c>
      <x:c r="F19" s="16" t="str">
        <x:v>011-128 67899 | +60 11-5658 5767</x:v>
      </x:c>
      <x:c r="G19" s="16" t="str">
        <x:v>+601112867899 | +601156585767</x:v>
      </x:c>
      <x:c r="H19" s="16" t="str">
        <x:v>Excluded</x:v>
      </x:c>
      <x:c r="I19" s="16" t="str">
        <x:v>Missing email</x:v>
      </x:c>
    </x:row>
    <x:row r="20">
      <x:c r="A20" s="16" t="n">
        <x:v>17</x:v>
      </x:c>
      <x:c r="B20" s="16" t="str">
        <x:v>1 Emak 011</x:v>
      </x:c>
      <x:c r="C20" s="16" t="str"/>
      <x:c r="D20" s="16" t="str"/>
      <x:c r="E20" s="16" t="str">
        <x:v>* myContacts</x:v>
      </x:c>
      <x:c r="F20" s="16" t="str">
        <x:v>+601112867899 | +601156585767</x:v>
      </x:c>
      <x:c r="G20" s="16" t="str">
        <x:v>+601112867899 | +601156585767</x:v>
      </x:c>
      <x:c r="H20" s="16" t="str">
        <x:v>Excluded</x:v>
      </x:c>
      <x:c r="I20" s="16" t="str">
        <x:v>Missing email</x:v>
      </x:c>
    </x:row>
    <x:row r="21">
      <x:c r="A21" s="16" t="n">
        <x:v>18</x:v>
      </x:c>
      <x:c r="B21" s="16" t="str">
        <x:v>21052019anaanak2raihanpros</x:v>
      </x:c>
      <x:c r="C21" s="16" t="str"/>
      <x:c r="D21" s="16" t="str"/>
      <x:c r="E21" s="16" t="str">
        <x:v>* myContacts</x:v>
      </x:c>
      <x:c r="F21" s="16" t="str">
        <x:v>+60 17-565 8468 | +60175658468</x:v>
      </x:c>
      <x:c r="G21" s="16" t="str">
        <x:v>+60175658468 | +60175658468</x:v>
      </x:c>
      <x:c r="H21" s="16" t="str">
        <x:v>Excluded</x:v>
      </x:c>
      <x:c r="I21" s="16" t="str">
        <x:v>Missing email</x:v>
      </x:c>
    </x:row>
    <x:row r="22">
      <x:c r="A22" s="16" t="n">
        <x:v>19</x:v>
      </x:c>
      <x:c r="B22" s="16" t="str">
        <x:v>21052019nanianak2raihan</x:v>
      </x:c>
      <x:c r="C22" s="16" t="str"/>
      <x:c r="D22" s="16" t="str"/>
      <x:c r="E22" s="16" t="str">
        <x:v>* myContacts</x:v>
      </x:c>
      <x:c r="F22" s="16" t="str">
        <x:v>+60 19-615 0635 | +60196150635</x:v>
      </x:c>
      <x:c r="G22" s="16" t="str">
        <x:v>+60196150635 | +60196150635</x:v>
      </x:c>
      <x:c r="H22" s="16" t="str">
        <x:v>Excluded</x:v>
      </x:c>
      <x:c r="I22" s="16" t="str">
        <x:v>Missing email</x:v>
      </x:c>
    </x:row>
    <x:row r="23">
      <x:c r="A23" s="16" t="n">
        <x:v>20</x:v>
      </x:c>
      <x:c r="B23" s="16" t="str">
        <x:v>21052019noriahanak2raihanpros</x:v>
      </x:c>
      <x:c r="C23" s="16" t="str"/>
      <x:c r="D23" s="16" t="str"/>
      <x:c r="E23" s="16" t="str">
        <x:v>* myContacts</x:v>
      </x:c>
      <x:c r="F23" s="16" t="str">
        <x:v>+60 10-533 9575 | +60105339575</x:v>
      </x:c>
      <x:c r="G23" s="16" t="str">
        <x:v>+60105339575 | +60105339575</x:v>
      </x:c>
      <x:c r="H23" s="16" t="str">
        <x:v>Excluded</x:v>
      </x:c>
      <x:c r="I23" s="16" t="str">
        <x:v>Missing email</x:v>
      </x:c>
    </x:row>
    <x:row r="24">
      <x:c r="A24" s="16" t="n">
        <x:v>21</x:v>
      </x:c>
      <x:c r="B24" s="16" t="str">
        <x:v>21052019prosAanak2raihanpros</x:v>
      </x:c>
      <x:c r="C24" s="16" t="str"/>
      <x:c r="D24" s="16" t="str"/>
      <x:c r="E24" s="16" t="str">
        <x:v>* myContacts</x:v>
      </x:c>
      <x:c r="F24" s="16" t="str">
        <x:v>014-354 2077 | +60143542077</x:v>
      </x:c>
      <x:c r="G24" s="16" t="str">
        <x:v>+60143542077 | +60143542077</x:v>
      </x:c>
      <x:c r="H24" s="16" t="str">
        <x:v>Excluded</x:v>
      </x:c>
      <x:c r="I24" s="16" t="str">
        <x:v>Missing email</x:v>
      </x:c>
    </x:row>
    <x:row r="25">
      <x:c r="A25" s="16" t="n">
        <x:v>22</x:v>
      </x:c>
      <x:c r="B25" s="16" t="str">
        <x:v>21052019prosBanak2raihanpros</x:v>
      </x:c>
      <x:c r="C25" s="16" t="str"/>
      <x:c r="D25" s="16" t="str"/>
      <x:c r="E25" s="16" t="str">
        <x:v>* myContacts</x:v>
      </x:c>
      <x:c r="F25" s="16" t="str">
        <x:v>019-953 9965 | +60199539965</x:v>
      </x:c>
      <x:c r="G25" s="16" t="str">
        <x:v>+60199539965 | +60199539965</x:v>
      </x:c>
      <x:c r="H25" s="16" t="str">
        <x:v>Excluded</x:v>
      </x:c>
      <x:c r="I25" s="16" t="str">
        <x:v>Missing email</x:v>
      </x:c>
    </x:row>
    <x:row r="26">
      <x:c r="A26" s="16" t="n">
        <x:v>23</x:v>
      </x:c>
      <x:c r="B26" s="16" t="str">
        <x:v>21052019prosCanak2raihanpros</x:v>
      </x:c>
      <x:c r="C26" s="16" t="str"/>
      <x:c r="D26" s="16" t="str"/>
      <x:c r="E26" s="16" t="str">
        <x:v>* myContacts</x:v>
      </x:c>
      <x:c r="F26" s="16" t="str">
        <x:v>019-704 2922 | +60197042922</x:v>
      </x:c>
      <x:c r="G26" s="16" t="str">
        <x:v>+60197042922 | +60197042922</x:v>
      </x:c>
      <x:c r="H26" s="16" t="str">
        <x:v>Excluded</x:v>
      </x:c>
      <x:c r="I26" s="16" t="str">
        <x:v>Missing email</x:v>
      </x:c>
    </x:row>
    <x:row r="27">
      <x:c r="A27" s="16" t="n">
        <x:v>24</x:v>
      </x:c>
      <x:c r="B27" s="16" t="str">
        <x:v>21052019ProsDanak2raihanpros</x:v>
      </x:c>
      <x:c r="C27" s="16" t="str"/>
      <x:c r="D27" s="16" t="str"/>
      <x:c r="E27" s="16" t="str">
        <x:v>* myContacts</x:v>
      </x:c>
      <x:c r="F27" s="16" t="str">
        <x:v>013-212 7596 | +60132127596</x:v>
      </x:c>
      <x:c r="G27" s="16" t="str">
        <x:v>+60132127596 | +60132127596</x:v>
      </x:c>
      <x:c r="H27" s="16" t="str">
        <x:v>Excluded</x:v>
      </x:c>
      <x:c r="I27" s="16" t="str">
        <x:v>Missing email</x:v>
      </x:c>
    </x:row>
    <x:row r="28">
      <x:c r="A28" s="16" t="n">
        <x:v>25</x:v>
      </x:c>
      <x:c r="B28" s="16" t="str">
        <x:v>21052019prosEanak2raihanpros</x:v>
      </x:c>
      <x:c r="C28" s="16" t="str"/>
      <x:c r="D28" s="16" t="str"/>
      <x:c r="E28" s="16" t="str">
        <x:v>* myContacts</x:v>
      </x:c>
      <x:c r="F28" s="16" t="str">
        <x:v>016-672 1506 | +60166721506</x:v>
      </x:c>
      <x:c r="G28" s="16" t="str">
        <x:v>+60166721506 | +60166721506</x:v>
      </x:c>
      <x:c r="H28" s="16" t="str">
        <x:v>Excluded</x:v>
      </x:c>
      <x:c r="I28" s="16" t="str">
        <x:v>Missing email</x:v>
      </x:c>
    </x:row>
    <x:row r="29">
      <x:c r="A29" s="16" t="n">
        <x:v>26</x:v>
      </x:c>
      <x:c r="B29" s="16" t="str">
        <x:v>21052019ProsJanak2raihanpros</x:v>
      </x:c>
      <x:c r="C29" s="16" t="str"/>
      <x:c r="D29" s="16" t="str"/>
      <x:c r="E29" s="16" t="str">
        <x:v>* myContacts</x:v>
      </x:c>
      <x:c r="F29" s="16" t="str">
        <x:v>011-3357 9945 | +601133579945</x:v>
      </x:c>
      <x:c r="G29" s="16" t="str">
        <x:v>+601133579945 | +601133579945</x:v>
      </x:c>
      <x:c r="H29" s="16" t="str">
        <x:v>Excluded</x:v>
      </x:c>
      <x:c r="I29" s="16" t="str">
        <x:v>Missing email</x:v>
      </x:c>
    </x:row>
    <x:row r="30">
      <x:c r="A30" s="16" t="n">
        <x:v>27</x:v>
      </x:c>
      <x:c r="B30" s="16" t="str">
        <x:v>21052019ProsKanak2raihanpros</x:v>
      </x:c>
      <x:c r="C30" s="16" t="str"/>
      <x:c r="D30" s="16" t="str"/>
      <x:c r="E30" s="16" t="str">
        <x:v>* myContacts</x:v>
      </x:c>
      <x:c r="F30" s="16" t="str">
        <x:v>011-2542 7752 | +601125427752</x:v>
      </x:c>
      <x:c r="G30" s="16" t="str">
        <x:v>+601125427752 | +601125427752</x:v>
      </x:c>
      <x:c r="H30" s="16" t="str">
        <x:v>Excluded</x:v>
      </x:c>
      <x:c r="I30" s="16" t="str">
        <x:v>Missing email</x:v>
      </x:c>
    </x:row>
    <x:row r="31">
      <x:c r="A31" s="16" t="n">
        <x:v>28</x:v>
      </x:c>
      <x:c r="B31" s="16" t="str">
        <x:v>21052019ProsLanak2raihanpros</x:v>
      </x:c>
      <x:c r="C31" s="16" t="str"/>
      <x:c r="D31" s="16" t="str"/>
      <x:c r="E31" s="16" t="str">
        <x:v>* myContacts</x:v>
      </x:c>
      <x:c r="F31" s="16" t="str">
        <x:v>012-848 3120 | +60128483120</x:v>
      </x:c>
      <x:c r="G31" s="16" t="str">
        <x:v>+60128483120 | +60128483120</x:v>
      </x:c>
      <x:c r="H31" s="16" t="str">
        <x:v>Excluded</x:v>
      </x:c>
      <x:c r="I31" s="16" t="str">
        <x:v>Missing email</x:v>
      </x:c>
    </x:row>
    <x:row r="32">
      <x:c r="A32" s="16" t="n">
        <x:v>29</x:v>
      </x:c>
      <x:c r="B32" s="16" t="str">
        <x:v>21052019prosManak2raihanpros</x:v>
      </x:c>
      <x:c r="C32" s="16" t="str"/>
      <x:c r="D32" s="16" t="str"/>
      <x:c r="E32" s="16" t="str">
        <x:v>* myContacts</x:v>
      </x:c>
      <x:c r="F32" s="16" t="str">
        <x:v>019-256 3685 | +60192563685</x:v>
      </x:c>
      <x:c r="G32" s="16" t="str">
        <x:v>+60192563685 | +60192563685</x:v>
      </x:c>
      <x:c r="H32" s="16" t="str">
        <x:v>Excluded</x:v>
      </x:c>
      <x:c r="I32" s="16" t="str">
        <x:v>Missing email</x:v>
      </x:c>
    </x:row>
    <x:row r="33">
      <x:c r="A33" s="16" t="n">
        <x:v>30</x:v>
      </x:c>
      <x:c r="B33" s="16" t="str">
        <x:v>21052019sitianakanakraihanpros</x:v>
      </x:c>
      <x:c r="C33" s="16" t="str"/>
      <x:c r="D33" s="16" t="str"/>
      <x:c r="E33" s="16" t="str">
        <x:v>* myContacts</x:v>
      </x:c>
      <x:c r="F33" s="16" t="str">
        <x:v>+60 13-799 2688 | +60137992688</x:v>
      </x:c>
      <x:c r="G33" s="16" t="str">
        <x:v>+60137992688 | +60137992688</x:v>
      </x:c>
      <x:c r="H33" s="16" t="str">
        <x:v>Excluded</x:v>
      </x:c>
      <x:c r="I33" s="16" t="str">
        <x:v>Missing email</x:v>
      </x:c>
    </x:row>
    <x:row r="34">
      <x:c r="A34" s="16" t="n">
        <x:v>31</x:v>
      </x:c>
      <x:c r="B34" s="16" t="str">
        <x:v>21052019sitianakraihanpros</x:v>
      </x:c>
      <x:c r="C34" s="16" t="str"/>
      <x:c r="D34" s="16" t="str"/>
      <x:c r="E34" s="16" t="str">
        <x:v>* myContacts</x:v>
      </x:c>
      <x:c r="F34" s="16" t="str">
        <x:v>+60 11-3913 9440 | +601139139440</x:v>
      </x:c>
      <x:c r="G34" s="16" t="str">
        <x:v>+601139139440 | +601139139440</x:v>
      </x:c>
      <x:c r="H34" s="16" t="str">
        <x:v>Excluded</x:v>
      </x:c>
      <x:c r="I34" s="16" t="str">
        <x:v>Missing email</x:v>
      </x:c>
    </x:row>
    <x:row r="35">
      <x:c r="A35" s="16" t="n">
        <x:v>32</x:v>
      </x:c>
      <x:c r="B35" s="16" t="str">
        <x:v>A Amir Suami Kak Sofie</x:v>
      </x:c>
      <x:c r="C35" s="16" t="str"/>
      <x:c r="D35" s="16" t="str"/>
      <x:c r="E35" s="16" t="str">
        <x:v>* myContacts</x:v>
      </x:c>
      <x:c r="F35" s="16" t="str">
        <x:v>+60 19-225 2030 | +60192252030</x:v>
      </x:c>
      <x:c r="G35" s="16" t="str">
        <x:v>+60192252030 | +60192252030</x:v>
      </x:c>
      <x:c r="H35" s="16" t="str">
        <x:v>Excluded</x:v>
      </x:c>
      <x:c r="I35" s="16" t="str">
        <x:v>Missing email</x:v>
      </x:c>
    </x:row>
    <x:row r="36">
      <x:c r="A36" s="16" t="n">
        <x:v>33</x:v>
      </x:c>
      <x:c r="B36" s="16" t="str">
        <x:v>A malik Sambal Samba</x:v>
      </x:c>
      <x:c r="C36" s="16" t="str"/>
      <x:c r="D36" s="16" t="str"/>
      <x:c r="E36" s="16" t="str">
        <x:v>* myContacts</x:v>
      </x:c>
      <x:c r="F36" s="16" t="str">
        <x:v>017-362 6235 | +60173626235</x:v>
      </x:c>
      <x:c r="G36" s="16" t="str">
        <x:v>+60173626235 | +60173626235</x:v>
      </x:c>
      <x:c r="H36" s="16" t="str">
        <x:v>Excluded</x:v>
      </x:c>
      <x:c r="I36" s="16" t="str">
        <x:v>Missing email</x:v>
      </x:c>
    </x:row>
    <x:row r="37">
      <x:c r="A37" s="16" t="n">
        <x:v>34</x:v>
      </x:c>
      <x:c r="B37" s="16" t="str">
        <x:v>A Yantea Suzan</x:v>
      </x:c>
      <x:c r="C37" s="16" t="str"/>
      <x:c r="D37" s="16" t="str"/>
      <x:c r="E37" s="16" t="str">
        <x:v>* myContacts</x:v>
      </x:c>
      <x:c r="F37" s="16" t="str">
        <x:v>+6285212651514</x:v>
      </x:c>
      <x:c r="G37" s="16" t="str">
        <x:v>+6285212651514</x:v>
      </x:c>
      <x:c r="H37" s="16" t="str">
        <x:v>Excluded</x:v>
      </x:c>
      <x:c r="I37" s="16" t="str">
        <x:v>Missing email</x:v>
      </x:c>
    </x:row>
    <x:row r="38">
      <x:c r="A38" s="16" t="n">
        <x:v>35</x:v>
      </x:c>
      <x:c r="B38" s="16" t="str">
        <x:v>Aaf</x:v>
      </x:c>
      <x:c r="C38" s="16" t="str"/>
      <x:c r="D38" s="16" t="str"/>
      <x:c r="E38" s="16" t="str">
        <x:v>* myContacts</x:v>
      </x:c>
      <x:c r="F38" s="16" t="str">
        <x:v>+6285890657909</x:v>
      </x:c>
      <x:c r="G38" s="16" t="str">
        <x:v>+6285890657909</x:v>
      </x:c>
      <x:c r="H38" s="16" t="str">
        <x:v>Excluded</x:v>
      </x:c>
      <x:c r="I38" s="16" t="str">
        <x:v>Missing email</x:v>
      </x:c>
    </x:row>
    <x:row r="39">
      <x:c r="A39" s="16" t="n">
        <x:v>36</x:v>
      </x:c>
      <x:c r="B39" s="16" t="str">
        <x:v>Aam Aircorn</x:v>
      </x:c>
      <x:c r="C39" s="16" t="str"/>
      <x:c r="D39" s="16" t="str"/>
      <x:c r="E39" s="16" t="str">
        <x:v>* myContacts</x:v>
      </x:c>
      <x:c r="F39" s="16" t="str">
        <x:v>+60392022664</x:v>
      </x:c>
      <x:c r="G39" s="16" t="str">
        <x:v>+60392022664</x:v>
      </x:c>
      <x:c r="H39" s="16" t="str">
        <x:v>Excluded</x:v>
      </x:c>
      <x:c r="I39" s="16" t="str">
        <x:v>Missing email</x:v>
      </x:c>
    </x:row>
    <x:row r="40">
      <x:c r="A40" s="16" t="n">
        <x:v>37</x:v>
      </x:c>
      <x:c r="B40" s="16" t="str">
        <x:v>Aamal Iema</x:v>
      </x:c>
      <x:c r="C40" s="16" t="str"/>
      <x:c r="D40" s="16" t="str"/>
      <x:c r="E40" s="16" t="str">
        <x:v>* myContacts</x:v>
      </x:c>
      <x:c r="F40" s="16" t="str">
        <x:v>+601125481349</x:v>
      </x:c>
      <x:c r="G40" s="16" t="str">
        <x:v>+601125481349</x:v>
      </x:c>
      <x:c r="H40" s="16" t="str">
        <x:v>Excluded</x:v>
      </x:c>
      <x:c r="I40" s="16" t="str">
        <x:v>Missing email</x:v>
      </x:c>
    </x:row>
    <x:row r="41">
      <x:c r="A41" s="16" t="n">
        <x:v>38</x:v>
      </x:c>
      <x:c r="B41" s="16" t="str">
        <x:v>Aamuhamad Ikhtiaruddin</x:v>
      </x:c>
      <x:c r="C41" s="16" t="str"/>
      <x:c r="D41" s="16" t="str"/>
      <x:c r="E41" s="16" t="str">
        <x:v>* myContacts</x:v>
      </x:c>
      <x:c r="F41" s="16" t="str">
        <x:v>+60173134876</x:v>
      </x:c>
      <x:c r="G41" s="16" t="str">
        <x:v>+60173134876</x:v>
      </x:c>
      <x:c r="H41" s="16" t="str">
        <x:v>Excluded</x:v>
      </x:c>
      <x:c r="I41" s="16" t="str">
        <x:v>Missing email</x:v>
      </x:c>
    </x:row>
    <x:row r="42">
      <x:c r="A42" s="16" t="n">
        <x:v>39</x:v>
      </x:c>
      <x:c r="B42" s="16" t="str">
        <x:v>Aan Putra</x:v>
      </x:c>
      <x:c r="C42" s="16" t="str"/>
      <x:c r="D42" s="16" t="str"/>
      <x:c r="E42" s="16" t="str">
        <x:v>* myContacts</x:v>
      </x:c>
      <x:c r="F42" s="16" t="str">
        <x:v>+6289693613291</x:v>
      </x:c>
      <x:c r="G42" s="16" t="str">
        <x:v>+6289693613291</x:v>
      </x:c>
      <x:c r="H42" s="16" t="str">
        <x:v>Excluded</x:v>
      </x:c>
      <x:c r="I42" s="16" t="str">
        <x:v>Missing email</x:v>
      </x:c>
    </x:row>
    <x:row r="43">
      <x:c r="A43" s="16" t="n">
        <x:v>40</x:v>
      </x:c>
      <x:c r="B43" s="16" t="str">
        <x:v>Aaryya Gurung</x:v>
      </x:c>
      <x:c r="C43" s="16" t="str"/>
      <x:c r="D43" s="16" t="str"/>
      <x:c r="E43" s="16" t="str">
        <x:v>* myContacts</x:v>
      </x:c>
      <x:c r="F43" s="16" t="str">
        <x:v>+919800365222</x:v>
      </x:c>
      <x:c r="G43" s="16" t="str">
        <x:v>+919800365222</x:v>
      </x:c>
      <x:c r="H43" s="16" t="str">
        <x:v>Excluded</x:v>
      </x:c>
      <x:c r="I43" s="16" t="str">
        <x:v>Missing email</x:v>
      </x:c>
    </x:row>
    <x:row r="44">
      <x:c r="A44" s="16" t="n">
        <x:v>41</x:v>
      </x:c>
      <x:c r="B44" s="16" t="str">
        <x:v>Ab Sepet</x:v>
      </x:c>
      <x:c r="C44" s="16" t="str"/>
      <x:c r="D44" s="16" t="str"/>
      <x:c r="E44" s="16" t="str">
        <x:v>* myContacts</x:v>
      </x:c>
      <x:c r="F44" s="16" t="str">
        <x:v>+601139140124</x:v>
      </x:c>
      <x:c r="G44" s="16" t="str">
        <x:v>+601139140124</x:v>
      </x:c>
      <x:c r="H44" s="16" t="str">
        <x:v>Excluded</x:v>
      </x:c>
      <x:c r="I44" s="16" t="str">
        <x:v>Missing email</x:v>
      </x:c>
    </x:row>
    <x:row r="45">
      <x:c r="A45" s="16" t="n">
        <x:v>42</x:v>
      </x:c>
      <x:c r="B45" s="16" t="str">
        <x:v>Abadi Tours Bukittinggi</x:v>
      </x:c>
      <x:c r="C45" s="16" t="str"/>
      <x:c r="D45" s="16" t="str"/>
      <x:c r="E45" s="16" t="str">
        <x:v>* myContacts</x:v>
      </x:c>
      <x:c r="F45" s="16" t="str">
        <x:v>+628126745797</x:v>
      </x:c>
      <x:c r="G45" s="16" t="str">
        <x:v>+628126745797</x:v>
      </x:c>
      <x:c r="H45" s="16" t="str">
        <x:v>Excluded</x:v>
      </x:c>
      <x:c r="I45" s="16" t="str">
        <x:v>Missing email</x:v>
      </x:c>
    </x:row>
    <x:row r="46">
      <x:c r="A46" s="16" t="n">
        <x:v>43</x:v>
      </x:c>
      <x:c r="B46" s="16" t="str">
        <x:v>Abah Angkat RB Ahmad</x:v>
      </x:c>
      <x:c r="C46" s="16" t="str"/>
      <x:c r="D46" s="16" t="str"/>
      <x:c r="E46" s="16" t="str">
        <x:v>* myContacts</x:v>
      </x:c>
      <x:c r="F46" s="16" t="str">
        <x:v>0138955311 | +60138955311</x:v>
      </x:c>
      <x:c r="G46" s="16" t="str">
        <x:v>+60138955311 | +60138955311</x:v>
      </x:c>
      <x:c r="H46" s="16" t="str">
        <x:v>Excluded</x:v>
      </x:c>
      <x:c r="I46" s="16" t="str">
        <x:v>Missing email</x:v>
      </x:c>
    </x:row>
    <x:row r="47">
      <x:c r="A47" s="16" t="n">
        <x:v>44</x:v>
      </x:c>
      <x:c r="B47" s="16" t="str">
        <x:v>Abamsir Encer</x:v>
      </x:c>
      <x:c r="C47" s="16" t="str"/>
      <x:c r="D47" s="16" t="str"/>
      <x:c r="E47" s="16" t="str">
        <x:v>* myContacts</x:v>
      </x:c>
      <x:c r="F47" s="16" t="str">
        <x:v>+60134138542</x:v>
      </x:c>
      <x:c r="G47" s="16" t="str">
        <x:v>+60134138542</x:v>
      </x:c>
      <x:c r="H47" s="16" t="str">
        <x:v>Excluded</x:v>
      </x:c>
      <x:c r="I47" s="16" t="str">
        <x:v>Missing email</x:v>
      </x:c>
    </x:row>
    <x:row r="48">
      <x:c r="A48" s="16" t="n">
        <x:v>45</x:v>
      </x:c>
      <x:c r="B48" s="16" t="str">
        <x:v>Abang Abu Tok Guru</x:v>
      </x:c>
      <x:c r="C48" s="16" t="str"/>
      <x:c r="D48" s="16" t="str"/>
      <x:c r="E48" s="16" t="str">
        <x:v>* myContacts</x:v>
      </x:c>
      <x:c r="F48" s="16" t="str">
        <x:v>+60197510509</x:v>
      </x:c>
      <x:c r="G48" s="16" t="str">
        <x:v>+60197510509</x:v>
      </x:c>
      <x:c r="H48" s="16" t="str">
        <x:v>Excluded</x:v>
      </x:c>
      <x:c r="I48" s="16" t="str">
        <x:v>Missing email</x:v>
      </x:c>
    </x:row>
    <x:row r="49">
      <x:c r="A49" s="16" t="n">
        <x:v>46</x:v>
      </x:c>
      <x:c r="B49" s="16" t="str">
        <x:v>Abang Hanafiah XOX</x:v>
      </x:c>
      <x:c r="C49" s="16" t="str"/>
      <x:c r="D49" s="16" t="str"/>
      <x:c r="E49" s="16" t="str">
        <x:v>* myContacts</x:v>
      </x:c>
      <x:c r="F49" s="16" t="str">
        <x:v>+60169410877</x:v>
      </x:c>
      <x:c r="G49" s="16" t="str">
        <x:v>+60169410877</x:v>
      </x:c>
      <x:c r="H49" s="16" t="str">
        <x:v>Excluded</x:v>
      </x:c>
      <x:c r="I49" s="16" t="str">
        <x:v>Missing email</x:v>
      </x:c>
    </x:row>
    <x:row r="50">
      <x:c r="A50" s="16" t="n">
        <x:v>47</x:v>
      </x:c>
      <x:c r="B50" s="16" t="str">
        <x:v>Abang Indra Tukang Rumah</x:v>
      </x:c>
      <x:c r="C50" s="16" t="str"/>
      <x:c r="D50" s="16" t="str"/>
      <x:c r="E50" s="16" t="str">
        <x:v>* myContacts</x:v>
      </x:c>
      <x:c r="F50" s="16" t="str">
        <x:v>01123603781</x:v>
      </x:c>
      <x:c r="G50" s="16" t="str">
        <x:v>+601123603781</x:v>
      </x:c>
      <x:c r="H50" s="16" t="str">
        <x:v>Excluded</x:v>
      </x:c>
      <x:c r="I50" s="16" t="str">
        <x:v>Missing email</x:v>
      </x:c>
    </x:row>
    <x:row r="51">
      <x:c r="A51" s="16" t="n">
        <x:v>48</x:v>
      </x:c>
      <x:c r="B51" s="16" t="str">
        <x:v>Abang Kamilidris AJK Masjid</x:v>
      </x:c>
      <x:c r="C51" s="16" t="str"/>
      <x:c r="D51" s="16" t="str"/>
      <x:c r="E51" s="16" t="str">
        <x:v>* myContacts</x:v>
      </x:c>
      <x:c r="F51" s="16" t="str">
        <x:v>+60 12-998 5451 | +60129985451</x:v>
      </x:c>
      <x:c r="G51" s="16" t="str">
        <x:v>+60129985451 | +60129985451</x:v>
      </x:c>
      <x:c r="H51" s="16" t="str">
        <x:v>Excluded</x:v>
      </x:c>
      <x:c r="I51" s="16" t="str">
        <x:v>Missing email</x:v>
      </x:c>
    </x:row>
    <x:row r="52">
      <x:c r="A52" s="16" t="n">
        <x:v>49</x:v>
      </x:c>
      <x:c r="B52" s="16" t="str">
        <x:v>Abang Khairul Stavic</x:v>
      </x:c>
      <x:c r="C52" s="16" t="str">
        <x:v>cilidonut@gmail.com</x:v>
      </x:c>
      <x:c r="D52" s="16" t="str">
        <x:v>cilidonut@gmail.com</x:v>
      </x:c>
      <x:c r="E52" s="16" t="str">
        <x:v>* myContacts</x:v>
      </x:c>
      <x:c r="F52" s="16" t="str">
        <x:v>+60122205225</x:v>
      </x:c>
      <x:c r="G52" s="16" t="str">
        <x:v>+60122205225</x:v>
      </x:c>
      <x:c r="H52" s="16" t="str">
        <x:v>Eligible</x:v>
      </x:c>
      <x:c r="I52" s="16" t="str"/>
    </x:row>
    <x:row r="53">
      <x:c r="A53" s="16" t="n">
        <x:v>50</x:v>
      </x:c>
      <x:c r="B53" s="16" t="str">
        <x:v>Abang Mie</x:v>
      </x:c>
      <x:c r="C53" s="16" t="str"/>
      <x:c r="D53" s="16" t="str"/>
      <x:c r="E53" s="16" t="str">
        <x:v>* myContacts</x:v>
      </x:c>
      <x:c r="F53" s="16" t="str">
        <x:v>+60126382858</x:v>
      </x:c>
      <x:c r="G53" s="16" t="str">
        <x:v>+60126382858</x:v>
      </x:c>
      <x:c r="H53" s="16" t="str">
        <x:v>Excluded</x:v>
      </x:c>
      <x:c r="I53" s="16" t="str">
        <x:v>Missing email</x:v>
      </x:c>
    </x:row>
    <x:row r="54">
      <x:c r="A54" s="16" t="n">
        <x:v>51</x:v>
      </x:c>
      <x:c r="B54" s="16" t="str">
        <x:v>Abang Saat</x:v>
      </x:c>
      <x:c r="C54" s="16" t="str"/>
      <x:c r="D54" s="16" t="str"/>
      <x:c r="E54" s="16" t="str">
        <x:v>* myContacts</x:v>
      </x:c>
      <x:c r="F54" s="16" t="str">
        <x:v>+6584448999</x:v>
      </x:c>
      <x:c r="G54" s="16" t="str">
        <x:v>+6584448999</x:v>
      </x:c>
      <x:c r="H54" s="16" t="str">
        <x:v>Excluded</x:v>
      </x:c>
      <x:c r="I54" s="16" t="str">
        <x:v>Missing email</x:v>
      </x:c>
    </x:row>
    <x:row r="55">
      <x:c r="A55" s="16" t="n">
        <x:v>52</x:v>
      </x:c>
      <x:c r="B55" s="16" t="str">
        <x:v>Abang Ujang Kedai Halfcut</x:v>
      </x:c>
      <x:c r="C55" s="16" t="str"/>
      <x:c r="D55" s="16" t="str"/>
      <x:c r="E55" s="16" t="str">
        <x:v>* myContacts</x:v>
      </x:c>
      <x:c r="F55" s="16" t="str">
        <x:v>+60 19-330 5457 | +60193305457</x:v>
      </x:c>
      <x:c r="G55" s="16" t="str">
        <x:v>+60193305457 | +60193305457</x:v>
      </x:c>
      <x:c r="H55" s="16" t="str">
        <x:v>Excluded</x:v>
      </x:c>
      <x:c r="I55" s="16" t="str">
        <x:v>Missing email</x:v>
      </x:c>
    </x:row>
    <x:row r="56">
      <x:c r="A56" s="16" t="n">
        <x:v>53</x:v>
      </x:c>
      <x:c r="B56" s="16" t="str">
        <x:v>Abang Wan</x:v>
      </x:c>
      <x:c r="C56" s="16" t="str"/>
      <x:c r="D56" s="16" t="str"/>
      <x:c r="E56" s="16" t="str">
        <x:v>* myContacts</x:v>
      </x:c>
      <x:c r="F56" s="16" t="str">
        <x:v>+60 13-385 9766</x:v>
      </x:c>
      <x:c r="G56" s="16" t="str">
        <x:v>+60133859766</x:v>
      </x:c>
      <x:c r="H56" s="16" t="str">
        <x:v>Excluded</x:v>
      </x:c>
      <x:c r="I56" s="16" t="str">
        <x:v>Missing email</x:v>
      </x:c>
    </x:row>
    <x:row r="57">
      <x:c r="A57" s="16" t="n">
        <x:v>54</x:v>
      </x:c>
      <x:c r="B57" s="16" t="str">
        <x:v>AbAs Acuw</x:v>
      </x:c>
      <x:c r="C57" s="16" t="str"/>
      <x:c r="D57" s="16" t="str"/>
      <x:c r="E57" s="16" t="str">
        <x:v>* myContacts</x:v>
      </x:c>
      <x:c r="F57" s="16" t="str">
        <x:v>+60104204941</x:v>
      </x:c>
      <x:c r="G57" s="16" t="str">
        <x:v>+60104204941</x:v>
      </x:c>
      <x:c r="H57" s="16" t="str">
        <x:v>Excluded</x:v>
      </x:c>
      <x:c r="I57" s="16" t="str">
        <x:v>Missing email</x:v>
      </x:c>
    </x:row>
    <x:row r="58">
      <x:c r="A58" s="16" t="n">
        <x:v>55</x:v>
      </x:c>
      <x:c r="B58" s="16" t="str">
        <x:v>Abban Ummih Ummih Ishaq</x:v>
      </x:c>
      <x:c r="C58" s="16" t="str"/>
      <x:c r="D58" s="16" t="str"/>
      <x:c r="E58" s="16" t="str">
        <x:v>* myContacts</x:v>
      </x:c>
      <x:c r="F58" s="16" t="str">
        <x:v>+2348063634109</x:v>
      </x:c>
      <x:c r="G58" s="16" t="str">
        <x:v>+2348063634109</x:v>
      </x:c>
      <x:c r="H58" s="16" t="str">
        <x:v>Excluded</x:v>
      </x:c>
      <x:c r="I58" s="16" t="str">
        <x:v>Missing email</x:v>
      </x:c>
    </x:row>
    <x:row r="59">
      <x:c r="A59" s="16" t="n">
        <x:v>56</x:v>
      </x:c>
      <x:c r="B59" s="16" t="str">
        <x:v>Abby SUK Puteri Umno</x:v>
      </x:c>
      <x:c r="C59" s="16" t="str"/>
      <x:c r="D59" s="16" t="str"/>
      <x:c r="E59" s="16" t="str">
        <x:v>* myContacts</x:v>
      </x:c>
      <x:c r="F59" s="16" t="str">
        <x:v>+60162120805</x:v>
      </x:c>
      <x:c r="G59" s="16" t="str">
        <x:v>+60162120805</x:v>
      </x:c>
      <x:c r="H59" s="16" t="str">
        <x:v>Excluded</x:v>
      </x:c>
      <x:c r="I59" s="16" t="str">
        <x:v>Missing email</x:v>
      </x:c>
    </x:row>
    <x:row r="60">
      <x:c r="A60" s="16" t="n">
        <x:v>57</x:v>
      </x:c>
      <x:c r="B60" s="16" t="str">
        <x:v>Abd Aamir</x:v>
      </x:c>
      <x:c r="C60" s="16" t="str"/>
      <x:c r="D60" s="16" t="str"/>
      <x:c r="E60" s="16" t="str">
        <x:v>* myContacts</x:v>
      </x:c>
      <x:c r="F60" s="16" t="str">
        <x:v>+60138781535</x:v>
      </x:c>
      <x:c r="G60" s="16" t="str">
        <x:v>+60138781535</x:v>
      </x:c>
      <x:c r="H60" s="16" t="str">
        <x:v>Excluded</x:v>
      </x:c>
      <x:c r="I60" s="16" t="str">
        <x:v>Missing email</x:v>
      </x:c>
    </x:row>
    <x:row r="61">
      <x:c r="A61" s="16" t="n">
        <x:v>58</x:v>
      </x:c>
      <x:c r="B61" s="16" t="str">
        <x:v>Abd Bashir Abd Rashid</x:v>
      </x:c>
      <x:c r="C61" s="16" t="str"/>
      <x:c r="D61" s="16" t="str"/>
      <x:c r="E61" s="16" t="str">
        <x:v>* myContacts</x:v>
      </x:c>
      <x:c r="F61" s="16" t="str">
        <x:v>+60163537456</x:v>
      </x:c>
      <x:c r="G61" s="16" t="str">
        <x:v>+60163537456</x:v>
      </x:c>
      <x:c r="H61" s="16" t="str">
        <x:v>Excluded</x:v>
      </x:c>
      <x:c r="I61" s="16" t="str">
        <x:v>Missing email</x:v>
      </x:c>
    </x:row>
    <x:row r="62">
      <x:c r="A62" s="16" t="n">
        <x:v>59</x:v>
      </x:c>
      <x:c r="B62" s="16" t="str">
        <x:v>Abd Ghani Yunus AGP</x:v>
      </x:c>
      <x:c r="C62" s="16" t="str"/>
      <x:c r="D62" s="16" t="str"/>
      <x:c r="E62" s="16" t="str">
        <x:v>* myContacts</x:v>
      </x:c>
      <x:c r="F62" s="16" t="str">
        <x:v>+60 13-901 2941 | +60139012941</x:v>
      </x:c>
      <x:c r="G62" s="16" t="str">
        <x:v>+60139012941 | +60139012941</x:v>
      </x:c>
      <x:c r="H62" s="16" t="str">
        <x:v>Excluded</x:v>
      </x:c>
      <x:c r="I62" s="16" t="str">
        <x:v>Missing email</x:v>
      </x:c>
    </x:row>
    <x:row r="63">
      <x:c r="A63" s="16" t="n">
        <x:v>60</x:v>
      </x:c>
      <x:c r="B63" s="16" t="str">
        <x:v>Abd Halim</x:v>
      </x:c>
      <x:c r="C63" s="16" t="str"/>
      <x:c r="D63" s="16" t="str"/>
      <x:c r="E63" s="16" t="str">
        <x:v>* myContacts</x:v>
      </x:c>
      <x:c r="F63" s="16" t="str">
        <x:v>+601127185953</x:v>
      </x:c>
      <x:c r="G63" s="16" t="str">
        <x:v>+601127185953</x:v>
      </x:c>
      <x:c r="H63" s="16" t="str">
        <x:v>Excluded</x:v>
      </x:c>
      <x:c r="I63" s="16" t="str">
        <x:v>Missing email</x:v>
      </x:c>
    </x:row>
    <x:row r="64">
      <x:c r="A64" s="16" t="n">
        <x:v>61</x:v>
      </x:c>
      <x:c r="B64" s="16" t="str">
        <x:v>Abd Halim AGP</x:v>
      </x:c>
      <x:c r="C64" s="16" t="str"/>
      <x:c r="D64" s="16" t="str"/>
      <x:c r="E64" s="16" t="str">
        <x:v>* myContacts</x:v>
      </x:c>
      <x:c r="F64" s="16" t="str">
        <x:v>+60 12-690 5290 | +60126905290</x:v>
      </x:c>
      <x:c r="G64" s="16" t="str">
        <x:v>+60126905290 | +60126905290</x:v>
      </x:c>
      <x:c r="H64" s="16" t="str">
        <x:v>Excluded</x:v>
      </x:c>
      <x:c r="I64" s="16" t="str">
        <x:v>Missing email</x:v>
      </x:c>
    </x:row>
    <x:row r="65">
      <x:c r="A65" s="16" t="n">
        <x:v>62</x:v>
      </x:c>
      <x:c r="B65" s="16" t="str">
        <x:v>Abd Kadir AGP</x:v>
      </x:c>
      <x:c r="C65" s="16" t="str"/>
      <x:c r="D65" s="16" t="str"/>
      <x:c r="E65" s="16" t="str">
        <x:v>* myContacts</x:v>
      </x:c>
      <x:c r="F65" s="16" t="str">
        <x:v>012-986 2386 | +60129862386</x:v>
      </x:c>
      <x:c r="G65" s="16" t="str">
        <x:v>+60129862386 | +60129862386</x:v>
      </x:c>
      <x:c r="H65" s="16" t="str">
        <x:v>Excluded</x:v>
      </x:c>
      <x:c r="I65" s="16" t="str">
        <x:v>Missing email</x:v>
      </x:c>
    </x:row>
    <x:row r="66">
      <x:c r="A66" s="16" t="n">
        <x:v>63</x:v>
      </x:c>
      <x:c r="B66" s="16" t="str">
        <x:v>Abd Latif Plumbing</x:v>
      </x:c>
      <x:c r="C66" s="16" t="str"/>
      <x:c r="D66" s="16" t="str"/>
      <x:c r="E66" s="16" t="str">
        <x:v>* myContacts</x:v>
      </x:c>
      <x:c r="F66" s="16" t="str">
        <x:v>+60105710334</x:v>
      </x:c>
      <x:c r="G66" s="16" t="str">
        <x:v>+60105710334</x:v>
      </x:c>
      <x:c r="H66" s="16" t="str">
        <x:v>Excluded</x:v>
      </x:c>
      <x:c r="I66" s="16" t="str">
        <x:v>Missing email</x:v>
      </x:c>
    </x:row>
    <x:row r="67">
      <x:c r="A67" s="16" t="n">
        <x:v>64</x:v>
      </x:c>
      <x:c r="B67" s="16" t="str">
        <x:v>ABD MALEK SAYUTI</x:v>
      </x:c>
      <x:c r="C67" s="16" t="str">
        <x:v>ibnsoyutl@gmail.com</x:v>
      </x:c>
      <x:c r="D67" s="16" t="str">
        <x:v>ibnsoyutl@gmail.com</x:v>
      </x:c>
      <x:c r="E67" s="16" t="str">
        <x:v>* myContacts</x:v>
      </x:c>
      <x:c r="F67" s="16" t="str">
        <x:v>+60360112033</x:v>
      </x:c>
      <x:c r="G67" s="16" t="str">
        <x:v>+60360112033</x:v>
      </x:c>
      <x:c r="H67" s="16" t="str">
        <x:v>Eligible</x:v>
      </x:c>
      <x:c r="I67" s="16" t="str"/>
    </x:row>
    <x:row r="68">
      <x:c r="A68" s="16" t="n">
        <x:v>65</x:v>
      </x:c>
      <x:c r="B68" s="16" t="str">
        <x:v>Abd Rahman Seman</x:v>
      </x:c>
      <x:c r="C68" s="16" t="str"/>
      <x:c r="D68" s="16" t="str"/>
      <x:c r="E68" s="16" t="str">
        <x:v>* myContacts</x:v>
      </x:c>
      <x:c r="F68" s="16" t="str">
        <x:v>+60145194748</x:v>
      </x:c>
      <x:c r="G68" s="16" t="str">
        <x:v>+60145194748</x:v>
      </x:c>
      <x:c r="H68" s="16" t="str">
        <x:v>Excluded</x:v>
      </x:c>
      <x:c r="I68" s="16" t="str">
        <x:v>Missing email</x:v>
      </x:c>
    </x:row>
    <x:row r="69">
      <x:c r="A69" s="16" t="n">
        <x:v>66</x:v>
      </x:c>
      <x:c r="B69" s="16" t="str">
        <x:v>Abd Rasid Mohd Sawai</x:v>
      </x:c>
      <x:c r="C69" s="16" t="str"/>
      <x:c r="D69" s="16" t="str"/>
      <x:c r="E69" s="16" t="str">
        <x:v>* myContacts</x:v>
      </x:c>
      <x:c r="F69" s="16" t="str">
        <x:v>+60122261843</x:v>
      </x:c>
      <x:c r="G69" s="16" t="str">
        <x:v>+60122261843</x:v>
      </x:c>
      <x:c r="H69" s="16" t="str">
        <x:v>Excluded</x:v>
      </x:c>
      <x:c r="I69" s="16" t="str">
        <x:v>Missing email</x:v>
      </x:c>
    </x:row>
    <x:row r="70">
      <x:c r="A70" s="16" t="n">
        <x:v>67</x:v>
      </x:c>
      <x:c r="B70" s="16" t="str">
        <x:v>Abd Salam</x:v>
      </x:c>
      <x:c r="C70" s="16" t="str"/>
      <x:c r="D70" s="16" t="str"/>
      <x:c r="E70" s="16" t="str">
        <x:v>* myContacts</x:v>
      </x:c>
      <x:c r="F70" s="16" t="str">
        <x:v>+60179391312</x:v>
      </x:c>
      <x:c r="G70" s="16" t="str">
        <x:v>+60179391312</x:v>
      </x:c>
      <x:c r="H70" s="16" t="str">
        <x:v>Excluded</x:v>
      </x:c>
      <x:c r="I70" s="16" t="str">
        <x:v>Missing email</x:v>
      </x:c>
    </x:row>
    <x:row r="71">
      <x:c r="A71" s="16" t="n">
        <x:v>68</x:v>
      </x:c>
      <x:c r="B71" s="16" t="str">
        <x:v>Abd Samad Bin Abd Rashid Khairi Agent AGP</x:v>
      </x:c>
      <x:c r="C71" s="16" t="str"/>
      <x:c r="D71" s="16" t="str"/>
      <x:c r="E71" s="16" t="str">
        <x:v>* myContacts</x:v>
      </x:c>
      <x:c r="F71" s="16" t="str">
        <x:v>+60 10-529 0669 | +60105290669</x:v>
      </x:c>
      <x:c r="G71" s="16" t="str">
        <x:v>+60105290669 | +60105290669</x:v>
      </x:c>
      <x:c r="H71" s="16" t="str">
        <x:v>Excluded</x:v>
      </x:c>
      <x:c r="I71" s="16" t="str">
        <x:v>Missing email</x:v>
      </x:c>
    </x:row>
    <x:row r="72">
      <x:c r="A72" s="16" t="n">
        <x:v>69</x:v>
      </x:c>
      <x:c r="B72" s="16" t="str">
        <x:v>Abd Shukor</x:v>
      </x:c>
      <x:c r="C72" s="16" t="str"/>
      <x:c r="D72" s="16" t="str"/>
      <x:c r="E72" s="16" t="str">
        <x:v>* myContacts</x:v>
      </x:c>
      <x:c r="F72" s="16" t="str">
        <x:v>+60174157104</x:v>
      </x:c>
      <x:c r="G72" s="16" t="str">
        <x:v>+60174157104</x:v>
      </x:c>
      <x:c r="H72" s="16" t="str">
        <x:v>Excluded</x:v>
      </x:c>
      <x:c r="I72" s="16" t="str">
        <x:v>Missing email</x:v>
      </x:c>
    </x:row>
    <x:row r="73">
      <x:c r="A73" s="16" t="n">
        <x:v>70</x:v>
      </x:c>
      <x:c r="B73" s="16" t="str">
        <x:v>Abd's Syackur CowBoy'n</x:v>
      </x:c>
      <x:c r="C73" s="16" t="str"/>
      <x:c r="D73" s="16" t="str"/>
      <x:c r="E73" s="16" t="str">
        <x:v>* myContacts</x:v>
      </x:c>
      <x:c r="F73" s="16" t="str">
        <x:v>+6281266853289</x:v>
      </x:c>
      <x:c r="G73" s="16" t="str">
        <x:v>+6281266853289</x:v>
      </x:c>
      <x:c r="H73" s="16" t="str">
        <x:v>Excluded</x:v>
      </x:c>
      <x:c r="I73" s="16" t="str">
        <x:v>Missing email</x:v>
      </x:c>
    </x:row>
    <x:row r="74">
      <x:c r="A74" s="16" t="n">
        <x:v>71</x:v>
      </x:c>
      <x:c r="B74" s="16" t="str">
        <x:v>Abdel Jabbar</x:v>
      </x:c>
      <x:c r="C74" s="16" t="str"/>
      <x:c r="D74" s="16" t="str"/>
      <x:c r="E74" s="16" t="str">
        <x:v>* myContacts</x:v>
      </x:c>
      <x:c r="F74" s="16" t="str">
        <x:v>+60183695576</x:v>
      </x:c>
      <x:c r="G74" s="16" t="str">
        <x:v>+60183695576</x:v>
      </x:c>
      <x:c r="H74" s="16" t="str">
        <x:v>Excluded</x:v>
      </x:c>
      <x:c r="I74" s="16" t="str">
        <x:v>Missing email</x:v>
      </x:c>
    </x:row>
    <x:row r="75">
      <x:c r="A75" s="16" t="n">
        <x:v>72</x:v>
      </x:c>
      <x:c r="B75" s="16" t="str">
        <x:v>Abdl-khadir Abdl-aziz Abu-sa'id Abdl-aziz Abu-sa'id Al-khudri</x:v>
      </x:c>
      <x:c r="C75" s="16" t="str"/>
      <x:c r="D75" s="16" t="str"/>
      <x:c r="E75" s="16" t="str">
        <x:v>* myContacts</x:v>
      </x:c>
      <x:c r="F75" s="16" t="str">
        <x:v>+256758349348</x:v>
      </x:c>
      <x:c r="G75" s="16" t="str">
        <x:v>+256758349348</x:v>
      </x:c>
      <x:c r="H75" s="16" t="str">
        <x:v>Excluded</x:v>
      </x:c>
      <x:c r="I75" s="16" t="str">
        <x:v>Missing email</x:v>
      </x:c>
    </x:row>
    <x:row r="76">
      <x:c r="A76" s="16" t="n">
        <x:v>73</x:v>
      </x:c>
      <x:c r="B76" s="16" t="str">
        <x:v>Abdo El Hachimi</x:v>
      </x:c>
      <x:c r="C76" s="16" t="str"/>
      <x:c r="D76" s="16" t="str"/>
      <x:c r="E76" s="16" t="str">
        <x:v>* myContacts</x:v>
      </x:c>
      <x:c r="F76" s="16" t="str">
        <x:v>+212633715487</x:v>
      </x:c>
      <x:c r="G76" s="16" t="str">
        <x:v>+212633715487</x:v>
      </x:c>
      <x:c r="H76" s="16" t="str">
        <x:v>Excluded</x:v>
      </x:c>
      <x:c r="I76" s="16" t="str">
        <x:v>Missing email</x:v>
      </x:c>
    </x:row>
    <x:row r="77">
      <x:c r="A77" s="16" t="n">
        <x:v>74</x:v>
      </x:c>
      <x:c r="B77" s="16" t="str">
        <x:v>Abdrahimani Takaful</x:v>
      </x:c>
      <x:c r="C77" s="16" t="str"/>
      <x:c r="D77" s="16" t="str"/>
      <x:c r="E77" s="16" t="str">
        <x:v>* myContacts</x:v>
      </x:c>
      <x:c r="F77" s="16" t="str">
        <x:v>+60199399977</x:v>
      </x:c>
      <x:c r="G77" s="16" t="str">
        <x:v>+60199399977</x:v>
      </x:c>
      <x:c r="H77" s="16" t="str">
        <x:v>Excluded</x:v>
      </x:c>
      <x:c r="I77" s="16" t="str">
        <x:v>Missing email</x:v>
      </x:c>
    </x:row>
    <x:row r="78">
      <x:c r="A78" s="16" t="n">
        <x:v>75</x:v>
      </x:c>
      <x:c r="B78" s="16" t="str">
        <x:v>Abdul Azim</x:v>
      </x:c>
      <x:c r="C78" s="16" t="str"/>
      <x:c r="D78" s="16" t="str"/>
      <x:c r="E78" s="16" t="str">
        <x:v>* myContacts</x:v>
      </x:c>
      <x:c r="F78" s="16" t="str">
        <x:v>+601123373517</x:v>
      </x:c>
      <x:c r="G78" s="16" t="str">
        <x:v>+601123373517</x:v>
      </x:c>
      <x:c r="H78" s="16" t="str">
        <x:v>Excluded</x:v>
      </x:c>
      <x:c r="I78" s="16" t="str">
        <x:v>Missing email</x:v>
      </x:c>
    </x:row>
    <x:row r="79">
      <x:c r="A79" s="16" t="n">
        <x:v>76</x:v>
      </x:c>
      <x:c r="B79" s="16" t="str">
        <x:v>Abdul Aziz</x:v>
      </x:c>
      <x:c r="C79" s="16" t="str"/>
      <x:c r="D79" s="16" t="str"/>
      <x:c r="E79" s="16" t="str">
        <x:v>* myContacts</x:v>
      </x:c>
      <x:c r="F79" s="16" t="str">
        <x:v>+60 16-916 5886 | +60169165886</x:v>
      </x:c>
      <x:c r="G79" s="16" t="str">
        <x:v>+60169165886 | +60169165886</x:v>
      </x:c>
      <x:c r="H79" s="16" t="str">
        <x:v>Excluded</x:v>
      </x:c>
      <x:c r="I79" s="16" t="str">
        <x:v>Missing email</x:v>
      </x:c>
    </x:row>
    <x:row r="80">
      <x:c r="A80" s="16" t="n">
        <x:v>77</x:v>
      </x:c>
      <x:c r="B80" s="16" t="str">
        <x:v>Abdul Aziz Ahmad</x:v>
      </x:c>
      <x:c r="C80" s="16" t="str"/>
      <x:c r="D80" s="16" t="str"/>
      <x:c r="E80" s="16" t="str">
        <x:v>* myContacts</x:v>
      </x:c>
      <x:c r="F80" s="16" t="str">
        <x:v>+601112587648</x:v>
      </x:c>
      <x:c r="G80" s="16" t="str">
        <x:v>+601112587648</x:v>
      </x:c>
      <x:c r="H80" s="16" t="str">
        <x:v>Excluded</x:v>
      </x:c>
      <x:c r="I80" s="16" t="str">
        <x:v>Missing email</x:v>
      </x:c>
    </x:row>
    <x:row r="81">
      <x:c r="A81" s="16" t="n">
        <x:v>78</x:v>
      </x:c>
      <x:c r="B81" s="16" t="str">
        <x:v>Abdul Basiq</x:v>
      </x:c>
      <x:c r="C81" s="16" t="str"/>
      <x:c r="D81" s="16" t="str"/>
      <x:c r="E81" s="16" t="str">
        <x:v>* myContacts</x:v>
      </x:c>
      <x:c r="F81" s="16" t="str">
        <x:v>+60146810720</x:v>
      </x:c>
      <x:c r="G81" s="16" t="str">
        <x:v>+60146810720</x:v>
      </x:c>
      <x:c r="H81" s="16" t="str">
        <x:v>Excluded</x:v>
      </x:c>
      <x:c r="I81" s="16" t="str">
        <x:v>Missing email</x:v>
      </x:c>
    </x:row>
    <x:row r="82">
      <x:c r="A82" s="16" t="n">
        <x:v>79</x:v>
      </x:c>
      <x:c r="B82" s="16" t="str">
        <x:v>Abdul Basit Just Sengat</x:v>
      </x:c>
      <x:c r="C82" s="16" t="str"/>
      <x:c r="D82" s="16" t="str"/>
      <x:c r="E82" s="16" t="str">
        <x:v>* myContacts</x:v>
      </x:c>
      <x:c r="F82" s="16" t="str">
        <x:v>013-272 7290 | +60132727290</x:v>
      </x:c>
      <x:c r="G82" s="16" t="str">
        <x:v>+60132727290 | +60132727290</x:v>
      </x:c>
      <x:c r="H82" s="16" t="str">
        <x:v>Excluded</x:v>
      </x:c>
      <x:c r="I82" s="16" t="str">
        <x:v>Missing email</x:v>
      </x:c>
    </x:row>
    <x:row r="83">
      <x:c r="A83" s="16" t="n">
        <x:v>80</x:v>
      </x:c>
      <x:c r="B83" s="16" t="str">
        <x:v>Abdul Fatah Abdul Halim</x:v>
      </x:c>
      <x:c r="C83" s="16" t="str"/>
      <x:c r="D83" s="16" t="str"/>
      <x:c r="E83" s="16" t="str">
        <x:v>* myContacts</x:v>
      </x:c>
      <x:c r="F83" s="16" t="str">
        <x:v>+60122160547</x:v>
      </x:c>
      <x:c r="G83" s="16" t="str">
        <x:v>+60122160547</x:v>
      </x:c>
      <x:c r="H83" s="16" t="str">
        <x:v>Excluded</x:v>
      </x:c>
      <x:c r="I83" s="16" t="str">
        <x:v>Missing email</x:v>
      </x:c>
    </x:row>
    <x:row r="84">
      <x:c r="A84" s="16" t="n">
        <x:v>81</x:v>
      </x:c>
      <x:c r="B84" s="16" t="str">
        <x:v>Abdul Fuad</x:v>
      </x:c>
      <x:c r="C84" s="16" t="str"/>
      <x:c r="D84" s="16" t="str"/>
      <x:c r="E84" s="16" t="str">
        <x:v>* myContacts</x:v>
      </x:c>
      <x:c r="F84" s="16" t="str">
        <x:v>+201012231940</x:v>
      </x:c>
      <x:c r="G84" s="16" t="str">
        <x:v>+201012231940</x:v>
      </x:c>
      <x:c r="H84" s="16" t="str">
        <x:v>Excluded</x:v>
      </x:c>
      <x:c r="I84" s="16" t="str">
        <x:v>Missing email</x:v>
      </x:c>
    </x:row>
    <x:row r="85">
      <x:c r="A85" s="16" t="n">
        <x:v>82</x:v>
      </x:c>
      <x:c r="B85" s="16" t="str">
        <x:v>Abdul Hakim</x:v>
      </x:c>
      <x:c r="C85" s="16" t="str"/>
      <x:c r="D85" s="16" t="str"/>
      <x:c r="E85" s="16" t="str">
        <x:v>* myContacts</x:v>
      </x:c>
      <x:c r="F85" s="16" t="str">
        <x:v>+60135296462</x:v>
      </x:c>
      <x:c r="G85" s="16" t="str">
        <x:v>+60135296462</x:v>
      </x:c>
      <x:c r="H85" s="16" t="str">
        <x:v>Excluded</x:v>
      </x:c>
      <x:c r="I85" s="16" t="str">
        <x:v>Missing email</x:v>
      </x:c>
    </x:row>
    <x:row r="86">
      <x:c r="A86" s="16" t="n">
        <x:v>83</x:v>
      </x:c>
      <x:c r="B86" s="16" t="str">
        <x:v>Abdul Halim AirCond</x:v>
      </x:c>
      <x:c r="C86" s="16" t="str"/>
      <x:c r="D86" s="16" t="str"/>
      <x:c r="E86" s="16" t="str">
        <x:v>* myContacts</x:v>
      </x:c>
      <x:c r="F86" s="16" t="str">
        <x:v>+60 12-363 0570 | +60123630570</x:v>
      </x:c>
      <x:c r="G86" s="16" t="str">
        <x:v>+60123630570 | +60123630570</x:v>
      </x:c>
      <x:c r="H86" s="16" t="str">
        <x:v>Excluded</x:v>
      </x:c>
      <x:c r="I86" s="16" t="str">
        <x:v>Missing email</x:v>
      </x:c>
    </x:row>
    <x:row r="87">
      <x:c r="A87" s="16" t="n">
        <x:v>84</x:v>
      </x:c>
      <x:c r="B87" s="16" t="str">
        <x:v>Abdul Halim Yayasan Wakaf</x:v>
      </x:c>
      <x:c r="C87" s="16" t="str"/>
      <x:c r="D87" s="16" t="str"/>
      <x:c r="E87" s="16" t="str">
        <x:v>* myContacts</x:v>
      </x:c>
      <x:c r="F87" s="16" t="str">
        <x:v>+60193888926</x:v>
      </x:c>
      <x:c r="G87" s="16" t="str">
        <x:v>+60193888926</x:v>
      </x:c>
      <x:c r="H87" s="16" t="str">
        <x:v>Excluded</x:v>
      </x:c>
      <x:c r="I87" s="16" t="str">
        <x:v>Missing email</x:v>
      </x:c>
    </x:row>
    <x:row r="88">
      <x:c r="A88" s="16" t="n">
        <x:v>85</x:v>
      </x:c>
      <x:c r="B88" s="16" t="str">
        <x:v>Abdul Jabar Awang</x:v>
      </x:c>
      <x:c r="C88" s="16" t="str"/>
      <x:c r="D88" s="16" t="str"/>
      <x:c r="E88" s="16" t="str">
        <x:v>* myContacts</x:v>
      </x:c>
      <x:c r="F88" s="16" t="str">
        <x:v>+60169970576</x:v>
      </x:c>
      <x:c r="G88" s="16" t="str">
        <x:v>+60169970576</x:v>
      </x:c>
      <x:c r="H88" s="16" t="str">
        <x:v>Excluded</x:v>
      </x:c>
      <x:c r="I88" s="16" t="str">
        <x:v>Missing email</x:v>
      </x:c>
    </x:row>
    <x:row r="89">
      <x:c r="A89" s="16" t="n">
        <x:v>86</x:v>
      </x:c>
      <x:c r="B89" s="16" t="str">
        <x:v>Abdul Jabbar Abd Aziz</x:v>
      </x:c>
      <x:c r="C89" s="16" t="str"/>
      <x:c r="D89" s="16" t="str"/>
      <x:c r="E89" s="16" t="str">
        <x:v>* myContacts</x:v>
      </x:c>
      <x:c r="F89" s="16" t="str">
        <x:v>+60183790870</x:v>
      </x:c>
      <x:c r="G89" s="16" t="str">
        <x:v>+60183790870</x:v>
      </x:c>
      <x:c r="H89" s="16" t="str">
        <x:v>Excluded</x:v>
      </x:c>
      <x:c r="I89" s="16" t="str">
        <x:v>Missing email</x:v>
      </x:c>
    </x:row>
    <x:row r="90">
      <x:c r="A90" s="16" t="n">
        <x:v>87</x:v>
      </x:c>
      <x:c r="B90" s="16" t="str">
        <x:v>Abdul Japar Judin</x:v>
      </x:c>
      <x:c r="C90" s="16" t="str"/>
      <x:c r="D90" s="16" t="str"/>
      <x:c r="E90" s="16" t="str">
        <x:v>* myContacts</x:v>
      </x:c>
      <x:c r="F90" s="16" t="str">
        <x:v>+60148682227</x:v>
      </x:c>
      <x:c r="G90" s="16" t="str">
        <x:v>+60148682227</x:v>
      </x:c>
      <x:c r="H90" s="16" t="str">
        <x:v>Excluded</x:v>
      </x:c>
      <x:c r="I90" s="16" t="str">
        <x:v>Missing email</x:v>
      </x:c>
    </x:row>
    <x:row r="91">
      <x:c r="A91" s="16" t="n">
        <x:v>88</x:v>
      </x:c>
      <x:c r="B91" s="16" t="str">
        <x:v>Abdul Kadir Abdul Kadir</x:v>
      </x:c>
      <x:c r="C91" s="16" t="str"/>
      <x:c r="D91" s="16" t="str"/>
      <x:c r="E91" s="16" t="str">
        <x:v>* myContacts</x:v>
      </x:c>
      <x:c r="F91" s="16" t="str">
        <x:v>+60168106413</x:v>
      </x:c>
      <x:c r="G91" s="16" t="str">
        <x:v>+60168106413</x:v>
      </x:c>
      <x:c r="H91" s="16" t="str">
        <x:v>Excluded</x:v>
      </x:c>
      <x:c r="I91" s="16" t="str">
        <x:v>Missing email</x:v>
      </x:c>
    </x:row>
    <x:row r="92">
      <x:c r="A92" s="16" t="n">
        <x:v>89</x:v>
      </x:c>
      <x:c r="B92" s="16" t="str">
        <x:v>Abdul Karim</x:v>
      </x:c>
      <x:c r="C92" s="16" t="str"/>
      <x:c r="D92" s="16" t="str"/>
      <x:c r="E92" s="16" t="str">
        <x:v>* myContacts</x:v>
      </x:c>
      <x:c r="F92" s="16" t="str">
        <x:v>+60198518528</x:v>
      </x:c>
      <x:c r="G92" s="16" t="str">
        <x:v>+60198518528</x:v>
      </x:c>
      <x:c r="H92" s="16" t="str">
        <x:v>Excluded</x:v>
      </x:c>
      <x:c r="I92" s="16" t="str">
        <x:v>Missing email</x:v>
      </x:c>
    </x:row>
    <x:row r="93">
      <x:c r="A93" s="16" t="n">
        <x:v>90</x:v>
      </x:c>
      <x:c r="B93" s="16" t="str">
        <x:v>Abdul Latip Bin Shamsuddin AGP</x:v>
      </x:c>
      <x:c r="C93" s="16" t="str"/>
      <x:c r="D93" s="16" t="str"/>
      <x:c r="E93" s="16" t="str">
        <x:v>* myContacts</x:v>
      </x:c>
      <x:c r="F93" s="16" t="str">
        <x:v>+60 13-802 0442 | +60138020442</x:v>
      </x:c>
      <x:c r="G93" s="16" t="str">
        <x:v>+60138020442 | +60138020442</x:v>
      </x:c>
      <x:c r="H93" s="16" t="str">
        <x:v>Excluded</x:v>
      </x:c>
      <x:c r="I93" s="16" t="str">
        <x:v>Missing email</x:v>
      </x:c>
    </x:row>
    <x:row r="94">
      <x:c r="A94" s="16" t="n">
        <x:v>91</x:v>
      </x:c>
      <x:c r="B94" s="16" t="str">
        <x:v>Abdul Malik Abdul Rahman</x:v>
      </x:c>
      <x:c r="C94" s="16" t="str"/>
      <x:c r="D94" s="16" t="str"/>
      <x:c r="E94" s="16" t="str">
        <x:v>* myContacts</x:v>
      </x:c>
      <x:c r="F94" s="16" t="str">
        <x:v>+60175355332</x:v>
      </x:c>
      <x:c r="G94" s="16" t="str">
        <x:v>+60175355332</x:v>
      </x:c>
      <x:c r="H94" s="16" t="str">
        <x:v>Excluded</x:v>
      </x:c>
      <x:c r="I94" s="16" t="str">
        <x:v>Missing email</x:v>
      </x:c>
    </x:row>
    <x:row r="95">
      <x:c r="A95" s="16" t="n">
        <x:v>92</x:v>
      </x:c>
      <x:c r="B95" s="16" t="str">
        <x:v>Abdul Mu'min Abdul Rahim</x:v>
      </x:c>
      <x:c r="C95" s="16" t="str"/>
      <x:c r="D95" s="16" t="str"/>
      <x:c r="E95" s="16" t="str">
        <x:v>* myContacts</x:v>
      </x:c>
      <x:c r="F95" s="16" t="str">
        <x:v>+601131535843</x:v>
      </x:c>
      <x:c r="G95" s="16" t="str">
        <x:v>+601131535843</x:v>
      </x:c>
      <x:c r="H95" s="16" t="str">
        <x:v>Excluded</x:v>
      </x:c>
      <x:c r="I95" s="16" t="str">
        <x:v>Missing email</x:v>
      </x:c>
    </x:row>
    <x:row r="96">
      <x:c r="A96" s="16" t="n">
        <x:v>93</x:v>
      </x:c>
      <x:c r="B96" s="16" t="str">
        <x:v>Abdul Mubarak</x:v>
      </x:c>
      <x:c r="C96" s="16" t="str"/>
      <x:c r="D96" s="16" t="str"/>
      <x:c r="E96" s="16" t="str">
        <x:v>* myContacts</x:v>
      </x:c>
      <x:c r="F96" s="16" t="str">
        <x:v>+60174499916</x:v>
      </x:c>
      <x:c r="G96" s="16" t="str">
        <x:v>+60174499916</x:v>
      </x:c>
      <x:c r="H96" s="16" t="str">
        <x:v>Excluded</x:v>
      </x:c>
      <x:c r="I96" s="16" t="str">
        <x:v>Missing email</x:v>
      </x:c>
    </x:row>
    <x:row r="97">
      <x:c r="A97" s="16" t="n">
        <x:v>94</x:v>
      </x:c>
      <x:c r="B97" s="16" t="str">
        <x:v>Abdul Muin Abdul Rahman</x:v>
      </x:c>
      <x:c r="C97" s="16" t="str">
        <x:v>muin@ilflac.com</x:v>
      </x:c>
      <x:c r="D97" s="16" t="str">
        <x:v>muin@ilflac.com</x:v>
      </x:c>
      <x:c r="E97" s="16" t="str">
        <x:v>* myContacts</x:v>
      </x:c>
      <x:c r="F97" s="16" t="str">
        <x:v>+601111117259</x:v>
      </x:c>
      <x:c r="G97" s="16" t="str">
        <x:v>+601111117259</x:v>
      </x:c>
      <x:c r="H97" s="16" t="str">
        <x:v>Eligible</x:v>
      </x:c>
      <x:c r="I97" s="16" t="str"/>
    </x:row>
    <x:row r="98">
      <x:c r="A98" s="16" t="n">
        <x:v>95</x:v>
      </x:c>
      <x:c r="B98" s="16" t="str">
        <x:v>Abdul Murhaizad</x:v>
      </x:c>
      <x:c r="C98" s="16" t="str"/>
      <x:c r="D98" s="16" t="str"/>
      <x:c r="E98" s="16" t="str">
        <x:v>* myContacts</x:v>
      </x:c>
      <x:c r="F98" s="16" t="str">
        <x:v>+60174531583</x:v>
      </x:c>
      <x:c r="G98" s="16" t="str">
        <x:v>+60174531583</x:v>
      </x:c>
      <x:c r="H98" s="16" t="str">
        <x:v>Excluded</x:v>
      </x:c>
      <x:c r="I98" s="16" t="str">
        <x:v>Missing email</x:v>
      </x:c>
    </x:row>
    <x:row r="99">
      <x:c r="A99" s="16" t="n">
        <x:v>96</x:v>
      </x:c>
      <x:c r="B99" s="16" t="str">
        <x:v>Abdul Rahim</x:v>
      </x:c>
      <x:c r="C99" s="16" t="str"/>
      <x:c r="D99" s="16" t="str"/>
      <x:c r="E99" s="16" t="str">
        <x:v>* myContacts</x:v>
      </x:c>
      <x:c r="F99" s="16" t="str">
        <x:v>+60186989627</x:v>
      </x:c>
      <x:c r="G99" s="16" t="str">
        <x:v>+60186989627</x:v>
      </x:c>
      <x:c r="H99" s="16" t="str">
        <x:v>Excluded</x:v>
      </x:c>
      <x:c r="I99" s="16" t="str">
        <x:v>Missing email</x:v>
      </x:c>
    </x:row>
    <x:row r="100">
      <x:c r="A100" s="16" t="n">
        <x:v>97</x:v>
      </x:c>
      <x:c r="B100" s="16" t="str">
        <x:v>Abdul Rahim Rahimbhai</x:v>
      </x:c>
      <x:c r="C100" s="16" t="str"/>
      <x:c r="D100" s="16" t="str"/>
      <x:c r="E100" s="16" t="str">
        <x:v>* myContacts</x:v>
      </x:c>
      <x:c r="F100" s="16" t="str">
        <x:v>+60169554721</x:v>
      </x:c>
      <x:c r="G100" s="16" t="str">
        <x:v>+60169554721</x:v>
      </x:c>
      <x:c r="H100" s="16" t="str">
        <x:v>Excluded</x:v>
      </x:c>
      <x:c r="I100" s="16" t="str">
        <x:v>Missing email</x:v>
      </x:c>
    </x:row>
    <x:row r="101">
      <x:c r="A101" s="16" t="n">
        <x:v>98</x:v>
      </x:c>
      <x:c r="B101" s="16" t="str">
        <x:v>Abdul Rahim Shamsudin Fx</x:v>
      </x:c>
      <x:c r="C101" s="16" t="str"/>
      <x:c r="D101" s="16" t="str"/>
      <x:c r="E101" s="16" t="str">
        <x:v>* myContacts</x:v>
      </x:c>
      <x:c r="F101" s="16" t="str">
        <x:v>+60124902263</x:v>
      </x:c>
      <x:c r="G101" s="16" t="str">
        <x:v>+60124902263</x:v>
      </x:c>
      <x:c r="H101" s="16" t="str">
        <x:v>Excluded</x:v>
      </x:c>
      <x:c r="I101" s="16" t="str">
        <x:v>Missing email</x:v>
      </x:c>
    </x:row>
    <x:row r="102">
      <x:c r="A102" s="16" t="n">
        <x:v>99</x:v>
      </x:c>
      <x:c r="B102" s="16" t="str">
        <x:v>Abdul Rahman</x:v>
      </x:c>
      <x:c r="C102" s="16" t="str"/>
      <x:c r="D102" s="16" t="str"/>
      <x:c r="E102" s="16" t="str">
        <x:v>* myContacts</x:v>
      </x:c>
      <x:c r="F102" s="16" t="str">
        <x:v>+60173115153</x:v>
      </x:c>
      <x:c r="G102" s="16" t="str">
        <x:v>+60173115153</x:v>
      </x:c>
      <x:c r="H102" s="16" t="str">
        <x:v>Excluded</x:v>
      </x:c>
      <x:c r="I102" s="16" t="str">
        <x:v>Missing email</x:v>
      </x:c>
    </x:row>
    <x:row r="103">
      <x:c r="A103" s="16" t="n">
        <x:v>100</x:v>
      </x:c>
      <x:c r="B103" s="16" t="str">
        <x:v>Abdul rahman IM</x:v>
      </x:c>
      <x:c r="C103" s="16" t="str"/>
      <x:c r="D103" s="16" t="str"/>
      <x:c r="E103" s="16" t="str">
        <x:v>* myContacts</x:v>
      </x:c>
      <x:c r="F103" s="16" t="str">
        <x:v>0123203445 | +60123203445</x:v>
      </x:c>
      <x:c r="G103" s="16" t="str">
        <x:v>+60123203445 | +60123203445</x:v>
      </x:c>
      <x:c r="H103" s="16" t="str">
        <x:v>Excluded</x:v>
      </x:c>
      <x:c r="I103" s="16" t="str">
        <x:v>Missing email</x:v>
      </x:c>
    </x:row>
    <x:row r="104">
      <x:c r="A104" s="16" t="n">
        <x:v>101</x:v>
      </x:c>
      <x:c r="B104" s="16" t="str">
        <x:v>Abdul Rahman Kamaruzaman</x:v>
      </x:c>
      <x:c r="C104" s="16" t="str"/>
      <x:c r="D104" s="16" t="str"/>
      <x:c r="E104" s="16" t="str">
        <x:v>* myContacts</x:v>
      </x:c>
      <x:c r="F104" s="16" t="str">
        <x:v>+60 19-983 6937 | +60199836937</x:v>
      </x:c>
      <x:c r="G104" s="16" t="str">
        <x:v>+60199836937 | +60199836937</x:v>
      </x:c>
      <x:c r="H104" s="16" t="str">
        <x:v>Excluded</x:v>
      </x:c>
      <x:c r="I104" s="16" t="str">
        <x:v>Missing email</x:v>
      </x:c>
    </x:row>
    <x:row r="105">
      <x:c r="A105" s="16" t="n">
        <x:v>102</x:v>
      </x:c>
      <x:c r="B105" s="16" t="str">
        <x:v>Abdul Rahman Rahman</x:v>
      </x:c>
      <x:c r="C105" s="16" t="str"/>
      <x:c r="D105" s="16" t="str"/>
      <x:c r="E105" s="16" t="str">
        <x:v>* myContacts</x:v>
      </x:c>
      <x:c r="F105" s="16" t="str">
        <x:v>+60196798602</x:v>
      </x:c>
      <x:c r="G105" s="16" t="str">
        <x:v>+60196798602</x:v>
      </x:c>
      <x:c r="H105" s="16" t="str">
        <x:v>Excluded</x:v>
      </x:c>
      <x:c r="I105" s="16" t="str">
        <x:v>Missing email</x:v>
      </x:c>
    </x:row>
    <x:row r="106">
      <x:c r="A106" s="16" t="n">
        <x:v>103</x:v>
      </x:c>
      <x:c r="B106" s="16" t="str">
        <x:v>Abdul Rahman Wan Rashid</x:v>
      </x:c>
      <x:c r="C106" s="16" t="str"/>
      <x:c r="D106" s="16" t="str"/>
      <x:c r="E106" s="16" t="str">
        <x:v>* myContacts</x:v>
      </x:c>
      <x:c r="F106" s="16" t="str">
        <x:v>+60173315363</x:v>
      </x:c>
      <x:c r="G106" s="16" t="str">
        <x:v>+60173315363</x:v>
      </x:c>
      <x:c r="H106" s="16" t="str">
        <x:v>Excluded</x:v>
      </x:c>
      <x:c r="I106" s="16" t="str">
        <x:v>Missing email</x:v>
      </x:c>
    </x:row>
    <x:row r="107">
      <x:c r="A107" s="16" t="n">
        <x:v>104</x:v>
      </x:c>
      <x:c r="B107" s="16" t="str">
        <x:v>Abdul Rani Jaafar</x:v>
      </x:c>
      <x:c r="C107" s="16" t="str"/>
      <x:c r="D107" s="16" t="str"/>
      <x:c r="E107" s="16" t="str">
        <x:v>* myContacts</x:v>
      </x:c>
      <x:c r="F107" s="16" t="str">
        <x:v>+601110762495</x:v>
      </x:c>
      <x:c r="G107" s="16" t="str">
        <x:v>+601110762495</x:v>
      </x:c>
      <x:c r="H107" s="16" t="str">
        <x:v>Excluded</x:v>
      </x:c>
      <x:c r="I107" s="16" t="str">
        <x:v>Missing email</x:v>
      </x:c>
    </x:row>
    <x:row r="108">
      <x:c r="A108" s="16" t="n">
        <x:v>105</x:v>
      </x:c>
      <x:c r="B108" s="16" t="str">
        <x:v>Abdul Rasyid Abd Manap</x:v>
      </x:c>
      <x:c r="C108" s="16" t="str"/>
      <x:c r="D108" s="16" t="str"/>
      <x:c r="E108" s="16" t="str">
        <x:v>* myContacts</x:v>
      </x:c>
      <x:c r="F108" s="16" t="str">
        <x:v>+60148043162</x:v>
      </x:c>
      <x:c r="G108" s="16" t="str">
        <x:v>+60148043162</x:v>
      </x:c>
      <x:c r="H108" s="16" t="str">
        <x:v>Excluded</x:v>
      </x:c>
      <x:c r="I108" s="16" t="str">
        <x:v>Missing email</x:v>
      </x:c>
    </x:row>
    <x:row r="109">
      <x:c r="A109" s="16" t="n">
        <x:v>106</x:v>
      </x:c>
      <x:c r="B109" s="16" t="str">
        <x:v>Abdul Razak</x:v>
      </x:c>
      <x:c r="C109" s="16" t="str"/>
      <x:c r="D109" s="16" t="str"/>
      <x:c r="E109" s="16" t="str">
        <x:v>* myContacts</x:v>
      </x:c>
      <x:c r="F109" s="16" t="str">
        <x:v>+601127723785</x:v>
      </x:c>
      <x:c r="G109" s="16" t="str">
        <x:v>+601127723785</x:v>
      </x:c>
      <x:c r="H109" s="16" t="str">
        <x:v>Excluded</x:v>
      </x:c>
      <x:c r="I109" s="16" t="str">
        <x:v>Missing email</x:v>
      </x:c>
    </x:row>
    <x:row r="110">
      <x:c r="A110" s="16" t="n">
        <x:v>107</x:v>
      </x:c>
      <x:c r="B110" s="16" t="str">
        <x:v>Abdul Razif Bin Abdul Rahman Student</x:v>
      </x:c>
      <x:c r="C110" s="16" t="str">
        <x:v>orga786@yahoo.com</x:v>
      </x:c>
      <x:c r="D110" s="16" t="str">
        <x:v>orga786@yahoo.com</x:v>
      </x:c>
      <x:c r="E110" s="16" t="str">
        <x:v>* myContacts</x:v>
      </x:c>
      <x:c r="F110" s="16" t="str">
        <x:v>0162711005 | +60162711005</x:v>
      </x:c>
      <x:c r="G110" s="16" t="str">
        <x:v>+60162711005 | +60162711005</x:v>
      </x:c>
      <x:c r="H110" s="16" t="str">
        <x:v>Eligible</x:v>
      </x:c>
      <x:c r="I110" s="16" t="str"/>
    </x:row>
    <x:row r="111">
      <x:c r="A111" s="16" t="n">
        <x:v>108</x:v>
      </x:c>
      <x:c r="B111" s="16" t="str">
        <x:v>Abdul Wahid</x:v>
      </x:c>
      <x:c r="C111" s="16" t="str"/>
      <x:c r="D111" s="16" t="str"/>
      <x:c r="E111" s="16" t="str">
        <x:v>* myContacts</x:v>
      </x:c>
      <x:c r="F111" s="16" t="str">
        <x:v>+6281545464904</x:v>
      </x:c>
      <x:c r="G111" s="16" t="str">
        <x:v>+6281545464904</x:v>
      </x:c>
      <x:c r="H111" s="16" t="str">
        <x:v>Excluded</x:v>
      </x:c>
      <x:c r="I111" s="16" t="str">
        <x:v>Missing email</x:v>
      </x:c>
    </x:row>
    <x:row r="112">
      <x:c r="A112" s="16" t="n">
        <x:v>109</x:v>
      </x:c>
      <x:c r="B112" s="16" t="str">
        <x:v>Abdulfatayassinbaka Abdulfatayassin</x:v>
      </x:c>
      <x:c r="C112" s="16" t="str"/>
      <x:c r="D112" s="16" t="str"/>
      <x:c r="E112" s="16" t="str">
        <x:v>* myContacts</x:v>
      </x:c>
      <x:c r="F112" s="16" t="str">
        <x:v>+60142057246</x:v>
      </x:c>
      <x:c r="G112" s="16" t="str">
        <x:v>+60142057246</x:v>
      </x:c>
      <x:c r="H112" s="16" t="str">
        <x:v>Excluded</x:v>
      </x:c>
      <x:c r="I112" s="16" t="str">
        <x:v>Missing email</x:v>
      </x:c>
    </x:row>
    <x:row r="113">
      <x:c r="A113" s="16" t="n">
        <x:v>110</x:v>
      </x:c>
      <x:c r="B113" s="16" t="str">
        <x:v>Abdullah Finas</x:v>
      </x:c>
      <x:c r="C113" s="16" t="str"/>
      <x:c r="D113" s="16" t="str"/>
      <x:c r="E113" s="16" t="str">
        <x:v>* myContacts</x:v>
      </x:c>
      <x:c r="F113" s="16" t="str">
        <x:v>+60169067830</x:v>
      </x:c>
      <x:c r="G113" s="16" t="str">
        <x:v>+60169067830</x:v>
      </x:c>
      <x:c r="H113" s="16" t="str">
        <x:v>Excluded</x:v>
      </x:c>
      <x:c r="I113" s="16" t="str">
        <x:v>Missing email</x:v>
      </x:c>
    </x:row>
    <x:row r="114">
      <x:c r="A114" s="16" t="n">
        <x:v>111</x:v>
      </x:c>
      <x:c r="B114" s="16" t="str">
        <x:v>Abdullah Ghazlann</x:v>
      </x:c>
      <x:c r="C114" s="16" t="str"/>
      <x:c r="D114" s="16" t="str"/>
      <x:c r="E114" s="16" t="str">
        <x:v>* myContacts</x:v>
      </x:c>
      <x:c r="F114" s="16" t="str">
        <x:v>+60196024646</x:v>
      </x:c>
      <x:c r="G114" s="16" t="str">
        <x:v>+60196024646</x:v>
      </x:c>
      <x:c r="H114" s="16" t="str">
        <x:v>Excluded</x:v>
      </x:c>
      <x:c r="I114" s="16" t="str">
        <x:v>Missing email</x:v>
      </x:c>
    </x:row>
    <x:row r="115">
      <x:c r="A115" s="16" t="n">
        <x:v>112</x:v>
      </x:c>
      <x:c r="B115" s="16" t="str">
        <x:v>Abdullah Luqman Osman Albo</x:v>
      </x:c>
      <x:c r="C115" s="16" t="str"/>
      <x:c r="D115" s="16" t="str"/>
      <x:c r="E115" s="16" t="str">
        <x:v>* myContacts</x:v>
      </x:c>
      <x:c r="F115" s="16" t="str">
        <x:v>+60134741102</x:v>
      </x:c>
      <x:c r="G115" s="16" t="str">
        <x:v>+60134741102</x:v>
      </x:c>
      <x:c r="H115" s="16" t="str">
        <x:v>Excluded</x:v>
      </x:c>
      <x:c r="I115" s="16" t="str">
        <x:v>Missing email</x:v>
      </x:c>
    </x:row>
    <x:row r="116">
      <x:c r="A116" s="16" t="n">
        <x:v>113</x:v>
      </x:c>
      <x:c r="B116" s="16" t="str">
        <x:v>Abdullah Rahman</x:v>
      </x:c>
      <x:c r="C116" s="16" t="str"/>
      <x:c r="D116" s="16" t="str"/>
      <x:c r="E116" s="16" t="str">
        <x:v>* myContacts</x:v>
      </x:c>
      <x:c r="F116" s="16" t="str">
        <x:v>+601116547769</x:v>
      </x:c>
      <x:c r="G116" s="16" t="str">
        <x:v>+601116547769</x:v>
      </x:c>
      <x:c r="H116" s="16" t="str">
        <x:v>Excluded</x:v>
      </x:c>
      <x:c r="I116" s="16" t="str">
        <x:v>Missing email</x:v>
      </x:c>
    </x:row>
    <x:row r="117">
      <x:c r="A117" s="16" t="n">
        <x:v>114</x:v>
      </x:c>
      <x:c r="B117" s="16" t="str">
        <x:v>Abdullah Rashid Mad response</x:v>
      </x:c>
      <x:c r="C117" s="16" t="str"/>
      <x:c r="D117" s="16" t="str"/>
      <x:c r="E117" s="16" t="str">
        <x:v>* myContacts</x:v>
      </x:c>
      <x:c r="F117" s="16" t="str">
        <x:v>0169094479 | +60169094479</x:v>
      </x:c>
      <x:c r="G117" s="16" t="str">
        <x:v>+60169094479 | +60169094479</x:v>
      </x:c>
      <x:c r="H117" s="16" t="str">
        <x:v>Excluded</x:v>
      </x:c>
      <x:c r="I117" s="16" t="str">
        <x:v>Missing email</x:v>
      </x:c>
    </x:row>
    <x:row r="118">
      <x:c r="A118" s="16" t="n">
        <x:v>115</x:v>
      </x:c>
      <x:c r="B118" s="16" t="str">
        <x:v>Abdullah Syarafe Usman</x:v>
      </x:c>
      <x:c r="C118" s="16" t="str"/>
      <x:c r="D118" s="16" t="str"/>
      <x:c r="E118" s="16" t="str">
        <x:v>* myContacts</x:v>
      </x:c>
      <x:c r="F118" s="16" t="str">
        <x:v>+60168011505</x:v>
      </x:c>
      <x:c r="G118" s="16" t="str">
        <x:v>+60168011505</x:v>
      </x:c>
      <x:c r="H118" s="16" t="str">
        <x:v>Excluded</x:v>
      </x:c>
      <x:c r="I118" s="16" t="str">
        <x:v>Missing email</x:v>
      </x:c>
    </x:row>
    <x:row r="119">
      <x:c r="A119" s="16" t="n">
        <x:v>116</x:v>
      </x:c>
      <x:c r="B119" s="16" t="str">
        <x:v>Abdulloh Chelaeh</x:v>
      </x:c>
      <x:c r="C119" s="16" t="str"/>
      <x:c r="D119" s="16" t="str"/>
      <x:c r="E119" s="16" t="str">
        <x:v>* myContacts</x:v>
      </x:c>
      <x:c r="F119" s="16" t="str">
        <x:v>+60172977463</x:v>
      </x:c>
      <x:c r="G119" s="16" t="str">
        <x:v>+60172977463</x:v>
      </x:c>
      <x:c r="H119" s="16" t="str">
        <x:v>Excluded</x:v>
      </x:c>
      <x:c r="I119" s="16" t="str">
        <x:v>Missing email</x:v>
      </x:c>
    </x:row>
    <x:row r="120">
      <x:c r="A120" s="16" t="n">
        <x:v>117</x:v>
      </x:c>
      <x:c r="B120" s="16" t="str">
        <x:v>abdun noor IM</x:v>
      </x:c>
      <x:c r="C120" s="16" t="str"/>
      <x:c r="D120" s="16" t="str"/>
      <x:c r="E120" s="16" t="str">
        <x:v>* myContacts</x:v>
      </x:c>
      <x:c r="F120" s="16" t="str">
        <x:v>012-647 7867 | +60126477867</x:v>
      </x:c>
      <x:c r="G120" s="16" t="str">
        <x:v>+60126477867 | +60126477867</x:v>
      </x:c>
      <x:c r="H120" s="16" t="str">
        <x:v>Excluded</x:v>
      </x:c>
      <x:c r="I120" s="16" t="str">
        <x:v>Missing email</x:v>
      </x:c>
    </x:row>
    <x:row r="121">
      <x:c r="A121" s="16" t="n">
        <x:v>118</x:v>
      </x:c>
      <x:c r="B121" s="16" t="str">
        <x:v>ABE ADAM abg afi ngan anas</x:v>
      </x:c>
      <x:c r="C121" s="16" t="str"/>
      <x:c r="D121" s="16" t="str"/>
      <x:c r="E121" s="16" t="str">
        <x:v>* myContacts</x:v>
      </x:c>
      <x:c r="F121" s="16" t="str">
        <x:v>+60102862241</x:v>
      </x:c>
      <x:c r="G121" s="16" t="str">
        <x:v>+60102862241</x:v>
      </x:c>
      <x:c r="H121" s="16" t="str">
        <x:v>Excluded</x:v>
      </x:c>
      <x:c r="I121" s="16" t="str">
        <x:v>Missing email</x:v>
      </x:c>
    </x:row>
    <x:row r="122">
      <x:c r="A122" s="16" t="n">
        <x:v>119</x:v>
      </x:c>
      <x:c r="B122" s="16" t="str">
        <x:v>Abe Chik</x:v>
      </x:c>
      <x:c r="C122" s="16" t="str"/>
      <x:c r="D122" s="16" t="str"/>
      <x:c r="E122" s="16" t="str">
        <x:v>* myContacts</x:v>
      </x:c>
      <x:c r="F122" s="16" t="str">
        <x:v>+60139927569</x:v>
      </x:c>
      <x:c r="G122" s="16" t="str">
        <x:v>+60139927569</x:v>
      </x:c>
      <x:c r="H122" s="16" t="str">
        <x:v>Excluded</x:v>
      </x:c>
      <x:c r="I122" s="16" t="str">
        <x:v>Missing email</x:v>
      </x:c>
    </x:row>
    <x:row r="123">
      <x:c r="A123" s="16" t="n">
        <x:v>120</x:v>
      </x:c>
      <x:c r="B123" s="16" t="str">
        <x:v>Abe Din</x:v>
      </x:c>
      <x:c r="C123" s="16" t="str"/>
      <x:c r="D123" s="16" t="str"/>
      <x:c r="E123" s="16" t="str">
        <x:v>* myContacts</x:v>
      </x:c>
      <x:c r="F123" s="16" t="str">
        <x:v>+60133212086</x:v>
      </x:c>
      <x:c r="G123" s="16" t="str">
        <x:v>+60133212086</x:v>
      </x:c>
      <x:c r="H123" s="16" t="str">
        <x:v>Excluded</x:v>
      </x:c>
      <x:c r="I123" s="16" t="str">
        <x:v>Missing email</x:v>
      </x:c>
    </x:row>
    <x:row r="124">
      <x:c r="A124" s="16" t="n">
        <x:v>121</x:v>
      </x:c>
      <x:c r="B124" s="16" t="str">
        <x:v>abe eh</x:v>
      </x:c>
      <x:c r="C124" s="16" t="str"/>
      <x:c r="D124" s="16" t="str"/>
      <x:c r="E124" s="16" t="str">
        <x:v>* myContacts</x:v>
      </x:c>
      <x:c r="F124" s="16" t="str">
        <x:v>+66810999664</x:v>
      </x:c>
      <x:c r="G124" s="16" t="str">
        <x:v>+66810999664</x:v>
      </x:c>
      <x:c r="H124" s="16" t="str">
        <x:v>Excluded</x:v>
      </x:c>
      <x:c r="I124" s="16" t="str">
        <x:v>Missing email</x:v>
      </x:c>
    </x:row>
    <x:row r="125">
      <x:c r="A125" s="16" t="n">
        <x:v>122</x:v>
      </x:c>
      <x:c r="B125" s="16" t="str">
        <x:v>Abe Lie Abe Lie</x:v>
      </x:c>
      <x:c r="C125" s="16" t="str"/>
      <x:c r="D125" s="16" t="str"/>
      <x:c r="E125" s="16" t="str">
        <x:v>* myContacts</x:v>
      </x:c>
      <x:c r="F125" s="16" t="str">
        <x:v>+60199735061</x:v>
      </x:c>
      <x:c r="G125" s="16" t="str">
        <x:v>+60199735061</x:v>
      </x:c>
      <x:c r="H125" s="16" t="str">
        <x:v>Excluded</x:v>
      </x:c>
      <x:c r="I125" s="16" t="str">
        <x:v>Missing email</x:v>
      </x:c>
    </x:row>
    <x:row r="126">
      <x:c r="A126" s="16" t="n">
        <x:v>123</x:v>
      </x:c>
      <x:c r="B126" s="16" t="str">
        <x:v>Abe Mat Rayyan</x:v>
      </x:c>
      <x:c r="C126" s="16" t="str"/>
      <x:c r="D126" s="16" t="str"/>
      <x:c r="E126" s="16" t="str">
        <x:v>* myContacts</x:v>
      </x:c>
      <x:c r="F126" s="16" t="str">
        <x:v>+60139312580</x:v>
      </x:c>
      <x:c r="G126" s="16" t="str">
        <x:v>+60139312580</x:v>
      </x:c>
      <x:c r="H126" s="16" t="str">
        <x:v>Excluded</x:v>
      </x:c>
      <x:c r="I126" s="16" t="str">
        <x:v>Missing email</x:v>
      </x:c>
    </x:row>
    <x:row r="127">
      <x:c r="A127" s="16" t="n">
        <x:v>124</x:v>
      </x:c>
      <x:c r="B127" s="16" t="str">
        <x:v>Abe Nuddin IM</x:v>
      </x:c>
      <x:c r="C127" s="16" t="str"/>
      <x:c r="D127" s="16" t="str"/>
      <x:c r="E127" s="16" t="str">
        <x:v>* myContacts</x:v>
      </x:c>
      <x:c r="F127" s="16" t="str">
        <x:v>017-605 9055 | +60176059055</x:v>
      </x:c>
      <x:c r="G127" s="16" t="str">
        <x:v>+60176059055 | +60176059055</x:v>
      </x:c>
      <x:c r="H127" s="16" t="str">
        <x:v>Excluded</x:v>
      </x:c>
      <x:c r="I127" s="16" t="str">
        <x:v>Missing email</x:v>
      </x:c>
    </x:row>
    <x:row r="128">
      <x:c r="A128" s="16" t="n">
        <x:v>125</x:v>
      </x:c>
      <x:c r="B128" s="16" t="str">
        <x:v>Abe Sham</x:v>
      </x:c>
      <x:c r="C128" s="16" t="str"/>
      <x:c r="D128" s="16" t="str"/>
      <x:c r="E128" s="16" t="str">
        <x:v>* myContacts</x:v>
      </x:c>
      <x:c r="F128" s="16" t="str">
        <x:v>+601125629686</x:v>
      </x:c>
      <x:c r="G128" s="16" t="str">
        <x:v>+601125629686</x:v>
      </x:c>
      <x:c r="H128" s="16" t="str">
        <x:v>Excluded</x:v>
      </x:c>
      <x:c r="I128" s="16" t="str">
        <x:v>Missing email</x:v>
      </x:c>
    </x:row>
    <x:row r="129">
      <x:c r="A129" s="16" t="n">
        <x:v>126</x:v>
      </x:c>
      <x:c r="B129" s="16" t="str">
        <x:v>Abe Wan</x:v>
      </x:c>
      <x:c r="C129" s="16" t="str"/>
      <x:c r="D129" s="16" t="str"/>
      <x:c r="E129" s="16" t="str">
        <x:v>* myContacts</x:v>
      </x:c>
      <x:c r="F129" s="16" t="str">
        <x:v>+601111327439</x:v>
      </x:c>
      <x:c r="G129" s="16" t="str">
        <x:v>+601111327439</x:v>
      </x:c>
      <x:c r="H129" s="16" t="str">
        <x:v>Excluded</x:v>
      </x:c>
      <x:c r="I129" s="16" t="str">
        <x:v>Missing email</x:v>
      </x:c>
    </x:row>
    <x:row r="130">
      <x:c r="A130" s="16" t="n">
        <x:v>127</x:v>
      </x:c>
      <x:c r="B130" s="16" t="str">
        <x:v>Abe We Redzuan</x:v>
      </x:c>
      <x:c r="C130" s="16" t="str"/>
      <x:c r="D130" s="16" t="str"/>
      <x:c r="E130" s="16" t="str">
        <x:v>* myContacts</x:v>
      </x:c>
      <x:c r="F130" s="16" t="str">
        <x:v>+60199797777</x:v>
      </x:c>
      <x:c r="G130" s="16" t="str">
        <x:v>+60199797777</x:v>
      </x:c>
      <x:c r="H130" s="16" t="str">
        <x:v>Excluded</x:v>
      </x:c>
      <x:c r="I130" s="16" t="str">
        <x:v>Missing email</x:v>
      </x:c>
    </x:row>
    <x:row r="131">
      <x:c r="A131" s="16" t="n">
        <x:v>128</x:v>
      </x:c>
      <x:c r="B131" s="16" t="str">
        <x:v>Abeay Mark II</x:v>
      </x:c>
      <x:c r="C131" s="16" t="str"/>
      <x:c r="D131" s="16" t="str"/>
      <x:c r="E131" s="16" t="str">
        <x:v>* myContacts</x:v>
      </x:c>
      <x:c r="F131" s="16" t="str">
        <x:v>+601113071798</x:v>
      </x:c>
      <x:c r="G131" s="16" t="str">
        <x:v>+601113071798</x:v>
      </x:c>
      <x:c r="H131" s="16" t="str">
        <x:v>Excluded</x:v>
      </x:c>
      <x:c r="I131" s="16" t="str">
        <x:v>Missing email</x:v>
      </x:c>
    </x:row>
    <x:row r="132">
      <x:c r="A132" s="16" t="n">
        <x:v>129</x:v>
      </x:c>
      <x:c r="B132" s="16" t="str">
        <x:v>Abeesh Nalakath Abi</x:v>
      </x:c>
      <x:c r="C132" s="16" t="str"/>
      <x:c r="D132" s="16" t="str"/>
      <x:c r="E132" s="16" t="str">
        <x:v>* myContacts</x:v>
      </x:c>
      <x:c r="F132" s="16" t="str">
        <x:v>+966557809691</x:v>
      </x:c>
      <x:c r="G132" s="16" t="str">
        <x:v>+966557809691</x:v>
      </x:c>
      <x:c r="H132" s="16" t="str">
        <x:v>Excluded</x:v>
      </x:c>
      <x:c r="I132" s="16" t="str">
        <x:v>Missing email</x:v>
      </x:c>
    </x:row>
    <x:row r="133">
      <x:c r="A133" s="16" t="n">
        <x:v>130</x:v>
      </x:c>
      <x:c r="B133" s="16" t="str">
        <x:v>AbeLong Hisham</x:v>
      </x:c>
      <x:c r="C133" s="16" t="str"/>
      <x:c r="D133" s="16" t="str"/>
      <x:c r="E133" s="16" t="str">
        <x:v>* myContacts</x:v>
      </x:c>
      <x:c r="F133" s="16" t="str">
        <x:v>+60192704576</x:v>
      </x:c>
      <x:c r="G133" s="16" t="str">
        <x:v>+60192704576</x:v>
      </x:c>
      <x:c r="H133" s="16" t="str">
        <x:v>Excluded</x:v>
      </x:c>
      <x:c r="I133" s="16" t="str">
        <x:v>Missing email</x:v>
      </x:c>
    </x:row>
    <x:row r="134">
      <x:c r="A134" s="16" t="n">
        <x:v>131</x:v>
      </x:c>
      <x:c r="B134" s="16" t="str">
        <x:v>Abey Anaqi</x:v>
      </x:c>
      <x:c r="C134" s="16" t="str"/>
      <x:c r="D134" s="16" t="str"/>
      <x:c r="E134" s="16" t="str">
        <x:v>* myContacts</x:v>
      </x:c>
      <x:c r="F134" s="16" t="str">
        <x:v>+60148059800</x:v>
      </x:c>
      <x:c r="G134" s="16" t="str">
        <x:v>+60148059800</x:v>
      </x:c>
      <x:c r="H134" s="16" t="str">
        <x:v>Excluded</x:v>
      </x:c>
      <x:c r="I134" s="16" t="str">
        <x:v>Missing email</x:v>
      </x:c>
    </x:row>
    <x:row r="135">
      <x:c r="A135" s="16" t="n">
        <x:v>132</x:v>
      </x:c>
      <x:c r="B135" s="16" t="str">
        <x:v>Abey Cuci Kusyen</x:v>
      </x:c>
      <x:c r="C135" s="16" t="str"/>
      <x:c r="D135" s="16" t="str"/>
      <x:c r="E135" s="16" t="str">
        <x:v>* myContacts</x:v>
      </x:c>
      <x:c r="F135" s="16" t="str">
        <x:v>+60109609057</x:v>
      </x:c>
      <x:c r="G135" s="16" t="str">
        <x:v>+60109609057</x:v>
      </x:c>
      <x:c r="H135" s="16" t="str">
        <x:v>Excluded</x:v>
      </x:c>
      <x:c r="I135" s="16" t="str">
        <x:v>Missing email</x:v>
      </x:c>
    </x:row>
    <x:row r="136">
      <x:c r="A136" s="16" t="n">
        <x:v>133</x:v>
      </x:c>
      <x:c r="B136" s="16" t="str">
        <x:v>Abg Aggy Trainer Sabah</x:v>
      </x:c>
      <x:c r="C136" s="16" t="str"/>
      <x:c r="D136" s="16" t="str"/>
      <x:c r="E136" s="16" t="str">
        <x:v>* myContacts</x:v>
      </x:c>
      <x:c r="F136" s="16" t="str">
        <x:v>0105811995 | +60105811995 | +60 12-486 2509</x:v>
      </x:c>
      <x:c r="G136" s="16" t="str">
        <x:v>+60105811995 | +60105811995 | +60124862509</x:v>
      </x:c>
      <x:c r="H136" s="16" t="str">
        <x:v>Excluded</x:v>
      </x:c>
      <x:c r="I136" s="16" t="str">
        <x:v>Missing email</x:v>
      </x:c>
    </x:row>
    <x:row r="137">
      <x:c r="A137" s="16" t="n">
        <x:v>134</x:v>
      </x:c>
      <x:c r="B137" s="16" t="str">
        <x:v>Abg Ali JomJamban</x:v>
      </x:c>
      <x:c r="C137" s="16" t="str"/>
      <x:c r="D137" s="16" t="str"/>
      <x:c r="E137" s="16" t="str">
        <x:v>* myContacts</x:v>
      </x:c>
      <x:c r="F137" s="16" t="str">
        <x:v>+60136407200</x:v>
      </x:c>
      <x:c r="G137" s="16" t="str">
        <x:v>+60136407200</x:v>
      </x:c>
      <x:c r="H137" s="16" t="str">
        <x:v>Excluded</x:v>
      </x:c>
      <x:c r="I137" s="16" t="str">
        <x:v>Missing email</x:v>
      </x:c>
    </x:row>
    <x:row r="138">
      <x:c r="A138" s="16" t="n">
        <x:v>135</x:v>
      </x:c>
      <x:c r="B138" s="16" t="str">
        <x:v>Abg Amir Catering DPIM PERAK</x:v>
      </x:c>
      <x:c r="C138" s="16" t="str"/>
      <x:c r="D138" s="16" t="str"/>
      <x:c r="E138" s="16" t="str">
        <x:v>* myContacts</x:v>
      </x:c>
      <x:c r="F138" s="16" t="str">
        <x:v>017-550 1673 | +60175501673</x:v>
      </x:c>
      <x:c r="G138" s="16" t="str">
        <x:v>+60175501673 | +60175501673</x:v>
      </x:c>
      <x:c r="H138" s="16" t="str">
        <x:v>Excluded</x:v>
      </x:c>
      <x:c r="I138" s="16" t="str">
        <x:v>Missing email</x:v>
      </x:c>
    </x:row>
    <x:row r="139">
      <x:c r="A139" s="16" t="n">
        <x:v>136</x:v>
      </x:c>
      <x:c r="B139" s="16" t="str">
        <x:v>Abg Amiruddin Ramlan</x:v>
      </x:c>
      <x:c r="C139" s="16" t="str"/>
      <x:c r="D139" s="16" t="str"/>
      <x:c r="E139" s="16" t="str">
        <x:v>* myContacts</x:v>
      </x:c>
      <x:c r="F139" s="16" t="str">
        <x:v>+60143467324</x:v>
      </x:c>
      <x:c r="G139" s="16" t="str">
        <x:v>+60143467324</x:v>
      </x:c>
      <x:c r="H139" s="16" t="str">
        <x:v>Excluded</x:v>
      </x:c>
      <x:c r="I139" s="16" t="str">
        <x:v>Missing email</x:v>
      </x:c>
    </x:row>
    <x:row r="140">
      <x:c r="A140" s="16" t="n">
        <x:v>137</x:v>
      </x:c>
      <x:c r="B140" s="16" t="str">
        <x:v>Abg Awie Customer Cgc</x:v>
      </x:c>
      <x:c r="C140" s="16" t="str"/>
      <x:c r="D140" s="16" t="str"/>
      <x:c r="E140" s="16" t="str">
        <x:v>* myContacts</x:v>
      </x:c>
      <x:c r="F140" s="16" t="str">
        <x:v>+60199669966</x:v>
      </x:c>
      <x:c r="G140" s="16" t="str">
        <x:v>+60199669966</x:v>
      </x:c>
      <x:c r="H140" s="16" t="str">
        <x:v>Excluded</x:v>
      </x:c>
      <x:c r="I140" s="16" t="str">
        <x:v>Missing email</x:v>
      </x:c>
    </x:row>
    <x:row r="141">
      <x:c r="A141" s="16" t="n">
        <x:v>138</x:v>
      </x:c>
      <x:c r="B141" s="16" t="str">
        <x:v>abg azhar agent agp</x:v>
      </x:c>
      <x:c r="C141" s="16" t="str"/>
      <x:c r="D141" s="16" t="str"/>
      <x:c r="E141" s="16" t="str">
        <x:v>* myContacts</x:v>
      </x:c>
      <x:c r="F141" s="16" t="str">
        <x:v>+60169644637</x:v>
      </x:c>
      <x:c r="G141" s="16" t="str">
        <x:v>+60169644637</x:v>
      </x:c>
      <x:c r="H141" s="16" t="str">
        <x:v>Excluded</x:v>
      </x:c>
      <x:c r="I141" s="16" t="str">
        <x:v>Missing email</x:v>
      </x:c>
    </x:row>
    <x:row r="142">
      <x:c r="A142" s="16" t="n">
        <x:v>139</x:v>
      </x:c>
      <x:c r="B142" s="16" t="str">
        <x:v>Abg Azmi Raof Broker Tanah</x:v>
      </x:c>
      <x:c r="C142" s="16" t="str"/>
      <x:c r="D142" s="16" t="str"/>
      <x:c r="E142" s="16" t="str">
        <x:v>* myContacts</x:v>
      </x:c>
      <x:c r="F142" s="16" t="str">
        <x:v>+60178732115</x:v>
      </x:c>
      <x:c r="G142" s="16" t="str">
        <x:v>+60178732115</x:v>
      </x:c>
      <x:c r="H142" s="16" t="str">
        <x:v>Excluded</x:v>
      </x:c>
      <x:c r="I142" s="16" t="str">
        <x:v>Missing email</x:v>
      </x:c>
    </x:row>
    <x:row r="143">
      <x:c r="A143" s="16" t="n">
        <x:v>140</x:v>
      </x:c>
      <x:c r="B143" s="16" t="str">
        <x:v>Abg Azrul Bestari Jaya</x:v>
      </x:c>
      <x:c r="C143" s="16" t="str"/>
      <x:c r="D143" s="16" t="str"/>
      <x:c r="E143" s="16" t="str">
        <x:v>* myContacts</x:v>
      </x:c>
      <x:c r="F143" s="16" t="str">
        <x:v>0176124808 | +60176124808</x:v>
      </x:c>
      <x:c r="G143" s="16" t="str">
        <x:v>+60176124808 | +60176124808</x:v>
      </x:c>
      <x:c r="H143" s="16" t="str">
        <x:v>Excluded</x:v>
      </x:c>
      <x:c r="I143" s="16" t="str">
        <x:v>Missing email</x:v>
      </x:c>
    </x:row>
    <x:row r="144">
      <x:c r="A144" s="16" t="n">
        <x:v>141</x:v>
      </x:c>
      <x:c r="B144" s="16" t="str">
        <x:v>abg bob  benjo mekanik ttdi jaya</x:v>
      </x:c>
      <x:c r="C144" s="16" t="str"/>
      <x:c r="D144" s="16" t="str"/>
      <x:c r="E144" s="16" t="str">
        <x:v>* myContacts</x:v>
      </x:c>
      <x:c r="F144" s="16" t="str">
        <x:v>017-751 1700 | +60177511700</x:v>
      </x:c>
      <x:c r="G144" s="16" t="str">
        <x:v>+60177511700 | +60177511700</x:v>
      </x:c>
      <x:c r="H144" s="16" t="str">
        <x:v>Excluded</x:v>
      </x:c>
      <x:c r="I144" s="16" t="str">
        <x:v>Missing email</x:v>
      </x:c>
    </x:row>
    <x:row r="145">
      <x:c r="A145" s="16" t="n">
        <x:v>142</x:v>
      </x:c>
      <x:c r="B145" s="16" t="str">
        <x:v>Abg Coway Seremban</x:v>
      </x:c>
      <x:c r="C145" s="16" t="str"/>
      <x:c r="D145" s="16" t="str"/>
      <x:c r="E145" s="16" t="str">
        <x:v>* myContacts</x:v>
      </x:c>
      <x:c r="F145" s="16" t="str">
        <x:v>0136286179 | +60136286179</x:v>
      </x:c>
      <x:c r="G145" s="16" t="str">
        <x:v>+60136286179 | +60136286179</x:v>
      </x:c>
      <x:c r="H145" s="16" t="str">
        <x:v>Excluded</x:v>
      </x:c>
      <x:c r="I145" s="16" t="str">
        <x:v>Missing email</x:v>
      </x:c>
    </x:row>
    <x:row r="146">
      <x:c r="A146" s="16" t="n">
        <x:v>143</x:v>
      </x:c>
      <x:c r="B146" s="16" t="str">
        <x:v>Abg Derus Tukang Urut</x:v>
      </x:c>
      <x:c r="C146" s="16" t="str"/>
      <x:c r="D146" s="16" t="str"/>
      <x:c r="E146" s="16" t="str">
        <x:v>* myContacts</x:v>
      </x:c>
      <x:c r="F146" s="16" t="str">
        <x:v>01155549347 | +601155549347</x:v>
      </x:c>
      <x:c r="G146" s="16" t="str">
        <x:v>+601155549347 | +601155549347</x:v>
      </x:c>
      <x:c r="H146" s="16" t="str">
        <x:v>Excluded</x:v>
      </x:c>
      <x:c r="I146" s="16" t="str">
        <x:v>Missing email</x:v>
      </x:c>
    </x:row>
    <x:row r="147">
      <x:c r="A147" s="16" t="n">
        <x:v>144</x:v>
      </x:c>
      <x:c r="B147" s="16" t="str">
        <x:v>Abg Din kambing golek ppmm</x:v>
      </x:c>
      <x:c r="C147" s="16" t="str"/>
      <x:c r="D147" s="16" t="str"/>
      <x:c r="E147" s="16" t="str">
        <x:v>* myContacts</x:v>
      </x:c>
      <x:c r="F147" s="16" t="str">
        <x:v>013-330 7652 | +60133307652</x:v>
      </x:c>
      <x:c r="G147" s="16" t="str">
        <x:v>+60133307652 | +60133307652</x:v>
      </x:c>
      <x:c r="H147" s="16" t="str">
        <x:v>Excluded</x:v>
      </x:c>
      <x:c r="I147" s="16" t="str">
        <x:v>Missing email</x:v>
      </x:c>
    </x:row>
    <x:row r="148">
      <x:c r="A148" s="16" t="n">
        <x:v>145</x:v>
      </x:c>
      <x:c r="B148" s="16" t="str">
        <x:v>Abg Fendi AGENT</x:v>
      </x:c>
      <x:c r="C148" s="16" t="str"/>
      <x:c r="D148" s="16" t="str"/>
      <x:c r="E148" s="16" t="str">
        <x:v>* myContacts</x:v>
      </x:c>
      <x:c r="F148" s="16" t="str">
        <x:v>+601121123237</x:v>
      </x:c>
      <x:c r="G148" s="16" t="str">
        <x:v>+601121123237</x:v>
      </x:c>
      <x:c r="H148" s="16" t="str">
        <x:v>Excluded</x:v>
      </x:c>
      <x:c r="I148" s="16" t="str">
        <x:v>Missing email</x:v>
      </x:c>
    </x:row>
    <x:row r="149">
      <x:c r="A149" s="16" t="n">
        <x:v>146</x:v>
      </x:c>
      <x:c r="B149" s="16" t="str">
        <x:v>Abg Firdaus</x:v>
      </x:c>
      <x:c r="C149" s="16" t="str"/>
      <x:c r="D149" s="16" t="str"/>
      <x:c r="E149" s="16" t="str">
        <x:v>* myContacts</x:v>
      </x:c>
      <x:c r="F149" s="16" t="str">
        <x:v>+60 12-283 1404 | +60122831404</x:v>
      </x:c>
      <x:c r="G149" s="16" t="str">
        <x:v>+60122831404 | +60122831404</x:v>
      </x:c>
      <x:c r="H149" s="16" t="str">
        <x:v>Excluded</x:v>
      </x:c>
      <x:c r="I149" s="16" t="str">
        <x:v>Missing email</x:v>
      </x:c>
    </x:row>
    <x:row r="150">
      <x:c r="A150" s="16" t="n">
        <x:v>147</x:v>
      </x:c>
      <x:c r="B150" s="16" t="str">
        <x:v>Abg Hadi PPMM</x:v>
      </x:c>
      <x:c r="C150" s="16" t="str"/>
      <x:c r="D150" s="16" t="str"/>
      <x:c r="E150" s="16" t="str">
        <x:v>* myContacts</x:v>
      </x:c>
      <x:c r="F150" s="16" t="str">
        <x:v>+60 12-205 0040 | +60122050040</x:v>
      </x:c>
      <x:c r="G150" s="16" t="str">
        <x:v>+60122050040 | +60122050040</x:v>
      </x:c>
      <x:c r="H150" s="16" t="str">
        <x:v>Excluded</x:v>
      </x:c>
      <x:c r="I150" s="16" t="str">
        <x:v>Missing email</x:v>
      </x:c>
    </x:row>
    <x:row r="151">
      <x:c r="A151" s="16" t="n">
        <x:v>148</x:v>
      </x:c>
      <x:c r="B151" s="16" t="str">
        <x:v>Abg Halim</x:v>
      </x:c>
      <x:c r="C151" s="16" t="str"/>
      <x:c r="D151" s="16" t="str"/>
      <x:c r="E151" s="16" t="str">
        <x:v>* myContacts</x:v>
      </x:c>
      <x:c r="F151" s="16" t="str">
        <x:v>0175523684 | +60175523684</x:v>
      </x:c>
      <x:c r="G151" s="16" t="str">
        <x:v>+60175523684 | +60175523684</x:v>
      </x:c>
      <x:c r="H151" s="16" t="str">
        <x:v>Excluded</x:v>
      </x:c>
      <x:c r="I151" s="16" t="str">
        <x:v>Missing email</x:v>
      </x:c>
    </x:row>
    <x:row r="152">
      <x:c r="A152" s="16" t="n">
        <x:v>149</x:v>
      </x:c>
      <x:c r="B152" s="16" t="str">
        <x:v>Abg Halim Taman Pancaran</x:v>
      </x:c>
      <x:c r="C152" s="16" t="str"/>
      <x:c r="D152" s="16" t="str"/>
      <x:c r="E152" s="16" t="str">
        <x:v>* myContacts</x:v>
      </x:c>
      <x:c r="F152" s="16" t="str">
        <x:v>+60 11-1185 1625 | +60166911793 | +601111851625 | +60166911793</x:v>
      </x:c>
      <x:c r="G152" s="16" t="str">
        <x:v>+601111851625 | +60166911793 | +601111851625 | +60166911793</x:v>
      </x:c>
      <x:c r="H152" s="16" t="str">
        <x:v>Excluded</x:v>
      </x:c>
      <x:c r="I152" s="16" t="str">
        <x:v>Missing email</x:v>
      </x:c>
    </x:row>
    <x:row r="153">
      <x:c r="A153" s="16" t="n">
        <x:v>150</x:v>
      </x:c>
      <x:c r="B153" s="16" t="str">
        <x:v>Abg Hashnan IQPS</x:v>
      </x:c>
      <x:c r="C153" s="16" t="str"/>
      <x:c r="D153" s="16" t="str"/>
      <x:c r="E153" s="16" t="str">
        <x:v>* myContacts</x:v>
      </x:c>
      <x:c r="F153" s="16" t="str">
        <x:v>+60103127005</x:v>
      </x:c>
      <x:c r="G153" s="16" t="str">
        <x:v>+60103127005</x:v>
      </x:c>
      <x:c r="H153" s="16" t="str">
        <x:v>Excluded</x:v>
      </x:c>
      <x:c r="I153" s="16" t="str">
        <x:v>Missing email</x:v>
      </x:c>
    </x:row>
    <x:row r="154">
      <x:c r="A154" s="16" t="n">
        <x:v>151</x:v>
      </x:c>
      <x:c r="B154" s="16" t="str">
        <x:v>Abg Hasnan</x:v>
      </x:c>
      <x:c r="C154" s="16" t="str"/>
      <x:c r="D154" s="16" t="str"/>
      <x:c r="E154" s="16" t="str">
        <x:v>* myContacts</x:v>
      </x:c>
      <x:c r="F154" s="16" t="str">
        <x:v>+60 19-329 8241 | +60193298241</x:v>
      </x:c>
      <x:c r="G154" s="16" t="str">
        <x:v>+60193298241 | +60193298241</x:v>
      </x:c>
      <x:c r="H154" s="16" t="str">
        <x:v>Excluded</x:v>
      </x:c>
      <x:c r="I154" s="16" t="str">
        <x:v>Missing email</x:v>
      </x:c>
    </x:row>
    <x:row r="155">
      <x:c r="A155" s="16" t="n">
        <x:v>152</x:v>
      </x:c>
      <x:c r="B155" s="16" t="str">
        <x:v>Abg Hilmi PruBSN Takaful</x:v>
      </x:c>
      <x:c r="C155" s="16" t="str"/>
      <x:c r="D155" s="16" t="str"/>
      <x:c r="E155" s="16" t="str">
        <x:v>* myContacts</x:v>
      </x:c>
      <x:c r="F155" s="16" t="str">
        <x:v>+60 13-337 4592 | +60133374592</x:v>
      </x:c>
      <x:c r="G155" s="16" t="str">
        <x:v>+60133374592 | +60133374592</x:v>
      </x:c>
      <x:c r="H155" s="16" t="str">
        <x:v>Excluded</x:v>
      </x:c>
      <x:c r="I155" s="16" t="str">
        <x:v>Missing email</x:v>
      </x:c>
    </x:row>
    <x:row r="156">
      <x:c r="A156" s="16" t="n">
        <x:v>153</x:v>
      </x:c>
      <x:c r="B156" s="16" t="str">
        <x:v>Abg Jepp Sifu Brand</x:v>
      </x:c>
      <x:c r="C156" s="16" t="str"/>
      <x:c r="D156" s="16" t="str"/>
      <x:c r="E156" s="16" t="str">
        <x:v>* myContacts</x:v>
      </x:c>
      <x:c r="F156" s="16" t="str">
        <x:v>+60 18-201 6431</x:v>
      </x:c>
      <x:c r="G156" s="16" t="str">
        <x:v>+60182016431</x:v>
      </x:c>
      <x:c r="H156" s="16" t="str">
        <x:v>Excluded</x:v>
      </x:c>
      <x:c r="I156" s="16" t="str">
        <x:v>Missing email</x:v>
      </x:c>
    </x:row>
    <x:row r="157">
      <x:c r="A157" s="16" t="n">
        <x:v>154</x:v>
      </x:c>
      <x:c r="B157" s="16" t="str">
        <x:v>Abg Jepp Sifu Branding Training</x:v>
      </x:c>
      <x:c r="C157" s="16" t="str"/>
      <x:c r="D157" s="16" t="str"/>
      <x:c r="E157" s="16" t="str">
        <x:v>Trainer | * myContacts</x:v>
      </x:c>
      <x:c r="F157" s="16" t="str">
        <x:v>012-380 9494 | +60123809494 | 012-215 1925</x:v>
      </x:c>
      <x:c r="G157" s="16" t="str">
        <x:v>+60123809494 | +60123809494 | +60122151925</x:v>
      </x:c>
      <x:c r="H157" s="16" t="str">
        <x:v>Excluded</x:v>
      </x:c>
      <x:c r="I157" s="16" t="str">
        <x:v>Missing email</x:v>
      </x:c>
    </x:row>
    <x:row r="158">
      <x:c r="A158" s="16" t="n">
        <x:v>155</x:v>
      </x:c>
      <x:c r="B158" s="16" t="str">
        <x:v>Abg Jo Komando Special Force</x:v>
      </x:c>
      <x:c r="C158" s="16" t="str"/>
      <x:c r="D158" s="16" t="str"/>
      <x:c r="E158" s="16" t="str">
        <x:v>* myContacts</x:v>
      </x:c>
      <x:c r="F158" s="16" t="str">
        <x:v>01119222888 | +601119222888</x:v>
      </x:c>
      <x:c r="G158" s="16" t="str">
        <x:v>+601119222888 | +601119222888</x:v>
      </x:c>
      <x:c r="H158" s="16" t="str">
        <x:v>Excluded</x:v>
      </x:c>
      <x:c r="I158" s="16" t="str">
        <x:v>Missing email</x:v>
      </x:c>
    </x:row>
    <x:row r="159">
      <x:c r="A159" s="16" t="n">
        <x:v>156</x:v>
      </x:c>
      <x:c r="B159" s="16" t="str">
        <x:v>Abg JOHANN MA</x:v>
      </x:c>
      <x:c r="C159" s="16" t="str"/>
      <x:c r="D159" s="16" t="str"/>
      <x:c r="E159" s="16" t="str">
        <x:v>* myContacts</x:v>
      </x:c>
      <x:c r="F159" s="16" t="str">
        <x:v>+60165060181</x:v>
      </x:c>
      <x:c r="G159" s="16" t="str">
        <x:v>+60165060181</x:v>
      </x:c>
      <x:c r="H159" s="16" t="str">
        <x:v>Excluded</x:v>
      </x:c>
      <x:c r="I159" s="16" t="str">
        <x:v>Missing email</x:v>
      </x:c>
    </x:row>
    <x:row r="160">
      <x:c r="A160" s="16" t="n">
        <x:v>157</x:v>
      </x:c>
      <x:c r="B160" s="16" t="str">
        <x:v>Abg Kamal CWA AL Kauthar</x:v>
      </x:c>
      <x:c r="C160" s="16" t="str"/>
      <x:c r="D160" s="16" t="str"/>
      <x:c r="E160" s="16" t="str">
        <x:v>* myContacts</x:v>
      </x:c>
      <x:c r="F160" s="16" t="str">
        <x:v>+60198799398</x:v>
      </x:c>
      <x:c r="G160" s="16" t="str">
        <x:v>+60198799398</x:v>
      </x:c>
      <x:c r="H160" s="16" t="str">
        <x:v>Excluded</x:v>
      </x:c>
      <x:c r="I160" s="16" t="str">
        <x:v>Missing email</x:v>
      </x:c>
    </x:row>
    <x:row r="161">
      <x:c r="A161" s="16" t="n">
        <x:v>158</x:v>
      </x:c>
      <x:c r="B161" s="16" t="str">
        <x:v>Abg Kamil Taman Pancaran</x:v>
      </x:c>
      <x:c r="C161" s="16" t="str"/>
      <x:c r="D161" s="16" t="str"/>
      <x:c r="E161" s="16" t="str">
        <x:v>* myContacts</x:v>
      </x:c>
      <x:c r="F161" s="16" t="str">
        <x:v>+60 12-777 5451 | +60127775451</x:v>
      </x:c>
      <x:c r="G161" s="16" t="str">
        <x:v>+60127775451 | +60127775451</x:v>
      </x:c>
      <x:c r="H161" s="16" t="str">
        <x:v>Excluded</x:v>
      </x:c>
      <x:c r="I161" s="16" t="str">
        <x:v>Missing email</x:v>
      </x:c>
    </x:row>
    <x:row r="162">
      <x:c r="A162" s="16" t="n">
        <x:v>159</x:v>
      </x:c>
      <x:c r="B162" s="16" t="str">
        <x:v>Abg ky puteri dewi</x:v>
      </x:c>
      <x:c r="C162" s="16" t="str"/>
      <x:c r="D162" s="16" t="str"/>
      <x:c r="E162" s="16" t="str">
        <x:v>* myContacts</x:v>
      </x:c>
      <x:c r="F162" s="16" t="str">
        <x:v>012-350 8820 | +60123508820</x:v>
      </x:c>
      <x:c r="G162" s="16" t="str">
        <x:v>+60123508820 | +60123508820</x:v>
      </x:c>
      <x:c r="H162" s="16" t="str">
        <x:v>Excluded</x:v>
      </x:c>
      <x:c r="I162" s="16" t="str">
        <x:v>Missing email</x:v>
      </x:c>
    </x:row>
    <x:row r="163">
      <x:c r="A163" s="16" t="n">
        <x:v>160</x:v>
      </x:c>
      <x:c r="B163" s="16" t="str">
        <x:v>Abg Nasir Trader Gold Copy Trader</x:v>
      </x:c>
      <x:c r="C163" s="16" t="str"/>
      <x:c r="D163" s="16" t="str"/>
      <x:c r="E163" s="16" t="str">
        <x:v>* myContacts</x:v>
      </x:c>
      <x:c r="F163" s="16" t="str">
        <x:v>+60193100172</x:v>
      </x:c>
      <x:c r="G163" s="16" t="str">
        <x:v>+60193100172</x:v>
      </x:c>
      <x:c r="H163" s="16" t="str">
        <x:v>Excluded</x:v>
      </x:c>
      <x:c r="I163" s="16" t="str">
        <x:v>Missing email</x:v>
      </x:c>
    </x:row>
    <x:row r="164">
      <x:c r="A164" s="16" t="n">
        <x:v>161</x:v>
      </x:c>
      <x:c r="B164" s="16" t="str">
        <x:v>abg nazrin suami kak booci</x:v>
      </x:c>
      <x:c r="C164" s="16" t="str"/>
      <x:c r="D164" s="16" t="str"/>
      <x:c r="E164" s="16" t="str">
        <x:v>* myContacts</x:v>
      </x:c>
      <x:c r="F164" s="16" t="str">
        <x:v>014-360 4585 | +60143604585</x:v>
      </x:c>
      <x:c r="G164" s="16" t="str">
        <x:v>+60143604585 | +60143604585</x:v>
      </x:c>
      <x:c r="H164" s="16" t="str">
        <x:v>Excluded</x:v>
      </x:c>
      <x:c r="I164" s="16" t="str">
        <x:v>Missing email</x:v>
      </x:c>
    </x:row>
    <x:row r="165">
      <x:c r="A165" s="16" t="n">
        <x:v>162</x:v>
      </x:c>
      <x:c r="B165" s="16" t="str">
        <x:v>Abg Perdana</x:v>
      </x:c>
      <x:c r="C165" s="16" t="str"/>
      <x:c r="D165" s="16" t="str"/>
      <x:c r="E165" s="16" t="str">
        <x:v>* myContacts</x:v>
      </x:c>
      <x:c r="F165" s="16" t="str">
        <x:v>+60 12-263 6747 | +60122636747</x:v>
      </x:c>
      <x:c r="G165" s="16" t="str">
        <x:v>+60122636747 | +60122636747</x:v>
      </x:c>
      <x:c r="H165" s="16" t="str">
        <x:v>Excluded</x:v>
      </x:c>
      <x:c r="I165" s="16" t="str">
        <x:v>Missing email</x:v>
      </x:c>
    </x:row>
    <x:row r="166">
      <x:c r="A166" s="16" t="n">
        <x:v>163</x:v>
      </x:c>
      <x:c r="B166" s="16" t="str">
        <x:v>Abg Rahmat PPMM</x:v>
      </x:c>
      <x:c r="C166" s="16" t="str"/>
      <x:c r="D166" s="16" t="str"/>
      <x:c r="E166" s="16" t="str">
        <x:v>* myContacts</x:v>
      </x:c>
      <x:c r="F166" s="16" t="str">
        <x:v>0123155705 | +60123155705</x:v>
      </x:c>
      <x:c r="G166" s="16" t="str">
        <x:v>+60123155705 | +60123155705</x:v>
      </x:c>
      <x:c r="H166" s="16" t="str">
        <x:v>Excluded</x:v>
      </x:c>
      <x:c r="I166" s="16" t="str">
        <x:v>Missing email</x:v>
      </x:c>
    </x:row>
    <x:row r="167">
      <x:c r="A167" s="16" t="n">
        <x:v>164</x:v>
      </x:c>
      <x:c r="B167" s="16" t="str">
        <x:v>Abg Raja idris Bilal Masjid Al Awwabin</x:v>
      </x:c>
      <x:c r="C167" s="16" t="str"/>
      <x:c r="D167" s="16" t="str"/>
      <x:c r="E167" s="16" t="str">
        <x:v>* myContacts</x:v>
      </x:c>
      <x:c r="F167" s="16" t="str">
        <x:v>+60 19-397 0566 | +60193970566</x:v>
      </x:c>
      <x:c r="G167" s="16" t="str">
        <x:v>+60193970566 | +60193970566</x:v>
      </x:c>
      <x:c r="H167" s="16" t="str">
        <x:v>Excluded</x:v>
      </x:c>
      <x:c r="I167" s="16" t="str">
        <x:v>Missing email</x:v>
      </x:c>
    </x:row>
    <x:row r="168">
      <x:c r="A168" s="16" t="n">
        <x:v>165</x:v>
      </x:c>
      <x:c r="B168" s="16" t="str">
        <x:v>Abg Razak DPIM</x:v>
      </x:c>
      <x:c r="C168" s="16" t="str"/>
      <x:c r="D168" s="16" t="str"/>
      <x:c r="E168" s="16" t="str">
        <x:v>* myContacts</x:v>
      </x:c>
      <x:c r="F168" s="16" t="str">
        <x:v>+60 19-571 0054 | +60195710054</x:v>
      </x:c>
      <x:c r="G168" s="16" t="str">
        <x:v>+60195710054 | +60195710054</x:v>
      </x:c>
      <x:c r="H168" s="16" t="str">
        <x:v>Excluded</x:v>
      </x:c>
      <x:c r="I168" s="16" t="str">
        <x:v>Missing email</x:v>
      </x:c>
    </x:row>
    <x:row r="169">
      <x:c r="A169" s="16" t="n">
        <x:v>166</x:v>
      </x:c>
      <x:c r="B169" s="16" t="str">
        <x:v>Abg Razak Salleh Singapore</x:v>
      </x:c>
      <x:c r="C169" s="16" t="str"/>
      <x:c r="D169" s="16" t="str"/>
      <x:c r="E169" s="16" t="str">
        <x:v>* myContacts</x:v>
      </x:c>
      <x:c r="F169" s="16" t="str">
        <x:v>0293627788 | +60293627788</x:v>
      </x:c>
      <x:c r="G169" s="16" t="str">
        <x:v>+60293627788 | +60293627788</x:v>
      </x:c>
      <x:c r="H169" s="16" t="str">
        <x:v>Excluded</x:v>
      </x:c>
      <x:c r="I169" s="16" t="str">
        <x:v>Missing email</x:v>
      </x:c>
    </x:row>
    <x:row r="170">
      <x:c r="A170" s="16" t="n">
        <x:v>167</x:v>
      </x:c>
      <x:c r="B170" s="16" t="str">
        <x:v>Abg Razif DPIM</x:v>
      </x:c>
      <x:c r="C170" s="16" t="str"/>
      <x:c r="D170" s="16" t="str"/>
      <x:c r="E170" s="16" t="str">
        <x:v>* myContacts</x:v>
      </x:c>
      <x:c r="F170" s="16" t="str">
        <x:v>+60 12-211 6422 | +60122116422</x:v>
      </x:c>
      <x:c r="G170" s="16" t="str">
        <x:v>+60122116422 | +60122116422</x:v>
      </x:c>
      <x:c r="H170" s="16" t="str">
        <x:v>Excluded</x:v>
      </x:c>
      <x:c r="I170" s="16" t="str">
        <x:v>Missing email</x:v>
      </x:c>
    </x:row>
    <x:row r="171">
      <x:c r="A171" s="16" t="n">
        <x:v>168</x:v>
      </x:c>
      <x:c r="B171" s="16" t="str">
        <x:v>Abg Shamsul Kahar IM</x:v>
      </x:c>
      <x:c r="C171" s="16" t="str"/>
      <x:c r="D171" s="16" t="str"/>
      <x:c r="E171" s="16" t="str">
        <x:v>* myContacts</x:v>
      </x:c>
      <x:c r="F171" s="16" t="str">
        <x:v>+60 19-221 0318 | +60192210318</x:v>
      </x:c>
      <x:c r="G171" s="16" t="str">
        <x:v>+60192210318 | +60192210318</x:v>
      </x:c>
      <x:c r="H171" s="16" t="str">
        <x:v>Excluded</x:v>
      </x:c>
      <x:c r="I171" s="16" t="str">
        <x:v>Missing email</x:v>
      </x:c>
    </x:row>
    <x:row r="172">
      <x:c r="A172" s="16" t="n">
        <x:v>169</x:v>
      </x:c>
      <x:c r="B172" s="16" t="str">
        <x:v>abg suhairi merchant payment</x:v>
      </x:c>
      <x:c r="C172" s="16" t="str"/>
      <x:c r="D172" s="16" t="str"/>
      <x:c r="E172" s="16" t="str">
        <x:v>* myContacts</x:v>
      </x:c>
      <x:c r="F172" s="16" t="str">
        <x:v>012-327 3420 | +60123273420</x:v>
      </x:c>
      <x:c r="G172" s="16" t="str">
        <x:v>+60123273420 | +60123273420</x:v>
      </x:c>
      <x:c r="H172" s="16" t="str">
        <x:v>Excluded</x:v>
      </x:c>
      <x:c r="I172" s="16" t="str">
        <x:v>Missing email</x:v>
      </x:c>
    </x:row>
    <x:row r="173">
      <x:c r="A173" s="16" t="n">
        <x:v>170</x:v>
      </x:c>
      <x:c r="B173" s="16" t="str">
        <x:v>Abg Toha Consultant Pergi Indonesia</x:v>
      </x:c>
      <x:c r="C173" s="16" t="str"/>
      <x:c r="D173" s="16" t="str"/>
      <x:c r="E173" s="16" t="str">
        <x:v>* myContacts</x:v>
      </x:c>
      <x:c r="F173" s="16" t="str">
        <x:v>+60166460775</x:v>
      </x:c>
      <x:c r="G173" s="16" t="str">
        <x:v>+60166460775</x:v>
      </x:c>
      <x:c r="H173" s="16" t="str">
        <x:v>Excluded</x:v>
      </x:c>
      <x:c r="I173" s="16" t="str">
        <x:v>Missing email</x:v>
      </x:c>
    </x:row>
    <x:row r="174">
      <x:c r="A174" s="16" t="n">
        <x:v>171</x:v>
      </x:c>
      <x:c r="B174" s="16" t="str">
        <x:v>abg tukang jahit mara</x:v>
      </x:c>
      <x:c r="C174" s="16" t="str"/>
      <x:c r="D174" s="16" t="str"/>
      <x:c r="E174" s="16" t="str">
        <x:v>* myContacts</x:v>
      </x:c>
      <x:c r="F174" s="16" t="str">
        <x:v>+60 13-990 9478 | +60139909478</x:v>
      </x:c>
      <x:c r="G174" s="16" t="str">
        <x:v>+60139909478 | +60139909478</x:v>
      </x:c>
      <x:c r="H174" s="16" t="str">
        <x:v>Excluded</x:v>
      </x:c>
      <x:c r="I174" s="16" t="str">
        <x:v>Missing email</x:v>
      </x:c>
    </x:row>
    <x:row r="175">
      <x:c r="A175" s="16" t="n">
        <x:v>172</x:v>
      </x:c>
      <x:c r="B175" s="16" t="str">
        <x:v>Abg Zamani Spire</x:v>
      </x:c>
      <x:c r="C175" s="16" t="str"/>
      <x:c r="D175" s="16" t="str"/>
      <x:c r="E175" s="16" t="str">
        <x:v>* myContacts</x:v>
      </x:c>
      <x:c r="F175" s="16" t="str">
        <x:v>016-213 7050 | +60162137050</x:v>
      </x:c>
      <x:c r="G175" s="16" t="str">
        <x:v>+60162137050 | +60162137050</x:v>
      </x:c>
      <x:c r="H175" s="16" t="str">
        <x:v>Excluded</x:v>
      </x:c>
      <x:c r="I175" s="16" t="str">
        <x:v>Missing email</x:v>
      </x:c>
    </x:row>
    <x:row r="176">
      <x:c r="A176" s="16" t="n">
        <x:v>173</x:v>
      </x:c>
      <x:c r="B176" s="16" t="str">
        <x:v>Abg zul bapak ku punya tv</x:v>
      </x:c>
      <x:c r="C176" s="16" t="str"/>
      <x:c r="D176" s="16" t="str"/>
      <x:c r="E176" s="16" t="str">
        <x:v>* myContacts</x:v>
      </x:c>
      <x:c r="F176" s="16" t="str">
        <x:v>012-287 4900 | +60122874900</x:v>
      </x:c>
      <x:c r="G176" s="16" t="str">
        <x:v>+60122874900 | +60122874900</x:v>
      </x:c>
      <x:c r="H176" s="16" t="str">
        <x:v>Excluded</x:v>
      </x:c>
      <x:c r="I176" s="16" t="str">
        <x:v>Missing email</x:v>
      </x:c>
    </x:row>
    <x:row r="177">
      <x:c r="A177" s="16" t="n">
        <x:v>174</x:v>
      </x:c>
      <x:c r="B177" s="16" t="str">
        <x:v>Abg Zul CWA</x:v>
      </x:c>
      <x:c r="C177" s="16" t="str"/>
      <x:c r="D177" s="16" t="str"/>
      <x:c r="E177" s="16" t="str">
        <x:v>* myContacts</x:v>
      </x:c>
      <x:c r="F177" s="16" t="str">
        <x:v>+60 12-297 6156 | +60122976156</x:v>
      </x:c>
      <x:c r="G177" s="16" t="str">
        <x:v>+60122976156 | +60122976156</x:v>
      </x:c>
      <x:c r="H177" s="16" t="str">
        <x:v>Excluded</x:v>
      </x:c>
      <x:c r="I177" s="16" t="str">
        <x:v>Missing email</x:v>
      </x:c>
    </x:row>
    <x:row r="178">
      <x:c r="A178" s="16" t="n">
        <x:v>175</x:v>
      </x:c>
      <x:c r="B178" s="16" t="str">
        <x:v>Abg Zul neighbour</x:v>
      </x:c>
      <x:c r="C178" s="16" t="str"/>
      <x:c r="D178" s="16" t="str"/>
      <x:c r="E178" s="16" t="str">
        <x:v>* myContacts</x:v>
      </x:c>
      <x:c r="F178" s="16" t="str">
        <x:v>+60 11-2723 1005 | +601127231005</x:v>
      </x:c>
      <x:c r="G178" s="16" t="str">
        <x:v>+601127231005 | +601127231005</x:v>
      </x:c>
      <x:c r="H178" s="16" t="str">
        <x:v>Excluded</x:v>
      </x:c>
      <x:c r="I178" s="16" t="str">
        <x:v>Missing email</x:v>
      </x:c>
    </x:row>
    <x:row r="179">
      <x:c r="A179" s="16" t="n">
        <x:v>176</x:v>
      </x:c>
      <x:c r="B179" s="16" t="str">
        <x:v>Abg Zul Teha Sweet Bites</x:v>
      </x:c>
      <x:c r="C179" s="16" t="str"/>
      <x:c r="D179" s="16" t="str"/>
      <x:c r="E179" s="16" t="str">
        <x:v>* myContacts</x:v>
      </x:c>
      <x:c r="F179" s="16" t="str">
        <x:v>+601133333436</x:v>
      </x:c>
      <x:c r="G179" s="16" t="str">
        <x:v>+601133333436</x:v>
      </x:c>
      <x:c r="H179" s="16" t="str">
        <x:v>Excluded</x:v>
      </x:c>
      <x:c r="I179" s="16" t="str">
        <x:v>Missing email</x:v>
      </x:c>
    </x:row>
    <x:row r="180">
      <x:c r="A180" s="16" t="n">
        <x:v>177</x:v>
      </x:c>
      <x:c r="B180" s="16" t="str">
        <x:v>Abg Zulkhis P2</x:v>
      </x:c>
      <x:c r="C180" s="16" t="str"/>
      <x:c r="D180" s="16" t="str"/>
      <x:c r="E180" s="16" t="str">
        <x:v>* myContacts</x:v>
      </x:c>
      <x:c r="F180" s="16" t="str">
        <x:v>+60 17-870 5702 | +60178705702</x:v>
      </x:c>
      <x:c r="G180" s="16" t="str">
        <x:v>+60178705702 | +60178705702</x:v>
      </x:c>
      <x:c r="H180" s="16" t="str">
        <x:v>Excluded</x:v>
      </x:c>
      <x:c r="I180" s="16" t="str">
        <x:v>Missing email</x:v>
      </x:c>
    </x:row>
    <x:row r="181">
      <x:c r="A181" s="16" t="n">
        <x:v>178</x:v>
      </x:c>
      <x:c r="B181" s="16" t="str">
        <x:v>AbgChik Eyzam</x:v>
      </x:c>
      <x:c r="C181" s="16" t="str"/>
      <x:c r="D181" s="16" t="str"/>
      <x:c r="E181" s="16" t="str">
        <x:v>* myContacts</x:v>
      </x:c>
      <x:c r="F181" s="16" t="str">
        <x:v>+60174995629</x:v>
      </x:c>
      <x:c r="G181" s="16" t="str">
        <x:v>+60174995629</x:v>
      </x:c>
      <x:c r="H181" s="16" t="str">
        <x:v>Excluded</x:v>
      </x:c>
      <x:c r="I181" s="16" t="str">
        <x:v>Missing email</x:v>
      </x:c>
    </x:row>
    <x:row r="182">
      <x:c r="A182" s="16" t="n">
        <x:v>179</x:v>
      </x:c>
      <x:c r="B182" s="16" t="str">
        <x:v>Abgmahadi De</x:v>
      </x:c>
      <x:c r="C182" s="16" t="str"/>
      <x:c r="D182" s="16" t="str"/>
      <x:c r="E182" s="16" t="str">
        <x:v>* myContacts</x:v>
      </x:c>
      <x:c r="F182" s="16" t="str">
        <x:v>+6063362571</x:v>
      </x:c>
      <x:c r="G182" s="16" t="str">
        <x:v>+6063362571</x:v>
      </x:c>
      <x:c r="H182" s="16" t="str">
        <x:v>Excluded</x:v>
      </x:c>
      <x:c r="I182" s="16" t="str">
        <x:v>Missing email</x:v>
      </x:c>
    </x:row>
    <x:row r="183">
      <x:c r="A183" s="16" t="n">
        <x:v>180</x:v>
      </x:c>
      <x:c r="B183" s="16" t="str">
        <x:v>Abi Hafizal</x:v>
      </x:c>
      <x:c r="C183" s="16" t="str"/>
      <x:c r="D183" s="16" t="str"/>
      <x:c r="E183" s="16" t="str">
        <x:v>* myContacts</x:v>
      </x:c>
      <x:c r="F183" s="16" t="str">
        <x:v>+60135925938</x:v>
      </x:c>
      <x:c r="G183" s="16" t="str">
        <x:v>+60135925938</x:v>
      </x:c>
      <x:c r="H183" s="16" t="str">
        <x:v>Excluded</x:v>
      </x:c>
      <x:c r="I183" s="16" t="str">
        <x:v>Missing email</x:v>
      </x:c>
    </x:row>
    <x:row r="184">
      <x:c r="A184" s="16" t="n">
        <x:v>181</x:v>
      </x:c>
      <x:c r="B184" s="16" t="str">
        <x:v>Abid Ahmed</x:v>
      </x:c>
      <x:c r="C184" s="16" t="str"/>
      <x:c r="D184" s="16" t="str"/>
      <x:c r="E184" s="16" t="str">
        <x:v>* myContacts</x:v>
      </x:c>
      <x:c r="F184" s="16" t="str">
        <x:v>+601112278532</x:v>
      </x:c>
      <x:c r="G184" s="16" t="str">
        <x:v>+601112278532</x:v>
      </x:c>
      <x:c r="H184" s="16" t="str">
        <x:v>Excluded</x:v>
      </x:c>
      <x:c r="I184" s="16" t="str">
        <x:v>Missing email</x:v>
      </x:c>
    </x:row>
    <x:row r="185">
      <x:c r="A185" s="16" t="n">
        <x:v>182</x:v>
      </x:c>
      <x:c r="B185" s="16" t="str">
        <x:v>Abid Hussain Hussain</x:v>
      </x:c>
      <x:c r="C185" s="16" t="str"/>
      <x:c r="D185" s="16" t="str"/>
      <x:c r="E185" s="16" t="str">
        <x:v>* myContacts</x:v>
      </x:c>
      <x:c r="F185" s="16" t="str">
        <x:v>+923434817802</x:v>
      </x:c>
      <x:c r="G185" s="16" t="str">
        <x:v>+923434817802</x:v>
      </x:c>
      <x:c r="H185" s="16" t="str">
        <x:v>Excluded</x:v>
      </x:c>
      <x:c r="I185" s="16" t="str">
        <x:v>Missing email</x:v>
      </x:c>
    </x:row>
    <x:row r="186">
      <x:c r="A186" s="16" t="n">
        <x:v>183</x:v>
      </x:c>
      <x:c r="B186" s="16" t="str">
        <x:v>Abidin Bin Sharif AGP</x:v>
      </x:c>
      <x:c r="C186" s="16" t="str"/>
      <x:c r="D186" s="16" t="str"/>
      <x:c r="E186" s="16" t="str">
        <x:v>* myContacts</x:v>
      </x:c>
      <x:c r="F186" s="16" t="str">
        <x:v>+60 12-561 7644 | +60125617644</x:v>
      </x:c>
      <x:c r="G186" s="16" t="str">
        <x:v>+60125617644 | +60125617644</x:v>
      </x:c>
      <x:c r="H186" s="16" t="str">
        <x:v>Excluded</x:v>
      </x:c>
      <x:c r="I186" s="16" t="str">
        <x:v>Missing email</x:v>
      </x:c>
    </x:row>
    <x:row r="187">
      <x:c r="A187" s="16" t="n">
        <x:v>184</x:v>
      </x:c>
      <x:c r="B187" s="16" t="str">
        <x:v>Abou Ahmad</x:v>
      </x:c>
      <x:c r="C187" s="16" t="str"/>
      <x:c r="D187" s="16" t="str"/>
      <x:c r="E187" s="16" t="str">
        <x:v>* myContacts</x:v>
      </x:c>
      <x:c r="F187" s="16" t="str">
        <x:v>+60103140030</x:v>
      </x:c>
      <x:c r="G187" s="16" t="str">
        <x:v>+60103140030</x:v>
      </x:c>
      <x:c r="H187" s="16" t="str">
        <x:v>Excluded</x:v>
      </x:c>
      <x:c r="I187" s="16" t="str">
        <x:v>Missing email</x:v>
      </x:c>
    </x:row>
    <x:row r="188">
      <x:c r="A188" s="16" t="n">
        <x:v>185</x:v>
      </x:c>
      <x:c r="B188" s="16" t="str">
        <x:v>Aboy IM</x:v>
      </x:c>
      <x:c r="C188" s="16" t="str"/>
      <x:c r="D188" s="16" t="str"/>
      <x:c r="E188" s="16" t="str">
        <x:v>* myContacts</x:v>
      </x:c>
      <x:c r="F188" s="16" t="str">
        <x:v>+60 13-232 2911 | +60132322911</x:v>
      </x:c>
      <x:c r="G188" s="16" t="str">
        <x:v>+60132322911 | +60132322911</x:v>
      </x:c>
      <x:c r="H188" s="16" t="str">
        <x:v>Excluded</x:v>
      </x:c>
      <x:c r="I188" s="16" t="str">
        <x:v>Missing email</x:v>
      </x:c>
    </x:row>
    <x:row r="189">
      <x:c r="A189" s="16" t="n">
        <x:v>186</x:v>
      </x:c>
      <x:c r="B189" s="16" t="str">
        <x:v>Abs Cuci Karpet HomeDelivery</x:v>
      </x:c>
      <x:c r="C189" s="16" t="str"/>
      <x:c r="D189" s="16" t="str"/>
      <x:c r="E189" s="16" t="str">
        <x:v>* myContacts</x:v>
      </x:c>
      <x:c r="F189" s="16" t="str">
        <x:v>+601151760016</x:v>
      </x:c>
      <x:c r="G189" s="16" t="str">
        <x:v>+601151760016</x:v>
      </x:c>
      <x:c r="H189" s="16" t="str">
        <x:v>Excluded</x:v>
      </x:c>
      <x:c r="I189" s="16" t="str">
        <x:v>Missing email</x:v>
      </x:c>
    </x:row>
    <x:row r="190">
      <x:c r="A190" s="16" t="n">
        <x:v>187</x:v>
      </x:c>
      <x:c r="B190" s="16" t="str">
        <x:v>Abu Bakar</x:v>
      </x:c>
      <x:c r="C190" s="16" t="str"/>
      <x:c r="D190" s="16" t="str"/>
      <x:c r="E190" s="16" t="str">
        <x:v>* myContacts</x:v>
      </x:c>
      <x:c r="F190" s="16" t="str">
        <x:v>+60196973524</x:v>
      </x:c>
      <x:c r="G190" s="16" t="str">
        <x:v>+60196973524</x:v>
      </x:c>
      <x:c r="H190" s="16" t="str">
        <x:v>Excluded</x:v>
      </x:c>
      <x:c r="I190" s="16" t="str">
        <x:v>Missing email</x:v>
      </x:c>
    </x:row>
    <x:row r="191">
      <x:c r="A191" s="16" t="n">
        <x:v>188</x:v>
      </x:c>
      <x:c r="B191" s="16" t="str">
        <x:v>Abu Bakar Ahmad Abbm</x:v>
      </x:c>
      <x:c r="C191" s="16" t="str"/>
      <x:c r="D191" s="16" t="str"/>
      <x:c r="E191" s="16" t="str">
        <x:v>* myContacts</x:v>
      </x:c>
      <x:c r="F191" s="16" t="str">
        <x:v>+60192272003</x:v>
      </x:c>
      <x:c r="G191" s="16" t="str">
        <x:v>+60192272003</x:v>
      </x:c>
      <x:c r="H191" s="16" t="str">
        <x:v>Excluded</x:v>
      </x:c>
      <x:c r="I191" s="16" t="str">
        <x:v>Missing email</x:v>
      </x:c>
    </x:row>
    <x:row r="192">
      <x:c r="A192" s="16" t="n">
        <x:v>189</x:v>
      </x:c>
      <x:c r="B192" s="16" t="str">
        <x:v>Abu Bakar Nordin</x:v>
      </x:c>
      <x:c r="C192" s="16" t="str"/>
      <x:c r="D192" s="16" t="str"/>
      <x:c r="E192" s="16" t="str">
        <x:v>* myContacts</x:v>
      </x:c>
      <x:c r="F192" s="16" t="str">
        <x:v>+60148460065</x:v>
      </x:c>
      <x:c r="G192" s="16" t="str">
        <x:v>+60148460065</x:v>
      </x:c>
      <x:c r="H192" s="16" t="str">
        <x:v>Excluded</x:v>
      </x:c>
      <x:c r="I192" s="16" t="str">
        <x:v>Missing email</x:v>
      </x:c>
    </x:row>
    <x:row r="193">
      <x:c r="A193" s="16" t="n">
        <x:v>190</x:v>
      </x:c>
      <x:c r="B193" s="16" t="str">
        <x:v>Abu Barzakh AGP IM</x:v>
      </x:c>
      <x:c r="C193" s="16" t="str"/>
      <x:c r="D193" s="16" t="str"/>
      <x:c r="E193" s="16" t="str">
        <x:v>* myContacts</x:v>
      </x:c>
      <x:c r="F193" s="16" t="str">
        <x:v>0133420420 | +60133420420 | +60 11-6276 9336</x:v>
      </x:c>
      <x:c r="G193" s="16" t="str">
        <x:v>+60133420420 | +60133420420 | +601162769336</x:v>
      </x:c>
      <x:c r="H193" s="16" t="str">
        <x:v>Excluded</x:v>
      </x:c>
      <x:c r="I193" s="16" t="str">
        <x:v>Missing email</x:v>
      </x:c>
    </x:row>
    <x:row r="194">
      <x:c r="A194" s="16" t="n">
        <x:v>191</x:v>
      </x:c>
      <x:c r="B194" s="16" t="str">
        <x:v>Abu Hanafiah FlyHearth</x:v>
      </x:c>
      <x:c r="C194" s="16" t="str"/>
      <x:c r="D194" s="16" t="str"/>
      <x:c r="E194" s="16" t="str">
        <x:v>* myContacts</x:v>
      </x:c>
      <x:c r="F194" s="16" t="str">
        <x:v>+60138458204</x:v>
      </x:c>
      <x:c r="G194" s="16" t="str">
        <x:v>+60138458204</x:v>
      </x:c>
      <x:c r="H194" s="16" t="str">
        <x:v>Excluded</x:v>
      </x:c>
      <x:c r="I194" s="16" t="str">
        <x:v>Missing email</x:v>
      </x:c>
    </x:row>
    <x:row r="195">
      <x:c r="A195" s="16" t="n">
        <x:v>192</x:v>
      </x:c>
      <x:c r="B195" s="16" t="str">
        <x:v>Abu IM</x:v>
      </x:c>
      <x:c r="C195" s="16" t="str"/>
      <x:c r="D195" s="16" t="str"/>
      <x:c r="E195" s="16" t="str">
        <x:v>* myContacts</x:v>
      </x:c>
      <x:c r="F195" s="16" t="str">
        <x:v>017-252 1842 | +60172521842</x:v>
      </x:c>
      <x:c r="G195" s="16" t="str">
        <x:v>+60172521842 | +60172521842</x:v>
      </x:c>
      <x:c r="H195" s="16" t="str">
        <x:v>Excluded</x:v>
      </x:c>
      <x:c r="I195" s="16" t="str">
        <x:v>Missing email</x:v>
      </x:c>
    </x:row>
    <x:row r="196">
      <x:c r="A196" s="16" t="n">
        <x:v>193</x:v>
      </x:c>
      <x:c r="B196" s="16" t="str">
        <x:v>Abu Kassim Tcj</x:v>
      </x:c>
      <x:c r="C196" s="16" t="str"/>
      <x:c r="D196" s="16" t="str"/>
      <x:c r="E196" s="16" t="str">
        <x:v>* myContacts</x:v>
      </x:c>
      <x:c r="F196" s="16" t="str">
        <x:v>+60164497224</x:v>
      </x:c>
      <x:c r="G196" s="16" t="str">
        <x:v>+60164497224</x:v>
      </x:c>
      <x:c r="H196" s="16" t="str">
        <x:v>Excluded</x:v>
      </x:c>
      <x:c r="I196" s="16" t="str">
        <x:v>Missing email</x:v>
      </x:c>
    </x:row>
    <x:row r="197">
      <x:c r="A197" s="16" t="n">
        <x:v>194</x:v>
      </x:c>
      <x:c r="B197" s="16" t="str">
        <x:v>Abu Khafiey</x:v>
      </x:c>
      <x:c r="C197" s="16" t="str"/>
      <x:c r="D197" s="16" t="str"/>
      <x:c r="E197" s="16" t="str">
        <x:v>* myContacts</x:v>
      </x:c>
      <x:c r="F197" s="16" t="str">
        <x:v>+60179089544</x:v>
      </x:c>
      <x:c r="G197" s="16" t="str">
        <x:v>+60179089544</x:v>
      </x:c>
      <x:c r="H197" s="16" t="str">
        <x:v>Excluded</x:v>
      </x:c>
      <x:c r="I197" s="16" t="str">
        <x:v>Missing email</x:v>
      </x:c>
    </x:row>
    <x:row r="198">
      <x:c r="A198" s="16" t="n">
        <x:v>195</x:v>
      </x:c>
      <x:c r="B198" s="16" t="str">
        <x:v>Abu MustoffaMikhael</x:v>
      </x:c>
      <x:c r="C198" s="16" t="str"/>
      <x:c r="D198" s="16" t="str"/>
      <x:c r="E198" s="16" t="str">
        <x:v>* myContacts</x:v>
      </x:c>
      <x:c r="F198" s="16" t="str">
        <x:v>+60182334454</x:v>
      </x:c>
      <x:c r="G198" s="16" t="str">
        <x:v>+60182334454</x:v>
      </x:c>
      <x:c r="H198" s="16" t="str">
        <x:v>Excluded</x:v>
      </x:c>
      <x:c r="I198" s="16" t="str">
        <x:v>Missing email</x:v>
      </x:c>
    </x:row>
    <x:row r="199">
      <x:c r="A199" s="16" t="n">
        <x:v>196</x:v>
      </x:c>
      <x:c r="B199" s="16" t="str">
        <x:v>Abu samah AGP</x:v>
      </x:c>
      <x:c r="C199" s="16" t="str"/>
      <x:c r="D199" s="16" t="str"/>
      <x:c r="E199" s="16" t="str">
        <x:v>* myContacts</x:v>
      </x:c>
      <x:c r="F199" s="16" t="str">
        <x:v>+60 19-745 6546 | +60197456546</x:v>
      </x:c>
      <x:c r="G199" s="16" t="str">
        <x:v>+60197456546 | +60197456546</x:v>
      </x:c>
      <x:c r="H199" s="16" t="str">
        <x:v>Excluded</x:v>
      </x:c>
      <x:c r="I199" s="16" t="str">
        <x:v>Missing email</x:v>
      </x:c>
    </x:row>
    <x:row r="200">
      <x:c r="A200" s="16" t="n">
        <x:v>197</x:v>
      </x:c>
      <x:c r="B200" s="16" t="str">
        <x:v>Abuzar Ghaffari AGP</x:v>
      </x:c>
      <x:c r="C200" s="16" t="str"/>
      <x:c r="D200" s="16" t="str"/>
      <x:c r="E200" s="16" t="str">
        <x:v>* myContacts</x:v>
      </x:c>
      <x:c r="F200" s="16" t="str">
        <x:v>+60 12-934 8427 | +60129348427</x:v>
      </x:c>
      <x:c r="G200" s="16" t="str">
        <x:v>+60129348427 | +60129348427</x:v>
      </x:c>
      <x:c r="H200" s="16" t="str">
        <x:v>Excluded</x:v>
      </x:c>
      <x:c r="I200" s="16" t="str">
        <x:v>Missing email</x:v>
      </x:c>
    </x:row>
    <x:row r="201">
      <x:c r="A201" s="16" t="n">
        <x:v>198</x:v>
      </x:c>
      <x:c r="B201" s="16" t="str">
        <x:v>Ac Punk</x:v>
      </x:c>
      <x:c r="C201" s="16" t="str"/>
      <x:c r="D201" s="16" t="str"/>
      <x:c r="E201" s="16" t="str">
        <x:v>* myContacts</x:v>
      </x:c>
      <x:c r="F201" s="16" t="str">
        <x:v>+60195690338</x:v>
      </x:c>
      <x:c r="G201" s="16" t="str">
        <x:v>+60195690338</x:v>
      </x:c>
      <x:c r="H201" s="16" t="str">
        <x:v>Excluded</x:v>
      </x:c>
      <x:c r="I201" s="16" t="str">
        <x:v>Missing email</x:v>
      </x:c>
    </x:row>
    <x:row r="202">
      <x:c r="A202" s="16" t="n">
        <x:v>199</x:v>
      </x:c>
      <x:c r="B202" s="16" t="str">
        <x:v>Acai Apx</x:v>
      </x:c>
      <x:c r="C202" s="16" t="str"/>
      <x:c r="D202" s="16" t="str"/>
      <x:c r="E202" s="16" t="str">
        <x:v>* myContacts</x:v>
      </x:c>
      <x:c r="F202" s="16" t="str">
        <x:v>+60174739910</x:v>
      </x:c>
      <x:c r="G202" s="16" t="str">
        <x:v>+60174739910</x:v>
      </x:c>
      <x:c r="H202" s="16" t="str">
        <x:v>Excluded</x:v>
      </x:c>
      <x:c r="I202" s="16" t="str">
        <x:v>Missing email</x:v>
      </x:c>
    </x:row>
    <x:row r="203">
      <x:c r="A203" s="16" t="n">
        <x:v>200</x:v>
      </x:c>
      <x:c r="B203" s="16" t="str">
        <x:v>Acaii Tiger</x:v>
      </x:c>
      <x:c r="C203" s="16" t="str"/>
      <x:c r="D203" s="16" t="str"/>
      <x:c r="E203" s="16" t="str">
        <x:v>* myContacts</x:v>
      </x:c>
      <x:c r="F203" s="16" t="str">
        <x:v>+60199007563</x:v>
      </x:c>
      <x:c r="G203" s="16" t="str">
        <x:v>+60199007563</x:v>
      </x:c>
      <x:c r="H203" s="16" t="str">
        <x:v>Excluded</x:v>
      </x:c>
      <x:c r="I203" s="16" t="str">
        <x:v>Missing email</x:v>
      </x:c>
    </x:row>
    <x:row r="204">
      <x:c r="A204" s="16" t="n">
        <x:v>201</x:v>
      </x:c>
      <x:c r="B204" s="16" t="str">
        <x:v>acap im kl</x:v>
      </x:c>
      <x:c r="C204" s="16" t="str"/>
      <x:c r="D204" s="16" t="str"/>
      <x:c r="E204" s="16" t="str">
        <x:v>* myContacts</x:v>
      </x:c>
      <x:c r="F204" s="16" t="str">
        <x:v>0133405063 | +60133405063</x:v>
      </x:c>
      <x:c r="G204" s="16" t="str">
        <x:v>+60133405063 | +60133405063</x:v>
      </x:c>
      <x:c r="H204" s="16" t="str">
        <x:v>Excluded</x:v>
      </x:c>
      <x:c r="I204" s="16" t="str">
        <x:v>Missing email</x:v>
      </x:c>
    </x:row>
    <x:row r="205">
      <x:c r="A205" s="16" t="n">
        <x:v>202</x:v>
      </x:c>
      <x:c r="B205" s="16" t="str">
        <x:v>Acap Marcello</x:v>
      </x:c>
      <x:c r="C205" s="16" t="str"/>
      <x:c r="D205" s="16" t="str"/>
      <x:c r="E205" s="16" t="str">
        <x:v>* myContacts</x:v>
      </x:c>
      <x:c r="F205" s="16" t="str">
        <x:v>+60139427594</x:v>
      </x:c>
      <x:c r="G205" s="16" t="str">
        <x:v>+60139427594</x:v>
      </x:c>
      <x:c r="H205" s="16" t="str">
        <x:v>Excluded</x:v>
      </x:c>
      <x:c r="I205" s="16" t="str">
        <x:v>Missing email</x:v>
      </x:c>
    </x:row>
    <x:row r="206">
      <x:c r="A206" s="16" t="n">
        <x:v>203</x:v>
      </x:c>
      <x:c r="B206" s="16" t="str">
        <x:v>Acap Wady</x:v>
      </x:c>
      <x:c r="C206" s="16" t="str"/>
      <x:c r="D206" s="16" t="str"/>
      <x:c r="E206" s="16" t="str">
        <x:v>* myContacts</x:v>
      </x:c>
      <x:c r="F206" s="16" t="str">
        <x:v>+60124506400</x:v>
      </x:c>
      <x:c r="G206" s="16" t="str">
        <x:v>+60124506400</x:v>
      </x:c>
      <x:c r="H206" s="16" t="str">
        <x:v>Excluded</x:v>
      </x:c>
      <x:c r="I206" s="16" t="str">
        <x:v>Missing email</x:v>
      </x:c>
    </x:row>
    <x:row r="207">
      <x:c r="A207" s="16" t="n">
        <x:v>204</x:v>
      </x:c>
      <x:c r="B207" s="16" t="str">
        <x:v>Accoung manager NADIA AMIR AVANA</x:v>
      </x:c>
      <x:c r="C207" s="16" t="str"/>
      <x:c r="D207" s="16" t="str"/>
      <x:c r="E207" s="16" t="str">
        <x:v>* myContacts</x:v>
      </x:c>
      <x:c r="F207" s="16" t="str">
        <x:v>+60 12-244 9698 | +60122449698</x:v>
      </x:c>
      <x:c r="G207" s="16" t="str">
        <x:v>+60122449698 | +60122449698</x:v>
      </x:c>
      <x:c r="H207" s="16" t="str">
        <x:v>Excluded</x:v>
      </x:c>
      <x:c r="I207" s="16" t="str">
        <x:v>Missing email</x:v>
      </x:c>
    </x:row>
    <x:row r="208">
      <x:c r="A208" s="16" t="n">
        <x:v>205</x:v>
      </x:c>
      <x:c r="B208" s="16" t="str">
        <x:v>Ace Etol Songalia</x:v>
      </x:c>
      <x:c r="C208" s="16" t="str"/>
      <x:c r="D208" s="16" t="str"/>
      <x:c r="E208" s="16" t="str">
        <x:v>* myContacts</x:v>
      </x:c>
      <x:c r="F208" s="16" t="str">
        <x:v>+60149595418</x:v>
      </x:c>
      <x:c r="G208" s="16" t="str">
        <x:v>+60149595418</x:v>
      </x:c>
      <x:c r="H208" s="16" t="str">
        <x:v>Excluded</x:v>
      </x:c>
      <x:c r="I208" s="16" t="str">
        <x:v>Missing email</x:v>
      </x:c>
    </x:row>
    <x:row r="209">
      <x:c r="A209" s="16" t="n">
        <x:v>206</x:v>
      </x:c>
      <x:c r="B209" s="16" t="str">
        <x:v>Achik Asmah</x:v>
      </x:c>
      <x:c r="C209" s="16" t="str"/>
      <x:c r="D209" s="16" t="str"/>
      <x:c r="E209" s="16" t="str">
        <x:v>* myContacts</x:v>
      </x:c>
      <x:c r="F209" s="16" t="str">
        <x:v>+60182323864 | 0174225175 | +60182323864 | 0174225175</x:v>
      </x:c>
      <x:c r="G209" s="16" t="str">
        <x:v>+60182323864 | +60174225175 | +60182323864 | +60174225175</x:v>
      </x:c>
      <x:c r="H209" s="16" t="str">
        <x:v>Excluded</x:v>
      </x:c>
      <x:c r="I209" s="16" t="str">
        <x:v>Missing email</x:v>
      </x:c>
    </x:row>
    <x:row r="210">
      <x:c r="A210" s="16" t="n">
        <x:v>207</x:v>
      </x:c>
      <x:c r="B210" s="16" t="str">
        <x:v>Achik Dan Hakimi</x:v>
      </x:c>
      <x:c r="C210" s="16" t="str"/>
      <x:c r="D210" s="16" t="str"/>
      <x:c r="E210" s="16" t="str">
        <x:v>* myContacts</x:v>
      </x:c>
      <x:c r="F210" s="16" t="str">
        <x:v>+6281253717606</x:v>
      </x:c>
      <x:c r="G210" s="16" t="str">
        <x:v>+6281253717606</x:v>
      </x:c>
      <x:c r="H210" s="16" t="str">
        <x:v>Excluded</x:v>
      </x:c>
      <x:c r="I210" s="16" t="str">
        <x:v>Missing email</x:v>
      </x:c>
    </x:row>
    <x:row r="211">
      <x:c r="A211" s="16" t="n">
        <x:v>208</x:v>
      </x:c>
      <x:c r="B211" s="16" t="str">
        <x:v>Achik Gee Lumut</x:v>
      </x:c>
      <x:c r="C211" s="16" t="str"/>
      <x:c r="D211" s="16" t="str"/>
      <x:c r="E211" s="16" t="str">
        <x:v>* myContacts</x:v>
      </x:c>
      <x:c r="F211" s="16" t="str">
        <x:v>+60 19-559 0401 | +60195590401</x:v>
      </x:c>
      <x:c r="G211" s="16" t="str">
        <x:v>+60195590401 | +60195590401</x:v>
      </x:c>
      <x:c r="H211" s="16" t="str">
        <x:v>Excluded</x:v>
      </x:c>
      <x:c r="I211" s="16" t="str">
        <x:v>Missing email</x:v>
      </x:c>
    </x:row>
    <x:row r="212">
      <x:c r="A212" s="16" t="n">
        <x:v>209</x:v>
      </x:c>
      <x:c r="B212" s="16" t="str">
        <x:v>Achik Ila</x:v>
      </x:c>
      <x:c r="C212" s="16" t="str"/>
      <x:c r="D212" s="16" t="str"/>
      <x:c r="E212" s="16" t="str">
        <x:v>* myContacts</x:v>
      </x:c>
      <x:c r="F212" s="16" t="str">
        <x:v>+60147590520</x:v>
      </x:c>
      <x:c r="G212" s="16" t="str">
        <x:v>+60147590520</x:v>
      </x:c>
      <x:c r="H212" s="16" t="str">
        <x:v>Excluded</x:v>
      </x:c>
      <x:c r="I212" s="16" t="str">
        <x:v>Missing email</x:v>
      </x:c>
    </x:row>
    <x:row r="213">
      <x:c r="A213" s="16" t="n">
        <x:v>210</x:v>
      </x:c>
      <x:c r="B213" s="16" t="str">
        <x:v>Achik Midah</x:v>
      </x:c>
      <x:c r="C213" s="16" t="str"/>
      <x:c r="D213" s="16" t="str"/>
      <x:c r="E213" s="16" t="str">
        <x:v>* myContacts</x:v>
      </x:c>
      <x:c r="F213" s="16" t="str">
        <x:v>+60123841457</x:v>
      </x:c>
      <x:c r="G213" s="16" t="str">
        <x:v>+60123841457</x:v>
      </x:c>
      <x:c r="H213" s="16" t="str">
        <x:v>Excluded</x:v>
      </x:c>
      <x:c r="I213" s="16" t="str">
        <x:v>Missing email</x:v>
      </x:c>
    </x:row>
    <x:row r="214">
      <x:c r="A214" s="16" t="n">
        <x:v>211</x:v>
      </x:c>
      <x:c r="B214" s="16" t="str">
        <x:v>Achmad Bolenk Putrachnduwesow</x:v>
      </x:c>
      <x:c r="C214" s="16" t="str"/>
      <x:c r="D214" s="16" t="str"/>
      <x:c r="E214" s="16" t="str">
        <x:v>* myContacts</x:v>
      </x:c>
      <x:c r="F214" s="16" t="str">
        <x:v>+60143715946</x:v>
      </x:c>
      <x:c r="G214" s="16" t="str">
        <x:v>+60143715946</x:v>
      </x:c>
      <x:c r="H214" s="16" t="str">
        <x:v>Excluded</x:v>
      </x:c>
      <x:c r="I214" s="16" t="str">
        <x:v>Missing email</x:v>
      </x:c>
    </x:row>
    <x:row r="215">
      <x:c r="A215" s="16" t="n">
        <x:v>212</x:v>
      </x:c>
      <x:c r="B215" s="16" t="str">
        <x:v>Achu</x:v>
      </x:c>
      <x:c r="C215" s="16" t="str"/>
      <x:c r="D215" s="16" t="str"/>
      <x:c r="E215" s="16" t="str">
        <x:v>* myContacts</x:v>
      </x:c>
      <x:c r="F215" s="16" t="str">
        <x:v>+60 12-330 0439 | +60123300439</x:v>
      </x:c>
      <x:c r="G215" s="16" t="str">
        <x:v>+60123300439 | +60123300439</x:v>
      </x:c>
      <x:c r="H215" s="16" t="str">
        <x:v>Excluded</x:v>
      </x:c>
      <x:c r="I215" s="16" t="str">
        <x:v>Missing email</x:v>
      </x:c>
    </x:row>
    <x:row r="216">
      <x:c r="A216" s="16" t="n">
        <x:v>213</x:v>
      </x:c>
      <x:c r="B216" s="16" t="str">
        <x:v>Acik</x:v>
      </x:c>
      <x:c r="C216" s="16" t="str"/>
      <x:c r="D216" s="16" t="str"/>
      <x:c r="E216" s="16" t="str">
        <x:v>* myContacts</x:v>
      </x:c>
      <x:c r="F216" s="16" t="str">
        <x:v>012-336 4088 | +60123364088</x:v>
      </x:c>
      <x:c r="G216" s="16" t="str">
        <x:v>+60123364088 | +60123364088</x:v>
      </x:c>
      <x:c r="H216" s="16" t="str">
        <x:v>Excluded</x:v>
      </x:c>
      <x:c r="I216" s="16" t="str">
        <x:v>Missing email</x:v>
      </x:c>
    </x:row>
    <x:row r="217">
      <x:c r="A217" s="16" t="n">
        <x:v>214</x:v>
      </x:c>
      <x:c r="B217" s="16" t="str">
        <x:v>Acik Hafiz</x:v>
      </x:c>
      <x:c r="C217" s="16" t="str"/>
      <x:c r="D217" s="16" t="str"/>
      <x:c r="E217" s="16" t="str">
        <x:v>* myContacts</x:v>
      </x:c>
      <x:c r="F217" s="16" t="str">
        <x:v>+60175235154</x:v>
      </x:c>
      <x:c r="G217" s="16" t="str">
        <x:v>+60175235154</x:v>
      </x:c>
      <x:c r="H217" s="16" t="str">
        <x:v>Excluded</x:v>
      </x:c>
      <x:c r="I217" s="16" t="str">
        <x:v>Missing email</x:v>
      </x:c>
    </x:row>
    <x:row r="218">
      <x:c r="A218" s="16" t="n">
        <x:v>215</x:v>
      </x:c>
      <x:c r="B218" s="16" t="str">
        <x:v>Acik Ida Acik</x:v>
      </x:c>
      <x:c r="C218" s="16" t="str"/>
      <x:c r="D218" s="16" t="str"/>
      <x:c r="E218" s="16" t="str">
        <x:v>* myContacts</x:v>
      </x:c>
      <x:c r="F218" s="16" t="str">
        <x:v>+60124542680</x:v>
      </x:c>
      <x:c r="G218" s="16" t="str">
        <x:v>+60124542680</x:v>
      </x:c>
      <x:c r="H218" s="16" t="str">
        <x:v>Excluded</x:v>
      </x:c>
      <x:c r="I218" s="16" t="str">
        <x:v>Missing email</x:v>
      </x:c>
    </x:row>
    <x:row r="219">
      <x:c r="A219" s="16" t="n">
        <x:v>216</x:v>
      </x:c>
      <x:c r="B219" s="16" t="str">
        <x:v>Acik Norfadhilah Maulut</x:v>
      </x:c>
      <x:c r="C219" s="16" t="str"/>
      <x:c r="D219" s="16" t="str"/>
      <x:c r="E219" s="16" t="str">
        <x:v>* myContacts</x:v>
      </x:c>
      <x:c r="F219" s="16" t="str">
        <x:v>+60132786569</x:v>
      </x:c>
      <x:c r="G219" s="16" t="str">
        <x:v>+60132786569</x:v>
      </x:c>
      <x:c r="H219" s="16" t="str">
        <x:v>Excluded</x:v>
      </x:c>
      <x:c r="I219" s="16" t="str">
        <x:v>Missing email</x:v>
      </x:c>
    </x:row>
    <x:row r="220">
      <x:c r="A220" s="16" t="n">
        <x:v>217</x:v>
      </x:c>
      <x:c r="B220" s="16" t="str">
        <x:v>AD Hatta</x:v>
      </x:c>
      <x:c r="C220" s="16" t="str"/>
      <x:c r="D220" s="16" t="str"/>
      <x:c r="E220" s="16" t="str">
        <x:v>* myContacts</x:v>
      </x:c>
      <x:c r="F220" s="16" t="str">
        <x:v>+60197755957</x:v>
      </x:c>
      <x:c r="G220" s="16" t="str">
        <x:v>+60197755957</x:v>
      </x:c>
      <x:c r="H220" s="16" t="str">
        <x:v>Excluded</x:v>
      </x:c>
      <x:c r="I220" s="16" t="str">
        <x:v>Missing email</x:v>
      </x:c>
    </x:row>
    <x:row r="221">
      <x:c r="A221" s="16" t="n">
        <x:v>218</x:v>
      </x:c>
      <x:c r="B221" s="16" t="str">
        <x:v>AD Omar Tokan Installer</x:v>
      </x:c>
      <x:c r="C221" s="16" t="str"/>
      <x:c r="D221" s="16" t="str"/>
      <x:c r="E221" s="16" t="str">
        <x:v>* myContacts</x:v>
      </x:c>
      <x:c r="F221" s="16" t="str">
        <x:v>+60 16-818 2902 | +60168182902</x:v>
      </x:c>
      <x:c r="G221" s="16" t="str">
        <x:v>+60168182902 | +60168182902</x:v>
      </x:c>
      <x:c r="H221" s="16" t="str">
        <x:v>Excluded</x:v>
      </x:c>
      <x:c r="I221" s="16" t="str">
        <x:v>Missing email</x:v>
      </x:c>
    </x:row>
    <x:row r="222">
      <x:c r="A222" s="16" t="n">
        <x:v>219</x:v>
      </x:c>
      <x:c r="B222" s="16" t="str">
        <x:v>Adaa Rozmi</x:v>
      </x:c>
      <x:c r="C222" s="16" t="str"/>
      <x:c r="D222" s="16" t="str"/>
      <x:c r="E222" s="16" t="str">
        <x:v>* myContacts</x:v>
      </x:c>
      <x:c r="F222" s="16" t="str">
        <x:v>+60169390755</x:v>
      </x:c>
      <x:c r="G222" s="16" t="str">
        <x:v>+60169390755</x:v>
      </x:c>
      <x:c r="H222" s="16" t="str">
        <x:v>Excluded</x:v>
      </x:c>
      <x:c r="I222" s="16" t="str">
        <x:v>Missing email</x:v>
      </x:c>
    </x:row>
    <x:row r="223">
      <x:c r="A223" s="16" t="n">
        <x:v>220</x:v>
      </x:c>
      <x:c r="B223" s="16" t="str">
        <x:v>Adam Akmal</x:v>
      </x:c>
      <x:c r="C223" s="16" t="str"/>
      <x:c r="D223" s="16" t="str"/>
      <x:c r="E223" s="16" t="str">
        <x:v>* myContacts</x:v>
      </x:c>
      <x:c r="F223" s="16" t="str">
        <x:v>+60176438084</x:v>
      </x:c>
      <x:c r="G223" s="16" t="str">
        <x:v>+60176438084</x:v>
      </x:c>
      <x:c r="H223" s="16" t="str">
        <x:v>Excluded</x:v>
      </x:c>
      <x:c r="I223" s="16" t="str">
        <x:v>Missing email</x:v>
      </x:c>
    </x:row>
    <x:row r="224">
      <x:c r="A224" s="16" t="n">
        <x:v>221</x:v>
      </x:c>
      <x:c r="B224" s="16" t="str">
        <x:v>adam audio plus</x:v>
      </x:c>
      <x:c r="C224" s="16" t="str"/>
      <x:c r="D224" s="16" t="str"/>
      <x:c r="E224" s="16" t="str">
        <x:v>* myContacts</x:v>
      </x:c>
      <x:c r="F224" s="16" t="str">
        <x:v>0123164520 | +60123164520</x:v>
      </x:c>
      <x:c r="G224" s="16" t="str">
        <x:v>+60123164520 | +60123164520</x:v>
      </x:c>
      <x:c r="H224" s="16" t="str">
        <x:v>Excluded</x:v>
      </x:c>
      <x:c r="I224" s="16" t="str">
        <x:v>Missing email</x:v>
      </x:c>
    </x:row>
    <x:row r="225">
      <x:c r="A225" s="16" t="n">
        <x:v>222</x:v>
      </x:c>
      <x:c r="B225" s="16" t="str">
        <x:v>Adam Aziz Ahmad</x:v>
      </x:c>
      <x:c r="C225" s="16" t="str"/>
      <x:c r="D225" s="16" t="str"/>
      <x:c r="E225" s="16" t="str">
        <x:v>* myContacts</x:v>
      </x:c>
      <x:c r="F225" s="16" t="str">
        <x:v>+60176877585</x:v>
      </x:c>
      <x:c r="G225" s="16" t="str">
        <x:v>+60176877585</x:v>
      </x:c>
      <x:c r="H225" s="16" t="str">
        <x:v>Excluded</x:v>
      </x:c>
      <x:c r="I225" s="16" t="str">
        <x:v>Missing email</x:v>
      </x:c>
    </x:row>
    <x:row r="226">
      <x:c r="A226" s="16" t="n">
        <x:v>223</x:v>
      </x:c>
      <x:c r="B226" s="16" t="str">
        <x:v>Adam Firash</x:v>
      </x:c>
      <x:c r="C226" s="16" t="str"/>
      <x:c r="D226" s="16" t="str"/>
      <x:c r="E226" s="16" t="str">
        <x:v>* myContacts</x:v>
      </x:c>
      <x:c r="F226" s="16" t="str">
        <x:v>+60193038907</x:v>
      </x:c>
      <x:c r="G226" s="16" t="str">
        <x:v>+60193038907</x:v>
      </x:c>
      <x:c r="H226" s="16" t="str">
        <x:v>Excluded</x:v>
      </x:c>
      <x:c r="I226" s="16" t="str">
        <x:v>Missing email</x:v>
      </x:c>
    </x:row>
    <x:row r="227">
      <x:c r="A227" s="16" t="n">
        <x:v>224</x:v>
      </x:c>
      <x:c r="B227" s="16" t="str">
        <x:v>Adam Firdaus</x:v>
      </x:c>
      <x:c r="C227" s="16" t="str"/>
      <x:c r="D227" s="16" t="str"/>
      <x:c r="E227" s="16" t="str">
        <x:v>* myContacts</x:v>
      </x:c>
      <x:c r="F227" s="16" t="str">
        <x:v>+60182888847</x:v>
      </x:c>
      <x:c r="G227" s="16" t="str">
        <x:v>+60182888847</x:v>
      </x:c>
      <x:c r="H227" s="16" t="str">
        <x:v>Excluded</x:v>
      </x:c>
      <x:c r="I227" s="16" t="str">
        <x:v>Missing email</x:v>
      </x:c>
    </x:row>
    <x:row r="228">
      <x:c r="A228" s="16" t="n">
        <x:v>225</x:v>
      </x:c>
      <x:c r="B228" s="16" t="str">
        <x:v>Adam Haliza Jbey</x:v>
      </x:c>
      <x:c r="C228" s="16" t="str"/>
      <x:c r="D228" s="16" t="str"/>
      <x:c r="E228" s="16" t="str">
        <x:v>* myContacts</x:v>
      </x:c>
      <x:c r="F228" s="16" t="str">
        <x:v>+60137479690</x:v>
      </x:c>
      <x:c r="G228" s="16" t="str">
        <x:v>+60137479690</x:v>
      </x:c>
      <x:c r="H228" s="16" t="str">
        <x:v>Excluded</x:v>
      </x:c>
      <x:c r="I228" s="16" t="str">
        <x:v>Missing email</x:v>
      </x:c>
    </x:row>
    <x:row r="229">
      <x:c r="A229" s="16" t="n">
        <x:v>226</x:v>
      </x:c>
      <x:c r="B229" s="16" t="str">
        <x:v>Adam Jamaludin @ Oppa AJ</x:v>
      </x:c>
      <x:c r="C229" s="16" t="str"/>
      <x:c r="D229" s="16" t="str"/>
      <x:c r="E229" s="16" t="str">
        <x:v>* myContacts</x:v>
      </x:c>
      <x:c r="F229" s="16" t="str">
        <x:v>+60 17-646 4929 | +60176464929</x:v>
      </x:c>
      <x:c r="G229" s="16" t="str">
        <x:v>+60176464929 | +60176464929</x:v>
      </x:c>
      <x:c r="H229" s="16" t="str">
        <x:v>Excluded</x:v>
      </x:c>
      <x:c r="I229" s="16" t="str">
        <x:v>Missing email</x:v>
      </x:c>
    </x:row>
    <x:row r="230">
      <x:c r="A230" s="16" t="n">
        <x:v>227</x:v>
      </x:c>
      <x:c r="B230" s="16" t="str">
        <x:v>Adam Jaringan Pakar</x:v>
      </x:c>
      <x:c r="C230" s="16" t="str"/>
      <x:c r="D230" s="16" t="str"/>
      <x:c r="E230" s="16" t="str">
        <x:v>* myContacts</x:v>
      </x:c>
      <x:c r="F230" s="16" t="str">
        <x:v>0129009887 | +60129009887</x:v>
      </x:c>
      <x:c r="G230" s="16" t="str">
        <x:v>+60129009887 | +60129009887</x:v>
      </x:c>
      <x:c r="H230" s="16" t="str">
        <x:v>Excluded</x:v>
      </x:c>
      <x:c r="I230" s="16" t="str">
        <x:v>Missing email</x:v>
      </x:c>
    </x:row>
    <x:row r="231">
      <x:c r="A231" s="16" t="n">
        <x:v>228</x:v>
      </x:c>
      <x:c r="B231" s="16" t="str">
        <x:v>Adam Jnj</x:v>
      </x:c>
      <x:c r="C231" s="16" t="str"/>
      <x:c r="D231" s="16" t="str"/>
      <x:c r="E231" s="16" t="str">
        <x:v>* myContacts</x:v>
      </x:c>
      <x:c r="F231" s="16" t="str">
        <x:v>+60 12-699 1046 | +60126991046</x:v>
      </x:c>
      <x:c r="G231" s="16" t="str">
        <x:v>+60126991046 | +60126991046</x:v>
      </x:c>
      <x:c r="H231" s="16" t="str">
        <x:v>Excluded</x:v>
      </x:c>
      <x:c r="I231" s="16" t="str">
        <x:v>Missing email</x:v>
      </x:c>
    </x:row>
    <x:row r="232">
      <x:c r="A232" s="16" t="n">
        <x:v>229</x:v>
      </x:c>
      <x:c r="B232" s="16" t="str">
        <x:v>Adam Keyna</x:v>
      </x:c>
      <x:c r="C232" s="16" t="str"/>
      <x:c r="D232" s="16" t="str"/>
      <x:c r="E232" s="16" t="str">
        <x:v>* myContacts</x:v>
      </x:c>
      <x:c r="F232" s="16" t="str">
        <x:v>+60177187436</x:v>
      </x:c>
      <x:c r="G232" s="16" t="str">
        <x:v>+60177187436</x:v>
      </x:c>
      <x:c r="H232" s="16" t="str">
        <x:v>Excluded</x:v>
      </x:c>
      <x:c r="I232" s="16" t="str">
        <x:v>Missing email</x:v>
      </x:c>
    </x:row>
    <x:row r="233">
      <x:c r="A233" s="16" t="n">
        <x:v>230</x:v>
      </x:c>
      <x:c r="B233" s="16" t="str">
        <x:v>ADAM KHOO</x:v>
      </x:c>
      <x:c r="C233" s="16" t="str">
        <x:v>adam.khoo@linecleorexpress.com</x:v>
      </x:c>
      <x:c r="D233" s="16" t="str">
        <x:v>adam.khoo@linecleorexpress.com</x:v>
      </x:c>
      <x:c r="E233" s="16" t="str">
        <x:v>* myContacts</x:v>
      </x:c>
      <x:c r="F233" s="16" t="str">
        <x:v>+60122905130</x:v>
      </x:c>
      <x:c r="G233" s="16" t="str">
        <x:v>+60122905130</x:v>
      </x:c>
      <x:c r="H233" s="16" t="str">
        <x:v>Eligible</x:v>
      </x:c>
      <x:c r="I233" s="16" t="str"/>
    </x:row>
    <x:row r="234">
      <x:c r="A234" s="16" t="n">
        <x:v>231</x:v>
      </x:c>
      <x:c r="B234" s="16" t="str">
        <x:v>Adam Perodua</x:v>
      </x:c>
      <x:c r="C234" s="16" t="str"/>
      <x:c r="D234" s="16" t="str"/>
      <x:c r="E234" s="16" t="str">
        <x:v>* myContacts</x:v>
      </x:c>
      <x:c r="F234" s="16" t="str">
        <x:v>+60174804143</x:v>
      </x:c>
      <x:c r="G234" s="16" t="str">
        <x:v>+60174804143</x:v>
      </x:c>
      <x:c r="H234" s="16" t="str">
        <x:v>Excluded</x:v>
      </x:c>
      <x:c r="I234" s="16" t="str">
        <x:v>Missing email</x:v>
      </x:c>
    </x:row>
    <x:row r="235">
      <x:c r="A235" s="16" t="n">
        <x:v>232</x:v>
      </x:c>
      <x:c r="B235" s="16" t="str">
        <x:v>Adam Raffi</x:v>
      </x:c>
      <x:c r="C235" s="16" t="str"/>
      <x:c r="D235" s="16" t="str"/>
      <x:c r="E235" s="16" t="str">
        <x:v>* myContacts</x:v>
      </x:c>
      <x:c r="F235" s="16" t="str">
        <x:v>+601115127822</x:v>
      </x:c>
      <x:c r="G235" s="16" t="str">
        <x:v>+601115127822</x:v>
      </x:c>
      <x:c r="H235" s="16" t="str">
        <x:v>Excluded</x:v>
      </x:c>
      <x:c r="I235" s="16" t="str">
        <x:v>Missing email</x:v>
      </x:c>
    </x:row>
    <x:row r="236">
      <x:c r="A236" s="16" t="n">
        <x:v>233</x:v>
      </x:c>
      <x:c r="B236" s="16" t="str">
        <x:v>Adam Ryan</x:v>
      </x:c>
      <x:c r="C236" s="16" t="str"/>
      <x:c r="D236" s="16" t="str"/>
      <x:c r="E236" s="16" t="str">
        <x:v>* myContacts</x:v>
      </x:c>
      <x:c r="F236" s="16" t="str">
        <x:v>+60136401354</x:v>
      </x:c>
      <x:c r="G236" s="16" t="str">
        <x:v>+60136401354</x:v>
      </x:c>
      <x:c r="H236" s="16" t="str">
        <x:v>Excluded</x:v>
      </x:c>
      <x:c r="I236" s="16" t="str">
        <x:v>Missing email</x:v>
      </x:c>
    </x:row>
    <x:row r="237">
      <x:c r="A237" s="16" t="n">
        <x:v>234</x:v>
      </x:c>
      <x:c r="B237" s="16" t="str">
        <x:v>Adam Sanni</x:v>
      </x:c>
      <x:c r="C237" s="16" t="str"/>
      <x:c r="D237" s="16" t="str"/>
      <x:c r="E237" s="16" t="str">
        <x:v>* myContacts</x:v>
      </x:c>
      <x:c r="F237" s="16" t="str">
        <x:v>+601123295185</x:v>
      </x:c>
      <x:c r="G237" s="16" t="str">
        <x:v>+601123295185</x:v>
      </x:c>
      <x:c r="H237" s="16" t="str">
        <x:v>Excluded</x:v>
      </x:c>
      <x:c r="I237" s="16" t="str">
        <x:v>Missing email</x:v>
      </x:c>
    </x:row>
    <x:row r="238">
      <x:c r="A238" s="16" t="n">
        <x:v>235</x:v>
      </x:c>
      <x:c r="B238" s="16" t="str">
        <x:v>Adam Seman</x:v>
      </x:c>
      <x:c r="C238" s="16" t="str"/>
      <x:c r="D238" s="16" t="str"/>
      <x:c r="E238" s="16" t="str">
        <x:v>* myContacts</x:v>
      </x:c>
      <x:c r="F238" s="16" t="str">
        <x:v>+601127791400</x:v>
      </x:c>
      <x:c r="G238" s="16" t="str">
        <x:v>+601127791400</x:v>
      </x:c>
      <x:c r="H238" s="16" t="str">
        <x:v>Excluded</x:v>
      </x:c>
      <x:c r="I238" s="16" t="str">
        <x:v>Missing email</x:v>
      </x:c>
    </x:row>
    <x:row r="239">
      <x:c r="A239" s="16" t="n">
        <x:v>236</x:v>
      </x:c>
      <x:c r="B239" s="16" t="str">
        <x:v>Adam Tauke Restoran Sidah</x:v>
      </x:c>
      <x:c r="C239" s="16" t="str"/>
      <x:c r="D239" s="16" t="str"/>
      <x:c r="E239" s="16" t="str">
        <x:v>* myContacts</x:v>
      </x:c>
      <x:c r="F239" s="16" t="str">
        <x:v>0162775585 | +60162775585</x:v>
      </x:c>
      <x:c r="G239" s="16" t="str">
        <x:v>+60162775585 | +60162775585</x:v>
      </x:c>
      <x:c r="H239" s="16" t="str">
        <x:v>Excluded</x:v>
      </x:c>
      <x:c r="I239" s="16" t="str">
        <x:v>Missing email</x:v>
      </x:c>
    </x:row>
    <x:row r="240">
      <x:c r="A240" s="16" t="n">
        <x:v>237</x:v>
      </x:c>
      <x:c r="B240" s="16" t="str">
        <x:v>Adam Yeoh</x:v>
      </x:c>
      <x:c r="C240" s="16" t="str"/>
      <x:c r="D240" s="16" t="str"/>
      <x:c r="E240" s="16" t="str">
        <x:v>* myContacts</x:v>
      </x:c>
      <x:c r="F240" s="16" t="str">
        <x:v>+601110917026</x:v>
      </x:c>
      <x:c r="G240" s="16" t="str">
        <x:v>+601110917026</x:v>
      </x:c>
      <x:c r="H240" s="16" t="str">
        <x:v>Excluded</x:v>
      </x:c>
      <x:c r="I240" s="16" t="str">
        <x:v>Missing email</x:v>
      </x:c>
    </x:row>
    <x:row r="241">
      <x:c r="A241" s="16" t="n">
        <x:v>238</x:v>
      </x:c>
      <x:c r="B241" s="16" t="str">
        <x:v>Adami Faqeh</x:v>
      </x:c>
      <x:c r="C241" s="16" t="str"/>
      <x:c r="D241" s="16" t="str"/>
      <x:c r="E241" s="16" t="str">
        <x:v>* myContacts</x:v>
      </x:c>
      <x:c r="F241" s="16" t="str">
        <x:v>+60139491958</x:v>
      </x:c>
      <x:c r="G241" s="16" t="str">
        <x:v>+60139491958</x:v>
      </x:c>
      <x:c r="H241" s="16" t="str">
        <x:v>Excluded</x:v>
      </x:c>
      <x:c r="I241" s="16" t="str">
        <x:v>Missing email</x:v>
      </x:c>
    </x:row>
    <x:row r="242">
      <x:c r="A242" s="16" t="n">
        <x:v>239</x:v>
      </x:c>
      <x:c r="B242" s="16" t="str">
        <x:v>Adawiyah Amir</x:v>
      </x:c>
      <x:c r="C242" s="16" t="str"/>
      <x:c r="D242" s="16" t="str"/>
      <x:c r="E242" s="16" t="str">
        <x:v>* myContacts</x:v>
      </x:c>
      <x:c r="F242" s="16" t="str">
        <x:v>+60142688320</x:v>
      </x:c>
      <x:c r="G242" s="16" t="str">
        <x:v>+60142688320</x:v>
      </x:c>
      <x:c r="H242" s="16" t="str">
        <x:v>Excluded</x:v>
      </x:c>
      <x:c r="I242" s="16" t="str">
        <x:v>Missing email</x:v>
      </x:c>
    </x:row>
    <x:row r="243">
      <x:c r="A243" s="16" t="n">
        <x:v>240</x:v>
      </x:c>
      <x:c r="B243" s="16" t="str">
        <x:v>Adda (Coach Syahril)</x:v>
      </x:c>
      <x:c r="C243" s="16" t="str"/>
      <x:c r="D243" s="16" t="str"/>
      <x:c r="E243" s="16" t="str">
        <x:v>Trainer | * myContacts</x:v>
      </x:c>
      <x:c r="F243" s="16" t="str">
        <x:v>+60108413289</x:v>
      </x:c>
      <x:c r="G243" s="16" t="str">
        <x:v>+60108413289</x:v>
      </x:c>
      <x:c r="H243" s="16" t="str">
        <x:v>Excluded</x:v>
      </x:c>
      <x:c r="I243" s="16" t="str">
        <x:v>Missing email</x:v>
      </x:c>
    </x:row>
    <x:row r="244">
      <x:c r="A244" s="16" t="n">
        <x:v>241</x:v>
      </x:c>
      <x:c r="B244" s="16" t="str">
        <x:v>Addie Flavian</x:v>
      </x:c>
      <x:c r="C244" s="16" t="str"/>
      <x:c r="D244" s="16" t="str"/>
      <x:c r="E244" s="16" t="str">
        <x:v>* myContacts</x:v>
      </x:c>
      <x:c r="F244" s="16" t="str">
        <x:v>+60177320651</x:v>
      </x:c>
      <x:c r="G244" s="16" t="str">
        <x:v>+60177320651</x:v>
      </x:c>
      <x:c r="H244" s="16" t="str">
        <x:v>Excluded</x:v>
      </x:c>
      <x:c r="I244" s="16" t="str">
        <x:v>Missing email</x:v>
      </x:c>
    </x:row>
    <x:row r="245">
      <x:c r="A245" s="16" t="n">
        <x:v>242</x:v>
      </x:c>
      <x:c r="B245" s="16" t="str">
        <x:v>Addylim Uni</x:v>
      </x:c>
      <x:c r="C245" s="16" t="str"/>
      <x:c r="D245" s="16" t="str"/>
      <x:c r="E245" s="16" t="str">
        <x:v>* myContacts</x:v>
      </x:c>
      <x:c r="F245" s="16" t="str">
        <x:v>+6095135634</x:v>
      </x:c>
      <x:c r="G245" s="16" t="str">
        <x:v>+6095135634</x:v>
      </x:c>
      <x:c r="H245" s="16" t="str">
        <x:v>Excluded</x:v>
      </x:c>
      <x:c r="I245" s="16" t="str">
        <x:v>Missing email</x:v>
      </x:c>
    </x:row>
    <x:row r="246">
      <x:c r="A246" s="16" t="n">
        <x:v>243</x:v>
      </x:c>
      <x:c r="B246" s="16" t="str">
        <x:v>Aden Mazz Dhawi</x:v>
      </x:c>
      <x:c r="C246" s="16" t="str"/>
      <x:c r="D246" s="16" t="str"/>
      <x:c r="E246" s="16" t="str">
        <x:v>* myContacts</x:v>
      </x:c>
      <x:c r="F246" s="16" t="str">
        <x:v>+601133679116</x:v>
      </x:c>
      <x:c r="G246" s="16" t="str">
        <x:v>+601133679116</x:v>
      </x:c>
      <x:c r="H246" s="16" t="str">
        <x:v>Excluded</x:v>
      </x:c>
      <x:c r="I246" s="16" t="str">
        <x:v>Missing email</x:v>
      </x:c>
    </x:row>
    <x:row r="247">
      <x:c r="A247" s="16" t="n">
        <x:v>244</x:v>
      </x:c>
      <x:c r="B247" s="16" t="str">
        <x:v>Adhi Azahra</x:v>
      </x:c>
      <x:c r="C247" s="16" t="str"/>
      <x:c r="D247" s="16" t="str"/>
      <x:c r="E247" s="16" t="str">
        <x:v>* myContacts</x:v>
      </x:c>
      <x:c r="F247" s="16" t="str">
        <x:v>+6285259236554</x:v>
      </x:c>
      <x:c r="G247" s="16" t="str">
        <x:v>+6285259236554</x:v>
      </x:c>
      <x:c r="H247" s="16" t="str">
        <x:v>Excluded</x:v>
      </x:c>
      <x:c r="I247" s="16" t="str">
        <x:v>Missing email</x:v>
      </x:c>
    </x:row>
    <x:row r="248">
      <x:c r="A248" s="16" t="n">
        <x:v>245</x:v>
      </x:c>
      <x:c r="B248" s="16" t="str">
        <x:v>Adhi Mishary Al Afasy</x:v>
      </x:c>
      <x:c r="C248" s="16" t="str"/>
      <x:c r="D248" s="16" t="str"/>
      <x:c r="E248" s="16" t="str">
        <x:v>* myContacts</x:v>
      </x:c>
      <x:c r="F248" s="16" t="str">
        <x:v>+6281347475997</x:v>
      </x:c>
      <x:c r="G248" s="16" t="str">
        <x:v>+6281347475997</x:v>
      </x:c>
      <x:c r="H248" s="16" t="str">
        <x:v>Excluded</x:v>
      </x:c>
      <x:c r="I248" s="16" t="str">
        <x:v>Missing email</x:v>
      </x:c>
    </x:row>
    <x:row r="249">
      <x:c r="A249" s="16" t="n">
        <x:v>246</x:v>
      </x:c>
      <x:c r="B249" s="16" t="str">
        <x:v>Adi Copywriter</x:v>
      </x:c>
      <x:c r="C249" s="16" t="str"/>
      <x:c r="D249" s="16" t="str"/>
      <x:c r="E249" s="16" t="str">
        <x:v>* myContacts</x:v>
      </x:c>
      <x:c r="F249" s="16" t="str">
        <x:v>+60 13-994 2862 | +60139942862</x:v>
      </x:c>
      <x:c r="G249" s="16" t="str">
        <x:v>+60139942862 | +60139942862</x:v>
      </x:c>
      <x:c r="H249" s="16" t="str">
        <x:v>Excluded</x:v>
      </x:c>
      <x:c r="I249" s="16" t="str">
        <x:v>Missing email</x:v>
      </x:c>
    </x:row>
    <x:row r="250">
      <x:c r="A250" s="16" t="n">
        <x:v>247</x:v>
      </x:c>
      <x:c r="B250" s="16" t="str">
        <x:v>Adi Indra</x:v>
      </x:c>
      <x:c r="C250" s="16" t="str"/>
      <x:c r="D250" s="16" t="str"/>
      <x:c r="E250" s="16" t="str">
        <x:v>* myContacts</x:v>
      </x:c>
      <x:c r="F250" s="16" t="str">
        <x:v>+6281367552265</x:v>
      </x:c>
      <x:c r="G250" s="16" t="str">
        <x:v>+6281367552265</x:v>
      </x:c>
      <x:c r="H250" s="16" t="str">
        <x:v>Excluded</x:v>
      </x:c>
      <x:c r="I250" s="16" t="str">
        <x:v>Missing email</x:v>
      </x:c>
    </x:row>
    <x:row r="251">
      <x:c r="A251" s="16" t="n">
        <x:v>248</x:v>
      </x:c>
      <x:c r="B251" s="16" t="str">
        <x:v>Adi Kontraktor</x:v>
      </x:c>
      <x:c r="C251" s="16" t="str"/>
      <x:c r="D251" s="16" t="str"/>
      <x:c r="E251" s="16" t="str">
        <x:v>* myContacts</x:v>
      </x:c>
      <x:c r="F251" s="16" t="str">
        <x:v>012-229 9935 | +60122299935</x:v>
      </x:c>
      <x:c r="G251" s="16" t="str">
        <x:v>+60122299935 | +60122299935</x:v>
      </x:c>
      <x:c r="H251" s="16" t="str">
        <x:v>Excluded</x:v>
      </x:c>
      <x:c r="I251" s="16" t="str">
        <x:v>Missing email</x:v>
      </x:c>
    </x:row>
    <x:row r="252">
      <x:c r="A252" s="16" t="n">
        <x:v>249</x:v>
      </x:c>
      <x:c r="B252" s="16" t="str">
        <x:v>Adi Rahcmat</x:v>
      </x:c>
      <x:c r="C252" s="16" t="str"/>
      <x:c r="D252" s="16" t="str"/>
      <x:c r="E252" s="16" t="str">
        <x:v>* myContacts</x:v>
      </x:c>
      <x:c r="F252" s="16" t="str">
        <x:v>+6285853381536</x:v>
      </x:c>
      <x:c r="G252" s="16" t="str">
        <x:v>+6285853381536</x:v>
      </x:c>
      <x:c r="H252" s="16" t="str">
        <x:v>Excluded</x:v>
      </x:c>
      <x:c r="I252" s="16" t="str">
        <x:v>Missing email</x:v>
      </x:c>
    </x:row>
    <x:row r="253">
      <x:c r="A253" s="16" t="n">
        <x:v>250</x:v>
      </x:c>
      <x:c r="B253" s="16" t="str">
        <x:v>Adi senang la</x:v>
      </x:c>
      <x:c r="C253" s="16" t="str"/>
      <x:c r="D253" s="16" t="str"/>
      <x:c r="E253" s="16" t="str">
        <x:v>* myContacts</x:v>
      </x:c>
      <x:c r="F253" s="16" t="str">
        <x:v>+60 17-395 2025 | +60173952025</x:v>
      </x:c>
      <x:c r="G253" s="16" t="str">
        <x:v>+60173952025 | +60173952025</x:v>
      </x:c>
      <x:c r="H253" s="16" t="str">
        <x:v>Excluded</x:v>
      </x:c>
      <x:c r="I253" s="16" t="str">
        <x:v>Missing email</x:v>
      </x:c>
    </x:row>
    <x:row r="254">
      <x:c r="A254" s="16" t="n">
        <x:v>251</x:v>
      </x:c>
      <x:c r="B254" s="16" t="str">
        <x:v>Adi Widodo</x:v>
      </x:c>
      <x:c r="C254" s="16" t="str"/>
      <x:c r="D254" s="16" t="str"/>
      <x:c r="E254" s="16" t="str">
        <x:v>* myContacts</x:v>
      </x:c>
      <x:c r="F254" s="16" t="str">
        <x:v>+6287831196310</x:v>
      </x:c>
      <x:c r="G254" s="16" t="str">
        <x:v>+6287831196310</x:v>
      </x:c>
      <x:c r="H254" s="16" t="str">
        <x:v>Excluded</x:v>
      </x:c>
      <x:c r="I254" s="16" t="str">
        <x:v>Missing email</x:v>
      </x:c>
    </x:row>
    <x:row r="255">
      <x:c r="A255" s="16" t="n">
        <x:v>252</x:v>
      </x:c>
      <x:c r="B255" s="16" t="str">
        <x:v>Adib Nurudin</x:v>
      </x:c>
      <x:c r="C255" s="16" t="str"/>
      <x:c r="D255" s="16" t="str"/>
      <x:c r="E255" s="16" t="str">
        <x:v>* myContacts</x:v>
      </x:c>
      <x:c r="F255" s="16" t="str">
        <x:v>+601119810027</x:v>
      </x:c>
      <x:c r="G255" s="16" t="str">
        <x:v>+601119810027</x:v>
      </x:c>
      <x:c r="H255" s="16" t="str">
        <x:v>Excluded</x:v>
      </x:c>
      <x:c r="I255" s="16" t="str">
        <x:v>Missing email</x:v>
      </x:c>
    </x:row>
    <x:row r="256">
      <x:c r="A256" s="16" t="n">
        <x:v>253</x:v>
      </x:c>
      <x:c r="B256" s="16" t="str">
        <x:v>Adibah Abdullah</x:v>
      </x:c>
      <x:c r="C256" s="16" t="str"/>
      <x:c r="D256" s="16" t="str"/>
      <x:c r="E256" s="16" t="str">
        <x:v>* myContacts</x:v>
      </x:c>
      <x:c r="F256" s="16" t="str">
        <x:v>+60165619687</x:v>
      </x:c>
      <x:c r="G256" s="16" t="str">
        <x:v>+60165619687</x:v>
      </x:c>
      <x:c r="H256" s="16" t="str">
        <x:v>Excluded</x:v>
      </x:c>
      <x:c r="I256" s="16" t="str">
        <x:v>Missing email</x:v>
      </x:c>
    </x:row>
    <x:row r="257">
      <x:c r="A257" s="16" t="n">
        <x:v>254</x:v>
      </x:c>
      <x:c r="B257" s="16" t="str">
        <x:v>Adibah Binti Ramli</x:v>
      </x:c>
      <x:c r="C257" s="16" t="str"/>
      <x:c r="D257" s="16" t="str"/>
      <x:c r="E257" s="16" t="str">
        <x:v>* myContacts</x:v>
      </x:c>
      <x:c r="F257" s="16" t="str">
        <x:v>+601126933048</x:v>
      </x:c>
      <x:c r="G257" s="16" t="str">
        <x:v>+601126933048</x:v>
      </x:c>
      <x:c r="H257" s="16" t="str">
        <x:v>Excluded</x:v>
      </x:c>
      <x:c r="I257" s="16" t="str">
        <x:v>Missing email</x:v>
      </x:c>
    </x:row>
    <x:row r="258">
      <x:c r="A258" s="16" t="n">
        <x:v>255</x:v>
      </x:c>
      <x:c r="B258" s="16" t="str">
        <x:v>Adibah Palazzo</x:v>
      </x:c>
      <x:c r="C258" s="16" t="str"/>
      <x:c r="D258" s="16" t="str"/>
      <x:c r="E258" s="16" t="str">
        <x:v>* myContacts</x:v>
      </x:c>
      <x:c r="F258" s="16" t="str">
        <x:v>+60174556389</x:v>
      </x:c>
      <x:c r="G258" s="16" t="str">
        <x:v>+60174556389</x:v>
      </x:c>
      <x:c r="H258" s="16" t="str">
        <x:v>Excluded</x:v>
      </x:c>
      <x:c r="I258" s="16" t="str">
        <x:v>Missing email</x:v>
      </x:c>
    </x:row>
    <x:row r="259">
      <x:c r="A259" s="16" t="n">
        <x:v>256</x:v>
      </x:c>
      <x:c r="B259" s="16" t="str">
        <x:v>Adid Taufiq</x:v>
      </x:c>
      <x:c r="C259" s="16" t="str"/>
      <x:c r="D259" s="16" t="str"/>
      <x:c r="E259" s="16" t="str">
        <x:v>* myContacts</x:v>
      </x:c>
      <x:c r="F259" s="16" t="str">
        <x:v>+60189198957</x:v>
      </x:c>
      <x:c r="G259" s="16" t="str">
        <x:v>+60189198957</x:v>
      </x:c>
      <x:c r="H259" s="16" t="str">
        <x:v>Excluded</x:v>
      </x:c>
      <x:c r="I259" s="16" t="str">
        <x:v>Missing email</x:v>
      </x:c>
    </x:row>
    <x:row r="260">
      <x:c r="A260" s="16" t="n">
        <x:v>257</x:v>
      </x:c>
      <x:c r="B260" s="16" t="str">
        <x:v>Adie Coway</x:v>
      </x:c>
      <x:c r="C260" s="16" t="str"/>
      <x:c r="D260" s="16" t="str"/>
      <x:c r="E260" s="16" t="str">
        <x:v>* myContacts</x:v>
      </x:c>
      <x:c r="F260" s="16" t="str">
        <x:v>+60133482282</x:v>
      </x:c>
      <x:c r="G260" s="16" t="str">
        <x:v>+60133482282</x:v>
      </x:c>
      <x:c r="H260" s="16" t="str">
        <x:v>Excluded</x:v>
      </x:c>
      <x:c r="I260" s="16" t="str">
        <x:v>Missing email</x:v>
      </x:c>
    </x:row>
    <x:row r="261">
      <x:c r="A261" s="16" t="n">
        <x:v>258</x:v>
      </x:c>
      <x:c r="B261" s="16" t="str">
        <x:v>Adie Ryechyee Richiee</x:v>
      </x:c>
      <x:c r="C261" s="16" t="str"/>
      <x:c r="D261" s="16" t="str"/>
      <x:c r="E261" s="16" t="str">
        <x:v>* myContacts</x:v>
      </x:c>
      <x:c r="F261" s="16" t="str">
        <x:v>+60198321886</x:v>
      </x:c>
      <x:c r="G261" s="16" t="str">
        <x:v>+60198321886</x:v>
      </x:c>
      <x:c r="H261" s="16" t="str">
        <x:v>Excluded</x:v>
      </x:c>
      <x:c r="I261" s="16" t="str">
        <x:v>Missing email</x:v>
      </x:c>
    </x:row>
    <x:row r="262">
      <x:c r="A262" s="16" t="n">
        <x:v>259</x:v>
      </x:c>
      <x:c r="B262" s="16" t="str">
        <x:v>Adie Yadie</x:v>
      </x:c>
      <x:c r="C262" s="16" t="str"/>
      <x:c r="D262" s="16" t="str"/>
      <x:c r="E262" s="16" t="str">
        <x:v>* myContacts</x:v>
      </x:c>
      <x:c r="F262" s="16" t="str">
        <x:v>+6282216686257</x:v>
      </x:c>
      <x:c r="G262" s="16" t="str">
        <x:v>+6282216686257</x:v>
      </x:c>
      <x:c r="H262" s="16" t="str">
        <x:v>Excluded</x:v>
      </x:c>
      <x:c r="I262" s="16" t="str">
        <x:v>Missing email</x:v>
      </x:c>
    </x:row>
    <x:row r="263">
      <x:c r="A263" s="16" t="n">
        <x:v>260</x:v>
      </x:c>
      <x:c r="B263" s="16" t="str">
        <x:v>Adien Lsm</x:v>
      </x:c>
      <x:c r="C263" s="16" t="str"/>
      <x:c r="D263" s="16" t="str"/>
      <x:c r="E263" s="16" t="str">
        <x:v>* myContacts</x:v>
      </x:c>
      <x:c r="F263" s="16" t="str">
        <x:v>+60169702303</x:v>
      </x:c>
      <x:c r="G263" s="16" t="str">
        <x:v>+60169702303</x:v>
      </x:c>
      <x:c r="H263" s="16" t="str">
        <x:v>Excluded</x:v>
      </x:c>
      <x:c r="I263" s="16" t="str">
        <x:v>Missing email</x:v>
      </x:c>
    </x:row>
    <x:row r="264">
      <x:c r="A264" s="16" t="n">
        <x:v>261</x:v>
      </x:c>
      <x:c r="B264" s="16" t="str">
        <x:v>Adik Suhaila Agent Essens</x:v>
      </x:c>
      <x:c r="C264" s="16" t="str"/>
      <x:c r="D264" s="16" t="str"/>
      <x:c r="E264" s="16" t="str">
        <x:v>* myContacts</x:v>
      </x:c>
      <x:c r="F264" s="16" t="str">
        <x:v>+60 18-900 7697 | +60189007697</x:v>
      </x:c>
      <x:c r="G264" s="16" t="str">
        <x:v>+60189007697 | +60189007697</x:v>
      </x:c>
      <x:c r="H264" s="16" t="str">
        <x:v>Excluded</x:v>
      </x:c>
      <x:c r="I264" s="16" t="str">
        <x:v>Missing email</x:v>
      </x:c>
    </x:row>
    <x:row r="265">
      <x:c r="A265" s="16" t="n">
        <x:v>262</x:v>
      </x:c>
      <x:c r="B265" s="16" t="str">
        <x:v>Adil Anis Uitm</x:v>
      </x:c>
      <x:c r="C265" s="16" t="str"/>
      <x:c r="D265" s="16" t="str"/>
      <x:c r="E265" s="16" t="str">
        <x:v>* myContacts</x:v>
      </x:c>
      <x:c r="F265" s="16" t="str">
        <x:v>+60 14-670 1734 | +60146701734</x:v>
      </x:c>
      <x:c r="G265" s="16" t="str">
        <x:v>+60146701734 | +60146701734</x:v>
      </x:c>
      <x:c r="H265" s="16" t="str">
        <x:v>Excluded</x:v>
      </x:c>
      <x:c r="I265" s="16" t="str">
        <x:v>Missing email</x:v>
      </x:c>
    </x:row>
    <x:row r="266">
      <x:c r="A266" s="16" t="n">
        <x:v>263</x:v>
      </x:c>
      <x:c r="B266" s="16" t="str">
        <x:v>Adila Azwa</x:v>
      </x:c>
      <x:c r="C266" s="16" t="str"/>
      <x:c r="D266" s="16" t="str"/>
      <x:c r="E266" s="16" t="str">
        <x:v>* myContacts</x:v>
      </x:c>
      <x:c r="F266" s="16" t="str">
        <x:v>+60125180154</x:v>
      </x:c>
      <x:c r="G266" s="16" t="str">
        <x:v>+60125180154</x:v>
      </x:c>
      <x:c r="H266" s="16" t="str">
        <x:v>Excluded</x:v>
      </x:c>
      <x:c r="I266" s="16" t="str">
        <x:v>Missing email</x:v>
      </x:c>
    </x:row>
    <x:row r="267">
      <x:c r="A267" s="16" t="n">
        <x:v>264</x:v>
      </x:c>
      <x:c r="B267" s="16" t="str">
        <x:v>Adila Lavender</x:v>
      </x:c>
      <x:c r="C267" s="16" t="str"/>
      <x:c r="D267" s="16" t="str"/>
      <x:c r="E267" s="16" t="str">
        <x:v>* myContacts</x:v>
      </x:c>
      <x:c r="F267" s="16" t="str">
        <x:v>+60123397620</x:v>
      </x:c>
      <x:c r="G267" s="16" t="str">
        <x:v>+60123397620</x:v>
      </x:c>
      <x:c r="H267" s="16" t="str">
        <x:v>Excluded</x:v>
      </x:c>
      <x:c r="I267" s="16" t="str">
        <x:v>Missing email</x:v>
      </x:c>
    </x:row>
    <x:row r="268">
      <x:c r="A268" s="16" t="n">
        <x:v>265</x:v>
      </x:c>
      <x:c r="B268" s="16" t="str">
        <x:v>Adilla Syafia Akilla</x:v>
      </x:c>
      <x:c r="C268" s="16" t="str"/>
      <x:c r="D268" s="16" t="str"/>
      <x:c r="E268" s="16" t="str">
        <x:v>* myContacts</x:v>
      </x:c>
      <x:c r="F268" s="16" t="str">
        <x:v>+60197548432</x:v>
      </x:c>
      <x:c r="G268" s="16" t="str">
        <x:v>+60197548432</x:v>
      </x:c>
      <x:c r="H268" s="16" t="str">
        <x:v>Excluded</x:v>
      </x:c>
      <x:c r="I268" s="16" t="str">
        <x:v>Missing email</x:v>
      </x:c>
    </x:row>
    <x:row r="269">
      <x:c r="A269" s="16" t="n">
        <x:v>266</x:v>
      </x:c>
      <x:c r="B269" s="16" t="str">
        <x:v>Adin Putra</x:v>
      </x:c>
      <x:c r="C269" s="16" t="str"/>
      <x:c r="D269" s="16" t="str"/>
      <x:c r="E269" s="16" t="str">
        <x:v>* myContacts</x:v>
      </x:c>
      <x:c r="F269" s="16" t="str">
        <x:v>+60109053341</x:v>
      </x:c>
      <x:c r="G269" s="16" t="str">
        <x:v>+60109053341</x:v>
      </x:c>
      <x:c r="H269" s="16" t="str">
        <x:v>Excluded</x:v>
      </x:c>
      <x:c r="I269" s="16" t="str">
        <x:v>Missing email</x:v>
      </x:c>
    </x:row>
    <x:row r="270">
      <x:c r="A270" s="16" t="n">
        <x:v>267</x:v>
      </x:c>
      <x:c r="B270" s="16" t="str">
        <x:v>Adindanor Albanjari</x:v>
      </x:c>
      <x:c r="C270" s="16" t="str"/>
      <x:c r="D270" s="16" t="str"/>
      <x:c r="E270" s="16" t="str">
        <x:v>* myContacts</x:v>
      </x:c>
      <x:c r="F270" s="16" t="str">
        <x:v>+60128763384</x:v>
      </x:c>
      <x:c r="G270" s="16" t="str">
        <x:v>+60128763384</x:v>
      </x:c>
      <x:c r="H270" s="16" t="str">
        <x:v>Excluded</x:v>
      </x:c>
      <x:c r="I270" s="16" t="str">
        <x:v>Missing email</x:v>
      </x:c>
    </x:row>
    <x:row r="271">
      <x:c r="A271" s="16" t="n">
        <x:v>268</x:v>
      </x:c>
      <x:c r="B271" s="16" t="str">
        <x:v>Adit Wiranata Pratama</x:v>
      </x:c>
      <x:c r="C271" s="16" t="str"/>
      <x:c r="D271" s="16" t="str"/>
      <x:c r="E271" s="16" t="str">
        <x:v>* myContacts</x:v>
      </x:c>
      <x:c r="F271" s="16" t="str">
        <x:v>+60138926675</x:v>
      </x:c>
      <x:c r="G271" s="16" t="str">
        <x:v>+60138926675</x:v>
      </x:c>
      <x:c r="H271" s="16" t="str">
        <x:v>Excluded</x:v>
      </x:c>
      <x:c r="I271" s="16" t="str">
        <x:v>Missing email</x:v>
      </x:c>
    </x:row>
    <x:row r="272">
      <x:c r="A272" s="16" t="n">
        <x:v>269</x:v>
      </x:c>
      <x:c r="B272" s="16" t="str">
        <x:v>Adiwana Otopidik</x:v>
      </x:c>
      <x:c r="C272" s="16" t="str"/>
      <x:c r="D272" s="16" t="str"/>
      <x:c r="E272" s="16" t="str">
        <x:v>* myContacts</x:v>
      </x:c>
      <x:c r="F272" s="16" t="str">
        <x:v>+60199896978</x:v>
      </x:c>
      <x:c r="G272" s="16" t="str">
        <x:v>+60199896978</x:v>
      </x:c>
      <x:c r="H272" s="16" t="str">
        <x:v>Excluded</x:v>
      </x:c>
      <x:c r="I272" s="16" t="str">
        <x:v>Missing email</x:v>
      </x:c>
    </x:row>
    <x:row r="273">
      <x:c r="A273" s="16" t="n">
        <x:v>270</x:v>
      </x:c>
      <x:c r="B273" s="16" t="str">
        <x:v>Adjut Raey Anderson</x:v>
      </x:c>
      <x:c r="C273" s="16" t="str"/>
      <x:c r="D273" s="16" t="str"/>
      <x:c r="E273" s="16" t="str">
        <x:v>* myContacts</x:v>
      </x:c>
      <x:c r="F273" s="16" t="str">
        <x:v>+60176416467</x:v>
      </x:c>
      <x:c r="G273" s="16" t="str">
        <x:v>+60176416467</x:v>
      </x:c>
      <x:c r="H273" s="16" t="str">
        <x:v>Excluded</x:v>
      </x:c>
      <x:c r="I273" s="16" t="str">
        <x:v>Missing email</x:v>
      </x:c>
    </x:row>
    <x:row r="274">
      <x:c r="A274" s="16" t="n">
        <x:v>271</x:v>
      </x:c>
      <x:c r="B274" s="16" t="str">
        <x:v>Adli Abd Halim</x:v>
      </x:c>
      <x:c r="C274" s="16" t="str"/>
      <x:c r="D274" s="16" t="str"/>
      <x:c r="E274" s="16" t="str">
        <x:v>* myContacts</x:v>
      </x:c>
      <x:c r="F274" s="16" t="str">
        <x:v>+60145147880</x:v>
      </x:c>
      <x:c r="G274" s="16" t="str">
        <x:v>+60145147880</x:v>
      </x:c>
      <x:c r="H274" s="16" t="str">
        <x:v>Excluded</x:v>
      </x:c>
      <x:c r="I274" s="16" t="str">
        <x:v>Missing email</x:v>
      </x:c>
    </x:row>
    <x:row r="275">
      <x:c r="A275" s="16" t="n">
        <x:v>272</x:v>
      </x:c>
      <x:c r="B275" s="16" t="str">
        <x:v>Adli Bin Salahuddin</x:v>
      </x:c>
      <x:c r="C275" s="16" t="str"/>
      <x:c r="D275" s="16" t="str"/>
      <x:c r="E275" s="16" t="str">
        <x:v>* myContacts</x:v>
      </x:c>
      <x:c r="F275" s="16" t="str">
        <x:v>+60137280847</x:v>
      </x:c>
      <x:c r="G275" s="16" t="str">
        <x:v>+60137280847</x:v>
      </x:c>
      <x:c r="H275" s="16" t="str">
        <x:v>Excluded</x:v>
      </x:c>
      <x:c r="I275" s="16" t="str">
        <x:v>Missing email</x:v>
      </x:c>
    </x:row>
    <x:row r="276">
      <x:c r="A276" s="16" t="n">
        <x:v>273</x:v>
      </x:c>
      <x:c r="B276" s="16" t="str">
        <x:v>Adli Designer Graphic</x:v>
      </x:c>
      <x:c r="C276" s="16" t="str"/>
      <x:c r="D276" s="16" t="str"/>
      <x:c r="E276" s="16" t="str">
        <x:v>* myContacts</x:v>
      </x:c>
      <x:c r="F276" s="16" t="str">
        <x:v>017-439 3357 | +60174393357</x:v>
      </x:c>
      <x:c r="G276" s="16" t="str">
        <x:v>+60174393357 | +60174393357</x:v>
      </x:c>
      <x:c r="H276" s="16" t="str">
        <x:v>Excluded</x:v>
      </x:c>
      <x:c r="I276" s="16" t="str">
        <x:v>Missing email</x:v>
      </x:c>
    </x:row>
    <x:row r="277">
      <x:c r="A277" s="16" t="n">
        <x:v>274</x:v>
      </x:c>
      <x:c r="B277" s="16" t="str">
        <x:v>Adli Dpim Secretary</x:v>
      </x:c>
      <x:c r="C277" s="16" t="str"/>
      <x:c r="D277" s="16" t="str"/>
      <x:c r="E277" s="16" t="str">
        <x:v>* myContacts</x:v>
      </x:c>
      <x:c r="F277" s="16" t="str">
        <x:v>601132137973 | +601132137973</x:v>
      </x:c>
      <x:c r="G277" s="16" t="str">
        <x:v>+601132137973 | +601132137973</x:v>
      </x:c>
      <x:c r="H277" s="16" t="str">
        <x:v>Excluded</x:v>
      </x:c>
      <x:c r="I277" s="16" t="str">
        <x:v>Missing email</x:v>
      </x:c>
    </x:row>
    <x:row r="278">
      <x:c r="A278" s="16" t="n">
        <x:v>275</x:v>
      </x:c>
      <x:c r="B278" s="16" t="str">
        <x:v>Adli Executive Secretarial DPIM</x:v>
      </x:c>
      <x:c r="C278" s="16" t="str"/>
      <x:c r="D278" s="16" t="str"/>
      <x:c r="E278" s="16" t="str">
        <x:v>* myContacts</x:v>
      </x:c>
      <x:c r="F278" s="16" t="str">
        <x:v>+60 11-3213 7973 | +601132137973</x:v>
      </x:c>
      <x:c r="G278" s="16" t="str">
        <x:v>+601132137973 | +601132137973</x:v>
      </x:c>
      <x:c r="H278" s="16" t="str">
        <x:v>Excluded</x:v>
      </x:c>
      <x:c r="I278" s="16" t="str">
        <x:v>Missing email</x:v>
      </x:c>
    </x:row>
    <x:row r="279">
      <x:c r="A279" s="16" t="n">
        <x:v>276</x:v>
      </x:c>
      <x:c r="B279" s="16" t="str">
        <x:v>Adli Harith Secretary Dpim</x:v>
      </x:c>
      <x:c r="C279" s="16" t="str"/>
      <x:c r="D279" s="16" t="str"/>
      <x:c r="E279" s="16" t="str">
        <x:v>* myContacts</x:v>
      </x:c>
      <x:c r="F279" s="16" t="str">
        <x:v>+60 17-740 0210 | +60177400210</x:v>
      </x:c>
      <x:c r="G279" s="16" t="str">
        <x:v>+60177400210 | +60177400210</x:v>
      </x:c>
      <x:c r="H279" s="16" t="str">
        <x:v>Excluded</x:v>
      </x:c>
      <x:c r="I279" s="16" t="str">
        <x:v>Missing email</x:v>
      </x:c>
    </x:row>
    <x:row r="280">
      <x:c r="A280" s="16" t="n">
        <x:v>277</x:v>
      </x:c>
      <x:c r="B280" s="16" t="str">
        <x:v>Adly Cheetah Safety Sho</x:v>
      </x:c>
      <x:c r="C280" s="16" t="str"/>
      <x:c r="D280" s="16" t="str"/>
      <x:c r="E280" s="16" t="str">
        <x:v>* myContacts</x:v>
      </x:c>
      <x:c r="F280" s="16" t="str">
        <x:v>0196713066 | +60196713066</x:v>
      </x:c>
      <x:c r="G280" s="16" t="str">
        <x:v>+60196713066 | +60196713066</x:v>
      </x:c>
      <x:c r="H280" s="16" t="str">
        <x:v>Excluded</x:v>
      </x:c>
      <x:c r="I280" s="16" t="str">
        <x:v>Missing email</x:v>
      </x:c>
    </x:row>
    <x:row r="281">
      <x:c r="A281" s="16" t="n">
        <x:v>278</x:v>
      </x:c>
      <x:c r="B281" s="16" t="str">
        <x:v>Admin Program BEEP</x:v>
      </x:c>
      <x:c r="C281" s="16" t="str"/>
      <x:c r="D281" s="16" t="str"/>
      <x:c r="E281" s="16" t="str">
        <x:v>* myContacts</x:v>
      </x:c>
      <x:c r="F281" s="16" t="str">
        <x:v>+60 12-903 8085 | +60129038085</x:v>
      </x:c>
      <x:c r="G281" s="16" t="str">
        <x:v>+60129038085 | +60129038085</x:v>
      </x:c>
      <x:c r="H281" s="16" t="str">
        <x:v>Excluded</x:v>
      </x:c>
      <x:c r="I281" s="16" t="str">
        <x:v>Missing email</x:v>
      </x:c>
    </x:row>
    <x:row r="282">
      <x:c r="A282" s="16" t="n">
        <x:v>279</x:v>
      </x:c>
      <x:c r="B282" s="16" t="str">
        <x:v>ADMIN Richworks</x:v>
      </x:c>
      <x:c r="C282" s="16" t="str"/>
      <x:c r="D282" s="16" t="str"/>
      <x:c r="E282" s="16" t="str">
        <x:v>* myContacts</x:v>
      </x:c>
      <x:c r="F282" s="16" t="str">
        <x:v>+60 16-247 7450 | +60162477450</x:v>
      </x:c>
      <x:c r="G282" s="16" t="str">
        <x:v>+60162477450 | +60162477450</x:v>
      </x:c>
      <x:c r="H282" s="16" t="str">
        <x:v>Excluded</x:v>
      </x:c>
      <x:c r="I282" s="16" t="str">
        <x:v>Missing email</x:v>
      </x:c>
    </x:row>
    <x:row r="283">
      <x:c r="A283" s="16" t="n">
        <x:v>280</x:v>
      </x:c>
      <x:c r="B283" s="16" t="str">
        <x:v>Adnan Jani</x:v>
      </x:c>
      <x:c r="C283" s="16" t="str"/>
      <x:c r="D283" s="16" t="str"/>
      <x:c r="E283" s="16" t="str">
        <x:v>* myContacts</x:v>
      </x:c>
      <x:c r="F283" s="16" t="str">
        <x:v>+60164774485</x:v>
      </x:c>
      <x:c r="G283" s="16" t="str">
        <x:v>+60164774485</x:v>
      </x:c>
      <x:c r="H283" s="16" t="str">
        <x:v>Excluded</x:v>
      </x:c>
      <x:c r="I283" s="16" t="str">
        <x:v>Missing email</x:v>
      </x:c>
    </x:row>
    <x:row r="284">
      <x:c r="A284" s="16" t="n">
        <x:v>281</x:v>
      </x:c>
      <x:c r="B284" s="16" t="str">
        <x:v>Adnan Kasogi</x:v>
      </x:c>
      <x:c r="C284" s="16" t="str"/>
      <x:c r="D284" s="16" t="str"/>
      <x:c r="E284" s="16" t="str">
        <x:v>* myContacts</x:v>
      </x:c>
      <x:c r="F284" s="16" t="str">
        <x:v>+60179053286</x:v>
      </x:c>
      <x:c r="G284" s="16" t="str">
        <x:v>+60179053286</x:v>
      </x:c>
      <x:c r="H284" s="16" t="str">
        <x:v>Excluded</x:v>
      </x:c>
      <x:c r="I284" s="16" t="str">
        <x:v>Missing email</x:v>
      </x:c>
    </x:row>
    <x:row r="285">
      <x:c r="A285" s="16" t="n">
        <x:v>282</x:v>
      </x:c>
      <x:c r="B285" s="16" t="str">
        <x:v>Adni Flexi Print</x:v>
      </x:c>
      <x:c r="C285" s="16" t="str"/>
      <x:c r="D285" s="16" t="str"/>
      <x:c r="E285" s="16" t="str">
        <x:v>* myContacts</x:v>
      </x:c>
      <x:c r="F285" s="16" t="str">
        <x:v>+60 11-5390 2290 | +601153902290</x:v>
      </x:c>
      <x:c r="G285" s="16" t="str">
        <x:v>+601153902290 | +601153902290</x:v>
      </x:c>
      <x:c r="H285" s="16" t="str">
        <x:v>Excluded</x:v>
      </x:c>
      <x:c r="I285" s="16" t="str">
        <x:v>Missing email</x:v>
      </x:c>
    </x:row>
    <x:row r="286">
      <x:c r="A286" s="16" t="n">
        <x:v>283</x:v>
      </x:c>
      <x:c r="B286" s="16" t="str">
        <x:v>Adri XS</x:v>
      </x:c>
      <x:c r="C286" s="16" t="str"/>
      <x:c r="D286" s="16" t="str"/>
      <x:c r="E286" s="16" t="str">
        <x:v>* myContacts</x:v>
      </x:c>
      <x:c r="F286" s="16" t="str">
        <x:v>+60108093908</x:v>
      </x:c>
      <x:c r="G286" s="16" t="str">
        <x:v>+60108093908</x:v>
      </x:c>
      <x:c r="H286" s="16" t="str">
        <x:v>Excluded</x:v>
      </x:c>
      <x:c r="I286" s="16" t="str">
        <x:v>Missing email</x:v>
      </x:c>
    </x:row>
    <x:row r="287">
      <x:c r="A287" s="16" t="n">
        <x:v>284</x:v>
      </x:c>
      <x:c r="B287" s="16" t="str">
        <x:v>Adri Yanto</x:v>
      </x:c>
      <x:c r="C287" s="16" t="str"/>
      <x:c r="D287" s="16" t="str"/>
      <x:c r="E287" s="16" t="str">
        <x:v>* myContacts</x:v>
      </x:c>
      <x:c r="F287" s="16" t="str">
        <x:v>+62751891026</x:v>
      </x:c>
      <x:c r="G287" s="16" t="str">
        <x:v>+62751891026</x:v>
      </x:c>
      <x:c r="H287" s="16" t="str">
        <x:v>Excluded</x:v>
      </x:c>
      <x:c r="I287" s="16" t="str">
        <x:v>Missing email</x:v>
      </x:c>
    </x:row>
    <x:row r="288">
      <x:c r="A288" s="16" t="n">
        <x:v>285</x:v>
      </x:c>
      <x:c r="B288" s="16" t="str">
        <x:v>Adrian Adnan</x:v>
      </x:c>
      <x:c r="C288" s="16" t="str"/>
      <x:c r="D288" s="16" t="str"/>
      <x:c r="E288" s="16" t="str">
        <x:v>* myContacts</x:v>
      </x:c>
      <x:c r="F288" s="16" t="str">
        <x:v>+60133122061</x:v>
      </x:c>
      <x:c r="G288" s="16" t="str">
        <x:v>+60133122061</x:v>
      </x:c>
      <x:c r="H288" s="16" t="str">
        <x:v>Excluded</x:v>
      </x:c>
      <x:c r="I288" s="16" t="str">
        <x:v>Missing email</x:v>
      </x:c>
    </x:row>
    <x:row r="289">
      <x:c r="A289" s="16" t="n">
        <x:v>286</x:v>
      </x:c>
      <x:c r="B289" s="16" t="str">
        <x:v>Adrian Webstar</x:v>
      </x:c>
      <x:c r="C289" s="16" t="str"/>
      <x:c r="D289" s="16" t="str"/>
      <x:c r="E289" s="16" t="str">
        <x:v>* myContacts</x:v>
      </x:c>
      <x:c r="F289" s="16" t="str">
        <x:v>+60 11-5643 3115 | +601156433115</x:v>
      </x:c>
      <x:c r="G289" s="16" t="str">
        <x:v>+601156433115 | +601156433115</x:v>
      </x:c>
      <x:c r="H289" s="16" t="str">
        <x:v>Excluded</x:v>
      </x:c>
      <x:c r="I289" s="16" t="str">
        <x:v>Missing email</x:v>
      </x:c>
    </x:row>
    <x:row r="290">
      <x:c r="A290" s="16" t="n">
        <x:v>287</x:v>
      </x:c>
      <x:c r="B290" s="16" t="str">
        <x:v>Adriana SKKM</x:v>
      </x:c>
      <x:c r="C290" s="16" t="str"/>
      <x:c r="D290" s="16" t="str"/>
      <x:c r="E290" s="16" t="str">
        <x:v>* myContacts</x:v>
      </x:c>
      <x:c r="F290" s="16" t="str">
        <x:v>+60 11-2639 8675 | +601126398675</x:v>
      </x:c>
      <x:c r="G290" s="16" t="str">
        <x:v>+601126398675 | +601126398675</x:v>
      </x:c>
      <x:c r="H290" s="16" t="str">
        <x:v>Excluded</x:v>
      </x:c>
      <x:c r="I290" s="16" t="str">
        <x:v>Missing email</x:v>
      </x:c>
    </x:row>
    <x:row r="291">
      <x:c r="A291" s="16" t="n">
        <x:v>288</x:v>
      </x:c>
      <x:c r="B291" s="16" t="str">
        <x:v>Adriesha Krkeanz</x:v>
      </x:c>
      <x:c r="C291" s="16" t="str"/>
      <x:c r="D291" s="16" t="str"/>
      <x:c r="E291" s="16" t="str">
        <x:v>* myContacts</x:v>
      </x:c>
      <x:c r="F291" s="16" t="str">
        <x:v>+60149590392</x:v>
      </x:c>
      <x:c r="G291" s="16" t="str">
        <x:v>+60149590392</x:v>
      </x:c>
      <x:c r="H291" s="16" t="str">
        <x:v>Excluded</x:v>
      </x:c>
      <x:c r="I291" s="16" t="str">
        <x:v>Missing email</x:v>
      </x:c>
    </x:row>
    <x:row r="292">
      <x:c r="A292" s="16" t="n">
        <x:v>289</x:v>
      </x:c>
      <x:c r="B292" s="16" t="str">
        <x:v>Adry Coach</x:v>
      </x:c>
      <x:c r="C292" s="16" t="str"/>
      <x:c r="D292" s="16" t="str"/>
      <x:c r="E292" s="16" t="str">
        <x:v>Trainer | * myContacts</x:v>
      </x:c>
      <x:c r="F292" s="16" t="str">
        <x:v>+60 14-255 3070 | +60142553070</x:v>
      </x:c>
      <x:c r="G292" s="16" t="str">
        <x:v>+60142553070 | +60142553070</x:v>
      </x:c>
      <x:c r="H292" s="16" t="str">
        <x:v>Excluded</x:v>
      </x:c>
      <x:c r="I292" s="16" t="str">
        <x:v>Missing email</x:v>
      </x:c>
    </x:row>
    <x:row r="293">
      <x:c r="A293" s="16" t="n">
        <x:v>290</x:v>
      </x:c>
      <x:c r="B293" s="16" t="str">
        <x:v>Aduan Trafik JPJ</x:v>
      </x:c>
      <x:c r="C293" s="16" t="str"/>
      <x:c r="D293" s="16" t="str"/>
      <x:c r="E293" s="16" t="str">
        <x:v>* myContacts</x:v>
      </x:c>
      <x:c r="F293" s="16" t="str">
        <x:v>+60 11-5111 5252 | +601151115252</x:v>
      </x:c>
      <x:c r="G293" s="16" t="str">
        <x:v>+601151115252 | +601151115252</x:v>
      </x:c>
      <x:c r="H293" s="16" t="str">
        <x:v>Excluded</x:v>
      </x:c>
      <x:c r="I293" s="16" t="str">
        <x:v>Missing email</x:v>
      </x:c>
    </x:row>
    <x:row r="294">
      <x:c r="A294" s="16" t="n">
        <x:v>291</x:v>
      </x:c>
      <x:c r="B294" s="16" t="str">
        <x:v>Adukaboy Qtn</x:v>
      </x:c>
      <x:c r="C294" s="16" t="str"/>
      <x:c r="D294" s="16" t="str"/>
      <x:c r="E294" s="16" t="str">
        <x:v>* myContacts</x:v>
      </x:c>
      <x:c r="F294" s="16" t="str">
        <x:v>+60175280709</x:v>
      </x:c>
      <x:c r="G294" s="16" t="str">
        <x:v>+60175280709</x:v>
      </x:c>
      <x:c r="H294" s="16" t="str">
        <x:v>Excluded</x:v>
      </x:c>
      <x:c r="I294" s="16" t="str">
        <x:v>Missing email</x:v>
      </x:c>
    </x:row>
    <x:row r="295">
      <x:c r="A295" s="16" t="n">
        <x:v>292</x:v>
      </x:c>
      <x:c r="B295" s="16" t="str">
        <x:v>Adwin Lam</x:v>
      </x:c>
      <x:c r="C295" s="16" t="str"/>
      <x:c r="D295" s="16" t="str"/>
      <x:c r="E295" s="16" t="str">
        <x:v>* myContacts</x:v>
      </x:c>
      <x:c r="F295" s="16" t="str">
        <x:v>+60167534555</x:v>
      </x:c>
      <x:c r="G295" s="16" t="str">
        <x:v>+60167534555</x:v>
      </x:c>
      <x:c r="H295" s="16" t="str">
        <x:v>Excluded</x:v>
      </x:c>
      <x:c r="I295" s="16" t="str">
        <x:v>Missing email</x:v>
      </x:c>
    </x:row>
    <x:row r="296">
      <x:c r="A296" s="16" t="n">
        <x:v>293</x:v>
      </x:c>
      <x:c r="B296" s="16" t="str">
        <x:v>Ady Tauke Pop Cheez</x:v>
      </x:c>
      <x:c r="C296" s="16" t="str"/>
      <x:c r="D296" s="16" t="str"/>
      <x:c r="E296" s="16" t="str">
        <x:v>* myContacts</x:v>
      </x:c>
      <x:c r="F296" s="16" t="str">
        <x:v>+60 17-237 7499 | +60172377499</x:v>
      </x:c>
      <x:c r="G296" s="16" t="str">
        <x:v>+60172377499 | +60172377499</x:v>
      </x:c>
      <x:c r="H296" s="16" t="str">
        <x:v>Excluded</x:v>
      </x:c>
      <x:c r="I296" s="16" t="str">
        <x:v>Missing email</x:v>
      </x:c>
    </x:row>
    <x:row r="297">
      <x:c r="A297" s="16" t="n">
        <x:v>294</x:v>
      </x:c>
      <x:c r="B297" s="16" t="str">
        <x:v>Ady Ukich</x:v>
      </x:c>
      <x:c r="C297" s="16" t="str"/>
      <x:c r="D297" s="16" t="str"/>
      <x:c r="E297" s="16" t="str">
        <x:v>* myContacts</x:v>
      </x:c>
      <x:c r="F297" s="16" t="str">
        <x:v>+60196303175</x:v>
      </x:c>
      <x:c r="G297" s="16" t="str">
        <x:v>+60196303175</x:v>
      </x:c>
      <x:c r="H297" s="16" t="str">
        <x:v>Excluded</x:v>
      </x:c>
      <x:c r="I297" s="16" t="str">
        <x:v>Missing email</x:v>
      </x:c>
    </x:row>
    <x:row r="298">
      <x:c r="A298" s="16" t="n">
        <x:v>295</x:v>
      </x:c>
      <x:c r="B298" s="16" t="str">
        <x:v>Adynor Azrin Abd Kadir</x:v>
      </x:c>
      <x:c r="C298" s="16" t="str"/>
      <x:c r="D298" s="16" t="str"/>
      <x:c r="E298" s="16" t="str">
        <x:v>* myContacts</x:v>
      </x:c>
      <x:c r="F298" s="16" t="str">
        <x:v>+601112783006</x:v>
      </x:c>
      <x:c r="G298" s="16" t="str">
        <x:v>+601112783006</x:v>
      </x:c>
      <x:c r="H298" s="16" t="str">
        <x:v>Excluded</x:v>
      </x:c>
      <x:c r="I298" s="16" t="str">
        <x:v>Missing email</x:v>
      </x:c>
    </x:row>
    <x:row r="299">
      <x:c r="A299" s="16" t="n">
        <x:v>296</x:v>
      </x:c>
      <x:c r="B299" s="16" t="str">
        <x:v>Adzam CIAST</x:v>
      </x:c>
      <x:c r="C299" s="16" t="str"/>
      <x:c r="D299" s="16" t="str"/>
      <x:c r="E299" s="16" t="str">
        <x:v>* myContacts</x:v>
      </x:c>
      <x:c r="F299" s="16" t="str">
        <x:v>+60 12-314 1742 | +60123141742</x:v>
      </x:c>
      <x:c r="G299" s="16" t="str">
        <x:v>+60123141742 | +60123141742</x:v>
      </x:c>
      <x:c r="H299" s="16" t="str">
        <x:v>Excluded</x:v>
      </x:c>
      <x:c r="I299" s="16" t="str">
        <x:v>Missing email</x:v>
      </x:c>
    </x:row>
    <x:row r="300">
      <x:c r="A300" s="16" t="n">
        <x:v>297</x:v>
      </x:c>
      <x:c r="B300" s="16" t="str">
        <x:v>Adzhar Osman</x:v>
      </x:c>
      <x:c r="C300" s="16" t="str"/>
      <x:c r="D300" s="16" t="str"/>
      <x:c r="E300" s="16" t="str">
        <x:v>* myContacts</x:v>
      </x:c>
      <x:c r="F300" s="16" t="str">
        <x:v>+60149792116</x:v>
      </x:c>
      <x:c r="G300" s="16" t="str">
        <x:v>+60149792116</x:v>
      </x:c>
      <x:c r="H300" s="16" t="str">
        <x:v>Excluded</x:v>
      </x:c>
      <x:c r="I300" s="16" t="str">
        <x:v>Missing email</x:v>
      </x:c>
    </x:row>
    <x:row r="301">
      <x:c r="A301" s="16" t="n">
        <x:v>298</x:v>
      </x:c>
      <x:c r="B301" s="16" t="str">
        <x:v>Adzrai Ceo TMIM</x:v>
      </x:c>
      <x:c r="C301" s="16" t="str"/>
      <x:c r="D301" s="16" t="str"/>
      <x:c r="E301" s="16" t="str">
        <x:v>* myContacts</x:v>
      </x:c>
      <x:c r="F301" s="16" t="str">
        <x:v>+60 19-213 5827 | +60192135827</x:v>
      </x:c>
      <x:c r="G301" s="16" t="str">
        <x:v>+60192135827 | +60192135827</x:v>
      </x:c>
      <x:c r="H301" s="16" t="str">
        <x:v>Excluded</x:v>
      </x:c>
      <x:c r="I301" s="16" t="str">
        <x:v>Missing email</x:v>
      </x:c>
    </x:row>
    <x:row r="302">
      <x:c r="A302" s="16" t="n">
        <x:v>299</x:v>
      </x:c>
      <x:c r="B302" s="16" t="str">
        <x:v>adzura dpim</x:v>
      </x:c>
      <x:c r="C302" s="16" t="str"/>
      <x:c r="D302" s="16" t="str"/>
      <x:c r="E302" s="16" t="str">
        <x:v>* myContacts</x:v>
      </x:c>
      <x:c r="F302" s="16" t="str">
        <x:v>+60 19-357 1325 | +60193571325</x:v>
      </x:c>
      <x:c r="G302" s="16" t="str">
        <x:v>+60193571325 | +60193571325</x:v>
      </x:c>
      <x:c r="H302" s="16" t="str">
        <x:v>Excluded</x:v>
      </x:c>
      <x:c r="I302" s="16" t="str">
        <x:v>Missing email</x:v>
      </x:c>
    </x:row>
    <x:row r="303">
      <x:c r="A303" s="16" t="n">
        <x:v>300</x:v>
      </x:c>
      <x:c r="B303" s="16" t="str">
        <x:v>Aeiri Abas</x:v>
      </x:c>
      <x:c r="C303" s="16" t="str"/>
      <x:c r="D303" s="16" t="str"/>
      <x:c r="E303" s="16" t="str">
        <x:v>* myContacts</x:v>
      </x:c>
      <x:c r="F303" s="16" t="str">
        <x:v>+6287869433164</x:v>
      </x:c>
      <x:c r="G303" s="16" t="str">
        <x:v>+6287869433164</x:v>
      </x:c>
      <x:c r="H303" s="16" t="str">
        <x:v>Excluded</x:v>
      </x:c>
      <x:c r="I303" s="16" t="str">
        <x:v>Missing email</x:v>
      </x:c>
    </x:row>
    <x:row r="304">
      <x:c r="A304" s="16" t="n">
        <x:v>301</x:v>
      </x:c>
      <x:c r="B304" s="16" t="str">
        <x:v>Aen Pete DahLia</x:v>
      </x:c>
      <x:c r="C304" s="16" t="str"/>
      <x:c r="D304" s="16" t="str"/>
      <x:c r="E304" s="16" t="str">
        <x:v>* myContacts</x:v>
      </x:c>
      <x:c r="F304" s="16" t="str">
        <x:v>+60136001304</x:v>
      </x:c>
      <x:c r="G304" s="16" t="str">
        <x:v>+60136001304</x:v>
      </x:c>
      <x:c r="H304" s="16" t="str">
        <x:v>Excluded</x:v>
      </x:c>
      <x:c r="I304" s="16" t="str">
        <x:v>Missing email</x:v>
      </x:c>
    </x:row>
    <x:row r="305">
      <x:c r="A305" s="16" t="n">
        <x:v>302</x:v>
      </x:c>
      <x:c r="B305" s="16" t="str">
        <x:v>Aent Cuckoo JohorBahru</x:v>
      </x:c>
      <x:c r="C305" s="16" t="str"/>
      <x:c r="D305" s="16" t="str"/>
      <x:c r="E305" s="16" t="str">
        <x:v>* myContacts</x:v>
      </x:c>
      <x:c r="F305" s="16" t="str">
        <x:v>+60173442383</x:v>
      </x:c>
      <x:c r="G305" s="16" t="str">
        <x:v>+60173442383</x:v>
      </x:c>
      <x:c r="H305" s="16" t="str">
        <x:v>Excluded</x:v>
      </x:c>
      <x:c r="I305" s="16" t="str">
        <x:v>Missing email</x:v>
      </x:c>
    </x:row>
    <x:row r="306">
      <x:c r="A306" s="16" t="n">
        <x:v>303</x:v>
      </x:c>
      <x:c r="B306" s="16" t="str">
        <x:v>Afandi Saripi Teg</x:v>
      </x:c>
      <x:c r="C306" s="16" t="str"/>
      <x:c r="D306" s="16" t="str"/>
      <x:c r="E306" s="16" t="str">
        <x:v>* myContacts</x:v>
      </x:c>
      <x:c r="F306" s="16" t="str">
        <x:v>+60105442234</x:v>
      </x:c>
      <x:c r="G306" s="16" t="str">
        <x:v>+60105442234</x:v>
      </x:c>
      <x:c r="H306" s="16" t="str">
        <x:v>Excluded</x:v>
      </x:c>
      <x:c r="I306" s="16" t="str">
        <x:v>Missing email</x:v>
      </x:c>
    </x:row>
    <x:row r="307">
      <x:c r="A307" s="16" t="n">
        <x:v>304</x:v>
      </x:c>
      <x:c r="B307" s="16" t="str">
        <x:v>Afeez ezry bin azami</x:v>
      </x:c>
      <x:c r="C307" s="16" t="str"/>
      <x:c r="D307" s="16" t="str"/>
      <x:c r="E307" s="16" t="str">
        <x:v>* myContacts</x:v>
      </x:c>
      <x:c r="F307" s="16" t="str">
        <x:v>013-299 3020 | +60132993020</x:v>
      </x:c>
      <x:c r="G307" s="16" t="str">
        <x:v>+60132993020 | +60132993020</x:v>
      </x:c>
      <x:c r="H307" s="16" t="str">
        <x:v>Excluded</x:v>
      </x:c>
      <x:c r="I307" s="16" t="str">
        <x:v>Missing email</x:v>
      </x:c>
    </x:row>
    <x:row r="308">
      <x:c r="A308" s="16" t="n">
        <x:v>305</x:v>
      </x:c>
      <x:c r="B308" s="16" t="str">
        <x:v>Affa Arena</x:v>
      </x:c>
      <x:c r="C308" s="16" t="str"/>
      <x:c r="D308" s="16" t="str"/>
      <x:c r="E308" s="16" t="str">
        <x:v>* myContacts</x:v>
      </x:c>
      <x:c r="F308" s="16" t="str">
        <x:v>+60182048817</x:v>
      </x:c>
      <x:c r="G308" s="16" t="str">
        <x:v>+60182048817</x:v>
      </x:c>
      <x:c r="H308" s="16" t="str">
        <x:v>Excluded</x:v>
      </x:c>
      <x:c r="I308" s="16" t="str">
        <x:v>Missing email</x:v>
      </x:c>
    </x:row>
    <x:row r="309">
      <x:c r="A309" s="16" t="n">
        <x:v>306</x:v>
      </x:c>
      <x:c r="B309" s="16" t="str">
        <x:v>Affendy Fendyy</x:v>
      </x:c>
      <x:c r="C309" s="16" t="str"/>
      <x:c r="D309" s="16" t="str"/>
      <x:c r="E309" s="16" t="str">
        <x:v>* myContacts</x:v>
      </x:c>
      <x:c r="F309" s="16" t="str">
        <x:v>+60199852770</x:v>
      </x:c>
      <x:c r="G309" s="16" t="str">
        <x:v>+60199852770</x:v>
      </x:c>
      <x:c r="H309" s="16" t="str">
        <x:v>Excluded</x:v>
      </x:c>
      <x:c r="I309" s="16" t="str">
        <x:v>Missing email</x:v>
      </x:c>
    </x:row>
    <x:row r="310">
      <x:c r="A310" s="16" t="n">
        <x:v>307</x:v>
      </x:c>
      <x:c r="B310" s="16" t="str">
        <x:v>Affin Azmee</x:v>
      </x:c>
      <x:c r="C310" s="16" t="str"/>
      <x:c r="D310" s="16" t="str"/>
      <x:c r="E310" s="16" t="str">
        <x:v>* myContacts</x:v>
      </x:c>
      <x:c r="F310" s="16" t="str">
        <x:v>+60174309908</x:v>
      </x:c>
      <x:c r="G310" s="16" t="str">
        <x:v>+60174309908</x:v>
      </x:c>
      <x:c r="H310" s="16" t="str">
        <x:v>Excluded</x:v>
      </x:c>
      <x:c r="I310" s="16" t="str">
        <x:v>Missing email</x:v>
      </x:c>
    </x:row>
    <x:row r="311">
      <x:c r="A311" s="16" t="n">
        <x:v>308</x:v>
      </x:c>
      <x:c r="B311" s="16" t="str">
        <x:v>Affiq Shahmey</x:v>
      </x:c>
      <x:c r="C311" s="16" t="str"/>
      <x:c r="D311" s="16" t="str"/>
      <x:c r="E311" s="16" t="str">
        <x:v>* myContacts</x:v>
      </x:c>
      <x:c r="F311" s="16" t="str">
        <x:v>+60132490964</x:v>
      </x:c>
      <x:c r="G311" s="16" t="str">
        <x:v>+60132490964</x:v>
      </x:c>
      <x:c r="H311" s="16" t="str">
        <x:v>Excluded</x:v>
      </x:c>
      <x:c r="I311" s="16" t="str">
        <x:v>Missing email</x:v>
      </x:c>
    </x:row>
    <x:row r="312">
      <x:c r="A312" s="16" t="n">
        <x:v>309</x:v>
      </x:c>
      <x:c r="B312" s="16" t="str">
        <x:v>Affiqah Akauntan INSKEN</x:v>
      </x:c>
      <x:c r="C312" s="16" t="str"/>
      <x:c r="D312" s="16" t="str"/>
      <x:c r="E312" s="16" t="str">
        <x:v>Alumni INSKEN | * myContacts</x:v>
      </x:c>
      <x:c r="F312" s="16" t="str">
        <x:v>+60 17-656 3052 | +60176563052</x:v>
      </x:c>
      <x:c r="G312" s="16" t="str">
        <x:v>+60176563052 | +60176563052</x:v>
      </x:c>
      <x:c r="H312" s="16" t="str">
        <x:v>Excluded</x:v>
      </x:c>
      <x:c r="I312" s="16" t="str">
        <x:v>Missing email</x:v>
      </x:c>
    </x:row>
    <x:row r="313">
      <x:c r="A313" s="16" t="n">
        <x:v>310</x:v>
      </x:c>
      <x:c r="B313" s="16" t="str">
        <x:v>Affis Adnan</x:v>
      </x:c>
      <x:c r="C313" s="16" t="str"/>
      <x:c r="D313" s="16" t="str"/>
      <x:c r="E313" s="16" t="str">
        <x:v>* myContacts</x:v>
      </x:c>
      <x:c r="F313" s="16" t="str">
        <x:v>+60127925769</x:v>
      </x:c>
      <x:c r="G313" s="16" t="str">
        <x:v>+60127925769</x:v>
      </x:c>
      <x:c r="H313" s="16" t="str">
        <x:v>Excluded</x:v>
      </x:c>
      <x:c r="I313" s="16" t="str">
        <x:v>Missing email</x:v>
      </x:c>
    </x:row>
    <x:row r="314">
      <x:c r="A314" s="16" t="n">
        <x:v>311</x:v>
      </x:c>
      <x:c r="B314" s="16" t="str">
        <x:v>Affizah Sukor</x:v>
      </x:c>
      <x:c r="C314" s="16" t="str"/>
      <x:c r="D314" s="16" t="str"/>
      <x:c r="E314" s="16" t="str">
        <x:v>* myContacts</x:v>
      </x:c>
      <x:c r="F314" s="16" t="str">
        <x:v>+60126379037</x:v>
      </x:c>
      <x:c r="G314" s="16" t="str">
        <x:v>+60126379037</x:v>
      </x:c>
      <x:c r="H314" s="16" t="str">
        <x:v>Excluded</x:v>
      </x:c>
      <x:c r="I314" s="16" t="str">
        <x:v>Missing email</x:v>
      </x:c>
    </x:row>
    <x:row r="315">
      <x:c r="A315" s="16" t="n">
        <x:v>312</x:v>
      </x:c>
      <x:c r="B315" s="16" t="str">
        <x:v>Afi muaz</x:v>
      </x:c>
      <x:c r="C315" s="16" t="str"/>
      <x:c r="D315" s="16" t="str"/>
      <x:c r="E315" s="16" t="str">
        <x:v>* myContacts</x:v>
      </x:c>
      <x:c r="F315" s="16" t="str">
        <x:v>+60166657701</x:v>
      </x:c>
      <x:c r="G315" s="16" t="str">
        <x:v>+60166657701</x:v>
      </x:c>
      <x:c r="H315" s="16" t="str">
        <x:v>Excluded</x:v>
      </x:c>
      <x:c r="I315" s="16" t="str">
        <x:v>Missing email</x:v>
      </x:c>
    </x:row>
    <x:row r="316">
      <x:c r="A316" s="16" t="n">
        <x:v>313</x:v>
      </x:c>
      <x:c r="B316" s="16" t="str">
        <x:v>Afian AGP</x:v>
      </x:c>
      <x:c r="C316" s="16" t="str"/>
      <x:c r="D316" s="16" t="str"/>
      <x:c r="E316" s="16" t="str">
        <x:v>* myContacts</x:v>
      </x:c>
      <x:c r="F316" s="16" t="str">
        <x:v>+60 12-366 5764 | +60123665764</x:v>
      </x:c>
      <x:c r="G316" s="16" t="str">
        <x:v>+60123665764 | +60123665764</x:v>
      </x:c>
      <x:c r="H316" s="16" t="str">
        <x:v>Excluded</x:v>
      </x:c>
      <x:c r="I316" s="16" t="str">
        <x:v>Missing email</x:v>
      </x:c>
    </x:row>
    <x:row r="317">
      <x:c r="A317" s="16" t="n">
        <x:v>314</x:v>
      </x:c>
      <x:c r="B317" s="16" t="str">
        <x:v>Afidah Mohd Dinie Fydafye</x:v>
      </x:c>
      <x:c r="C317" s="16" t="str"/>
      <x:c r="D317" s="16" t="str"/>
      <x:c r="E317" s="16" t="str">
        <x:v>* myContacts</x:v>
      </x:c>
      <x:c r="F317" s="16" t="str">
        <x:v>+601117589938</x:v>
      </x:c>
      <x:c r="G317" s="16" t="str">
        <x:v>+601117589938</x:v>
      </x:c>
      <x:c r="H317" s="16" t="str">
        <x:v>Excluded</x:v>
      </x:c>
      <x:c r="I317" s="16" t="str">
        <x:v>Missing email</x:v>
      </x:c>
    </x:row>
    <x:row r="318">
      <x:c r="A318" s="16" t="n">
        <x:v>315</x:v>
      </x:c>
      <x:c r="B318" s="16" t="str">
        <x:v>Afif Akmal</x:v>
      </x:c>
      <x:c r="C318" s="16" t="str"/>
      <x:c r="D318" s="16" t="str"/>
      <x:c r="E318" s="16" t="str">
        <x:v>* myContacts</x:v>
      </x:c>
      <x:c r="F318" s="16" t="str">
        <x:v>+60132270058</x:v>
      </x:c>
      <x:c r="G318" s="16" t="str">
        <x:v>+60132270058</x:v>
      </x:c>
      <x:c r="H318" s="16" t="str">
        <x:v>Excluded</x:v>
      </x:c>
      <x:c r="I318" s="16" t="str">
        <x:v>Missing email</x:v>
      </x:c>
    </x:row>
    <x:row r="319">
      <x:c r="A319" s="16" t="n">
        <x:v>316</x:v>
      </x:c>
      <x:c r="B319" s="16" t="str">
        <x:v>Afifi Harman</x:v>
      </x:c>
      <x:c r="C319" s="16" t="str"/>
      <x:c r="D319" s="16" t="str"/>
      <x:c r="E319" s="16" t="str">
        <x:v>* myContacts</x:v>
      </x:c>
      <x:c r="F319" s="16" t="str">
        <x:v>+60109507459</x:v>
      </x:c>
      <x:c r="G319" s="16" t="str">
        <x:v>+60109507459</x:v>
      </x:c>
      <x:c r="H319" s="16" t="str">
        <x:v>Excluded</x:v>
      </x:c>
      <x:c r="I319" s="16" t="str">
        <x:v>Missing email</x:v>
      </x:c>
    </x:row>
    <x:row r="320">
      <x:c r="A320" s="16" t="n">
        <x:v>317</x:v>
      </x:c>
      <x:c r="B320" s="16" t="str">
        <x:v>Afikah Mustapa</x:v>
      </x:c>
      <x:c r="C320" s="16" t="str"/>
      <x:c r="D320" s="16" t="str"/>
      <x:c r="E320" s="16" t="str">
        <x:v>* myContacts</x:v>
      </x:c>
      <x:c r="F320" s="16" t="str">
        <x:v>+60199419263</x:v>
      </x:c>
      <x:c r="G320" s="16" t="str">
        <x:v>+60199419263</x:v>
      </x:c>
      <x:c r="H320" s="16" t="str">
        <x:v>Excluded</x:v>
      </x:c>
      <x:c r="I320" s="16" t="str">
        <x:v>Missing email</x:v>
      </x:c>
    </x:row>
    <x:row r="321">
      <x:c r="A321" s="16" t="n">
        <x:v>318</x:v>
      </x:c>
      <x:c r="B321" s="16" t="str">
        <x:v>Afina Kamal</x:v>
      </x:c>
      <x:c r="C321" s="16" t="str"/>
      <x:c r="D321" s="16" t="str"/>
      <x:c r="E321" s="16" t="str">
        <x:v>* myContacts</x:v>
      </x:c>
      <x:c r="F321" s="16" t="str">
        <x:v>+60179263051</x:v>
      </x:c>
      <x:c r="G321" s="16" t="str">
        <x:v>+60179263051</x:v>
      </x:c>
      <x:c r="H321" s="16" t="str">
        <x:v>Excluded</x:v>
      </x:c>
      <x:c r="I321" s="16" t="str">
        <x:v>Missing email</x:v>
      </x:c>
    </x:row>
    <x:row r="322">
      <x:c r="A322" s="16" t="n">
        <x:v>319</x:v>
      </x:c>
      <x:c r="B322" s="16" t="str">
        <x:v>Afiq Anshary</x:v>
      </x:c>
      <x:c r="C322" s="16" t="str"/>
      <x:c r="D322" s="16" t="str"/>
      <x:c r="E322" s="16" t="str">
        <x:v>* myContacts</x:v>
      </x:c>
      <x:c r="F322" s="16" t="str">
        <x:v>+60147100688</x:v>
      </x:c>
      <x:c r="G322" s="16" t="str">
        <x:v>+60147100688</x:v>
      </x:c>
      <x:c r="H322" s="16" t="str">
        <x:v>Excluded</x:v>
      </x:c>
      <x:c r="I322" s="16" t="str">
        <x:v>Missing email</x:v>
      </x:c>
    </x:row>
    <x:row r="323">
      <x:c r="A323" s="16" t="n">
        <x:v>320</x:v>
      </x:c>
      <x:c r="B323" s="16" t="str">
        <x:v>Afiq Hazim</x:v>
      </x:c>
      <x:c r="C323" s="16" t="str"/>
      <x:c r="D323" s="16" t="str"/>
      <x:c r="E323" s="16" t="str">
        <x:v>* myContacts</x:v>
      </x:c>
      <x:c r="F323" s="16" t="str">
        <x:v>+60176738857</x:v>
      </x:c>
      <x:c r="G323" s="16" t="str">
        <x:v>+60176738857</x:v>
      </x:c>
      <x:c r="H323" s="16" t="str">
        <x:v>Excluded</x:v>
      </x:c>
      <x:c r="I323" s="16" t="str">
        <x:v>Missing email</x:v>
      </x:c>
    </x:row>
    <x:row r="324">
      <x:c r="A324" s="16" t="n">
        <x:v>321</x:v>
      </x:c>
      <x:c r="B324" s="16" t="str">
        <x:v>Afiq Manab Peneraju Media</x:v>
      </x:c>
      <x:c r="C324" s="16" t="str"/>
      <x:c r="D324" s="16" t="str"/>
      <x:c r="E324" s="16" t="str">
        <x:v>* myContacts</x:v>
      </x:c>
      <x:c r="F324" s="16" t="str">
        <x:v>+60 12-691 8594 | +60126918594</x:v>
      </x:c>
      <x:c r="G324" s="16" t="str">
        <x:v>+60126918594 | +60126918594</x:v>
      </x:c>
      <x:c r="H324" s="16" t="str">
        <x:v>Excluded</x:v>
      </x:c>
      <x:c r="I324" s="16" t="str">
        <x:v>Missing email</x:v>
      </x:c>
    </x:row>
    <x:row r="325">
      <x:c r="A325" s="16" t="n">
        <x:v>322</x:v>
      </x:c>
      <x:c r="B325" s="16" t="str">
        <x:v>afiq phms</x:v>
      </x:c>
      <x:c r="C325" s="16" t="str"/>
      <x:c r="D325" s="16" t="str"/>
      <x:c r="E325" s="16" t="str">
        <x:v>* myContacts</x:v>
      </x:c>
      <x:c r="F325" s="16" t="str">
        <x:v>+60 17-457 4340 | +60174574340</x:v>
      </x:c>
      <x:c r="G325" s="16" t="str">
        <x:v>+60174574340 | +60174574340</x:v>
      </x:c>
      <x:c r="H325" s="16" t="str">
        <x:v>Excluded</x:v>
      </x:c>
      <x:c r="I325" s="16" t="str">
        <x:v>Missing email</x:v>
      </x:c>
    </x:row>
    <x:row r="326">
      <x:c r="A326" s="16" t="n">
        <x:v>323</x:v>
      </x:c>
      <x:c r="B326" s="16" t="str">
        <x:v>Afiq Potential Buyer GoPro</x:v>
      </x:c>
      <x:c r="C326" s="16" t="str"/>
      <x:c r="D326" s="16" t="str"/>
      <x:c r="E326" s="16" t="str">
        <x:v>* myContacts</x:v>
      </x:c>
      <x:c r="F326" s="16" t="str">
        <x:v>0133003264 | +60133003264</x:v>
      </x:c>
      <x:c r="G326" s="16" t="str">
        <x:v>+60133003264 | +60133003264</x:v>
      </x:c>
      <x:c r="H326" s="16" t="str">
        <x:v>Excluded</x:v>
      </x:c>
      <x:c r="I326" s="16" t="str">
        <x:v>Missing email</x:v>
      </x:c>
    </x:row>
    <x:row r="327">
      <x:c r="A327" s="16" t="n">
        <x:v>324</x:v>
      </x:c>
      <x:c r="B327" s="16" t="str">
        <x:v>Afiq web designer from Sarawak</x:v>
      </x:c>
      <x:c r="C327" s="16" t="str"/>
      <x:c r="D327" s="16" t="str"/>
      <x:c r="E327" s="16" t="str">
        <x:v>* myContacts</x:v>
      </x:c>
      <x:c r="F327" s="16" t="str">
        <x:v>+60 12-872 8269 | +60128728269</x:v>
      </x:c>
      <x:c r="G327" s="16" t="str">
        <x:v>+60128728269 | +60128728269</x:v>
      </x:c>
      <x:c r="H327" s="16" t="str">
        <x:v>Excluded</x:v>
      </x:c>
      <x:c r="I327" s="16" t="str">
        <x:v>Missing email</x:v>
      </x:c>
    </x:row>
    <x:row r="328">
      <x:c r="A328" s="16" t="n">
        <x:v>325</x:v>
      </x:c>
      <x:c r="B328" s="16" t="str">
        <x:v>Afiq Zakwan</x:v>
      </x:c>
      <x:c r="C328" s="16" t="str"/>
      <x:c r="D328" s="16" t="str"/>
      <x:c r="E328" s="16" t="str">
        <x:v>* myContacts</x:v>
      </x:c>
      <x:c r="F328" s="16" t="str">
        <x:v>+601114489577</x:v>
      </x:c>
      <x:c r="G328" s="16" t="str">
        <x:v>+601114489577</x:v>
      </x:c>
      <x:c r="H328" s="16" t="str">
        <x:v>Excluded</x:v>
      </x:c>
      <x:c r="I328" s="16" t="str">
        <x:v>Missing email</x:v>
      </x:c>
    </x:row>
    <x:row r="329">
      <x:c r="A329" s="16" t="n">
        <x:v>326</x:v>
      </x:c>
      <x:c r="B329" s="16" t="str">
        <x:v>Afiqah Jasman</x:v>
      </x:c>
      <x:c r="C329" s="16" t="str"/>
      <x:c r="D329" s="16" t="str"/>
      <x:c r="E329" s="16" t="str">
        <x:v>* myContacts</x:v>
      </x:c>
      <x:c r="F329" s="16" t="str">
        <x:v>+60138751986</x:v>
      </x:c>
      <x:c r="G329" s="16" t="str">
        <x:v>+60138751986</x:v>
      </x:c>
      <x:c r="H329" s="16" t="str">
        <x:v>Excluded</x:v>
      </x:c>
      <x:c r="I329" s="16" t="str">
        <x:v>Missing email</x:v>
      </x:c>
    </x:row>
    <x:row r="330">
      <x:c r="A330" s="16" t="n">
        <x:v>327</x:v>
      </x:c>
      <x:c r="B330" s="16" t="str">
        <x:v>Afiqah Khairani</x:v>
      </x:c>
      <x:c r="C330" s="16" t="str"/>
      <x:c r="D330" s="16" t="str"/>
      <x:c r="E330" s="16" t="str">
        <x:v>* myContacts</x:v>
      </x:c>
      <x:c r="F330" s="16" t="str">
        <x:v>+60184076921</x:v>
      </x:c>
      <x:c r="G330" s="16" t="str">
        <x:v>+60184076921</x:v>
      </x:c>
      <x:c r="H330" s="16" t="str">
        <x:v>Excluded</x:v>
      </x:c>
      <x:c r="I330" s="16" t="str">
        <x:v>Missing email</x:v>
      </x:c>
    </x:row>
    <x:row r="331">
      <x:c r="A331" s="16" t="n">
        <x:v>328</x:v>
      </x:c>
      <x:c r="B331" s="16" t="str">
        <x:v>Afizah Mohd Nor</x:v>
      </x:c>
      <x:c r="C331" s="16" t="str"/>
      <x:c r="D331" s="16" t="str"/>
      <x:c r="E331" s="16" t="str">
        <x:v>* myContacts</x:v>
      </x:c>
      <x:c r="F331" s="16" t="str">
        <x:v>+601110902467</x:v>
      </x:c>
      <x:c r="G331" s="16" t="str">
        <x:v>+601110902467</x:v>
      </x:c>
      <x:c r="H331" s="16" t="str">
        <x:v>Excluded</x:v>
      </x:c>
      <x:c r="I331" s="16" t="str">
        <x:v>Missing email</x:v>
      </x:c>
    </x:row>
    <x:row r="332">
      <x:c r="A332" s="16" t="n">
        <x:v>329</x:v>
      </x:c>
      <x:c r="B332" s="16" t="str">
        <x:v>Afizuddin Afizuddin</x:v>
      </x:c>
      <x:c r="C332" s="16" t="str"/>
      <x:c r="D332" s="16" t="str"/>
      <x:c r="E332" s="16" t="str">
        <x:v>* myContacts</x:v>
      </x:c>
      <x:c r="F332" s="16" t="str">
        <x:v>+60164555132</x:v>
      </x:c>
      <x:c r="G332" s="16" t="str">
        <x:v>+60164555132</x:v>
      </x:c>
      <x:c r="H332" s="16" t="str">
        <x:v>Excluded</x:v>
      </x:c>
      <x:c r="I332" s="16" t="str">
        <x:v>Missing email</x:v>
      </x:c>
    </x:row>
    <x:row r="333">
      <x:c r="A333" s="16" t="n">
        <x:v>330</x:v>
      </x:c>
      <x:c r="B333" s="16" t="str">
        <x:v>Afrina Aida Azmi</x:v>
      </x:c>
      <x:c r="C333" s="16" t="str"/>
      <x:c r="D333" s="16" t="str"/>
      <x:c r="E333" s="16" t="str">
        <x:v>* myContacts</x:v>
      </x:c>
      <x:c r="F333" s="16" t="str">
        <x:v>+601119992631</x:v>
      </x:c>
      <x:c r="G333" s="16" t="str">
        <x:v>+601119992631</x:v>
      </x:c>
      <x:c r="H333" s="16" t="str">
        <x:v>Excluded</x:v>
      </x:c>
      <x:c r="I333" s="16" t="str">
        <x:v>Missing email</x:v>
      </x:c>
    </x:row>
    <x:row r="334">
      <x:c r="A334" s="16" t="n">
        <x:v>331</x:v>
      </x:c>
      <x:c r="B334" s="16" t="str">
        <x:v>Afwan JNJ Coordinator</x:v>
      </x:c>
      <x:c r="C334" s="16" t="str"/>
      <x:c r="D334" s="16" t="str"/>
      <x:c r="E334" s="16" t="str">
        <x:v>* myContacts</x:v>
      </x:c>
      <x:c r="F334" s="16" t="str">
        <x:v>+60 17-920 2047 | +60179202047</x:v>
      </x:c>
      <x:c r="G334" s="16" t="str">
        <x:v>+60179202047 | +60179202047</x:v>
      </x:c>
      <x:c r="H334" s="16" t="str">
        <x:v>Excluded</x:v>
      </x:c>
      <x:c r="I334" s="16" t="str">
        <x:v>Missing email</x:v>
      </x:c>
    </x:row>
    <x:row r="335">
      <x:c r="A335" s="16" t="n">
        <x:v>332</x:v>
      </x:c>
      <x:c r="B335" s="16" t="str">
        <x:v>Afzainizam Ismail</x:v>
      </x:c>
      <x:c r="C335" s="16" t="str"/>
      <x:c r="D335" s="16" t="str"/>
      <x:c r="E335" s="16" t="str">
        <x:v>* myContacts</x:v>
      </x:c>
      <x:c r="F335" s="16" t="str">
        <x:v>+60175149329</x:v>
      </x:c>
      <x:c r="G335" s="16" t="str">
        <x:v>+60175149329</x:v>
      </x:c>
      <x:c r="H335" s="16" t="str">
        <x:v>Excluded</x:v>
      </x:c>
      <x:c r="I335" s="16" t="str">
        <x:v>Missing email</x:v>
      </x:c>
    </x:row>
    <x:row r="336">
      <x:c r="A336" s="16" t="n">
        <x:v>333</x:v>
      </x:c>
      <x:c r="B336" s="16" t="str">
        <x:v>AG Zulhisham Zain</x:v>
      </x:c>
      <x:c r="C336" s="16" t="str"/>
      <x:c r="D336" s="16" t="str"/>
      <x:c r="E336" s="16" t="str">
        <x:v>* myContacts</x:v>
      </x:c>
      <x:c r="F336" s="16" t="str">
        <x:v>+60193455551</x:v>
      </x:c>
      <x:c r="G336" s="16" t="str">
        <x:v>+60193455551</x:v>
      </x:c>
      <x:c r="H336" s="16" t="str">
        <x:v>Excluded</x:v>
      </x:c>
      <x:c r="I336" s="16" t="str">
        <x:v>Missing email</x:v>
      </x:c>
    </x:row>
    <x:row r="337">
      <x:c r="A337" s="16" t="n">
        <x:v>334</x:v>
      </x:c>
      <x:c r="B337" s="16" t="str">
        <x:v>Agen Clarissa Floria</x:v>
      </x:c>
      <x:c r="C337" s="16" t="str"/>
      <x:c r="D337" s="16" t="str"/>
      <x:c r="E337" s="16" t="str">
        <x:v>* myContacts</x:v>
      </x:c>
      <x:c r="F337" s="16" t="str">
        <x:v>+60142389626</x:v>
      </x:c>
      <x:c r="G337" s="16" t="str">
        <x:v>+60142389626</x:v>
      </x:c>
      <x:c r="H337" s="16" t="str">
        <x:v>Excluded</x:v>
      </x:c>
      <x:c r="I337" s="16" t="str">
        <x:v>Missing email</x:v>
      </x:c>
    </x:row>
    <x:row r="338">
      <x:c r="A338" s="16" t="n">
        <x:v>335</x:v>
      </x:c>
      <x:c r="B338" s="16" t="str">
        <x:v>Agen Topup</x:v>
      </x:c>
      <x:c r="C338" s="16" t="str"/>
      <x:c r="D338" s="16" t="str"/>
      <x:c r="E338" s="16" t="str">
        <x:v>* myContacts</x:v>
      </x:c>
      <x:c r="F338" s="16" t="str">
        <x:v>+60143593866 | +601114777749 | +60143593866 | +601114777749</x:v>
      </x:c>
      <x:c r="G338" s="16" t="str">
        <x:v>+60143593866 | +601114777749 | +60143593866 | +601114777749</x:v>
      </x:c>
      <x:c r="H338" s="16" t="str">
        <x:v>Excluded</x:v>
      </x:c>
      <x:c r="I338" s="16" t="str">
        <x:v>Missing email</x:v>
      </x:c>
    </x:row>
    <x:row r="339">
      <x:c r="A339" s="16" t="n">
        <x:v>336</x:v>
      </x:c>
      <x:c r="B339" s="16" t="str">
        <x:v>Agil Sgd</x:v>
      </x:c>
      <x:c r="C339" s="16" t="str"/>
      <x:c r="D339" s="16" t="str"/>
      <x:c r="E339" s="16" t="str">
        <x:v>* myContacts</x:v>
      </x:c>
      <x:c r="F339" s="16" t="str">
        <x:v>+6281907702217</x:v>
      </x:c>
      <x:c r="G339" s="16" t="str">
        <x:v>+6281907702217</x:v>
      </x:c>
      <x:c r="H339" s="16" t="str">
        <x:v>Excluded</x:v>
      </x:c>
      <x:c r="I339" s="16" t="str">
        <x:v>Missing email</x:v>
      </x:c>
    </x:row>
    <x:row r="340">
      <x:c r="A340" s="16" t="n">
        <x:v>337</x:v>
      </x:c>
      <x:c r="B340" s="16" t="str">
        <x:v>Agnes HRDF</x:v>
      </x:c>
      <x:c r="C340" s="16" t="str"/>
      <x:c r="D340" s="16" t="str"/>
      <x:c r="E340" s="16" t="str">
        <x:v>* myContacts</x:v>
      </x:c>
      <x:c r="F340" s="16" t="str">
        <x:v>+60 12-588 0609 | +60125880609</x:v>
      </x:c>
      <x:c r="G340" s="16" t="str">
        <x:v>+60125880609 | +60125880609</x:v>
      </x:c>
      <x:c r="H340" s="16" t="str">
        <x:v>Excluded</x:v>
      </x:c>
      <x:c r="I340" s="16" t="str">
        <x:v>Missing email</x:v>
      </x:c>
    </x:row>
    <x:row r="341">
      <x:c r="A341" s="16" t="n">
        <x:v>338</x:v>
      </x:c>
      <x:c r="B341" s="16" t="str">
        <x:v>Ah Chad</x:v>
      </x:c>
      <x:c r="C341" s="16" t="str"/>
      <x:c r="D341" s="16" t="str"/>
      <x:c r="E341" s="16" t="str">
        <x:v>* myContacts</x:v>
      </x:c>
      <x:c r="F341" s="16" t="str">
        <x:v>+60173434669</x:v>
      </x:c>
      <x:c r="G341" s="16" t="str">
        <x:v>+60173434669</x:v>
      </x:c>
      <x:c r="H341" s="16" t="str">
        <x:v>Excluded</x:v>
      </x:c>
      <x:c r="I341" s="16" t="str">
        <x:v>Missing email</x:v>
      </x:c>
    </x:row>
    <x:row r="342">
      <x:c r="A342" s="16" t="n">
        <x:v>339</x:v>
      </x:c>
      <x:c r="B342" s="16" t="str">
        <x:v>Ah Moi Chan Tek</x:v>
      </x:c>
      <x:c r="C342" s="16" t="str"/>
      <x:c r="D342" s="16" t="str"/>
      <x:c r="E342" s="16" t="str">
        <x:v>* myContacts</x:v>
      </x:c>
      <x:c r="F342" s="16" t="str">
        <x:v>+60176094639</x:v>
      </x:c>
      <x:c r="G342" s="16" t="str">
        <x:v>+60176094639</x:v>
      </x:c>
      <x:c r="H342" s="16" t="str">
        <x:v>Excluded</x:v>
      </x:c>
      <x:c r="I342" s="16" t="str">
        <x:v>Missing email</x:v>
      </x:c>
    </x:row>
    <x:row r="343">
      <x:c r="A343" s="16" t="n">
        <x:v>340</x:v>
      </x:c>
      <x:c r="B343" s="16" t="str">
        <x:v>Ah Seng Rim Tayar</x:v>
      </x:c>
      <x:c r="C343" s="16" t="str"/>
      <x:c r="D343" s="16" t="str"/>
      <x:c r="E343" s="16" t="str">
        <x:v>* myContacts</x:v>
      </x:c>
      <x:c r="F343" s="16" t="str">
        <x:v>0189893049 | +60189893049</x:v>
      </x:c>
      <x:c r="G343" s="16" t="str">
        <x:v>+60189893049 | +60189893049</x:v>
      </x:c>
      <x:c r="H343" s="16" t="str">
        <x:v>Excluded</x:v>
      </x:c>
      <x:c r="I343" s="16" t="str">
        <x:v>Missing email</x:v>
      </x:c>
    </x:row>
    <x:row r="344">
      <x:c r="A344" s="16" t="n">
        <x:v>341</x:v>
      </x:c>
      <x:c r="B344" s="16" t="str">
        <x:v>Ah Tong</x:v>
      </x:c>
      <x:c r="C344" s="16" t="str"/>
      <x:c r="D344" s="16" t="str"/>
      <x:c r="E344" s="16" t="str">
        <x:v>* myContacts</x:v>
      </x:c>
      <x:c r="F344" s="16" t="str">
        <x:v>+601112876313</x:v>
      </x:c>
      <x:c r="G344" s="16" t="str">
        <x:v>+601112876313</x:v>
      </x:c>
      <x:c r="H344" s="16" t="str">
        <x:v>Excluded</x:v>
      </x:c>
      <x:c r="I344" s="16" t="str">
        <x:v>Missing email</x:v>
      </x:c>
    </x:row>
    <x:row r="345">
      <x:c r="A345" s="16" t="n">
        <x:v>342</x:v>
      </x:c>
      <x:c r="B345" s="16" t="str">
        <x:v>Ahh Yek Naga</x:v>
      </x:c>
      <x:c r="C345" s="16" t="str"/>
      <x:c r="D345" s="16" t="str"/>
      <x:c r="E345" s="16" t="str">
        <x:v>* myContacts</x:v>
      </x:c>
      <x:c r="F345" s="16" t="str">
        <x:v>+601129238810</x:v>
      </x:c>
      <x:c r="G345" s="16" t="str">
        <x:v>+601129238810</x:v>
      </x:c>
      <x:c r="H345" s="16" t="str">
        <x:v>Excluded</x:v>
      </x:c>
      <x:c r="I345" s="16" t="str">
        <x:v>Missing email</x:v>
      </x:c>
    </x:row>
    <x:row r="346">
      <x:c r="A346" s="16" t="n">
        <x:v>343</x:v>
      </x:c>
      <x:c r="B346" s="16" t="str">
        <x:v>Ahli Nujum</x:v>
      </x:c>
      <x:c r="C346" s="16" t="str"/>
      <x:c r="D346" s="16" t="str"/>
      <x:c r="E346" s="16" t="str">
        <x:v>* myContacts</x:v>
      </x:c>
      <x:c r="F346" s="16" t="str">
        <x:v>+60199999999</x:v>
      </x:c>
      <x:c r="G346" s="16" t="str">
        <x:v>+60199999999</x:v>
      </x:c>
      <x:c r="H346" s="16" t="str">
        <x:v>Excluded</x:v>
      </x:c>
      <x:c r="I346" s="16" t="str">
        <x:v>Missing email</x:v>
      </x:c>
    </x:row>
    <x:row r="347">
      <x:c r="A347" s="16" t="n">
        <x:v>344</x:v>
      </x:c>
      <x:c r="B347" s="16" t="str">
        <x:v>Ahmad Aiman Azhar</x:v>
      </x:c>
      <x:c r="C347" s="16" t="str"/>
      <x:c r="D347" s="16" t="str"/>
      <x:c r="E347" s="16" t="str">
        <x:v>* myContacts</x:v>
      </x:c>
      <x:c r="F347" s="16" t="str">
        <x:v>+601133577636</x:v>
      </x:c>
      <x:c r="G347" s="16" t="str">
        <x:v>+601133577636</x:v>
      </x:c>
      <x:c r="H347" s="16" t="str">
        <x:v>Excluded</x:v>
      </x:c>
      <x:c r="I347" s="16" t="str">
        <x:v>Missing email</x:v>
      </x:c>
    </x:row>
    <x:row r="348">
      <x:c r="A348" s="16" t="n">
        <x:v>345</x:v>
      </x:c>
      <x:c r="B348" s="16" t="str">
        <x:v>Ahmad Ali Aqbar</x:v>
      </x:c>
      <x:c r="C348" s="16" t="str"/>
      <x:c r="D348" s="16" t="str"/>
      <x:c r="E348" s="16" t="str">
        <x:v>* myContacts</x:v>
      </x:c>
      <x:c r="F348" s="16" t="str">
        <x:v>+601132080413</x:v>
      </x:c>
      <x:c r="G348" s="16" t="str">
        <x:v>+601132080413</x:v>
      </x:c>
      <x:c r="H348" s="16" t="str">
        <x:v>Excluded</x:v>
      </x:c>
      <x:c r="I348" s="16" t="str">
        <x:v>Missing email</x:v>
      </x:c>
    </x:row>
    <x:row r="349">
      <x:c r="A349" s="16" t="n">
        <x:v>346</x:v>
      </x:c>
      <x:c r="B349" s="16" t="str">
        <x:v>Ahmad Amad</x:v>
      </x:c>
      <x:c r="C349" s="16" t="str"/>
      <x:c r="D349" s="16" t="str"/>
      <x:c r="E349" s="16" t="str">
        <x:v>* myContacts</x:v>
      </x:c>
      <x:c r="F349" s="16" t="str">
        <x:v>+60189717767</x:v>
      </x:c>
      <x:c r="G349" s="16" t="str">
        <x:v>+60189717767</x:v>
      </x:c>
      <x:c r="H349" s="16" t="str">
        <x:v>Excluded</x:v>
      </x:c>
      <x:c r="I349" s="16" t="str">
        <x:v>Missing email</x:v>
      </x:c>
    </x:row>
    <x:row r="350">
      <x:c r="A350" s="16" t="n">
        <x:v>347</x:v>
      </x:c>
      <x:c r="B350" s="16" t="str">
        <x:v>Ahmad Amzar</x:v>
      </x:c>
      <x:c r="C350" s="16" t="str"/>
      <x:c r="D350" s="16" t="str"/>
      <x:c r="E350" s="16" t="str">
        <x:v>* myContacts</x:v>
      </x:c>
      <x:c r="F350" s="16" t="str">
        <x:v>+60175847884</x:v>
      </x:c>
      <x:c r="G350" s="16" t="str">
        <x:v>+60175847884</x:v>
      </x:c>
      <x:c r="H350" s="16" t="str">
        <x:v>Excluded</x:v>
      </x:c>
      <x:c r="I350" s="16" t="str">
        <x:v>Missing email</x:v>
      </x:c>
    </x:row>
    <x:row r="351">
      <x:c r="A351" s="16" t="n">
        <x:v>348</x:v>
      </x:c>
      <x:c r="B351" s="16" t="str">
        <x:v>Ahmad Asyraf</x:v>
      </x:c>
      <x:c r="C351" s="16" t="str"/>
      <x:c r="D351" s="16" t="str"/>
      <x:c r="E351" s="16" t="str">
        <x:v>* myContacts</x:v>
      </x:c>
      <x:c r="F351" s="16" t="str">
        <x:v>+60182598200</x:v>
      </x:c>
      <x:c r="G351" s="16" t="str">
        <x:v>+60182598200</x:v>
      </x:c>
      <x:c r="H351" s="16" t="str">
        <x:v>Excluded</x:v>
      </x:c>
      <x:c r="I351" s="16" t="str">
        <x:v>Missing email</x:v>
      </x:c>
    </x:row>
    <x:row r="352">
      <x:c r="A352" s="16" t="n">
        <x:v>349</x:v>
      </x:c>
      <x:c r="B352" s="16" t="str">
        <x:v>Ahmad Azhar Maarif</x:v>
      </x:c>
      <x:c r="C352" s="16" t="str"/>
      <x:c r="D352" s="16" t="str"/>
      <x:c r="E352" s="16" t="str">
        <x:v>* myContacts</x:v>
      </x:c>
      <x:c r="F352" s="16" t="str">
        <x:v>+60126955001</x:v>
      </x:c>
      <x:c r="G352" s="16" t="str">
        <x:v>+60126955001</x:v>
      </x:c>
      <x:c r="H352" s="16" t="str">
        <x:v>Excluded</x:v>
      </x:c>
      <x:c r="I352" s="16" t="str">
        <x:v>Missing email</x:v>
      </x:c>
    </x:row>
    <x:row r="353">
      <x:c r="A353" s="16" t="n">
        <x:v>350</x:v>
      </x:c>
      <x:c r="B353" s="16" t="str">
        <x:v>Ahmad Baahir Mdec</x:v>
      </x:c>
      <x:c r="C353" s="16" t="str"/>
      <x:c r="D353" s="16" t="str"/>
      <x:c r="E353" s="16" t="str">
        <x:v>* myContacts</x:v>
      </x:c>
      <x:c r="F353" s="16" t="str">
        <x:v>+60 19-338 6369 | +60193386369</x:v>
      </x:c>
      <x:c r="G353" s="16" t="str">
        <x:v>+60193386369 | +60193386369</x:v>
      </x:c>
      <x:c r="H353" s="16" t="str">
        <x:v>Excluded</x:v>
      </x:c>
      <x:c r="I353" s="16" t="str">
        <x:v>Missing email</x:v>
      </x:c>
    </x:row>
    <x:row r="354">
      <x:c r="A354" s="16" t="n">
        <x:v>351</x:v>
      </x:c>
      <x:c r="B354" s="16" t="str">
        <x:v>AHMAD BADRUL SANI BIN BAHARUDIN</x:v>
      </x:c>
      <x:c r="C354" s="16" t="str"/>
      <x:c r="D354" s="16" t="str"/>
      <x:c r="E354" s="16" t="str">
        <x:v>* myContacts</x:v>
      </x:c>
      <x:c r="F354" s="16" t="str">
        <x:v>0124123305 | +60124123305</x:v>
      </x:c>
      <x:c r="G354" s="16" t="str">
        <x:v>+60124123305 | +60124123305</x:v>
      </x:c>
      <x:c r="H354" s="16" t="str">
        <x:v>Excluded</x:v>
      </x:c>
      <x:c r="I354" s="16" t="str">
        <x:v>Missing email</x:v>
      </x:c>
    </x:row>
    <x:row r="355">
      <x:c r="A355" s="16" t="n">
        <x:v>352</x:v>
      </x:c>
      <x:c r="B355" s="16" t="str">
        <x:v>Ahmad Bahrain Bin Sahani</x:v>
      </x:c>
      <x:c r="C355" s="16" t="str"/>
      <x:c r="D355" s="16" t="str"/>
      <x:c r="E355" s="16" t="str">
        <x:v>* myContacts</x:v>
      </x:c>
      <x:c r="F355" s="16" t="str">
        <x:v>+6055973494</x:v>
      </x:c>
      <x:c r="G355" s="16" t="str">
        <x:v>+6055973494</x:v>
      </x:c>
      <x:c r="H355" s="16" t="str">
        <x:v>Excluded</x:v>
      </x:c>
      <x:c r="I355" s="16" t="str">
        <x:v>Missing email</x:v>
      </x:c>
    </x:row>
    <x:row r="356">
      <x:c r="A356" s="16" t="n">
        <x:v>353</x:v>
      </x:c>
      <x:c r="B356" s="16" t="str">
        <x:v>Ahmad Baihaqi</x:v>
      </x:c>
      <x:c r="C356" s="16" t="str"/>
      <x:c r="D356" s="16" t="str"/>
      <x:c r="E356" s="16" t="str">
        <x:v>* myContacts</x:v>
      </x:c>
      <x:c r="F356" s="16" t="str">
        <x:v>+60174310618</x:v>
      </x:c>
      <x:c r="G356" s="16" t="str">
        <x:v>+60174310618</x:v>
      </x:c>
      <x:c r="H356" s="16" t="str">
        <x:v>Excluded</x:v>
      </x:c>
      <x:c r="I356" s="16" t="str">
        <x:v>Missing email</x:v>
      </x:c>
    </x:row>
    <x:row r="357">
      <x:c r="A357" s="16" t="n">
        <x:v>354</x:v>
      </x:c>
      <x:c r="B357" s="16" t="str">
        <x:v>Ahmad Basri</x:v>
      </x:c>
      <x:c r="C357" s="16" t="str"/>
      <x:c r="D357" s="16" t="str"/>
      <x:c r="E357" s="16" t="str">
        <x:v>* myContacts</x:v>
      </x:c>
      <x:c r="F357" s="16" t="str">
        <x:v>+601120636944</x:v>
      </x:c>
      <x:c r="G357" s="16" t="str">
        <x:v>+601120636944</x:v>
      </x:c>
      <x:c r="H357" s="16" t="str">
        <x:v>Excluded</x:v>
      </x:c>
      <x:c r="I357" s="16" t="str">
        <x:v>Missing email</x:v>
      </x:c>
    </x:row>
    <x:row r="358">
      <x:c r="A358" s="16" t="n">
        <x:v>355</x:v>
      </x:c>
      <x:c r="B358" s="16" t="str">
        <x:v>Ahmad Dur Ihsan</x:v>
      </x:c>
      <x:c r="C358" s="16" t="str"/>
      <x:c r="D358" s="16" t="str"/>
      <x:c r="E358" s="16" t="str">
        <x:v>* myContacts</x:v>
      </x:c>
      <x:c r="F358" s="16" t="str">
        <x:v>+60136403162</x:v>
      </x:c>
      <x:c r="G358" s="16" t="str">
        <x:v>+60136403162</x:v>
      </x:c>
      <x:c r="H358" s="16" t="str">
        <x:v>Excluded</x:v>
      </x:c>
      <x:c r="I358" s="16" t="str">
        <x:v>Missing email</x:v>
      </x:c>
    </x:row>
    <x:row r="359">
      <x:c r="A359" s="16" t="n">
        <x:v>356</x:v>
      </x:c>
      <x:c r="B359" s="16" t="str">
        <x:v>Ahmad Fadli</x:v>
      </x:c>
      <x:c r="C359" s="16" t="str"/>
      <x:c r="D359" s="16" t="str"/>
      <x:c r="E359" s="16" t="str">
        <x:v>* myContacts</x:v>
      </x:c>
      <x:c r="F359" s="16" t="str">
        <x:v>+60176154748</x:v>
      </x:c>
      <x:c r="G359" s="16" t="str">
        <x:v>+60176154748</x:v>
      </x:c>
      <x:c r="H359" s="16" t="str">
        <x:v>Excluded</x:v>
      </x:c>
      <x:c r="I359" s="16" t="str">
        <x:v>Missing email</x:v>
      </x:c>
    </x:row>
    <x:row r="360">
      <x:c r="A360" s="16" t="n">
        <x:v>357</x:v>
      </x:c>
      <x:c r="B360" s="16" t="str">
        <x:v>Ahmad Fadzlie</x:v>
      </x:c>
      <x:c r="C360" s="16" t="str"/>
      <x:c r="D360" s="16" t="str"/>
      <x:c r="E360" s="16" t="str">
        <x:v>* myContacts</x:v>
      </x:c>
      <x:c r="F360" s="16" t="str">
        <x:v>+60184633072</x:v>
      </x:c>
      <x:c r="G360" s="16" t="str">
        <x:v>+60184633072</x:v>
      </x:c>
      <x:c r="H360" s="16" t="str">
        <x:v>Excluded</x:v>
      </x:c>
      <x:c r="I360" s="16" t="str">
        <x:v>Missing email</x:v>
      </x:c>
    </x:row>
    <x:row r="361">
      <x:c r="A361" s="16" t="n">
        <x:v>358</x:v>
      </x:c>
      <x:c r="B361" s="16" t="str">
        <x:v>Ahmad Fahmi HALUAN</x:v>
      </x:c>
      <x:c r="C361" s="16" t="str"/>
      <x:c r="D361" s="16" t="str"/>
      <x:c r="E361" s="16" t="str">
        <x:v>* myContacts</x:v>
      </x:c>
      <x:c r="F361" s="16" t="str">
        <x:v>+60 13-593 2738 | +60135932738</x:v>
      </x:c>
      <x:c r="G361" s="16" t="str">
        <x:v>+60135932738 | +60135932738</x:v>
      </x:c>
      <x:c r="H361" s="16" t="str">
        <x:v>Excluded</x:v>
      </x:c>
      <x:c r="I361" s="16" t="str">
        <x:v>Missing email</x:v>
      </x:c>
    </x:row>
    <x:row r="362">
      <x:c r="A362" s="16" t="n">
        <x:v>359</x:v>
      </x:c>
      <x:c r="B362" s="16" t="str">
        <x:v>Ahmad Fairuz Mdec</x:v>
      </x:c>
      <x:c r="C362" s="16" t="str"/>
      <x:c r="D362" s="16" t="str"/>
      <x:c r="E362" s="16" t="str">
        <x:v>* myContacts</x:v>
      </x:c>
      <x:c r="F362" s="16" t="str">
        <x:v>+60 12-339 0943 | +60123390943</x:v>
      </x:c>
      <x:c r="G362" s="16" t="str">
        <x:v>+60123390943 | +60123390943</x:v>
      </x:c>
      <x:c r="H362" s="16" t="str">
        <x:v>Excluded</x:v>
      </x:c>
      <x:c r="I362" s="16" t="str">
        <x:v>Missing email</x:v>
      </x:c>
    </x:row>
    <x:row r="363">
      <x:c r="A363" s="16" t="n">
        <x:v>360</x:v>
      </x:c>
      <x:c r="B363" s="16" t="str">
        <x:v>Ahmad Faizal Murtadza</x:v>
      </x:c>
      <x:c r="C363" s="16" t="str"/>
      <x:c r="D363" s="16" t="str"/>
      <x:c r="E363" s="16" t="str">
        <x:v>* myContacts</x:v>
      </x:c>
      <x:c r="F363" s="16" t="str">
        <x:v>+60134123715</x:v>
      </x:c>
      <x:c r="G363" s="16" t="str">
        <x:v>+60134123715</x:v>
      </x:c>
      <x:c r="H363" s="16" t="str">
        <x:v>Excluded</x:v>
      </x:c>
      <x:c r="I363" s="16" t="str">
        <x:v>Missing email</x:v>
      </x:c>
    </x:row>
    <x:row r="364">
      <x:c r="A364" s="16" t="n">
        <x:v>361</x:v>
      </x:c>
      <x:c r="B364" s="16" t="str">
        <x:v>Ahmad Fau Zan</x:v>
      </x:c>
      <x:c r="C364" s="16" t="str"/>
      <x:c r="D364" s="16" t="str"/>
      <x:c r="E364" s="16" t="str">
        <x:v>* myContacts</x:v>
      </x:c>
      <x:c r="F364" s="16" t="str">
        <x:v>+601117564118</x:v>
      </x:c>
      <x:c r="G364" s="16" t="str">
        <x:v>+601117564118</x:v>
      </x:c>
      <x:c r="H364" s="16" t="str">
        <x:v>Excluded</x:v>
      </x:c>
      <x:c r="I364" s="16" t="str">
        <x:v>Missing email</x:v>
      </x:c>
    </x:row>
    <x:row r="365">
      <x:c r="A365" s="16" t="n">
        <x:v>362</x:v>
      </x:c>
      <x:c r="B365" s="16" t="str">
        <x:v>Ahmad Fauzi Mohamed Hashim</x:v>
      </x:c>
      <x:c r="C365" s="16" t="str"/>
      <x:c r="D365" s="16" t="str"/>
      <x:c r="E365" s="16" t="str">
        <x:v>* myContacts</x:v>
      </x:c>
      <x:c r="F365" s="16" t="str">
        <x:v>+60139284010</x:v>
      </x:c>
      <x:c r="G365" s="16" t="str">
        <x:v>+60139284010</x:v>
      </x:c>
      <x:c r="H365" s="16" t="str">
        <x:v>Excluded</x:v>
      </x:c>
      <x:c r="I365" s="16" t="str">
        <x:v>Missing email</x:v>
      </x:c>
    </x:row>
    <x:row r="366">
      <x:c r="A366" s="16" t="n">
        <x:v>363</x:v>
      </x:c>
      <x:c r="B366" s="16" t="str">
        <x:v>Ahmad Fikri Aseri</x:v>
      </x:c>
      <x:c r="C366" s="16" t="str"/>
      <x:c r="D366" s="16" t="str"/>
      <x:c r="E366" s="16" t="str">
        <x:v>* myContacts</x:v>
      </x:c>
      <x:c r="F366" s="16" t="str">
        <x:v>+60103446998</x:v>
      </x:c>
      <x:c r="G366" s="16" t="str">
        <x:v>+60103446998</x:v>
      </x:c>
      <x:c r="H366" s="16" t="str">
        <x:v>Excluded</x:v>
      </x:c>
      <x:c r="I366" s="16" t="str">
        <x:v>Missing email</x:v>
      </x:c>
    </x:row>
    <x:row r="367">
      <x:c r="A367" s="16" t="n">
        <x:v>364</x:v>
      </x:c>
      <x:c r="B367" s="16" t="str">
        <x:v>Ahmad Fikri Videoman</x:v>
      </x:c>
      <x:c r="C367" s="16" t="str">
        <x:v>fikri246@gmail.com</x:v>
      </x:c>
      <x:c r="D367" s="16" t="str">
        <x:v>fikri246@gmail.com</x:v>
      </x:c>
      <x:c r="E367" s="16" t="str">
        <x:v>* myContacts</x:v>
      </x:c>
      <x:c r="F367" s="16" t="str">
        <x:v>+60126561949</x:v>
      </x:c>
      <x:c r="G367" s="16" t="str">
        <x:v>+60126561949</x:v>
      </x:c>
      <x:c r="H367" s="16" t="str">
        <x:v>Eligible</x:v>
      </x:c>
      <x:c r="I367" s="16" t="str"/>
    </x:row>
    <x:row r="368">
      <x:c r="A368" s="16" t="n">
        <x:v>365</x:v>
      </x:c>
      <x:c r="B368" s="16" t="str">
        <x:v>Ahmad Firdaus</x:v>
      </x:c>
      <x:c r="C368" s="16" t="str"/>
      <x:c r="D368" s="16" t="str"/>
      <x:c r="E368" s="16" t="str">
        <x:v>* myContacts</x:v>
      </x:c>
      <x:c r="F368" s="16" t="str">
        <x:v>+60199357890 | +60173445722 | +60199357890 | +60173445722</x:v>
      </x:c>
      <x:c r="G368" s="16" t="str">
        <x:v>+60199357890 | +60173445722 | +60199357890 | +60173445722</x:v>
      </x:c>
      <x:c r="H368" s="16" t="str">
        <x:v>Excluded</x:v>
      </x:c>
      <x:c r="I368" s="16" t="str">
        <x:v>Missing email</x:v>
      </x:c>
    </x:row>
    <x:row r="369">
      <x:c r="A369" s="16" t="n">
        <x:v>366</x:v>
      </x:c>
      <x:c r="B369" s="16" t="str">
        <x:v>Ahmad Firdaus Senong</x:v>
      </x:c>
      <x:c r="C369" s="16" t="str"/>
      <x:c r="D369" s="16" t="str"/>
      <x:c r="E369" s="16" t="str">
        <x:v>* myContacts</x:v>
      </x:c>
      <x:c r="F369" s="16" t="str">
        <x:v>+6282351668686</x:v>
      </x:c>
      <x:c r="G369" s="16" t="str">
        <x:v>+6282351668686</x:v>
      </x:c>
      <x:c r="H369" s="16" t="str">
        <x:v>Excluded</x:v>
      </x:c>
      <x:c r="I369" s="16" t="str">
        <x:v>Missing email</x:v>
      </x:c>
    </x:row>
    <x:row r="370">
      <x:c r="A370" s="16" t="n">
        <x:v>367</x:v>
      </x:c>
      <x:c r="B370" s="16" t="str">
        <x:v>Ahmad Fuad III</x:v>
      </x:c>
      <x:c r="C370" s="16" t="str"/>
      <x:c r="D370" s="16" t="str"/>
      <x:c r="E370" s="16" t="str">
        <x:v>* myContacts</x:v>
      </x:c>
      <x:c r="F370" s="16" t="str">
        <x:v>+60179853163 | +60125857599</x:v>
      </x:c>
      <x:c r="G370" s="16" t="str">
        <x:v>+60179853163 | +60125857599</x:v>
      </x:c>
      <x:c r="H370" s="16" t="str">
        <x:v>Excluded</x:v>
      </x:c>
      <x:c r="I370" s="16" t="str">
        <x:v>Missing email</x:v>
      </x:c>
    </x:row>
    <x:row r="371">
      <x:c r="A371" s="16" t="n">
        <x:v>368</x:v>
      </x:c>
      <x:c r="B371" s="16" t="str">
        <x:v>Ahmad Hadi Nur Awan</x:v>
      </x:c>
      <x:c r="C371" s="16" t="str"/>
      <x:c r="D371" s="16" t="str"/>
      <x:c r="E371" s="16" t="str">
        <x:v>* myContacts</x:v>
      </x:c>
      <x:c r="F371" s="16" t="str">
        <x:v>+6285894625579</x:v>
      </x:c>
      <x:c r="G371" s="16" t="str">
        <x:v>+6285894625579</x:v>
      </x:c>
      <x:c r="H371" s="16" t="str">
        <x:v>Excluded</x:v>
      </x:c>
      <x:c r="I371" s="16" t="str">
        <x:v>Missing email</x:v>
      </x:c>
    </x:row>
    <x:row r="372">
      <x:c r="A372" s="16" t="n">
        <x:v>369</x:v>
      </x:c>
      <x:c r="B372" s="16" t="str">
        <x:v>Ahmad Hanapiah</x:v>
      </x:c>
      <x:c r="C372" s="16" t="str"/>
      <x:c r="D372" s="16" t="str"/>
      <x:c r="E372" s="16" t="str">
        <x:v>* myContacts</x:v>
      </x:c>
      <x:c r="F372" s="16" t="str">
        <x:v>+60147193852</x:v>
      </x:c>
      <x:c r="G372" s="16" t="str">
        <x:v>+60147193852</x:v>
      </x:c>
      <x:c r="H372" s="16" t="str">
        <x:v>Excluded</x:v>
      </x:c>
      <x:c r="I372" s="16" t="str">
        <x:v>Missing email</x:v>
      </x:c>
    </x:row>
    <x:row r="373">
      <x:c r="A373" s="16" t="n">
        <x:v>370</x:v>
      </x:c>
      <x:c r="B373" s="16" t="str">
        <x:v>AHMAD HAZWAN SYAHMI BIN WAGINOH</x:v>
      </x:c>
      <x:c r="C373" s="16" t="str">
        <x:v>hazwansyahmi@gmail.com</x:v>
      </x:c>
      <x:c r="D373" s="16" t="str">
        <x:v>hazwansyahmi@gmail.com</x:v>
      </x:c>
      <x:c r="E373" s="16" t="str">
        <x:v>* myContacts</x:v>
      </x:c>
      <x:c r="F373" s="16" t="str">
        <x:v>+60137067254</x:v>
      </x:c>
      <x:c r="G373" s="16" t="str">
        <x:v>+60137067254</x:v>
      </x:c>
      <x:c r="H373" s="16" t="str">
        <x:v>Eligible</x:v>
      </x:c>
      <x:c r="I373" s="16" t="str"/>
    </x:row>
    <x:row r="374">
      <x:c r="A374" s="16" t="n">
        <x:v>371</x:v>
      </x:c>
      <x:c r="B374" s="16" t="str">
        <x:v>Ahmad Humaizi Ibrahim</x:v>
      </x:c>
      <x:c r="C374" s="16" t="str"/>
      <x:c r="D374" s="16" t="str"/>
      <x:c r="E374" s="16" t="str">
        <x:v>* myContacts</x:v>
      </x:c>
      <x:c r="F374" s="16" t="str">
        <x:v>+60173290166</x:v>
      </x:c>
      <x:c r="G374" s="16" t="str">
        <x:v>+60173290166</x:v>
      </x:c>
      <x:c r="H374" s="16" t="str">
        <x:v>Excluded</x:v>
      </x:c>
      <x:c r="I374" s="16" t="str">
        <x:v>Missing email</x:v>
      </x:c>
    </x:row>
    <x:row r="375">
      <x:c r="A375" s="16" t="n">
        <x:v>372</x:v>
      </x:c>
      <x:c r="B375" s="16" t="str">
        <x:v>Ahmad ILham</x:v>
      </x:c>
      <x:c r="C375" s="16" t="str"/>
      <x:c r="D375" s="16" t="str"/>
      <x:c r="E375" s="16" t="str">
        <x:v>* myContacts</x:v>
      </x:c>
      <x:c r="F375" s="16" t="str">
        <x:v>+6287849303697</x:v>
      </x:c>
      <x:c r="G375" s="16" t="str">
        <x:v>+6287849303697</x:v>
      </x:c>
      <x:c r="H375" s="16" t="str">
        <x:v>Excluded</x:v>
      </x:c>
      <x:c r="I375" s="16" t="str">
        <x:v>Missing email</x:v>
      </x:c>
    </x:row>
    <x:row r="376">
      <x:c r="A376" s="16" t="n">
        <x:v>373</x:v>
      </x:c>
      <x:c r="B376" s="16" t="str">
        <x:v>Ahmad Izuddin</x:v>
      </x:c>
      <x:c r="C376" s="16" t="str"/>
      <x:c r="D376" s="16" t="str"/>
      <x:c r="E376" s="16" t="str">
        <x:v>* myContacts</x:v>
      </x:c>
      <x:c r="F376" s="16" t="str">
        <x:v>+60134234144</x:v>
      </x:c>
      <x:c r="G376" s="16" t="str">
        <x:v>+60134234144</x:v>
      </x:c>
      <x:c r="H376" s="16" t="str">
        <x:v>Excluded</x:v>
      </x:c>
      <x:c r="I376" s="16" t="str">
        <x:v>Missing email</x:v>
      </x:c>
    </x:row>
    <x:row r="377">
      <x:c r="A377" s="16" t="n">
        <x:v>374</x:v>
      </x:c>
      <x:c r="B377" s="16" t="str">
        <x:v>Ahmad Izzran</x:v>
      </x:c>
      <x:c r="C377" s="16" t="str"/>
      <x:c r="D377" s="16" t="str"/>
      <x:c r="E377" s="16" t="str">
        <x:v>* myContacts</x:v>
      </x:c>
      <x:c r="F377" s="16" t="str">
        <x:v>+60148228500</x:v>
      </x:c>
      <x:c r="G377" s="16" t="str">
        <x:v>+60148228500</x:v>
      </x:c>
      <x:c r="H377" s="16" t="str">
        <x:v>Excluded</x:v>
      </x:c>
      <x:c r="I377" s="16" t="str">
        <x:v>Missing email</x:v>
      </x:c>
    </x:row>
    <x:row r="378">
      <x:c r="A378" s="16" t="n">
        <x:v>375</x:v>
      </x:c>
      <x:c r="B378" s="16" t="str">
        <x:v>Ahmad Izzul Islam</x:v>
      </x:c>
      <x:c r="C378" s="16" t="str"/>
      <x:c r="D378" s="16" t="str"/>
      <x:c r="E378" s="16" t="str">
        <x:v>* myContacts</x:v>
      </x:c>
      <x:c r="F378" s="16" t="str">
        <x:v>+60177671363</x:v>
      </x:c>
      <x:c r="G378" s="16" t="str">
        <x:v>+60177671363</x:v>
      </x:c>
      <x:c r="H378" s="16" t="str">
        <x:v>Excluded</x:v>
      </x:c>
      <x:c r="I378" s="16" t="str">
        <x:v>Missing email</x:v>
      </x:c>
    </x:row>
    <x:row r="379">
      <x:c r="A379" s="16" t="n">
        <x:v>376</x:v>
      </x:c>
      <x:c r="B379" s="16" t="str">
        <x:v>Ahmad Jimmy</x:v>
      </x:c>
      <x:c r="C379" s="16" t="str"/>
      <x:c r="D379" s="16" t="str"/>
      <x:c r="E379" s="16" t="str">
        <x:v>* myContacts</x:v>
      </x:c>
      <x:c r="F379" s="16" t="str">
        <x:v>+601110674415</x:v>
      </x:c>
      <x:c r="G379" s="16" t="str">
        <x:v>+601110674415</x:v>
      </x:c>
      <x:c r="H379" s="16" t="str">
        <x:v>Excluded</x:v>
      </x:c>
      <x:c r="I379" s="16" t="str">
        <x:v>Missing email</x:v>
      </x:c>
    </x:row>
    <x:row r="380">
      <x:c r="A380" s="16" t="n">
        <x:v>377</x:v>
      </x:c>
      <x:c r="B380" s="16" t="str">
        <x:v>Ahmad JNJ</x:v>
      </x:c>
      <x:c r="C380" s="16" t="str"/>
      <x:c r="D380" s="16" t="str"/>
      <x:c r="E380" s="16" t="str">
        <x:v>* myContacts</x:v>
      </x:c>
      <x:c r="F380" s="16" t="str">
        <x:v>0189696723 | +60189696723</x:v>
      </x:c>
      <x:c r="G380" s="16" t="str">
        <x:v>+60189696723 | +60189696723</x:v>
      </x:c>
      <x:c r="H380" s="16" t="str">
        <x:v>Excluded</x:v>
      </x:c>
      <x:c r="I380" s="16" t="str">
        <x:v>Missing email</x:v>
      </x:c>
    </x:row>
    <x:row r="381">
      <x:c r="A381" s="16" t="n">
        <x:v>378</x:v>
      </x:c>
      <x:c r="B381" s="16" t="str">
        <x:v>AHMAD KAMAL AGP</x:v>
      </x:c>
      <x:c r="C381" s="16" t="str"/>
      <x:c r="D381" s="16" t="str"/>
      <x:c r="E381" s="16" t="str">
        <x:v>* myContacts</x:v>
      </x:c>
      <x:c r="F381" s="16" t="str">
        <x:v>+60 19-574 6882 | +60195746882</x:v>
      </x:c>
      <x:c r="G381" s="16" t="str">
        <x:v>+60195746882 | +60195746882</x:v>
      </x:c>
      <x:c r="H381" s="16" t="str">
        <x:v>Excluded</x:v>
      </x:c>
      <x:c r="I381" s="16" t="str">
        <x:v>Missing email</x:v>
      </x:c>
    </x:row>
    <x:row r="382">
      <x:c r="A382" s="16" t="n">
        <x:v>379</x:v>
      </x:c>
      <x:c r="B382" s="16" t="str">
        <x:v>Ahmad Kamal Mahnoon</x:v>
      </x:c>
      <x:c r="C382" s="16" t="str"/>
      <x:c r="D382" s="16" t="str"/>
      <x:c r="E382" s="16" t="str">
        <x:v>* myContacts</x:v>
      </x:c>
      <x:c r="F382" s="16" t="str">
        <x:v>+60176459990</x:v>
      </x:c>
      <x:c r="G382" s="16" t="str">
        <x:v>+60176459990</x:v>
      </x:c>
      <x:c r="H382" s="16" t="str">
        <x:v>Excluded</x:v>
      </x:c>
      <x:c r="I382" s="16" t="str">
        <x:v>Missing email</x:v>
      </x:c>
    </x:row>
    <x:row r="383">
      <x:c r="A383" s="16" t="n">
        <x:v>380</x:v>
      </x:c>
      <x:c r="B383" s="16" t="str">
        <x:v>Ahmad Kamil</x:v>
      </x:c>
      <x:c r="C383" s="16" t="str"/>
      <x:c r="D383" s="16" t="str"/>
      <x:c r="E383" s="16" t="str">
        <x:v>* myContacts</x:v>
      </x:c>
      <x:c r="F383" s="16" t="str">
        <x:v>+60179700993</x:v>
      </x:c>
      <x:c r="G383" s="16" t="str">
        <x:v>+60179700993</x:v>
      </x:c>
      <x:c r="H383" s="16" t="str">
        <x:v>Excluded</x:v>
      </x:c>
      <x:c r="I383" s="16" t="str">
        <x:v>Missing email</x:v>
      </x:c>
    </x:row>
    <x:row r="384">
      <x:c r="A384" s="16" t="n">
        <x:v>381</x:v>
      </x:c>
      <x:c r="B384" s="16" t="str">
        <x:v>Ahmad Kamil Nawi</x:v>
      </x:c>
      <x:c r="C384" s="16" t="str"/>
      <x:c r="D384" s="16" t="str"/>
      <x:c r="E384" s="16" t="str">
        <x:v>* myContacts</x:v>
      </x:c>
      <x:c r="F384" s="16" t="str">
        <x:v>+6097214590</x:v>
      </x:c>
      <x:c r="G384" s="16" t="str">
        <x:v>+6097214590</x:v>
      </x:c>
      <x:c r="H384" s="16" t="str">
        <x:v>Excluded</x:v>
      </x:c>
      <x:c r="I384" s="16" t="str">
        <x:v>Missing email</x:v>
      </x:c>
    </x:row>
    <x:row r="385">
      <x:c r="A385" s="16" t="n">
        <x:v>382</x:v>
      </x:c>
      <x:c r="B385" s="16" t="str">
        <x:v>Ahmad Mohamad Bin Bachek</x:v>
      </x:c>
      <x:c r="C385" s="16" t="str"/>
      <x:c r="D385" s="16" t="str"/>
      <x:c r="E385" s="16" t="str">
        <x:v>* myContacts</x:v>
      </x:c>
      <x:c r="F385" s="16" t="str">
        <x:v>+60133577913</x:v>
      </x:c>
      <x:c r="G385" s="16" t="str">
        <x:v>+60133577913</x:v>
      </x:c>
      <x:c r="H385" s="16" t="str">
        <x:v>Excluded</x:v>
      </x:c>
      <x:c r="I385" s="16" t="str">
        <x:v>Missing email</x:v>
      </x:c>
    </x:row>
    <x:row r="386">
      <x:c r="A386" s="16" t="n">
        <x:v>383</x:v>
      </x:c>
      <x:c r="B386" s="16" t="str">
        <x:v>Ahmad Nabil</x:v>
      </x:c>
      <x:c r="C386" s="16" t="str"/>
      <x:c r="D386" s="16" t="str"/>
      <x:c r="E386" s="16" t="str">
        <x:v>* myContacts</x:v>
      </x:c>
      <x:c r="F386" s="16" t="str">
        <x:v>+60136109391</x:v>
      </x:c>
      <x:c r="G386" s="16" t="str">
        <x:v>+60136109391</x:v>
      </x:c>
      <x:c r="H386" s="16" t="str">
        <x:v>Excluded</x:v>
      </x:c>
      <x:c r="I386" s="16" t="str">
        <x:v>Missing email</x:v>
      </x:c>
    </x:row>
    <x:row r="387">
      <x:c r="A387" s="16" t="n">
        <x:v>384</x:v>
      </x:c>
      <x:c r="B387" s="16" t="str">
        <x:v>Ahmad Nor Fahmi</x:v>
      </x:c>
      <x:c r="C387" s="16" t="str"/>
      <x:c r="D387" s="16" t="str"/>
      <x:c r="E387" s="16" t="str">
        <x:v>* myContacts</x:v>
      </x:c>
      <x:c r="F387" s="16" t="str">
        <x:v>+601111776636</x:v>
      </x:c>
      <x:c r="G387" s="16" t="str">
        <x:v>+601111776636</x:v>
      </x:c>
      <x:c r="H387" s="16" t="str">
        <x:v>Excluded</x:v>
      </x:c>
      <x:c r="I387" s="16" t="str">
        <x:v>Missing email</x:v>
      </x:c>
    </x:row>
    <x:row r="388">
      <x:c r="A388" s="16" t="n">
        <x:v>385</x:v>
      </x:c>
      <x:c r="B388" s="16" t="str">
        <x:v>Ahmad Rabani Mat Aris</x:v>
      </x:c>
      <x:c r="C388" s="16" t="str"/>
      <x:c r="D388" s="16" t="str"/>
      <x:c r="E388" s="16" t="str">
        <x:v>* myContacts</x:v>
      </x:c>
      <x:c r="F388" s="16" t="str">
        <x:v>+60133907123</x:v>
      </x:c>
      <x:c r="G388" s="16" t="str">
        <x:v>+60133907123</x:v>
      </x:c>
      <x:c r="H388" s="16" t="str">
        <x:v>Excluded</x:v>
      </x:c>
      <x:c r="I388" s="16" t="str">
        <x:v>Missing email</x:v>
      </x:c>
    </x:row>
    <x:row r="389">
      <x:c r="A389" s="16" t="n">
        <x:v>386</x:v>
      </x:c>
      <x:c r="B389" s="16" t="str">
        <x:v>Ahmad Rasyadi</x:v>
      </x:c>
      <x:c r="C389" s="16" t="str"/>
      <x:c r="D389" s="16" t="str"/>
      <x:c r="E389" s="16" t="str">
        <x:v>* myContacts</x:v>
      </x:c>
      <x:c r="F389" s="16" t="str">
        <x:v>+60173887731</x:v>
      </x:c>
      <x:c r="G389" s="16" t="str">
        <x:v>+60173887731</x:v>
      </x:c>
      <x:c r="H389" s="16" t="str">
        <x:v>Excluded</x:v>
      </x:c>
      <x:c r="I389" s="16" t="str">
        <x:v>Missing email</x:v>
      </x:c>
    </x:row>
    <x:row r="390">
      <x:c r="A390" s="16" t="n">
        <x:v>387</x:v>
      </x:c>
      <x:c r="B390" s="16" t="str">
        <x:v>Ahmad Razaleigh</x:v>
      </x:c>
      <x:c r="C390" s="16" t="str"/>
      <x:c r="D390" s="16" t="str"/>
      <x:c r="E390" s="16" t="str">
        <x:v>* myContacts</x:v>
      </x:c>
      <x:c r="F390" s="16" t="str">
        <x:v>+60172887199</x:v>
      </x:c>
      <x:c r="G390" s="16" t="str">
        <x:v>+60172887199</x:v>
      </x:c>
      <x:c r="H390" s="16" t="str">
        <x:v>Excluded</x:v>
      </x:c>
      <x:c r="I390" s="16" t="str">
        <x:v>Missing email</x:v>
      </x:c>
    </x:row>
    <x:row r="391">
      <x:c r="A391" s="16" t="n">
        <x:v>388</x:v>
      </x:c>
      <x:c r="B391" s="16" t="str">
        <x:v>Ahmad Redzuan</x:v>
      </x:c>
      <x:c r="C391" s="16" t="str"/>
      <x:c r="D391" s="16" t="str"/>
      <x:c r="E391" s="16" t="str">
        <x:v>* myContacts</x:v>
      </x:c>
      <x:c r="F391" s="16" t="str">
        <x:v>0123792524 | +60123792524</x:v>
      </x:c>
      <x:c r="G391" s="16" t="str">
        <x:v>+60123792524 | +60123792524</x:v>
      </x:c>
      <x:c r="H391" s="16" t="str">
        <x:v>Excluded</x:v>
      </x:c>
      <x:c r="I391" s="16" t="str">
        <x:v>Missing email</x:v>
      </x:c>
    </x:row>
    <x:row r="392">
      <x:c r="A392" s="16" t="n">
        <x:v>389</x:v>
      </x:c>
      <x:c r="B392" s="16" t="str">
        <x:v>Ahmad Ridwan AGP</x:v>
      </x:c>
      <x:c r="C392" s="16" t="str"/>
      <x:c r="D392" s="16" t="str"/>
      <x:c r="E392" s="16" t="str">
        <x:v>* myContacts</x:v>
      </x:c>
      <x:c r="F392" s="16" t="str">
        <x:v>+60 14-818 8693 | +60148188693</x:v>
      </x:c>
      <x:c r="G392" s="16" t="str">
        <x:v>+60148188693 | +60148188693</x:v>
      </x:c>
      <x:c r="H392" s="16" t="str">
        <x:v>Excluded</x:v>
      </x:c>
      <x:c r="I392" s="16" t="str">
        <x:v>Missing email</x:v>
      </x:c>
    </x:row>
    <x:row r="393">
      <x:c r="A393" s="16" t="n">
        <x:v>390</x:v>
      </x:c>
      <x:c r="B393" s="16" t="str">
        <x:v>Ahmad Rizal Bin Mat Noh</x:v>
      </x:c>
      <x:c r="C393" s="16" t="str"/>
      <x:c r="D393" s="16" t="str"/>
      <x:c r="E393" s="16" t="str">
        <x:v>* myContacts</x:v>
      </x:c>
      <x:c r="F393" s="16" t="str">
        <x:v>+60133751775</x:v>
      </x:c>
      <x:c r="G393" s="16" t="str">
        <x:v>+60133751775</x:v>
      </x:c>
      <x:c r="H393" s="16" t="str">
        <x:v>Excluded</x:v>
      </x:c>
      <x:c r="I393" s="16" t="str">
        <x:v>Missing email</x:v>
      </x:c>
    </x:row>
    <x:row r="394">
      <x:c r="A394" s="16" t="n">
        <x:v>391</x:v>
      </x:c>
      <x:c r="B394" s="16" t="str">
        <x:v>Ahmad Safar Lagama</x:v>
      </x:c>
      <x:c r="C394" s="16" t="str"/>
      <x:c r="D394" s="16" t="str"/>
      <x:c r="E394" s="16" t="str">
        <x:v>* myContacts</x:v>
      </x:c>
      <x:c r="F394" s="16" t="str">
        <x:v>+60105497939</x:v>
      </x:c>
      <x:c r="G394" s="16" t="str">
        <x:v>+60105497939</x:v>
      </x:c>
      <x:c r="H394" s="16" t="str">
        <x:v>Excluded</x:v>
      </x:c>
      <x:c r="I394" s="16" t="str">
        <x:v>Missing email</x:v>
      </x:c>
    </x:row>
    <x:row r="395">
      <x:c r="A395" s="16" t="n">
        <x:v>392</x:v>
      </x:c>
      <x:c r="B395" s="16" t="str">
        <x:v>Ahmad Safiq</x:v>
      </x:c>
      <x:c r="C395" s="16" t="str"/>
      <x:c r="D395" s="16" t="str"/>
      <x:c r="E395" s="16" t="str">
        <x:v>* myContacts</x:v>
      </x:c>
      <x:c r="F395" s="16" t="str">
        <x:v>+60197140602</x:v>
      </x:c>
      <x:c r="G395" s="16" t="str">
        <x:v>+60197140602</x:v>
      </x:c>
      <x:c r="H395" s="16" t="str">
        <x:v>Excluded</x:v>
      </x:c>
      <x:c r="I395" s="16" t="str">
        <x:v>Missing email</x:v>
      </x:c>
    </x:row>
    <x:row r="396">
      <x:c r="A396" s="16" t="n">
        <x:v>393</x:v>
      </x:c>
      <x:c r="B396" s="16" t="str">
        <x:v>Ahmad Saiful Nizam</x:v>
      </x:c>
      <x:c r="C396" s="16" t="str"/>
      <x:c r="D396" s="16" t="str"/>
      <x:c r="E396" s="16" t="str">
        <x:v>* myContacts</x:v>
      </x:c>
      <x:c r="F396" s="16" t="str">
        <x:v>+60142206981</x:v>
      </x:c>
      <x:c r="G396" s="16" t="str">
        <x:v>+60142206981</x:v>
      </x:c>
      <x:c r="H396" s="16" t="str">
        <x:v>Excluded</x:v>
      </x:c>
      <x:c r="I396" s="16" t="str">
        <x:v>Missing email</x:v>
      </x:c>
    </x:row>
    <x:row r="397">
      <x:c r="A397" s="16" t="n">
        <x:v>394</x:v>
      </x:c>
      <x:c r="B397" s="16" t="str">
        <x:v>Ahmad Shafiq</x:v>
      </x:c>
      <x:c r="C397" s="16" t="str"/>
      <x:c r="D397" s="16" t="str"/>
      <x:c r="E397" s="16" t="str">
        <x:v>* myContacts</x:v>
      </x:c>
      <x:c r="F397" s="16" t="str">
        <x:v>+60172859224</x:v>
      </x:c>
      <x:c r="G397" s="16" t="str">
        <x:v>+60172859224</x:v>
      </x:c>
      <x:c r="H397" s="16" t="str">
        <x:v>Excluded</x:v>
      </x:c>
      <x:c r="I397" s="16" t="str">
        <x:v>Missing email</x:v>
      </x:c>
    </x:row>
    <x:row r="398">
      <x:c r="A398" s="16" t="n">
        <x:v>395</x:v>
      </x:c>
      <x:c r="B398" s="16" t="str">
        <x:v>Ahmad Shafrizal</x:v>
      </x:c>
      <x:c r="C398" s="16" t="str"/>
      <x:c r="D398" s="16" t="str"/>
      <x:c r="E398" s="16" t="str">
        <x:v>* myContacts</x:v>
      </x:c>
      <x:c r="F398" s="16" t="str">
        <x:v>+60137442669</x:v>
      </x:c>
      <x:c r="G398" s="16" t="str">
        <x:v>+60137442669</x:v>
      </x:c>
      <x:c r="H398" s="16" t="str">
        <x:v>Excluded</x:v>
      </x:c>
      <x:c r="I398" s="16" t="str">
        <x:v>Missing email</x:v>
      </x:c>
    </x:row>
    <x:row r="399">
      <x:c r="A399" s="16" t="n">
        <x:v>396</x:v>
      </x:c>
      <x:c r="B399" s="16" t="str">
        <x:v>AHMAD SHAH</x:v>
      </x:c>
      <x:c r="C399" s="16" t="str">
        <x:v>ahmad@zen-courier.com</x:v>
      </x:c>
      <x:c r="D399" s="16" t="str">
        <x:v>ahmad@zen-courier.com</x:v>
      </x:c>
      <x:c r="E399" s="16" t="str">
        <x:v>* myContacts</x:v>
      </x:c>
      <x:c r="F399" s="16" t="str">
        <x:v>+60162127327</x:v>
      </x:c>
      <x:c r="G399" s="16" t="str">
        <x:v>+60162127327</x:v>
      </x:c>
      <x:c r="H399" s="16" t="str">
        <x:v>Eligible</x:v>
      </x:c>
      <x:c r="I399" s="16" t="str"/>
    </x:row>
    <x:row r="400">
      <x:c r="A400" s="16" t="n">
        <x:v>397</x:v>
      </x:c>
      <x:c r="B400" s="16" t="str">
        <x:v>Ahmad Shah Wadood</x:v>
      </x:c>
      <x:c r="C400" s="16" t="str">
        <x:v>aswmetrobus@yahoo.com | aswmetro@gmail.com</x:v>
      </x:c>
      <x:c r="D400" s="16" t="str">
        <x:v>aswmetrobus@yahoo.com | aswmetro@gmail.com</x:v>
      </x:c>
      <x:c r="E400" s="16" t="str">
        <x:v>* myContacts</x:v>
      </x:c>
      <x:c r="F400" s="16" t="str">
        <x:v>0193399933 | +60193399933</x:v>
      </x:c>
      <x:c r="G400" s="16" t="str">
        <x:v>+60193399933 | +60193399933</x:v>
      </x:c>
      <x:c r="H400" s="16" t="str">
        <x:v>Eligible</x:v>
      </x:c>
      <x:c r="I400" s="16" t="str"/>
    </x:row>
    <x:row r="401">
      <x:c r="A401" s="16" t="n">
        <x:v>398</x:v>
      </x:c>
      <x:c r="B401" s="16" t="str">
        <x:v>Ahmad Shazran Ariff Shah</x:v>
      </x:c>
      <x:c r="C401" s="16" t="str"/>
      <x:c r="D401" s="16" t="str"/>
      <x:c r="E401" s="16" t="str">
        <x:v>* myContacts</x:v>
      </x:c>
      <x:c r="F401" s="16" t="str">
        <x:v>+60124919469</x:v>
      </x:c>
      <x:c r="G401" s="16" t="str">
        <x:v>+60124919469</x:v>
      </x:c>
      <x:c r="H401" s="16" t="str">
        <x:v>Excluded</x:v>
      </x:c>
      <x:c r="I401" s="16" t="str">
        <x:v>Missing email</x:v>
      </x:c>
    </x:row>
    <x:row r="402">
      <x:c r="A402" s="16" t="n">
        <x:v>399</x:v>
      </x:c>
      <x:c r="B402" s="16" t="str">
        <x:v>Ahmad Sihat</x:v>
      </x:c>
      <x:c r="C402" s="16" t="str"/>
      <x:c r="D402" s="16" t="str"/>
      <x:c r="E402" s="16" t="str">
        <x:v>* myContacts</x:v>
      </x:c>
      <x:c r="F402" s="16" t="str">
        <x:v>+60196689380</x:v>
      </x:c>
      <x:c r="G402" s="16" t="str">
        <x:v>+60196689380</x:v>
      </x:c>
      <x:c r="H402" s="16" t="str">
        <x:v>Excluded</x:v>
      </x:c>
      <x:c r="I402" s="16" t="str">
        <x:v>Missing email</x:v>
      </x:c>
    </x:row>
    <x:row r="403">
      <x:c r="A403" s="16" t="n">
        <x:v>400</x:v>
      </x:c>
      <x:c r="B403" s="16" t="str">
        <x:v>Ahmad Sufyan</x:v>
      </x:c>
      <x:c r="C403" s="16" t="str"/>
      <x:c r="D403" s="16" t="str"/>
      <x:c r="E403" s="16" t="str">
        <x:v>* myContacts</x:v>
      </x:c>
      <x:c r="F403" s="16" t="str">
        <x:v>+60126330736</x:v>
      </x:c>
      <x:c r="G403" s="16" t="str">
        <x:v>+60126330736</x:v>
      </x:c>
      <x:c r="H403" s="16" t="str">
        <x:v>Excluded</x:v>
      </x:c>
      <x:c r="I403" s="16" t="str">
        <x:v>Missing email</x:v>
      </x:c>
    </x:row>
    <x:row r="404">
      <x:c r="A404" s="16" t="n">
        <x:v>401</x:v>
      </x:c>
      <x:c r="B404" s="16" t="str">
        <x:v>Ahmad Syahrir</x:v>
      </x:c>
      <x:c r="C404" s="16" t="str"/>
      <x:c r="D404" s="16" t="str"/>
      <x:c r="E404" s="16" t="str">
        <x:v>* myContacts</x:v>
      </x:c>
      <x:c r="F404" s="16" t="str">
        <x:v>+60124935769</x:v>
      </x:c>
      <x:c r="G404" s="16" t="str">
        <x:v>+60124935769</x:v>
      </x:c>
      <x:c r="H404" s="16" t="str">
        <x:v>Excluded</x:v>
      </x:c>
      <x:c r="I404" s="16" t="str">
        <x:v>Missing email</x:v>
      </x:c>
    </x:row>
    <x:row r="405">
      <x:c r="A405" s="16" t="n">
        <x:v>402</x:v>
      </x:c>
      <x:c r="B405" s="16" t="str">
        <x:v>Ahmad Syazwan</x:v>
      </x:c>
      <x:c r="C405" s="16" t="str"/>
      <x:c r="D405" s="16" t="str"/>
      <x:c r="E405" s="16" t="str">
        <x:v>* myContacts</x:v>
      </x:c>
      <x:c r="F405" s="16" t="str">
        <x:v>+601112976064</x:v>
      </x:c>
      <x:c r="G405" s="16" t="str">
        <x:v>+601112976064</x:v>
      </x:c>
      <x:c r="H405" s="16" t="str">
        <x:v>Excluded</x:v>
      </x:c>
      <x:c r="I405" s="16" t="str">
        <x:v>Missing email</x:v>
      </x:c>
    </x:row>
    <x:row r="406">
      <x:c r="A406" s="16" t="n">
        <x:v>403</x:v>
      </x:c>
      <x:c r="B406" s="16" t="str">
        <x:v>Ahmad Zaki Beetmal</x:v>
      </x:c>
      <x:c r="C406" s="16" t="str"/>
      <x:c r="D406" s="16" t="str"/>
      <x:c r="E406" s="16" t="str">
        <x:v>* myContacts</x:v>
      </x:c>
      <x:c r="F406" s="16" t="str">
        <x:v>0129798893 | +60129798893</x:v>
      </x:c>
      <x:c r="G406" s="16" t="str">
        <x:v>+60129798893 | +60129798893</x:v>
      </x:c>
      <x:c r="H406" s="16" t="str">
        <x:v>Excluded</x:v>
      </x:c>
      <x:c r="I406" s="16" t="str">
        <x:v>Missing email</x:v>
      </x:c>
    </x:row>
    <x:row r="407">
      <x:c r="A407" s="16" t="n">
        <x:v>404</x:v>
      </x:c>
      <x:c r="B407" s="16" t="str">
        <x:v>Ahmad Zamzulhairy</x:v>
      </x:c>
      <x:c r="C407" s="16" t="str"/>
      <x:c r="D407" s="16" t="str"/>
      <x:c r="E407" s="16" t="str">
        <x:v>* myContacts</x:v>
      </x:c>
      <x:c r="F407" s="16" t="str">
        <x:v>+60148496713</x:v>
      </x:c>
      <x:c r="G407" s="16" t="str">
        <x:v>+60148496713</x:v>
      </x:c>
      <x:c r="H407" s="16" t="str">
        <x:v>Excluded</x:v>
      </x:c>
      <x:c r="I407" s="16" t="str">
        <x:v>Missing email</x:v>
      </x:c>
    </x:row>
    <x:row r="408">
      <x:c r="A408" s="16" t="n">
        <x:v>405</x:v>
      </x:c>
      <x:c r="B408" s="16" t="str">
        <x:v>Ahmad Zikri BDA</x:v>
      </x:c>
      <x:c r="C408" s="16" t="str"/>
      <x:c r="D408" s="16" t="str"/>
      <x:c r="E408" s="16" t="str">
        <x:v>* myContacts</x:v>
      </x:c>
      <x:c r="F408" s="16" t="str">
        <x:v>017-679 5845 | +60176795845</x:v>
      </x:c>
      <x:c r="G408" s="16" t="str">
        <x:v>+60176795845 | +60176795845</x:v>
      </x:c>
      <x:c r="H408" s="16" t="str">
        <x:v>Excluded</x:v>
      </x:c>
      <x:c r="I408" s="16" t="str">
        <x:v>Missing email</x:v>
      </x:c>
    </x:row>
    <x:row r="409">
      <x:c r="A409" s="16" t="n">
        <x:v>406</x:v>
      </x:c>
      <x:c r="B409" s="16" t="str">
        <x:v>Ahmad Zuhaili</x:v>
      </x:c>
      <x:c r="C409" s="16" t="str"/>
      <x:c r="D409" s="16" t="str"/>
      <x:c r="E409" s="16" t="str">
        <x:v>* myContacts</x:v>
      </x:c>
      <x:c r="F409" s="16" t="str">
        <x:v>+60192641954</x:v>
      </x:c>
      <x:c r="G409" s="16" t="str">
        <x:v>+60192641954</x:v>
      </x:c>
      <x:c r="H409" s="16" t="str">
        <x:v>Excluded</x:v>
      </x:c>
      <x:c r="I409" s="16" t="str">
        <x:v>Missing email</x:v>
      </x:c>
    </x:row>
    <x:row r="410">
      <x:c r="A410" s="16" t="n">
        <x:v>407</x:v>
      </x:c>
      <x:c r="B410" s="16" t="str">
        <x:v>Ahmadul Aulah</x:v>
      </x:c>
      <x:c r="C410" s="16" t="str"/>
      <x:c r="D410" s="16" t="str"/>
      <x:c r="E410" s="16" t="str">
        <x:v>* myContacts</x:v>
      </x:c>
      <x:c r="F410" s="16" t="str">
        <x:v>+60137107585</x:v>
      </x:c>
      <x:c r="G410" s="16" t="str">
        <x:v>+60137107585</x:v>
      </x:c>
      <x:c r="H410" s="16" t="str">
        <x:v>Excluded</x:v>
      </x:c>
      <x:c r="I410" s="16" t="str">
        <x:v>Missing email</x:v>
      </x:c>
    </x:row>
    <x:row r="411">
      <x:c r="A411" s="16" t="n">
        <x:v>408</x:v>
      </x:c>
      <x:c r="B411" s="16" t="str">
        <x:v>Ahmed Redha Abdullah</x:v>
      </x:c>
      <x:c r="C411" s="16" t="str"/>
      <x:c r="D411" s="16" t="str"/>
      <x:c r="E411" s="16" t="str">
        <x:v>* myContacts</x:v>
      </x:c>
      <x:c r="F411" s="16" t="str">
        <x:v>+911133228888</x:v>
      </x:c>
      <x:c r="G411" s="16" t="str">
        <x:v>+911133228888</x:v>
      </x:c>
      <x:c r="H411" s="16" t="str">
        <x:v>Excluded</x:v>
      </x:c>
      <x:c r="I411" s="16" t="str">
        <x:v>Missing email</x:v>
      </x:c>
    </x:row>
    <x:row r="412">
      <x:c r="A412" s="16" t="n">
        <x:v>409</x:v>
      </x:c>
      <x:c r="B412" s="16" t="str">
        <x:v>Ahmed Yousef Mitwali Badraia</x:v>
      </x:c>
      <x:c r="C412" s="16" t="str"/>
      <x:c r="D412" s="16" t="str"/>
      <x:c r="E412" s="16" t="str">
        <x:v>* myContacts</x:v>
      </x:c>
      <x:c r="F412" s="16" t="str">
        <x:v>+447031930535</x:v>
      </x:c>
      <x:c r="G412" s="16" t="str">
        <x:v>+447031930535</x:v>
      </x:c>
      <x:c r="H412" s="16" t="str">
        <x:v>Excluded</x:v>
      </x:c>
      <x:c r="I412" s="16" t="str">
        <x:v>Missing email</x:v>
      </x:c>
    </x:row>
    <x:row r="413">
      <x:c r="A413" s="16" t="n">
        <x:v>410</x:v>
      </x:c>
      <x:c r="B413" s="16" t="str">
        <x:v>Ahmed Zaki</x:v>
      </x:c>
      <x:c r="C413" s="16" t="str"/>
      <x:c r="D413" s="16" t="str"/>
      <x:c r="E413" s="16" t="str">
        <x:v>* myContacts</x:v>
      </x:c>
      <x:c r="F413" s="16" t="str">
        <x:v>+601128534361</x:v>
      </x:c>
      <x:c r="G413" s="16" t="str">
        <x:v>+601128534361</x:v>
      </x:c>
      <x:c r="H413" s="16" t="str">
        <x:v>Excluded</x:v>
      </x:c>
      <x:c r="I413" s="16" t="str">
        <x:v>Missing email</x:v>
      </x:c>
    </x:row>
    <x:row r="414">
      <x:c r="A414" s="16" t="n">
        <x:v>411</x:v>
      </x:c>
      <x:c r="B414" s="16" t="str">
        <x:v>Ahnaf Czedro</x:v>
      </x:c>
      <x:c r="C414" s="16" t="str"/>
      <x:c r="D414" s="16" t="str"/>
      <x:c r="E414" s="16" t="str">
        <x:v>* myContacts</x:v>
      </x:c>
      <x:c r="F414" s="16" t="str">
        <x:v>+60134535988</x:v>
      </x:c>
      <x:c r="G414" s="16" t="str">
        <x:v>+60134535988</x:v>
      </x:c>
      <x:c r="H414" s="16" t="str">
        <x:v>Excluded</x:v>
      </x:c>
      <x:c r="I414" s="16" t="str">
        <x:v>Missing email</x:v>
      </x:c>
    </x:row>
    <x:row r="415">
      <x:c r="A415" s="16" t="n">
        <x:v>412</x:v>
      </x:c>
      <x:c r="B415" s="16" t="str">
        <x:v>Ahnaf Czedro II</x:v>
      </x:c>
      <x:c r="C415" s="16" t="str"/>
      <x:c r="D415" s="16" t="str"/>
      <x:c r="E415" s="16" t="str">
        <x:v>* myContacts</x:v>
      </x:c>
      <x:c r="F415" s="16" t="str">
        <x:v>+60134535988</x:v>
      </x:c>
      <x:c r="G415" s="16" t="str">
        <x:v>+60134535988</x:v>
      </x:c>
      <x:c r="H415" s="16" t="str">
        <x:v>Excluded</x:v>
      </x:c>
      <x:c r="I415" s="16" t="str">
        <x:v>Missing email</x:v>
      </x:c>
    </x:row>
    <x:row r="416">
      <x:c r="A416" s="16" t="n">
        <x:v>413</x:v>
      </x:c>
      <x:c r="B416" s="16" t="str">
        <x:v>Ahsan Ali Kunbher</x:v>
      </x:c>
      <x:c r="C416" s="16" t="str"/>
      <x:c r="D416" s="16" t="str"/>
      <x:c r="E416" s="16" t="str">
        <x:v>* myContacts</x:v>
      </x:c>
      <x:c r="F416" s="16" t="str">
        <x:v>+923402473412</x:v>
      </x:c>
      <x:c r="G416" s="16" t="str">
        <x:v>+923402473412</x:v>
      </x:c>
      <x:c r="H416" s="16" t="str">
        <x:v>Excluded</x:v>
      </x:c>
      <x:c r="I416" s="16" t="str">
        <x:v>Missing email</x:v>
      </x:c>
    </x:row>
    <x:row r="417">
      <x:c r="A417" s="16" t="n">
        <x:v>414</x:v>
      </x:c>
      <x:c r="B417" s="16" t="str">
        <x:v>Ai pekerja 1</x:v>
      </x:c>
      <x:c r="C417" s="16" t="str"/>
      <x:c r="D417" s="16" t="str"/>
      <x:c r="E417" s="16" t="str">
        <x:v>* myContacts | * starred</x:v>
      </x:c>
      <x:c r="F417" s="16" t="str">
        <x:v>+1 (415) 650-2027 | +14156502027</x:v>
      </x:c>
      <x:c r="G417" s="16" t="str">
        <x:v>+14156502027 | +14156502027</x:v>
      </x:c>
      <x:c r="H417" s="16" t="str">
        <x:v>Excluded</x:v>
      </x:c>
      <x:c r="I417" s="16" t="str">
        <x:v>Missing email</x:v>
      </x:c>
    </x:row>
    <x:row r="418">
      <x:c r="A418" s="16" t="n">
        <x:v>415</x:v>
      </x:c>
      <x:c r="B418" s="16" t="str">
        <x:v>Ai pekerja 3</x:v>
      </x:c>
      <x:c r="C418" s="16" t="str"/>
      <x:c r="D418" s="16" t="str"/>
      <x:c r="E418" s="16" t="str">
        <x:v>* myContacts</x:v>
      </x:c>
      <x:c r="F418" s="16" t="str">
        <x:v>+34613288116</x:v>
      </x:c>
      <x:c r="G418" s="16" t="str">
        <x:v>+34613288116</x:v>
      </x:c>
      <x:c r="H418" s="16" t="str">
        <x:v>Excluded</x:v>
      </x:c>
      <x:c r="I418" s="16" t="str">
        <x:v>Missing email</x:v>
      </x:c>
    </x:row>
    <x:row r="419">
      <x:c r="A419" s="16" t="n">
        <x:v>416</x:v>
      </x:c>
      <x:c r="B419" s="16" t="str">
        <x:v>Ai pekerja 4</x:v>
      </x:c>
      <x:c r="C419" s="16" t="str"/>
      <x:c r="D419" s="16" t="str"/>
      <x:c r="E419" s="16" t="str">
        <x:v>* myContacts</x:v>
      </x:c>
      <x:c r="F419" s="16" t="str">
        <x:v>+351 911 920 981 | +351911920981</x:v>
      </x:c>
      <x:c r="G419" s="16" t="str">
        <x:v>+351911920981 | +351911920981</x:v>
      </x:c>
      <x:c r="H419" s="16" t="str">
        <x:v>Excluded</x:v>
      </x:c>
      <x:c r="I419" s="16" t="str">
        <x:v>Missing email</x:v>
      </x:c>
    </x:row>
    <x:row r="420">
      <x:c r="A420" s="16" t="n">
        <x:v>417</x:v>
      </x:c>
      <x:c r="B420" s="16" t="str">
        <x:v>Ai Pekerja Pekerja 2</x:v>
      </x:c>
      <x:c r="C420" s="16" t="str"/>
      <x:c r="D420" s="16" t="str"/>
      <x:c r="E420" s="16" t="str">
        <x:v>* myContacts</x:v>
      </x:c>
      <x:c r="F420" s="16" t="str">
        <x:v>+27767346284</x:v>
      </x:c>
      <x:c r="G420" s="16" t="str">
        <x:v>+27767346284</x:v>
      </x:c>
      <x:c r="H420" s="16" t="str">
        <x:v>Excluded</x:v>
      </x:c>
      <x:c r="I420" s="16" t="str">
        <x:v>Missing email</x:v>
      </x:c>
    </x:row>
    <x:row r="421">
      <x:c r="A421" s="16" t="n">
        <x:v>418</x:v>
      </x:c>
      <x:c r="B421" s="16" t="str">
        <x:v>AIA Anderson Lim</x:v>
      </x:c>
      <x:c r="C421" s="16" t="str"/>
      <x:c r="D421" s="16" t="str"/>
      <x:c r="E421" s="16" t="str">
        <x:v>* myContacts</x:v>
      </x:c>
      <x:c r="F421" s="16" t="str">
        <x:v>+60 12-283 8328 | +60122838328</x:v>
      </x:c>
      <x:c r="G421" s="16" t="str">
        <x:v>+60122838328 | +60122838328</x:v>
      </x:c>
      <x:c r="H421" s="16" t="str">
        <x:v>Excluded</x:v>
      </x:c>
      <x:c r="I421" s="16" t="str">
        <x:v>Missing email</x:v>
      </x:c>
    </x:row>
    <x:row r="422">
      <x:c r="A422" s="16" t="n">
        <x:v>419</x:v>
      </x:c>
      <x:c r="B422" s="16" t="str">
        <x:v>Aida</x:v>
      </x:c>
      <x:c r="C422" s="16" t="str"/>
      <x:c r="D422" s="16" t="str"/>
      <x:c r="E422" s="16" t="str">
        <x:v>* myContacts</x:v>
      </x:c>
      <x:c r="F422" s="16" t="str">
        <x:v>+60 10-656 9924 | +60106569924</x:v>
      </x:c>
      <x:c r="G422" s="16" t="str">
        <x:v>+60106569924 | +60106569924</x:v>
      </x:c>
      <x:c r="H422" s="16" t="str">
        <x:v>Excluded</x:v>
      </x:c>
      <x:c r="I422" s="16" t="str">
        <x:v>Missing email</x:v>
      </x:c>
    </x:row>
    <x:row r="423">
      <x:c r="A423" s="16" t="n">
        <x:v>420</x:v>
      </x:c>
      <x:c r="B423" s="16" t="str">
        <x:v>Aida Afrinaz</x:v>
      </x:c>
      <x:c r="C423" s="16" t="str"/>
      <x:c r="D423" s="16" t="str"/>
      <x:c r="E423" s="16" t="str">
        <x:v>* myContacts</x:v>
      </x:c>
      <x:c r="F423" s="16" t="str">
        <x:v>+60132022020</x:v>
      </x:c>
      <x:c r="G423" s="16" t="str">
        <x:v>+60132022020</x:v>
      </x:c>
      <x:c r="H423" s="16" t="str">
        <x:v>Excluded</x:v>
      </x:c>
      <x:c r="I423" s="16" t="str">
        <x:v>Missing email</x:v>
      </x:c>
    </x:row>
    <x:row r="424">
      <x:c r="A424" s="16" t="n">
        <x:v>421</x:v>
      </x:c>
      <x:c r="B424" s="16" t="str">
        <x:v>Aida Azman</x:v>
      </x:c>
      <x:c r="C424" s="16" t="str"/>
      <x:c r="D424" s="16" t="str"/>
      <x:c r="E424" s="16" t="str">
        <x:v>* myContacts</x:v>
      </x:c>
      <x:c r="F424" s="16" t="str">
        <x:v>+60182354497</x:v>
      </x:c>
      <x:c r="G424" s="16" t="str">
        <x:v>+60182354497</x:v>
      </x:c>
      <x:c r="H424" s="16" t="str">
        <x:v>Excluded</x:v>
      </x:c>
      <x:c r="I424" s="16" t="str">
        <x:v>Missing email</x:v>
      </x:c>
    </x:row>
    <x:row r="425">
      <x:c r="A425" s="16" t="n">
        <x:v>422</x:v>
      </x:c>
      <x:c r="B425" s="16" t="str">
        <x:v>Aida Baju &amp;Tudung</x:v>
      </x:c>
      <x:c r="C425" s="16" t="str"/>
      <x:c r="D425" s="16" t="str"/>
      <x:c r="E425" s="16" t="str">
        <x:v>* myContacts</x:v>
      </x:c>
      <x:c r="F425" s="16" t="str">
        <x:v>+60 19-998 0886 | +60199980886</x:v>
      </x:c>
      <x:c r="G425" s="16" t="str">
        <x:v>+60199980886 | +60199980886</x:v>
      </x:c>
      <x:c r="H425" s="16" t="str">
        <x:v>Excluded</x:v>
      </x:c>
      <x:c r="I425" s="16" t="str">
        <x:v>Missing email</x:v>
      </x:c>
    </x:row>
    <x:row r="426">
      <x:c r="A426" s="16" t="n">
        <x:v>423</x:v>
      </x:c>
      <x:c r="B426" s="16" t="str">
        <x:v>Aida Idayu Abdul Aziz</x:v>
      </x:c>
      <x:c r="C426" s="16" t="str"/>
      <x:c r="D426" s="16" t="str"/>
      <x:c r="E426" s="16" t="str">
        <x:v>* myContacts</x:v>
      </x:c>
      <x:c r="F426" s="16" t="str">
        <x:v>+60145123658</x:v>
      </x:c>
      <x:c r="G426" s="16" t="str">
        <x:v>+60145123658</x:v>
      </x:c>
      <x:c r="H426" s="16" t="str">
        <x:v>Excluded</x:v>
      </x:c>
      <x:c r="I426" s="16" t="str">
        <x:v>Missing email</x:v>
      </x:c>
    </x:row>
    <x:row r="427">
      <x:c r="A427" s="16" t="n">
        <x:v>424</x:v>
      </x:c>
      <x:c r="B427" s="16" t="str">
        <x:v>Aida Ismail</x:v>
      </x:c>
      <x:c r="C427" s="16" t="str"/>
      <x:c r="D427" s="16" t="str"/>
      <x:c r="E427" s="16" t="str">
        <x:v>* myContacts</x:v>
      </x:c>
      <x:c r="F427" s="16" t="str">
        <x:v>+60172244821</x:v>
      </x:c>
      <x:c r="G427" s="16" t="str">
        <x:v>+60172244821</x:v>
      </x:c>
      <x:c r="H427" s="16" t="str">
        <x:v>Excluded</x:v>
      </x:c>
      <x:c r="I427" s="16" t="str">
        <x:v>Missing email</x:v>
      </x:c>
    </x:row>
    <x:row r="428">
      <x:c r="A428" s="16" t="n">
        <x:v>425</x:v>
      </x:c>
      <x:c r="B428" s="16" t="str">
        <x:v>Aida Saadah</x:v>
      </x:c>
      <x:c r="C428" s="16" t="str"/>
      <x:c r="D428" s="16" t="str"/>
      <x:c r="E428" s="16" t="str">
        <x:v>* myContacts</x:v>
      </x:c>
      <x:c r="F428" s="16" t="str">
        <x:v>+60192066992</x:v>
      </x:c>
      <x:c r="G428" s="16" t="str">
        <x:v>+60192066992</x:v>
      </x:c>
      <x:c r="H428" s="16" t="str">
        <x:v>Excluded</x:v>
      </x:c>
      <x:c r="I428" s="16" t="str">
        <x:v>Missing email</x:v>
      </x:c>
    </x:row>
    <x:row r="429">
      <x:c r="A429" s="16" t="n">
        <x:v>426</x:v>
      </x:c>
      <x:c r="B429" s="16" t="str">
        <x:v>Aida Syarmila Othman</x:v>
      </x:c>
      <x:c r="C429" s="16" t="str"/>
      <x:c r="D429" s="16" t="str"/>
      <x:c r="E429" s="16" t="str">
        <x:v>* myContacts</x:v>
      </x:c>
      <x:c r="F429" s="16" t="str">
        <x:v>+60199706164</x:v>
      </x:c>
      <x:c r="G429" s="16" t="str">
        <x:v>+60199706164</x:v>
      </x:c>
      <x:c r="H429" s="16" t="str">
        <x:v>Excluded</x:v>
      </x:c>
      <x:c r="I429" s="16" t="str">
        <x:v>Missing email</x:v>
      </x:c>
    </x:row>
    <x:row r="430">
      <x:c r="A430" s="16" t="n">
        <x:v>427</x:v>
      </x:c>
      <x:c r="B430" s="16" t="str">
        <x:v>Aidaa Aziz</x:v>
      </x:c>
      <x:c r="C430" s="16" t="str"/>
      <x:c r="D430" s="16" t="str"/>
      <x:c r="E430" s="16" t="str">
        <x:v>* myContacts</x:v>
      </x:c>
      <x:c r="F430" s="16" t="str">
        <x:v>+601110208592</x:v>
      </x:c>
      <x:c r="G430" s="16" t="str">
        <x:v>+601110208592</x:v>
      </x:c>
      <x:c r="H430" s="16" t="str">
        <x:v>Excluded</x:v>
      </x:c>
      <x:c r="I430" s="16" t="str">
        <x:v>Missing email</x:v>
      </x:c>
    </x:row>
    <x:row r="431">
      <x:c r="A431" s="16" t="n">
        <x:v>428</x:v>
      </x:c>
      <x:c r="B431" s="16" t="str">
        <x:v>Aidamai Mohammad</x:v>
      </x:c>
      <x:c r="C431" s="16" t="str"/>
      <x:c r="D431" s="16" t="str"/>
      <x:c r="E431" s="16" t="str">
        <x:v>* myContacts</x:v>
      </x:c>
      <x:c r="F431" s="16" t="str">
        <x:v>+6584933730</x:v>
      </x:c>
      <x:c r="G431" s="16" t="str">
        <x:v>+6584933730</x:v>
      </x:c>
      <x:c r="H431" s="16" t="str">
        <x:v>Excluded</x:v>
      </x:c>
      <x:c r="I431" s="16" t="str">
        <x:v>Missing email</x:v>
      </x:c>
    </x:row>
    <x:row r="432">
      <x:c r="A432" s="16" t="n">
        <x:v>429</x:v>
      </x:c>
      <x:c r="B432" s="16" t="str">
        <x:v>Aidatul Akmar Ahmad</x:v>
      </x:c>
      <x:c r="C432" s="16" t="str"/>
      <x:c r="D432" s="16" t="str"/>
      <x:c r="E432" s="16" t="str">
        <x:v>* myContacts</x:v>
      </x:c>
      <x:c r="F432" s="16" t="str">
        <x:v>+60194969633</x:v>
      </x:c>
      <x:c r="G432" s="16" t="str">
        <x:v>+60194969633</x:v>
      </x:c>
      <x:c r="H432" s="16" t="str">
        <x:v>Excluded</x:v>
      </x:c>
      <x:c r="I432" s="16" t="str">
        <x:v>Missing email</x:v>
      </x:c>
    </x:row>
    <x:row r="433">
      <x:c r="A433" s="16" t="n">
        <x:v>430</x:v>
      </x:c>
      <x:c r="B433" s="16" t="str">
        <x:v>Aidi Guslan</x:v>
      </x:c>
      <x:c r="C433" s="16" t="str"/>
      <x:c r="D433" s="16" t="str"/>
      <x:c r="E433" s="16" t="str">
        <x:v>* myContacts</x:v>
      </x:c>
      <x:c r="F433" s="16" t="str">
        <x:v>+60168409085</x:v>
      </x:c>
      <x:c r="G433" s="16" t="str">
        <x:v>+60168409085</x:v>
      </x:c>
      <x:c r="H433" s="16" t="str">
        <x:v>Excluded</x:v>
      </x:c>
      <x:c r="I433" s="16" t="str">
        <x:v>Missing email</x:v>
      </x:c>
    </x:row>
    <x:row r="434">
      <x:c r="A434" s="16" t="n">
        <x:v>431</x:v>
      </x:c>
      <x:c r="B434" s="16" t="str">
        <x:v>Aidi Traveller</x:v>
      </x:c>
      <x:c r="C434" s="16" t="str"/>
      <x:c r="D434" s="16" t="str"/>
      <x:c r="E434" s="16" t="str">
        <x:v>* myContacts</x:v>
      </x:c>
      <x:c r="F434" s="16" t="str">
        <x:v>0145148995 | +60145148995</x:v>
      </x:c>
      <x:c r="G434" s="16" t="str">
        <x:v>+60145148995 | +60145148995</x:v>
      </x:c>
      <x:c r="H434" s="16" t="str">
        <x:v>Excluded</x:v>
      </x:c>
      <x:c r="I434" s="16" t="str">
        <x:v>Missing email</x:v>
      </x:c>
    </x:row>
    <x:row r="435">
      <x:c r="A435" s="16" t="n">
        <x:v>432</x:v>
      </x:c>
      <x:c r="B435" s="16" t="str">
        <x:v>Aidil Adham Azhan</x:v>
      </x:c>
      <x:c r="C435" s="16" t="str"/>
      <x:c r="D435" s="16" t="str"/>
      <x:c r="E435" s="16" t="str">
        <x:v>* myContacts</x:v>
      </x:c>
      <x:c r="F435" s="16" t="str">
        <x:v>+60145031566</x:v>
      </x:c>
      <x:c r="G435" s="16" t="str">
        <x:v>+60145031566</x:v>
      </x:c>
      <x:c r="H435" s="16" t="str">
        <x:v>Excluded</x:v>
      </x:c>
      <x:c r="I435" s="16" t="str">
        <x:v>Missing email</x:v>
      </x:c>
    </x:row>
    <x:row r="436">
      <x:c r="A436" s="16" t="n">
        <x:v>433</x:v>
      </x:c>
      <x:c r="B436" s="16" t="str">
        <x:v>Aidil Ashraf Kru</x:v>
      </x:c>
      <x:c r="C436" s="16" t="str"/>
      <x:c r="D436" s="16" t="str"/>
      <x:c r="E436" s="16" t="str">
        <x:v>* myContacts</x:v>
      </x:c>
      <x:c r="F436" s="16" t="str">
        <x:v>+60168282026</x:v>
      </x:c>
      <x:c r="G436" s="16" t="str">
        <x:v>+60168282026</x:v>
      </x:c>
      <x:c r="H436" s="16" t="str">
        <x:v>Excluded</x:v>
      </x:c>
      <x:c r="I436" s="16" t="str">
        <x:v>Missing email</x:v>
      </x:c>
    </x:row>
    <x:row r="437">
      <x:c r="A437" s="16" t="n">
        <x:v>434</x:v>
      </x:c>
      <x:c r="B437" s="16" t="str">
        <x:v>Aidil Iffat</x:v>
      </x:c>
      <x:c r="C437" s="16" t="str"/>
      <x:c r="D437" s="16" t="str"/>
      <x:c r="E437" s="16" t="str">
        <x:v>* myContacts</x:v>
      </x:c>
      <x:c r="F437" s="16" t="str">
        <x:v>+60195337644</x:v>
      </x:c>
      <x:c r="G437" s="16" t="str">
        <x:v>+60195337644</x:v>
      </x:c>
      <x:c r="H437" s="16" t="str">
        <x:v>Excluded</x:v>
      </x:c>
      <x:c r="I437" s="16" t="str">
        <x:v>Missing email</x:v>
      </x:c>
    </x:row>
    <x:row r="438">
      <x:c r="A438" s="16" t="n">
        <x:v>435</x:v>
      </x:c>
      <x:c r="B438" s="16" t="str">
        <x:v>Aie Garage</x:v>
      </x:c>
      <x:c r="C438" s="16" t="str"/>
      <x:c r="D438" s="16" t="str"/>
      <x:c r="E438" s="16" t="str">
        <x:v>* myContacts</x:v>
      </x:c>
      <x:c r="F438" s="16" t="str">
        <x:v>+60192873111</x:v>
      </x:c>
      <x:c r="G438" s="16" t="str">
        <x:v>+60192873111</x:v>
      </x:c>
      <x:c r="H438" s="16" t="str">
        <x:v>Excluded</x:v>
      </x:c>
      <x:c r="I438" s="16" t="str">
        <x:v>Missing email</x:v>
      </x:c>
    </x:row>
    <x:row r="439">
      <x:c r="A439" s="16" t="n">
        <x:v>436</x:v>
      </x:c>
      <x:c r="B439" s="16" t="str">
        <x:v>Aien Didie</x:v>
      </x:c>
      <x:c r="C439" s="16" t="str"/>
      <x:c r="D439" s="16" t="str"/>
      <x:c r="E439" s="16" t="str">
        <x:v>* myContacts</x:v>
      </x:c>
      <x:c r="F439" s="16" t="str">
        <x:v>+60142293941</x:v>
      </x:c>
      <x:c r="G439" s="16" t="str">
        <x:v>+60142293941</x:v>
      </x:c>
      <x:c r="H439" s="16" t="str">
        <x:v>Excluded</x:v>
      </x:c>
      <x:c r="I439" s="16" t="str">
        <x:v>Missing email</x:v>
      </x:c>
    </x:row>
    <x:row r="440">
      <x:c r="A440" s="16" t="n">
        <x:v>437</x:v>
      </x:c>
      <x:c r="B440" s="16" t="str">
        <x:v>Aienn Latifi</x:v>
      </x:c>
      <x:c r="C440" s="16" t="str"/>
      <x:c r="D440" s="16" t="str"/>
      <x:c r="E440" s="16" t="str">
        <x:v>* myContacts</x:v>
      </x:c>
      <x:c r="F440" s="16" t="str">
        <x:v>+60172944382</x:v>
      </x:c>
      <x:c r="G440" s="16" t="str">
        <x:v>+60172944382</x:v>
      </x:c>
      <x:c r="H440" s="16" t="str">
        <x:v>Excluded</x:v>
      </x:c>
      <x:c r="I440" s="16" t="str">
        <x:v>Missing email</x:v>
      </x:c>
    </x:row>
    <x:row r="441">
      <x:c r="A441" s="16" t="n">
        <x:v>438</x:v>
      </x:c>
      <x:c r="B441" s="16" t="str">
        <x:v>Aienora MiEn</x:v>
      </x:c>
      <x:c r="C441" s="16" t="str"/>
      <x:c r="D441" s="16" t="str"/>
      <x:c r="E441" s="16" t="str">
        <x:v>* myContacts</x:v>
      </x:c>
      <x:c r="F441" s="16" t="str">
        <x:v>+60163842213</x:v>
      </x:c>
      <x:c r="G441" s="16" t="str">
        <x:v>+60163842213</x:v>
      </x:c>
      <x:c r="H441" s="16" t="str">
        <x:v>Excluded</x:v>
      </x:c>
      <x:c r="I441" s="16" t="str">
        <x:v>Missing email</x:v>
      </x:c>
    </x:row>
    <x:row r="442">
      <x:c r="A442" s="16" t="n">
        <x:v>439</x:v>
      </x:c>
      <x:c r="B442" s="16" t="str">
        <x:v>Aierya Fara</x:v>
      </x:c>
      <x:c r="C442" s="16" t="str"/>
      <x:c r="D442" s="16" t="str"/>
      <x:c r="E442" s="16" t="str">
        <x:v>* myContacts</x:v>
      </x:c>
      <x:c r="F442" s="16" t="str">
        <x:v>+60142039042</x:v>
      </x:c>
      <x:c r="G442" s="16" t="str">
        <x:v>+60142039042</x:v>
      </x:c>
      <x:c r="H442" s="16" t="str">
        <x:v>Excluded</x:v>
      </x:c>
      <x:c r="I442" s="16" t="str">
        <x:v>Missing email</x:v>
      </x:c>
    </x:row>
    <x:row r="443">
      <x:c r="A443" s="16" t="n">
        <x:v>440</x:v>
      </x:c>
      <x:c r="B443" s="16" t="str">
        <x:v>Aiey Moiye</x:v>
      </x:c>
      <x:c r="C443" s="16" t="str"/>
      <x:c r="D443" s="16" t="str"/>
      <x:c r="E443" s="16" t="str">
        <x:v>* myContacts</x:v>
      </x:c>
      <x:c r="F443" s="16" t="str">
        <x:v>+601121812329</x:v>
      </x:c>
      <x:c r="G443" s="16" t="str">
        <x:v>+601121812329</x:v>
      </x:c>
      <x:c r="H443" s="16" t="str">
        <x:v>Excluded</x:v>
      </x:c>
      <x:c r="I443" s="16" t="str">
        <x:v>Missing email</x:v>
      </x:c>
    </x:row>
    <x:row r="444">
      <x:c r="A444" s="16" t="n">
        <x:v>441</x:v>
      </x:c>
      <x:c r="B444" s="16" t="str">
        <x:v>Aieyta Ayob</x:v>
      </x:c>
      <x:c r="C444" s="16" t="str"/>
      <x:c r="D444" s="16" t="str"/>
      <x:c r="E444" s="16" t="str">
        <x:v>* myContacts</x:v>
      </x:c>
      <x:c r="F444" s="16" t="str">
        <x:v>+60139648971</x:v>
      </x:c>
      <x:c r="G444" s="16" t="str">
        <x:v>+60139648971</x:v>
      </x:c>
      <x:c r="H444" s="16" t="str">
        <x:v>Excluded</x:v>
      </x:c>
      <x:c r="I444" s="16" t="str">
        <x:v>Missing email</x:v>
      </x:c>
    </x:row>
    <x:row r="445">
      <x:c r="A445" s="16" t="n">
        <x:v>442</x:v>
      </x:c>
      <x:c r="B445" s="16" t="str">
        <x:v>Aifa Manufacturing</x:v>
      </x:c>
      <x:c r="C445" s="16" t="str"/>
      <x:c r="D445" s="16" t="str"/>
      <x:c r="E445" s="16" t="str">
        <x:v>* myContacts</x:v>
      </x:c>
      <x:c r="F445" s="16" t="str">
        <x:v>+60360917757</x:v>
      </x:c>
      <x:c r="G445" s="16" t="str">
        <x:v>+60360917757</x:v>
      </x:c>
      <x:c r="H445" s="16" t="str">
        <x:v>Excluded</x:v>
      </x:c>
      <x:c r="I445" s="16" t="str">
        <x:v>Missing email</x:v>
      </x:c>
    </x:row>
    <x:row r="446">
      <x:c r="A446" s="16" t="n">
        <x:v>443</x:v>
      </x:c>
      <x:c r="B446" s="16" t="str">
        <x:v>Aikal Sa</x:v>
      </x:c>
      <x:c r="C446" s="16" t="str"/>
      <x:c r="D446" s="16" t="str"/>
      <x:c r="E446" s="16" t="str">
        <x:v>* myContacts</x:v>
      </x:c>
      <x:c r="F446" s="16" t="str">
        <x:v>+60145870199</x:v>
      </x:c>
      <x:c r="G446" s="16" t="str">
        <x:v>+60145870199</x:v>
      </x:c>
      <x:c r="H446" s="16" t="str">
        <x:v>Excluded</x:v>
      </x:c>
      <x:c r="I446" s="16" t="str">
        <x:v>Missing email</x:v>
      </x:c>
    </x:row>
    <x:row r="447">
      <x:c r="A447" s="16" t="n">
        <x:v>444</x:v>
      </x:c>
      <x:c r="B447" s="16" t="str">
        <x:v>Aila Hashim</x:v>
      </x:c>
      <x:c r="C447" s="16" t="str"/>
      <x:c r="D447" s="16" t="str"/>
      <x:c r="E447" s="16" t="str">
        <x:v>* myContacts</x:v>
      </x:c>
      <x:c r="F447" s="16" t="str">
        <x:v>+60127417684</x:v>
      </x:c>
      <x:c r="G447" s="16" t="str">
        <x:v>+60127417684</x:v>
      </x:c>
      <x:c r="H447" s="16" t="str">
        <x:v>Excluded</x:v>
      </x:c>
      <x:c r="I447" s="16" t="str">
        <x:v>Missing email</x:v>
      </x:c>
    </x:row>
    <x:row r="448">
      <x:c r="A448" s="16" t="n">
        <x:v>445</x:v>
      </x:c>
      <x:c r="B448" s="16" t="str">
        <x:v>Aiman Adikku</x:v>
      </x:c>
      <x:c r="C448" s="16" t="str"/>
      <x:c r="D448" s="16" t="str"/>
      <x:c r="E448" s="16" t="str">
        <x:v>* myContacts</x:v>
      </x:c>
      <x:c r="F448" s="16" t="str">
        <x:v>+60 11-5757 2440 | +601157572440</x:v>
      </x:c>
      <x:c r="G448" s="16" t="str">
        <x:v>+601157572440 | +601157572440</x:v>
      </x:c>
      <x:c r="H448" s="16" t="str">
        <x:v>Excluded</x:v>
      </x:c>
      <x:c r="I448" s="16" t="str">
        <x:v>Missing email</x:v>
      </x:c>
    </x:row>
    <x:row r="449">
      <x:c r="A449" s="16" t="n">
        <x:v>446</x:v>
      </x:c>
      <x:c r="B449" s="16" t="str">
        <x:v>Aiman Adli</x:v>
      </x:c>
      <x:c r="C449" s="16" t="str"/>
      <x:c r="D449" s="16" t="str"/>
      <x:c r="E449" s="16" t="str">
        <x:v>* myContacts</x:v>
      </x:c>
      <x:c r="F449" s="16" t="str">
        <x:v>+60145099488</x:v>
      </x:c>
      <x:c r="G449" s="16" t="str">
        <x:v>+60145099488</x:v>
      </x:c>
      <x:c r="H449" s="16" t="str">
        <x:v>Excluded</x:v>
      </x:c>
      <x:c r="I449" s="16" t="str">
        <x:v>Missing email</x:v>
      </x:c>
    </x:row>
    <x:row r="450">
      <x:c r="A450" s="16" t="n">
        <x:v>447</x:v>
      </x:c>
      <x:c r="B450" s="16" t="str">
        <x:v>Aiman Affendi II</x:v>
      </x:c>
      <x:c r="C450" s="16" t="str"/>
      <x:c r="D450" s="16" t="str"/>
      <x:c r="E450" s="16" t="str">
        <x:v>* myContacts</x:v>
      </x:c>
      <x:c r="F450" s="16" t="str">
        <x:v>+60199037368</x:v>
      </x:c>
      <x:c r="G450" s="16" t="str">
        <x:v>+60199037368</x:v>
      </x:c>
      <x:c r="H450" s="16" t="str">
        <x:v>Excluded</x:v>
      </x:c>
      <x:c r="I450" s="16" t="str">
        <x:v>Missing email</x:v>
      </x:c>
    </x:row>
    <x:row r="451">
      <x:c r="A451" s="16" t="n">
        <x:v>448</x:v>
      </x:c>
      <x:c r="B451" s="16" t="str">
        <x:v>Aiman Bank Rakyat Kuala Selangor</x:v>
      </x:c>
      <x:c r="C451" s="16" t="str"/>
      <x:c r="D451" s="16" t="str"/>
      <x:c r="E451" s="16" t="str">
        <x:v>* myContacts</x:v>
      </x:c>
      <x:c r="F451" s="16" t="str">
        <x:v>+60 18-913 1829 | +60189131829</x:v>
      </x:c>
      <x:c r="G451" s="16" t="str">
        <x:v>+60189131829 | +60189131829</x:v>
      </x:c>
      <x:c r="H451" s="16" t="str">
        <x:v>Excluded</x:v>
      </x:c>
      <x:c r="I451" s="16" t="str">
        <x:v>Missing email</x:v>
      </x:c>
    </x:row>
    <x:row r="452">
      <x:c r="A452" s="16" t="n">
        <x:v>449</x:v>
      </x:c>
      <x:c r="B452" s="16" t="str">
        <x:v>Aiman Cempoiy</x:v>
      </x:c>
      <x:c r="C452" s="16" t="str"/>
      <x:c r="D452" s="16" t="str"/>
      <x:c r="E452" s="16" t="str">
        <x:v>* myContacts</x:v>
      </x:c>
      <x:c r="F452" s="16" t="str">
        <x:v>+60145245388</x:v>
      </x:c>
      <x:c r="G452" s="16" t="str">
        <x:v>+60145245388</x:v>
      </x:c>
      <x:c r="H452" s="16" t="str">
        <x:v>Excluded</x:v>
      </x:c>
      <x:c r="I452" s="16" t="str">
        <x:v>Missing email</x:v>
      </x:c>
    </x:row>
    <x:row r="453">
      <x:c r="A453" s="16" t="n">
        <x:v>450</x:v>
      </x:c>
      <x:c r="B453" s="16" t="str">
        <x:v>Aiman Cikgu Copywriting</x:v>
      </x:c>
      <x:c r="C453" s="16" t="str"/>
      <x:c r="D453" s="16" t="str"/>
      <x:c r="E453" s="16" t="str">
        <x:v>* myContacts</x:v>
      </x:c>
      <x:c r="F453" s="16" t="str">
        <x:v>+60 19-910 4986 | +60199104986</x:v>
      </x:c>
      <x:c r="G453" s="16" t="str">
        <x:v>+60199104986 | +60199104986</x:v>
      </x:c>
      <x:c r="H453" s="16" t="str">
        <x:v>Excluded</x:v>
      </x:c>
      <x:c r="I453" s="16" t="str">
        <x:v>Missing email</x:v>
      </x:c>
    </x:row>
    <x:row r="454">
      <x:c r="A454" s="16" t="n">
        <x:v>451</x:v>
      </x:c>
      <x:c r="B454" s="16" t="str">
        <x:v>Aiman Eman</x:v>
      </x:c>
      <x:c r="C454" s="16" t="str"/>
      <x:c r="D454" s="16" t="str"/>
      <x:c r="E454" s="16" t="str">
        <x:v>* myContacts</x:v>
      </x:c>
      <x:c r="F454" s="16" t="str">
        <x:v>+601111756917</x:v>
      </x:c>
      <x:c r="G454" s="16" t="str">
        <x:v>+601111756917</x:v>
      </x:c>
      <x:c r="H454" s="16" t="str">
        <x:v>Excluded</x:v>
      </x:c>
      <x:c r="I454" s="16" t="str">
        <x:v>Missing email</x:v>
      </x:c>
    </x:row>
    <x:row r="455">
      <x:c r="A455" s="16" t="n">
        <x:v>452</x:v>
      </x:c>
      <x:c r="B455" s="16" t="str">
        <x:v>Aiman Hanis</x:v>
      </x:c>
      <x:c r="C455" s="16" t="str"/>
      <x:c r="D455" s="16" t="str"/>
      <x:c r="E455" s="16" t="str">
        <x:v>* myContacts</x:v>
      </x:c>
      <x:c r="F455" s="16" t="str">
        <x:v>+60 17-697 8950 | +60176978950</x:v>
      </x:c>
      <x:c r="G455" s="16" t="str">
        <x:v>+60176978950 | +60176978950</x:v>
      </x:c>
      <x:c r="H455" s="16" t="str">
        <x:v>Excluded</x:v>
      </x:c>
      <x:c r="I455" s="16" t="str">
        <x:v>Missing email</x:v>
      </x:c>
    </x:row>
    <x:row r="456">
      <x:c r="A456" s="16" t="n">
        <x:v>453</x:v>
      </x:c>
      <x:c r="B456" s="16" t="str">
        <x:v>Aiman Mazlan</x:v>
      </x:c>
      <x:c r="C456" s="16" t="str"/>
      <x:c r="D456" s="16" t="str"/>
      <x:c r="E456" s="16" t="str">
        <x:v>* myContacts</x:v>
      </x:c>
      <x:c r="F456" s="16" t="str">
        <x:v>+60134713154</x:v>
      </x:c>
      <x:c r="G456" s="16" t="str">
        <x:v>+60134713154</x:v>
      </x:c>
      <x:c r="H456" s="16" t="str">
        <x:v>Excluded</x:v>
      </x:c>
      <x:c r="I456" s="16" t="str">
        <x:v>Missing email</x:v>
      </x:c>
    </x:row>
    <x:row r="457">
      <x:c r="A457" s="16" t="n">
        <x:v>454</x:v>
      </x:c>
      <x:c r="B457" s="16" t="str">
        <x:v>Aiman Mohammad</x:v>
      </x:c>
      <x:c r="C457" s="16" t="str"/>
      <x:c r="D457" s="16" t="str"/>
      <x:c r="E457" s="16" t="str">
        <x:v>* myContacts</x:v>
      </x:c>
      <x:c r="F457" s="16" t="str">
        <x:v>+601112971382</x:v>
      </x:c>
      <x:c r="G457" s="16" t="str">
        <x:v>+601112971382</x:v>
      </x:c>
      <x:c r="H457" s="16" t="str">
        <x:v>Excluded</x:v>
      </x:c>
      <x:c r="I457" s="16" t="str">
        <x:v>Missing email</x:v>
      </x:c>
    </x:row>
    <x:row r="458">
      <x:c r="A458" s="16" t="n">
        <x:v>455</x:v>
      </x:c>
      <x:c r="B458" s="16" t="str">
        <x:v>Aiman Mohd Zan</x:v>
      </x:c>
      <x:c r="C458" s="16" t="str"/>
      <x:c r="D458" s="16" t="str"/>
      <x:c r="E458" s="16" t="str">
        <x:v>* myContacts</x:v>
      </x:c>
      <x:c r="F458" s="16" t="str">
        <x:v>+60137463288</x:v>
      </x:c>
      <x:c r="G458" s="16" t="str">
        <x:v>+60137463288</x:v>
      </x:c>
      <x:c r="H458" s="16" t="str">
        <x:v>Excluded</x:v>
      </x:c>
      <x:c r="I458" s="16" t="str">
        <x:v>Missing email</x:v>
      </x:c>
    </x:row>
    <x:row r="459">
      <x:c r="A459" s="16" t="n">
        <x:v>456</x:v>
      </x:c>
      <x:c r="B459" s="16" t="str">
        <x:v>AIMAN Muthu</x:v>
      </x:c>
      <x:c r="C459" s="16" t="str"/>
      <x:c r="D459" s="16" t="str"/>
      <x:c r="E459" s="16" t="str">
        <x:v>* myContacts</x:v>
      </x:c>
      <x:c r="F459" s="16" t="str">
        <x:v>+60179936659</x:v>
      </x:c>
      <x:c r="G459" s="16" t="str">
        <x:v>+60179936659</x:v>
      </x:c>
      <x:c r="H459" s="16" t="str">
        <x:v>Excluded</x:v>
      </x:c>
      <x:c r="I459" s="16" t="str">
        <x:v>Missing email</x:v>
      </x:c>
    </x:row>
    <x:row r="460">
      <x:c r="A460" s="16" t="n">
        <x:v>457</x:v>
      </x:c>
      <x:c r="B460" s="16" t="str">
        <x:v>Aiman Nasram</x:v>
      </x:c>
      <x:c r="C460" s="16" t="str"/>
      <x:c r="D460" s="16" t="str"/>
      <x:c r="E460" s="16" t="str">
        <x:v>* myContacts</x:v>
      </x:c>
      <x:c r="F460" s="16" t="str">
        <x:v>+60176325916</x:v>
      </x:c>
      <x:c r="G460" s="16" t="str">
        <x:v>+60176325916</x:v>
      </x:c>
      <x:c r="H460" s="16" t="str">
        <x:v>Excluded</x:v>
      </x:c>
      <x:c r="I460" s="16" t="str">
        <x:v>Missing email</x:v>
      </x:c>
    </x:row>
    <x:row r="461">
      <x:c r="A461" s="16" t="n">
        <x:v>458</x:v>
      </x:c>
      <x:c r="B461" s="16" t="str">
        <x:v>Aiman Owner</x:v>
      </x:c>
      <x:c r="C461" s="16" t="str"/>
      <x:c r="D461" s="16" t="str"/>
      <x:c r="E461" s="16" t="str">
        <x:v>* myContacts</x:v>
      </x:c>
      <x:c r="F461" s="16" t="str">
        <x:v>+60199203349</x:v>
      </x:c>
      <x:c r="G461" s="16" t="str">
        <x:v>+60199203349</x:v>
      </x:c>
      <x:c r="H461" s="16" t="str">
        <x:v>Excluded</x:v>
      </x:c>
      <x:c r="I461" s="16" t="str">
        <x:v>Missing email</x:v>
      </x:c>
    </x:row>
    <x:row r="462">
      <x:c r="A462" s="16" t="n">
        <x:v>459</x:v>
      </x:c>
      <x:c r="B462" s="16" t="str">
        <x:v>Aiman Pancaran</x:v>
      </x:c>
      <x:c r="C462" s="16" t="str"/>
      <x:c r="D462" s="16" t="str"/>
      <x:c r="E462" s="16" t="str">
        <x:v>* myContacts</x:v>
      </x:c>
      <x:c r="F462" s="16" t="str">
        <x:v>+601129494701</x:v>
      </x:c>
      <x:c r="G462" s="16" t="str">
        <x:v>+601129494701</x:v>
      </x:c>
      <x:c r="H462" s="16" t="str">
        <x:v>Excluded</x:v>
      </x:c>
      <x:c r="I462" s="16" t="str">
        <x:v>Missing email</x:v>
      </x:c>
    </x:row>
    <x:row r="463">
      <x:c r="A463" s="16" t="n">
        <x:v>460</x:v>
      </x:c>
      <x:c r="B463" s="16" t="str">
        <x:v>Aiman Yunus</x:v>
      </x:c>
      <x:c r="C463" s="16" t="str"/>
      <x:c r="D463" s="16" t="str"/>
      <x:c r="E463" s="16" t="str">
        <x:v>* myContacts</x:v>
      </x:c>
      <x:c r="F463" s="16" t="str">
        <x:v>+60173135632</x:v>
      </x:c>
      <x:c r="G463" s="16" t="str">
        <x:v>+60173135632</x:v>
      </x:c>
      <x:c r="H463" s="16" t="str">
        <x:v>Excluded</x:v>
      </x:c>
      <x:c r="I463" s="16" t="str">
        <x:v>Missing email</x:v>
      </x:c>
    </x:row>
    <x:row r="464">
      <x:c r="A464" s="16" t="n">
        <x:v>461</x:v>
      </x:c>
      <x:c r="B464" s="16" t="str">
        <x:v>Aimeen Nurashid</x:v>
      </x:c>
      <x:c r="C464" s="16" t="str"/>
      <x:c r="D464" s="16" t="str"/>
      <x:c r="E464" s="16" t="str">
        <x:v>* myContacts</x:v>
      </x:c>
      <x:c r="F464" s="16" t="str">
        <x:v>+601137762214</x:v>
      </x:c>
      <x:c r="G464" s="16" t="str">
        <x:v>+601137762214</x:v>
      </x:c>
      <x:c r="H464" s="16" t="str">
        <x:v>Excluded</x:v>
      </x:c>
      <x:c r="I464" s="16" t="str">
        <x:v>Missing email</x:v>
      </x:c>
    </x:row>
    <x:row r="465">
      <x:c r="A465" s="16" t="n">
        <x:v>462</x:v>
      </x:c>
      <x:c r="B465" s="16" t="str">
        <x:v>Aimi Eusahawan Coordinator</x:v>
      </x:c>
      <x:c r="C465" s="16" t="str"/>
      <x:c r="D465" s="16" t="str"/>
      <x:c r="E465" s="16" t="str">
        <x:v>* myContacts</x:v>
      </x:c>
      <x:c r="F465" s="16" t="str">
        <x:v>+601123445327</x:v>
      </x:c>
      <x:c r="G465" s="16" t="str">
        <x:v>+601123445327</x:v>
      </x:c>
      <x:c r="H465" s="16" t="str">
        <x:v>Excluded</x:v>
      </x:c>
      <x:c r="I465" s="16" t="str">
        <x:v>Missing email</x:v>
      </x:c>
    </x:row>
    <x:row r="466">
      <x:c r="A466" s="16" t="n">
        <x:v>463</x:v>
      </x:c>
      <x:c r="B466" s="16" t="str">
        <x:v>Ain Aien</x:v>
      </x:c>
      <x:c r="C466" s="16" t="str"/>
      <x:c r="D466" s="16" t="str"/>
      <x:c r="E466" s="16" t="str">
        <x:v>* myContacts</x:v>
      </x:c>
      <x:c r="F466" s="16" t="str">
        <x:v>+60179095459</x:v>
      </x:c>
      <x:c r="G466" s="16" t="str">
        <x:v>+60179095459</x:v>
      </x:c>
      <x:c r="H466" s="16" t="str">
        <x:v>Excluded</x:v>
      </x:c>
      <x:c r="I466" s="16" t="str">
        <x:v>Missing email</x:v>
      </x:c>
    </x:row>
    <x:row r="467">
      <x:c r="A467" s="16" t="n">
        <x:v>464</x:v>
      </x:c>
      <x:c r="B467" s="16" t="str">
        <x:v>Ain Aziz</x:v>
      </x:c>
      <x:c r="C467" s="16" t="str"/>
      <x:c r="D467" s="16" t="str"/>
      <x:c r="E467" s="16" t="str">
        <x:v>* myContacts</x:v>
      </x:c>
      <x:c r="F467" s="16" t="str">
        <x:v>+60122011676</x:v>
      </x:c>
      <x:c r="G467" s="16" t="str">
        <x:v>+60122011676</x:v>
      </x:c>
      <x:c r="H467" s="16" t="str">
        <x:v>Excluded</x:v>
      </x:c>
      <x:c r="I467" s="16" t="str">
        <x:v>Missing email</x:v>
      </x:c>
    </x:row>
    <x:row r="468">
      <x:c r="A468" s="16" t="n">
        <x:v>465</x:v>
      </x:c>
      <x:c r="B468" s="16" t="str">
        <x:v>Ain Basirul</x:v>
      </x:c>
      <x:c r="C468" s="16" t="str"/>
      <x:c r="D468" s="16" t="str"/>
      <x:c r="E468" s="16" t="str">
        <x:v>* myContacts</x:v>
      </x:c>
      <x:c r="F468" s="16" t="str">
        <x:v>+60142191250</x:v>
      </x:c>
      <x:c r="G468" s="16" t="str">
        <x:v>+60142191250</x:v>
      </x:c>
      <x:c r="H468" s="16" t="str">
        <x:v>Excluded</x:v>
      </x:c>
      <x:c r="I468" s="16" t="str">
        <x:v>Missing email</x:v>
      </x:c>
    </x:row>
    <x:row r="469">
      <x:c r="A469" s="16" t="n">
        <x:v>466</x:v>
      </x:c>
      <x:c r="B469" s="16" t="str">
        <x:v>Ain Nur Mardhiah</x:v>
      </x:c>
      <x:c r="C469" s="16" t="str"/>
      <x:c r="D469" s="16" t="str"/>
      <x:c r="E469" s="16" t="str">
        <x:v>* myContacts</x:v>
      </x:c>
      <x:c r="F469" s="16" t="str">
        <x:v>+60196638891</x:v>
      </x:c>
      <x:c r="G469" s="16" t="str">
        <x:v>+60196638891</x:v>
      </x:c>
      <x:c r="H469" s="16" t="str">
        <x:v>Excluded</x:v>
      </x:c>
      <x:c r="I469" s="16" t="str">
        <x:v>Missing email</x:v>
      </x:c>
    </x:row>
    <x:row r="470">
      <x:c r="A470" s="16" t="n">
        <x:v>467</x:v>
      </x:c>
      <x:c r="B470" s="16" t="str">
        <x:v>Ain staff zainuddin agp agent</x:v>
      </x:c>
      <x:c r="C470" s="16" t="str"/>
      <x:c r="D470" s="16" t="str"/>
      <x:c r="E470" s="16" t="str">
        <x:v>* myContacts</x:v>
      </x:c>
      <x:c r="F470" s="16" t="str">
        <x:v>+60 19-921 4898 | +60199214898</x:v>
      </x:c>
      <x:c r="G470" s="16" t="str">
        <x:v>+60199214898 | +60199214898</x:v>
      </x:c>
      <x:c r="H470" s="16" t="str">
        <x:v>Excluded</x:v>
      </x:c>
      <x:c r="I470" s="16" t="str">
        <x:v>Missing email</x:v>
      </x:c>
    </x:row>
    <x:row r="471">
      <x:c r="A471" s="16" t="n">
        <x:v>468</x:v>
      </x:c>
      <x:c r="B471" s="16" t="str">
        <x:v>Ain Sulaiman</x:v>
      </x:c>
      <x:c r="C471" s="16" t="str"/>
      <x:c r="D471" s="16" t="str"/>
      <x:c r="E471" s="16" t="str">
        <x:v>* myContacts</x:v>
      </x:c>
      <x:c r="F471" s="16" t="str">
        <x:v>+60193465419</x:v>
      </x:c>
      <x:c r="G471" s="16" t="str">
        <x:v>+60193465419</x:v>
      </x:c>
      <x:c r="H471" s="16" t="str">
        <x:v>Excluded</x:v>
      </x:c>
      <x:c r="I471" s="16" t="str">
        <x:v>Missing email</x:v>
      </x:c>
    </x:row>
    <x:row r="472">
      <x:c r="A472" s="16" t="n">
        <x:v>469</x:v>
      </x:c>
      <x:c r="B472" s="16" t="str">
        <x:v>Ain Zuria</x:v>
      </x:c>
      <x:c r="C472" s="16" t="str"/>
      <x:c r="D472" s="16" t="str"/>
      <x:c r="E472" s="16" t="str">
        <x:v>* myContacts</x:v>
      </x:c>
      <x:c r="F472" s="16" t="str">
        <x:v>+601113389719</x:v>
      </x:c>
      <x:c r="G472" s="16" t="str">
        <x:v>+601113389719</x:v>
      </x:c>
      <x:c r="H472" s="16" t="str">
        <x:v>Excluded</x:v>
      </x:c>
      <x:c r="I472" s="16" t="str">
        <x:v>Missing email</x:v>
      </x:c>
    </x:row>
    <x:row r="473">
      <x:c r="A473" s="16" t="n">
        <x:v>470</x:v>
      </x:c>
      <x:c r="B473" s="16" t="str">
        <x:v>Aina Adieq</x:v>
      </x:c>
      <x:c r="C473" s="16" t="str"/>
      <x:c r="D473" s="16" t="str"/>
      <x:c r="E473" s="16" t="str">
        <x:v>* myContacts</x:v>
      </x:c>
      <x:c r="F473" s="16" t="str">
        <x:v>+60173533140</x:v>
      </x:c>
      <x:c r="G473" s="16" t="str">
        <x:v>+60173533140</x:v>
      </x:c>
      <x:c r="H473" s="16" t="str">
        <x:v>Excluded</x:v>
      </x:c>
      <x:c r="I473" s="16" t="str">
        <x:v>Missing email</x:v>
      </x:c>
    </x:row>
    <x:row r="474">
      <x:c r="A474" s="16" t="n">
        <x:v>471</x:v>
      </x:c>
      <x:c r="B474" s="16" t="str">
        <x:v>Aina G-are</x:v>
      </x:c>
      <x:c r="C474" s="16" t="str"/>
      <x:c r="D474" s="16" t="str"/>
      <x:c r="E474" s="16" t="str">
        <x:v>* myContacts</x:v>
      </x:c>
      <x:c r="F474" s="16" t="str">
        <x:v>+60195237623</x:v>
      </x:c>
      <x:c r="G474" s="16" t="str">
        <x:v>+60195237623</x:v>
      </x:c>
      <x:c r="H474" s="16" t="str">
        <x:v>Excluded</x:v>
      </x:c>
      <x:c r="I474" s="16" t="str">
        <x:v>Missing email</x:v>
      </x:c>
    </x:row>
    <x:row r="475">
      <x:c r="A475" s="16" t="n">
        <x:v>472</x:v>
      </x:c>
      <x:c r="B475" s="16" t="str">
        <x:v>Aina Spire Richwork</x:v>
      </x:c>
      <x:c r="C475" s="16" t="str"/>
      <x:c r="D475" s="16" t="str"/>
      <x:c r="E475" s="16" t="str">
        <x:v>* myContacts</x:v>
      </x:c>
      <x:c r="F475" s="16" t="str">
        <x:v>+60122696492</x:v>
      </x:c>
      <x:c r="G475" s="16" t="str">
        <x:v>+60122696492</x:v>
      </x:c>
      <x:c r="H475" s="16" t="str">
        <x:v>Excluded</x:v>
      </x:c>
      <x:c r="I475" s="16" t="str">
        <x:v>Missing email</x:v>
      </x:c>
    </x:row>
    <x:row r="476">
      <x:c r="A476" s="16" t="n">
        <x:v>473</x:v>
      </x:c>
      <x:c r="B476" s="16" t="str">
        <x:v>Aina Syakirah Kakak</x:v>
      </x:c>
      <x:c r="C476" s="16" t="str"/>
      <x:c r="D476" s="16" t="str"/>
      <x:c r="E476" s="16" t="str">
        <x:v>* myContacts</x:v>
      </x:c>
      <x:c r="F476" s="16" t="str">
        <x:v>+601157912784</x:v>
      </x:c>
      <x:c r="G476" s="16" t="str">
        <x:v>+601157912784</x:v>
      </x:c>
      <x:c r="H476" s="16" t="str">
        <x:v>Excluded</x:v>
      </x:c>
      <x:c r="I476" s="16" t="str">
        <x:v>Missing email</x:v>
      </x:c>
    </x:row>
    <x:row r="477">
      <x:c r="A477" s="16" t="n">
        <x:v>474</x:v>
      </x:c>
      <x:c r="B477" s="16" t="str">
        <x:v>Ainaa Farhah</x:v>
      </x:c>
      <x:c r="C477" s="16" t="str"/>
      <x:c r="D477" s="16" t="str"/>
      <x:c r="E477" s="16" t="str">
        <x:v>* myContacts</x:v>
      </x:c>
      <x:c r="F477" s="16" t="str">
        <x:v>+60122993679</x:v>
      </x:c>
      <x:c r="G477" s="16" t="str">
        <x:v>+60122993679</x:v>
      </x:c>
      <x:c r="H477" s="16" t="str">
        <x:v>Excluded</x:v>
      </x:c>
      <x:c r="I477" s="16" t="str">
        <x:v>Missing email</x:v>
      </x:c>
    </x:row>
    <x:row r="478">
      <x:c r="A478" s="16" t="n">
        <x:v>475</x:v>
      </x:c>
      <x:c r="B478" s="16" t="str">
        <x:v>Aini Antz</x:v>
      </x:c>
      <x:c r="C478" s="16" t="str"/>
      <x:c r="D478" s="16" t="str"/>
      <x:c r="E478" s="16" t="str">
        <x:v>* myContacts</x:v>
      </x:c>
      <x:c r="F478" s="16" t="str">
        <x:v>+601126911533</x:v>
      </x:c>
      <x:c r="G478" s="16" t="str">
        <x:v>+601126911533</x:v>
      </x:c>
      <x:c r="H478" s="16" t="str">
        <x:v>Excluded</x:v>
      </x:c>
      <x:c r="I478" s="16" t="str">
        <x:v>Missing email</x:v>
      </x:c>
    </x:row>
    <x:row r="479">
      <x:c r="A479" s="16" t="n">
        <x:v>476</x:v>
      </x:c>
      <x:c r="B479" s="16" t="str">
        <x:v>Aini Nlp Seremban</x:v>
      </x:c>
      <x:c r="C479" s="16" t="str"/>
      <x:c r="D479" s="16" t="str"/>
      <x:c r="E479" s="16" t="str">
        <x:v>* myContacts</x:v>
      </x:c>
      <x:c r="F479" s="16" t="str">
        <x:v>0126791447 | +60126791447</x:v>
      </x:c>
      <x:c r="G479" s="16" t="str">
        <x:v>+60126791447 | +60126791447</x:v>
      </x:c>
      <x:c r="H479" s="16" t="str">
        <x:v>Excluded</x:v>
      </x:c>
      <x:c r="I479" s="16" t="str">
        <x:v>Missing email</x:v>
      </x:c>
    </x:row>
    <x:row r="480">
      <x:c r="A480" s="16" t="n">
        <x:v>477</x:v>
      </x:c>
      <x:c r="B480" s="16" t="str">
        <x:v>Ainie Azizan</x:v>
      </x:c>
      <x:c r="C480" s="16" t="str"/>
      <x:c r="D480" s="16" t="str"/>
      <x:c r="E480" s="16" t="str">
        <x:v>* myContacts</x:v>
      </x:c>
      <x:c r="F480" s="16" t="str">
        <x:v>+601123880533</x:v>
      </x:c>
      <x:c r="G480" s="16" t="str">
        <x:v>+601123880533</x:v>
      </x:c>
      <x:c r="H480" s="16" t="str">
        <x:v>Excluded</x:v>
      </x:c>
      <x:c r="I480" s="16" t="str">
        <x:v>Missing email</x:v>
      </x:c>
    </x:row>
    <x:row r="481">
      <x:c r="A481" s="16" t="n">
        <x:v>478</x:v>
      </x:c>
      <x:c r="B481" s="16" t="str">
        <x:v>Ainika Lee</x:v>
      </x:c>
      <x:c r="C481" s="16" t="str"/>
      <x:c r="D481" s="16" t="str"/>
      <x:c r="E481" s="16" t="str">
        <x:v>* myContacts</x:v>
      </x:c>
      <x:c r="F481" s="16" t="str">
        <x:v>+60126306468</x:v>
      </x:c>
      <x:c r="G481" s="16" t="str">
        <x:v>+60126306468</x:v>
      </x:c>
      <x:c r="H481" s="16" t="str">
        <x:v>Excluded</x:v>
      </x:c>
      <x:c r="I481" s="16" t="str">
        <x:v>Missing email</x:v>
      </x:c>
    </x:row>
    <x:row r="482">
      <x:c r="A482" s="16" t="n">
        <x:v>479</x:v>
      </x:c>
      <x:c r="B482" s="16" t="str">
        <x:v>Ainil Montaj Event</x:v>
      </x:c>
      <x:c r="C482" s="16" t="str"/>
      <x:c r="D482" s="16" t="str"/>
      <x:c r="E482" s="16" t="str">
        <x:v>* myContacts</x:v>
      </x:c>
      <x:c r="F482" s="16" t="str">
        <x:v>012-390 7067 | +60123907067</x:v>
      </x:c>
      <x:c r="G482" s="16" t="str">
        <x:v>+60123907067 | +60123907067</x:v>
      </x:c>
      <x:c r="H482" s="16" t="str">
        <x:v>Excluded</x:v>
      </x:c>
      <x:c r="I482" s="16" t="str">
        <x:v>Missing email</x:v>
      </x:c>
    </x:row>
    <x:row r="483">
      <x:c r="A483" s="16" t="n">
        <x:v>480</x:v>
      </x:c>
      <x:c r="B483" s="16" t="str">
        <x:v>Ainnie Nadiera</x:v>
      </x:c>
      <x:c r="C483" s="16" t="str"/>
      <x:c r="D483" s="16" t="str"/>
      <x:c r="E483" s="16" t="str">
        <x:v>* myContacts</x:v>
      </x:c>
      <x:c r="F483" s="16" t="str">
        <x:v>+60198898260</x:v>
      </x:c>
      <x:c r="G483" s="16" t="str">
        <x:v>+60198898260</x:v>
      </x:c>
      <x:c r="H483" s="16" t="str">
        <x:v>Excluded</x:v>
      </x:c>
      <x:c r="I483" s="16" t="str">
        <x:v>Missing email</x:v>
      </x:c>
    </x:row>
    <x:row r="484">
      <x:c r="A484" s="16" t="n">
        <x:v>481</x:v>
      </x:c>
      <x:c r="B484" s="16" t="str">
        <x:v>Ainnor Mardiah Md Sani</x:v>
      </x:c>
      <x:c r="C484" s="16" t="str"/>
      <x:c r="D484" s="16" t="str"/>
      <x:c r="E484" s="16" t="str">
        <x:v>* myContacts</x:v>
      </x:c>
      <x:c r="F484" s="16" t="str">
        <x:v>+601123688029</x:v>
      </x:c>
      <x:c r="G484" s="16" t="str">
        <x:v>+601123688029</x:v>
      </x:c>
      <x:c r="H484" s="16" t="str">
        <x:v>Excluded</x:v>
      </x:c>
      <x:c r="I484" s="16" t="str">
        <x:v>Missing email</x:v>
      </x:c>
    </x:row>
    <x:row r="485">
      <x:c r="A485" s="16" t="n">
        <x:v>482</x:v>
      </x:c>
      <x:c r="B485" s="16" t="str">
        <x:v>Ainshah Yahya</x:v>
      </x:c>
      <x:c r="C485" s="16" t="str"/>
      <x:c r="D485" s="16" t="str"/>
      <x:c r="E485" s="16" t="str">
        <x:v>* myContacts</x:v>
      </x:c>
      <x:c r="F485" s="16" t="str">
        <x:v>+60195095609</x:v>
      </x:c>
      <x:c r="G485" s="16" t="str">
        <x:v>+60195095609</x:v>
      </x:c>
      <x:c r="H485" s="16" t="str">
        <x:v>Excluded</x:v>
      </x:c>
      <x:c r="I485" s="16" t="str">
        <x:v>Missing email</x:v>
      </x:c>
    </x:row>
    <x:row r="486">
      <x:c r="A486" s="16" t="n">
        <x:v>483</x:v>
      </x:c>
      <x:c r="B486" s="16" t="str">
        <x:v>AinSyah Saharani</x:v>
      </x:c>
      <x:c r="C486" s="16" t="str"/>
      <x:c r="D486" s="16" t="str"/>
      <x:c r="E486" s="16" t="str">
        <x:v>* myContacts</x:v>
      </x:c>
      <x:c r="F486" s="16" t="str">
        <x:v>+601126968060</x:v>
      </x:c>
      <x:c r="G486" s="16" t="str">
        <x:v>+601126968060</x:v>
      </x:c>
      <x:c r="H486" s="16" t="str">
        <x:v>Excluded</x:v>
      </x:c>
      <x:c r="I486" s="16" t="str">
        <x:v>Missing email</x:v>
      </x:c>
    </x:row>
    <x:row r="487">
      <x:c r="A487" s="16" t="n">
        <x:v>484</x:v>
      </x:c>
      <x:c r="B487" s="16" t="str">
        <x:v>Ainsyah Wan Rashid</x:v>
      </x:c>
      <x:c r="C487" s="16" t="str"/>
      <x:c r="D487" s="16" t="str"/>
      <x:c r="E487" s="16" t="str">
        <x:v>* myContacts</x:v>
      </x:c>
      <x:c r="F487" s="16" t="str">
        <x:v>+60139136276</x:v>
      </x:c>
      <x:c r="G487" s="16" t="str">
        <x:v>+60139136276</x:v>
      </x:c>
      <x:c r="H487" s="16" t="str">
        <x:v>Excluded</x:v>
      </x:c>
      <x:c r="I487" s="16" t="str">
        <x:v>Missing email</x:v>
      </x:c>
    </x:row>
    <x:row r="488">
      <x:c r="A488" s="16" t="n">
        <x:v>485</x:v>
      </x:c>
      <x:c r="B488" s="16" t="str">
        <x:v>Ainul Merdhiyah</x:v>
      </x:c>
      <x:c r="C488" s="16" t="str"/>
      <x:c r="D488" s="16" t="str"/>
      <x:c r="E488" s="16" t="str">
        <x:v>* myContacts</x:v>
      </x:c>
      <x:c r="F488" s="16" t="str">
        <x:v>+60143494510</x:v>
      </x:c>
      <x:c r="G488" s="16" t="str">
        <x:v>+60143494510</x:v>
      </x:c>
      <x:c r="H488" s="16" t="str">
        <x:v>Excluded</x:v>
      </x:c>
      <x:c r="I488" s="16" t="str">
        <x:v>Missing email</x:v>
      </x:c>
    </x:row>
    <x:row r="489">
      <x:c r="A489" s="16" t="n">
        <x:v>486</x:v>
      </x:c>
      <x:c r="B489" s="16" t="str">
        <x:v>Ainun Kamila</x:v>
      </x:c>
      <x:c r="C489" s="16" t="str"/>
      <x:c r="D489" s="16" t="str"/>
      <x:c r="E489" s="16" t="str">
        <x:v>* myContacts</x:v>
      </x:c>
      <x:c r="F489" s="16" t="str">
        <x:v>+60139508737</x:v>
      </x:c>
      <x:c r="G489" s="16" t="str">
        <x:v>+60139508737</x:v>
      </x:c>
      <x:c r="H489" s="16" t="str">
        <x:v>Excluded</x:v>
      </x:c>
      <x:c r="I489" s="16" t="str">
        <x:v>Missing email</x:v>
      </x:c>
    </x:row>
    <x:row r="490">
      <x:c r="A490" s="16" t="n">
        <x:v>487</x:v>
      </x:c>
      <x:c r="B490" s="16" t="str">
        <x:v>Ainun Mastura</x:v>
      </x:c>
      <x:c r="C490" s="16" t="str"/>
      <x:c r="D490" s="16" t="str"/>
      <x:c r="E490" s="16" t="str">
        <x:v>* myContacts</x:v>
      </x:c>
      <x:c r="F490" s="16" t="str">
        <x:v>+601129499999</x:v>
      </x:c>
      <x:c r="G490" s="16" t="str">
        <x:v>+601129499999</x:v>
      </x:c>
      <x:c r="H490" s="16" t="str">
        <x:v>Excluded</x:v>
      </x:c>
      <x:c r="I490" s="16" t="str">
        <x:v>Missing email</x:v>
      </x:c>
    </x:row>
    <x:row r="491">
      <x:c r="A491" s="16" t="n">
        <x:v>488</x:v>
      </x:c>
      <x:c r="B491" s="16" t="str">
        <x:v>Ainun YB</x:v>
      </x:c>
      <x:c r="C491" s="16" t="str"/>
      <x:c r="D491" s="16" t="str"/>
      <x:c r="E491" s="16" t="str">
        <x:v>* myContacts</x:v>
      </x:c>
      <x:c r="F491" s="16" t="str">
        <x:v>+60199184038</x:v>
      </x:c>
      <x:c r="G491" s="16" t="str">
        <x:v>+60199184038</x:v>
      </x:c>
      <x:c r="H491" s="16" t="str">
        <x:v>Excluded</x:v>
      </x:c>
      <x:c r="I491" s="16" t="str">
        <x:v>Missing email</x:v>
      </x:c>
    </x:row>
    <x:row r="492">
      <x:c r="A492" s="16" t="n">
        <x:v>489</x:v>
      </x:c>
      <x:c r="B492" s="16" t="str">
        <x:v>Aira Rizqi</x:v>
      </x:c>
      <x:c r="C492" s="16" t="str"/>
      <x:c r="D492" s="16" t="str"/>
      <x:c r="E492" s="16" t="str">
        <x:v>* myContacts</x:v>
      </x:c>
      <x:c r="F492" s="16" t="str">
        <x:v>+60143452378</x:v>
      </x:c>
      <x:c r="G492" s="16" t="str">
        <x:v>+60143452378</x:v>
      </x:c>
      <x:c r="H492" s="16" t="str">
        <x:v>Excluded</x:v>
      </x:c>
      <x:c r="I492" s="16" t="str">
        <x:v>Missing email</x:v>
      </x:c>
    </x:row>
    <x:row r="493">
      <x:c r="A493" s="16" t="n">
        <x:v>490</x:v>
      </x:c>
      <x:c r="B493" s="16" t="str">
        <x:v>Airen Vaendela Dekson</x:v>
      </x:c>
      <x:c r="C493" s="16" t="str"/>
      <x:c r="D493" s="16" t="str"/>
      <x:c r="E493" s="16" t="str">
        <x:v>* myContacts</x:v>
      </x:c>
      <x:c r="F493" s="16" t="str">
        <x:v>+60146542742</x:v>
      </x:c>
      <x:c r="G493" s="16" t="str">
        <x:v>+60146542742</x:v>
      </x:c>
      <x:c r="H493" s="16" t="str">
        <x:v>Excluded</x:v>
      </x:c>
      <x:c r="I493" s="16" t="str">
        <x:v>Missing email</x:v>
      </x:c>
    </x:row>
    <x:row r="494">
      <x:c r="A494" s="16" t="n">
        <x:v>491</x:v>
      </x:c>
      <x:c r="B494" s="16" t="str">
        <x:v>Airie Azmi</x:v>
      </x:c>
      <x:c r="C494" s="16" t="str"/>
      <x:c r="D494" s="16" t="str"/>
      <x:c r="E494" s="16" t="str">
        <x:v>* myContacts</x:v>
      </x:c>
      <x:c r="F494" s="16" t="str">
        <x:v>+60163706539</x:v>
      </x:c>
      <x:c r="G494" s="16" t="str">
        <x:v>+60163706539</x:v>
      </x:c>
      <x:c r="H494" s="16" t="str">
        <x:v>Excluded</x:v>
      </x:c>
      <x:c r="I494" s="16" t="str">
        <x:v>Missing email</x:v>
      </x:c>
    </x:row>
    <x:row r="495">
      <x:c r="A495" s="16" t="n">
        <x:v>492</x:v>
      </x:c>
      <x:c r="B495" s="16" t="str">
        <x:v>Airisya Suffya Full II</x:v>
      </x:c>
      <x:c r="C495" s="16" t="str"/>
      <x:c r="D495" s="16" t="str"/>
      <x:c r="E495" s="16" t="str">
        <x:v>* myContacts</x:v>
      </x:c>
      <x:c r="F495" s="16" t="str">
        <x:v>+60192552153</x:v>
      </x:c>
      <x:c r="G495" s="16" t="str">
        <x:v>+60192552153</x:v>
      </x:c>
      <x:c r="H495" s="16" t="str">
        <x:v>Excluded</x:v>
      </x:c>
      <x:c r="I495" s="16" t="str">
        <x:v>Missing email</x:v>
      </x:c>
    </x:row>
    <x:row r="496">
      <x:c r="A496" s="16" t="n">
        <x:v>493</x:v>
      </x:c>
      <x:c r="B496" s="16" t="str">
        <x:v>Airpak Sandakan</x:v>
      </x:c>
      <x:c r="C496" s="16" t="str"/>
      <x:c r="D496" s="16" t="str"/>
      <x:c r="E496" s="16" t="str">
        <x:v>* myContacts</x:v>
      </x:c>
      <x:c r="F496" s="16" t="str">
        <x:v>+6089225776</x:v>
      </x:c>
      <x:c r="G496" s="16" t="str">
        <x:v>+6089225776</x:v>
      </x:c>
      <x:c r="H496" s="16" t="str">
        <x:v>Excluded</x:v>
      </x:c>
      <x:c r="I496" s="16" t="str">
        <x:v>Missing email</x:v>
      </x:c>
    </x:row>
    <x:row r="497">
      <x:c r="A497" s="16" t="n">
        <x:v>494</x:v>
      </x:c>
      <x:c r="B497" s="16" t="str">
        <x:v>Airul Irin</x:v>
      </x:c>
      <x:c r="C497" s="16" t="str"/>
      <x:c r="D497" s="16" t="str"/>
      <x:c r="E497" s="16" t="str">
        <x:v>* myContacts</x:v>
      </x:c>
      <x:c r="F497" s="16" t="str">
        <x:v>+60172079867</x:v>
      </x:c>
      <x:c r="G497" s="16" t="str">
        <x:v>+60172079867</x:v>
      </x:c>
      <x:c r="H497" s="16" t="str">
        <x:v>Excluded</x:v>
      </x:c>
      <x:c r="I497" s="16" t="str">
        <x:v>Missing email</x:v>
      </x:c>
    </x:row>
    <x:row r="498">
      <x:c r="A498" s="16" t="n">
        <x:v>495</x:v>
      </x:c>
      <x:c r="B498" s="16" t="str">
        <x:v>Aiscrim Aisyah Syuhadah</x:v>
      </x:c>
      <x:c r="C498" s="16" t="str"/>
      <x:c r="D498" s="16" t="str"/>
      <x:c r="E498" s="16" t="str">
        <x:v>* myContacts</x:v>
      </x:c>
      <x:c r="F498" s="16" t="str">
        <x:v>+60148591504</x:v>
      </x:c>
      <x:c r="G498" s="16" t="str">
        <x:v>+60148591504</x:v>
      </x:c>
      <x:c r="H498" s="16" t="str">
        <x:v>Excluded</x:v>
      </x:c>
      <x:c r="I498" s="16" t="str">
        <x:v>Missing email</x:v>
      </x:c>
    </x:row>
    <x:row r="499">
      <x:c r="A499" s="16" t="n">
        <x:v>496</x:v>
      </x:c>
      <x:c r="B499" s="16" t="str">
        <x:v>Aish</x:v>
      </x:c>
      <x:c r="C499" s="16" t="str"/>
      <x:c r="D499" s="16" t="str"/>
      <x:c r="E499" s="16" t="str">
        <x:v>* myContacts</x:v>
      </x:c>
      <x:c r="F499" s="16" t="str">
        <x:v>+60 13-211 5284 | +60132115284</x:v>
      </x:c>
      <x:c r="G499" s="16" t="str">
        <x:v>+60132115284 | +60132115284</x:v>
      </x:c>
      <x:c r="H499" s="16" t="str">
        <x:v>Excluded</x:v>
      </x:c>
      <x:c r="I499" s="16" t="str">
        <x:v>Missing email</x:v>
      </x:c>
    </x:row>
    <x:row r="500">
      <x:c r="A500" s="16" t="n">
        <x:v>497</x:v>
      </x:c>
      <x:c r="B500" s="16" t="str">
        <x:v>Aishah Agent AGP Tabung Haji</x:v>
      </x:c>
      <x:c r="C500" s="16" t="str"/>
      <x:c r="D500" s="16" t="str"/>
      <x:c r="E500" s="16" t="str">
        <x:v>* myContacts</x:v>
      </x:c>
      <x:c r="F500" s="16" t="str">
        <x:v>0193243438 | +60193243438</x:v>
      </x:c>
      <x:c r="G500" s="16" t="str">
        <x:v>+60193243438 | +60193243438</x:v>
      </x:c>
      <x:c r="H500" s="16" t="str">
        <x:v>Excluded</x:v>
      </x:c>
      <x:c r="I500" s="16" t="str">
        <x:v>Missing email</x:v>
      </x:c>
    </x:row>
    <x:row r="501">
      <x:c r="A501" s="16" t="n">
        <x:v>498</x:v>
      </x:c>
      <x:c r="B501" s="16" t="str">
        <x:v>Aishah AGP</x:v>
      </x:c>
      <x:c r="C501" s="16" t="str"/>
      <x:c r="D501" s="16" t="str"/>
      <x:c r="E501" s="16" t="str">
        <x:v>* myContacts</x:v>
      </x:c>
      <x:c r="F501" s="16" t="str">
        <x:v>+60 12-535 8463 | +60125358463</x:v>
      </x:c>
      <x:c r="G501" s="16" t="str">
        <x:v>+60125358463 | +60125358463</x:v>
      </x:c>
      <x:c r="H501" s="16" t="str">
        <x:v>Excluded</x:v>
      </x:c>
      <x:c r="I501" s="16" t="str">
        <x:v>Missing email</x:v>
      </x:c>
    </x:row>
    <x:row r="502">
      <x:c r="A502" s="16" t="n">
        <x:v>499</x:v>
      </x:c>
      <x:c r="B502" s="16" t="str">
        <x:v>Aishah Discovery Services</x:v>
      </x:c>
      <x:c r="C502" s="16" t="str"/>
      <x:c r="D502" s="16" t="str"/>
      <x:c r="E502" s="16" t="str">
        <x:v>* myContacts</x:v>
      </x:c>
      <x:c r="F502" s="16" t="str">
        <x:v>012-927 5713 | +60129275713</x:v>
      </x:c>
      <x:c r="G502" s="16" t="str">
        <x:v>+60129275713 | +60129275713</x:v>
      </x:c>
      <x:c r="H502" s="16" t="str">
        <x:v>Excluded</x:v>
      </x:c>
      <x:c r="I502" s="16" t="str">
        <x:v>Missing email</x:v>
      </x:c>
    </x:row>
    <x:row r="503">
      <x:c r="A503" s="16" t="n">
        <x:v>500</x:v>
      </x:c>
      <x:c r="B503" s="16" t="str">
        <x:v>Aishah Hatta</x:v>
      </x:c>
      <x:c r="C503" s="16" t="str"/>
      <x:c r="D503" s="16" t="str"/>
      <x:c r="E503" s="16" t="str">
        <x:v>* myContacts</x:v>
      </x:c>
      <x:c r="F503" s="16" t="str">
        <x:v>+60123822198</x:v>
      </x:c>
      <x:c r="G503" s="16" t="str">
        <x:v>+60123822198</x:v>
      </x:c>
      <x:c r="H503" s="16" t="str">
        <x:v>Excluded</x:v>
      </x:c>
      <x:c r="I503" s="16" t="str">
        <x:v>Missing email</x:v>
      </x:c>
    </x:row>
    <x:row r="504">
      <x:c r="A504" s="16" t="n">
        <x:v>501</x:v>
      </x:c>
      <x:c r="B504" s="16" t="str">
        <x:v>Aishah Isa</x:v>
      </x:c>
      <x:c r="C504" s="16" t="str"/>
      <x:c r="D504" s="16" t="str"/>
      <x:c r="E504" s="16" t="str">
        <x:v>* myContacts</x:v>
      </x:c>
      <x:c r="F504" s="16" t="str">
        <x:v>+60174519964</x:v>
      </x:c>
      <x:c r="G504" s="16" t="str">
        <x:v>+60174519964</x:v>
      </x:c>
      <x:c r="H504" s="16" t="str">
        <x:v>Excluded</x:v>
      </x:c>
      <x:c r="I504" s="16" t="str">
        <x:v>Missing email</x:v>
      </x:c>
    </x:row>
    <x:row r="505">
      <x:c r="A505" s="16" t="n">
        <x:v>502</x:v>
      </x:c>
      <x:c r="B505" s="16" t="str">
        <x:v>Aishah Jaafar</x:v>
      </x:c>
      <x:c r="C505" s="16" t="str"/>
      <x:c r="D505" s="16" t="str"/>
      <x:c r="E505" s="16" t="str">
        <x:v>* myContacts</x:v>
      </x:c>
      <x:c r="F505" s="16" t="str">
        <x:v>+60129241220</x:v>
      </x:c>
      <x:c r="G505" s="16" t="str">
        <x:v>+60129241220</x:v>
      </x:c>
      <x:c r="H505" s="16" t="str">
        <x:v>Excluded</x:v>
      </x:c>
      <x:c r="I505" s="16" t="str">
        <x:v>Missing email</x:v>
      </x:c>
    </x:row>
    <x:row r="506">
      <x:c r="A506" s="16" t="n">
        <x:v>503</x:v>
      </x:c>
      <x:c r="B506" s="16" t="str">
        <x:v>Aishah Mardhiah A</x:v>
      </x:c>
      <x:c r="C506" s="16" t="str"/>
      <x:c r="D506" s="16" t="str"/>
      <x:c r="E506" s="16" t="str">
        <x:v>* myContacts</x:v>
      </x:c>
      <x:c r="F506" s="16" t="str">
        <x:v>+601155026195</x:v>
      </x:c>
      <x:c r="G506" s="16" t="str">
        <x:v>+601155026195</x:v>
      </x:c>
      <x:c r="H506" s="16" t="str">
        <x:v>Excluded</x:v>
      </x:c>
      <x:c r="I506" s="16" t="str">
        <x:v>Missing email</x:v>
      </x:c>
    </x:row>
    <x:row r="507">
      <x:c r="A507" s="16" t="n">
        <x:v>504</x:v>
      </x:c>
      <x:c r="B507" s="16" t="str">
        <x:v>Aishah Mohd</x:v>
      </x:c>
      <x:c r="C507" s="16" t="str"/>
      <x:c r="D507" s="16" t="str"/>
      <x:c r="E507" s="16" t="str">
        <x:v>* myContacts</x:v>
      </x:c>
      <x:c r="F507" s="16" t="str">
        <x:v>+60185800868</x:v>
      </x:c>
      <x:c r="G507" s="16" t="str">
        <x:v>+60185800868</x:v>
      </x:c>
      <x:c r="H507" s="16" t="str">
        <x:v>Excluded</x:v>
      </x:c>
      <x:c r="I507" s="16" t="str">
        <x:v>Missing email</x:v>
      </x:c>
    </x:row>
    <x:row r="508">
      <x:c r="A508" s="16" t="n">
        <x:v>505</x:v>
      </x:c>
      <x:c r="B508" s="16" t="str">
        <x:v>Aishah Rosli</x:v>
      </x:c>
      <x:c r="C508" s="16" t="str"/>
      <x:c r="D508" s="16" t="str"/>
      <x:c r="E508" s="16" t="str">
        <x:v>* myContacts</x:v>
      </x:c>
      <x:c r="F508" s="16" t="str">
        <x:v>+60167916649</x:v>
      </x:c>
      <x:c r="G508" s="16" t="str">
        <x:v>+60167916649</x:v>
      </x:c>
      <x:c r="H508" s="16" t="str">
        <x:v>Excluded</x:v>
      </x:c>
      <x:c r="I508" s="16" t="str">
        <x:v>Missing email</x:v>
      </x:c>
    </x:row>
    <x:row r="509">
      <x:c r="A509" s="16" t="n">
        <x:v>506</x:v>
      </x:c>
      <x:c r="B509" s="16" t="str">
        <x:v>Aishah Samsudin</x:v>
      </x:c>
      <x:c r="C509" s="16" t="str"/>
      <x:c r="D509" s="16" t="str"/>
      <x:c r="E509" s="16" t="str">
        <x:v>* myContacts</x:v>
      </x:c>
      <x:c r="F509" s="16" t="str">
        <x:v>+60134193956</x:v>
      </x:c>
      <x:c r="G509" s="16" t="str">
        <x:v>+60134193956</x:v>
      </x:c>
      <x:c r="H509" s="16" t="str">
        <x:v>Excluded</x:v>
      </x:c>
      <x:c r="I509" s="16" t="str">
        <x:v>Missing email</x:v>
      </x:c>
    </x:row>
    <x:row r="510">
      <x:c r="A510" s="16" t="n">
        <x:v>507</x:v>
      </x:c>
      <x:c r="B510" s="16" t="str">
        <x:v>Aishah The Red Studio</x:v>
      </x:c>
      <x:c r="C510" s="16" t="str"/>
      <x:c r="D510" s="16" t="str"/>
      <x:c r="E510" s="16" t="str">
        <x:v>* myContacts</x:v>
      </x:c>
      <x:c r="F510" s="16" t="str">
        <x:v>+60192580732</x:v>
      </x:c>
      <x:c r="G510" s="16" t="str">
        <x:v>+60192580732</x:v>
      </x:c>
      <x:c r="H510" s="16" t="str">
        <x:v>Excluded</x:v>
      </x:c>
      <x:c r="I510" s="16" t="str">
        <x:v>Missing email</x:v>
      </x:c>
    </x:row>
    <x:row r="511">
      <x:c r="A511" s="16" t="n">
        <x:v>508</x:v>
      </x:c>
      <x:c r="B511" s="16" t="str">
        <x:v>Aishah-reen Aishah-Reen</x:v>
      </x:c>
      <x:c r="C511" s="16" t="str"/>
      <x:c r="D511" s="16" t="str"/>
      <x:c r="E511" s="16" t="str">
        <x:v>* myContacts</x:v>
      </x:c>
      <x:c r="F511" s="16" t="str">
        <x:v>+601121790539</x:v>
      </x:c>
      <x:c r="G511" s="16" t="str">
        <x:v>+601121790539</x:v>
      </x:c>
      <x:c r="H511" s="16" t="str">
        <x:v>Excluded</x:v>
      </x:c>
      <x:c r="I511" s="16" t="str">
        <x:v>Missing email</x:v>
      </x:c>
    </x:row>
    <x:row r="512">
      <x:c r="A512" s="16" t="n">
        <x:v>509</x:v>
      </x:c>
      <x:c r="B512" s="16" t="str">
        <x:v>Aisya Anggun</x:v>
      </x:c>
      <x:c r="C512" s="16" t="str"/>
      <x:c r="D512" s="16" t="str"/>
      <x:c r="E512" s="16" t="str">
        <x:v>* myContacts</x:v>
      </x:c>
      <x:c r="F512" s="16" t="str">
        <x:v>+60196500137</x:v>
      </x:c>
      <x:c r="G512" s="16" t="str">
        <x:v>+60196500137</x:v>
      </x:c>
      <x:c r="H512" s="16" t="str">
        <x:v>Excluded</x:v>
      </x:c>
      <x:c r="I512" s="16" t="str">
        <x:v>Missing email</x:v>
      </x:c>
    </x:row>
    <x:row r="513">
      <x:c r="A513" s="16" t="n">
        <x:v>510</x:v>
      </x:c>
      <x:c r="B513" s="16" t="str">
        <x:v>Aisya Ept</x:v>
      </x:c>
      <x:c r="C513" s="16" t="str"/>
      <x:c r="D513" s="16" t="str"/>
      <x:c r="E513" s="16" t="str">
        <x:v>* myContacts</x:v>
      </x:c>
      <x:c r="F513" s="16" t="str">
        <x:v>+60175011921</x:v>
      </x:c>
      <x:c r="G513" s="16" t="str">
        <x:v>+60175011921</x:v>
      </x:c>
      <x:c r="H513" s="16" t="str">
        <x:v>Excluded</x:v>
      </x:c>
      <x:c r="I513" s="16" t="str">
        <x:v>Missing email</x:v>
      </x:c>
    </x:row>
    <x:row r="514">
      <x:c r="A514" s="16" t="n">
        <x:v>511</x:v>
      </x:c>
      <x:c r="B514" s="16" t="str">
        <x:v>Aisya Zahra</x:v>
      </x:c>
      <x:c r="C514" s="16" t="str"/>
      <x:c r="D514" s="16" t="str"/>
      <x:c r="E514" s="16" t="str">
        <x:v>* myContacts</x:v>
      </x:c>
      <x:c r="F514" s="16" t="str">
        <x:v>+60145511184</x:v>
      </x:c>
      <x:c r="G514" s="16" t="str">
        <x:v>+60145511184</x:v>
      </x:c>
      <x:c r="H514" s="16" t="str">
        <x:v>Excluded</x:v>
      </x:c>
      <x:c r="I514" s="16" t="str">
        <x:v>Missing email</x:v>
      </x:c>
    </x:row>
    <x:row r="515">
      <x:c r="A515" s="16" t="n">
        <x:v>512</x:v>
      </x:c>
      <x:c r="B515" s="16" t="str">
        <x:v>Aisyah Abdullahadi</x:v>
      </x:c>
      <x:c r="C515" s="16" t="str"/>
      <x:c r="D515" s="16" t="str"/>
      <x:c r="E515" s="16" t="str">
        <x:v>* myContacts</x:v>
      </x:c>
      <x:c r="F515" s="16" t="str">
        <x:v>+601117928449</x:v>
      </x:c>
      <x:c r="G515" s="16" t="str">
        <x:v>+601117928449</x:v>
      </x:c>
      <x:c r="H515" s="16" t="str">
        <x:v>Excluded</x:v>
      </x:c>
      <x:c r="I515" s="16" t="str">
        <x:v>Missing email</x:v>
      </x:c>
    </x:row>
    <x:row r="516">
      <x:c r="A516" s="16" t="n">
        <x:v>513</x:v>
      </x:c>
      <x:c r="B516" s="16" t="str">
        <x:v>Aisyah Fahmi</x:v>
      </x:c>
      <x:c r="C516" s="16" t="str"/>
      <x:c r="D516" s="16" t="str"/>
      <x:c r="E516" s="16" t="str">
        <x:v>* myContacts</x:v>
      </x:c>
      <x:c r="F516" s="16" t="str">
        <x:v>+60331411602</x:v>
      </x:c>
      <x:c r="G516" s="16" t="str">
        <x:v>+60331411602</x:v>
      </x:c>
      <x:c r="H516" s="16" t="str">
        <x:v>Excluded</x:v>
      </x:c>
      <x:c r="I516" s="16" t="str">
        <x:v>Missing email</x:v>
      </x:c>
    </x:row>
    <x:row r="517">
      <x:c r="A517" s="16" t="n">
        <x:v>514</x:v>
      </x:c>
      <x:c r="B517" s="16" t="str">
        <x:v>Aisyah Shayunk</x:v>
      </x:c>
      <x:c r="C517" s="16" t="str"/>
      <x:c r="D517" s="16" t="str"/>
      <x:c r="E517" s="16" t="str">
        <x:v>* myContacts</x:v>
      </x:c>
      <x:c r="F517" s="16" t="str">
        <x:v>+601140212078</x:v>
      </x:c>
      <x:c r="G517" s="16" t="str">
        <x:v>+601140212078</x:v>
      </x:c>
      <x:c r="H517" s="16" t="str">
        <x:v>Excluded</x:v>
      </x:c>
      <x:c r="I517" s="16" t="str">
        <x:v>Missing email</x:v>
      </x:c>
    </x:row>
    <x:row r="518">
      <x:c r="A518" s="16" t="n">
        <x:v>515</x:v>
      </x:c>
      <x:c r="B518" s="16" t="str">
        <x:v>Aizaiscaflee Cafly</x:v>
      </x:c>
      <x:c r="C518" s="16" t="str"/>
      <x:c r="D518" s="16" t="str"/>
      <x:c r="E518" s="16" t="str">
        <x:v>* myContacts</x:v>
      </x:c>
      <x:c r="F518" s="16" t="str">
        <x:v>+60183128819</x:v>
      </x:c>
      <x:c r="G518" s="16" t="str">
        <x:v>+60183128819</x:v>
      </x:c>
      <x:c r="H518" s="16" t="str">
        <x:v>Excluded</x:v>
      </x:c>
      <x:c r="I518" s="16" t="str">
        <x:v>Missing email</x:v>
      </x:c>
    </x:row>
    <x:row r="519">
      <x:c r="A519" s="16" t="n">
        <x:v>516</x:v>
      </x:c>
      <x:c r="B519" s="16" t="str">
        <x:v>Aizan</x:v>
      </x:c>
      <x:c r="C519" s="16" t="str"/>
      <x:c r="D519" s="16" t="str"/>
      <x:c r="E519" s="16" t="str">
        <x:v>* myContacts</x:v>
      </x:c>
      <x:c r="F519" s="16" t="str">
        <x:v>+6018-222 1180 | +60182221180</x:v>
      </x:c>
      <x:c r="G519" s="16" t="str">
        <x:v>+60182221180 | +60182221180</x:v>
      </x:c>
      <x:c r="H519" s="16" t="str">
        <x:v>Excluded</x:v>
      </x:c>
      <x:c r="I519" s="16" t="str">
        <x:v>Missing email</x:v>
      </x:c>
    </x:row>
    <x:row r="520">
      <x:c r="A520" s="16" t="n">
        <x:v>517</x:v>
      </x:c>
      <x:c r="B520" s="16" t="str">
        <x:v>Aizat Ismail</x:v>
      </x:c>
      <x:c r="C520" s="16" t="str"/>
      <x:c r="D520" s="16" t="str"/>
      <x:c r="E520" s="16" t="str">
        <x:v>* myContacts</x:v>
      </x:c>
      <x:c r="F520" s="16" t="str">
        <x:v>+60137784229 | +60172344462</x:v>
      </x:c>
      <x:c r="G520" s="16" t="str">
        <x:v>+60137784229 | +60172344462</x:v>
      </x:c>
      <x:c r="H520" s="16" t="str">
        <x:v>Excluded</x:v>
      </x:c>
      <x:c r="I520" s="16" t="str">
        <x:v>Missing email</x:v>
      </x:c>
    </x:row>
    <x:row r="521">
      <x:c r="A521" s="16" t="n">
        <x:v>518</x:v>
      </x:c>
      <x:c r="B521" s="16" t="str">
        <x:v>Aizat Ismail</x:v>
      </x:c>
      <x:c r="C521" s="16" t="str"/>
      <x:c r="D521" s="16" t="str"/>
      <x:c r="E521" s="16" t="str">
        <x:v>* myContacts</x:v>
      </x:c>
      <x:c r="F521" s="16" t="str">
        <x:v>+60137784229 | +60172344462</x:v>
      </x:c>
      <x:c r="G521" s="16" t="str">
        <x:v>+60137784229 | +60172344462</x:v>
      </x:c>
      <x:c r="H521" s="16" t="str">
        <x:v>Excluded</x:v>
      </x:c>
      <x:c r="I521" s="16" t="str">
        <x:v>Missing email</x:v>
      </x:c>
    </x:row>
    <x:row r="522">
      <x:c r="A522" s="16" t="n">
        <x:v>519</x:v>
      </x:c>
      <x:c r="B522" s="16" t="str">
        <x:v>Aizat PPMM</x:v>
      </x:c>
      <x:c r="C522" s="16" t="str"/>
      <x:c r="D522" s="16" t="str"/>
      <x:c r="E522" s="16" t="str">
        <x:v>* myContacts</x:v>
      </x:c>
      <x:c r="F522" s="16" t="str">
        <x:v>+60 14-722 2622 | +60147222622</x:v>
      </x:c>
      <x:c r="G522" s="16" t="str">
        <x:v>+60147222622 | +60147222622</x:v>
      </x:c>
      <x:c r="H522" s="16" t="str">
        <x:v>Excluded</x:v>
      </x:c>
      <x:c r="I522" s="16" t="str">
        <x:v>Missing email</x:v>
      </x:c>
    </x:row>
    <x:row r="523">
      <x:c r="A523" s="16" t="n">
        <x:v>520</x:v>
      </x:c>
      <x:c r="B523" s="16" t="str">
        <x:v>Aizat Teratak Riverview</x:v>
      </x:c>
      <x:c r="C523" s="16" t="str"/>
      <x:c r="D523" s="16" t="str"/>
      <x:c r="E523" s="16" t="str">
        <x:v>* myContacts</x:v>
      </x:c>
      <x:c r="F523" s="16" t="str">
        <x:v>017-5676225 | +60175676225</x:v>
      </x:c>
      <x:c r="G523" s="16" t="str">
        <x:v>+60175676225 | +60175676225</x:v>
      </x:c>
      <x:c r="H523" s="16" t="str">
        <x:v>Excluded</x:v>
      </x:c>
      <x:c r="I523" s="16" t="str">
        <x:v>Missing email</x:v>
      </x:c>
    </x:row>
    <x:row r="524">
      <x:c r="A524" s="16" t="n">
        <x:v>521</x:v>
      </x:c>
      <x:c r="B524" s="16" t="str">
        <x:v>Aizilah Zilah</x:v>
      </x:c>
      <x:c r="C524" s="16" t="str"/>
      <x:c r="D524" s="16" t="str"/>
      <x:c r="E524" s="16" t="str">
        <x:v>* myContacts</x:v>
      </x:c>
      <x:c r="F524" s="16" t="str">
        <x:v>+60129067283</x:v>
      </x:c>
      <x:c r="G524" s="16" t="str">
        <x:v>+60129067283</x:v>
      </x:c>
      <x:c r="H524" s="16" t="str">
        <x:v>Excluded</x:v>
      </x:c>
      <x:c r="I524" s="16" t="str">
        <x:v>Missing email</x:v>
      </x:c>
    </x:row>
    <x:row r="525">
      <x:c r="A525" s="16" t="n">
        <x:v>522</x:v>
      </x:c>
      <x:c r="B525" s="16" t="str">
        <x:v>Aizuddin Rafli</x:v>
      </x:c>
      <x:c r="C525" s="16" t="str"/>
      <x:c r="D525" s="16" t="str"/>
      <x:c r="E525" s="16" t="str">
        <x:v>* myContacts</x:v>
      </x:c>
      <x:c r="F525" s="16" t="str">
        <x:v>+60194284856</x:v>
      </x:c>
      <x:c r="G525" s="16" t="str">
        <x:v>+60194284856</x:v>
      </x:c>
      <x:c r="H525" s="16" t="str">
        <x:v>Excluded</x:v>
      </x:c>
      <x:c r="I525" s="16" t="str">
        <x:v>Missing email</x:v>
      </x:c>
    </x:row>
    <x:row r="526">
      <x:c r="A526" s="16" t="n">
        <x:v>523</x:v>
      </x:c>
      <x:c r="B526" s="16" t="str">
        <x:v>Aizzuddin Jul</x:v>
      </x:c>
      <x:c r="C526" s="16" t="str"/>
      <x:c r="D526" s="16" t="str"/>
      <x:c r="E526" s="16" t="str">
        <x:v>* myContacts</x:v>
      </x:c>
      <x:c r="F526" s="16" t="str">
        <x:v>+60124341269</x:v>
      </x:c>
      <x:c r="G526" s="16" t="str">
        <x:v>+60124341269</x:v>
      </x:c>
      <x:c r="H526" s="16" t="str">
        <x:v>Excluded</x:v>
      </x:c>
      <x:c r="I526" s="16" t="str">
        <x:v>Missing email</x:v>
      </x:c>
    </x:row>
    <x:row r="527">
      <x:c r="A527" s="16" t="n">
        <x:v>524</x:v>
      </x:c>
      <x:c r="B527" s="16" t="str">
        <x:v>Aizzul Aiman</x:v>
      </x:c>
      <x:c r="C527" s="16" t="str"/>
      <x:c r="D527" s="16" t="str"/>
      <x:c r="E527" s="16" t="str">
        <x:v>* myContacts</x:v>
      </x:c>
      <x:c r="F527" s="16" t="str">
        <x:v>+60175195697</x:v>
      </x:c>
      <x:c r="G527" s="16" t="str">
        <x:v>+60175195697</x:v>
      </x:c>
      <x:c r="H527" s="16" t="str">
        <x:v>Excluded</x:v>
      </x:c>
      <x:c r="I527" s="16" t="str">
        <x:v>Missing email</x:v>
      </x:c>
    </x:row>
    <x:row r="528">
      <x:c r="A528" s="16" t="n">
        <x:v>525</x:v>
      </x:c>
      <x:c r="B528" s="16" t="str">
        <x:v>AJ ToneExcel</x:v>
      </x:c>
      <x:c r="C528" s="16" t="str"/>
      <x:c r="D528" s="16" t="str"/>
      <x:c r="E528" s="16" t="str">
        <x:v>* myContacts</x:v>
      </x:c>
      <x:c r="F528" s="16" t="str">
        <x:v>+60105373736</x:v>
      </x:c>
      <x:c r="G528" s="16" t="str">
        <x:v>+60105373736</x:v>
      </x:c>
      <x:c r="H528" s="16" t="str">
        <x:v>Excluded</x:v>
      </x:c>
      <x:c r="I528" s="16" t="str">
        <x:v>Missing email</x:v>
      </x:c>
    </x:row>
    <x:row r="529">
      <x:c r="A529" s="16" t="n">
        <x:v>526</x:v>
      </x:c>
      <x:c r="B529" s="16" t="str">
        <x:v>AJ Vending</x:v>
      </x:c>
      <x:c r="C529" s="16" t="str"/>
      <x:c r="D529" s="16" t="str"/>
      <x:c r="E529" s="16" t="str">
        <x:v>* myContacts</x:v>
      </x:c>
      <x:c r="F529" s="16" t="str">
        <x:v>+60143370346</x:v>
      </x:c>
      <x:c r="G529" s="16" t="str">
        <x:v>+60143370346</x:v>
      </x:c>
      <x:c r="H529" s="16" t="str">
        <x:v>Excluded</x:v>
      </x:c>
      <x:c r="I529" s="16" t="str">
        <x:v>Missing email</x:v>
      </x:c>
    </x:row>
    <x:row r="530">
      <x:c r="A530" s="16" t="n">
        <x:v>527</x:v>
      </x:c>
      <x:c r="B530" s="16" t="str">
        <x:v>Aja Gugu</x:v>
      </x:c>
      <x:c r="C530" s="16" t="str"/>
      <x:c r="D530" s="16" t="str"/>
      <x:c r="E530" s="16" t="str">
        <x:v>* myContacts</x:v>
      </x:c>
      <x:c r="F530" s="16" t="str">
        <x:v>+60167410077</x:v>
      </x:c>
      <x:c r="G530" s="16" t="str">
        <x:v>+60167410077</x:v>
      </x:c>
      <x:c r="H530" s="16" t="str">
        <x:v>Excluded</x:v>
      </x:c>
      <x:c r="I530" s="16" t="str">
        <x:v>Missing email</x:v>
      </x:c>
    </x:row>
    <x:row r="531">
      <x:c r="A531" s="16" t="n">
        <x:v>528</x:v>
      </x:c>
      <x:c r="B531" s="16" t="str">
        <x:v>Aja Omar Hajar</x:v>
      </x:c>
      <x:c r="C531" s="16" t="str"/>
      <x:c r="D531" s="16" t="str"/>
      <x:c r="E531" s="16" t="str">
        <x:v>* myContacts</x:v>
      </x:c>
      <x:c r="F531" s="16" t="str">
        <x:v>+60134011349</x:v>
      </x:c>
      <x:c r="G531" s="16" t="str">
        <x:v>+60134011349</x:v>
      </x:c>
      <x:c r="H531" s="16" t="str">
        <x:v>Excluded</x:v>
      </x:c>
      <x:c r="I531" s="16" t="str">
        <x:v>Missing email</x:v>
      </x:c>
    </x:row>
    <x:row r="532">
      <x:c r="A532" s="16" t="n">
        <x:v>529</x:v>
      </x:c>
      <x:c r="B532" s="16" t="str">
        <x:v>Ajar Tsk</x:v>
      </x:c>
      <x:c r="C532" s="16" t="str"/>
      <x:c r="D532" s="16" t="str"/>
      <x:c r="E532" s="16" t="str">
        <x:v>* myContacts</x:v>
      </x:c>
      <x:c r="F532" s="16" t="str">
        <x:v>+6281371654328</x:v>
      </x:c>
      <x:c r="G532" s="16" t="str">
        <x:v>+6281371654328</x:v>
      </x:c>
      <x:c r="H532" s="16" t="str">
        <x:v>Excluded</x:v>
      </x:c>
      <x:c r="I532" s="16" t="str">
        <x:v>Missing email</x:v>
      </x:c>
    </x:row>
    <x:row r="533">
      <x:c r="A533" s="16" t="n">
        <x:v>530</x:v>
      </x:c>
      <x:c r="B533" s="16" t="str">
        <x:v>Ajay Maulana</x:v>
      </x:c>
      <x:c r="C533" s="16" t="str"/>
      <x:c r="D533" s="16" t="str"/>
      <x:c r="E533" s="16" t="str">
        <x:v>* myContacts</x:v>
      </x:c>
      <x:c r="F533" s="16" t="str">
        <x:v>+6285703060370</x:v>
      </x:c>
      <x:c r="G533" s="16" t="str">
        <x:v>+6285703060370</x:v>
      </x:c>
      <x:c r="H533" s="16" t="str">
        <x:v>Excluded</x:v>
      </x:c>
      <x:c r="I533" s="16" t="str">
        <x:v>Missing email</x:v>
      </x:c>
    </x:row>
    <x:row r="534">
      <x:c r="A534" s="16" t="n">
        <x:v>531</x:v>
      </x:c>
      <x:c r="B534" s="16" t="str">
        <x:v>Ajeerah Rais</x:v>
      </x:c>
      <x:c r="C534" s="16" t="str"/>
      <x:c r="D534" s="16" t="str"/>
      <x:c r="E534" s="16" t="str">
        <x:v>* myContacts</x:v>
      </x:c>
      <x:c r="F534" s="16" t="str">
        <x:v>+60125760566</x:v>
      </x:c>
      <x:c r="G534" s="16" t="str">
        <x:v>+60125760566</x:v>
      </x:c>
      <x:c r="H534" s="16" t="str">
        <x:v>Excluded</x:v>
      </x:c>
      <x:c r="I534" s="16" t="str">
        <x:v>Missing email</x:v>
      </x:c>
    </x:row>
    <x:row r="535">
      <x:c r="A535" s="16" t="n">
        <x:v>532</x:v>
      </x:c>
      <x:c r="B535" s="16" t="str">
        <x:v>Ajib Osman Mrbo</x:v>
      </x:c>
      <x:c r="C535" s="16" t="str"/>
      <x:c r="D535" s="16" t="str"/>
      <x:c r="E535" s="16" t="str">
        <x:v>* myContacts</x:v>
      </x:c>
      <x:c r="F535" s="16" t="str">
        <x:v>+60176706656</x:v>
      </x:c>
      <x:c r="G535" s="16" t="str">
        <x:v>+60176706656</x:v>
      </x:c>
      <x:c r="H535" s="16" t="str">
        <x:v>Excluded</x:v>
      </x:c>
      <x:c r="I535" s="16" t="str">
        <x:v>Missing email</x:v>
      </x:c>
    </x:row>
    <x:row r="536">
      <x:c r="A536" s="16" t="n">
        <x:v>533</x:v>
      </x:c>
      <x:c r="B536" s="16" t="str">
        <x:v>Ajib Radzi</x:v>
      </x:c>
      <x:c r="C536" s="16" t="str"/>
      <x:c r="D536" s="16" t="str"/>
      <x:c r="E536" s="16" t="str">
        <x:v>* myContacts</x:v>
      </x:c>
      <x:c r="F536" s="16" t="str">
        <x:v>+60134429491</x:v>
      </x:c>
      <x:c r="G536" s="16" t="str">
        <x:v>+60134429491</x:v>
      </x:c>
      <x:c r="H536" s="16" t="str">
        <x:v>Excluded</x:v>
      </x:c>
      <x:c r="I536" s="16" t="str">
        <x:v>Missing email</x:v>
      </x:c>
    </x:row>
    <x:row r="537">
      <x:c r="A537" s="16" t="n">
        <x:v>534</x:v>
      </x:c>
      <x:c r="B537" s="16" t="str">
        <x:v>Ajib Student PPKK</x:v>
      </x:c>
      <x:c r="C537" s="16" t="str"/>
      <x:c r="D537" s="16" t="str"/>
      <x:c r="E537" s="16" t="str">
        <x:v>* myContacts</x:v>
      </x:c>
      <x:c r="F537" s="16" t="str">
        <x:v>+60 19-732 1518 | +60197321518</x:v>
      </x:c>
      <x:c r="G537" s="16" t="str">
        <x:v>+60197321518 | +60197321518</x:v>
      </x:c>
      <x:c r="H537" s="16" t="str">
        <x:v>Excluded</x:v>
      </x:c>
      <x:c r="I537" s="16" t="str">
        <x:v>Missing email</x:v>
      </x:c>
    </x:row>
    <x:row r="538">
      <x:c r="A538" s="16" t="n">
        <x:v>535</x:v>
      </x:c>
      <x:c r="B538" s="16" t="str">
        <x:v>Ajib Transporter Singapore ikm</x:v>
      </x:c>
      <x:c r="C538" s="16" t="str"/>
      <x:c r="D538" s="16" t="str"/>
      <x:c r="E538" s="16" t="str">
        <x:v>* myContacts</x:v>
      </x:c>
      <x:c r="F538" s="16" t="str">
        <x:v>0177237406 | +60177237406</x:v>
      </x:c>
      <x:c r="G538" s="16" t="str">
        <x:v>+60177237406 | +60177237406</x:v>
      </x:c>
      <x:c r="H538" s="16" t="str">
        <x:v>Excluded</x:v>
      </x:c>
      <x:c r="I538" s="16" t="str">
        <x:v>Missing email</x:v>
      </x:c>
    </x:row>
    <x:row r="539">
      <x:c r="A539" s="16" t="n">
        <x:v>536</x:v>
      </x:c>
      <x:c r="B539" s="16" t="str">
        <x:v>Ajmal Smile Awang Jamaluddin</x:v>
      </x:c>
      <x:c r="C539" s="16" t="str"/>
      <x:c r="D539" s="16" t="str"/>
      <x:c r="E539" s="16" t="str">
        <x:v>* myContacts</x:v>
      </x:c>
      <x:c r="F539" s="16" t="str">
        <x:v>+60145967185</x:v>
      </x:c>
      <x:c r="G539" s="16" t="str">
        <x:v>+60145967185</x:v>
      </x:c>
      <x:c r="H539" s="16" t="str">
        <x:v>Excluded</x:v>
      </x:c>
      <x:c r="I539" s="16" t="str">
        <x:v>Missing email</x:v>
      </x:c>
    </x:row>
    <x:row r="540">
      <x:c r="A540" s="16" t="n">
        <x:v>537</x:v>
      </x:c>
      <x:c r="B540" s="16" t="str">
        <x:v>Ajui Ahmad</x:v>
      </x:c>
      <x:c r="C540" s="16" t="str"/>
      <x:c r="D540" s="16" t="str"/>
      <x:c r="E540" s="16" t="str">
        <x:v>* myContacts</x:v>
      </x:c>
      <x:c r="F540" s="16" t="str">
        <x:v>+60182484810</x:v>
      </x:c>
      <x:c r="G540" s="16" t="str">
        <x:v>+60182484810</x:v>
      </x:c>
      <x:c r="H540" s="16" t="str">
        <x:v>Excluded</x:v>
      </x:c>
      <x:c r="I540" s="16" t="str">
        <x:v>Missing email</x:v>
      </x:c>
    </x:row>
    <x:row r="541">
      <x:c r="A541" s="16" t="n">
        <x:v>538</x:v>
      </x:c>
      <x:c r="B541" s="16" t="str">
        <x:v>AJunz Zul</x:v>
      </x:c>
      <x:c r="C541" s="16" t="str"/>
      <x:c r="D541" s="16" t="str"/>
      <x:c r="E541" s="16" t="str">
        <x:v>* myContacts</x:v>
      </x:c>
      <x:c r="F541" s="16" t="str">
        <x:v>+601126504596</x:v>
      </x:c>
      <x:c r="G541" s="16" t="str">
        <x:v>+601126504596</x:v>
      </x:c>
      <x:c r="H541" s="16" t="str">
        <x:v>Excluded</x:v>
      </x:c>
      <x:c r="I541" s="16" t="str">
        <x:v>Missing email</x:v>
      </x:c>
    </x:row>
    <x:row r="542">
      <x:c r="A542" s="16" t="n">
        <x:v>539</x:v>
      </x:c>
      <x:c r="B542" s="16" t="str">
        <x:v>Ajz Maeen</x:v>
      </x:c>
      <x:c r="C542" s="16" t="str"/>
      <x:c r="D542" s="16" t="str"/>
      <x:c r="E542" s="16" t="str">
        <x:v>* myContacts</x:v>
      </x:c>
      <x:c r="F542" s="16" t="str">
        <x:v>+60198440909</x:v>
      </x:c>
      <x:c r="G542" s="16" t="str">
        <x:v>+60198440909</x:v>
      </x:c>
      <x:c r="H542" s="16" t="str">
        <x:v>Excluded</x:v>
      </x:c>
      <x:c r="I542" s="16" t="str">
        <x:v>Missing email</x:v>
      </x:c>
    </x:row>
    <x:row r="543">
      <x:c r="A543" s="16" t="n">
        <x:v>540</x:v>
      </x:c>
      <x:c r="B543" s="16" t="str">
        <x:v>AK Jep</x:v>
      </x:c>
      <x:c r="C543" s="16" t="str"/>
      <x:c r="D543" s="16" t="str"/>
      <x:c r="E543" s="16" t="str">
        <x:v>* myContacts</x:v>
      </x:c>
      <x:c r="F543" s="16" t="str">
        <x:v>+60174519846</x:v>
      </x:c>
      <x:c r="G543" s="16" t="str">
        <x:v>+60174519846</x:v>
      </x:c>
      <x:c r="H543" s="16" t="str">
        <x:v>Excluded</x:v>
      </x:c>
      <x:c r="I543" s="16" t="str">
        <x:v>Missing email</x:v>
      </x:c>
    </x:row>
    <x:row r="544">
      <x:c r="A544" s="16" t="n">
        <x:v>541</x:v>
      </x:c>
      <x:c r="B544" s="16" t="str">
        <x:v>Ak Mohd Yahya</x:v>
      </x:c>
      <x:c r="C544" s="16" t="str"/>
      <x:c r="D544" s="16" t="str"/>
      <x:c r="E544" s="16" t="str">
        <x:v>* myContacts</x:v>
      </x:c>
      <x:c r="F544" s="16" t="str">
        <x:v>+60128234467</x:v>
      </x:c>
      <x:c r="G544" s="16" t="str">
        <x:v>+60128234467</x:v>
      </x:c>
      <x:c r="H544" s="16" t="str">
        <x:v>Excluded</x:v>
      </x:c>
      <x:c r="I544" s="16" t="str">
        <x:v>Missing email</x:v>
      </x:c>
    </x:row>
    <x:row r="545">
      <x:c r="A545" s="16" t="n">
        <x:v>542</x:v>
      </x:c>
      <x:c r="B545" s="16" t="str">
        <x:v>Ak Trainer</x:v>
      </x:c>
      <x:c r="C545" s="16" t="str"/>
      <x:c r="D545" s="16" t="str"/>
      <x:c r="E545" s="16" t="str">
        <x:v>Trainer | * myContacts</x:v>
      </x:c>
      <x:c r="F545" s="16" t="str">
        <x:v>+60 12-274 5966 | +60122745966</x:v>
      </x:c>
      <x:c r="G545" s="16" t="str">
        <x:v>+60122745966 | +60122745966</x:v>
      </x:c>
      <x:c r="H545" s="16" t="str">
        <x:v>Excluded</x:v>
      </x:c>
      <x:c r="I545" s="16" t="str">
        <x:v>Missing email</x:v>
      </x:c>
    </x:row>
    <x:row r="546">
      <x:c r="A546" s="16" t="n">
        <x:v>543</x:v>
      </x:c>
      <x:c r="B546" s="16" t="str">
        <x:v>Akak Azizah</x:v>
      </x:c>
      <x:c r="C546" s="16" t="str"/>
      <x:c r="D546" s="16" t="str"/>
      <x:c r="E546" s="16" t="str">
        <x:v>* myContacts</x:v>
      </x:c>
      <x:c r="F546" s="16" t="str">
        <x:v>+60 12-379 8023 | +60123798023</x:v>
      </x:c>
      <x:c r="G546" s="16" t="str">
        <x:v>+60123798023 | +60123798023</x:v>
      </x:c>
      <x:c r="H546" s="16" t="str">
        <x:v>Excluded</x:v>
      </x:c>
      <x:c r="I546" s="16" t="str">
        <x:v>Missing email</x:v>
      </x:c>
    </x:row>
    <x:row r="547">
      <x:c r="A547" s="16" t="n">
        <x:v>544</x:v>
      </x:c>
      <x:c r="B547" s="16" t="str">
        <x:v>Akak Comell</x:v>
      </x:c>
      <x:c r="C547" s="16" t="str"/>
      <x:c r="D547" s="16" t="str"/>
      <x:c r="E547" s="16" t="str">
        <x:v>* myContacts</x:v>
      </x:c>
      <x:c r="F547" s="16" t="str">
        <x:v>+60105318977</x:v>
      </x:c>
      <x:c r="G547" s="16" t="str">
        <x:v>+60105318977</x:v>
      </x:c>
      <x:c r="H547" s="16" t="str">
        <x:v>Excluded</x:v>
      </x:c>
      <x:c r="I547" s="16" t="str">
        <x:v>Missing email</x:v>
      </x:c>
    </x:row>
    <x:row r="548">
      <x:c r="A548" s="16" t="n">
        <x:v>545</x:v>
      </x:c>
      <x:c r="B548" s="16" t="str">
        <x:v>Akak Rohana AGP</x:v>
      </x:c>
      <x:c r="C548" s="16" t="str"/>
      <x:c r="D548" s="16" t="str"/>
      <x:c r="E548" s="16" t="str">
        <x:v>* myContacts</x:v>
      </x:c>
      <x:c r="F548" s="16" t="str">
        <x:v>0139283387 | +60139283387</x:v>
      </x:c>
      <x:c r="G548" s="16" t="str">
        <x:v>+60139283387 | +60139283387</x:v>
      </x:c>
      <x:c r="H548" s="16" t="str">
        <x:v>Excluded</x:v>
      </x:c>
      <x:c r="I548" s="16" t="str">
        <x:v>Missing email</x:v>
      </x:c>
    </x:row>
    <x:row r="549">
      <x:c r="A549" s="16" t="n">
        <x:v>546</x:v>
      </x:c>
      <x:c r="B549" s="16" t="str">
        <x:v>Akamal Student Eu 2019</x:v>
      </x:c>
      <x:c r="C549" s="16" t="str"/>
      <x:c r="D549" s="16" t="str"/>
      <x:c r="E549" s="16" t="str">
        <x:v>Alumni eUsahawan | * myContacts</x:v>
      </x:c>
      <x:c r="F549" s="16" t="str">
        <x:v>60102270015 | +60102270015</x:v>
      </x:c>
      <x:c r="G549" s="16" t="str">
        <x:v>+60102270015 | +60102270015</x:v>
      </x:c>
      <x:c r="H549" s="16" t="str">
        <x:v>Excluded</x:v>
      </x:c>
      <x:c r="I549" s="16" t="str">
        <x:v>Missing email</x:v>
      </x:c>
    </x:row>
    <x:row r="550">
      <x:c r="A550" s="16" t="n">
        <x:v>547</x:v>
      </x:c>
      <x:c r="B550" s="16" t="str">
        <x:v>Akay IM</x:v>
      </x:c>
      <x:c r="C550" s="16" t="str"/>
      <x:c r="D550" s="16" t="str"/>
      <x:c r="E550" s="16" t="str">
        <x:v>* myContacts</x:v>
      </x:c>
      <x:c r="F550" s="16" t="str">
        <x:v>+60 13-923 9653 | +60139239653</x:v>
      </x:c>
      <x:c r="G550" s="16" t="str">
        <x:v>+60139239653 | +60139239653</x:v>
      </x:c>
      <x:c r="H550" s="16" t="str">
        <x:v>Excluded</x:v>
      </x:c>
      <x:c r="I550" s="16" t="str">
        <x:v>Missing email</x:v>
      </x:c>
    </x:row>
    <x:row r="551">
      <x:c r="A551" s="16" t="n">
        <x:v>548</x:v>
      </x:c>
      <x:c r="B551" s="16" t="str">
        <x:v>Akbar booth premis interior designer</x:v>
      </x:c>
      <x:c r="C551" s="16" t="str"/>
      <x:c r="D551" s="16" t="str"/>
      <x:c r="E551" s="16" t="str">
        <x:v>* myContacts</x:v>
      </x:c>
      <x:c r="F551" s="16" t="str">
        <x:v>016-215 7882 | +60162157882</x:v>
      </x:c>
      <x:c r="G551" s="16" t="str">
        <x:v>+60162157882 | +60162157882</x:v>
      </x:c>
      <x:c r="H551" s="16" t="str">
        <x:v>Excluded</x:v>
      </x:c>
      <x:c r="I551" s="16" t="str">
        <x:v>Missing email</x:v>
      </x:c>
    </x:row>
    <x:row r="552">
      <x:c r="A552" s="16" t="n">
        <x:v>549</x:v>
      </x:c>
      <x:c r="B552" s="16" t="str">
        <x:v>Akedemi AMPAC</x:v>
      </x:c>
      <x:c r="C552" s="16" t="str"/>
      <x:c r="D552" s="16" t="str"/>
      <x:c r="E552" s="16" t="str">
        <x:v>* myContacts</x:v>
      </x:c>
      <x:c r="F552" s="16" t="str">
        <x:v>+60132719170</x:v>
      </x:c>
      <x:c r="G552" s="16" t="str">
        <x:v>+60132719170</x:v>
      </x:c>
      <x:c r="H552" s="16" t="str">
        <x:v>Excluded</x:v>
      </x:c>
      <x:c r="I552" s="16" t="str">
        <x:v>Missing email</x:v>
      </x:c>
    </x:row>
    <x:row r="553">
      <x:c r="A553" s="16" t="n">
        <x:v>550</x:v>
      </x:c>
      <x:c r="B553" s="16" t="str">
        <x:v>Aken Khin</x:v>
      </x:c>
      <x:c r="C553" s="16" t="str"/>
      <x:c r="D553" s="16" t="str"/>
      <x:c r="E553" s="16" t="str">
        <x:v>* myContacts</x:v>
      </x:c>
      <x:c r="F553" s="16" t="str">
        <x:v>+6738164257</x:v>
      </x:c>
      <x:c r="G553" s="16" t="str">
        <x:v>+6738164257</x:v>
      </x:c>
      <x:c r="H553" s="16" t="str">
        <x:v>Excluded</x:v>
      </x:c>
      <x:c r="I553" s="16" t="str">
        <x:v>Missing email</x:v>
      </x:c>
    </x:row>
    <x:row r="554">
      <x:c r="A554" s="16" t="n">
        <x:v>551</x:v>
      </x:c>
      <x:c r="B554" s="16" t="str">
        <x:v>Akhi Wan Hafidz</x:v>
      </x:c>
      <x:c r="C554" s="16" t="str"/>
      <x:c r="D554" s="16" t="str"/>
      <x:c r="E554" s="16" t="str">
        <x:v>* myContacts</x:v>
      </x:c>
      <x:c r="F554" s="16" t="str">
        <x:v>+60129499799</x:v>
      </x:c>
      <x:c r="G554" s="16" t="str">
        <x:v>+60129499799</x:v>
      </x:c>
      <x:c r="H554" s="16" t="str">
        <x:v>Excluded</x:v>
      </x:c>
      <x:c r="I554" s="16" t="str">
        <x:v>Missing email</x:v>
      </x:c>
    </x:row>
    <x:row r="555">
      <x:c r="A555" s="16" t="n">
        <x:v>552</x:v>
      </x:c>
      <x:c r="B555" s="16" t="str">
        <x:v>Akhu Î—Î±Î²Îµâ""â""Î± Sep</x:v>
      </x:c>
      <x:c r="C555" s="16" t="str"/>
      <x:c r="D555" s="16" t="str"/>
      <x:c r="E555" s="16" t="str">
        <x:v>* myContacts</x:v>
      </x:c>
      <x:c r="F555" s="16" t="str">
        <x:v>+60128888210</x:v>
      </x:c>
      <x:c r="G555" s="16" t="str">
        <x:v>+60128888210</x:v>
      </x:c>
      <x:c r="H555" s="16" t="str">
        <x:v>Excluded</x:v>
      </x:c>
      <x:c r="I555" s="16" t="str">
        <x:v>Missing email</x:v>
      </x:c>
    </x:row>
    <x:row r="556">
      <x:c r="A556" s="16" t="n">
        <x:v>553</x:v>
      </x:c>
      <x:c r="B556" s="16" t="str">
        <x:v>Aki Kimi</x:v>
      </x:c>
      <x:c r="C556" s="16" t="str"/>
      <x:c r="D556" s="16" t="str"/>
      <x:c r="E556" s="16" t="str">
        <x:v>* myContacts</x:v>
      </x:c>
      <x:c r="F556" s="16" t="str">
        <x:v>+60175754588</x:v>
      </x:c>
      <x:c r="G556" s="16" t="str">
        <x:v>+60175754588</x:v>
      </x:c>
      <x:c r="H556" s="16" t="str">
        <x:v>Excluded</x:v>
      </x:c>
      <x:c r="I556" s="16" t="str">
        <x:v>Missing email</x:v>
      </x:c>
    </x:row>
    <x:row r="557">
      <x:c r="A557" s="16" t="n">
        <x:v>554</x:v>
      </x:c>
      <x:c r="B557" s="16" t="str">
        <x:v>Akie Guru Nlp</x:v>
      </x:c>
      <x:c r="C557" s="16" t="str"/>
      <x:c r="D557" s="16" t="str"/>
      <x:c r="E557" s="16" t="str">
        <x:v>* myContacts</x:v>
      </x:c>
      <x:c r="F557" s="16" t="str">
        <x:v>+60192288496</x:v>
      </x:c>
      <x:c r="G557" s="16" t="str">
        <x:v>+60192288496</x:v>
      </x:c>
      <x:c r="H557" s="16" t="str">
        <x:v>Excluded</x:v>
      </x:c>
      <x:c r="I557" s="16" t="str">
        <x:v>Missing email</x:v>
      </x:c>
    </x:row>
    <x:row r="558">
      <x:c r="A558" s="16" t="n">
        <x:v>555</x:v>
      </x:c>
      <x:c r="B558" s="16" t="str">
        <x:v>Akim Kabinet</x:v>
      </x:c>
      <x:c r="C558" s="16" t="str"/>
      <x:c r="D558" s="16" t="str"/>
      <x:c r="E558" s="16" t="str">
        <x:v>* myContacts</x:v>
      </x:c>
      <x:c r="F558" s="16" t="str">
        <x:v>0129702007 | +60129702007</x:v>
      </x:c>
      <x:c r="G558" s="16" t="str">
        <x:v>+60129702007 | +60129702007</x:v>
      </x:c>
      <x:c r="H558" s="16" t="str">
        <x:v>Excluded</x:v>
      </x:c>
      <x:c r="I558" s="16" t="str">
        <x:v>Missing email</x:v>
      </x:c>
    </x:row>
    <x:row r="559">
      <x:c r="A559" s="16" t="n">
        <x:v>556</x:v>
      </x:c>
      <x:c r="B559" s="16" t="str">
        <x:v>Akiya Zairy</x:v>
      </x:c>
      <x:c r="C559" s="16" t="str"/>
      <x:c r="D559" s="16" t="str"/>
      <x:c r="E559" s="16" t="str">
        <x:v>* myContacts</x:v>
      </x:c>
      <x:c r="F559" s="16" t="str">
        <x:v>+60134556677</x:v>
      </x:c>
      <x:c r="G559" s="16" t="str">
        <x:v>+60134556677</x:v>
      </x:c>
      <x:c r="H559" s="16" t="str">
        <x:v>Excluded</x:v>
      </x:c>
      <x:c r="I559" s="16" t="str">
        <x:v>Missing email</x:v>
      </x:c>
    </x:row>
    <x:row r="560">
      <x:c r="A560" s="16" t="n">
        <x:v>557</x:v>
      </x:c>
      <x:c r="B560" s="16" t="str">
        <x:v>Akma Aziz</x:v>
      </x:c>
      <x:c r="C560" s="16" t="str"/>
      <x:c r="D560" s="16" t="str"/>
      <x:c r="E560" s="16" t="str">
        <x:v>* myContacts</x:v>
      </x:c>
      <x:c r="F560" s="16" t="str">
        <x:v>+60189020417</x:v>
      </x:c>
      <x:c r="G560" s="16" t="str">
        <x:v>+60189020417</x:v>
      </x:c>
      <x:c r="H560" s="16" t="str">
        <x:v>Excluded</x:v>
      </x:c>
      <x:c r="I560" s="16" t="str">
        <x:v>Missing email</x:v>
      </x:c>
    </x:row>
    <x:row r="561">
      <x:c r="A561" s="16" t="n">
        <x:v>558</x:v>
      </x:c>
      <x:c r="B561" s="16" t="str">
        <x:v>Akma Cyunk Ridzuan</x:v>
      </x:c>
      <x:c r="C561" s="16" t="str"/>
      <x:c r="D561" s="16" t="str"/>
      <x:c r="E561" s="16" t="str">
        <x:v>* myContacts</x:v>
      </x:c>
      <x:c r="F561" s="16" t="str">
        <x:v>+60102860923</x:v>
      </x:c>
      <x:c r="G561" s="16" t="str">
        <x:v>+60102860923</x:v>
      </x:c>
      <x:c r="H561" s="16" t="str">
        <x:v>Excluded</x:v>
      </x:c>
      <x:c r="I561" s="16" t="str">
        <x:v>Missing email</x:v>
      </x:c>
    </x:row>
    <x:row r="562">
      <x:c r="A562" s="16" t="n">
        <x:v>559</x:v>
      </x:c>
      <x:c r="B562" s="16" t="str">
        <x:v>Akma Essens Agent</x:v>
      </x:c>
      <x:c r="C562" s="16" t="str"/>
      <x:c r="D562" s="16" t="str"/>
      <x:c r="E562" s="16" t="str">
        <x:v>* myContacts</x:v>
      </x:c>
      <x:c r="F562" s="16" t="str">
        <x:v>+60 19-645 4105 | +60196454105</x:v>
      </x:c>
      <x:c r="G562" s="16" t="str">
        <x:v>+60196454105 | +60196454105</x:v>
      </x:c>
      <x:c r="H562" s="16" t="str">
        <x:v>Excluded</x:v>
      </x:c>
      <x:c r="I562" s="16" t="str">
        <x:v>Missing email</x:v>
      </x:c>
    </x:row>
    <x:row r="563">
      <x:c r="A563" s="16" t="n">
        <x:v>560</x:v>
      </x:c>
      <x:c r="B563" s="16" t="str">
        <x:v>Akma IM</x:v>
      </x:c>
      <x:c r="C563" s="16" t="str"/>
      <x:c r="D563" s="16" t="str"/>
      <x:c r="E563" s="16" t="str">
        <x:v>* myContacts</x:v>
      </x:c>
      <x:c r="F563" s="16" t="str">
        <x:v>013-234 9397 | +60132349397</x:v>
      </x:c>
      <x:c r="G563" s="16" t="str">
        <x:v>+60132349397 | +60132349397</x:v>
      </x:c>
      <x:c r="H563" s="16" t="str">
        <x:v>Excluded</x:v>
      </x:c>
      <x:c r="I563" s="16" t="str">
        <x:v>Missing email</x:v>
      </x:c>
    </x:row>
    <x:row r="564">
      <x:c r="A564" s="16" t="n">
        <x:v>561</x:v>
      </x:c>
      <x:c r="B564" s="16" t="str">
        <x:v>Akmal Aeron</x:v>
      </x:c>
      <x:c r="C564" s="16" t="str"/>
      <x:c r="D564" s="16" t="str"/>
      <x:c r="E564" s="16" t="str">
        <x:v>* myContacts</x:v>
      </x:c>
      <x:c r="F564" s="16" t="str">
        <x:v>+6074543411</x:v>
      </x:c>
      <x:c r="G564" s="16" t="str">
        <x:v>+6074543411</x:v>
      </x:c>
      <x:c r="H564" s="16" t="str">
        <x:v>Excluded</x:v>
      </x:c>
      <x:c r="I564" s="16" t="str">
        <x:v>Missing email</x:v>
      </x:c>
    </x:row>
    <x:row r="565">
      <x:c r="A565" s="16" t="n">
        <x:v>562</x:v>
      </x:c>
      <x:c r="B565" s="16" t="str">
        <x:v>Akmal Dafinnah Delights</x:v>
      </x:c>
      <x:c r="C565" s="16" t="str"/>
      <x:c r="D565" s="16" t="str"/>
      <x:c r="E565" s="16" t="str">
        <x:v>* myContacts</x:v>
      </x:c>
      <x:c r="F565" s="16" t="str">
        <x:v>+60 12-284 8939 | +60122848939</x:v>
      </x:c>
      <x:c r="G565" s="16" t="str">
        <x:v>+60122848939 | +60122848939</x:v>
      </x:c>
      <x:c r="H565" s="16" t="str">
        <x:v>Excluded</x:v>
      </x:c>
      <x:c r="I565" s="16" t="str">
        <x:v>Missing email</x:v>
      </x:c>
    </x:row>
    <x:row r="566">
      <x:c r="A566" s="16" t="n">
        <x:v>563</x:v>
      </x:c>
      <x:c r="B566" s="16" t="str">
        <x:v>Akmal Hakim</x:v>
      </x:c>
      <x:c r="C566" s="16" t="str"/>
      <x:c r="D566" s="16" t="str"/>
      <x:c r="E566" s="16" t="str">
        <x:v>* myContacts</x:v>
      </x:c>
      <x:c r="F566" s="16" t="str">
        <x:v>+60167604074</x:v>
      </x:c>
      <x:c r="G566" s="16" t="str">
        <x:v>+60167604074</x:v>
      </x:c>
      <x:c r="H566" s="16" t="str">
        <x:v>Excluded</x:v>
      </x:c>
      <x:c r="I566" s="16" t="str">
        <x:v>Missing email</x:v>
      </x:c>
    </x:row>
    <x:row r="567">
      <x:c r="A567" s="16" t="n">
        <x:v>564</x:v>
      </x:c>
      <x:c r="B567" s="16" t="str">
        <x:v>Akmal Hakim Nubahari</x:v>
      </x:c>
      <x:c r="C567" s="16" t="str"/>
      <x:c r="D567" s="16" t="str"/>
      <x:c r="E567" s="16" t="str">
        <x:v>* myContacts</x:v>
      </x:c>
      <x:c r="F567" s="16" t="str">
        <x:v>+60194607321</x:v>
      </x:c>
      <x:c r="G567" s="16" t="str">
        <x:v>+60194607321</x:v>
      </x:c>
      <x:c r="H567" s="16" t="str">
        <x:v>Excluded</x:v>
      </x:c>
      <x:c r="I567" s="16" t="str">
        <x:v>Missing email</x:v>
      </x:c>
    </x:row>
    <x:row r="568">
      <x:c r="A568" s="16" t="n">
        <x:v>565</x:v>
      </x:c>
      <x:c r="B568" s="16" t="str">
        <x:v>Akmal Koko</x:v>
      </x:c>
      <x:c r="C568" s="16" t="str"/>
      <x:c r="D568" s="16" t="str"/>
      <x:c r="E568" s="16" t="str">
        <x:v>* myContacts</x:v>
      </x:c>
      <x:c r="F568" s="16" t="str">
        <x:v>+60194622383</x:v>
      </x:c>
      <x:c r="G568" s="16" t="str">
        <x:v>+60194622383</x:v>
      </x:c>
      <x:c r="H568" s="16" t="str">
        <x:v>Excluded</x:v>
      </x:c>
      <x:c r="I568" s="16" t="str">
        <x:v>Missing email</x:v>
      </x:c>
    </x:row>
    <x:row r="569">
      <x:c r="A569" s="16" t="n">
        <x:v>566</x:v>
      </x:c>
      <x:c r="B569" s="16" t="str">
        <x:v>Akmal Pegawai Insken</x:v>
      </x:c>
      <x:c r="C569" s="16" t="str"/>
      <x:c r="D569" s="16" t="str"/>
      <x:c r="E569" s="16" t="str">
        <x:v>Alumni INSKEN | * myContacts</x:v>
      </x:c>
      <x:c r="F569" s="16" t="str">
        <x:v>+60 14-257 6155 | +60142576155</x:v>
      </x:c>
      <x:c r="G569" s="16" t="str">
        <x:v>+60142576155 | +60142576155</x:v>
      </x:c>
      <x:c r="H569" s="16" t="str">
        <x:v>Excluded</x:v>
      </x:c>
      <x:c r="I569" s="16" t="str">
        <x:v>Missing email</x:v>
      </x:c>
    </x:row>
    <x:row r="570">
      <x:c r="A570" s="16" t="n">
        <x:v>567</x:v>
      </x:c>
      <x:c r="B570" s="16" t="str">
        <x:v>akmal politeknik behrang</x:v>
      </x:c>
      <x:c r="C570" s="16" t="str"/>
      <x:c r="D570" s="16" t="str"/>
      <x:c r="E570" s="16" t="str">
        <x:v>* myContacts</x:v>
      </x:c>
      <x:c r="F570" s="16" t="str">
        <x:v>+60 11-4021 7402 | +601140217402</x:v>
      </x:c>
      <x:c r="G570" s="16" t="str">
        <x:v>+601140217402 | +601140217402</x:v>
      </x:c>
      <x:c r="H570" s="16" t="str">
        <x:v>Excluded</x:v>
      </x:c>
      <x:c r="I570" s="16" t="str">
        <x:v>Missing email</x:v>
      </x:c>
    </x:row>
    <x:row r="571">
      <x:c r="A571" s="16" t="n">
        <x:v>568</x:v>
      </x:c>
      <x:c r="B571" s="16" t="str">
        <x:v>Akmal Zidane</x:v>
      </x:c>
      <x:c r="C571" s="16" t="str"/>
      <x:c r="D571" s="16" t="str"/>
      <x:c r="E571" s="16" t="str">
        <x:v>* myContacts</x:v>
      </x:c>
      <x:c r="F571" s="16" t="str">
        <x:v>+601126326817</x:v>
      </x:c>
      <x:c r="G571" s="16" t="str">
        <x:v>+601126326817</x:v>
      </x:c>
      <x:c r="H571" s="16" t="str">
        <x:v>Excluded</x:v>
      </x:c>
      <x:c r="I571" s="16" t="str">
        <x:v>Missing email</x:v>
      </x:c>
    </x:row>
    <x:row r="572">
      <x:c r="A572" s="16" t="n">
        <x:v>569</x:v>
      </x:c>
      <x:c r="B572" s="16" t="str">
        <x:v>Akmal Zulkifli</x:v>
      </x:c>
      <x:c r="C572" s="16" t="str"/>
      <x:c r="D572" s="16" t="str"/>
      <x:c r="E572" s="16" t="str">
        <x:v>* myContacts</x:v>
      </x:c>
      <x:c r="F572" s="16" t="str">
        <x:v>+601115126807</x:v>
      </x:c>
      <x:c r="G572" s="16" t="str">
        <x:v>+601115126807</x:v>
      </x:c>
      <x:c r="H572" s="16" t="str">
        <x:v>Excluded</x:v>
      </x:c>
      <x:c r="I572" s="16" t="str">
        <x:v>Missing email</x:v>
      </x:c>
    </x:row>
    <x:row r="573">
      <x:c r="A573" s="16" t="n">
        <x:v>570</x:v>
      </x:c>
      <x:c r="B573" s="16" t="str">
        <x:v>Akmam Wanie</x:v>
      </x:c>
      <x:c r="C573" s="16" t="str"/>
      <x:c r="D573" s="16" t="str"/>
      <x:c r="E573" s="16" t="str">
        <x:v>* myContacts</x:v>
      </x:c>
      <x:c r="F573" s="16" t="str">
        <x:v>+60195706630</x:v>
      </x:c>
      <x:c r="G573" s="16" t="str">
        <x:v>+60195706630</x:v>
      </x:c>
      <x:c r="H573" s="16" t="str">
        <x:v>Excluded</x:v>
      </x:c>
      <x:c r="I573" s="16" t="str">
        <x:v>Missing email</x:v>
      </x:c>
    </x:row>
    <x:row r="574">
      <x:c r="A574" s="16" t="n">
        <x:v>571</x:v>
      </x:c>
      <x:c r="B574" s="16" t="str">
        <x:v>Akram Mabsah</x:v>
      </x:c>
      <x:c r="C574" s="16" t="str"/>
      <x:c r="D574" s="16" t="str"/>
      <x:c r="E574" s="16" t="str">
        <x:v>* myContacts</x:v>
      </x:c>
      <x:c r="F574" s="16" t="str">
        <x:v>+60193808848</x:v>
      </x:c>
      <x:c r="G574" s="16" t="str">
        <x:v>+60193808848</x:v>
      </x:c>
      <x:c r="H574" s="16" t="str">
        <x:v>Excluded</x:v>
      </x:c>
      <x:c r="I574" s="16" t="str">
        <x:v>Missing email</x:v>
      </x:c>
    </x:row>
    <x:row r="575">
      <x:c r="A575" s="16" t="n">
        <x:v>572</x:v>
      </x:c>
      <x:c r="B575" s="16" t="str">
        <x:v>Akuadalahaku Akuadalahaku Akuadalahaku</x:v>
      </x:c>
      <x:c r="C575" s="16" t="str"/>
      <x:c r="D575" s="16" t="str"/>
      <x:c r="E575" s="16" t="str">
        <x:v>* myContacts</x:v>
      </x:c>
      <x:c r="F575" s="16" t="str">
        <x:v>+60139568971</x:v>
      </x:c>
      <x:c r="G575" s="16" t="str">
        <x:v>+60139568971</x:v>
      </x:c>
      <x:c r="H575" s="16" t="str">
        <x:v>Excluded</x:v>
      </x:c>
      <x:c r="I575" s="16" t="str">
        <x:v>Missing email</x:v>
      </x:c>
    </x:row>
    <x:row r="576">
      <x:c r="A576" s="16" t="n">
        <x:v>573</x:v>
      </x:c>
      <x:c r="B576" s="16" t="str">
        <x:v>Al</x:v>
      </x:c>
      <x:c r="C576" s="16" t="str"/>
      <x:c r="D576" s="16" t="str"/>
      <x:c r="E576" s="16" t="str">
        <x:v>* myContacts</x:v>
      </x:c>
      <x:c r="F576" s="16" t="str">
        <x:v>+60 17-572 6445 | +60175726445</x:v>
      </x:c>
      <x:c r="G576" s="16" t="str">
        <x:v>+60175726445 | +60175726445</x:v>
      </x:c>
      <x:c r="H576" s="16" t="str">
        <x:v>Excluded</x:v>
      </x:c>
      <x:c r="I576" s="16" t="str">
        <x:v>Missing email</x:v>
      </x:c>
    </x:row>
    <x:row r="577">
      <x:c r="A577" s="16" t="n">
        <x:v>574</x:v>
      </x:c>
      <x:c r="B577" s="16" t="str">
        <x:v>Al ansar mohd baktiar CEO</x:v>
      </x:c>
      <x:c r="C577" s="16" t="str">
        <x:v>mbakhtiar76@gmail.com</x:v>
      </x:c>
      <x:c r="D577" s="16" t="str">
        <x:v>mbakhtiar76@gmail.com</x:v>
      </x:c>
      <x:c r="E577" s="16" t="str">
        <x:v>* myContacts</x:v>
      </x:c>
      <x:c r="F577" s="16" t="str">
        <x:v>+60 13-947 7165 | +60139477165</x:v>
      </x:c>
      <x:c r="G577" s="16" t="str">
        <x:v>+60139477165 | +60139477165</x:v>
      </x:c>
      <x:c r="H577" s="16" t="str">
        <x:v>Eligible</x:v>
      </x:c>
      <x:c r="I577" s="16" t="str"/>
    </x:row>
    <x:row r="578">
      <x:c r="A578" s="16" t="n">
        <x:v>575</x:v>
      </x:c>
      <x:c r="B578" s="16" t="str">
        <x:v>Al Azam</x:v>
      </x:c>
      <x:c r="C578" s="16" t="str"/>
      <x:c r="D578" s="16" t="str"/>
      <x:c r="E578" s="16" t="str">
        <x:v>* myContacts</x:v>
      </x:c>
      <x:c r="F578" s="16" t="str">
        <x:v>+60148191117</x:v>
      </x:c>
      <x:c r="G578" s="16" t="str">
        <x:v>+60148191117</x:v>
      </x:c>
      <x:c r="H578" s="16" t="str">
        <x:v>Excluded</x:v>
      </x:c>
      <x:c r="I578" s="16" t="str">
        <x:v>Missing email</x:v>
      </x:c>
    </x:row>
    <x:row r="579">
      <x:c r="A579" s="16" t="n">
        <x:v>576</x:v>
      </x:c>
      <x:c r="B579" s="16" t="str">
        <x:v>Al Aziz Fatih</x:v>
      </x:c>
      <x:c r="C579" s="16" t="str"/>
      <x:c r="D579" s="16" t="str"/>
      <x:c r="E579" s="16" t="str">
        <x:v>* myContacts</x:v>
      </x:c>
      <x:c r="F579" s="16" t="str">
        <x:v>+601126067919</x:v>
      </x:c>
      <x:c r="G579" s="16" t="str">
        <x:v>+601126067919</x:v>
      </x:c>
      <x:c r="H579" s="16" t="str">
        <x:v>Excluded</x:v>
      </x:c>
      <x:c r="I579" s="16" t="str">
        <x:v>Missing email</x:v>
      </x:c>
    </x:row>
    <x:row r="580">
      <x:c r="A580" s="16" t="n">
        <x:v>577</x:v>
      </x:c>
      <x:c r="B580" s="16" t="str">
        <x:v>Al Hafiz Runner</x:v>
      </x:c>
      <x:c r="C580" s="16" t="str"/>
      <x:c r="D580" s="16" t="str"/>
      <x:c r="E580" s="16" t="str">
        <x:v>* myContacts</x:v>
      </x:c>
      <x:c r="F580" s="16" t="str">
        <x:v>+60102996151</x:v>
      </x:c>
      <x:c r="G580" s="16" t="str">
        <x:v>+60102996151</x:v>
      </x:c>
      <x:c r="H580" s="16" t="str">
        <x:v>Excluded</x:v>
      </x:c>
      <x:c r="I580" s="16" t="str">
        <x:v>Missing email</x:v>
      </x:c>
    </x:row>
    <x:row r="581">
      <x:c r="A581" s="16" t="n">
        <x:v>578</x:v>
      </x:c>
      <x:c r="B581" s="16" t="str">
        <x:v>Al Hijrah</x:v>
      </x:c>
      <x:c r="C581" s="16" t="str"/>
      <x:c r="D581" s="16" t="str"/>
      <x:c r="E581" s="16" t="str">
        <x:v>Alumni eUsahawan | * myContacts</x:v>
      </x:c>
      <x:c r="F581" s="16" t="str">
        <x:v>+60135290558</x:v>
      </x:c>
      <x:c r="G581" s="16" t="str">
        <x:v>+60135290558</x:v>
      </x:c>
      <x:c r="H581" s="16" t="str">
        <x:v>Excluded</x:v>
      </x:c>
      <x:c r="I581" s="16" t="str">
        <x:v>Missing email</x:v>
      </x:c>
    </x:row>
    <x:row r="582">
      <x:c r="A582" s="16" t="n">
        <x:v>579</x:v>
      </x:c>
      <x:c r="B582" s="16" t="str">
        <x:v>Al Khalilah Kzu</x:v>
      </x:c>
      <x:c r="C582" s="16" t="str"/>
      <x:c r="D582" s="16" t="str"/>
      <x:c r="E582" s="16" t="str">
        <x:v>* myContacts</x:v>
      </x:c>
      <x:c r="F582" s="16" t="str">
        <x:v>+60132979781</x:v>
      </x:c>
      <x:c r="G582" s="16" t="str">
        <x:v>+60132979781</x:v>
      </x:c>
      <x:c r="H582" s="16" t="str">
        <x:v>Excluded</x:v>
      </x:c>
      <x:c r="I582" s="16" t="str">
        <x:v>Missing email</x:v>
      </x:c>
    </x:row>
    <x:row r="583">
      <x:c r="A583" s="16" t="n">
        <x:v>580</x:v>
      </x:c>
      <x:c r="B583" s="16" t="str">
        <x:v>Al Mer Nhana Seventes</x:v>
      </x:c>
      <x:c r="C583" s="16" t="str"/>
      <x:c r="D583" s="16" t="str"/>
      <x:c r="E583" s="16" t="str">
        <x:v>* myContacts</x:v>
      </x:c>
      <x:c r="F583" s="16" t="str">
        <x:v>+60167400870</x:v>
      </x:c>
      <x:c r="G583" s="16" t="str">
        <x:v>+60167400870</x:v>
      </x:c>
      <x:c r="H583" s="16" t="str">
        <x:v>Excluded</x:v>
      </x:c>
      <x:c r="I583" s="16" t="str">
        <x:v>Missing email</x:v>
      </x:c>
    </x:row>
    <x:row r="584">
      <x:c r="A584" s="16" t="n">
        <x:v>581</x:v>
      </x:c>
      <x:c r="B584" s="16" t="str">
        <x:v>Al Nasir Customer AGP</x:v>
      </x:c>
      <x:c r="C584" s="16" t="str"/>
      <x:c r="D584" s="16" t="str"/>
      <x:c r="E584" s="16" t="str">
        <x:v>* myContacts</x:v>
      </x:c>
      <x:c r="F584" s="16" t="str">
        <x:v>+601114136530</x:v>
      </x:c>
      <x:c r="G584" s="16" t="str">
        <x:v>+601114136530</x:v>
      </x:c>
      <x:c r="H584" s="16" t="str">
        <x:v>Excluded</x:v>
      </x:c>
      <x:c r="I584" s="16" t="str">
        <x:v>Missing email</x:v>
      </x:c>
    </x:row>
    <x:row r="585">
      <x:c r="A585" s="16" t="n">
        <x:v>582</x:v>
      </x:c>
      <x:c r="B585" s="16" t="str">
        <x:v>AL Pacino</x:v>
      </x:c>
      <x:c r="C585" s="16" t="str"/>
      <x:c r="D585" s="16" t="str"/>
      <x:c r="E585" s="16" t="str">
        <x:v>* myContacts</x:v>
      </x:c>
      <x:c r="F585" s="16" t="str">
        <x:v>+60168921776</x:v>
      </x:c>
      <x:c r="G585" s="16" t="str">
        <x:v>+60168921776</x:v>
      </x:c>
      <x:c r="H585" s="16" t="str">
        <x:v>Excluded</x:v>
      </x:c>
      <x:c r="I585" s="16" t="str">
        <x:v>Missing email</x:v>
      </x:c>
    </x:row>
    <x:row r="586">
      <x:c r="A586" s="16" t="n">
        <x:v>583</x:v>
      </x:c>
      <x:c r="B586" s="16" t="str">
        <x:v>Al Syafira Allicee Christopher</x:v>
      </x:c>
      <x:c r="C586" s="16" t="str"/>
      <x:c r="D586" s="16" t="str"/>
      <x:c r="E586" s="16" t="str">
        <x:v>* myContacts</x:v>
      </x:c>
      <x:c r="F586" s="16" t="str">
        <x:v>+60178337758</x:v>
      </x:c>
      <x:c r="G586" s="16" t="str">
        <x:v>+60178337758</x:v>
      </x:c>
      <x:c r="H586" s="16" t="str">
        <x:v>Excluded</x:v>
      </x:c>
      <x:c r="I586" s="16" t="str">
        <x:v>Missing email</x:v>
      </x:c>
    </x:row>
    <x:row r="587">
      <x:c r="A587" s="16" t="n">
        <x:v>584</x:v>
      </x:c>
      <x:c r="B587" s="16" t="str">
        <x:v>Al-Mysier Faisal</x:v>
      </x:c>
      <x:c r="C587" s="16" t="str"/>
      <x:c r="D587" s="16" t="str"/>
      <x:c r="E587" s="16" t="str">
        <x:v>* myContacts</x:v>
      </x:c>
      <x:c r="F587" s="16" t="str">
        <x:v>+60178038758</x:v>
      </x:c>
      <x:c r="G587" s="16" t="str">
        <x:v>+60178038758</x:v>
      </x:c>
      <x:c r="H587" s="16" t="str">
        <x:v>Excluded</x:v>
      </x:c>
      <x:c r="I587" s="16" t="str">
        <x:v>Missing email</x:v>
      </x:c>
    </x:row>
    <x:row r="588">
      <x:c r="A588" s="16" t="n">
        <x:v>585</x:v>
      </x:c>
      <x:c r="B588" s="16" t="str">
        <x:v>Al'Amin Bin Ahmad</x:v>
      </x:c>
      <x:c r="C588" s="16" t="str"/>
      <x:c r="D588" s="16" t="str"/>
      <x:c r="E588" s="16" t="str">
        <x:v>* myContacts</x:v>
      </x:c>
      <x:c r="F588" s="16" t="str">
        <x:v>+6594500077</x:v>
      </x:c>
      <x:c r="G588" s="16" t="str">
        <x:v>+6594500077</x:v>
      </x:c>
      <x:c r="H588" s="16" t="str">
        <x:v>Excluded</x:v>
      </x:c>
      <x:c r="I588" s="16" t="str">
        <x:v>Missing email</x:v>
      </x:c>
    </x:row>
    <x:row r="589">
      <x:c r="A589" s="16" t="n">
        <x:v>586</x:v>
      </x:c>
      <x:c r="B589" s="16" t="str">
        <x:v>Alaiketatuk Poyo</x:v>
      </x:c>
      <x:c r="C589" s="16" t="str"/>
      <x:c r="D589" s="16" t="str"/>
      <x:c r="E589" s="16" t="str">
        <x:v>* myContacts</x:v>
      </x:c>
      <x:c r="F589" s="16" t="str">
        <x:v>+60179091540</x:v>
      </x:c>
      <x:c r="G589" s="16" t="str">
        <x:v>+60179091540</x:v>
      </x:c>
      <x:c r="H589" s="16" t="str">
        <x:v>Excluded</x:v>
      </x:c>
      <x:c r="I589" s="16" t="str">
        <x:v>Missing email</x:v>
      </x:c>
    </x:row>
    <x:row r="590">
      <x:c r="A590" s="16" t="n">
        <x:v>587</x:v>
      </x:c>
      <x:c r="B590" s="16" t="str">
        <x:v>Alal Sarock Tea</x:v>
      </x:c>
      <x:c r="C590" s="16" t="str"/>
      <x:c r="D590" s="16" t="str"/>
      <x:c r="E590" s="16" t="str">
        <x:v>* myContacts</x:v>
      </x:c>
      <x:c r="F590" s="16" t="str">
        <x:v>+60145213176</x:v>
      </x:c>
      <x:c r="G590" s="16" t="str">
        <x:v>+60145213176</x:v>
      </x:c>
      <x:c r="H590" s="16" t="str">
        <x:v>Excluded</x:v>
      </x:c>
      <x:c r="I590" s="16" t="str">
        <x:v>Missing email</x:v>
      </x:c>
    </x:row>
    <x:row r="591">
      <x:c r="A591" s="16" t="n">
        <x:v>588</x:v>
      </x:c>
      <x:c r="B591" s="16" t="str">
        <x:v>Alamgir Ameen</x:v>
      </x:c>
      <x:c r="C591" s="16" t="str"/>
      <x:c r="D591" s="16" t="str"/>
      <x:c r="E591" s="16" t="str">
        <x:v>* myContacts</x:v>
      </x:c>
      <x:c r="F591" s="16" t="str">
        <x:v>+60176761487</x:v>
      </x:c>
      <x:c r="G591" s="16" t="str">
        <x:v>+60176761487</x:v>
      </x:c>
      <x:c r="H591" s="16" t="str">
        <x:v>Excluded</x:v>
      </x:c>
      <x:c r="I591" s="16" t="str">
        <x:v>Missing email</x:v>
      </x:c>
    </x:row>
    <x:row r="592">
      <x:c r="A592" s="16" t="n">
        <x:v>589</x:v>
      </x:c>
      <x:c r="B592" s="16" t="str">
        <x:v>Alamgir Khan</x:v>
      </x:c>
      <x:c r="C592" s="16" t="str"/>
      <x:c r="D592" s="16" t="str"/>
      <x:c r="E592" s="16" t="str">
        <x:v>* myContacts</x:v>
      </x:c>
      <x:c r="F592" s="16" t="str">
        <x:v>+60169966355</x:v>
      </x:c>
      <x:c r="G592" s="16" t="str">
        <x:v>+60169966355</x:v>
      </x:c>
      <x:c r="H592" s="16" t="str">
        <x:v>Excluded</x:v>
      </x:c>
      <x:c r="I592" s="16" t="str">
        <x:v>Missing email</x:v>
      </x:c>
    </x:row>
    <x:row r="593">
      <x:c r="A593" s="16" t="n">
        <x:v>590</x:v>
      </x:c>
      <x:c r="B593" s="16" t="str">
        <x:v>Alan Lam</x:v>
      </x:c>
      <x:c r="C593" s="16" t="str"/>
      <x:c r="D593" s="16" t="str"/>
      <x:c r="E593" s="16" t="str">
        <x:v>* myContacts</x:v>
      </x:c>
      <x:c r="F593" s="16" t="str">
        <x:v>+60143880681</x:v>
      </x:c>
      <x:c r="G593" s="16" t="str">
        <x:v>+60143880681</x:v>
      </x:c>
      <x:c r="H593" s="16" t="str">
        <x:v>Excluded</x:v>
      </x:c>
      <x:c r="I593" s="16" t="str">
        <x:v>Missing email</x:v>
      </x:c>
    </x:row>
    <x:row r="594">
      <x:c r="A594" s="16" t="n">
        <x:v>591</x:v>
      </x:c>
      <x:c r="B594" s="16" t="str">
        <x:v>Alan Phone Specialist</x:v>
      </x:c>
      <x:c r="C594" s="16" t="str"/>
      <x:c r="D594" s="16" t="str"/>
      <x:c r="E594" s="16" t="str">
        <x:v>* myContacts</x:v>
      </x:c>
      <x:c r="F594" s="16" t="str">
        <x:v>0122120964 | +60122120964</x:v>
      </x:c>
      <x:c r="G594" s="16" t="str">
        <x:v>+60122120964 | +60122120964</x:v>
      </x:c>
      <x:c r="H594" s="16" t="str">
        <x:v>Excluded</x:v>
      </x:c>
      <x:c r="I594" s="16" t="str">
        <x:v>Missing email</x:v>
      </x:c>
    </x:row>
    <x:row r="595">
      <x:c r="A595" s="16" t="n">
        <x:v>592</x:v>
      </x:c>
      <x:c r="B595" s="16" t="str">
        <x:v>Alang Khair</x:v>
      </x:c>
      <x:c r="C595" s="16" t="str"/>
      <x:c r="D595" s="16" t="str"/>
      <x:c r="E595" s="16" t="str">
        <x:v>* myContacts</x:v>
      </x:c>
      <x:c r="F595" s="16" t="str">
        <x:v>+60 13-219 9761 | +60132199761</x:v>
      </x:c>
      <x:c r="G595" s="16" t="str">
        <x:v>+60132199761 | +60132199761</x:v>
      </x:c>
      <x:c r="H595" s="16" t="str">
        <x:v>Excluded</x:v>
      </x:c>
      <x:c r="I595" s="16" t="str">
        <x:v>Missing email</x:v>
      </x:c>
    </x:row>
    <x:row r="596">
      <x:c r="A596" s="16" t="n">
        <x:v>593</x:v>
      </x:c>
      <x:c r="B596" s="16" t="str">
        <x:v>Albo rawatan stroke</x:v>
      </x:c>
      <x:c r="C596" s="16" t="str"/>
      <x:c r="D596" s="16" t="str"/>
      <x:c r="E596" s="16" t="str">
        <x:v>* myContacts</x:v>
      </x:c>
      <x:c r="F596" s="16" t="str">
        <x:v>601757226445 | +601757226445</x:v>
      </x:c>
      <x:c r="G596" s="16" t="str">
        <x:v>+601757226445 | +601757226445</x:v>
      </x:c>
      <x:c r="H596" s="16" t="str">
        <x:v>Excluded</x:v>
      </x:c>
      <x:c r="I596" s="16" t="str">
        <x:v>Missing email</x:v>
      </x:c>
    </x:row>
    <x:row r="597">
      <x:c r="A597" s="16" t="n">
        <x:v>594</x:v>
      </x:c>
      <x:c r="B597" s="16" t="str">
        <x:v>Aldi Baron</x:v>
      </x:c>
      <x:c r="C597" s="16" t="str"/>
      <x:c r="D597" s="16" t="str"/>
      <x:c r="E597" s="16" t="str">
        <x:v>* myContacts</x:v>
      </x:c>
      <x:c r="F597" s="16" t="str">
        <x:v>+60182437884</x:v>
      </x:c>
      <x:c r="G597" s="16" t="str">
        <x:v>+60182437884</x:v>
      </x:c>
      <x:c r="H597" s="16" t="str">
        <x:v>Excluded</x:v>
      </x:c>
      <x:c r="I597" s="16" t="str">
        <x:v>Missing email</x:v>
      </x:c>
    </x:row>
    <x:row r="598">
      <x:c r="A598" s="16" t="n">
        <x:v>595</x:v>
      </x:c>
      <x:c r="B598" s="16" t="str">
        <x:v>Aldi Wibowo</x:v>
      </x:c>
      <x:c r="C598" s="16" t="str"/>
      <x:c r="D598" s="16" t="str"/>
      <x:c r="E598" s="16" t="str">
        <x:v>* myContacts</x:v>
      </x:c>
      <x:c r="F598" s="16" t="str">
        <x:v>+19174456241</x:v>
      </x:c>
      <x:c r="G598" s="16" t="str">
        <x:v>+19174456241</x:v>
      </x:c>
      <x:c r="H598" s="16" t="str">
        <x:v>Excluded</x:v>
      </x:c>
      <x:c r="I598" s="16" t="str">
        <x:v>Missing email</x:v>
      </x:c>
    </x:row>
    <x:row r="599">
      <x:c r="A599" s="16" t="n">
        <x:v>596</x:v>
      </x:c>
      <x:c r="B599" s="16" t="str">
        <x:v>aldiohonan</x:v>
      </x:c>
      <x:c r="C599" s="16" t="str"/>
      <x:c r="D599" s="16" t="str"/>
      <x:c r="E599" s="16" t="str">
        <x:v>* myContacts</x:v>
      </x:c>
      <x:c r="F599" s="16" t="str">
        <x:v>+62 822-4225-6369 | +6282242256369</x:v>
      </x:c>
      <x:c r="G599" s="16" t="str">
        <x:v>+6282242256369 | +6282242256369</x:v>
      </x:c>
      <x:c r="H599" s="16" t="str">
        <x:v>Excluded</x:v>
      </x:c>
      <x:c r="I599" s="16" t="str">
        <x:v>Missing email</x:v>
      </x:c>
    </x:row>
    <x:row r="600">
      <x:c r="A600" s="16" t="n">
        <x:v>597</x:v>
      </x:c>
      <x:c r="B600" s="16" t="str">
        <x:v>Aleef Daniel Wellness Concept</x:v>
      </x:c>
      <x:c r="C600" s="16" t="str"/>
      <x:c r="D600" s="16" t="str"/>
      <x:c r="E600" s="16" t="str">
        <x:v>* myContacts</x:v>
      </x:c>
      <x:c r="F600" s="16" t="str">
        <x:v>+60 17-226 3776 | +60172263776</x:v>
      </x:c>
      <x:c r="G600" s="16" t="str">
        <x:v>+60172263776 | +60172263776</x:v>
      </x:c>
      <x:c r="H600" s="16" t="str">
        <x:v>Excluded</x:v>
      </x:c>
      <x:c r="I600" s="16" t="str">
        <x:v>Missing email</x:v>
      </x:c>
    </x:row>
    <x:row r="601">
      <x:c r="A601" s="16" t="n">
        <x:v>598</x:v>
      </x:c>
      <x:c r="B601" s="16" t="str">
        <x:v>Alep Nu'man</x:v>
      </x:c>
      <x:c r="C601" s="16" t="str"/>
      <x:c r="D601" s="16" t="str"/>
      <x:c r="E601" s="16" t="str">
        <x:v>* myContacts</x:v>
      </x:c>
      <x:c r="F601" s="16" t="str">
        <x:v>+60173646779</x:v>
      </x:c>
      <x:c r="G601" s="16" t="str">
        <x:v>+60173646779</x:v>
      </x:c>
      <x:c r="H601" s="16" t="str">
        <x:v>Excluded</x:v>
      </x:c>
      <x:c r="I601" s="16" t="str">
        <x:v>Missing email</x:v>
      </x:c>
    </x:row>
    <x:row r="602">
      <x:c r="A602" s="16" t="n">
        <x:v>599</x:v>
      </x:c>
      <x:c r="B602" s="16" t="str">
        <x:v>Alep San</x:v>
      </x:c>
      <x:c r="C602" s="16" t="str"/>
      <x:c r="D602" s="16" t="str"/>
      <x:c r="E602" s="16" t="str">
        <x:v>* myContacts</x:v>
      </x:c>
      <x:c r="F602" s="16" t="str">
        <x:v>+60177292979</x:v>
      </x:c>
      <x:c r="G602" s="16" t="str">
        <x:v>+60177292979</x:v>
      </x:c>
      <x:c r="H602" s="16" t="str">
        <x:v>Excluded</x:v>
      </x:c>
      <x:c r="I602" s="16" t="str">
        <x:v>Missing email</x:v>
      </x:c>
    </x:row>
    <x:row r="603">
      <x:c r="A603" s="16" t="n">
        <x:v>600</x:v>
      </x:c>
      <x:c r="B603" s="16" t="str">
        <x:v>Alex</x:v>
      </x:c>
      <x:c r="C603" s="16" t="str"/>
      <x:c r="D603" s="16" t="str"/>
      <x:c r="E603" s="16" t="str">
        <x:v>* myContacts</x:v>
      </x:c>
      <x:c r="F603" s="16" t="str">
        <x:v>+6281909519709</x:v>
      </x:c>
      <x:c r="G603" s="16" t="str">
        <x:v>+6281909519709</x:v>
      </x:c>
      <x:c r="H603" s="16" t="str">
        <x:v>Excluded</x:v>
      </x:c>
      <x:c r="I603" s="16" t="str">
        <x:v>Missing email</x:v>
      </x:c>
    </x:row>
    <x:row r="604">
      <x:c r="A604" s="16" t="n">
        <x:v>601</x:v>
      </x:c>
      <x:c r="B604" s="16" t="str">
        <x:v>Alex Lex</x:v>
      </x:c>
      <x:c r="C604" s="16" t="str"/>
      <x:c r="D604" s="16" t="str"/>
      <x:c r="E604" s="16" t="str">
        <x:v>* myContacts</x:v>
      </x:c>
      <x:c r="F604" s="16" t="str">
        <x:v>+60174751601</x:v>
      </x:c>
      <x:c r="G604" s="16" t="str">
        <x:v>+60174751601</x:v>
      </x:c>
      <x:c r="H604" s="16" t="str">
        <x:v>Excluded</x:v>
      </x:c>
      <x:c r="I604" s="16" t="str">
        <x:v>Missing email</x:v>
      </x:c>
    </x:row>
    <x:row r="605">
      <x:c r="A605" s="16" t="n">
        <x:v>602</x:v>
      </x:c>
      <x:c r="B605" s="16" t="str">
        <x:v>Aleysha Aqis</x:v>
      </x:c>
      <x:c r="C605" s="16" t="str"/>
      <x:c r="D605" s="16" t="str"/>
      <x:c r="E605" s="16" t="str">
        <x:v>* myContacts</x:v>
      </x:c>
      <x:c r="F605" s="16" t="str">
        <x:v>+60128670329</x:v>
      </x:c>
      <x:c r="G605" s="16" t="str">
        <x:v>+60128670329</x:v>
      </x:c>
      <x:c r="H605" s="16" t="str">
        <x:v>Excluded</x:v>
      </x:c>
      <x:c r="I605" s="16" t="str">
        <x:v>Missing email</x:v>
      </x:c>
    </x:row>
    <x:row r="606">
      <x:c r="A606" s="16" t="n">
        <x:v>603</x:v>
      </x:c>
      <x:c r="B606" s="16" t="str">
        <x:v>Alfian HP Network</x:v>
      </x:c>
      <x:c r="C606" s="16" t="str"/>
      <x:c r="D606" s="16" t="str"/>
      <x:c r="E606" s="16" t="str">
        <x:v>* myContacts</x:v>
      </x:c>
      <x:c r="F606" s="16" t="str">
        <x:v>012-328 6443 | +60123286443</x:v>
      </x:c>
      <x:c r="G606" s="16" t="str">
        <x:v>+60123286443 | +60123286443</x:v>
      </x:c>
      <x:c r="H606" s="16" t="str">
        <x:v>Excluded</x:v>
      </x:c>
      <x:c r="I606" s="16" t="str">
        <x:v>Missing email</x:v>
      </x:c>
    </x:row>
    <x:row r="607">
      <x:c r="A607" s="16" t="n">
        <x:v>604</x:v>
      </x:c>
      <x:c r="B607" s="16" t="str">
        <x:v>Algh Faizzal Ahmad</x:v>
      </x:c>
      <x:c r="C607" s="16" t="str"/>
      <x:c r="D607" s="16" t="str"/>
      <x:c r="E607" s="16" t="str">
        <x:v>* myContacts</x:v>
      </x:c>
      <x:c r="F607" s="16" t="str">
        <x:v>+601135757165</x:v>
      </x:c>
      <x:c r="G607" s="16" t="str">
        <x:v>+601135757165</x:v>
      </x:c>
      <x:c r="H607" s="16" t="str">
        <x:v>Excluded</x:v>
      </x:c>
      <x:c r="I607" s="16" t="str">
        <x:v>Missing email</x:v>
      </x:c>
    </x:row>
    <x:row r="608">
      <x:c r="A608" s="16" t="n">
        <x:v>605</x:v>
      </x:c>
      <x:c r="B608" s="16" t="str">
        <x:v>Alha Nora</x:v>
      </x:c>
      <x:c r="C608" s="16" t="str"/>
      <x:c r="D608" s="16" t="str"/>
      <x:c r="E608" s="16" t="str">
        <x:v>* myContacts</x:v>
      </x:c>
      <x:c r="F608" s="16" t="str">
        <x:v>+60 14-920 0151 | +60149200151</x:v>
      </x:c>
      <x:c r="G608" s="16" t="str">
        <x:v>+60149200151 | +60149200151</x:v>
      </x:c>
      <x:c r="H608" s="16" t="str">
        <x:v>Excluded</x:v>
      </x:c>
      <x:c r="I608" s="16" t="str">
        <x:v>Missing email</x:v>
      </x:c>
    </x:row>
    <x:row r="609">
      <x:c r="A609" s="16" t="n">
        <x:v>606</x:v>
      </x:c>
      <x:c r="B609" s="16" t="str">
        <x:v>Ali</x:v>
      </x:c>
      <x:c r="C609" s="16" t="str"/>
      <x:c r="D609" s="16" t="str"/>
      <x:c r="E609" s="16" t="str">
        <x:v>* myContacts</x:v>
      </x:c>
      <x:c r="F609" s="16" t="str">
        <x:v>+601126248659</x:v>
      </x:c>
      <x:c r="G609" s="16" t="str">
        <x:v>+601126248659</x:v>
      </x:c>
      <x:c r="H609" s="16" t="str">
        <x:v>Excluded</x:v>
      </x:c>
      <x:c r="I609" s="16" t="str">
        <x:v>Missing email</x:v>
      </x:c>
    </x:row>
    <x:row r="610">
      <x:c r="A610" s="16" t="n">
        <x:v>607</x:v>
      </x:c>
      <x:c r="B610" s="16" t="str">
        <x:v>Ali Hasan</x:v>
      </x:c>
      <x:c r="C610" s="16" t="str"/>
      <x:c r="D610" s="16" t="str"/>
      <x:c r="E610" s="16" t="str">
        <x:v>* myContacts</x:v>
      </x:c>
      <x:c r="F610" s="16" t="str">
        <x:v>+6285794836718</x:v>
      </x:c>
      <x:c r="G610" s="16" t="str">
        <x:v>+6285794836718</x:v>
      </x:c>
      <x:c r="H610" s="16" t="str">
        <x:v>Excluded</x:v>
      </x:c>
      <x:c r="I610" s="16" t="str">
        <x:v>Missing email</x:v>
      </x:c>
    </x:row>
    <x:row r="611">
      <x:c r="A611" s="16" t="n">
        <x:v>608</x:v>
      </x:c>
      <x:c r="B611" s="16" t="str">
        <x:v>Ali Kamis</x:v>
      </x:c>
      <x:c r="C611" s="16" t="str"/>
      <x:c r="D611" s="16" t="str"/>
      <x:c r="E611" s="16" t="str">
        <x:v>* myContacts</x:v>
      </x:c>
      <x:c r="F611" s="16" t="str">
        <x:v>+60196741843</x:v>
      </x:c>
      <x:c r="G611" s="16" t="str">
        <x:v>+60196741843</x:v>
      </x:c>
      <x:c r="H611" s="16" t="str">
        <x:v>Excluded</x:v>
      </x:c>
      <x:c r="I611" s="16" t="str">
        <x:v>Missing email</x:v>
      </x:c>
    </x:row>
    <x:row r="612">
      <x:c r="A612" s="16" t="n">
        <x:v>609</x:v>
      </x:c>
      <x:c r="B612" s="16" t="str">
        <x:v>Ali Kimie</x:v>
      </x:c>
      <x:c r="C612" s="16" t="str"/>
      <x:c r="D612" s="16" t="str"/>
      <x:c r="E612" s="16" t="str">
        <x:v>* myContacts</x:v>
      </x:c>
      <x:c r="F612" s="16" t="str">
        <x:v>+60199865104</x:v>
      </x:c>
      <x:c r="G612" s="16" t="str">
        <x:v>+60199865104</x:v>
      </x:c>
      <x:c r="H612" s="16" t="str">
        <x:v>Excluded</x:v>
      </x:c>
      <x:c r="I612" s="16" t="str">
        <x:v>Missing email</x:v>
      </x:c>
    </x:row>
    <x:row r="613">
      <x:c r="A613" s="16" t="n">
        <x:v>610</x:v>
      </x:c>
      <x:c r="B613" s="16" t="str">
        <x:v>Ali Maslina</x:v>
      </x:c>
      <x:c r="C613" s="16" t="str"/>
      <x:c r="D613" s="16" t="str"/>
      <x:c r="E613" s="16" t="str">
        <x:v>* myContacts</x:v>
      </x:c>
      <x:c r="F613" s="16" t="str">
        <x:v>+60162577375</x:v>
      </x:c>
      <x:c r="G613" s="16" t="str">
        <x:v>+60162577375</x:v>
      </x:c>
      <x:c r="H613" s="16" t="str">
        <x:v>Excluded</x:v>
      </x:c>
      <x:c r="I613" s="16" t="str">
        <x:v>Missing email</x:v>
      </x:c>
    </x:row>
    <x:row r="614">
      <x:c r="A614" s="16" t="n">
        <x:v>611</x:v>
      </x:c>
      <x:c r="B614" s="16" t="str">
        <x:v>Ali Sanoosi</x:v>
      </x:c>
      <x:c r="C614" s="16" t="str"/>
      <x:c r="D614" s="16" t="str"/>
      <x:c r="E614" s="16" t="str">
        <x:v>* myContacts</x:v>
      </x:c>
      <x:c r="F614" s="16" t="str">
        <x:v>+9609139111</x:v>
      </x:c>
      <x:c r="G614" s="16" t="str">
        <x:v>+9609139111</x:v>
      </x:c>
      <x:c r="H614" s="16" t="str">
        <x:v>Excluded</x:v>
      </x:c>
      <x:c r="I614" s="16" t="str">
        <x:v>Missing email</x:v>
      </x:c>
    </x:row>
    <x:row r="615">
      <x:c r="A615" s="16" t="n">
        <x:v>612</x:v>
      </x:c>
      <x:c r="B615" s="16" t="str">
        <x:v>Ali ST III</x:v>
      </x:c>
      <x:c r="C615" s="16" t="str"/>
      <x:c r="D615" s="16" t="str"/>
      <x:c r="E615" s="16" t="str">
        <x:v>* myContacts</x:v>
      </x:c>
      <x:c r="F615" s="16" t="str">
        <x:v>+60195272799</x:v>
      </x:c>
      <x:c r="G615" s="16" t="str">
        <x:v>+60195272799</x:v>
      </x:c>
      <x:c r="H615" s="16" t="str">
        <x:v>Excluded</x:v>
      </x:c>
      <x:c r="I615" s="16" t="str">
        <x:v>Missing email</x:v>
      </x:c>
    </x:row>
    <x:row r="616">
      <x:c r="A616" s="16" t="n">
        <x:v>613</x:v>
      </x:c>
      <x:c r="B616" s="16" t="str">
        <x:v>Alia Ainaa</x:v>
      </x:c>
      <x:c r="C616" s="16" t="str"/>
      <x:c r="D616" s="16" t="str"/>
      <x:c r="E616" s="16" t="str">
        <x:v>* myContacts</x:v>
      </x:c>
      <x:c r="F616" s="16" t="str">
        <x:v>+60179546033</x:v>
      </x:c>
      <x:c r="G616" s="16" t="str">
        <x:v>+60179546033</x:v>
      </x:c>
      <x:c r="H616" s="16" t="str">
        <x:v>Excluded</x:v>
      </x:c>
      <x:c r="I616" s="16" t="str">
        <x:v>Missing email</x:v>
      </x:c>
    </x:row>
    <x:row r="617">
      <x:c r="A617" s="16" t="n">
        <x:v>614</x:v>
      </x:c>
      <x:c r="B617" s="16" t="str">
        <x:v>Alia Amira Trainer Provider</x:v>
      </x:c>
      <x:c r="C617" s="16" t="str"/>
      <x:c r="D617" s="16" t="str"/>
      <x:c r="E617" s="16" t="str">
        <x:v>Trainer | * myContacts</x:v>
      </x:c>
      <x:c r="F617" s="16" t="str">
        <x:v>+60164208128</x:v>
      </x:c>
      <x:c r="G617" s="16" t="str">
        <x:v>+60164208128</x:v>
      </x:c>
      <x:c r="H617" s="16" t="str">
        <x:v>Excluded</x:v>
      </x:c>
      <x:c r="I617" s="16" t="str">
        <x:v>Missing email</x:v>
      </x:c>
    </x:row>
    <x:row r="618">
      <x:c r="A618" s="16" t="n">
        <x:v>615</x:v>
      </x:c>
      <x:c r="B618" s="16" t="str">
        <x:v>Alia Diana Ahmad</x:v>
      </x:c>
      <x:c r="C618" s="16" t="str"/>
      <x:c r="D618" s="16" t="str"/>
      <x:c r="E618" s="16" t="str">
        <x:v>* myContacts</x:v>
      </x:c>
      <x:c r="F618" s="16" t="str">
        <x:v>+60177293793</x:v>
      </x:c>
      <x:c r="G618" s="16" t="str">
        <x:v>+60177293793</x:v>
      </x:c>
      <x:c r="H618" s="16" t="str">
        <x:v>Excluded</x:v>
      </x:c>
      <x:c r="I618" s="16" t="str">
        <x:v>Missing email</x:v>
      </x:c>
    </x:row>
    <x:row r="619">
      <x:c r="A619" s="16" t="n">
        <x:v>616</x:v>
      </x:c>
      <x:c r="B619" s="16" t="str">
        <x:v>Alia Natasya</x:v>
      </x:c>
      <x:c r="C619" s="16" t="str"/>
      <x:c r="D619" s="16" t="str"/>
      <x:c r="E619" s="16" t="str">
        <x:v>* myContacts</x:v>
      </x:c>
      <x:c r="F619" s="16" t="str">
        <x:v>+60175076520</x:v>
      </x:c>
      <x:c r="G619" s="16" t="str">
        <x:v>+60175076520</x:v>
      </x:c>
      <x:c r="H619" s="16" t="str">
        <x:v>Excluded</x:v>
      </x:c>
      <x:c r="I619" s="16" t="str">
        <x:v>Missing email</x:v>
      </x:c>
    </x:row>
    <x:row r="620">
      <x:c r="A620" s="16" t="n">
        <x:v>617</x:v>
      </x:c>
      <x:c r="B620" s="16" t="str">
        <x:v>Alias Yusof</x:v>
      </x:c>
      <x:c r="C620" s="16" t="str"/>
      <x:c r="D620" s="16" t="str"/>
      <x:c r="E620" s="16" t="str">
        <x:v>* myContacts</x:v>
      </x:c>
      <x:c r="F620" s="16" t="str">
        <x:v>+60182161667</x:v>
      </x:c>
      <x:c r="G620" s="16" t="str">
        <x:v>+60182161667</x:v>
      </x:c>
      <x:c r="H620" s="16" t="str">
        <x:v>Excluded</x:v>
      </x:c>
      <x:c r="I620" s="16" t="str">
        <x:v>Missing email</x:v>
      </x:c>
    </x:row>
    <x:row r="621">
      <x:c r="A621" s="16" t="n">
        <x:v>618</x:v>
      </x:c>
      <x:c r="B621" s="16" t="str">
        <x:v>Alice CECE Digital Trainer Specialist</x:v>
      </x:c>
      <x:c r="C621" s="16" t="str"/>
      <x:c r="D621" s="16" t="str"/>
      <x:c r="E621" s="16" t="str">
        <x:v>* myContacts</x:v>
      </x:c>
      <x:c r="F621" s="16" t="str">
        <x:v>+60 17-642 9551 | +60176429551</x:v>
      </x:c>
      <x:c r="G621" s="16" t="str">
        <x:v>+60176429551 | +60176429551</x:v>
      </x:c>
      <x:c r="H621" s="16" t="str">
        <x:v>Excluded</x:v>
      </x:c>
      <x:c r="I621" s="16" t="str">
        <x:v>Missing email</x:v>
      </x:c>
    </x:row>
    <x:row r="622">
      <x:c r="A622" s="16" t="n">
        <x:v>619</x:v>
      </x:c>
      <x:c r="B622" s="16" t="str">
        <x:v>Alie Cynkk Idha</x:v>
      </x:c>
      <x:c r="C622" s="16" t="str"/>
      <x:c r="D622" s="16" t="str"/>
      <x:c r="E622" s="16" t="str">
        <x:v>* myContacts</x:v>
      </x:c>
      <x:c r="F622" s="16" t="str">
        <x:v>+6285252992793</x:v>
      </x:c>
      <x:c r="G622" s="16" t="str">
        <x:v>+6285252992793</x:v>
      </x:c>
      <x:c r="H622" s="16" t="str">
        <x:v>Excluded</x:v>
      </x:c>
      <x:c r="I622" s="16" t="str">
        <x:v>Missing email</x:v>
      </x:c>
    </x:row>
    <x:row r="623">
      <x:c r="A623" s="16" t="n">
        <x:v>620</x:v>
      </x:c>
      <x:c r="B623" s="16" t="str">
        <x:v>Aliesha Nabiela</x:v>
      </x:c>
      <x:c r="C623" s="16" t="str"/>
      <x:c r="D623" s="16" t="str"/>
      <x:c r="E623" s="16" t="str">
        <x:v>* myContacts</x:v>
      </x:c>
      <x:c r="F623" s="16" t="str">
        <x:v>+60149214294</x:v>
      </x:c>
      <x:c r="G623" s="16" t="str">
        <x:v>+60149214294</x:v>
      </x:c>
      <x:c r="H623" s="16" t="str">
        <x:v>Excluded</x:v>
      </x:c>
      <x:c r="I623" s="16" t="str">
        <x:v>Missing email</x:v>
      </x:c>
    </x:row>
    <x:row r="624">
      <x:c r="A624" s="16" t="n">
        <x:v>621</x:v>
      </x:c>
      <x:c r="B624" s="16" t="str">
        <x:v>Alif Alfa</x:v>
      </x:c>
      <x:c r="C624" s="16" t="str"/>
      <x:c r="D624" s="16" t="str"/>
      <x:c r="E624" s="16" t="str">
        <x:v>* myContacts</x:v>
      </x:c>
      <x:c r="F624" s="16" t="str">
        <x:v>+60165360315</x:v>
      </x:c>
      <x:c r="G624" s="16" t="str">
        <x:v>+60165360315</x:v>
      </x:c>
      <x:c r="H624" s="16" t="str">
        <x:v>Excluded</x:v>
      </x:c>
      <x:c r="I624" s="16" t="str">
        <x:v>Missing email</x:v>
      </x:c>
    </x:row>
    <x:row r="625">
      <x:c r="A625" s="16" t="n">
        <x:v>622</x:v>
      </x:c>
      <x:c r="B625" s="16" t="str">
        <x:v>Alif Alif</x:v>
      </x:c>
      <x:c r="C625" s="16" t="str"/>
      <x:c r="D625" s="16" t="str"/>
      <x:c r="E625" s="16" t="str">
        <x:v>* myContacts</x:v>
      </x:c>
      <x:c r="F625" s="16" t="str">
        <x:v>+60139472091</x:v>
      </x:c>
      <x:c r="G625" s="16" t="str">
        <x:v>+60139472091</x:v>
      </x:c>
      <x:c r="H625" s="16" t="str">
        <x:v>Excluded</x:v>
      </x:c>
      <x:c r="I625" s="16" t="str">
        <x:v>Missing email</x:v>
      </x:c>
    </x:row>
    <x:row r="626">
      <x:c r="A626" s="16" t="n">
        <x:v>623</x:v>
      </x:c>
      <x:c r="B626" s="16" t="str">
        <x:v>Alif Ikhwan</x:v>
      </x:c>
      <x:c r="C626" s="16" t="str"/>
      <x:c r="D626" s="16" t="str"/>
      <x:c r="E626" s="16" t="str">
        <x:v>* myContacts</x:v>
      </x:c>
      <x:c r="F626" s="16" t="str">
        <x:v>+60146342940</x:v>
      </x:c>
      <x:c r="G626" s="16" t="str">
        <x:v>+60146342940</x:v>
      </x:c>
      <x:c r="H626" s="16" t="str">
        <x:v>Excluded</x:v>
      </x:c>
      <x:c r="I626" s="16" t="str">
        <x:v>Missing email</x:v>
      </x:c>
    </x:row>
    <x:row r="627">
      <x:c r="A627" s="16" t="n">
        <x:v>624</x:v>
      </x:c>
      <x:c r="B627" s="16" t="str">
        <x:v>Alif Iskandar Ghazalli</x:v>
      </x:c>
      <x:c r="C627" s="16" t="str"/>
      <x:c r="D627" s="16" t="str"/>
      <x:c r="E627" s="16" t="str">
        <x:v>* myContacts</x:v>
      </x:c>
      <x:c r="F627" s="16" t="str">
        <x:v>+60193954781</x:v>
      </x:c>
      <x:c r="G627" s="16" t="str">
        <x:v>+60193954781</x:v>
      </x:c>
      <x:c r="H627" s="16" t="str">
        <x:v>Excluded</x:v>
      </x:c>
      <x:c r="I627" s="16" t="str">
        <x:v>Missing email</x:v>
      </x:c>
    </x:row>
    <x:row r="628">
      <x:c r="A628" s="16" t="n">
        <x:v>625</x:v>
      </x:c>
      <x:c r="B628" s="16" t="str">
        <x:v>Alif Mdec IM</x:v>
      </x:c>
      <x:c r="C628" s="16" t="str"/>
      <x:c r="D628" s="16" t="str"/>
      <x:c r="E628" s="16" t="str">
        <x:v>* myContacts</x:v>
      </x:c>
      <x:c r="F628" s="16" t="str">
        <x:v>+60 11-2373 0729 | +601123730729</x:v>
      </x:c>
      <x:c r="G628" s="16" t="str">
        <x:v>+601123730729 | +601123730729</x:v>
      </x:c>
      <x:c r="H628" s="16" t="str">
        <x:v>Excluded</x:v>
      </x:c>
      <x:c r="I628" s="16" t="str">
        <x:v>Missing email</x:v>
      </x:c>
    </x:row>
    <x:row r="629">
      <x:c r="A629" s="16" t="n">
        <x:v>626</x:v>
      </x:c>
      <x:c r="B629" s="16" t="str">
        <x:v>Alif Onpay</x:v>
      </x:c>
      <x:c r="C629" s="16" t="str"/>
      <x:c r="D629" s="16" t="str"/>
      <x:c r="E629" s="16" t="str">
        <x:v>* myContacts</x:v>
      </x:c>
      <x:c r="F629" s="16" t="str">
        <x:v>60126555446 | +60126555446</x:v>
      </x:c>
      <x:c r="G629" s="16" t="str">
        <x:v>+60126555446 | +60126555446</x:v>
      </x:c>
      <x:c r="H629" s="16" t="str">
        <x:v>Excluded</x:v>
      </x:c>
      <x:c r="I629" s="16" t="str">
        <x:v>Missing email</x:v>
      </x:c>
    </x:row>
    <x:row r="630">
      <x:c r="A630" s="16" t="n">
        <x:v>627</x:v>
      </x:c>
      <x:c r="B630" s="16" t="str">
        <x:v>Alif Programmer</x:v>
      </x:c>
      <x:c r="C630" s="16" t="str"/>
      <x:c r="D630" s="16" t="str"/>
      <x:c r="E630" s="16" t="str">
        <x:v>* myContacts</x:v>
      </x:c>
      <x:c r="F630" s="16" t="str">
        <x:v>017-247 8236 | +60172478236</x:v>
      </x:c>
      <x:c r="G630" s="16" t="str">
        <x:v>+60172478236 | +60172478236</x:v>
      </x:c>
      <x:c r="H630" s="16" t="str">
        <x:v>Excluded</x:v>
      </x:c>
      <x:c r="I630" s="16" t="str">
        <x:v>Missing email</x:v>
      </x:c>
    </x:row>
    <x:row r="631">
      <x:c r="A631" s="16" t="n">
        <x:v>628</x:v>
      </x:c>
      <x:c r="B631" s="16" t="str">
        <x:v>Alif Rahimi</x:v>
      </x:c>
      <x:c r="C631" s="16" t="str"/>
      <x:c r="D631" s="16" t="str"/>
      <x:c r="E631" s="16" t="str">
        <x:v>* myContacts</x:v>
      </x:c>
      <x:c r="F631" s="16" t="str">
        <x:v>+60185730722</x:v>
      </x:c>
      <x:c r="G631" s="16" t="str">
        <x:v>+60185730722</x:v>
      </x:c>
      <x:c r="H631" s="16" t="str">
        <x:v>Excluded</x:v>
      </x:c>
      <x:c r="I631" s="16" t="str">
        <x:v>Missing email</x:v>
      </x:c>
    </x:row>
    <x:row r="632">
      <x:c r="A632" s="16" t="n">
        <x:v>629</x:v>
      </x:c>
      <x:c r="B632" s="16" t="str">
        <x:v>Alif Saparpey Spieeu</x:v>
      </x:c>
      <x:c r="C632" s="16" t="str"/>
      <x:c r="D632" s="16" t="str"/>
      <x:c r="E632" s="16" t="str">
        <x:v>* myContacts</x:v>
      </x:c>
      <x:c r="F632" s="16" t="str">
        <x:v>+60172946071</x:v>
      </x:c>
      <x:c r="G632" s="16" t="str">
        <x:v>+60172946071</x:v>
      </x:c>
      <x:c r="H632" s="16" t="str">
        <x:v>Excluded</x:v>
      </x:c>
      <x:c r="I632" s="16" t="str">
        <x:v>Missing email</x:v>
      </x:c>
    </x:row>
    <x:row r="633">
      <x:c r="A633" s="16" t="n">
        <x:v>630</x:v>
      </x:c>
      <x:c r="B633" s="16" t="str">
        <x:v>Alif Shafik</x:v>
      </x:c>
      <x:c r="C633" s="16" t="str"/>
      <x:c r="D633" s="16" t="str"/>
      <x:c r="E633" s="16" t="str">
        <x:v>* myContacts</x:v>
      </x:c>
      <x:c r="F633" s="16" t="str">
        <x:v>+60134373677</x:v>
      </x:c>
      <x:c r="G633" s="16" t="str">
        <x:v>+60134373677</x:v>
      </x:c>
      <x:c r="H633" s="16" t="str">
        <x:v>Excluded</x:v>
      </x:c>
      <x:c r="I633" s="16" t="str">
        <x:v>Missing email</x:v>
      </x:c>
    </x:row>
    <x:row r="634">
      <x:c r="A634" s="16" t="n">
        <x:v>631</x:v>
      </x:c>
      <x:c r="B634" s="16" t="str">
        <x:v>Alif Yu</x:v>
      </x:c>
      <x:c r="C634" s="16" t="str"/>
      <x:c r="D634" s="16" t="str"/>
      <x:c r="E634" s="16" t="str">
        <x:v>* myContacts</x:v>
      </x:c>
      <x:c r="F634" s="16" t="str">
        <x:v>+60173192916</x:v>
      </x:c>
      <x:c r="G634" s="16" t="str">
        <x:v>+60173192916</x:v>
      </x:c>
      <x:c r="H634" s="16" t="str">
        <x:v>Excluded</x:v>
      </x:c>
      <x:c r="I634" s="16" t="str">
        <x:v>Missing email</x:v>
      </x:c>
    </x:row>
    <x:row r="635">
      <x:c r="A635" s="16" t="n">
        <x:v>632</x:v>
      </x:c>
      <x:c r="B635" s="16" t="str">
        <x:v>Aliff</x:v>
      </x:c>
      <x:c r="C635" s="16" t="str">
        <x:v>sehanzu87@yahoo.com</x:v>
      </x:c>
      <x:c r="D635" s="16" t="str">
        <x:v>sehanzu87@yahoo.com</x:v>
      </x:c>
      <x:c r="E635" s="16" t="str">
        <x:v>* myContacts</x:v>
      </x:c>
      <x:c r="F635" s="16" t="str">
        <x:v>+60 11-6250 9183 | +601162509183 | +60 11-1072 1347</x:v>
      </x:c>
      <x:c r="G635" s="16" t="str">
        <x:v>+601162509183 | +601162509183 | +601110721347</x:v>
      </x:c>
      <x:c r="H635" s="16" t="str">
        <x:v>Eligible</x:v>
      </x:c>
      <x:c r="I635" s="16" t="str"/>
    </x:row>
    <x:row r="636">
      <x:c r="A636" s="16" t="n">
        <x:v>633</x:v>
      </x:c>
      <x:c r="B636" s="16" t="str">
        <x:v>Aliff Chubbie</x:v>
      </x:c>
      <x:c r="C636" s="16" t="str"/>
      <x:c r="D636" s="16" t="str"/>
      <x:c r="E636" s="16" t="str">
        <x:v>* myContacts</x:v>
      </x:c>
      <x:c r="F636" s="16" t="str">
        <x:v>+60147326176</x:v>
      </x:c>
      <x:c r="G636" s="16" t="str">
        <x:v>+60147326176</x:v>
      </x:c>
      <x:c r="H636" s="16" t="str">
        <x:v>Excluded</x:v>
      </x:c>
      <x:c r="I636" s="16" t="str">
        <x:v>Missing email</x:v>
      </x:c>
    </x:row>
    <x:row r="637">
      <x:c r="A637" s="16" t="n">
        <x:v>634</x:v>
      </x:c>
      <x:c r="B637" s="16" t="str">
        <x:v>Aliff Ifzlan</x:v>
      </x:c>
      <x:c r="C637" s="16" t="str"/>
      <x:c r="D637" s="16" t="str"/>
      <x:c r="E637" s="16" t="str">
        <x:v>* myContacts</x:v>
      </x:c>
      <x:c r="F637" s="16" t="str">
        <x:v>+60197277424</x:v>
      </x:c>
      <x:c r="G637" s="16" t="str">
        <x:v>+60197277424</x:v>
      </x:c>
      <x:c r="H637" s="16" t="str">
        <x:v>Excluded</x:v>
      </x:c>
      <x:c r="I637" s="16" t="str">
        <x:v>Missing email</x:v>
      </x:c>
    </x:row>
    <x:row r="638">
      <x:c r="A638" s="16" t="n">
        <x:v>635</x:v>
      </x:c>
      <x:c r="B638" s="16" t="str">
        <x:v>Aliff Kechik</x:v>
      </x:c>
      <x:c r="C638" s="16" t="str"/>
      <x:c r="D638" s="16" t="str"/>
      <x:c r="E638" s="16" t="str">
        <x:v>* myContacts</x:v>
      </x:c>
      <x:c r="F638" s="16" t="str">
        <x:v>+60175493130</x:v>
      </x:c>
      <x:c r="G638" s="16" t="str">
        <x:v>+60175493130</x:v>
      </x:c>
      <x:c r="H638" s="16" t="str">
        <x:v>Excluded</x:v>
      </x:c>
      <x:c r="I638" s="16" t="str">
        <x:v>Missing email</x:v>
      </x:c>
    </x:row>
    <x:row r="639">
      <x:c r="A639" s="16" t="n">
        <x:v>636</x:v>
      </x:c>
      <x:c r="B639" s="16" t="str">
        <x:v>Aliff Kechix</x:v>
      </x:c>
      <x:c r="C639" s="16" t="str"/>
      <x:c r="D639" s="16" t="str"/>
      <x:c r="E639" s="16" t="str">
        <x:v>* myContacts</x:v>
      </x:c>
      <x:c r="F639" s="16" t="str">
        <x:v>+601123549400</x:v>
      </x:c>
      <x:c r="G639" s="16" t="str">
        <x:v>+601123549400</x:v>
      </x:c>
      <x:c r="H639" s="16" t="str">
        <x:v>Excluded</x:v>
      </x:c>
      <x:c r="I639" s="16" t="str">
        <x:v>Missing email</x:v>
      </x:c>
    </x:row>
    <x:row r="640">
      <x:c r="A640" s="16" t="n">
        <x:v>637</x:v>
      </x:c>
      <x:c r="B640" s="16" t="str">
        <x:v>Aliff Qushairy</x:v>
      </x:c>
      <x:c r="C640" s="16" t="str"/>
      <x:c r="D640" s="16" t="str"/>
      <x:c r="E640" s="16" t="str">
        <x:v>* myContacts</x:v>
      </x:c>
      <x:c r="F640" s="16" t="str">
        <x:v>+60165752073</x:v>
      </x:c>
      <x:c r="G640" s="16" t="str">
        <x:v>+60165752073</x:v>
      </x:c>
      <x:c r="H640" s="16" t="str">
        <x:v>Excluded</x:v>
      </x:c>
      <x:c r="I640" s="16" t="str">
        <x:v>Missing email</x:v>
      </x:c>
    </x:row>
    <x:row r="641">
      <x:c r="A641" s="16" t="n">
        <x:v>638</x:v>
      </x:c>
      <x:c r="B641" s="16" t="str">
        <x:v>Aliff Shahh</x:v>
      </x:c>
      <x:c r="C641" s="16" t="str"/>
      <x:c r="D641" s="16" t="str"/>
      <x:c r="E641" s="16" t="str">
        <x:v>* myContacts</x:v>
      </x:c>
      <x:c r="F641" s="16" t="str">
        <x:v>+60197921176</x:v>
      </x:c>
      <x:c r="G641" s="16" t="str">
        <x:v>+60197921176</x:v>
      </x:c>
      <x:c r="H641" s="16" t="str">
        <x:v>Excluded</x:v>
      </x:c>
      <x:c r="I641" s="16" t="str">
        <x:v>Missing email</x:v>
      </x:c>
    </x:row>
    <x:row r="642">
      <x:c r="A642" s="16" t="n">
        <x:v>639</x:v>
      </x:c>
      <x:c r="B642" s="16" t="str">
        <x:v>Aliff Zainal</x:v>
      </x:c>
      <x:c r="C642" s="16" t="str"/>
      <x:c r="D642" s="16" t="str"/>
      <x:c r="E642" s="16" t="str">
        <x:v>* myContacts</x:v>
      </x:c>
      <x:c r="F642" s="16" t="str">
        <x:v>+60174528471</x:v>
      </x:c>
      <x:c r="G642" s="16" t="str">
        <x:v>+60174528471</x:v>
      </x:c>
      <x:c r="H642" s="16" t="str">
        <x:v>Excluded</x:v>
      </x:c>
      <x:c r="I642" s="16" t="str">
        <x:v>Missing email</x:v>
      </x:c>
    </x:row>
    <x:row r="643">
      <x:c r="A643" s="16" t="n">
        <x:v>640</x:v>
      </x:c>
      <x:c r="B643" s="16" t="str">
        <x:v>Aliffaqiss Tentang Dia</x:v>
      </x:c>
      <x:c r="C643" s="16" t="str"/>
      <x:c r="D643" s="16" t="str"/>
      <x:c r="E643" s="16" t="str">
        <x:v>* myContacts</x:v>
      </x:c>
      <x:c r="F643" s="16" t="str">
        <x:v>+60195922170</x:v>
      </x:c>
      <x:c r="G643" s="16" t="str">
        <x:v>+60195922170</x:v>
      </x:c>
      <x:c r="H643" s="16" t="str">
        <x:v>Excluded</x:v>
      </x:c>
      <x:c r="I643" s="16" t="str">
        <x:v>Missing email</x:v>
      </x:c>
    </x:row>
    <x:row r="644">
      <x:c r="A644" s="16" t="n">
        <x:v>641</x:v>
      </x:c>
      <x:c r="B644" s="16" t="str">
        <x:v>Alijaan Work</x:v>
      </x:c>
      <x:c r="C644" s="16" t="str"/>
      <x:c r="D644" s="16" t="str"/>
      <x:c r="E644" s="16" t="str">
        <x:v>* myContacts</x:v>
      </x:c>
      <x:c r="F644" s="16" t="str">
        <x:v>+60173888853</x:v>
      </x:c>
      <x:c r="G644" s="16" t="str">
        <x:v>+60173888853</x:v>
      </x:c>
      <x:c r="H644" s="16" t="str">
        <x:v>Excluded</x:v>
      </x:c>
      <x:c r="I644" s="16" t="str">
        <x:v>Missing email</x:v>
      </x:c>
    </x:row>
    <x:row r="645">
      <x:c r="A645" s="16" t="n">
        <x:v>642</x:v>
      </x:c>
      <x:c r="B645" s="16" t="str">
        <x:v>Alikhsan IOI</x:v>
      </x:c>
      <x:c r="C645" s="16" t="str">
        <x:v>ioi@al-ikhsan.com.my</x:v>
      </x:c>
      <x:c r="D645" s="16" t="str">
        <x:v>ioi@al-ikhsan.com.my</x:v>
      </x:c>
      <x:c r="E645" s="16" t="str">
        <x:v>* myContacts</x:v>
      </x:c>
      <x:c r="F645" s="16" t="str">
        <x:v>0137498422 | +60137498422</x:v>
      </x:c>
      <x:c r="G645" s="16" t="str">
        <x:v>+60137498422 | +60137498422</x:v>
      </x:c>
      <x:c r="H645" s="16" t="str">
        <x:v>Eligible</x:v>
      </x:c>
      <x:c r="I645" s="16" t="str"/>
    </x:row>
    <x:row r="646">
      <x:c r="A646" s="16" t="n">
        <x:v>643</x:v>
      </x:c>
      <x:c r="B646" s="16" t="str">
        <x:v>Alimin Aja</x:v>
      </x:c>
      <x:c r="C646" s="16" t="str"/>
      <x:c r="D646" s="16" t="str"/>
      <x:c r="E646" s="16" t="str">
        <x:v>* myContacts</x:v>
      </x:c>
      <x:c r="F646" s="16" t="str">
        <x:v>+60142044809</x:v>
      </x:c>
      <x:c r="G646" s="16" t="str">
        <x:v>+60142044809</x:v>
      </x:c>
      <x:c r="H646" s="16" t="str">
        <x:v>Excluded</x:v>
      </x:c>
      <x:c r="I646" s="16" t="str">
        <x:v>Missing email</x:v>
      </x:c>
    </x:row>
    <x:row r="647">
      <x:c r="A647" s="16" t="n">
        <x:v>644</x:v>
      </x:c>
      <x:c r="B647" s="16" t="str">
        <x:v>Alin Azlin</x:v>
      </x:c>
      <x:c r="C647" s="16" t="str"/>
      <x:c r="D647" s="16" t="str"/>
      <x:c r="E647" s="16" t="str">
        <x:v>* myContacts</x:v>
      </x:c>
      <x:c r="F647" s="16" t="str">
        <x:v>+60124809721</x:v>
      </x:c>
      <x:c r="G647" s="16" t="str">
        <x:v>+60124809721</x:v>
      </x:c>
      <x:c r="H647" s="16" t="str">
        <x:v>Excluded</x:v>
      </x:c>
      <x:c r="I647" s="16" t="str">
        <x:v>Missing email</x:v>
      </x:c>
    </x:row>
    <x:row r="648">
      <x:c r="A648" s="16" t="n">
        <x:v>645</x:v>
      </x:c>
      <x:c r="B648" s="16" t="str">
        <x:v>Alin Mhd Noor</x:v>
      </x:c>
      <x:c r="C648" s="16" t="str"/>
      <x:c r="D648" s="16" t="str"/>
      <x:c r="E648" s="16" t="str">
        <x:v>* myContacts</x:v>
      </x:c>
      <x:c r="F648" s="16" t="str">
        <x:v>+60189832873</x:v>
      </x:c>
      <x:c r="G648" s="16" t="str">
        <x:v>+60189832873</x:v>
      </x:c>
      <x:c r="H648" s="16" t="str">
        <x:v>Excluded</x:v>
      </x:c>
      <x:c r="I648" s="16" t="str">
        <x:v>Missing email</x:v>
      </x:c>
    </x:row>
    <x:row r="649">
      <x:c r="A649" s="16" t="n">
        <x:v>646</x:v>
      </x:c>
      <x:c r="B649" s="16" t="str">
        <x:v>Alin Sylen</x:v>
      </x:c>
      <x:c r="C649" s="16" t="str"/>
      <x:c r="D649" s="16" t="str"/>
      <x:c r="E649" s="16" t="str">
        <x:v>* myContacts</x:v>
      </x:c>
      <x:c r="F649" s="16" t="str">
        <x:v>+60145632450</x:v>
      </x:c>
      <x:c r="G649" s="16" t="str">
        <x:v>+60145632450</x:v>
      </x:c>
      <x:c r="H649" s="16" t="str">
        <x:v>Excluded</x:v>
      </x:c>
      <x:c r="I649" s="16" t="str">
        <x:v>Missing email</x:v>
      </x:c>
    </x:row>
    <x:row r="650">
      <x:c r="A650" s="16" t="n">
        <x:v>647</x:v>
      </x:c>
      <x:c r="B650" s="16" t="str">
        <x:v>Alip Uitm Practical</x:v>
      </x:c>
      <x:c r="C650" s="16" t="str"/>
      <x:c r="D650" s="16" t="str"/>
      <x:c r="E650" s="16" t="str">
        <x:v>* myContacts</x:v>
      </x:c>
      <x:c r="F650" s="16" t="str">
        <x:v>+60195918447 | +60 10-452 1097 | +60195918447 | +60104521097</x:v>
      </x:c>
      <x:c r="G650" s="16" t="str">
        <x:v>+60195918447 | +60104521097 | +60195918447 | +60104521097</x:v>
      </x:c>
      <x:c r="H650" s="16" t="str">
        <x:v>Excluded</x:v>
      </x:c>
      <x:c r="I650" s="16" t="str">
        <x:v>Missing email</x:v>
      </x:c>
    </x:row>
    <x:row r="651">
      <x:c r="A651" s="16" t="n">
        <x:v>648</x:v>
      </x:c>
      <x:c r="B651" s="16" t="str">
        <x:v>Aliya Atasha</x:v>
      </x:c>
      <x:c r="C651" s="16" t="str"/>
      <x:c r="D651" s="16" t="str"/>
      <x:c r="E651" s="16" t="str">
        <x:v>* myContacts</x:v>
      </x:c>
      <x:c r="F651" s="16" t="str">
        <x:v>+60172478930</x:v>
      </x:c>
      <x:c r="G651" s="16" t="str">
        <x:v>+60172478930</x:v>
      </x:c>
      <x:c r="H651" s="16" t="str">
        <x:v>Excluded</x:v>
      </x:c>
      <x:c r="I651" s="16" t="str">
        <x:v>Missing email</x:v>
      </x:c>
    </x:row>
    <x:row r="652">
      <x:c r="A652" s="16" t="n">
        <x:v>649</x:v>
      </x:c>
      <x:c r="B652" s="16" t="str">
        <x:v>Aliyn Lyn</x:v>
      </x:c>
      <x:c r="C652" s="16" t="str"/>
      <x:c r="D652" s="16" t="str"/>
      <x:c r="E652" s="16" t="str">
        <x:v>* myContacts</x:v>
      </x:c>
      <x:c r="F652" s="16" t="str">
        <x:v>+60126237567</x:v>
      </x:c>
      <x:c r="G652" s="16" t="str">
        <x:v>+60126237567</x:v>
      </x:c>
      <x:c r="H652" s="16" t="str">
        <x:v>Excluded</x:v>
      </x:c>
      <x:c r="I652" s="16" t="str">
        <x:v>Missing email</x:v>
      </x:c>
    </x:row>
    <x:row r="653">
      <x:c r="A653" s="16" t="n">
        <x:v>650</x:v>
      </x:c>
      <x:c r="B653" s="16" t="str">
        <x:v>Aliza Mansor</x:v>
      </x:c>
      <x:c r="C653" s="16" t="str"/>
      <x:c r="D653" s="16" t="str"/>
      <x:c r="E653" s="16" t="str">
        <x:v>* myContacts</x:v>
      </x:c>
      <x:c r="F653" s="16" t="str">
        <x:v>+60192195752</x:v>
      </x:c>
      <x:c r="G653" s="16" t="str">
        <x:v>+60192195752</x:v>
      </x:c>
      <x:c r="H653" s="16" t="str">
        <x:v>Excluded</x:v>
      </x:c>
      <x:c r="I653" s="16" t="str">
        <x:v>Missing email</x:v>
      </x:c>
    </x:row>
    <x:row r="654">
      <x:c r="A654" s="16" t="n">
        <x:v>651</x:v>
      </x:c>
      <x:c r="B654" s="16" t="str">
        <x:v>Alizam Harun</x:v>
      </x:c>
      <x:c r="C654" s="16" t="str"/>
      <x:c r="D654" s="16" t="str"/>
      <x:c r="E654" s="16" t="str">
        <x:v>* myContacts</x:v>
      </x:c>
      <x:c r="F654" s="16" t="str">
        <x:v>+60192307928</x:v>
      </x:c>
      <x:c r="G654" s="16" t="str">
        <x:v>+60192307928</x:v>
      </x:c>
      <x:c r="H654" s="16" t="str">
        <x:v>Excluded</x:v>
      </x:c>
      <x:c r="I654" s="16" t="str">
        <x:v>Missing email</x:v>
      </x:c>
    </x:row>
    <x:row r="655">
      <x:c r="A655" s="16" t="n">
        <x:v>652</x:v>
      </x:c>
      <x:c r="B655" s="16" t="str">
        <x:v>All Season</x:v>
      </x:c>
      <x:c r="C655" s="16" t="str"/>
      <x:c r="D655" s="16" t="str"/>
      <x:c r="E655" s="16" t="str">
        <x:v>* myContacts</x:v>
      </x:c>
      <x:c r="F655" s="16" t="str">
        <x:v>+60360879016</x:v>
      </x:c>
      <x:c r="G655" s="16" t="str">
        <x:v>+60360879016</x:v>
      </x:c>
      <x:c r="H655" s="16" t="str">
        <x:v>Excluded</x:v>
      </x:c>
      <x:c r="I655" s="16" t="str">
        <x:v>Missing email</x:v>
      </x:c>
    </x:row>
    <x:row r="656">
      <x:c r="A656" s="16" t="n">
        <x:v>653</x:v>
      </x:c>
      <x:c r="B656" s="16" t="str">
        <x:v>Allan Insken</x:v>
      </x:c>
      <x:c r="C656" s="16" t="str"/>
      <x:c r="D656" s="16" t="str"/>
      <x:c r="E656" s="16" t="str">
        <x:v>Alumni INSKEN | * myContacts</x:v>
      </x:c>
      <x:c r="F656" s="16" t="str">
        <x:v>+60 12-367 8953 | +60123678953</x:v>
      </x:c>
      <x:c r="G656" s="16" t="str">
        <x:v>+60123678953 | +60123678953</x:v>
      </x:c>
      <x:c r="H656" s="16" t="str">
        <x:v>Excluded</x:v>
      </x:c>
      <x:c r="I656" s="16" t="str">
        <x:v>Missing email</x:v>
      </x:c>
    </x:row>
    <x:row r="657">
      <x:c r="A657" s="16" t="n">
        <x:v>654</x:v>
      </x:c>
      <x:c r="B657" s="16" t="str">
        <x:v>Allan Lai Siau Loon</x:v>
      </x:c>
      <x:c r="C657" s="16" t="str"/>
      <x:c r="D657" s="16" t="str"/>
      <x:c r="E657" s="16" t="str">
        <x:v>* myContacts</x:v>
      </x:c>
      <x:c r="F657" s="16" t="str">
        <x:v>+60123701160</x:v>
      </x:c>
      <x:c r="G657" s="16" t="str">
        <x:v>+60123701160</x:v>
      </x:c>
      <x:c r="H657" s="16" t="str">
        <x:v>Excluded</x:v>
      </x:c>
      <x:c r="I657" s="16" t="str">
        <x:v>Missing email</x:v>
      </x:c>
    </x:row>
    <x:row r="658">
      <x:c r="A658" s="16" t="n">
        <x:v>655</x:v>
      </x:c>
      <x:c r="B658" s="16" t="str">
        <x:v>Allan Putra Sulung</x:v>
      </x:c>
      <x:c r="C658" s="16" t="str"/>
      <x:c r="D658" s="16" t="str"/>
      <x:c r="E658" s="16" t="str">
        <x:v>* myContacts</x:v>
      </x:c>
      <x:c r="F658" s="16" t="str">
        <x:v>+6285274403284</x:v>
      </x:c>
      <x:c r="G658" s="16" t="str">
        <x:v>+6285274403284</x:v>
      </x:c>
      <x:c r="H658" s="16" t="str">
        <x:v>Excluded</x:v>
      </x:c>
      <x:c r="I658" s="16" t="str">
        <x:v>Missing email</x:v>
      </x:c>
    </x:row>
    <x:row r="659">
      <x:c r="A659" s="16" t="n">
        <x:v>656</x:v>
      </x:c>
      <x:c r="B659" s="16" t="str">
        <x:v>Alo AnVirus</x:v>
      </x:c>
      <x:c r="C659" s="16" t="str"/>
      <x:c r="D659" s="16" t="str"/>
      <x:c r="E659" s="16" t="str">
        <x:v>* myContacts</x:v>
      </x:c>
      <x:c r="F659" s="16" t="str">
        <x:v>+60105709162</x:v>
      </x:c>
      <x:c r="G659" s="16" t="str">
        <x:v>+60105709162</x:v>
      </x:c>
      <x:c r="H659" s="16" t="str">
        <x:v>Excluded</x:v>
      </x:c>
      <x:c r="I659" s="16" t="str">
        <x:v>Missing email</x:v>
      </x:c>
    </x:row>
    <x:row r="660">
      <x:c r="A660" s="16" t="n">
        <x:v>657</x:v>
      </x:c>
      <x:c r="B660" s="16" t="str">
        <x:v>Along Pakar Cuci</x:v>
      </x:c>
      <x:c r="C660" s="16" t="str"/>
      <x:c r="D660" s="16" t="str"/>
      <x:c r="E660" s="16" t="str">
        <x:v>* myContacts</x:v>
      </x:c>
      <x:c r="F660" s="16" t="str">
        <x:v>+60193838274</x:v>
      </x:c>
      <x:c r="G660" s="16" t="str">
        <x:v>+60193838274</x:v>
      </x:c>
      <x:c r="H660" s="16" t="str">
        <x:v>Excluded</x:v>
      </x:c>
      <x:c r="I660" s="16" t="str">
        <x:v>Missing email</x:v>
      </x:c>
    </x:row>
    <x:row r="661">
      <x:c r="A661" s="16" t="n">
        <x:v>658</x:v>
      </x:c>
      <x:c r="B661" s="16" t="str">
        <x:v>Along Wahab</x:v>
      </x:c>
      <x:c r="C661" s="16" t="str"/>
      <x:c r="D661" s="16" t="str"/>
      <x:c r="E661" s="16" t="str">
        <x:v>* myContacts</x:v>
      </x:c>
      <x:c r="F661" s="16" t="str">
        <x:v>+60134877087</x:v>
      </x:c>
      <x:c r="G661" s="16" t="str">
        <x:v>+60134877087</x:v>
      </x:c>
      <x:c r="H661" s="16" t="str">
        <x:v>Excluded</x:v>
      </x:c>
      <x:c r="I661" s="16" t="str">
        <x:v>Missing email</x:v>
      </x:c>
    </x:row>
    <x:row r="662">
      <x:c r="A662" s="16" t="n">
        <x:v>659</x:v>
      </x:c>
      <x:c r="B662" s="16" t="str">
        <x:v>Alshibal Bin Eddie</x:v>
      </x:c>
      <x:c r="C662" s="16" t="str"/>
      <x:c r="D662" s="16" t="str"/>
      <x:c r="E662" s="16" t="str">
        <x:v>* myContacts</x:v>
      </x:c>
      <x:c r="F662" s="16" t="str">
        <x:v>+60143520316</x:v>
      </x:c>
      <x:c r="G662" s="16" t="str">
        <x:v>+60143520316</x:v>
      </x:c>
      <x:c r="H662" s="16" t="str">
        <x:v>Excluded</x:v>
      </x:c>
      <x:c r="I662" s="16" t="str">
        <x:v>Missing email</x:v>
      </x:c>
    </x:row>
    <x:row r="663">
      <x:c r="A663" s="16" t="n">
        <x:v>660</x:v>
      </x:c>
      <x:c r="B663" s="16" t="str">
        <x:v>Alvin Ralph</x:v>
      </x:c>
      <x:c r="C663" s="16" t="str"/>
      <x:c r="D663" s="16" t="str"/>
      <x:c r="E663" s="16" t="str">
        <x:v>* myContacts</x:v>
      </x:c>
      <x:c r="F663" s="16" t="str">
        <x:v>+60143944398</x:v>
      </x:c>
      <x:c r="G663" s="16" t="str">
        <x:v>+60143944398</x:v>
      </x:c>
      <x:c r="H663" s="16" t="str">
        <x:v>Excluded</x:v>
      </x:c>
      <x:c r="I663" s="16" t="str">
        <x:v>Missing email</x:v>
      </x:c>
    </x:row>
    <x:row r="664">
      <x:c r="A664" s="16" t="n">
        <x:v>661</x:v>
      </x:c>
      <x:c r="B664" s="16" t="str">
        <x:v>Alya Alysa Alyce</x:v>
      </x:c>
      <x:c r="C664" s="16" t="str"/>
      <x:c r="D664" s="16" t="str"/>
      <x:c r="E664" s="16" t="str">
        <x:v>* myContacts</x:v>
      </x:c>
      <x:c r="F664" s="16" t="str">
        <x:v>+60164105387</x:v>
      </x:c>
      <x:c r="G664" s="16" t="str">
        <x:v>+60164105387</x:v>
      </x:c>
      <x:c r="H664" s="16" t="str">
        <x:v>Excluded</x:v>
      </x:c>
      <x:c r="I664" s="16" t="str">
        <x:v>Missing email</x:v>
      </x:c>
    </x:row>
    <x:row r="665">
      <x:c r="A665" s="16" t="n">
        <x:v>662</x:v>
      </x:c>
      <x:c r="B665" s="16" t="str">
        <x:v>Alya Nabil</x:v>
      </x:c>
      <x:c r="C665" s="16" t="str"/>
      <x:c r="D665" s="16" t="str"/>
      <x:c r="E665" s="16" t="str">
        <x:v>* myContacts</x:v>
      </x:c>
      <x:c r="F665" s="16" t="str">
        <x:v>+60107774245</x:v>
      </x:c>
      <x:c r="G665" s="16" t="str">
        <x:v>+60107774245</x:v>
      </x:c>
      <x:c r="H665" s="16" t="str">
        <x:v>Excluded</x:v>
      </x:c>
      <x:c r="I665" s="16" t="str">
        <x:v>Missing email</x:v>
      </x:c>
    </x:row>
    <x:row r="666">
      <x:c r="A666" s="16" t="n">
        <x:v>663</x:v>
      </x:c>
      <x:c r="B666" s="16" t="str">
        <x:v>Alya Nie</x:v>
      </x:c>
      <x:c r="C666" s="16" t="str"/>
      <x:c r="D666" s="16" t="str"/>
      <x:c r="E666" s="16" t="str">
        <x:v>* myContacts</x:v>
      </x:c>
      <x:c r="F666" s="16" t="str">
        <x:v>+60194828586</x:v>
      </x:c>
      <x:c r="G666" s="16" t="str">
        <x:v>+60194828586</x:v>
      </x:c>
      <x:c r="H666" s="16" t="str">
        <x:v>Excluded</x:v>
      </x:c>
      <x:c r="I666" s="16" t="str">
        <x:v>Missing email</x:v>
      </x:c>
    </x:row>
    <x:row r="667">
      <x:c r="A667" s="16" t="n">
        <x:v>664</x:v>
      </x:c>
      <x:c r="B667" s="16" t="str">
        <x:v>Alyssa Abdullah</x:v>
      </x:c>
      <x:c r="C667" s="16" t="str"/>
      <x:c r="D667" s="16" t="str"/>
      <x:c r="E667" s="16" t="str">
        <x:v>* myContacts</x:v>
      </x:c>
      <x:c r="F667" s="16" t="str">
        <x:v>+60138489210</x:v>
      </x:c>
      <x:c r="G667" s="16" t="str">
        <x:v>+60138489210</x:v>
      </x:c>
      <x:c r="H667" s="16" t="str">
        <x:v>Excluded</x:v>
      </x:c>
      <x:c r="I667" s="16" t="str">
        <x:v>Missing email</x:v>
      </x:c>
    </x:row>
    <x:row r="668">
      <x:c r="A668" s="16" t="n">
        <x:v>665</x:v>
      </x:c>
      <x:c r="B668" s="16" t="str">
        <x:v>Amad Dpim Perak</x:v>
      </x:c>
      <x:c r="C668" s="16" t="str"/>
      <x:c r="D668" s="16" t="str"/>
      <x:c r="E668" s="16" t="str">
        <x:v>* myContacts</x:v>
      </x:c>
      <x:c r="F668" s="16" t="str">
        <x:v>013-210 0086</x:v>
      </x:c>
      <x:c r="G668" s="16" t="str">
        <x:v>+60132100086</x:v>
      </x:c>
      <x:c r="H668" s="16" t="str">
        <x:v>Excluded</x:v>
      </x:c>
      <x:c r="I668" s="16" t="str">
        <x:v>Missing email</x:v>
      </x:c>
    </x:row>
    <x:row r="669">
      <x:c r="A669" s="16" t="n">
        <x:v>666</x:v>
      </x:c>
      <x:c r="B669" s="16" t="str">
        <x:v>Amaleena Sarjan Zol</x:v>
      </x:c>
      <x:c r="C669" s="16" t="str"/>
      <x:c r="D669" s="16" t="str"/>
      <x:c r="E669" s="16" t="str">
        <x:v>* myContacts</x:v>
      </x:c>
      <x:c r="F669" s="16" t="str">
        <x:v>+601117773288</x:v>
      </x:c>
      <x:c r="G669" s="16" t="str">
        <x:v>+601117773288</x:v>
      </x:c>
      <x:c r="H669" s="16" t="str">
        <x:v>Excluded</x:v>
      </x:c>
      <x:c r="I669" s="16" t="str">
        <x:v>Missing email</x:v>
      </x:c>
    </x:row>
    <x:row r="670">
      <x:c r="A670" s="16" t="n">
        <x:v>667</x:v>
      </x:c>
      <x:c r="B670" s="16" t="str">
        <x:v>Amalina Aim terengganu</x:v>
      </x:c>
      <x:c r="C670" s="16" t="str"/>
      <x:c r="D670" s="16" t="str"/>
      <x:c r="E670" s="16" t="str">
        <x:v>* myContacts</x:v>
      </x:c>
      <x:c r="F670" s="16" t="str">
        <x:v>0125414483 | +60125414483</x:v>
      </x:c>
      <x:c r="G670" s="16" t="str">
        <x:v>+60125414483 | +60125414483</x:v>
      </x:c>
      <x:c r="H670" s="16" t="str">
        <x:v>Excluded</x:v>
      </x:c>
      <x:c r="I670" s="16" t="str">
        <x:v>Missing email</x:v>
      </x:c>
    </x:row>
    <x:row r="671">
      <x:c r="A671" s="16" t="n">
        <x:v>668</x:v>
      </x:c>
      <x:c r="B671" s="16" t="str">
        <x:v>Amalina Alin</x:v>
      </x:c>
      <x:c r="C671" s="16" t="str"/>
      <x:c r="D671" s="16" t="str"/>
      <x:c r="E671" s="16" t="str">
        <x:v>* myContacts</x:v>
      </x:c>
      <x:c r="F671" s="16" t="str">
        <x:v>+60104117759</x:v>
      </x:c>
      <x:c r="G671" s="16" t="str">
        <x:v>+60104117759</x:v>
      </x:c>
      <x:c r="H671" s="16" t="str">
        <x:v>Excluded</x:v>
      </x:c>
      <x:c r="I671" s="16" t="str">
        <x:v>Missing email</x:v>
      </x:c>
    </x:row>
    <x:row r="672">
      <x:c r="A672" s="16" t="n">
        <x:v>669</x:v>
      </x:c>
      <x:c r="B672" s="16" t="str">
        <x:v>Amalina Azhar</x:v>
      </x:c>
      <x:c r="C672" s="16" t="str"/>
      <x:c r="D672" s="16" t="str"/>
      <x:c r="E672" s="16" t="str">
        <x:v>* myContacts</x:v>
      </x:c>
      <x:c r="F672" s="16" t="str">
        <x:v>+60139919641</x:v>
      </x:c>
      <x:c r="G672" s="16" t="str">
        <x:v>+60139919641</x:v>
      </x:c>
      <x:c r="H672" s="16" t="str">
        <x:v>Excluded</x:v>
      </x:c>
      <x:c r="I672" s="16" t="str">
        <x:v>Missing email</x:v>
      </x:c>
    </x:row>
    <x:row r="673">
      <x:c r="A673" s="16" t="n">
        <x:v>670</x:v>
      </x:c>
      <x:c r="B673" s="16" t="str">
        <x:v>Amalina Joe AVANA</x:v>
      </x:c>
      <x:c r="C673" s="16" t="str"/>
      <x:c r="D673" s="16" t="str"/>
      <x:c r="E673" s="16" t="str">
        <x:v>* myContacts</x:v>
      </x:c>
      <x:c r="F673" s="16" t="str">
        <x:v>+60 19-854 8234 | +60198548234</x:v>
      </x:c>
      <x:c r="G673" s="16" t="str">
        <x:v>+60198548234 | +60198548234</x:v>
      </x:c>
      <x:c r="H673" s="16" t="str">
        <x:v>Excluded</x:v>
      </x:c>
      <x:c r="I673" s="16" t="str">
        <x:v>Missing email</x:v>
      </x:c>
    </x:row>
    <x:row r="674">
      <x:c r="A674" s="16" t="n">
        <x:v>671</x:v>
      </x:c>
      <x:c r="B674" s="16" t="str">
        <x:v>Amalina Lina Karisma Cosmetic</x:v>
      </x:c>
      <x:c r="C674" s="16" t="str"/>
      <x:c r="D674" s="16" t="str"/>
      <x:c r="E674" s="16" t="str">
        <x:v>* myContacts</x:v>
      </x:c>
      <x:c r="F674" s="16" t="str">
        <x:v>+60145369292</x:v>
      </x:c>
      <x:c r="G674" s="16" t="str">
        <x:v>+60145369292</x:v>
      </x:c>
      <x:c r="H674" s="16" t="str">
        <x:v>Excluded</x:v>
      </x:c>
      <x:c r="I674" s="16" t="str">
        <x:v>Missing email</x:v>
      </x:c>
    </x:row>
    <x:row r="675">
      <x:c r="A675" s="16" t="n">
        <x:v>672</x:v>
      </x:c>
      <x:c r="B675" s="16" t="str">
        <x:v>Amalina Student</x:v>
      </x:c>
      <x:c r="C675" s="16" t="str"/>
      <x:c r="D675" s="16" t="str"/>
      <x:c r="E675" s="16" t="str">
        <x:v>* myContacts</x:v>
      </x:c>
      <x:c r="F675" s="16" t="str">
        <x:v>+60 18-270 6739 | +60182706739</x:v>
      </x:c>
      <x:c r="G675" s="16" t="str">
        <x:v>+60182706739 | +60182706739</x:v>
      </x:c>
      <x:c r="H675" s="16" t="str">
        <x:v>Excluded</x:v>
      </x:c>
      <x:c r="I675" s="16" t="str">
        <x:v>Missing email</x:v>
      </x:c>
    </x:row>
    <x:row r="676">
      <x:c r="A676" s="16" t="n">
        <x:v>673</x:v>
      </x:c>
      <x:c r="B676" s="16" t="str">
        <x:v>Amalina Unaizah</x:v>
      </x:c>
      <x:c r="C676" s="16" t="str"/>
      <x:c r="D676" s="16" t="str"/>
      <x:c r="E676" s="16" t="str">
        <x:v>* myContacts</x:v>
      </x:c>
      <x:c r="F676" s="16" t="str">
        <x:v>+60195620091</x:v>
      </x:c>
      <x:c r="G676" s="16" t="str">
        <x:v>+60195620091</x:v>
      </x:c>
      <x:c r="H676" s="16" t="str">
        <x:v>Excluded</x:v>
      </x:c>
      <x:c r="I676" s="16" t="str">
        <x:v>Missing email</x:v>
      </x:c>
    </x:row>
    <x:row r="677">
      <x:c r="A677" s="16" t="n">
        <x:v>674</x:v>
      </x:c>
      <x:c r="B677" s="16" t="str">
        <x:v>Aman Ismail</x:v>
      </x:c>
      <x:c r="C677" s="16" t="str"/>
      <x:c r="D677" s="16" t="str"/>
      <x:c r="E677" s="16" t="str">
        <x:v>* myContacts</x:v>
      </x:c>
      <x:c r="F677" s="16" t="str">
        <x:v>+601128778986</x:v>
      </x:c>
      <x:c r="G677" s="16" t="str">
        <x:v>+601128778986</x:v>
      </x:c>
      <x:c r="H677" s="16" t="str">
        <x:v>Excluded</x:v>
      </x:c>
      <x:c r="I677" s="16" t="str">
        <x:v>Missing email</x:v>
      </x:c>
    </x:row>
    <x:row r="678">
      <x:c r="A678" s="16" t="n">
        <x:v>675</x:v>
      </x:c>
      <x:c r="B678" s="16" t="str">
        <x:v>Aman Man</x:v>
      </x:c>
      <x:c r="C678" s="16" t="str"/>
      <x:c r="D678" s="16" t="str"/>
      <x:c r="E678" s="16" t="str">
        <x:v>* myContacts</x:v>
      </x:c>
      <x:c r="F678" s="16" t="str">
        <x:v>+60148134419</x:v>
      </x:c>
      <x:c r="G678" s="16" t="str">
        <x:v>+60148134419</x:v>
      </x:c>
      <x:c r="H678" s="16" t="str">
        <x:v>Excluded</x:v>
      </x:c>
      <x:c r="I678" s="16" t="str">
        <x:v>Missing email</x:v>
      </x:c>
    </x:row>
    <x:row r="679">
      <x:c r="A679" s="16" t="n">
        <x:v>676</x:v>
      </x:c>
      <x:c r="B679" s="16" t="str">
        <x:v>Aman Nami</x:v>
      </x:c>
      <x:c r="C679" s="16" t="str"/>
      <x:c r="D679" s="16" t="str"/>
      <x:c r="E679" s="16" t="str">
        <x:v>* myContacts</x:v>
      </x:c>
      <x:c r="F679" s="16" t="str">
        <x:v>+60176059271</x:v>
      </x:c>
      <x:c r="G679" s="16" t="str">
        <x:v>+60176059271</x:v>
      </x:c>
      <x:c r="H679" s="16" t="str">
        <x:v>Excluded</x:v>
      </x:c>
      <x:c r="I679" s="16" t="str">
        <x:v>Missing email</x:v>
      </x:c>
    </x:row>
    <x:row r="680">
      <x:c r="A680" s="16" t="n">
        <x:v>677</x:v>
      </x:c>
      <x:c r="B680" s="16" t="str">
        <x:v>Aman Shah Padzushah</x:v>
      </x:c>
      <x:c r="C680" s="16" t="str"/>
      <x:c r="D680" s="16" t="str"/>
      <x:c r="E680" s="16" t="str">
        <x:v>* myContacts</x:v>
      </x:c>
      <x:c r="F680" s="16" t="str">
        <x:v>+60146900744</x:v>
      </x:c>
      <x:c r="G680" s="16" t="str">
        <x:v>+60146900744</x:v>
      </x:c>
      <x:c r="H680" s="16" t="str">
        <x:v>Excluded</x:v>
      </x:c>
      <x:c r="I680" s="16" t="str">
        <x:v>Missing email</x:v>
      </x:c>
    </x:row>
    <x:row r="681">
      <x:c r="A681" s="16" t="n">
        <x:v>678</x:v>
      </x:c>
      <x:c r="B681" s="16" t="str">
        <x:v>Aman Tubillah</x:v>
      </x:c>
      <x:c r="C681" s="16" t="str"/>
      <x:c r="D681" s="16" t="str"/>
      <x:c r="E681" s="16" t="str">
        <x:v>* myContacts</x:v>
      </x:c>
      <x:c r="F681" s="16" t="str">
        <x:v>+60195519891</x:v>
      </x:c>
      <x:c r="G681" s="16" t="str">
        <x:v>+60195519891</x:v>
      </x:c>
      <x:c r="H681" s="16" t="str">
        <x:v>Excluded</x:v>
      </x:c>
      <x:c r="I681" s="16" t="str">
        <x:v>Missing email</x:v>
      </x:c>
    </x:row>
    <x:row r="682">
      <x:c r="A682" s="16" t="n">
        <x:v>679</x:v>
      </x:c>
      <x:c r="B682" s="16" t="str">
        <x:v>Amanina Abu Bakar</x:v>
      </x:c>
      <x:c r="C682" s="16" t="str"/>
      <x:c r="D682" s="16" t="str"/>
      <x:c r="E682" s="16" t="str">
        <x:v>* myContacts</x:v>
      </x:c>
      <x:c r="F682" s="16" t="str">
        <x:v>+60173687941</x:v>
      </x:c>
      <x:c r="G682" s="16" t="str">
        <x:v>+60173687941</x:v>
      </x:c>
      <x:c r="H682" s="16" t="str">
        <x:v>Excluded</x:v>
      </x:c>
      <x:c r="I682" s="16" t="str">
        <x:v>Missing email</x:v>
      </x:c>
    </x:row>
    <x:row r="683">
      <x:c r="A683" s="16" t="n">
        <x:v>680</x:v>
      </x:c>
      <x:c r="B683" s="16" t="str">
        <x:v>Amar kawan zakwan</x:v>
      </x:c>
      <x:c r="C683" s="16" t="str"/>
      <x:c r="D683" s="16" t="str"/>
      <x:c r="E683" s="16" t="str">
        <x:v>* myContacts</x:v>
      </x:c>
      <x:c r="F683" s="16" t="str">
        <x:v>0109101357 | +60109101357</x:v>
      </x:c>
      <x:c r="G683" s="16" t="str">
        <x:v>+60109101357 | +60109101357</x:v>
      </x:c>
      <x:c r="H683" s="16" t="str">
        <x:v>Excluded</x:v>
      </x:c>
      <x:c r="I683" s="16" t="str">
        <x:v>Missing email</x:v>
      </x:c>
    </x:row>
    <x:row r="684">
      <x:c r="A684" s="16" t="n">
        <x:v>681</x:v>
      </x:c>
      <x:c r="B684" s="16" t="str">
        <x:v>Amar Rusydi Hashim</x:v>
      </x:c>
      <x:c r="C684" s="16" t="str"/>
      <x:c r="D684" s="16" t="str"/>
      <x:c r="E684" s="16" t="str">
        <x:v>* myContacts</x:v>
      </x:c>
      <x:c r="F684" s="16" t="str">
        <x:v>+60102494851</x:v>
      </x:c>
      <x:c r="G684" s="16" t="str">
        <x:v>+60102494851</x:v>
      </x:c>
      <x:c r="H684" s="16" t="str">
        <x:v>Excluded</x:v>
      </x:c>
      <x:c r="I684" s="16" t="str">
        <x:v>Missing email</x:v>
      </x:c>
    </x:row>
    <x:row r="685">
      <x:c r="A685" s="16" t="n">
        <x:v>682</x:v>
      </x:c>
      <x:c r="B685" s="16" t="str">
        <x:v>Amar Yus</x:v>
      </x:c>
      <x:c r="C685" s="16" t="str"/>
      <x:c r="D685" s="16" t="str"/>
      <x:c r="E685" s="16" t="str">
        <x:v>* myContacts</x:v>
      </x:c>
      <x:c r="F685" s="16" t="str">
        <x:v>+60139066852</x:v>
      </x:c>
      <x:c r="G685" s="16" t="str">
        <x:v>+60139066852</x:v>
      </x:c>
      <x:c r="H685" s="16" t="str">
        <x:v>Excluded</x:v>
      </x:c>
      <x:c r="I685" s="16" t="str">
        <x:v>Missing email</x:v>
      </x:c>
    </x:row>
    <x:row r="686">
      <x:c r="A686" s="16" t="n">
        <x:v>683</x:v>
      </x:c>
      <x:c r="B686" s="16" t="str">
        <x:v>Amar Zack</x:v>
      </x:c>
      <x:c r="C686" s="16" t="str"/>
      <x:c r="D686" s="16" t="str"/>
      <x:c r="E686" s="16" t="str">
        <x:v>* myContacts</x:v>
      </x:c>
      <x:c r="F686" s="16" t="str">
        <x:v>+601114925295</x:v>
      </x:c>
      <x:c r="G686" s="16" t="str">
        <x:v>+601114925295</x:v>
      </x:c>
      <x:c r="H686" s="16" t="str">
        <x:v>Excluded</x:v>
      </x:c>
      <x:c r="I686" s="16" t="str">
        <x:v>Missing email</x:v>
      </x:c>
    </x:row>
    <x:row r="687">
      <x:c r="A687" s="16" t="n">
        <x:v>684</x:v>
      </x:c>
      <x:c r="B687" s="16" t="str">
        <x:v>Amar Zaw</x:v>
      </x:c>
      <x:c r="C687" s="16" t="str"/>
      <x:c r="D687" s="16" t="str"/>
      <x:c r="E687" s="16" t="str">
        <x:v>* myContacts</x:v>
      </x:c>
      <x:c r="F687" s="16" t="str">
        <x:v>+60176229405</x:v>
      </x:c>
      <x:c r="G687" s="16" t="str">
        <x:v>+60176229405</x:v>
      </x:c>
      <x:c r="H687" s="16" t="str">
        <x:v>Excluded</x:v>
      </x:c>
      <x:c r="I687" s="16" t="str">
        <x:v>Missing email</x:v>
      </x:c>
    </x:row>
    <x:row r="688">
      <x:c r="A688" s="16" t="n">
        <x:v>685</x:v>
      </x:c>
      <x:c r="B688" s="16" t="str">
        <x:v>Amaresh Attiva</x:v>
      </x:c>
      <x:c r="C688" s="16" t="str"/>
      <x:c r="D688" s="16" t="str"/>
      <x:c r="E688" s="16" t="str">
        <x:v>* myContacts</x:v>
      </x:c>
      <x:c r="F688" s="16" t="str">
        <x:v>+60 17-638 2634 | +60176382634</x:v>
      </x:c>
      <x:c r="G688" s="16" t="str">
        <x:v>+60176382634 | +60176382634</x:v>
      </x:c>
      <x:c r="H688" s="16" t="str">
        <x:v>Excluded</x:v>
      </x:c>
      <x:c r="I688" s="16" t="str">
        <x:v>Missing email</x:v>
      </x:c>
    </x:row>
    <x:row r="689">
      <x:c r="A689" s="16" t="n">
        <x:v>686</x:v>
      </x:c>
      <x:c r="B689" s="16" t="str">
        <x:v>AmarYasir Amar</x:v>
      </x:c>
      <x:c r="C689" s="16" t="str"/>
      <x:c r="D689" s="16" t="str"/>
      <x:c r="E689" s="16" t="str">
        <x:v>* myContacts</x:v>
      </x:c>
      <x:c r="F689" s="16" t="str">
        <x:v>+601125609064</x:v>
      </x:c>
      <x:c r="G689" s="16" t="str">
        <x:v>+601125609064</x:v>
      </x:c>
      <x:c r="H689" s="16" t="str">
        <x:v>Excluded</x:v>
      </x:c>
      <x:c r="I689" s="16" t="str">
        <x:v>Missing email</x:v>
      </x:c>
    </x:row>
    <x:row r="690">
      <x:c r="A690" s="16" t="n">
        <x:v>687</x:v>
      </x:c>
      <x:c r="B690" s="16" t="str">
        <x:v>Ambiz Print</x:v>
      </x:c>
      <x:c r="C690" s="16" t="str"/>
      <x:c r="D690" s="16" t="str"/>
      <x:c r="E690" s="16" t="str">
        <x:v>* myContacts</x:v>
      </x:c>
      <x:c r="F690" s="16" t="str">
        <x:v>+6097885881</x:v>
      </x:c>
      <x:c r="G690" s="16" t="str">
        <x:v>+6097885881</x:v>
      </x:c>
      <x:c r="H690" s="16" t="str">
        <x:v>Excluded</x:v>
      </x:c>
      <x:c r="I690" s="16" t="str">
        <x:v>Missing email</x:v>
      </x:c>
    </x:row>
    <x:row r="691">
      <x:c r="A691" s="16" t="n">
        <x:v>688</x:v>
      </x:c>
      <x:c r="B691" s="16" t="str">
        <x:v>ambok kharol azhar AGP</x:v>
      </x:c>
      <x:c r="C691" s="16" t="str"/>
      <x:c r="D691" s="16" t="str"/>
      <x:c r="E691" s="16" t="str">
        <x:v>* myContacts</x:v>
      </x:c>
      <x:c r="F691" s="16" t="str">
        <x:v>017-754 4457 | +60177544457</x:v>
      </x:c>
      <x:c r="G691" s="16" t="str">
        <x:v>+60177544457 | +60177544457</x:v>
      </x:c>
      <x:c r="H691" s="16" t="str">
        <x:v>Excluded</x:v>
      </x:c>
      <x:c r="I691" s="16" t="str">
        <x:v>Missing email</x:v>
      </x:c>
    </x:row>
    <x:row r="692">
      <x:c r="A692" s="16" t="n">
        <x:v>689</x:v>
      </x:c>
      <x:c r="B692" s="16" t="str">
        <x:v>Ameer Che Mat</x:v>
      </x:c>
      <x:c r="C692" s="16" t="str"/>
      <x:c r="D692" s="16" t="str"/>
      <x:c r="E692" s="16" t="str">
        <x:v>* myContacts</x:v>
      </x:c>
      <x:c r="F692" s="16" t="str">
        <x:v>+60179735614</x:v>
      </x:c>
      <x:c r="G692" s="16" t="str">
        <x:v>+60179735614</x:v>
      </x:c>
      <x:c r="H692" s="16" t="str">
        <x:v>Excluded</x:v>
      </x:c>
      <x:c r="I692" s="16" t="str">
        <x:v>Missing email</x:v>
      </x:c>
    </x:row>
    <x:row r="693">
      <x:c r="A693" s="16" t="n">
        <x:v>690</x:v>
      </x:c>
      <x:c r="B693" s="16" t="str">
        <x:v>ameer im</x:v>
      </x:c>
      <x:c r="C693" s="16" t="str"/>
      <x:c r="D693" s="16" t="str"/>
      <x:c r="E693" s="16" t="str">
        <x:v>* myContacts</x:v>
      </x:c>
      <x:c r="F693" s="16" t="str">
        <x:v>0176720722 | +60176720722</x:v>
      </x:c>
      <x:c r="G693" s="16" t="str">
        <x:v>+60176720722 | +60176720722</x:v>
      </x:c>
      <x:c r="H693" s="16" t="str">
        <x:v>Excluded</x:v>
      </x:c>
      <x:c r="I693" s="16" t="str">
        <x:v>Missing email</x:v>
      </x:c>
    </x:row>
    <x:row r="694">
      <x:c r="A694" s="16" t="n">
        <x:v>691</x:v>
      </x:c>
      <x:c r="B694" s="16" t="str">
        <x:v>Ameera T&amp;C</x:v>
      </x:c>
      <x:c r="C694" s="16" t="str"/>
      <x:c r="D694" s="16" t="str"/>
      <x:c r="E694" s="16" t="str">
        <x:v>* myContacts</x:v>
      </x:c>
      <x:c r="F694" s="16" t="str">
        <x:v>+601161841424</x:v>
      </x:c>
      <x:c r="G694" s="16" t="str">
        <x:v>+601161841424</x:v>
      </x:c>
      <x:c r="H694" s="16" t="str">
        <x:v>Excluded</x:v>
      </x:c>
      <x:c r="I694" s="16" t="str">
        <x:v>Missing email</x:v>
      </x:c>
    </x:row>
    <x:row r="695">
      <x:c r="A695" s="16" t="n">
        <x:v>692</x:v>
      </x:c>
      <x:c r="B695" s="16" t="str">
        <x:v>AmeErul NjeMy</x:v>
      </x:c>
      <x:c r="C695" s="16" t="str"/>
      <x:c r="D695" s="16" t="str"/>
      <x:c r="E695" s="16" t="str">
        <x:v>* myContacts</x:v>
      </x:c>
      <x:c r="F695" s="16" t="str">
        <x:v>+60148181171</x:v>
      </x:c>
      <x:c r="G695" s="16" t="str">
        <x:v>+60148181171</x:v>
      </x:c>
      <x:c r="H695" s="16" t="str">
        <x:v>Excluded</x:v>
      </x:c>
      <x:c r="I695" s="16" t="str">
        <x:v>Missing email</x:v>
      </x:c>
    </x:row>
    <x:row r="696">
      <x:c r="A696" s="16" t="n">
        <x:v>693</x:v>
      </x:c>
      <x:c r="B696" s="16" t="str">
        <x:v>Ameng Meng</x:v>
      </x:c>
      <x:c r="C696" s="16" t="str"/>
      <x:c r="D696" s="16" t="str"/>
      <x:c r="E696" s="16" t="str">
        <x:v>* myContacts</x:v>
      </x:c>
      <x:c r="F696" s="16" t="str">
        <x:v>+60176183206</x:v>
      </x:c>
      <x:c r="G696" s="16" t="str">
        <x:v>+60176183206</x:v>
      </x:c>
      <x:c r="H696" s="16" t="str">
        <x:v>Excluded</x:v>
      </x:c>
      <x:c r="I696" s="16" t="str">
        <x:v>Missing email</x:v>
      </x:c>
    </x:row>
    <x:row r="697">
      <x:c r="A697" s="16" t="n">
        <x:v>694</x:v>
      </x:c>
      <x:c r="B697" s="16" t="str">
        <x:v>Amer Ahmad</x:v>
      </x:c>
      <x:c r="C697" s="16" t="str"/>
      <x:c r="D697" s="16" t="str"/>
      <x:c r="E697" s="16" t="str">
        <x:v>* myContacts</x:v>
      </x:c>
      <x:c r="F697" s="16" t="str">
        <x:v>+60124479092</x:v>
      </x:c>
      <x:c r="G697" s="16" t="str">
        <x:v>+60124479092</x:v>
      </x:c>
      <x:c r="H697" s="16" t="str">
        <x:v>Excluded</x:v>
      </x:c>
      <x:c r="I697" s="16" t="str">
        <x:v>Missing email</x:v>
      </x:c>
    </x:row>
    <x:row r="698">
      <x:c r="A698" s="16" t="n">
        <x:v>695</x:v>
      </x:c>
      <x:c r="B698" s="16" t="str">
        <x:v>Amer Mohd</x:v>
      </x:c>
      <x:c r="C698" s="16" t="str"/>
      <x:c r="D698" s="16" t="str"/>
      <x:c r="E698" s="16" t="str">
        <x:v>* myContacts</x:v>
      </x:c>
      <x:c r="F698" s="16" t="str">
        <x:v>+60102763161</x:v>
      </x:c>
      <x:c r="G698" s="16" t="str">
        <x:v>+60102763161</x:v>
      </x:c>
      <x:c r="H698" s="16" t="str">
        <x:v>Excluded</x:v>
      </x:c>
      <x:c r="I698" s="16" t="str">
        <x:v>Missing email</x:v>
      </x:c>
    </x:row>
    <x:row r="699">
      <x:c r="A699" s="16" t="n">
        <x:v>696</x:v>
      </x:c>
      <x:c r="B699" s="16" t="str">
        <x:v>Amer Ohara</x:v>
      </x:c>
      <x:c r="C699" s="16" t="str"/>
      <x:c r="D699" s="16" t="str"/>
      <x:c r="E699" s="16" t="str">
        <x:v>* myContacts</x:v>
      </x:c>
      <x:c r="F699" s="16" t="str">
        <x:v>+60173016962</x:v>
      </x:c>
      <x:c r="G699" s="16" t="str">
        <x:v>+60173016962</x:v>
      </x:c>
      <x:c r="H699" s="16" t="str">
        <x:v>Excluded</x:v>
      </x:c>
      <x:c r="I699" s="16" t="str">
        <x:v>Missing email</x:v>
      </x:c>
    </x:row>
    <x:row r="700">
      <x:c r="A700" s="16" t="n">
        <x:v>697</x:v>
      </x:c>
      <x:c r="B700" s="16" t="str">
        <x:v>Amer Yusuf</x:v>
      </x:c>
      <x:c r="C700" s="16" t="str"/>
      <x:c r="D700" s="16" t="str"/>
      <x:c r="E700" s="16" t="str">
        <x:v>* myContacts</x:v>
      </x:c>
      <x:c r="F700" s="16" t="str">
        <x:v>+60184023186</x:v>
      </x:c>
      <x:c r="G700" s="16" t="str">
        <x:v>+60184023186</x:v>
      </x:c>
      <x:c r="H700" s="16" t="str">
        <x:v>Excluded</x:v>
      </x:c>
      <x:c r="I700" s="16" t="str">
        <x:v>Missing email</x:v>
      </x:c>
    </x:row>
    <x:row r="701">
      <x:c r="A701" s="16" t="n">
        <x:v>698</x:v>
      </x:c>
      <x:c r="B701" s="16" t="str">
        <x:v>Amer Zulkarnain</x:v>
      </x:c>
      <x:c r="C701" s="16" t="str"/>
      <x:c r="D701" s="16" t="str"/>
      <x:c r="E701" s="16" t="str">
        <x:v>* myContacts</x:v>
      </x:c>
      <x:c r="F701" s="16" t="str">
        <x:v>+60107173214</x:v>
      </x:c>
      <x:c r="G701" s="16" t="str">
        <x:v>+60107173214</x:v>
      </x:c>
      <x:c r="H701" s="16" t="str">
        <x:v>Excluded</x:v>
      </x:c>
      <x:c r="I701" s="16" t="str">
        <x:v>Missing email</x:v>
      </x:c>
    </x:row>
    <x:row r="702">
      <x:c r="A702" s="16" t="n">
        <x:v>699</x:v>
      </x:c>
      <x:c r="B702" s="16" t="str">
        <x:v>Amerul kementerian komunikasi multimedia</x:v>
      </x:c>
      <x:c r="C702" s="16" t="str"/>
      <x:c r="D702" s="16" t="str"/>
      <x:c r="E702" s="16" t="str">
        <x:v>* myContacts</x:v>
      </x:c>
      <x:c r="F702" s="16" t="str">
        <x:v>+60 18-767 2717 | +60187672717</x:v>
      </x:c>
      <x:c r="G702" s="16" t="str">
        <x:v>+60187672717 | +60187672717</x:v>
      </x:c>
      <x:c r="H702" s="16" t="str">
        <x:v>Excluded</x:v>
      </x:c>
      <x:c r="I702" s="16" t="str">
        <x:v>Missing email</x:v>
      </x:c>
    </x:row>
    <x:row r="703">
      <x:c r="A703" s="16" t="n">
        <x:v>700</x:v>
      </x:c>
      <x:c r="B703" s="16" t="str">
        <x:v>Amerullah Abdul Razak</x:v>
      </x:c>
      <x:c r="C703" s="16" t="str"/>
      <x:c r="D703" s="16" t="str"/>
      <x:c r="E703" s="16" t="str">
        <x:v>* myContacts</x:v>
      </x:c>
      <x:c r="F703" s="16" t="str">
        <x:v>+60177042708</x:v>
      </x:c>
      <x:c r="G703" s="16" t="str">
        <x:v>+60177042708</x:v>
      </x:c>
      <x:c r="H703" s="16" t="str">
        <x:v>Excluded</x:v>
      </x:c>
      <x:c r="I703" s="16" t="str">
        <x:v>Missing email</x:v>
      </x:c>
    </x:row>
    <x:row r="704">
      <x:c r="A704" s="16" t="n">
        <x:v>701</x:v>
      </x:c>
      <x:c r="B704" s="16" t="str">
        <x:v>Amh Rezqi</x:v>
      </x:c>
      <x:c r="C704" s="16" t="str"/>
      <x:c r="D704" s="16" t="str"/>
      <x:c r="E704" s="16" t="str">
        <x:v>* myContacts</x:v>
      </x:c>
      <x:c r="F704" s="16" t="str">
        <x:v>+6074381107</x:v>
      </x:c>
      <x:c r="G704" s="16" t="str">
        <x:v>+6074381107</x:v>
      </x:c>
      <x:c r="H704" s="16" t="str">
        <x:v>Excluded</x:v>
      </x:c>
      <x:c r="I704" s="16" t="str">
        <x:v>Missing email</x:v>
      </x:c>
    </x:row>
    <x:row r="705">
      <x:c r="A705" s="16" t="n">
        <x:v>702</x:v>
      </x:c>
      <x:c r="B705" s="16" t="str">
        <x:v>Amie Ami</x:v>
      </x:c>
      <x:c r="C705" s="16" t="str"/>
      <x:c r="D705" s="16" t="str"/>
      <x:c r="E705" s="16" t="str">
        <x:v>* myContacts</x:v>
      </x:c>
      <x:c r="F705" s="16" t="str">
        <x:v>+601112835646</x:v>
      </x:c>
      <x:c r="G705" s="16" t="str">
        <x:v>+601112835646</x:v>
      </x:c>
      <x:c r="H705" s="16" t="str">
        <x:v>Excluded</x:v>
      </x:c>
      <x:c r="I705" s="16" t="str">
        <x:v>Missing email</x:v>
      </x:c>
    </x:row>
    <x:row r="706">
      <x:c r="A706" s="16" t="n">
        <x:v>703</x:v>
      </x:c>
      <x:c r="B706" s="16" t="str">
        <x:v>Amie Aminah</x:v>
      </x:c>
      <x:c r="C706" s="16" t="str"/>
      <x:c r="D706" s="16" t="str"/>
      <x:c r="E706" s="16" t="str">
        <x:v>* myContacts</x:v>
      </x:c>
      <x:c r="F706" s="16" t="str">
        <x:v>+6287715081701</x:v>
      </x:c>
      <x:c r="G706" s="16" t="str">
        <x:v>+6287715081701</x:v>
      </x:c>
      <x:c r="H706" s="16" t="str">
        <x:v>Excluded</x:v>
      </x:c>
      <x:c r="I706" s="16" t="str">
        <x:v>Missing email</x:v>
      </x:c>
    </x:row>
    <x:row r="707">
      <x:c r="A707" s="16" t="n">
        <x:v>704</x:v>
      </x:c>
      <x:c r="B707" s="16" t="str">
        <x:v>Amie Ismail AFK</x:v>
      </x:c>
      <x:c r="C707" s="16" t="str"/>
      <x:c r="D707" s="16" t="str"/>
      <x:c r="E707" s="16" t="str">
        <x:v>* myContacts</x:v>
      </x:c>
      <x:c r="F707" s="16" t="str">
        <x:v>+60 13-903 1713 | +60139031713</x:v>
      </x:c>
      <x:c r="G707" s="16" t="str">
        <x:v>+60139031713 | +60139031713</x:v>
      </x:c>
      <x:c r="H707" s="16" t="str">
        <x:v>Excluded</x:v>
      </x:c>
      <x:c r="I707" s="16" t="str">
        <x:v>Missing email</x:v>
      </x:c>
    </x:row>
    <x:row r="708">
      <x:c r="A708" s="16" t="n">
        <x:v>705</x:v>
      </x:c>
      <x:c r="B708" s="16" t="str">
        <x:v>Amiera Natasha</x:v>
      </x:c>
      <x:c r="C708" s="16" t="str"/>
      <x:c r="D708" s="16" t="str"/>
      <x:c r="E708" s="16" t="str">
        <x:v>* myContacts</x:v>
      </x:c>
      <x:c r="F708" s="16" t="str">
        <x:v>+601131371498</x:v>
      </x:c>
      <x:c r="G708" s="16" t="str">
        <x:v>+601131371498</x:v>
      </x:c>
      <x:c r="H708" s="16" t="str">
        <x:v>Excluded</x:v>
      </x:c>
      <x:c r="I708" s="16" t="str">
        <x:v>Missing email</x:v>
      </x:c>
    </x:row>
    <x:row r="709">
      <x:c r="A709" s="16" t="n">
        <x:v>706</x:v>
      </x:c>
      <x:c r="B709" s="16" t="str">
        <x:v>AMIN ABDULLAH</x:v>
      </x:c>
      <x:c r="C709" s="16" t="str">
        <x:v>ams_amenk@gmail.com</x:v>
      </x:c>
      <x:c r="D709" s="16" t="str">
        <x:v>ams_amenk@gmail.com</x:v>
      </x:c>
      <x:c r="E709" s="16" t="str">
        <x:v>* myContacts</x:v>
      </x:c>
      <x:c r="F709" s="16" t="str">
        <x:v>60173000986 | +60173000986 | 0395477187</x:v>
      </x:c>
      <x:c r="G709" s="16" t="str">
        <x:v>+60173000986 | +60173000986 | +60395477187</x:v>
      </x:c>
      <x:c r="H709" s="16" t="str">
        <x:v>Eligible</x:v>
      </x:c>
      <x:c r="I709" s="16" t="str"/>
    </x:row>
    <x:row r="710">
      <x:c r="A710" s="16" t="n">
        <x:v>707</x:v>
      </x:c>
      <x:c r="B710" s="16" t="str">
        <x:v>Amin cybernik</x:v>
      </x:c>
      <x:c r="C710" s="16" t="str"/>
      <x:c r="D710" s="16" t="str"/>
      <x:c r="E710" s="16" t="str">
        <x:v>* myContacts</x:v>
      </x:c>
      <x:c r="F710" s="16" t="str">
        <x:v>+60 13-629 9033 | +60136299033</x:v>
      </x:c>
      <x:c r="G710" s="16" t="str">
        <x:v>+60136299033 | +60136299033</x:v>
      </x:c>
      <x:c r="H710" s="16" t="str">
        <x:v>Excluded</x:v>
      </x:c>
      <x:c r="I710" s="16" t="str">
        <x:v>Missing email</x:v>
      </x:c>
    </x:row>
    <x:row r="711">
      <x:c r="A711" s="16" t="n">
        <x:v>708</x:v>
      </x:c>
      <x:c r="B711" s="16" t="str">
        <x:v>Amin Din</x:v>
      </x:c>
      <x:c r="C711" s="16" t="str"/>
      <x:c r="D711" s="16" t="str"/>
      <x:c r="E711" s="16" t="str">
        <x:v>* myContacts</x:v>
      </x:c>
      <x:c r="F711" s="16" t="str">
        <x:v>+60175302947</x:v>
      </x:c>
      <x:c r="G711" s="16" t="str">
        <x:v>+60175302947</x:v>
      </x:c>
      <x:c r="H711" s="16" t="str">
        <x:v>Excluded</x:v>
      </x:c>
      <x:c r="I711" s="16" t="str">
        <x:v>Missing email</x:v>
      </x:c>
    </x:row>
    <x:row r="712">
      <x:c r="A712" s="16" t="n">
        <x:v>709</x:v>
      </x:c>
      <x:c r="B712" s="16" t="str">
        <x:v>Amin Ibrahim</x:v>
      </x:c>
      <x:c r="C712" s="16" t="str"/>
      <x:c r="D712" s="16" t="str"/>
      <x:c r="E712" s="16" t="str">
        <x:v>* myContacts</x:v>
      </x:c>
      <x:c r="F712" s="16" t="str">
        <x:v>+60147969878</x:v>
      </x:c>
      <x:c r="G712" s="16" t="str">
        <x:v>+60147969878</x:v>
      </x:c>
      <x:c r="H712" s="16" t="str">
        <x:v>Excluded</x:v>
      </x:c>
      <x:c r="I712" s="16" t="str">
        <x:v>Missing email</x:v>
      </x:c>
    </x:row>
    <x:row r="713">
      <x:c r="A713" s="16" t="n">
        <x:v>710</x:v>
      </x:c>
      <x:c r="B713" s="16" t="str">
        <x:v>Amin IM</x:v>
      </x:c>
      <x:c r="C713" s="16" t="str"/>
      <x:c r="D713" s="16" t="str"/>
      <x:c r="E713" s="16" t="str">
        <x:v>* myContacts</x:v>
      </x:c>
      <x:c r="F713" s="16" t="str">
        <x:v>010-366 1487 | +60103661487</x:v>
      </x:c>
      <x:c r="G713" s="16" t="str">
        <x:v>+60103661487 | +60103661487</x:v>
      </x:c>
      <x:c r="H713" s="16" t="str">
        <x:v>Excluded</x:v>
      </x:c>
      <x:c r="I713" s="16" t="str">
        <x:v>Missing email</x:v>
      </x:c>
    </x:row>
    <x:row r="714">
      <x:c r="A714" s="16" t="n">
        <x:v>711</x:v>
      </x:c>
      <x:c r="B714" s="16" t="str">
        <x:v>Amin Jengka</x:v>
      </x:c>
      <x:c r="C714" s="16" t="str"/>
      <x:c r="D714" s="16" t="str"/>
      <x:c r="E714" s="16" t="str">
        <x:v>* myContacts</x:v>
      </x:c>
      <x:c r="F714" s="16" t="str">
        <x:v>+60173855693</x:v>
      </x:c>
      <x:c r="G714" s="16" t="str">
        <x:v>+60173855693</x:v>
      </x:c>
      <x:c r="H714" s="16" t="str">
        <x:v>Excluded</x:v>
      </x:c>
      <x:c r="I714" s="16" t="str">
        <x:v>Missing email</x:v>
      </x:c>
    </x:row>
    <x:row r="715">
      <x:c r="A715" s="16" t="n">
        <x:v>712</x:v>
      </x:c>
      <x:c r="B715" s="16" t="str">
        <x:v>Amin JSTUDIO</x:v>
      </x:c>
      <x:c r="C715" s="16" t="str"/>
      <x:c r="D715" s="16" t="str"/>
      <x:c r="E715" s="16" t="str">
        <x:v>* myContacts</x:v>
      </x:c>
      <x:c r="F715" s="16" t="str">
        <x:v>+60 13-445 1072 | +60134451072</x:v>
      </x:c>
      <x:c r="G715" s="16" t="str">
        <x:v>+60134451072 | +60134451072</x:v>
      </x:c>
      <x:c r="H715" s="16" t="str">
        <x:v>Excluded</x:v>
      </x:c>
      <x:c r="I715" s="16" t="str">
        <x:v>Missing email</x:v>
      </x:c>
    </x:row>
    <x:row r="716">
      <x:c r="A716" s="16" t="n">
        <x:v>713</x:v>
      </x:c>
      <x:c r="B716" s="16" t="str">
        <x:v>Amin Kepak</x:v>
      </x:c>
      <x:c r="C716" s="16" t="str"/>
      <x:c r="D716" s="16" t="str"/>
      <x:c r="E716" s="16" t="str">
        <x:v>* myContacts</x:v>
      </x:c>
      <x:c r="F716" s="16" t="str">
        <x:v>+60129839477</x:v>
      </x:c>
      <x:c r="G716" s="16" t="str">
        <x:v>+60129839477</x:v>
      </x:c>
      <x:c r="H716" s="16" t="str">
        <x:v>Excluded</x:v>
      </x:c>
      <x:c r="I716" s="16" t="str">
        <x:v>Missing email</x:v>
      </x:c>
    </x:row>
    <x:row r="717">
      <x:c r="A717" s="16" t="n">
        <x:v>714</x:v>
      </x:c>
      <x:c r="B717" s="16" t="str">
        <x:v>Amin Klatee</x:v>
      </x:c>
      <x:c r="C717" s="16" t="str"/>
      <x:c r="D717" s="16" t="str"/>
      <x:c r="E717" s="16" t="str">
        <x:v>* myContacts</x:v>
      </x:c>
      <x:c r="F717" s="16" t="str">
        <x:v>+60104172695</x:v>
      </x:c>
      <x:c r="G717" s="16" t="str">
        <x:v>+60104172695</x:v>
      </x:c>
      <x:c r="H717" s="16" t="str">
        <x:v>Excluded</x:v>
      </x:c>
      <x:c r="I717" s="16" t="str">
        <x:v>Missing email</x:v>
      </x:c>
    </x:row>
    <x:row r="718">
      <x:c r="A718" s="16" t="n">
        <x:v>715</x:v>
      </x:c>
      <x:c r="B718" s="16" t="str">
        <x:v>Amin Othman</x:v>
      </x:c>
      <x:c r="C718" s="16" t="str"/>
      <x:c r="D718" s="16" t="str"/>
      <x:c r="E718" s="16" t="str">
        <x:v>* myContacts</x:v>
      </x:c>
      <x:c r="F718" s="16" t="str">
        <x:v>+60176613237</x:v>
      </x:c>
      <x:c r="G718" s="16" t="str">
        <x:v>+60176613237</x:v>
      </x:c>
      <x:c r="H718" s="16" t="str">
        <x:v>Excluded</x:v>
      </x:c>
      <x:c r="I718" s="16" t="str">
        <x:v>Missing email</x:v>
      </x:c>
    </x:row>
    <x:row r="719">
      <x:c r="A719" s="16" t="n">
        <x:v>716</x:v>
      </x:c>
      <x:c r="B719" s="16" t="str">
        <x:v>Amin RJB</x:v>
      </x:c>
      <x:c r="C719" s="16" t="str"/>
      <x:c r="D719" s="16" t="str"/>
      <x:c r="E719" s="16" t="str">
        <x:v>* myContacts</x:v>
      </x:c>
      <x:c r="F719" s="16" t="str">
        <x:v>+60132767375</x:v>
      </x:c>
      <x:c r="G719" s="16" t="str">
        <x:v>+60132767375</x:v>
      </x:c>
      <x:c r="H719" s="16" t="str">
        <x:v>Excluded</x:v>
      </x:c>
      <x:c r="I719" s="16" t="str">
        <x:v>Missing email</x:v>
      </x:c>
    </x:row>
    <x:row r="720">
      <x:c r="A720" s="16" t="n">
        <x:v>717</x:v>
      </x:c>
      <x:c r="B720" s="16" t="str">
        <x:v>Amin Shahrul</x:v>
      </x:c>
      <x:c r="C720" s="16" t="str"/>
      <x:c r="D720" s="16" t="str"/>
      <x:c r="E720" s="16" t="str">
        <x:v>* myContacts</x:v>
      </x:c>
      <x:c r="F720" s="16" t="str">
        <x:v>+60195441012</x:v>
      </x:c>
      <x:c r="G720" s="16" t="str">
        <x:v>+60195441012</x:v>
      </x:c>
      <x:c r="H720" s="16" t="str">
        <x:v>Excluded</x:v>
      </x:c>
      <x:c r="I720" s="16" t="str">
        <x:v>Missing email</x:v>
      </x:c>
    </x:row>
    <x:row r="721">
      <x:c r="A721" s="16" t="n">
        <x:v>718</x:v>
      </x:c>
      <x:c r="B721" s="16" t="str">
        <x:v>Amin Shikin</x:v>
      </x:c>
      <x:c r="C721" s="16" t="str"/>
      <x:c r="D721" s="16" t="str"/>
      <x:c r="E721" s="16" t="str">
        <x:v>* myContacts</x:v>
      </x:c>
      <x:c r="F721" s="16" t="str">
        <x:v>+60127300102</x:v>
      </x:c>
      <x:c r="G721" s="16" t="str">
        <x:v>+60127300102</x:v>
      </x:c>
      <x:c r="H721" s="16" t="str">
        <x:v>Excluded</x:v>
      </x:c>
      <x:c r="I721" s="16" t="str">
        <x:v>Missing email</x:v>
      </x:c>
    </x:row>
    <x:row r="722">
      <x:c r="A722" s="16" t="n">
        <x:v>719</x:v>
      </x:c>
      <x:c r="B722" s="16" t="str">
        <x:v>Amin Shukry</x:v>
      </x:c>
      <x:c r="C722" s="16" t="str">
        <x:v>amin@biskut.tv</x:v>
      </x:c>
      <x:c r="D722" s="16" t="str">
        <x:v>amin@biskut.tv</x:v>
      </x:c>
      <x:c r="E722" s="16" t="str">
        <x:v>* myContacts</x:v>
      </x:c>
      <x:c r="F722" s="16" t="str">
        <x:v>+60195655089 | +60196911821</x:v>
      </x:c>
      <x:c r="G722" s="16" t="str">
        <x:v>+60195655089 | +60196911821</x:v>
      </x:c>
      <x:c r="H722" s="16" t="str">
        <x:v>Eligible</x:v>
      </x:c>
      <x:c r="I722" s="16" t="str"/>
    </x:row>
    <x:row r="723">
      <x:c r="A723" s="16" t="n">
        <x:v>720</x:v>
      </x:c>
      <x:c r="B723" s="16" t="str">
        <x:v>Amin Shukry</x:v>
      </x:c>
      <x:c r="C723" s="16" t="str">
        <x:v>amin@biskut.tv</x:v>
      </x:c>
      <x:c r="D723" s="16" t="str">
        <x:v>amin@biskut.tv</x:v>
      </x:c>
      <x:c r="E723" s="16" t="str">
        <x:v>* myContacts</x:v>
      </x:c>
      <x:c r="F723" s="16" t="str">
        <x:v>+60195655089 | +60196911821</x:v>
      </x:c>
      <x:c r="G723" s="16" t="str">
        <x:v>+60195655089 | +60196911821</x:v>
      </x:c>
      <x:c r="H723" s="16" t="str">
        <x:v>Eligible</x:v>
      </x:c>
      <x:c r="I723" s="16" t="str"/>
    </x:row>
    <x:row r="724">
      <x:c r="A724" s="16" t="n">
        <x:v>721</x:v>
      </x:c>
      <x:c r="B724" s="16" t="str">
        <x:v>Amin Solahuddin Associates Sdn Bhd</x:v>
      </x:c>
      <x:c r="C724" s="16" t="str"/>
      <x:c r="D724" s="16" t="str"/>
      <x:c r="E724" s="16" t="str">
        <x:v>* myContacts</x:v>
      </x:c>
      <x:c r="F724" s="16" t="str">
        <x:v>0355668558 | +60355668558</x:v>
      </x:c>
      <x:c r="G724" s="16" t="str">
        <x:v>+60355668558 | +60355668558</x:v>
      </x:c>
      <x:c r="H724" s="16" t="str">
        <x:v>Excluded</x:v>
      </x:c>
      <x:c r="I724" s="16" t="str">
        <x:v>Missing email</x:v>
      </x:c>
    </x:row>
    <x:row r="725">
      <x:c r="A725" s="16" t="n">
        <x:v>722</x:v>
      </x:c>
      <x:c r="B725" s="16" t="str">
        <x:v>Amin Suryadi</x:v>
      </x:c>
      <x:c r="C725" s="16" t="str"/>
      <x:c r="D725" s="16" t="str"/>
      <x:c r="E725" s="16" t="str">
        <x:v>* myContacts</x:v>
      </x:c>
      <x:c r="F725" s="16" t="str">
        <x:v>+6281323076750</x:v>
      </x:c>
      <x:c r="G725" s="16" t="str">
        <x:v>+6281323076750</x:v>
      </x:c>
      <x:c r="H725" s="16" t="str">
        <x:v>Excluded</x:v>
      </x:c>
      <x:c r="I725" s="16" t="str">
        <x:v>Missing email</x:v>
      </x:c>
    </x:row>
    <x:row r="726">
      <x:c r="A726" s="16" t="n">
        <x:v>723</x:v>
      </x:c>
      <x:c r="B726" s="16" t="str">
        <x:v>Aminurasyid Mazlan</x:v>
      </x:c>
      <x:c r="C726" s="16" t="str"/>
      <x:c r="D726" s="16" t="str"/>
      <x:c r="E726" s="16" t="str">
        <x:v>* myContacts</x:v>
      </x:c>
      <x:c r="F726" s="16" t="str">
        <x:v>+60123750535</x:v>
      </x:c>
      <x:c r="G726" s="16" t="str">
        <x:v>+60123750535</x:v>
      </x:c>
      <x:c r="H726" s="16" t="str">
        <x:v>Excluded</x:v>
      </x:c>
      <x:c r="I726" s="16" t="str">
        <x:v>Missing email</x:v>
      </x:c>
    </x:row>
    <x:row r="727">
      <x:c r="A727" s="16" t="n">
        <x:v>724</x:v>
      </x:c>
      <x:c r="B727" s="16" t="str">
        <x:v>Amir</x:v>
      </x:c>
      <x:c r="C727" s="16" t="str">
        <x:v>amir@funnelevo.com</x:v>
      </x:c>
      <x:c r="D727" s="16" t="str">
        <x:v>amir@funnelevo.com</x:v>
      </x:c>
      <x:c r="E727" s="16" t="str">
        <x:v>* myContacts</x:v>
      </x:c>
      <x:c r="F727" s="16" t="str">
        <x:v>0135923492 | +60135923492</x:v>
      </x:c>
      <x:c r="G727" s="16" t="str">
        <x:v>+60135923492 | +60135923492</x:v>
      </x:c>
      <x:c r="H727" s="16" t="str">
        <x:v>Eligible</x:v>
      </x:c>
      <x:c r="I727" s="16" t="str"/>
    </x:row>
    <x:row r="728">
      <x:c r="A728" s="16" t="n">
        <x:v>725</x:v>
      </x:c>
      <x:c r="B728" s="16" t="str">
        <x:v>Amir Agent AGP Tier 1</x:v>
      </x:c>
      <x:c r="C728" s="16" t="str"/>
      <x:c r="D728" s="16" t="str"/>
      <x:c r="E728" s="16" t="str">
        <x:v>* myContacts</x:v>
      </x:c>
      <x:c r="F728" s="16" t="str">
        <x:v>+60 12-529 2944 | +60125292944</x:v>
      </x:c>
      <x:c r="G728" s="16" t="str">
        <x:v>+60125292944 | +60125292944</x:v>
      </x:c>
      <x:c r="H728" s="16" t="str">
        <x:v>Excluded</x:v>
      </x:c>
      <x:c r="I728" s="16" t="str">
        <x:v>Missing email</x:v>
      </x:c>
    </x:row>
    <x:row r="729">
      <x:c r="A729" s="16" t="n">
        <x:v>726</x:v>
      </x:c>
      <x:c r="B729" s="16" t="str">
        <x:v>Amir Amiruljefri</x:v>
      </x:c>
      <x:c r="C729" s="16" t="str"/>
      <x:c r="D729" s="16" t="str"/>
      <x:c r="E729" s="16" t="str">
        <x:v>* myContacts</x:v>
      </x:c>
      <x:c r="F729" s="16" t="str">
        <x:v>+60129458816</x:v>
      </x:c>
      <x:c r="G729" s="16" t="str">
        <x:v>+60129458816</x:v>
      </x:c>
      <x:c r="H729" s="16" t="str">
        <x:v>Excluded</x:v>
      </x:c>
      <x:c r="I729" s="16" t="str">
        <x:v>Missing email</x:v>
      </x:c>
    </x:row>
    <x:row r="730">
      <x:c r="A730" s="16" t="n">
        <x:v>727</x:v>
      </x:c>
      <x:c r="B730" s="16" t="str">
        <x:v>Amir As-cdq</x:v>
      </x:c>
      <x:c r="C730" s="16" t="str"/>
      <x:c r="D730" s="16" t="str"/>
      <x:c r="E730" s="16" t="str">
        <x:v>* myContacts</x:v>
      </x:c>
      <x:c r="F730" s="16" t="str">
        <x:v>+601129378457</x:v>
      </x:c>
      <x:c r="G730" s="16" t="str">
        <x:v>+601129378457</x:v>
      </x:c>
      <x:c r="H730" s="16" t="str">
        <x:v>Excluded</x:v>
      </x:c>
      <x:c r="I730" s="16" t="str">
        <x:v>Missing email</x:v>
      </x:c>
    </x:row>
    <x:row r="731">
      <x:c r="A731" s="16" t="n">
        <x:v>728</x:v>
      </x:c>
      <x:c r="B731" s="16" t="str">
        <x:v>Amir Asyraaf Abd Rahman</x:v>
      </x:c>
      <x:c r="C731" s="16" t="str"/>
      <x:c r="D731" s="16" t="str"/>
      <x:c r="E731" s="16" t="str">
        <x:v>* myContacts</x:v>
      </x:c>
      <x:c r="F731" s="16" t="str">
        <x:v>+60105705577</x:v>
      </x:c>
      <x:c r="G731" s="16" t="str">
        <x:v>+60105705577</x:v>
      </x:c>
      <x:c r="H731" s="16" t="str">
        <x:v>Excluded</x:v>
      </x:c>
      <x:c r="I731" s="16" t="str">
        <x:v>Missing email</x:v>
      </x:c>
    </x:row>
    <x:row r="732">
      <x:c r="A732" s="16" t="n">
        <x:v>729</x:v>
      </x:c>
      <x:c r="B732" s="16" t="str">
        <x:v>Amir Faiz Husaini</x:v>
      </x:c>
      <x:c r="C732" s="16" t="str"/>
      <x:c r="D732" s="16" t="str"/>
      <x:c r="E732" s="16" t="str">
        <x:v>* myContacts</x:v>
      </x:c>
      <x:c r="F732" s="16" t="str">
        <x:v>+60199729702</x:v>
      </x:c>
      <x:c r="G732" s="16" t="str">
        <x:v>+60199729702</x:v>
      </x:c>
      <x:c r="H732" s="16" t="str">
        <x:v>Excluded</x:v>
      </x:c>
      <x:c r="I732" s="16" t="str">
        <x:v>Missing email</x:v>
      </x:c>
    </x:row>
    <x:row r="733">
      <x:c r="A733" s="16" t="n">
        <x:v>730</x:v>
      </x:c>
      <x:c r="B733" s="16" t="str">
        <x:v>Amir Fakhri Kbbc Practical</x:v>
      </x:c>
      <x:c r="C733" s="16" t="str"/>
      <x:c r="D733" s="16" t="str"/>
      <x:c r="E733" s="16" t="str">
        <x:v>* myContacts</x:v>
      </x:c>
      <x:c r="F733" s="16" t="str">
        <x:v>+60 11-3316 1890 | +601133161890</x:v>
      </x:c>
      <x:c r="G733" s="16" t="str">
        <x:v>+601133161890 | +601133161890</x:v>
      </x:c>
      <x:c r="H733" s="16" t="str">
        <x:v>Excluded</x:v>
      </x:c>
      <x:c r="I733" s="16" t="str">
        <x:v>Missing email</x:v>
      </x:c>
    </x:row>
    <x:row r="734">
      <x:c r="A734" s="16" t="n">
        <x:v>731</x:v>
      </x:c>
      <x:c r="B734" s="16" t="str">
        <x:v>Amir Firdaus</x:v>
      </x:c>
      <x:c r="C734" s="16" t="str"/>
      <x:c r="D734" s="16" t="str"/>
      <x:c r="E734" s="16" t="str">
        <x:v>* myContacts</x:v>
      </x:c>
      <x:c r="F734" s="16" t="str">
        <x:v>+60174677937</x:v>
      </x:c>
      <x:c r="G734" s="16" t="str">
        <x:v>+60174677937</x:v>
      </x:c>
      <x:c r="H734" s="16" t="str">
        <x:v>Excluded</x:v>
      </x:c>
      <x:c r="I734" s="16" t="str">
        <x:v>Missing email</x:v>
      </x:c>
    </x:row>
    <x:row r="735">
      <x:c r="A735" s="16" t="n">
        <x:v>732</x:v>
      </x:c>
      <x:c r="B735" s="16" t="str">
        <x:v>Amir Hakimi</x:v>
      </x:c>
      <x:c r="C735" s="16" t="str"/>
      <x:c r="D735" s="16" t="str"/>
      <x:c r="E735" s="16" t="str">
        <x:v>* myContacts</x:v>
      </x:c>
      <x:c r="F735" s="16" t="str">
        <x:v>+60179402156</x:v>
      </x:c>
      <x:c r="G735" s="16" t="str">
        <x:v>+60179402156</x:v>
      </x:c>
      <x:c r="H735" s="16" t="str">
        <x:v>Excluded</x:v>
      </x:c>
      <x:c r="I735" s="16" t="str">
        <x:v>Missing email</x:v>
      </x:c>
    </x:row>
    <x:row r="736">
      <x:c r="A736" s="16" t="n">
        <x:v>733</x:v>
      </x:c>
      <x:c r="B736" s="16" t="str">
        <x:v>Amir Hijrah Selangor</x:v>
      </x:c>
      <x:c r="C736" s="16" t="str"/>
      <x:c r="D736" s="16" t="str"/>
      <x:c r="E736" s="16" t="str">
        <x:v>Alumni eUsahawan | * myContacts</x:v>
      </x:c>
      <x:c r="F736" s="16" t="str">
        <x:v>012-434 3080 | +60124343080</x:v>
      </x:c>
      <x:c r="G736" s="16" t="str">
        <x:v>+60124343080 | +60124343080</x:v>
      </x:c>
      <x:c r="H736" s="16" t="str">
        <x:v>Excluded</x:v>
      </x:c>
      <x:c r="I736" s="16" t="str">
        <x:v>Missing email</x:v>
      </x:c>
    </x:row>
    <x:row r="737">
      <x:c r="A737" s="16" t="n">
        <x:v>734</x:v>
      </x:c>
      <x:c r="B737" s="16" t="str">
        <x:v>Amir Iqbal Putra</x:v>
      </x:c>
      <x:c r="C737" s="16" t="str"/>
      <x:c r="D737" s="16" t="str"/>
      <x:c r="E737" s="16" t="str">
        <x:v>* myContacts</x:v>
      </x:c>
      <x:c r="F737" s="16" t="str">
        <x:v>+60129131956</x:v>
      </x:c>
      <x:c r="G737" s="16" t="str">
        <x:v>+60129131956</x:v>
      </x:c>
      <x:c r="H737" s="16" t="str">
        <x:v>Excluded</x:v>
      </x:c>
      <x:c r="I737" s="16" t="str">
        <x:v>Missing email</x:v>
      </x:c>
    </x:row>
    <x:row r="738">
      <x:c r="A738" s="16" t="n">
        <x:v>735</x:v>
      </x:c>
      <x:c r="B738" s="16" t="str">
        <x:v>Amir Izzaty</x:v>
      </x:c>
      <x:c r="C738" s="16" t="str"/>
      <x:c r="D738" s="16" t="str"/>
      <x:c r="E738" s="16" t="str">
        <x:v>* myContacts</x:v>
      </x:c>
      <x:c r="F738" s="16" t="str">
        <x:v>+601131799589</x:v>
      </x:c>
      <x:c r="G738" s="16" t="str">
        <x:v>+601131799589</x:v>
      </x:c>
      <x:c r="H738" s="16" t="str">
        <x:v>Excluded</x:v>
      </x:c>
      <x:c r="I738" s="16" t="str">
        <x:v>Missing email</x:v>
      </x:c>
    </x:row>
    <x:row r="739">
      <x:c r="A739" s="16" t="n">
        <x:v>736</x:v>
      </x:c>
      <x:c r="B739" s="16" t="str">
        <x:v>Amir Izzuddin Azwan</x:v>
      </x:c>
      <x:c r="C739" s="16" t="str"/>
      <x:c r="D739" s="16" t="str"/>
      <x:c r="E739" s="16" t="str">
        <x:v>* myContacts</x:v>
      </x:c>
      <x:c r="F739" s="16" t="str">
        <x:v>+60194730625</x:v>
      </x:c>
      <x:c r="G739" s="16" t="str">
        <x:v>+60194730625</x:v>
      </x:c>
      <x:c r="H739" s="16" t="str">
        <x:v>Excluded</x:v>
      </x:c>
      <x:c r="I739" s="16" t="str">
        <x:v>Missing email</x:v>
      </x:c>
    </x:row>
    <x:row r="740">
      <x:c r="A740" s="16" t="n">
        <x:v>737</x:v>
      </x:c>
      <x:c r="B740" s="16" t="str">
        <x:v>Amir Printing Baju</x:v>
      </x:c>
      <x:c r="C740" s="16" t="str"/>
      <x:c r="D740" s="16" t="str"/>
      <x:c r="E740" s="16" t="str">
        <x:v>* myContacts</x:v>
      </x:c>
      <x:c r="F740" s="16" t="str">
        <x:v>0145091956 | +60145091956</x:v>
      </x:c>
      <x:c r="G740" s="16" t="str">
        <x:v>+60145091956 | +60145091956</x:v>
      </x:c>
      <x:c r="H740" s="16" t="str">
        <x:v>Excluded</x:v>
      </x:c>
      <x:c r="I740" s="16" t="str">
        <x:v>Missing email</x:v>
      </x:c>
    </x:row>
    <x:row r="741">
      <x:c r="A741" s="16" t="n">
        <x:v>738</x:v>
      </x:c>
      <x:c r="B741" s="16" t="str">
        <x:v>Amir Ramli</x:v>
      </x:c>
      <x:c r="C741" s="16" t="str"/>
      <x:c r="D741" s="16" t="str"/>
      <x:c r="E741" s="16" t="str">
        <x:v>* myContacts</x:v>
      </x:c>
      <x:c r="F741" s="16" t="str">
        <x:v>+60147582305</x:v>
      </x:c>
      <x:c r="G741" s="16" t="str">
        <x:v>+60147582305</x:v>
      </x:c>
      <x:c r="H741" s="16" t="str">
        <x:v>Excluded</x:v>
      </x:c>
      <x:c r="I741" s="16" t="str">
        <x:v>Missing email</x:v>
      </x:c>
    </x:row>
    <x:row r="742">
      <x:c r="A742" s="16" t="n">
        <x:v>739</x:v>
      </x:c>
      <x:c r="B742" s="16" t="str">
        <x:v>Amir Ruslan Puzi</x:v>
      </x:c>
      <x:c r="C742" s="16" t="str"/>
      <x:c r="D742" s="16" t="str"/>
      <x:c r="E742" s="16" t="str">
        <x:v>* myContacts</x:v>
      </x:c>
      <x:c r="F742" s="16" t="str">
        <x:v>+60173047928</x:v>
      </x:c>
      <x:c r="G742" s="16" t="str">
        <x:v>+60173047928</x:v>
      </x:c>
      <x:c r="H742" s="16" t="str">
        <x:v>Excluded</x:v>
      </x:c>
      <x:c r="I742" s="16" t="str">
        <x:v>Missing email</x:v>
      </x:c>
    </x:row>
    <x:row r="743">
      <x:c r="A743" s="16" t="n">
        <x:v>740</x:v>
      </x:c>
      <x:c r="B743" s="16" t="str">
        <x:v>Amira Azhan</x:v>
      </x:c>
      <x:c r="C743" s="16" t="str"/>
      <x:c r="D743" s="16" t="str"/>
      <x:c r="E743" s="16" t="str">
        <x:v>* myContacts</x:v>
      </x:c>
      <x:c r="F743" s="16" t="str">
        <x:v>+60139669073</x:v>
      </x:c>
      <x:c r="G743" s="16" t="str">
        <x:v>+60139669073</x:v>
      </x:c>
      <x:c r="H743" s="16" t="str">
        <x:v>Excluded</x:v>
      </x:c>
      <x:c r="I743" s="16" t="str">
        <x:v>Missing email</x:v>
      </x:c>
    </x:row>
    <x:row r="744">
      <x:c r="A744" s="16" t="n">
        <x:v>741</x:v>
      </x:c>
      <x:c r="B744" s="16" t="str">
        <x:v>Amira Isteri Sofian</x:v>
      </x:c>
      <x:c r="C744" s="16" t="str"/>
      <x:c r="D744" s="16" t="str"/>
      <x:c r="E744" s="16" t="str">
        <x:v>* myContacts</x:v>
      </x:c>
      <x:c r="F744" s="16" t="str">
        <x:v>+60107086936</x:v>
      </x:c>
      <x:c r="G744" s="16" t="str">
        <x:v>+60107086936</x:v>
      </x:c>
      <x:c r="H744" s="16" t="str">
        <x:v>Excluded</x:v>
      </x:c>
      <x:c r="I744" s="16" t="str">
        <x:v>Missing email</x:v>
      </x:c>
    </x:row>
    <x:row r="745">
      <x:c r="A745" s="16" t="n">
        <x:v>742</x:v>
      </x:c>
      <x:c r="B745" s="16" t="str">
        <x:v>Amira Omar</x:v>
      </x:c>
      <x:c r="C745" s="16" t="str"/>
      <x:c r="D745" s="16" t="str"/>
      <x:c r="E745" s="16" t="str">
        <x:v>* myContacts</x:v>
      </x:c>
      <x:c r="F745" s="16" t="str">
        <x:v>01160614689 | +601160614689</x:v>
      </x:c>
      <x:c r="G745" s="16" t="str">
        <x:v>+601160614689 | +601160614689</x:v>
      </x:c>
      <x:c r="H745" s="16" t="str">
        <x:v>Excluded</x:v>
      </x:c>
      <x:c r="I745" s="16" t="str">
        <x:v>Missing email</x:v>
      </x:c>
    </x:row>
    <x:row r="746">
      <x:c r="A746" s="16" t="n">
        <x:v>743</x:v>
      </x:c>
      <x:c r="B746" s="16" t="str">
        <x:v>Amira R Evo Dagang</x:v>
      </x:c>
      <x:c r="C746" s="16" t="str">
        <x:v>amirar@evodagang.con</x:v>
      </x:c>
      <x:c r="D746" s="16" t="str">
        <x:v>amirar@evodagang.con</x:v>
      </x:c>
      <x:c r="E746" s="16" t="str">
        <x:v>* myContacts</x:v>
      </x:c>
      <x:c r="F746" s="16" t="str">
        <x:v>60125280046 | +60125280046</x:v>
      </x:c>
      <x:c r="G746" s="16" t="str">
        <x:v>+60125280046 | +60125280046</x:v>
      </x:c>
      <x:c r="H746" s="16" t="str">
        <x:v>Eligible</x:v>
      </x:c>
      <x:c r="I746" s="16" t="str"/>
    </x:row>
    <x:row r="747">
      <x:c r="A747" s="16" t="n">
        <x:v>744</x:v>
      </x:c>
      <x:c r="B747" s="16" t="str">
        <x:v>Amirah AB</x:v>
      </x:c>
      <x:c r="C747" s="16" t="str"/>
      <x:c r="D747" s="16" t="str"/>
      <x:c r="E747" s="16" t="str">
        <x:v>* myContacts</x:v>
      </x:c>
      <x:c r="F747" s="16" t="str">
        <x:v>+601136099824</x:v>
      </x:c>
      <x:c r="G747" s="16" t="str">
        <x:v>+601136099824</x:v>
      </x:c>
      <x:c r="H747" s="16" t="str">
        <x:v>Excluded</x:v>
      </x:c>
      <x:c r="I747" s="16" t="str">
        <x:v>Missing email</x:v>
      </x:c>
    </x:row>
    <x:row r="748">
      <x:c r="A748" s="16" t="n">
        <x:v>745</x:v>
      </x:c>
      <x:c r="B748" s="16" t="str">
        <x:v>Amirah Afiqah</x:v>
      </x:c>
      <x:c r="C748" s="16" t="str"/>
      <x:c r="D748" s="16" t="str"/>
      <x:c r="E748" s="16" t="str">
        <x:v>* myContacts</x:v>
      </x:c>
      <x:c r="F748" s="16" t="str">
        <x:v>+60187840314</x:v>
      </x:c>
      <x:c r="G748" s="16" t="str">
        <x:v>+60187840314</x:v>
      </x:c>
      <x:c r="H748" s="16" t="str">
        <x:v>Excluded</x:v>
      </x:c>
      <x:c r="I748" s="16" t="str">
        <x:v>Missing email</x:v>
      </x:c>
    </x:row>
    <x:row r="749">
      <x:c r="A749" s="16" t="n">
        <x:v>746</x:v>
      </x:c>
      <x:c r="B749" s="16" t="str">
        <x:v>Amirah Mirah Era</x:v>
      </x:c>
      <x:c r="C749" s="16" t="str"/>
      <x:c r="D749" s="16" t="str"/>
      <x:c r="E749" s="16" t="str">
        <x:v>* myContacts</x:v>
      </x:c>
      <x:c r="F749" s="16" t="str">
        <x:v>+601117837041</x:v>
      </x:c>
      <x:c r="G749" s="16" t="str">
        <x:v>+601117837041</x:v>
      </x:c>
      <x:c r="H749" s="16" t="str">
        <x:v>Excluded</x:v>
      </x:c>
      <x:c r="I749" s="16" t="str">
        <x:v>Missing email</x:v>
      </x:c>
    </x:row>
    <x:row r="750">
      <x:c r="A750" s="16" t="n">
        <x:v>747</x:v>
      </x:c>
      <x:c r="B750" s="16" t="str">
        <x:v>Amirah Mywin</x:v>
      </x:c>
      <x:c r="C750" s="16" t="str"/>
      <x:c r="D750" s="16" t="str"/>
      <x:c r="E750" s="16" t="str">
        <x:v>* myContacts</x:v>
      </x:c>
      <x:c r="F750" s="16" t="str">
        <x:v>60189823641 | +60189823641</x:v>
      </x:c>
      <x:c r="G750" s="16" t="str">
        <x:v>+60189823641 | +60189823641</x:v>
      </x:c>
      <x:c r="H750" s="16" t="str">
        <x:v>Excluded</x:v>
      </x:c>
      <x:c r="I750" s="16" t="str">
        <x:v>Missing email</x:v>
      </x:c>
    </x:row>
    <x:row r="751">
      <x:c r="A751" s="16" t="n">
        <x:v>748</x:v>
      </x:c>
      <x:c r="B751" s="16" t="str">
        <x:v>Amiramokhtaza Amira</x:v>
      </x:c>
      <x:c r="C751" s="16" t="str"/>
      <x:c r="D751" s="16" t="str"/>
      <x:c r="E751" s="16" t="str">
        <x:v>* myContacts</x:v>
      </x:c>
      <x:c r="F751" s="16" t="str">
        <x:v>+60125355283</x:v>
      </x:c>
      <x:c r="G751" s="16" t="str">
        <x:v>+60125355283</x:v>
      </x:c>
      <x:c r="H751" s="16" t="str">
        <x:v>Excluded</x:v>
      </x:c>
      <x:c r="I751" s="16" t="str">
        <x:v>Missing email</x:v>
      </x:c>
    </x:row>
    <x:row r="752">
      <x:c r="A752" s="16" t="n">
        <x:v>749</x:v>
      </x:c>
      <x:c r="B752" s="16" t="str">
        <x:v>Amirhamzahjoned Ahj</x:v>
      </x:c>
      <x:c r="C752" s="16" t="str"/>
      <x:c r="D752" s="16" t="str"/>
      <x:c r="E752" s="16" t="str">
        <x:v>* myContacts</x:v>
      </x:c>
      <x:c r="F752" s="16" t="str">
        <x:v>+60193995996</x:v>
      </x:c>
      <x:c r="G752" s="16" t="str">
        <x:v>+60193995996</x:v>
      </x:c>
      <x:c r="H752" s="16" t="str">
        <x:v>Excluded</x:v>
      </x:c>
      <x:c r="I752" s="16" t="str">
        <x:v>Missing email</x:v>
      </x:c>
    </x:row>
    <x:row r="753">
      <x:c r="A753" s="16" t="n">
        <x:v>750</x:v>
      </x:c>
      <x:c r="B753" s="16" t="str">
        <x:v>amirhaziq</x:v>
      </x:c>
      <x:c r="C753" s="16" t="str"/>
      <x:c r="D753" s="16" t="str"/>
      <x:c r="E753" s="16" t="str">
        <x:v>* myContacts</x:v>
      </x:c>
      <x:c r="F753" s="16" t="str">
        <x:v>+601161831514</x:v>
      </x:c>
      <x:c r="G753" s="16" t="str">
        <x:v>+601161831514</x:v>
      </x:c>
      <x:c r="H753" s="16" t="str">
        <x:v>Excluded</x:v>
      </x:c>
      <x:c r="I753" s="16" t="str">
        <x:v>Missing email</x:v>
      </x:c>
    </x:row>
    <x:row r="754">
      <x:c r="A754" s="16" t="n">
        <x:v>751</x:v>
      </x:c>
      <x:c r="B754" s="16" t="str">
        <x:v>Amiril Mukminin</x:v>
      </x:c>
      <x:c r="C754" s="16" t="str"/>
      <x:c r="D754" s="16" t="str"/>
      <x:c r="E754" s="16" t="str">
        <x:v>* myContacts</x:v>
      </x:c>
      <x:c r="F754" s="16" t="str">
        <x:v>+601126886434</x:v>
      </x:c>
      <x:c r="G754" s="16" t="str">
        <x:v>+601126886434</x:v>
      </x:c>
      <x:c r="H754" s="16" t="str">
        <x:v>Excluded</x:v>
      </x:c>
      <x:c r="I754" s="16" t="str">
        <x:v>Missing email</x:v>
      </x:c>
    </x:row>
    <x:row r="755">
      <x:c r="A755" s="16" t="n">
        <x:v>752</x:v>
      </x:c>
      <x:c r="B755" s="16" t="str">
        <x:v>Amirrah Ibrahim</x:v>
      </x:c>
      <x:c r="C755" s="16" t="str"/>
      <x:c r="D755" s="16" t="str"/>
      <x:c r="E755" s="16" t="str">
        <x:v>* myContacts</x:v>
      </x:c>
      <x:c r="F755" s="16" t="str">
        <x:v>+60109617777</x:v>
      </x:c>
      <x:c r="G755" s="16" t="str">
        <x:v>+60109617777</x:v>
      </x:c>
      <x:c r="H755" s="16" t="str">
        <x:v>Excluded</x:v>
      </x:c>
      <x:c r="I755" s="16" t="str">
        <x:v>Missing email</x:v>
      </x:c>
    </x:row>
    <x:row r="756">
      <x:c r="A756" s="16" t="n">
        <x:v>753</x:v>
      </x:c>
      <x:c r="B756" s="16" t="str">
        <x:v>Amirrudin Jamaludin</x:v>
      </x:c>
      <x:c r="C756" s="16" t="str"/>
      <x:c r="D756" s="16" t="str"/>
      <x:c r="E756" s="16" t="str">
        <x:v>* myContacts</x:v>
      </x:c>
      <x:c r="F756" s="16" t="str">
        <x:v>+60178869545</x:v>
      </x:c>
      <x:c r="G756" s="16" t="str">
        <x:v>+60178869545</x:v>
      </x:c>
      <x:c r="H756" s="16" t="str">
        <x:v>Excluded</x:v>
      </x:c>
      <x:c r="I756" s="16" t="str">
        <x:v>Missing email</x:v>
      </x:c>
    </x:row>
    <x:row r="757">
      <x:c r="A757" s="16" t="n">
        <x:v>754</x:v>
      </x:c>
      <x:c r="B757" s="16" t="str">
        <x:v>Amiruddin Kamaruddin</x:v>
      </x:c>
      <x:c r="C757" s="16" t="str"/>
      <x:c r="D757" s="16" t="str"/>
      <x:c r="E757" s="16" t="str">
        <x:v>* myContacts</x:v>
      </x:c>
      <x:c r="F757" s="16" t="str">
        <x:v>+60103600080</x:v>
      </x:c>
      <x:c r="G757" s="16" t="str">
        <x:v>+60103600080</x:v>
      </x:c>
      <x:c r="H757" s="16" t="str">
        <x:v>Excluded</x:v>
      </x:c>
      <x:c r="I757" s="16" t="str">
        <x:v>Missing email</x:v>
      </x:c>
    </x:row>
    <x:row r="758">
      <x:c r="A758" s="16" t="n">
        <x:v>755</x:v>
      </x:c>
      <x:c r="B758" s="16" t="str">
        <x:v>Amiruddin Kamaruddin II</x:v>
      </x:c>
      <x:c r="C758" s="16" t="str"/>
      <x:c r="D758" s="16" t="str"/>
      <x:c r="E758" s="16" t="str">
        <x:v>* myContacts</x:v>
      </x:c>
      <x:c r="F758" s="16" t="str">
        <x:v>+60103600080</x:v>
      </x:c>
      <x:c r="G758" s="16" t="str">
        <x:v>+60103600080</x:v>
      </x:c>
      <x:c r="H758" s="16" t="str">
        <x:v>Excluded</x:v>
      </x:c>
      <x:c r="I758" s="16" t="str">
        <x:v>Missing email</x:v>
      </x:c>
    </x:row>
    <x:row r="759">
      <x:c r="A759" s="16" t="n">
        <x:v>756</x:v>
      </x:c>
      <x:c r="B759" s="16" t="str">
        <x:v>Amiruddin Mat Noor</x:v>
      </x:c>
      <x:c r="C759" s="16" t="str"/>
      <x:c r="D759" s="16" t="str"/>
      <x:c r="E759" s="16" t="str">
        <x:v>* myContacts</x:v>
      </x:c>
      <x:c r="F759" s="16" t="str">
        <x:v>+60179186474</x:v>
      </x:c>
      <x:c r="G759" s="16" t="str">
        <x:v>+60179186474</x:v>
      </x:c>
      <x:c r="H759" s="16" t="str">
        <x:v>Excluded</x:v>
      </x:c>
      <x:c r="I759" s="16" t="str">
        <x:v>Missing email</x:v>
      </x:c>
    </x:row>
    <x:row r="760">
      <x:c r="A760" s="16" t="n">
        <x:v>757</x:v>
      </x:c>
      <x:c r="B760" s="16" t="str">
        <x:v>Amirul Abdullah</x:v>
      </x:c>
      <x:c r="C760" s="16" t="str"/>
      <x:c r="D760" s="16" t="str"/>
      <x:c r="E760" s="16" t="str">
        <x:v>* myContacts</x:v>
      </x:c>
      <x:c r="F760" s="16" t="str">
        <x:v>+60145404230</x:v>
      </x:c>
      <x:c r="G760" s="16" t="str">
        <x:v>+60145404230</x:v>
      </x:c>
      <x:c r="H760" s="16" t="str">
        <x:v>Excluded</x:v>
      </x:c>
      <x:c r="I760" s="16" t="str">
        <x:v>Missing email</x:v>
      </x:c>
    </x:row>
    <x:row r="761">
      <x:c r="A761" s="16" t="n">
        <x:v>758</x:v>
      </x:c>
      <x:c r="B761" s="16" t="str">
        <x:v>Amirul Akmal Muay Thai</x:v>
      </x:c>
      <x:c r="C761" s="16" t="str"/>
      <x:c r="D761" s="16" t="str"/>
      <x:c r="E761" s="16" t="str">
        <x:v>* myContacts</x:v>
      </x:c>
      <x:c r="F761" s="16" t="str">
        <x:v>+60 19-459 5582 | +60194595582</x:v>
      </x:c>
      <x:c r="G761" s="16" t="str">
        <x:v>+60194595582 | +60194595582</x:v>
      </x:c>
      <x:c r="H761" s="16" t="str">
        <x:v>Excluded</x:v>
      </x:c>
      <x:c r="I761" s="16" t="str">
        <x:v>Missing email</x:v>
      </x:c>
    </x:row>
    <x:row r="762">
      <x:c r="A762" s="16" t="n">
        <x:v>759</x:v>
      </x:c>
      <x:c r="B762" s="16" t="str">
        <x:v>Amirul Amin</x:v>
      </x:c>
      <x:c r="C762" s="16" t="str"/>
      <x:c r="D762" s="16" t="str"/>
      <x:c r="E762" s="16" t="str">
        <x:v>* myContacts</x:v>
      </x:c>
      <x:c r="F762" s="16" t="str">
        <x:v>+60192446664</x:v>
      </x:c>
      <x:c r="G762" s="16" t="str">
        <x:v>+60192446664</x:v>
      </x:c>
      <x:c r="H762" s="16" t="str">
        <x:v>Excluded</x:v>
      </x:c>
      <x:c r="I762" s="16" t="str">
        <x:v>Missing email</x:v>
      </x:c>
    </x:row>
    <x:row r="763">
      <x:c r="A763" s="16" t="n">
        <x:v>760</x:v>
      </x:c>
      <x:c r="B763" s="16" t="str">
        <x:v>Amirul Arif Nadzory</x:v>
      </x:c>
      <x:c r="C763" s="16" t="str"/>
      <x:c r="D763" s="16" t="str"/>
      <x:c r="E763" s="16" t="str">
        <x:v>* myContacts</x:v>
      </x:c>
      <x:c r="F763" s="16" t="str">
        <x:v>+60198146963</x:v>
      </x:c>
      <x:c r="G763" s="16" t="str">
        <x:v>+60198146963</x:v>
      </x:c>
      <x:c r="H763" s="16" t="str">
        <x:v>Excluded</x:v>
      </x:c>
      <x:c r="I763" s="16" t="str">
        <x:v>Missing email</x:v>
      </x:c>
    </x:row>
    <x:row r="764">
      <x:c r="A764" s="16" t="n">
        <x:v>761</x:v>
      </x:c>
      <x:c r="B764" s="16" t="str">
        <x:v>Amirul Arif Nadzory II</x:v>
      </x:c>
      <x:c r="C764" s="16" t="str"/>
      <x:c r="D764" s="16" t="str"/>
      <x:c r="E764" s="16" t="str">
        <x:v>* myContacts</x:v>
      </x:c>
      <x:c r="F764" s="16" t="str">
        <x:v>+60198146963</x:v>
      </x:c>
      <x:c r="G764" s="16" t="str">
        <x:v>+60198146963</x:v>
      </x:c>
      <x:c r="H764" s="16" t="str">
        <x:v>Excluded</x:v>
      </x:c>
      <x:c r="I764" s="16" t="str">
        <x:v>Missing email</x:v>
      </x:c>
    </x:row>
    <x:row r="765">
      <x:c r="A765" s="16" t="n">
        <x:v>762</x:v>
      </x:c>
      <x:c r="B765" s="16" t="str">
        <x:v>Amirul Ashraf Mazlan</x:v>
      </x:c>
      <x:c r="C765" s="16" t="str"/>
      <x:c r="D765" s="16" t="str"/>
      <x:c r="E765" s="16" t="str">
        <x:v>* myContacts</x:v>
      </x:c>
      <x:c r="F765" s="16" t="str">
        <x:v>+60145246250</x:v>
      </x:c>
      <x:c r="G765" s="16" t="str">
        <x:v>+60145246250</x:v>
      </x:c>
      <x:c r="H765" s="16" t="str">
        <x:v>Excluded</x:v>
      </x:c>
      <x:c r="I765" s="16" t="str">
        <x:v>Missing email</x:v>
      </x:c>
    </x:row>
    <x:row r="766">
      <x:c r="A766" s="16" t="n">
        <x:v>763</x:v>
      </x:c>
      <x:c r="B766" s="16" t="str">
        <x:v>Amirul Asyraf</x:v>
      </x:c>
      <x:c r="C766" s="16" t="str"/>
      <x:c r="D766" s="16" t="str"/>
      <x:c r="E766" s="16" t="str">
        <x:v>* myContacts</x:v>
      </x:c>
      <x:c r="F766" s="16" t="str">
        <x:v>+601133004739</x:v>
      </x:c>
      <x:c r="G766" s="16" t="str">
        <x:v>+601133004739</x:v>
      </x:c>
      <x:c r="H766" s="16" t="str">
        <x:v>Excluded</x:v>
      </x:c>
      <x:c r="I766" s="16" t="str">
        <x:v>Missing email</x:v>
      </x:c>
    </x:row>
    <x:row r="767">
      <x:c r="A767" s="16" t="n">
        <x:v>764</x:v>
      </x:c>
      <x:c r="B767" s="16" t="str">
        <x:v>Amirul Aziz II</x:v>
      </x:c>
      <x:c r="C767" s="16" t="str"/>
      <x:c r="D767" s="16" t="str"/>
      <x:c r="E767" s="16" t="str">
        <x:v>* myContacts</x:v>
      </x:c>
      <x:c r="F767" s="16" t="str">
        <x:v>+60139688031 | +60133190461</x:v>
      </x:c>
      <x:c r="G767" s="16" t="str">
        <x:v>+60139688031 | +60133190461</x:v>
      </x:c>
      <x:c r="H767" s="16" t="str">
        <x:v>Excluded</x:v>
      </x:c>
      <x:c r="I767" s="16" t="str">
        <x:v>Missing email</x:v>
      </x:c>
    </x:row>
    <x:row r="768">
      <x:c r="A768" s="16" t="n">
        <x:v>765</x:v>
      </x:c>
      <x:c r="B768" s="16" t="str">
        <x:v>Amirul Fadhlan</x:v>
      </x:c>
      <x:c r="C768" s="16" t="str"/>
      <x:c r="D768" s="16" t="str"/>
      <x:c r="E768" s="16" t="str">
        <x:v>* myContacts</x:v>
      </x:c>
      <x:c r="F768" s="16" t="str">
        <x:v>+60196154387</x:v>
      </x:c>
      <x:c r="G768" s="16" t="str">
        <x:v>+60196154387</x:v>
      </x:c>
      <x:c r="H768" s="16" t="str">
        <x:v>Excluded</x:v>
      </x:c>
      <x:c r="I768" s="16" t="str">
        <x:v>Missing email</x:v>
      </x:c>
    </x:row>
    <x:row r="769">
      <x:c r="A769" s="16" t="n">
        <x:v>766</x:v>
      </x:c>
      <x:c r="B769" s="16" t="str">
        <x:v>Amirul Firdaus</x:v>
      </x:c>
      <x:c r="C769" s="16" t="str"/>
      <x:c r="D769" s="16" t="str"/>
      <x:c r="E769" s="16" t="str">
        <x:v>* myContacts</x:v>
      </x:c>
      <x:c r="F769" s="16" t="str">
        <x:v>+60175346545</x:v>
      </x:c>
      <x:c r="G769" s="16" t="str">
        <x:v>+60175346545</x:v>
      </x:c>
      <x:c r="H769" s="16" t="str">
        <x:v>Excluded</x:v>
      </x:c>
      <x:c r="I769" s="16" t="str">
        <x:v>Missing email</x:v>
      </x:c>
    </x:row>
    <x:row r="770">
      <x:c r="A770" s="16" t="n">
        <x:v>767</x:v>
      </x:c>
      <x:c r="B770" s="16" t="str">
        <x:v>Amirul Hafiq sewa kereta langkawi</x:v>
      </x:c>
      <x:c r="C770" s="16" t="str"/>
      <x:c r="D770" s="16" t="str"/>
      <x:c r="E770" s="16" t="str">
        <x:v>* myContacts</x:v>
      </x:c>
      <x:c r="F770" s="16" t="str">
        <x:v>01116599711 | +601116599711</x:v>
      </x:c>
      <x:c r="G770" s="16" t="str">
        <x:v>+601116599711 | +601116599711</x:v>
      </x:c>
      <x:c r="H770" s="16" t="str">
        <x:v>Excluded</x:v>
      </x:c>
      <x:c r="I770" s="16" t="str">
        <x:v>Missing email</x:v>
      </x:c>
    </x:row>
    <x:row r="771">
      <x:c r="A771" s="16" t="n">
        <x:v>768</x:v>
      </x:c>
      <x:c r="B771" s="16" t="str">
        <x:v>Amirul Haidi</x:v>
      </x:c>
      <x:c r="C771" s="16" t="str"/>
      <x:c r="D771" s="16" t="str"/>
      <x:c r="E771" s="16" t="str">
        <x:v>* myContacts</x:v>
      </x:c>
      <x:c r="F771" s="16" t="str">
        <x:v>+601129399610</x:v>
      </x:c>
      <x:c r="G771" s="16" t="str">
        <x:v>+601129399610</x:v>
      </x:c>
      <x:c r="H771" s="16" t="str">
        <x:v>Excluded</x:v>
      </x:c>
      <x:c r="I771" s="16" t="str">
        <x:v>Missing email</x:v>
      </x:c>
    </x:row>
    <x:row r="772">
      <x:c r="A772" s="16" t="n">
        <x:v>769</x:v>
      </x:c>
      <x:c r="B772" s="16" t="str">
        <x:v>Amirul Izhar Ahmad Shahime</x:v>
      </x:c>
      <x:c r="C772" s="16" t="str"/>
      <x:c r="D772" s="16" t="str"/>
      <x:c r="E772" s="16" t="str">
        <x:v>* myContacts</x:v>
      </x:c>
      <x:c r="F772" s="16" t="str">
        <x:v>+60134069987</x:v>
      </x:c>
      <x:c r="G772" s="16" t="str">
        <x:v>+60134069987</x:v>
      </x:c>
      <x:c r="H772" s="16" t="str">
        <x:v>Excluded</x:v>
      </x:c>
      <x:c r="I772" s="16" t="str">
        <x:v>Missing email</x:v>
      </x:c>
    </x:row>
    <x:row r="773">
      <x:c r="A773" s="16" t="n">
        <x:v>770</x:v>
      </x:c>
      <x:c r="B773" s="16" t="str">
        <x:v>Amirul Naim</x:v>
      </x:c>
      <x:c r="C773" s="16" t="str"/>
      <x:c r="D773" s="16" t="str"/>
      <x:c r="E773" s="16" t="str">
        <x:v>* myContacts</x:v>
      </x:c>
      <x:c r="F773" s="16" t="str">
        <x:v>017-605 7441 | 016-982 7993 | +60176057441 | 0169827993</x:v>
      </x:c>
      <x:c r="G773" s="16" t="str">
        <x:v>+60176057441 | +60169827993 | +60176057441 | +60169827993</x:v>
      </x:c>
      <x:c r="H773" s="16" t="str">
        <x:v>Excluded</x:v>
      </x:c>
      <x:c r="I773" s="16" t="str">
        <x:v>Missing email</x:v>
      </x:c>
    </x:row>
    <x:row r="774">
      <x:c r="A774" s="16" t="n">
        <x:v>771</x:v>
      </x:c>
      <x:c r="B774" s="16" t="str">
        <x:v>Amirul Oh Yeah</x:v>
      </x:c>
      <x:c r="C774" s="16" t="str"/>
      <x:c r="D774" s="16" t="str"/>
      <x:c r="E774" s="16" t="str">
        <x:v>* myContacts</x:v>
      </x:c>
      <x:c r="F774" s="16" t="str">
        <x:v>+60164233634</x:v>
      </x:c>
      <x:c r="G774" s="16" t="str">
        <x:v>+60164233634</x:v>
      </x:c>
      <x:c r="H774" s="16" t="str">
        <x:v>Excluded</x:v>
      </x:c>
      <x:c r="I774" s="16" t="str">
        <x:v>Missing email</x:v>
      </x:c>
    </x:row>
    <x:row r="775">
      <x:c r="A775" s="16" t="n">
        <x:v>772</x:v>
      </x:c>
      <x:c r="B775" s="16" t="str">
        <x:v>Amirul Rushaidi</x:v>
      </x:c>
      <x:c r="C775" s="16" t="str"/>
      <x:c r="D775" s="16" t="str"/>
      <x:c r="E775" s="16" t="str">
        <x:v>* myContacts</x:v>
      </x:c>
      <x:c r="F775" s="16" t="str">
        <x:v>+60199189704</x:v>
      </x:c>
      <x:c r="G775" s="16" t="str">
        <x:v>+60199189704</x:v>
      </x:c>
      <x:c r="H775" s="16" t="str">
        <x:v>Excluded</x:v>
      </x:c>
      <x:c r="I775" s="16" t="str">
        <x:v>Missing email</x:v>
      </x:c>
    </x:row>
    <x:row r="776">
      <x:c r="A776" s="16" t="n">
        <x:v>773</x:v>
      </x:c>
      <x:c r="B776" s="16" t="str">
        <x:v>Amirul Solahuddin Associate COSEC Office</x:v>
      </x:c>
      <x:c r="C776" s="16" t="str"/>
      <x:c r="D776" s="16" t="str"/>
      <x:c r="E776" s="16" t="str">
        <x:v>* myContacts</x:v>
      </x:c>
      <x:c r="F776" s="16" t="str">
        <x:v>+60 19-321 7375 | +60193217375</x:v>
      </x:c>
      <x:c r="G776" s="16" t="str">
        <x:v>+60193217375 | +60193217375</x:v>
      </x:c>
      <x:c r="H776" s="16" t="str">
        <x:v>Excluded</x:v>
      </x:c>
      <x:c r="I776" s="16" t="str">
        <x:v>Missing email</x:v>
      </x:c>
    </x:row>
    <x:row r="777">
      <x:c r="A777" s="16" t="n">
        <x:v>774</x:v>
      </x:c>
      <x:c r="B777" s="16" t="str">
        <x:v>Amirul Syafiq</x:v>
      </x:c>
      <x:c r="C777" s="16" t="str"/>
      <x:c r="D777" s="16" t="str"/>
      <x:c r="E777" s="16" t="str">
        <x:v>* myContacts</x:v>
      </x:c>
      <x:c r="F777" s="16" t="str">
        <x:v>+60138981997</x:v>
      </x:c>
      <x:c r="G777" s="16" t="str">
        <x:v>+60138981997</x:v>
      </x:c>
      <x:c r="H777" s="16" t="str">
        <x:v>Excluded</x:v>
      </x:c>
      <x:c r="I777" s="16" t="str">
        <x:v>Missing email</x:v>
      </x:c>
    </x:row>
    <x:row r="778">
      <x:c r="A778" s="16" t="n">
        <x:v>775</x:v>
      </x:c>
      <x:c r="B778" s="16" t="str">
        <x:v>Amirul Syahmi Yon</x:v>
      </x:c>
      <x:c r="C778" s="16" t="str"/>
      <x:c r="D778" s="16" t="str"/>
      <x:c r="E778" s="16" t="str">
        <x:v>* myContacts</x:v>
      </x:c>
      <x:c r="F778" s="16" t="str">
        <x:v>+60175807859</x:v>
      </x:c>
      <x:c r="G778" s="16" t="str">
        <x:v>+60175807859</x:v>
      </x:c>
      <x:c r="H778" s="16" t="str">
        <x:v>Excluded</x:v>
      </x:c>
      <x:c r="I778" s="16" t="str">
        <x:v>Missing email</x:v>
      </x:c>
    </x:row>
    <x:row r="779">
      <x:c r="A779" s="16" t="n">
        <x:v>776</x:v>
      </x:c>
      <x:c r="B779" s="16" t="str">
        <x:v>Amirul Wiring</x:v>
      </x:c>
      <x:c r="C779" s="16" t="str"/>
      <x:c r="D779" s="16" t="str"/>
      <x:c r="E779" s="16" t="str">
        <x:v>* myContacts</x:v>
      </x:c>
      <x:c r="F779" s="16" t="str">
        <x:v>+601136729369</x:v>
      </x:c>
      <x:c r="G779" s="16" t="str">
        <x:v>+601136729369</x:v>
      </x:c>
      <x:c r="H779" s="16" t="str">
        <x:v>Excluded</x:v>
      </x:c>
      <x:c r="I779" s="16" t="str">
        <x:v>Missing email</x:v>
      </x:c>
    </x:row>
    <x:row r="780">
      <x:c r="A780" s="16" t="n">
        <x:v>777</x:v>
      </x:c>
      <x:c r="B780" s="16" t="str">
        <x:v>Amirul Yusof Solahuddin</x:v>
      </x:c>
      <x:c r="C780" s="16" t="str"/>
      <x:c r="D780" s="16" t="str"/>
      <x:c r="E780" s="16" t="str">
        <x:v>* myContacts</x:v>
      </x:c>
      <x:c r="F780" s="16" t="str">
        <x:v>+60 19-323 5352 | +60193235352</x:v>
      </x:c>
      <x:c r="G780" s="16" t="str">
        <x:v>+60193235352 | +60193235352</x:v>
      </x:c>
      <x:c r="H780" s="16" t="str">
        <x:v>Excluded</x:v>
      </x:c>
      <x:c r="I780" s="16" t="str">
        <x:v>Missing email</x:v>
      </x:c>
    </x:row>
    <x:row r="781">
      <x:c r="A781" s="16" t="n">
        <x:v>778</x:v>
      </x:c>
      <x:c r="B781" s="16" t="str">
        <x:v>Amirul Zikri</x:v>
      </x:c>
      <x:c r="C781" s="16" t="str"/>
      <x:c r="D781" s="16" t="str"/>
      <x:c r="E781" s="16" t="str">
        <x:v>* myContacts</x:v>
      </x:c>
      <x:c r="F781" s="16" t="str">
        <x:v>+60179133704</x:v>
      </x:c>
      <x:c r="G781" s="16" t="str">
        <x:v>+60179133704</x:v>
      </x:c>
      <x:c r="H781" s="16" t="str">
        <x:v>Excluded</x:v>
      </x:c>
      <x:c r="I781" s="16" t="str">
        <x:v>Missing email</x:v>
      </x:c>
    </x:row>
    <x:row r="782">
      <x:c r="A782" s="16" t="n">
        <x:v>779</x:v>
      </x:c>
      <x:c r="B782" s="16" t="str">
        <x:v>Amirul Zulkefli</x:v>
      </x:c>
      <x:c r="C782" s="16" t="str"/>
      <x:c r="D782" s="16" t="str"/>
      <x:c r="E782" s="16" t="str">
        <x:v>* myContacts</x:v>
      </x:c>
      <x:c r="F782" s="16" t="str">
        <x:v>+60179356832</x:v>
      </x:c>
      <x:c r="G782" s="16" t="str">
        <x:v>+60179356832</x:v>
      </x:c>
      <x:c r="H782" s="16" t="str">
        <x:v>Excluded</x:v>
      </x:c>
      <x:c r="I782" s="16" t="str">
        <x:v>Missing email</x:v>
      </x:c>
    </x:row>
    <x:row r="783">
      <x:c r="A783" s="16" t="n">
        <x:v>780</x:v>
      </x:c>
      <x:c r="B783" s="16" t="str">
        <x:v>Amit Bhalla</x:v>
      </x:c>
      <x:c r="C783" s="16" t="str"/>
      <x:c r="D783" s="16" t="str"/>
      <x:c r="E783" s="16" t="str">
        <x:v>* myContacts</x:v>
      </x:c>
      <x:c r="F783" s="16" t="str">
        <x:v>+919350861427</x:v>
      </x:c>
      <x:c r="G783" s="16" t="str">
        <x:v>+919350861427</x:v>
      </x:c>
      <x:c r="H783" s="16" t="str">
        <x:v>Excluded</x:v>
      </x:c>
      <x:c r="I783" s="16" t="str">
        <x:v>Missing email</x:v>
      </x:c>
    </x:row>
    <x:row r="784">
      <x:c r="A784" s="16" t="n">
        <x:v>781</x:v>
      </x:c>
      <x:c r="B784" s="16" t="str">
        <x:v>Ammar Hapiq</x:v>
      </x:c>
      <x:c r="C784" s="16" t="str"/>
      <x:c r="D784" s="16" t="str"/>
      <x:c r="E784" s="16" t="str">
        <x:v>* myContacts</x:v>
      </x:c>
      <x:c r="F784" s="16" t="str">
        <x:v>+60194514612</x:v>
      </x:c>
      <x:c r="G784" s="16" t="str">
        <x:v>+60194514612</x:v>
      </x:c>
      <x:c r="H784" s="16" t="str">
        <x:v>Excluded</x:v>
      </x:c>
      <x:c r="I784" s="16" t="str">
        <x:v>Missing email</x:v>
      </x:c>
    </x:row>
    <x:row r="785">
      <x:c r="A785" s="16" t="n">
        <x:v>782</x:v>
      </x:c>
      <x:c r="B785" s="16" t="str">
        <x:v>Ammar Rabbani</x:v>
      </x:c>
      <x:c r="C785" s="16" t="str"/>
      <x:c r="D785" s="16" t="str"/>
      <x:c r="E785" s="16" t="str">
        <x:v>* myContacts</x:v>
      </x:c>
      <x:c r="F785" s="16" t="str">
        <x:v>+60123542216</x:v>
      </x:c>
      <x:c r="G785" s="16" t="str">
        <x:v>+60123542216</x:v>
      </x:c>
      <x:c r="H785" s="16" t="str">
        <x:v>Excluded</x:v>
      </x:c>
      <x:c r="I785" s="16" t="str">
        <x:v>Missing email</x:v>
      </x:c>
    </x:row>
    <x:row r="786">
      <x:c r="A786" s="16" t="n">
        <x:v>783</x:v>
      </x:c>
      <x:c r="B786" s="16" t="str">
        <x:v>Ammar Rahim</x:v>
      </x:c>
      <x:c r="C786" s="16" t="str"/>
      <x:c r="D786" s="16" t="str"/>
      <x:c r="E786" s="16" t="str">
        <x:v>* myContacts</x:v>
      </x:c>
      <x:c r="F786" s="16" t="str">
        <x:v>+60132101163</x:v>
      </x:c>
      <x:c r="G786" s="16" t="str">
        <x:v>+60132101163</x:v>
      </x:c>
      <x:c r="H786" s="16" t="str">
        <x:v>Excluded</x:v>
      </x:c>
      <x:c r="I786" s="16" t="str">
        <x:v>Missing email</x:v>
      </x:c>
    </x:row>
    <x:row r="787">
      <x:c r="A787" s="16" t="n">
        <x:v>784</x:v>
      </x:c>
      <x:c r="B787" s="16" t="str">
        <x:v>Amnah Mohamad</x:v>
      </x:c>
      <x:c r="C787" s="16" t="str"/>
      <x:c r="D787" s="16" t="str"/>
      <x:c r="E787" s="16" t="str">
        <x:v>* myContacts</x:v>
      </x:c>
      <x:c r="F787" s="16" t="str">
        <x:v>+60174174749</x:v>
      </x:c>
      <x:c r="G787" s="16" t="str">
        <x:v>+60174174749</x:v>
      </x:c>
      <x:c r="H787" s="16" t="str">
        <x:v>Excluded</x:v>
      </x:c>
      <x:c r="I787" s="16" t="str">
        <x:v>Missing email</x:v>
      </x:c>
    </x:row>
    <x:row r="788">
      <x:c r="A788" s="16" t="n">
        <x:v>785</x:v>
      </x:c>
      <x:c r="B788" s="16" t="str">
        <x:v>Amni Nasuha</x:v>
      </x:c>
      <x:c r="C788" s="16" t="str"/>
      <x:c r="D788" s="16" t="str"/>
      <x:c r="E788" s="16" t="str">
        <x:v>* myContacts</x:v>
      </x:c>
      <x:c r="F788" s="16" t="str">
        <x:v>+60139991882</x:v>
      </x:c>
      <x:c r="G788" s="16" t="str">
        <x:v>+60139991882</x:v>
      </x:c>
      <x:c r="H788" s="16" t="str">
        <x:v>Excluded</x:v>
      </x:c>
      <x:c r="I788" s="16" t="str">
        <x:v>Missing email</x:v>
      </x:c>
    </x:row>
    <x:row r="789">
      <x:c r="A789" s="16" t="n">
        <x:v>786</x:v>
      </x:c>
      <x:c r="B789" s="16" t="str">
        <x:v>Amoy Hydah</x:v>
      </x:c>
      <x:c r="C789" s="16" t="str"/>
      <x:c r="D789" s="16" t="str"/>
      <x:c r="E789" s="16" t="str">
        <x:v>* myContacts</x:v>
      </x:c>
      <x:c r="F789" s="16" t="str">
        <x:v>+60189230397</x:v>
      </x:c>
      <x:c r="G789" s="16" t="str">
        <x:v>+60189230397</x:v>
      </x:c>
      <x:c r="H789" s="16" t="str">
        <x:v>Excluded</x:v>
      </x:c>
      <x:c r="I789" s="16" t="str">
        <x:v>Missing email</x:v>
      </x:c>
    </x:row>
    <x:row r="790">
      <x:c r="A790" s="16" t="n">
        <x:v>787</x:v>
      </x:c>
      <x:c r="B790" s="16" t="str">
        <x:v>AMP</x:v>
      </x:c>
      <x:c r="C790" s="16" t="str"/>
      <x:c r="D790" s="16" t="str"/>
      <x:c r="E790" s="16" t="str">
        <x:v>* myContacts</x:v>
      </x:c>
      <x:c r="F790" s="16" t="str">
        <x:v>+62 811-185-370 | +62811185370</x:v>
      </x:c>
      <x:c r="G790" s="16" t="str">
        <x:v>+62811185370 | +62811185370</x:v>
      </x:c>
      <x:c r="H790" s="16" t="str">
        <x:v>Excluded</x:v>
      </x:c>
      <x:c r="I790" s="16" t="str">
        <x:v>Missing email</x:v>
      </x:c>
    </x:row>
    <x:row r="791">
      <x:c r="A791" s="16" t="n">
        <x:v>788</x:v>
      </x:c>
      <x:c r="B791" s="16" t="str">
        <x:v>Ampong Lang</x:v>
      </x:c>
      <x:c r="C791" s="16" t="str"/>
      <x:c r="D791" s="16" t="str"/>
      <x:c r="E791" s="16" t="str">
        <x:v>* myContacts</x:v>
      </x:c>
      <x:c r="F791" s="16" t="str">
        <x:v>+60178655212</x:v>
      </x:c>
      <x:c r="G791" s="16" t="str">
        <x:v>+60178655212</x:v>
      </x:c>
      <x:c r="H791" s="16" t="str">
        <x:v>Excluded</x:v>
      </x:c>
      <x:c r="I791" s="16" t="str">
        <x:v>Missing email</x:v>
      </x:c>
    </x:row>
    <x:row r="792">
      <x:c r="A792" s="16" t="n">
        <x:v>789</x:v>
      </x:c>
      <x:c r="B792" s="16" t="str">
        <x:v>Amran Ab Ghani</x:v>
      </x:c>
      <x:c r="C792" s="16" t="str"/>
      <x:c r="D792" s="16" t="str"/>
      <x:c r="E792" s="16" t="str">
        <x:v>* myContacts</x:v>
      </x:c>
      <x:c r="F792" s="16" t="str">
        <x:v>+601118636458</x:v>
      </x:c>
      <x:c r="G792" s="16" t="str">
        <x:v>+601118636458</x:v>
      </x:c>
      <x:c r="H792" s="16" t="str">
        <x:v>Excluded</x:v>
      </x:c>
      <x:c r="I792" s="16" t="str">
        <x:v>Missing email</x:v>
      </x:c>
    </x:row>
    <x:row r="793">
      <x:c r="A793" s="16" t="n">
        <x:v>790</x:v>
      </x:c>
      <x:c r="B793" s="16" t="str">
        <x:v>Amran Bin Kanin Iemran</x:v>
      </x:c>
      <x:c r="C793" s="16" t="str"/>
      <x:c r="D793" s="16" t="str"/>
      <x:c r="E793" s="16" t="str">
        <x:v>* myContacts</x:v>
      </x:c>
      <x:c r="F793" s="16" t="str">
        <x:v>+60192511308</x:v>
      </x:c>
      <x:c r="G793" s="16" t="str">
        <x:v>+60192511308</x:v>
      </x:c>
      <x:c r="H793" s="16" t="str">
        <x:v>Excluded</x:v>
      </x:c>
      <x:c r="I793" s="16" t="str">
        <x:v>Missing email</x:v>
      </x:c>
    </x:row>
    <x:row r="794">
      <x:c r="A794" s="16" t="n">
        <x:v>791</x:v>
      </x:c>
      <x:c r="B794" s="16" t="str">
        <x:v>Amran Jamalis Otai</x:v>
      </x:c>
      <x:c r="C794" s="16" t="str">
        <x:v>amranjamalia@gmail.com</x:v>
      </x:c>
      <x:c r="D794" s="16" t="str">
        <x:v>amranjamalia@gmail.com</x:v>
      </x:c>
      <x:c r="E794" s="16" t="str">
        <x:v>* myContacts</x:v>
      </x:c>
      <x:c r="F794" s="16" t="str">
        <x:v>0137009585 | +60137009585</x:v>
      </x:c>
      <x:c r="G794" s="16" t="str">
        <x:v>+60137009585 | +60137009585</x:v>
      </x:c>
      <x:c r="H794" s="16" t="str">
        <x:v>Eligible</x:v>
      </x:c>
      <x:c r="I794" s="16" t="str"/>
    </x:row>
    <x:row r="795">
      <x:c r="A795" s="16" t="n">
        <x:v>792</x:v>
      </x:c>
      <x:c r="B795" s="16" t="str">
        <x:v>Amri Unyil</x:v>
      </x:c>
      <x:c r="C795" s="16" t="str"/>
      <x:c r="D795" s="16" t="str"/>
      <x:c r="E795" s="16" t="str">
        <x:v>* myContacts</x:v>
      </x:c>
      <x:c r="F795" s="16" t="str">
        <x:v>+6287826077372</x:v>
      </x:c>
      <x:c r="G795" s="16" t="str">
        <x:v>+6287826077372</x:v>
      </x:c>
      <x:c r="H795" s="16" t="str">
        <x:v>Excluded</x:v>
      </x:c>
      <x:c r="I795" s="16" t="str">
        <x:v>Missing email</x:v>
      </x:c>
    </x:row>
    <x:row r="796">
      <x:c r="A796" s="16" t="n">
        <x:v>793</x:v>
      </x:c>
      <x:c r="B796" s="16" t="str">
        <x:v>Amrina Rashida</x:v>
      </x:c>
      <x:c r="C796" s="16" t="str"/>
      <x:c r="D796" s="16" t="str"/>
      <x:c r="E796" s="16" t="str">
        <x:v>* myContacts</x:v>
      </x:c>
      <x:c r="F796" s="16" t="str">
        <x:v>+60174586356</x:v>
      </x:c>
      <x:c r="G796" s="16" t="str">
        <x:v>+60174586356</x:v>
      </x:c>
      <x:c r="H796" s="16" t="str">
        <x:v>Excluded</x:v>
      </x:c>
      <x:c r="I796" s="16" t="str">
        <x:v>Missing email</x:v>
      </x:c>
    </x:row>
    <x:row r="797">
      <x:c r="A797" s="16" t="n">
        <x:v>794</x:v>
      </x:c>
      <x:c r="B797" s="16" t="str">
        <x:v>Amutha AGP</x:v>
      </x:c>
      <x:c r="C797" s="16" t="str"/>
      <x:c r="D797" s="16" t="str"/>
      <x:c r="E797" s="16" t="str">
        <x:v>* myContacts</x:v>
      </x:c>
      <x:c r="F797" s="16" t="str">
        <x:v>+60196219481</x:v>
      </x:c>
      <x:c r="G797" s="16" t="str">
        <x:v>+60196219481</x:v>
      </x:c>
      <x:c r="H797" s="16" t="str">
        <x:v>Excluded</x:v>
      </x:c>
      <x:c r="I797" s="16" t="str">
        <x:v>Missing email</x:v>
      </x:c>
    </x:row>
    <x:row r="798">
      <x:c r="A798" s="16" t="n">
        <x:v>795</x:v>
      </x:c>
      <x:c r="B798" s="16" t="str">
        <x:v>Amy Amy</x:v>
      </x:c>
      <x:c r="C798" s="16" t="str"/>
      <x:c r="D798" s="16" t="str"/>
      <x:c r="E798" s="16" t="str">
        <x:v>* myContacts</x:v>
      </x:c>
      <x:c r="F798" s="16" t="str">
        <x:v>+60163942653</x:v>
      </x:c>
      <x:c r="G798" s="16" t="str">
        <x:v>+60163942653</x:v>
      </x:c>
      <x:c r="H798" s="16" t="str">
        <x:v>Excluded</x:v>
      </x:c>
      <x:c r="I798" s="16" t="str">
        <x:v>Missing email</x:v>
      </x:c>
    </x:row>
    <x:row r="799">
      <x:c r="A799" s="16" t="n">
        <x:v>796</x:v>
      </x:c>
      <x:c r="B799" s="16" t="str">
        <x:v>Amy Ayu</x:v>
      </x:c>
      <x:c r="C799" s="16" t="str"/>
      <x:c r="D799" s="16" t="str"/>
      <x:c r="E799" s="16" t="str">
        <x:v>* myContacts</x:v>
      </x:c>
      <x:c r="F799" s="16" t="str">
        <x:v>+60173367475</x:v>
      </x:c>
      <x:c r="G799" s="16" t="str">
        <x:v>+60173367475</x:v>
      </x:c>
      <x:c r="H799" s="16" t="str">
        <x:v>Excluded</x:v>
      </x:c>
      <x:c r="I799" s="16" t="str">
        <x:v>Missing email</x:v>
      </x:c>
    </x:row>
    <x:row r="800">
      <x:c r="A800" s="16" t="n">
        <x:v>797</x:v>
      </x:c>
      <x:c r="B800" s="16" t="str">
        <x:v>Amy Azeanty Aziz</x:v>
      </x:c>
      <x:c r="C800" s="16" t="str"/>
      <x:c r="D800" s="16" t="str"/>
      <x:c r="E800" s="16" t="str">
        <x:v>* myContacts</x:v>
      </x:c>
      <x:c r="F800" s="16" t="str">
        <x:v>+60196666462</x:v>
      </x:c>
      <x:c r="G800" s="16" t="str">
        <x:v>+60196666462</x:v>
      </x:c>
      <x:c r="H800" s="16" t="str">
        <x:v>Excluded</x:v>
      </x:c>
      <x:c r="I800" s="16" t="str">
        <x:v>Missing email</x:v>
      </x:c>
    </x:row>
    <x:row r="801">
      <x:c r="A801" s="16" t="n">
        <x:v>798</x:v>
      </x:c>
      <x:c r="B801" s="16" t="str">
        <x:v>Amy Azie</x:v>
      </x:c>
      <x:c r="C801" s="16" t="str"/>
      <x:c r="D801" s="16" t="str"/>
      <x:c r="E801" s="16" t="str">
        <x:v>* myContacts</x:v>
      </x:c>
      <x:c r="F801" s="16" t="str">
        <x:v>+60174204340</x:v>
      </x:c>
      <x:c r="G801" s="16" t="str">
        <x:v>+60174204340</x:v>
      </x:c>
      <x:c r="H801" s="16" t="str">
        <x:v>Excluded</x:v>
      </x:c>
      <x:c r="I801" s="16" t="str">
        <x:v>Missing email</x:v>
      </x:c>
    </x:row>
    <x:row r="802">
      <x:c r="A802" s="16" t="n">
        <x:v>799</x:v>
      </x:c>
      <x:c r="B802" s="16" t="str">
        <x:v>Amy Emilda Shoshonis</x:v>
      </x:c>
      <x:c r="C802" s="16" t="str"/>
      <x:c r="D802" s="16" t="str"/>
      <x:c r="E802" s="16" t="str">
        <x:v>* myContacts</x:v>
      </x:c>
      <x:c r="F802" s="16" t="str">
        <x:v>+6581440017</x:v>
      </x:c>
      <x:c r="G802" s="16" t="str">
        <x:v>+6581440017</x:v>
      </x:c>
      <x:c r="H802" s="16" t="str">
        <x:v>Excluded</x:v>
      </x:c>
      <x:c r="I802" s="16" t="str">
        <x:v>Missing email</x:v>
      </x:c>
    </x:row>
    <x:row r="803">
      <x:c r="A803" s="16" t="n">
        <x:v>800</x:v>
      </x:c>
      <x:c r="B803" s="16" t="str">
        <x:v>Amy Hasmieza</x:v>
      </x:c>
      <x:c r="C803" s="16" t="str"/>
      <x:c r="D803" s="16" t="str"/>
      <x:c r="E803" s="16" t="str">
        <x:v>* myContacts</x:v>
      </x:c>
      <x:c r="F803" s="16" t="str">
        <x:v>+60196122646</x:v>
      </x:c>
      <x:c r="G803" s="16" t="str">
        <x:v>+60196122646</x:v>
      </x:c>
      <x:c r="H803" s="16" t="str">
        <x:v>Excluded</x:v>
      </x:c>
      <x:c r="I803" s="16" t="str">
        <x:v>Missing email</x:v>
      </x:c>
    </x:row>
    <x:row r="804">
      <x:c r="A804" s="16" t="n">
        <x:v>801</x:v>
      </x:c>
      <x:c r="B804" s="16" t="str">
        <x:v>Amy Musa</x:v>
      </x:c>
      <x:c r="C804" s="16" t="str"/>
      <x:c r="D804" s="16" t="str"/>
      <x:c r="E804" s="16" t="str">
        <x:v>* myContacts</x:v>
      </x:c>
      <x:c r="F804" s="16" t="str">
        <x:v>+60175412520</x:v>
      </x:c>
      <x:c r="G804" s="16" t="str">
        <x:v>+60175412520</x:v>
      </x:c>
      <x:c r="H804" s="16" t="str">
        <x:v>Excluded</x:v>
      </x:c>
      <x:c r="I804" s="16" t="str">
        <x:v>Missing email</x:v>
      </x:c>
    </x:row>
    <x:row r="805">
      <x:c r="A805" s="16" t="n">
        <x:v>802</x:v>
      </x:c>
      <x:c r="B805" s="16" t="str">
        <x:v>Amy Nuar</x:v>
      </x:c>
      <x:c r="C805" s="16" t="str"/>
      <x:c r="D805" s="16" t="str"/>
      <x:c r="E805" s="16" t="str">
        <x:v>* myContacts</x:v>
      </x:c>
      <x:c r="F805" s="16" t="str">
        <x:v>+60122976653</x:v>
      </x:c>
      <x:c r="G805" s="16" t="str">
        <x:v>+60122976653</x:v>
      </x:c>
      <x:c r="H805" s="16" t="str">
        <x:v>Excluded</x:v>
      </x:c>
      <x:c r="I805" s="16" t="str">
        <x:v>Missing email</x:v>
      </x:c>
    </x:row>
    <x:row r="806">
      <x:c r="A806" s="16" t="n">
        <x:v>803</x:v>
      </x:c>
      <x:c r="B806" s="16" t="str">
        <x:v>Amyliena Abdullah</x:v>
      </x:c>
      <x:c r="C806" s="16" t="str"/>
      <x:c r="D806" s="16" t="str"/>
      <x:c r="E806" s="16" t="str">
        <x:v>* myContacts</x:v>
      </x:c>
      <x:c r="F806" s="16" t="str">
        <x:v>+60173085836</x:v>
      </x:c>
      <x:c r="G806" s="16" t="str">
        <x:v>+60173085836</x:v>
      </x:c>
      <x:c r="H806" s="16" t="str">
        <x:v>Excluded</x:v>
      </x:c>
      <x:c r="I806" s="16" t="str">
        <x:v>Missing email</x:v>
      </x:c>
    </x:row>
    <x:row r="807">
      <x:c r="A807" s="16" t="n">
        <x:v>804</x:v>
      </x:c>
      <x:c r="B807" s="16" t="str">
        <x:v>Amyr Shaja</x:v>
      </x:c>
      <x:c r="C807" s="16" t="str"/>
      <x:c r="D807" s="16" t="str"/>
      <x:c r="E807" s="16" t="str">
        <x:v>* myContacts</x:v>
      </x:c>
      <x:c r="F807" s="16" t="str">
        <x:v>+601111993435</x:v>
      </x:c>
      <x:c r="G807" s="16" t="str">
        <x:v>+601111993435</x:v>
      </x:c>
      <x:c r="H807" s="16" t="str">
        <x:v>Excluded</x:v>
      </x:c>
      <x:c r="I807" s="16" t="str">
        <x:v>Missing email</x:v>
      </x:c>
    </x:row>
    <x:row r="808">
      <x:c r="A808" s="16" t="n">
        <x:v>805</x:v>
      </x:c>
      <x:c r="B808" s="16" t="str">
        <x:v>Amzari Zamri</x:v>
      </x:c>
      <x:c r="C808" s="16" t="str"/>
      <x:c r="D808" s="16" t="str"/>
      <x:c r="E808" s="16" t="str">
        <x:v>* myContacts</x:v>
      </x:c>
      <x:c r="F808" s="16" t="str">
        <x:v>+60 16-551 4363 | +60165514363</x:v>
      </x:c>
      <x:c r="G808" s="16" t="str">
        <x:v>+60165514363 | +60165514363</x:v>
      </x:c>
      <x:c r="H808" s="16" t="str">
        <x:v>Excluded</x:v>
      </x:c>
      <x:c r="I808" s="16" t="str">
        <x:v>Missing email</x:v>
      </x:c>
    </x:row>
    <x:row r="809">
      <x:c r="A809" s="16" t="n">
        <x:v>806</x:v>
      </x:c>
      <x:c r="B809" s="16" t="str">
        <x:v>An Anisah</x:v>
      </x:c>
      <x:c r="C809" s="16" t="str"/>
      <x:c r="D809" s="16" t="str"/>
      <x:c r="E809" s="16" t="str">
        <x:v>* myContacts</x:v>
      </x:c>
      <x:c r="F809" s="16" t="str">
        <x:v>+601123728311</x:v>
      </x:c>
      <x:c r="G809" s="16" t="str">
        <x:v>+601123728311</x:v>
      </x:c>
      <x:c r="H809" s="16" t="str">
        <x:v>Excluded</x:v>
      </x:c>
      <x:c r="I809" s="16" t="str">
        <x:v>Missing email</x:v>
      </x:c>
    </x:row>
    <x:row r="810">
      <x:c r="A810" s="16" t="n">
        <x:v>807</x:v>
      </x:c>
      <x:c r="B810" s="16" t="str">
        <x:v>Ana Amynahilhamku</x:v>
      </x:c>
      <x:c r="C810" s="16" t="str"/>
      <x:c r="D810" s="16" t="str"/>
      <x:c r="E810" s="16" t="str">
        <x:v>* myContacts</x:v>
      </x:c>
      <x:c r="F810" s="16" t="str">
        <x:v>+60149552869</x:v>
      </x:c>
      <x:c r="G810" s="16" t="str">
        <x:v>+60149552869</x:v>
      </x:c>
      <x:c r="H810" s="16" t="str">
        <x:v>Excluded</x:v>
      </x:c>
      <x:c r="I810" s="16" t="str">
        <x:v>Missing email</x:v>
      </x:c>
    </x:row>
    <x:row r="811">
      <x:c r="A811" s="16" t="n">
        <x:v>808</x:v>
      </x:c>
      <x:c r="B811" s="16" t="str">
        <x:v>Ana Farhana</x:v>
      </x:c>
      <x:c r="C811" s="16" t="str"/>
      <x:c r="D811" s="16" t="str"/>
      <x:c r="E811" s="16" t="str">
        <x:v>* myContacts</x:v>
      </x:c>
      <x:c r="F811" s="16" t="str">
        <x:v>+12345678910</x:v>
      </x:c>
      <x:c r="G811" s="16" t="str">
        <x:v>+12345678910</x:v>
      </x:c>
      <x:c r="H811" s="16" t="str">
        <x:v>Excluded</x:v>
      </x:c>
      <x:c r="I811" s="16" t="str">
        <x:v>Missing email</x:v>
      </x:c>
    </x:row>
    <x:row r="812">
      <x:c r="A812" s="16" t="n">
        <x:v>809</x:v>
      </x:c>
      <x:c r="B812" s="16" t="str">
        <x:v>Ana Jusni</x:v>
      </x:c>
      <x:c r="C812" s="16" t="str"/>
      <x:c r="D812" s="16" t="str"/>
      <x:c r="E812" s="16" t="str">
        <x:v>* myContacts</x:v>
      </x:c>
      <x:c r="F812" s="16" t="str">
        <x:v>+601136480873</x:v>
      </x:c>
      <x:c r="G812" s="16" t="str">
        <x:v>+601136480873</x:v>
      </x:c>
      <x:c r="H812" s="16" t="str">
        <x:v>Excluded</x:v>
      </x:c>
      <x:c r="I812" s="16" t="str">
        <x:v>Missing email</x:v>
      </x:c>
    </x:row>
    <x:row r="813">
      <x:c r="A813" s="16" t="n">
        <x:v>810</x:v>
      </x:c>
      <x:c r="B813" s="16" t="str">
        <x:v>Ana Nur Hana</x:v>
      </x:c>
      <x:c r="C813" s="16" t="str"/>
      <x:c r="D813" s="16" t="str"/>
      <x:c r="E813" s="16" t="str">
        <x:v>* myContacts</x:v>
      </x:c>
      <x:c r="F813" s="16" t="str">
        <x:v>+601114078165</x:v>
      </x:c>
      <x:c r="G813" s="16" t="str">
        <x:v>+601114078165</x:v>
      </x:c>
      <x:c r="H813" s="16" t="str">
        <x:v>Excluded</x:v>
      </x:c>
      <x:c r="I813" s="16" t="str">
        <x:v>Missing email</x:v>
      </x:c>
    </x:row>
    <x:row r="814">
      <x:c r="A814" s="16" t="n">
        <x:v>811</x:v>
      </x:c>
      <x:c r="B814" s="16" t="str">
        <x:v>Ana Suhana</x:v>
      </x:c>
      <x:c r="C814" s="16" t="str"/>
      <x:c r="D814" s="16" t="str"/>
      <x:c r="E814" s="16" t="str">
        <x:v>* myContacts</x:v>
      </x:c>
      <x:c r="F814" s="16" t="str">
        <x:v>+60195156074</x:v>
      </x:c>
      <x:c r="G814" s="16" t="str">
        <x:v>+60195156074</x:v>
      </x:c>
      <x:c r="H814" s="16" t="str">
        <x:v>Excluded</x:v>
      </x:c>
      <x:c r="I814" s="16" t="str">
        <x:v>Missing email</x:v>
      </x:c>
    </x:row>
    <x:row r="815">
      <x:c r="A815" s="16" t="n">
        <x:v>812</x:v>
      </x:c>
      <x:c r="B815" s="16" t="str">
        <x:v>Ana Suryani</x:v>
      </x:c>
      <x:c r="C815" s="16" t="str"/>
      <x:c r="D815" s="16" t="str"/>
      <x:c r="E815" s="16" t="str">
        <x:v>* myContacts</x:v>
      </x:c>
      <x:c r="F815" s="16" t="str">
        <x:v>+6281575250317</x:v>
      </x:c>
      <x:c r="G815" s="16" t="str">
        <x:v>+6281575250317</x:v>
      </x:c>
      <x:c r="H815" s="16" t="str">
        <x:v>Excluded</x:v>
      </x:c>
      <x:c r="I815" s="16" t="str">
        <x:v>Missing email</x:v>
      </x:c>
    </x:row>
    <x:row r="816">
      <x:c r="A816" s="16" t="n">
        <x:v>813</x:v>
      </x:c>
      <x:c r="B816" s="16" t="str">
        <x:v>Anafi Copler Stell Enjhoy</x:v>
      </x:c>
      <x:c r="C816" s="16" t="str"/>
      <x:c r="D816" s="16" t="str"/>
      <x:c r="E816" s="16" t="str">
        <x:v>* myContacts</x:v>
      </x:c>
      <x:c r="F816" s="16" t="str">
        <x:v>+60178768614</x:v>
      </x:c>
      <x:c r="G816" s="16" t="str">
        <x:v>+60178768614</x:v>
      </x:c>
      <x:c r="H816" s="16" t="str">
        <x:v>Excluded</x:v>
      </x:c>
      <x:c r="I816" s="16" t="str">
        <x:v>Missing email</x:v>
      </x:c>
    </x:row>
    <x:row r="817">
      <x:c r="A817" s="16" t="n">
        <x:v>814</x:v>
      </x:c>
      <x:c r="B817" s="16" t="str">
        <x:v>Anak Alang Fizlah Amoi</x:v>
      </x:c>
      <x:c r="C817" s="16" t="str"/>
      <x:c r="D817" s="16" t="str"/>
      <x:c r="E817" s="16" t="str">
        <x:v>* myContacts</x:v>
      </x:c>
      <x:c r="F817" s="16" t="str">
        <x:v>+60 13-643 4966 | +60136434966</x:v>
      </x:c>
      <x:c r="G817" s="16" t="str">
        <x:v>+60136434966 | +60136434966</x:v>
      </x:c>
      <x:c r="H817" s="16" t="str">
        <x:v>Excluded</x:v>
      </x:c>
      <x:c r="I817" s="16" t="str">
        <x:v>Missing email</x:v>
      </x:c>
    </x:row>
    <x:row r="818">
      <x:c r="A818" s="16" t="n">
        <x:v>815</x:v>
      </x:c>
      <x:c r="B818" s="16" t="str">
        <x:v>anak en azmi</x:v>
      </x:c>
      <x:c r="C818" s="16" t="str"/>
      <x:c r="D818" s="16" t="str"/>
      <x:c r="E818" s="16" t="str">
        <x:v>* myContacts</x:v>
      </x:c>
      <x:c r="F818" s="16" t="str">
        <x:v>+60 12-718 7607 | +60127187607</x:v>
      </x:c>
      <x:c r="G818" s="16" t="str">
        <x:v>+60127187607 | +60127187607</x:v>
      </x:c>
      <x:c r="H818" s="16" t="str">
        <x:v>Excluded</x:v>
      </x:c>
      <x:c r="I818" s="16" t="str">
        <x:v>Missing email</x:v>
      </x:c>
    </x:row>
    <x:row r="819">
      <x:c r="A819" s="16" t="n">
        <x:v>816</x:v>
      </x:c>
      <x:c r="B819" s="16" t="str">
        <x:v>Anak Salim Abas</x:v>
      </x:c>
      <x:c r="C819" s="16" t="str"/>
      <x:c r="D819" s="16" t="str"/>
      <x:c r="E819" s="16" t="str">
        <x:v>* myContacts</x:v>
      </x:c>
      <x:c r="F819" s="16" t="str">
        <x:v>+60175523684</x:v>
      </x:c>
      <x:c r="G819" s="16" t="str">
        <x:v>+60175523684</x:v>
      </x:c>
      <x:c r="H819" s="16" t="str">
        <x:v>Excluded</x:v>
      </x:c>
      <x:c r="I819" s="16" t="str">
        <x:v>Missing email</x:v>
      </x:c>
    </x:row>
    <x:row r="820">
      <x:c r="A820" s="16" t="n">
        <x:v>817</x:v>
      </x:c>
      <x:c r="B820" s="16" t="str">
        <x:v>Anam Muhammad Khairul</x:v>
      </x:c>
      <x:c r="C820" s="16" t="str"/>
      <x:c r="D820" s="16" t="str"/>
      <x:c r="E820" s="16" t="str">
        <x:v>* myContacts</x:v>
      </x:c>
      <x:c r="F820" s="16" t="str">
        <x:v>+6285376318040</x:v>
      </x:c>
      <x:c r="G820" s="16" t="str">
        <x:v>+6285376318040</x:v>
      </x:c>
      <x:c r="H820" s="16" t="str">
        <x:v>Excluded</x:v>
      </x:c>
      <x:c r="I820" s="16" t="str">
        <x:v>Missing email</x:v>
      </x:c>
    </x:row>
    <x:row r="821">
      <x:c r="A821" s="16" t="n">
        <x:v>818</x:v>
      </x:c>
      <x:c r="B821" s="16" t="str">
        <x:v>Anam Sifu Website</x:v>
      </x:c>
      <x:c r="C821" s="16" t="str"/>
      <x:c r="D821" s="16" t="str"/>
      <x:c r="E821" s="16" t="str">
        <x:v>* myContacts</x:v>
      </x:c>
      <x:c r="F821" s="16" t="str">
        <x:v>0136500100 | +60136500100</x:v>
      </x:c>
      <x:c r="G821" s="16" t="str">
        <x:v>+60136500100 | +60136500100</x:v>
      </x:c>
      <x:c r="H821" s="16" t="str">
        <x:v>Excluded</x:v>
      </x:c>
      <x:c r="I821" s="16" t="str">
        <x:v>Missing email</x:v>
      </x:c>
    </x:row>
    <x:row r="822">
      <x:c r="A822" s="16" t="n">
        <x:v>819</x:v>
      </x:c>
      <x:c r="B822" s="16" t="str">
        <x:v>Anarie Fianni</x:v>
      </x:c>
      <x:c r="C822" s="16" t="str"/>
      <x:c r="D822" s="16" t="str"/>
      <x:c r="E822" s="16" t="str">
        <x:v>* myContacts</x:v>
      </x:c>
      <x:c r="F822" s="16" t="str">
        <x:v>+60166530347</x:v>
      </x:c>
      <x:c r="G822" s="16" t="str">
        <x:v>+60166530347</x:v>
      </x:c>
      <x:c r="H822" s="16" t="str">
        <x:v>Excluded</x:v>
      </x:c>
      <x:c r="I822" s="16" t="str">
        <x:v>Missing email</x:v>
      </x:c>
    </x:row>
    <x:row r="823">
      <x:c r="A823" s="16" t="n">
        <x:v>820</x:v>
      </x:c>
      <x:c r="B823" s="16" t="str">
        <x:v>Anas Agent Essens Jb</x:v>
      </x:c>
      <x:c r="C823" s="16" t="str"/>
      <x:c r="D823" s="16" t="str"/>
      <x:c r="E823" s="16" t="str">
        <x:v>* myContacts</x:v>
      </x:c>
      <x:c r="F823" s="16" t="str">
        <x:v>+60 11-2055 4525 | +601120554525 | +60108356587</x:v>
      </x:c>
      <x:c r="G823" s="16" t="str">
        <x:v>+601120554525 | +601120554525 | +60108356587</x:v>
      </x:c>
      <x:c r="H823" s="16" t="str">
        <x:v>Excluded</x:v>
      </x:c>
      <x:c r="I823" s="16" t="str">
        <x:v>Missing email</x:v>
      </x:c>
    </x:row>
    <x:row r="824">
      <x:c r="A824" s="16" t="n">
        <x:v>821</x:v>
      </x:c>
      <x:c r="B824" s="16" t="str">
        <x:v>Anas anak ACIK AMIN</x:v>
      </x:c>
      <x:c r="C824" s="16" t="str"/>
      <x:c r="D824" s="16" t="str"/>
      <x:c r="E824" s="16" t="str">
        <x:v>* myContacts</x:v>
      </x:c>
      <x:c r="F824" s="16" t="str">
        <x:v>+60143578123</x:v>
      </x:c>
      <x:c r="G824" s="16" t="str">
        <x:v>+60143578123</x:v>
      </x:c>
      <x:c r="H824" s="16" t="str">
        <x:v>Excluded</x:v>
      </x:c>
      <x:c r="I824" s="16" t="str">
        <x:v>Missing email</x:v>
      </x:c>
    </x:row>
    <x:row r="825">
      <x:c r="A825" s="16" t="n">
        <x:v>822</x:v>
      </x:c>
      <x:c r="B825" s="16" t="str">
        <x:v>Anas kawan zakwan</x:v>
      </x:c>
      <x:c r="C825" s="16" t="str"/>
      <x:c r="D825" s="16" t="str"/>
      <x:c r="E825" s="16" t="str">
        <x:v>* myContacts</x:v>
      </x:c>
      <x:c r="F825" s="16" t="str">
        <x:v>0146805362 | +60146805362</x:v>
      </x:c>
      <x:c r="G825" s="16" t="str">
        <x:v>+60146805362 | +60146805362</x:v>
      </x:c>
      <x:c r="H825" s="16" t="str">
        <x:v>Excluded</x:v>
      </x:c>
      <x:c r="I825" s="16" t="str">
        <x:v>Missing email</x:v>
      </x:c>
    </x:row>
    <x:row r="826">
      <x:c r="A826" s="16" t="n">
        <x:v>823</x:v>
      </x:c>
      <x:c r="B826" s="16" t="str">
        <x:v>ANAS mok²</x:v>
      </x:c>
      <x:c r="C826" s="16" t="str"/>
      <x:c r="D826" s="16" t="str"/>
      <x:c r="E826" s="16" t="str">
        <x:v>* myContacts</x:v>
      </x:c>
      <x:c r="F826" s="16" t="str">
        <x:v>+60102450432</x:v>
      </x:c>
      <x:c r="G826" s="16" t="str">
        <x:v>+60102450432</x:v>
      </x:c>
      <x:c r="H826" s="16" t="str">
        <x:v>Excluded</x:v>
      </x:c>
      <x:c r="I826" s="16" t="str">
        <x:v>Missing email</x:v>
      </x:c>
    </x:row>
    <x:row r="827">
      <x:c r="A827" s="16" t="n">
        <x:v>824</x:v>
      </x:c>
      <x:c r="B827" s="16" t="str">
        <x:v>AnasTacia AmaniAfrina</x:v>
      </x:c>
      <x:c r="C827" s="16" t="str"/>
      <x:c r="D827" s="16" t="str"/>
      <x:c r="E827" s="16" t="str">
        <x:v>* myContacts</x:v>
      </x:c>
      <x:c r="F827" s="16" t="str">
        <x:v>+60192437059</x:v>
      </x:c>
      <x:c r="G827" s="16" t="str">
        <x:v>+60192437059</x:v>
      </x:c>
      <x:c r="H827" s="16" t="str">
        <x:v>Excluded</x:v>
      </x:c>
      <x:c r="I827" s="16" t="str">
        <x:v>Missing email</x:v>
      </x:c>
    </x:row>
    <x:row r="828">
      <x:c r="A828" s="16" t="n">
        <x:v>825</x:v>
      </x:c>
      <x:c r="B828" s="16" t="str">
        <x:v>Andankuso Mak Jga</x:v>
      </x:c>
      <x:c r="C828" s="16" t="str"/>
      <x:c r="D828" s="16" t="str"/>
      <x:c r="E828" s="16" t="str">
        <x:v>* myContacts</x:v>
      </x:c>
      <x:c r="F828" s="16" t="str">
        <x:v>+601119858597</x:v>
      </x:c>
      <x:c r="G828" s="16" t="str">
        <x:v>+601119858597</x:v>
      </x:c>
      <x:c r="H828" s="16" t="str">
        <x:v>Excluded</x:v>
      </x:c>
      <x:c r="I828" s="16" t="str">
        <x:v>Missing email</x:v>
      </x:c>
    </x:row>
    <x:row r="829">
      <x:c r="A829" s="16" t="n">
        <x:v>826</x:v>
      </x:c>
      <x:c r="B829" s="16" t="str">
        <x:v>Anderson Andy</x:v>
      </x:c>
      <x:c r="C829" s="16" t="str"/>
      <x:c r="D829" s="16" t="str"/>
      <x:c r="E829" s="16" t="str">
        <x:v>* myContacts</x:v>
      </x:c>
      <x:c r="F829" s="16" t="str">
        <x:v>+60109855240</x:v>
      </x:c>
      <x:c r="G829" s="16" t="str">
        <x:v>+60109855240</x:v>
      </x:c>
      <x:c r="H829" s="16" t="str">
        <x:v>Excluded</x:v>
      </x:c>
      <x:c r="I829" s="16" t="str">
        <x:v>Missing email</x:v>
      </x:c>
    </x:row>
    <x:row r="830">
      <x:c r="A830" s="16" t="n">
        <x:v>827</x:v>
      </x:c>
      <x:c r="B830" s="16" t="str">
        <x:v>Andi</x:v>
      </x:c>
      <x:c r="C830" s="16" t="str"/>
      <x:c r="D830" s="16" t="str"/>
      <x:c r="E830" s="16" t="str">
        <x:v>* myContacts</x:v>
      </x:c>
      <x:c r="F830" s="16" t="str">
        <x:v>+6281277107739</x:v>
      </x:c>
      <x:c r="G830" s="16" t="str">
        <x:v>+6281277107739</x:v>
      </x:c>
      <x:c r="H830" s="16" t="str">
        <x:v>Excluded</x:v>
      </x:c>
      <x:c r="I830" s="16" t="str">
        <x:v>Missing email</x:v>
      </x:c>
    </x:row>
    <x:row r="831">
      <x:c r="A831" s="16" t="n">
        <x:v>828</x:v>
      </x:c>
      <x:c r="B831" s="16" t="str">
        <x:v>Andi Bandot</x:v>
      </x:c>
      <x:c r="C831" s="16" t="str"/>
      <x:c r="D831" s="16" t="str"/>
      <x:c r="E831" s="16" t="str">
        <x:v>* myContacts</x:v>
      </x:c>
      <x:c r="F831" s="16" t="str">
        <x:v>+6281273891706</x:v>
      </x:c>
      <x:c r="G831" s="16" t="str">
        <x:v>+6281273891706</x:v>
      </x:c>
      <x:c r="H831" s="16" t="str">
        <x:v>Excluded</x:v>
      </x:c>
      <x:c r="I831" s="16" t="str">
        <x:v>Missing email</x:v>
      </x:c>
    </x:row>
    <x:row r="832">
      <x:c r="A832" s="16" t="n">
        <x:v>829</x:v>
      </x:c>
      <x:c r="B832" s="16" t="str">
        <x:v>Andi Ferra Daeng'Bani</x:v>
      </x:c>
      <x:c r="C832" s="16" t="str"/>
      <x:c r="D832" s="16" t="str"/>
      <x:c r="E832" s="16" t="str">
        <x:v>* myContacts</x:v>
      </x:c>
      <x:c r="F832" s="16" t="str">
        <x:v>+60128440901</x:v>
      </x:c>
      <x:c r="G832" s="16" t="str">
        <x:v>+60128440901</x:v>
      </x:c>
      <x:c r="H832" s="16" t="str">
        <x:v>Excluded</x:v>
      </x:c>
      <x:c r="I832" s="16" t="str">
        <x:v>Missing email</x:v>
      </x:c>
    </x:row>
    <x:row r="833">
      <x:c r="A833" s="16" t="n">
        <x:v>830</x:v>
      </x:c>
      <x:c r="B833" s="16" t="str">
        <x:v>Andi Nazri COO HumanQ</x:v>
      </x:c>
      <x:c r="C833" s="16" t="str"/>
      <x:c r="D833" s="16" t="str"/>
      <x:c r="E833" s="16" t="str">
        <x:v>* myContacts</x:v>
      </x:c>
      <x:c r="F833" s="16" t="str">
        <x:v>+60 16-248 4861 | +60162484861</x:v>
      </x:c>
      <x:c r="G833" s="16" t="str">
        <x:v>+60162484861 | +60162484861</x:v>
      </x:c>
      <x:c r="H833" s="16" t="str">
        <x:v>Excluded</x:v>
      </x:c>
      <x:c r="I833" s="16" t="str">
        <x:v>Missing email</x:v>
      </x:c>
    </x:row>
    <x:row r="834">
      <x:c r="A834" s="16" t="n">
        <x:v>831</x:v>
      </x:c>
      <x:c r="B834" s="16" t="str">
        <x:v>Andi Saifudin</x:v>
      </x:c>
      <x:c r="C834" s="16" t="str"/>
      <x:c r="D834" s="16" t="str"/>
      <x:c r="E834" s="16" t="str">
        <x:v>* myContacts</x:v>
      </x:c>
      <x:c r="F834" s="16" t="str">
        <x:v>+6285103393729</x:v>
      </x:c>
      <x:c r="G834" s="16" t="str">
        <x:v>+6285103393729</x:v>
      </x:c>
      <x:c r="H834" s="16" t="str">
        <x:v>Excluded</x:v>
      </x:c>
      <x:c r="I834" s="16" t="str">
        <x:v>Missing email</x:v>
      </x:c>
    </x:row>
    <x:row r="835">
      <x:c r="A835" s="16" t="n">
        <x:v>832</x:v>
      </x:c>
      <x:c r="B835" s="16" t="str">
        <x:v>Andi Syah Rhizal</x:v>
      </x:c>
      <x:c r="C835" s="16" t="str"/>
      <x:c r="D835" s="16" t="str"/>
      <x:c r="E835" s="16" t="str">
        <x:v>* myContacts</x:v>
      </x:c>
      <x:c r="F835" s="16" t="str">
        <x:v>+6281943585458</x:v>
      </x:c>
      <x:c r="G835" s="16" t="str">
        <x:v>+6281943585458</x:v>
      </x:c>
      <x:c r="H835" s="16" t="str">
        <x:v>Excluded</x:v>
      </x:c>
      <x:c r="I835" s="16" t="str">
        <x:v>Missing email</x:v>
      </x:c>
    </x:row>
    <x:row r="836">
      <x:c r="A836" s="16" t="n">
        <x:v>833</x:v>
      </x:c>
      <x:c r="B836" s="16" t="str">
        <x:v>Andini Munthe</x:v>
      </x:c>
      <x:c r="C836" s="16" t="str"/>
      <x:c r="D836" s="16" t="str"/>
      <x:c r="E836" s="16" t="str">
        <x:v>* myContacts</x:v>
      </x:c>
      <x:c r="F836" s="16" t="str">
        <x:v>+6287794284864</x:v>
      </x:c>
      <x:c r="G836" s="16" t="str">
        <x:v>+6287794284864</x:v>
      </x:c>
      <x:c r="H836" s="16" t="str">
        <x:v>Excluded</x:v>
      </x:c>
      <x:c r="I836" s="16" t="str">
        <x:v>Missing email</x:v>
      </x:c>
    </x:row>
    <x:row r="837">
      <x:c r="A837" s="16" t="n">
        <x:v>834</x:v>
      </x:c>
      <x:c r="B837" s="16" t="str">
        <x:v>andrew</x:v>
      </x:c>
      <x:c r="C837" s="16" t="str"/>
      <x:c r="D837" s="16" t="str"/>
      <x:c r="E837" s="16" t="str">
        <x:v>* myContacts</x:v>
      </x:c>
      <x:c r="F837" s="16" t="str">
        <x:v>0126300977 | +60126300977</x:v>
      </x:c>
      <x:c r="G837" s="16" t="str">
        <x:v>+60126300977 | +60126300977</x:v>
      </x:c>
      <x:c r="H837" s="16" t="str">
        <x:v>Excluded</x:v>
      </x:c>
      <x:c r="I837" s="16" t="str">
        <x:v>Missing email</x:v>
      </x:c>
    </x:row>
    <x:row r="838">
      <x:c r="A838" s="16" t="n">
        <x:v>835</x:v>
      </x:c>
      <x:c r="B838" s="16" t="str">
        <x:v>Andy Dhani Avana</x:v>
      </x:c>
      <x:c r="C838" s="16" t="str"/>
      <x:c r="D838" s="16" t="str"/>
      <x:c r="E838" s="16" t="str">
        <x:v>* myContacts</x:v>
      </x:c>
      <x:c r="F838" s="16" t="str">
        <x:v>+60163904800</x:v>
      </x:c>
      <x:c r="G838" s="16" t="str">
        <x:v>+60163904800</x:v>
      </x:c>
      <x:c r="H838" s="16" t="str">
        <x:v>Excluded</x:v>
      </x:c>
      <x:c r="I838" s="16" t="str">
        <x:v>Missing email</x:v>
      </x:c>
    </x:row>
    <x:row r="839">
      <x:c r="A839" s="16" t="n">
        <x:v>836</x:v>
      </x:c>
      <x:c r="B839" s="16" t="str">
        <x:v>Anep Giler</x:v>
      </x:c>
      <x:c r="C839" s="16" t="str"/>
      <x:c r="D839" s="16" t="str"/>
      <x:c r="E839" s="16" t="str">
        <x:v>* myContacts</x:v>
      </x:c>
      <x:c r="F839" s="16" t="str">
        <x:v>+60172363622</x:v>
      </x:c>
      <x:c r="G839" s="16" t="str">
        <x:v>+60172363622</x:v>
      </x:c>
      <x:c r="H839" s="16" t="str">
        <x:v>Excluded</x:v>
      </x:c>
      <x:c r="I839" s="16" t="str">
        <x:v>Missing email</x:v>
      </x:c>
    </x:row>
    <x:row r="840">
      <x:c r="A840" s="16" t="n">
        <x:v>837</x:v>
      </x:c>
      <x:c r="B840" s="16" t="str">
        <x:v>ang kena video man</x:v>
      </x:c>
      <x:c r="C840" s="16" t="str"/>
      <x:c r="D840" s="16" t="str"/>
      <x:c r="E840" s="16" t="str">
        <x:v>* myContacts</x:v>
      </x:c>
      <x:c r="F840" s="16" t="str">
        <x:v>019-248 7419 | +60192487419</x:v>
      </x:c>
      <x:c r="G840" s="16" t="str">
        <x:v>+60192487419 | +60192487419</x:v>
      </x:c>
      <x:c r="H840" s="16" t="str">
        <x:v>Excluded</x:v>
      </x:c>
      <x:c r="I840" s="16" t="str">
        <x:v>Missing email</x:v>
      </x:c>
    </x:row>
    <x:row r="841">
      <x:c r="A841" s="16" t="n">
        <x:v>838</x:v>
      </x:c>
      <x:c r="B841" s="16" t="str">
        <x:v>Angah Crew</x:v>
      </x:c>
      <x:c r="C841" s="16" t="str"/>
      <x:c r="D841" s="16" t="str"/>
      <x:c r="E841" s="16" t="str">
        <x:v>* myContacts</x:v>
      </x:c>
      <x:c r="F841" s="16" t="str">
        <x:v>+60134566687</x:v>
      </x:c>
      <x:c r="G841" s="16" t="str">
        <x:v>+60134566687</x:v>
      </x:c>
      <x:c r="H841" s="16" t="str">
        <x:v>Excluded</x:v>
      </x:c>
      <x:c r="I841" s="16" t="str">
        <x:v>Missing email</x:v>
      </x:c>
    </x:row>
    <x:row r="842">
      <x:c r="A842" s="16" t="n">
        <x:v>839</x:v>
      </x:c>
      <x:c r="B842" s="16" t="str">
        <x:v>Angah PD</x:v>
      </x:c>
      <x:c r="C842" s="16" t="str"/>
      <x:c r="D842" s="16" t="str"/>
      <x:c r="E842" s="16" t="str">
        <x:v>* myContacts</x:v>
      </x:c>
      <x:c r="F842" s="16" t="str">
        <x:v>+60136900806</x:v>
      </x:c>
      <x:c r="G842" s="16" t="str">
        <x:v>+60136900806</x:v>
      </x:c>
      <x:c r="H842" s="16" t="str">
        <x:v>Excluded</x:v>
      </x:c>
      <x:c r="I842" s="16" t="str">
        <x:v>Missing email</x:v>
      </x:c>
    </x:row>
    <x:row r="843">
      <x:c r="A843" s="16" t="n">
        <x:v>840</x:v>
      </x:c>
      <x:c r="B843" s="16" t="str">
        <x:v>Angah Rozaimi</x:v>
      </x:c>
      <x:c r="C843" s="16" t="str"/>
      <x:c r="D843" s="16" t="str"/>
      <x:c r="E843" s="16" t="str">
        <x:v>* myContacts</x:v>
      </x:c>
      <x:c r="F843" s="16" t="str">
        <x:v>+60134195502</x:v>
      </x:c>
      <x:c r="G843" s="16" t="str">
        <x:v>+60134195502</x:v>
      </x:c>
      <x:c r="H843" s="16" t="str">
        <x:v>Excluded</x:v>
      </x:c>
      <x:c r="I843" s="16" t="str">
        <x:v>Missing email</x:v>
      </x:c>
    </x:row>
    <x:row r="844">
      <x:c r="A844" s="16" t="n">
        <x:v>841</x:v>
      </x:c>
      <x:c r="B844" s="16" t="str">
        <x:v>AnGah Sepet</x:v>
      </x:c>
      <x:c r="C844" s="16" t="str"/>
      <x:c r="D844" s="16" t="str"/>
      <x:c r="E844" s="16" t="str">
        <x:v>* myContacts</x:v>
      </x:c>
      <x:c r="F844" s="16" t="str">
        <x:v>+60176069026</x:v>
      </x:c>
      <x:c r="G844" s="16" t="str">
        <x:v>+60176069026</x:v>
      </x:c>
      <x:c r="H844" s="16" t="str">
        <x:v>Excluded</x:v>
      </x:c>
      <x:c r="I844" s="16" t="str">
        <x:v>Missing email</x:v>
      </x:c>
    </x:row>
    <x:row r="845">
      <x:c r="A845" s="16" t="n">
        <x:v>842</x:v>
      </x:c>
      <x:c r="B845" s="16" t="str">
        <x:v>Angel</x:v>
      </x:c>
      <x:c r="C845" s="16" t="str"/>
      <x:c r="D845" s="16" t="str"/>
      <x:c r="E845" s="16" t="str">
        <x:v>* myContacts</x:v>
      </x:c>
      <x:c r="F845" s="16" t="str"/>
      <x:c r="G845" s="16" t="str"/>
      <x:c r="H845" s="16" t="str">
        <x:v>Excluded</x:v>
      </x:c>
      <x:c r="I845" s="16" t="str">
        <x:v>Missing email</x:v>
      </x:c>
    </x:row>
    <x:row r="846">
      <x:c r="A846" s="16" t="n">
        <x:v>843</x:v>
      </x:c>
      <x:c r="B846" s="16" t="str">
        <x:v>Angel Chee</x:v>
      </x:c>
      <x:c r="C846" s="16" t="str"/>
      <x:c r="D846" s="16" t="str"/>
      <x:c r="E846" s="16" t="str">
        <x:v>* myContacts</x:v>
      </x:c>
      <x:c r="F846" s="16" t="str">
        <x:v>+60162275590</x:v>
      </x:c>
      <x:c r="G846" s="16" t="str">
        <x:v>+60162275590</x:v>
      </x:c>
      <x:c r="H846" s="16" t="str">
        <x:v>Excluded</x:v>
      </x:c>
      <x:c r="I846" s="16" t="str">
        <x:v>Missing email</x:v>
      </x:c>
    </x:row>
    <x:row r="847">
      <x:c r="A847" s="16" t="n">
        <x:v>844</x:v>
      </x:c>
      <x:c r="B847" s="16" t="str">
        <x:v>Angel Fiza</x:v>
      </x:c>
      <x:c r="C847" s="16" t="str"/>
      <x:c r="D847" s="16" t="str"/>
      <x:c r="E847" s="16" t="str">
        <x:v>* myContacts</x:v>
      </x:c>
      <x:c r="F847" s="16" t="str">
        <x:v>+60 13-240 2384 | +60132402384</x:v>
      </x:c>
      <x:c r="G847" s="16" t="str">
        <x:v>+60132402384 | +60132402384</x:v>
      </x:c>
      <x:c r="H847" s="16" t="str">
        <x:v>Excluded</x:v>
      </x:c>
      <x:c r="I847" s="16" t="str">
        <x:v>Missing email</x:v>
      </x:c>
    </x:row>
    <x:row r="848">
      <x:c r="A848" s="16" t="n">
        <x:v>845</x:v>
      </x:c>
      <x:c r="B848" s="16" t="str">
        <x:v>Angel Lova</x:v>
      </x:c>
      <x:c r="C848" s="16" t="str"/>
      <x:c r="D848" s="16" t="str"/>
      <x:c r="E848" s="16" t="str">
        <x:v>* myContacts</x:v>
      </x:c>
      <x:c r="F848" s="16" t="str">
        <x:v>+60175109497</x:v>
      </x:c>
      <x:c r="G848" s="16" t="str">
        <x:v>+60175109497</x:v>
      </x:c>
      <x:c r="H848" s="16" t="str">
        <x:v>Excluded</x:v>
      </x:c>
      <x:c r="I848" s="16" t="str">
        <x:v>Missing email</x:v>
      </x:c>
    </x:row>
    <x:row r="849">
      <x:c r="A849" s="16" t="n">
        <x:v>846</x:v>
      </x:c>
      <x:c r="B849" s="16" t="str">
        <x:v>Angel MirMaju</x:v>
      </x:c>
      <x:c r="C849" s="16" t="str"/>
      <x:c r="D849" s="16" t="str"/>
      <x:c r="E849" s="16" t="str">
        <x:v>* myContacts</x:v>
      </x:c>
      <x:c r="F849" s="16" t="str">
        <x:v>+60 13-274 4665 | +60132744665 | 0362790010</x:v>
      </x:c>
      <x:c r="G849" s="16" t="str">
        <x:v>+60132744665 | +60132744665 | +60362790010</x:v>
      </x:c>
      <x:c r="H849" s="16" t="str">
        <x:v>Excluded</x:v>
      </x:c>
      <x:c r="I849" s="16" t="str">
        <x:v>Missing email</x:v>
      </x:c>
    </x:row>
    <x:row r="850">
      <x:c r="A850" s="16" t="n">
        <x:v>847</x:v>
      </x:c>
      <x:c r="B850" s="16" t="str">
        <x:v>Anggun Jelita</x:v>
      </x:c>
      <x:c r="C850" s="16" t="str"/>
      <x:c r="D850" s="16" t="str"/>
      <x:c r="E850" s="16" t="str">
        <x:v>* myContacts</x:v>
      </x:c>
      <x:c r="F850" s="16" t="str">
        <x:v>+60145470246</x:v>
      </x:c>
      <x:c r="G850" s="16" t="str">
        <x:v>+60145470246</x:v>
      </x:c>
      <x:c r="H850" s="16" t="str">
        <x:v>Excluded</x:v>
      </x:c>
      <x:c r="I850" s="16" t="str">
        <x:v>Missing email</x:v>
      </x:c>
    </x:row>
    <x:row r="851">
      <x:c r="A851" s="16" t="n">
        <x:v>848</x:v>
      </x:c>
      <x:c r="B851" s="16" t="str">
        <x:v>Angra Listari Listari</x:v>
      </x:c>
      <x:c r="C851" s="16" t="str"/>
      <x:c r="D851" s="16" t="str"/>
      <x:c r="E851" s="16" t="str">
        <x:v>* myContacts</x:v>
      </x:c>
      <x:c r="F851" s="16" t="str">
        <x:v>+60143702091</x:v>
      </x:c>
      <x:c r="G851" s="16" t="str">
        <x:v>+60143702091</x:v>
      </x:c>
      <x:c r="H851" s="16" t="str">
        <x:v>Excluded</x:v>
      </x:c>
      <x:c r="I851" s="16" t="str">
        <x:v>Missing email</x:v>
      </x:c>
    </x:row>
    <x:row r="852">
      <x:c r="A852" s="16" t="n">
        <x:v>849</x:v>
      </x:c>
      <x:c r="B852" s="16" t="str">
        <x:v>Angsa Ganas</x:v>
      </x:c>
      <x:c r="C852" s="16" t="str"/>
      <x:c r="D852" s="16" t="str"/>
      <x:c r="E852" s="16" t="str">
        <x:v>* myContacts</x:v>
      </x:c>
      <x:c r="F852" s="16" t="str">
        <x:v>+601156616967</x:v>
      </x:c>
      <x:c r="G852" s="16" t="str">
        <x:v>+601156616967</x:v>
      </x:c>
      <x:c r="H852" s="16" t="str">
        <x:v>Excluded</x:v>
      </x:c>
      <x:c r="I852" s="16" t="str">
        <x:v>Missing email</x:v>
      </x:c>
    </x:row>
    <x:row r="853">
      <x:c r="A853" s="16" t="n">
        <x:v>850</x:v>
      </x:c>
      <x:c r="B853" s="16" t="str">
        <x:v>Ani Amanjad</x:v>
      </x:c>
      <x:c r="C853" s="16" t="str"/>
      <x:c r="D853" s="16" t="str"/>
      <x:c r="E853" s="16" t="str">
        <x:v>* myContacts</x:v>
      </x:c>
      <x:c r="F853" s="16" t="str">
        <x:v>+60173020236</x:v>
      </x:c>
      <x:c r="G853" s="16" t="str">
        <x:v>+60173020236</x:v>
      </x:c>
      <x:c r="H853" s="16" t="str">
        <x:v>Excluded</x:v>
      </x:c>
      <x:c r="I853" s="16" t="str">
        <x:v>Missing email</x:v>
      </x:c>
    </x:row>
    <x:row r="854">
      <x:c r="A854" s="16" t="n">
        <x:v>851</x:v>
      </x:c>
      <x:c r="B854" s="16" t="str">
        <x:v>Ani Izzahra</x:v>
      </x:c>
      <x:c r="C854" s="16" t="str"/>
      <x:c r="D854" s="16" t="str"/>
      <x:c r="E854" s="16" t="str">
        <x:v>* myContacts</x:v>
      </x:c>
      <x:c r="F854" s="16" t="str">
        <x:v>+601115255377</x:v>
      </x:c>
      <x:c r="G854" s="16" t="str">
        <x:v>+601115255377</x:v>
      </x:c>
      <x:c r="H854" s="16" t="str">
        <x:v>Excluded</x:v>
      </x:c>
      <x:c r="I854" s="16" t="str">
        <x:v>Missing email</x:v>
      </x:c>
    </x:row>
    <x:row r="855">
      <x:c r="A855" s="16" t="n">
        <x:v>852</x:v>
      </x:c>
      <x:c r="B855" s="16" t="str">
        <x:v>Ani Jaafar</x:v>
      </x:c>
      <x:c r="C855" s="16" t="str"/>
      <x:c r="D855" s="16" t="str"/>
      <x:c r="E855" s="16" t="str">
        <x:v>* myContacts</x:v>
      </x:c>
      <x:c r="F855" s="16" t="str">
        <x:v>+601121085850</x:v>
      </x:c>
      <x:c r="G855" s="16" t="str">
        <x:v>+601121085850</x:v>
      </x:c>
      <x:c r="H855" s="16" t="str">
        <x:v>Excluded</x:v>
      </x:c>
      <x:c r="I855" s="16" t="str">
        <x:v>Missing email</x:v>
      </x:c>
    </x:row>
    <x:row r="856">
      <x:c r="A856" s="16" t="n">
        <x:v>853</x:v>
      </x:c>
      <x:c r="B856" s="16" t="str">
        <x:v>Ani Lestari</x:v>
      </x:c>
      <x:c r="C856" s="16" t="str"/>
      <x:c r="D856" s="16" t="str"/>
      <x:c r="E856" s="16" t="str">
        <x:v>* myContacts</x:v>
      </x:c>
      <x:c r="F856" s="16" t="str">
        <x:v>+60377340638</x:v>
      </x:c>
      <x:c r="G856" s="16" t="str">
        <x:v>+60377340638</x:v>
      </x:c>
      <x:c r="H856" s="16" t="str">
        <x:v>Excluded</x:v>
      </x:c>
      <x:c r="I856" s="16" t="str">
        <x:v>Missing email</x:v>
      </x:c>
    </x:row>
    <x:row r="857">
      <x:c r="A857" s="16" t="n">
        <x:v>854</x:v>
      </x:c>
      <x:c r="B857" s="16" t="str">
        <x:v>Ani Nasa</x:v>
      </x:c>
      <x:c r="C857" s="16" t="str"/>
      <x:c r="D857" s="16" t="str"/>
      <x:c r="E857" s="16" t="str">
        <x:v>* myContacts</x:v>
      </x:c>
      <x:c r="F857" s="16" t="str">
        <x:v>+6285201001645</x:v>
      </x:c>
      <x:c r="G857" s="16" t="str">
        <x:v>+6285201001645</x:v>
      </x:c>
      <x:c r="H857" s="16" t="str">
        <x:v>Excluded</x:v>
      </x:c>
      <x:c r="I857" s="16" t="str">
        <x:v>Missing email</x:v>
      </x:c>
    </x:row>
    <x:row r="858">
      <x:c r="A858" s="16" t="n">
        <x:v>855</x:v>
      </x:c>
      <x:c r="B858" s="16" t="str">
        <x:v>Anida Ajid</x:v>
      </x:c>
      <x:c r="C858" s="16" t="str"/>
      <x:c r="D858" s="16" t="str"/>
      <x:c r="E858" s="16" t="str">
        <x:v>* myContacts</x:v>
      </x:c>
      <x:c r="F858" s="16" t="str">
        <x:v>+60128182441</x:v>
      </x:c>
      <x:c r="G858" s="16" t="str">
        <x:v>+60128182441</x:v>
      </x:c>
      <x:c r="H858" s="16" t="str">
        <x:v>Excluded</x:v>
      </x:c>
      <x:c r="I858" s="16" t="str">
        <x:v>Missing email</x:v>
      </x:c>
    </x:row>
    <x:row r="859">
      <x:c r="A859" s="16" t="n">
        <x:v>856</x:v>
      </x:c>
      <x:c r="B859" s="16" t="str">
        <x:v>Anie Ba'im</x:v>
      </x:c>
      <x:c r="C859" s="16" t="str"/>
      <x:c r="D859" s="16" t="str"/>
      <x:c r="E859" s="16" t="str">
        <x:v>* myContacts</x:v>
      </x:c>
      <x:c r="F859" s="16" t="str">
        <x:v>+601126651738</x:v>
      </x:c>
      <x:c r="G859" s="16" t="str">
        <x:v>+601126651738</x:v>
      </x:c>
      <x:c r="H859" s="16" t="str">
        <x:v>Excluded</x:v>
      </x:c>
      <x:c r="I859" s="16" t="str">
        <x:v>Missing email</x:v>
      </x:c>
    </x:row>
    <x:row r="860">
      <x:c r="A860" s="16" t="n">
        <x:v>857</x:v>
      </x:c>
      <x:c r="B860" s="16" t="str">
        <x:v>Anie Idris</x:v>
      </x:c>
      <x:c r="C860" s="16" t="str"/>
      <x:c r="D860" s="16" t="str"/>
      <x:c r="E860" s="16" t="str">
        <x:v>* myContacts</x:v>
      </x:c>
      <x:c r="F860" s="16" t="str">
        <x:v>+60196275687</x:v>
      </x:c>
      <x:c r="G860" s="16" t="str">
        <x:v>+60196275687</x:v>
      </x:c>
      <x:c r="H860" s="16" t="str">
        <x:v>Excluded</x:v>
      </x:c>
      <x:c r="I860" s="16" t="str">
        <x:v>Missing email</x:v>
      </x:c>
    </x:row>
    <x:row r="861">
      <x:c r="A861" s="16" t="n">
        <x:v>858</x:v>
      </x:c>
      <x:c r="B861" s="16" t="str">
        <x:v>Anie Mohd</x:v>
      </x:c>
      <x:c r="C861" s="16" t="str"/>
      <x:c r="D861" s="16" t="str"/>
      <x:c r="E861" s="16" t="str">
        <x:v>* myContacts</x:v>
      </x:c>
      <x:c r="F861" s="16" t="str">
        <x:v>+60129579592</x:v>
      </x:c>
      <x:c r="G861" s="16" t="str">
        <x:v>+60129579592</x:v>
      </x:c>
      <x:c r="H861" s="16" t="str">
        <x:v>Excluded</x:v>
      </x:c>
      <x:c r="I861" s="16" t="str">
        <x:v>Missing email</x:v>
      </x:c>
    </x:row>
    <x:row r="862">
      <x:c r="A862" s="16" t="n">
        <x:v>859</x:v>
      </x:c>
      <x:c r="B862" s="16" t="str">
        <x:v>Anies Ann</x:v>
      </x:c>
      <x:c r="C862" s="16" t="str"/>
      <x:c r="D862" s="16" t="str"/>
      <x:c r="E862" s="16" t="str">
        <x:v>* myContacts</x:v>
      </x:c>
      <x:c r="F862" s="16" t="str">
        <x:v>+60129859630</x:v>
      </x:c>
      <x:c r="G862" s="16" t="str">
        <x:v>+60129859630</x:v>
      </x:c>
      <x:c r="H862" s="16" t="str">
        <x:v>Excluded</x:v>
      </x:c>
      <x:c r="I862" s="16" t="str">
        <x:v>Missing email</x:v>
      </x:c>
    </x:row>
    <x:row r="863">
      <x:c r="A863" s="16" t="n">
        <x:v>860</x:v>
      </x:c>
      <x:c r="B863" s="16" t="str">
        <x:v>Anies Shukor</x:v>
      </x:c>
      <x:c r="C863" s="16" t="str"/>
      <x:c r="D863" s="16" t="str"/>
      <x:c r="E863" s="16" t="str">
        <x:v>* myContacts</x:v>
      </x:c>
      <x:c r="F863" s="16" t="str">
        <x:v>+60134626436</x:v>
      </x:c>
      <x:c r="G863" s="16" t="str">
        <x:v>+60134626436</x:v>
      </x:c>
      <x:c r="H863" s="16" t="str">
        <x:v>Excluded</x:v>
      </x:c>
      <x:c r="I863" s="16" t="str">
        <x:v>Missing email</x:v>
      </x:c>
    </x:row>
    <x:row r="864">
      <x:c r="A864" s="16" t="n">
        <x:v>861</x:v>
      </x:c>
      <x:c r="B864" s="16" t="str">
        <x:v>Aniesa Alias</x:v>
      </x:c>
      <x:c r="C864" s="16" t="str"/>
      <x:c r="D864" s="16" t="str"/>
      <x:c r="E864" s="16" t="str">
        <x:v>* myContacts</x:v>
      </x:c>
      <x:c r="F864" s="16" t="str">
        <x:v>+60136045944</x:v>
      </x:c>
      <x:c r="G864" s="16" t="str">
        <x:v>+60136045944</x:v>
      </x:c>
      <x:c r="H864" s="16" t="str">
        <x:v>Excluded</x:v>
      </x:c>
      <x:c r="I864" s="16" t="str">
        <x:v>Missing email</x:v>
      </x:c>
    </x:row>
    <x:row r="865">
      <x:c r="A865" s="16" t="n">
        <x:v>862</x:v>
      </x:c>
      <x:c r="B865" s="16" t="str">
        <x:v>Anieyl Cr</x:v>
      </x:c>
      <x:c r="C865" s="16" t="str"/>
      <x:c r="D865" s="16" t="str"/>
      <x:c r="E865" s="16" t="str">
        <x:v>* myContacts</x:v>
      </x:c>
      <x:c r="F865" s="16" t="str">
        <x:v>+60109674080</x:v>
      </x:c>
      <x:c r="G865" s="16" t="str">
        <x:v>+60109674080</x:v>
      </x:c>
      <x:c r="H865" s="16" t="str">
        <x:v>Excluded</x:v>
      </x:c>
      <x:c r="I865" s="16" t="str">
        <x:v>Missing email</x:v>
      </x:c>
    </x:row>
    <x:row r="866">
      <x:c r="A866" s="16" t="n">
        <x:v>863</x:v>
      </x:c>
      <x:c r="B866" s="16" t="str">
        <x:v>Aniez Asy</x:v>
      </x:c>
      <x:c r="C866" s="16" t="str"/>
      <x:c r="D866" s="16" t="str"/>
      <x:c r="E866" s="16" t="str">
        <x:v>* myContacts</x:v>
      </x:c>
      <x:c r="F866" s="16" t="str">
        <x:v>+60127982408</x:v>
      </x:c>
      <x:c r="G866" s="16" t="str">
        <x:v>+60127982408</x:v>
      </x:c>
      <x:c r="H866" s="16" t="str">
        <x:v>Excluded</x:v>
      </x:c>
      <x:c r="I866" s="16" t="str">
        <x:v>Missing email</x:v>
      </x:c>
    </x:row>
    <x:row r="867">
      <x:c r="A867" s="16" t="n">
        <x:v>864</x:v>
      </x:c>
      <x:c r="B867" s="16" t="str">
        <x:v>Anim Azizi</x:v>
      </x:c>
      <x:c r="C867" s="16" t="str"/>
      <x:c r="D867" s="16" t="str"/>
      <x:c r="E867" s="16" t="str">
        <x:v>* myContacts</x:v>
      </x:c>
      <x:c r="F867" s="16" t="str">
        <x:v>+60142530525</x:v>
      </x:c>
      <x:c r="G867" s="16" t="str">
        <x:v>+60142530525</x:v>
      </x:c>
      <x:c r="H867" s="16" t="str">
        <x:v>Excluded</x:v>
      </x:c>
      <x:c r="I867" s="16" t="str">
        <x:v>Missing email</x:v>
      </x:c>
    </x:row>
    <x:row r="868">
      <x:c r="A868" s="16" t="n">
        <x:v>865</x:v>
      </x:c>
      <x:c r="B868" s="16" t="str">
        <x:v>Aning Raffi</x:v>
      </x:c>
      <x:c r="C868" s="16" t="str"/>
      <x:c r="D868" s="16" t="str"/>
      <x:c r="E868" s="16" t="str">
        <x:v>* myContacts</x:v>
      </x:c>
      <x:c r="F868" s="16" t="str">
        <x:v>+6285649021362</x:v>
      </x:c>
      <x:c r="G868" s="16" t="str">
        <x:v>+6285649021362</x:v>
      </x:c>
      <x:c r="H868" s="16" t="str">
        <x:v>Excluded</x:v>
      </x:c>
      <x:c r="I868" s="16" t="str">
        <x:v>Missing email</x:v>
      </x:c>
    </x:row>
    <x:row r="869">
      <x:c r="A869" s="16" t="n">
        <x:v>866</x:v>
      </x:c>
      <x:c r="B869" s="16" t="str">
        <x:v>Aniq Qurban Aid</x:v>
      </x:c>
      <x:c r="C869" s="16" t="str"/>
      <x:c r="D869" s="16" t="str"/>
      <x:c r="E869" s="16" t="str">
        <x:v>* myContacts</x:v>
      </x:c>
      <x:c r="F869" s="16" t="str">
        <x:v>+60 12-692 3695 | +60126923695</x:v>
      </x:c>
      <x:c r="G869" s="16" t="str">
        <x:v>+60126923695 | +60126923695</x:v>
      </x:c>
      <x:c r="H869" s="16" t="str">
        <x:v>Excluded</x:v>
      </x:c>
      <x:c r="I869" s="16" t="str">
        <x:v>Missing email</x:v>
      </x:c>
    </x:row>
    <x:row r="870">
      <x:c r="A870" s="16" t="n">
        <x:v>867</x:v>
      </x:c>
      <x:c r="B870" s="16" t="str">
        <x:v>Anira Alina Liena NieRa</x:v>
      </x:c>
      <x:c r="C870" s="16" t="str"/>
      <x:c r="D870" s="16" t="str"/>
      <x:c r="E870" s="16" t="str">
        <x:v>* myContacts</x:v>
      </x:c>
      <x:c r="F870" s="16" t="str">
        <x:v>+60198525616</x:v>
      </x:c>
      <x:c r="G870" s="16" t="str">
        <x:v>+60198525616</x:v>
      </x:c>
      <x:c r="H870" s="16" t="str">
        <x:v>Excluded</x:v>
      </x:c>
      <x:c r="I870" s="16" t="str">
        <x:v>Missing email</x:v>
      </x:c>
    </x:row>
    <x:row r="871">
      <x:c r="A871" s="16" t="n">
        <x:v>868</x:v>
      </x:c>
      <x:c r="B871" s="16" t="str">
        <x:v>Anis Agent AGP</x:v>
      </x:c>
      <x:c r="C871" s="16" t="str"/>
      <x:c r="D871" s="16" t="str"/>
      <x:c r="E871" s="16" t="str">
        <x:v>* myContacts</x:v>
      </x:c>
      <x:c r="F871" s="16" t="str">
        <x:v>+60193743831</x:v>
      </x:c>
      <x:c r="G871" s="16" t="str">
        <x:v>+60193743831</x:v>
      </x:c>
      <x:c r="H871" s="16" t="str">
        <x:v>Excluded</x:v>
      </x:c>
      <x:c r="I871" s="16" t="str">
        <x:v>Missing email</x:v>
      </x:c>
    </x:row>
    <x:row r="872">
      <x:c r="A872" s="16" t="n">
        <x:v>869</x:v>
      </x:c>
      <x:c r="B872" s="16" t="str">
        <x:v>Anis Amar</x:v>
      </x:c>
      <x:c r="C872" s="16" t="str"/>
      <x:c r="D872" s="16" t="str"/>
      <x:c r="E872" s="16" t="str">
        <x:v>* myContacts</x:v>
      </x:c>
      <x:c r="F872" s="16" t="str">
        <x:v>+60350334849</x:v>
      </x:c>
      <x:c r="G872" s="16" t="str">
        <x:v>+60350334849</x:v>
      </x:c>
      <x:c r="H872" s="16" t="str">
        <x:v>Excluded</x:v>
      </x:c>
      <x:c r="I872" s="16" t="str">
        <x:v>Missing email</x:v>
      </x:c>
    </x:row>
    <x:row r="873">
      <x:c r="A873" s="16" t="n">
        <x:v>870</x:v>
      </x:c>
      <x:c r="B873" s="16" t="str">
        <x:v>Anis Anisa</x:v>
      </x:c>
      <x:c r="C873" s="16" t="str"/>
      <x:c r="D873" s="16" t="str"/>
      <x:c r="E873" s="16" t="str">
        <x:v>* myContacts</x:v>
      </x:c>
      <x:c r="F873" s="16" t="str">
        <x:v>+60142138417</x:v>
      </x:c>
      <x:c r="G873" s="16" t="str">
        <x:v>+60142138417</x:v>
      </x:c>
      <x:c r="H873" s="16" t="str">
        <x:v>Excluded</x:v>
      </x:c>
      <x:c r="I873" s="16" t="str">
        <x:v>Missing email</x:v>
      </x:c>
    </x:row>
    <x:row r="874">
      <x:c r="A874" s="16" t="n">
        <x:v>871</x:v>
      </x:c>
      <x:c r="B874" s="16" t="str">
        <x:v>Anis Athirah</x:v>
      </x:c>
      <x:c r="C874" s="16" t="str"/>
      <x:c r="D874" s="16" t="str"/>
      <x:c r="E874" s="16" t="str">
        <x:v>* myContacts</x:v>
      </x:c>
      <x:c r="F874" s="16" t="str">
        <x:v>+60166883977</x:v>
      </x:c>
      <x:c r="G874" s="16" t="str">
        <x:v>+60166883977</x:v>
      </x:c>
      <x:c r="H874" s="16" t="str">
        <x:v>Excluded</x:v>
      </x:c>
      <x:c r="I874" s="16" t="str">
        <x:v>Missing email</x:v>
      </x:c>
    </x:row>
    <x:row r="875">
      <x:c r="A875" s="16" t="n">
        <x:v>872</x:v>
      </x:c>
      <x:c r="B875" s="16" t="str">
        <x:v>Anis Azura</x:v>
      </x:c>
      <x:c r="C875" s="16" t="str"/>
      <x:c r="D875" s="16" t="str"/>
      <x:c r="E875" s="16" t="str">
        <x:v>* myContacts</x:v>
      </x:c>
      <x:c r="F875" s="16" t="str">
        <x:v>+60194545808</x:v>
      </x:c>
      <x:c r="G875" s="16" t="str">
        <x:v>+60194545808</x:v>
      </x:c>
      <x:c r="H875" s="16" t="str">
        <x:v>Excluded</x:v>
      </x:c>
      <x:c r="I875" s="16" t="str">
        <x:v>Missing email</x:v>
      </x:c>
    </x:row>
    <x:row r="876">
      <x:c r="A876" s="16" t="n">
        <x:v>873</x:v>
      </x:c>
      <x:c r="B876" s="16" t="str">
        <x:v>Anis Fazidah</x:v>
      </x:c>
      <x:c r="C876" s="16" t="str"/>
      <x:c r="D876" s="16" t="str"/>
      <x:c r="E876" s="16" t="str">
        <x:v>* myContacts</x:v>
      </x:c>
      <x:c r="F876" s="16" t="str">
        <x:v>+60173015532</x:v>
      </x:c>
      <x:c r="G876" s="16" t="str">
        <x:v>+60173015532</x:v>
      </x:c>
      <x:c r="H876" s="16" t="str">
        <x:v>Excluded</x:v>
      </x:c>
      <x:c r="I876" s="16" t="str">
        <x:v>Missing email</x:v>
      </x:c>
    </x:row>
    <x:row r="877">
      <x:c r="A877" s="16" t="n">
        <x:v>874</x:v>
      </x:c>
      <x:c r="B877" s="16" t="str">
        <x:v>Anis Finessetouch Full</x:v>
      </x:c>
      <x:c r="C877" s="16" t="str"/>
      <x:c r="D877" s="16" t="str"/>
      <x:c r="E877" s="16" t="str">
        <x:v>* myContacts</x:v>
      </x:c>
      <x:c r="F877" s="16" t="str">
        <x:v>+60122456873</x:v>
      </x:c>
      <x:c r="G877" s="16" t="str">
        <x:v>+60122456873</x:v>
      </x:c>
      <x:c r="H877" s="16" t="str">
        <x:v>Excluded</x:v>
      </x:c>
      <x:c r="I877" s="16" t="str">
        <x:v>Missing email</x:v>
      </x:c>
    </x:row>
    <x:row r="878">
      <x:c r="A878" s="16" t="n">
        <x:v>875</x:v>
      </x:c>
      <x:c r="B878" s="16" t="str">
        <x:v>Anis Hamizah</x:v>
      </x:c>
      <x:c r="C878" s="16" t="str"/>
      <x:c r="D878" s="16" t="str"/>
      <x:c r="E878" s="16" t="str">
        <x:v>* myContacts</x:v>
      </x:c>
      <x:c r="F878" s="16" t="str">
        <x:v>+60145113009</x:v>
      </x:c>
      <x:c r="G878" s="16" t="str">
        <x:v>+60145113009</x:v>
      </x:c>
      <x:c r="H878" s="16" t="str">
        <x:v>Excluded</x:v>
      </x:c>
      <x:c r="I878" s="16" t="str">
        <x:v>Missing email</x:v>
      </x:c>
    </x:row>
    <x:row r="879">
      <x:c r="A879" s="16" t="n">
        <x:v>876</x:v>
      </x:c>
      <x:c r="B879" s="16" t="str">
        <x:v>Anis Hani</x:v>
      </x:c>
      <x:c r="C879" s="16" t="str"/>
      <x:c r="D879" s="16" t="str"/>
      <x:c r="E879" s="16" t="str">
        <x:v>* myContacts</x:v>
      </x:c>
      <x:c r="F879" s="16" t="str">
        <x:v>+60177887964</x:v>
      </x:c>
      <x:c r="G879" s="16" t="str">
        <x:v>+60177887964</x:v>
      </x:c>
      <x:c r="H879" s="16" t="str">
        <x:v>Excluded</x:v>
      </x:c>
      <x:c r="I879" s="16" t="str">
        <x:v>Missing email</x:v>
      </x:c>
    </x:row>
    <x:row r="880">
      <x:c r="A880" s="16" t="n">
        <x:v>877</x:v>
      </x:c>
      <x:c r="B880" s="16" t="str">
        <x:v>AnIs KoRu</x:v>
      </x:c>
      <x:c r="C880" s="16" t="str"/>
      <x:c r="D880" s="16" t="str"/>
      <x:c r="E880" s="16" t="str">
        <x:v>* myContacts</x:v>
      </x:c>
      <x:c r="F880" s="16" t="str">
        <x:v>+60177775469</x:v>
      </x:c>
      <x:c r="G880" s="16" t="str">
        <x:v>+60177775469</x:v>
      </x:c>
      <x:c r="H880" s="16" t="str">
        <x:v>Excluded</x:v>
      </x:c>
      <x:c r="I880" s="16" t="str">
        <x:v>Missing email</x:v>
      </x:c>
    </x:row>
    <x:row r="881">
      <x:c r="A881" s="16" t="n">
        <x:v>878</x:v>
      </x:c>
      <x:c r="B881" s="16" t="str">
        <x:v>Anis Mtasflix</x:v>
      </x:c>
      <x:c r="C881" s="16" t="str"/>
      <x:c r="D881" s="16" t="str"/>
      <x:c r="E881" s="16" t="str">
        <x:v>* myContacts</x:v>
      </x:c>
      <x:c r="F881" s="16" t="str">
        <x:v>+60 17-291 3894 | +60172913894</x:v>
      </x:c>
      <x:c r="G881" s="16" t="str">
        <x:v>+60172913894 | +60172913894</x:v>
      </x:c>
      <x:c r="H881" s="16" t="str">
        <x:v>Excluded</x:v>
      </x:c>
      <x:c r="I881" s="16" t="str">
        <x:v>Missing email</x:v>
      </x:c>
    </x:row>
    <x:row r="882">
      <x:c r="A882" s="16" t="n">
        <x:v>879</x:v>
      </x:c>
      <x:c r="B882" s="16" t="str">
        <x:v>Anis Razak</x:v>
      </x:c>
      <x:c r="C882" s="16" t="str"/>
      <x:c r="D882" s="16" t="str"/>
      <x:c r="E882" s="16" t="str">
        <x:v>* myContacts</x:v>
      </x:c>
      <x:c r="F882" s="16" t="str">
        <x:v>+601111467699</x:v>
      </x:c>
      <x:c r="G882" s="16" t="str">
        <x:v>+601111467699</x:v>
      </x:c>
      <x:c r="H882" s="16" t="str">
        <x:v>Excluded</x:v>
      </x:c>
      <x:c r="I882" s="16" t="str">
        <x:v>Missing email</x:v>
      </x:c>
    </x:row>
    <x:row r="883">
      <x:c r="A883" s="16" t="n">
        <x:v>880</x:v>
      </x:c>
      <x:c r="B883" s="16" t="str">
        <x:v>Anissa Puteri Selatan</x:v>
      </x:c>
      <x:c r="C883" s="16" t="str"/>
      <x:c r="D883" s="16" t="str"/>
      <x:c r="E883" s="16" t="str">
        <x:v>* myContacts</x:v>
      </x:c>
      <x:c r="F883" s="16" t="str">
        <x:v>+60108889372</x:v>
      </x:c>
      <x:c r="G883" s="16" t="str">
        <x:v>+60108889372</x:v>
      </x:c>
      <x:c r="H883" s="16" t="str">
        <x:v>Excluded</x:v>
      </x:c>
      <x:c r="I883" s="16" t="str">
        <x:v>Missing email</x:v>
      </x:c>
    </x:row>
    <x:row r="884">
      <x:c r="A884" s="16" t="n">
        <x:v>881</x:v>
      </x:c>
      <x:c r="B884" s="16" t="str">
        <x:v>Anissofilia Adan</x:v>
      </x:c>
      <x:c r="C884" s="16" t="str"/>
      <x:c r="D884" s="16" t="str"/>
      <x:c r="E884" s="16" t="str">
        <x:v>* myContacts</x:v>
      </x:c>
      <x:c r="F884" s="16" t="str">
        <x:v>+601127831815</x:v>
      </x:c>
      <x:c r="G884" s="16" t="str">
        <x:v>+601127831815</x:v>
      </x:c>
      <x:c r="H884" s="16" t="str">
        <x:v>Excluded</x:v>
      </x:c>
      <x:c r="I884" s="16" t="str">
        <x:v>Missing email</x:v>
      </x:c>
    </x:row>
    <x:row r="885">
      <x:c r="A885" s="16" t="n">
        <x:v>882</x:v>
      </x:c>
      <x:c r="B885" s="16" t="str">
        <x:v>Anita Farida</x:v>
      </x:c>
      <x:c r="C885" s="16" t="str"/>
      <x:c r="D885" s="16" t="str"/>
      <x:c r="E885" s="16" t="str">
        <x:v>* myContacts</x:v>
      </x:c>
      <x:c r="F885" s="16" t="str">
        <x:v>+60176090316</x:v>
      </x:c>
      <x:c r="G885" s="16" t="str">
        <x:v>+60176090316</x:v>
      </x:c>
      <x:c r="H885" s="16" t="str">
        <x:v>Excluded</x:v>
      </x:c>
      <x:c r="I885" s="16" t="str">
        <x:v>Missing email</x:v>
      </x:c>
    </x:row>
    <x:row r="886">
      <x:c r="A886" s="16" t="n">
        <x:v>883</x:v>
      </x:c>
      <x:c r="B886" s="16" t="str">
        <x:v>Anita Manita</x:v>
      </x:c>
      <x:c r="C886" s="16" t="str"/>
      <x:c r="D886" s="16" t="str"/>
      <x:c r="E886" s="16" t="str">
        <x:v>* myContacts</x:v>
      </x:c>
      <x:c r="F886" s="16" t="str">
        <x:v>+60177822046</x:v>
      </x:c>
      <x:c r="G886" s="16" t="str">
        <x:v>+60177822046</x:v>
      </x:c>
      <x:c r="H886" s="16" t="str">
        <x:v>Excluded</x:v>
      </x:c>
      <x:c r="I886" s="16" t="str">
        <x:v>Missing email</x:v>
      </x:c>
    </x:row>
    <x:row r="887">
      <x:c r="A887" s="16" t="n">
        <x:v>884</x:v>
      </x:c>
      <x:c r="B887" s="16" t="str">
        <x:v>Anita Seman</x:v>
      </x:c>
      <x:c r="C887" s="16" t="str"/>
      <x:c r="D887" s="16" t="str"/>
      <x:c r="E887" s="16" t="str">
        <x:v>* myContacts</x:v>
      </x:c>
      <x:c r="F887" s="16" t="str">
        <x:v>+60162058712</x:v>
      </x:c>
      <x:c r="G887" s="16" t="str">
        <x:v>+60162058712</x:v>
      </x:c>
      <x:c r="H887" s="16" t="str">
        <x:v>Excluded</x:v>
      </x:c>
      <x:c r="I887" s="16" t="str">
        <x:v>Missing email</x:v>
      </x:c>
    </x:row>
    <x:row r="888">
      <x:c r="A888" s="16" t="n">
        <x:v>885</x:v>
      </x:c>
      <x:c r="B888" s="16" t="str">
        <x:v>Anitha Attiva</x:v>
      </x:c>
      <x:c r="C888" s="16" t="str"/>
      <x:c r="D888" s="16" t="str"/>
      <x:c r="E888" s="16" t="str">
        <x:v>* myContacts</x:v>
      </x:c>
      <x:c r="F888" s="16" t="str">
        <x:v>+60 17-275 4694 | +60172754694</x:v>
      </x:c>
      <x:c r="G888" s="16" t="str">
        <x:v>+60172754694 | +60172754694</x:v>
      </x:c>
      <x:c r="H888" s="16" t="str">
        <x:v>Excluded</x:v>
      </x:c>
      <x:c r="I888" s="16" t="str">
        <x:v>Missing email</x:v>
      </x:c>
    </x:row>
    <x:row r="889">
      <x:c r="A889" s="16" t="n">
        <x:v>886</x:v>
      </x:c>
      <x:c r="B889" s="16" t="str">
        <x:v>Aniza Dan Rashid Melaka</x:v>
      </x:c>
      <x:c r="C889" s="16" t="str"/>
      <x:c r="D889" s="16" t="str"/>
      <x:c r="E889" s="16" t="str">
        <x:v>* myContacts</x:v>
      </x:c>
      <x:c r="F889" s="16" t="str">
        <x:v>+60176572592</x:v>
      </x:c>
      <x:c r="G889" s="16" t="str">
        <x:v>+60176572592</x:v>
      </x:c>
      <x:c r="H889" s="16" t="str">
        <x:v>Excluded</x:v>
      </x:c>
      <x:c r="I889" s="16" t="str">
        <x:v>Missing email</x:v>
      </x:c>
    </x:row>
    <x:row r="890">
      <x:c r="A890" s="16" t="n">
        <x:v>887</x:v>
      </x:c>
      <x:c r="B890" s="16" t="str">
        <x:v>Aniza Hailani</x:v>
      </x:c>
      <x:c r="C890" s="16" t="str"/>
      <x:c r="D890" s="16" t="str"/>
      <x:c r="E890" s="16" t="str">
        <x:v>* myContacts</x:v>
      </x:c>
      <x:c r="F890" s="16" t="str">
        <x:v>+60126222763</x:v>
      </x:c>
      <x:c r="G890" s="16" t="str">
        <x:v>+60126222763</x:v>
      </x:c>
      <x:c r="H890" s="16" t="str">
        <x:v>Excluded</x:v>
      </x:c>
      <x:c r="I890" s="16" t="str">
        <x:v>Missing email</x:v>
      </x:c>
    </x:row>
    <x:row r="891">
      <x:c r="A891" s="16" t="n">
        <x:v>888</x:v>
      </x:c>
      <x:c r="B891" s="16" t="str">
        <x:v>Anizah Bt Mustaffa</x:v>
      </x:c>
      <x:c r="C891" s="16" t="str"/>
      <x:c r="D891" s="16" t="str"/>
      <x:c r="E891" s="16" t="str">
        <x:v>* myContacts</x:v>
      </x:c>
      <x:c r="F891" s="16" t="str">
        <x:v>+60139273744</x:v>
      </x:c>
      <x:c r="G891" s="16" t="str">
        <x:v>+60139273744</x:v>
      </x:c>
      <x:c r="H891" s="16" t="str">
        <x:v>Excluded</x:v>
      </x:c>
      <x:c r="I891" s="16" t="str">
        <x:v>Missing email</x:v>
      </x:c>
    </x:row>
    <x:row r="892">
      <x:c r="A892" s="16" t="n">
        <x:v>889</x:v>
      </x:c>
      <x:c r="B892" s="16" t="str">
        <x:v>Anjas Doang</x:v>
      </x:c>
      <x:c r="C892" s="16" t="str"/>
      <x:c r="D892" s="16" t="str"/>
      <x:c r="E892" s="16" t="str">
        <x:v>* myContacts</x:v>
      </x:c>
      <x:c r="F892" s="16" t="str">
        <x:v>+6281363805827</x:v>
      </x:c>
      <x:c r="G892" s="16" t="str">
        <x:v>+6281363805827</x:v>
      </x:c>
      <x:c r="H892" s="16" t="str">
        <x:v>Excluded</x:v>
      </x:c>
      <x:c r="I892" s="16" t="str">
        <x:v>Missing email</x:v>
      </x:c>
    </x:row>
    <x:row r="893">
      <x:c r="A893" s="16" t="n">
        <x:v>890</x:v>
      </x:c>
      <x:c r="B893" s="16" t="str">
        <x:v>Anjas Husain SalesUmroh</x:v>
      </x:c>
      <x:c r="C893" s="16" t="str"/>
      <x:c r="D893" s="16" t="str"/>
      <x:c r="E893" s="16" t="str">
        <x:v>* myContacts</x:v>
      </x:c>
      <x:c r="F893" s="16" t="str">
        <x:v>+628114451982</x:v>
      </x:c>
      <x:c r="G893" s="16" t="str">
        <x:v>+628114451982</x:v>
      </x:c>
      <x:c r="H893" s="16" t="str">
        <x:v>Excluded</x:v>
      </x:c>
      <x:c r="I893" s="16" t="str">
        <x:v>Missing email</x:v>
      </x:c>
    </x:row>
    <x:row r="894">
      <x:c r="A894" s="16" t="n">
        <x:v>891</x:v>
      </x:c>
      <x:c r="B894" s="16" t="str">
        <x:v>Anje Panacea</x:v>
      </x:c>
      <x:c r="C894" s="16" t="str"/>
      <x:c r="D894" s="16" t="str"/>
      <x:c r="E894" s="16" t="str">
        <x:v>* myContacts</x:v>
      </x:c>
      <x:c r="F894" s="16" t="str">
        <x:v>+60172478972</x:v>
      </x:c>
      <x:c r="G894" s="16" t="str">
        <x:v>+60172478972</x:v>
      </x:c>
      <x:c r="H894" s="16" t="str">
        <x:v>Excluded</x:v>
      </x:c>
      <x:c r="I894" s="16" t="str">
        <x:v>Missing email</x:v>
      </x:c>
    </x:row>
    <x:row r="895">
      <x:c r="A895" s="16" t="n">
        <x:v>892</x:v>
      </x:c>
      <x:c r="B895" s="16" t="str">
        <x:v>Anjee Bibieyy</x:v>
      </x:c>
      <x:c r="C895" s="16" t="str"/>
      <x:c r="D895" s="16" t="str"/>
      <x:c r="E895" s="16" t="str">
        <x:v>* myContacts</x:v>
      </x:c>
      <x:c r="F895" s="16" t="str">
        <x:v>+60174125009</x:v>
      </x:c>
      <x:c r="G895" s="16" t="str">
        <x:v>+60174125009</x:v>
      </x:c>
      <x:c r="H895" s="16" t="str">
        <x:v>Excluded</x:v>
      </x:c>
      <x:c r="I895" s="16" t="str">
        <x:v>Missing email</x:v>
      </x:c>
    </x:row>
    <x:row r="896">
      <x:c r="A896" s="16" t="n">
        <x:v>893</x:v>
      </x:c>
      <x:c r="B896" s="16" t="str">
        <x:v>Anjung Amir</x:v>
      </x:c>
      <x:c r="C896" s="16" t="str"/>
      <x:c r="D896" s="16" t="str"/>
      <x:c r="E896" s="16" t="str">
        <x:v>* myContacts</x:v>
      </x:c>
      <x:c r="F896" s="16" t="str">
        <x:v>+60122008449</x:v>
      </x:c>
      <x:c r="G896" s="16" t="str">
        <x:v>+60122008449</x:v>
      </x:c>
      <x:c r="H896" s="16" t="str">
        <x:v>Excluded</x:v>
      </x:c>
      <x:c r="I896" s="16" t="str">
        <x:v>Missing email</x:v>
      </x:c>
    </x:row>
    <x:row r="897">
      <x:c r="A897" s="16" t="n">
        <x:v>894</x:v>
      </x:c>
      <x:c r="B897" s="16" t="str">
        <x:v>Ankit Jain</x:v>
      </x:c>
      <x:c r="C897" s="16" t="str"/>
      <x:c r="D897" s="16" t="str"/>
      <x:c r="E897" s="16" t="str">
        <x:v>* myContacts</x:v>
      </x:c>
      <x:c r="F897" s="16" t="str">
        <x:v>+919374006374</x:v>
      </x:c>
      <x:c r="G897" s="16" t="str">
        <x:v>+919374006374</x:v>
      </x:c>
      <x:c r="H897" s="16" t="str">
        <x:v>Excluded</x:v>
      </x:c>
      <x:c r="I897" s="16" t="str">
        <x:v>Missing email</x:v>
      </x:c>
    </x:row>
    <x:row r="898">
      <x:c r="A898" s="16" t="n">
        <x:v>895</x:v>
      </x:c>
      <x:c r="B898" s="16" t="str">
        <x:v>Ann Dengkil Absorber</x:v>
      </x:c>
      <x:c r="C898" s="16" t="str"/>
      <x:c r="D898" s="16" t="str"/>
      <x:c r="E898" s="16" t="str">
        <x:v>* myContacts</x:v>
      </x:c>
      <x:c r="F898" s="16" t="str">
        <x:v>0194523539 | +60194523539</x:v>
      </x:c>
      <x:c r="G898" s="16" t="str">
        <x:v>+60194523539 | +60194523539</x:v>
      </x:c>
      <x:c r="H898" s="16" t="str">
        <x:v>Excluded</x:v>
      </x:c>
      <x:c r="I898" s="16" t="str">
        <x:v>Missing email</x:v>
      </x:c>
    </x:row>
    <x:row r="899">
      <x:c r="A899" s="16" t="n">
        <x:v>896</x:v>
      </x:c>
      <x:c r="B899" s="16" t="str">
        <x:v>Ann Merpati Uniq</x:v>
      </x:c>
      <x:c r="C899" s="16" t="str"/>
      <x:c r="D899" s="16" t="str"/>
      <x:c r="E899" s="16" t="str">
        <x:v>* myContacts</x:v>
      </x:c>
      <x:c r="F899" s="16" t="str">
        <x:v>+60128989592</x:v>
      </x:c>
      <x:c r="G899" s="16" t="str">
        <x:v>+60128989592</x:v>
      </x:c>
      <x:c r="H899" s="16" t="str">
        <x:v>Excluded</x:v>
      </x:c>
      <x:c r="I899" s="16" t="str">
        <x:v>Missing email</x:v>
      </x:c>
    </x:row>
    <x:row r="900">
      <x:c r="A900" s="16" t="n">
        <x:v>897</x:v>
      </x:c>
      <x:c r="B900" s="16" t="str">
        <x:v>Anna Ikhsan</x:v>
      </x:c>
      <x:c r="C900" s="16" t="str"/>
      <x:c r="D900" s="16" t="str"/>
      <x:c r="E900" s="16" t="str">
        <x:v>* myContacts</x:v>
      </x:c>
      <x:c r="F900" s="16" t="str">
        <x:v>+60125525118</x:v>
      </x:c>
      <x:c r="G900" s="16" t="str">
        <x:v>+60125525118</x:v>
      </x:c>
      <x:c r="H900" s="16" t="str">
        <x:v>Excluded</x:v>
      </x:c>
      <x:c r="I900" s="16" t="str">
        <x:v>Missing email</x:v>
      </x:c>
    </x:row>
    <x:row r="901">
      <x:c r="A901" s="16" t="n">
        <x:v>898</x:v>
      </x:c>
      <x:c r="B901" s="16" t="str">
        <x:v>Anna Paulinchas</x:v>
      </x:c>
      <x:c r="C901" s="16" t="str"/>
      <x:c r="D901" s="16" t="str"/>
      <x:c r="E901" s="16" t="str">
        <x:v>* myContacts</x:v>
      </x:c>
      <x:c r="F901" s="16" t="str">
        <x:v>+60104237196</x:v>
      </x:c>
      <x:c r="G901" s="16" t="str">
        <x:v>+60104237196</x:v>
      </x:c>
      <x:c r="H901" s="16" t="str">
        <x:v>Excluded</x:v>
      </x:c>
      <x:c r="I901" s="16" t="str">
        <x:v>Missing email</x:v>
      </x:c>
    </x:row>
    <x:row r="902">
      <x:c r="A902" s="16" t="n">
        <x:v>899</x:v>
      </x:c>
      <x:c r="B902" s="16" t="str">
        <x:v>Anna Rd</x:v>
      </x:c>
      <x:c r="C902" s="16" t="str"/>
      <x:c r="D902" s="16" t="str"/>
      <x:c r="E902" s="16" t="str">
        <x:v>* myContacts</x:v>
      </x:c>
      <x:c r="F902" s="16" t="str">
        <x:v>+60135595654</x:v>
      </x:c>
      <x:c r="G902" s="16" t="str">
        <x:v>+60135595654</x:v>
      </x:c>
      <x:c r="H902" s="16" t="str">
        <x:v>Excluded</x:v>
      </x:c>
      <x:c r="I902" s="16" t="str">
        <x:v>Missing email</x:v>
      </x:c>
    </x:row>
    <x:row r="903">
      <x:c r="A903" s="16" t="n">
        <x:v>900</x:v>
      </x:c>
      <x:c r="B903" s="16" t="str">
        <x:v>AnNa SHu'haNna</x:v>
      </x:c>
      <x:c r="C903" s="16" t="str"/>
      <x:c r="D903" s="16" t="str"/>
      <x:c r="E903" s="16" t="str">
        <x:v>* myContacts</x:v>
      </x:c>
      <x:c r="F903" s="16" t="str">
        <x:v>+60143466532</x:v>
      </x:c>
      <x:c r="G903" s="16" t="str">
        <x:v>+60143466532</x:v>
      </x:c>
      <x:c r="H903" s="16" t="str">
        <x:v>Excluded</x:v>
      </x:c>
      <x:c r="I903" s="16" t="str">
        <x:v>Missing email</x:v>
      </x:c>
    </x:row>
    <x:row r="904">
      <x:c r="A904" s="16" t="n">
        <x:v>901</x:v>
      </x:c>
      <x:c r="B904" s="16" t="str">
        <x:v>Annah Mardhiah</x:v>
      </x:c>
      <x:c r="C904" s="16" t="str"/>
      <x:c r="D904" s="16" t="str"/>
      <x:c r="E904" s="16" t="str">
        <x:v>* myContacts</x:v>
      </x:c>
      <x:c r="F904" s="16" t="str">
        <x:v>+601116119699</x:v>
      </x:c>
      <x:c r="G904" s="16" t="str">
        <x:v>+601116119699</x:v>
      </x:c>
      <x:c r="H904" s="16" t="str">
        <x:v>Excluded</x:v>
      </x:c>
      <x:c r="I904" s="16" t="str">
        <x:v>Missing email</x:v>
      </x:c>
    </x:row>
    <x:row r="905">
      <x:c r="A905" s="16" t="n">
        <x:v>902</x:v>
      </x:c>
      <x:c r="B905" s="16" t="str">
        <x:v>Anne Solvy</x:v>
      </x:c>
      <x:c r="C905" s="16" t="str"/>
      <x:c r="D905" s="16" t="str"/>
      <x:c r="E905" s="16" t="str">
        <x:v>* myContacts</x:v>
      </x:c>
      <x:c r="F905" s="16" t="str">
        <x:v>+60 13-596 5922 | +60135965922</x:v>
      </x:c>
      <x:c r="G905" s="16" t="str">
        <x:v>+60135965922 | +60135965922</x:v>
      </x:c>
      <x:c r="H905" s="16" t="str">
        <x:v>Excluded</x:v>
      </x:c>
      <x:c r="I905" s="16" t="str">
        <x:v>Missing email</x:v>
      </x:c>
    </x:row>
    <x:row r="906">
      <x:c r="A906" s="16" t="n">
        <x:v>903</x:v>
      </x:c>
      <x:c r="B906" s="16" t="str">
        <x:v>Anne Tahir AGP</x:v>
      </x:c>
      <x:c r="C906" s="16" t="str"/>
      <x:c r="D906" s="16" t="str"/>
      <x:c r="E906" s="16" t="str">
        <x:v>* myContacts</x:v>
      </x:c>
      <x:c r="F906" s="16" t="str">
        <x:v>+60 14-319 1602 | +60143191602</x:v>
      </x:c>
      <x:c r="G906" s="16" t="str">
        <x:v>+60143191602 | +60143191602</x:v>
      </x:c>
      <x:c r="H906" s="16" t="str">
        <x:v>Excluded</x:v>
      </x:c>
      <x:c r="I906" s="16" t="str">
        <x:v>Missing email</x:v>
      </x:c>
    </x:row>
    <x:row r="907">
      <x:c r="A907" s="16" t="n">
        <x:v>904</x:v>
      </x:c>
      <x:c r="B907" s="16" t="str">
        <x:v>Anney Hartanah Kelantan</x:v>
      </x:c>
      <x:c r="C907" s="16" t="str"/>
      <x:c r="D907" s="16" t="str"/>
      <x:c r="E907" s="16" t="str">
        <x:v>* myContacts</x:v>
      </x:c>
      <x:c r="F907" s="16" t="str">
        <x:v>+60179708837</x:v>
      </x:c>
      <x:c r="G907" s="16" t="str">
        <x:v>+60179708837</x:v>
      </x:c>
      <x:c r="H907" s="16" t="str">
        <x:v>Excluded</x:v>
      </x:c>
      <x:c r="I907" s="16" t="str">
        <x:v>Missing email</x:v>
      </x:c>
    </x:row>
    <x:row r="908">
      <x:c r="A908" s="16" t="n">
        <x:v>905</x:v>
      </x:c>
      <x:c r="B908" s="16" t="str">
        <x:v>Annie Solvy</x:v>
      </x:c>
      <x:c r="C908" s="16" t="str"/>
      <x:c r="D908" s="16" t="str"/>
      <x:c r="E908" s="16" t="str">
        <x:v>* myContacts</x:v>
      </x:c>
      <x:c r="F908" s="16" t="str">
        <x:v>+60 12-387 1424 | +60123871424</x:v>
      </x:c>
      <x:c r="G908" s="16" t="str">
        <x:v>+60123871424 | +60123871424</x:v>
      </x:c>
      <x:c r="H908" s="16" t="str">
        <x:v>Excluded</x:v>
      </x:c>
      <x:c r="I908" s="16" t="str">
        <x:v>Missing email</x:v>
      </x:c>
    </x:row>
    <x:row r="909">
      <x:c r="A909" s="16" t="n">
        <x:v>906</x:v>
      </x:c>
      <x:c r="B909" s="16" t="str">
        <x:v>Annur Izzah Abdul Razak</x:v>
      </x:c>
      <x:c r="C909" s="16" t="str"/>
      <x:c r="D909" s="16" t="str"/>
      <x:c r="E909" s="16" t="str">
        <x:v>* myContacts</x:v>
      </x:c>
      <x:c r="F909" s="16" t="str">
        <x:v>+60183803237</x:v>
      </x:c>
      <x:c r="G909" s="16" t="str">
        <x:v>+60183803237</x:v>
      </x:c>
      <x:c r="H909" s="16" t="str">
        <x:v>Excluded</x:v>
      </x:c>
      <x:c r="I909" s="16" t="str">
        <x:v>Missing email</x:v>
      </x:c>
    </x:row>
    <x:row r="910">
      <x:c r="A910" s="16" t="n">
        <x:v>907</x:v>
      </x:c>
      <x:c r="B910" s="16" t="str">
        <x:v>Annur Shoope</x:v>
      </x:c>
      <x:c r="C910" s="16" t="str"/>
      <x:c r="D910" s="16" t="str"/>
      <x:c r="E910" s="16" t="str">
        <x:v>* myContacts</x:v>
      </x:c>
      <x:c r="F910" s="16" t="str">
        <x:v>+60126945217</x:v>
      </x:c>
      <x:c r="G910" s="16" t="str">
        <x:v>+60126945217</x:v>
      </x:c>
      <x:c r="H910" s="16" t="str">
        <x:v>Excluded</x:v>
      </x:c>
      <x:c r="I910" s="16" t="str">
        <x:v>Missing email</x:v>
      </x:c>
    </x:row>
    <x:row r="911">
      <x:c r="A911" s="16" t="n">
        <x:v>908</x:v>
      </x:c>
      <x:c r="B911" s="16" t="str">
        <x:v>Annur Syuhadah</x:v>
      </x:c>
      <x:c r="C911" s="16" t="str"/>
      <x:c r="D911" s="16" t="str"/>
      <x:c r="E911" s="16" t="str">
        <x:v>* myContacts</x:v>
      </x:c>
      <x:c r="F911" s="16" t="str">
        <x:v>+60134056533</x:v>
      </x:c>
      <x:c r="G911" s="16" t="str">
        <x:v>+60134056533</x:v>
      </x:c>
      <x:c r="H911" s="16" t="str">
        <x:v>Excluded</x:v>
      </x:c>
      <x:c r="I911" s="16" t="str">
        <x:v>Missing email</x:v>
      </x:c>
    </x:row>
    <x:row r="912">
      <x:c r="A912" s="16" t="n">
        <x:v>909</x:v>
      </x:c>
      <x:c r="B912" s="16" t="str">
        <x:v>Anny Fazil</x:v>
      </x:c>
      <x:c r="C912" s="16" t="str"/>
      <x:c r="D912" s="16" t="str"/>
      <x:c r="E912" s="16" t="str">
        <x:v>* myContacts</x:v>
      </x:c>
      <x:c r="F912" s="16" t="str">
        <x:v>+60128510030</x:v>
      </x:c>
      <x:c r="G912" s="16" t="str">
        <x:v>+60128510030</x:v>
      </x:c>
      <x:c r="H912" s="16" t="str">
        <x:v>Excluded</x:v>
      </x:c>
      <x:c r="I912" s="16" t="str">
        <x:v>Missing email</x:v>
      </x:c>
    </x:row>
    <x:row r="913">
      <x:c r="A913" s="16" t="n">
        <x:v>910</x:v>
      </x:c>
      <x:c r="B913" s="16" t="str">
        <x:v>Anuar @ KARL Cromok</x:v>
      </x:c>
      <x:c r="C913" s="16" t="str"/>
      <x:c r="D913" s="16" t="str"/>
      <x:c r="E913" s="16" t="str">
        <x:v>* myContacts</x:v>
      </x:c>
      <x:c r="F913" s="16" t="str">
        <x:v>+60 12-326 9292 | +60123269292</x:v>
      </x:c>
      <x:c r="G913" s="16" t="str">
        <x:v>+60123269292 | +60123269292</x:v>
      </x:c>
      <x:c r="H913" s="16" t="str">
        <x:v>Excluded</x:v>
      </x:c>
      <x:c r="I913" s="16" t="str">
        <x:v>Missing email</x:v>
      </x:c>
    </x:row>
    <x:row r="914">
      <x:c r="A914" s="16" t="n">
        <x:v>911</x:v>
      </x:c>
      <x:c r="B914" s="16" t="str">
        <x:v>Anuar Abdullah</x:v>
      </x:c>
      <x:c r="C914" s="16" t="str"/>
      <x:c r="D914" s="16" t="str"/>
      <x:c r="E914" s="16" t="str">
        <x:v>* myContacts</x:v>
      </x:c>
      <x:c r="F914" s="16" t="str">
        <x:v>+60126169197</x:v>
      </x:c>
      <x:c r="G914" s="16" t="str">
        <x:v>+60126169197</x:v>
      </x:c>
      <x:c r="H914" s="16" t="str">
        <x:v>Excluded</x:v>
      </x:c>
      <x:c r="I914" s="16" t="str">
        <x:v>Missing email</x:v>
      </x:c>
    </x:row>
    <x:row r="915">
      <x:c r="A915" s="16" t="n">
        <x:v>912</x:v>
      </x:c>
      <x:c r="B915" s="16" t="str">
        <x:v>Anuar Ahmad</x:v>
      </x:c>
      <x:c r="C915" s="16" t="str"/>
      <x:c r="D915" s="16" t="str"/>
      <x:c r="E915" s="16" t="str">
        <x:v>* myContacts</x:v>
      </x:c>
      <x:c r="F915" s="16" t="str">
        <x:v>+60123320519 | +60189794877 | +60123320519 | +60189794877</x:v>
      </x:c>
      <x:c r="G915" s="16" t="str">
        <x:v>+60123320519 | +60189794877 | +60123320519 | +60189794877</x:v>
      </x:c>
      <x:c r="H915" s="16" t="str">
        <x:v>Excluded</x:v>
      </x:c>
      <x:c r="I915" s="16" t="str">
        <x:v>Missing email</x:v>
      </x:c>
    </x:row>
    <x:row r="916">
      <x:c r="A916" s="16" t="n">
        <x:v>913</x:v>
      </x:c>
      <x:c r="B916" s="16" t="str">
        <x:v>Anuar AIMI ACADEMY</x:v>
      </x:c>
      <x:c r="C916" s="16" t="str"/>
      <x:c r="D916" s="16" t="str"/>
      <x:c r="E916" s="16" t="str">
        <x:v>* myContacts</x:v>
      </x:c>
      <x:c r="F916" s="16" t="str">
        <x:v>+60 11-3311 2208 | +601133112208</x:v>
      </x:c>
      <x:c r="G916" s="16" t="str">
        <x:v>+601133112208 | +601133112208</x:v>
      </x:c>
      <x:c r="H916" s="16" t="str">
        <x:v>Excluded</x:v>
      </x:c>
      <x:c r="I916" s="16" t="str">
        <x:v>Missing email</x:v>
      </x:c>
    </x:row>
    <x:row r="917">
      <x:c r="A917" s="16" t="n">
        <x:v>914</x:v>
      </x:c>
      <x:c r="B917" s="16" t="str">
        <x:v>Anuar ATG Network</x:v>
      </x:c>
      <x:c r="C917" s="16" t="str"/>
      <x:c r="D917" s="16" t="str"/>
      <x:c r="E917" s="16" t="str">
        <x:v>* myContacts</x:v>
      </x:c>
      <x:c r="F917" s="16" t="str">
        <x:v>+60 10-838 3828 | +60108383828</x:v>
      </x:c>
      <x:c r="G917" s="16" t="str">
        <x:v>+60108383828 | +60108383828</x:v>
      </x:c>
      <x:c r="H917" s="16" t="str">
        <x:v>Excluded</x:v>
      </x:c>
      <x:c r="I917" s="16" t="str">
        <x:v>Missing email</x:v>
      </x:c>
    </x:row>
    <x:row r="918">
      <x:c r="A918" s="16" t="n">
        <x:v>915</x:v>
      </x:c>
      <x:c r="B918" s="16" t="str">
        <x:v>Anuar Hashim</x:v>
      </x:c>
      <x:c r="C918" s="16" t="str"/>
      <x:c r="D918" s="16" t="str"/>
      <x:c r="E918" s="16" t="str">
        <x:v>* myContacts</x:v>
      </x:c>
      <x:c r="F918" s="16" t="str">
        <x:v>+60126478871</x:v>
      </x:c>
      <x:c r="G918" s="16" t="str">
        <x:v>+60126478871</x:v>
      </x:c>
      <x:c r="H918" s="16" t="str">
        <x:v>Excluded</x:v>
      </x:c>
      <x:c r="I918" s="16" t="str">
        <x:v>Missing email</x:v>
      </x:c>
    </x:row>
    <x:row r="919">
      <x:c r="A919" s="16" t="n">
        <x:v>916</x:v>
      </x:c>
      <x:c r="B919" s="16" t="str">
        <x:v>Anum Wahab AGP</x:v>
      </x:c>
      <x:c r="C919" s="16" t="str"/>
      <x:c r="D919" s="16" t="str"/>
      <x:c r="E919" s="16" t="str">
        <x:v>* myContacts</x:v>
      </x:c>
      <x:c r="F919" s="16" t="str">
        <x:v>+60 12-316 5828 | +60123165828</x:v>
      </x:c>
      <x:c r="G919" s="16" t="str">
        <x:v>+60123165828 | +60123165828</x:v>
      </x:c>
      <x:c r="H919" s="16" t="str">
        <x:v>Excluded</x:v>
      </x:c>
      <x:c r="I919" s="16" t="str">
        <x:v>Missing email</x:v>
      </x:c>
    </x:row>
    <x:row r="920">
      <x:c r="A920" s="16" t="n">
        <x:v>917</x:v>
      </x:c>
      <x:c r="B920" s="16" t="str">
        <x:v>Anuprakash habib Jewels</x:v>
      </x:c>
      <x:c r="C920" s="16" t="str"/>
      <x:c r="D920" s="16" t="str"/>
      <x:c r="E920" s="16" t="str">
        <x:v>* myContacts</x:v>
      </x:c>
      <x:c r="F920" s="16" t="str">
        <x:v>+60 19-994 9196 | +60199949196</x:v>
      </x:c>
      <x:c r="G920" s="16" t="str">
        <x:v>+60199949196 | +60199949196</x:v>
      </x:c>
      <x:c r="H920" s="16" t="str">
        <x:v>Excluded</x:v>
      </x:c>
      <x:c r="I920" s="16" t="str">
        <x:v>Missing email</x:v>
      </x:c>
    </x:row>
    <x:row r="921">
      <x:c r="A921" s="16" t="n">
        <x:v>918</x:v>
      </x:c>
      <x:c r="B921" s="16" t="str">
        <x:v>Anur Dahari AGP</x:v>
      </x:c>
      <x:c r="C921" s="16" t="str"/>
      <x:c r="D921" s="16" t="str"/>
      <x:c r="E921" s="16" t="str">
        <x:v>* myContacts</x:v>
      </x:c>
      <x:c r="F921" s="16" t="str">
        <x:v>+60 12-281 7322 | +60122817322</x:v>
      </x:c>
      <x:c r="G921" s="16" t="str">
        <x:v>+60122817322 | +60122817322</x:v>
      </x:c>
      <x:c r="H921" s="16" t="str">
        <x:v>Excluded</x:v>
      </x:c>
      <x:c r="I921" s="16" t="str">
        <x:v>Missing email</x:v>
      </x:c>
    </x:row>
    <x:row r="922">
      <x:c r="A922" s="16" t="n">
        <x:v>919</x:v>
      </x:c>
      <x:c r="B922" s="16" t="str">
        <x:v>Anwar Shah</x:v>
      </x:c>
      <x:c r="C922" s="16" t="str"/>
      <x:c r="D922" s="16" t="str"/>
      <x:c r="E922" s="16" t="str">
        <x:v>* myContacts</x:v>
      </x:c>
      <x:c r="F922" s="16" t="str">
        <x:v>+60173070670</x:v>
      </x:c>
      <x:c r="G922" s="16" t="str">
        <x:v>+60173070670</x:v>
      </x:c>
      <x:c r="H922" s="16" t="str">
        <x:v>Excluded</x:v>
      </x:c>
      <x:c r="I922" s="16" t="str">
        <x:v>Missing email</x:v>
      </x:c>
    </x:row>
    <x:row r="923">
      <x:c r="A923" s="16" t="n">
        <x:v>920</x:v>
      </x:c>
      <x:c r="B923" s="16" t="str">
        <x:v>Any Erni</x:v>
      </x:c>
      <x:c r="C923" s="16" t="str"/>
      <x:c r="D923" s="16" t="str"/>
      <x:c r="E923" s="16" t="str">
        <x:v>* myContacts</x:v>
      </x:c>
      <x:c r="F923" s="16" t="str">
        <x:v>+60143552883</x:v>
      </x:c>
      <x:c r="G923" s="16" t="str">
        <x:v>+60143552883</x:v>
      </x:c>
      <x:c r="H923" s="16" t="str">
        <x:v>Excluded</x:v>
      </x:c>
      <x:c r="I923" s="16" t="str">
        <x:v>Missing email</x:v>
      </x:c>
    </x:row>
    <x:row r="924">
      <x:c r="A924" s="16" t="n">
        <x:v>921</x:v>
      </x:c>
      <x:c r="B924" s="16" t="str">
        <x:v>Apak Chai Nazrol</x:v>
      </x:c>
      <x:c r="C924" s="16" t="str"/>
      <x:c r="D924" s="16" t="str"/>
      <x:c r="E924" s="16" t="str">
        <x:v>* myContacts</x:v>
      </x:c>
      <x:c r="F924" s="16" t="str">
        <x:v>+60122459881</x:v>
      </x:c>
      <x:c r="G924" s="16" t="str">
        <x:v>+60122459881</x:v>
      </x:c>
      <x:c r="H924" s="16" t="str">
        <x:v>Excluded</x:v>
      </x:c>
      <x:c r="I924" s="16" t="str">
        <x:v>Missing email</x:v>
      </x:c>
    </x:row>
    <x:row r="925">
      <x:c r="A925" s="16" t="n">
        <x:v>922</x:v>
      </x:c>
      <x:c r="B925" s="16" t="str">
        <x:v>apak dengkil pancing</x:v>
      </x:c>
      <x:c r="C925" s="16" t="str"/>
      <x:c r="D925" s="16" t="str"/>
      <x:c r="E925" s="16" t="str">
        <x:v>* myContacts</x:v>
      </x:c>
      <x:c r="F925" s="16" t="str">
        <x:v>013-226 3769 | +60132263769</x:v>
      </x:c>
      <x:c r="G925" s="16" t="str">
        <x:v>+60132263769 | +60132263769</x:v>
      </x:c>
      <x:c r="H925" s="16" t="str">
        <x:v>Excluded</x:v>
      </x:c>
      <x:c r="I925" s="16" t="str">
        <x:v>Missing email</x:v>
      </x:c>
    </x:row>
    <x:row r="926">
      <x:c r="A926" s="16" t="n">
        <x:v>923</x:v>
      </x:c>
      <x:c r="B926" s="16" t="str">
        <x:v>Apak Kamarudin</x:v>
      </x:c>
      <x:c r="C926" s="16" t="str"/>
      <x:c r="D926" s="16" t="str"/>
      <x:c r="E926" s="16" t="str">
        <x:v>* myContacts</x:v>
      </x:c>
      <x:c r="F926" s="16" t="str">
        <x:v>01158932210 | +601158932210 | 019-244 6125 | 0192446125</x:v>
      </x:c>
      <x:c r="G926" s="16" t="str">
        <x:v>+601158932210 | +601158932210 | +60192446125 | +60192446125</x:v>
      </x:c>
      <x:c r="H926" s="16" t="str">
        <x:v>Excluded</x:v>
      </x:c>
      <x:c r="I926" s="16" t="str">
        <x:v>Missing email</x:v>
      </x:c>
    </x:row>
    <x:row r="927">
      <x:c r="A927" s="16" t="n">
        <x:v>924</x:v>
      </x:c>
      <x:c r="B927" s="16" t="str">
        <x:v>Apek Sapaprap</x:v>
      </x:c>
      <x:c r="C927" s="16" t="str"/>
      <x:c r="D927" s="16" t="str"/>
      <x:c r="E927" s="16" t="str">
        <x:v>* myContacts</x:v>
      </x:c>
      <x:c r="F927" s="16" t="str">
        <x:v>+60172046328</x:v>
      </x:c>
      <x:c r="G927" s="16" t="str">
        <x:v>+60172046328</x:v>
      </x:c>
      <x:c r="H927" s="16" t="str">
        <x:v>Excluded</x:v>
      </x:c>
      <x:c r="I927" s="16" t="str">
        <x:v>Missing email</x:v>
      </x:c>
    </x:row>
    <x:row r="928">
      <x:c r="A928" s="16" t="n">
        <x:v>925</x:v>
      </x:c>
      <x:c r="B928" s="16" t="str">
        <x:v>Apeng</x:v>
      </x:c>
      <x:c r="C928" s="16" t="str"/>
      <x:c r="D928" s="16" t="str"/>
      <x:c r="E928" s="16" t="str">
        <x:v>* myContacts</x:v>
      </x:c>
      <x:c r="F928" s="16" t="str">
        <x:v>+60 11-7070 5524 | +601170705524</x:v>
      </x:c>
      <x:c r="G928" s="16" t="str">
        <x:v>+601170705524 | +601170705524</x:v>
      </x:c>
      <x:c r="H928" s="16" t="str">
        <x:v>Excluded</x:v>
      </x:c>
      <x:c r="I928" s="16" t="str">
        <x:v>Missing email</x:v>
      </x:c>
    </x:row>
    <x:row r="929">
      <x:c r="A929" s="16" t="n">
        <x:v>926</x:v>
      </x:c>
      <x:c r="B929" s="16" t="str">
        <x:v>API Consultant-Isqandar</x:v>
      </x:c>
      <x:c r="C929" s="16" t="str"/>
      <x:c r="D929" s="16" t="str"/>
      <x:c r="E929" s="16" t="str">
        <x:v>* myContacts</x:v>
      </x:c>
      <x:c r="F929" s="16" t="str">
        <x:v>+60 18-376 5099 | +60183765099</x:v>
      </x:c>
      <x:c r="G929" s="16" t="str">
        <x:v>+60183765099 | +60183765099</x:v>
      </x:c>
      <x:c r="H929" s="16" t="str">
        <x:v>Excluded</x:v>
      </x:c>
      <x:c r="I929" s="16" t="str">
        <x:v>Missing email</x:v>
      </x:c>
    </x:row>
    <x:row r="930">
      <x:c r="A930" s="16" t="n">
        <x:v>927</x:v>
      </x:c>
      <x:c r="B930" s="16" t="str">
        <x:v>Apih Marang II</x:v>
      </x:c>
      <x:c r="C930" s="16" t="str"/>
      <x:c r="D930" s="16" t="str"/>
      <x:c r="E930" s="16" t="str">
        <x:v>* myContacts</x:v>
      </x:c>
      <x:c r="F930" s="16" t="str">
        <x:v>+60132449295 | +60137986309</x:v>
      </x:c>
      <x:c r="G930" s="16" t="str">
        <x:v>+60132449295 | +60137986309</x:v>
      </x:c>
      <x:c r="H930" s="16" t="str">
        <x:v>Excluded</x:v>
      </x:c>
      <x:c r="I930" s="16" t="str">
        <x:v>Missing email</x:v>
      </x:c>
    </x:row>
    <x:row r="931">
      <x:c r="A931" s="16" t="n">
        <x:v>928</x:v>
      </x:c>
      <x:c r="B931" s="16" t="str">
        <x:v>Apik Setiu</x:v>
      </x:c>
      <x:c r="C931" s="16" t="str"/>
      <x:c r="D931" s="16" t="str"/>
      <x:c r="E931" s="16" t="str">
        <x:v>* myContacts</x:v>
      </x:c>
      <x:c r="F931" s="16" t="str">
        <x:v>+60132447992</x:v>
      </x:c>
      <x:c r="G931" s="16" t="str">
        <x:v>+60132447992</x:v>
      </x:c>
      <x:c r="H931" s="16" t="str">
        <x:v>Excluded</x:v>
      </x:c>
      <x:c r="I931" s="16" t="str">
        <x:v>Missing email</x:v>
      </x:c>
    </x:row>
    <x:row r="932">
      <x:c r="A932" s="16" t="n">
        <x:v>929</x:v>
      </x:c>
      <x:c r="B932" s="16" t="str">
        <x:v>Apiq Beck Fawwaz</x:v>
      </x:c>
      <x:c r="C932" s="16" t="str"/>
      <x:c r="D932" s="16" t="str"/>
      <x:c r="E932" s="16" t="str">
        <x:v>* myContacts</x:v>
      </x:c>
      <x:c r="F932" s="16" t="str">
        <x:v>+60179834568</x:v>
      </x:c>
      <x:c r="G932" s="16" t="str">
        <x:v>+60179834568</x:v>
      </x:c>
      <x:c r="H932" s="16" t="str">
        <x:v>Excluded</x:v>
      </x:c>
      <x:c r="I932" s="16" t="str">
        <x:v>Missing email</x:v>
      </x:c>
    </x:row>
    <x:row r="933">
      <x:c r="A933" s="16" t="n">
        <x:v>930</x:v>
      </x:c>
      <x:c r="B933" s="16" t="str">
        <x:v>Apiq Pudin</x:v>
      </x:c>
      <x:c r="C933" s="16" t="str"/>
      <x:c r="D933" s="16" t="str"/>
      <x:c r="E933" s="16" t="str">
        <x:v>* myContacts</x:v>
      </x:c>
      <x:c r="F933" s="16" t="str">
        <x:v>+601131217579</x:v>
      </x:c>
      <x:c r="G933" s="16" t="str">
        <x:v>+601131217579</x:v>
      </x:c>
      <x:c r="H933" s="16" t="str">
        <x:v>Excluded</x:v>
      </x:c>
      <x:c r="I933" s="16" t="str">
        <x:v>Missing email</x:v>
      </x:c>
    </x:row>
    <x:row r="934">
      <x:c r="A934" s="16" t="n">
        <x:v>931</x:v>
      </x:c>
      <x:c r="B934" s="16" t="str">
        <x:v>Apit Isny</x:v>
      </x:c>
      <x:c r="C934" s="16" t="str"/>
      <x:c r="D934" s="16" t="str"/>
      <x:c r="E934" s="16" t="str">
        <x:v>* myContacts</x:v>
      </x:c>
      <x:c r="F934" s="16" t="str">
        <x:v>+60149338783</x:v>
      </x:c>
      <x:c r="G934" s="16" t="str">
        <x:v>+60149338783</x:v>
      </x:c>
      <x:c r="H934" s="16" t="str">
        <x:v>Excluded</x:v>
      </x:c>
      <x:c r="I934" s="16" t="str">
        <x:v>Missing email</x:v>
      </x:c>
    </x:row>
    <x:row r="935">
      <x:c r="A935" s="16" t="n">
        <x:v>932</x:v>
      </x:c>
      <x:c r="B935" s="16" t="str">
        <x:v>Apit Pakya</x:v>
      </x:c>
      <x:c r="C935" s="16" t="str"/>
      <x:c r="D935" s="16" t="str"/>
      <x:c r="E935" s="16" t="str">
        <x:v>* myContacts</x:v>
      </x:c>
      <x:c r="F935" s="16" t="str">
        <x:v>+60142443298</x:v>
      </x:c>
      <x:c r="G935" s="16" t="str">
        <x:v>+60142443298</x:v>
      </x:c>
      <x:c r="H935" s="16" t="str">
        <x:v>Excluded</x:v>
      </x:c>
      <x:c r="I935" s="16" t="str">
        <x:v>Missing email</x:v>
      </x:c>
    </x:row>
    <x:row r="936">
      <x:c r="A936" s="16" t="n">
        <x:v>933</x:v>
      </x:c>
      <x:c r="B936" s="16" t="str">
        <x:v>Apit Wan Lebo Youtube Celebrity</x:v>
      </x:c>
      <x:c r="C936" s="16" t="str"/>
      <x:c r="D936" s="16" t="str"/>
      <x:c r="E936" s="16" t="str">
        <x:v>* myContacts</x:v>
      </x:c>
      <x:c r="F936" s="16" t="str">
        <x:v>+60 18-215 7823 | +60182157823</x:v>
      </x:c>
      <x:c r="G936" s="16" t="str">
        <x:v>+60182157823 | +60182157823</x:v>
      </x:c>
      <x:c r="H936" s="16" t="str">
        <x:v>Excluded</x:v>
      </x:c>
      <x:c r="I936" s="16" t="str">
        <x:v>Missing email</x:v>
      </x:c>
    </x:row>
    <x:row r="937">
      <x:c r="A937" s="16" t="n">
        <x:v>934</x:v>
      </x:c>
      <x:c r="B937" s="16" t="str">
        <x:v>Apot Fikenggol</x:v>
      </x:c>
      <x:c r="C937" s="16" t="str"/>
      <x:c r="D937" s="16" t="str"/>
      <x:c r="E937" s="16" t="str">
        <x:v>* myContacts</x:v>
      </x:c>
      <x:c r="F937" s="16" t="str">
        <x:v>+60148604997</x:v>
      </x:c>
      <x:c r="G937" s="16" t="str">
        <x:v>+60148604997</x:v>
      </x:c>
      <x:c r="H937" s="16" t="str">
        <x:v>Excluded</x:v>
      </x:c>
      <x:c r="I937" s="16" t="str">
        <x:v>Missing email</x:v>
      </x:c>
    </x:row>
    <x:row r="938">
      <x:c r="A938" s="16" t="n">
        <x:v>935</x:v>
      </x:c>
      <x:c r="B938" s="16" t="str">
        <x:v>Apphie Chyntia Nur FarahHani</x:v>
      </x:c>
      <x:c r="C938" s="16" t="str"/>
      <x:c r="D938" s="16" t="str"/>
      <x:c r="E938" s="16" t="str">
        <x:v>* myContacts</x:v>
      </x:c>
      <x:c r="F938" s="16" t="str">
        <x:v>+60109597003</x:v>
      </x:c>
      <x:c r="G938" s="16" t="str">
        <x:v>+60109597003</x:v>
      </x:c>
      <x:c r="H938" s="16" t="str">
        <x:v>Excluded</x:v>
      </x:c>
      <x:c r="I938" s="16" t="str">
        <x:v>Missing email</x:v>
      </x:c>
    </x:row>
    <x:row r="939">
      <x:c r="A939" s="16" t="n">
        <x:v>936</x:v>
      </x:c>
      <x:c r="B939" s="16" t="str">
        <x:v>Apple Cyber Printer</x:v>
      </x:c>
      <x:c r="C939" s="16" t="str"/>
      <x:c r="D939" s="16" t="str"/>
      <x:c r="E939" s="16" t="str">
        <x:v>* myContacts</x:v>
      </x:c>
      <x:c r="F939" s="16" t="str">
        <x:v>01159909529 | +601159909529</x:v>
      </x:c>
      <x:c r="G939" s="16" t="str">
        <x:v>+601159909529 | +601159909529</x:v>
      </x:c>
      <x:c r="H939" s="16" t="str">
        <x:v>Excluded</x:v>
      </x:c>
      <x:c r="I939" s="16" t="str">
        <x:v>Missing email</x:v>
      </x:c>
    </x:row>
    <x:row r="940">
      <x:c r="A940" s="16" t="n">
        <x:v>937</x:v>
      </x:c>
      <x:c r="B940" s="16" t="str">
        <x:v>Apple Kikie Ahmad</x:v>
      </x:c>
      <x:c r="C940" s="16" t="str"/>
      <x:c r="D940" s="16" t="str"/>
      <x:c r="E940" s="16" t="str">
        <x:v>* myContacts</x:v>
      </x:c>
      <x:c r="F940" s="16" t="str">
        <x:v>+60177931383</x:v>
      </x:c>
      <x:c r="G940" s="16" t="str">
        <x:v>+60177931383</x:v>
      </x:c>
      <x:c r="H940" s="16" t="str">
        <x:v>Excluded</x:v>
      </x:c>
      <x:c r="I940" s="16" t="str">
        <x:v>Missing email</x:v>
      </x:c>
    </x:row>
    <x:row r="941">
      <x:c r="A941" s="16" t="n">
        <x:v>938</x:v>
      </x:c>
      <x:c r="B941" s="16" t="str">
        <x:v>Apriliyanti Tuch NaxTebink</x:v>
      </x:c>
      <x:c r="C941" s="16" t="str"/>
      <x:c r="D941" s="16" t="str"/>
      <x:c r="E941" s="16" t="str">
        <x:v>* myContacts</x:v>
      </x:c>
      <x:c r="F941" s="16" t="str">
        <x:v>+6282310552422</x:v>
      </x:c>
      <x:c r="G941" s="16" t="str">
        <x:v>+6282310552422</x:v>
      </x:c>
      <x:c r="H941" s="16" t="str">
        <x:v>Excluded</x:v>
      </x:c>
      <x:c r="I941" s="16" t="str">
        <x:v>Missing email</x:v>
      </x:c>
    </x:row>
    <x:row r="942">
      <x:c r="A942" s="16" t="n">
        <x:v>939</x:v>
      </x:c>
      <x:c r="B942" s="16" t="str">
        <x:v>AQ Classic Here</x:v>
      </x:c>
      <x:c r="C942" s="16" t="str"/>
      <x:c r="D942" s="16" t="str"/>
      <x:c r="E942" s="16" t="str">
        <x:v>* myContacts</x:v>
      </x:c>
      <x:c r="F942" s="16" t="str">
        <x:v>+601110903036</x:v>
      </x:c>
      <x:c r="G942" s="16" t="str">
        <x:v>+601110903036</x:v>
      </x:c>
      <x:c r="H942" s="16" t="str">
        <x:v>Excluded</x:v>
      </x:c>
      <x:c r="I942" s="16" t="str">
        <x:v>Missing email</x:v>
      </x:c>
    </x:row>
    <x:row r="943">
      <x:c r="A943" s="16" t="n">
        <x:v>940</x:v>
      </x:c>
      <x:c r="B943" s="16" t="str">
        <x:v>AQ Rafik Fhami</x:v>
      </x:c>
      <x:c r="C943" s="16" t="str"/>
      <x:c r="D943" s="16" t="str"/>
      <x:c r="E943" s="16" t="str">
        <x:v>* myContacts</x:v>
      </x:c>
      <x:c r="F943" s="16" t="str">
        <x:v>+60105843564</x:v>
      </x:c>
      <x:c r="G943" s="16" t="str">
        <x:v>+60105843564</x:v>
      </x:c>
      <x:c r="H943" s="16" t="str">
        <x:v>Excluded</x:v>
      </x:c>
      <x:c r="I943" s="16" t="str">
        <x:v>Missing email</x:v>
      </x:c>
    </x:row>
    <x:row r="944">
      <x:c r="A944" s="16" t="n">
        <x:v>941</x:v>
      </x:c>
      <x:c r="B944" s="16" t="str">
        <x:v>AQ Xie'adikxrina Sentiasa Setia</x:v>
      </x:c>
      <x:c r="C944" s="16" t="str"/>
      <x:c r="D944" s="16" t="str"/>
      <x:c r="E944" s="16" t="str">
        <x:v>* myContacts</x:v>
      </x:c>
      <x:c r="F944" s="16" t="str">
        <x:v>+60138992362</x:v>
      </x:c>
      <x:c r="G944" s="16" t="str">
        <x:v>+60138992362</x:v>
      </x:c>
      <x:c r="H944" s="16" t="str">
        <x:v>Excluded</x:v>
      </x:c>
      <x:c r="I944" s="16" t="str">
        <x:v>Missing email</x:v>
      </x:c>
    </x:row>
    <x:row r="945">
      <x:c r="A945" s="16" t="n">
        <x:v>942</x:v>
      </x:c>
      <x:c r="B945" s="16" t="str">
        <x:v>Aqif Azizan STP</x:v>
      </x:c>
      <x:c r="C945" s="16" t="str"/>
      <x:c r="D945" s="16" t="str"/>
      <x:c r="E945" s="16" t="str">
        <x:v>* myContacts</x:v>
      </x:c>
      <x:c r="F945" s="16" t="str">
        <x:v>+60122527909</x:v>
      </x:c>
      <x:c r="G945" s="16" t="str">
        <x:v>+60122527909</x:v>
      </x:c>
      <x:c r="H945" s="16" t="str">
        <x:v>Excluded</x:v>
      </x:c>
      <x:c r="I945" s="16" t="str">
        <x:v>Missing email</x:v>
      </x:c>
    </x:row>
    <x:row r="946">
      <x:c r="A946" s="16" t="n">
        <x:v>943</x:v>
      </x:c>
      <x:c r="B946" s="16" t="str">
        <x:v>Aqil Black</x:v>
      </x:c>
      <x:c r="C946" s="16" t="str"/>
      <x:c r="D946" s="16" t="str"/>
      <x:c r="E946" s="16" t="str">
        <x:v>* myContacts</x:v>
      </x:c>
      <x:c r="F946" s="16" t="str">
        <x:v>+601123658109</x:v>
      </x:c>
      <x:c r="G946" s="16" t="str">
        <x:v>+601123658109</x:v>
      </x:c>
      <x:c r="H946" s="16" t="str">
        <x:v>Excluded</x:v>
      </x:c>
      <x:c r="I946" s="16" t="str">
        <x:v>Missing email</x:v>
      </x:c>
    </x:row>
    <x:row r="947">
      <x:c r="A947" s="16" t="n">
        <x:v>944</x:v>
      </x:c>
      <x:c r="B947" s="16" t="str">
        <x:v>‭Aqil KasutAnakMuda</x:v>
      </x:c>
      <x:c r="C947" s="16" t="str"/>
      <x:c r="D947" s="16" t="str"/>
      <x:c r="E947" s="16" t="str">
        <x:v>* myContacts</x:v>
      </x:c>
      <x:c r="F947" s="16" t="str">
        <x:v>,017-407-4338 | +60 17-407 4338 | ,0174074338 | +60174074338</x:v>
      </x:c>
      <x:c r="G947" s="16" t="str">
        <x:v>+60174074338 | +60174074338 | +60174074338 | +60174074338</x:v>
      </x:c>
      <x:c r="H947" s="16" t="str">
        <x:v>Excluded</x:v>
      </x:c>
      <x:c r="I947" s="16" t="str">
        <x:v>Missing email</x:v>
      </x:c>
    </x:row>
    <x:row r="948">
      <x:c r="A948" s="16" t="n">
        <x:v>945</x:v>
      </x:c>
      <x:c r="B948" s="16" t="str">
        <x:v>Aquh Buwdaq Single</x:v>
      </x:c>
      <x:c r="C948" s="16" t="str"/>
      <x:c r="D948" s="16" t="str"/>
      <x:c r="E948" s="16" t="str">
        <x:v>* myContacts</x:v>
      </x:c>
      <x:c r="F948" s="16" t="str">
        <x:v>+60194067658</x:v>
      </x:c>
      <x:c r="G948" s="16" t="str">
        <x:v>+60194067658</x:v>
      </x:c>
      <x:c r="H948" s="16" t="str">
        <x:v>Excluded</x:v>
      </x:c>
      <x:c r="I948" s="16" t="str">
        <x:v>Missing email</x:v>
      </x:c>
    </x:row>
    <x:row r="949">
      <x:c r="A949" s="16" t="n">
        <x:v>946</x:v>
      </x:c>
      <x:c r="B949" s="16" t="str">
        <x:v>Ar Hanif</x:v>
      </x:c>
      <x:c r="C949" s="16" t="str"/>
      <x:c r="D949" s="16" t="str"/>
      <x:c r="E949" s="16" t="str">
        <x:v>* myContacts</x:v>
      </x:c>
      <x:c r="F949" s="16" t="str">
        <x:v>+8801933610869</x:v>
      </x:c>
      <x:c r="G949" s="16" t="str">
        <x:v>+8801933610869</x:v>
      </x:c>
      <x:c r="H949" s="16" t="str">
        <x:v>Excluded</x:v>
      </x:c>
      <x:c r="I949" s="16" t="str">
        <x:v>Missing email</x:v>
      </x:c>
    </x:row>
    <x:row r="950">
      <x:c r="A950" s="16" t="n">
        <x:v>947</x:v>
      </x:c>
      <x:c r="B950" s="16" t="str">
        <x:v>Ar Jee Musa</x:v>
      </x:c>
      <x:c r="C950" s="16" t="str"/>
      <x:c r="D950" s="16" t="str"/>
      <x:c r="E950" s="16" t="str">
        <x:v>* myContacts</x:v>
      </x:c>
      <x:c r="F950" s="16" t="str">
        <x:v>+60134813717</x:v>
      </x:c>
      <x:c r="G950" s="16" t="str">
        <x:v>+60134813717</x:v>
      </x:c>
      <x:c r="H950" s="16" t="str">
        <x:v>Excluded</x:v>
      </x:c>
      <x:c r="I950" s="16" t="str">
        <x:v>Missing email</x:v>
      </x:c>
    </x:row>
    <x:row r="951">
      <x:c r="A951" s="16" t="n">
        <x:v>948</x:v>
      </x:c>
      <x:c r="B951" s="16" t="str">
        <x:v>Ara Car Rental</x:v>
      </x:c>
      <x:c r="C951" s="16" t="str"/>
      <x:c r="D951" s="16" t="str"/>
      <x:c r="E951" s="16" t="str">
        <x:v>* myContacts</x:v>
      </x:c>
      <x:c r="F951" s="16" t="str">
        <x:v>+60192446969</x:v>
      </x:c>
      <x:c r="G951" s="16" t="str">
        <x:v>+60192446969</x:v>
      </x:c>
      <x:c r="H951" s="16" t="str">
        <x:v>Excluded</x:v>
      </x:c>
      <x:c r="I951" s="16" t="str">
        <x:v>Missing email</x:v>
      </x:c>
    </x:row>
    <x:row r="952">
      <x:c r="A952" s="16" t="n">
        <x:v>949</x:v>
      </x:c>
      <x:c r="B952" s="16" t="str">
        <x:v>Ara Wzr</x:v>
      </x:c>
      <x:c r="C952" s="16" t="str"/>
      <x:c r="D952" s="16" t="str"/>
      <x:c r="E952" s="16" t="str">
        <x:v>* myContacts</x:v>
      </x:c>
      <x:c r="F952" s="16" t="str">
        <x:v>+60169064847</x:v>
      </x:c>
      <x:c r="G952" s="16" t="str">
        <x:v>+60169064847</x:v>
      </x:c>
      <x:c r="H952" s="16" t="str">
        <x:v>Excluded</x:v>
      </x:c>
      <x:c r="I952" s="16" t="str">
        <x:v>Missing email</x:v>
      </x:c>
    </x:row>
    <x:row r="953">
      <x:c r="A953" s="16" t="n">
        <x:v>950</x:v>
      </x:c>
      <x:c r="B953" s="16" t="str">
        <x:v>Arafik Coach</x:v>
      </x:c>
      <x:c r="C953" s="16" t="str"/>
      <x:c r="D953" s="16" t="str"/>
      <x:c r="E953" s="16" t="str">
        <x:v>Trainer | * myContacts</x:v>
      </x:c>
      <x:c r="F953" s="16" t="str">
        <x:v>+60 12-655 6949 | +60126556949</x:v>
      </x:c>
      <x:c r="G953" s="16" t="str">
        <x:v>+60126556949 | +60126556949</x:v>
      </x:c>
      <x:c r="H953" s="16" t="str">
        <x:v>Excluded</x:v>
      </x:c>
      <x:c r="I953" s="16" t="str">
        <x:v>Missing email</x:v>
      </x:c>
    </x:row>
    <x:row r="954">
      <x:c r="A954" s="16" t="n">
        <x:v>951</x:v>
      </x:c>
      <x:c r="B954" s="16" t="str">
        <x:v>Aravinthan Manoharan</x:v>
      </x:c>
      <x:c r="C954" s="16" t="str"/>
      <x:c r="D954" s="16" t="str"/>
      <x:c r="E954" s="16" t="str">
        <x:v>* myContacts</x:v>
      </x:c>
      <x:c r="F954" s="16" t="str">
        <x:v>+601150014108</x:v>
      </x:c>
      <x:c r="G954" s="16" t="str">
        <x:v>+601150014108</x:v>
      </x:c>
      <x:c r="H954" s="16" t="str">
        <x:v>Excluded</x:v>
      </x:c>
      <x:c r="I954" s="16" t="str">
        <x:v>Missing email</x:v>
      </x:c>
    </x:row>
    <x:row r="955">
      <x:c r="A955" s="16" t="n">
        <x:v>952</x:v>
      </x:c>
      <x:c r="B955" s="16" t="str">
        <x:v>Ardha Teaaw</x:v>
      </x:c>
      <x:c r="C955" s="16" t="str"/>
      <x:c r="D955" s="16" t="str"/>
      <x:c r="E955" s="16" t="str">
        <x:v>* myContacts</x:v>
      </x:c>
      <x:c r="F955" s="16" t="str">
        <x:v>+6281320956684</x:v>
      </x:c>
      <x:c r="G955" s="16" t="str">
        <x:v>+6281320956684</x:v>
      </x:c>
      <x:c r="H955" s="16" t="str">
        <x:v>Excluded</x:v>
      </x:c>
      <x:c r="I955" s="16" t="str">
        <x:v>Missing email</x:v>
      </x:c>
    </x:row>
    <x:row r="956">
      <x:c r="A956" s="16" t="n">
        <x:v>953</x:v>
      </x:c>
      <x:c r="B956" s="16" t="str">
        <x:v>Ardhiey Kelly Widman</x:v>
      </x:c>
      <x:c r="C956" s="16" t="str"/>
      <x:c r="D956" s="16" t="str"/>
      <x:c r="E956" s="16" t="str">
        <x:v>* myContacts</x:v>
      </x:c>
      <x:c r="F956" s="16" t="str">
        <x:v>+601123859638</x:v>
      </x:c>
      <x:c r="G956" s="16" t="str">
        <x:v>+601123859638</x:v>
      </x:c>
      <x:c r="H956" s="16" t="str">
        <x:v>Excluded</x:v>
      </x:c>
      <x:c r="I956" s="16" t="str">
        <x:v>Missing email</x:v>
      </x:c>
    </x:row>
    <x:row r="957">
      <x:c r="A957" s="16" t="n">
        <x:v>954</x:v>
      </x:c>
      <x:c r="B957" s="16" t="str">
        <x:v>Ardi</x:v>
      </x:c>
      <x:c r="C957" s="16" t="str"/>
      <x:c r="D957" s="16" t="str"/>
      <x:c r="E957" s="16" t="str">
        <x:v>* myContacts</x:v>
      </x:c>
      <x:c r="F957" s="16" t="str">
        <x:v>012-243 8994 | +60122438994</x:v>
      </x:c>
      <x:c r="G957" s="16" t="str">
        <x:v>+60122438994 | +60122438994</x:v>
      </x:c>
      <x:c r="H957" s="16" t="str">
        <x:v>Excluded</x:v>
      </x:c>
      <x:c r="I957" s="16" t="str">
        <x:v>Missing email</x:v>
      </x:c>
    </x:row>
    <x:row r="958">
      <x:c r="A958" s="16" t="n">
        <x:v>955</x:v>
      </x:c>
      <x:c r="B958" s="16" t="str">
        <x:v>Ardila Sofa Iwan</x:v>
      </x:c>
      <x:c r="C958" s="16" t="str"/>
      <x:c r="D958" s="16" t="str"/>
      <x:c r="E958" s="16" t="str">
        <x:v>* myContacts</x:v>
      </x:c>
      <x:c r="F958" s="16" t="str">
        <x:v>+6281910746723</x:v>
      </x:c>
      <x:c r="G958" s="16" t="str">
        <x:v>+6281910746723</x:v>
      </x:c>
      <x:c r="H958" s="16" t="str">
        <x:v>Excluded</x:v>
      </x:c>
      <x:c r="I958" s="16" t="str">
        <x:v>Missing email</x:v>
      </x:c>
    </x:row>
    <x:row r="959">
      <x:c r="A959" s="16" t="n">
        <x:v>956</x:v>
      </x:c>
      <x:c r="B959" s="16" t="str">
        <x:v>Are Chik</x:v>
      </x:c>
      <x:c r="C959" s="16" t="str"/>
      <x:c r="D959" s="16" t="str"/>
      <x:c r="E959" s="16" t="str">
        <x:v>* myContacts</x:v>
      </x:c>
      <x:c r="F959" s="16" t="str">
        <x:v>+60175305329</x:v>
      </x:c>
      <x:c r="G959" s="16" t="str">
        <x:v>+60175305329</x:v>
      </x:c>
      <x:c r="H959" s="16" t="str">
        <x:v>Excluded</x:v>
      </x:c>
      <x:c r="I959" s="16" t="str">
        <x:v>Missing email</x:v>
      </x:c>
    </x:row>
    <x:row r="960">
      <x:c r="A960" s="16" t="n">
        <x:v>957</x:v>
      </x:c>
      <x:c r="B960" s="16" t="str">
        <x:v>Are Dey</x:v>
      </x:c>
      <x:c r="C960" s="16" t="str"/>
      <x:c r="D960" s="16" t="str"/>
      <x:c r="E960" s="16" t="str">
        <x:v>* myContacts</x:v>
      </x:c>
      <x:c r="F960" s="16" t="str">
        <x:v>+60179567810</x:v>
      </x:c>
      <x:c r="G960" s="16" t="str">
        <x:v>+60179567810</x:v>
      </x:c>
      <x:c r="H960" s="16" t="str">
        <x:v>Excluded</x:v>
      </x:c>
      <x:c r="I960" s="16" t="str">
        <x:v>Missing email</x:v>
      </x:c>
    </x:row>
    <x:row r="961">
      <x:c r="A961" s="16" t="n">
        <x:v>958</x:v>
      </x:c>
      <x:c r="B961" s="16" t="str">
        <x:v>Are Jey</x:v>
      </x:c>
      <x:c r="C961" s="16" t="str"/>
      <x:c r="D961" s="16" t="str"/>
      <x:c r="E961" s="16" t="str">
        <x:v>* myContacts</x:v>
      </x:c>
      <x:c r="F961" s="16" t="str">
        <x:v>+60179309330</x:v>
      </x:c>
      <x:c r="G961" s="16" t="str">
        <x:v>+60179309330</x:v>
      </x:c>
      <x:c r="H961" s="16" t="str">
        <x:v>Excluded</x:v>
      </x:c>
      <x:c r="I961" s="16" t="str">
        <x:v>Missing email</x:v>
      </x:c>
    </x:row>
    <x:row r="962">
      <x:c r="A962" s="16" t="n">
        <x:v>959</x:v>
      </x:c>
      <x:c r="B962" s="16" t="str">
        <x:v>Are Liff</x:v>
      </x:c>
      <x:c r="C962" s="16" t="str"/>
      <x:c r="D962" s="16" t="str"/>
      <x:c r="E962" s="16" t="str">
        <x:v>* myContacts</x:v>
      </x:c>
      <x:c r="F962" s="16" t="str">
        <x:v>+60148127014</x:v>
      </x:c>
      <x:c r="G962" s="16" t="str">
        <x:v>+60148127014</x:v>
      </x:c>
      <x:c r="H962" s="16" t="str">
        <x:v>Excluded</x:v>
      </x:c>
      <x:c r="I962" s="16" t="str">
        <x:v>Missing email</x:v>
      </x:c>
    </x:row>
    <x:row r="963">
      <x:c r="A963" s="16" t="n">
        <x:v>960</x:v>
      </x:c>
      <x:c r="B963" s="16" t="str">
        <x:v>ARe Man</x:v>
      </x:c>
      <x:c r="C963" s="16" t="str"/>
      <x:c r="D963" s="16" t="str"/>
      <x:c r="E963" s="16" t="str">
        <x:v>* myContacts</x:v>
      </x:c>
      <x:c r="F963" s="16" t="str">
        <x:v>+60109679469</x:v>
      </x:c>
      <x:c r="G963" s="16" t="str">
        <x:v>+60109679469</x:v>
      </x:c>
      <x:c r="H963" s="16" t="str">
        <x:v>Excluded</x:v>
      </x:c>
      <x:c r="I963" s="16" t="str">
        <x:v>Missing email</x:v>
      </x:c>
    </x:row>
    <x:row r="964">
      <x:c r="A964" s="16" t="n">
        <x:v>961</x:v>
      </x:c>
      <x:c r="B964" s="16" t="str">
        <x:v>Are Ngah</x:v>
      </x:c>
      <x:c r="C964" s="16" t="str"/>
      <x:c r="D964" s="16" t="str"/>
      <x:c r="E964" s="16" t="str">
        <x:v>* myContacts</x:v>
      </x:c>
      <x:c r="F964" s="16" t="str">
        <x:v>+60173455857</x:v>
      </x:c>
      <x:c r="G964" s="16" t="str">
        <x:v>+60173455857</x:v>
      </x:c>
      <x:c r="H964" s="16" t="str">
        <x:v>Excluded</x:v>
      </x:c>
      <x:c r="I964" s="16" t="str">
        <x:v>Missing email</x:v>
      </x:c>
    </x:row>
    <x:row r="965">
      <x:c r="A965" s="16" t="n">
        <x:v>962</x:v>
      </x:c>
      <x:c r="B965" s="16" t="str">
        <x:v>Are Yein</x:v>
      </x:c>
      <x:c r="C965" s="16" t="str"/>
      <x:c r="D965" s="16" t="str"/>
      <x:c r="E965" s="16" t="str">
        <x:v>* myContacts</x:v>
      </x:c>
      <x:c r="F965" s="16" t="str">
        <x:v>+601117810604</x:v>
      </x:c>
      <x:c r="G965" s="16" t="str">
        <x:v>+601117810604</x:v>
      </x:c>
      <x:c r="H965" s="16" t="str">
        <x:v>Excluded</x:v>
      </x:c>
      <x:c r="I965" s="16" t="str">
        <x:v>Missing email</x:v>
      </x:c>
    </x:row>
    <x:row r="966">
      <x:c r="A966" s="16" t="n">
        <x:v>963</x:v>
      </x:c>
      <x:c r="B966" s="16" t="str">
        <x:v>Are-peace Gayong</x:v>
      </x:c>
      <x:c r="C966" s="16" t="str"/>
      <x:c r="D966" s="16" t="str"/>
      <x:c r="E966" s="16" t="str">
        <x:v>* myContacts</x:v>
      </x:c>
      <x:c r="F966" s="16" t="str">
        <x:v>+60132983529</x:v>
      </x:c>
      <x:c r="G966" s="16" t="str">
        <x:v>+60132983529</x:v>
      </x:c>
      <x:c r="H966" s="16" t="str">
        <x:v>Excluded</x:v>
      </x:c>
      <x:c r="I966" s="16" t="str">
        <x:v>Missing email</x:v>
      </x:c>
    </x:row>
    <x:row r="967">
      <x:c r="A967" s="16" t="n">
        <x:v>964</x:v>
      </x:c>
      <x:c r="B967" s="16" t="str">
        <x:v>Arecit MuStakim</x:v>
      </x:c>
      <x:c r="C967" s="16" t="str"/>
      <x:c r="D967" s="16" t="str"/>
      <x:c r="E967" s="16" t="str">
        <x:v>* myContacts</x:v>
      </x:c>
      <x:c r="F967" s="16" t="str">
        <x:v>+60176087471</x:v>
      </x:c>
      <x:c r="G967" s="16" t="str">
        <x:v>+60176087471</x:v>
      </x:c>
      <x:c r="H967" s="16" t="str">
        <x:v>Excluded</x:v>
      </x:c>
      <x:c r="I967" s="16" t="str">
        <x:v>Missing email</x:v>
      </x:c>
    </x:row>
    <x:row r="968">
      <x:c r="A968" s="16" t="n">
        <x:v>965</x:v>
      </x:c>
      <x:c r="B968" s="16" t="str">
        <x:v>Arelong Azmy</x:v>
      </x:c>
      <x:c r="C968" s="16" t="str"/>
      <x:c r="D968" s="16" t="str"/>
      <x:c r="E968" s="16" t="str">
        <x:v>* myContacts</x:v>
      </x:c>
      <x:c r="F968" s="16" t="str">
        <x:v>+60196346385</x:v>
      </x:c>
      <x:c r="G968" s="16" t="str">
        <x:v>+60196346385</x:v>
      </x:c>
      <x:c r="H968" s="16" t="str">
        <x:v>Excluded</x:v>
      </x:c>
      <x:c r="I968" s="16" t="str">
        <x:v>Missing email</x:v>
      </x:c>
    </x:row>
    <x:row r="969">
      <x:c r="A969" s="16" t="n">
        <x:v>966</x:v>
      </x:c>
      <x:c r="B969" s="16" t="str">
        <x:v>Aremay Kecik</x:v>
      </x:c>
      <x:c r="C969" s="16" t="str"/>
      <x:c r="D969" s="16" t="str"/>
      <x:c r="E969" s="16" t="str">
        <x:v>* myContacts</x:v>
      </x:c>
      <x:c r="F969" s="16" t="str">
        <x:v>+60125077182</x:v>
      </x:c>
      <x:c r="G969" s="16" t="str">
        <x:v>+60125077182</x:v>
      </x:c>
      <x:c r="H969" s="16" t="str">
        <x:v>Excluded</x:v>
      </x:c>
      <x:c r="I969" s="16" t="str">
        <x:v>Missing email</x:v>
      </x:c>
    </x:row>
    <x:row r="970">
      <x:c r="A970" s="16" t="n">
        <x:v>967</x:v>
      </x:c>
      <x:c r="B970" s="16" t="str">
        <x:v>Arena Harta</x:v>
      </x:c>
      <x:c r="C970" s="16" t="str"/>
      <x:c r="D970" s="16" t="str"/>
      <x:c r="E970" s="16" t="str">
        <x:v>* myContacts</x:v>
      </x:c>
      <x:c r="F970" s="16" t="str">
        <x:v>+60378425660</x:v>
      </x:c>
      <x:c r="G970" s="16" t="str">
        <x:v>+60378425660</x:v>
      </x:c>
      <x:c r="H970" s="16" t="str">
        <x:v>Excluded</x:v>
      </x:c>
      <x:c r="I970" s="16" t="str">
        <x:v>Missing email</x:v>
      </x:c>
    </x:row>
    <x:row r="971">
      <x:c r="A971" s="16" t="n">
        <x:v>968</x:v>
      </x:c>
      <x:c r="B971" s="16" t="str">
        <x:v>ArFah AdNi</x:v>
      </x:c>
      <x:c r="C971" s="16" t="str"/>
      <x:c r="D971" s="16" t="str"/>
      <x:c r="E971" s="16" t="str">
        <x:v>* myContacts</x:v>
      </x:c>
      <x:c r="F971" s="16" t="str">
        <x:v>+6096871690</x:v>
      </x:c>
      <x:c r="G971" s="16" t="str">
        <x:v>+6096871690</x:v>
      </x:c>
      <x:c r="H971" s="16" t="str">
        <x:v>Excluded</x:v>
      </x:c>
      <x:c r="I971" s="16" t="str">
        <x:v>Missing email</x:v>
      </x:c>
    </x:row>
    <x:row r="972">
      <x:c r="A972" s="16" t="n">
        <x:v>969</x:v>
      </x:c>
      <x:c r="B972" s="16" t="str">
        <x:v>Ariana Qasih Aslam</x:v>
      </x:c>
      <x:c r="C972" s="16" t="str"/>
      <x:c r="D972" s="16" t="str"/>
      <x:c r="E972" s="16" t="str">
        <x:v>* myContacts</x:v>
      </x:c>
      <x:c r="F972" s="16" t="str">
        <x:v>+601114182750</x:v>
      </x:c>
      <x:c r="G972" s="16" t="str">
        <x:v>+601114182750</x:v>
      </x:c>
      <x:c r="H972" s="16" t="str">
        <x:v>Excluded</x:v>
      </x:c>
      <x:c r="I972" s="16" t="str">
        <x:v>Missing email</x:v>
      </x:c>
    </x:row>
    <x:row r="973">
      <x:c r="A973" s="16" t="n">
        <x:v>970</x:v>
      </x:c>
      <x:c r="B973" s="16" t="str">
        <x:v>Ariana Tasha</x:v>
      </x:c>
      <x:c r="C973" s="16" t="str"/>
      <x:c r="D973" s="16" t="str"/>
      <x:c r="E973" s="16" t="str">
        <x:v>* myContacts</x:v>
      </x:c>
      <x:c r="F973" s="16" t="str">
        <x:v>+601133095332</x:v>
      </x:c>
      <x:c r="G973" s="16" t="str">
        <x:v>+601133095332</x:v>
      </x:c>
      <x:c r="H973" s="16" t="str">
        <x:v>Excluded</x:v>
      </x:c>
      <x:c r="I973" s="16" t="str">
        <x:v>Missing email</x:v>
      </x:c>
    </x:row>
    <x:row r="974">
      <x:c r="A974" s="16" t="n">
        <x:v>971</x:v>
      </x:c>
      <x:c r="B974" s="16" t="str">
        <x:v>Arie Otai</x:v>
      </x:c>
      <x:c r="C974" s="16" t="str"/>
      <x:c r="D974" s="16" t="str"/>
      <x:c r="E974" s="16" t="str">
        <x:v>* myContacts</x:v>
      </x:c>
      <x:c r="F974" s="16" t="str">
        <x:v>017-248 0643 | +60172480643</x:v>
      </x:c>
      <x:c r="G974" s="16" t="str">
        <x:v>+60172480643 | +60172480643</x:v>
      </x:c>
      <x:c r="H974" s="16" t="str">
        <x:v>Excluded</x:v>
      </x:c>
      <x:c r="I974" s="16" t="str">
        <x:v>Missing email</x:v>
      </x:c>
    </x:row>
    <x:row r="975">
      <x:c r="A975" s="16" t="n">
        <x:v>972</x:v>
      </x:c>
      <x:c r="B975" s="16" t="str">
        <x:v>ArielEngineering AE</x:v>
      </x:c>
      <x:c r="C975" s="16" t="str"/>
      <x:c r="D975" s="16" t="str"/>
      <x:c r="E975" s="16" t="str">
        <x:v>* myContacts</x:v>
      </x:c>
      <x:c r="F975" s="16" t="str">
        <x:v>+60380668080</x:v>
      </x:c>
      <x:c r="G975" s="16" t="str">
        <x:v>+60380668080</x:v>
      </x:c>
      <x:c r="H975" s="16" t="str">
        <x:v>Excluded</x:v>
      </x:c>
      <x:c r="I975" s="16" t="str">
        <x:v>Missing email</x:v>
      </x:c>
    </x:row>
    <x:row r="976">
      <x:c r="A976" s="16" t="n">
        <x:v>973</x:v>
      </x:c>
      <x:c r="B976" s="16" t="str">
        <x:v>Aries Gurlz</x:v>
      </x:c>
      <x:c r="C976" s="16" t="str"/>
      <x:c r="D976" s="16" t="str"/>
      <x:c r="E976" s="16" t="str">
        <x:v>* myContacts</x:v>
      </x:c>
      <x:c r="F976" s="16" t="str">
        <x:v>+60167031342</x:v>
      </x:c>
      <x:c r="G976" s="16" t="str">
        <x:v>+60167031342</x:v>
      </x:c>
      <x:c r="H976" s="16" t="str">
        <x:v>Excluded</x:v>
      </x:c>
      <x:c r="I976" s="16" t="str">
        <x:v>Missing email</x:v>
      </x:c>
    </x:row>
    <x:row r="977">
      <x:c r="A977" s="16" t="n">
        <x:v>974</x:v>
      </x:c>
      <x:c r="B977" s="16" t="str">
        <x:v>Arieya SantoSe</x:v>
      </x:c>
      <x:c r="C977" s="16" t="str"/>
      <x:c r="D977" s="16" t="str"/>
      <x:c r="E977" s="16" t="str">
        <x:v>* myContacts</x:v>
      </x:c>
      <x:c r="F977" s="16" t="str">
        <x:v>+601133828646</x:v>
      </x:c>
      <x:c r="G977" s="16" t="str">
        <x:v>+601133828646</x:v>
      </x:c>
      <x:c r="H977" s="16" t="str">
        <x:v>Excluded</x:v>
      </x:c>
      <x:c r="I977" s="16" t="str">
        <x:v>Missing email</x:v>
      </x:c>
    </x:row>
    <x:row r="978">
      <x:c r="A978" s="16" t="n">
        <x:v>975</x:v>
      </x:c>
      <x:c r="B978" s="16" t="str">
        <x:v>Arif Afifi</x:v>
      </x:c>
      <x:c r="C978" s="16" t="str"/>
      <x:c r="D978" s="16" t="str"/>
      <x:c r="E978" s="16" t="str">
        <x:v>* myContacts</x:v>
      </x:c>
      <x:c r="F978" s="16" t="str">
        <x:v>+60166645517</x:v>
      </x:c>
      <x:c r="G978" s="16" t="str">
        <x:v>+60166645517</x:v>
      </x:c>
      <x:c r="H978" s="16" t="str">
        <x:v>Excluded</x:v>
      </x:c>
      <x:c r="I978" s="16" t="str">
        <x:v>Missing email</x:v>
      </x:c>
    </x:row>
    <x:row r="979">
      <x:c r="A979" s="16" t="n">
        <x:v>976</x:v>
      </x:c>
      <x:c r="B979" s="16" t="str">
        <x:v>Arif Asyraf Anuar</x:v>
      </x:c>
      <x:c r="C979" s="16" t="str"/>
      <x:c r="D979" s="16" t="str"/>
      <x:c r="E979" s="16" t="str">
        <x:v>* myContacts</x:v>
      </x:c>
      <x:c r="F979" s="16" t="str">
        <x:v>+601121918465</x:v>
      </x:c>
      <x:c r="G979" s="16" t="str">
        <x:v>+601121918465</x:v>
      </x:c>
      <x:c r="H979" s="16" t="str">
        <x:v>Excluded</x:v>
      </x:c>
      <x:c r="I979" s="16" t="str">
        <x:v>Missing email</x:v>
      </x:c>
    </x:row>
    <x:row r="980">
      <x:c r="A980" s="16" t="n">
        <x:v>977</x:v>
      </x:c>
      <x:c r="B980" s="16" t="str">
        <x:v>arif dr mechanic</x:v>
      </x:c>
      <x:c r="C980" s="16" t="str"/>
      <x:c r="D980" s="16" t="str"/>
      <x:c r="E980" s="16" t="str">
        <x:v>* myContacts</x:v>
      </x:c>
      <x:c r="F980" s="16" t="str">
        <x:v>0137133556 | +60137133556</x:v>
      </x:c>
      <x:c r="G980" s="16" t="str">
        <x:v>+60137133556 | +60137133556</x:v>
      </x:c>
      <x:c r="H980" s="16" t="str">
        <x:v>Excluded</x:v>
      </x:c>
      <x:c r="I980" s="16" t="str">
        <x:v>Missing email</x:v>
      </x:c>
    </x:row>
    <x:row r="981">
      <x:c r="A981" s="16" t="n">
        <x:v>978</x:v>
      </x:c>
      <x:c r="B981" s="16" t="str">
        <x:v>Arif Fikri Mohamed</x:v>
      </x:c>
      <x:c r="C981" s="16" t="str"/>
      <x:c r="D981" s="16" t="str"/>
      <x:c r="E981" s="16" t="str">
        <x:v>* myContacts</x:v>
      </x:c>
      <x:c r="F981" s="16" t="str">
        <x:v>+60142663860</x:v>
      </x:c>
      <x:c r="G981" s="16" t="str">
        <x:v>+60142663860</x:v>
      </x:c>
      <x:c r="H981" s="16" t="str">
        <x:v>Excluded</x:v>
      </x:c>
      <x:c r="I981" s="16" t="str">
        <x:v>Missing email</x:v>
      </x:c>
    </x:row>
    <x:row r="982">
      <x:c r="A982" s="16" t="n">
        <x:v>979</x:v>
      </x:c>
      <x:c r="B982" s="16" t="str">
        <x:v>Arif Hoyos Jibril</x:v>
      </x:c>
      <x:c r="C982" s="16" t="str"/>
      <x:c r="D982" s="16" t="str"/>
      <x:c r="E982" s="16" t="str">
        <x:v>* myContacts</x:v>
      </x:c>
      <x:c r="F982" s="16" t="str">
        <x:v>+6285852213386</x:v>
      </x:c>
      <x:c r="G982" s="16" t="str">
        <x:v>+6285852213386</x:v>
      </x:c>
      <x:c r="H982" s="16" t="str">
        <x:v>Excluded</x:v>
      </x:c>
      <x:c r="I982" s="16" t="str">
        <x:v>Missing email</x:v>
      </x:c>
    </x:row>
    <x:row r="983">
      <x:c r="A983" s="16" t="n">
        <x:v>980</x:v>
      </x:c>
      <x:c r="B983" s="16" t="str">
        <x:v>Arif Irfan</x:v>
      </x:c>
      <x:c r="C983" s="16" t="str"/>
      <x:c r="D983" s="16" t="str"/>
      <x:c r="E983" s="16" t="str">
        <x:v>* myContacts</x:v>
      </x:c>
      <x:c r="F983" s="16" t="str">
        <x:v>+60163187970</x:v>
      </x:c>
      <x:c r="G983" s="16" t="str">
        <x:v>+60163187970</x:v>
      </x:c>
      <x:c r="H983" s="16" t="str">
        <x:v>Excluded</x:v>
      </x:c>
      <x:c r="I983" s="16" t="str">
        <x:v>Missing email</x:v>
      </x:c>
    </x:row>
    <x:row r="984">
      <x:c r="A984" s="16" t="n">
        <x:v>981</x:v>
      </x:c>
      <x:c r="B984" s="16" t="str">
        <x:v>Arif Msa</x:v>
      </x:c>
      <x:c r="C984" s="16" t="str"/>
      <x:c r="D984" s="16" t="str"/>
      <x:c r="E984" s="16" t="str">
        <x:v>* myContacts</x:v>
      </x:c>
      <x:c r="F984" s="16" t="str">
        <x:v>+60172061615</x:v>
      </x:c>
      <x:c r="G984" s="16" t="str">
        <x:v>+60172061615</x:v>
      </x:c>
      <x:c r="H984" s="16" t="str">
        <x:v>Excluded</x:v>
      </x:c>
      <x:c r="I984" s="16" t="str">
        <x:v>Missing email</x:v>
      </x:c>
    </x:row>
    <x:row r="985">
      <x:c r="A985" s="16" t="n">
        <x:v>982</x:v>
      </x:c>
      <x:c r="B985" s="16" t="str">
        <x:v>Arif Pokka</x:v>
      </x:c>
      <x:c r="C985" s="16" t="str"/>
      <x:c r="D985" s="16" t="str"/>
      <x:c r="E985" s="16" t="str">
        <x:v>* myContacts</x:v>
      </x:c>
      <x:c r="F985" s="16" t="str">
        <x:v>+60105710352</x:v>
      </x:c>
      <x:c r="G985" s="16" t="str">
        <x:v>+60105710352</x:v>
      </x:c>
      <x:c r="H985" s="16" t="str">
        <x:v>Excluded</x:v>
      </x:c>
      <x:c r="I985" s="16" t="str">
        <x:v>Missing email</x:v>
      </x:c>
    </x:row>
    <x:row r="986">
      <x:c r="A986" s="16" t="n">
        <x:v>983</x:v>
      </x:c>
      <x:c r="B986" s="16" t="str">
        <x:v>Arif Prudential Bsn Takaful</x:v>
      </x:c>
      <x:c r="C986" s="16" t="str"/>
      <x:c r="D986" s="16" t="str"/>
      <x:c r="E986" s="16" t="str">
        <x:v>* myContacts</x:v>
      </x:c>
      <x:c r="F986" s="16" t="str">
        <x:v>+60136220244</x:v>
      </x:c>
      <x:c r="G986" s="16" t="str">
        <x:v>+60136220244</x:v>
      </x:c>
      <x:c r="H986" s="16" t="str">
        <x:v>Excluded</x:v>
      </x:c>
      <x:c r="I986" s="16" t="str">
        <x:v>Missing email</x:v>
      </x:c>
    </x:row>
    <x:row r="987">
      <x:c r="A987" s="16" t="n">
        <x:v>984</x:v>
      </x:c>
      <x:c r="B987" s="16" t="str">
        <x:v>Arif Tuah</x:v>
      </x:c>
      <x:c r="C987" s="16" t="str"/>
      <x:c r="D987" s="16" t="str"/>
      <x:c r="E987" s="16" t="str">
        <x:v>* myContacts</x:v>
      </x:c>
      <x:c r="F987" s="16" t="str">
        <x:v>+60178424785</x:v>
      </x:c>
      <x:c r="G987" s="16" t="str">
        <x:v>+60178424785</x:v>
      </x:c>
      <x:c r="H987" s="16" t="str">
        <x:v>Excluded</x:v>
      </x:c>
      <x:c r="I987" s="16" t="str">
        <x:v>Missing email</x:v>
      </x:c>
    </x:row>
    <x:row r="988">
      <x:c r="A988" s="16" t="n">
        <x:v>985</x:v>
      </x:c>
      <x:c r="B988" s="16" t="str">
        <x:v>Ariff Hakimi</x:v>
      </x:c>
      <x:c r="C988" s="16" t="str"/>
      <x:c r="D988" s="16" t="str"/>
      <x:c r="E988" s="16" t="str">
        <x:v>* myContacts</x:v>
      </x:c>
      <x:c r="F988" s="16" t="str">
        <x:v>+60145359468</x:v>
      </x:c>
      <x:c r="G988" s="16" t="str">
        <x:v>+60145359468</x:v>
      </x:c>
      <x:c r="H988" s="16" t="str">
        <x:v>Excluded</x:v>
      </x:c>
      <x:c r="I988" s="16" t="str">
        <x:v>Missing email</x:v>
      </x:c>
    </x:row>
    <x:row r="989">
      <x:c r="A989" s="16" t="n">
        <x:v>986</x:v>
      </x:c>
      <x:c r="B989" s="16" t="str">
        <x:v>Ariff Husfi</x:v>
      </x:c>
      <x:c r="C989" s="16" t="str"/>
      <x:c r="D989" s="16" t="str"/>
      <x:c r="E989" s="16" t="str">
        <x:v>* myContacts</x:v>
      </x:c>
      <x:c r="F989" s="16" t="str">
        <x:v>+601131202339</x:v>
      </x:c>
      <x:c r="G989" s="16" t="str">
        <x:v>+601131202339</x:v>
      </x:c>
      <x:c r="H989" s="16" t="str">
        <x:v>Excluded</x:v>
      </x:c>
      <x:c r="I989" s="16" t="str">
        <x:v>Missing email</x:v>
      </x:c>
    </x:row>
    <x:row r="990">
      <x:c r="A990" s="16" t="n">
        <x:v>987</x:v>
      </x:c>
      <x:c r="B990" s="16" t="str">
        <x:v>Arifin Kamarul</x:v>
      </x:c>
      <x:c r="C990" s="16" t="str"/>
      <x:c r="D990" s="16" t="str"/>
      <x:c r="E990" s="16" t="str">
        <x:v>* myContacts</x:v>
      </x:c>
      <x:c r="F990" s="16" t="str">
        <x:v>+601121267647</x:v>
      </x:c>
      <x:c r="G990" s="16" t="str">
        <x:v>+601121267647</x:v>
      </x:c>
      <x:c r="H990" s="16" t="str">
        <x:v>Excluded</x:v>
      </x:c>
      <x:c r="I990" s="16" t="str">
        <x:v>Missing email</x:v>
      </x:c>
    </x:row>
    <x:row r="991">
      <x:c r="A991" s="16" t="n">
        <x:v>988</x:v>
      </x:c>
      <x:c r="B991" s="16" t="str">
        <x:v>Arifin Nordin</x:v>
      </x:c>
      <x:c r="C991" s="16" t="str"/>
      <x:c r="D991" s="16" t="str"/>
      <x:c r="E991" s="16" t="str">
        <x:v>* myContacts</x:v>
      </x:c>
      <x:c r="F991" s="16" t="str">
        <x:v>+60168895467</x:v>
      </x:c>
      <x:c r="G991" s="16" t="str">
        <x:v>+60168895467</x:v>
      </x:c>
      <x:c r="H991" s="16" t="str">
        <x:v>Excluded</x:v>
      </x:c>
      <x:c r="I991" s="16" t="str">
        <x:v>Missing email</x:v>
      </x:c>
    </x:row>
    <x:row r="992">
      <x:c r="A992" s="16" t="n">
        <x:v>989</x:v>
      </x:c>
      <x:c r="B992" s="16" t="str">
        <x:v>Arika Ismail</x:v>
      </x:c>
      <x:c r="C992" s="16" t="str"/>
      <x:c r="D992" s="16" t="str"/>
      <x:c r="E992" s="16" t="str">
        <x:v>* myContacts</x:v>
      </x:c>
      <x:c r="F992" s="16" t="str">
        <x:v>+60176671925</x:v>
      </x:c>
      <x:c r="G992" s="16" t="str">
        <x:v>+60176671925</x:v>
      </x:c>
      <x:c r="H992" s="16" t="str">
        <x:v>Excluded</x:v>
      </x:c>
      <x:c r="I992" s="16" t="str">
        <x:v>Missing email</x:v>
      </x:c>
    </x:row>
    <x:row r="993">
      <x:c r="A993" s="16" t="n">
        <x:v>990</x:v>
      </x:c>
      <x:c r="B993" s="16" t="str">
        <x:v>Arill Rockers Penang Mari</x:v>
      </x:c>
      <x:c r="C993" s="16" t="str"/>
      <x:c r="D993" s="16" t="str"/>
      <x:c r="E993" s="16" t="str">
        <x:v>* myContacts</x:v>
      </x:c>
      <x:c r="F993" s="16" t="str">
        <x:v>+60124641263</x:v>
      </x:c>
      <x:c r="G993" s="16" t="str">
        <x:v>+60124641263</x:v>
      </x:c>
      <x:c r="H993" s="16" t="str">
        <x:v>Excluded</x:v>
      </x:c>
      <x:c r="I993" s="16" t="str">
        <x:v>Missing email</x:v>
      </x:c>
    </x:row>
    <x:row r="994">
      <x:c r="A994" s="16" t="n">
        <x:v>991</x:v>
      </x:c>
      <x:c r="B994" s="16" t="str">
        <x:v>Arils Centre</x:v>
      </x:c>
      <x:c r="C994" s="16" t="str"/>
      <x:c r="D994" s="16" t="str"/>
      <x:c r="E994" s="16" t="str">
        <x:v>* myContacts</x:v>
      </x:c>
      <x:c r="F994" s="16" t="str">
        <x:v>+60126054631</x:v>
      </x:c>
      <x:c r="G994" s="16" t="str">
        <x:v>+60126054631</x:v>
      </x:c>
      <x:c r="H994" s="16" t="str">
        <x:v>Excluded</x:v>
      </x:c>
      <x:c r="I994" s="16" t="str">
        <x:v>Missing email</x:v>
      </x:c>
    </x:row>
    <x:row r="995">
      <x:c r="A995" s="16" t="n">
        <x:v>992</x:v>
      </x:c>
      <x:c r="B995" s="16" t="str">
        <x:v>Aris Tukang Urut Kubu Gajah</x:v>
      </x:c>
      <x:c r="C995" s="16" t="str"/>
      <x:c r="D995" s="16" t="str"/>
      <x:c r="E995" s="16" t="str">
        <x:v>* myContacts</x:v>
      </x:c>
      <x:c r="F995" s="16" t="str">
        <x:v>0176356728 | +60176356728</x:v>
      </x:c>
      <x:c r="G995" s="16" t="str">
        <x:v>+60176356728 | +60176356728</x:v>
      </x:c>
      <x:c r="H995" s="16" t="str">
        <x:v>Excluded</x:v>
      </x:c>
      <x:c r="I995" s="16" t="str">
        <x:v>Missing email</x:v>
      </x:c>
    </x:row>
    <x:row r="996">
      <x:c r="A996" s="16" t="n">
        <x:v>993</x:v>
      </x:c>
      <x:c r="B996" s="16" t="str">
        <x:v>Arisco Risalmi</x:v>
      </x:c>
      <x:c r="C996" s="16" t="str"/>
      <x:c r="D996" s="16" t="str"/>
      <x:c r="E996" s="16" t="str">
        <x:v>* myContacts</x:v>
      </x:c>
      <x:c r="F996" s="16" t="str">
        <x:v>+628158134550</x:v>
      </x:c>
      <x:c r="G996" s="16" t="str">
        <x:v>+628158134550</x:v>
      </x:c>
      <x:c r="H996" s="16" t="str">
        <x:v>Excluded</x:v>
      </x:c>
      <x:c r="I996" s="16" t="str">
        <x:v>Missing email</x:v>
      </x:c>
    </x:row>
    <x:row r="997">
      <x:c r="A997" s="16" t="n">
        <x:v>994</x:v>
      </x:c>
      <x:c r="B997" s="16" t="str">
        <x:v>Ariy Madri</x:v>
      </x:c>
      <x:c r="C997" s="16" t="str"/>
      <x:c r="D997" s="16" t="str"/>
      <x:c r="E997" s="16" t="str">
        <x:v>* myContacts</x:v>
      </x:c>
      <x:c r="F997" s="16" t="str">
        <x:v>+60172424852</x:v>
      </x:c>
      <x:c r="G997" s="16" t="str">
        <x:v>+60172424852</x:v>
      </x:c>
      <x:c r="H997" s="16" t="str">
        <x:v>Excluded</x:v>
      </x:c>
      <x:c r="I997" s="16" t="str">
        <x:v>Missing email</x:v>
      </x:c>
    </x:row>
    <x:row r="998">
      <x:c r="A998" s="16" t="n">
        <x:v>995</x:v>
      </x:c>
      <x:c r="B998" s="16" t="str">
        <x:v>Arm Hassons</x:v>
      </x:c>
      <x:c r="C998" s="16" t="str"/>
      <x:c r="D998" s="16" t="str"/>
      <x:c r="E998" s="16" t="str">
        <x:v>* myContacts</x:v>
      </x:c>
      <x:c r="F998" s="16" t="str">
        <x:v>+601129996661</x:v>
      </x:c>
      <x:c r="G998" s="16" t="str">
        <x:v>+601129996661</x:v>
      </x:c>
      <x:c r="H998" s="16" t="str">
        <x:v>Excluded</x:v>
      </x:c>
      <x:c r="I998" s="16" t="str">
        <x:v>Missing email</x:v>
      </x:c>
    </x:row>
    <x:row r="999">
      <x:c r="A999" s="16" t="n">
        <x:v>996</x:v>
      </x:c>
      <x:c r="B999" s="16" t="str">
        <x:v>Armada Delima</x:v>
      </x:c>
      <x:c r="C999" s="16" t="str"/>
      <x:c r="D999" s="16" t="str"/>
      <x:c r="E999" s="16" t="str">
        <x:v>* myContacts</x:v>
      </x:c>
      <x:c r="F999" s="16" t="str">
        <x:v>+60147134134</x:v>
      </x:c>
      <x:c r="G999" s="16" t="str">
        <x:v>+60147134134</x:v>
      </x:c>
      <x:c r="H999" s="16" t="str">
        <x:v>Excluded</x:v>
      </x:c>
      <x:c r="I999" s="16" t="str">
        <x:v>Missing email</x:v>
      </x:c>
    </x:row>
    <x:row r="1000">
      <x:c r="A1000" s="16" t="n">
        <x:v>997</x:v>
      </x:c>
      <x:c r="B1000" s="16" t="str">
        <x:v>Arman Manda</x:v>
      </x:c>
      <x:c r="C1000" s="16" t="str"/>
      <x:c r="D1000" s="16" t="str"/>
      <x:c r="E1000" s="16" t="str">
        <x:v>* myContacts</x:v>
      </x:c>
      <x:c r="F1000" s="16" t="str">
        <x:v>+60197990987</x:v>
      </x:c>
      <x:c r="G1000" s="16" t="str">
        <x:v>+60197990987</x:v>
      </x:c>
      <x:c r="H1000" s="16" t="str">
        <x:v>Excluded</x:v>
      </x:c>
      <x:c r="I1000" s="16" t="str">
        <x:v>Missing email</x:v>
      </x:c>
    </x:row>
    <x:row r="1001">
      <x:c r="A1001" s="16" t="n">
        <x:v>998</x:v>
      </x:c>
      <x:c r="B1001" s="16" t="str">
        <x:v>Armin Saabat</x:v>
      </x:c>
      <x:c r="C1001" s="16" t="str"/>
      <x:c r="D1001" s="16" t="str"/>
      <x:c r="E1001" s="16" t="str">
        <x:v>* myContacts</x:v>
      </x:c>
      <x:c r="F1001" s="16" t="str">
        <x:v>+601114001899</x:v>
      </x:c>
      <x:c r="G1001" s="16" t="str">
        <x:v>+601114001899</x:v>
      </x:c>
      <x:c r="H1001" s="16" t="str">
        <x:v>Excluded</x:v>
      </x:c>
      <x:c r="I1001" s="16" t="str">
        <x:v>Missing email</x:v>
      </x:c>
    </x:row>
    <x:row r="1002">
      <x:c r="A1002" s="16" t="n">
        <x:v>999</x:v>
      </x:c>
      <x:c r="B1002" s="16" t="str">
        <x:v>Armyza Mailes JamiLos</x:v>
      </x:c>
      <x:c r="C1002" s="16" t="str"/>
      <x:c r="D1002" s="16" t="str"/>
      <x:c r="E1002" s="16" t="str">
        <x:v>* myContacts</x:v>
      </x:c>
      <x:c r="F1002" s="16" t="str">
        <x:v>+60138888569</x:v>
      </x:c>
      <x:c r="G1002" s="16" t="str">
        <x:v>+60138888569</x:v>
      </x:c>
      <x:c r="H1002" s="16" t="str">
        <x:v>Excluded</x:v>
      </x:c>
      <x:c r="I1002" s="16" t="str">
        <x:v>Missing email</x:v>
      </x:c>
    </x:row>
    <x:row r="1003">
      <x:c r="A1003" s="16" t="n">
        <x:v>1000</x:v>
      </x:c>
      <x:c r="B1003" s="16" t="str">
        <x:v>Arnieyz Cintaku Shahz</x:v>
      </x:c>
      <x:c r="C1003" s="16" t="str"/>
      <x:c r="D1003" s="16" t="str"/>
      <x:c r="E1003" s="16" t="str">
        <x:v>* myContacts</x:v>
      </x:c>
      <x:c r="F1003" s="16" t="str">
        <x:v>+60134125856</x:v>
      </x:c>
      <x:c r="G1003" s="16" t="str">
        <x:v>+60134125856</x:v>
      </x:c>
      <x:c r="H1003" s="16" t="str">
        <x:v>Excluded</x:v>
      </x:c>
      <x:c r="I1003" s="16" t="str">
        <x:v>Missing email</x:v>
      </x:c>
    </x:row>
    <x:row r="1004">
      <x:c r="A1004" s="16" t="n">
        <x:v>1001</x:v>
      </x:c>
      <x:c r="B1004" s="16" t="str">
        <x:v>Arnold Anthony</x:v>
      </x:c>
      <x:c r="C1004" s="16" t="str"/>
      <x:c r="D1004" s="16" t="str"/>
      <x:c r="E1004" s="16" t="str">
        <x:v>* myContacts</x:v>
      </x:c>
      <x:c r="F1004" s="16" t="str">
        <x:v>+60167848123</x:v>
      </x:c>
      <x:c r="G1004" s="16" t="str">
        <x:v>+60167848123</x:v>
      </x:c>
      <x:c r="H1004" s="16" t="str">
        <x:v>Excluded</x:v>
      </x:c>
      <x:c r="I1004" s="16" t="str">
        <x:v>Missing email</x:v>
      </x:c>
    </x:row>
    <x:row r="1005">
      <x:c r="A1005" s="16" t="n">
        <x:v>1002</x:v>
      </x:c>
      <x:c r="B1005" s="16" t="str">
        <x:v>Arnoura Printing</x:v>
      </x:c>
      <x:c r="C1005" s="16" t="str"/>
      <x:c r="D1005" s="16" t="str"/>
      <x:c r="E1005" s="16" t="str">
        <x:v>* myContacts</x:v>
      </x:c>
      <x:c r="F1005" s="16" t="str">
        <x:v>+60132829293</x:v>
      </x:c>
      <x:c r="G1005" s="16" t="str">
        <x:v>+60132829293</x:v>
      </x:c>
      <x:c r="H1005" s="16" t="str">
        <x:v>Excluded</x:v>
      </x:c>
      <x:c r="I1005" s="16" t="str">
        <x:v>Missing email</x:v>
      </x:c>
    </x:row>
    <x:row r="1006">
      <x:c r="A1006" s="16" t="n">
        <x:v>1003</x:v>
      </x:c>
      <x:c r="B1006" s="16" t="str">
        <x:v>Arol Zam</x:v>
      </x:c>
      <x:c r="C1006" s="16" t="str"/>
      <x:c r="D1006" s="16" t="str"/>
      <x:c r="E1006" s="16" t="str">
        <x:v>* myContacts</x:v>
      </x:c>
      <x:c r="F1006" s="16" t="str">
        <x:v>+60187915694</x:v>
      </x:c>
      <x:c r="G1006" s="16" t="str">
        <x:v>+60187915694</x:v>
      </x:c>
      <x:c r="H1006" s="16" t="str">
        <x:v>Excluded</x:v>
      </x:c>
      <x:c r="I1006" s="16" t="str">
        <x:v>Missing email</x:v>
      </x:c>
    </x:row>
    <x:row r="1007">
      <x:c r="A1007" s="16" t="n">
        <x:v>1004</x:v>
      </x:c>
      <x:c r="B1007" s="16" t="str">
        <x:v>Aroma Kelantan Katering</x:v>
      </x:c>
      <x:c r="C1007" s="16" t="str"/>
      <x:c r="D1007" s="16" t="str"/>
      <x:c r="E1007" s="16" t="str">
        <x:v>* myContacts</x:v>
      </x:c>
      <x:c r="F1007" s="16" t="str">
        <x:v>+60199521284</x:v>
      </x:c>
      <x:c r="G1007" s="16" t="str">
        <x:v>+60199521284</x:v>
      </x:c>
      <x:c r="H1007" s="16" t="str">
        <x:v>Excluded</x:v>
      </x:c>
      <x:c r="I1007" s="16" t="str">
        <x:v>Missing email</x:v>
      </x:c>
    </x:row>
    <x:row r="1008">
      <x:c r="A1008" s="16" t="n">
        <x:v>1005</x:v>
      </x:c>
      <x:c r="B1008" s="16" t="str">
        <x:v>Arpian Web's</x:v>
      </x:c>
      <x:c r="C1008" s="16" t="str"/>
      <x:c r="D1008" s="16" t="str"/>
      <x:c r="E1008" s="16" t="str">
        <x:v>* myContacts</x:v>
      </x:c>
      <x:c r="F1008" s="16" t="str">
        <x:v>+6285882280199</x:v>
      </x:c>
      <x:c r="G1008" s="16" t="str">
        <x:v>+6285882280199</x:v>
      </x:c>
      <x:c r="H1008" s="16" t="str">
        <x:v>Excluded</x:v>
      </x:c>
      <x:c r="I1008" s="16" t="str">
        <x:v>Missing email</x:v>
      </x:c>
    </x:row>
    <x:row r="1009">
      <x:c r="A1009" s="16" t="n">
        <x:v>1006</x:v>
      </x:c>
      <x:c r="B1009" s="16" t="str">
        <x:v>Arra Ilham Vy</x:v>
      </x:c>
      <x:c r="C1009" s="16" t="str"/>
      <x:c r="D1009" s="16" t="str"/>
      <x:c r="E1009" s="16" t="str">
        <x:v>* myContacts</x:v>
      </x:c>
      <x:c r="F1009" s="16" t="str">
        <x:v>+60175717801</x:v>
      </x:c>
      <x:c r="G1009" s="16" t="str">
        <x:v>+60175717801</x:v>
      </x:c>
      <x:c r="H1009" s="16" t="str">
        <x:v>Excluded</x:v>
      </x:c>
      <x:c r="I1009" s="16" t="str">
        <x:v>Missing email</x:v>
      </x:c>
    </x:row>
    <x:row r="1010">
      <x:c r="A1010" s="16" t="n">
        <x:v>1007</x:v>
      </x:c>
      <x:c r="B1010" s="16" t="str">
        <x:v>Arrian Copywriter Jalanan</x:v>
      </x:c>
      <x:c r="C1010" s="16" t="str"/>
      <x:c r="D1010" s="16" t="str"/>
      <x:c r="E1010" s="16" t="str">
        <x:v>* myContacts</x:v>
      </x:c>
      <x:c r="F1010" s="16" t="str">
        <x:v>+60 18-322 7565 | +60183227565</x:v>
      </x:c>
      <x:c r="G1010" s="16" t="str">
        <x:v>+60183227565 | +60183227565</x:v>
      </x:c>
      <x:c r="H1010" s="16" t="str">
        <x:v>Excluded</x:v>
      </x:c>
      <x:c r="I1010" s="16" t="str">
        <x:v>Missing email</x:v>
      </x:c>
    </x:row>
    <x:row r="1011">
      <x:c r="A1011" s="16" t="n">
        <x:v>1008</x:v>
      </x:c>
      <x:c r="B1011" s="16" t="str">
        <x:v>Arriana Amri</x:v>
      </x:c>
      <x:c r="C1011" s="16" t="str"/>
      <x:c r="D1011" s="16" t="str"/>
      <x:c r="E1011" s="16" t="str">
        <x:v>* myContacts</x:v>
      </x:c>
      <x:c r="F1011" s="16" t="str">
        <x:v>+60179482676</x:v>
      </x:c>
      <x:c r="G1011" s="16" t="str">
        <x:v>+60179482676</x:v>
      </x:c>
      <x:c r="H1011" s="16" t="str">
        <x:v>Excluded</x:v>
      </x:c>
      <x:c r="I1011" s="16" t="str">
        <x:v>Missing email</x:v>
      </x:c>
    </x:row>
    <x:row r="1012">
      <x:c r="A1012" s="16" t="n">
        <x:v>1009</x:v>
      </x:c>
      <x:c r="B1012" s="16" t="str">
        <x:v>Arrianna Rosse</x:v>
      </x:c>
      <x:c r="C1012" s="16" t="str"/>
      <x:c r="D1012" s="16" t="str"/>
      <x:c r="E1012" s="16" t="str">
        <x:v>* myContacts</x:v>
      </x:c>
      <x:c r="F1012" s="16" t="str">
        <x:v>+60197628807</x:v>
      </x:c>
      <x:c r="G1012" s="16" t="str">
        <x:v>+60197628807</x:v>
      </x:c>
      <x:c r="H1012" s="16" t="str">
        <x:v>Excluded</x:v>
      </x:c>
      <x:c r="I1012" s="16" t="str">
        <x:v>Missing email</x:v>
      </x:c>
    </x:row>
    <x:row r="1013">
      <x:c r="A1013" s="16" t="n">
        <x:v>1010</x:v>
      </x:c>
      <x:c r="B1013" s="16" t="str">
        <x:v>Arsan Mawal</x:v>
      </x:c>
      <x:c r="C1013" s="16" t="str"/>
      <x:c r="D1013" s="16" t="str"/>
      <x:c r="E1013" s="16" t="str">
        <x:v>* myContacts</x:v>
      </x:c>
      <x:c r="F1013" s="16" t="str">
        <x:v>+60182834022</x:v>
      </x:c>
      <x:c r="G1013" s="16" t="str">
        <x:v>+60182834022</x:v>
      </x:c>
      <x:c r="H1013" s="16" t="str">
        <x:v>Excluded</x:v>
      </x:c>
      <x:c r="I1013" s="16" t="str">
        <x:v>Missing email</x:v>
      </x:c>
    </x:row>
    <x:row r="1014">
      <x:c r="A1014" s="16" t="n">
        <x:v>1011</x:v>
      </x:c>
      <x:c r="B1014" s="16" t="str">
        <x:v>Arshad Collagen</x:v>
      </x:c>
      <x:c r="C1014" s="16" t="str"/>
      <x:c r="D1014" s="16" t="str"/>
      <x:c r="E1014" s="16" t="str">
        <x:v>* myContacts</x:v>
      </x:c>
      <x:c r="F1014" s="16" t="str">
        <x:v>+60148306530</x:v>
      </x:c>
      <x:c r="G1014" s="16" t="str">
        <x:v>+60148306530</x:v>
      </x:c>
      <x:c r="H1014" s="16" t="str">
        <x:v>Excluded</x:v>
      </x:c>
      <x:c r="I1014" s="16" t="str">
        <x:v>Missing email</x:v>
      </x:c>
    </x:row>
    <x:row r="1015">
      <x:c r="A1015" s="16" t="n">
        <x:v>1012</x:v>
      </x:c>
      <x:c r="B1015" s="16" t="str">
        <x:v>Arsyad INSKEN</x:v>
      </x:c>
      <x:c r="C1015" s="16" t="str"/>
      <x:c r="D1015" s="16" t="str"/>
      <x:c r="E1015" s="16" t="str">
        <x:v>Alumni INSKEN | * myContacts</x:v>
      </x:c>
      <x:c r="F1015" s="16" t="str">
        <x:v>+60 13-756 4262 | +60137564262</x:v>
      </x:c>
      <x:c r="G1015" s="16" t="str">
        <x:v>+60137564262 | +60137564262</x:v>
      </x:c>
      <x:c r="H1015" s="16" t="str">
        <x:v>Excluded</x:v>
      </x:c>
      <x:c r="I1015" s="16" t="str">
        <x:v>Missing email</x:v>
      </x:c>
    </x:row>
    <x:row r="1016">
      <x:c r="A1016" s="16" t="n">
        <x:v>1013</x:v>
      </x:c>
      <x:c r="B1016" s="16" t="str">
        <x:v>Art Seriwalis</x:v>
      </x:c>
      <x:c r="C1016" s="16" t="str"/>
      <x:c r="D1016" s="16" t="str"/>
      <x:c r="E1016" s="16" t="str">
        <x:v>* myContacts</x:v>
      </x:c>
      <x:c r="F1016" s="16" t="str">
        <x:v>+60177997547</x:v>
      </x:c>
      <x:c r="G1016" s="16" t="str">
        <x:v>+60177997547</x:v>
      </x:c>
      <x:c r="H1016" s="16" t="str">
        <x:v>Excluded</x:v>
      </x:c>
      <x:c r="I1016" s="16" t="str">
        <x:v>Missing email</x:v>
      </x:c>
    </x:row>
    <x:row r="1017">
      <x:c r="A1017" s="16" t="n">
        <x:v>1014</x:v>
      </x:c>
      <x:c r="B1017" s="16" t="str">
        <x:v>Artemiz Ho</x:v>
      </x:c>
      <x:c r="C1017" s="16" t="str"/>
      <x:c r="D1017" s="16" t="str"/>
      <x:c r="E1017" s="16" t="str">
        <x:v>* myContacts</x:v>
      </x:c>
      <x:c r="F1017" s="16" t="str">
        <x:v>+601125127275</x:v>
      </x:c>
      <x:c r="G1017" s="16" t="str">
        <x:v>+601125127275</x:v>
      </x:c>
      <x:c r="H1017" s="16" t="str">
        <x:v>Excluded</x:v>
      </x:c>
      <x:c r="I1017" s="16" t="str">
        <x:v>Missing email</x:v>
      </x:c>
    </x:row>
    <x:row r="1018">
      <x:c r="A1018" s="16" t="n">
        <x:v>1015</x:v>
      </x:c>
      <x:c r="B1018" s="16" t="str">
        <x:v>Arun Shah</x:v>
      </x:c>
      <x:c r="C1018" s="16" t="str"/>
      <x:c r="D1018" s="16" t="str"/>
      <x:c r="E1018" s="16" t="str">
        <x:v>* myContacts</x:v>
      </x:c>
      <x:c r="F1018" s="16" t="str">
        <x:v>+60137610759</x:v>
      </x:c>
      <x:c r="G1018" s="16" t="str">
        <x:v>+60137610759</x:v>
      </x:c>
      <x:c r="H1018" s="16" t="str">
        <x:v>Excluded</x:v>
      </x:c>
      <x:c r="I1018" s="16" t="str">
        <x:v>Missing email</x:v>
      </x:c>
    </x:row>
    <x:row r="1019">
      <x:c r="A1019" s="16" t="n">
        <x:v>1016</x:v>
      </x:c>
      <x:c r="B1019" s="16" t="str">
        <x:v>Arwah Pak Ngah Faharuddin</x:v>
      </x:c>
      <x:c r="C1019" s="16" t="str"/>
      <x:c r="D1019" s="16" t="str"/>
      <x:c r="E1019" s="16" t="str">
        <x:v>* myContacts</x:v>
      </x:c>
      <x:c r="F1019" s="16" t="str">
        <x:v>+60 16-229 2230 | +60162292230</x:v>
      </x:c>
      <x:c r="G1019" s="16" t="str">
        <x:v>+60162292230 | +60162292230</x:v>
      </x:c>
      <x:c r="H1019" s="16" t="str">
        <x:v>Excluded</x:v>
      </x:c>
      <x:c r="I1019" s="16" t="str">
        <x:v>Missing email</x:v>
      </x:c>
    </x:row>
    <x:row r="1020">
      <x:c r="A1020" s="16" t="n">
        <x:v>1017</x:v>
      </x:c>
      <x:c r="B1020" s="16" t="str">
        <x:v>Arya Dwipangga Wijaya Putra</x:v>
      </x:c>
      <x:c r="C1020" s="16" t="str"/>
      <x:c r="D1020" s="16" t="str"/>
      <x:c r="E1020" s="16" t="str">
        <x:v>* myContacts</x:v>
      </x:c>
      <x:c r="F1020" s="16" t="str">
        <x:v>+6285645607248</x:v>
      </x:c>
      <x:c r="G1020" s="16" t="str">
        <x:v>+6285645607248</x:v>
      </x:c>
      <x:c r="H1020" s="16" t="str">
        <x:v>Excluded</x:v>
      </x:c>
      <x:c r="I1020" s="16" t="str">
        <x:v>Missing email</x:v>
      </x:c>
    </x:row>
    <x:row r="1021">
      <x:c r="A1021" s="16" t="n">
        <x:v>1018</x:v>
      </x:c>
      <x:c r="B1021" s="16" t="str">
        <x:v>Aryan Omar Azhari</x:v>
      </x:c>
      <x:c r="C1021" s="16" t="str"/>
      <x:c r="D1021" s="16" t="str"/>
      <x:c r="E1021" s="16" t="str">
        <x:v>* myContacts</x:v>
      </x:c>
      <x:c r="F1021" s="16" t="str">
        <x:v>+6282251105266</x:v>
      </x:c>
      <x:c r="G1021" s="16" t="str">
        <x:v>+6282251105266</x:v>
      </x:c>
      <x:c r="H1021" s="16" t="str">
        <x:v>Excluded</x:v>
      </x:c>
      <x:c r="I1021" s="16" t="str">
        <x:v>Missing email</x:v>
      </x:c>
    </x:row>
    <x:row r="1022">
      <x:c r="A1022" s="16" t="n">
        <x:v>1019</x:v>
      </x:c>
      <x:c r="B1022" s="16" t="str">
        <x:v>Aryatie Zyainal</x:v>
      </x:c>
      <x:c r="C1022" s="16" t="str"/>
      <x:c r="D1022" s="16" t="str"/>
      <x:c r="E1022" s="16" t="str">
        <x:v>* myContacts</x:v>
      </x:c>
      <x:c r="F1022" s="16" t="str">
        <x:v>+60164991928</x:v>
      </x:c>
      <x:c r="G1022" s="16" t="str">
        <x:v>+60164991928</x:v>
      </x:c>
      <x:c r="H1022" s="16" t="str">
        <x:v>Excluded</x:v>
      </x:c>
      <x:c r="I1022" s="16" t="str">
        <x:v>Missing email</x:v>
      </x:c>
    </x:row>
    <x:row r="1023">
      <x:c r="A1023" s="16" t="n">
        <x:v>1020</x:v>
      </x:c>
      <x:c r="B1023" s="16" t="str">
        <x:v>Aryn C'rain</x:v>
      </x:c>
      <x:c r="C1023" s="16" t="str"/>
      <x:c r="D1023" s="16" t="str"/>
      <x:c r="E1023" s="16" t="str">
        <x:v>* myContacts</x:v>
      </x:c>
      <x:c r="F1023" s="16" t="str">
        <x:v>+60168340167</x:v>
      </x:c>
      <x:c r="G1023" s="16" t="str">
        <x:v>+60168340167</x:v>
      </x:c>
      <x:c r="H1023" s="16" t="str">
        <x:v>Excluded</x:v>
      </x:c>
      <x:c r="I1023" s="16" t="str">
        <x:v>Missing email</x:v>
      </x:c>
    </x:row>
    <x:row r="1024">
      <x:c r="A1024" s="16" t="n">
        <x:v>1021</x:v>
      </x:c>
      <x:c r="B1024" s="16" t="str">
        <x:v>Arzachael Iman</x:v>
      </x:c>
      <x:c r="C1024" s="16" t="str"/>
      <x:c r="D1024" s="16" t="str"/>
      <x:c r="E1024" s="16" t="str">
        <x:v>* myContacts</x:v>
      </x:c>
      <x:c r="F1024" s="16" t="str">
        <x:v>+60 11-2636 9810 | +601126369810</x:v>
      </x:c>
      <x:c r="G1024" s="16" t="str">
        <x:v>+601126369810 | +601126369810</x:v>
      </x:c>
      <x:c r="H1024" s="16" t="str">
        <x:v>Excluded</x:v>
      </x:c>
      <x:c r="I1024" s="16" t="str">
        <x:v>Missing email</x:v>
      </x:c>
    </x:row>
    <x:row r="1025">
      <x:c r="A1025" s="16" t="n">
        <x:v>1022</x:v>
      </x:c>
      <x:c r="B1025" s="16" t="str">
        <x:v>As</x:v>
      </x:c>
      <x:c r="C1025" s="16" t="str"/>
      <x:c r="D1025" s="16" t="str"/>
      <x:c r="E1025" s="16" t="str">
        <x:v>* myContacts</x:v>
      </x:c>
      <x:c r="F1025" s="16" t="str">
        <x:v>0129363871 | +60129363871</x:v>
      </x:c>
      <x:c r="G1025" s="16" t="str">
        <x:v>+60129363871 | +60129363871</x:v>
      </x:c>
      <x:c r="H1025" s="16" t="str">
        <x:v>Excluded</x:v>
      </x:c>
      <x:c r="I1025" s="16" t="str">
        <x:v>Missing email</x:v>
      </x:c>
    </x:row>
    <x:row r="1026">
      <x:c r="A1026" s="16" t="n">
        <x:v>1023</x:v>
      </x:c>
      <x:c r="B1026" s="16" t="str">
        <x:v>As Liwon</x:v>
      </x:c>
      <x:c r="C1026" s="16" t="str"/>
      <x:c r="D1026" s="16" t="str"/>
      <x:c r="E1026" s="16" t="str">
        <x:v>* myContacts</x:v>
      </x:c>
      <x:c r="F1026" s="16" t="str">
        <x:v>+6085236479</x:v>
      </x:c>
      <x:c r="G1026" s="16" t="str">
        <x:v>+6085236479</x:v>
      </x:c>
      <x:c r="H1026" s="16" t="str">
        <x:v>Excluded</x:v>
      </x:c>
      <x:c r="I1026" s="16" t="str">
        <x:v>Missing email</x:v>
      </x:c>
    </x:row>
    <x:row r="1027">
      <x:c r="A1027" s="16" t="n">
        <x:v>1024</x:v>
      </x:c>
      <x:c r="B1027" s="16" t="str">
        <x:v>Asam Pedas Claypot LimaBeradik</x:v>
      </x:c>
      <x:c r="C1027" s="16" t="str"/>
      <x:c r="D1027" s="16" t="str"/>
      <x:c r="E1027" s="16" t="str">
        <x:v>* myContacts</x:v>
      </x:c>
      <x:c r="F1027" s="16" t="str">
        <x:v>+60129443608</x:v>
      </x:c>
      <x:c r="G1027" s="16" t="str">
        <x:v>+60129443608</x:v>
      </x:c>
      <x:c r="H1027" s="16" t="str">
        <x:v>Excluded</x:v>
      </x:c>
      <x:c r="I1027" s="16" t="str">
        <x:v>Missing email</x:v>
      </x:c>
    </x:row>
    <x:row r="1028">
      <x:c r="A1028" s="16" t="n">
        <x:v>1025</x:v>
      </x:c>
      <x:c r="B1028" s="16" t="str">
        <x:v>Asha Alias</x:v>
      </x:c>
      <x:c r="C1028" s="16" t="str"/>
      <x:c r="D1028" s="16" t="str"/>
      <x:c r="E1028" s="16" t="str">
        <x:v>* myContacts</x:v>
      </x:c>
      <x:c r="F1028" s="16" t="str">
        <x:v>+60197661472</x:v>
      </x:c>
      <x:c r="G1028" s="16" t="str">
        <x:v>+60197661472</x:v>
      </x:c>
      <x:c r="H1028" s="16" t="str">
        <x:v>Excluded</x:v>
      </x:c>
      <x:c r="I1028" s="16" t="str">
        <x:v>Missing email</x:v>
      </x:c>
    </x:row>
    <x:row r="1029">
      <x:c r="A1029" s="16" t="n">
        <x:v>1026</x:v>
      </x:c>
      <x:c r="B1029" s="16" t="str">
        <x:v>Ashary</x:v>
      </x:c>
      <x:c r="C1029" s="16" t="str"/>
      <x:c r="D1029" s="16" t="str"/>
      <x:c r="E1029" s="16" t="str">
        <x:v>* myContacts</x:v>
      </x:c>
      <x:c r="F1029" s="16" t="str">
        <x:v>012-554 2121 | +60125542121</x:v>
      </x:c>
      <x:c r="G1029" s="16" t="str">
        <x:v>+60125542121 | +60125542121</x:v>
      </x:c>
      <x:c r="H1029" s="16" t="str">
        <x:v>Excluded</x:v>
      </x:c>
      <x:c r="I1029" s="16" t="str">
        <x:v>Missing email</x:v>
      </x:c>
    </x:row>
    <x:row r="1030">
      <x:c r="A1030" s="16" t="n">
        <x:v>1027</x:v>
      </x:c>
      <x:c r="B1030" s="16" t="str">
        <x:v>Ashi Aisy</x:v>
      </x:c>
      <x:c r="C1030" s="16" t="str"/>
      <x:c r="D1030" s="16" t="str"/>
      <x:c r="E1030" s="16" t="str">
        <x:v>* myContacts</x:v>
      </x:c>
      <x:c r="F1030" s="16" t="str">
        <x:v>+6281367211545</x:v>
      </x:c>
      <x:c r="G1030" s="16" t="str">
        <x:v>+6281367211545</x:v>
      </x:c>
      <x:c r="H1030" s="16" t="str">
        <x:v>Excluded</x:v>
      </x:c>
      <x:c r="I1030" s="16" t="str">
        <x:v>Missing email</x:v>
      </x:c>
    </x:row>
    <x:row r="1031">
      <x:c r="A1031" s="16" t="n">
        <x:v>1028</x:v>
      </x:c>
      <x:c r="B1031" s="16" t="str">
        <x:v>Ashiqin Hassan</x:v>
      </x:c>
      <x:c r="C1031" s="16" t="str"/>
      <x:c r="D1031" s="16" t="str"/>
      <x:c r="E1031" s="16" t="str">
        <x:v>* myContacts</x:v>
      </x:c>
      <x:c r="F1031" s="16" t="str">
        <x:v>+60166518982</x:v>
      </x:c>
      <x:c r="G1031" s="16" t="str">
        <x:v>+60166518982</x:v>
      </x:c>
      <x:c r="H1031" s="16" t="str">
        <x:v>Excluded</x:v>
      </x:c>
      <x:c r="I1031" s="16" t="str">
        <x:v>Missing email</x:v>
      </x:c>
    </x:row>
    <x:row r="1032">
      <x:c r="A1032" s="16" t="n">
        <x:v>1029</x:v>
      </x:c>
      <x:c r="B1032" s="16" t="str">
        <x:v>Ashnan CWA</x:v>
      </x:c>
      <x:c r="C1032" s="16" t="str"/>
      <x:c r="D1032" s="16" t="str"/>
      <x:c r="E1032" s="16" t="str">
        <x:v>* myContacts</x:v>
      </x:c>
      <x:c r="F1032" s="16" t="str">
        <x:v>+60 17-608 7164 | +60176087164</x:v>
      </x:c>
      <x:c r="G1032" s="16" t="str">
        <x:v>+60176087164 | +60176087164</x:v>
      </x:c>
      <x:c r="H1032" s="16" t="str">
        <x:v>Excluded</x:v>
      </x:c>
      <x:c r="I1032" s="16" t="str">
        <x:v>Missing email</x:v>
      </x:c>
    </x:row>
    <x:row r="1033">
      <x:c r="A1033" s="16" t="n">
        <x:v>1030</x:v>
      </x:c>
      <x:c r="B1033" s="16" t="str">
        <x:v>Ashraf</x:v>
      </x:c>
      <x:c r="C1033" s="16" t="str"/>
      <x:c r="D1033" s="16" t="str"/>
      <x:c r="E1033" s="16" t="str">
        <x:v>* myContacts</x:v>
      </x:c>
      <x:c r="F1033" s="16" t="str">
        <x:v>017-396 6320 | +60173966320</x:v>
      </x:c>
      <x:c r="G1033" s="16" t="str">
        <x:v>+60173966320 | +60173966320</x:v>
      </x:c>
      <x:c r="H1033" s="16" t="str">
        <x:v>Excluded</x:v>
      </x:c>
      <x:c r="I1033" s="16" t="str">
        <x:v>Missing email</x:v>
      </x:c>
    </x:row>
    <x:row r="1034">
      <x:c r="A1034" s="16" t="n">
        <x:v>1031</x:v>
      </x:c>
      <x:c r="B1034" s="16" t="str">
        <x:v>Ashraf Coway Utara</x:v>
      </x:c>
      <x:c r="C1034" s="16" t="str"/>
      <x:c r="D1034" s="16" t="str"/>
      <x:c r="E1034" s="16" t="str">
        <x:v>* myContacts</x:v>
      </x:c>
      <x:c r="F1034" s="16" t="str">
        <x:v>+60136176135</x:v>
      </x:c>
      <x:c r="G1034" s="16" t="str">
        <x:v>+60136176135</x:v>
      </x:c>
      <x:c r="H1034" s="16" t="str">
        <x:v>Excluded</x:v>
      </x:c>
      <x:c r="I1034" s="16" t="str">
        <x:v>Missing email</x:v>
      </x:c>
    </x:row>
    <x:row r="1035">
      <x:c r="A1035" s="16" t="n">
        <x:v>1032</x:v>
      </x:c>
      <x:c r="B1035" s="16" t="str">
        <x:v>Ashraf EUsahawanMY Mdec</x:v>
      </x:c>
      <x:c r="C1035" s="16" t="str"/>
      <x:c r="D1035" s="16" t="str"/>
      <x:c r="E1035" s="16" t="str">
        <x:v>* myContacts</x:v>
      </x:c>
      <x:c r="F1035" s="16" t="str">
        <x:v>+60143644350</x:v>
      </x:c>
      <x:c r="G1035" s="16" t="str">
        <x:v>+60143644350</x:v>
      </x:c>
      <x:c r="H1035" s="16" t="str">
        <x:v>Excluded</x:v>
      </x:c>
      <x:c r="I1035" s="16" t="str">
        <x:v>Missing email</x:v>
      </x:c>
    </x:row>
    <x:row r="1036">
      <x:c r="A1036" s="16" t="n">
        <x:v>1033</x:v>
      </x:c>
      <x:c r="B1036" s="16" t="str">
        <x:v>Ashraf Macintosh</x:v>
      </x:c>
      <x:c r="C1036" s="16" t="str"/>
      <x:c r="D1036" s="16" t="str"/>
      <x:c r="E1036" s="16" t="str">
        <x:v>* myContacts</x:v>
      </x:c>
      <x:c r="F1036" s="16" t="str">
        <x:v>+60 18-365 5414 | +60183655414</x:v>
      </x:c>
      <x:c r="G1036" s="16" t="str">
        <x:v>+60183655414 | +60183655414</x:v>
      </x:c>
      <x:c r="H1036" s="16" t="str">
        <x:v>Excluded</x:v>
      </x:c>
      <x:c r="I1036" s="16" t="str">
        <x:v>Missing email</x:v>
      </x:c>
    </x:row>
    <x:row r="1037">
      <x:c r="A1037" s="16" t="n">
        <x:v>1034</x:v>
      </x:c>
      <x:c r="B1037" s="16" t="str">
        <x:v>Ashraf Mansor AGP</x:v>
      </x:c>
      <x:c r="C1037" s="16" t="str"/>
      <x:c r="D1037" s="16" t="str"/>
      <x:c r="E1037" s="16" t="str">
        <x:v>* myContacts</x:v>
      </x:c>
      <x:c r="F1037" s="16" t="str">
        <x:v>+60 12-526 6967 | +60125266967</x:v>
      </x:c>
      <x:c r="G1037" s="16" t="str">
        <x:v>+60125266967 | +60125266967</x:v>
      </x:c>
      <x:c r="H1037" s="16" t="str">
        <x:v>Excluded</x:v>
      </x:c>
      <x:c r="I1037" s="16" t="str">
        <x:v>Missing email</x:v>
      </x:c>
    </x:row>
    <x:row r="1038">
      <x:c r="A1038" s="16" t="n">
        <x:v>1035</x:v>
      </x:c>
      <x:c r="B1038" s="16" t="str">
        <x:v>Ashraf Munza</x:v>
      </x:c>
      <x:c r="C1038" s="16" t="str"/>
      <x:c r="D1038" s="16" t="str"/>
      <x:c r="E1038" s="16" t="str">
        <x:v>* myContacts</x:v>
      </x:c>
      <x:c r="F1038" s="16" t="str">
        <x:v>+60145241049</x:v>
      </x:c>
      <x:c r="G1038" s="16" t="str">
        <x:v>+60145241049</x:v>
      </x:c>
      <x:c r="H1038" s="16" t="str">
        <x:v>Excluded</x:v>
      </x:c>
      <x:c r="I1038" s="16" t="str">
        <x:v>Missing email</x:v>
      </x:c>
    </x:row>
    <x:row r="1039">
      <x:c r="A1039" s="16" t="n">
        <x:v>1036</x:v>
      </x:c>
      <x:c r="B1039" s="16" t="str">
        <x:v>ashraf mynic</x:v>
      </x:c>
      <x:c r="C1039" s="16" t="str"/>
      <x:c r="D1039" s="16" t="str"/>
      <x:c r="E1039" s="16" t="str">
        <x:v>* myContacts</x:v>
      </x:c>
      <x:c r="F1039" s="16" t="str">
        <x:v>+60192088877</x:v>
      </x:c>
      <x:c r="G1039" s="16" t="str">
        <x:v>+60192088877</x:v>
      </x:c>
      <x:c r="H1039" s="16" t="str">
        <x:v>Excluded</x:v>
      </x:c>
      <x:c r="I1039" s="16" t="str">
        <x:v>Missing email</x:v>
      </x:c>
    </x:row>
    <x:row r="1040">
      <x:c r="A1040" s="16" t="n">
        <x:v>1037</x:v>
      </x:c>
      <x:c r="B1040" s="16" t="str">
        <x:v>Ashraf Rahman Support LMS MDEC</x:v>
      </x:c>
      <x:c r="C1040" s="16" t="str"/>
      <x:c r="D1040" s="16" t="str"/>
      <x:c r="E1040" s="16" t="str">
        <x:v>* myContacts</x:v>
      </x:c>
      <x:c r="F1040" s="16" t="str">
        <x:v>+60 18-318 4258 | +60183184258</x:v>
      </x:c>
      <x:c r="G1040" s="16" t="str">
        <x:v>+60183184258 | +60183184258</x:v>
      </x:c>
      <x:c r="H1040" s="16" t="str">
        <x:v>Excluded</x:v>
      </x:c>
      <x:c r="I1040" s="16" t="str">
        <x:v>Missing email</x:v>
      </x:c>
    </x:row>
    <x:row r="1041">
      <x:c r="A1041" s="16" t="n">
        <x:v>1038</x:v>
      </x:c>
      <x:c r="B1041" s="16" t="str">
        <x:v>Ashraf Unifi DMS</x:v>
      </x:c>
      <x:c r="C1041" s="16" t="str"/>
      <x:c r="D1041" s="16" t="str"/>
      <x:c r="E1041" s="16" t="str">
        <x:v>* myContacts</x:v>
      </x:c>
      <x:c r="F1041" s="16" t="str">
        <x:v>+60 11-2756 9604 | +601127569604</x:v>
      </x:c>
      <x:c r="G1041" s="16" t="str">
        <x:v>+601127569604 | +601127569604</x:v>
      </x:c>
      <x:c r="H1041" s="16" t="str">
        <x:v>Excluded</x:v>
      </x:c>
      <x:c r="I1041" s="16" t="str">
        <x:v>Missing email</x:v>
      </x:c>
    </x:row>
    <x:row r="1042">
      <x:c r="A1042" s="16" t="n">
        <x:v>1039</x:v>
      </x:c>
      <x:c r="B1042" s="16" t="str">
        <x:v>Ashraff Junior</x:v>
      </x:c>
      <x:c r="C1042" s="16" t="str"/>
      <x:c r="D1042" s="16" t="str"/>
      <x:c r="E1042" s="16" t="str">
        <x:v>* myContacts</x:v>
      </x:c>
      <x:c r="F1042" s="16" t="str">
        <x:v>+601119965995</x:v>
      </x:c>
      <x:c r="G1042" s="16" t="str">
        <x:v>+601119965995</x:v>
      </x:c>
      <x:c r="H1042" s="16" t="str">
        <x:v>Excluded</x:v>
      </x:c>
      <x:c r="I1042" s="16" t="str">
        <x:v>Missing email</x:v>
      </x:c>
    </x:row>
    <x:row r="1043">
      <x:c r="A1043" s="16" t="n">
        <x:v>1040</x:v>
      </x:c>
      <x:c r="B1043" s="16" t="str">
        <x:v>Ashran Dato' Ghazi</x:v>
      </x:c>
      <x:c r="C1043" s="16" t="str">
        <x:v>ashran@dattel.asia</x:v>
      </x:c>
      <x:c r="D1043" s="16" t="str">
        <x:v>ashran@dattel.asia</x:v>
      </x:c>
      <x:c r="E1043" s="16" t="str">
        <x:v>* myContacts</x:v>
      </x:c>
      <x:c r="F1043" s="16" t="str">
        <x:v>+60193193800</x:v>
      </x:c>
      <x:c r="G1043" s="16" t="str">
        <x:v>+60193193800</x:v>
      </x:c>
      <x:c r="H1043" s="16" t="str">
        <x:v>Eligible</x:v>
      </x:c>
      <x:c r="I1043" s="16" t="str"/>
    </x:row>
    <x:row r="1044">
      <x:c r="A1044" s="16" t="n">
        <x:v>1041</x:v>
      </x:c>
      <x:c r="B1044" s="16" t="str">
        <x:v>Ashreena Azmi</x:v>
      </x:c>
      <x:c r="C1044" s="16" t="str"/>
      <x:c r="D1044" s="16" t="str"/>
      <x:c r="E1044" s="16" t="str">
        <x:v>* myContacts</x:v>
      </x:c>
      <x:c r="F1044" s="16" t="str">
        <x:v>+60173649296</x:v>
      </x:c>
      <x:c r="G1044" s="16" t="str">
        <x:v>+60173649296</x:v>
      </x:c>
      <x:c r="H1044" s="16" t="str">
        <x:v>Excluded</x:v>
      </x:c>
      <x:c r="I1044" s="16" t="str">
        <x:v>Missing email</x:v>
      </x:c>
    </x:row>
    <x:row r="1045">
      <x:c r="A1045" s="16" t="n">
        <x:v>1042</x:v>
      </x:c>
      <x:c r="B1045" s="16" t="str">
        <x:v>Ashril cwa client</x:v>
      </x:c>
      <x:c r="C1045" s="16" t="str"/>
      <x:c r="D1045" s="16" t="str"/>
      <x:c r="E1045" s="16" t="str">
        <x:v>* myContacts</x:v>
      </x:c>
      <x:c r="F1045" s="16" t="str">
        <x:v>0126372744 | +60126372744</x:v>
      </x:c>
      <x:c r="G1045" s="16" t="str">
        <x:v>+60126372744 | +60126372744</x:v>
      </x:c>
      <x:c r="H1045" s="16" t="str">
        <x:v>Excluded</x:v>
      </x:c>
      <x:c r="I1045" s="16" t="str">
        <x:v>Missing email</x:v>
      </x:c>
    </x:row>
    <x:row r="1046">
      <x:c r="A1046" s="16" t="n">
        <x:v>1043</x:v>
      </x:c>
      <x:c r="B1046" s="16" t="str">
        <x:v>Ashrol PPMM</x:v>
      </x:c>
      <x:c r="C1046" s="16" t="str"/>
      <x:c r="D1046" s="16" t="str"/>
      <x:c r="E1046" s="16" t="str">
        <x:v>* myContacts</x:v>
      </x:c>
      <x:c r="F1046" s="16" t="str">
        <x:v>+6012-955 5757 | +60129555757</x:v>
      </x:c>
      <x:c r="G1046" s="16" t="str">
        <x:v>+60129555757 | +60129555757</x:v>
      </x:c>
      <x:c r="H1046" s="16" t="str">
        <x:v>Excluded</x:v>
      </x:c>
      <x:c r="I1046" s="16" t="str">
        <x:v>Missing email</x:v>
      </x:c>
    </x:row>
    <x:row r="1047">
      <x:c r="A1047" s="16" t="n">
        <x:v>1044</x:v>
      </x:c>
      <x:c r="B1047" s="16" t="str">
        <x:v>Ashrul Ashrul</x:v>
      </x:c>
      <x:c r="C1047" s="16" t="str"/>
      <x:c r="D1047" s="16" t="str"/>
      <x:c r="E1047" s="16" t="str">
        <x:v>* myContacts</x:v>
      </x:c>
      <x:c r="F1047" s="16" t="str">
        <x:v>+601124352355</x:v>
      </x:c>
      <x:c r="G1047" s="16" t="str">
        <x:v>+601124352355</x:v>
      </x:c>
      <x:c r="H1047" s="16" t="str">
        <x:v>Excluded</x:v>
      </x:c>
      <x:c r="I1047" s="16" t="str">
        <x:v>Missing email</x:v>
      </x:c>
    </x:row>
    <x:row r="1048">
      <x:c r="A1048" s="16" t="n">
        <x:v>1045</x:v>
      </x:c>
      <x:c r="B1048" s="16" t="str">
        <x:v>Asiah Idris</x:v>
      </x:c>
      <x:c r="C1048" s="16" t="str"/>
      <x:c r="D1048" s="16" t="str"/>
      <x:c r="E1048" s="16" t="str">
        <x:v>* myContacts</x:v>
      </x:c>
      <x:c r="F1048" s="16" t="str">
        <x:v>+60105430703</x:v>
      </x:c>
      <x:c r="G1048" s="16" t="str">
        <x:v>+60105430703</x:v>
      </x:c>
      <x:c r="H1048" s="16" t="str">
        <x:v>Excluded</x:v>
      </x:c>
      <x:c r="I1048" s="16" t="str">
        <x:v>Missing email</x:v>
      </x:c>
    </x:row>
    <x:row r="1049">
      <x:c r="A1049" s="16" t="n">
        <x:v>1046</x:v>
      </x:c>
      <x:c r="B1049" s="16" t="str">
        <x:v>Asiah Tokichor</x:v>
      </x:c>
      <x:c r="C1049" s="16" t="str"/>
      <x:c r="D1049" s="16" t="str"/>
      <x:c r="E1049" s="16" t="str">
        <x:v>* myContacts</x:v>
      </x:c>
      <x:c r="F1049" s="16" t="str">
        <x:v>+60127764525</x:v>
      </x:c>
      <x:c r="G1049" s="16" t="str">
        <x:v>+60127764525</x:v>
      </x:c>
      <x:c r="H1049" s="16" t="str">
        <x:v>Excluded</x:v>
      </x:c>
      <x:c r="I1049" s="16" t="str">
        <x:v>Missing email</x:v>
      </x:c>
    </x:row>
    <x:row r="1050">
      <x:c r="A1050" s="16" t="n">
        <x:v>1047</x:v>
      </x:c>
      <x:c r="B1050" s="16" t="str">
        <x:v>Asif Shan</x:v>
      </x:c>
      <x:c r="C1050" s="16" t="str"/>
      <x:c r="D1050" s="16" t="str"/>
      <x:c r="E1050" s="16" t="str">
        <x:v>* myContacts</x:v>
      </x:c>
      <x:c r="F1050" s="16" t="str">
        <x:v>+60197260715</x:v>
      </x:c>
      <x:c r="G1050" s="16" t="str">
        <x:v>+60197260715</x:v>
      </x:c>
      <x:c r="H1050" s="16" t="str">
        <x:v>Excluded</x:v>
      </x:c>
      <x:c r="I1050" s="16" t="str">
        <x:v>Missing email</x:v>
      </x:c>
    </x:row>
    <x:row r="1051">
      <x:c r="A1051" s="16" t="n">
        <x:v>1048</x:v>
      </x:c>
      <x:c r="B1051" s="16" t="str">
        <x:v>Asikin Arzimi</x:v>
      </x:c>
      <x:c r="C1051" s="16" t="str"/>
      <x:c r="D1051" s="16" t="str"/>
      <x:c r="E1051" s="16" t="str">
        <x:v>* myContacts</x:v>
      </x:c>
      <x:c r="F1051" s="16" t="str">
        <x:v>+60195202141</x:v>
      </x:c>
      <x:c r="G1051" s="16" t="str">
        <x:v>+60195202141</x:v>
      </x:c>
      <x:c r="H1051" s="16" t="str">
        <x:v>Excluded</x:v>
      </x:c>
      <x:c r="I1051" s="16" t="str">
        <x:v>Missing email</x:v>
      </x:c>
    </x:row>
    <x:row r="1052">
      <x:c r="A1052" s="16" t="n">
        <x:v>1049</x:v>
      </x:c>
      <x:c r="B1052" s="16" t="str">
        <x:v>Aslan Sahat</x:v>
      </x:c>
      <x:c r="C1052" s="16" t="str"/>
      <x:c r="D1052" s="16" t="str"/>
      <x:c r="E1052" s="16" t="str">
        <x:v>* myContacts</x:v>
      </x:c>
      <x:c r="F1052" s="16" t="str">
        <x:v>+60192799391</x:v>
      </x:c>
      <x:c r="G1052" s="16" t="str">
        <x:v>+60192799391</x:v>
      </x:c>
      <x:c r="H1052" s="16" t="str">
        <x:v>Excluded</x:v>
      </x:c>
      <x:c r="I1052" s="16" t="str">
        <x:v>Missing email</x:v>
      </x:c>
    </x:row>
    <x:row r="1053">
      <x:c r="A1053" s="16" t="n">
        <x:v>1050</x:v>
      </x:c>
      <x:c r="B1053" s="16" t="str">
        <x:v>Aslinda Pedas Tanjung Malim</x:v>
      </x:c>
      <x:c r="C1053" s="16" t="str"/>
      <x:c r="D1053" s="16" t="str"/>
      <x:c r="E1053" s="16" t="str">
        <x:v>* myContacts</x:v>
      </x:c>
      <x:c r="F1053" s="16" t="str">
        <x:v>+60 16-952 4922 | +60169524922</x:v>
      </x:c>
      <x:c r="G1053" s="16" t="str">
        <x:v>+60169524922 | +60169524922</x:v>
      </x:c>
      <x:c r="H1053" s="16" t="str">
        <x:v>Excluded</x:v>
      </x:c>
      <x:c r="I1053" s="16" t="str">
        <x:v>Missing email</x:v>
      </x:c>
    </x:row>
    <x:row r="1054">
      <x:c r="A1054" s="16" t="n">
        <x:v>1051</x:v>
      </x:c>
      <x:c r="B1054" s="16" t="str">
        <x:v>Asmaa Farhani</x:v>
      </x:c>
      <x:c r="C1054" s="16" t="str"/>
      <x:c r="D1054" s="16" t="str"/>
      <x:c r="E1054" s="16" t="str">
        <x:v>* myContacts</x:v>
      </x:c>
      <x:c r="F1054" s="16" t="str">
        <x:v>+60123954022</x:v>
      </x:c>
      <x:c r="G1054" s="16" t="str">
        <x:v>+60123954022</x:v>
      </x:c>
      <x:c r="H1054" s="16" t="str">
        <x:v>Excluded</x:v>
      </x:c>
      <x:c r="I1054" s="16" t="str">
        <x:v>Missing email</x:v>
      </x:c>
    </x:row>
    <x:row r="1055">
      <x:c r="A1055" s="16" t="n">
        <x:v>1052</x:v>
      </x:c>
      <x:c r="B1055" s="16" t="str">
        <x:v>Asmad Pejabat Tanah Johari</x:v>
      </x:c>
      <x:c r="C1055" s="16" t="str"/>
      <x:c r="D1055" s="16" t="str"/>
      <x:c r="E1055" s="16" t="str">
        <x:v>* myContacts</x:v>
      </x:c>
      <x:c r="F1055" s="16" t="str">
        <x:v>+60105452335</x:v>
      </x:c>
      <x:c r="G1055" s="16" t="str">
        <x:v>+60105452335</x:v>
      </x:c>
      <x:c r="H1055" s="16" t="str">
        <x:v>Excluded</x:v>
      </x:c>
      <x:c r="I1055" s="16" t="str">
        <x:v>Missing email</x:v>
      </x:c>
    </x:row>
    <x:row r="1056">
      <x:c r="A1056" s="16" t="n">
        <x:v>1053</x:v>
      </x:c>
      <x:c r="B1056" s="16" t="str">
        <x:v>Asmadi Esa</x:v>
      </x:c>
      <x:c r="C1056" s="16" t="str"/>
      <x:c r="D1056" s="16" t="str"/>
      <x:c r="E1056" s="16" t="str">
        <x:v>* myContacts</x:v>
      </x:c>
      <x:c r="F1056" s="16" t="str">
        <x:v>+60179052582</x:v>
      </x:c>
      <x:c r="G1056" s="16" t="str">
        <x:v>+60179052582</x:v>
      </x:c>
      <x:c r="H1056" s="16" t="str">
        <x:v>Excluded</x:v>
      </x:c>
      <x:c r="I1056" s="16" t="str">
        <x:v>Missing email</x:v>
      </x:c>
    </x:row>
    <x:row r="1057">
      <x:c r="A1057" s="16" t="n">
        <x:v>1054</x:v>
      </x:c>
      <x:c r="B1057" s="16" t="str">
        <x:v>Asmadi Ibrahim</x:v>
      </x:c>
      <x:c r="C1057" s="16" t="str"/>
      <x:c r="D1057" s="16" t="str"/>
      <x:c r="E1057" s="16" t="str">
        <x:v>* myContacts</x:v>
      </x:c>
      <x:c r="F1057" s="16" t="str">
        <x:v>+60162468191</x:v>
      </x:c>
      <x:c r="G1057" s="16" t="str">
        <x:v>+60162468191</x:v>
      </x:c>
      <x:c r="H1057" s="16" t="str">
        <x:v>Excluded</x:v>
      </x:c>
      <x:c r="I1057" s="16" t="str">
        <x:v>Missing email</x:v>
      </x:c>
    </x:row>
    <x:row r="1058">
      <x:c r="A1058" s="16" t="n">
        <x:v>1055</x:v>
      </x:c>
      <x:c r="B1058" s="16" t="str">
        <x:v>Asmah AGP</x:v>
      </x:c>
      <x:c r="C1058" s="16" t="str"/>
      <x:c r="D1058" s="16" t="str"/>
      <x:c r="E1058" s="16" t="str">
        <x:v>* myContacts</x:v>
      </x:c>
      <x:c r="F1058" s="16" t="str">
        <x:v>+60 17-327 9005 | +60173279005</x:v>
      </x:c>
      <x:c r="G1058" s="16" t="str">
        <x:v>+60173279005 | +60173279005</x:v>
      </x:c>
      <x:c r="H1058" s="16" t="str">
        <x:v>Excluded</x:v>
      </x:c>
      <x:c r="I1058" s="16" t="str">
        <x:v>Missing email</x:v>
      </x:c>
    </x:row>
    <x:row r="1059">
      <x:c r="A1059" s="16" t="n">
        <x:v>1056</x:v>
      </x:c>
      <x:c r="B1059" s="16" t="str">
        <x:v>Asmali Mali</x:v>
      </x:c>
      <x:c r="C1059" s="16" t="str"/>
      <x:c r="D1059" s="16" t="str"/>
      <x:c r="E1059" s="16" t="str">
        <x:v>* myContacts</x:v>
      </x:c>
      <x:c r="F1059" s="16" t="str">
        <x:v>+60145551941</x:v>
      </x:c>
      <x:c r="G1059" s="16" t="str">
        <x:v>+60145551941</x:v>
      </x:c>
      <x:c r="H1059" s="16" t="str">
        <x:v>Excluded</x:v>
      </x:c>
      <x:c r="I1059" s="16" t="str">
        <x:v>Missing email</x:v>
      </x:c>
    </x:row>
    <x:row r="1060">
      <x:c r="A1060" s="16" t="n">
        <x:v>1057</x:v>
      </x:c>
      <x:c r="B1060" s="16" t="str">
        <x:v>Asmanuri Ali</x:v>
      </x:c>
      <x:c r="C1060" s="16" t="str"/>
      <x:c r="D1060" s="16" t="str"/>
      <x:c r="E1060" s="16" t="str">
        <x:v>* myContacts</x:v>
      </x:c>
      <x:c r="F1060" s="16" t="str">
        <x:v>+60125969659</x:v>
      </x:c>
      <x:c r="G1060" s="16" t="str">
        <x:v>+60125969659</x:v>
      </x:c>
      <x:c r="H1060" s="16" t="str">
        <x:v>Excluded</x:v>
      </x:c>
      <x:c r="I1060" s="16" t="str">
        <x:v>Missing email</x:v>
      </x:c>
    </x:row>
    <x:row r="1061">
      <x:c r="A1061" s="16" t="n">
        <x:v>1058</x:v>
      </x:c>
      <x:c r="B1061" s="16" t="str">
        <x:v>Asmida Zabori</x:v>
      </x:c>
      <x:c r="C1061" s="16" t="str"/>
      <x:c r="D1061" s="16" t="str"/>
      <x:c r="E1061" s="16" t="str">
        <x:v>* myContacts</x:v>
      </x:c>
      <x:c r="F1061" s="16" t="str">
        <x:v>+601121289793</x:v>
      </x:c>
      <x:c r="G1061" s="16" t="str">
        <x:v>+601121289793</x:v>
      </x:c>
      <x:c r="H1061" s="16" t="str">
        <x:v>Excluded</x:v>
      </x:c>
      <x:c r="I1061" s="16" t="str">
        <x:v>Missing email</x:v>
      </x:c>
    </x:row>
    <x:row r="1062">
      <x:c r="A1062" s="16" t="n">
        <x:v>1059</x:v>
      </x:c>
      <x:c r="B1062" s="16" t="str">
        <x:v>Asmimi AGP</x:v>
      </x:c>
      <x:c r="C1062" s="16" t="str"/>
      <x:c r="D1062" s="16" t="str"/>
      <x:c r="E1062" s="16" t="str">
        <x:v>* myContacts</x:v>
      </x:c>
      <x:c r="F1062" s="16" t="str">
        <x:v>+60 12-553 8629 | +60125538629</x:v>
      </x:c>
      <x:c r="G1062" s="16" t="str">
        <x:v>+60125538629 | +60125538629</x:v>
      </x:c>
      <x:c r="H1062" s="16" t="str">
        <x:v>Excluded</x:v>
      </x:c>
      <x:c r="I1062" s="16" t="str">
        <x:v>Missing email</x:v>
      </x:c>
    </x:row>
    <x:row r="1063">
      <x:c r="A1063" s="16" t="n">
        <x:v>1060</x:v>
      </x:c>
      <x:c r="B1063" s="16" t="str">
        <x:v>Asmira Ahmad</x:v>
      </x:c>
      <x:c r="C1063" s="16" t="str"/>
      <x:c r="D1063" s="16" t="str"/>
      <x:c r="E1063" s="16" t="str">
        <x:v>* myContacts</x:v>
      </x:c>
      <x:c r="F1063" s="16" t="str">
        <x:v>+60169783968</x:v>
      </x:c>
      <x:c r="G1063" s="16" t="str">
        <x:v>+60169783968</x:v>
      </x:c>
      <x:c r="H1063" s="16" t="str">
        <x:v>Excluded</x:v>
      </x:c>
      <x:c r="I1063" s="16" t="str">
        <x:v>Missing email</x:v>
      </x:c>
    </x:row>
    <x:row r="1064">
      <x:c r="A1064" s="16" t="n">
        <x:v>1061</x:v>
      </x:c>
      <x:c r="B1064" s="16" t="str">
        <x:v>Asmira Hassan</x:v>
      </x:c>
      <x:c r="C1064" s="16" t="str"/>
      <x:c r="D1064" s="16" t="str"/>
      <x:c r="E1064" s="16" t="str">
        <x:v>* myContacts</x:v>
      </x:c>
      <x:c r="F1064" s="16" t="str">
        <x:v>+60137764497</x:v>
      </x:c>
      <x:c r="G1064" s="16" t="str">
        <x:v>+60137764497</x:v>
      </x:c>
      <x:c r="H1064" s="16" t="str">
        <x:v>Excluded</x:v>
      </x:c>
      <x:c r="I1064" s="16" t="str">
        <x:v>Missing email</x:v>
      </x:c>
    </x:row>
    <x:row r="1065">
      <x:c r="A1065" s="16" t="n">
        <x:v>1062</x:v>
      </x:c>
      <x:c r="B1065" s="16" t="str">
        <x:v>Asmita Alias Eita</x:v>
      </x:c>
      <x:c r="C1065" s="16" t="str"/>
      <x:c r="D1065" s="16" t="str"/>
      <x:c r="E1065" s="16" t="str">
        <x:v>* myContacts</x:v>
      </x:c>
      <x:c r="F1065" s="16" t="str">
        <x:v>+60187945723</x:v>
      </x:c>
      <x:c r="G1065" s="16" t="str">
        <x:v>+60187945723</x:v>
      </x:c>
      <x:c r="H1065" s="16" t="str">
        <x:v>Excluded</x:v>
      </x:c>
      <x:c r="I1065" s="16" t="str">
        <x:v>Missing email</x:v>
      </x:c>
    </x:row>
    <x:row r="1066">
      <x:c r="A1066" s="16" t="n">
        <x:v>1063</x:v>
      </x:c>
      <x:c r="B1066" s="16" t="str">
        <x:v>Asnawi Isa</x:v>
      </x:c>
      <x:c r="C1066" s="16" t="str"/>
      <x:c r="D1066" s="16" t="str"/>
      <x:c r="E1066" s="16" t="str">
        <x:v>* myContacts</x:v>
      </x:c>
      <x:c r="F1066" s="16" t="str">
        <x:v>+60193460441</x:v>
      </x:c>
      <x:c r="G1066" s="16" t="str">
        <x:v>+60193460441</x:v>
      </x:c>
      <x:c r="H1066" s="16" t="str">
        <x:v>Excluded</x:v>
      </x:c>
      <x:c r="I1066" s="16" t="str">
        <x:v>Missing email</x:v>
      </x:c>
    </x:row>
    <x:row r="1067">
      <x:c r="A1067" s="16" t="n">
        <x:v>1064</x:v>
      </x:c>
      <x:c r="B1067" s="16" t="str">
        <x:v>Asnie Asrie</x:v>
      </x:c>
      <x:c r="C1067" s="16" t="str"/>
      <x:c r="D1067" s="16" t="str"/>
      <x:c r="E1067" s="16" t="str">
        <x:v>* myContacts</x:v>
      </x:c>
      <x:c r="F1067" s="16" t="str">
        <x:v>+60104197558</x:v>
      </x:c>
      <x:c r="G1067" s="16" t="str">
        <x:v>+60104197558</x:v>
      </x:c>
      <x:c r="H1067" s="16" t="str">
        <x:v>Excluded</x:v>
      </x:c>
      <x:c r="I1067" s="16" t="str">
        <x:v>Missing email</x:v>
      </x:c>
    </x:row>
    <x:row r="1068">
      <x:c r="A1068" s="16" t="n">
        <x:v>1065</x:v>
      </x:c>
      <x:c r="B1068" s="16" t="str">
        <x:v>Asnita Azmi</x:v>
      </x:c>
      <x:c r="C1068" s="16" t="str"/>
      <x:c r="D1068" s="16" t="str"/>
      <x:c r="E1068" s="16" t="str">
        <x:v>* myContacts</x:v>
      </x:c>
      <x:c r="F1068" s="16" t="str">
        <x:v>+60179265946</x:v>
      </x:c>
      <x:c r="G1068" s="16" t="str">
        <x:v>+60179265946</x:v>
      </x:c>
      <x:c r="H1068" s="16" t="str">
        <x:v>Excluded</x:v>
      </x:c>
      <x:c r="I1068" s="16" t="str">
        <x:v>Missing email</x:v>
      </x:c>
    </x:row>
    <x:row r="1069">
      <x:c r="A1069" s="16" t="n">
        <x:v>1066</x:v>
      </x:c>
      <x:c r="B1069" s="16" t="str">
        <x:v>Asnul Lazada C6</x:v>
      </x:c>
      <x:c r="C1069" s="16" t="str"/>
      <x:c r="D1069" s="16" t="str"/>
      <x:c r="E1069" s="16" t="str">
        <x:v>* myContacts</x:v>
      </x:c>
      <x:c r="F1069" s="16" t="str">
        <x:v>+60 11-4070 8080 | +601140708080</x:v>
      </x:c>
      <x:c r="G1069" s="16" t="str">
        <x:v>+601140708080 | +601140708080</x:v>
      </x:c>
      <x:c r="H1069" s="16" t="str">
        <x:v>Excluded</x:v>
      </x:c>
      <x:c r="I1069" s="16" t="str">
        <x:v>Missing email</x:v>
      </x:c>
    </x:row>
    <x:row r="1070">
      <x:c r="A1070" s="16" t="n">
        <x:v>1067</x:v>
      </x:c>
      <x:c r="B1070" s="16" t="str">
        <x:v>Asraf Afrizal</x:v>
      </x:c>
      <x:c r="C1070" s="16" t="str"/>
      <x:c r="D1070" s="16" t="str"/>
      <x:c r="E1070" s="16" t="str">
        <x:v>* myContacts</x:v>
      </x:c>
      <x:c r="F1070" s="16" t="str">
        <x:v>+60139545799</x:v>
      </x:c>
      <x:c r="G1070" s="16" t="str">
        <x:v>+60139545799</x:v>
      </x:c>
      <x:c r="H1070" s="16" t="str">
        <x:v>Excluded</x:v>
      </x:c>
      <x:c r="I1070" s="16" t="str">
        <x:v>Missing email</x:v>
      </x:c>
    </x:row>
    <x:row r="1071">
      <x:c r="A1071" s="16" t="n">
        <x:v>1068</x:v>
      </x:c>
      <x:c r="B1071" s="16" t="str">
        <x:v>Asraf Ngadinin</x:v>
      </x:c>
      <x:c r="C1071" s="16" t="str"/>
      <x:c r="D1071" s="16" t="str"/>
      <x:c r="E1071" s="16" t="str">
        <x:v>* myContacts</x:v>
      </x:c>
      <x:c r="F1071" s="16" t="str">
        <x:v>+60136798407</x:v>
      </x:c>
      <x:c r="G1071" s="16" t="str">
        <x:v>+60136798407</x:v>
      </x:c>
      <x:c r="H1071" s="16" t="str">
        <x:v>Excluded</x:v>
      </x:c>
      <x:c r="I1071" s="16" t="str">
        <x:v>Missing email</x:v>
      </x:c>
    </x:row>
    <x:row r="1072">
      <x:c r="A1072" s="16" t="n">
        <x:v>1069</x:v>
      </x:c>
      <x:c r="B1072" s="16" t="str">
        <x:v>Asrar</x:v>
      </x:c>
      <x:c r="C1072" s="16" t="str"/>
      <x:c r="D1072" s="16" t="str"/>
      <x:c r="E1072" s="16" t="str">
        <x:v>* myContacts</x:v>
      </x:c>
      <x:c r="F1072" s="16" t="str">
        <x:v>012-363 4658 | +60123634658</x:v>
      </x:c>
      <x:c r="G1072" s="16" t="str">
        <x:v>+60123634658 | +60123634658</x:v>
      </x:c>
      <x:c r="H1072" s="16" t="str">
        <x:v>Excluded</x:v>
      </x:c>
      <x:c r="I1072" s="16" t="str">
        <x:v>Missing email</x:v>
      </x:c>
    </x:row>
    <x:row r="1073">
      <x:c r="A1073" s="16" t="n">
        <x:v>1070</x:v>
      </x:c>
      <x:c r="B1073" s="16" t="str">
        <x:v>Asri Bin Arshad BDA</x:v>
      </x:c>
      <x:c r="C1073" s="16" t="str">
        <x:v>asriarshad@gmail.com</x:v>
      </x:c>
      <x:c r="D1073" s="16" t="str">
        <x:v>asriarshad@gmail.com</x:v>
      </x:c>
      <x:c r="E1073" s="16" t="str">
        <x:v>* myContacts</x:v>
      </x:c>
      <x:c r="F1073" s="16" t="str">
        <x:v>012-298 2856 | +60122982856</x:v>
      </x:c>
      <x:c r="G1073" s="16" t="str">
        <x:v>+60122982856 | +60122982856</x:v>
      </x:c>
      <x:c r="H1073" s="16" t="str">
        <x:v>Eligible</x:v>
      </x:c>
      <x:c r="I1073" s="16" t="str"/>
    </x:row>
    <x:row r="1074">
      <x:c r="A1074" s="16" t="n">
        <x:v>1071</x:v>
      </x:c>
      <x:c r="B1074" s="16" t="str">
        <x:v>Asri Ghani</x:v>
      </x:c>
      <x:c r="C1074" s="16" t="str"/>
      <x:c r="D1074" s="16" t="str"/>
      <x:c r="E1074" s="16" t="str">
        <x:v>* myContacts</x:v>
      </x:c>
      <x:c r="F1074" s="16" t="str">
        <x:v>+60129686198</x:v>
      </x:c>
      <x:c r="G1074" s="16" t="str">
        <x:v>+60129686198</x:v>
      </x:c>
      <x:c r="H1074" s="16" t="str">
        <x:v>Excluded</x:v>
      </x:c>
      <x:c r="I1074" s="16" t="str">
        <x:v>Missing email</x:v>
      </x:c>
    </x:row>
    <x:row r="1075">
      <x:c r="A1075" s="16" t="n">
        <x:v>1072</x:v>
      </x:c>
      <x:c r="B1075" s="16" t="str">
        <x:v>Asri Hamid</x:v>
      </x:c>
      <x:c r="C1075" s="16" t="str"/>
      <x:c r="D1075" s="16" t="str"/>
      <x:c r="E1075" s="16" t="str">
        <x:v>* myContacts</x:v>
      </x:c>
      <x:c r="F1075" s="16" t="str">
        <x:v>+60192520958</x:v>
      </x:c>
      <x:c r="G1075" s="16" t="str">
        <x:v>+60192520958</x:v>
      </x:c>
      <x:c r="H1075" s="16" t="str">
        <x:v>Excluded</x:v>
      </x:c>
      <x:c r="I1075" s="16" t="str">
        <x:v>Missing email</x:v>
      </x:c>
    </x:row>
    <x:row r="1076">
      <x:c r="A1076" s="16" t="n">
        <x:v>1073</x:v>
      </x:c>
      <x:c r="B1076" s="16" t="str">
        <x:v>Asri Samian</x:v>
      </x:c>
      <x:c r="C1076" s="16" t="str"/>
      <x:c r="D1076" s="16" t="str"/>
      <x:c r="E1076" s="16" t="str">
        <x:v>* myContacts</x:v>
      </x:c>
      <x:c r="F1076" s="16" t="str">
        <x:v>+60178276727</x:v>
      </x:c>
      <x:c r="G1076" s="16" t="str">
        <x:v>+60178276727</x:v>
      </x:c>
      <x:c r="H1076" s="16" t="str">
        <x:v>Excluded</x:v>
      </x:c>
      <x:c r="I1076" s="16" t="str">
        <x:v>Missing email</x:v>
      </x:c>
    </x:row>
    <x:row r="1077">
      <x:c r="A1077" s="16" t="n">
        <x:v>1074</x:v>
      </x:c>
      <x:c r="B1077" s="16" t="str">
        <x:v>Asri  Trainer Tvet Mdec</x:v>
      </x:c>
      <x:c r="C1077" s="16" t="str"/>
      <x:c r="D1077" s="16" t="str"/>
      <x:c r="E1077" s="16" t="str">
        <x:v>Trainer | * myContacts</x:v>
      </x:c>
      <x:c r="F1077" s="16" t="str">
        <x:v>017-533 9079 | +60175339079</x:v>
      </x:c>
      <x:c r="G1077" s="16" t="str">
        <x:v>+60175339079 | +60175339079</x:v>
      </x:c>
      <x:c r="H1077" s="16" t="str">
        <x:v>Excluded</x:v>
      </x:c>
      <x:c r="I1077" s="16" t="str">
        <x:v>Missing email</x:v>
      </x:c>
    </x:row>
    <x:row r="1078">
      <x:c r="A1078" s="16" t="n">
        <x:v>1075</x:v>
      </x:c>
      <x:c r="B1078" s="16" t="str">
        <x:v>Asril Hjn Btlg</x:v>
      </x:c>
      <x:c r="C1078" s="16" t="str"/>
      <x:c r="D1078" s="16" t="str"/>
      <x:c r="E1078" s="16" t="str">
        <x:v>* myContacts</x:v>
      </x:c>
      <x:c r="F1078" s="16" t="str">
        <x:v>+60168222862</x:v>
      </x:c>
      <x:c r="G1078" s="16" t="str">
        <x:v>+60168222862</x:v>
      </x:c>
      <x:c r="H1078" s="16" t="str">
        <x:v>Excluded</x:v>
      </x:c>
      <x:c r="I1078" s="16" t="str">
        <x:v>Missing email</x:v>
      </x:c>
    </x:row>
    <x:row r="1079">
      <x:c r="A1079" s="16" t="n">
        <x:v>1076</x:v>
      </x:c>
      <x:c r="B1079" s="16" t="str">
        <x:v>Asririn Rinz</x:v>
      </x:c>
      <x:c r="C1079" s="16" t="str"/>
      <x:c r="D1079" s="16" t="str"/>
      <x:c r="E1079" s="16" t="str">
        <x:v>* myContacts</x:v>
      </x:c>
      <x:c r="F1079" s="16" t="str">
        <x:v>+601136544789</x:v>
      </x:c>
      <x:c r="G1079" s="16" t="str">
        <x:v>+601136544789</x:v>
      </x:c>
      <x:c r="H1079" s="16" t="str">
        <x:v>Excluded</x:v>
      </x:c>
      <x:c r="I1079" s="16" t="str">
        <x:v>Missing email</x:v>
      </x:c>
    </x:row>
    <x:row r="1080">
      <x:c r="A1080" s="16" t="n">
        <x:v>1077</x:v>
      </x:c>
      <x:c r="B1080" s="16" t="str">
        <x:v>Asrul Afandi</x:v>
      </x:c>
      <x:c r="C1080" s="16" t="str"/>
      <x:c r="D1080" s="16" t="str"/>
      <x:c r="E1080" s="16" t="str">
        <x:v>* myContacts</x:v>
      </x:c>
      <x:c r="F1080" s="16" t="str">
        <x:v>+60177850413</x:v>
      </x:c>
      <x:c r="G1080" s="16" t="str">
        <x:v>+60177850413</x:v>
      </x:c>
      <x:c r="H1080" s="16" t="str">
        <x:v>Excluded</x:v>
      </x:c>
      <x:c r="I1080" s="16" t="str">
        <x:v>Missing email</x:v>
      </x:c>
    </x:row>
    <x:row r="1081">
      <x:c r="A1081" s="16" t="n">
        <x:v>1078</x:v>
      </x:c>
      <x:c r="B1081" s="16" t="str">
        <x:v>Asrul Mahamud</x:v>
      </x:c>
      <x:c r="C1081" s="16" t="str"/>
      <x:c r="D1081" s="16" t="str"/>
      <x:c r="E1081" s="16" t="str">
        <x:v>* myContacts</x:v>
      </x:c>
      <x:c r="F1081" s="16" t="str">
        <x:v>+60129752971</x:v>
      </x:c>
      <x:c r="G1081" s="16" t="str">
        <x:v>+60129752971</x:v>
      </x:c>
      <x:c r="H1081" s="16" t="str">
        <x:v>Excluded</x:v>
      </x:c>
      <x:c r="I1081" s="16" t="str">
        <x:v>Missing email</x:v>
      </x:c>
    </x:row>
    <x:row r="1082">
      <x:c r="A1082" s="16" t="n">
        <x:v>1079</x:v>
      </x:c>
      <x:c r="B1082" s="16" t="str">
        <x:v>Assyikkin Ibrahim</x:v>
      </x:c>
      <x:c r="C1082" s="16" t="str"/>
      <x:c r="D1082" s="16" t="str"/>
      <x:c r="E1082" s="16" t="str">
        <x:v>* myContacts</x:v>
      </x:c>
      <x:c r="F1082" s="16" t="str">
        <x:v>+60136169800</x:v>
      </x:c>
      <x:c r="G1082" s="16" t="str">
        <x:v>+60136169800</x:v>
      </x:c>
      <x:c r="H1082" s="16" t="str">
        <x:v>Excluded</x:v>
      </x:c>
      <x:c r="I1082" s="16" t="str">
        <x:v>Missing email</x:v>
      </x:c>
    </x:row>
    <x:row r="1083">
      <x:c r="A1083" s="16" t="n">
        <x:v>1080</x:v>
      </x:c>
      <x:c r="B1083" s="16" t="str">
        <x:v>Astana Drmz</x:v>
      </x:c>
      <x:c r="C1083" s="16" t="str"/>
      <x:c r="D1083" s="16" t="str"/>
      <x:c r="E1083" s="16" t="str">
        <x:v>* myContacts</x:v>
      </x:c>
      <x:c r="F1083" s="16" t="str">
        <x:v>+60106665124</x:v>
      </x:c>
      <x:c r="G1083" s="16" t="str">
        <x:v>+60106665124</x:v>
      </x:c>
      <x:c r="H1083" s="16" t="str">
        <x:v>Excluded</x:v>
      </x:c>
      <x:c r="I1083" s="16" t="str">
        <x:v>Missing email</x:v>
      </x:c>
    </x:row>
    <x:row r="1084">
      <x:c r="A1084" s="16" t="n">
        <x:v>1081</x:v>
      </x:c>
      <x:c r="B1084" s="16" t="str">
        <x:v>Astika Citra Ananda Putri</x:v>
      </x:c>
      <x:c r="C1084" s="16" t="str"/>
      <x:c r="D1084" s="16" t="str"/>
      <x:c r="E1084" s="16" t="str">
        <x:v>* myContacts</x:v>
      </x:c>
      <x:c r="F1084" s="16" t="str">
        <x:v>+6282347645699</x:v>
      </x:c>
      <x:c r="G1084" s="16" t="str">
        <x:v>+6282347645699</x:v>
      </x:c>
      <x:c r="H1084" s="16" t="str">
        <x:v>Excluded</x:v>
      </x:c>
      <x:c r="I1084" s="16" t="str">
        <x:v>Missing email</x:v>
      </x:c>
    </x:row>
    <x:row r="1085">
      <x:c r="A1085" s="16" t="n">
        <x:v>1082</x:v>
      </x:c>
      <x:c r="B1085" s="16" t="str">
        <x:v>Aswadhy Rahadhy Reihand</x:v>
      </x:c>
      <x:c r="C1085" s="16" t="str"/>
      <x:c r="D1085" s="16" t="str"/>
      <x:c r="E1085" s="16" t="str">
        <x:v>* myContacts</x:v>
      </x:c>
      <x:c r="F1085" s="16" t="str">
        <x:v>+6283180901128</x:v>
      </x:c>
      <x:c r="G1085" s="16" t="str">
        <x:v>+6283180901128</x:v>
      </x:c>
      <x:c r="H1085" s="16" t="str">
        <x:v>Excluded</x:v>
      </x:c>
      <x:c r="I1085" s="16" t="str">
        <x:v>Missing email</x:v>
      </x:c>
    </x:row>
    <x:row r="1086">
      <x:c r="A1086" s="16" t="n">
        <x:v>1083</x:v>
      </x:c>
      <x:c r="B1086" s="16" t="str">
        <x:v>Asyifa PuriLia AzZahra</x:v>
      </x:c>
      <x:c r="C1086" s="16" t="str"/>
      <x:c r="D1086" s="16" t="str"/>
      <x:c r="E1086" s="16" t="str">
        <x:v>* myContacts</x:v>
      </x:c>
      <x:c r="F1086" s="16" t="str">
        <x:v>+6287773655540</x:v>
      </x:c>
      <x:c r="G1086" s="16" t="str">
        <x:v>+6287773655540</x:v>
      </x:c>
      <x:c r="H1086" s="16" t="str">
        <x:v>Excluded</x:v>
      </x:c>
      <x:c r="I1086" s="16" t="str">
        <x:v>Missing email</x:v>
      </x:c>
    </x:row>
    <x:row r="1087">
      <x:c r="A1087" s="16" t="n">
        <x:v>1084</x:v>
      </x:c>
      <x:c r="B1087" s="16" t="str">
        <x:v>Asyraf Bakri</x:v>
      </x:c>
      <x:c r="C1087" s="16" t="str"/>
      <x:c r="D1087" s="16" t="str"/>
      <x:c r="E1087" s="16" t="str">
        <x:v>* myContacts</x:v>
      </x:c>
      <x:c r="F1087" s="16" t="str">
        <x:v>+60124393695</x:v>
      </x:c>
      <x:c r="G1087" s="16" t="str">
        <x:v>+60124393695</x:v>
      </x:c>
      <x:c r="H1087" s="16" t="str">
        <x:v>Excluded</x:v>
      </x:c>
      <x:c r="I1087" s="16" t="str">
        <x:v>Missing email</x:v>
      </x:c>
    </x:row>
    <x:row r="1088">
      <x:c r="A1088" s="16" t="n">
        <x:v>1085</x:v>
      </x:c>
      <x:c r="B1088" s="16" t="str">
        <x:v>Asyraf Fadli</x:v>
      </x:c>
      <x:c r="C1088" s="16" t="str"/>
      <x:c r="D1088" s="16" t="str"/>
      <x:c r="E1088" s="16" t="str">
        <x:v>* myContacts</x:v>
      </x:c>
      <x:c r="F1088" s="16" t="str">
        <x:v>+60136608925</x:v>
      </x:c>
      <x:c r="G1088" s="16" t="str">
        <x:v>+60136608925</x:v>
      </x:c>
      <x:c r="H1088" s="16" t="str">
        <x:v>Excluded</x:v>
      </x:c>
      <x:c r="I1088" s="16" t="str">
        <x:v>Missing email</x:v>
      </x:c>
    </x:row>
    <x:row r="1089">
      <x:c r="A1089" s="16" t="n">
        <x:v>1086</x:v>
      </x:c>
      <x:c r="B1089" s="16" t="str">
        <x:v>Asyraf Farysa</x:v>
      </x:c>
      <x:c r="C1089" s="16" t="str"/>
      <x:c r="D1089" s="16" t="str"/>
      <x:c r="E1089" s="16" t="str">
        <x:v>* myContacts</x:v>
      </x:c>
      <x:c r="F1089" s="16" t="str">
        <x:v>+601131382199</x:v>
      </x:c>
      <x:c r="G1089" s="16" t="str">
        <x:v>+601131382199</x:v>
      </x:c>
      <x:c r="H1089" s="16" t="str">
        <x:v>Excluded</x:v>
      </x:c>
      <x:c r="I1089" s="16" t="str">
        <x:v>Missing email</x:v>
      </x:c>
    </x:row>
    <x:row r="1090">
      <x:c r="A1090" s="16" t="n">
        <x:v>1087</x:v>
      </x:c>
      <x:c r="B1090" s="16" t="str">
        <x:v>Asyraf Fauzi</x:v>
      </x:c>
      <x:c r="C1090" s="16" t="str"/>
      <x:c r="D1090" s="16" t="str"/>
      <x:c r="E1090" s="16" t="str">
        <x:v>* myContacts</x:v>
      </x:c>
      <x:c r="F1090" s="16" t="str">
        <x:v>+60196630822</x:v>
      </x:c>
      <x:c r="G1090" s="16" t="str">
        <x:v>+60196630822</x:v>
      </x:c>
      <x:c r="H1090" s="16" t="str">
        <x:v>Excluded</x:v>
      </x:c>
      <x:c r="I1090" s="16" t="str">
        <x:v>Missing email</x:v>
      </x:c>
    </x:row>
    <x:row r="1091">
      <x:c r="A1091" s="16" t="n">
        <x:v>1088</x:v>
      </x:c>
      <x:c r="B1091" s="16" t="str">
        <x:v>Asyraf Fixz</x:v>
      </x:c>
      <x:c r="C1091" s="16" t="str"/>
      <x:c r="D1091" s="16" t="str"/>
      <x:c r="E1091" s="16" t="str">
        <x:v>* myContacts</x:v>
      </x:c>
      <x:c r="F1091" s="16" t="str">
        <x:v>+60177965636</x:v>
      </x:c>
      <x:c r="G1091" s="16" t="str">
        <x:v>+60177965636</x:v>
      </x:c>
      <x:c r="H1091" s="16" t="str">
        <x:v>Excluded</x:v>
      </x:c>
      <x:c r="I1091" s="16" t="str">
        <x:v>Missing email</x:v>
      </x:c>
    </x:row>
    <x:row r="1092">
      <x:c r="A1092" s="16" t="n">
        <x:v>1089</x:v>
      </x:c>
      <x:c r="B1092" s="16" t="str">
        <x:v>Asyraf Jamal</x:v>
      </x:c>
      <x:c r="C1092" s="16" t="str"/>
      <x:c r="D1092" s="16" t="str"/>
      <x:c r="E1092" s="16" t="str">
        <x:v>* myContacts</x:v>
      </x:c>
      <x:c r="F1092" s="16" t="str">
        <x:v>+60104688126</x:v>
      </x:c>
      <x:c r="G1092" s="16" t="str">
        <x:v>+60104688126</x:v>
      </x:c>
      <x:c r="H1092" s="16" t="str">
        <x:v>Excluded</x:v>
      </x:c>
      <x:c r="I1092" s="16" t="str">
        <x:v>Missing email</x:v>
      </x:c>
    </x:row>
    <x:row r="1093">
      <x:c r="A1093" s="16" t="n">
        <x:v>1090</x:v>
      </x:c>
      <x:c r="B1093" s="16" t="str">
        <x:v>Asyraf Kamal</x:v>
      </x:c>
      <x:c r="C1093" s="16" t="str"/>
      <x:c r="D1093" s="16" t="str"/>
      <x:c r="E1093" s="16" t="str">
        <x:v>* myContacts</x:v>
      </x:c>
      <x:c r="F1093" s="16" t="str">
        <x:v>+601115792310</x:v>
      </x:c>
      <x:c r="G1093" s="16" t="str">
        <x:v>+601115792310</x:v>
      </x:c>
      <x:c r="H1093" s="16" t="str">
        <x:v>Excluded</x:v>
      </x:c>
      <x:c r="I1093" s="16" t="str">
        <x:v>Missing email</x:v>
      </x:c>
    </x:row>
    <x:row r="1094">
      <x:c r="A1094" s="16" t="n">
        <x:v>1091</x:v>
      </x:c>
      <x:c r="B1094" s="16" t="str">
        <x:v>Asyraf Khairi</x:v>
      </x:c>
      <x:c r="C1094" s="16" t="str"/>
      <x:c r="D1094" s="16" t="str"/>
      <x:c r="E1094" s="16" t="str">
        <x:v>* myContacts</x:v>
      </x:c>
      <x:c r="F1094" s="16" t="str">
        <x:v>+60123456789</x:v>
      </x:c>
      <x:c r="G1094" s="16" t="str">
        <x:v>+60123456789</x:v>
      </x:c>
      <x:c r="H1094" s="16" t="str">
        <x:v>Excluded</x:v>
      </x:c>
      <x:c r="I1094" s="16" t="str">
        <x:v>Missing email</x:v>
      </x:c>
    </x:row>
    <x:row r="1095">
      <x:c r="A1095" s="16" t="n">
        <x:v>1092</x:v>
      </x:c>
      <x:c r="B1095" s="16" t="str">
        <x:v>Asyraf Nasir</x:v>
      </x:c>
      <x:c r="C1095" s="16" t="str"/>
      <x:c r="D1095" s="16" t="str"/>
      <x:c r="E1095" s="16" t="str">
        <x:v>* myContacts</x:v>
      </x:c>
      <x:c r="F1095" s="16" t="str">
        <x:v>+60176601469</x:v>
      </x:c>
      <x:c r="G1095" s="16" t="str">
        <x:v>+60176601469</x:v>
      </x:c>
      <x:c r="H1095" s="16" t="str">
        <x:v>Excluded</x:v>
      </x:c>
      <x:c r="I1095" s="16" t="str">
        <x:v>Missing email</x:v>
      </x:c>
    </x:row>
    <x:row r="1096">
      <x:c r="A1096" s="16" t="n">
        <x:v>1093</x:v>
      </x:c>
      <x:c r="B1096" s="16" t="str">
        <x:v>Asyraf Urut dan Jaga Strok</x:v>
      </x:c>
      <x:c r="C1096" s="16" t="str"/>
      <x:c r="D1096" s="16" t="str"/>
      <x:c r="E1096" s="16" t="str">
        <x:v>* myContacts</x:v>
      </x:c>
      <x:c r="F1096" s="16" t="str">
        <x:v>+60126013141</x:v>
      </x:c>
      <x:c r="G1096" s="16" t="str">
        <x:v>+60126013141</x:v>
      </x:c>
      <x:c r="H1096" s="16" t="str">
        <x:v>Excluded</x:v>
      </x:c>
      <x:c r="I1096" s="16" t="str">
        <x:v>Missing email</x:v>
      </x:c>
    </x:row>
    <x:row r="1097">
      <x:c r="A1097" s="16" t="n">
        <x:v>1094</x:v>
      </x:c>
      <x:c r="B1097" s="16" t="str">
        <x:v>Aszmida Mida</x:v>
      </x:c>
      <x:c r="C1097" s="16" t="str"/>
      <x:c r="D1097" s="16" t="str"/>
      <x:c r="E1097" s="16" t="str">
        <x:v>* myContacts</x:v>
      </x:c>
      <x:c r="F1097" s="16" t="str">
        <x:v>+60128745430</x:v>
      </x:c>
      <x:c r="G1097" s="16" t="str">
        <x:v>+60128745430</x:v>
      </x:c>
      <x:c r="H1097" s="16" t="str">
        <x:v>Excluded</x:v>
      </x:c>
      <x:c r="I1097" s="16" t="str">
        <x:v>Missing email</x:v>
      </x:c>
    </x:row>
    <x:row r="1098">
      <x:c r="A1098" s="16" t="n">
        <x:v>1095</x:v>
      </x:c>
      <x:c r="B1098" s="16" t="str">
        <x:v>Atan Adik Wife</x:v>
      </x:c>
      <x:c r="C1098" s="16" t="str"/>
      <x:c r="D1098" s="16" t="str"/>
      <x:c r="E1098" s="16" t="str">
        <x:v>* myContacts</x:v>
      </x:c>
      <x:c r="F1098" s="16" t="str">
        <x:v>+60 12-315 6106 | +60123156106</x:v>
      </x:c>
      <x:c r="G1098" s="16" t="str">
        <x:v>+60123156106 | +60123156106</x:v>
      </x:c>
      <x:c r="H1098" s="16" t="str">
        <x:v>Excluded</x:v>
      </x:c>
      <x:c r="I1098" s="16" t="str">
        <x:v>Missing email</x:v>
      </x:c>
    </x:row>
    <x:row r="1099">
      <x:c r="A1099" s="16" t="n">
        <x:v>1096</x:v>
      </x:c>
      <x:c r="B1099" s="16" t="str">
        <x:v>ATAN Edly</x:v>
      </x:c>
      <x:c r="C1099" s="16" t="str"/>
      <x:c r="D1099" s="16" t="str"/>
      <x:c r="E1099" s="16" t="str">
        <x:v>* myContacts</x:v>
      </x:c>
      <x:c r="F1099" s="16" t="str">
        <x:v>+60 19-994 9325 | +60199949325 | +60 17-989 6034</x:v>
      </x:c>
      <x:c r="G1099" s="16" t="str">
        <x:v>+60199949325 | +60199949325 | +60179896034</x:v>
      </x:c>
      <x:c r="H1099" s="16" t="str">
        <x:v>Excluded</x:v>
      </x:c>
      <x:c r="I1099" s="16" t="str">
        <x:v>Missing email</x:v>
      </x:c>
    </x:row>
    <x:row r="1100">
      <x:c r="A1100" s="16" t="n">
        <x:v>1097</x:v>
      </x:c>
      <x:c r="B1100" s="16" t="str">
        <x:v>Atan Watomey</x:v>
      </x:c>
      <x:c r="C1100" s="16" t="str"/>
      <x:c r="D1100" s="16" t="str"/>
      <x:c r="E1100" s="16" t="str">
        <x:v>* myContacts</x:v>
      </x:c>
      <x:c r="F1100" s="16" t="str">
        <x:v>+60126790647</x:v>
      </x:c>
      <x:c r="G1100" s="16" t="str">
        <x:v>+60126790647</x:v>
      </x:c>
      <x:c r="H1100" s="16" t="str">
        <x:v>Excluded</x:v>
      </x:c>
      <x:c r="I1100" s="16" t="str">
        <x:v>Missing email</x:v>
      </x:c>
    </x:row>
    <x:row r="1101">
      <x:c r="A1101" s="16" t="n">
        <x:v>1098</x:v>
      </x:c>
      <x:c r="B1101" s="16" t="str">
        <x:v>Athey Hansthey Jr.</x:v>
      </x:c>
      <x:c r="C1101" s="16" t="str"/>
      <x:c r="D1101" s="16" t="str"/>
      <x:c r="E1101" s="16" t="str">
        <x:v>* myContacts</x:v>
      </x:c>
      <x:c r="F1101" s="16" t="str">
        <x:v>+60178993520</x:v>
      </x:c>
      <x:c r="G1101" s="16" t="str">
        <x:v>+60178993520</x:v>
      </x:c>
      <x:c r="H1101" s="16" t="str">
        <x:v>Excluded</x:v>
      </x:c>
      <x:c r="I1101" s="16" t="str">
        <x:v>Missing email</x:v>
      </x:c>
    </x:row>
    <x:row r="1102">
      <x:c r="A1102" s="16" t="n">
        <x:v>1099</x:v>
      </x:c>
      <x:c r="B1102" s="16" t="str">
        <x:v>Atie Samat</x:v>
      </x:c>
      <x:c r="C1102" s="16" t="str"/>
      <x:c r="D1102" s="16" t="str"/>
      <x:c r="E1102" s="16" t="str">
        <x:v>* myContacts</x:v>
      </x:c>
      <x:c r="F1102" s="16" t="str">
        <x:v>+601123502942</x:v>
      </x:c>
      <x:c r="G1102" s="16" t="str">
        <x:v>+601123502942</x:v>
      </x:c>
      <x:c r="H1102" s="16" t="str">
        <x:v>Excluded</x:v>
      </x:c>
      <x:c r="I1102" s="16" t="str">
        <x:v>Missing email</x:v>
      </x:c>
    </x:row>
    <x:row r="1103">
      <x:c r="A1103" s="16" t="n">
        <x:v>1100</x:v>
      </x:c>
      <x:c r="B1103" s="16" t="str">
        <x:v>Atif Aisyah</x:v>
      </x:c>
      <x:c r="C1103" s="16" t="str"/>
      <x:c r="D1103" s="16" t="str"/>
      <x:c r="E1103" s="16" t="str">
        <x:v>* myContacts</x:v>
      </x:c>
      <x:c r="F1103" s="16" t="str">
        <x:v>+60177564519</x:v>
      </x:c>
      <x:c r="G1103" s="16" t="str">
        <x:v>+60177564519</x:v>
      </x:c>
      <x:c r="H1103" s="16" t="str">
        <x:v>Excluded</x:v>
      </x:c>
      <x:c r="I1103" s="16" t="str">
        <x:v>Missing email</x:v>
      </x:c>
    </x:row>
    <x:row r="1104">
      <x:c r="A1104" s="16" t="n">
        <x:v>1101</x:v>
      </x:c>
      <x:c r="B1104" s="16" t="str">
        <x:v>atif nasdaq</x:v>
      </x:c>
      <x:c r="C1104" s="16" t="str"/>
      <x:c r="D1104" s="16" t="str"/>
      <x:c r="E1104" s="16" t="str">
        <x:v>* myContacts</x:v>
      </x:c>
      <x:c r="F1104" s="16" t="str">
        <x:v>0148160973 | +60148160973</x:v>
      </x:c>
      <x:c r="G1104" s="16" t="str">
        <x:v>+60148160973 | +60148160973</x:v>
      </x:c>
      <x:c r="H1104" s="16" t="str">
        <x:v>Excluded</x:v>
      </x:c>
      <x:c r="I1104" s="16" t="str">
        <x:v>Missing email</x:v>
      </x:c>
    </x:row>
    <x:row r="1105">
      <x:c r="A1105" s="16" t="n">
        <x:v>1102</x:v>
      </x:c>
      <x:c r="B1105" s="16" t="str">
        <x:v>Atif Shamsuddin</x:v>
      </x:c>
      <x:c r="C1105" s="16" t="str"/>
      <x:c r="D1105" s="16" t="str"/>
      <x:c r="E1105" s="16" t="str">
        <x:v>* myContacts</x:v>
      </x:c>
      <x:c r="F1105" s="16" t="str">
        <x:v>+601129169066</x:v>
      </x:c>
      <x:c r="G1105" s="16" t="str">
        <x:v>+601129169066</x:v>
      </x:c>
      <x:c r="H1105" s="16" t="str">
        <x:v>Excluded</x:v>
      </x:c>
      <x:c r="I1105" s="16" t="str">
        <x:v>Missing email</x:v>
      </x:c>
    </x:row>
    <x:row r="1106">
      <x:c r="A1106" s="16" t="n">
        <x:v>1103</x:v>
      </x:c>
      <x:c r="B1106" s="16" t="str">
        <x:v>Atifah Sumari</x:v>
      </x:c>
      <x:c r="C1106" s="16" t="str"/>
      <x:c r="D1106" s="16" t="str"/>
      <x:c r="E1106" s="16" t="str">
        <x:v>* myContacts</x:v>
      </x:c>
      <x:c r="F1106" s="16" t="str">
        <x:v>+60128067195</x:v>
      </x:c>
      <x:c r="G1106" s="16" t="str">
        <x:v>+60128067195</x:v>
      </x:c>
      <x:c r="H1106" s="16" t="str">
        <x:v>Excluded</x:v>
      </x:c>
      <x:c r="I1106" s="16" t="str">
        <x:v>Missing email</x:v>
      </x:c>
    </x:row>
    <x:row r="1107">
      <x:c r="A1107" s="16" t="n">
        <x:v>1104</x:v>
      </x:c>
      <x:c r="B1107" s="16" t="str">
        <x:v>Atika Kamronny</x:v>
      </x:c>
      <x:c r="C1107" s="16" t="str"/>
      <x:c r="D1107" s="16" t="str"/>
      <x:c r="E1107" s="16" t="str">
        <x:v>* myContacts</x:v>
      </x:c>
      <x:c r="F1107" s="16" t="str">
        <x:v>+60128078412</x:v>
      </x:c>
      <x:c r="G1107" s="16" t="str">
        <x:v>+60128078412</x:v>
      </x:c>
      <x:c r="H1107" s="16" t="str">
        <x:v>Excluded</x:v>
      </x:c>
      <x:c r="I1107" s="16" t="str">
        <x:v>Missing email</x:v>
      </x:c>
    </x:row>
    <x:row r="1108">
      <x:c r="A1108" s="16" t="n">
        <x:v>1105</x:v>
      </x:c>
      <x:c r="B1108" s="16" t="str">
        <x:v>Atika Remimurni</x:v>
      </x:c>
      <x:c r="C1108" s="16" t="str"/>
      <x:c r="D1108" s="16" t="str"/>
      <x:c r="E1108" s="16" t="str">
        <x:v>* myContacts</x:v>
      </x:c>
      <x:c r="F1108" s="16" t="str">
        <x:v>+601128331006</x:v>
      </x:c>
      <x:c r="G1108" s="16" t="str">
        <x:v>+601128331006</x:v>
      </x:c>
      <x:c r="H1108" s="16" t="str">
        <x:v>Excluded</x:v>
      </x:c>
      <x:c r="I1108" s="16" t="str">
        <x:v>Missing email</x:v>
      </x:c>
    </x:row>
    <x:row r="1109">
      <x:c r="A1109" s="16" t="n">
        <x:v>1106</x:v>
      </x:c>
      <x:c r="B1109" s="16" t="str">
        <x:v>Atikah Yusoff</x:v>
      </x:c>
      <x:c r="C1109" s="16" t="str"/>
      <x:c r="D1109" s="16" t="str"/>
      <x:c r="E1109" s="16" t="str">
        <x:v>* myContacts</x:v>
      </x:c>
      <x:c r="F1109" s="16" t="str">
        <x:v>+60179443890</x:v>
      </x:c>
      <x:c r="G1109" s="16" t="str">
        <x:v>+60179443890</x:v>
      </x:c>
      <x:c r="H1109" s="16" t="str">
        <x:v>Excluded</x:v>
      </x:c>
      <x:c r="I1109" s="16" t="str">
        <x:v>Missing email</x:v>
      </x:c>
    </x:row>
    <x:row r="1110">
      <x:c r="A1110" s="16" t="n">
        <x:v>1107</x:v>
      </x:c>
      <x:c r="B1110" s="16" t="str">
        <x:v>Atikah Zakaria</x:v>
      </x:c>
      <x:c r="C1110" s="16" t="str">
        <x:v>atikahzakaria3105@gmail.com</x:v>
      </x:c>
      <x:c r="D1110" s="16" t="str">
        <x:v>atikahzakaria3105@gmail.com</x:v>
      </x:c>
      <x:c r="E1110" s="16" t="str">
        <x:v>* myContacts</x:v>
      </x:c>
      <x:c r="F1110" s="16" t="str">
        <x:v>+60134540968</x:v>
      </x:c>
      <x:c r="G1110" s="16" t="str">
        <x:v>+60134540968</x:v>
      </x:c>
      <x:c r="H1110" s="16" t="str">
        <x:v>Eligible</x:v>
      </x:c>
      <x:c r="I1110" s="16" t="str"/>
    </x:row>
    <x:row r="1111">
      <x:c r="A1111" s="16" t="n">
        <x:v>1108</x:v>
      </x:c>
      <x:c r="B1111" s="16" t="str">
        <x:v>Atiqah Norshahfandi</x:v>
      </x:c>
      <x:c r="C1111" s="16" t="str"/>
      <x:c r="D1111" s="16" t="str"/>
      <x:c r="E1111" s="16" t="str">
        <x:v>* myContacts</x:v>
      </x:c>
      <x:c r="F1111" s="16" t="str">
        <x:v>+601132365521</x:v>
      </x:c>
      <x:c r="G1111" s="16" t="str">
        <x:v>+601132365521</x:v>
      </x:c>
      <x:c r="H1111" s="16" t="str">
        <x:v>Excluded</x:v>
      </x:c>
      <x:c r="I1111" s="16" t="str">
        <x:v>Missing email</x:v>
      </x:c>
    </x:row>
    <x:row r="1112">
      <x:c r="A1112" s="16" t="n">
        <x:v>1109</x:v>
      </x:c>
      <x:c r="B1112" s="16" t="str">
        <x:v>atiqqahhatta Mdec</x:v>
      </x:c>
      <x:c r="C1112" s="16" t="str"/>
      <x:c r="D1112" s="16" t="str"/>
      <x:c r="E1112" s="16" t="str">
        <x:v>* myContacts</x:v>
      </x:c>
      <x:c r="F1112" s="16" t="str">
        <x:v>+60 16-433 7993 | +60164337993</x:v>
      </x:c>
      <x:c r="G1112" s="16" t="str">
        <x:v>+60164337993 | +60164337993</x:v>
      </x:c>
      <x:c r="H1112" s="16" t="str">
        <x:v>Excluded</x:v>
      </x:c>
      <x:c r="I1112" s="16" t="str">
        <x:v>Missing email</x:v>
      </x:c>
    </x:row>
    <x:row r="1113">
      <x:c r="A1113" s="16" t="n">
        <x:v>1110</x:v>
      </x:c>
      <x:c r="B1113" s="16" t="str">
        <x:v>Atok Wan</x:v>
      </x:c>
      <x:c r="C1113" s="16" t="str"/>
      <x:c r="D1113" s="16" t="str"/>
      <x:c r="E1113" s="16" t="str">
        <x:v>* myContacts</x:v>
      </x:c>
      <x:c r="F1113" s="16" t="str">
        <x:v>+60108252947</x:v>
      </x:c>
      <x:c r="G1113" s="16" t="str">
        <x:v>+60108252947</x:v>
      </x:c>
      <x:c r="H1113" s="16" t="str">
        <x:v>Excluded</x:v>
      </x:c>
      <x:c r="I1113" s="16" t="str">
        <x:v>Missing email</x:v>
      </x:c>
    </x:row>
    <x:row r="1114">
      <x:c r="A1114" s="16" t="n">
        <x:v>1111</x:v>
      </x:c>
      <x:c r="B1114" s="16" t="str">
        <x:v>ATOMY MOHD HAILME B HASSAN</x:v>
      </x:c>
      <x:c r="C1114" s="16" t="str"/>
      <x:c r="D1114" s="16" t="str"/>
      <x:c r="E1114" s="16" t="str">
        <x:v>* myContacts</x:v>
      </x:c>
      <x:c r="F1114" s="16" t="str">
        <x:v>+60163141815</x:v>
      </x:c>
      <x:c r="G1114" s="16" t="str">
        <x:v>+60163141815</x:v>
      </x:c>
      <x:c r="H1114" s="16" t="str">
        <x:v>Excluded</x:v>
      </x:c>
      <x:c r="I1114" s="16" t="str">
        <x:v>Missing email</x:v>
      </x:c>
    </x:row>
    <x:row r="1115">
      <x:c r="A1115" s="16" t="n">
        <x:v>1112</x:v>
      </x:c>
      <x:c r="B1115" s="16" t="str">
        <x:v>Atomy Mohd Ramly Bin Ngah Idris</x:v>
      </x:c>
      <x:c r="C1115" s="16" t="str"/>
      <x:c r="D1115" s="16" t="str"/>
      <x:c r="E1115" s="16" t="str">
        <x:v>* myContacts</x:v>
      </x:c>
      <x:c r="F1115" s="16" t="str">
        <x:v>+60193579215</x:v>
      </x:c>
      <x:c r="G1115" s="16" t="str">
        <x:v>+60193579215</x:v>
      </x:c>
      <x:c r="H1115" s="16" t="str">
        <x:v>Excluded</x:v>
      </x:c>
      <x:c r="I1115" s="16" t="str">
        <x:v>Missing email</x:v>
      </x:c>
    </x:row>
    <x:row r="1116">
      <x:c r="A1116" s="16" t="n">
        <x:v>1113</x:v>
      </x:c>
      <x:c r="B1116" s="16" t="str">
        <x:v>Atomy SAMSOL B HUSSIN</x:v>
      </x:c>
      <x:c r="C1116" s="16" t="str"/>
      <x:c r="D1116" s="16" t="str"/>
      <x:c r="E1116" s="16" t="str">
        <x:v>* myContacts</x:v>
      </x:c>
      <x:c r="F1116" s="16" t="str">
        <x:v>+60137413760</x:v>
      </x:c>
      <x:c r="G1116" s="16" t="str">
        <x:v>+60137413760</x:v>
      </x:c>
      <x:c r="H1116" s="16" t="str">
        <x:v>Excluded</x:v>
      </x:c>
      <x:c r="I1116" s="16" t="str">
        <x:v>Missing email</x:v>
      </x:c>
    </x:row>
    <x:row r="1117">
      <x:c r="A1117" s="16" t="n">
        <x:v>1114</x:v>
      </x:c>
      <x:c r="B1117" s="16" t="str">
        <x:v>Atomy Samsul</x:v>
      </x:c>
      <x:c r="C1117" s="16" t="str"/>
      <x:c r="D1117" s="16" t="str"/>
      <x:c r="E1117" s="16" t="str">
        <x:v>* myContacts</x:v>
      </x:c>
      <x:c r="F1117" s="16" t="str">
        <x:v>+60105456806</x:v>
      </x:c>
      <x:c r="G1117" s="16" t="str">
        <x:v>+60105456806</x:v>
      </x:c>
      <x:c r="H1117" s="16" t="str">
        <x:v>Excluded</x:v>
      </x:c>
      <x:c r="I1117" s="16" t="str">
        <x:v>Missing email</x:v>
      </x:c>
    </x:row>
    <x:row r="1118">
      <x:c r="A1118" s="16" t="n">
        <x:v>1115</x:v>
      </x:c>
      <x:c r="B1118" s="16" t="str">
        <x:v>Atomy Yani Tauke Thea Binti Abdul Rahman</x:v>
      </x:c>
      <x:c r="C1118" s="16" t="str"/>
      <x:c r="D1118" s="16" t="str"/>
      <x:c r="E1118" s="16" t="str">
        <x:v>* myContacts</x:v>
      </x:c>
      <x:c r="F1118" s="16" t="str">
        <x:v>+60109127708</x:v>
      </x:c>
      <x:c r="G1118" s="16" t="str">
        <x:v>+60109127708</x:v>
      </x:c>
      <x:c r="H1118" s="16" t="str">
        <x:v>Excluded</x:v>
      </x:c>
      <x:c r="I1118" s="16" t="str">
        <x:v>Missing email</x:v>
      </x:c>
    </x:row>
    <x:row r="1119">
      <x:c r="A1119" s="16" t="n">
        <x:v>1116</x:v>
      </x:c>
      <x:c r="B1119" s="16" t="str">
        <x:v>Attie Lee</x:v>
      </x:c>
      <x:c r="C1119" s="16" t="str"/>
      <x:c r="D1119" s="16" t="str"/>
      <x:c r="E1119" s="16" t="str">
        <x:v>* myContacts</x:v>
      </x:c>
      <x:c r="F1119" s="16" t="str">
        <x:v>+60136168930</x:v>
      </x:c>
      <x:c r="G1119" s="16" t="str">
        <x:v>+60136168930</x:v>
      </x:c>
      <x:c r="H1119" s="16" t="str">
        <x:v>Excluded</x:v>
      </x:c>
      <x:c r="I1119" s="16" t="str">
        <x:v>Missing email</x:v>
      </x:c>
    </x:row>
    <x:row r="1120">
      <x:c r="A1120" s="16" t="n">
        <x:v>1117</x:v>
      </x:c>
      <x:c r="B1120" s="16" t="str">
        <x:v>Attirah Kbbc Agent</x:v>
      </x:c>
      <x:c r="C1120" s="16" t="str"/>
      <x:c r="D1120" s="16" t="str"/>
      <x:c r="E1120" s="16" t="str">
        <x:v>* myContacts</x:v>
      </x:c>
      <x:c r="F1120" s="16" t="str">
        <x:v>+60 13-584 9503 | +60135849503</x:v>
      </x:c>
      <x:c r="G1120" s="16" t="str">
        <x:v>+60135849503 | +60135849503</x:v>
      </x:c>
      <x:c r="H1120" s="16" t="str">
        <x:v>Excluded</x:v>
      </x:c>
      <x:c r="I1120" s="16" t="str">
        <x:v>Missing email</x:v>
      </x:c>
    </x:row>
    <x:row r="1121">
      <x:c r="A1121" s="16" t="n">
        <x:v>1118</x:v>
      </x:c>
      <x:c r="B1121" s="16" t="str">
        <x:v>Aulia Rosa Liya</x:v>
      </x:c>
      <x:c r="C1121" s="16" t="str"/>
      <x:c r="D1121" s="16" t="str"/>
      <x:c r="E1121" s="16" t="str">
        <x:v>* myContacts</x:v>
      </x:c>
      <x:c r="F1121" s="16" t="str">
        <x:v>+6281312383253</x:v>
      </x:c>
      <x:c r="G1121" s="16" t="str">
        <x:v>+6281312383253</x:v>
      </x:c>
      <x:c r="H1121" s="16" t="str">
        <x:v>Excluded</x:v>
      </x:c>
      <x:c r="I1121" s="16" t="str">
        <x:v>Missing email</x:v>
      </x:c>
    </x:row>
    <x:row r="1122">
      <x:c r="A1122" s="16" t="n">
        <x:v>1119</x:v>
      </x:c>
      <x:c r="B1122" s="16" t="str">
        <x:v>Aunee Putry</x:v>
      </x:c>
      <x:c r="C1122" s="16" t="str"/>
      <x:c r="D1122" s="16" t="str"/>
      <x:c r="E1122" s="16" t="str">
        <x:v>* myContacts</x:v>
      </x:c>
      <x:c r="F1122" s="16" t="str">
        <x:v>+60164204072</x:v>
      </x:c>
      <x:c r="G1122" s="16" t="str">
        <x:v>+60164204072</x:v>
      </x:c>
      <x:c r="H1122" s="16" t="str">
        <x:v>Excluded</x:v>
      </x:c>
      <x:c r="I1122" s="16" t="str">
        <x:v>Missing email</x:v>
      </x:c>
    </x:row>
    <x:row r="1123">
      <x:c r="A1123" s="16" t="n">
        <x:v>1120</x:v>
      </x:c>
      <x:c r="B1123" s="16" t="str">
        <x:v>Auni Najihah</x:v>
      </x:c>
      <x:c r="C1123" s="16" t="str"/>
      <x:c r="D1123" s="16" t="str"/>
      <x:c r="E1123" s="16" t="str">
        <x:v>* myContacts</x:v>
      </x:c>
      <x:c r="F1123" s="16" t="str">
        <x:v>+60134132573</x:v>
      </x:c>
      <x:c r="G1123" s="16" t="str">
        <x:v>+60134132573</x:v>
      </x:c>
      <x:c r="H1123" s="16" t="str">
        <x:v>Excluded</x:v>
      </x:c>
      <x:c r="I1123" s="16" t="str">
        <x:v>Missing email</x:v>
      </x:c>
    </x:row>
    <x:row r="1124">
      <x:c r="A1124" s="16" t="n">
        <x:v>1121</x:v>
      </x:c>
      <x:c r="B1124" s="16" t="str">
        <x:v>auntie homestay</x:v>
      </x:c>
      <x:c r="C1124" s="16" t="str"/>
      <x:c r="D1124" s="16" t="str"/>
      <x:c r="E1124" s="16" t="str">
        <x:v>* myContacts</x:v>
      </x:c>
      <x:c r="F1124" s="16" t="str">
        <x:v>60125128375 | +60125128375</x:v>
      </x:c>
      <x:c r="G1124" s="16" t="str">
        <x:v>+60125128375 | +60125128375</x:v>
      </x:c>
      <x:c r="H1124" s="16" t="str">
        <x:v>Excluded</x:v>
      </x:c>
      <x:c r="I1124" s="16" t="str">
        <x:v>Missing email</x:v>
      </x:c>
    </x:row>
    <x:row r="1125">
      <x:c r="A1125" s="16" t="n">
        <x:v>1122</x:v>
      </x:c>
      <x:c r="B1125" s="16" t="str">
        <x:v>Aunty Yati AGP</x:v>
      </x:c>
      <x:c r="C1125" s="16" t="str"/>
      <x:c r="D1125" s="16" t="str"/>
      <x:c r="E1125" s="16" t="str">
        <x:v>* myContacts</x:v>
      </x:c>
      <x:c r="F1125" s="16" t="str">
        <x:v>0162225620 | +60162225620</x:v>
      </x:c>
      <x:c r="G1125" s="16" t="str">
        <x:v>+60162225620 | +60162225620</x:v>
      </x:c>
      <x:c r="H1125" s="16" t="str">
        <x:v>Excluded</x:v>
      </x:c>
      <x:c r="I1125" s="16" t="str">
        <x:v>Missing email</x:v>
      </x:c>
    </x:row>
    <x:row r="1126">
      <x:c r="A1126" s="16" t="n">
        <x:v>1123</x:v>
      </x:c>
      <x:c r="B1126" s="16" t="str">
        <x:v>Auralens Seremban</x:v>
      </x:c>
      <x:c r="C1126" s="16" t="str"/>
      <x:c r="D1126" s="16" t="str"/>
      <x:c r="E1126" s="16" t="str">
        <x:v>* myContacts</x:v>
      </x:c>
      <x:c r="F1126" s="16" t="str">
        <x:v>+60196861298</x:v>
      </x:c>
      <x:c r="G1126" s="16" t="str">
        <x:v>+60196861298</x:v>
      </x:c>
      <x:c r="H1126" s="16" t="str">
        <x:v>Excluded</x:v>
      </x:c>
      <x:c r="I1126" s="16" t="str">
        <x:v>Missing email</x:v>
      </x:c>
    </x:row>
    <x:row r="1127">
      <x:c r="A1127" s="16" t="n">
        <x:v>1124</x:v>
      </x:c>
      <x:c r="B1127" s="16" t="str">
        <x:v>Auto whatsapp</x:v>
      </x:c>
      <x:c r="C1127" s="16" t="str"/>
      <x:c r="D1127" s="16" t="str"/>
      <x:c r="E1127" s="16" t="str">
        <x:v>* myContacts</x:v>
      </x:c>
      <x:c r="F1127" s="16" t="str">
        <x:v>016-5573770 | +60165573770</x:v>
      </x:c>
      <x:c r="G1127" s="16" t="str">
        <x:v>+60165573770 | +60165573770</x:v>
      </x:c>
      <x:c r="H1127" s="16" t="str">
        <x:v>Excluded</x:v>
      </x:c>
      <x:c r="I1127" s="16" t="str">
        <x:v>Missing email</x:v>
      </x:c>
    </x:row>
    <x:row r="1128">
      <x:c r="A1128" s="16" t="n">
        <x:v>1125</x:v>
      </x:c>
      <x:c r="B1128" s="16" t="str">
        <x:v>AutoPM Jootawan</x:v>
      </x:c>
      <x:c r="C1128" s="16" t="str"/>
      <x:c r="D1128" s="16" t="str"/>
      <x:c r="E1128" s="16" t="str">
        <x:v>* myContacts</x:v>
      </x:c>
      <x:c r="F1128" s="16" t="str">
        <x:v>+60 14-222 2006 | +60142222006</x:v>
      </x:c>
      <x:c r="G1128" s="16" t="str">
        <x:v>+60142222006 | +60142222006</x:v>
      </x:c>
      <x:c r="H1128" s="16" t="str">
        <x:v>Excluded</x:v>
      </x:c>
      <x:c r="I1128" s="16" t="str">
        <x:v>Missing email</x:v>
      </x:c>
    </x:row>
    <x:row r="1129">
      <x:c r="A1129" s="16" t="n">
        <x:v>1126</x:v>
      </x:c>
      <x:c r="B1129" s="16" t="str">
        <x:v>Auzaie Azraien</x:v>
      </x:c>
      <x:c r="C1129" s="16" t="str"/>
      <x:c r="D1129" s="16" t="str"/>
      <x:c r="E1129" s="16" t="str">
        <x:v>* myContacts</x:v>
      </x:c>
      <x:c r="F1129" s="16" t="str">
        <x:v>+601126905265</x:v>
      </x:c>
      <x:c r="G1129" s="16" t="str">
        <x:v>+601126905265</x:v>
      </x:c>
      <x:c r="H1129" s="16" t="str">
        <x:v>Excluded</x:v>
      </x:c>
      <x:c r="I1129" s="16" t="str">
        <x:v>Missing email</x:v>
      </x:c>
    </x:row>
    <x:row r="1130">
      <x:c r="A1130" s="16" t="n">
        <x:v>1127</x:v>
      </x:c>
      <x:c r="B1130" s="16" t="str">
        <x:v>Awaken Roslan</x:v>
      </x:c>
      <x:c r="C1130" s="16" t="str"/>
      <x:c r="D1130" s="16" t="str"/>
      <x:c r="E1130" s="16" t="str">
        <x:v>* myContacts</x:v>
      </x:c>
      <x:c r="F1130" s="16" t="str">
        <x:v>+60 10-718 1491 | +60107181491</x:v>
      </x:c>
      <x:c r="G1130" s="16" t="str">
        <x:v>+60107181491 | +60107181491</x:v>
      </x:c>
      <x:c r="H1130" s="16" t="str">
        <x:v>Excluded</x:v>
      </x:c>
      <x:c r="I1130" s="16" t="str">
        <x:v>Missing email</x:v>
      </x:c>
    </x:row>
    <x:row r="1131">
      <x:c r="A1131" s="16" t="n">
        <x:v>1128</x:v>
      </x:c>
      <x:c r="B1131" s="16" t="str">
        <x:v>Awal Mat Nawi</x:v>
      </x:c>
      <x:c r="C1131" s="16" t="str"/>
      <x:c r="D1131" s="16" t="str"/>
      <x:c r="E1131" s="16" t="str">
        <x:v>* myContacts</x:v>
      </x:c>
      <x:c r="F1131" s="16" t="str">
        <x:v>+60179719554</x:v>
      </x:c>
      <x:c r="G1131" s="16" t="str">
        <x:v>+60179719554</x:v>
      </x:c>
      <x:c r="H1131" s="16" t="str">
        <x:v>Excluded</x:v>
      </x:c>
      <x:c r="I1131" s="16" t="str">
        <x:v>Missing email</x:v>
      </x:c>
    </x:row>
    <x:row r="1132">
      <x:c r="A1132" s="16" t="n">
        <x:v>1129</x:v>
      </x:c>
      <x:c r="B1132" s="16" t="str">
        <x:v>Awalus Syawali</x:v>
      </x:c>
      <x:c r="C1132" s="16" t="str"/>
      <x:c r="D1132" s="16" t="str"/>
      <x:c r="E1132" s="16" t="str">
        <x:v>* myContacts</x:v>
      </x:c>
      <x:c r="F1132" s="16" t="str">
        <x:v>+6285218779699</x:v>
      </x:c>
      <x:c r="G1132" s="16" t="str">
        <x:v>+6285218779699</x:v>
      </x:c>
      <x:c r="H1132" s="16" t="str">
        <x:v>Excluded</x:v>
      </x:c>
      <x:c r="I1132" s="16" t="str">
        <x:v>Missing email</x:v>
      </x:c>
    </x:row>
    <x:row r="1133">
      <x:c r="A1133" s="16" t="n">
        <x:v>1130</x:v>
      </x:c>
      <x:c r="B1133" s="16" t="str">
        <x:v>Awan Nano Full</x:v>
      </x:c>
      <x:c r="C1133" s="16" t="str"/>
      <x:c r="D1133" s="16" t="str"/>
      <x:c r="E1133" s="16" t="str">
        <x:v>* myContacts</x:v>
      </x:c>
      <x:c r="F1133" s="16" t="str">
        <x:v>+60142941971</x:v>
      </x:c>
      <x:c r="G1133" s="16" t="str">
        <x:v>+60142941971</x:v>
      </x:c>
      <x:c r="H1133" s="16" t="str">
        <x:v>Excluded</x:v>
      </x:c>
      <x:c r="I1133" s="16" t="str">
        <x:v>Missing email</x:v>
      </x:c>
    </x:row>
    <x:row r="1134">
      <x:c r="A1134" s="16" t="n">
        <x:v>1131</x:v>
      </x:c>
      <x:c r="B1134" s="16" t="str">
        <x:v>Awana Mdec</x:v>
      </x:c>
      <x:c r="C1134" s="16" t="str"/>
      <x:c r="D1134" s="16" t="str"/>
      <x:c r="E1134" s="16" t="str">
        <x:v>* myContacts</x:v>
      </x:c>
      <x:c r="F1134" s="16" t="str">
        <x:v>+60 13-303 2612 | +60133032612</x:v>
      </x:c>
      <x:c r="G1134" s="16" t="str">
        <x:v>+60133032612 | +60133032612</x:v>
      </x:c>
      <x:c r="H1134" s="16" t="str">
        <x:v>Excluded</x:v>
      </x:c>
      <x:c r="I1134" s="16" t="str">
        <x:v>Missing email</x:v>
      </x:c>
    </x:row>
    <x:row r="1135">
      <x:c r="A1135" s="16" t="n">
        <x:v>1132</x:v>
      </x:c>
      <x:c r="B1135" s="16" t="str">
        <x:v>Awang Azly Awang</x:v>
      </x:c>
      <x:c r="C1135" s="16" t="str"/>
      <x:c r="D1135" s="16" t="str"/>
      <x:c r="E1135" s="16" t="str">
        <x:v>* myContacts</x:v>
      </x:c>
      <x:c r="F1135" s="16" t="str">
        <x:v>+601114413044</x:v>
      </x:c>
      <x:c r="G1135" s="16" t="str">
        <x:v>+601114413044</x:v>
      </x:c>
      <x:c r="H1135" s="16" t="str">
        <x:v>Excluded</x:v>
      </x:c>
      <x:c r="I1135" s="16" t="str">
        <x:v>Missing email</x:v>
      </x:c>
    </x:row>
    <x:row r="1136">
      <x:c r="A1136" s="16" t="n">
        <x:v>1133</x:v>
      </x:c>
      <x:c r="B1136" s="16" t="str">
        <x:v>Awang Zaki</x:v>
      </x:c>
      <x:c r="C1136" s="16" t="str"/>
      <x:c r="D1136" s="16" t="str"/>
      <x:c r="E1136" s="16" t="str">
        <x:v>* myContacts</x:v>
      </x:c>
      <x:c r="F1136" s="16" t="str">
        <x:v>+601119372324</x:v>
      </x:c>
      <x:c r="G1136" s="16" t="str">
        <x:v>+601119372324</x:v>
      </x:c>
      <x:c r="H1136" s="16" t="str">
        <x:v>Excluded</x:v>
      </x:c>
      <x:c r="I1136" s="16" t="str">
        <x:v>Missing email</x:v>
      </x:c>
    </x:row>
    <x:row r="1137">
      <x:c r="A1137" s="16" t="n">
        <x:v>1134</x:v>
      </x:c>
      <x:c r="B1137" s="16" t="str">
        <x:v>AwangAdibsyafwan Awangsham</x:v>
      </x:c>
      <x:c r="C1137" s="16" t="str"/>
      <x:c r="D1137" s="16" t="str"/>
      <x:c r="E1137" s="16" t="str">
        <x:v>* myContacts</x:v>
      </x:c>
      <x:c r="F1137" s="16" t="str">
        <x:v>+60148825643</x:v>
      </x:c>
      <x:c r="G1137" s="16" t="str">
        <x:v>+60148825643</x:v>
      </x:c>
      <x:c r="H1137" s="16" t="str">
        <x:v>Excluded</x:v>
      </x:c>
      <x:c r="I1137" s="16" t="str">
        <x:v>Missing email</x:v>
      </x:c>
    </x:row>
    <x:row r="1138">
      <x:c r="A1138" s="16" t="n">
        <x:v>1135</x:v>
      </x:c>
      <x:c r="B1138" s="16" t="str">
        <x:v>Awangku Ahmad Zaidi</x:v>
      </x:c>
      <x:c r="C1138" s="16" t="str"/>
      <x:c r="D1138" s="16" t="str"/>
      <x:c r="E1138" s="16" t="str">
        <x:v>* myContacts</x:v>
      </x:c>
      <x:c r="F1138" s="16" t="str">
        <x:v>+601125146635</x:v>
      </x:c>
      <x:c r="G1138" s="16" t="str">
        <x:v>+601125146635</x:v>
      </x:c>
      <x:c r="H1138" s="16" t="str">
        <x:v>Excluded</x:v>
      </x:c>
      <x:c r="I1138" s="16" t="str">
        <x:v>Missing email</x:v>
      </x:c>
    </x:row>
    <x:row r="1139">
      <x:c r="A1139" s="16" t="n">
        <x:v>1136</x:v>
      </x:c>
      <x:c r="B1139" s="16" t="str">
        <x:v>Awe Hakim</x:v>
      </x:c>
      <x:c r="C1139" s="16" t="str"/>
      <x:c r="D1139" s="16" t="str"/>
      <x:c r="E1139" s="16" t="str">
        <x:v>* myContacts</x:v>
      </x:c>
      <x:c r="F1139" s="16" t="str">
        <x:v>+601111952060</x:v>
      </x:c>
      <x:c r="G1139" s="16" t="str">
        <x:v>+601111952060</x:v>
      </x:c>
      <x:c r="H1139" s="16" t="str">
        <x:v>Excluded</x:v>
      </x:c>
      <x:c r="I1139" s="16" t="str">
        <x:v>Missing email</x:v>
      </x:c>
    </x:row>
    <x:row r="1140">
      <x:c r="A1140" s="16" t="n">
        <x:v>1137</x:v>
      </x:c>
      <x:c r="B1140" s="16" t="str">
        <x:v>Awe Kelate</x:v>
      </x:c>
      <x:c r="C1140" s="16" t="str"/>
      <x:c r="D1140" s="16" t="str"/>
      <x:c r="E1140" s="16" t="str">
        <x:v>* myContacts</x:v>
      </x:c>
      <x:c r="F1140" s="16" t="str">
        <x:v>+60188705624</x:v>
      </x:c>
      <x:c r="G1140" s="16" t="str">
        <x:v>+60188705624</x:v>
      </x:c>
      <x:c r="H1140" s="16" t="str">
        <x:v>Excluded</x:v>
      </x:c>
      <x:c r="I1140" s="16" t="str">
        <x:v>Missing email</x:v>
      </x:c>
    </x:row>
    <x:row r="1141">
      <x:c r="A1141" s="16" t="n">
        <x:v>1138</x:v>
      </x:c>
      <x:c r="B1141" s="16" t="str">
        <x:v>Awgku Azman AdieyBadz</x:v>
      </x:c>
      <x:c r="C1141" s="16" t="str"/>
      <x:c r="D1141" s="16" t="str"/>
      <x:c r="E1141" s="16" t="str">
        <x:v>* myContacts</x:v>
      </x:c>
      <x:c r="F1141" s="16" t="str">
        <x:v>+601119394731</x:v>
      </x:c>
      <x:c r="G1141" s="16" t="str">
        <x:v>+601119394731</x:v>
      </x:c>
      <x:c r="H1141" s="16" t="str">
        <x:v>Excluded</x:v>
      </x:c>
      <x:c r="I1141" s="16" t="str">
        <x:v>Missing email</x:v>
      </x:c>
    </x:row>
    <x:row r="1142">
      <x:c r="A1142" s="16" t="n">
        <x:v>1139</x:v>
      </x:c>
      <x:c r="B1142" s="16" t="str">
        <x:v>Awi Ahmad</x:v>
      </x:c>
      <x:c r="C1142" s="16" t="str"/>
      <x:c r="D1142" s="16" t="str"/>
      <x:c r="E1142" s="16" t="str">
        <x:v>* myContacts</x:v>
      </x:c>
      <x:c r="F1142" s="16" t="str">
        <x:v>+601110616238</x:v>
      </x:c>
      <x:c r="G1142" s="16" t="str">
        <x:v>+601110616238</x:v>
      </x:c>
      <x:c r="H1142" s="16" t="str">
        <x:v>Excluded</x:v>
      </x:c>
      <x:c r="I1142" s="16" t="str">
        <x:v>Missing email</x:v>
      </x:c>
    </x:row>
    <x:row r="1143">
      <x:c r="A1143" s="16" t="n">
        <x:v>1140</x:v>
      </x:c>
      <x:c r="B1143" s="16" t="str">
        <x:v>Awikman Lamase</x:v>
      </x:c>
      <x:c r="C1143" s="16" t="str"/>
      <x:c r="D1143" s="16" t="str"/>
      <x:c r="E1143" s="16" t="str">
        <x:v>* myContacts</x:v>
      </x:c>
      <x:c r="F1143" s="16" t="str">
        <x:v>+60128167519</x:v>
      </x:c>
      <x:c r="G1143" s="16" t="str">
        <x:v>+60128167519</x:v>
      </x:c>
      <x:c r="H1143" s="16" t="str">
        <x:v>Excluded</x:v>
      </x:c>
      <x:c r="I1143" s="16" t="str">
        <x:v>Missing email</x:v>
      </x:c>
    </x:row>
    <x:row r="1144">
      <x:c r="A1144" s="16" t="n">
        <x:v>1141</x:v>
      </x:c>
      <x:c r="B1144" s="16" t="str">
        <x:v>Ayah</x:v>
      </x:c>
      <x:c r="C1144" s="16" t="str"/>
      <x:c r="D1144" s="16" t="str"/>
      <x:c r="E1144" s="16" t="str">
        <x:v>* myContacts</x:v>
      </x:c>
      <x:c r="F1144" s="16" t="str">
        <x:v>+60182771083</x:v>
      </x:c>
      <x:c r="G1144" s="16" t="str">
        <x:v>+60182771083</x:v>
      </x:c>
      <x:c r="H1144" s="16" t="str">
        <x:v>Excluded</x:v>
      </x:c>
      <x:c r="I1144" s="16" t="str">
        <x:v>Missing email</x:v>
      </x:c>
    </x:row>
    <x:row r="1145">
      <x:c r="A1145" s="16" t="n">
        <x:v>1142</x:v>
      </x:c>
      <x:c r="B1145" s="16" t="str">
        <x:v>ayah mat ketereh</x:v>
      </x:c>
      <x:c r="C1145" s="16" t="str"/>
      <x:c r="D1145" s="16" t="str"/>
      <x:c r="E1145" s="16" t="str">
        <x:v>* myContacts</x:v>
      </x:c>
      <x:c r="F1145" s="16" t="str">
        <x:v>0179646808 | +60179646808</x:v>
      </x:c>
      <x:c r="G1145" s="16" t="str">
        <x:v>+60179646808 | +60179646808</x:v>
      </x:c>
      <x:c r="H1145" s="16" t="str">
        <x:v>Excluded</x:v>
      </x:c>
      <x:c r="I1145" s="16" t="str">
        <x:v>Missing email</x:v>
      </x:c>
    </x:row>
    <x:row r="1146">
      <x:c r="A1146" s="16" t="n">
        <x:v>1143</x:v>
      </x:c>
      <x:c r="B1146" s="16" t="str">
        <x:v>Ayah Md Hisham</x:v>
      </x:c>
      <x:c r="C1146" s="16" t="str"/>
      <x:c r="D1146" s="16" t="str"/>
      <x:c r="E1146" s="16" t="str">
        <x:v>* myContacts</x:v>
      </x:c>
      <x:c r="F1146" s="16" t="str">
        <x:v>+60 13-277 8735 | +60132778735</x:v>
      </x:c>
      <x:c r="G1146" s="16" t="str">
        <x:v>+60132778735 | +60132778735</x:v>
      </x:c>
      <x:c r="H1146" s="16" t="str">
        <x:v>Excluded</x:v>
      </x:c>
      <x:c r="I1146" s="16" t="str">
        <x:v>Missing email</x:v>
      </x:c>
    </x:row>
    <x:row r="1147">
      <x:c r="A1147" s="16" t="n">
        <x:v>1144</x:v>
      </x:c>
      <x:c r="B1147" s="16" t="str">
        <x:v>Ayah Zam Merah Bongsu</x:v>
      </x:c>
      <x:c r="C1147" s="16" t="str"/>
      <x:c r="D1147" s="16" t="str"/>
      <x:c r="E1147" s="16" t="str">
        <x:v>* myContacts</x:v>
      </x:c>
      <x:c r="F1147" s="16" t="str">
        <x:v>+60333921717</x:v>
      </x:c>
      <x:c r="G1147" s="16" t="str">
        <x:v>+60333921717</x:v>
      </x:c>
      <x:c r="H1147" s="16" t="str">
        <x:v>Excluded</x:v>
      </x:c>
      <x:c r="I1147" s="16" t="str">
        <x:v>Missing email</x:v>
      </x:c>
    </x:row>
    <x:row r="1148">
      <x:c r="A1148" s="16" t="n">
        <x:v>1145</x:v>
      </x:c>
      <x:c r="B1148" s="16" t="str">
        <x:v>Ayahputri</x:v>
      </x:c>
      <x:c r="C1148" s="16" t="str"/>
      <x:c r="D1148" s="16" t="str"/>
      <x:c r="E1148" s="16" t="str">
        <x:v>* myContacts</x:v>
      </x:c>
      <x:c r="F1148" s="16" t="str">
        <x:v>+6283898579219</x:v>
      </x:c>
      <x:c r="G1148" s="16" t="str">
        <x:v>+6283898579219</x:v>
      </x:c>
      <x:c r="H1148" s="16" t="str">
        <x:v>Excluded</x:v>
      </x:c>
      <x:c r="I1148" s="16" t="str">
        <x:v>Missing email</x:v>
      </x:c>
    </x:row>
    <x:row r="1149">
      <x:c r="A1149" s="16" t="n">
        <x:v>1146</x:v>
      </x:c>
      <x:c r="B1149" s="16" t="str">
        <x:v>Ayang Komeng</x:v>
      </x:c>
      <x:c r="C1149" s="16" t="str"/>
      <x:c r="D1149" s="16" t="str"/>
      <x:c r="E1149" s="16" t="str">
        <x:v>* myContacts</x:v>
      </x:c>
      <x:c r="F1149" s="16" t="str">
        <x:v>+60197112712</x:v>
      </x:c>
      <x:c r="G1149" s="16" t="str">
        <x:v>+60197112712</x:v>
      </x:c>
      <x:c r="H1149" s="16" t="str">
        <x:v>Excluded</x:v>
      </x:c>
      <x:c r="I1149" s="16" t="str">
        <x:v>Missing email</x:v>
      </x:c>
    </x:row>
    <x:row r="1150">
      <x:c r="A1150" s="16" t="n">
        <x:v>1147</x:v>
      </x:c>
      <x:c r="B1150" s="16" t="str">
        <x:v>Ayangejay Ag Jaafar</x:v>
      </x:c>
      <x:c r="C1150" s="16" t="str"/>
      <x:c r="D1150" s="16" t="str"/>
      <x:c r="E1150" s="16" t="str">
        <x:v>* myContacts</x:v>
      </x:c>
      <x:c r="F1150" s="16" t="str">
        <x:v>+60168487506</x:v>
      </x:c>
      <x:c r="G1150" s="16" t="str">
        <x:v>+60168487506</x:v>
      </x:c>
      <x:c r="H1150" s="16" t="str">
        <x:v>Excluded</x:v>
      </x:c>
      <x:c r="I1150" s="16" t="str">
        <x:v>Missing email</x:v>
      </x:c>
    </x:row>
    <x:row r="1151">
      <x:c r="A1151" s="16" t="n">
        <x:v>1148</x:v>
      </x:c>
      <x:c r="B1151" s="16" t="str">
        <x:v>Ayaww Yau</x:v>
      </x:c>
      <x:c r="C1151" s="16" t="str"/>
      <x:c r="D1151" s="16" t="str"/>
      <x:c r="E1151" s="16" t="str">
        <x:v>* myContacts</x:v>
      </x:c>
      <x:c r="F1151" s="16" t="str">
        <x:v>+60148787582</x:v>
      </x:c>
      <x:c r="G1151" s="16" t="str">
        <x:v>+60148787582</x:v>
      </x:c>
      <x:c r="H1151" s="16" t="str">
        <x:v>Excluded</x:v>
      </x:c>
      <x:c r="I1151" s="16" t="str">
        <x:v>Missing email</x:v>
      </x:c>
    </x:row>
    <x:row r="1152">
      <x:c r="A1152" s="16" t="n">
        <x:v>1149</x:v>
      </x:c>
      <x:c r="B1152" s="16" t="str">
        <x:v>Ayee KojEt</x:v>
      </x:c>
      <x:c r="C1152" s="16" t="str"/>
      <x:c r="D1152" s="16" t="str"/>
      <x:c r="E1152" s="16" t="str">
        <x:v>* myContacts</x:v>
      </x:c>
      <x:c r="F1152" s="16" t="str">
        <x:v>+60135149778</x:v>
      </x:c>
      <x:c r="G1152" s="16" t="str">
        <x:v>+60135149778</x:v>
      </x:c>
      <x:c r="H1152" s="16" t="str">
        <x:v>Excluded</x:v>
      </x:c>
      <x:c r="I1152" s="16" t="str">
        <x:v>Missing email</x:v>
      </x:c>
    </x:row>
    <x:row r="1153">
      <x:c r="A1153" s="16" t="n">
        <x:v>1150</x:v>
      </x:c>
      <x:c r="B1153" s="16" t="str">
        <x:v>Ayesha Matt</x:v>
      </x:c>
      <x:c r="C1153" s="16" t="str"/>
      <x:c r="D1153" s="16" t="str"/>
      <x:c r="E1153" s="16" t="str">
        <x:v>* myContacts</x:v>
      </x:c>
      <x:c r="F1153" s="16" t="str">
        <x:v>+60138216799</x:v>
      </x:c>
      <x:c r="G1153" s="16" t="str">
        <x:v>+60138216799</x:v>
      </x:c>
      <x:c r="H1153" s="16" t="str">
        <x:v>Excluded</x:v>
      </x:c>
      <x:c r="I1153" s="16" t="str">
        <x:v>Missing email</x:v>
      </x:c>
    </x:row>
    <x:row r="1154">
      <x:c r="A1154" s="16" t="n">
        <x:v>1151</x:v>
      </x:c>
      <x:c r="B1154" s="16" t="str">
        <x:v>ayie IM</x:v>
      </x:c>
      <x:c r="C1154" s="16" t="str">
        <x:v>aeyiedotcom@gmail.com</x:v>
      </x:c>
      <x:c r="D1154" s="16" t="str">
        <x:v>aeyiedotcom@gmail.com</x:v>
      </x:c>
      <x:c r="E1154" s="16" t="str">
        <x:v>* myContacts</x:v>
      </x:c>
      <x:c r="F1154" s="16" t="str">
        <x:v>0106336036 | +60106336036 | 0107047100</x:v>
      </x:c>
      <x:c r="G1154" s="16" t="str">
        <x:v>+60106336036 | +60106336036 | +60107047100</x:v>
      </x:c>
      <x:c r="H1154" s="16" t="str">
        <x:v>Eligible</x:v>
      </x:c>
      <x:c r="I1154" s="16" t="str"/>
    </x:row>
    <x:row r="1155">
      <x:c r="A1155" s="16" t="n">
        <x:v>1152</x:v>
      </x:c>
      <x:c r="B1155" s="16" t="str">
        <x:v>Ayie Pino Arts</x:v>
      </x:c>
      <x:c r="C1155" s="16" t="str"/>
      <x:c r="D1155" s="16" t="str"/>
      <x:c r="E1155" s="16" t="str">
        <x:v>* myContacts</x:v>
      </x:c>
      <x:c r="F1155" s="16" t="str">
        <x:v>+60173908790</x:v>
      </x:c>
      <x:c r="G1155" s="16" t="str">
        <x:v>+60173908790</x:v>
      </x:c>
      <x:c r="H1155" s="16" t="str">
        <x:v>Excluded</x:v>
      </x:c>
      <x:c r="I1155" s="16" t="str">
        <x:v>Missing email</x:v>
      </x:c>
    </x:row>
    <x:row r="1156">
      <x:c r="A1156" s="16" t="n">
        <x:v>1153</x:v>
      </x:c>
      <x:c r="B1156" s="16" t="str">
        <x:v>Ayie Pomen</x:v>
      </x:c>
      <x:c r="C1156" s="16" t="str"/>
      <x:c r="D1156" s="16" t="str"/>
      <x:c r="E1156" s="16" t="str">
        <x:v>* myContacts</x:v>
      </x:c>
      <x:c r="F1156" s="16" t="str">
        <x:v>+60 12-948 1995 | +60129481995</x:v>
      </x:c>
      <x:c r="G1156" s="16" t="str">
        <x:v>+60129481995 | +60129481995</x:v>
      </x:c>
      <x:c r="H1156" s="16" t="str">
        <x:v>Excluded</x:v>
      </x:c>
      <x:c r="I1156" s="16" t="str">
        <x:v>Missing email</x:v>
      </x:c>
    </x:row>
    <x:row r="1157">
      <x:c r="A1157" s="16" t="n">
        <x:v>1154</x:v>
      </x:c>
      <x:c r="B1157" s="16" t="str">
        <x:v>Ayie Rasau</x:v>
      </x:c>
      <x:c r="C1157" s="16" t="str"/>
      <x:c r="D1157" s="16" t="str"/>
      <x:c r="E1157" s="16" t="str">
        <x:v>* myContacts</x:v>
      </x:c>
      <x:c r="F1157" s="16" t="str">
        <x:v>+60134580001</x:v>
      </x:c>
      <x:c r="G1157" s="16" t="str">
        <x:v>+60134580001</x:v>
      </x:c>
      <x:c r="H1157" s="16" t="str">
        <x:v>Excluded</x:v>
      </x:c>
      <x:c r="I1157" s="16" t="str">
        <x:v>Missing email</x:v>
      </x:c>
    </x:row>
    <x:row r="1158">
      <x:c r="A1158" s="16" t="n">
        <x:v>1155</x:v>
      </x:c>
      <x:c r="B1158" s="16" t="str">
        <x:v>Ayie UPs</x:v>
      </x:c>
      <x:c r="C1158" s="16" t="str"/>
      <x:c r="D1158" s="16" t="str"/>
      <x:c r="E1158" s="16" t="str">
        <x:v>* myContacts</x:v>
      </x:c>
      <x:c r="F1158" s="16" t="str">
        <x:v>+60148216554</x:v>
      </x:c>
      <x:c r="G1158" s="16" t="str">
        <x:v>+60148216554</x:v>
      </x:c>
      <x:c r="H1158" s="16" t="str">
        <x:v>Excluded</x:v>
      </x:c>
      <x:c r="I1158" s="16" t="str">
        <x:v>Missing email</x:v>
      </x:c>
    </x:row>
    <x:row r="1159">
      <x:c r="A1159" s="16" t="n">
        <x:v>1156</x:v>
      </x:c>
      <x:c r="B1159" s="16" t="str">
        <x:v>Ayie Zuzu</x:v>
      </x:c>
      <x:c r="C1159" s="16" t="str"/>
      <x:c r="D1159" s="16" t="str"/>
      <x:c r="E1159" s="16" t="str">
        <x:v>* myContacts</x:v>
      </x:c>
      <x:c r="F1159" s="16" t="str">
        <x:v>017-374 7122 | +60173747122 | /0199965967</x:v>
      </x:c>
      <x:c r="G1159" s="16" t="str">
        <x:v>+60173747122 | +60173747122 | +60199965967</x:v>
      </x:c>
      <x:c r="H1159" s="16" t="str">
        <x:v>Excluded</x:v>
      </x:c>
      <x:c r="I1159" s="16" t="str">
        <x:v>Missing email</x:v>
      </x:c>
    </x:row>
    <x:row r="1160">
      <x:c r="A1160" s="16" t="n">
        <x:v>1157</x:v>
      </x:c>
      <x:c r="B1160" s="16" t="str">
        <x:v>Ayin Kjal</x:v>
      </x:c>
      <x:c r="C1160" s="16" t="str"/>
      <x:c r="D1160" s="16" t="str"/>
      <x:c r="E1160" s="16" t="str">
        <x:v>* myContacts</x:v>
      </x:c>
      <x:c r="F1160" s="16" t="str">
        <x:v>+6087408758</x:v>
      </x:c>
      <x:c r="G1160" s="16" t="str">
        <x:v>+6087408758</x:v>
      </x:c>
      <x:c r="H1160" s="16" t="str">
        <x:v>Excluded</x:v>
      </x:c>
      <x:c r="I1160" s="16" t="str">
        <x:v>Missing email</x:v>
      </x:c>
    </x:row>
    <x:row r="1161">
      <x:c r="A1161" s="16" t="n">
        <x:v>1158</x:v>
      </x:c>
      <x:c r="B1161" s="16" t="str">
        <x:v>ayoi bapak ku punya tv</x:v>
      </x:c>
      <x:c r="C1161" s="16" t="str"/>
      <x:c r="D1161" s="16" t="str"/>
      <x:c r="E1161" s="16" t="str">
        <x:v>* myContacts</x:v>
      </x:c>
      <x:c r="F1161" s="16" t="str">
        <x:v>012-626 3180 | +60126263180</x:v>
      </x:c>
      <x:c r="G1161" s="16" t="str">
        <x:v>+60126263180 | +60126263180</x:v>
      </x:c>
      <x:c r="H1161" s="16" t="str">
        <x:v>Excluded</x:v>
      </x:c>
      <x:c r="I1161" s="16" t="str">
        <x:v>Missing email</x:v>
      </x:c>
    </x:row>
    <x:row r="1162">
      <x:c r="A1162" s="16" t="n">
        <x:v>1159</x:v>
      </x:c>
      <x:c r="B1162" s="16" t="str">
        <x:v>Ayong Utara</x:v>
      </x:c>
      <x:c r="C1162" s="16" t="str"/>
      <x:c r="D1162" s="16" t="str"/>
      <x:c r="E1162" s="16" t="str">
        <x:v>* myContacts</x:v>
      </x:c>
      <x:c r="F1162" s="16" t="str">
        <x:v>+60175844973</x:v>
      </x:c>
      <x:c r="G1162" s="16" t="str">
        <x:v>+60175844973</x:v>
      </x:c>
      <x:c r="H1162" s="16" t="str">
        <x:v>Excluded</x:v>
      </x:c>
      <x:c r="I1162" s="16" t="str">
        <x:v>Missing email</x:v>
      </x:c>
    </x:row>
    <x:row r="1163">
      <x:c r="A1163" s="16" t="n">
        <x:v>1160</x:v>
      </x:c>
      <x:c r="B1163" s="16" t="str">
        <x:v>Ayong Zul</x:v>
      </x:c>
      <x:c r="C1163" s="16" t="str"/>
      <x:c r="D1163" s="16" t="str"/>
      <x:c r="E1163" s="16" t="str">
        <x:v>* myContacts</x:v>
      </x:c>
      <x:c r="F1163" s="16" t="str">
        <x:v>+60 11-2075 2657 | +601120752657</x:v>
      </x:c>
      <x:c r="G1163" s="16" t="str">
        <x:v>+601120752657 | +601120752657</x:v>
      </x:c>
      <x:c r="H1163" s="16" t="str">
        <x:v>Excluded</x:v>
      </x:c>
      <x:c r="I1163" s="16" t="str">
        <x:v>Missing email</x:v>
      </x:c>
    </x:row>
    <x:row r="1164">
      <x:c r="A1164" s="16" t="n">
        <x:v>1161</x:v>
      </x:c>
      <x:c r="B1164" s="16" t="str">
        <x:v>Ayong Zul Mdec</x:v>
      </x:c>
      <x:c r="C1164" s="16" t="str"/>
      <x:c r="D1164" s="16" t="str"/>
      <x:c r="E1164" s="16" t="str">
        <x:v>* myContacts</x:v>
      </x:c>
      <x:c r="F1164" s="16" t="str">
        <x:v>+60 11-2145 6914 | +601121456914</x:v>
      </x:c>
      <x:c r="G1164" s="16" t="str">
        <x:v>+601121456914 | +601121456914</x:v>
      </x:c>
      <x:c r="H1164" s="16" t="str">
        <x:v>Excluded</x:v>
      </x:c>
      <x:c r="I1164" s="16" t="str">
        <x:v>Missing email</x:v>
      </x:c>
    </x:row>
    <x:row r="1165">
      <x:c r="A1165" s="16" t="n">
        <x:v>1162</x:v>
      </x:c>
      <x:c r="B1165" s="16" t="str">
        <x:v>Ayongzul Smart Solution</x:v>
      </x:c>
      <x:c r="C1165" s="16" t="str"/>
      <x:c r="D1165" s="16" t="str"/>
      <x:c r="E1165" s="16" t="str">
        <x:v>* myContacts</x:v>
      </x:c>
      <x:c r="F1165" s="16" t="str">
        <x:v>+60 11-5666 6400 | +601156666400</x:v>
      </x:c>
      <x:c r="G1165" s="16" t="str">
        <x:v>+601156666400 | +601156666400</x:v>
      </x:c>
      <x:c r="H1165" s="16" t="str">
        <x:v>Excluded</x:v>
      </x:c>
      <x:c r="I1165" s="16" t="str">
        <x:v>Missing email</x:v>
      </x:c>
    </x:row>
    <x:row r="1166">
      <x:c r="A1166" s="16" t="n">
        <x:v>1163</x:v>
      </x:c>
      <x:c r="B1166" s="16" t="str">
        <x:v>Ayrief Gold</x:v>
      </x:c>
      <x:c r="C1166" s="16" t="str"/>
      <x:c r="D1166" s="16" t="str"/>
      <x:c r="E1166" s="16" t="str">
        <x:v>* myContacts</x:v>
      </x:c>
      <x:c r="F1166" s="16" t="str">
        <x:v>+60192670670</x:v>
      </x:c>
      <x:c r="G1166" s="16" t="str">
        <x:v>+60192670670</x:v>
      </x:c>
      <x:c r="H1166" s="16" t="str">
        <x:v>Excluded</x:v>
      </x:c>
      <x:c r="I1166" s="16" t="str">
        <x:v>Missing email</x:v>
      </x:c>
    </x:row>
    <x:row r="1167">
      <x:c r="A1167" s="16" t="n">
        <x:v>1164</x:v>
      </x:c>
      <x:c r="B1167" s="16" t="str">
        <x:v>Ayu Adik Beradik Abg Abu</x:v>
      </x:c>
      <x:c r="C1167" s="16" t="str">
        <x:v>Majesticeventssb@gmail.com</x:v>
      </x:c>
      <x:c r="D1167" s="16" t="str">
        <x:v>majesticeventssb@gmail.com</x:v>
      </x:c>
      <x:c r="E1167" s="16" t="str">
        <x:v>* myContacts</x:v>
      </x:c>
      <x:c r="F1167" s="16" t="str">
        <x:v>+60 12-297 8417 | +60122978417</x:v>
      </x:c>
      <x:c r="G1167" s="16" t="str">
        <x:v>+60122978417 | +60122978417</x:v>
      </x:c>
      <x:c r="H1167" s="16" t="str">
        <x:v>Eligible</x:v>
      </x:c>
      <x:c r="I1167" s="16" t="str"/>
    </x:row>
    <x:row r="1168">
      <x:c r="A1168" s="16" t="n">
        <x:v>1165</x:v>
      </x:c>
      <x:c r="B1168" s="16" t="str">
        <x:v>Ayu Adila</x:v>
      </x:c>
      <x:c r="C1168" s="16" t="str"/>
      <x:c r="D1168" s="16" t="str"/>
      <x:c r="E1168" s="16" t="str">
        <x:v>* myContacts</x:v>
      </x:c>
      <x:c r="F1168" s="16" t="str">
        <x:v>+60175035761</x:v>
      </x:c>
      <x:c r="G1168" s="16" t="str">
        <x:v>+60175035761</x:v>
      </x:c>
      <x:c r="H1168" s="16" t="str">
        <x:v>Excluded</x:v>
      </x:c>
      <x:c r="I1168" s="16" t="str">
        <x:v>Missing email</x:v>
      </x:c>
    </x:row>
    <x:row r="1169">
      <x:c r="A1169" s="16" t="n">
        <x:v>1166</x:v>
      </x:c>
      <x:c r="B1169" s="16" t="str">
        <x:v>Ayu Farhana</x:v>
      </x:c>
      <x:c r="C1169" s="16" t="str"/>
      <x:c r="D1169" s="16" t="str"/>
      <x:c r="E1169" s="16" t="str">
        <x:v>* myContacts</x:v>
      </x:c>
      <x:c r="F1169" s="16" t="str">
        <x:v>+60109174613</x:v>
      </x:c>
      <x:c r="G1169" s="16" t="str">
        <x:v>+60109174613</x:v>
      </x:c>
      <x:c r="H1169" s="16" t="str">
        <x:v>Excluded</x:v>
      </x:c>
      <x:c r="I1169" s="16" t="str">
        <x:v>Missing email</x:v>
      </x:c>
    </x:row>
    <x:row r="1170">
      <x:c r="A1170" s="16" t="n">
        <x:v>1167</x:v>
      </x:c>
      <x:c r="B1170" s="16" t="str">
        <x:v>Ayu JnJ</x:v>
      </x:c>
      <x:c r="C1170" s="16" t="str"/>
      <x:c r="D1170" s="16" t="str"/>
      <x:c r="E1170" s="16" t="str">
        <x:v>* myContacts</x:v>
      </x:c>
      <x:c r="F1170" s="16" t="str">
        <x:v>0123404300 | +60123404300</x:v>
      </x:c>
      <x:c r="G1170" s="16" t="str">
        <x:v>+60123404300 | +60123404300</x:v>
      </x:c>
      <x:c r="H1170" s="16" t="str">
        <x:v>Excluded</x:v>
      </x:c>
      <x:c r="I1170" s="16" t="str">
        <x:v>Missing email</x:v>
      </x:c>
    </x:row>
    <x:row r="1171">
      <x:c r="A1171" s="16" t="n">
        <x:v>1168</x:v>
      </x:c>
      <x:c r="B1171" s="16" t="str">
        <x:v>AyuCake House</x:v>
      </x:c>
      <x:c r="C1171" s="16" t="str"/>
      <x:c r="D1171" s="16" t="str"/>
      <x:c r="E1171" s="16" t="str">
        <x:v>* myContacts</x:v>
      </x:c>
      <x:c r="F1171" s="16" t="str">
        <x:v>+60331765793</x:v>
      </x:c>
      <x:c r="G1171" s="16" t="str">
        <x:v>+60331765793</x:v>
      </x:c>
      <x:c r="H1171" s="16" t="str">
        <x:v>Excluded</x:v>
      </x:c>
      <x:c r="I1171" s="16" t="str">
        <x:v>Missing email</x:v>
      </x:c>
    </x:row>
    <x:row r="1172">
      <x:c r="A1172" s="16" t="n">
        <x:v>1169</x:v>
      </x:c>
      <x:c r="B1172" s="16" t="str">
        <x:v>Ayum Kadir</x:v>
      </x:c>
      <x:c r="C1172" s="16" t="str"/>
      <x:c r="D1172" s="16" t="str"/>
      <x:c r="E1172" s="16" t="str">
        <x:v>* myContacts</x:v>
      </x:c>
      <x:c r="F1172" s="16" t="str">
        <x:v>+60168844198</x:v>
      </x:c>
      <x:c r="G1172" s="16" t="str">
        <x:v>+60168844198</x:v>
      </x:c>
      <x:c r="H1172" s="16" t="str">
        <x:v>Excluded</x:v>
      </x:c>
      <x:c r="I1172" s="16" t="str">
        <x:v>Missing email</x:v>
      </x:c>
    </x:row>
    <x:row r="1173">
      <x:c r="A1173" s="16" t="n">
        <x:v>1170</x:v>
      </x:c>
      <x:c r="B1173" s="16" t="str">
        <x:v>Ayumia Mia</x:v>
      </x:c>
      <x:c r="C1173" s="16" t="str"/>
      <x:c r="D1173" s="16" t="str"/>
      <x:c r="E1173" s="16" t="str">
        <x:v>* myContacts</x:v>
      </x:c>
      <x:c r="F1173" s="16" t="str">
        <x:v>+60176827295</x:v>
      </x:c>
      <x:c r="G1173" s="16" t="str">
        <x:v>+60176827295</x:v>
      </x:c>
      <x:c r="H1173" s="16" t="str">
        <x:v>Excluded</x:v>
      </x:c>
      <x:c r="I1173" s="16" t="str">
        <x:v>Missing email</x:v>
      </x:c>
    </x:row>
    <x:row r="1174">
      <x:c r="A1174" s="16" t="n">
        <x:v>1171</x:v>
      </x:c>
      <x:c r="B1174" s="16" t="str">
        <x:v>Ayuni Anam</x:v>
      </x:c>
      <x:c r="C1174" s="16" t="str"/>
      <x:c r="D1174" s="16" t="str"/>
      <x:c r="E1174" s="16" t="str">
        <x:v>* myContacts</x:v>
      </x:c>
      <x:c r="F1174" s="16" t="str">
        <x:v>+60189641091</x:v>
      </x:c>
      <x:c r="G1174" s="16" t="str">
        <x:v>+60189641091</x:v>
      </x:c>
      <x:c r="H1174" s="16" t="str">
        <x:v>Excluded</x:v>
      </x:c>
      <x:c r="I1174" s="16" t="str">
        <x:v>Missing email</x:v>
      </x:c>
    </x:row>
    <x:row r="1175">
      <x:c r="A1175" s="16" t="n">
        <x:v>1172</x:v>
      </x:c>
      <x:c r="B1175" s="16" t="str">
        <x:v>Ayuni Pemborong Kosmetik Murah</x:v>
      </x:c>
      <x:c r="C1175" s="16" t="str"/>
      <x:c r="D1175" s="16" t="str"/>
      <x:c r="E1175" s="16" t="str">
        <x:v>* myContacts</x:v>
      </x:c>
      <x:c r="F1175" s="16" t="str">
        <x:v>+60146024062</x:v>
      </x:c>
      <x:c r="G1175" s="16" t="str">
        <x:v>+60146024062</x:v>
      </x:c>
      <x:c r="H1175" s="16" t="str">
        <x:v>Excluded</x:v>
      </x:c>
      <x:c r="I1175" s="16" t="str">
        <x:v>Missing email</x:v>
      </x:c>
    </x:row>
    <x:row r="1176">
      <x:c r="A1176" s="16" t="n">
        <x:v>1173</x:v>
      </x:c>
      <x:c r="B1176" s="16" t="str">
        <x:v>Ayuvvi Yanti</x:v>
      </x:c>
      <x:c r="C1176" s="16" t="str"/>
      <x:c r="D1176" s="16" t="str"/>
      <x:c r="E1176" s="16" t="str">
        <x:v>* myContacts</x:v>
      </x:c>
      <x:c r="F1176" s="16" t="str">
        <x:v>+601112665233</x:v>
      </x:c>
      <x:c r="G1176" s="16" t="str">
        <x:v>+601112665233</x:v>
      </x:c>
      <x:c r="H1176" s="16" t="str">
        <x:v>Excluded</x:v>
      </x:c>
      <x:c r="I1176" s="16" t="str">
        <x:v>Missing email</x:v>
      </x:c>
    </x:row>
    <x:row r="1177">
      <x:c r="A1177" s="16" t="n">
        <x:v>1174</x:v>
      </x:c>
      <x:c r="B1177" s="16" t="str">
        <x:v>Az Afiq</x:v>
      </x:c>
      <x:c r="C1177" s="16" t="str"/>
      <x:c r="D1177" s="16" t="str"/>
      <x:c r="E1177" s="16" t="str">
        <x:v>* myContacts</x:v>
      </x:c>
      <x:c r="F1177" s="16" t="str">
        <x:v>+60173469965</x:v>
      </x:c>
      <x:c r="G1177" s="16" t="str">
        <x:v>+60173469965</x:v>
      </x:c>
      <x:c r="H1177" s="16" t="str">
        <x:v>Excluded</x:v>
      </x:c>
      <x:c r="I1177" s="16" t="str">
        <x:v>Missing email</x:v>
      </x:c>
    </x:row>
    <x:row r="1178">
      <x:c r="A1178" s="16" t="n">
        <x:v>1175</x:v>
      </x:c>
      <x:c r="B1178" s="16" t="str">
        <x:v>Aza Cantek</x:v>
      </x:c>
      <x:c r="C1178" s="16" t="str"/>
      <x:c r="D1178" s="16" t="str"/>
      <x:c r="E1178" s="16" t="str">
        <x:v>* myContacts</x:v>
      </x:c>
      <x:c r="F1178" s="16" t="str">
        <x:v>+60134376735</x:v>
      </x:c>
      <x:c r="G1178" s="16" t="str">
        <x:v>+60134376735</x:v>
      </x:c>
      <x:c r="H1178" s="16" t="str">
        <x:v>Excluded</x:v>
      </x:c>
      <x:c r="I1178" s="16" t="str">
        <x:v>Missing email</x:v>
      </x:c>
    </x:row>
    <x:row r="1179">
      <x:c r="A1179" s="16" t="n">
        <x:v>1176</x:v>
      </x:c>
      <x:c r="B1179" s="16" t="str">
        <x:v>Azad Jasmi</x:v>
      </x:c>
      <x:c r="C1179" s="16" t="str"/>
      <x:c r="D1179" s="16" t="str"/>
      <x:c r="E1179" s="16" t="str">
        <x:v>* myContacts</x:v>
      </x:c>
      <x:c r="F1179" s="16" t="str">
        <x:v>+60133016666</x:v>
      </x:c>
      <x:c r="G1179" s="16" t="str">
        <x:v>+60133016666</x:v>
      </x:c>
      <x:c r="H1179" s="16" t="str">
        <x:v>Excluded</x:v>
      </x:c>
      <x:c r="I1179" s="16" t="str">
        <x:v>Missing email</x:v>
      </x:c>
    </x:row>
    <x:row r="1180">
      <x:c r="A1180" s="16" t="n">
        <x:v>1177</x:v>
      </x:c>
      <x:c r="B1180" s="16" t="str">
        <x:v>Azahari Mansor Arie</x:v>
      </x:c>
      <x:c r="C1180" s="16" t="str"/>
      <x:c r="D1180" s="16" t="str"/>
      <x:c r="E1180" s="16" t="str">
        <x:v>* myContacts</x:v>
      </x:c>
      <x:c r="F1180" s="16" t="str">
        <x:v>+601139344875</x:v>
      </x:c>
      <x:c r="G1180" s="16" t="str">
        <x:v>+601139344875</x:v>
      </x:c>
      <x:c r="H1180" s="16" t="str">
        <x:v>Excluded</x:v>
      </x:c>
      <x:c r="I1180" s="16" t="str">
        <x:v>Missing email</x:v>
      </x:c>
    </x:row>
    <x:row r="1181">
      <x:c r="A1181" s="16" t="n">
        <x:v>1178</x:v>
      </x:c>
      <x:c r="B1181" s="16" t="str">
        <x:v>Azal Dropship Baju Baby</x:v>
      </x:c>
      <x:c r="C1181" s="16" t="str"/>
      <x:c r="D1181" s="16" t="str"/>
      <x:c r="E1181" s="16" t="str">
        <x:v>* myContacts</x:v>
      </x:c>
      <x:c r="F1181" s="16" t="str">
        <x:v>+60182099192</x:v>
      </x:c>
      <x:c r="G1181" s="16" t="str">
        <x:v>+60182099192</x:v>
      </x:c>
      <x:c r="H1181" s="16" t="str">
        <x:v>Excluded</x:v>
      </x:c>
      <x:c r="I1181" s="16" t="str">
        <x:v>Missing email</x:v>
      </x:c>
    </x:row>
    <x:row r="1182">
      <x:c r="A1182" s="16" t="n">
        <x:v>1179</x:v>
      </x:c>
      <x:c r="B1182" s="16" t="str">
        <x:v>Azalan Derasit</x:v>
      </x:c>
      <x:c r="C1182" s="16" t="str"/>
      <x:c r="D1182" s="16" t="str"/>
      <x:c r="E1182" s="16" t="str">
        <x:v>* myContacts</x:v>
      </x:c>
      <x:c r="F1182" s="16" t="str">
        <x:v>+60198111106</x:v>
      </x:c>
      <x:c r="G1182" s="16" t="str">
        <x:v>+60198111106</x:v>
      </x:c>
      <x:c r="H1182" s="16" t="str">
        <x:v>Excluded</x:v>
      </x:c>
      <x:c r="I1182" s="16" t="str">
        <x:v>Missing email</x:v>
      </x:c>
    </x:row>
    <x:row r="1183">
      <x:c r="A1183" s="16" t="n">
        <x:v>1180</x:v>
      </x:c>
      <x:c r="B1183" s="16" t="str">
        <x:v>Azali Firdaus AJ</x:v>
      </x:c>
      <x:c r="C1183" s="16" t="str"/>
      <x:c r="D1183" s="16" t="str"/>
      <x:c r="E1183" s="16" t="str">
        <x:v>* myContacts</x:v>
      </x:c>
      <x:c r="F1183" s="16" t="str">
        <x:v>+60 14-325 0808 | +60143250808 | 01117736330</x:v>
      </x:c>
      <x:c r="G1183" s="16" t="str">
        <x:v>+60143250808 | +60143250808 | +601117736330</x:v>
      </x:c>
      <x:c r="H1183" s="16" t="str">
        <x:v>Excluded</x:v>
      </x:c>
      <x:c r="I1183" s="16" t="str">
        <x:v>Missing email</x:v>
      </x:c>
    </x:row>
    <x:row r="1184">
      <x:c r="A1184" s="16" t="n">
        <x:v>1181</x:v>
      </x:c>
      <x:c r="B1184" s="16" t="str">
        <x:v>Azalina AGP</x:v>
      </x:c>
      <x:c r="C1184" s="16" t="str"/>
      <x:c r="D1184" s="16" t="str"/>
      <x:c r="E1184" s="16" t="str">
        <x:v>* myContacts</x:v>
      </x:c>
      <x:c r="F1184" s="16" t="str">
        <x:v>+60 13-841 3139 | +60138413139</x:v>
      </x:c>
      <x:c r="G1184" s="16" t="str">
        <x:v>+60138413139 | +60138413139</x:v>
      </x:c>
      <x:c r="H1184" s="16" t="str">
        <x:v>Excluded</x:v>
      </x:c>
      <x:c r="I1184" s="16" t="str">
        <x:v>Missing email</x:v>
      </x:c>
    </x:row>
    <x:row r="1185">
      <x:c r="A1185" s="16" t="n">
        <x:v>1182</x:v>
      </x:c>
      <x:c r="B1185" s="16" t="str">
        <x:v>Azalina Muhamad</x:v>
      </x:c>
      <x:c r="C1185" s="16" t="str"/>
      <x:c r="D1185" s="16" t="str"/>
      <x:c r="E1185" s="16" t="str">
        <x:v>* myContacts</x:v>
      </x:c>
      <x:c r="F1185" s="16" t="str">
        <x:v>+601117881648</x:v>
      </x:c>
      <x:c r="G1185" s="16" t="str">
        <x:v>+601117881648</x:v>
      </x:c>
      <x:c r="H1185" s="16" t="str">
        <x:v>Excluded</x:v>
      </x:c>
      <x:c r="I1185" s="16" t="str">
        <x:v>Missing email</x:v>
      </x:c>
    </x:row>
    <x:row r="1186">
      <x:c r="A1186" s="16" t="n">
        <x:v>1183</x:v>
      </x:c>
      <x:c r="B1186" s="16" t="str">
        <x:v>Azam Kumoten Business Development</x:v>
      </x:c>
      <x:c r="C1186" s="16" t="str"/>
      <x:c r="D1186" s="16" t="str"/>
      <x:c r="E1186" s="16" t="str">
        <x:v>* myContacts</x:v>
      </x:c>
      <x:c r="F1186" s="16" t="str">
        <x:v>017-319 5407 | +60173195407</x:v>
      </x:c>
      <x:c r="G1186" s="16" t="str">
        <x:v>+60173195407 | +60173195407</x:v>
      </x:c>
      <x:c r="H1186" s="16" t="str">
        <x:v>Excluded</x:v>
      </x:c>
      <x:c r="I1186" s="16" t="str">
        <x:v>Missing email</x:v>
      </x:c>
    </x:row>
    <x:row r="1187">
      <x:c r="A1187" s="16" t="n">
        <x:v>1184</x:v>
      </x:c>
      <x:c r="B1187" s="16" t="str">
        <x:v>Azam M Norazm</x:v>
      </x:c>
      <x:c r="C1187" s="16" t="str"/>
      <x:c r="D1187" s="16" t="str"/>
      <x:c r="E1187" s="16" t="str">
        <x:v>* myContacts</x:v>
      </x:c>
      <x:c r="F1187" s="16" t="str">
        <x:v>+60123551738</x:v>
      </x:c>
      <x:c r="G1187" s="16" t="str">
        <x:v>+60123551738</x:v>
      </x:c>
      <x:c r="H1187" s="16" t="str">
        <x:v>Excluded</x:v>
      </x:c>
      <x:c r="I1187" s="16" t="str">
        <x:v>Missing email</x:v>
      </x:c>
    </x:row>
    <x:row r="1188">
      <x:c r="A1188" s="16" t="n">
        <x:v>1185</x:v>
      </x:c>
      <x:c r="B1188" s="16" t="str">
        <x:v>Azam Saeni</x:v>
      </x:c>
      <x:c r="C1188" s="16" t="str"/>
      <x:c r="D1188" s="16" t="str"/>
      <x:c r="E1188" s="16" t="str">
        <x:v>* myContacts</x:v>
      </x:c>
      <x:c r="F1188" s="16" t="str">
        <x:v>+60194640815</x:v>
      </x:c>
      <x:c r="G1188" s="16" t="str">
        <x:v>+60194640815</x:v>
      </x:c>
      <x:c r="H1188" s="16" t="str">
        <x:v>Excluded</x:v>
      </x:c>
      <x:c r="I1188" s="16" t="str">
        <x:v>Missing email</x:v>
      </x:c>
    </x:row>
    <x:row r="1189">
      <x:c r="A1189" s="16" t="n">
        <x:v>1186</x:v>
      </x:c>
      <x:c r="B1189" s="16" t="str">
        <x:v>Azam Said</x:v>
      </x:c>
      <x:c r="C1189" s="16" t="str"/>
      <x:c r="D1189" s="16" t="str"/>
      <x:c r="E1189" s="16" t="str">
        <x:v>* myContacts</x:v>
      </x:c>
      <x:c r="F1189" s="16" t="str">
        <x:v>+60179283966</x:v>
      </x:c>
      <x:c r="G1189" s="16" t="str">
        <x:v>+60179283966</x:v>
      </x:c>
      <x:c r="H1189" s="16" t="str">
        <x:v>Excluded</x:v>
      </x:c>
      <x:c r="I1189" s="16" t="str">
        <x:v>Missing email</x:v>
      </x:c>
    </x:row>
    <x:row r="1190">
      <x:c r="A1190" s="16" t="n">
        <x:v>1187</x:v>
      </x:c>
      <x:c r="B1190" s="16" t="str">
        <x:v>Azam Sarlan</x:v>
      </x:c>
      <x:c r="C1190" s="16" t="str"/>
      <x:c r="D1190" s="16" t="str"/>
      <x:c r="E1190" s="16" t="str">
        <x:v>* myContacts</x:v>
      </x:c>
      <x:c r="F1190" s="16" t="str">
        <x:v>+60102268460</x:v>
      </x:c>
      <x:c r="G1190" s="16" t="str">
        <x:v>+60102268460</x:v>
      </x:c>
      <x:c r="H1190" s="16" t="str">
        <x:v>Excluded</x:v>
      </x:c>
      <x:c r="I1190" s="16" t="str">
        <x:v>Missing email</x:v>
      </x:c>
    </x:row>
    <x:row r="1191">
      <x:c r="A1191" s="16" t="n">
        <x:v>1188</x:v>
      </x:c>
      <x:c r="B1191" s="16" t="str">
        <x:v>Azam Udin</x:v>
      </x:c>
      <x:c r="C1191" s="16" t="str"/>
      <x:c r="D1191" s="16" t="str"/>
      <x:c r="E1191" s="16" t="str">
        <x:v>* myContacts</x:v>
      </x:c>
      <x:c r="F1191" s="16" t="str">
        <x:v>+60148995371</x:v>
      </x:c>
      <x:c r="G1191" s="16" t="str">
        <x:v>+60148995371</x:v>
      </x:c>
      <x:c r="H1191" s="16" t="str">
        <x:v>Excluded</x:v>
      </x:c>
      <x:c r="I1191" s="16" t="str">
        <x:v>Missing email</x:v>
      </x:c>
    </x:row>
    <x:row r="1192">
      <x:c r="A1192" s="16" t="n">
        <x:v>1189</x:v>
      </x:c>
      <x:c r="B1192" s="16" t="str">
        <x:v>Azamil Izzat Nazlan Ozizi</x:v>
      </x:c>
      <x:c r="C1192" s="16" t="str"/>
      <x:c r="D1192" s="16" t="str"/>
      <x:c r="E1192" s="16" t="str">
        <x:v>* myContacts</x:v>
      </x:c>
      <x:c r="F1192" s="16" t="str">
        <x:v>+60 12-932 5722 | +60129325722</x:v>
      </x:c>
      <x:c r="G1192" s="16" t="str">
        <x:v>+60129325722 | +60129325722</x:v>
      </x:c>
      <x:c r="H1192" s="16" t="str">
        <x:v>Excluded</x:v>
      </x:c>
      <x:c r="I1192" s="16" t="str">
        <x:v>Missing email</x:v>
      </x:c>
    </x:row>
    <x:row r="1193">
      <x:c r="A1193" s="16" t="n">
        <x:v>1190</x:v>
      </x:c>
      <x:c r="B1193" s="16" t="str">
        <x:v>Azan Aiman</x:v>
      </x:c>
      <x:c r="C1193" s="16" t="str"/>
      <x:c r="D1193" s="16" t="str"/>
      <x:c r="E1193" s="16" t="str">
        <x:v>* myContacts</x:v>
      </x:c>
      <x:c r="F1193" s="16" t="str">
        <x:v>+60195428142</x:v>
      </x:c>
      <x:c r="G1193" s="16" t="str">
        <x:v>+60195428142</x:v>
      </x:c>
      <x:c r="H1193" s="16" t="str">
        <x:v>Excluded</x:v>
      </x:c>
      <x:c r="I1193" s="16" t="str">
        <x:v>Missing email</x:v>
      </x:c>
    </x:row>
    <x:row r="1194">
      <x:c r="A1194" s="16" t="n">
        <x:v>1191</x:v>
      </x:c>
      <x:c r="B1194" s="16" t="str">
        <x:v>Azaneen TMNET</x:v>
      </x:c>
      <x:c r="C1194" s="16" t="str"/>
      <x:c r="D1194" s="16" t="str"/>
      <x:c r="E1194" s="16" t="str">
        <x:v>* myContacts</x:v>
      </x:c>
      <x:c r="F1194" s="16" t="str">
        <x:v>+60 19-614 1303 | +60196141303</x:v>
      </x:c>
      <x:c r="G1194" s="16" t="str">
        <x:v>+60196141303 | +60196141303</x:v>
      </x:c>
      <x:c r="H1194" s="16" t="str">
        <x:v>Excluded</x:v>
      </x:c>
      <x:c r="I1194" s="16" t="str">
        <x:v>Missing email</x:v>
      </x:c>
    </x:row>
    <x:row r="1195">
      <x:c r="A1195" s="16" t="n">
        <x:v>1192</x:v>
      </x:c>
      <x:c r="B1195" s="16" t="str">
        <x:v>Azeem Candidate</x:v>
      </x:c>
      <x:c r="C1195" s="16" t="str"/>
      <x:c r="D1195" s="16" t="str"/>
      <x:c r="E1195" s="16" t="str">
        <x:v>* myContacts</x:v>
      </x:c>
      <x:c r="F1195" s="16" t="str">
        <x:v>+60 18-230 5125 | +60182305125</x:v>
      </x:c>
      <x:c r="G1195" s="16" t="str">
        <x:v>+60182305125 | +60182305125</x:v>
      </x:c>
      <x:c r="H1195" s="16" t="str">
        <x:v>Excluded</x:v>
      </x:c>
      <x:c r="I1195" s="16" t="str">
        <x:v>Missing email</x:v>
      </x:c>
    </x:row>
    <x:row r="1196">
      <x:c r="A1196" s="16" t="n">
        <x:v>1193</x:v>
      </x:c>
      <x:c r="B1196" s="16" t="str">
        <x:v>azeem IM</x:v>
      </x:c>
      <x:c r="C1196" s="16" t="str"/>
      <x:c r="D1196" s="16" t="str"/>
      <x:c r="E1196" s="16" t="str">
        <x:v>* myContacts</x:v>
      </x:c>
      <x:c r="F1196" s="16" t="str">
        <x:v>0103647502 | +60103647502</x:v>
      </x:c>
      <x:c r="G1196" s="16" t="str">
        <x:v>+60103647502 | +60103647502</x:v>
      </x:c>
      <x:c r="H1196" s="16" t="str">
        <x:v>Excluded</x:v>
      </x:c>
      <x:c r="I1196" s="16" t="str">
        <x:v>Missing email</x:v>
      </x:c>
    </x:row>
    <x:row r="1197">
      <x:c r="A1197" s="16" t="n">
        <x:v>1194</x:v>
      </x:c>
      <x:c r="B1197" s="16" t="str">
        <x:v>Azeera Azmi</x:v>
      </x:c>
      <x:c r="C1197" s="16" t="str"/>
      <x:c r="D1197" s="16" t="str"/>
      <x:c r="E1197" s="16" t="str">
        <x:v>* myContacts</x:v>
      </x:c>
      <x:c r="F1197" s="16" t="str">
        <x:v>+60184608547</x:v>
      </x:c>
      <x:c r="G1197" s="16" t="str">
        <x:v>+60184608547</x:v>
      </x:c>
      <x:c r="H1197" s="16" t="str">
        <x:v>Excluded</x:v>
      </x:c>
      <x:c r="I1197" s="16" t="str">
        <x:v>Missing email</x:v>
      </x:c>
    </x:row>
    <x:row r="1198">
      <x:c r="A1198" s="16" t="n">
        <x:v>1195</x:v>
      </x:c>
      <x:c r="B1198" s="16" t="str">
        <x:v>Azeim Abu Bakar</x:v>
      </x:c>
      <x:c r="C1198" s="16" t="str"/>
      <x:c r="D1198" s="16" t="str"/>
      <x:c r="E1198" s="16" t="str">
        <x:v>* myContacts</x:v>
      </x:c>
      <x:c r="F1198" s="16" t="str">
        <x:v>+601119322939</x:v>
      </x:c>
      <x:c r="G1198" s="16" t="str">
        <x:v>+601119322939</x:v>
      </x:c>
      <x:c r="H1198" s="16" t="str">
        <x:v>Excluded</x:v>
      </x:c>
      <x:c r="I1198" s="16" t="str">
        <x:v>Missing email</x:v>
      </x:c>
    </x:row>
    <x:row r="1199">
      <x:c r="A1199" s="16" t="n">
        <x:v>1196</x:v>
      </x:c>
      <x:c r="B1199" s="16" t="str">
        <x:v>Azfar</x:v>
      </x:c>
      <x:c r="C1199" s="16" t="str"/>
      <x:c r="D1199" s="16" t="str"/>
      <x:c r="E1199" s="16" t="str">
        <x:v>* myContacts</x:v>
      </x:c>
      <x:c r="F1199" s="16" t="str">
        <x:v>+60183850724</x:v>
      </x:c>
      <x:c r="G1199" s="16" t="str">
        <x:v>+60183850724</x:v>
      </x:c>
      <x:c r="H1199" s="16" t="str">
        <x:v>Excluded</x:v>
      </x:c>
      <x:c r="I1199" s="16" t="str">
        <x:v>Missing email</x:v>
      </x:c>
    </x:row>
    <x:row r="1200">
      <x:c r="A1200" s="16" t="n">
        <x:v>1197</x:v>
      </x:c>
      <x:c r="B1200" s="16" t="str">
        <x:v>Azgar</x:v>
      </x:c>
      <x:c r="C1200" s="16" t="str"/>
      <x:c r="D1200" s="16" t="str"/>
      <x:c r="E1200" s="16" t="str">
        <x:v>* myContacts</x:v>
      </x:c>
      <x:c r="F1200" s="16" t="str">
        <x:v>+6285353997297</x:v>
      </x:c>
      <x:c r="G1200" s="16" t="str">
        <x:v>+6285353997297</x:v>
      </x:c>
      <x:c r="H1200" s="16" t="str">
        <x:v>Excluded</x:v>
      </x:c>
      <x:c r="I1200" s="16" t="str">
        <x:v>Missing email</x:v>
      </x:c>
    </x:row>
    <x:row r="1201">
      <x:c r="A1201" s="16" t="n">
        <x:v>1198</x:v>
      </x:c>
      <x:c r="B1201" s="16" t="str">
        <x:v>Azh Azh Dendra</x:v>
      </x:c>
      <x:c r="C1201" s="16" t="str"/>
      <x:c r="D1201" s="16" t="str"/>
      <x:c r="E1201" s="16" t="str">
        <x:v>* myContacts</x:v>
      </x:c>
      <x:c r="F1201" s="16" t="str">
        <x:v>+6281220124003</x:v>
      </x:c>
      <x:c r="G1201" s="16" t="str">
        <x:v>+6281220124003</x:v>
      </x:c>
      <x:c r="H1201" s="16" t="str">
        <x:v>Excluded</x:v>
      </x:c>
      <x:c r="I1201" s="16" t="str">
        <x:v>Missing email</x:v>
      </x:c>
    </x:row>
    <x:row r="1202">
      <x:c r="A1202" s="16" t="n">
        <x:v>1199</x:v>
      </x:c>
      <x:c r="B1202" s="16" t="str">
        <x:v>Azhar Azam</x:v>
      </x:c>
      <x:c r="C1202" s="16" t="str"/>
      <x:c r="D1202" s="16" t="str"/>
      <x:c r="E1202" s="16" t="str">
        <x:v>* myContacts</x:v>
      </x:c>
      <x:c r="F1202" s="16" t="str">
        <x:v>0194724657 | +60194724657</x:v>
      </x:c>
      <x:c r="G1202" s="16" t="str">
        <x:v>+60194724657 | +60194724657</x:v>
      </x:c>
      <x:c r="H1202" s="16" t="str">
        <x:v>Excluded</x:v>
      </x:c>
      <x:c r="I1202" s="16" t="str">
        <x:v>Missing email</x:v>
      </x:c>
    </x:row>
    <x:row r="1203">
      <x:c r="A1203" s="16" t="n">
        <x:v>1200</x:v>
      </x:c>
      <x:c r="B1203" s="16" t="str">
        <x:v>Azhar B. Arsad</x:v>
      </x:c>
      <x:c r="C1203" s="16" t="str"/>
      <x:c r="D1203" s="16" t="str"/>
      <x:c r="E1203" s="16" t="str">
        <x:v>* myContacts</x:v>
      </x:c>
      <x:c r="F1203" s="16" t="str">
        <x:v>+60132611146</x:v>
      </x:c>
      <x:c r="G1203" s="16" t="str">
        <x:v>+60132611146</x:v>
      </x:c>
      <x:c r="H1203" s="16" t="str">
        <x:v>Excluded</x:v>
      </x:c>
      <x:c r="I1203" s="16" t="str">
        <x:v>Missing email</x:v>
      </x:c>
    </x:row>
    <x:row r="1204">
      <x:c r="A1204" s="16" t="n">
        <x:v>1201</x:v>
      </x:c>
      <x:c r="B1204" s="16" t="str">
        <x:v>Azhar Fitness Trainer</x:v>
      </x:c>
      <x:c r="C1204" s="16" t="str"/>
      <x:c r="D1204" s="16" t="str"/>
      <x:c r="E1204" s="16" t="str">
        <x:v>Trainer | * myContacts</x:v>
      </x:c>
      <x:c r="F1204" s="16" t="str">
        <x:v>+60 13-653 7188 | +60136537188</x:v>
      </x:c>
      <x:c r="G1204" s="16" t="str">
        <x:v>+60136537188 | +60136537188</x:v>
      </x:c>
      <x:c r="H1204" s="16" t="str">
        <x:v>Excluded</x:v>
      </x:c>
      <x:c r="I1204" s="16" t="str">
        <x:v>Missing email</x:v>
      </x:c>
    </x:row>
    <x:row r="1205">
      <x:c r="A1205" s="16" t="n">
        <x:v>1202</x:v>
      </x:c>
      <x:c r="B1205" s="16" t="str">
        <x:v>Azhar IM</x:v>
      </x:c>
      <x:c r="C1205" s="16" t="str"/>
      <x:c r="D1205" s="16" t="str"/>
      <x:c r="E1205" s="16" t="str">
        <x:v>* myContacts</x:v>
      </x:c>
      <x:c r="F1205" s="16" t="str">
        <x:v>016-638 3278</x:v>
      </x:c>
      <x:c r="G1205" s="16" t="str">
        <x:v>+60166383278</x:v>
      </x:c>
      <x:c r="H1205" s="16" t="str">
        <x:v>Excluded</x:v>
      </x:c>
      <x:c r="I1205" s="16" t="str">
        <x:v>Missing email</x:v>
      </x:c>
    </x:row>
    <x:row r="1206">
      <x:c r="A1206" s="16" t="n">
        <x:v>1203</x:v>
      </x:c>
      <x:c r="B1206" s="16" t="str">
        <x:v>Azhar Jaai</x:v>
      </x:c>
      <x:c r="C1206" s="16" t="str"/>
      <x:c r="D1206" s="16" t="str"/>
      <x:c r="E1206" s="16" t="str">
        <x:v>* myContacts</x:v>
      </x:c>
      <x:c r="F1206" s="16" t="str">
        <x:v>+60173376430</x:v>
      </x:c>
      <x:c r="G1206" s="16" t="str">
        <x:v>+60173376430</x:v>
      </x:c>
      <x:c r="H1206" s="16" t="str">
        <x:v>Excluded</x:v>
      </x:c>
      <x:c r="I1206" s="16" t="str">
        <x:v>Missing email</x:v>
      </x:c>
    </x:row>
    <x:row r="1207">
      <x:c r="A1207" s="16" t="n">
        <x:v>1204</x:v>
      </x:c>
      <x:c r="B1207" s="16" t="str">
        <x:v>Azhar Md Ali AGP</x:v>
      </x:c>
      <x:c r="C1207" s="16" t="str"/>
      <x:c r="D1207" s="16" t="str"/>
      <x:c r="E1207" s="16" t="str">
        <x:v>* myContacts</x:v>
      </x:c>
      <x:c r="F1207" s="16" t="str">
        <x:v>+60 14-713 1129 | +60147131129</x:v>
      </x:c>
      <x:c r="G1207" s="16" t="str">
        <x:v>+60147131129 | +60147131129</x:v>
      </x:c>
      <x:c r="H1207" s="16" t="str">
        <x:v>Excluded</x:v>
      </x:c>
      <x:c r="I1207" s="16" t="str">
        <x:v>Missing email</x:v>
      </x:c>
    </x:row>
    <x:row r="1208">
      <x:c r="A1208" s="16" t="n">
        <x:v>1205</x:v>
      </x:c>
      <x:c r="B1208" s="16" t="str">
        <x:v>Azhar Online</x:v>
      </x:c>
      <x:c r="C1208" s="16" t="str"/>
      <x:c r="D1208" s="16" t="str"/>
      <x:c r="E1208" s="16" t="str">
        <x:v>* myContacts</x:v>
      </x:c>
      <x:c r="F1208" s="16" t="str">
        <x:v>+60 16-638 3278 | +60166383278</x:v>
      </x:c>
      <x:c r="G1208" s="16" t="str">
        <x:v>+60166383278 | +60166383278</x:v>
      </x:c>
      <x:c r="H1208" s="16" t="str">
        <x:v>Excluded</x:v>
      </x:c>
      <x:c r="I1208" s="16" t="str">
        <x:v>Missing email</x:v>
      </x:c>
    </x:row>
    <x:row r="1209">
      <x:c r="A1209" s="16" t="n">
        <x:v>1206</x:v>
      </x:c>
      <x:c r="B1209" s="16" t="str">
        <x:v>Azhari Buku</x:v>
      </x:c>
      <x:c r="C1209" s="16" t="str"/>
      <x:c r="D1209" s="16" t="str"/>
      <x:c r="E1209" s="16" t="str">
        <x:v>* myContacts</x:v>
      </x:c>
      <x:c r="F1209" s="16" t="str">
        <x:v>+60 13-224 7547 | +60132247547</x:v>
      </x:c>
      <x:c r="G1209" s="16" t="str">
        <x:v>+60132247547 | +60132247547</x:v>
      </x:c>
      <x:c r="H1209" s="16" t="str">
        <x:v>Excluded</x:v>
      </x:c>
      <x:c r="I1209" s="16" t="str">
        <x:v>Missing email</x:v>
      </x:c>
    </x:row>
    <x:row r="1210">
      <x:c r="A1210" s="16" t="n">
        <x:v>1207</x:v>
      </x:c>
      <x:c r="B1210" s="16" t="str">
        <x:v>Azharina IKM KL</x:v>
      </x:c>
      <x:c r="C1210" s="16" t="str"/>
      <x:c r="D1210" s="16" t="str"/>
      <x:c r="E1210" s="16" t="str">
        <x:v>* myContacts</x:v>
      </x:c>
      <x:c r="F1210" s="16" t="str">
        <x:v>0192185779 | +60192185779</x:v>
      </x:c>
      <x:c r="G1210" s="16" t="str">
        <x:v>+60192185779 | +60192185779</x:v>
      </x:c>
      <x:c r="H1210" s="16" t="str">
        <x:v>Excluded</x:v>
      </x:c>
      <x:c r="I1210" s="16" t="str">
        <x:v>Missing email</x:v>
      </x:c>
    </x:row>
    <x:row r="1211">
      <x:c r="A1211" s="16" t="n">
        <x:v>1208</x:v>
      </x:c>
      <x:c r="B1211" s="16" t="str">
        <x:v>Azharruladha Saal</x:v>
      </x:c>
      <x:c r="C1211" s="16" t="str"/>
      <x:c r="D1211" s="16" t="str"/>
      <x:c r="E1211" s="16" t="str">
        <x:v>* myContacts</x:v>
      </x:c>
      <x:c r="F1211" s="16" t="str">
        <x:v>+60146367818</x:v>
      </x:c>
      <x:c r="G1211" s="16" t="str">
        <x:v>+60146367818</x:v>
      </x:c>
      <x:c r="H1211" s="16" t="str">
        <x:v>Excluded</x:v>
      </x:c>
      <x:c r="I1211" s="16" t="str">
        <x:v>Missing email</x:v>
      </x:c>
    </x:row>
    <x:row r="1212">
      <x:c r="A1212" s="16" t="n">
        <x:v>1209</x:v>
      </x:c>
      <x:c r="B1212" s="16" t="str">
        <x:v>Azian Yaacob</x:v>
      </x:c>
      <x:c r="C1212" s="16" t="str"/>
      <x:c r="D1212" s="16" t="str"/>
      <x:c r="E1212" s="16" t="str">
        <x:v>* myContacts</x:v>
      </x:c>
      <x:c r="F1212" s="16" t="str">
        <x:v>+60196032176</x:v>
      </x:c>
      <x:c r="G1212" s="16" t="str">
        <x:v>+60196032176</x:v>
      </x:c>
      <x:c r="H1212" s="16" t="str">
        <x:v>Excluded</x:v>
      </x:c>
      <x:c r="I1212" s="16" t="str">
        <x:v>Missing email</x:v>
      </x:c>
    </x:row>
    <x:row r="1213">
      <x:c r="A1213" s="16" t="n">
        <x:v>1210</x:v>
      </x:c>
      <x:c r="B1213" s="16" t="str">
        <x:v>Azie</x:v>
      </x:c>
      <x:c r="C1213" s="16" t="str"/>
      <x:c r="D1213" s="16" t="str"/>
      <x:c r="E1213" s="16" t="str">
        <x:v>* myContacts</x:v>
      </x:c>
      <x:c r="F1213" s="16" t="str">
        <x:v>+60 13-985 8873 | +60139858873</x:v>
      </x:c>
      <x:c r="G1213" s="16" t="str">
        <x:v>+60139858873 | +60139858873</x:v>
      </x:c>
      <x:c r="H1213" s="16" t="str">
        <x:v>Excluded</x:v>
      </x:c>
      <x:c r="I1213" s="16" t="str">
        <x:v>Missing email</x:v>
      </x:c>
    </x:row>
    <x:row r="1214">
      <x:c r="A1214" s="16" t="n">
        <x:v>1211</x:v>
      </x:c>
      <x:c r="B1214" s="16" t="str">
        <x:v>Azie Abd Rahim</x:v>
      </x:c>
      <x:c r="C1214" s="16" t="str"/>
      <x:c r="D1214" s="16" t="str"/>
      <x:c r="E1214" s="16" t="str">
        <x:v>* myContacts</x:v>
      </x:c>
      <x:c r="F1214" s="16" t="str">
        <x:v>+60196218349</x:v>
      </x:c>
      <x:c r="G1214" s="16" t="str">
        <x:v>+60196218349</x:v>
      </x:c>
      <x:c r="H1214" s="16" t="str">
        <x:v>Excluded</x:v>
      </x:c>
      <x:c r="I1214" s="16" t="str">
        <x:v>Missing email</x:v>
      </x:c>
    </x:row>
    <x:row r="1215">
      <x:c r="A1215" s="16" t="n">
        <x:v>1212</x:v>
      </x:c>
      <x:c r="B1215" s="16" t="str">
        <x:v>Azie Abdullah</x:v>
      </x:c>
      <x:c r="C1215" s="16" t="str"/>
      <x:c r="D1215" s="16" t="str"/>
      <x:c r="E1215" s="16" t="str">
        <x:v>* myContacts</x:v>
      </x:c>
      <x:c r="F1215" s="16" t="str">
        <x:v>+60172556170</x:v>
      </x:c>
      <x:c r="G1215" s="16" t="str">
        <x:v>+60172556170</x:v>
      </x:c>
      <x:c r="H1215" s="16" t="str">
        <x:v>Excluded</x:v>
      </x:c>
      <x:c r="I1215" s="16" t="str">
        <x:v>Missing email</x:v>
      </x:c>
    </x:row>
    <x:row r="1216">
      <x:c r="A1216" s="16" t="n">
        <x:v>1213</x:v>
      </x:c>
      <x:c r="B1216" s="16" t="str">
        <x:v>Azie Asmida</x:v>
      </x:c>
      <x:c r="C1216" s="16" t="str"/>
      <x:c r="D1216" s="16" t="str"/>
      <x:c r="E1216" s="16" t="str">
        <x:v>* myContacts</x:v>
      </x:c>
      <x:c r="F1216" s="16" t="str">
        <x:v>+60195739972</x:v>
      </x:c>
      <x:c r="G1216" s="16" t="str">
        <x:v>+60195739972</x:v>
      </x:c>
      <x:c r="H1216" s="16" t="str">
        <x:v>Excluded</x:v>
      </x:c>
      <x:c r="I1216" s="16" t="str">
        <x:v>Missing email</x:v>
      </x:c>
    </x:row>
    <x:row r="1217">
      <x:c r="A1217" s="16" t="n">
        <x:v>1214</x:v>
      </x:c>
      <x:c r="B1217" s="16" t="str">
        <x:v>Azie Kay</x:v>
      </x:c>
      <x:c r="C1217" s="16" t="str"/>
      <x:c r="D1217" s="16" t="str"/>
      <x:c r="E1217" s="16" t="str">
        <x:v>* myContacts</x:v>
      </x:c>
      <x:c r="F1217" s="16" t="str">
        <x:v>+60128311769</x:v>
      </x:c>
      <x:c r="G1217" s="16" t="str">
        <x:v>+60128311769</x:v>
      </x:c>
      <x:c r="H1217" s="16" t="str">
        <x:v>Excluded</x:v>
      </x:c>
      <x:c r="I1217" s="16" t="str">
        <x:v>Missing email</x:v>
      </x:c>
    </x:row>
    <x:row r="1218">
      <x:c r="A1218" s="16" t="n">
        <x:v>1215</x:v>
      </x:c>
      <x:c r="B1218" s="16" t="str">
        <x:v>Azie Mirza</x:v>
      </x:c>
      <x:c r="C1218" s="16" t="str"/>
      <x:c r="D1218" s="16" t="str"/>
      <x:c r="E1218" s="16" t="str">
        <x:v>* myContacts</x:v>
      </x:c>
      <x:c r="F1218" s="16" t="str">
        <x:v>+60192359221</x:v>
      </x:c>
      <x:c r="G1218" s="16" t="str">
        <x:v>+60192359221</x:v>
      </x:c>
      <x:c r="H1218" s="16" t="str">
        <x:v>Excluded</x:v>
      </x:c>
      <x:c r="I1218" s="16" t="str">
        <x:v>Missing email</x:v>
      </x:c>
    </x:row>
    <x:row r="1219">
      <x:c r="A1219" s="16" t="n">
        <x:v>1216</x:v>
      </x:c>
      <x:c r="B1219" s="16" t="str">
        <x:v>Azie Mohamad Yusuf</x:v>
      </x:c>
      <x:c r="C1219" s="16" t="str"/>
      <x:c r="D1219" s="16" t="str"/>
      <x:c r="E1219" s="16" t="str">
        <x:v>* myContacts</x:v>
      </x:c>
      <x:c r="F1219" s="16" t="str">
        <x:v>+60192188281</x:v>
      </x:c>
      <x:c r="G1219" s="16" t="str">
        <x:v>+60192188281</x:v>
      </x:c>
      <x:c r="H1219" s="16" t="str">
        <x:v>Excluded</x:v>
      </x:c>
      <x:c r="I1219" s="16" t="str">
        <x:v>Missing email</x:v>
      </x:c>
    </x:row>
    <x:row r="1220">
      <x:c r="A1220" s="16" t="n">
        <x:v>1217</x:v>
      </x:c>
      <x:c r="B1220" s="16" t="str">
        <x:v>Azie Salima</x:v>
      </x:c>
      <x:c r="C1220" s="16" t="str"/>
      <x:c r="D1220" s="16" t="str"/>
      <x:c r="E1220" s="16" t="str">
        <x:v>* myContacts</x:v>
      </x:c>
      <x:c r="F1220" s="16" t="str">
        <x:v>+601123589945</x:v>
      </x:c>
      <x:c r="G1220" s="16" t="str">
        <x:v>+601123589945</x:v>
      </x:c>
      <x:c r="H1220" s="16" t="str">
        <x:v>Excluded</x:v>
      </x:c>
      <x:c r="I1220" s="16" t="str">
        <x:v>Missing email</x:v>
      </x:c>
    </x:row>
    <x:row r="1221">
      <x:c r="A1221" s="16" t="n">
        <x:v>1218</x:v>
      </x:c>
      <x:c r="B1221" s="16" t="str">
        <x:v>Aziem Mieza</x:v>
      </x:c>
      <x:c r="C1221" s="16" t="str"/>
      <x:c r="D1221" s="16" t="str"/>
      <x:c r="E1221" s="16" t="str">
        <x:v>* myContacts</x:v>
      </x:c>
      <x:c r="F1221" s="16" t="str">
        <x:v>+60177159643</x:v>
      </x:c>
      <x:c r="G1221" s="16" t="str">
        <x:v>+60177159643</x:v>
      </x:c>
      <x:c r="H1221" s="16" t="str">
        <x:v>Excluded</x:v>
      </x:c>
      <x:c r="I1221" s="16" t="str">
        <x:v>Missing email</x:v>
      </x:c>
    </x:row>
    <x:row r="1222">
      <x:c r="A1222" s="16" t="n">
        <x:v>1219</x:v>
      </x:c>
      <x:c r="B1222" s="16" t="str">
        <x:v>Dr Azihan Pakar Excel Focal Expect</x:v>
      </x:c>
      <x:c r="C1222" s="16" t="str"/>
      <x:c r="D1222" s="16" t="str"/>
      <x:c r="E1222" s="16" t="str">
        <x:v>* myContacts</x:v>
      </x:c>
      <x:c r="F1222" s="16" t="str">
        <x:v>0196605616 | +60196605616</x:v>
      </x:c>
      <x:c r="G1222" s="16" t="str">
        <x:v>+60196605616 | +60196605616</x:v>
      </x:c>
      <x:c r="H1222" s="16" t="str">
        <x:v>Excluded</x:v>
      </x:c>
      <x:c r="I1222" s="16" t="str">
        <x:v>Missing email</x:v>
      </x:c>
    </x:row>
    <x:row r="1223">
      <x:c r="A1223" s="16" t="n">
        <x:v>1220</x:v>
      </x:c>
      <x:c r="B1223" s="16" t="str">
        <x:v>Azila Mahmood</x:v>
      </x:c>
      <x:c r="C1223" s="16" t="str"/>
      <x:c r="D1223" s="16" t="str"/>
      <x:c r="E1223" s="16" t="str">
        <x:v>* myContacts</x:v>
      </x:c>
      <x:c r="F1223" s="16" t="str">
        <x:v>+60125803974</x:v>
      </x:c>
      <x:c r="G1223" s="16" t="str">
        <x:v>+60125803974</x:v>
      </x:c>
      <x:c r="H1223" s="16" t="str">
        <x:v>Excluded</x:v>
      </x:c>
      <x:c r="I1223" s="16" t="str">
        <x:v>Missing email</x:v>
      </x:c>
    </x:row>
    <x:row r="1224">
      <x:c r="A1224" s="16" t="n">
        <x:v>1221</x:v>
      </x:c>
      <x:c r="B1224" s="16" t="str">
        <x:v>Azim Burger Kite</x:v>
      </x:c>
      <x:c r="C1224" s="16" t="str"/>
      <x:c r="D1224" s="16" t="str"/>
      <x:c r="E1224" s="16" t="str">
        <x:v>* myContacts</x:v>
      </x:c>
      <x:c r="F1224" s="16" t="str">
        <x:v>+6096671643</x:v>
      </x:c>
      <x:c r="G1224" s="16" t="str">
        <x:v>+6096671643</x:v>
      </x:c>
      <x:c r="H1224" s="16" t="str">
        <x:v>Excluded</x:v>
      </x:c>
      <x:c r="I1224" s="16" t="str">
        <x:v>Missing email</x:v>
      </x:c>
    </x:row>
    <x:row r="1225">
      <x:c r="A1225" s="16" t="n">
        <x:v>1222</x:v>
      </x:c>
      <x:c r="B1225" s="16" t="str">
        <x:v>Azim DPIM</x:v>
      </x:c>
      <x:c r="C1225" s="16" t="str"/>
      <x:c r="D1225" s="16" t="str"/>
      <x:c r="E1225" s="16" t="str">
        <x:v>* myContacts</x:v>
      </x:c>
      <x:c r="F1225" s="16" t="str">
        <x:v>+60136900397</x:v>
      </x:c>
      <x:c r="G1225" s="16" t="str">
        <x:v>+60136900397</x:v>
      </x:c>
      <x:c r="H1225" s="16" t="str">
        <x:v>Excluded</x:v>
      </x:c>
      <x:c r="I1225" s="16" t="str">
        <x:v>Missing email</x:v>
      </x:c>
    </x:row>
    <x:row r="1226">
      <x:c r="A1226" s="16" t="n">
        <x:v>1223</x:v>
      </x:c>
      <x:c r="B1226" s="16" t="str">
        <x:v>Azim Ismail</x:v>
      </x:c>
      <x:c r="C1226" s="16" t="str"/>
      <x:c r="D1226" s="16" t="str"/>
      <x:c r="E1226" s="16" t="str">
        <x:v>* myContacts</x:v>
      </x:c>
      <x:c r="F1226" s="16" t="str">
        <x:v>+60199924602</x:v>
      </x:c>
      <x:c r="G1226" s="16" t="str">
        <x:v>+60199924602</x:v>
      </x:c>
      <x:c r="H1226" s="16" t="str">
        <x:v>Excluded</x:v>
      </x:c>
      <x:c r="I1226" s="16" t="str">
        <x:v>Missing email</x:v>
      </x:c>
    </x:row>
    <x:row r="1227">
      <x:c r="A1227" s="16" t="n">
        <x:v>1224</x:v>
      </x:c>
      <x:c r="B1227" s="16" t="str">
        <x:v>Azim Jem</x:v>
      </x:c>
      <x:c r="C1227" s="16" t="str"/>
      <x:c r="D1227" s="16" t="str"/>
      <x:c r="E1227" s="16" t="str">
        <x:v>* myContacts</x:v>
      </x:c>
      <x:c r="F1227" s="16" t="str">
        <x:v>+601137706448</x:v>
      </x:c>
      <x:c r="G1227" s="16" t="str">
        <x:v>+601137706448</x:v>
      </x:c>
      <x:c r="H1227" s="16" t="str">
        <x:v>Excluded</x:v>
      </x:c>
      <x:c r="I1227" s="16" t="str">
        <x:v>Missing email</x:v>
      </x:c>
    </x:row>
    <x:row r="1228">
      <x:c r="A1228" s="16" t="n">
        <x:v>1225</x:v>
      </x:c>
      <x:c r="B1228" s="16" t="str">
        <x:v>Azimah Zainudin</x:v>
      </x:c>
      <x:c r="C1228" s="16" t="str"/>
      <x:c r="D1228" s="16" t="str"/>
      <x:c r="E1228" s="16" t="str">
        <x:v>* myContacts</x:v>
      </x:c>
      <x:c r="F1228" s="16" t="str">
        <x:v>+60192862237</x:v>
      </x:c>
      <x:c r="G1228" s="16" t="str">
        <x:v>+60192862237</x:v>
      </x:c>
      <x:c r="H1228" s="16" t="str">
        <x:v>Excluded</x:v>
      </x:c>
      <x:c r="I1228" s="16" t="str">
        <x:v>Missing email</x:v>
      </x:c>
    </x:row>
    <x:row r="1229">
      <x:c r="A1229" s="16" t="n">
        <x:v>1226</x:v>
      </x:c>
      <x:c r="B1229" s="16" t="str">
        <x:v>Azipi Ahmad Proton</x:v>
      </x:c>
      <x:c r="C1229" s="16" t="str"/>
      <x:c r="D1229" s="16" t="str"/>
      <x:c r="E1229" s="16" t="str">
        <x:v>* myContacts</x:v>
      </x:c>
      <x:c r="F1229" s="16" t="str">
        <x:v>+60194941784</x:v>
      </x:c>
      <x:c r="G1229" s="16" t="str">
        <x:v>+60194941784</x:v>
      </x:c>
      <x:c r="H1229" s="16" t="str">
        <x:v>Excluded</x:v>
      </x:c>
      <x:c r="I1229" s="16" t="str">
        <x:v>Missing email</x:v>
      </x:c>
    </x:row>
    <x:row r="1230">
      <x:c r="A1230" s="16" t="n">
        <x:v>1227</x:v>
      </x:c>
      <x:c r="B1230" s="16" t="str">
        <x:v>Aziqri Muhammad</x:v>
      </x:c>
      <x:c r="C1230" s="16" t="str"/>
      <x:c r="D1230" s="16" t="str"/>
      <x:c r="E1230" s="16" t="str">
        <x:v>* myContacts</x:v>
      </x:c>
      <x:c r="F1230" s="16" t="str">
        <x:v>+60133711398</x:v>
      </x:c>
      <x:c r="G1230" s="16" t="str">
        <x:v>+60133711398</x:v>
      </x:c>
      <x:c r="H1230" s="16" t="str">
        <x:v>Excluded</x:v>
      </x:c>
      <x:c r="I1230" s="16" t="str">
        <x:v>Missing email</x:v>
      </x:c>
    </x:row>
    <x:row r="1231">
      <x:c r="A1231" s="16" t="n">
        <x:v>1228</x:v>
      </x:c>
      <x:c r="B1231" s="16" t="str">
        <x:v>Aziz Ahmad Aani</x:v>
      </x:c>
      <x:c r="C1231" s="16" t="str"/>
      <x:c r="D1231" s="16" t="str"/>
      <x:c r="E1231" s="16" t="str">
        <x:v>* myContacts</x:v>
      </x:c>
      <x:c r="F1231" s="16" t="str">
        <x:v>+6058912046</x:v>
      </x:c>
      <x:c r="G1231" s="16" t="str">
        <x:v>+6058912046</x:v>
      </x:c>
      <x:c r="H1231" s="16" t="str">
        <x:v>Excluded</x:v>
      </x:c>
      <x:c r="I1231" s="16" t="str">
        <x:v>Missing email</x:v>
      </x:c>
    </x:row>
    <x:row r="1232">
      <x:c r="A1232" s="16" t="n">
        <x:v>1229</x:v>
      </x:c>
      <x:c r="B1232" s="16" t="str">
        <x:v>Aziz MK</x:v>
      </x:c>
      <x:c r="C1232" s="16" t="str"/>
      <x:c r="D1232" s="16" t="str"/>
      <x:c r="E1232" s="16" t="str">
        <x:v>* myContacts</x:v>
      </x:c>
      <x:c r="F1232" s="16" t="str">
        <x:v>+60 18-222 3608 | +60182223608</x:v>
      </x:c>
      <x:c r="G1232" s="16" t="str">
        <x:v>+60182223608 | +60182223608</x:v>
      </x:c>
      <x:c r="H1232" s="16" t="str">
        <x:v>Excluded</x:v>
      </x:c>
      <x:c r="I1232" s="16" t="str">
        <x:v>Missing email</x:v>
      </x:c>
    </x:row>
    <x:row r="1233">
      <x:c r="A1233" s="16" t="n">
        <x:v>1230</x:v>
      </x:c>
      <x:c r="B1233" s="16" t="str">
        <x:v>Aziz Mont Cabana</x:v>
      </x:c>
      <x:c r="C1233" s="16" t="str"/>
      <x:c r="D1233" s="16" t="str"/>
      <x:c r="E1233" s="16" t="str">
        <x:v>* myContacts</x:v>
      </x:c>
      <x:c r="F1233" s="16" t="str">
        <x:v>+60 14-647 0558 | +60146470558</x:v>
      </x:c>
      <x:c r="G1233" s="16" t="str">
        <x:v>+60146470558 | +60146470558</x:v>
      </x:c>
      <x:c r="H1233" s="16" t="str">
        <x:v>Excluded</x:v>
      </x:c>
      <x:c r="I1233" s="16" t="str">
        <x:v>Missing email</x:v>
      </x:c>
    </x:row>
    <x:row r="1234">
      <x:c r="A1234" s="16" t="n">
        <x:v>1231</x:v>
      </x:c>
      <x:c r="B1234" s="16" t="str">
        <x:v>aziz uitm</x:v>
      </x:c>
      <x:c r="C1234" s="16" t="str">
        <x:v>zis_ajis@ymail.com</x:v>
      </x:c>
      <x:c r="D1234" s="16" t="str">
        <x:v>zis_ajis@ymail.com</x:v>
      </x:c>
      <x:c r="E1234" s="16" t="str">
        <x:v>* myContacts</x:v>
      </x:c>
      <x:c r="F1234" s="16" t="str">
        <x:v>01125039256 | +601125039256</x:v>
      </x:c>
      <x:c r="G1234" s="16" t="str">
        <x:v>+601125039256 | +601125039256</x:v>
      </x:c>
      <x:c r="H1234" s="16" t="str">
        <x:v>Eligible</x:v>
      </x:c>
      <x:c r="I1234" s="16" t="str"/>
    </x:row>
    <x:row r="1235">
      <x:c r="A1235" s="16" t="n">
        <x:v>1232</x:v>
      </x:c>
      <x:c r="B1235" s="16" t="str">
        <x:v>Azizah Binti Amirhamzah</x:v>
      </x:c>
      <x:c r="C1235" s="16" t="str"/>
      <x:c r="D1235" s="16" t="str"/>
      <x:c r="E1235" s="16" t="str">
        <x:v>* myContacts</x:v>
      </x:c>
      <x:c r="F1235" s="16" t="str">
        <x:v>+60107956332</x:v>
      </x:c>
      <x:c r="G1235" s="16" t="str">
        <x:v>+60107956332</x:v>
      </x:c>
      <x:c r="H1235" s="16" t="str">
        <x:v>Excluded</x:v>
      </x:c>
      <x:c r="I1235" s="16" t="str">
        <x:v>Missing email</x:v>
      </x:c>
    </x:row>
    <x:row r="1236">
      <x:c r="A1236" s="16" t="n">
        <x:v>1233</x:v>
      </x:c>
      <x:c r="B1236" s="16" t="str">
        <x:v>Azizah Jija</x:v>
      </x:c>
      <x:c r="C1236" s="16" t="str"/>
      <x:c r="D1236" s="16" t="str"/>
      <x:c r="E1236" s="16" t="str">
        <x:v>* myContacts</x:v>
      </x:c>
      <x:c r="F1236" s="16" t="str">
        <x:v>+60123696389</x:v>
      </x:c>
      <x:c r="G1236" s="16" t="str">
        <x:v>+60123696389</x:v>
      </x:c>
      <x:c r="H1236" s="16" t="str">
        <x:v>Excluded</x:v>
      </x:c>
      <x:c r="I1236" s="16" t="str">
        <x:v>Missing email</x:v>
      </x:c>
    </x:row>
    <x:row r="1237">
      <x:c r="A1237" s="16" t="n">
        <x:v>1234</x:v>
      </x:c>
      <x:c r="B1237" s="16" t="str">
        <x:v>Azizah Sadut Client CWA</x:v>
      </x:c>
      <x:c r="C1237" s="16" t="str"/>
      <x:c r="D1237" s="16" t="str"/>
      <x:c r="E1237" s="16" t="str">
        <x:v>* myContacts</x:v>
      </x:c>
      <x:c r="F1237" s="16" t="str">
        <x:v>+60 12-270 3737 | +60122703737</x:v>
      </x:c>
      <x:c r="G1237" s="16" t="str">
        <x:v>+60122703737 | +60122703737</x:v>
      </x:c>
      <x:c r="H1237" s="16" t="str">
        <x:v>Excluded</x:v>
      </x:c>
      <x:c r="I1237" s="16" t="str">
        <x:v>Missing email</x:v>
      </x:c>
    </x:row>
    <x:row r="1238">
      <x:c r="A1238" s="16" t="n">
        <x:v>1235</x:v>
      </x:c>
      <x:c r="B1238" s="16" t="str">
        <x:v>Azizan Jan</x:v>
      </x:c>
      <x:c r="C1238" s="16" t="str"/>
      <x:c r="D1238" s="16" t="str"/>
      <x:c r="E1238" s="16" t="str">
        <x:v>* myContacts</x:v>
      </x:c>
      <x:c r="F1238" s="16" t="str">
        <x:v>+60175586330</x:v>
      </x:c>
      <x:c r="G1238" s="16" t="str">
        <x:v>+60175586330</x:v>
      </x:c>
      <x:c r="H1238" s="16" t="str">
        <x:v>Excluded</x:v>
      </x:c>
      <x:c r="I1238" s="16" t="str">
        <x:v>Missing email</x:v>
      </x:c>
    </x:row>
    <x:row r="1239">
      <x:c r="A1239" s="16" t="n">
        <x:v>1236</x:v>
      </x:c>
      <x:c r="B1239" s="16" t="str">
        <x:v>Azizan Mansor Agp Agent Tier 1</x:v>
      </x:c>
      <x:c r="C1239" s="16" t="str"/>
      <x:c r="D1239" s="16" t="str"/>
      <x:c r="E1239" s="16" t="str">
        <x:v>* myContacts</x:v>
      </x:c>
      <x:c r="F1239" s="16" t="str">
        <x:v>+60 18-779 1450 | +60187791450</x:v>
      </x:c>
      <x:c r="G1239" s="16" t="str">
        <x:v>+60187791450 | +60187791450</x:v>
      </x:c>
      <x:c r="H1239" s="16" t="str">
        <x:v>Excluded</x:v>
      </x:c>
      <x:c r="I1239" s="16" t="str">
        <x:v>Missing email</x:v>
      </x:c>
    </x:row>
    <x:row r="1240">
      <x:c r="A1240" s="16" t="n">
        <x:v>1237</x:v>
      </x:c>
      <x:c r="B1240" s="16" t="str">
        <x:v>Azizi Ariffin</x:v>
      </x:c>
      <x:c r="C1240" s="16" t="str"/>
      <x:c r="D1240" s="16" t="str"/>
      <x:c r="E1240" s="16" t="str">
        <x:v>* myContacts</x:v>
      </x:c>
      <x:c r="F1240" s="16" t="str">
        <x:v>+601139816474</x:v>
      </x:c>
      <x:c r="G1240" s="16" t="str">
        <x:v>+601139816474</x:v>
      </x:c>
      <x:c r="H1240" s="16" t="str">
        <x:v>Excluded</x:v>
      </x:c>
      <x:c r="I1240" s="16" t="str">
        <x:v>Missing email</x:v>
      </x:c>
    </x:row>
    <x:row r="1241">
      <x:c r="A1241" s="16" t="n">
        <x:v>1238</x:v>
      </x:c>
      <x:c r="B1241" s="16" t="str">
        <x:v>Azizi Aziz Anjur</x:v>
      </x:c>
      <x:c r="C1241" s="16" t="str"/>
      <x:c r="D1241" s="16" t="str"/>
      <x:c r="E1241" s="16" t="str">
        <x:v>* myContacts</x:v>
      </x:c>
      <x:c r="F1241" s="16" t="str">
        <x:v>+60173367980</x:v>
      </x:c>
      <x:c r="G1241" s="16" t="str">
        <x:v>+60173367980</x:v>
      </x:c>
      <x:c r="H1241" s="16" t="str">
        <x:v>Excluded</x:v>
      </x:c>
      <x:c r="I1241" s="16" t="str">
        <x:v>Missing email</x:v>
      </x:c>
    </x:row>
    <x:row r="1242">
      <x:c r="A1242" s="16" t="n">
        <x:v>1239</x:v>
      </x:c>
      <x:c r="B1242" s="16" t="str">
        <x:v>Azizi Dahalan</x:v>
      </x:c>
      <x:c r="C1242" s="16" t="str"/>
      <x:c r="D1242" s="16" t="str"/>
      <x:c r="E1242" s="16" t="str">
        <x:v>* myContacts</x:v>
      </x:c>
      <x:c r="F1242" s="16" t="str">
        <x:v>017-692 4606 | +60176924606</x:v>
      </x:c>
      <x:c r="G1242" s="16" t="str">
        <x:v>+60176924606 | +60176924606</x:v>
      </x:c>
      <x:c r="H1242" s="16" t="str">
        <x:v>Excluded</x:v>
      </x:c>
      <x:c r="I1242" s="16" t="str">
        <x:v>Missing email</x:v>
      </x:c>
    </x:row>
    <x:row r="1243">
      <x:c r="A1243" s="16" t="n">
        <x:v>1240</x:v>
      </x:c>
      <x:c r="B1243" s="16" t="str">
        <x:v>Azizi Hakimi</x:v>
      </x:c>
      <x:c r="C1243" s="16" t="str"/>
      <x:c r="D1243" s="16" t="str"/>
      <x:c r="E1243" s="16" t="str">
        <x:v>* myContacts</x:v>
      </x:c>
      <x:c r="F1243" s="16" t="str">
        <x:v>+60103203899</x:v>
      </x:c>
      <x:c r="G1243" s="16" t="str">
        <x:v>+60103203899</x:v>
      </x:c>
      <x:c r="H1243" s="16" t="str">
        <x:v>Excluded</x:v>
      </x:c>
      <x:c r="I1243" s="16" t="str">
        <x:v>Missing email</x:v>
      </x:c>
    </x:row>
    <x:row r="1244">
      <x:c r="A1244" s="16" t="n">
        <x:v>1241</x:v>
      </x:c>
      <x:c r="B1244" s="16" t="str">
        <x:v>Azizi Web Master Ultra</x:v>
      </x:c>
      <x:c r="C1244" s="16" t="str"/>
      <x:c r="D1244" s="16" t="str"/>
      <x:c r="E1244" s="16" t="str">
        <x:v>* myContacts</x:v>
      </x:c>
      <x:c r="F1244" s="16" t="str">
        <x:v>0176924606</x:v>
      </x:c>
      <x:c r="G1244" s="16" t="str">
        <x:v>+60176924606</x:v>
      </x:c>
      <x:c r="H1244" s="16" t="str">
        <x:v>Excluded</x:v>
      </x:c>
      <x:c r="I1244" s="16" t="str">
        <x:v>Missing email</x:v>
      </x:c>
    </x:row>
    <x:row r="1245">
      <x:c r="A1245" s="16" t="n">
        <x:v>1242</x:v>
      </x:c>
      <x:c r="B1245" s="16" t="str">
        <x:v>Azizol Kamal</x:v>
      </x:c>
      <x:c r="C1245" s="16" t="str"/>
      <x:c r="D1245" s="16" t="str"/>
      <x:c r="E1245" s="16" t="str">
        <x:v>* myContacts</x:v>
      </x:c>
      <x:c r="F1245" s="16" t="str">
        <x:v>+60165315621</x:v>
      </x:c>
      <x:c r="G1245" s="16" t="str">
        <x:v>+60165315621</x:v>
      </x:c>
      <x:c r="H1245" s="16" t="str">
        <x:v>Excluded</x:v>
      </x:c>
      <x:c r="I1245" s="16" t="str">
        <x:v>Missing email</x:v>
      </x:c>
    </x:row>
    <x:row r="1246">
      <x:c r="A1246" s="16" t="n">
        <x:v>1243</x:v>
      </x:c>
      <x:c r="B1246" s="16" t="str">
        <x:v>Azizul Hanapi</x:v>
      </x:c>
      <x:c r="C1246" s="16" t="str"/>
      <x:c r="D1246" s="16" t="str"/>
      <x:c r="E1246" s="16" t="str">
        <x:v>* myContacts</x:v>
      </x:c>
      <x:c r="F1246" s="16" t="str">
        <x:v>+60175169337</x:v>
      </x:c>
      <x:c r="G1246" s="16" t="str">
        <x:v>+60175169337</x:v>
      </x:c>
      <x:c r="H1246" s="16" t="str">
        <x:v>Excluded</x:v>
      </x:c>
      <x:c r="I1246" s="16" t="str">
        <x:v>Missing email</x:v>
      </x:c>
    </x:row>
    <x:row r="1247">
      <x:c r="A1247" s="16" t="n">
        <x:v>1244</x:v>
      </x:c>
      <x:c r="B1247" s="16" t="str">
        <x:v>Azla IM</x:v>
      </x:c>
      <x:c r="C1247" s="16" t="str"/>
      <x:c r="D1247" s="16" t="str"/>
      <x:c r="E1247" s="16" t="str">
        <x:v>* myContacts</x:v>
      </x:c>
      <x:c r="F1247" s="16" t="str">
        <x:v>016-638 3278</x:v>
      </x:c>
      <x:c r="G1247" s="16" t="str">
        <x:v>+60166383278</x:v>
      </x:c>
      <x:c r="H1247" s="16" t="str">
        <x:v>Excluded</x:v>
      </x:c>
      <x:c r="I1247" s="16" t="str">
        <x:v>Missing email</x:v>
      </x:c>
    </x:row>
    <x:row r="1248">
      <x:c r="A1248" s="16" t="n">
        <x:v>1245</x:v>
      </x:c>
      <x:c r="B1248" s="16" t="str">
        <x:v>Azlan Abdullah</x:v>
      </x:c>
      <x:c r="C1248" s="16" t="str"/>
      <x:c r="D1248" s="16" t="str"/>
      <x:c r="E1248" s="16" t="str">
        <x:v>* myContacts</x:v>
      </x:c>
      <x:c r="F1248" s="16" t="str">
        <x:v>+60196373936</x:v>
      </x:c>
      <x:c r="G1248" s="16" t="str">
        <x:v>+60196373936</x:v>
      </x:c>
      <x:c r="H1248" s="16" t="str">
        <x:v>Excluded</x:v>
      </x:c>
      <x:c r="I1248" s="16" t="str">
        <x:v>Missing email</x:v>
      </x:c>
    </x:row>
    <x:row r="1249">
      <x:c r="A1249" s="16" t="n">
        <x:v>1246</x:v>
      </x:c>
      <x:c r="B1249" s="16" t="str">
        <x:v>Azlan Agp</x:v>
      </x:c>
      <x:c r="C1249" s="16" t="str"/>
      <x:c r="D1249" s="16" t="str"/>
      <x:c r="E1249" s="16" t="str">
        <x:v>* myContacts</x:v>
      </x:c>
      <x:c r="F1249" s="16" t="str">
        <x:v>+60 17-665 3159 | +60176653159</x:v>
      </x:c>
      <x:c r="G1249" s="16" t="str">
        <x:v>+60176653159 | +60176653159</x:v>
      </x:c>
      <x:c r="H1249" s="16" t="str">
        <x:v>Excluded</x:v>
      </x:c>
      <x:c r="I1249" s="16" t="str">
        <x:v>Missing email</x:v>
      </x:c>
    </x:row>
    <x:row r="1250">
      <x:c r="A1250" s="16" t="n">
        <x:v>1247</x:v>
      </x:c>
      <x:c r="B1250" s="16" t="str">
        <x:v>Azlan Aidil</x:v>
      </x:c>
      <x:c r="C1250" s="16" t="str"/>
      <x:c r="D1250" s="16" t="str"/>
      <x:c r="E1250" s="16" t="str">
        <x:v>* myContacts</x:v>
      </x:c>
      <x:c r="F1250" s="16" t="str">
        <x:v>+601124201297</x:v>
      </x:c>
      <x:c r="G1250" s="16" t="str">
        <x:v>+601124201297</x:v>
      </x:c>
      <x:c r="H1250" s="16" t="str">
        <x:v>Excluded</x:v>
      </x:c>
      <x:c r="I1250" s="16" t="str">
        <x:v>Missing email</x:v>
      </x:c>
    </x:row>
    <x:row r="1251">
      <x:c r="A1251" s="16" t="n">
        <x:v>1248</x:v>
      </x:c>
      <x:c r="B1251" s="16" t="str">
        <x:v>Azlan Azhar</x:v>
      </x:c>
      <x:c r="C1251" s="16" t="str"/>
      <x:c r="D1251" s="16" t="str"/>
      <x:c r="E1251" s="16" t="str">
        <x:v>* myContacts</x:v>
      </x:c>
      <x:c r="F1251" s="16" t="str">
        <x:v>+60179534908</x:v>
      </x:c>
      <x:c r="G1251" s="16" t="str">
        <x:v>+60179534908</x:v>
      </x:c>
      <x:c r="H1251" s="16" t="str">
        <x:v>Excluded</x:v>
      </x:c>
      <x:c r="I1251" s="16" t="str">
        <x:v>Missing email</x:v>
      </x:c>
    </x:row>
    <x:row r="1252">
      <x:c r="A1252" s="16" t="n">
        <x:v>1249</x:v>
      </x:c>
      <x:c r="B1252" s="16" t="str">
        <x:v>Azlan Harun</x:v>
      </x:c>
      <x:c r="C1252" s="16" t="str"/>
      <x:c r="D1252" s="16" t="str"/>
      <x:c r="E1252" s="16" t="str">
        <x:v>* myContacts</x:v>
      </x:c>
      <x:c r="F1252" s="16" t="str">
        <x:v>+60193709002</x:v>
      </x:c>
      <x:c r="G1252" s="16" t="str">
        <x:v>+60193709002</x:v>
      </x:c>
      <x:c r="H1252" s="16" t="str">
        <x:v>Excluded</x:v>
      </x:c>
      <x:c r="I1252" s="16" t="str">
        <x:v>Missing email</x:v>
      </x:c>
    </x:row>
    <x:row r="1253">
      <x:c r="A1253" s="16" t="n">
        <x:v>1250</x:v>
      </x:c>
      <x:c r="B1253" s="16" t="str">
        <x:v>Azlan IM</x:v>
      </x:c>
      <x:c r="C1253" s="16" t="str"/>
      <x:c r="D1253" s="16" t="str"/>
      <x:c r="E1253" s="16" t="str">
        <x:v>* myContacts</x:v>
      </x:c>
      <x:c r="F1253" s="16" t="str">
        <x:v>017-300 9436 | +60173009436</x:v>
      </x:c>
      <x:c r="G1253" s="16" t="str">
        <x:v>+60173009436 | +60173009436</x:v>
      </x:c>
      <x:c r="H1253" s="16" t="str">
        <x:v>Excluded</x:v>
      </x:c>
      <x:c r="I1253" s="16" t="str">
        <x:v>Missing email</x:v>
      </x:c>
    </x:row>
    <x:row r="1254">
      <x:c r="A1254" s="16" t="n">
        <x:v>1251</x:v>
      </x:c>
      <x:c r="B1254" s="16" t="str">
        <x:v>Azlan Jdt Runner</x:v>
      </x:c>
      <x:c r="C1254" s="16" t="str"/>
      <x:c r="D1254" s="16" t="str"/>
      <x:c r="E1254" s="16" t="str">
        <x:v>* myContacts</x:v>
      </x:c>
      <x:c r="F1254" s="16" t="str">
        <x:v>+601128770457</x:v>
      </x:c>
      <x:c r="G1254" s="16" t="str">
        <x:v>+601128770457</x:v>
      </x:c>
      <x:c r="H1254" s="16" t="str">
        <x:v>Excluded</x:v>
      </x:c>
      <x:c r="I1254" s="16" t="str">
        <x:v>Missing email</x:v>
      </x:c>
    </x:row>
    <x:row r="1255">
      <x:c r="A1255" s="16" t="n">
        <x:v>1252</x:v>
      </x:c>
      <x:c r="B1255" s="16" t="str">
        <x:v>Azlan Lan</x:v>
      </x:c>
      <x:c r="C1255" s="16" t="str"/>
      <x:c r="D1255" s="16" t="str"/>
      <x:c r="E1255" s="16" t="str">
        <x:v>* myContacts</x:v>
      </x:c>
      <x:c r="F1255" s="16" t="str">
        <x:v>+60135004351</x:v>
      </x:c>
      <x:c r="G1255" s="16" t="str">
        <x:v>+60135004351</x:v>
      </x:c>
      <x:c r="H1255" s="16" t="str">
        <x:v>Excluded</x:v>
      </x:c>
      <x:c r="I1255" s="16" t="str">
        <x:v>Missing email</x:v>
      </x:c>
    </x:row>
    <x:row r="1256">
      <x:c r="A1256" s="16" t="n">
        <x:v>1253</x:v>
      </x:c>
      <x:c r="B1256" s="16" t="str">
        <x:v>Azlan Muhami</x:v>
      </x:c>
      <x:c r="C1256" s="16" t="str"/>
      <x:c r="D1256" s="16" t="str"/>
      <x:c r="E1256" s="16" t="str">
        <x:v>* myContacts</x:v>
      </x:c>
      <x:c r="F1256" s="16" t="str">
        <x:v>+60102005830</x:v>
      </x:c>
      <x:c r="G1256" s="16" t="str">
        <x:v>+60102005830</x:v>
      </x:c>
      <x:c r="H1256" s="16" t="str">
        <x:v>Excluded</x:v>
      </x:c>
      <x:c r="I1256" s="16" t="str">
        <x:v>Missing email</x:v>
      </x:c>
    </x:row>
    <x:row r="1257">
      <x:c r="A1257" s="16" t="n">
        <x:v>1254</x:v>
      </x:c>
      <x:c r="B1257" s="16" t="str">
        <x:v>Azlan Photographer</x:v>
      </x:c>
      <x:c r="C1257" s="16" t="str"/>
      <x:c r="D1257" s="16" t="str"/>
      <x:c r="E1257" s="16" t="str">
        <x:v>* myContacts</x:v>
      </x:c>
      <x:c r="F1257" s="16" t="str">
        <x:v>0185767214 | +60185767214</x:v>
      </x:c>
      <x:c r="G1257" s="16" t="str">
        <x:v>+60185767214 | +60185767214</x:v>
      </x:c>
      <x:c r="H1257" s="16" t="str">
        <x:v>Excluded</x:v>
      </x:c>
      <x:c r="I1257" s="16" t="str">
        <x:v>Missing email</x:v>
      </x:c>
    </x:row>
    <x:row r="1258">
      <x:c r="A1258" s="16" t="n">
        <x:v>1255</x:v>
      </x:c>
      <x:c r="B1258" s="16" t="str">
        <x:v>Azlan PUBM</x:v>
      </x:c>
      <x:c r="C1258" s="16" t="str"/>
      <x:c r="D1258" s="16" t="str"/>
      <x:c r="E1258" s="16" t="str">
        <x:v>* myContacts</x:v>
      </x:c>
      <x:c r="F1258" s="16" t="str">
        <x:v>+60 10-517 7951 | +60105177951</x:v>
      </x:c>
      <x:c r="G1258" s="16" t="str">
        <x:v>+60105177951 | +60105177951</x:v>
      </x:c>
      <x:c r="H1258" s="16" t="str">
        <x:v>Excluded</x:v>
      </x:c>
      <x:c r="I1258" s="16" t="str">
        <x:v>Missing email</x:v>
      </x:c>
    </x:row>
    <x:row r="1259">
      <x:c r="A1259" s="16" t="n">
        <x:v>1256</x:v>
      </x:c>
      <x:c r="B1259" s="16" t="str">
        <x:v>Azlan Teksi Taiping</x:v>
      </x:c>
      <x:c r="C1259" s="16" t="str"/>
      <x:c r="D1259" s="16" t="str"/>
      <x:c r="E1259" s="16" t="str">
        <x:v>* myContacts</x:v>
      </x:c>
      <x:c r="F1259" s="16" t="str">
        <x:v>+60125370301</x:v>
      </x:c>
      <x:c r="G1259" s="16" t="str">
        <x:v>+60125370301</x:v>
      </x:c>
      <x:c r="H1259" s="16" t="str">
        <x:v>Excluded</x:v>
      </x:c>
      <x:c r="I1259" s="16" t="str">
        <x:v>Missing email</x:v>
      </x:c>
    </x:row>
    <x:row r="1260">
      <x:c r="A1260" s="16" t="n">
        <x:v>1257</x:v>
      </x:c>
      <x:c r="B1260" s="16" t="str">
        <x:v>Azlan Zolkeply</x:v>
      </x:c>
      <x:c r="C1260" s="16" t="str"/>
      <x:c r="D1260" s="16" t="str"/>
      <x:c r="E1260" s="16" t="str">
        <x:v>* myContacts</x:v>
      </x:c>
      <x:c r="F1260" s="16" t="str">
        <x:v>+60197937236</x:v>
      </x:c>
      <x:c r="G1260" s="16" t="str">
        <x:v>+60197937236</x:v>
      </x:c>
      <x:c r="H1260" s="16" t="str">
        <x:v>Excluded</x:v>
      </x:c>
      <x:c r="I1260" s="16" t="str">
        <x:v>Missing email</x:v>
      </x:c>
    </x:row>
    <x:row r="1261">
      <x:c r="A1261" s="16" t="n">
        <x:v>1258</x:v>
      </x:c>
      <x:c r="B1261" s="16" t="str">
        <x:v>Azlee Tauke Sambal Ghasoo</x:v>
      </x:c>
      <x:c r="C1261" s="16" t="str"/>
      <x:c r="D1261" s="16" t="str"/>
      <x:c r="E1261" s="16" t="str">
        <x:v>* myContacts</x:v>
      </x:c>
      <x:c r="F1261" s="16" t="str">
        <x:v>+60 19-603 0665 | +60196030665</x:v>
      </x:c>
      <x:c r="G1261" s="16" t="str">
        <x:v>+60196030665 | +60196030665</x:v>
      </x:c>
      <x:c r="H1261" s="16" t="str">
        <x:v>Excluded</x:v>
      </x:c>
      <x:c r="I1261" s="16" t="str">
        <x:v>Missing email</x:v>
      </x:c>
    </x:row>
    <x:row r="1262">
      <x:c r="A1262" s="16" t="n">
        <x:v>1259</x:v>
      </x:c>
      <x:c r="B1262" s="16" t="str">
        <x:v>Azli HEALTH FACTORY</x:v>
      </x:c>
      <x:c r="C1262" s="16" t="str"/>
      <x:c r="D1262" s="16" t="str"/>
      <x:c r="E1262" s="16" t="str">
        <x:v>* myContacts</x:v>
      </x:c>
      <x:c r="F1262" s="16" t="str">
        <x:v>013-351 7517 | +60133517517</x:v>
      </x:c>
      <x:c r="G1262" s="16" t="str">
        <x:v>+60133517517 | +60133517517</x:v>
      </x:c>
      <x:c r="H1262" s="16" t="str">
        <x:v>Excluded</x:v>
      </x:c>
      <x:c r="I1262" s="16" t="str">
        <x:v>Missing email</x:v>
      </x:c>
    </x:row>
    <x:row r="1263">
      <x:c r="A1263" s="16" t="n">
        <x:v>1260</x:v>
      </x:c>
      <x:c r="B1263" s="16" t="str">
        <x:v>azli nu empire</x:v>
      </x:c>
      <x:c r="C1263" s="16" t="str"/>
      <x:c r="D1263" s="16" t="str"/>
      <x:c r="E1263" s="16" t="str">
        <x:v>* myContacts</x:v>
      </x:c>
      <x:c r="F1263" s="16" t="str">
        <x:v>0173200205 | +60173200205</x:v>
      </x:c>
      <x:c r="G1263" s="16" t="str">
        <x:v>+60173200205 | +60173200205</x:v>
      </x:c>
      <x:c r="H1263" s="16" t="str">
        <x:v>Excluded</x:v>
      </x:c>
      <x:c r="I1263" s="16" t="str">
        <x:v>Missing email</x:v>
      </x:c>
    </x:row>
    <x:row r="1264">
      <x:c r="A1264" s="16" t="n">
        <x:v>1261</x:v>
      </x:c>
      <x:c r="B1264" s="16" t="str">
        <x:v>Azlie Awj</x:v>
      </x:c>
      <x:c r="C1264" s="16" t="str"/>
      <x:c r="D1264" s="16" t="str"/>
      <x:c r="E1264" s="16" t="str">
        <x:v>* myContacts</x:v>
      </x:c>
      <x:c r="F1264" s="16" t="str">
        <x:v>+601127374302</x:v>
      </x:c>
      <x:c r="G1264" s="16" t="str">
        <x:v>+601127374302</x:v>
      </x:c>
      <x:c r="H1264" s="16" t="str">
        <x:v>Excluded</x:v>
      </x:c>
      <x:c r="I1264" s="16" t="str">
        <x:v>Missing email</x:v>
      </x:c>
    </x:row>
    <x:row r="1265">
      <x:c r="A1265" s="16" t="n">
        <x:v>1262</x:v>
      </x:c>
      <x:c r="B1265" s="16" t="str">
        <x:v>Azlin Bt Azmi Shaz</x:v>
      </x:c>
      <x:c r="C1265" s="16" t="str"/>
      <x:c r="D1265" s="16" t="str"/>
      <x:c r="E1265" s="16" t="str">
        <x:v>* myContacts</x:v>
      </x:c>
      <x:c r="F1265" s="16" t="str">
        <x:v>+60142413756</x:v>
      </x:c>
      <x:c r="G1265" s="16" t="str">
        <x:v>+60142413756</x:v>
      </x:c>
      <x:c r="H1265" s="16" t="str">
        <x:v>Excluded</x:v>
      </x:c>
      <x:c r="I1265" s="16" t="str">
        <x:v>Missing email</x:v>
      </x:c>
    </x:row>
    <x:row r="1266">
      <x:c r="A1266" s="16" t="n">
        <x:v>1263</x:v>
      </x:c>
      <x:c r="B1266" s="16" t="str">
        <x:v>Azlin Hashim</x:v>
      </x:c>
      <x:c r="C1266" s="16" t="str"/>
      <x:c r="D1266" s="16" t="str"/>
      <x:c r="E1266" s="16" t="str">
        <x:v>* myContacts</x:v>
      </x:c>
      <x:c r="F1266" s="16" t="str">
        <x:v>+60172430154</x:v>
      </x:c>
      <x:c r="G1266" s="16" t="str">
        <x:v>+60172430154</x:v>
      </x:c>
      <x:c r="H1266" s="16" t="str">
        <x:v>Excluded</x:v>
      </x:c>
      <x:c r="I1266" s="16" t="str">
        <x:v>Missing email</x:v>
      </x:c>
    </x:row>
    <x:row r="1267">
      <x:c r="A1267" s="16" t="n">
        <x:v>1264</x:v>
      </x:c>
      <x:c r="B1267" s="16" t="str">
        <x:v>Azlin Suhana</x:v>
      </x:c>
      <x:c r="C1267" s="16" t="str"/>
      <x:c r="D1267" s="16" t="str"/>
      <x:c r="E1267" s="16" t="str">
        <x:v>* myContacts</x:v>
      </x:c>
      <x:c r="F1267" s="16" t="str">
        <x:v>+60194779457</x:v>
      </x:c>
      <x:c r="G1267" s="16" t="str">
        <x:v>+60194779457</x:v>
      </x:c>
      <x:c r="H1267" s="16" t="str">
        <x:v>Excluded</x:v>
      </x:c>
      <x:c r="I1267" s="16" t="str">
        <x:v>Missing email</x:v>
      </x:c>
    </x:row>
    <x:row r="1268">
      <x:c r="A1268" s="16" t="n">
        <x:v>1265</x:v>
      </x:c>
      <x:c r="B1268" s="16" t="str">
        <x:v>Azlina Lynn</x:v>
      </x:c>
      <x:c r="C1268" s="16" t="str"/>
      <x:c r="D1268" s="16" t="str"/>
      <x:c r="E1268" s="16" t="str">
        <x:v>* myContacts</x:v>
      </x:c>
      <x:c r="F1268" s="16" t="str">
        <x:v>+601111735842</x:v>
      </x:c>
      <x:c r="G1268" s="16" t="str">
        <x:v>+601111735842</x:v>
      </x:c>
      <x:c r="H1268" s="16" t="str">
        <x:v>Excluded</x:v>
      </x:c>
      <x:c r="I1268" s="16" t="str">
        <x:v>Missing email</x:v>
      </x:c>
    </x:row>
    <x:row r="1269">
      <x:c r="A1269" s="16" t="n">
        <x:v>1266</x:v>
      </x:c>
      <x:c r="B1269" s="16" t="str">
        <x:v>Azlina Majlis Koperasi Malaysia</x:v>
      </x:c>
      <x:c r="C1269" s="16" t="str"/>
      <x:c r="D1269" s="16" t="str"/>
      <x:c r="E1269" s="16" t="str">
        <x:v>* myContacts</x:v>
      </x:c>
      <x:c r="F1269" s="16" t="str">
        <x:v>+60 12-298 5046 | +60122985046</x:v>
      </x:c>
      <x:c r="G1269" s="16" t="str">
        <x:v>+60122985046 | +60122985046</x:v>
      </x:c>
      <x:c r="H1269" s="16" t="str">
        <x:v>Excluded</x:v>
      </x:c>
      <x:c r="I1269" s="16" t="str">
        <x:v>Missing email</x:v>
      </x:c>
    </x:row>
    <x:row r="1270">
      <x:c r="A1270" s="16" t="n">
        <x:v>1267</x:v>
      </x:c>
      <x:c r="B1270" s="16" t="str">
        <x:v>Azlina Trainer</x:v>
      </x:c>
      <x:c r="C1270" s="16" t="str"/>
      <x:c r="D1270" s="16" t="str"/>
      <x:c r="E1270" s="16" t="str">
        <x:v>Trainer | * myContacts</x:v>
      </x:c>
      <x:c r="F1270" s="16" t="str">
        <x:v>+60123188840</x:v>
      </x:c>
      <x:c r="G1270" s="16" t="str">
        <x:v>+60123188840</x:v>
      </x:c>
      <x:c r="H1270" s="16" t="str">
        <x:v>Excluded</x:v>
      </x:c>
      <x:c r="I1270" s="16" t="str">
        <x:v>Missing email</x:v>
      </x:c>
    </x:row>
    <x:row r="1271">
      <x:c r="A1271" s="16" t="n">
        <x:v>1268</x:v>
      </x:c>
      <x:c r="B1271" s="16" t="str">
        <x:v>Azlinah Lasah</x:v>
      </x:c>
      <x:c r="C1271" s="16" t="str"/>
      <x:c r="D1271" s="16" t="str"/>
      <x:c r="E1271" s="16" t="str">
        <x:v>* myContacts</x:v>
      </x:c>
      <x:c r="F1271" s="16" t="str">
        <x:v>+60136885887</x:v>
      </x:c>
      <x:c r="G1271" s="16" t="str">
        <x:v>+60136885887</x:v>
      </x:c>
      <x:c r="H1271" s="16" t="str">
        <x:v>Excluded</x:v>
      </x:c>
      <x:c r="I1271" s="16" t="str">
        <x:v>Missing email</x:v>
      </x:c>
    </x:row>
    <x:row r="1272">
      <x:c r="A1272" s="16" t="n">
        <x:v>1269</x:v>
      </x:c>
      <x:c r="B1272" s="16" t="str">
        <x:v>Azlong Kona</x:v>
      </x:c>
      <x:c r="C1272" s="16" t="str"/>
      <x:c r="D1272" s="16" t="str"/>
      <x:c r="E1272" s="16" t="str">
        <x:v>* myContacts</x:v>
      </x:c>
      <x:c r="F1272" s="16" t="str">
        <x:v>+60125798615</x:v>
      </x:c>
      <x:c r="G1272" s="16" t="str">
        <x:v>+60125798615</x:v>
      </x:c>
      <x:c r="H1272" s="16" t="str">
        <x:v>Excluded</x:v>
      </x:c>
      <x:c r="I1272" s="16" t="str">
        <x:v>Missing email</x:v>
      </x:c>
    </x:row>
    <x:row r="1273">
      <x:c r="A1273" s="16" t="n">
        <x:v>1270</x:v>
      </x:c>
      <x:c r="B1273" s="16" t="str">
        <x:v>Azlyn Sambaleena</x:v>
      </x:c>
      <x:c r="C1273" s="16" t="str"/>
      <x:c r="D1273" s="16" t="str"/>
      <x:c r="E1273" s="16" t="str">
        <x:v>* myContacts</x:v>
      </x:c>
      <x:c r="F1273" s="16" t="str">
        <x:v>+60 17-591 6043 | +60175916043</x:v>
      </x:c>
      <x:c r="G1273" s="16" t="str">
        <x:v>+60175916043 | +60175916043</x:v>
      </x:c>
      <x:c r="H1273" s="16" t="str">
        <x:v>Excluded</x:v>
      </x:c>
      <x:c r="I1273" s="16" t="str">
        <x:v>Missing email</x:v>
      </x:c>
    </x:row>
    <x:row r="1274">
      <x:c r="A1274" s="16" t="n">
        <x:v>1271</x:v>
      </x:c>
      <x:c r="B1274" s="16" t="str">
        <x:v>Azman AZ</x:v>
      </x:c>
      <x:c r="C1274" s="16" t="str"/>
      <x:c r="D1274" s="16" t="str"/>
      <x:c r="E1274" s="16" t="str">
        <x:v>* myContacts</x:v>
      </x:c>
      <x:c r="F1274" s="16" t="str">
        <x:v>+60102112189</x:v>
      </x:c>
      <x:c r="G1274" s="16" t="str">
        <x:v>+60102112189</x:v>
      </x:c>
      <x:c r="H1274" s="16" t="str">
        <x:v>Excluded</x:v>
      </x:c>
      <x:c r="I1274" s="16" t="str">
        <x:v>Missing email</x:v>
      </x:c>
    </x:row>
    <x:row r="1275">
      <x:c r="A1275" s="16" t="n">
        <x:v>1272</x:v>
      </x:c>
      <x:c r="B1275" s="16" t="str">
        <x:v>Azman Haron</x:v>
      </x:c>
      <x:c r="C1275" s="16" t="str"/>
      <x:c r="D1275" s="16" t="str"/>
      <x:c r="E1275" s="16" t="str">
        <x:v>* myContacts</x:v>
      </x:c>
      <x:c r="F1275" s="16" t="str">
        <x:v>+60177237017</x:v>
      </x:c>
      <x:c r="G1275" s="16" t="str">
        <x:v>+60177237017</x:v>
      </x:c>
      <x:c r="H1275" s="16" t="str">
        <x:v>Excluded</x:v>
      </x:c>
      <x:c r="I1275" s="16" t="str">
        <x:v>Missing email</x:v>
      </x:c>
    </x:row>
    <x:row r="1276">
      <x:c r="A1276" s="16" t="n">
        <x:v>1273</x:v>
      </x:c>
      <x:c r="B1276" s="16" t="str">
        <x:v>Azman Husin</x:v>
      </x:c>
      <x:c r="C1276" s="16" t="str"/>
      <x:c r="D1276" s="16" t="str"/>
      <x:c r="E1276" s="16" t="str">
        <x:v>* myContacts</x:v>
      </x:c>
      <x:c r="F1276" s="16" t="str">
        <x:v>+60199950620</x:v>
      </x:c>
      <x:c r="G1276" s="16" t="str">
        <x:v>+60199950620</x:v>
      </x:c>
      <x:c r="H1276" s="16" t="str">
        <x:v>Excluded</x:v>
      </x:c>
      <x:c r="I1276" s="16" t="str">
        <x:v>Missing email</x:v>
      </x:c>
    </x:row>
    <x:row r="1277">
      <x:c r="A1277" s="16" t="n">
        <x:v>1274</x:v>
      </x:c>
      <x:c r="B1277" s="16" t="str">
        <x:v>Azman Md Yusof</x:v>
      </x:c>
      <x:c r="C1277" s="16" t="str"/>
      <x:c r="D1277" s="16" t="str"/>
      <x:c r="E1277" s="16" t="str">
        <x:v>* myContacts</x:v>
      </x:c>
      <x:c r="F1277" s="16" t="str">
        <x:v>+60163766609</x:v>
      </x:c>
      <x:c r="G1277" s="16" t="str">
        <x:v>+60163766609</x:v>
      </x:c>
      <x:c r="H1277" s="16" t="str">
        <x:v>Excluded</x:v>
      </x:c>
      <x:c r="I1277" s="16" t="str">
        <x:v>Missing email</x:v>
      </x:c>
    </x:row>
    <x:row r="1278">
      <x:c r="A1278" s="16" t="n">
        <x:v>1275</x:v>
      </x:c>
      <x:c r="B1278" s="16" t="str">
        <x:v>Azman Mohd Umar</x:v>
      </x:c>
      <x:c r="C1278" s="16" t="str"/>
      <x:c r="D1278" s="16" t="str"/>
      <x:c r="E1278" s="16" t="str">
        <x:v>* myContacts</x:v>
      </x:c>
      <x:c r="F1278" s="16" t="str">
        <x:v>+60197047093</x:v>
      </x:c>
      <x:c r="G1278" s="16" t="str">
        <x:v>+60197047093</x:v>
      </x:c>
      <x:c r="H1278" s="16" t="str">
        <x:v>Excluded</x:v>
      </x:c>
      <x:c r="I1278" s="16" t="str">
        <x:v>Missing email</x:v>
      </x:c>
    </x:row>
    <x:row r="1279">
      <x:c r="A1279" s="16" t="n">
        <x:v>1276</x:v>
      </x:c>
      <x:c r="B1279" s="16" t="str">
        <x:v>Azmi Agent AGP</x:v>
      </x:c>
      <x:c r="C1279" s="16" t="str"/>
      <x:c r="D1279" s="16" t="str"/>
      <x:c r="E1279" s="16" t="str">
        <x:v>* myContacts</x:v>
      </x:c>
      <x:c r="F1279" s="16" t="str">
        <x:v>0192925454 | +60192925454</x:v>
      </x:c>
      <x:c r="G1279" s="16" t="str">
        <x:v>+60192925454 | +60192925454</x:v>
      </x:c>
      <x:c r="H1279" s="16" t="str">
        <x:v>Excluded</x:v>
      </x:c>
      <x:c r="I1279" s="16" t="str">
        <x:v>Missing email</x:v>
      </x:c>
    </x:row>
    <x:row r="1280">
      <x:c r="A1280" s="16" t="n">
        <x:v>1277</x:v>
      </x:c>
      <x:c r="B1280" s="16" t="str">
        <x:v>Azmi AGP</x:v>
      </x:c>
      <x:c r="C1280" s="16" t="str"/>
      <x:c r="D1280" s="16" t="str"/>
      <x:c r="E1280" s="16" t="str">
        <x:v>* myContacts</x:v>
      </x:c>
      <x:c r="F1280" s="16" t="str">
        <x:v>+60 11-1095 5422 | +601110955422</x:v>
      </x:c>
      <x:c r="G1280" s="16" t="str">
        <x:v>+601110955422 | +601110955422</x:v>
      </x:c>
      <x:c r="H1280" s="16" t="str">
        <x:v>Excluded</x:v>
      </x:c>
      <x:c r="I1280" s="16" t="str">
        <x:v>Missing email</x:v>
      </x:c>
    </x:row>
    <x:row r="1281">
      <x:c r="A1281" s="16" t="n">
        <x:v>1278</x:v>
      </x:c>
      <x:c r="B1281" s="16" t="str">
        <x:v>Azmi Aida</x:v>
      </x:c>
      <x:c r="C1281" s="16" t="str"/>
      <x:c r="D1281" s="16" t="str"/>
      <x:c r="E1281" s="16" t="str">
        <x:v>* myContacts</x:v>
      </x:c>
      <x:c r="F1281" s="16" t="str">
        <x:v>+601132158508</x:v>
      </x:c>
      <x:c r="G1281" s="16" t="str">
        <x:v>+601132158508</x:v>
      </x:c>
      <x:c r="H1281" s="16" t="str">
        <x:v>Excluded</x:v>
      </x:c>
      <x:c r="I1281" s="16" t="str">
        <x:v>Missing email</x:v>
      </x:c>
    </x:row>
    <x:row r="1282">
      <x:c r="A1282" s="16" t="n">
        <x:v>1279</x:v>
      </x:c>
      <x:c r="B1282" s="16" t="str">
        <x:v>Azmi Awang AGP</x:v>
      </x:c>
      <x:c r="C1282" s="16" t="str"/>
      <x:c r="D1282" s="16" t="str"/>
      <x:c r="E1282" s="16" t="str">
        <x:v>* myContacts</x:v>
      </x:c>
      <x:c r="F1282" s="16" t="str">
        <x:v>+60 19-277 4578 | +60192774578</x:v>
      </x:c>
      <x:c r="G1282" s="16" t="str">
        <x:v>+60192774578 | +60192774578</x:v>
      </x:c>
      <x:c r="H1282" s="16" t="str">
        <x:v>Excluded</x:v>
      </x:c>
      <x:c r="I1282" s="16" t="str">
        <x:v>Missing email</x:v>
      </x:c>
    </x:row>
    <x:row r="1283">
      <x:c r="A1283" s="16" t="n">
        <x:v>1280</x:v>
      </x:c>
      <x:c r="B1283" s="16" t="str">
        <x:v>Azmi Civic</x:v>
      </x:c>
      <x:c r="C1283" s="16" t="str"/>
      <x:c r="D1283" s="16" t="str"/>
      <x:c r="E1283" s="16" t="str">
        <x:v>* myContacts</x:v>
      </x:c>
      <x:c r="F1283" s="16" t="str">
        <x:v>+601137880553</x:v>
      </x:c>
      <x:c r="G1283" s="16" t="str">
        <x:v>+601137880553</x:v>
      </x:c>
      <x:c r="H1283" s="16" t="str">
        <x:v>Excluded</x:v>
      </x:c>
      <x:c r="I1283" s="16" t="str">
        <x:v>Missing email</x:v>
      </x:c>
    </x:row>
    <x:row r="1284">
      <x:c r="A1284" s="16" t="n">
        <x:v>1281</x:v>
      </x:c>
      <x:c r="B1284" s="16" t="str">
        <x:v>Azmi Ghani</x:v>
      </x:c>
      <x:c r="C1284" s="16" t="str"/>
      <x:c r="D1284" s="16" t="str"/>
      <x:c r="E1284" s="16" t="str">
        <x:v>* myContacts</x:v>
      </x:c>
      <x:c r="F1284" s="16" t="str">
        <x:v>+601151873440</x:v>
      </x:c>
      <x:c r="G1284" s="16" t="str">
        <x:v>+601151873440</x:v>
      </x:c>
      <x:c r="H1284" s="16" t="str">
        <x:v>Excluded</x:v>
      </x:c>
      <x:c r="I1284" s="16" t="str">
        <x:v>Missing email</x:v>
      </x:c>
    </x:row>
    <x:row r="1285">
      <x:c r="A1285" s="16" t="n">
        <x:v>1282</x:v>
      </x:c>
      <x:c r="B1285" s="16" t="str">
        <x:v>AZMI IM</x:v>
      </x:c>
      <x:c r="C1285" s="16" t="str"/>
      <x:c r="D1285" s="16" t="str"/>
      <x:c r="E1285" s="16" t="str">
        <x:v>* myContacts</x:v>
      </x:c>
      <x:c r="F1285" s="16" t="str">
        <x:v>011-3765 5148 | +601137655148 | +601151116069</x:v>
      </x:c>
      <x:c r="G1285" s="16" t="str">
        <x:v>+601137655148 | +601137655148 | +601151116069</x:v>
      </x:c>
      <x:c r="H1285" s="16" t="str">
        <x:v>Excluded</x:v>
      </x:c>
      <x:c r="I1285" s="16" t="str">
        <x:v>Missing email</x:v>
      </x:c>
    </x:row>
    <x:row r="1286">
      <x:c r="A1286" s="16" t="n">
        <x:v>1283</x:v>
      </x:c>
      <x:c r="B1286" s="16" t="str">
        <x:v>Azmi Jookepli Graphic Designer</x:v>
      </x:c>
      <x:c r="C1286" s="16" t="str"/>
      <x:c r="D1286" s="16" t="str"/>
      <x:c r="E1286" s="16" t="str">
        <x:v>* myContacts</x:v>
      </x:c>
      <x:c r="F1286" s="16" t="str">
        <x:v>01135800192 | +601135800192</x:v>
      </x:c>
      <x:c r="G1286" s="16" t="str">
        <x:v>+601135800192 | +601135800192</x:v>
      </x:c>
      <x:c r="H1286" s="16" t="str">
        <x:v>Excluded</x:v>
      </x:c>
      <x:c r="I1286" s="16" t="str">
        <x:v>Missing email</x:v>
      </x:c>
    </x:row>
    <x:row r="1287">
      <x:c r="A1287" s="16" t="n">
        <x:v>1284</x:v>
      </x:c>
      <x:c r="B1287" s="16" t="str">
        <x:v>Azmi Mat Sari</x:v>
      </x:c>
      <x:c r="C1287" s="16" t="str"/>
      <x:c r="D1287" s="16" t="str"/>
      <x:c r="E1287" s="16" t="str">
        <x:v>* myContacts</x:v>
      </x:c>
      <x:c r="F1287" s="16" t="str">
        <x:v>+60192784775</x:v>
      </x:c>
      <x:c r="G1287" s="16" t="str">
        <x:v>+60192784775</x:v>
      </x:c>
      <x:c r="H1287" s="16" t="str">
        <x:v>Excluded</x:v>
      </x:c>
      <x:c r="I1287" s="16" t="str">
        <x:v>Missing email</x:v>
      </x:c>
    </x:row>
    <x:row r="1288">
      <x:c r="A1288" s="16" t="n">
        <x:v>1285</x:v>
      </x:c>
      <x:c r="B1288" s="16" t="str">
        <x:v>Azmi Mdec IM</x:v>
      </x:c>
      <x:c r="C1288" s="16" t="str"/>
      <x:c r="D1288" s="16" t="str"/>
      <x:c r="E1288" s="16" t="str">
        <x:v>* myContacts</x:v>
      </x:c>
      <x:c r="F1288" s="16" t="str">
        <x:v>+60164526069</x:v>
      </x:c>
      <x:c r="G1288" s="16" t="str">
        <x:v>+60164526069</x:v>
      </x:c>
      <x:c r="H1288" s="16" t="str">
        <x:v>Excluded</x:v>
      </x:c>
      <x:c r="I1288" s="16" t="str">
        <x:v>Missing email</x:v>
      </x:c>
    </x:row>
    <x:row r="1289">
      <x:c r="A1289" s="16" t="n">
        <x:v>1286</x:v>
      </x:c>
      <x:c r="B1289" s="16" t="str">
        <x:v>Azmi Trainer MDEC</x:v>
      </x:c>
      <x:c r="C1289" s="16" t="str"/>
      <x:c r="D1289" s="16" t="str"/>
      <x:c r="E1289" s="16" t="str">
        <x:v>Trainer | * myContacts</x:v>
      </x:c>
      <x:c r="F1289" s="16" t="str">
        <x:v>+60 10-452 6069 | +60104526069</x:v>
      </x:c>
      <x:c r="G1289" s="16" t="str">
        <x:v>+60104526069 | +60104526069</x:v>
      </x:c>
      <x:c r="H1289" s="16" t="str">
        <x:v>Excluded</x:v>
      </x:c>
      <x:c r="I1289" s="16" t="str">
        <x:v>Missing email</x:v>
      </x:c>
    </x:row>
    <x:row r="1290">
      <x:c r="A1290" s="16" t="n">
        <x:v>1287</x:v>
      </x:c>
      <x:c r="B1290" s="16" t="str">
        <x:v>Azmi Yahya Ac</x:v>
      </x:c>
      <x:c r="C1290" s="16" t="str"/>
      <x:c r="D1290" s="16" t="str"/>
      <x:c r="E1290" s="16" t="str">
        <x:v>* myContacts</x:v>
      </x:c>
      <x:c r="F1290" s="16" t="str">
        <x:v>+60123596727</x:v>
      </x:c>
      <x:c r="G1290" s="16" t="str">
        <x:v>+60123596727</x:v>
      </x:c>
      <x:c r="H1290" s="16" t="str">
        <x:v>Excluded</x:v>
      </x:c>
      <x:c r="I1290" s="16" t="str">
        <x:v>Missing email</x:v>
      </x:c>
    </x:row>
    <x:row r="1291">
      <x:c r="A1291" s="16" t="n">
        <x:v>1288</x:v>
      </x:c>
      <x:c r="B1291" s="16" t="str">
        <x:v>Azmil Aznan</x:v>
      </x:c>
      <x:c r="C1291" s="16" t="str"/>
      <x:c r="D1291" s="16" t="str"/>
      <x:c r="E1291" s="16" t="str">
        <x:v>* myContacts</x:v>
      </x:c>
      <x:c r="F1291" s="16" t="str">
        <x:v>+60179485373</x:v>
      </x:c>
      <x:c r="G1291" s="16" t="str">
        <x:v>+60179485373</x:v>
      </x:c>
      <x:c r="H1291" s="16" t="str">
        <x:v>Excluded</x:v>
      </x:c>
      <x:c r="I1291" s="16" t="str">
        <x:v>Missing email</x:v>
      </x:c>
    </x:row>
    <x:row r="1292">
      <x:c r="A1292" s="16" t="n">
        <x:v>1289</x:v>
      </x:c>
      <x:c r="B1292" s="16" t="str">
        <x:v>Azmil Kamsani</x:v>
      </x:c>
      <x:c r="C1292" s="16" t="str"/>
      <x:c r="D1292" s="16" t="str"/>
      <x:c r="E1292" s="16" t="str">
        <x:v>* myContacts</x:v>
      </x:c>
      <x:c r="F1292" s="16" t="str">
        <x:v>+60127366948</x:v>
      </x:c>
      <x:c r="G1292" s="16" t="str">
        <x:v>+60127366948</x:v>
      </x:c>
      <x:c r="H1292" s="16" t="str">
        <x:v>Excluded</x:v>
      </x:c>
      <x:c r="I1292" s="16" t="str">
        <x:v>Missing email</x:v>
      </x:c>
    </x:row>
    <x:row r="1293">
      <x:c r="A1293" s="16" t="n">
        <x:v>1290</x:v>
      </x:c>
      <x:c r="B1293" s="16" t="str">
        <x:v>Azmir Simon</x:v>
      </x:c>
      <x:c r="C1293" s="16" t="str"/>
      <x:c r="D1293" s="16" t="str"/>
      <x:c r="E1293" s="16" t="str">
        <x:v>* myContacts</x:v>
      </x:c>
      <x:c r="F1293" s="16" t="str">
        <x:v>+60175171416</x:v>
      </x:c>
      <x:c r="G1293" s="16" t="str">
        <x:v>+60175171416</x:v>
      </x:c>
      <x:c r="H1293" s="16" t="str">
        <x:v>Excluded</x:v>
      </x:c>
      <x:c r="I1293" s="16" t="str">
        <x:v>Missing email</x:v>
      </x:c>
    </x:row>
    <x:row r="1294">
      <x:c r="A1294" s="16" t="n">
        <x:v>1291</x:v>
      </x:c>
      <x:c r="B1294" s="16" t="str">
        <x:v>Azmir Water Filter</x:v>
      </x:c>
      <x:c r="C1294" s="16" t="str"/>
      <x:c r="D1294" s="16" t="str"/>
      <x:c r="E1294" s="16" t="str">
        <x:v>* myContacts</x:v>
      </x:c>
      <x:c r="F1294" s="16" t="str">
        <x:v>+60 17-477 3365 | +60174773365</x:v>
      </x:c>
      <x:c r="G1294" s="16" t="str">
        <x:v>+60174773365 | +60174773365</x:v>
      </x:c>
      <x:c r="H1294" s="16" t="str">
        <x:v>Excluded</x:v>
      </x:c>
      <x:c r="I1294" s="16" t="str">
        <x:v>Missing email</x:v>
      </x:c>
    </x:row>
    <x:row r="1295">
      <x:c r="A1295" s="16" t="n">
        <x:v>1292</x:v>
      </x:c>
      <x:c r="B1295" s="16" t="str">
        <x:v>Azmira Ab Moin</x:v>
      </x:c>
      <x:c r="C1295" s="16" t="str"/>
      <x:c r="D1295" s="16" t="str"/>
      <x:c r="E1295" s="16" t="str">
        <x:v>* myContacts</x:v>
      </x:c>
      <x:c r="F1295" s="16" t="str">
        <x:v>+60194572261</x:v>
      </x:c>
      <x:c r="G1295" s="16" t="str">
        <x:v>+60194572261</x:v>
      </x:c>
      <x:c r="H1295" s="16" t="str">
        <x:v>Excluded</x:v>
      </x:c>
      <x:c r="I1295" s="16" t="str">
        <x:v>Missing email</x:v>
      </x:c>
    </x:row>
    <x:row r="1296">
      <x:c r="A1296" s="16" t="n">
        <x:v>1293</x:v>
      </x:c>
      <x:c r="B1296" s="16" t="str">
        <x:v>Azmira iCEPs Uitm</x:v>
      </x:c>
      <x:c r="C1296" s="16" t="str"/>
      <x:c r="D1296" s="16" t="str"/>
      <x:c r="E1296" s="16" t="str">
        <x:v>* myContacts</x:v>
      </x:c>
      <x:c r="F1296" s="16" t="str">
        <x:v>+60 11-1003 5292 | +601110035292</x:v>
      </x:c>
      <x:c r="G1296" s="16" t="str">
        <x:v>+601110035292 | +601110035292</x:v>
      </x:c>
      <x:c r="H1296" s="16" t="str">
        <x:v>Excluded</x:v>
      </x:c>
      <x:c r="I1296" s="16" t="str">
        <x:v>Missing email</x:v>
      </x:c>
    </x:row>
    <x:row r="1297">
      <x:c r="A1297" s="16" t="n">
        <x:v>1294</x:v>
      </x:c>
      <x:c r="B1297" s="16" t="str">
        <x:v>Azmirul Shafiq</x:v>
      </x:c>
      <x:c r="C1297" s="16" t="str"/>
      <x:c r="D1297" s="16" t="str"/>
      <x:c r="E1297" s="16" t="str">
        <x:v>* myContacts</x:v>
      </x:c>
      <x:c r="F1297" s="16" t="str">
        <x:v>+60172110512</x:v>
      </x:c>
      <x:c r="G1297" s="16" t="str">
        <x:v>+60172110512</x:v>
      </x:c>
      <x:c r="H1297" s="16" t="str">
        <x:v>Excluded</x:v>
      </x:c>
      <x:c r="I1297" s="16" t="str">
        <x:v>Missing email</x:v>
      </x:c>
    </x:row>
    <x:row r="1298">
      <x:c r="A1298" s="16" t="n">
        <x:v>1295</x:v>
      </x:c>
      <x:c r="B1298" s="16" t="str">
        <x:v>Aznihatin Mohammad Asmani</x:v>
      </x:c>
      <x:c r="C1298" s="16" t="str"/>
      <x:c r="D1298" s="16" t="str"/>
      <x:c r="E1298" s="16" t="str">
        <x:v>* myContacts</x:v>
      </x:c>
      <x:c r="F1298" s="16" t="str">
        <x:v>+60193993460</x:v>
      </x:c>
      <x:c r="G1298" s="16" t="str">
        <x:v>+60193993460</x:v>
      </x:c>
      <x:c r="H1298" s="16" t="str">
        <x:v>Excluded</x:v>
      </x:c>
      <x:c r="I1298" s="16" t="str">
        <x:v>Missing email</x:v>
      </x:c>
    </x:row>
    <x:row r="1299">
      <x:c r="A1299" s="16" t="n">
        <x:v>1296</x:v>
      </x:c>
      <x:c r="B1299" s="16" t="str">
        <x:v>Aznur Aida</x:v>
      </x:c>
      <x:c r="C1299" s="16" t="str"/>
      <x:c r="D1299" s="16" t="str"/>
      <x:c r="E1299" s="16" t="str">
        <x:v>* myContacts</x:v>
      </x:c>
      <x:c r="F1299" s="16" t="str">
        <x:v>+60126476176</x:v>
      </x:c>
      <x:c r="G1299" s="16" t="str">
        <x:v>+60126476176</x:v>
      </x:c>
      <x:c r="H1299" s="16" t="str">
        <x:v>Excluded</x:v>
      </x:c>
      <x:c r="I1299" s="16" t="str">
        <x:v>Missing email</x:v>
      </x:c>
    </x:row>
    <x:row r="1300">
      <x:c r="A1300" s="16" t="n">
        <x:v>1297</x:v>
      </x:c>
      <x:c r="B1300" s="16" t="str">
        <x:v>Azpin Melaka</x:v>
      </x:c>
      <x:c r="C1300" s="16" t="str"/>
      <x:c r="D1300" s="16" t="str"/>
      <x:c r="E1300" s="16" t="str">
        <x:v>* myContacts</x:v>
      </x:c>
      <x:c r="F1300" s="16" t="str">
        <x:v>+60123854801</x:v>
      </x:c>
      <x:c r="G1300" s="16" t="str">
        <x:v>+60123854801</x:v>
      </x:c>
      <x:c r="H1300" s="16" t="str">
        <x:v>Excluded</x:v>
      </x:c>
      <x:c r="I1300" s="16" t="str">
        <x:v>Missing email</x:v>
      </x:c>
    </x:row>
    <x:row r="1301">
      <x:c r="A1301" s="16" t="n">
        <x:v>1298</x:v>
      </x:c>
      <x:c r="B1301" s="16" t="str">
        <x:v>Azra Rahman</x:v>
      </x:c>
      <x:c r="C1301" s="16" t="str"/>
      <x:c r="D1301" s="16" t="str"/>
      <x:c r="E1301" s="16" t="str">
        <x:v>* myContacts</x:v>
      </x:c>
      <x:c r="F1301" s="16" t="str">
        <x:v>+60108862681</x:v>
      </x:c>
      <x:c r="G1301" s="16" t="str">
        <x:v>+60108862681</x:v>
      </x:c>
      <x:c r="H1301" s="16" t="str">
        <x:v>Excluded</x:v>
      </x:c>
      <x:c r="I1301" s="16" t="str">
        <x:v>Missing email</x:v>
      </x:c>
    </x:row>
    <x:row r="1302">
      <x:c r="A1302" s="16" t="n">
        <x:v>1299</x:v>
      </x:c>
      <x:c r="B1302" s="16" t="str">
        <x:v>Azran Husaip Student</x:v>
      </x:c>
      <x:c r="C1302" s="16" t="str"/>
      <x:c r="D1302" s="16" t="str"/>
      <x:c r="E1302" s="16" t="str">
        <x:v>* myContacts</x:v>
      </x:c>
      <x:c r="F1302" s="16" t="str">
        <x:v>6011360065</x:v>
      </x:c>
      <x:c r="G1302" s="16" t="str">
        <x:v>+6011360065</x:v>
      </x:c>
      <x:c r="H1302" s="16" t="str">
        <x:v>Excluded</x:v>
      </x:c>
      <x:c r="I1302" s="16" t="str">
        <x:v>Missing email</x:v>
      </x:c>
    </x:row>
    <x:row r="1303">
      <x:c r="A1303" s="16" t="n">
        <x:v>1300</x:v>
      </x:c>
      <x:c r="B1303" s="16" t="str">
        <x:v>Azreez Kaunselor</x:v>
      </x:c>
      <x:c r="C1303" s="16" t="str"/>
      <x:c r="D1303" s="16" t="str"/>
      <x:c r="E1303" s="16" t="str">
        <x:v>* myContacts</x:v>
      </x:c>
      <x:c r="F1303" s="16" t="str">
        <x:v>0123017298 | +60123017298</x:v>
      </x:c>
      <x:c r="G1303" s="16" t="str">
        <x:v>+60123017298 | +60123017298</x:v>
      </x:c>
      <x:c r="H1303" s="16" t="str">
        <x:v>Excluded</x:v>
      </x:c>
      <x:c r="I1303" s="16" t="str">
        <x:v>Missing email</x:v>
      </x:c>
    </x:row>
    <x:row r="1304">
      <x:c r="A1304" s="16" t="n">
        <x:v>1301</x:v>
      </x:c>
      <x:c r="B1304" s="16" t="str">
        <x:v>Azri HerbX</x:v>
      </x:c>
      <x:c r="C1304" s="16" t="str"/>
      <x:c r="D1304" s="16" t="str"/>
      <x:c r="E1304" s="16" t="str">
        <x:v>* myContacts</x:v>
      </x:c>
      <x:c r="F1304" s="16" t="str">
        <x:v>0128004288 | +60128004288</x:v>
      </x:c>
      <x:c r="G1304" s="16" t="str">
        <x:v>+60128004288 | +60128004288</x:v>
      </x:c>
      <x:c r="H1304" s="16" t="str">
        <x:v>Excluded</x:v>
      </x:c>
      <x:c r="I1304" s="16" t="str">
        <x:v>Missing email</x:v>
      </x:c>
    </x:row>
    <x:row r="1305">
      <x:c r="A1305" s="16" t="n">
        <x:v>1302</x:v>
      </x:c>
      <x:c r="B1305" s="16" t="str">
        <x:v>Azri Jon mekanik kereta</x:v>
      </x:c>
      <x:c r="C1305" s="16" t="str"/>
      <x:c r="D1305" s="16" t="str"/>
      <x:c r="E1305" s="16" t="str">
        <x:v>* myContacts</x:v>
      </x:c>
      <x:c r="F1305" s="16" t="str">
        <x:v>0176667927 | +60176667927</x:v>
      </x:c>
      <x:c r="G1305" s="16" t="str">
        <x:v>+60176667927 | +60176667927</x:v>
      </x:c>
      <x:c r="H1305" s="16" t="str">
        <x:v>Excluded</x:v>
      </x:c>
      <x:c r="I1305" s="16" t="str">
        <x:v>Missing email</x:v>
      </x:c>
    </x:row>
    <x:row r="1306">
      <x:c r="A1306" s="16" t="n">
        <x:v>1303</x:v>
      </x:c>
      <x:c r="B1306" s="16" t="str">
        <x:v>Azri Nazri</x:v>
      </x:c>
      <x:c r="C1306" s="16" t="str"/>
      <x:c r="D1306" s="16" t="str"/>
      <x:c r="E1306" s="16" t="str">
        <x:v>* myContacts</x:v>
      </x:c>
      <x:c r="F1306" s="16" t="str">
        <x:v>+60142519432</x:v>
      </x:c>
      <x:c r="G1306" s="16" t="str">
        <x:v>+60142519432</x:v>
      </x:c>
      <x:c r="H1306" s="16" t="str">
        <x:v>Excluded</x:v>
      </x:c>
      <x:c r="I1306" s="16" t="str">
        <x:v>Missing email</x:v>
      </x:c>
    </x:row>
    <x:row r="1307">
      <x:c r="A1307" s="16" t="n">
        <x:v>1304</x:v>
      </x:c>
      <x:c r="B1307" s="16" t="str">
        <x:v>Azri Osman</x:v>
      </x:c>
      <x:c r="C1307" s="16" t="str"/>
      <x:c r="D1307" s="16" t="str"/>
      <x:c r="E1307" s="16" t="str">
        <x:v>* myContacts</x:v>
      </x:c>
      <x:c r="F1307" s="16" t="str">
        <x:v>+60176980948</x:v>
      </x:c>
      <x:c r="G1307" s="16" t="str">
        <x:v>+60176980948</x:v>
      </x:c>
      <x:c r="H1307" s="16" t="str">
        <x:v>Excluded</x:v>
      </x:c>
      <x:c r="I1307" s="16" t="str">
        <x:v>Missing email</x:v>
      </x:c>
    </x:row>
    <x:row r="1308">
      <x:c r="A1308" s="16" t="n">
        <x:v>1305</x:v>
      </x:c>
      <x:c r="B1308" s="16" t="str">
        <x:v>Azrian Alamin AGP</x:v>
      </x:c>
      <x:c r="C1308" s="16" t="str"/>
      <x:c r="D1308" s="16" t="str"/>
      <x:c r="E1308" s="16" t="str">
        <x:v>* myContacts</x:v>
      </x:c>
      <x:c r="F1308" s="16" t="str">
        <x:v>+60 13-418 9119 | +60134189119</x:v>
      </x:c>
      <x:c r="G1308" s="16" t="str">
        <x:v>+60134189119 | +60134189119</x:v>
      </x:c>
      <x:c r="H1308" s="16" t="str">
        <x:v>Excluded</x:v>
      </x:c>
      <x:c r="I1308" s="16" t="str">
        <x:v>Missing email</x:v>
      </x:c>
    </x:row>
    <x:row r="1309">
      <x:c r="A1309" s="16" t="n">
        <x:v>1306</x:v>
      </x:c>
      <x:c r="B1309" s="16" t="str">
        <x:v>Azrie Samaq RJB</x:v>
      </x:c>
      <x:c r="C1309" s="16" t="str"/>
      <x:c r="D1309" s="16" t="str"/>
      <x:c r="E1309" s="16" t="str">
        <x:v>* myContacts</x:v>
      </x:c>
      <x:c r="F1309" s="16" t="str">
        <x:v>0193035086 | +60193035086</x:v>
      </x:c>
      <x:c r="G1309" s="16" t="str">
        <x:v>+60193035086 | +60193035086</x:v>
      </x:c>
      <x:c r="H1309" s="16" t="str">
        <x:v>Excluded</x:v>
      </x:c>
      <x:c r="I1309" s="16" t="str">
        <x:v>Missing email</x:v>
      </x:c>
    </x:row>
    <x:row r="1310">
      <x:c r="A1310" s="16" t="n">
        <x:v>1307</x:v>
      </x:c>
      <x:c r="B1310" s="16" t="str">
        <x:v>azriehusainy Trainer</x:v>
      </x:c>
      <x:c r="C1310" s="16" t="str"/>
      <x:c r="D1310" s="16" t="str"/>
      <x:c r="E1310" s="16" t="str">
        <x:v>Trainer | * myContacts</x:v>
      </x:c>
      <x:c r="F1310" s="16" t="str">
        <x:v>+60 17-415 2078 | +60174152078</x:v>
      </x:c>
      <x:c r="G1310" s="16" t="str">
        <x:v>+60174152078 | +60174152078</x:v>
      </x:c>
      <x:c r="H1310" s="16" t="str">
        <x:v>Excluded</x:v>
      </x:c>
      <x:c r="I1310" s="16" t="str">
        <x:v>Missing email</x:v>
      </x:c>
    </x:row>
    <x:row r="1311">
      <x:c r="A1311" s="16" t="n">
        <x:v>1308</x:v>
      </x:c>
      <x:c r="B1311" s="16" t="str">
        <x:v>Azril Binti Yaakob</x:v>
      </x:c>
      <x:c r="C1311" s="16" t="str"/>
      <x:c r="D1311" s="16" t="str"/>
      <x:c r="E1311" s="16" t="str">
        <x:v>* myContacts</x:v>
      </x:c>
      <x:c r="F1311" s="16" t="str">
        <x:v>+60122354908</x:v>
      </x:c>
      <x:c r="G1311" s="16" t="str">
        <x:v>+60122354908</x:v>
      </x:c>
      <x:c r="H1311" s="16" t="str">
        <x:v>Excluded</x:v>
      </x:c>
      <x:c r="I1311" s="16" t="str">
        <x:v>Missing email</x:v>
      </x:c>
    </x:row>
    <x:row r="1312">
      <x:c r="A1312" s="16" t="n">
        <x:v>1309</x:v>
      </x:c>
      <x:c r="B1312" s="16" t="str">
        <x:v>Azril Hisham Kamal Bashah</x:v>
      </x:c>
      <x:c r="C1312" s="16" t="str"/>
      <x:c r="D1312" s="16" t="str"/>
      <x:c r="E1312" s="16" t="str">
        <x:v>* myContacts</x:v>
      </x:c>
      <x:c r="F1312" s="16" t="str">
        <x:v>+60196690809</x:v>
      </x:c>
      <x:c r="G1312" s="16" t="str">
        <x:v>+60196690809</x:v>
      </x:c>
      <x:c r="H1312" s="16" t="str">
        <x:v>Excluded</x:v>
      </x:c>
      <x:c r="I1312" s="16" t="str">
        <x:v>Missing email</x:v>
      </x:c>
    </x:row>
    <x:row r="1313">
      <x:c r="A1313" s="16" t="n">
        <x:v>1310</x:v>
      </x:c>
      <x:c r="B1313" s="16" t="str">
        <x:v>Azril Je</x:v>
      </x:c>
      <x:c r="C1313" s="16" t="str"/>
      <x:c r="D1313" s="16" t="str"/>
      <x:c r="E1313" s="16" t="str">
        <x:v>* myContacts</x:v>
      </x:c>
      <x:c r="F1313" s="16" t="str">
        <x:v>+601126850942</x:v>
      </x:c>
      <x:c r="G1313" s="16" t="str">
        <x:v>+601126850942</x:v>
      </x:c>
      <x:c r="H1313" s="16" t="str">
        <x:v>Excluded</x:v>
      </x:c>
      <x:c r="I1313" s="16" t="str">
        <x:v>Missing email</x:v>
      </x:c>
    </x:row>
    <x:row r="1314">
      <x:c r="A1314" s="16" t="n">
        <x:v>1311</x:v>
      </x:c>
      <x:c r="B1314" s="16" t="str">
        <x:v>Azrina Md Juari</x:v>
      </x:c>
      <x:c r="C1314" s="16" t="str"/>
      <x:c r="D1314" s="16" t="str"/>
      <x:c r="E1314" s="16" t="str">
        <x:v>* myContacts</x:v>
      </x:c>
      <x:c r="F1314" s="16" t="str">
        <x:v>+60127619184</x:v>
      </x:c>
      <x:c r="G1314" s="16" t="str">
        <x:v>+60127619184</x:v>
      </x:c>
      <x:c r="H1314" s="16" t="str">
        <x:v>Excluded</x:v>
      </x:c>
      <x:c r="I1314" s="16" t="str">
        <x:v>Missing email</x:v>
      </x:c>
    </x:row>
    <x:row r="1315">
      <x:c r="A1315" s="16" t="n">
        <x:v>1312</x:v>
      </x:c>
      <x:c r="B1315" s="16" t="str">
        <x:v>Azroi PJC Dewan</x:v>
      </x:c>
      <x:c r="C1315" s="16" t="str"/>
      <x:c r="D1315" s="16" t="str"/>
      <x:c r="E1315" s="16" t="str">
        <x:v>* myContacts</x:v>
      </x:c>
      <x:c r="F1315" s="16" t="str">
        <x:v>012-320 0530 | +60123200530</x:v>
      </x:c>
      <x:c r="G1315" s="16" t="str">
        <x:v>+60123200530 | +60123200530</x:v>
      </x:c>
      <x:c r="H1315" s="16" t="str">
        <x:v>Excluded</x:v>
      </x:c>
      <x:c r="I1315" s="16" t="str">
        <x:v>Missing email</x:v>
      </x:c>
    </x:row>
    <x:row r="1316">
      <x:c r="A1316" s="16" t="n">
        <x:v>1313</x:v>
      </x:c>
      <x:c r="B1316" s="16" t="str">
        <x:v>Azrol AGP IM</x:v>
      </x:c>
      <x:c r="C1316" s="16" t="str"/>
      <x:c r="D1316" s="16" t="str"/>
      <x:c r="E1316" s="16" t="str">
        <x:v>* myContacts</x:v>
      </x:c>
      <x:c r="F1316" s="16" t="str">
        <x:v>+60 17-906 8244 | +60179068244</x:v>
      </x:c>
      <x:c r="G1316" s="16" t="str">
        <x:v>+60179068244 | +60179068244</x:v>
      </x:c>
      <x:c r="H1316" s="16" t="str">
        <x:v>Excluded</x:v>
      </x:c>
      <x:c r="I1316" s="16" t="str">
        <x:v>Missing email</x:v>
      </x:c>
    </x:row>
    <x:row r="1317">
      <x:c r="A1317" s="16" t="n">
        <x:v>1314</x:v>
      </x:c>
      <x:c r="B1317" s="16" t="str">
        <x:v>Azrol Azizan</x:v>
      </x:c>
      <x:c r="C1317" s="16" t="str"/>
      <x:c r="D1317" s="16" t="str"/>
      <x:c r="E1317" s="16" t="str">
        <x:v>* myContacts</x:v>
      </x:c>
      <x:c r="F1317" s="16" t="str">
        <x:v>+60175192030</x:v>
      </x:c>
      <x:c r="G1317" s="16" t="str">
        <x:v>+60175192030</x:v>
      </x:c>
      <x:c r="H1317" s="16" t="str">
        <x:v>Excluded</x:v>
      </x:c>
      <x:c r="I1317" s="16" t="str">
        <x:v>Missing email</x:v>
      </x:c>
    </x:row>
    <x:row r="1318">
      <x:c r="A1318" s="16" t="n">
        <x:v>1315</x:v>
      </x:c>
      <x:c r="B1318" s="16" t="str">
        <x:v>azrol minda trafic</x:v>
      </x:c>
      <x:c r="C1318" s="16" t="str"/>
      <x:c r="D1318" s="16" t="str"/>
      <x:c r="E1318" s="16" t="str">
        <x:v>* myContacts</x:v>
      </x:c>
      <x:c r="F1318" s="16" t="str">
        <x:v>019250789</x:v>
      </x:c>
      <x:c r="G1318" s="16" t="str">
        <x:v>+6019250789</x:v>
      </x:c>
      <x:c r="H1318" s="16" t="str">
        <x:v>Excluded</x:v>
      </x:c>
      <x:c r="I1318" s="16" t="str">
        <x:v>Missing email</x:v>
      </x:c>
    </x:row>
    <x:row r="1319">
      <x:c r="A1319" s="16" t="n">
        <x:v>1316</x:v>
      </x:c>
      <x:c r="B1319" s="16" t="str">
        <x:v>Azroll Paker</x:v>
      </x:c>
      <x:c r="C1319" s="16" t="str"/>
      <x:c r="D1319" s="16" t="str"/>
      <x:c r="E1319" s="16" t="str">
        <x:v>* myContacts</x:v>
      </x:c>
      <x:c r="F1319" s="16" t="str">
        <x:v>+60179280446</x:v>
      </x:c>
      <x:c r="G1319" s="16" t="str">
        <x:v>+60179280446</x:v>
      </x:c>
      <x:c r="H1319" s="16" t="str">
        <x:v>Excluded</x:v>
      </x:c>
      <x:c r="I1319" s="16" t="str">
        <x:v>Missing email</x:v>
      </x:c>
    </x:row>
    <x:row r="1320">
      <x:c r="A1320" s="16" t="n">
        <x:v>1317</x:v>
      </x:c>
      <x:c r="B1320" s="16" t="str">
        <x:v>Azroy Azham Nhf</x:v>
      </x:c>
      <x:c r="C1320" s="16" t="str"/>
      <x:c r="D1320" s="16" t="str"/>
      <x:c r="E1320" s="16" t="str">
        <x:v>* myContacts</x:v>
      </x:c>
      <x:c r="F1320" s="16" t="str">
        <x:v>+60179019842</x:v>
      </x:c>
      <x:c r="G1320" s="16" t="str">
        <x:v>+60179019842</x:v>
      </x:c>
      <x:c r="H1320" s="16" t="str">
        <x:v>Excluded</x:v>
      </x:c>
      <x:c r="I1320" s="16" t="str">
        <x:v>Missing email</x:v>
      </x:c>
    </x:row>
    <x:row r="1321">
      <x:c r="A1321" s="16" t="n">
        <x:v>1318</x:v>
      </x:c>
      <x:c r="B1321" s="16" t="str">
        <x:v>Azrul Azman AGP</x:v>
      </x:c>
      <x:c r="C1321" s="16" t="str"/>
      <x:c r="D1321" s="16" t="str"/>
      <x:c r="E1321" s="16" t="str">
        <x:v>* myContacts</x:v>
      </x:c>
      <x:c r="F1321" s="16" t="str">
        <x:v>+60 16-422 4642 | +60164224642</x:v>
      </x:c>
      <x:c r="G1321" s="16" t="str">
        <x:v>+60164224642 | +60164224642</x:v>
      </x:c>
      <x:c r="H1321" s="16" t="str">
        <x:v>Excluded</x:v>
      </x:c>
      <x:c r="I1321" s="16" t="str">
        <x:v>Missing email</x:v>
      </x:c>
    </x:row>
    <x:row r="1322">
      <x:c r="A1322" s="16" t="n">
        <x:v>1319</x:v>
      </x:c>
      <x:c r="B1322" s="16" t="str">
        <x:v>Azrul Azwan</x:v>
      </x:c>
      <x:c r="C1322" s="16" t="str"/>
      <x:c r="D1322" s="16" t="str"/>
      <x:c r="E1322" s="16" t="str">
        <x:v>* myContacts</x:v>
      </x:c>
      <x:c r="F1322" s="16" t="str">
        <x:v>+60126461504</x:v>
      </x:c>
      <x:c r="G1322" s="16" t="str">
        <x:v>+60126461504</x:v>
      </x:c>
      <x:c r="H1322" s="16" t="str">
        <x:v>Excluded</x:v>
      </x:c>
      <x:c r="I1322" s="16" t="str">
        <x:v>Missing email</x:v>
      </x:c>
    </x:row>
    <x:row r="1323">
      <x:c r="A1323" s="16" t="n">
        <x:v>1320</x:v>
      </x:c>
      <x:c r="B1323" s="16" t="str">
        <x:v>Azrul Fidel</x:v>
      </x:c>
      <x:c r="C1323" s="16" t="str"/>
      <x:c r="D1323" s="16" t="str"/>
      <x:c r="E1323" s="16" t="str">
        <x:v>* myContacts</x:v>
      </x:c>
      <x:c r="F1323" s="16" t="str">
        <x:v>+60175253916</x:v>
      </x:c>
      <x:c r="G1323" s="16" t="str">
        <x:v>+60175253916</x:v>
      </x:c>
      <x:c r="H1323" s="16" t="str">
        <x:v>Excluded</x:v>
      </x:c>
      <x:c r="I1323" s="16" t="str">
        <x:v>Missing email</x:v>
      </x:c>
    </x:row>
    <x:row r="1324">
      <x:c r="A1324" s="16" t="n">
        <x:v>1321</x:v>
      </x:c>
      <x:c r="B1324" s="16" t="str">
        <x:v>Azrul GPS</x:v>
      </x:c>
      <x:c r="C1324" s="16" t="str"/>
      <x:c r="D1324" s="16" t="str"/>
      <x:c r="E1324" s="16" t="str">
        <x:v>* myContacts</x:v>
      </x:c>
      <x:c r="F1324" s="16" t="str">
        <x:v>6017-625 1345 | +60176251345</x:v>
      </x:c>
      <x:c r="G1324" s="16" t="str">
        <x:v>+60176251345 | +60176251345</x:v>
      </x:c>
      <x:c r="H1324" s="16" t="str">
        <x:v>Excluded</x:v>
      </x:c>
      <x:c r="I1324" s="16" t="str">
        <x:v>Missing email</x:v>
      </x:c>
    </x:row>
    <x:row r="1325">
      <x:c r="A1325" s="16" t="n">
        <x:v>1322</x:v>
      </x:c>
      <x:c r="B1325" s="16" t="str">
        <x:v>Azrul Hazmil</x:v>
      </x:c>
      <x:c r="C1325" s="16" t="str"/>
      <x:c r="D1325" s="16" t="str"/>
      <x:c r="E1325" s="16" t="str">
        <x:v>* myContacts</x:v>
      </x:c>
      <x:c r="F1325" s="16" t="str">
        <x:v>+60107866673</x:v>
      </x:c>
      <x:c r="G1325" s="16" t="str">
        <x:v>+60107866673</x:v>
      </x:c>
      <x:c r="H1325" s="16" t="str">
        <x:v>Excluded</x:v>
      </x:c>
      <x:c r="I1325" s="16" t="str">
        <x:v>Missing email</x:v>
      </x:c>
    </x:row>
    <x:row r="1326">
      <x:c r="A1326" s="16" t="n">
        <x:v>1323</x:v>
      </x:c>
      <x:c r="B1326" s="16" t="str">
        <x:v>Azrul Lc</x:v>
      </x:c>
      <x:c r="C1326" s="16" t="str"/>
      <x:c r="D1326" s="16" t="str"/>
      <x:c r="E1326" s="16" t="str">
        <x:v>* myContacts</x:v>
      </x:c>
      <x:c r="F1326" s="16" t="str">
        <x:v>+60179290628</x:v>
      </x:c>
      <x:c r="G1326" s="16" t="str">
        <x:v>+60179290628</x:v>
      </x:c>
      <x:c r="H1326" s="16" t="str">
        <x:v>Excluded</x:v>
      </x:c>
      <x:c r="I1326" s="16" t="str">
        <x:v>Missing email</x:v>
      </x:c>
    </x:row>
    <x:row r="1327">
      <x:c r="A1327" s="16" t="n">
        <x:v>1324</x:v>
      </x:c>
      <x:c r="B1327" s="16" t="str">
        <x:v>Azrul LetChat</x:v>
      </x:c>
      <x:c r="C1327" s="16" t="str"/>
      <x:c r="D1327" s="16" t="str"/>
      <x:c r="E1327" s="16" t="str">
        <x:v>* myContacts</x:v>
      </x:c>
      <x:c r="F1327" s="16" t="str">
        <x:v>+60122455330</x:v>
      </x:c>
      <x:c r="G1327" s="16" t="str">
        <x:v>+60122455330</x:v>
      </x:c>
      <x:c r="H1327" s="16" t="str">
        <x:v>Excluded</x:v>
      </x:c>
      <x:c r="I1327" s="16" t="str">
        <x:v>Missing email</x:v>
      </x:c>
    </x:row>
    <x:row r="1328">
      <x:c r="A1328" s="16" t="n">
        <x:v>1325</x:v>
      </x:c>
      <x:c r="B1328" s="16" t="str">
        <x:v>Azrull Hisham Ahmad</x:v>
      </x:c>
      <x:c r="C1328" s="16" t="str"/>
      <x:c r="D1328" s="16" t="str"/>
      <x:c r="E1328" s="16" t="str">
        <x:v>* myContacts</x:v>
      </x:c>
      <x:c r="F1328" s="16" t="str">
        <x:v>+601111216238</x:v>
      </x:c>
      <x:c r="G1328" s="16" t="str">
        <x:v>+601111216238</x:v>
      </x:c>
      <x:c r="H1328" s="16" t="str">
        <x:v>Excluded</x:v>
      </x:c>
      <x:c r="I1328" s="16" t="str">
        <x:v>Missing email</x:v>
      </x:c>
    </x:row>
    <x:row r="1329">
      <x:c r="A1329" s="16" t="n">
        <x:v>1326</x:v>
      </x:c>
      <x:c r="B1329" s="16" t="str">
        <x:v>Azry Wak Jony Workshop</x:v>
      </x:c>
      <x:c r="C1329" s="16" t="str"/>
      <x:c r="D1329" s="16" t="str"/>
      <x:c r="E1329" s="16" t="str">
        <x:v>* myContacts</x:v>
      </x:c>
      <x:c r="F1329" s="16" t="str">
        <x:v>+60 17-666 7927</x:v>
      </x:c>
      <x:c r="G1329" s="16" t="str">
        <x:v>+60176667927</x:v>
      </x:c>
      <x:c r="H1329" s="16" t="str">
        <x:v>Excluded</x:v>
      </x:c>
      <x:c r="I1329" s="16" t="str">
        <x:v>Missing email</x:v>
      </x:c>
    </x:row>
    <x:row r="1330">
      <x:c r="A1330" s="16" t="n">
        <x:v>1327</x:v>
      </x:c>
      <x:c r="B1330" s="16" t="str">
        <x:v>Azura Azizan</x:v>
      </x:c>
      <x:c r="C1330" s="16" t="str"/>
      <x:c r="D1330" s="16" t="str"/>
      <x:c r="E1330" s="16" t="str">
        <x:v>* myContacts</x:v>
      </x:c>
      <x:c r="F1330" s="16" t="str">
        <x:v>+60173483972</x:v>
      </x:c>
      <x:c r="G1330" s="16" t="str">
        <x:v>+60173483972</x:v>
      </x:c>
      <x:c r="H1330" s="16" t="str">
        <x:v>Excluded</x:v>
      </x:c>
      <x:c r="I1330" s="16" t="str">
        <x:v>Missing email</x:v>
      </x:c>
    </x:row>
    <x:row r="1331">
      <x:c r="A1331" s="16" t="n">
        <x:v>1328</x:v>
      </x:c>
      <x:c r="B1331" s="16" t="str">
        <x:v>Azura Katering</x:v>
      </x:c>
      <x:c r="C1331" s="16" t="str"/>
      <x:c r="D1331" s="16" t="str"/>
      <x:c r="E1331" s="16" t="str">
        <x:v>* myContacts</x:v>
      </x:c>
      <x:c r="F1331" s="16" t="str">
        <x:v>+60129476163</x:v>
      </x:c>
      <x:c r="G1331" s="16" t="str">
        <x:v>+60129476163</x:v>
      </x:c>
      <x:c r="H1331" s="16" t="str">
        <x:v>Excluded</x:v>
      </x:c>
      <x:c r="I1331" s="16" t="str">
        <x:v>Missing email</x:v>
      </x:c>
    </x:row>
    <x:row r="1332">
      <x:c r="A1332" s="16" t="n">
        <x:v>1329</x:v>
      </x:c>
      <x:c r="B1332" s="16" t="str">
        <x:v>Azura Zura</x:v>
      </x:c>
      <x:c r="C1332" s="16" t="str"/>
      <x:c r="D1332" s="16" t="str"/>
      <x:c r="E1332" s="16" t="str">
        <x:v>* myContacts</x:v>
      </x:c>
      <x:c r="F1332" s="16" t="str">
        <x:v>+60177480035 | +60172583438 | +60177480035 | +60172583438</x:v>
      </x:c>
      <x:c r="G1332" s="16" t="str">
        <x:v>+60177480035 | +60172583438 | +60177480035 | +60172583438</x:v>
      </x:c>
      <x:c r="H1332" s="16" t="str">
        <x:v>Excluded</x:v>
      </x:c>
      <x:c r="I1332" s="16" t="str">
        <x:v>Missing email</x:v>
      </x:c>
    </x:row>
    <x:row r="1333">
      <x:c r="A1333" s="16" t="n">
        <x:v>1330</x:v>
      </x:c>
      <x:c r="B1333" s="16" t="str">
        <x:v>Azureen ILM</x:v>
      </x:c>
      <x:c r="C1333" s="16" t="str"/>
      <x:c r="D1333" s="16" t="str"/>
      <x:c r="E1333" s="16" t="str">
        <x:v>* myContacts</x:v>
      </x:c>
      <x:c r="F1333" s="16" t="str">
        <x:v>+60 11-1921 4640 | +601119214640</x:v>
      </x:c>
      <x:c r="G1333" s="16" t="str">
        <x:v>+601119214640 | +601119214640</x:v>
      </x:c>
      <x:c r="H1333" s="16" t="str">
        <x:v>Excluded</x:v>
      </x:c>
      <x:c r="I1333" s="16" t="str">
        <x:v>Missing email</x:v>
      </x:c>
    </x:row>
    <x:row r="1334">
      <x:c r="A1334" s="16" t="n">
        <x:v>1331</x:v>
      </x:c>
      <x:c r="B1334" s="16" t="str">
        <x:v>Azuwanmiskam Belang R</x:v>
      </x:c>
      <x:c r="C1334" s="16" t="str"/>
      <x:c r="D1334" s="16" t="str"/>
      <x:c r="E1334" s="16" t="str">
        <x:v>* myContacts</x:v>
      </x:c>
      <x:c r="F1334" s="16" t="str">
        <x:v>+60192325491</x:v>
      </x:c>
      <x:c r="G1334" s="16" t="str">
        <x:v>+60192325491</x:v>
      </x:c>
      <x:c r="H1334" s="16" t="str">
        <x:v>Excluded</x:v>
      </x:c>
      <x:c r="I1334" s="16" t="str">
        <x:v>Missing email</x:v>
      </x:c>
    </x:row>
    <x:row r="1335">
      <x:c r="A1335" s="16" t="n">
        <x:v>1332</x:v>
      </x:c>
      <x:c r="B1335" s="16" t="str">
        <x:v>Azwan Mdec Tracker</x:v>
      </x:c>
      <x:c r="C1335" s="16" t="str"/>
      <x:c r="D1335" s="16" t="str"/>
      <x:c r="E1335" s="16" t="str">
        <x:v>* myContacts</x:v>
      </x:c>
      <x:c r="F1335" s="16" t="str">
        <x:v>+60 18-203 9010 | +60182039010</x:v>
      </x:c>
      <x:c r="G1335" s="16" t="str">
        <x:v>+60182039010 | +60182039010</x:v>
      </x:c>
      <x:c r="H1335" s="16" t="str">
        <x:v>Excluded</x:v>
      </x:c>
      <x:c r="I1335" s="16" t="str">
        <x:v>Missing email</x:v>
      </x:c>
    </x:row>
    <x:row r="1336">
      <x:c r="A1336" s="16" t="n">
        <x:v>1333</x:v>
      </x:c>
      <x:c r="B1336" s="16" t="str">
        <x:v>Azwan Nawza</x:v>
      </x:c>
      <x:c r="C1336" s="16" t="str"/>
      <x:c r="D1336" s="16" t="str"/>
      <x:c r="E1336" s="16" t="str">
        <x:v>* myContacts</x:v>
      </x:c>
      <x:c r="F1336" s="16" t="str">
        <x:v>+60139744383</x:v>
      </x:c>
      <x:c r="G1336" s="16" t="str">
        <x:v>+60139744383</x:v>
      </x:c>
      <x:c r="H1336" s="16" t="str">
        <x:v>Excluded</x:v>
      </x:c>
      <x:c r="I1336" s="16" t="str">
        <x:v>Missing email</x:v>
      </x:c>
    </x:row>
    <x:row r="1337">
      <x:c r="A1337" s="16" t="n">
        <x:v>1334</x:v>
      </x:c>
      <x:c r="B1337" s="16" t="str">
        <x:v>Azwan Sprinter</x:v>
      </x:c>
      <x:c r="C1337" s="16" t="str"/>
      <x:c r="D1337" s="16" t="str"/>
      <x:c r="E1337" s="16" t="str">
        <x:v>* myContacts</x:v>
      </x:c>
      <x:c r="F1337" s="16" t="str">
        <x:v>+60133922795</x:v>
      </x:c>
      <x:c r="G1337" s="16" t="str">
        <x:v>+60133922795</x:v>
      </x:c>
      <x:c r="H1337" s="16" t="str">
        <x:v>Excluded</x:v>
      </x:c>
      <x:c r="I1337" s="16" t="str">
        <x:v>Missing email</x:v>
      </x:c>
    </x:row>
    <x:row r="1338">
      <x:c r="A1338" s="16" t="n">
        <x:v>1335</x:v>
      </x:c>
      <x:c r="B1338" s="16" t="str">
        <x:v>Azwani Ismail</x:v>
      </x:c>
      <x:c r="C1338" s="16" t="str"/>
      <x:c r="D1338" s="16" t="str"/>
      <x:c r="E1338" s="16" t="str">
        <x:v>* myContacts</x:v>
      </x:c>
      <x:c r="F1338" s="16" t="str">
        <x:v>+60177126795</x:v>
      </x:c>
      <x:c r="G1338" s="16" t="str">
        <x:v>+60177126795</x:v>
      </x:c>
      <x:c r="H1338" s="16" t="str">
        <x:v>Excluded</x:v>
      </x:c>
      <x:c r="I1338" s="16" t="str">
        <x:v>Missing email</x:v>
      </x:c>
    </x:row>
    <x:row r="1339">
      <x:c r="A1339" s="16" t="n">
        <x:v>1336</x:v>
      </x:c>
      <x:c r="B1339" s="16" t="str">
        <x:v>Azyanti Aziz</x:v>
      </x:c>
      <x:c r="C1339" s="16" t="str"/>
      <x:c r="D1339" s="16" t="str"/>
      <x:c r="E1339" s="16" t="str">
        <x:v>* myContacts</x:v>
      </x:c>
      <x:c r="F1339" s="16" t="str">
        <x:v>+60123301581</x:v>
      </x:c>
      <x:c r="G1339" s="16" t="str">
        <x:v>+60123301581</x:v>
      </x:c>
      <x:c r="H1339" s="16" t="str">
        <x:v>Excluded</x:v>
      </x:c>
      <x:c r="I1339" s="16" t="str">
        <x:v>Missing email</x:v>
      </x:c>
    </x:row>
    <x:row r="1340">
      <x:c r="A1340" s="16" t="n">
        <x:v>1337</x:v>
      </x:c>
      <x:c r="B1340" s="16" t="str">
        <x:v>Azyyati Zahari</x:v>
      </x:c>
      <x:c r="C1340" s="16" t="str"/>
      <x:c r="D1340" s="16" t="str"/>
      <x:c r="E1340" s="16" t="str">
        <x:v>* myContacts</x:v>
      </x:c>
      <x:c r="F1340" s="16" t="str">
        <x:v>+601129225616</x:v>
      </x:c>
      <x:c r="G1340" s="16" t="str">
        <x:v>+601129225616</x:v>
      </x:c>
      <x:c r="H1340" s="16" t="str">
        <x:v>Excluded</x:v>
      </x:c>
      <x:c r="I1340" s="16" t="str">
        <x:v>Missing email</x:v>
      </x:c>
    </x:row>
    <x:row r="1341">
      <x:c r="A1341" s="16" t="n">
        <x:v>1338</x:v>
      </x:c>
      <x:c r="B1341" s="16" t="str">
        <x:v>Azzurri Sp</x:v>
      </x:c>
      <x:c r="C1341" s="16" t="str"/>
      <x:c r="D1341" s="16" t="str"/>
      <x:c r="E1341" s="16" t="str">
        <x:v>* myContacts</x:v>
      </x:c>
      <x:c r="F1341" s="16" t="str">
        <x:v>+60126222494</x:v>
      </x:c>
      <x:c r="G1341" s="16" t="str">
        <x:v>+60126222494</x:v>
      </x:c>
      <x:c r="H1341" s="16" t="str">
        <x:v>Excluded</x:v>
      </x:c>
      <x:c r="I1341" s="16" t="str">
        <x:v>Missing email</x:v>
      </x:c>
    </x:row>
    <x:row r="1342">
      <x:c r="A1342" s="16" t="n">
        <x:v>1339</x:v>
      </x:c>
      <x:c r="B1342" s="16" t="str">
        <x:v>Ba Li Kitchen Cabinet</x:v>
      </x:c>
      <x:c r="C1342" s="16" t="str"/>
      <x:c r="D1342" s="16" t="str"/>
      <x:c r="E1342" s="16" t="str">
        <x:v>* myContacts</x:v>
      </x:c>
      <x:c r="F1342" s="16" t="str">
        <x:v>+60129690962</x:v>
      </x:c>
      <x:c r="G1342" s="16" t="str">
        <x:v>+60129690962</x:v>
      </x:c>
      <x:c r="H1342" s="16" t="str">
        <x:v>Excluded</x:v>
      </x:c>
      <x:c r="I1342" s="16" t="str">
        <x:v>Missing email</x:v>
      </x:c>
    </x:row>
    <x:row r="1343">
      <x:c r="A1343" s="16" t="n">
        <x:v>1340</x:v>
      </x:c>
      <x:c r="B1343" s="16" t="str">
        <x:v>BAAN TIKUS 4s</x:v>
      </x:c>
      <x:c r="C1343" s="16" t="str"/>
      <x:c r="D1343" s="16" t="str"/>
      <x:c r="E1343" s="16" t="str">
        <x:v>* myContacts</x:v>
      </x:c>
      <x:c r="F1343" s="16" t="str">
        <x:v>+60183188662</x:v>
      </x:c>
      <x:c r="G1343" s="16" t="str">
        <x:v>+60183188662</x:v>
      </x:c>
      <x:c r="H1343" s="16" t="str">
        <x:v>Excluded</x:v>
      </x:c>
      <x:c r="I1343" s="16" t="str">
        <x:v>Missing email</x:v>
      </x:c>
    </x:row>
    <x:row r="1344">
      <x:c r="A1344" s="16" t="n">
        <x:v>1341</x:v>
      </x:c>
      <x:c r="B1344" s="16" t="str">
        <x:v>Baasit Insurans Merlimau</x:v>
      </x:c>
      <x:c r="C1344" s="16" t="str"/>
      <x:c r="D1344" s="16" t="str"/>
      <x:c r="E1344" s="16" t="str">
        <x:v>* myContacts</x:v>
      </x:c>
      <x:c r="F1344" s="16" t="str">
        <x:v>+601118661989</x:v>
      </x:c>
      <x:c r="G1344" s="16" t="str">
        <x:v>+601118661989</x:v>
      </x:c>
      <x:c r="H1344" s="16" t="str">
        <x:v>Excluded</x:v>
      </x:c>
      <x:c r="I1344" s="16" t="str">
        <x:v>Missing email</x:v>
      </x:c>
    </x:row>
    <x:row r="1345">
      <x:c r="A1345" s="16" t="n">
        <x:v>1342</x:v>
      </x:c>
      <x:c r="B1345" s="16" t="str">
        <x:v>Baayah Rozani</x:v>
      </x:c>
      <x:c r="C1345" s="16" t="str"/>
      <x:c r="D1345" s="16" t="str"/>
      <x:c r="E1345" s="16" t="str">
        <x:v>* myContacts</x:v>
      </x:c>
      <x:c r="F1345" s="16" t="str">
        <x:v>+60145142130</x:v>
      </x:c>
      <x:c r="G1345" s="16" t="str">
        <x:v>+60145142130</x:v>
      </x:c>
      <x:c r="H1345" s="16" t="str">
        <x:v>Excluded</x:v>
      </x:c>
      <x:c r="I1345" s="16" t="str">
        <x:v>Missing email</x:v>
      </x:c>
    </x:row>
    <x:row r="1346">
      <x:c r="A1346" s="16" t="n">
        <x:v>1343</x:v>
      </x:c>
      <x:c r="B1346" s="16" t="str">
        <x:v>Babarock Syariman Nazar</x:v>
      </x:c>
      <x:c r="C1346" s="16" t="str"/>
      <x:c r="D1346" s="16" t="str"/>
      <x:c r="E1346" s="16" t="str">
        <x:v>* myContacts</x:v>
      </x:c>
      <x:c r="F1346" s="16" t="str">
        <x:v>+60123462361</x:v>
      </x:c>
      <x:c r="G1346" s="16" t="str">
        <x:v>+60123462361</x:v>
      </x:c>
      <x:c r="H1346" s="16" t="str">
        <x:v>Excluded</x:v>
      </x:c>
      <x:c r="I1346" s="16" t="str">
        <x:v>Missing email</x:v>
      </x:c>
    </x:row>
    <x:row r="1347">
      <x:c r="A1347" s="16" t="n">
        <x:v>1344</x:v>
      </x:c>
      <x:c r="B1347" s="16" t="str">
        <x:v>Baber PA System</x:v>
      </x:c>
      <x:c r="C1347" s="16" t="str"/>
      <x:c r="D1347" s="16" t="str"/>
      <x:c r="E1347" s="16" t="str">
        <x:v>* myContacts</x:v>
      </x:c>
      <x:c r="F1347" s="16" t="str">
        <x:v>+60102575759</x:v>
      </x:c>
      <x:c r="G1347" s="16" t="str">
        <x:v>+60102575759</x:v>
      </x:c>
      <x:c r="H1347" s="16" t="str">
        <x:v>Excluded</x:v>
      </x:c>
      <x:c r="I1347" s="16" t="str">
        <x:v>Missing email</x:v>
      </x:c>
    </x:row>
    <x:row r="1348">
      <x:c r="A1348" s="16" t="n">
        <x:v>1345</x:v>
      </x:c>
      <x:c r="B1348" s="16" t="str">
        <x:v>Babullah Putra Pratasik</x:v>
      </x:c>
      <x:c r="C1348" s="16" t="str"/>
      <x:c r="D1348" s="16" t="str"/>
      <x:c r="E1348" s="16" t="str">
        <x:v>* myContacts</x:v>
      </x:c>
      <x:c r="F1348" s="16" t="str">
        <x:v>+60108839034</x:v>
      </x:c>
      <x:c r="G1348" s="16" t="str">
        <x:v>+60108839034</x:v>
      </x:c>
      <x:c r="H1348" s="16" t="str">
        <x:v>Excluded</x:v>
      </x:c>
      <x:c r="I1348" s="16" t="str">
        <x:v>Missing email</x:v>
      </x:c>
    </x:row>
    <x:row r="1349">
      <x:c r="A1349" s="16" t="n">
        <x:v>1346</x:v>
      </x:c>
      <x:c r="B1349" s="16" t="str">
        <x:v>Babur Butler</x:v>
      </x:c>
      <x:c r="C1349" s="16" t="str"/>
      <x:c r="D1349" s="16" t="str"/>
      <x:c r="E1349" s="16" t="str">
        <x:v>* myContacts</x:v>
      </x:c>
      <x:c r="F1349" s="16" t="str">
        <x:v>011-2116 8672 | +601121168672</x:v>
      </x:c>
      <x:c r="G1349" s="16" t="str">
        <x:v>+601121168672 | +601121168672</x:v>
      </x:c>
      <x:c r="H1349" s="16" t="str">
        <x:v>Excluded</x:v>
      </x:c>
      <x:c r="I1349" s="16" t="str">
        <x:v>Missing email</x:v>
      </x:c>
    </x:row>
    <x:row r="1350">
      <x:c r="A1350" s="16" t="n">
        <x:v>1347</x:v>
      </x:c>
      <x:c r="B1350" s="16" t="str">
        <x:v>BabyChubbs Adm</x:v>
      </x:c>
      <x:c r="C1350" s="16" t="str"/>
      <x:c r="D1350" s="16" t="str"/>
      <x:c r="E1350" s="16" t="str">
        <x:v>* myContacts</x:v>
      </x:c>
      <x:c r="F1350" s="16" t="str">
        <x:v>+60172242462</x:v>
      </x:c>
      <x:c r="G1350" s="16" t="str">
        <x:v>+60172242462</x:v>
      </x:c>
      <x:c r="H1350" s="16" t="str">
        <x:v>Excluded</x:v>
      </x:c>
      <x:c r="I1350" s="16" t="str">
        <x:v>Missing email</x:v>
      </x:c>
    </x:row>
    <x:row r="1351">
      <x:c r="A1351" s="16" t="n">
        <x:v>1348</x:v>
      </x:c>
      <x:c r="B1351" s="16" t="str">
        <x:v>Badrin Arinnur</x:v>
      </x:c>
      <x:c r="C1351" s="16" t="str"/>
      <x:c r="D1351" s="16" t="str"/>
      <x:c r="E1351" s="16" t="str">
        <x:v>* myContacts</x:v>
      </x:c>
      <x:c r="F1351" s="16" t="str">
        <x:v>+601115335509</x:v>
      </x:c>
      <x:c r="G1351" s="16" t="str">
        <x:v>+601115335509</x:v>
      </x:c>
      <x:c r="H1351" s="16" t="str">
        <x:v>Excluded</x:v>
      </x:c>
      <x:c r="I1351" s="16" t="str">
        <x:v>Missing email</x:v>
      </x:c>
    </x:row>
    <x:row r="1352">
      <x:c r="A1352" s="16" t="n">
        <x:v>1349</x:v>
      </x:c>
      <x:c r="B1352" s="16" t="str">
        <x:v>Badrul Anuar</x:v>
      </x:c>
      <x:c r="C1352" s="16" t="str"/>
      <x:c r="D1352" s="16" t="str"/>
      <x:c r="E1352" s="16" t="str">
        <x:v>* myContacts</x:v>
      </x:c>
      <x:c r="F1352" s="16" t="str">
        <x:v>+60175168083</x:v>
      </x:c>
      <x:c r="G1352" s="16" t="str">
        <x:v>+60175168083</x:v>
      </x:c>
      <x:c r="H1352" s="16" t="str">
        <x:v>Excluded</x:v>
      </x:c>
      <x:c r="I1352" s="16" t="str">
        <x:v>Missing email</x:v>
      </x:c>
    </x:row>
    <x:row r="1353">
      <x:c r="A1353" s="16" t="n">
        <x:v>1350</x:v>
      </x:c>
      <x:c r="B1353" s="16" t="str">
        <x:v>Badrul Bella</x:v>
      </x:c>
      <x:c r="C1353" s="16" t="str"/>
      <x:c r="D1353" s="16" t="str"/>
      <x:c r="E1353" s="16" t="str">
        <x:v>* myContacts</x:v>
      </x:c>
      <x:c r="F1353" s="16" t="str">
        <x:v>+601115239540</x:v>
      </x:c>
      <x:c r="G1353" s="16" t="str">
        <x:v>+601115239540</x:v>
      </x:c>
      <x:c r="H1353" s="16" t="str">
        <x:v>Excluded</x:v>
      </x:c>
      <x:c r="I1353" s="16" t="str">
        <x:v>Missing email</x:v>
      </x:c>
    </x:row>
    <x:row r="1354">
      <x:c r="A1354" s="16" t="n">
        <x:v>1351</x:v>
      </x:c>
      <x:c r="B1354" s="16" t="str">
        <x:v>Badrul Kulitas Pilot Taiwan</x:v>
      </x:c>
      <x:c r="C1354" s="16" t="str"/>
      <x:c r="D1354" s="16" t="str"/>
      <x:c r="E1354" s="16" t="str">
        <x:v>* myContacts</x:v>
      </x:c>
      <x:c r="F1354" s="16" t="str">
        <x:v>019-317 7658 | +60193177658</x:v>
      </x:c>
      <x:c r="G1354" s="16" t="str">
        <x:v>+60193177658 | +60193177658</x:v>
      </x:c>
      <x:c r="H1354" s="16" t="str">
        <x:v>Excluded</x:v>
      </x:c>
      <x:c r="I1354" s="16" t="str">
        <x:v>Missing email</x:v>
      </x:c>
    </x:row>
    <x:row r="1355">
      <x:c r="A1355" s="16" t="n">
        <x:v>1352</x:v>
      </x:c>
      <x:c r="B1355" s="16" t="str">
        <x:v>Badrul Munir Donn</x:v>
      </x:c>
      <x:c r="C1355" s="16" t="str"/>
      <x:c r="D1355" s="16" t="str"/>
      <x:c r="E1355" s="16" t="str">
        <x:v>* myContacts</x:v>
      </x:c>
      <x:c r="F1355" s="16" t="str">
        <x:v>+60134237929</x:v>
      </x:c>
      <x:c r="G1355" s="16" t="str">
        <x:v>+60134237929</x:v>
      </x:c>
      <x:c r="H1355" s="16" t="str">
        <x:v>Excluded</x:v>
      </x:c>
      <x:c r="I1355" s="16" t="str">
        <x:v>Missing email</x:v>
      </x:c>
    </x:row>
    <x:row r="1356">
      <x:c r="A1356" s="16" t="n">
        <x:v>1353</x:v>
      </x:c>
      <x:c r="B1356" s="16" t="str">
        <x:v>Baem Ashrawi</x:v>
      </x:c>
      <x:c r="C1356" s="16" t="str"/>
      <x:c r="D1356" s="16" t="str"/>
      <x:c r="E1356" s="16" t="str">
        <x:v>* myContacts</x:v>
      </x:c>
      <x:c r="F1356" s="16" t="str">
        <x:v>+60 18-326 5340 | +60183265340</x:v>
      </x:c>
      <x:c r="G1356" s="16" t="str">
        <x:v>+60183265340 | +60183265340</x:v>
      </x:c>
      <x:c r="H1356" s="16" t="str">
        <x:v>Excluded</x:v>
      </x:c>
      <x:c r="I1356" s="16" t="str">
        <x:v>Missing email</x:v>
      </x:c>
    </x:row>
    <x:row r="1357">
      <x:c r="A1357" s="16" t="n">
        <x:v>1354</x:v>
      </x:c>
      <x:c r="B1357" s="16" t="str">
        <x:v>Bagir Alkaff</x:v>
      </x:c>
      <x:c r="C1357" s="16" t="str"/>
      <x:c r="D1357" s="16" t="str"/>
      <x:c r="E1357" s="16" t="str">
        <x:v>* myContacts</x:v>
      </x:c>
      <x:c r="F1357" s="16" t="str">
        <x:v>+62 822-2123-9977 | +6282221239977</x:v>
      </x:c>
      <x:c r="G1357" s="16" t="str">
        <x:v>+6282221239977 | +6282221239977</x:v>
      </x:c>
      <x:c r="H1357" s="16" t="str">
        <x:v>Excluded</x:v>
      </x:c>
      <x:c r="I1357" s="16" t="str">
        <x:v>Missing email</x:v>
      </x:c>
    </x:row>
    <x:row r="1358">
      <x:c r="A1358" s="16" t="n">
        <x:v>1355</x:v>
      </x:c>
      <x:c r="B1358" s="16" t="str">
        <x:v>Baha Kusyen</x:v>
      </x:c>
      <x:c r="C1358" s="16" t="str"/>
      <x:c r="D1358" s="16" t="str"/>
      <x:c r="E1358" s="16" t="str">
        <x:v>* myContacts</x:v>
      </x:c>
      <x:c r="F1358" s="16" t="str">
        <x:v>+60 19-337 9795 | +60193379795</x:v>
      </x:c>
      <x:c r="G1358" s="16" t="str">
        <x:v>+60193379795 | +60193379795</x:v>
      </x:c>
      <x:c r="H1358" s="16" t="str">
        <x:v>Excluded</x:v>
      </x:c>
      <x:c r="I1358" s="16" t="str">
        <x:v>Missing email</x:v>
      </x:c>
    </x:row>
    <x:row r="1359">
      <x:c r="A1359" s="16" t="n">
        <x:v>1356</x:v>
      </x:c>
      <x:c r="B1359" s="16" t="str">
        <x:v>Bahagian Kementerian Pembangunan Usahawan</x:v>
      </x:c>
      <x:c r="C1359" s="16" t="str">
        <x:v>webmaster@mdec.gov.my</x:v>
      </x:c>
      <x:c r="D1359" s="16" t="str">
        <x:v>webmaster@mdec.gov.my</x:v>
      </x:c>
      <x:c r="E1359" s="16" t="str">
        <x:v>* myContacts</x:v>
      </x:c>
      <x:c r="F1359" s="16" t="str"/>
      <x:c r="G1359" s="16" t="str"/>
      <x:c r="H1359" s="16" t="str">
        <x:v>Eligible</x:v>
      </x:c>
      <x:c r="I1359" s="16" t="str"/>
    </x:row>
    <x:row r="1360">
      <x:c r="A1360" s="16" t="n">
        <x:v>1357</x:v>
      </x:c>
      <x:c r="B1360" s="16" t="str">
        <x:v>Bahagian Korporat Kias</x:v>
      </x:c>
      <x:c r="C1360" s="16" t="str"/>
      <x:c r="D1360" s="16" t="str"/>
      <x:c r="E1360" s="16" t="str">
        <x:v>* myContacts</x:v>
      </x:c>
      <x:c r="F1360" s="16" t="str">
        <x:v>+6097125125</x:v>
      </x:c>
      <x:c r="G1360" s="16" t="str">
        <x:v>+6097125125</x:v>
      </x:c>
      <x:c r="H1360" s="16" t="str">
        <x:v>Excluded</x:v>
      </x:c>
      <x:c r="I1360" s="16" t="str">
        <x:v>Missing email</x:v>
      </x:c>
    </x:row>
    <x:row r="1361">
      <x:c r="A1361" s="16" t="n">
        <x:v>1358</x:v>
      </x:c>
      <x:c r="B1361" s="16" t="str">
        <x:v>Baharuddin Dpim Melaka</x:v>
      </x:c>
      <x:c r="C1361" s="16" t="str"/>
      <x:c r="D1361" s="16" t="str"/>
      <x:c r="E1361" s="16" t="str">
        <x:v>* myContacts</x:v>
      </x:c>
      <x:c r="F1361" s="16" t="str">
        <x:v>012-323 7967 | +60123237967</x:v>
      </x:c>
      <x:c r="G1361" s="16" t="str">
        <x:v>+60123237967 | +60123237967</x:v>
      </x:c>
      <x:c r="H1361" s="16" t="str">
        <x:v>Excluded</x:v>
      </x:c>
      <x:c r="I1361" s="16" t="str">
        <x:v>Missing email</x:v>
      </x:c>
    </x:row>
    <x:row r="1362">
      <x:c r="A1362" s="16" t="n">
        <x:v>1359</x:v>
      </x:c>
      <x:c r="B1362" s="16" t="str">
        <x:v>Baharudin Cek Din</x:v>
      </x:c>
      <x:c r="C1362" s="16" t="str"/>
      <x:c r="D1362" s="16" t="str"/>
      <x:c r="E1362" s="16" t="str">
        <x:v>* myContacts</x:v>
      </x:c>
      <x:c r="F1362" s="16" t="str">
        <x:v>+60145002285</x:v>
      </x:c>
      <x:c r="G1362" s="16" t="str">
        <x:v>+60145002285</x:v>
      </x:c>
      <x:c r="H1362" s="16" t="str">
        <x:v>Excluded</x:v>
      </x:c>
      <x:c r="I1362" s="16" t="str">
        <x:v>Missing email</x:v>
      </x:c>
    </x:row>
    <x:row r="1363">
      <x:c r="A1363" s="16" t="n">
        <x:v>1360</x:v>
      </x:c>
      <x:c r="B1363" s="16" t="str">
        <x:v>Baharudin Din</x:v>
      </x:c>
      <x:c r="C1363" s="16" t="str"/>
      <x:c r="D1363" s="16" t="str"/>
      <x:c r="E1363" s="16" t="str">
        <x:v>* myContacts</x:v>
      </x:c>
      <x:c r="F1363" s="16" t="str">
        <x:v>+60168478273</x:v>
      </x:c>
      <x:c r="G1363" s="16" t="str">
        <x:v>+60168478273</x:v>
      </x:c>
      <x:c r="H1363" s="16" t="str">
        <x:v>Excluded</x:v>
      </x:c>
      <x:c r="I1363" s="16" t="str">
        <x:v>Missing email</x:v>
      </x:c>
    </x:row>
    <x:row r="1364">
      <x:c r="A1364" s="16" t="n">
        <x:v>1361</x:v>
      </x:c>
      <x:c r="B1364" s="16" t="str">
        <x:v>Baharum AGP</x:v>
      </x:c>
      <x:c r="C1364" s="16" t="str"/>
      <x:c r="D1364" s="16" t="str"/>
      <x:c r="E1364" s="16" t="str">
        <x:v>* myContacts</x:v>
      </x:c>
      <x:c r="F1364" s="16" t="str">
        <x:v>+60 12-559 0600 | +60125590600</x:v>
      </x:c>
      <x:c r="G1364" s="16" t="str">
        <x:v>+60125590600 | +60125590600</x:v>
      </x:c>
      <x:c r="H1364" s="16" t="str">
        <x:v>Excluded</x:v>
      </x:c>
      <x:c r="I1364" s="16" t="str">
        <x:v>Missing email</x:v>
      </x:c>
    </x:row>
    <x:row r="1365">
      <x:c r="A1365" s="16" t="n">
        <x:v>1362</x:v>
      </x:c>
      <x:c r="B1365" s="16" t="str">
        <x:v>Bahtera Bulan</x:v>
      </x:c>
      <x:c r="C1365" s="16" t="str"/>
      <x:c r="D1365" s="16" t="str"/>
      <x:c r="E1365" s="16" t="str">
        <x:v>* myContacts</x:v>
      </x:c>
      <x:c r="F1365" s="16" t="str">
        <x:v>+601136700486</x:v>
      </x:c>
      <x:c r="G1365" s="16" t="str">
        <x:v>+601136700486</x:v>
      </x:c>
      <x:c r="H1365" s="16" t="str">
        <x:v>Excluded</x:v>
      </x:c>
      <x:c r="I1365" s="16" t="str">
        <x:v>Missing email</x:v>
      </x:c>
    </x:row>
    <x:row r="1366">
      <x:c r="A1366" s="16" t="n">
        <x:v>1363</x:v>
      </x:c>
      <x:c r="B1366" s="16" t="str">
        <x:v>Bahtera Timur</x:v>
      </x:c>
      <x:c r="C1366" s="16" t="str"/>
      <x:c r="D1366" s="16" t="str"/>
      <x:c r="E1366" s="16" t="str">
        <x:v>* myContacts</x:v>
      </x:c>
      <x:c r="F1366" s="16" t="str">
        <x:v>+60199044440</x:v>
      </x:c>
      <x:c r="G1366" s="16" t="str">
        <x:v>+60199044440</x:v>
      </x:c>
      <x:c r="H1366" s="16" t="str">
        <x:v>Excluded</x:v>
      </x:c>
      <x:c r="I1366" s="16" t="str">
        <x:v>Missing email</x:v>
      </x:c>
    </x:row>
    <x:row r="1367">
      <x:c r="A1367" s="16" t="n">
        <x:v>1364</x:v>
      </x:c>
      <x:c r="B1367" s="16" t="str">
        <x:v>Bai Fx Otai</x:v>
      </x:c>
      <x:c r="C1367" s="16" t="str"/>
      <x:c r="D1367" s="16" t="str"/>
      <x:c r="E1367" s="16" t="str">
        <x:v>* myContacts</x:v>
      </x:c>
      <x:c r="F1367" s="16" t="str">
        <x:v>017-308 2329 | +60173082329</x:v>
      </x:c>
      <x:c r="G1367" s="16" t="str">
        <x:v>+60173082329 | +60173082329</x:v>
      </x:c>
      <x:c r="H1367" s="16" t="str">
        <x:v>Excluded</x:v>
      </x:c>
      <x:c r="I1367" s="16" t="str">
        <x:v>Missing email</x:v>
      </x:c>
    </x:row>
    <x:row r="1368">
      <x:c r="A1368" s="16" t="n">
        <x:v>1365</x:v>
      </x:c>
      <x:c r="B1368" s="16" t="str">
        <x:v>Baihaqi Kasturi Huffaz</x:v>
      </x:c>
      <x:c r="C1368" s="16" t="str"/>
      <x:c r="D1368" s="16" t="str"/>
      <x:c r="E1368" s="16" t="str">
        <x:v>* myContacts</x:v>
      </x:c>
      <x:c r="F1368" s="16" t="str">
        <x:v>+60194567456</x:v>
      </x:c>
      <x:c r="G1368" s="16" t="str">
        <x:v>+60194567456</x:v>
      </x:c>
      <x:c r="H1368" s="16" t="str">
        <x:v>Excluded</x:v>
      </x:c>
      <x:c r="I1368" s="16" t="str">
        <x:v>Missing email</x:v>
      </x:c>
    </x:row>
    <x:row r="1369">
      <x:c r="A1369" s="16" t="n">
        <x:v>1366</x:v>
      </x:c>
      <x:c r="B1369" s="16" t="str">
        <x:v>Baju Murah</x:v>
      </x:c>
      <x:c r="C1369" s="16" t="str"/>
      <x:c r="D1369" s="16" t="str"/>
      <x:c r="E1369" s="16" t="str">
        <x:v>* myContacts</x:v>
      </x:c>
      <x:c r="F1369" s="16" t="str">
        <x:v>+60197385094</x:v>
      </x:c>
      <x:c r="G1369" s="16" t="str">
        <x:v>+60197385094</x:v>
      </x:c>
      <x:c r="H1369" s="16" t="str">
        <x:v>Excluded</x:v>
      </x:c>
      <x:c r="I1369" s="16" t="str">
        <x:v>Missing email</x:v>
      </x:c>
    </x:row>
    <x:row r="1370">
      <x:c r="A1370" s="16" t="n">
        <x:v>1367</x:v>
      </x:c>
      <x:c r="B1370" s="16" t="str">
        <x:v>BakewithMama Bahan Bakeri</x:v>
      </x:c>
      <x:c r="C1370" s="16" t="str"/>
      <x:c r="D1370" s="16" t="str"/>
      <x:c r="E1370" s="16" t="str">
        <x:v>* myContacts</x:v>
      </x:c>
      <x:c r="F1370" s="16" t="str">
        <x:v>+60163551039</x:v>
      </x:c>
      <x:c r="G1370" s="16" t="str">
        <x:v>+60163551039</x:v>
      </x:c>
      <x:c r="H1370" s="16" t="str">
        <x:v>Excluded</x:v>
      </x:c>
      <x:c r="I1370" s="16" t="str">
        <x:v>Missing email</x:v>
      </x:c>
    </x:row>
    <x:row r="1371">
      <x:c r="A1371" s="16" t="n">
        <x:v>1368</x:v>
      </x:c>
      <x:c r="B1371" s="16" t="str">
        <x:v>Bala Murugan</x:v>
      </x:c>
      <x:c r="C1371" s="16" t="str"/>
      <x:c r="D1371" s="16" t="str"/>
      <x:c r="E1371" s="16" t="str">
        <x:v>* myContacts</x:v>
      </x:c>
      <x:c r="F1371" s="16" t="str">
        <x:v>+919688248814</x:v>
      </x:c>
      <x:c r="G1371" s="16" t="str">
        <x:v>+919688248814</x:v>
      </x:c>
      <x:c r="H1371" s="16" t="str">
        <x:v>Excluded</x:v>
      </x:c>
      <x:c r="I1371" s="16" t="str">
        <x:v>Missing email</x:v>
      </x:c>
    </x:row>
    <x:row r="1372">
      <x:c r="A1372" s="16" t="n">
        <x:v>1369</x:v>
      </x:c>
      <x:c r="B1372" s="16" t="str">
        <x:v>Balan Balan</x:v>
      </x:c>
      <x:c r="C1372" s="16" t="str"/>
      <x:c r="D1372" s="16" t="str"/>
      <x:c r="E1372" s="16" t="str">
        <x:v>* myContacts</x:v>
      </x:c>
      <x:c r="F1372" s="16" t="str">
        <x:v>+601128015011</x:v>
      </x:c>
      <x:c r="G1372" s="16" t="str">
        <x:v>+601128015011</x:v>
      </x:c>
      <x:c r="H1372" s="16" t="str">
        <x:v>Excluded</x:v>
      </x:c>
      <x:c r="I1372" s="16" t="str">
        <x:v>Missing email</x:v>
      </x:c>
    </x:row>
    <x:row r="1373">
      <x:c r="A1373" s="16" t="n">
        <x:v>1370</x:v>
      </x:c>
      <x:c r="B1373" s="16" t="str">
        <x:v>Balkis Razali Jsd</x:v>
      </x:c>
      <x:c r="C1373" s="16" t="str"/>
      <x:c r="D1373" s="16" t="str"/>
      <x:c r="E1373" s="16" t="str">
        <x:v>* myContacts</x:v>
      </x:c>
      <x:c r="F1373" s="16" t="str">
        <x:v>+60174993462</x:v>
      </x:c>
      <x:c r="G1373" s="16" t="str">
        <x:v>+60174993462</x:v>
      </x:c>
      <x:c r="H1373" s="16" t="str">
        <x:v>Excluded</x:v>
      </x:c>
      <x:c r="I1373" s="16" t="str">
        <x:v>Missing email</x:v>
      </x:c>
    </x:row>
    <x:row r="1374">
      <x:c r="A1374" s="16" t="n">
        <x:v>1371</x:v>
      </x:c>
      <x:c r="B1374" s="16" t="str">
        <x:v>Balkish PPMM</x:v>
      </x:c>
      <x:c r="C1374" s="16" t="str"/>
      <x:c r="D1374" s="16" t="str"/>
      <x:c r="E1374" s="16" t="str">
        <x:v>* myContacts</x:v>
      </x:c>
      <x:c r="F1374" s="16" t="str">
        <x:v>+60126718940</x:v>
      </x:c>
      <x:c r="G1374" s="16" t="str">
        <x:v>+60126718940</x:v>
      </x:c>
      <x:c r="H1374" s="16" t="str">
        <x:v>Excluded</x:v>
      </x:c>
      <x:c r="I1374" s="16" t="str">
        <x:v>Missing email</x:v>
      </x:c>
    </x:row>
    <x:row r="1375">
      <x:c r="A1375" s="16" t="n">
        <x:v>1372</x:v>
      </x:c>
      <x:c r="B1375" s="16" t="str">
        <x:v>Balqis Batrisya Ammar Dayyan</x:v>
      </x:c>
      <x:c r="C1375" s="16" t="str"/>
      <x:c r="D1375" s="16" t="str"/>
      <x:c r="E1375" s="16" t="str">
        <x:v>* myContacts</x:v>
      </x:c>
      <x:c r="F1375" s="16" t="str">
        <x:v>+60109167387</x:v>
      </x:c>
      <x:c r="G1375" s="16" t="str">
        <x:v>+60109167387</x:v>
      </x:c>
      <x:c r="H1375" s="16" t="str">
        <x:v>Excluded</x:v>
      </x:c>
      <x:c r="I1375" s="16" t="str">
        <x:v>Missing email</x:v>
      </x:c>
    </x:row>
    <x:row r="1376">
      <x:c r="A1376" s="16" t="n">
        <x:v>1373</x:v>
      </x:c>
      <x:c r="B1376" s="16" t="str">
        <x:v>Balqis Fasihah</x:v>
      </x:c>
      <x:c r="C1376" s="16" t="str"/>
      <x:c r="D1376" s="16" t="str"/>
      <x:c r="E1376" s="16" t="str">
        <x:v>* myContacts</x:v>
      </x:c>
      <x:c r="F1376" s="16" t="str">
        <x:v>+60148115611</x:v>
      </x:c>
      <x:c r="G1376" s="16" t="str">
        <x:v>+60148115611</x:v>
      </x:c>
      <x:c r="H1376" s="16" t="str">
        <x:v>Excluded</x:v>
      </x:c>
      <x:c r="I1376" s="16" t="str">
        <x:v>Missing email</x:v>
      </x:c>
    </x:row>
    <x:row r="1377">
      <x:c r="A1377" s="16" t="n">
        <x:v>1374</x:v>
      </x:c>
      <x:c r="B1377" s="16" t="str">
        <x:v>Bang Kok Lee</x:v>
      </x:c>
      <x:c r="C1377" s="16" t="str"/>
      <x:c r="D1377" s="16" t="str"/>
      <x:c r="E1377" s="16" t="str">
        <x:v>* myContacts</x:v>
      </x:c>
      <x:c r="F1377" s="16" t="str">
        <x:v>+60102981300</x:v>
      </x:c>
      <x:c r="G1377" s="16" t="str">
        <x:v>+60102981300</x:v>
      </x:c>
      <x:c r="H1377" s="16" t="str">
        <x:v>Excluded</x:v>
      </x:c>
      <x:c r="I1377" s="16" t="str">
        <x:v>Missing email</x:v>
      </x:c>
    </x:row>
    <x:row r="1378">
      <x:c r="A1378" s="16" t="n">
        <x:v>1375</x:v>
      </x:c>
      <x:c r="B1378" s="16" t="str">
        <x:v>Bang Lonk Sinyare</x:v>
      </x:c>
      <x:c r="C1378" s="16" t="str"/>
      <x:c r="D1378" s="16" t="str"/>
      <x:c r="E1378" s="16" t="str">
        <x:v>* myContacts</x:v>
      </x:c>
      <x:c r="F1378" s="16" t="str">
        <x:v>+60178844583</x:v>
      </x:c>
      <x:c r="G1378" s="16" t="str">
        <x:v>+60178844583</x:v>
      </x:c>
      <x:c r="H1378" s="16" t="str">
        <x:v>Excluded</x:v>
      </x:c>
      <x:c r="I1378" s="16" t="str">
        <x:v>Missing email</x:v>
      </x:c>
    </x:row>
    <x:row r="1379">
      <x:c r="A1379" s="16" t="n">
        <x:v>1376</x:v>
      </x:c>
      <x:c r="B1379" s="16" t="str">
        <x:v>Bangi Perdana Hotel</x:v>
      </x:c>
      <x:c r="C1379" s="16" t="str"/>
      <x:c r="D1379" s="16" t="str"/>
      <x:c r="E1379" s="16" t="str">
        <x:v>* myContacts</x:v>
      </x:c>
      <x:c r="F1379" s="16" t="str">
        <x:v>01110596008 | +601110596008</x:v>
      </x:c>
      <x:c r="G1379" s="16" t="str">
        <x:v>+601110596008 | +601110596008</x:v>
      </x:c>
      <x:c r="H1379" s="16" t="str">
        <x:v>Excluded</x:v>
      </x:c>
      <x:c r="I1379" s="16" t="str">
        <x:v>Missing email</x:v>
      </x:c>
    </x:row>
    <x:row r="1380">
      <x:c r="A1380" s="16" t="n">
        <x:v>1377</x:v>
      </x:c>
      <x:c r="B1380" s="16" t="str">
        <x:v>Baqir AL Khoiri Samba</x:v>
      </x:c>
      <x:c r="C1380" s="16" t="str"/>
      <x:c r="D1380" s="16" t="str"/>
      <x:c r="E1380" s="16" t="str">
        <x:v>* myContacts</x:v>
      </x:c>
      <x:c r="F1380" s="16" t="str">
        <x:v>+6287750397900</x:v>
      </x:c>
      <x:c r="G1380" s="16" t="str">
        <x:v>+6287750397900</x:v>
      </x:c>
      <x:c r="H1380" s="16" t="str">
        <x:v>Excluded</x:v>
      </x:c>
      <x:c r="I1380" s="16" t="str">
        <x:v>Missing email</x:v>
      </x:c>
    </x:row>
    <x:row r="1381">
      <x:c r="A1381" s="16" t="n">
        <x:v>1378</x:v>
      </x:c>
      <x:c r="B1381" s="16" t="str">
        <x:v>Barli Susu</x:v>
      </x:c>
      <x:c r="C1381" s="16" t="str"/>
      <x:c r="D1381" s="16" t="str"/>
      <x:c r="E1381" s="16" t="str">
        <x:v>* myContacts</x:v>
      </x:c>
      <x:c r="F1381" s="16" t="str">
        <x:v>+60124609510</x:v>
      </x:c>
      <x:c r="G1381" s="16" t="str">
        <x:v>+60124609510</x:v>
      </x:c>
      <x:c r="H1381" s="16" t="str">
        <x:v>Excluded</x:v>
      </x:c>
      <x:c r="I1381" s="16" t="str">
        <x:v>Missing email</x:v>
      </x:c>
    </x:row>
    <x:row r="1382">
      <x:c r="A1382" s="16" t="n">
        <x:v>1379</x:v>
      </x:c>
      <x:c r="B1382" s="16" t="str">
        <x:v>Barney Ahmad</x:v>
      </x:c>
      <x:c r="C1382" s="16" t="str"/>
      <x:c r="D1382" s="16" t="str"/>
      <x:c r="E1382" s="16" t="str">
        <x:v>* myContacts</x:v>
      </x:c>
      <x:c r="F1382" s="16" t="str">
        <x:v>+60195968281</x:v>
      </x:c>
      <x:c r="G1382" s="16" t="str">
        <x:v>+60195968281</x:v>
      </x:c>
      <x:c r="H1382" s="16" t="str">
        <x:v>Excluded</x:v>
      </x:c>
      <x:c r="I1382" s="16" t="str">
        <x:v>Missing email</x:v>
      </x:c>
    </x:row>
    <x:row r="1383">
      <x:c r="A1383" s="16" t="n">
        <x:v>1380</x:v>
      </x:c>
      <x:c r="B1383" s="16" t="str">
        <x:v>Barry J Sikuil</x:v>
      </x:c>
      <x:c r="C1383" s="16" t="str"/>
      <x:c r="D1383" s="16" t="str"/>
      <x:c r="E1383" s="16" t="str">
        <x:v>* myContacts</x:v>
      </x:c>
      <x:c r="F1383" s="16" t="str">
        <x:v>+61402652834</x:v>
      </x:c>
      <x:c r="G1383" s="16" t="str">
        <x:v>+61402652834</x:v>
      </x:c>
      <x:c r="H1383" s="16" t="str">
        <x:v>Excluded</x:v>
      </x:c>
      <x:c r="I1383" s="16" t="str">
        <x:v>Missing email</x:v>
      </x:c>
    </x:row>
    <x:row r="1384">
      <x:c r="A1384" s="16" t="n">
        <x:v>1381</x:v>
      </x:c>
      <x:c r="B1384" s="16" t="str">
        <x:v>Basir Basyir</x:v>
      </x:c>
      <x:c r="C1384" s="16" t="str"/>
      <x:c r="D1384" s="16" t="str"/>
      <x:c r="E1384" s="16" t="str">
        <x:v>* myContacts</x:v>
      </x:c>
      <x:c r="F1384" s="16" t="str">
        <x:v>+60125398461</x:v>
      </x:c>
      <x:c r="G1384" s="16" t="str">
        <x:v>+60125398461</x:v>
      </x:c>
      <x:c r="H1384" s="16" t="str">
        <x:v>Excluded</x:v>
      </x:c>
      <x:c r="I1384" s="16" t="str">
        <x:v>Missing email</x:v>
      </x:c>
    </x:row>
    <x:row r="1385">
      <x:c r="A1385" s="16" t="n">
        <x:v>1382</x:v>
      </x:c>
      <x:c r="B1385" s="16" t="str">
        <x:v>Basri Abas</x:v>
      </x:c>
      <x:c r="C1385" s="16" t="str"/>
      <x:c r="D1385" s="16" t="str"/>
      <x:c r="E1385" s="16" t="str">
        <x:v>* myContacts</x:v>
      </x:c>
      <x:c r="F1385" s="16" t="str">
        <x:v>+60123316391</x:v>
      </x:c>
      <x:c r="G1385" s="16" t="str">
        <x:v>+60123316391</x:v>
      </x:c>
      <x:c r="H1385" s="16" t="str">
        <x:v>Excluded</x:v>
      </x:c>
      <x:c r="I1385" s="16" t="str">
        <x:v>Missing email</x:v>
      </x:c>
    </x:row>
    <x:row r="1386">
      <x:c r="A1386" s="16" t="n">
        <x:v>1383</x:v>
      </x:c>
      <x:c r="B1386" s="16" t="str">
        <x:v>Basya Tmim</x:v>
      </x:c>
      <x:c r="C1386" s="16" t="str"/>
      <x:c r="D1386" s="16" t="str"/>
      <x:c r="E1386" s="16" t="str">
        <x:v>* myContacts</x:v>
      </x:c>
      <x:c r="F1386" s="16" t="str">
        <x:v>0133995268 | +60133995268</x:v>
      </x:c>
      <x:c r="G1386" s="16" t="str">
        <x:v>+60133995268 | +60133995268</x:v>
      </x:c>
      <x:c r="H1386" s="16" t="str">
        <x:v>Excluded</x:v>
      </x:c>
      <x:c r="I1386" s="16" t="str">
        <x:v>Missing email</x:v>
      </x:c>
    </x:row>
    <x:row r="1387">
      <x:c r="A1387" s="16" t="n">
        <x:v>1384</x:v>
      </x:c>
      <x:c r="B1387" s="16" t="str">
        <x:v>Batookori Sapusaja</x:v>
      </x:c>
      <x:c r="C1387" s="16" t="str"/>
      <x:c r="D1387" s="16" t="str"/>
      <x:c r="E1387" s="16" t="str">
        <x:v>* myContacts</x:v>
      </x:c>
      <x:c r="F1387" s="16" t="str">
        <x:v>+60124306020</x:v>
      </x:c>
      <x:c r="G1387" s="16" t="str">
        <x:v>+60124306020</x:v>
      </x:c>
      <x:c r="H1387" s="16" t="str">
        <x:v>Excluded</x:v>
      </x:c>
      <x:c r="I1387" s="16" t="str">
        <x:v>Missing email</x:v>
      </x:c>
    </x:row>
    <x:row r="1388">
      <x:c r="A1388" s="16" t="n">
        <x:v>1385</x:v>
      </x:c>
      <x:c r="B1388" s="16" t="str">
        <x:v>Baxter Wcz</x:v>
      </x:c>
      <x:c r="C1388" s="16" t="str"/>
      <x:c r="D1388" s="16" t="str"/>
      <x:c r="E1388" s="16" t="str">
        <x:v>* myContacts</x:v>
      </x:c>
      <x:c r="F1388" s="16" t="str">
        <x:v>+601125363216</x:v>
      </x:c>
      <x:c r="G1388" s="16" t="str">
        <x:v>+601125363216</x:v>
      </x:c>
      <x:c r="H1388" s="16" t="str">
        <x:v>Excluded</x:v>
      </x:c>
      <x:c r="I1388" s="16" t="str">
        <x:v>Missing email</x:v>
      </x:c>
    </x:row>
    <x:row r="1389">
      <x:c r="A1389" s="16" t="n">
        <x:v>1386</x:v>
      </x:c>
      <x:c r="B1389" s="16" t="str">
        <x:v>Bazlan Mohd Noor</x:v>
      </x:c>
      <x:c r="C1389" s="16" t="str"/>
      <x:c r="D1389" s="16" t="str"/>
      <x:c r="E1389" s="16" t="str">
        <x:v>* myContacts</x:v>
      </x:c>
      <x:c r="F1389" s="16" t="str">
        <x:v>+60199811471</x:v>
      </x:c>
      <x:c r="G1389" s="16" t="str">
        <x:v>+60199811471</x:v>
      </x:c>
      <x:c r="H1389" s="16" t="str">
        <x:v>Excluded</x:v>
      </x:c>
      <x:c r="I1389" s="16" t="str">
        <x:v>Missing email</x:v>
      </x:c>
    </x:row>
    <x:row r="1390">
      <x:c r="A1390" s="16" t="n">
        <x:v>1387</x:v>
      </x:c>
      <x:c r="B1390" s="16" t="str">
        <x:v>Bazli AGP</x:v>
      </x:c>
      <x:c r="C1390" s="16" t="str"/>
      <x:c r="D1390" s="16" t="str"/>
      <x:c r="E1390" s="16" t="str">
        <x:v>* myContacts</x:v>
      </x:c>
      <x:c r="F1390" s="16" t="str">
        <x:v>+60 12-677 6525 | +60126776525</x:v>
      </x:c>
      <x:c r="G1390" s="16" t="str">
        <x:v>+60126776525 | +60126776525</x:v>
      </x:c>
      <x:c r="H1390" s="16" t="str">
        <x:v>Excluded</x:v>
      </x:c>
      <x:c r="I1390" s="16" t="str">
        <x:v>Missing email</x:v>
      </x:c>
    </x:row>
    <x:row r="1391">
      <x:c r="A1391" s="16" t="n">
        <x:v>1388</x:v>
      </x:c>
      <x:c r="B1391" s="16" t="str">
        <x:v>bazli fitness trainer</x:v>
      </x:c>
      <x:c r="C1391" s="16" t="str"/>
      <x:c r="D1391" s="16" t="str"/>
      <x:c r="E1391" s="16" t="str">
        <x:v>Trainer | * myContacts</x:v>
      </x:c>
      <x:c r="F1391" s="16" t="str">
        <x:v>0173323797 | +60173323797</x:v>
      </x:c>
      <x:c r="G1391" s="16" t="str">
        <x:v>+60173323797 | +60173323797</x:v>
      </x:c>
      <x:c r="H1391" s="16" t="str">
        <x:v>Excluded</x:v>
      </x:c>
      <x:c r="I1391" s="16" t="str">
        <x:v>Missing email</x:v>
      </x:c>
    </x:row>
    <x:row r="1392">
      <x:c r="A1392" s="16" t="n">
        <x:v>1389</x:v>
      </x:c>
      <x:c r="B1392" s="16" t="str">
        <x:v>BC Ekuiti Suhail</x:v>
      </x:c>
      <x:c r="C1392" s="16" t="str"/>
      <x:c r="D1392" s="16" t="str"/>
      <x:c r="E1392" s="16" t="str">
        <x:v>* myContacts</x:v>
      </x:c>
      <x:c r="F1392" s="16" t="str">
        <x:v>+60 11-5757 6400 | +601157576400</x:v>
      </x:c>
      <x:c r="G1392" s="16" t="str">
        <x:v>+601157576400 | +601157576400</x:v>
      </x:c>
      <x:c r="H1392" s="16" t="str">
        <x:v>Excluded</x:v>
      </x:c>
      <x:c r="I1392" s="16" t="str">
        <x:v>Missing email</x:v>
      </x:c>
    </x:row>
    <x:row r="1393">
      <x:c r="A1393" s="16" t="n">
        <x:v>1390</x:v>
      </x:c>
      <x:c r="B1393" s="16" t="str">
        <x:v>BC100 losyen ajaib</x:v>
      </x:c>
      <x:c r="C1393" s="16" t="str"/>
      <x:c r="D1393" s="16" t="str"/>
      <x:c r="E1393" s="16" t="str">
        <x:v>* myContacts</x:v>
      </x:c>
      <x:c r="F1393" s="16" t="str">
        <x:v>601112742454 | +601112742454</x:v>
      </x:c>
      <x:c r="G1393" s="16" t="str">
        <x:v>+601112742454 | +601112742454</x:v>
      </x:c>
      <x:c r="H1393" s="16" t="str">
        <x:v>Excluded</x:v>
      </x:c>
      <x:c r="I1393" s="16" t="str">
        <x:v>Missing email</x:v>
      </x:c>
    </x:row>
    <x:row r="1394">
      <x:c r="A1394" s="16" t="n">
        <x:v>1391</x:v>
      </x:c>
      <x:c r="B1394" s="16" t="str">
        <x:v>Bean Untuk Dia</x:v>
      </x:c>
      <x:c r="C1394" s="16" t="str"/>
      <x:c r="D1394" s="16" t="str"/>
      <x:c r="E1394" s="16" t="str">
        <x:v>* myContacts</x:v>
      </x:c>
      <x:c r="F1394" s="16" t="str">
        <x:v>+601131754803</x:v>
      </x:c>
      <x:c r="G1394" s="16" t="str">
        <x:v>+601131754803</x:v>
      </x:c>
      <x:c r="H1394" s="16" t="str">
        <x:v>Excluded</x:v>
      </x:c>
      <x:c r="I1394" s="16" t="str">
        <x:v>Missing email</x:v>
      </x:c>
    </x:row>
    <x:row r="1395">
      <x:c r="A1395" s="16" t="n">
        <x:v>1392</x:v>
      </x:c>
      <x:c r="B1395" s="16" t="str">
        <x:v>Bebe Azmi Hugh</x:v>
      </x:c>
      <x:c r="C1395" s="16" t="str"/>
      <x:c r="D1395" s="16" t="str"/>
      <x:c r="E1395" s="16" t="str">
        <x:v>* myContacts</x:v>
      </x:c>
      <x:c r="F1395" s="16" t="str">
        <x:v>+60133930067</x:v>
      </x:c>
      <x:c r="G1395" s="16" t="str">
        <x:v>+60133930067</x:v>
      </x:c>
      <x:c r="H1395" s="16" t="str">
        <x:v>Excluded</x:v>
      </x:c>
      <x:c r="I1395" s="16" t="str">
        <x:v>Missing email</x:v>
      </x:c>
    </x:row>
    <x:row r="1396">
      <x:c r="A1396" s="16" t="n">
        <x:v>1393</x:v>
      </x:c>
      <x:c r="B1396" s="16" t="str">
        <x:v>Beckham JJ</x:v>
      </x:c>
      <x:c r="C1396" s="16" t="str"/>
      <x:c r="D1396" s="16" t="str"/>
      <x:c r="E1396" s="16" t="str">
        <x:v>* myContacts</x:v>
      </x:c>
      <x:c r="F1396" s="16" t="str">
        <x:v>0122611844 | +60122611844</x:v>
      </x:c>
      <x:c r="G1396" s="16" t="str">
        <x:v>+60122611844 | +60122611844</x:v>
      </x:c>
      <x:c r="H1396" s="16" t="str">
        <x:v>Excluded</x:v>
      </x:c>
      <x:c r="I1396" s="16" t="str">
        <x:v>Missing email</x:v>
      </x:c>
    </x:row>
    <x:row r="1397">
      <x:c r="A1397" s="16" t="n">
        <x:v>1394</x:v>
      </x:c>
      <x:c r="B1397" s="16" t="str">
        <x:v>Bee Bisara</x:v>
      </x:c>
      <x:c r="C1397" s="16" t="str"/>
      <x:c r="D1397" s="16" t="str"/>
      <x:c r="E1397" s="16" t="str">
        <x:v>* myContacts</x:v>
      </x:c>
      <x:c r="F1397" s="16" t="str">
        <x:v>+60193053948</x:v>
      </x:c>
      <x:c r="G1397" s="16" t="str">
        <x:v>+60193053948</x:v>
      </x:c>
      <x:c r="H1397" s="16" t="str">
        <x:v>Excluded</x:v>
      </x:c>
      <x:c r="I1397" s="16" t="str">
        <x:v>Missing email</x:v>
      </x:c>
    </x:row>
    <x:row r="1398">
      <x:c r="A1398" s="16" t="n">
        <x:v>1395</x:v>
      </x:c>
      <x:c r="B1398" s="16" t="str">
        <x:v>Bekam Viral</x:v>
      </x:c>
      <x:c r="C1398" s="16" t="str"/>
      <x:c r="D1398" s="16" t="str"/>
      <x:c r="E1398" s="16" t="str">
        <x:v>* myContacts</x:v>
      </x:c>
      <x:c r="F1398" s="16" t="str">
        <x:v>+60133202790</x:v>
      </x:c>
      <x:c r="G1398" s="16" t="str">
        <x:v>+60133202790</x:v>
      </x:c>
      <x:c r="H1398" s="16" t="str">
        <x:v>Excluded</x:v>
      </x:c>
      <x:c r="I1398" s="16" t="str">
        <x:v>Missing email</x:v>
      </x:c>
    </x:row>
    <x:row r="1399">
      <x:c r="A1399" s="16" t="n">
        <x:v>1396</x:v>
      </x:c>
      <x:c r="B1399" s="16" t="str">
        <x:v>Bekiq</x:v>
      </x:c>
      <x:c r="C1399" s="16" t="str"/>
      <x:c r="D1399" s="16" t="str"/>
      <x:c r="E1399" s="16" t="str">
        <x:v>* myContacts</x:v>
      </x:c>
      <x:c r="F1399" s="16" t="str">
        <x:v>+6282248427578</x:v>
      </x:c>
      <x:c r="G1399" s="16" t="str">
        <x:v>+6282248427578</x:v>
      </x:c>
      <x:c r="H1399" s="16" t="str">
        <x:v>Excluded</x:v>
      </x:c>
      <x:c r="I1399" s="16" t="str">
        <x:v>Missing email</x:v>
      </x:c>
    </x:row>
    <x:row r="1400">
      <x:c r="A1400" s="16" t="n">
        <x:v>1397</x:v>
      </x:c>
      <x:c r="B1400" s="16" t="str">
        <x:v>Bel Nabilah Huda</x:v>
      </x:c>
      <x:c r="C1400" s="16" t="str"/>
      <x:c r="D1400" s="16" t="str"/>
      <x:c r="E1400" s="16" t="str">
        <x:v>* myContacts</x:v>
      </x:c>
      <x:c r="F1400" s="16" t="str">
        <x:v>+60 11-3344 5877 | +601133445877</x:v>
      </x:c>
      <x:c r="G1400" s="16" t="str">
        <x:v>+601133445877 | +601133445877</x:v>
      </x:c>
      <x:c r="H1400" s="16" t="str">
        <x:v>Excluded</x:v>
      </x:c>
      <x:c r="I1400" s="16" t="str">
        <x:v>Missing email</x:v>
      </x:c>
    </x:row>
    <x:row r="1401">
      <x:c r="A1401" s="16" t="n">
        <x:v>1398</x:v>
      </x:c>
      <x:c r="B1401" s="16" t="str">
        <x:v>Belang Tarung</x:v>
      </x:c>
      <x:c r="C1401" s="16" t="str"/>
      <x:c r="D1401" s="16" t="str"/>
      <x:c r="E1401" s="16" t="str">
        <x:v>* myContacts</x:v>
      </x:c>
      <x:c r="F1401" s="16" t="str">
        <x:v>+60124341594</x:v>
      </x:c>
      <x:c r="G1401" s="16" t="str">
        <x:v>+60124341594</x:v>
      </x:c>
      <x:c r="H1401" s="16" t="str">
        <x:v>Excluded</x:v>
      </x:c>
      <x:c r="I1401" s="16" t="str">
        <x:v>Missing email</x:v>
      </x:c>
    </x:row>
    <x:row r="1402">
      <x:c r="A1402" s="16" t="n">
        <x:v>1399</x:v>
      </x:c>
      <x:c r="B1402" s="16" t="str">
        <x:v>Bella Arrian</x:v>
      </x:c>
      <x:c r="C1402" s="16" t="str"/>
      <x:c r="D1402" s="16" t="str"/>
      <x:c r="E1402" s="16" t="str">
        <x:v>* myContacts</x:v>
      </x:c>
      <x:c r="F1402" s="16" t="str">
        <x:v>+601140038709</x:v>
      </x:c>
      <x:c r="G1402" s="16" t="str">
        <x:v>+601140038709</x:v>
      </x:c>
      <x:c r="H1402" s="16" t="str">
        <x:v>Excluded</x:v>
      </x:c>
      <x:c r="I1402" s="16" t="str">
        <x:v>Missing email</x:v>
      </x:c>
    </x:row>
    <x:row r="1403">
      <x:c r="A1403" s="16" t="n">
        <x:v>1400</x:v>
      </x:c>
      <x:c r="B1403" s="16" t="str">
        <x:v>Bella Rose</x:v>
      </x:c>
      <x:c r="C1403" s="16" t="str"/>
      <x:c r="D1403" s="16" t="str"/>
      <x:c r="E1403" s="16" t="str">
        <x:v>* myContacts</x:v>
      </x:c>
      <x:c r="F1403" s="16" t="str">
        <x:v>+601121888635</x:v>
      </x:c>
      <x:c r="G1403" s="16" t="str">
        <x:v>+601121888635</x:v>
      </x:c>
      <x:c r="H1403" s="16" t="str">
        <x:v>Excluded</x:v>
      </x:c>
      <x:c r="I1403" s="16" t="str">
        <x:v>Missing email</x:v>
      </x:c>
    </x:row>
    <x:row r="1404">
      <x:c r="A1404" s="16" t="n">
        <x:v>1401</x:v>
      </x:c>
      <x:c r="B1404" s="16" t="str">
        <x:v>Bellaa Naily</x:v>
      </x:c>
      <x:c r="C1404" s="16" t="str"/>
      <x:c r="D1404" s="16" t="str"/>
      <x:c r="E1404" s="16" t="str">
        <x:v>* myContacts</x:v>
      </x:c>
      <x:c r="F1404" s="16" t="str">
        <x:v>+60125869038</x:v>
      </x:c>
      <x:c r="G1404" s="16" t="str">
        <x:v>+60125869038</x:v>
      </x:c>
      <x:c r="H1404" s="16" t="str">
        <x:v>Excluded</x:v>
      </x:c>
      <x:c r="I1404" s="16" t="str">
        <x:v>Missing email</x:v>
      </x:c>
    </x:row>
    <x:row r="1405">
      <x:c r="A1405" s="16" t="n">
        <x:v>1402</x:v>
      </x:c>
      <x:c r="B1405" s="16" t="str">
        <x:v>Bellfred Abel Mehola</x:v>
      </x:c>
      <x:c r="C1405" s="16" t="str"/>
      <x:c r="D1405" s="16" t="str"/>
      <x:c r="E1405" s="16" t="str">
        <x:v>* myContacts</x:v>
      </x:c>
      <x:c r="F1405" s="16" t="str">
        <x:v>+60142717370</x:v>
      </x:c>
      <x:c r="G1405" s="16" t="str">
        <x:v>+60142717370</x:v>
      </x:c>
      <x:c r="H1405" s="16" t="str">
        <x:v>Excluded</x:v>
      </x:c>
      <x:c r="I1405" s="16" t="str">
        <x:v>Missing email</x:v>
      </x:c>
    </x:row>
    <x:row r="1406">
      <x:c r="A1406" s="16" t="n">
        <x:v>1403</x:v>
      </x:c>
      <x:c r="B1406" s="16" t="str">
        <x:v>Ben Banquet Leo Palace</x:v>
      </x:c>
      <x:c r="C1406" s="16" t="str"/>
      <x:c r="D1406" s="16" t="str"/>
      <x:c r="E1406" s="16" t="str">
        <x:v>* myContacts</x:v>
      </x:c>
      <x:c r="F1406" s="16" t="str">
        <x:v>010-903 2726 | +60109032726</x:v>
      </x:c>
      <x:c r="G1406" s="16" t="str">
        <x:v>+60109032726 | +60109032726</x:v>
      </x:c>
      <x:c r="H1406" s="16" t="str">
        <x:v>Excluded</x:v>
      </x:c>
      <x:c r="I1406" s="16" t="str">
        <x:v>Missing email</x:v>
      </x:c>
    </x:row>
    <x:row r="1407">
      <x:c r="A1407" s="16" t="n">
        <x:v>1404</x:v>
      </x:c>
      <x:c r="B1407" s="16" t="str">
        <x:v>Bengkel Masakan Beriani Gam</x:v>
      </x:c>
      <x:c r="C1407" s="16" t="str"/>
      <x:c r="D1407" s="16" t="str"/>
      <x:c r="E1407" s="16" t="str">
        <x:v>* myContacts</x:v>
      </x:c>
      <x:c r="F1407" s="16" t="str">
        <x:v>+60126869857</x:v>
      </x:c>
      <x:c r="G1407" s="16" t="str">
        <x:v>+60126869857</x:v>
      </x:c>
      <x:c r="H1407" s="16" t="str">
        <x:v>Excluded</x:v>
      </x:c>
      <x:c r="I1407" s="16" t="str">
        <x:v>Missing email</x:v>
      </x:c>
    </x:row>
    <x:row r="1408">
      <x:c r="A1408" s="16" t="n">
        <x:v>1405</x:v>
      </x:c>
      <x:c r="B1408" s="16" t="str">
        <x:v>Benjamin</x:v>
      </x:c>
      <x:c r="C1408" s="16" t="str">
        <x:v>ben@getslurp.com</x:v>
      </x:c>
      <x:c r="D1408" s="16" t="str">
        <x:v>ben@getslurp.com</x:v>
      </x:c>
      <x:c r="E1408" s="16" t="str">
        <x:v>* myContacts</x:v>
      </x:c>
      <x:c r="F1408" s="16" t="str">
        <x:v>+6017 3998 196 | +60173998196</x:v>
      </x:c>
      <x:c r="G1408" s="16" t="str">
        <x:v>+60173998196 | +60173998196</x:v>
      </x:c>
      <x:c r="H1408" s="16" t="str">
        <x:v>Eligible</x:v>
      </x:c>
      <x:c r="I1408" s="16" t="str"/>
    </x:row>
    <x:row r="1409">
      <x:c r="A1409" s="16" t="n">
        <x:v>1406</x:v>
      </x:c>
      <x:c r="B1409" s="16" t="str">
        <x:v>Benny Coach</x:v>
      </x:c>
      <x:c r="C1409" s="16" t="str"/>
      <x:c r="D1409" s="16" t="str"/>
      <x:c r="E1409" s="16" t="str">
        <x:v>Trainer | * myContacts</x:v>
      </x:c>
      <x:c r="F1409" s="16" t="str">
        <x:v>+60 19-752 7152 | +60197527152</x:v>
      </x:c>
      <x:c r="G1409" s="16" t="str">
        <x:v>+60197527152 | +60197527152</x:v>
      </x:c>
      <x:c r="H1409" s="16" t="str">
        <x:v>Excluded</x:v>
      </x:c>
      <x:c r="I1409" s="16" t="str">
        <x:v>Missing email</x:v>
      </x:c>
    </x:row>
    <x:row r="1410">
      <x:c r="A1410" s="16" t="n">
        <x:v>1407</x:v>
      </x:c>
      <x:c r="B1410" s="16" t="str">
        <x:v>Benz Desar</x:v>
      </x:c>
      <x:c r="C1410" s="16" t="str"/>
      <x:c r="D1410" s="16" t="str"/>
      <x:c r="E1410" s="16" t="str">
        <x:v>* myContacts</x:v>
      </x:c>
      <x:c r="F1410" s="16" t="str">
        <x:v>+60135663434</x:v>
      </x:c>
      <x:c r="G1410" s="16" t="str">
        <x:v>+60135663434</x:v>
      </x:c>
      <x:c r="H1410" s="16" t="str">
        <x:v>Excluded</x:v>
      </x:c>
      <x:c r="I1410" s="16" t="str">
        <x:v>Missing email</x:v>
      </x:c>
    </x:row>
    <x:row r="1411">
      <x:c r="A1411" s="16" t="n">
        <x:v>1408</x:v>
      </x:c>
      <x:c r="B1411" s="16" t="str">
        <x:v>Berjaya Hotel Saddam Butler</x:v>
      </x:c>
      <x:c r="C1411" s="16" t="str"/>
      <x:c r="D1411" s="16" t="str"/>
      <x:c r="E1411" s="16" t="str">
        <x:v>* myContacts</x:v>
      </x:c>
      <x:c r="F1411" s="16" t="str">
        <x:v>+601163813197</x:v>
      </x:c>
      <x:c r="G1411" s="16" t="str">
        <x:v>+601163813197</x:v>
      </x:c>
      <x:c r="H1411" s="16" t="str">
        <x:v>Excluded</x:v>
      </x:c>
      <x:c r="I1411" s="16" t="str">
        <x:v>Missing email</x:v>
      </x:c>
    </x:row>
    <x:row r="1412">
      <x:c r="A1412" s="16" t="n">
        <x:v>1409</x:v>
      </x:c>
      <x:c r="B1412" s="16" t="str">
        <x:v>Berkat Ilahi</x:v>
      </x:c>
      <x:c r="C1412" s="16" t="str"/>
      <x:c r="D1412" s="16" t="str"/>
      <x:c r="E1412" s="16" t="str">
        <x:v>* myContacts</x:v>
      </x:c>
      <x:c r="F1412" s="16" t="str">
        <x:v>+601121602014</x:v>
      </x:c>
      <x:c r="G1412" s="16" t="str">
        <x:v>+601121602014</x:v>
      </x:c>
      <x:c r="H1412" s="16" t="str">
        <x:v>Excluded</x:v>
      </x:c>
      <x:c r="I1412" s="16" t="str">
        <x:v>Missing email</x:v>
      </x:c>
    </x:row>
    <x:row r="1413">
      <x:c r="A1413" s="16" t="n">
        <x:v>1410</x:v>
      </x:c>
      <x:c r="B1413" s="16" t="str">
        <x:v>Bernama Radio Amar</x:v>
      </x:c>
      <x:c r="C1413" s="16" t="str"/>
      <x:c r="D1413" s="16" t="str"/>
      <x:c r="E1413" s="16" t="str">
        <x:v>* myContacts</x:v>
      </x:c>
      <x:c r="F1413" s="16" t="str">
        <x:v>+60 19-369 4975 | +60193694975</x:v>
      </x:c>
      <x:c r="G1413" s="16" t="str">
        <x:v>+60193694975 | +60193694975</x:v>
      </x:c>
      <x:c r="H1413" s="16" t="str">
        <x:v>Excluded</x:v>
      </x:c>
      <x:c r="I1413" s="16" t="str">
        <x:v>Missing email</x:v>
      </x:c>
    </x:row>
    <x:row r="1414">
      <x:c r="A1414" s="16" t="n">
        <x:v>1411</x:v>
      </x:c>
      <x:c r="B1414" s="16" t="str">
        <x:v>Bert Jn</x:v>
      </x:c>
      <x:c r="C1414" s="16" t="str"/>
      <x:c r="D1414" s="16" t="str"/>
      <x:c r="E1414" s="16" t="str">
        <x:v>* myContacts</x:v>
      </x:c>
      <x:c r="F1414" s="16" t="str">
        <x:v>+60198105227</x:v>
      </x:c>
      <x:c r="G1414" s="16" t="str">
        <x:v>+60198105227</x:v>
      </x:c>
      <x:c r="H1414" s="16" t="str">
        <x:v>Excluded</x:v>
      </x:c>
      <x:c r="I1414" s="16" t="str">
        <x:v>Missing email</x:v>
      </x:c>
    </x:row>
    <x:row r="1415">
      <x:c r="A1415" s="16" t="n">
        <x:v>1412</x:v>
      </x:c>
      <x:c r="B1415" s="16" t="str">
        <x:v>Beryani King IPOH</x:v>
      </x:c>
      <x:c r="C1415" s="16" t="str"/>
      <x:c r="D1415" s="16" t="str"/>
      <x:c r="E1415" s="16" t="str">
        <x:v>* myContacts</x:v>
      </x:c>
      <x:c r="F1415" s="16" t="str">
        <x:v>+60 11-3330 1008 | +601133301008</x:v>
      </x:c>
      <x:c r="G1415" s="16" t="str">
        <x:v>+601133301008 | +601133301008</x:v>
      </x:c>
      <x:c r="H1415" s="16" t="str">
        <x:v>Excluded</x:v>
      </x:c>
      <x:c r="I1415" s="16" t="str">
        <x:v>Missing email</x:v>
      </x:c>
    </x:row>
    <x:row r="1416">
      <x:c r="A1416" s="16" t="n">
        <x:v>1413</x:v>
      </x:c>
      <x:c r="B1416" s="16" t="str">
        <x:v>Besi Technical Institution</x:v>
      </x:c>
      <x:c r="C1416" s="16" t="str"/>
      <x:c r="D1416" s="16" t="str"/>
      <x:c r="E1416" s="16" t="str">
        <x:v>* myContacts</x:v>
      </x:c>
      <x:c r="F1416" s="16" t="str">
        <x:v>0126869826 | +60126869826</x:v>
      </x:c>
      <x:c r="G1416" s="16" t="str">
        <x:v>+60126869826 | +60126869826</x:v>
      </x:c>
      <x:c r="H1416" s="16" t="str">
        <x:v>Excluded</x:v>
      </x:c>
      <x:c r="I1416" s="16" t="str">
        <x:v>Missing email</x:v>
      </x:c>
    </x:row>
    <x:row r="1417">
      <x:c r="A1417" s="16" t="n">
        <x:v>1414</x:v>
      </x:c>
      <x:c r="B1417" s="16" t="str">
        <x:v>Bestari Bme</x:v>
      </x:c>
      <x:c r="C1417" s="16" t="str"/>
      <x:c r="D1417" s="16" t="str"/>
      <x:c r="E1417" s="16" t="str">
        <x:v>* myContacts</x:v>
      </x:c>
      <x:c r="F1417" s="16" t="str">
        <x:v>+60378426998</x:v>
      </x:c>
      <x:c r="G1417" s="16" t="str">
        <x:v>+60378426998</x:v>
      </x:c>
      <x:c r="H1417" s="16" t="str">
        <x:v>Excluded</x:v>
      </x:c>
      <x:c r="I1417" s="16" t="str">
        <x:v>Missing email</x:v>
      </x:c>
    </x:row>
    <x:row r="1418">
      <x:c r="A1418" s="16" t="n">
        <x:v>1415</x:v>
      </x:c>
      <x:c r="B1418" s="16" t="str">
        <x:v>BG Ekeng Juni</x:v>
      </x:c>
      <x:c r="C1418" s="16" t="str"/>
      <x:c r="D1418" s="16" t="str"/>
      <x:c r="E1418" s="16" t="str">
        <x:v>* myContacts</x:v>
      </x:c>
      <x:c r="F1418" s="16" t="str">
        <x:v>+601119839707</x:v>
      </x:c>
      <x:c r="G1418" s="16" t="str">
        <x:v>+601119839707</x:v>
      </x:c>
      <x:c r="H1418" s="16" t="str">
        <x:v>Excluded</x:v>
      </x:c>
      <x:c r="I1418" s="16" t="str">
        <x:v>Missing email</x:v>
      </x:c>
    </x:row>
    <x:row r="1419">
      <x:c r="A1419" s="16" t="n">
        <x:v>1416</x:v>
      </x:c>
      <x:c r="B1419" s="16" t="str">
        <x:v>Bia AGP</x:v>
      </x:c>
      <x:c r="C1419" s="16" t="str"/>
      <x:c r="D1419" s="16" t="str"/>
      <x:c r="E1419" s="16" t="str">
        <x:v>* myContacts</x:v>
      </x:c>
      <x:c r="F1419" s="16" t="str">
        <x:v>+60 13-535 2571 | +60135352571</x:v>
      </x:c>
      <x:c r="G1419" s="16" t="str">
        <x:v>+60135352571 | +60135352571</x:v>
      </x:c>
      <x:c r="H1419" s="16" t="str">
        <x:v>Excluded</x:v>
      </x:c>
      <x:c r="I1419" s="16" t="str">
        <x:v>Missing email</x:v>
      </x:c>
    </x:row>
    <x:row r="1420">
      <x:c r="A1420" s="16" t="n">
        <x:v>1417</x:v>
      </x:c>
      <x:c r="B1420" s="16" t="str">
        <x:v>Bibie Connie Chuan</x:v>
      </x:c>
      <x:c r="C1420" s="16" t="str"/>
      <x:c r="D1420" s="16" t="str"/>
      <x:c r="E1420" s="16" t="str">
        <x:v>* myContacts</x:v>
      </x:c>
      <x:c r="F1420" s="16" t="str">
        <x:v>+601125283414</x:v>
      </x:c>
      <x:c r="G1420" s="16" t="str">
        <x:v>+601125283414</x:v>
      </x:c>
      <x:c r="H1420" s="16" t="str">
        <x:v>Excluded</x:v>
      </x:c>
      <x:c r="I1420" s="16" t="str">
        <x:v>Missing email</x:v>
      </x:c>
    </x:row>
    <x:row r="1421">
      <x:c r="A1421" s="16" t="n">
        <x:v>1418</x:v>
      </x:c>
      <x:c r="B1421" s="16" t="str">
        <x:v>Bicara Bulan</x:v>
      </x:c>
      <x:c r="C1421" s="16" t="str"/>
      <x:c r="D1421" s="16" t="str"/>
      <x:c r="E1421" s="16" t="str">
        <x:v>* myContacts</x:v>
      </x:c>
      <x:c r="F1421" s="16" t="str">
        <x:v>+601139311927</x:v>
      </x:c>
      <x:c r="G1421" s="16" t="str">
        <x:v>+601139311927</x:v>
      </x:c>
      <x:c r="H1421" s="16" t="str">
        <x:v>Excluded</x:v>
      </x:c>
      <x:c r="I1421" s="16" t="str">
        <x:v>Missing email</x:v>
      </x:c>
    </x:row>
    <x:row r="1422">
      <x:c r="A1422" s="16" t="n">
        <x:v>1419</x:v>
      </x:c>
      <x:c r="B1422" s="16" t="str">
        <x:v>Bicc Brunei</x:v>
      </x:c>
      <x:c r="C1422" s="16" t="str"/>
      <x:c r="D1422" s="16" t="str"/>
      <x:c r="E1422" s="16" t="str">
        <x:v>* myContacts</x:v>
      </x:c>
      <x:c r="F1422" s="16" t="str">
        <x:v>+6738396633</x:v>
      </x:c>
      <x:c r="G1422" s="16" t="str">
        <x:v>+6738396633</x:v>
      </x:c>
      <x:c r="H1422" s="16" t="str">
        <x:v>Excluded</x:v>
      </x:c>
      <x:c r="I1422" s="16" t="str">
        <x:v>Missing email</x:v>
      </x:c>
    </x:row>
    <x:row r="1423">
      <x:c r="A1423" s="16" t="n">
        <x:v>1420</x:v>
      </x:c>
      <x:c r="B1423" s="16" t="str">
        <x:v>Bidawati Ismail</x:v>
      </x:c>
      <x:c r="C1423" s="16" t="str"/>
      <x:c r="D1423" s="16" t="str"/>
      <x:c r="E1423" s="16" t="str">
        <x:v>* myContacts</x:v>
      </x:c>
      <x:c r="F1423" s="16" t="str">
        <x:v>+60198765432</x:v>
      </x:c>
      <x:c r="G1423" s="16" t="str">
        <x:v>+60198765432</x:v>
      </x:c>
      <x:c r="H1423" s="16" t="str">
        <x:v>Excluded</x:v>
      </x:c>
      <x:c r="I1423" s="16" t="str">
        <x:v>Missing email</x:v>
      </x:c>
    </x:row>
    <x:row r="1424">
      <x:c r="A1424" s="16" t="n">
        <x:v>1421</x:v>
      </x:c>
      <x:c r="B1424" s="16" t="str">
        <x:v>Bidi Yana</x:v>
      </x:c>
      <x:c r="C1424" s="16" t="str"/>
      <x:c r="D1424" s="16" t="str"/>
      <x:c r="E1424" s="16" t="str">
        <x:v>* myContacts</x:v>
      </x:c>
      <x:c r="F1424" s="16" t="str">
        <x:v>+60129814142</x:v>
      </x:c>
      <x:c r="G1424" s="16" t="str">
        <x:v>+60129814142</x:v>
      </x:c>
      <x:c r="H1424" s="16" t="str">
        <x:v>Excluded</x:v>
      </x:c>
      <x:c r="I1424" s="16" t="str">
        <x:v>Missing email</x:v>
      </x:c>
    </x:row>
    <x:row r="1425">
      <x:c r="A1425" s="16" t="n">
        <x:v>1422</x:v>
      </x:c>
      <x:c r="B1425" s="16" t="str">
        <x:v>Biella Pendek</x:v>
      </x:c>
      <x:c r="C1425" s="16" t="str"/>
      <x:c r="D1425" s="16" t="str"/>
      <x:c r="E1425" s="16" t="str">
        <x:v>* myContacts</x:v>
      </x:c>
      <x:c r="F1425" s="16" t="str">
        <x:v>+60163650995</x:v>
      </x:c>
      <x:c r="G1425" s="16" t="str">
        <x:v>+60163650995</x:v>
      </x:c>
      <x:c r="H1425" s="16" t="str">
        <x:v>Excluded</x:v>
      </x:c>
      <x:c r="I1425" s="16" t="str">
        <x:v>Missing email</x:v>
      </x:c>
    </x:row>
    <x:row r="1426">
      <x:c r="A1426" s="16" t="n">
        <x:v>1423</x:v>
      </x:c>
      <x:c r="B1426" s="16" t="str">
        <x:v>BieZatie MK</x:v>
      </x:c>
      <x:c r="C1426" s="16" t="str"/>
      <x:c r="D1426" s="16" t="str"/>
      <x:c r="E1426" s="16" t="str">
        <x:v>* myContacts</x:v>
      </x:c>
      <x:c r="F1426" s="16" t="str">
        <x:v>+60194748503</x:v>
      </x:c>
      <x:c r="G1426" s="16" t="str">
        <x:v>+60194748503</x:v>
      </x:c>
      <x:c r="H1426" s="16" t="str">
        <x:v>Excluded</x:v>
      </x:c>
      <x:c r="I1426" s="16" t="str">
        <x:v>Missing email</x:v>
      </x:c>
    </x:row>
    <x:row r="1427">
      <x:c r="A1427" s="16" t="n">
        <x:v>1424</x:v>
      </x:c>
      <x:c r="B1427" s="16" t="str">
        <x:v>Bin Sadin</x:v>
      </x:c>
      <x:c r="C1427" s="16" t="str"/>
      <x:c r="D1427" s="16" t="str"/>
      <x:c r="E1427" s="16" t="str">
        <x:v>* myContacts</x:v>
      </x:c>
      <x:c r="F1427" s="16" t="str">
        <x:v>+6738778898</x:v>
      </x:c>
      <x:c r="G1427" s="16" t="str">
        <x:v>+6738778898</x:v>
      </x:c>
      <x:c r="H1427" s="16" t="str">
        <x:v>Excluded</x:v>
      </x:c>
      <x:c r="I1427" s="16" t="str">
        <x:v>Missing email</x:v>
      </x:c>
    </x:row>
    <x:row r="1428">
      <x:c r="A1428" s="16" t="n">
        <x:v>1425</x:v>
      </x:c>
      <x:c r="B1428" s="16" t="str">
        <x:v>Bina Banglo Kelantan</x:v>
      </x:c>
      <x:c r="C1428" s="16" t="str"/>
      <x:c r="D1428" s="16" t="str"/>
      <x:c r="E1428" s="16" t="str">
        <x:v>* myContacts</x:v>
      </x:c>
      <x:c r="F1428" s="16" t="str">
        <x:v>+60179414485</x:v>
      </x:c>
      <x:c r="G1428" s="16" t="str">
        <x:v>+60179414485</x:v>
      </x:c>
      <x:c r="H1428" s="16" t="str">
        <x:v>Excluded</x:v>
      </x:c>
      <x:c r="I1428" s="16" t="str">
        <x:v>Missing email</x:v>
      </x:c>
    </x:row>
    <x:row r="1429">
      <x:c r="A1429" s="16" t="n">
        <x:v>1426</x:v>
      </x:c>
      <x:c r="B1429" s="16" t="str">
        <x:v>Binjai Ulek</x:v>
      </x:c>
      <x:c r="C1429" s="16" t="str"/>
      <x:c r="D1429" s="16" t="str"/>
      <x:c r="E1429" s="16" t="str">
        <x:v>* myContacts</x:v>
      </x:c>
      <x:c r="F1429" s="16" t="str">
        <x:v>+6098485211</x:v>
      </x:c>
      <x:c r="G1429" s="16" t="str">
        <x:v>+6098485211</x:v>
      </x:c>
      <x:c r="H1429" s="16" t="str">
        <x:v>Excluded</x:v>
      </x:c>
      <x:c r="I1429" s="16" t="str">
        <x:v>Missing email</x:v>
      </x:c>
    </x:row>
    <x:row r="1430">
      <x:c r="A1430" s="16" t="n">
        <x:v>1427</x:v>
      </x:c>
      <x:c r="B1430" s="16" t="str">
        <x:v>BiNus Ted</x:v>
      </x:c>
      <x:c r="C1430" s="16" t="str"/>
      <x:c r="D1430" s="16" t="str"/>
      <x:c r="E1430" s="16" t="str">
        <x:v>* myContacts</x:v>
      </x:c>
      <x:c r="F1430" s="16" t="str">
        <x:v>+60128388304</x:v>
      </x:c>
      <x:c r="G1430" s="16" t="str">
        <x:v>+60128388304</x:v>
      </x:c>
      <x:c r="H1430" s="16" t="str">
        <x:v>Excluded</x:v>
      </x:c>
      <x:c r="I1430" s="16" t="str">
        <x:v>Missing email</x:v>
      </x:c>
    </x:row>
    <x:row r="1431">
      <x:c r="A1431" s="16" t="n">
        <x:v>1428</x:v>
      </x:c>
      <x:c r="B1431" s="16" t="str">
        <x:v>Biotradenr Johor</x:v>
      </x:c>
      <x:c r="C1431" s="16" t="str"/>
      <x:c r="D1431" s="16" t="str"/>
      <x:c r="E1431" s="16" t="str">
        <x:v>* myContacts</x:v>
      </x:c>
      <x:c r="F1431" s="16" t="str">
        <x:v>+60137795567</x:v>
      </x:c>
      <x:c r="G1431" s="16" t="str">
        <x:v>+60137795567</x:v>
      </x:c>
      <x:c r="H1431" s="16" t="str">
        <x:v>Excluded</x:v>
      </x:c>
      <x:c r="I1431" s="16" t="str">
        <x:v>Missing email</x:v>
      </x:c>
    </x:row>
    <x:row r="1432">
      <x:c r="A1432" s="16" t="n">
        <x:v>1429</x:v>
      </x:c>
      <x:c r="B1432" s="16" t="str">
        <x:v>BIZ Wieza Eu</x:v>
      </x:c>
      <x:c r="C1432" s="16" t="str"/>
      <x:c r="D1432" s="16" t="str"/>
      <x:c r="E1432" s="16" t="str">
        <x:v>Alumni eUsahawan | * myContacts</x:v>
      </x:c>
      <x:c r="F1432" s="16" t="str">
        <x:v>+60 13-240 7220 | +60132407220</x:v>
      </x:c>
      <x:c r="G1432" s="16" t="str">
        <x:v>+60132407220 | +60132407220</x:v>
      </x:c>
      <x:c r="H1432" s="16" t="str">
        <x:v>Excluded</x:v>
      </x:c>
      <x:c r="I1432" s="16" t="str">
        <x:v>Missing email</x:v>
      </x:c>
    </x:row>
    <x:row r="1433">
      <x:c r="A1433" s="16" t="n">
        <x:v>1430</x:v>
      </x:c>
      <x:c r="B1433" s="16" t="str">
        <x:v>Blackred Butik</x:v>
      </x:c>
      <x:c r="C1433" s="16" t="str"/>
      <x:c r="D1433" s="16" t="str"/>
      <x:c r="E1433" s="16" t="str">
        <x:v>* myContacts</x:v>
      </x:c>
      <x:c r="F1433" s="16" t="str">
        <x:v>+60123161716</x:v>
      </x:c>
      <x:c r="G1433" s="16" t="str">
        <x:v>+60123161716</x:v>
      </x:c>
      <x:c r="H1433" s="16" t="str">
        <x:v>Excluded</x:v>
      </x:c>
      <x:c r="I1433" s="16" t="str">
        <x:v>Missing email</x:v>
      </x:c>
    </x:row>
    <x:row r="1434">
      <x:c r="A1434" s="16" t="n">
        <x:v>1431</x:v>
      </x:c>
      <x:c r="B1434" s="16" t="str">
        <x:v>BM Safwan Seth</x:v>
      </x:c>
      <x:c r="C1434" s="16" t="str"/>
      <x:c r="D1434" s="16" t="str"/>
      <x:c r="E1434" s="16" t="str">
        <x:v>* myContacts</x:v>
      </x:c>
      <x:c r="F1434" s="16" t="str">
        <x:v>+60 11-1873 9591</x:v>
      </x:c>
      <x:c r="G1434" s="16" t="str">
        <x:v>+601118739591</x:v>
      </x:c>
      <x:c r="H1434" s="16" t="str">
        <x:v>Excluded</x:v>
      </x:c>
      <x:c r="I1434" s="16" t="str">
        <x:v>Missing email</x:v>
      </x:c>
    </x:row>
    <x:row r="1435">
      <x:c r="A1435" s="16" t="n">
        <x:v>1432</x:v>
      </x:c>
      <x:c r="B1435" s="16" t="str">
        <x:v>BNI SYAZWAN SPECTRA</x:v>
      </x:c>
      <x:c r="C1435" s="16" t="str"/>
      <x:c r="D1435" s="16" t="str"/>
      <x:c r="E1435" s="16" t="str">
        <x:v>* myContacts</x:v>
      </x:c>
      <x:c r="F1435" s="16" t="str">
        <x:v>+60196539219</x:v>
      </x:c>
      <x:c r="G1435" s="16" t="str">
        <x:v>+60196539219</x:v>
      </x:c>
      <x:c r="H1435" s="16" t="str">
        <x:v>Excluded</x:v>
      </x:c>
      <x:c r="I1435" s="16" t="str">
        <x:v>Missing email</x:v>
      </x:c>
    </x:row>
    <x:row r="1436">
      <x:c r="A1436" s="16" t="n">
        <x:v>1433</x:v>
      </x:c>
      <x:c r="B1436" s="16" t="str">
        <x:v>Bob Fitri</x:v>
      </x:c>
      <x:c r="C1436" s="16" t="str"/>
      <x:c r="D1436" s="16" t="str"/>
      <x:c r="E1436" s="16" t="str">
        <x:v>* myContacts</x:v>
      </x:c>
      <x:c r="F1436" s="16" t="str">
        <x:v>+60102080270</x:v>
      </x:c>
      <x:c r="G1436" s="16" t="str">
        <x:v>+60102080270</x:v>
      </x:c>
      <x:c r="H1436" s="16" t="str">
        <x:v>Excluded</x:v>
      </x:c>
      <x:c r="I1436" s="16" t="str">
        <x:v>Missing email</x:v>
      </x:c>
    </x:row>
    <x:row r="1437">
      <x:c r="A1437" s="16" t="n">
        <x:v>1434</x:v>
      </x:c>
      <x:c r="B1437" s="16" t="str">
        <x:v>Bonda Noordiana Mohamad</x:v>
      </x:c>
      <x:c r="C1437" s="16" t="str"/>
      <x:c r="D1437" s="16" t="str"/>
      <x:c r="E1437" s="16" t="str">
        <x:v>* myContacts</x:v>
      </x:c>
      <x:c r="F1437" s="16" t="str">
        <x:v>+60125595909</x:v>
      </x:c>
      <x:c r="G1437" s="16" t="str">
        <x:v>+60125595909</x:v>
      </x:c>
      <x:c r="H1437" s="16" t="str">
        <x:v>Excluded</x:v>
      </x:c>
      <x:c r="I1437" s="16" t="str">
        <x:v>Missing email</x:v>
      </x:c>
    </x:row>
    <x:row r="1438">
      <x:c r="A1438" s="16" t="n">
        <x:v>1435</x:v>
      </x:c>
      <x:c r="B1438" s="16" t="str">
        <x:v>Bonda Sha</x:v>
      </x:c>
      <x:c r="C1438" s="16" t="str"/>
      <x:c r="D1438" s="16" t="str"/>
      <x:c r="E1438" s="16" t="str">
        <x:v>* myContacts</x:v>
      </x:c>
      <x:c r="F1438" s="16" t="str">
        <x:v>+60123385506</x:v>
      </x:c>
      <x:c r="G1438" s="16" t="str">
        <x:v>+60123385506</x:v>
      </x:c>
      <x:c r="H1438" s="16" t="str">
        <x:v>Excluded</x:v>
      </x:c>
      <x:c r="I1438" s="16" t="str">
        <x:v>Missing email</x:v>
      </x:c>
    </x:row>
    <x:row r="1439">
      <x:c r="A1439" s="16" t="n">
        <x:v>1436</x:v>
      </x:c>
      <x:c r="B1439" s="16" t="str">
        <x:v>BOnetakz BO</x:v>
      </x:c>
      <x:c r="C1439" s="16" t="str"/>
      <x:c r="D1439" s="16" t="str"/>
      <x:c r="E1439" s="16" t="str">
        <x:v>* myContacts</x:v>
      </x:c>
      <x:c r="F1439" s="16" t="str">
        <x:v>+60148112651</x:v>
      </x:c>
      <x:c r="G1439" s="16" t="str">
        <x:v>+60148112651</x:v>
      </x:c>
      <x:c r="H1439" s="16" t="str">
        <x:v>Excluded</x:v>
      </x:c>
      <x:c r="I1439" s="16" t="str">
        <x:v>Missing email</x:v>
      </x:c>
    </x:row>
    <x:row r="1440">
      <x:c r="A1440" s="16" t="n">
        <x:v>1437</x:v>
      </x:c>
      <x:c r="B1440" s="16" t="str">
        <x:v>Bong Hui You</x:v>
      </x:c>
      <x:c r="C1440" s="16" t="str"/>
      <x:c r="D1440" s="16" t="str"/>
      <x:c r="E1440" s="16" t="str">
        <x:v>* myContacts</x:v>
      </x:c>
      <x:c r="F1440" s="16" t="str">
        <x:v>+60165899301</x:v>
      </x:c>
      <x:c r="G1440" s="16" t="str">
        <x:v>+60165899301</x:v>
      </x:c>
      <x:c r="H1440" s="16" t="str">
        <x:v>Excluded</x:v>
      </x:c>
      <x:c r="I1440" s="16" t="str">
        <x:v>Missing email</x:v>
      </x:c>
    </x:row>
    <x:row r="1441">
      <x:c r="A1441" s="16" t="n">
        <x:v>1438</x:v>
      </x:c>
      <x:c r="B1441" s="16" t="str">
        <x:v>BonnyLang Nyepa</x:v>
      </x:c>
      <x:c r="C1441" s="16" t="str"/>
      <x:c r="D1441" s="16" t="str"/>
      <x:c r="E1441" s="16" t="str">
        <x:v>* myContacts</x:v>
      </x:c>
      <x:c r="F1441" s="16" t="str">
        <x:v>+601119897443</x:v>
      </x:c>
      <x:c r="G1441" s="16" t="str">
        <x:v>+601119897443</x:v>
      </x:c>
      <x:c r="H1441" s="16" t="str">
        <x:v>Excluded</x:v>
      </x:c>
      <x:c r="I1441" s="16" t="str">
        <x:v>Missing email</x:v>
      </x:c>
    </x:row>
    <x:row r="1442">
      <x:c r="A1442" s="16" t="n">
        <x:v>1439</x:v>
      </x:c>
      <x:c r="B1442" s="16" t="str">
        <x:v>BORAK KOPITIAM TV3 Fara</x:v>
      </x:c>
      <x:c r="C1442" s="16" t="str"/>
      <x:c r="D1442" s="16" t="str"/>
      <x:c r="E1442" s="16" t="str">
        <x:v>* myContacts</x:v>
      </x:c>
      <x:c r="F1442" s="16" t="str">
        <x:v>+60 12-629 5621 | +60126295621</x:v>
      </x:c>
      <x:c r="G1442" s="16" t="str">
        <x:v>+60126295621 | +60126295621</x:v>
      </x:c>
      <x:c r="H1442" s="16" t="str">
        <x:v>Excluded</x:v>
      </x:c>
      <x:c r="I1442" s="16" t="str">
        <x:v>Missing email</x:v>
      </x:c>
    </x:row>
    <x:row r="1443">
      <x:c r="A1443" s="16" t="n">
        <x:v>1440</x:v>
      </x:c>
      <x:c r="B1443" s="16" t="str">
        <x:v>Borneo Fiberglass</x:v>
      </x:c>
      <x:c r="C1443" s="16" t="str"/>
      <x:c r="D1443" s="16" t="str"/>
      <x:c r="E1443" s="16" t="str">
        <x:v>* myContacts</x:v>
      </x:c>
      <x:c r="F1443" s="16" t="str">
        <x:v>+6088431729</x:v>
      </x:c>
      <x:c r="G1443" s="16" t="str">
        <x:v>+6088431729</x:v>
      </x:c>
      <x:c r="H1443" s="16" t="str">
        <x:v>Excluded</x:v>
      </x:c>
      <x:c r="I1443" s="16" t="str">
        <x:v>Missing email</x:v>
      </x:c>
    </x:row>
    <x:row r="1444">
      <x:c r="A1444" s="16" t="n">
        <x:v>1441</x:v>
      </x:c>
      <x:c r="B1444" s="16" t="str">
        <x:v>Borong Baju Muslimah</x:v>
      </x:c>
      <x:c r="C1444" s="16" t="str"/>
      <x:c r="D1444" s="16" t="str"/>
      <x:c r="E1444" s="16" t="str">
        <x:v>* myContacts</x:v>
      </x:c>
      <x:c r="F1444" s="16" t="str">
        <x:v>+601127780240</x:v>
      </x:c>
      <x:c r="G1444" s="16" t="str">
        <x:v>+601127780240</x:v>
      </x:c>
      <x:c r="H1444" s="16" t="str">
        <x:v>Excluded</x:v>
      </x:c>
      <x:c r="I1444" s="16" t="str">
        <x:v>Missing email</x:v>
      </x:c>
    </x:row>
    <x:row r="1445">
      <x:c r="A1445" s="16" t="n">
        <x:v>1442</x:v>
      </x:c>
      <x:c r="B1445" s="16" t="str">
        <x:v>Borong Barang Cenderahati</x:v>
      </x:c>
      <x:c r="C1445" s="16" t="str"/>
      <x:c r="D1445" s="16" t="str"/>
      <x:c r="E1445" s="16" t="str">
        <x:v>* myContacts</x:v>
      </x:c>
      <x:c r="F1445" s="16" t="str">
        <x:v>+601111335855</x:v>
      </x:c>
      <x:c r="G1445" s="16" t="str">
        <x:v>+601111335855</x:v>
      </x:c>
      <x:c r="H1445" s="16" t="str">
        <x:v>Excluded</x:v>
      </x:c>
      <x:c r="I1445" s="16" t="str">
        <x:v>Missing email</x:v>
      </x:c>
    </x:row>
    <x:row r="1446">
      <x:c r="A1446" s="16" t="n">
        <x:v>1443</x:v>
      </x:c>
      <x:c r="B1446" s="16" t="str">
        <x:v>borong china marketing marketing</x:v>
      </x:c>
      <x:c r="C1446" s="16" t="str"/>
      <x:c r="D1446" s="16" t="str"/>
      <x:c r="E1446" s="16" t="str">
        <x:v>* myContacts</x:v>
      </x:c>
      <x:c r="F1446" s="16" t="str">
        <x:v>+60137135690</x:v>
      </x:c>
      <x:c r="G1446" s="16" t="str">
        <x:v>+60137135690</x:v>
      </x:c>
      <x:c r="H1446" s="16" t="str">
        <x:v>Excluded</x:v>
      </x:c>
      <x:c r="I1446" s="16" t="str">
        <x:v>Missing email</x:v>
      </x:c>
    </x:row>
    <x:row r="1447">
      <x:c r="A1447" s="16" t="n">
        <x:v>1444</x:v>
      </x:c>
      <x:c r="B1447" s="16" t="str">
        <x:v>Borong Murah Murah</x:v>
      </x:c>
      <x:c r="C1447" s="16" t="str"/>
      <x:c r="D1447" s="16" t="str"/>
      <x:c r="E1447" s="16" t="str">
        <x:v>* myContacts</x:v>
      </x:c>
      <x:c r="F1447" s="16" t="str">
        <x:v>+60162392359</x:v>
      </x:c>
      <x:c r="G1447" s="16" t="str">
        <x:v>+60162392359</x:v>
      </x:c>
      <x:c r="H1447" s="16" t="str">
        <x:v>Excluded</x:v>
      </x:c>
      <x:c r="I1447" s="16" t="str">
        <x:v>Missing email</x:v>
      </x:c>
    </x:row>
    <x:row r="1448">
      <x:c r="A1448" s="16" t="n">
        <x:v>1445</x:v>
      </x:c>
      <x:c r="B1448" s="16" t="str">
        <x:v>Boss Ako Soap Maker</x:v>
      </x:c>
      <x:c r="C1448" s="16" t="str"/>
      <x:c r="D1448" s="16" t="str"/>
      <x:c r="E1448" s="16" t="str">
        <x:v>* myContacts</x:v>
      </x:c>
      <x:c r="F1448" s="16" t="str">
        <x:v>+60 19-810 2518 | +60198102518</x:v>
      </x:c>
      <x:c r="G1448" s="16" t="str">
        <x:v>+60198102518 | +60198102518</x:v>
      </x:c>
      <x:c r="H1448" s="16" t="str">
        <x:v>Excluded</x:v>
      </x:c>
      <x:c r="I1448" s="16" t="str">
        <x:v>Missing email</x:v>
      </x:c>
    </x:row>
    <x:row r="1449">
      <x:c r="A1449" s="16" t="n">
        <x:v>1446</x:v>
      </x:c>
      <x:c r="B1449" s="16" t="str">
        <x:v>Boss Azlan Properties REN</x:v>
      </x:c>
      <x:c r="C1449" s="16" t="str"/>
      <x:c r="D1449" s="16" t="str"/>
      <x:c r="E1449" s="16" t="str">
        <x:v>* myContacts</x:v>
      </x:c>
      <x:c r="F1449" s="16" t="str">
        <x:v>0193531325 | +60193531325</x:v>
      </x:c>
      <x:c r="G1449" s="16" t="str">
        <x:v>+60193531325 | +60193531325</x:v>
      </x:c>
      <x:c r="H1449" s="16" t="str">
        <x:v>Excluded</x:v>
      </x:c>
      <x:c r="I1449" s="16" t="str">
        <x:v>Missing email</x:v>
      </x:c>
    </x:row>
    <x:row r="1450">
      <x:c r="A1450" s="16" t="n">
        <x:v>1447</x:v>
      </x:c>
      <x:c r="B1450" s="16" t="str">
        <x:v>Boss Bahar Tawau</x:v>
      </x:c>
      <x:c r="C1450" s="16" t="str"/>
      <x:c r="D1450" s="16" t="str"/>
      <x:c r="E1450" s="16" t="str">
        <x:v>* myContacts</x:v>
      </x:c>
      <x:c r="F1450" s="16" t="str">
        <x:v>+60 16-830 2777 | +60168302777</x:v>
      </x:c>
      <x:c r="G1450" s="16" t="str">
        <x:v>+60168302777 | +60168302777</x:v>
      </x:c>
      <x:c r="H1450" s="16" t="str">
        <x:v>Excluded</x:v>
      </x:c>
      <x:c r="I1450" s="16" t="str">
        <x:v>Missing email</x:v>
      </x:c>
    </x:row>
    <x:row r="1451">
      <x:c r="A1451" s="16" t="n">
        <x:v>1448</x:v>
      </x:c>
      <x:c r="B1451" s="16" t="str">
        <x:v>Boss rahman TI</x:v>
      </x:c>
      <x:c r="C1451" s="16" t="str"/>
      <x:c r="D1451" s="16" t="str"/>
      <x:c r="E1451" s="16" t="str">
        <x:v>* myContacts</x:v>
      </x:c>
      <x:c r="F1451" s="16" t="str">
        <x:v>+601113011133</x:v>
      </x:c>
      <x:c r="G1451" s="16" t="str">
        <x:v>+601113011133</x:v>
      </x:c>
      <x:c r="H1451" s="16" t="str">
        <x:v>Excluded</x:v>
      </x:c>
      <x:c r="I1451" s="16" t="str">
        <x:v>Missing email</x:v>
      </x:c>
    </x:row>
    <x:row r="1452">
      <x:c r="A1452" s="16" t="n">
        <x:v>1449</x:v>
      </x:c>
      <x:c r="B1452" s="16" t="str">
        <x:v>Boss Rizan</x:v>
      </x:c>
      <x:c r="C1452" s="16" t="str"/>
      <x:c r="D1452" s="16" t="str"/>
      <x:c r="E1452" s="16" t="str">
        <x:v>* myContacts</x:v>
      </x:c>
      <x:c r="F1452" s="16" t="str">
        <x:v>+60134629014</x:v>
      </x:c>
      <x:c r="G1452" s="16" t="str">
        <x:v>+60134629014</x:v>
      </x:c>
      <x:c r="H1452" s="16" t="str">
        <x:v>Excluded</x:v>
      </x:c>
      <x:c r="I1452" s="16" t="str">
        <x:v>Missing email</x:v>
      </x:c>
    </x:row>
    <x:row r="1453">
      <x:c r="A1453" s="16" t="n">
        <x:v>1450</x:v>
      </x:c>
      <x:c r="B1453" s="16" t="str">
        <x:v>Boss Vincent eanlabel</x:v>
      </x:c>
      <x:c r="C1453" s="16" t="str"/>
      <x:c r="D1453" s="16" t="str"/>
      <x:c r="E1453" s="16" t="str">
        <x:v>* myContacts</x:v>
      </x:c>
      <x:c r="F1453" s="16" t="str">
        <x:v>+60129203829</x:v>
      </x:c>
      <x:c r="G1453" s="16" t="str">
        <x:v>+60129203829</x:v>
      </x:c>
      <x:c r="H1453" s="16" t="str">
        <x:v>Excluded</x:v>
      </x:c>
      <x:c r="I1453" s="16" t="str">
        <x:v>Missing email</x:v>
      </x:c>
    </x:row>
    <x:row r="1454">
      <x:c r="A1454" s="16" t="n">
        <x:v>1451</x:v>
      </x:c>
      <x:c r="B1454" s="16" t="str">
        <x:v>Boss Wahid DPIM Perak</x:v>
      </x:c>
      <x:c r="C1454" s="16" t="str"/>
      <x:c r="D1454" s="16" t="str"/>
      <x:c r="E1454" s="16" t="str">
        <x:v>* myContacts</x:v>
      </x:c>
      <x:c r="F1454" s="16" t="str">
        <x:v>0195642307 | +60195642307</x:v>
      </x:c>
      <x:c r="G1454" s="16" t="str">
        <x:v>+60195642307 | +60195642307</x:v>
      </x:c>
      <x:c r="H1454" s="16" t="str">
        <x:v>Excluded</x:v>
      </x:c>
      <x:c r="I1454" s="16" t="str">
        <x:v>Missing email</x:v>
      </x:c>
    </x:row>
    <x:row r="1455">
      <x:c r="A1455" s="16" t="n">
        <x:v>1452</x:v>
      </x:c>
      <x:c r="B1455" s="16" t="str">
        <x:v>Bost Putu Piring</x:v>
      </x:c>
      <x:c r="C1455" s="16" t="str"/>
      <x:c r="D1455" s="16" t="str"/>
      <x:c r="E1455" s="16" t="str">
        <x:v>* myContacts</x:v>
      </x:c>
      <x:c r="F1455" s="16" t="str">
        <x:v>+60333443734</x:v>
      </x:c>
      <x:c r="G1455" s="16" t="str">
        <x:v>+60333443734</x:v>
      </x:c>
      <x:c r="H1455" s="16" t="str">
        <x:v>Excluded</x:v>
      </x:c>
      <x:c r="I1455" s="16" t="str">
        <x:v>Missing email</x:v>
      </x:c>
    </x:row>
    <x:row r="1456">
      <x:c r="A1456" s="16" t="n">
        <x:v>1453</x:v>
      </x:c>
      <x:c r="B1456" s="16" t="str">
        <x:v>Boy</x:v>
      </x:c>
      <x:c r="C1456" s="16" t="str"/>
      <x:c r="D1456" s="16" t="str"/>
      <x:c r="E1456" s="16" t="str">
        <x:v>* myContacts</x:v>
      </x:c>
      <x:c r="F1456" s="16" t="str">
        <x:v>016-338 5497 | +60163385497</x:v>
      </x:c>
      <x:c r="G1456" s="16" t="str">
        <x:v>+60163385497 | +60163385497</x:v>
      </x:c>
      <x:c r="H1456" s="16" t="str">
        <x:v>Excluded</x:v>
      </x:c>
      <x:c r="I1456" s="16" t="str">
        <x:v>Missing email</x:v>
      </x:c>
    </x:row>
    <x:row r="1457">
      <x:c r="A1457" s="16" t="n">
        <x:v>1454</x:v>
      </x:c>
      <x:c r="B1457" s="16" t="str">
        <x:v>Boy Ciranont</x:v>
      </x:c>
      <x:c r="C1457" s="16" t="str"/>
      <x:c r="D1457" s="16" t="str"/>
      <x:c r="E1457" s="16" t="str">
        <x:v>* myContacts</x:v>
      </x:c>
      <x:c r="F1457" s="16" t="str">
        <x:v>+60179026758</x:v>
      </x:c>
      <x:c r="G1457" s="16" t="str">
        <x:v>+60179026758</x:v>
      </x:c>
      <x:c r="H1457" s="16" t="str">
        <x:v>Excluded</x:v>
      </x:c>
      <x:c r="I1457" s="16" t="str">
        <x:v>Missing email</x:v>
      </x:c>
    </x:row>
    <x:row r="1458">
      <x:c r="A1458" s="16" t="n">
        <x:v>1455</x:v>
      </x:c>
      <x:c r="B1458" s="16" t="str">
        <x:v>Boy Detailer Kuantan</x:v>
      </x:c>
      <x:c r="C1458" s="16" t="str"/>
      <x:c r="D1458" s="16" t="str"/>
      <x:c r="E1458" s="16" t="str">
        <x:v>* myContacts</x:v>
      </x:c>
      <x:c r="F1458" s="16" t="str">
        <x:v>+60134944605</x:v>
      </x:c>
      <x:c r="G1458" s="16" t="str">
        <x:v>+60134944605</x:v>
      </x:c>
      <x:c r="H1458" s="16" t="str">
        <x:v>Excluded</x:v>
      </x:c>
      <x:c r="I1458" s="16" t="str">
        <x:v>Missing email</x:v>
      </x:c>
    </x:row>
    <x:row r="1459">
      <x:c r="A1459" s="16" t="n">
        <x:v>1456</x:v>
      </x:c>
      <x:c r="B1459" s="16" t="str">
        <x:v>Boy Gbn</x:v>
      </x:c>
      <x:c r="C1459" s="16" t="str"/>
      <x:c r="D1459" s="16" t="str"/>
      <x:c r="E1459" s="16" t="str">
        <x:v>* myContacts</x:v>
      </x:c>
      <x:c r="F1459" s="16" t="str">
        <x:v>+60168011623</x:v>
      </x:c>
      <x:c r="G1459" s="16" t="str">
        <x:v>+60168011623</x:v>
      </x:c>
      <x:c r="H1459" s="16" t="str">
        <x:v>Excluded</x:v>
      </x:c>
      <x:c r="I1459" s="16" t="str">
        <x:v>Missing email</x:v>
      </x:c>
    </x:row>
    <x:row r="1460">
      <x:c r="A1460" s="16" t="n">
        <x:v>1457</x:v>
      </x:c>
      <x:c r="B1460" s="16" t="str">
        <x:v>Boy Muar</x:v>
      </x:c>
      <x:c r="C1460" s="16" t="str"/>
      <x:c r="D1460" s="16" t="str"/>
      <x:c r="E1460" s="16" t="str">
        <x:v>* myContacts</x:v>
      </x:c>
      <x:c r="F1460" s="16" t="str">
        <x:v>+60127242767</x:v>
      </x:c>
      <x:c r="G1460" s="16" t="str">
        <x:v>+60127242767</x:v>
      </x:c>
      <x:c r="H1460" s="16" t="str">
        <x:v>Excluded</x:v>
      </x:c>
      <x:c r="I1460" s="16" t="str">
        <x:v>Missing email</x:v>
      </x:c>
    </x:row>
    <x:row r="1461">
      <x:c r="A1461" s="16" t="n">
        <x:v>1458</x:v>
      </x:c>
      <x:c r="B1461" s="16" t="str">
        <x:v>Boy Raj</x:v>
      </x:c>
      <x:c r="C1461" s="16" t="str"/>
      <x:c r="D1461" s="16" t="str"/>
      <x:c r="E1461" s="16" t="str">
        <x:v>* myContacts</x:v>
      </x:c>
      <x:c r="F1461" s="16" t="str">
        <x:v>+6585500817</x:v>
      </x:c>
      <x:c r="G1461" s="16" t="str">
        <x:v>+6585500817</x:v>
      </x:c>
      <x:c r="H1461" s="16" t="str">
        <x:v>Excluded</x:v>
      </x:c>
      <x:c r="I1461" s="16" t="str">
        <x:v>Missing email</x:v>
      </x:c>
    </x:row>
    <x:row r="1462">
      <x:c r="A1462" s="16" t="n">
        <x:v>1459</x:v>
      </x:c>
      <x:c r="B1462" s="16" t="str">
        <x:v>Brader Awie Master Gold QM</x:v>
      </x:c>
      <x:c r="C1462" s="16" t="str"/>
      <x:c r="D1462" s="16" t="str"/>
      <x:c r="E1462" s="16" t="str">
        <x:v>* myContacts</x:v>
      </x:c>
      <x:c r="F1462" s="16" t="str">
        <x:v>01118669769 | +601118669769</x:v>
      </x:c>
      <x:c r="G1462" s="16" t="str">
        <x:v>+601118669769 | +601118669769</x:v>
      </x:c>
      <x:c r="H1462" s="16" t="str">
        <x:v>Excluded</x:v>
      </x:c>
      <x:c r="I1462" s="16" t="str">
        <x:v>Missing email</x:v>
      </x:c>
    </x:row>
    <x:row r="1463">
      <x:c r="A1463" s="16" t="n">
        <x:v>1460</x:v>
      </x:c>
      <x:c r="B1463" s="16" t="str">
        <x:v>Brader Hassan HomeMateTrade</x:v>
      </x:c>
      <x:c r="C1463" s="16" t="str"/>
      <x:c r="D1463" s="16" t="str"/>
      <x:c r="E1463" s="16" t="str">
        <x:v>* myContacts</x:v>
      </x:c>
      <x:c r="F1463" s="16" t="str">
        <x:v>+60183107255</x:v>
      </x:c>
      <x:c r="G1463" s="16" t="str">
        <x:v>+60183107255</x:v>
      </x:c>
      <x:c r="H1463" s="16" t="str">
        <x:v>Excluded</x:v>
      </x:c>
      <x:c r="I1463" s="16" t="str">
        <x:v>Missing email</x:v>
      </x:c>
    </x:row>
    <x:row r="1464">
      <x:c r="A1464" s="16" t="n">
        <x:v>1461</x:v>
      </x:c>
      <x:c r="B1464" s="16" t="str">
        <x:v>Brader Mat</x:v>
      </x:c>
      <x:c r="C1464" s="16" t="str"/>
      <x:c r="D1464" s="16" t="str"/>
      <x:c r="E1464" s="16" t="str">
        <x:v>* myContacts</x:v>
      </x:c>
      <x:c r="F1464" s="16" t="str">
        <x:v>+60136608774</x:v>
      </x:c>
      <x:c r="G1464" s="16" t="str">
        <x:v>+60136608774</x:v>
      </x:c>
      <x:c r="H1464" s="16" t="str">
        <x:v>Excluded</x:v>
      </x:c>
      <x:c r="I1464" s="16" t="str">
        <x:v>Missing email</x:v>
      </x:c>
    </x:row>
    <x:row r="1465">
      <x:c r="A1465" s="16" t="n">
        <x:v>1462</x:v>
      </x:c>
      <x:c r="B1465" s="16" t="str">
        <x:v>Bradley AC</x:v>
      </x:c>
      <x:c r="C1465" s="16" t="str"/>
      <x:c r="D1465" s="16" t="str"/>
      <x:c r="E1465" s="16" t="str">
        <x:v>* myContacts</x:v>
      </x:c>
      <x:c r="F1465" s="16" t="str">
        <x:v>+60109687978</x:v>
      </x:c>
      <x:c r="G1465" s="16" t="str">
        <x:v>+60109687978</x:v>
      </x:c>
      <x:c r="H1465" s="16" t="str">
        <x:v>Excluded</x:v>
      </x:c>
      <x:c r="I1465" s="16" t="str">
        <x:v>Missing email</x:v>
      </x:c>
    </x:row>
    <x:row r="1466">
      <x:c r="A1466" s="16" t="n">
        <x:v>1463</x:v>
      </x:c>
      <x:c r="B1466" s="16" t="str">
        <x:v>Bri DPIM</x:v>
      </x:c>
      <x:c r="C1466" s="16" t="str"/>
      <x:c r="D1466" s="16" t="str"/>
      <x:c r="E1466" s="16" t="str">
        <x:v>* myContacts</x:v>
      </x:c>
      <x:c r="F1466" s="16" t="str">
        <x:v>+60163106500 | +60 16-441 5600 | +60163106500 | +60164415600</x:v>
      </x:c>
      <x:c r="G1466" s="16" t="str">
        <x:v>+60163106500 | +60164415600 | +60163106500 | +60164415600</x:v>
      </x:c>
      <x:c r="H1466" s="16" t="str">
        <x:v>Excluded</x:v>
      </x:c>
      <x:c r="I1466" s="16" t="str">
        <x:v>Missing email</x:v>
      </x:c>
    </x:row>
    <x:row r="1467">
      <x:c r="A1467" s="16" t="n">
        <x:v>1464</x:v>
      </x:c>
      <x:c r="B1467" s="16" t="str">
        <x:v>Bro Bil</x:v>
      </x:c>
      <x:c r="C1467" s="16" t="str"/>
      <x:c r="D1467" s="16" t="str"/>
      <x:c r="E1467" s="16" t="str">
        <x:v>* myContacts</x:v>
      </x:c>
      <x:c r="F1467" s="16" t="str">
        <x:v>+60195123984</x:v>
      </x:c>
      <x:c r="G1467" s="16" t="str">
        <x:v>+60195123984</x:v>
      </x:c>
      <x:c r="H1467" s="16" t="str">
        <x:v>Excluded</x:v>
      </x:c>
      <x:c r="I1467" s="16" t="str">
        <x:v>Missing email</x:v>
      </x:c>
    </x:row>
    <x:row r="1468">
      <x:c r="A1468" s="16" t="n">
        <x:v>1465</x:v>
      </x:c>
      <x:c r="B1468" s="16" t="str">
        <x:v>Bro fakhree</x:v>
      </x:c>
      <x:c r="C1468" s="16" t="str"/>
      <x:c r="D1468" s="16" t="str"/>
      <x:c r="E1468" s="16" t="str">
        <x:v>* myContacts</x:v>
      </x:c>
      <x:c r="F1468" s="16" t="str">
        <x:v>0123659176 | +60123659176</x:v>
      </x:c>
      <x:c r="G1468" s="16" t="str">
        <x:v>+60123659176 | +60123659176</x:v>
      </x:c>
      <x:c r="H1468" s="16" t="str">
        <x:v>Excluded</x:v>
      </x:c>
      <x:c r="I1468" s="16" t="str">
        <x:v>Missing email</x:v>
      </x:c>
    </x:row>
    <x:row r="1469">
      <x:c r="A1469" s="16" t="n">
        <x:v>1466</x:v>
      </x:c>
      <x:c r="B1469" s="16" t="str">
        <x:v>Bro Jamal Dpim</x:v>
      </x:c>
      <x:c r="C1469" s="16" t="str"/>
      <x:c r="D1469" s="16" t="str"/>
      <x:c r="E1469" s="16" t="str">
        <x:v>* myContacts</x:v>
      </x:c>
      <x:c r="F1469" s="16" t="str">
        <x:v>+60 11-3202 7474 | +60 11-5656 6774 | +601132027474 | +601156566774</x:v>
      </x:c>
      <x:c r="G1469" s="16" t="str">
        <x:v>+601132027474 | +601156566774 | +601132027474 | +601156566774</x:v>
      </x:c>
      <x:c r="H1469" s="16" t="str">
        <x:v>Excluded</x:v>
      </x:c>
      <x:c r="I1469" s="16" t="str">
        <x:v>Missing email</x:v>
      </x:c>
    </x:row>
    <x:row r="1470">
      <x:c r="A1470" s="16" t="n">
        <x:v>1467</x:v>
      </x:c>
      <x:c r="B1470" s="16" t="str">
        <x:v>BRo Langau</x:v>
      </x:c>
      <x:c r="C1470" s="16" t="str"/>
      <x:c r="D1470" s="16" t="str"/>
      <x:c r="E1470" s="16" t="str">
        <x:v>* myContacts</x:v>
      </x:c>
      <x:c r="F1470" s="16" t="str">
        <x:v>+60128284515</x:v>
      </x:c>
      <x:c r="G1470" s="16" t="str">
        <x:v>+60128284515</x:v>
      </x:c>
      <x:c r="H1470" s="16" t="str">
        <x:v>Excluded</x:v>
      </x:c>
      <x:c r="I1470" s="16" t="str">
        <x:v>Missing email</x:v>
      </x:c>
    </x:row>
    <x:row r="1471">
      <x:c r="A1471" s="16" t="n">
        <x:v>1468</x:v>
      </x:c>
      <x:c r="B1471" s="16" t="str">
        <x:v>Bro Yan</x:v>
      </x:c>
      <x:c r="C1471" s="16" t="str"/>
      <x:c r="D1471" s="16" t="str"/>
      <x:c r="E1471" s="16" t="str">
        <x:v>* myContacts</x:v>
      </x:c>
      <x:c r="F1471" s="16" t="str">
        <x:v>+60138981725</x:v>
      </x:c>
      <x:c r="G1471" s="16" t="str">
        <x:v>+60138981725</x:v>
      </x:c>
      <x:c r="H1471" s="16" t="str">
        <x:v>Excluded</x:v>
      </x:c>
      <x:c r="I1471" s="16" t="str">
        <x:v>Missing email</x:v>
      </x:c>
    </x:row>
    <x:row r="1472">
      <x:c r="A1472" s="16" t="n">
        <x:v>1469</x:v>
      </x:c>
      <x:c r="B1472" s="16" t="str">
        <x:v>Bro Zuhair Pomen Nissan</x:v>
      </x:c>
      <x:c r="C1472" s="16" t="str"/>
      <x:c r="D1472" s="16" t="str"/>
      <x:c r="E1472" s="16" t="str">
        <x:v>* myContacts</x:v>
      </x:c>
      <x:c r="F1472" s="16" t="str">
        <x:v>+60175665498</x:v>
      </x:c>
      <x:c r="G1472" s="16" t="str">
        <x:v>+60175665498</x:v>
      </x:c>
      <x:c r="H1472" s="16" t="str">
        <x:v>Excluded</x:v>
      </x:c>
      <x:c r="I1472" s="16" t="str">
        <x:v>Missing email</x:v>
      </x:c>
    </x:row>
    <x:row r="1473">
      <x:c r="A1473" s="16" t="n">
        <x:v>1470</x:v>
      </x:c>
      <x:c r="B1473" s="16" t="str">
        <x:v>broku ultra</x:v>
      </x:c>
      <x:c r="C1473" s="16" t="str"/>
      <x:c r="D1473" s="16" t="str"/>
      <x:c r="E1473" s="16" t="str">
        <x:v>* myContacts</x:v>
      </x:c>
      <x:c r="F1473" s="16" t="str">
        <x:v>+60 13-320 8620 | +60133208620</x:v>
      </x:c>
      <x:c r="G1473" s="16" t="str">
        <x:v>+60133208620 | +60133208620</x:v>
      </x:c>
      <x:c r="H1473" s="16" t="str">
        <x:v>Excluded</x:v>
      </x:c>
      <x:c r="I1473" s="16" t="str">
        <x:v>Missing email</x:v>
      </x:c>
    </x:row>
    <x:row r="1474">
      <x:c r="A1474" s="16" t="n">
        <x:v>1471</x:v>
      </x:c>
      <x:c r="B1474" s="16" t="str">
        <x:v>Brother Rozek</x:v>
      </x:c>
      <x:c r="C1474" s="16" t="str"/>
      <x:c r="D1474" s="16" t="str"/>
      <x:c r="E1474" s="16" t="str">
        <x:v>* myContacts</x:v>
      </x:c>
      <x:c r="F1474" s="16" t="str">
        <x:v>+60 10-337 6956 | +60103376956</x:v>
      </x:c>
      <x:c r="G1474" s="16" t="str">
        <x:v>+60103376956 | +60103376956</x:v>
      </x:c>
      <x:c r="H1474" s="16" t="str">
        <x:v>Excluded</x:v>
      </x:c>
      <x:c r="I1474" s="16" t="str">
        <x:v>Missing email</x:v>
      </x:c>
    </x:row>
    <x:row r="1475">
      <x:c r="A1475" s="16" t="n">
        <x:v>1472</x:v>
      </x:c>
      <x:c r="B1475" s="16" t="str">
        <x:v>BroZooL Webmaster</x:v>
      </x:c>
      <x:c r="C1475" s="16" t="str"/>
      <x:c r="D1475" s="16" t="str"/>
      <x:c r="E1475" s="16" t="str">
        <x:v>* myContacts</x:v>
      </x:c>
      <x:c r="F1475" s="16" t="str">
        <x:v>+60 10-303 2007 | +60103032007</x:v>
      </x:c>
      <x:c r="G1475" s="16" t="str">
        <x:v>+60103032007 | +60103032007</x:v>
      </x:c>
      <x:c r="H1475" s="16" t="str">
        <x:v>Excluded</x:v>
      </x:c>
      <x:c r="I1475" s="16" t="str">
        <x:v>Missing email</x:v>
      </x:c>
    </x:row>
    <x:row r="1476">
      <x:c r="A1476" s="16" t="n">
        <x:v>1473</x:v>
      </x:c>
      <x:c r="B1476" s="16" t="str">
        <x:v>Bryan LEE Porche Salesmen</x:v>
      </x:c>
      <x:c r="C1476" s="16" t="str"/>
      <x:c r="D1476" s="16" t="str"/>
      <x:c r="E1476" s="16" t="str">
        <x:v>* myContacts</x:v>
      </x:c>
      <x:c r="F1476" s="16" t="str">
        <x:v>+60 19-325 1827 | +60193251827</x:v>
      </x:c>
      <x:c r="G1476" s="16" t="str">
        <x:v>+60193251827 | +60193251827</x:v>
      </x:c>
      <x:c r="H1476" s="16" t="str">
        <x:v>Excluded</x:v>
      </x:c>
      <x:c r="I1476" s="16" t="str">
        <x:v>Missing email</x:v>
      </x:c>
    </x:row>
    <x:row r="1477">
      <x:c r="A1477" s="16" t="n">
        <x:v>1474</x:v>
      </x:c>
      <x:c r="B1477" s="16" t="str">
        <x:v>Bryan Tan</x:v>
      </x:c>
      <x:c r="C1477" s="16" t="str"/>
      <x:c r="D1477" s="16" t="str"/>
      <x:c r="E1477" s="16" t="str">
        <x:v>* myContacts</x:v>
      </x:c>
      <x:c r="F1477" s="16" t="str">
        <x:v>+60192620302</x:v>
      </x:c>
      <x:c r="G1477" s="16" t="str">
        <x:v>+60192620302</x:v>
      </x:c>
      <x:c r="H1477" s="16" t="str">
        <x:v>Excluded</x:v>
      </x:c>
      <x:c r="I1477" s="16" t="str">
        <x:v>Missing email</x:v>
      </x:c>
    </x:row>
    <x:row r="1478">
      <x:c r="A1478" s="16" t="n">
        <x:v>1475</x:v>
      </x:c>
      <x:c r="B1478" s="16" t="str">
        <x:v>Buchari Heri</x:v>
      </x:c>
      <x:c r="C1478" s="16" t="str"/>
      <x:c r="D1478" s="16" t="str"/>
      <x:c r="E1478" s="16" t="str">
        <x:v>* myContacts</x:v>
      </x:c>
      <x:c r="F1478" s="16" t="str">
        <x:v>+6282163886665</x:v>
      </x:c>
      <x:c r="G1478" s="16" t="str">
        <x:v>+6282163886665</x:v>
      </x:c>
      <x:c r="H1478" s="16" t="str">
        <x:v>Excluded</x:v>
      </x:c>
      <x:c r="I1478" s="16" t="str">
        <x:v>Missing email</x:v>
      </x:c>
    </x:row>
    <x:row r="1479">
      <x:c r="A1479" s="16" t="n">
        <x:v>1476</x:v>
      </x:c>
      <x:c r="B1479" s="16" t="str">
        <x:v>Buddy CHa GHalli</x:v>
      </x:c>
      <x:c r="C1479" s="16" t="str"/>
      <x:c r="D1479" s="16" t="str"/>
      <x:c r="E1479" s="16" t="str">
        <x:v>* myContacts</x:v>
      </x:c>
      <x:c r="F1479" s="16" t="str">
        <x:v>+601112609221</x:v>
      </x:c>
      <x:c r="G1479" s="16" t="str">
        <x:v>+601112609221</x:v>
      </x:c>
      <x:c r="H1479" s="16" t="str">
        <x:v>Excluded</x:v>
      </x:c>
      <x:c r="I1479" s="16" t="str">
        <x:v>Missing email</x:v>
      </x:c>
    </x:row>
    <x:row r="1480">
      <x:c r="A1480" s="16" t="n">
        <x:v>1477</x:v>
      </x:c>
      <x:c r="B1480" s="16" t="str">
        <x:v>buddy fariz bda accounting</x:v>
      </x:c>
      <x:c r="C1480" s="16" t="str"/>
      <x:c r="D1480" s="16" t="str"/>
      <x:c r="E1480" s="16" t="str">
        <x:v>* myContacts</x:v>
      </x:c>
      <x:c r="F1480" s="16" t="str">
        <x:v>012-290 3565 | +60122903565</x:v>
      </x:c>
      <x:c r="G1480" s="16" t="str">
        <x:v>+60122903565 | +60122903565</x:v>
      </x:c>
      <x:c r="H1480" s="16" t="str">
        <x:v>Excluded</x:v>
      </x:c>
      <x:c r="I1480" s="16" t="str">
        <x:v>Missing email</x:v>
      </x:c>
    </x:row>
    <x:row r="1481">
      <x:c r="A1481" s="16" t="n">
        <x:v>1478</x:v>
      </x:c>
      <x:c r="B1481" s="16" t="str">
        <x:v>Budgetkad Kahwin K. Kinabalu</x:v>
      </x:c>
      <x:c r="C1481" s="16" t="str"/>
      <x:c r="D1481" s="16" t="str"/>
      <x:c r="E1481" s="16" t="str">
        <x:v>* myContacts</x:v>
      </x:c>
      <x:c r="F1481" s="16" t="str">
        <x:v>+601118943850</x:v>
      </x:c>
      <x:c r="G1481" s="16" t="str">
        <x:v>+601118943850</x:v>
      </x:c>
      <x:c r="H1481" s="16" t="str">
        <x:v>Excluded</x:v>
      </x:c>
      <x:c r="I1481" s="16" t="str">
        <x:v>Missing email</x:v>
      </x:c>
    </x:row>
    <x:row r="1482">
      <x:c r="A1482" s="16" t="n">
        <x:v>1479</x:v>
      </x:c>
      <x:c r="B1482" s="16" t="str">
        <x:v>Budin as solihon</x:v>
      </x:c>
      <x:c r="C1482" s="16" t="str"/>
      <x:c r="D1482" s="16" t="str"/>
      <x:c r="E1482" s="16" t="str">
        <x:v>* myContacts</x:v>
      </x:c>
      <x:c r="F1482" s="16" t="str">
        <x:v>0133414142 | +60133414142</x:v>
      </x:c>
      <x:c r="G1482" s="16" t="str">
        <x:v>+60133414142 | +60133414142</x:v>
      </x:c>
      <x:c r="H1482" s="16" t="str">
        <x:v>Excluded</x:v>
      </x:c>
      <x:c r="I1482" s="16" t="str">
        <x:v>Missing email</x:v>
      </x:c>
    </x:row>
    <x:row r="1483">
      <x:c r="A1483" s="16" t="n">
        <x:v>1480</x:v>
      </x:c>
      <x:c r="B1483" s="16" t="str">
        <x:v>Bugis Benut</x:v>
      </x:c>
      <x:c r="C1483" s="16" t="str"/>
      <x:c r="D1483" s="16" t="str"/>
      <x:c r="E1483" s="16" t="str">
        <x:v>* myContacts</x:v>
      </x:c>
      <x:c r="F1483" s="16" t="str">
        <x:v>+60192498942</x:v>
      </x:c>
      <x:c r="G1483" s="16" t="str">
        <x:v>+60192498942</x:v>
      </x:c>
      <x:c r="H1483" s="16" t="str">
        <x:v>Excluded</x:v>
      </x:c>
      <x:c r="I1483" s="16" t="str">
        <x:v>Missing email</x:v>
      </x:c>
    </x:row>
    <x:row r="1484">
      <x:c r="A1484" s="16" t="n">
        <x:v>1481</x:v>
      </x:c>
      <x:c r="B1484" s="16" t="str">
        <x:v>Bujang Song</x:v>
      </x:c>
      <x:c r="C1484" s="16" t="str"/>
      <x:c r="D1484" s="16" t="str"/>
      <x:c r="E1484" s="16" t="str">
        <x:v>* myContacts</x:v>
      </x:c>
      <x:c r="F1484" s="16" t="str">
        <x:v>+60123173840</x:v>
      </x:c>
      <x:c r="G1484" s="16" t="str">
        <x:v>+60123173840</x:v>
      </x:c>
      <x:c r="H1484" s="16" t="str">
        <x:v>Excluded</x:v>
      </x:c>
      <x:c r="I1484" s="16" t="str">
        <x:v>Missing email</x:v>
      </x:c>
    </x:row>
    <x:row r="1485">
      <x:c r="A1485" s="16" t="n">
        <x:v>1482</x:v>
      </x:c>
      <x:c r="B1485" s="16" t="str">
        <x:v>Bujie NorAzidi Bin Taip</x:v>
      </x:c>
      <x:c r="C1485" s="16" t="str"/>
      <x:c r="D1485" s="16" t="str"/>
      <x:c r="E1485" s="16" t="str">
        <x:v>* myContacts</x:v>
      </x:c>
      <x:c r="F1485" s="16" t="str">
        <x:v>+60168254832</x:v>
      </x:c>
      <x:c r="G1485" s="16" t="str">
        <x:v>+60168254832</x:v>
      </x:c>
      <x:c r="H1485" s="16" t="str">
        <x:v>Excluded</x:v>
      </x:c>
      <x:c r="I1485" s="16" t="str">
        <x:v>Missing email</x:v>
      </x:c>
    </x:row>
    <x:row r="1486">
      <x:c r="A1486" s="16" t="n">
        <x:v>1483</x:v>
      </x:c>
      <x:c r="B1486" s="16" t="str">
        <x:v>Bukhari AGP</x:v>
      </x:c>
      <x:c r="C1486" s="16" t="str"/>
      <x:c r="D1486" s="16" t="str"/>
      <x:c r="E1486" s="16" t="str">
        <x:v>* myContacts</x:v>
      </x:c>
      <x:c r="F1486" s="16" t="str">
        <x:v>0192223434 | +60192223434</x:v>
      </x:c>
      <x:c r="G1486" s="16" t="str">
        <x:v>+60192223434 | +60192223434</x:v>
      </x:c>
      <x:c r="H1486" s="16" t="str">
        <x:v>Excluded</x:v>
      </x:c>
      <x:c r="I1486" s="16" t="str">
        <x:v>Missing email</x:v>
      </x:c>
    </x:row>
    <x:row r="1487">
      <x:c r="A1487" s="16" t="n">
        <x:v>1484</x:v>
      </x:c>
      <x:c r="B1487" s="16" t="str">
        <x:v>Bukhari Ramli STP</x:v>
      </x:c>
      <x:c r="C1487" s="16" t="str"/>
      <x:c r="D1487" s="16" t="str"/>
      <x:c r="E1487" s="16" t="str">
        <x:v>* myContacts</x:v>
      </x:c>
      <x:c r="F1487" s="16" t="str">
        <x:v>+60193644910</x:v>
      </x:c>
      <x:c r="G1487" s="16" t="str">
        <x:v>+60193644910</x:v>
      </x:c>
      <x:c r="H1487" s="16" t="str">
        <x:v>Excluded</x:v>
      </x:c>
      <x:c r="I1487" s="16" t="str">
        <x:v>Missing email</x:v>
      </x:c>
    </x:row>
    <x:row r="1488">
      <x:c r="A1488" s="16" t="n">
        <x:v>1485</x:v>
      </x:c>
      <x:c r="B1488" s="16" t="str">
        <x:v>Bulan Terang</x:v>
      </x:c>
      <x:c r="C1488" s="16" t="str"/>
      <x:c r="D1488" s="16" t="str"/>
      <x:c r="E1488" s="16" t="str">
        <x:v>* myContacts</x:v>
      </x:c>
      <x:c r="F1488" s="16" t="str">
        <x:v>+60125498285</x:v>
      </x:c>
      <x:c r="G1488" s="16" t="str">
        <x:v>+60125498285</x:v>
      </x:c>
      <x:c r="H1488" s="16" t="str">
        <x:v>Excluded</x:v>
      </x:c>
      <x:c r="I1488" s="16" t="str">
        <x:v>Missing email</x:v>
      </x:c>
    </x:row>
    <x:row r="1489">
      <x:c r="A1489" s="16" t="n">
        <x:v>1486</x:v>
      </x:c>
      <x:c r="B1489" s="16" t="str">
        <x:v>Bumi Merah</x:v>
      </x:c>
      <x:c r="C1489" s="16" t="str"/>
      <x:c r="D1489" s="16" t="str"/>
      <x:c r="E1489" s="16" t="str">
        <x:v>* myContacts</x:v>
      </x:c>
      <x:c r="F1489" s="16" t="str">
        <x:v>+60145645214</x:v>
      </x:c>
      <x:c r="G1489" s="16" t="str">
        <x:v>+60145645214</x:v>
      </x:c>
      <x:c r="H1489" s="16" t="str">
        <x:v>Excluded</x:v>
      </x:c>
      <x:c r="I1489" s="16" t="str">
        <x:v>Missing email</x:v>
      </x:c>
    </x:row>
    <x:row r="1490">
      <x:c r="A1490" s="16" t="n">
        <x:v>1487</x:v>
      </x:c>
      <x:c r="B1490" s="16" t="str">
        <x:v>Bumi Nilam</x:v>
      </x:c>
      <x:c r="C1490" s="16" t="str"/>
      <x:c r="D1490" s="16" t="str"/>
      <x:c r="E1490" s="16" t="str">
        <x:v>* myContacts</x:v>
      </x:c>
      <x:c r="F1490" s="16" t="str">
        <x:v>+60380669988</x:v>
      </x:c>
      <x:c r="G1490" s="16" t="str">
        <x:v>+60380669988</x:v>
      </x:c>
      <x:c r="H1490" s="16" t="str">
        <x:v>Excluded</x:v>
      </x:c>
      <x:c r="I1490" s="16" t="str">
        <x:v>Missing email</x:v>
      </x:c>
    </x:row>
    <x:row r="1491">
      <x:c r="A1491" s="16" t="n">
        <x:v>1488</x:v>
      </x:c>
      <x:c r="B1491" s="16" t="str">
        <x:v>Bundanya Aksa</x:v>
      </x:c>
      <x:c r="C1491" s="16" t="str"/>
      <x:c r="D1491" s="16" t="str"/>
      <x:c r="E1491" s="16" t="str">
        <x:v>* myContacts</x:v>
      </x:c>
      <x:c r="F1491" s="16" t="str">
        <x:v>+6285730188891</x:v>
      </x:c>
      <x:c r="G1491" s="16" t="str">
        <x:v>+6285730188891</x:v>
      </x:c>
      <x:c r="H1491" s="16" t="str">
        <x:v>Excluded</x:v>
      </x:c>
      <x:c r="I1491" s="16" t="str">
        <x:v>Missing email</x:v>
      </x:c>
    </x:row>
    <x:row r="1492">
      <x:c r="A1492" s="16" t="n">
        <x:v>1489</x:v>
      </x:c>
      <x:c r="B1492" s="16" t="str">
        <x:v>Bunga Alhamid</x:v>
      </x:c>
      <x:c r="C1492" s="16" t="str"/>
      <x:c r="D1492" s="16" t="str"/>
      <x:c r="E1492" s="16" t="str">
        <x:v>* myContacts</x:v>
      </x:c>
      <x:c r="F1492" s="16" t="str">
        <x:v>+6285245714975</x:v>
      </x:c>
      <x:c r="G1492" s="16" t="str">
        <x:v>+6285245714975</x:v>
      </x:c>
      <x:c r="H1492" s="16" t="str">
        <x:v>Excluded</x:v>
      </x:c>
      <x:c r="I1492" s="16" t="str">
        <x:v>Missing email</x:v>
      </x:c>
    </x:row>
    <x:row r="1493">
      <x:c r="A1493" s="16" t="n">
        <x:v>1490</x:v>
      </x:c>
      <x:c r="B1493" s="16" t="str">
        <x:v>Bunga Lalang</x:v>
      </x:c>
      <x:c r="C1493" s="16" t="str"/>
      <x:c r="D1493" s="16" t="str"/>
      <x:c r="E1493" s="16" t="str">
        <x:v>* myContacts</x:v>
      </x:c>
      <x:c r="F1493" s="16" t="str">
        <x:v>+60177007540</x:v>
      </x:c>
      <x:c r="G1493" s="16" t="str">
        <x:v>+60177007540</x:v>
      </x:c>
      <x:c r="H1493" s="16" t="str">
        <x:v>Excluded</x:v>
      </x:c>
      <x:c r="I1493" s="16" t="str">
        <x:v>Missing email</x:v>
      </x:c>
    </x:row>
    <x:row r="1494">
      <x:c r="A1494" s="16" t="n">
        <x:v>1491</x:v>
      </x:c>
      <x:c r="B1494" s="16" t="str">
        <x:v>Buni Tours-jogja</x:v>
      </x:c>
      <x:c r="C1494" s="16" t="str"/>
      <x:c r="D1494" s="16" t="str"/>
      <x:c r="E1494" s="16" t="str">
        <x:v>* myContacts</x:v>
      </x:c>
      <x:c r="F1494" s="16" t="str">
        <x:v>+622744580207</x:v>
      </x:c>
      <x:c r="G1494" s="16" t="str">
        <x:v>+622744580207</x:v>
      </x:c>
      <x:c r="H1494" s="16" t="str">
        <x:v>Excluded</x:v>
      </x:c>
      <x:c r="I1494" s="16" t="str">
        <x:v>Missing email</x:v>
      </x:c>
    </x:row>
    <x:row r="1495">
      <x:c r="A1495" s="16" t="n">
        <x:v>1492</x:v>
      </x:c>
      <x:c r="B1495" s="16" t="str">
        <x:v>Butik Bos</x:v>
      </x:c>
      <x:c r="C1495" s="16" t="str"/>
      <x:c r="D1495" s="16" t="str"/>
      <x:c r="E1495" s="16" t="str">
        <x:v>* myContacts</x:v>
      </x:c>
      <x:c r="F1495" s="16" t="str">
        <x:v>+60392820092</x:v>
      </x:c>
      <x:c r="G1495" s="16" t="str">
        <x:v>+60392820092</x:v>
      </x:c>
      <x:c r="H1495" s="16" t="str">
        <x:v>Excluded</x:v>
      </x:c>
      <x:c r="I1495" s="16" t="str">
        <x:v>Missing email</x:v>
      </x:c>
    </x:row>
    <x:row r="1496">
      <x:c r="A1496" s="16" t="n">
        <x:v>1493</x:v>
      </x:c>
      <x:c r="B1496" s="16" t="str">
        <x:v>Butik Pengantin</x:v>
      </x:c>
      <x:c r="C1496" s="16" t="str"/>
      <x:c r="D1496" s="16" t="str"/>
      <x:c r="E1496" s="16" t="str">
        <x:v>* myContacts</x:v>
      </x:c>
      <x:c r="F1496" s="16" t="str">
        <x:v>+60378321827</x:v>
      </x:c>
      <x:c r="G1496" s="16" t="str">
        <x:v>+60378321827</x:v>
      </x:c>
      <x:c r="H1496" s="16" t="str">
        <x:v>Excluded</x:v>
      </x:c>
      <x:c r="I1496" s="16" t="str">
        <x:v>Missing email</x:v>
      </x:c>
    </x:row>
    <x:row r="1497">
      <x:c r="A1497" s="16" t="n">
        <x:v>1494</x:v>
      </x:c>
      <x:c r="B1497" s="16" t="str">
        <x:v>Butik Pengantin Persada Impian</x:v>
      </x:c>
      <x:c r="C1497" s="16" t="str"/>
      <x:c r="D1497" s="16" t="str"/>
      <x:c r="E1497" s="16" t="str">
        <x:v>* myContacts</x:v>
      </x:c>
      <x:c r="F1497" s="16" t="str">
        <x:v>+60166445820</x:v>
      </x:c>
      <x:c r="G1497" s="16" t="str">
        <x:v>+60166445820</x:v>
      </x:c>
      <x:c r="H1497" s="16" t="str">
        <x:v>Excluded</x:v>
      </x:c>
      <x:c r="I1497" s="16" t="str">
        <x:v>Missing email</x:v>
      </x:c>
    </x:row>
    <x:row r="1498">
      <x:c r="A1498" s="16" t="n">
        <x:v>1495</x:v>
      </x:c>
      <x:c r="B1498" s="16" t="str">
        <x:v>Butik Saffana</x:v>
      </x:c>
      <x:c r="C1498" s="16" t="str"/>
      <x:c r="D1498" s="16" t="str"/>
      <x:c r="E1498" s="16" t="str">
        <x:v>* myContacts</x:v>
      </x:c>
      <x:c r="F1498" s="16" t="str">
        <x:v>+60331227360</x:v>
      </x:c>
      <x:c r="G1498" s="16" t="str">
        <x:v>+60331227360</x:v>
      </x:c>
      <x:c r="H1498" s="16" t="str">
        <x:v>Excluded</x:v>
      </x:c>
      <x:c r="I1498" s="16" t="str">
        <x:v>Missing email</x:v>
      </x:c>
    </x:row>
    <x:row r="1499">
      <x:c r="A1499" s="16" t="n">
        <x:v>1496</x:v>
      </x:c>
      <x:c r="B1499" s="16" t="str">
        <x:v>Butik Shahira Impian</x:v>
      </x:c>
      <x:c r="C1499" s="16" t="str"/>
      <x:c r="D1499" s="16" t="str"/>
      <x:c r="E1499" s="16" t="str">
        <x:v>* myContacts</x:v>
      </x:c>
      <x:c r="F1499" s="16" t="str">
        <x:v>+60127415899</x:v>
      </x:c>
      <x:c r="G1499" s="16" t="str">
        <x:v>+60127415899</x:v>
      </x:c>
      <x:c r="H1499" s="16" t="str">
        <x:v>Excluded</x:v>
      </x:c>
      <x:c r="I1499" s="16" t="str">
        <x:v>Missing email</x:v>
      </x:c>
    </x:row>
    <x:row r="1500">
      <x:c r="A1500" s="16" t="n">
        <x:v>1497</x:v>
      </x:c>
      <x:c r="B1500" s="16" t="str">
        <x:v>Butik Zalina Jazlynn</x:v>
      </x:c>
      <x:c r="C1500" s="16" t="str"/>
      <x:c r="D1500" s="16" t="str"/>
      <x:c r="E1500" s="16" t="str">
        <x:v>* myContacts</x:v>
      </x:c>
      <x:c r="F1500" s="16" t="str">
        <x:v>+60137174530</x:v>
      </x:c>
      <x:c r="G1500" s="16" t="str">
        <x:v>+60137174530</x:v>
      </x:c>
      <x:c r="H1500" s="16" t="str">
        <x:v>Excluded</x:v>
      </x:c>
      <x:c r="I1500" s="16" t="str">
        <x:v>Missing email</x:v>
      </x:c>
    </x:row>
    <x:row r="1501">
      <x:c r="A1501" s="16" t="n">
        <x:v>1498</x:v>
      </x:c>
      <x:c r="B1501" s="16" t="str">
        <x:v>C-kin Fudin Minah Klate</x:v>
      </x:c>
      <x:c r="C1501" s="16" t="str"/>
      <x:c r="D1501" s="16" t="str"/>
      <x:c r="E1501" s="16" t="str">
        <x:v>* myContacts</x:v>
      </x:c>
      <x:c r="F1501" s="16" t="str">
        <x:v>+60145357635</x:v>
      </x:c>
      <x:c r="G1501" s="16" t="str">
        <x:v>+60145357635</x:v>
      </x:c>
      <x:c r="H1501" s="16" t="str">
        <x:v>Excluded</x:v>
      </x:c>
      <x:c r="I1501" s="16" t="str">
        <x:v>Missing email</x:v>
      </x:c>
    </x:row>
    <x:row r="1502">
      <x:c r="A1502" s="16" t="n">
        <x:v>1499</x:v>
      </x:c>
      <x:c r="B1502" s="16" t="str">
        <x:v>Cadar Qin Rose</x:v>
      </x:c>
      <x:c r="C1502" s="16" t="str"/>
      <x:c r="D1502" s="16" t="str"/>
      <x:c r="E1502" s="16" t="str">
        <x:v>* myContacts</x:v>
      </x:c>
      <x:c r="F1502" s="16" t="str">
        <x:v>+60126017819</x:v>
      </x:c>
      <x:c r="G1502" s="16" t="str">
        <x:v>+60126017819</x:v>
      </x:c>
      <x:c r="H1502" s="16" t="str">
        <x:v>Excluded</x:v>
      </x:c>
      <x:c r="I1502" s="16" t="str">
        <x:v>Missing email</x:v>
      </x:c>
    </x:row>
    <x:row r="1503">
      <x:c r="A1503" s="16" t="n">
        <x:v>1500</x:v>
      </x:c>
      <x:c r="B1503" s="16" t="str">
        <x:v>Cahaya Aiza</x:v>
      </x:c>
      <x:c r="C1503" s="16" t="str"/>
      <x:c r="D1503" s="16" t="str"/>
      <x:c r="E1503" s="16" t="str">
        <x:v>* myContacts</x:v>
      </x:c>
      <x:c r="F1503" s="16" t="str">
        <x:v>+601123582746</x:v>
      </x:c>
      <x:c r="G1503" s="16" t="str">
        <x:v>+601123582746</x:v>
      </x:c>
      <x:c r="H1503" s="16" t="str">
        <x:v>Excluded</x:v>
      </x:c>
      <x:c r="I1503" s="16" t="str">
        <x:v>Missing email</x:v>
      </x:c>
    </x:row>
    <x:row r="1504">
      <x:c r="A1504" s="16" t="n">
        <x:v>1501</x:v>
      </x:c>
      <x:c r="B1504" s="16" t="str">
        <x:v>Cahaya Fisabillillah</x:v>
      </x:c>
      <x:c r="C1504" s="16" t="str"/>
      <x:c r="D1504" s="16" t="str"/>
      <x:c r="E1504" s="16" t="str">
        <x:v>* myContacts</x:v>
      </x:c>
      <x:c r="F1504" s="16" t="str">
        <x:v>+60196869181</x:v>
      </x:c>
      <x:c r="G1504" s="16" t="str">
        <x:v>+60196869181</x:v>
      </x:c>
      <x:c r="H1504" s="16" t="str">
        <x:v>Excluded</x:v>
      </x:c>
      <x:c r="I1504" s="16" t="str">
        <x:v>Missing email</x:v>
      </x:c>
    </x:row>
    <x:row r="1505">
      <x:c r="A1505" s="16" t="n">
        <x:v>1502</x:v>
      </x:c>
      <x:c r="B1505" s="16" t="str">
        <x:v>Cahaya Murni</x:v>
      </x:c>
      <x:c r="C1505" s="16" t="str"/>
      <x:c r="D1505" s="16" t="str"/>
      <x:c r="E1505" s="16" t="str">
        <x:v>* myContacts</x:v>
      </x:c>
      <x:c r="F1505" s="16" t="str">
        <x:v>+60124810947</x:v>
      </x:c>
      <x:c r="G1505" s="16" t="str">
        <x:v>+60124810947</x:v>
      </x:c>
      <x:c r="H1505" s="16" t="str">
        <x:v>Excluded</x:v>
      </x:c>
      <x:c r="I1505" s="16" t="str">
        <x:v>Missing email</x:v>
      </x:c>
    </x:row>
    <x:row r="1506">
      <x:c r="A1506" s="16" t="n">
        <x:v>1503</x:v>
      </x:c>
      <x:c r="B1506" s="16" t="str">
        <x:v>Cahaya Qaseh Shakirah</x:v>
      </x:c>
      <x:c r="C1506" s="16" t="str"/>
      <x:c r="D1506" s="16" t="str"/>
      <x:c r="E1506" s="16" t="str">
        <x:v>* myContacts</x:v>
      </x:c>
      <x:c r="F1506" s="16" t="str">
        <x:v>+601136127870</x:v>
      </x:c>
      <x:c r="G1506" s="16" t="str">
        <x:v>+601136127870</x:v>
      </x:c>
      <x:c r="H1506" s="16" t="str">
        <x:v>Excluded</x:v>
      </x:c>
      <x:c r="I1506" s="16" t="str">
        <x:v>Missing email</x:v>
      </x:c>
    </x:row>
    <x:row r="1507">
      <x:c r="A1507" s="16" t="n">
        <x:v>1504</x:v>
      </x:c>
      <x:c r="B1507" s="16" t="str">
        <x:v>Cailongkoi Koi</x:v>
      </x:c>
      <x:c r="C1507" s="16" t="str"/>
      <x:c r="D1507" s="16" t="str"/>
      <x:c r="E1507" s="16" t="str">
        <x:v>* myContacts</x:v>
      </x:c>
      <x:c r="F1507" s="16" t="str">
        <x:v>+601114435397</x:v>
      </x:c>
      <x:c r="G1507" s="16" t="str">
        <x:v>+601114435397</x:v>
      </x:c>
      <x:c r="H1507" s="16" t="str">
        <x:v>Excluded</x:v>
      </x:c>
      <x:c r="I1507" s="16" t="str">
        <x:v>Missing email</x:v>
      </x:c>
    </x:row>
    <x:row r="1508">
      <x:c r="A1508" s="16" t="n">
        <x:v>1505</x:v>
      </x:c>
      <x:c r="B1508" s="16" t="str">
        <x:v>Califf Rizal Otai</x:v>
      </x:c>
      <x:c r="C1508" s="16" t="str"/>
      <x:c r="D1508" s="16" t="str"/>
      <x:c r="E1508" s="16" t="str">
        <x:v>* myContacts</x:v>
      </x:c>
      <x:c r="F1508" s="16" t="str">
        <x:v>016-845 3989 | +60168453989</x:v>
      </x:c>
      <x:c r="G1508" s="16" t="str">
        <x:v>+60168453989 | +60168453989</x:v>
      </x:c>
      <x:c r="H1508" s="16" t="str">
        <x:v>Excluded</x:v>
      </x:c>
      <x:c r="I1508" s="16" t="str">
        <x:v>Missing email</x:v>
      </x:c>
    </x:row>
    <x:row r="1509">
      <x:c r="A1509" s="16" t="n">
        <x:v>1506</x:v>
      </x:c>
      <x:c r="B1509" s="16" t="str">
        <x:v>Caliphs Play</x:v>
      </x:c>
      <x:c r="C1509" s="16" t="str"/>
      <x:c r="D1509" s="16" t="str"/>
      <x:c r="E1509" s="16" t="str">
        <x:v>* myContacts</x:v>
      </x:c>
      <x:c r="F1509" s="16" t="str">
        <x:v>+601123041767</x:v>
      </x:c>
      <x:c r="G1509" s="16" t="str">
        <x:v>+601123041767</x:v>
      </x:c>
      <x:c r="H1509" s="16" t="str">
        <x:v>Excluded</x:v>
      </x:c>
      <x:c r="I1509" s="16" t="str">
        <x:v>Missing email</x:v>
      </x:c>
    </x:row>
    <x:row r="1510">
      <x:c r="A1510" s="16" t="n">
        <x:v>1507</x:v>
      </x:c>
      <x:c r="B1510" s="16" t="str">
        <x:v>Calyvn Eusahawan Trainer</x:v>
      </x:c>
      <x:c r="C1510" s="16" t="str"/>
      <x:c r="D1510" s="16" t="str"/>
      <x:c r="E1510" s="16" t="str">
        <x:v>Trainer | * myContacts</x:v>
      </x:c>
      <x:c r="F1510" s="16" t="str">
        <x:v>+60 16-438 3530 | +60164383530</x:v>
      </x:c>
      <x:c r="G1510" s="16" t="str">
        <x:v>+60164383530 | +60164383530</x:v>
      </x:c>
      <x:c r="H1510" s="16" t="str">
        <x:v>Excluded</x:v>
      </x:c>
      <x:c r="I1510" s="16" t="str">
        <x:v>Missing email</x:v>
      </x:c>
    </x:row>
    <x:row r="1511">
      <x:c r="A1511" s="16" t="n">
        <x:v>1508</x:v>
      </x:c>
      <x:c r="B1511" s="16" t="str">
        <x:v>Cameron Highlands Apartmants</x:v>
      </x:c>
      <x:c r="C1511" s="16" t="str"/>
      <x:c r="D1511" s="16" t="str"/>
      <x:c r="E1511" s="16" t="str">
        <x:v>* myContacts</x:v>
      </x:c>
      <x:c r="F1511" s="16" t="str">
        <x:v>+60134739698</x:v>
      </x:c>
      <x:c r="G1511" s="16" t="str">
        <x:v>+60134739698</x:v>
      </x:c>
      <x:c r="H1511" s="16" t="str">
        <x:v>Excluded</x:v>
      </x:c>
      <x:c r="I1511" s="16" t="str">
        <x:v>Missing email</x:v>
      </x:c>
    </x:row>
    <x:row r="1512">
      <x:c r="A1512" s="16" t="n">
        <x:v>1509</x:v>
      </x:c>
      <x:c r="B1512" s="16" t="str">
        <x:v>Camilo Gomez</x:v>
      </x:c>
      <x:c r="C1512" s="16" t="str"/>
      <x:c r="D1512" s="16" t="str"/>
      <x:c r="E1512" s="16" t="str">
        <x:v>* myContacts</x:v>
      </x:c>
      <x:c r="F1512" s="16" t="str">
        <x:v>+573203005723</x:v>
      </x:c>
      <x:c r="G1512" s="16" t="str">
        <x:v>+573203005723</x:v>
      </x:c>
      <x:c r="H1512" s="16" t="str">
        <x:v>Excluded</x:v>
      </x:c>
      <x:c r="I1512" s="16" t="str">
        <x:v>Missing email</x:v>
      </x:c>
    </x:row>
    <x:row r="1513">
      <x:c r="A1513" s="16" t="n">
        <x:v>1510</x:v>
      </x:c>
      <x:c r="B1513" s="16" t="str">
        <x:v>Candidate Agent Agp1</x:v>
      </x:c>
      <x:c r="C1513" s="16" t="str"/>
      <x:c r="D1513" s="16" t="str"/>
      <x:c r="E1513" s="16" t="str">
        <x:v>* myContacts</x:v>
      </x:c>
      <x:c r="F1513" s="16" t="str">
        <x:v>+60126676317</x:v>
      </x:c>
      <x:c r="G1513" s="16" t="str">
        <x:v>+60126676317</x:v>
      </x:c>
      <x:c r="H1513" s="16" t="str">
        <x:v>Excluded</x:v>
      </x:c>
      <x:c r="I1513" s="16" t="str">
        <x:v>Missing email</x:v>
      </x:c>
    </x:row>
    <x:row r="1514">
      <x:c r="A1514" s="16" t="n">
        <x:v>1511</x:v>
      </x:c>
      <x:c r="B1514" s="16" t="str">
        <x:v>Candidate Agent Agp2</x:v>
      </x:c>
      <x:c r="C1514" s="16" t="str"/>
      <x:c r="D1514" s="16" t="str"/>
      <x:c r="E1514" s="16" t="str">
        <x:v>* myContacts</x:v>
      </x:c>
      <x:c r="F1514" s="16" t="str">
        <x:v>+60164118876</x:v>
      </x:c>
      <x:c r="G1514" s="16" t="str">
        <x:v>+60164118876</x:v>
      </x:c>
      <x:c r="H1514" s="16" t="str">
        <x:v>Excluded</x:v>
      </x:c>
      <x:c r="I1514" s="16" t="str">
        <x:v>Missing email</x:v>
      </x:c>
    </x:row>
    <x:row r="1515">
      <x:c r="A1515" s="16" t="n">
        <x:v>1512</x:v>
      </x:c>
      <x:c r="B1515" s="16" t="str">
        <x:v>Candy Wax Kelantan</x:v>
      </x:c>
      <x:c r="C1515" s="16" t="str"/>
      <x:c r="D1515" s="16" t="str"/>
      <x:c r="E1515" s="16" t="str">
        <x:v>* myContacts</x:v>
      </x:c>
      <x:c r="F1515" s="16" t="str">
        <x:v>+601110710660</x:v>
      </x:c>
      <x:c r="G1515" s="16" t="str">
        <x:v>+601110710660</x:v>
      </x:c>
      <x:c r="H1515" s="16" t="str">
        <x:v>Excluded</x:v>
      </x:c>
      <x:c r="I1515" s="16" t="str">
        <x:v>Missing email</x:v>
      </x:c>
    </x:row>
    <x:row r="1516">
      <x:c r="A1516" s="16" t="n">
        <x:v>1513</x:v>
      </x:c>
      <x:c r="B1516" s="16" t="str">
        <x:v>Cantieque Collections</x:v>
      </x:c>
      <x:c r="C1516" s="16" t="str"/>
      <x:c r="D1516" s="16" t="str"/>
      <x:c r="E1516" s="16" t="str">
        <x:v>* myContacts</x:v>
      </x:c>
      <x:c r="F1516" s="16" t="str">
        <x:v>+60145346021</x:v>
      </x:c>
      <x:c r="G1516" s="16" t="str">
        <x:v>+60145346021</x:v>
      </x:c>
      <x:c r="H1516" s="16" t="str">
        <x:v>Excluded</x:v>
      </x:c>
      <x:c r="I1516" s="16" t="str">
        <x:v>Missing email</x:v>
      </x:c>
    </x:row>
    <x:row r="1517">
      <x:c r="A1517" s="16" t="n">
        <x:v>1514</x:v>
      </x:c>
      <x:c r="B1517" s="16" t="str">
        <x:v>caoch Hana Halim insken</x:v>
      </x:c>
      <x:c r="C1517" s="16" t="str"/>
      <x:c r="D1517" s="16" t="str"/>
      <x:c r="E1517" s="16" t="str">
        <x:v>Alumni INSKEN | * myContacts</x:v>
      </x:c>
      <x:c r="F1517" s="16" t="str">
        <x:v>+60 17-336 5821 | +60173365821</x:v>
      </x:c>
      <x:c r="G1517" s="16" t="str">
        <x:v>+60173365821 | +60173365821</x:v>
      </x:c>
      <x:c r="H1517" s="16" t="str">
        <x:v>Excluded</x:v>
      </x:c>
      <x:c r="I1517" s="16" t="str">
        <x:v>Missing email</x:v>
      </x:c>
    </x:row>
    <x:row r="1518">
      <x:c r="A1518" s="16" t="n">
        <x:v>1515</x:v>
      </x:c>
      <x:c r="B1518" s="16" t="str">
        <x:v>Captain shamsul md sapar</x:v>
      </x:c>
      <x:c r="C1518" s="16" t="str"/>
      <x:c r="D1518" s="16" t="str"/>
      <x:c r="E1518" s="16" t="str">
        <x:v>* myContacts</x:v>
      </x:c>
      <x:c r="F1518" s="16" t="str">
        <x:v>+60192702726</x:v>
      </x:c>
      <x:c r="G1518" s="16" t="str">
        <x:v>+60192702726</x:v>
      </x:c>
      <x:c r="H1518" s="16" t="str">
        <x:v>Excluded</x:v>
      </x:c>
      <x:c r="I1518" s="16" t="str">
        <x:v>Missing email</x:v>
      </x:c>
    </x:row>
    <x:row r="1519">
      <x:c r="A1519" s="16" t="n">
        <x:v>1516</x:v>
      </x:c>
      <x:c r="B1519" s="16" t="str">
        <x:v>Car King</x:v>
      </x:c>
      <x:c r="C1519" s="16" t="str"/>
      <x:c r="D1519" s="16" t="str"/>
      <x:c r="E1519" s="16" t="str">
        <x:v>* myContacts</x:v>
      </x:c>
      <x:c r="F1519" s="16" t="str">
        <x:v>+60183665884</x:v>
      </x:c>
      <x:c r="G1519" s="16" t="str">
        <x:v>+60183665884</x:v>
      </x:c>
      <x:c r="H1519" s="16" t="str">
        <x:v>Excluded</x:v>
      </x:c>
      <x:c r="I1519" s="16" t="str">
        <x:v>Missing email</x:v>
      </x:c>
    </x:row>
    <x:row r="1520">
      <x:c r="A1520" s="16" t="n">
        <x:v>1517</x:v>
      </x:c>
      <x:c r="B1520" s="16" t="str">
        <x:v>Carol Fung (Biz Digital)</x:v>
      </x:c>
      <x:c r="C1520" s="16" t="str"/>
      <x:c r="D1520" s="16" t="str"/>
      <x:c r="E1520" s="16" t="str">
        <x:v>* myContacts</x:v>
      </x:c>
      <x:c r="F1520" s="16" t="str">
        <x:v>+60 10-766 4140 | +60107664140</x:v>
      </x:c>
      <x:c r="G1520" s="16" t="str">
        <x:v>+60107664140 | +60107664140</x:v>
      </x:c>
      <x:c r="H1520" s="16" t="str">
        <x:v>Excluded</x:v>
      </x:c>
      <x:c r="I1520" s="16" t="str">
        <x:v>Missing email</x:v>
      </x:c>
    </x:row>
    <x:row r="1521">
      <x:c r="A1521" s="16" t="n">
        <x:v>1518</x:v>
      </x:c>
      <x:c r="B1521" s="16" t="str">
        <x:v>Casa Cita</x:v>
      </x:c>
      <x:c r="C1521" s="16" t="str"/>
      <x:c r="D1521" s="16" t="str"/>
      <x:c r="E1521" s="16" t="str">
        <x:v>* myContacts</x:v>
      </x:c>
      <x:c r="F1521" s="16" t="str">
        <x:v>+60123173418</x:v>
      </x:c>
      <x:c r="G1521" s="16" t="str">
        <x:v>+60123173418</x:v>
      </x:c>
      <x:c r="H1521" s="16" t="str">
        <x:v>Excluded</x:v>
      </x:c>
      <x:c r="I1521" s="16" t="str">
        <x:v>Missing email</x:v>
      </x:c>
    </x:row>
    <x:row r="1522">
      <x:c r="A1522" s="16" t="n">
        <x:v>1519</x:v>
      </x:c>
      <x:c r="B1522" s="16" t="str">
        <x:v>cat gen2 shahidul</x:v>
      </x:c>
      <x:c r="C1522" s="16" t="str"/>
      <x:c r="D1522" s="16" t="str"/>
      <x:c r="E1522" s="16" t="str">
        <x:v>* myContacts</x:v>
      </x:c>
      <x:c r="F1522" s="16" t="str">
        <x:v>+60 16-206 7061 | +60162067061</x:v>
      </x:c>
      <x:c r="G1522" s="16" t="str">
        <x:v>+60162067061 | +60162067061</x:v>
      </x:c>
      <x:c r="H1522" s="16" t="str">
        <x:v>Excluded</x:v>
      </x:c>
      <x:c r="I1522" s="16" t="str">
        <x:v>Missing email</x:v>
      </x:c>
    </x:row>
    <x:row r="1523">
      <x:c r="A1523" s="16" t="n">
        <x:v>1520</x:v>
      </x:c>
      <x:c r="B1523" s="16" t="str">
        <x:v>Cat Rumah Warna Bina</x:v>
      </x:c>
      <x:c r="C1523" s="16" t="str"/>
      <x:c r="D1523" s="16" t="str"/>
      <x:c r="E1523" s="16" t="str">
        <x:v>* myContacts</x:v>
      </x:c>
      <x:c r="F1523" s="16" t="str">
        <x:v>+601118772475</x:v>
      </x:c>
      <x:c r="G1523" s="16" t="str">
        <x:v>+601118772475</x:v>
      </x:c>
      <x:c r="H1523" s="16" t="str">
        <x:v>Excluded</x:v>
      </x:c>
      <x:c r="I1523" s="16" t="str">
        <x:v>Missing email</x:v>
      </x:c>
    </x:row>
    <x:row r="1524">
      <x:c r="A1524" s="16" t="n">
        <x:v>1521</x:v>
      </x:c>
      <x:c r="B1524" s="16" t="str">
        <x:v>Cate Lim Domain Specialist</x:v>
      </x:c>
      <x:c r="C1524" s="16" t="str"/>
      <x:c r="D1524" s="16" t="str"/>
      <x:c r="E1524" s="16" t="str">
        <x:v>* myContacts</x:v>
      </x:c>
      <x:c r="F1524" s="16" t="str">
        <x:v>+14255467769</x:v>
      </x:c>
      <x:c r="G1524" s="16" t="str">
        <x:v>+14255467769</x:v>
      </x:c>
      <x:c r="H1524" s="16" t="str">
        <x:v>Excluded</x:v>
      </x:c>
      <x:c r="I1524" s="16" t="str">
        <x:v>Missing email</x:v>
      </x:c>
    </x:row>
    <x:row r="1525">
      <x:c r="A1525" s="16" t="n">
        <x:v>1522</x:v>
      </x:c>
      <x:c r="B1525" s="16" t="str">
        <x:v>Catherine Chin Shim Yee</x:v>
      </x:c>
      <x:c r="C1525" s="16" t="str"/>
      <x:c r="D1525" s="16" t="str"/>
      <x:c r="E1525" s="16" t="str">
        <x:v>* myContacts</x:v>
      </x:c>
      <x:c r="F1525" s="16" t="str">
        <x:v>+6088611988</x:v>
      </x:c>
      <x:c r="G1525" s="16" t="str">
        <x:v>+6088611988</x:v>
      </x:c>
      <x:c r="H1525" s="16" t="str">
        <x:v>Excluded</x:v>
      </x:c>
      <x:c r="I1525" s="16" t="str">
        <x:v>Missing email</x:v>
      </x:c>
    </x:row>
    <x:row r="1526">
      <x:c r="A1526" s="16" t="n">
        <x:v>1523</x:v>
      </x:c>
      <x:c r="B1526" s="16" t="str">
        <x:v>Catherine Sawai</x:v>
      </x:c>
      <x:c r="C1526" s="16" t="str"/>
      <x:c r="D1526" s="16" t="str"/>
      <x:c r="E1526" s="16" t="str">
        <x:v>* myContacts</x:v>
      </x:c>
      <x:c r="F1526" s="16" t="str">
        <x:v>+60198393743</x:v>
      </x:c>
      <x:c r="G1526" s="16" t="str">
        <x:v>+60198393743</x:v>
      </x:c>
      <x:c r="H1526" s="16" t="str">
        <x:v>Excluded</x:v>
      </x:c>
      <x:c r="I1526" s="16" t="str">
        <x:v>Missing email</x:v>
      </x:c>
    </x:row>
    <x:row r="1527">
      <x:c r="A1527" s="16" t="n">
        <x:v>1524</x:v>
      </x:c>
      <x:c r="B1527" s="16" t="str">
        <x:v>Cathryna Madiwi</x:v>
      </x:c>
      <x:c r="C1527" s="16" t="str"/>
      <x:c r="D1527" s="16" t="str"/>
      <x:c r="E1527" s="16" t="str">
        <x:v>* myContacts</x:v>
      </x:c>
      <x:c r="F1527" s="16" t="str">
        <x:v>+60178032692</x:v>
      </x:c>
      <x:c r="G1527" s="16" t="str">
        <x:v>+60178032692</x:v>
      </x:c>
      <x:c r="H1527" s="16" t="str">
        <x:v>Excluded</x:v>
      </x:c>
      <x:c r="I1527" s="16" t="str">
        <x:v>Missing email</x:v>
      </x:c>
    </x:row>
    <x:row r="1528">
      <x:c r="A1528" s="16" t="n">
        <x:v>1525</x:v>
      </x:c>
      <x:c r="B1528" s="16" t="str">
        <x:v>Ceci H Kilus</x:v>
      </x:c>
      <x:c r="C1528" s="16" t="str"/>
      <x:c r="D1528" s="16" t="str"/>
      <x:c r="E1528" s="16" t="str">
        <x:v>* myContacts</x:v>
      </x:c>
      <x:c r="F1528" s="16" t="str">
        <x:v>+60109471189</x:v>
      </x:c>
      <x:c r="G1528" s="16" t="str">
        <x:v>+60109471189</x:v>
      </x:c>
      <x:c r="H1528" s="16" t="str">
        <x:v>Excluded</x:v>
      </x:c>
      <x:c r="I1528" s="16" t="str">
        <x:v>Missing email</x:v>
      </x:c>
    </x:row>
    <x:row r="1529">
      <x:c r="A1529" s="16" t="n">
        <x:v>1526</x:v>
      </x:c>
      <x:c r="B1529" s="16" t="str">
        <x:v>CEDAR Finance Ms Fairuz 🌻</x:v>
      </x:c>
      <x:c r="C1529" s="16" t="str"/>
      <x:c r="D1529" s="16" t="str"/>
      <x:c r="E1529" s="16" t="str">
        <x:v>* myContacts</x:v>
      </x:c>
      <x:c r="F1529" s="16" t="str">
        <x:v>+60102819504</x:v>
      </x:c>
      <x:c r="G1529" s="16" t="str">
        <x:v>+60102819504</x:v>
      </x:c>
      <x:c r="H1529" s="16" t="str">
        <x:v>Excluded</x:v>
      </x:c>
      <x:c r="I1529" s="16" t="str">
        <x:v>Missing email</x:v>
      </x:c>
    </x:row>
    <x:row r="1530">
      <x:c r="A1530" s="16" t="n">
        <x:v>1527</x:v>
      </x:c>
      <x:c r="B1530" s="16" t="str">
        <x:v>Cegie Joy Q. Torres</x:v>
      </x:c>
      <x:c r="C1530" s="16" t="str"/>
      <x:c r="D1530" s="16" t="str"/>
      <x:c r="E1530" s="16" t="str">
        <x:v>* myContacts</x:v>
      </x:c>
      <x:c r="F1530" s="16" t="str">
        <x:v>+601129987406</x:v>
      </x:c>
      <x:c r="G1530" s="16" t="str">
        <x:v>+601129987406</x:v>
      </x:c>
      <x:c r="H1530" s="16" t="str">
        <x:v>Excluded</x:v>
      </x:c>
      <x:c r="I1530" s="16" t="str">
        <x:v>Missing email</x:v>
      </x:c>
    </x:row>
    <x:row r="1531">
      <x:c r="A1531" s="16" t="n">
        <x:v>1528</x:v>
      </x:c>
      <x:c r="B1531" s="16" t="str">
        <x:v>Cek Lia</x:v>
      </x:c>
      <x:c r="C1531" s="16" t="str"/>
      <x:c r="D1531" s="16" t="str"/>
      <x:c r="E1531" s="16" t="str">
        <x:v>* myContacts</x:v>
      </x:c>
      <x:c r="F1531" s="16" t="str">
        <x:v>+60164845490</x:v>
      </x:c>
      <x:c r="G1531" s="16" t="str">
        <x:v>+60164845490</x:v>
      </x:c>
      <x:c r="H1531" s="16" t="str">
        <x:v>Excluded</x:v>
      </x:c>
      <x:c r="I1531" s="16" t="str">
        <x:v>Missing email</x:v>
      </x:c>
    </x:row>
    <x:row r="1532">
      <x:c r="A1532" s="16" t="n">
        <x:v>1529</x:v>
      </x:c>
      <x:c r="B1532" s="16" t="str">
        <x:v>Cekwea Conggo</x:v>
      </x:c>
      <x:c r="C1532" s="16" t="str"/>
      <x:c r="D1532" s="16" t="str"/>
      <x:c r="E1532" s="16" t="str">
        <x:v>* myContacts</x:v>
      </x:c>
      <x:c r="F1532" s="16" t="str">
        <x:v>+60133487281</x:v>
      </x:c>
      <x:c r="G1532" s="16" t="str">
        <x:v>+60133487281</x:v>
      </x:c>
      <x:c r="H1532" s="16" t="str">
        <x:v>Excluded</x:v>
      </x:c>
      <x:c r="I1532" s="16" t="str">
        <x:v>Missing email</x:v>
      </x:c>
    </x:row>
    <x:row r="1533">
      <x:c r="A1533" s="16" t="n">
        <x:v>1530</x:v>
      </x:c>
      <x:c r="B1533" s="16" t="str">
        <x:v>Cekyah Hamam</x:v>
      </x:c>
      <x:c r="C1533" s="16" t="str"/>
      <x:c r="D1533" s="16" t="str"/>
      <x:c r="E1533" s="16" t="str">
        <x:v>* myContacts</x:v>
      </x:c>
      <x:c r="F1533" s="16" t="str">
        <x:v>+601136157635</x:v>
      </x:c>
      <x:c r="G1533" s="16" t="str">
        <x:v>+601136157635</x:v>
      </x:c>
      <x:c r="H1533" s="16" t="str">
        <x:v>Excluded</x:v>
      </x:c>
      <x:c r="I1533" s="16" t="str">
        <x:v>Missing email</x:v>
      </x:c>
    </x:row>
    <x:row r="1534">
      <x:c r="A1534" s="16" t="n">
        <x:v>1531</x:v>
      </x:c>
      <x:c r="B1534" s="16" t="str"/>
      <x:c r="C1534" s="16" t="str"/>
      <x:c r="D1534" s="16" t="str"/>
      <x:c r="E1534" s="16" t="str">
        <x:v>* myContacts</x:v>
      </x:c>
      <x:c r="F1534" s="16" t="str">
        <x:v>celcom</x:v>
      </x:c>
      <x:c r="G1534" s="16" t="str"/>
      <x:c r="H1534" s="16" t="str">
        <x:v>Excluded</x:v>
      </x:c>
      <x:c r="I1534" s="16" t="str">
        <x:v>Missing name; Missing email</x:v>
      </x:c>
    </x:row>
    <x:row r="1535">
      <x:c r="A1535" s="16" t="n">
        <x:v>1532</x:v>
      </x:c>
      <x:c r="B1535" s="16" t="str">
        <x:v>celebriti fitness trainer</x:v>
      </x:c>
      <x:c r="C1535" s="16" t="str"/>
      <x:c r="D1535" s="16" t="str"/>
      <x:c r="E1535" s="16" t="str">
        <x:v>Trainer | * myContacts</x:v>
      </x:c>
      <x:c r="F1535" s="16" t="str">
        <x:v>+60 11-5238 8483 | +601152388483</x:v>
      </x:c>
      <x:c r="G1535" s="16" t="str">
        <x:v>+601152388483 | +601152388483</x:v>
      </x:c>
      <x:c r="H1535" s="16" t="str">
        <x:v>Excluded</x:v>
      </x:c>
      <x:c r="I1535" s="16" t="str">
        <x:v>Missing email</x:v>
      </x:c>
    </x:row>
    <x:row r="1536">
      <x:c r="A1536" s="16" t="n">
        <x:v>1533</x:v>
      </x:c>
      <x:c r="B1536" s="16" t="str">
        <x:v>Cemara Salju</x:v>
      </x:c>
      <x:c r="C1536" s="16" t="str"/>
      <x:c r="D1536" s="16" t="str"/>
      <x:c r="E1536" s="16" t="str">
        <x:v>* myContacts</x:v>
      </x:c>
      <x:c r="F1536" s="16" t="str">
        <x:v>+60179729113</x:v>
      </x:c>
      <x:c r="G1536" s="16" t="str">
        <x:v>+60179729113</x:v>
      </x:c>
      <x:c r="H1536" s="16" t="str">
        <x:v>Excluded</x:v>
      </x:c>
      <x:c r="I1536" s="16" t="str">
        <x:v>Missing email</x:v>
      </x:c>
    </x:row>
    <x:row r="1537">
      <x:c r="A1537" s="16" t="n">
        <x:v>1534</x:v>
      </x:c>
      <x:c r="B1537" s="16" t="str">
        <x:v>Cempaka Eqin</x:v>
      </x:c>
      <x:c r="C1537" s="16" t="str"/>
      <x:c r="D1537" s="16" t="str"/>
      <x:c r="E1537" s="16" t="str">
        <x:v>* myContacts</x:v>
      </x:c>
      <x:c r="F1537" s="16" t="str">
        <x:v>+60189066254</x:v>
      </x:c>
      <x:c r="G1537" s="16" t="str">
        <x:v>+60189066254</x:v>
      </x:c>
      <x:c r="H1537" s="16" t="str">
        <x:v>Excluded</x:v>
      </x:c>
      <x:c r="I1537" s="16" t="str">
        <x:v>Missing email</x:v>
      </x:c>
    </x:row>
    <x:row r="1538">
      <x:c r="A1538" s="16" t="n">
        <x:v>1535</x:v>
      </x:c>
      <x:c r="B1538" s="16" t="str">
        <x:v>Cendoll Maness</x:v>
      </x:c>
      <x:c r="C1538" s="16" t="str"/>
      <x:c r="D1538" s="16" t="str"/>
      <x:c r="E1538" s="16" t="str">
        <x:v>* myContacts</x:v>
      </x:c>
      <x:c r="F1538" s="16" t="str">
        <x:v>+601114420474</x:v>
      </x:c>
      <x:c r="G1538" s="16" t="str">
        <x:v>+601114420474</x:v>
      </x:c>
      <x:c r="H1538" s="16" t="str">
        <x:v>Excluded</x:v>
      </x:c>
      <x:c r="I1538" s="16" t="str">
        <x:v>Missing email</x:v>
      </x:c>
    </x:row>
    <x:row r="1539">
      <x:c r="A1539" s="16" t="n">
        <x:v>1536</x:v>
      </x:c>
      <x:c r="B1539" s="16" t="str">
        <x:v>Cerita Rakyat Crm</x:v>
      </x:c>
      <x:c r="C1539" s="16" t="str"/>
      <x:c r="D1539" s="16" t="str"/>
      <x:c r="E1539" s="16" t="str">
        <x:v>* myContacts</x:v>
      </x:c>
      <x:c r="F1539" s="16" t="str">
        <x:v>+60133801773</x:v>
      </x:c>
      <x:c r="G1539" s="16" t="str">
        <x:v>+60133801773</x:v>
      </x:c>
      <x:c r="H1539" s="16" t="str">
        <x:v>Excluded</x:v>
      </x:c>
      <x:c r="I1539" s="16" t="str">
        <x:v>Missing email</x:v>
      </x:c>
    </x:row>
    <x:row r="1540">
      <x:c r="A1540" s="16" t="n">
        <x:v>1537</x:v>
      </x:c>
      <x:c r="B1540" s="16" t="str">
        <x:v>Cetak Baju Jer</x:v>
      </x:c>
      <x:c r="C1540" s="16" t="str"/>
      <x:c r="D1540" s="16" t="str"/>
      <x:c r="E1540" s="16" t="str">
        <x:v>* myContacts</x:v>
      </x:c>
      <x:c r="F1540" s="16" t="str">
        <x:v>+60199246361</x:v>
      </x:c>
      <x:c r="G1540" s="16" t="str">
        <x:v>+60199246361</x:v>
      </x:c>
      <x:c r="H1540" s="16" t="str">
        <x:v>Excluded</x:v>
      </x:c>
      <x:c r="I1540" s="16" t="str">
        <x:v>Missing email</x:v>
      </x:c>
    </x:row>
    <x:row r="1541">
      <x:c r="A1541" s="16" t="n">
        <x:v>1538</x:v>
      </x:c>
      <x:c r="B1541" s="16" t="str">
        <x:v>Cetak Baju Kapar</x:v>
      </x:c>
      <x:c r="C1541" s="16" t="str"/>
      <x:c r="D1541" s="16" t="str"/>
      <x:c r="E1541" s="16" t="str">
        <x:v>* myContacts</x:v>
      </x:c>
      <x:c r="F1541" s="16" t="str">
        <x:v>+60142666216</x:v>
      </x:c>
      <x:c r="G1541" s="16" t="str">
        <x:v>+60142666216</x:v>
      </x:c>
      <x:c r="H1541" s="16" t="str">
        <x:v>Excluded</x:v>
      </x:c>
      <x:c r="I1541" s="16" t="str">
        <x:v>Missing email</x:v>
      </x:c>
    </x:row>
    <x:row r="1542">
      <x:c r="A1542" s="16" t="n">
        <x:v>1539</x:v>
      </x:c>
      <x:c r="B1542" s="16" t="str">
        <x:v>Ch Nemat Ali</x:v>
      </x:c>
      <x:c r="C1542" s="16" t="str"/>
      <x:c r="D1542" s="16" t="str"/>
      <x:c r="E1542" s="16" t="str">
        <x:v>* myContacts</x:v>
      </x:c>
      <x:c r="F1542" s="16" t="str">
        <x:v>+923464505645</x:v>
      </x:c>
      <x:c r="G1542" s="16" t="str">
        <x:v>+923464505645</x:v>
      </x:c>
      <x:c r="H1542" s="16" t="str">
        <x:v>Excluded</x:v>
      </x:c>
      <x:c r="I1542" s="16" t="str">
        <x:v>Missing email</x:v>
      </x:c>
    </x:row>
    <x:row r="1543">
      <x:c r="A1543" s="16" t="n">
        <x:v>1540</x:v>
      </x:c>
      <x:c r="B1543" s="16" t="str">
        <x:v>Chah</x:v>
      </x:c>
      <x:c r="C1543" s="16" t="str"/>
      <x:c r="D1543" s="16" t="str"/>
      <x:c r="E1543" s="16" t="str">
        <x:v>* myContacts</x:v>
      </x:c>
      <x:c r="F1543" s="16" t="str">
        <x:v>+60 13-979 9978 | +60139799978</x:v>
      </x:c>
      <x:c r="G1543" s="16" t="str">
        <x:v>+60139799978 | +60139799978</x:v>
      </x:c>
      <x:c r="H1543" s="16" t="str">
        <x:v>Excluded</x:v>
      </x:c>
      <x:c r="I1543" s="16" t="str">
        <x:v>Missing email</x:v>
      </x:c>
    </x:row>
    <x:row r="1544">
      <x:c r="A1544" s="16" t="n">
        <x:v>1541</x:v>
      </x:c>
      <x:c r="B1544" s="16" t="str">
        <x:v>Chan Kit Kheong</x:v>
      </x:c>
      <x:c r="C1544" s="16" t="str">
        <x:v>kitkheong@kitkheong.com</x:v>
      </x:c>
      <x:c r="D1544" s="16" t="str">
        <x:v>kitkheong@kitkheong.com</x:v>
      </x:c>
      <x:c r="E1544" s="16" t="str">
        <x:v>* myContacts</x:v>
      </x:c>
      <x:c r="F1544" s="16" t="str">
        <x:v>60164420851 | 60391338571 | +60164420851 | 60391338571</x:v>
      </x:c>
      <x:c r="G1544" s="16" t="str">
        <x:v>+60164420851 | +60391338571 | +60164420851 | +60391338571</x:v>
      </x:c>
      <x:c r="H1544" s="16" t="str">
        <x:v>Eligible</x:v>
      </x:c>
      <x:c r="I1544" s="16" t="str"/>
    </x:row>
    <x:row r="1545">
      <x:c r="A1545" s="16" t="n">
        <x:v>1542</x:v>
      </x:c>
      <x:c r="B1545" s="16" t="str">
        <x:v>Chandramukee Veerabadran</x:v>
      </x:c>
      <x:c r="C1545" s="16" t="str"/>
      <x:c r="D1545" s="16" t="str"/>
      <x:c r="E1545" s="16" t="str">
        <x:v>* myContacts</x:v>
      </x:c>
      <x:c r="F1545" s="16" t="str">
        <x:v>+60136393854</x:v>
      </x:c>
      <x:c r="G1545" s="16" t="str">
        <x:v>+60136393854</x:v>
      </x:c>
      <x:c r="H1545" s="16" t="str">
        <x:v>Excluded</x:v>
      </x:c>
      <x:c r="I1545" s="16" t="str">
        <x:v>Missing email</x:v>
      </x:c>
    </x:row>
    <x:row r="1546">
      <x:c r="A1546" s="16" t="n">
        <x:v>1543</x:v>
      </x:c>
      <x:c r="B1546" s="16" t="str">
        <x:v>Chantique Riana</x:v>
      </x:c>
      <x:c r="C1546" s="16" t="str"/>
      <x:c r="D1546" s="16" t="str"/>
      <x:c r="E1546" s="16" t="str">
        <x:v>* myContacts</x:v>
      </x:c>
      <x:c r="F1546" s="16" t="str">
        <x:v>+60174103736</x:v>
      </x:c>
      <x:c r="G1546" s="16" t="str">
        <x:v>+60174103736</x:v>
      </x:c>
      <x:c r="H1546" s="16" t="str">
        <x:v>Excluded</x:v>
      </x:c>
      <x:c r="I1546" s="16" t="str">
        <x:v>Missing email</x:v>
      </x:c>
    </x:row>
    <x:row r="1547">
      <x:c r="A1547" s="16" t="n">
        <x:v>1544</x:v>
      </x:c>
      <x:c r="B1547" s="16" t="str">
        <x:v>Charail Junaede</x:v>
      </x:c>
      <x:c r="C1547" s="16" t="str"/>
      <x:c r="D1547" s="16" t="str"/>
      <x:c r="E1547" s="16" t="str">
        <x:v>* myContacts</x:v>
      </x:c>
      <x:c r="F1547" s="16" t="str">
        <x:v>+60168046009</x:v>
      </x:c>
      <x:c r="G1547" s="16" t="str">
        <x:v>+60168046009</x:v>
      </x:c>
      <x:c r="H1547" s="16" t="str">
        <x:v>Excluded</x:v>
      </x:c>
      <x:c r="I1547" s="16" t="str">
        <x:v>Missing email</x:v>
      </x:c>
    </x:row>
    <x:row r="1548">
      <x:c r="A1548" s="16" t="n">
        <x:v>1545</x:v>
      </x:c>
      <x:c r="B1548" s="16" t="str">
        <x:v>Charin Perodua</x:v>
      </x:c>
      <x:c r="C1548" s="16" t="str"/>
      <x:c r="D1548" s="16" t="str"/>
      <x:c r="E1548" s="16" t="str">
        <x:v>* myContacts</x:v>
      </x:c>
      <x:c r="F1548" s="16" t="str">
        <x:v>+60183938606</x:v>
      </x:c>
      <x:c r="G1548" s="16" t="str">
        <x:v>+60183938606</x:v>
      </x:c>
      <x:c r="H1548" s="16" t="str">
        <x:v>Excluded</x:v>
      </x:c>
      <x:c r="I1548" s="16" t="str">
        <x:v>Missing email</x:v>
      </x:c>
    </x:row>
    <x:row r="1549">
      <x:c r="A1549" s="16" t="n">
        <x:v>1546</x:v>
      </x:c>
      <x:c r="B1549" s="16" t="str">
        <x:v>Charles Gaini Gagau AGP</x:v>
      </x:c>
      <x:c r="C1549" s="16" t="str"/>
      <x:c r="D1549" s="16" t="str"/>
      <x:c r="E1549" s="16" t="str">
        <x:v>* myContacts</x:v>
      </x:c>
      <x:c r="F1549" s="16" t="str">
        <x:v>+60 16-837 6445 | +60168376445</x:v>
      </x:c>
      <x:c r="G1549" s="16" t="str">
        <x:v>+60168376445 | +60168376445</x:v>
      </x:c>
      <x:c r="H1549" s="16" t="str">
        <x:v>Excluded</x:v>
      </x:c>
      <x:c r="I1549" s="16" t="str">
        <x:v>Missing email</x:v>
      </x:c>
    </x:row>
    <x:row r="1550">
      <x:c r="A1550" s="16" t="n">
        <x:v>1547</x:v>
      </x:c>
      <x:c r="B1550" s="16" t="str">
        <x:v>charles Gregory mdec trainer</x:v>
      </x:c>
      <x:c r="C1550" s="16" t="str"/>
      <x:c r="D1550" s="16" t="str"/>
      <x:c r="E1550" s="16" t="str">
        <x:v>Trainer | * myContacts</x:v>
      </x:c>
      <x:c r="F1550" s="16" t="str">
        <x:v>+60 19-475 1379 | +60194751379</x:v>
      </x:c>
      <x:c r="G1550" s="16" t="str">
        <x:v>+60194751379 | +60194751379</x:v>
      </x:c>
      <x:c r="H1550" s="16" t="str">
        <x:v>Excluded</x:v>
      </x:c>
      <x:c r="I1550" s="16" t="str">
        <x:v>Missing email</x:v>
      </x:c>
    </x:row>
    <x:row r="1551">
      <x:c r="A1551" s="16" t="n">
        <x:v>1548</x:v>
      </x:c>
      <x:c r="B1551" s="16" t="str">
        <x:v>Charms Starglow Arinna</x:v>
      </x:c>
      <x:c r="C1551" s="16" t="str"/>
      <x:c r="D1551" s="16" t="str"/>
      <x:c r="E1551" s="16" t="str">
        <x:v>* myContacts</x:v>
      </x:c>
      <x:c r="F1551" s="16" t="str">
        <x:v>+601121158023</x:v>
      </x:c>
      <x:c r="G1551" s="16" t="str">
        <x:v>+601121158023</x:v>
      </x:c>
      <x:c r="H1551" s="16" t="str">
        <x:v>Excluded</x:v>
      </x:c>
      <x:c r="I1551" s="16" t="str">
        <x:v>Missing email</x:v>
      </x:c>
    </x:row>
    <x:row r="1552">
      <x:c r="A1552" s="16" t="n">
        <x:v>1549</x:v>
      </x:c>
      <x:c r="B1552" s="16" t="str">
        <x:v>Charwin Win</x:v>
      </x:c>
      <x:c r="C1552" s="16" t="str"/>
      <x:c r="D1552" s="16" t="str"/>
      <x:c r="E1552" s="16" t="str">
        <x:v>* myContacts</x:v>
      </x:c>
      <x:c r="F1552" s="16" t="str">
        <x:v>+60178966064</x:v>
      </x:c>
      <x:c r="G1552" s="16" t="str">
        <x:v>+60178966064</x:v>
      </x:c>
      <x:c r="H1552" s="16" t="str">
        <x:v>Excluded</x:v>
      </x:c>
      <x:c r="I1552" s="16" t="str">
        <x:v>Missing email</x:v>
      </x:c>
    </x:row>
    <x:row r="1553">
      <x:c r="A1553" s="16" t="n">
        <x:v>1550</x:v>
      </x:c>
      <x:c r="B1553" s="16" t="str">
        <x:v>Che An</x:v>
      </x:c>
      <x:c r="C1553" s="16" t="str"/>
      <x:c r="D1553" s="16" t="str"/>
      <x:c r="E1553" s="16" t="str">
        <x:v>* myContacts</x:v>
      </x:c>
      <x:c r="F1553" s="16" t="str">
        <x:v>+601117675393</x:v>
      </x:c>
      <x:c r="G1553" s="16" t="str">
        <x:v>+601117675393</x:v>
      </x:c>
      <x:c r="H1553" s="16" t="str">
        <x:v>Excluded</x:v>
      </x:c>
      <x:c r="I1553" s="16" t="str">
        <x:v>Missing email</x:v>
      </x:c>
    </x:row>
    <x:row r="1554">
      <x:c r="A1554" s="16" t="n">
        <x:v>1551</x:v>
      </x:c>
      <x:c r="B1554" s="16" t="str">
        <x:v>Che Asna</x:v>
      </x:c>
      <x:c r="C1554" s="16" t="str"/>
      <x:c r="D1554" s="16" t="str"/>
      <x:c r="E1554" s="16" t="str">
        <x:v>* myContacts</x:v>
      </x:c>
      <x:c r="F1554" s="16" t="str">
        <x:v>+60107832155</x:v>
      </x:c>
      <x:c r="G1554" s="16" t="str">
        <x:v>+60107832155</x:v>
      </x:c>
      <x:c r="H1554" s="16" t="str">
        <x:v>Excluded</x:v>
      </x:c>
      <x:c r="I1554" s="16" t="str">
        <x:v>Missing email</x:v>
      </x:c>
    </x:row>
    <x:row r="1555">
      <x:c r="A1555" s="16" t="n">
        <x:v>1552</x:v>
      </x:c>
      <x:c r="B1555" s="16" t="str">
        <x:v>Che Mahzom Man</x:v>
      </x:c>
      <x:c r="C1555" s="16" t="str"/>
      <x:c r="D1555" s="16" t="str"/>
      <x:c r="E1555" s="16" t="str">
        <x:v>* myContacts</x:v>
      </x:c>
      <x:c r="F1555" s="16" t="str">
        <x:v>+601123234609</x:v>
      </x:c>
      <x:c r="G1555" s="16" t="str">
        <x:v>+601123234609</x:v>
      </x:c>
      <x:c r="H1555" s="16" t="str">
        <x:v>Excluded</x:v>
      </x:c>
      <x:c r="I1555" s="16" t="str">
        <x:v>Missing email</x:v>
      </x:c>
    </x:row>
    <x:row r="1556">
      <x:c r="A1556" s="16" t="n">
        <x:v>1553</x:v>
      </x:c>
      <x:c r="B1556" s="16" t="str">
        <x:v>Che Nurul Ain</x:v>
      </x:c>
      <x:c r="C1556" s="16" t="str"/>
      <x:c r="D1556" s="16" t="str"/>
      <x:c r="E1556" s="16" t="str">
        <x:v>* myContacts</x:v>
      </x:c>
      <x:c r="F1556" s="16" t="str">
        <x:v>+601129122615</x:v>
      </x:c>
      <x:c r="G1556" s="16" t="str">
        <x:v>+601129122615</x:v>
      </x:c>
      <x:c r="H1556" s="16" t="str">
        <x:v>Excluded</x:v>
      </x:c>
      <x:c r="I1556" s="16" t="str">
        <x:v>Missing email</x:v>
      </x:c>
    </x:row>
    <x:row r="1557">
      <x:c r="A1557" s="16" t="n">
        <x:v>1554</x:v>
      </x:c>
      <x:c r="B1557" s="16" t="str">
        <x:v>Che Pah Al-Athoz</x:v>
      </x:c>
      <x:c r="C1557" s="16" t="str"/>
      <x:c r="D1557" s="16" t="str"/>
      <x:c r="E1557" s="16" t="str">
        <x:v>* myContacts</x:v>
      </x:c>
      <x:c r="F1557" s="16" t="str">
        <x:v>+60177028294</x:v>
      </x:c>
      <x:c r="G1557" s="16" t="str">
        <x:v>+60177028294</x:v>
      </x:c>
      <x:c r="H1557" s="16" t="str">
        <x:v>Excluded</x:v>
      </x:c>
      <x:c r="I1557" s="16" t="str">
        <x:v>Missing email</x:v>
      </x:c>
    </x:row>
    <x:row r="1558">
      <x:c r="A1558" s="16" t="n">
        <x:v>1555</x:v>
      </x:c>
      <x:c r="B1558" s="16" t="str">
        <x:v>Che Pah NZ</x:v>
      </x:c>
      <x:c r="C1558" s="16" t="str"/>
      <x:c r="D1558" s="16" t="str"/>
      <x:c r="E1558" s="16" t="str">
        <x:v>* myContacts</x:v>
      </x:c>
      <x:c r="F1558" s="16" t="str">
        <x:v>018-252 7298 | +60182527298 | +64 210 690 943</x:v>
      </x:c>
      <x:c r="G1558" s="16" t="str">
        <x:v>+60182527298 | +60182527298 | +64210690943</x:v>
      </x:c>
      <x:c r="H1558" s="16" t="str">
        <x:v>Excluded</x:v>
      </x:c>
      <x:c r="I1558" s="16" t="str">
        <x:v>Missing email</x:v>
      </x:c>
    </x:row>
    <x:row r="1559">
      <x:c r="A1559" s="16" t="n">
        <x:v>1556</x:v>
      </x:c>
      <x:c r="B1559" s="16" t="str">
        <x:v>Che Rossli</x:v>
      </x:c>
      <x:c r="C1559" s="16" t="str"/>
      <x:c r="D1559" s="16" t="str"/>
      <x:c r="E1559" s="16" t="str">
        <x:v>* myContacts</x:v>
      </x:c>
      <x:c r="F1559" s="16" t="str">
        <x:v>+60148348708</x:v>
      </x:c>
      <x:c r="G1559" s="16" t="str">
        <x:v>+60148348708</x:v>
      </x:c>
      <x:c r="H1559" s="16" t="str">
        <x:v>Excluded</x:v>
      </x:c>
      <x:c r="I1559" s="16" t="str">
        <x:v>Missing email</x:v>
      </x:c>
    </x:row>
    <x:row r="1560">
      <x:c r="A1560" s="16" t="n">
        <x:v>1557</x:v>
      </x:c>
      <x:c r="B1560" s="16" t="str">
        <x:v>CheDin Technical Institute</x:v>
      </x:c>
      <x:c r="C1560" s="16" t="str"/>
      <x:c r="D1560" s="16" t="str"/>
      <x:c r="E1560" s="16" t="str">
        <x:v>* myContacts</x:v>
      </x:c>
      <x:c r="F1560" s="16" t="str">
        <x:v>+60 19-668 9667 | +60196689667</x:v>
      </x:c>
      <x:c r="G1560" s="16" t="str">
        <x:v>+60196689667 | +60196689667</x:v>
      </x:c>
      <x:c r="H1560" s="16" t="str">
        <x:v>Excluded</x:v>
      </x:c>
      <x:c r="I1560" s="16" t="str">
        <x:v>Missing email</x:v>
      </x:c>
    </x:row>
    <x:row r="1561">
      <x:c r="A1561" s="16" t="n">
        <x:v>1558</x:v>
      </x:c>
      <x:c r="B1561" s="16" t="str">
        <x:v>Chee Keong Yip</x:v>
      </x:c>
      <x:c r="C1561" s="16" t="str"/>
      <x:c r="D1561" s="16" t="str"/>
      <x:c r="E1561" s="16" t="str">
        <x:v>* myContacts</x:v>
      </x:c>
      <x:c r="F1561" s="16" t="str">
        <x:v>+60123987868</x:v>
      </x:c>
      <x:c r="G1561" s="16" t="str">
        <x:v>+60123987868</x:v>
      </x:c>
      <x:c r="H1561" s="16" t="str">
        <x:v>Excluded</x:v>
      </x:c>
      <x:c r="I1561" s="16" t="str">
        <x:v>Missing email</x:v>
      </x:c>
    </x:row>
    <x:row r="1562">
      <x:c r="A1562" s="16" t="n">
        <x:v>1559</x:v>
      </x:c>
      <x:c r="B1562" s="16" t="str">
        <x:v>Chef Apek Tow Truck</x:v>
      </x:c>
      <x:c r="C1562" s="16" t="str">
        <x:v>chefapek93@gmail.com</x:v>
      </x:c>
      <x:c r="D1562" s="16" t="str">
        <x:v>chefapek93@gmail.com</x:v>
      </x:c>
      <x:c r="E1562" s="16" t="str">
        <x:v>* myContacts</x:v>
      </x:c>
      <x:c r="F1562" s="16" t="str">
        <x:v>+60176374513</x:v>
      </x:c>
      <x:c r="G1562" s="16" t="str">
        <x:v>+60176374513</x:v>
      </x:c>
      <x:c r="H1562" s="16" t="str">
        <x:v>Eligible</x:v>
      </x:c>
      <x:c r="I1562" s="16" t="str"/>
    </x:row>
    <x:row r="1563">
      <x:c r="A1563" s="16" t="n">
        <x:v>1560</x:v>
      </x:c>
      <x:c r="B1563" s="16" t="str">
        <x:v>CHEF MUHAMMAD SHAZWAN BIN HJ. RUSL\N</x:v>
      </x:c>
      <x:c r="C1563" s="16" t="str">
        <x:v>shazwan@paktam.com.my</x:v>
      </x:c>
      <x:c r="D1563" s="16" t="str">
        <x:v>shazwan@paktam.com.my</x:v>
      </x:c>
      <x:c r="E1563" s="16" t="str">
        <x:v>* myContacts</x:v>
      </x:c>
      <x:c r="F1563" s="16" t="str">
        <x:v>60361388388 | 60361271795 | 61373399 | 01128892358 | 0108997936</x:v>
      </x:c>
      <x:c r="G1563" s="16" t="str">
        <x:v>+60361388388 | +60361271795 | +601128892358 | +60108997936</x:v>
      </x:c>
      <x:c r="H1563" s="16" t="str">
        <x:v>Eligible</x:v>
      </x:c>
      <x:c r="I1563" s="16" t="str"/>
    </x:row>
    <x:row r="1564">
      <x:c r="A1564" s="16" t="n">
        <x:v>1561</x:v>
      </x:c>
      <x:c r="B1564" s="16" t="str">
        <x:v>CHEF MUHAMMAD SHAZWAN BIN HJ. RUSL\N</x:v>
      </x:c>
      <x:c r="C1564" s="16" t="str">
        <x:v>shazwan@paktam.com.my</x:v>
      </x:c>
      <x:c r="D1564" s="16" t="str">
        <x:v>shazwan@paktam.com.my</x:v>
      </x:c>
      <x:c r="E1564" s="16" t="str">
        <x:v>* myContacts</x:v>
      </x:c>
      <x:c r="F1564" s="16" t="str">
        <x:v>+60361388388 | 60361271795 | 61373399 | 01128892358 | 0108997936</x:v>
      </x:c>
      <x:c r="G1564" s="16" t="str">
        <x:v>+60361388388 | +60361271795 | +601128892358 | +60108997936</x:v>
      </x:c>
      <x:c r="H1564" s="16" t="str">
        <x:v>Eligible</x:v>
      </x:c>
      <x:c r="I1564" s="16" t="str"/>
    </x:row>
    <x:row r="1565">
      <x:c r="A1565" s="16" t="n">
        <x:v>1562</x:v>
      </x:c>
      <x:c r="B1565" s="16" t="str">
        <x:v>Cheff Azarza Zainal</x:v>
      </x:c>
      <x:c r="C1565" s="16" t="str"/>
      <x:c r="D1565" s="16" t="str"/>
      <x:c r="E1565" s="16" t="str">
        <x:v>* myContacts</x:v>
      </x:c>
      <x:c r="F1565" s="16" t="str">
        <x:v>+60127468709</x:v>
      </x:c>
      <x:c r="G1565" s="16" t="str">
        <x:v>+60127468709</x:v>
      </x:c>
      <x:c r="H1565" s="16" t="str">
        <x:v>Excluded</x:v>
      </x:c>
      <x:c r="I1565" s="16" t="str">
        <x:v>Missing email</x:v>
      </x:c>
    </x:row>
    <x:row r="1566">
      <x:c r="A1566" s="16" t="n">
        <x:v>1563</x:v>
      </x:c>
      <x:c r="B1566" s="16" t="str">
        <x:v>ChelsieFB SMJ</x:v>
      </x:c>
      <x:c r="C1566" s="16" t="str"/>
      <x:c r="D1566" s="16" t="str"/>
      <x:c r="E1566" s="16" t="str">
        <x:v>* myContacts</x:v>
      </x:c>
      <x:c r="F1566" s="16" t="str">
        <x:v>+60143541971</x:v>
      </x:c>
      <x:c r="G1566" s="16" t="str">
        <x:v>+60143541971</x:v>
      </x:c>
      <x:c r="H1566" s="16" t="str">
        <x:v>Excluded</x:v>
      </x:c>
      <x:c r="I1566" s="16" t="str">
        <x:v>Missing email</x:v>
      </x:c>
    </x:row>
    <x:row r="1567">
      <x:c r="A1567" s="16" t="n">
        <x:v>1564</x:v>
      </x:c>
      <x:c r="B1567" s="16" t="str">
        <x:v>cheman brunei</x:v>
      </x:c>
      <x:c r="C1567" s="16" t="str"/>
      <x:c r="D1567" s="16" t="str"/>
      <x:c r="E1567" s="16" t="str">
        <x:v>* myContacts</x:v>
      </x:c>
      <x:c r="F1567" s="16" t="str">
        <x:v>010-797 5242 | +60107975242</x:v>
      </x:c>
      <x:c r="G1567" s="16" t="str">
        <x:v>+60107975242 | +60107975242</x:v>
      </x:c>
      <x:c r="H1567" s="16" t="str">
        <x:v>Excluded</x:v>
      </x:c>
      <x:c r="I1567" s="16" t="str">
        <x:v>Missing email</x:v>
      </x:c>
    </x:row>
    <x:row r="1568">
      <x:c r="A1568" s="16" t="n">
        <x:v>1565</x:v>
      </x:c>
      <x:c r="B1568" s="16" t="str">
        <x:v>Chenursuria Che Su</x:v>
      </x:c>
      <x:c r="C1568" s="16" t="str"/>
      <x:c r="D1568" s="16" t="str"/>
      <x:c r="E1568" s="16" t="str">
        <x:v>* myContacts</x:v>
      </x:c>
      <x:c r="F1568" s="16" t="str">
        <x:v>+60134187550</x:v>
      </x:c>
      <x:c r="G1568" s="16" t="str">
        <x:v>+60134187550</x:v>
      </x:c>
      <x:c r="H1568" s="16" t="str">
        <x:v>Excluded</x:v>
      </x:c>
      <x:c r="I1568" s="16" t="str">
        <x:v>Missing email</x:v>
      </x:c>
    </x:row>
    <x:row r="1569">
      <x:c r="A1569" s="16" t="n">
        <x:v>1566</x:v>
      </x:c>
      <x:c r="B1569" s="16" t="str">
        <x:v>Chika HayYat</x:v>
      </x:c>
      <x:c r="C1569" s="16" t="str"/>
      <x:c r="D1569" s="16" t="str"/>
      <x:c r="E1569" s="16" t="str">
        <x:v>* myContacts</x:v>
      </x:c>
      <x:c r="F1569" s="16" t="str">
        <x:v>+60194583904</x:v>
      </x:c>
      <x:c r="G1569" s="16" t="str">
        <x:v>+60194583904</x:v>
      </x:c>
      <x:c r="H1569" s="16" t="str">
        <x:v>Excluded</x:v>
      </x:c>
      <x:c r="I1569" s="16" t="str">
        <x:v>Missing email</x:v>
      </x:c>
    </x:row>
    <x:row r="1570">
      <x:c r="A1570" s="16" t="n">
        <x:v>1567</x:v>
      </x:c>
      <x:c r="B1570" s="16" t="str">
        <x:v>Chin Je Mein</x:v>
      </x:c>
      <x:c r="C1570" s="16" t="str">
        <x:v>jemein@panpiagr-.com</x:v>
      </x:c>
      <x:c r="D1570" s="16" t="str">
        <x:v>jemein@panpiagr-.com</x:v>
      </x:c>
      <x:c r="E1570" s="16" t="str">
        <x:v>* myContacts</x:v>
      </x:c>
      <x:c r="F1570" s="16" t="str">
        <x:v>+60124516418</x:v>
      </x:c>
      <x:c r="G1570" s="16" t="str">
        <x:v>+60124516418</x:v>
      </x:c>
      <x:c r="H1570" s="16" t="str">
        <x:v>Eligible</x:v>
      </x:c>
      <x:c r="I1570" s="16" t="str"/>
    </x:row>
    <x:row r="1571">
      <x:c r="A1571" s="16" t="n">
        <x:v>1568</x:v>
      </x:c>
      <x:c r="B1571" s="16" t="str">
        <x:v>Chinta Chanteq Bridal</x:v>
      </x:c>
      <x:c r="C1571" s="16" t="str"/>
      <x:c r="D1571" s="16" t="str"/>
      <x:c r="E1571" s="16" t="str">
        <x:v>* myContacts</x:v>
      </x:c>
      <x:c r="F1571" s="16" t="str">
        <x:v>+60389640320</x:v>
      </x:c>
      <x:c r="G1571" s="16" t="str">
        <x:v>+60389640320</x:v>
      </x:c>
      <x:c r="H1571" s="16" t="str">
        <x:v>Excluded</x:v>
      </x:c>
      <x:c r="I1571" s="16" t="str">
        <x:v>Missing email</x:v>
      </x:c>
    </x:row>
    <x:row r="1572">
      <x:c r="A1572" s="16" t="n">
        <x:v>1569</x:v>
      </x:c>
      <x:c r="B1572" s="16" t="str">
        <x:v>Chinta Nur Jannah</x:v>
      </x:c>
      <x:c r="C1572" s="16" t="str"/>
      <x:c r="D1572" s="16" t="str"/>
      <x:c r="E1572" s="16" t="str">
        <x:v>* myContacts</x:v>
      </x:c>
      <x:c r="F1572" s="16" t="str">
        <x:v>+60108215929</x:v>
      </x:c>
      <x:c r="G1572" s="16" t="str">
        <x:v>+60108215929</x:v>
      </x:c>
      <x:c r="H1572" s="16" t="str">
        <x:v>Excluded</x:v>
      </x:c>
      <x:c r="I1572" s="16" t="str">
        <x:v>Missing email</x:v>
      </x:c>
    </x:row>
    <x:row r="1573">
      <x:c r="A1573" s="16" t="n">
        <x:v>1570</x:v>
      </x:c>
      <x:c r="B1573" s="16" t="str">
        <x:v>Chipsmore More</x:v>
      </x:c>
      <x:c r="C1573" s="16" t="str"/>
      <x:c r="D1573" s="16" t="str"/>
      <x:c r="E1573" s="16" t="str">
        <x:v>* myContacts</x:v>
      </x:c>
      <x:c r="F1573" s="16" t="str">
        <x:v>+60178341534</x:v>
      </x:c>
      <x:c r="G1573" s="16" t="str">
        <x:v>+60178341534</x:v>
      </x:c>
      <x:c r="H1573" s="16" t="str">
        <x:v>Excluded</x:v>
      </x:c>
      <x:c r="I1573" s="16" t="str">
        <x:v>Missing email</x:v>
      </x:c>
    </x:row>
    <x:row r="1574">
      <x:c r="A1574" s="16" t="n">
        <x:v>1571</x:v>
      </x:c>
      <x:c r="B1574" s="16" t="str">
        <x:v>Choco Bouquet</x:v>
      </x:c>
      <x:c r="C1574" s="16" t="str"/>
      <x:c r="D1574" s="16" t="str"/>
      <x:c r="E1574" s="16" t="str">
        <x:v>* myContacts</x:v>
      </x:c>
      <x:c r="F1574" s="16" t="str">
        <x:v>+60169199090</x:v>
      </x:c>
      <x:c r="G1574" s="16" t="str">
        <x:v>+60169199090</x:v>
      </x:c>
      <x:c r="H1574" s="16" t="str">
        <x:v>Excluded</x:v>
      </x:c>
      <x:c r="I1574" s="16" t="str">
        <x:v>Missing email</x:v>
      </x:c>
    </x:row>
    <x:row r="1575">
      <x:c r="A1575" s="16" t="n">
        <x:v>1572</x:v>
      </x:c>
      <x:c r="B1575" s="16" t="str">
        <x:v>Chocotainer Melaka</x:v>
      </x:c>
      <x:c r="C1575" s="16" t="str"/>
      <x:c r="D1575" s="16" t="str"/>
      <x:c r="E1575" s="16" t="str">
        <x:v>* myContacts</x:v>
      </x:c>
      <x:c r="F1575" s="16" t="str">
        <x:v>+60128227002</x:v>
      </x:c>
      <x:c r="G1575" s="16" t="str">
        <x:v>+60128227002</x:v>
      </x:c>
      <x:c r="H1575" s="16" t="str">
        <x:v>Excluded</x:v>
      </x:c>
      <x:c r="I1575" s="16" t="str">
        <x:v>Missing email</x:v>
      </x:c>
    </x:row>
    <x:row r="1576">
      <x:c r="A1576" s="16" t="n">
        <x:v>1573</x:v>
      </x:c>
      <x:c r="B1576" s="16" t="str">
        <x:v>Choon Hwa Lai</x:v>
      </x:c>
      <x:c r="C1576" s="16" t="str"/>
      <x:c r="D1576" s="16" t="str"/>
      <x:c r="E1576" s="16" t="str">
        <x:v>* myContacts</x:v>
      </x:c>
      <x:c r="F1576" s="16" t="str">
        <x:v>+60143258989</x:v>
      </x:c>
      <x:c r="G1576" s="16" t="str">
        <x:v>+60143258989</x:v>
      </x:c>
      <x:c r="H1576" s="16" t="str">
        <x:v>Excluded</x:v>
      </x:c>
      <x:c r="I1576" s="16" t="str">
        <x:v>Missing email</x:v>
      </x:c>
    </x:row>
    <x:row r="1577">
      <x:c r="A1577" s="16" t="n">
        <x:v>1574</x:v>
      </x:c>
      <x:c r="B1577" s="16" t="str">
        <x:v>Chor Mai Hj Mohd Salidin</x:v>
      </x:c>
      <x:c r="C1577" s="16" t="str"/>
      <x:c r="D1577" s="16" t="str"/>
      <x:c r="E1577" s="16" t="str">
        <x:v>* myContacts</x:v>
      </x:c>
      <x:c r="F1577" s="16" t="str">
        <x:v>+601172414192</x:v>
      </x:c>
      <x:c r="G1577" s="16" t="str">
        <x:v>+601172414192</x:v>
      </x:c>
      <x:c r="H1577" s="16" t="str">
        <x:v>Excluded</x:v>
      </x:c>
      <x:c r="I1577" s="16" t="str">
        <x:v>Missing email</x:v>
      </x:c>
    </x:row>
    <x:row r="1578">
      <x:c r="A1578" s="16" t="n">
        <x:v>1575</x:v>
      </x:c>
      <x:c r="B1578" s="16" t="str">
        <x:v>Chowok Guniy Guniy</x:v>
      </x:c>
      <x:c r="C1578" s="16" t="str"/>
      <x:c r="D1578" s="16" t="str"/>
      <x:c r="E1578" s="16" t="str">
        <x:v>* myContacts</x:v>
      </x:c>
      <x:c r="F1578" s="16" t="str">
        <x:v>+60178974402</x:v>
      </x:c>
      <x:c r="G1578" s="16" t="str">
        <x:v>+60178974402</x:v>
      </x:c>
      <x:c r="H1578" s="16" t="str">
        <x:v>Excluded</x:v>
      </x:c>
      <x:c r="I1578" s="16" t="str">
        <x:v>Missing email</x:v>
      </x:c>
    </x:row>
    <x:row r="1579">
      <x:c r="A1579" s="16" t="n">
        <x:v>1576</x:v>
      </x:c>
      <x:c r="B1579" s="16" t="str">
        <x:v>Chris Mike</x:v>
      </x:c>
      <x:c r="C1579" s="16" t="str"/>
      <x:c r="D1579" s="16" t="str"/>
      <x:c r="E1579" s="16" t="str">
        <x:v>* myContacts</x:v>
      </x:c>
      <x:c r="F1579" s="16" t="str">
        <x:v>+60198047740</x:v>
      </x:c>
      <x:c r="G1579" s="16" t="str">
        <x:v>+60198047740</x:v>
      </x:c>
      <x:c r="H1579" s="16" t="str">
        <x:v>Excluded</x:v>
      </x:c>
      <x:c r="I1579" s="16" t="str">
        <x:v>Missing email</x:v>
      </x:c>
    </x:row>
    <x:row r="1580">
      <x:c r="A1580" s="16" t="n">
        <x:v>1577</x:v>
      </x:c>
      <x:c r="B1580" s="16" t="str">
        <x:v>Chris Topher Nfs</x:v>
      </x:c>
      <x:c r="C1580" s="16" t="str"/>
      <x:c r="D1580" s="16" t="str"/>
      <x:c r="E1580" s="16" t="str">
        <x:v>* myContacts</x:v>
      </x:c>
      <x:c r="F1580" s="16" t="str">
        <x:v>+601126244269</x:v>
      </x:c>
      <x:c r="G1580" s="16" t="str">
        <x:v>+601126244269</x:v>
      </x:c>
      <x:c r="H1580" s="16" t="str">
        <x:v>Excluded</x:v>
      </x:c>
      <x:c r="I1580" s="16" t="str">
        <x:v>Missing email</x:v>
      </x:c>
    </x:row>
    <x:row r="1581">
      <x:c r="A1581" s="16" t="n">
        <x:v>1578</x:v>
      </x:c>
      <x:c r="B1581" s="16" t="str">
        <x:v>Chris Yan</x:v>
      </x:c>
      <x:c r="C1581" s="16" t="str"/>
      <x:c r="D1581" s="16" t="str"/>
      <x:c r="E1581" s="16" t="str">
        <x:v>* myContacts</x:v>
      </x:c>
      <x:c r="F1581" s="16" t="str">
        <x:v>0122810663 | +60122810663</x:v>
      </x:c>
      <x:c r="G1581" s="16" t="str">
        <x:v>+60122810663 | +60122810663</x:v>
      </x:c>
      <x:c r="H1581" s="16" t="str">
        <x:v>Excluded</x:v>
      </x:c>
      <x:c r="I1581" s="16" t="str">
        <x:v>Missing email</x:v>
      </x:c>
    </x:row>
    <x:row r="1582">
      <x:c r="A1582" s="16" t="n">
        <x:v>1579</x:v>
      </x:c>
      <x:c r="B1582" s="16" t="str">
        <x:v>Christina David</x:v>
      </x:c>
      <x:c r="C1582" s="16" t="str"/>
      <x:c r="D1582" s="16" t="str"/>
      <x:c r="E1582" s="16" t="str">
        <x:v>* myContacts</x:v>
      </x:c>
      <x:c r="F1582" s="16" t="str">
        <x:v>+60164934843</x:v>
      </x:c>
      <x:c r="G1582" s="16" t="str">
        <x:v>+60164934843</x:v>
      </x:c>
      <x:c r="H1582" s="16" t="str">
        <x:v>Excluded</x:v>
      </x:c>
      <x:c r="I1582" s="16" t="str">
        <x:v>Missing email</x:v>
      </x:c>
    </x:row>
    <x:row r="1583">
      <x:c r="A1583" s="16" t="n">
        <x:v>1580</x:v>
      </x:c>
      <x:c r="B1583" s="16" t="str">
        <x:v>Christina Injun</x:v>
      </x:c>
      <x:c r="C1583" s="16" t="str"/>
      <x:c r="D1583" s="16" t="str"/>
      <x:c r="E1583" s="16" t="str">
        <x:v>* myContacts</x:v>
      </x:c>
      <x:c r="F1583" s="16" t="str">
        <x:v>+60192843997</x:v>
      </x:c>
      <x:c r="G1583" s="16" t="str">
        <x:v>+60192843997</x:v>
      </x:c>
      <x:c r="H1583" s="16" t="str">
        <x:v>Excluded</x:v>
      </x:c>
      <x:c r="I1583" s="16" t="str">
        <x:v>Missing email</x:v>
      </x:c>
    </x:row>
    <x:row r="1584">
      <x:c r="A1584" s="16" t="n">
        <x:v>1581</x:v>
      </x:c>
      <x:c r="B1584" s="16" t="str">
        <x:v>Chu Bisah</x:v>
      </x:c>
      <x:c r="C1584" s="16" t="str"/>
      <x:c r="D1584" s="16" t="str"/>
      <x:c r="E1584" s="16" t="str">
        <x:v>* myContacts</x:v>
      </x:c>
      <x:c r="F1584" s="16" t="str">
        <x:v>+61457527219</x:v>
      </x:c>
      <x:c r="G1584" s="16" t="str">
        <x:v>+61457527219</x:v>
      </x:c>
      <x:c r="H1584" s="16" t="str">
        <x:v>Excluded</x:v>
      </x:c>
      <x:c r="I1584" s="16" t="str">
        <x:v>Missing email</x:v>
      </x:c>
    </x:row>
    <x:row r="1585">
      <x:c r="A1585" s="16" t="n">
        <x:v>1582</x:v>
      </x:c>
      <x:c r="B1585" s="16" t="str">
        <x:v>Chua Gaik Suan</x:v>
      </x:c>
      <x:c r="C1585" s="16" t="str"/>
      <x:c r="D1585" s="16" t="str"/>
      <x:c r="E1585" s="16" t="str">
        <x:v>* myContacts</x:v>
      </x:c>
      <x:c r="F1585" s="16" t="str">
        <x:v>+60164281714</x:v>
      </x:c>
      <x:c r="G1585" s="16" t="str">
        <x:v>+60164281714</x:v>
      </x:c>
      <x:c r="H1585" s="16" t="str">
        <x:v>Excluded</x:v>
      </x:c>
      <x:c r="I1585" s="16" t="str">
        <x:v>Missing email</x:v>
      </x:c>
    </x:row>
    <x:row r="1586">
      <x:c r="A1586" s="16" t="n">
        <x:v>1583</x:v>
      </x:c>
      <x:c r="B1586" s="16" t="str">
        <x:v>Chuenchay</x:v>
      </x:c>
      <x:c r="C1586" s="16" t="str"/>
      <x:c r="D1586" s="16" t="str"/>
      <x:c r="E1586" s="16" t="str">
        <x:v>* myContacts</x:v>
      </x:c>
      <x:c r="F1586" s="16" t="str">
        <x:v>+6285748520044</x:v>
      </x:c>
      <x:c r="G1586" s="16" t="str">
        <x:v>+6285748520044</x:v>
      </x:c>
      <x:c r="H1586" s="16" t="str">
        <x:v>Excluded</x:v>
      </x:c>
      <x:c r="I1586" s="16" t="str">
        <x:v>Missing email</x:v>
      </x:c>
    </x:row>
    <x:row r="1587">
      <x:c r="A1587" s="16" t="n">
        <x:v>1584</x:v>
      </x:c>
      <x:c r="B1587" s="16" t="str">
        <x:v>Chung Endgage Media</x:v>
      </x:c>
      <x:c r="C1587" s="16" t="str"/>
      <x:c r="D1587" s="16" t="str"/>
      <x:c r="E1587" s="16" t="str">
        <x:v>* myContacts</x:v>
      </x:c>
      <x:c r="F1587" s="16" t="str">
        <x:v>+60 12-200 3132 | +60122003132</x:v>
      </x:c>
      <x:c r="G1587" s="16" t="str">
        <x:v>+60122003132 | +60122003132</x:v>
      </x:c>
      <x:c r="H1587" s="16" t="str">
        <x:v>Excluded</x:v>
      </x:c>
      <x:c r="I1587" s="16" t="str">
        <x:v>Missing email</x:v>
      </x:c>
    </x:row>
    <x:row r="1588">
      <x:c r="A1588" s="16" t="n">
        <x:v>1585</x:v>
      </x:c>
      <x:c r="B1588" s="16" t="str">
        <x:v>ChyintaJannah Harun</x:v>
      </x:c>
      <x:c r="C1588" s="16" t="str"/>
      <x:c r="D1588" s="16" t="str"/>
      <x:c r="E1588" s="16" t="str">
        <x:v>* myContacts</x:v>
      </x:c>
      <x:c r="F1588" s="16" t="str">
        <x:v>+60163425984</x:v>
      </x:c>
      <x:c r="G1588" s="16" t="str">
        <x:v>+60163425984</x:v>
      </x:c>
      <x:c r="H1588" s="16" t="str">
        <x:v>Excluded</x:v>
      </x:c>
      <x:c r="I1588" s="16" t="str">
        <x:v>Missing email</x:v>
      </x:c>
    </x:row>
    <x:row r="1589">
      <x:c r="A1589" s="16" t="n">
        <x:v>1586</x:v>
      </x:c>
      <x:c r="B1589" s="16" t="str">
        <x:v>Cik Bayang Hidup</x:v>
      </x:c>
      <x:c r="C1589" s="16" t="str"/>
      <x:c r="D1589" s="16" t="str"/>
      <x:c r="E1589" s="16" t="str">
        <x:v>* myContacts</x:v>
      </x:c>
      <x:c r="F1589" s="16" t="str">
        <x:v>+60173892750</x:v>
      </x:c>
      <x:c r="G1589" s="16" t="str">
        <x:v>+60173892750</x:v>
      </x:c>
      <x:c r="H1589" s="16" t="str">
        <x:v>Excluded</x:v>
      </x:c>
      <x:c r="I1589" s="16" t="str">
        <x:v>Missing email</x:v>
      </x:c>
    </x:row>
    <x:row r="1590">
      <x:c r="A1590" s="16" t="n">
        <x:v>1587</x:v>
      </x:c>
      <x:c r="B1590" s="16" t="str">
        <x:v>Cik Dah</x:v>
      </x:c>
      <x:c r="C1590" s="16" t="str"/>
      <x:c r="D1590" s="16" t="str"/>
      <x:c r="E1590" s="16" t="str">
        <x:v>* myContacts</x:v>
      </x:c>
      <x:c r="F1590" s="16" t="str">
        <x:v>+60 19-570 6120 | +60195706120</x:v>
      </x:c>
      <x:c r="G1590" s="16" t="str">
        <x:v>+60195706120 | +60195706120</x:v>
      </x:c>
      <x:c r="H1590" s="16" t="str">
        <x:v>Excluded</x:v>
      </x:c>
      <x:c r="I1590" s="16" t="str">
        <x:v>Missing email</x:v>
      </x:c>
    </x:row>
    <x:row r="1591">
      <x:c r="A1591" s="16" t="n">
        <x:v>1588</x:v>
      </x:c>
      <x:c r="B1591" s="16" t="str">
        <x:v>Cik Dila Affiliate</x:v>
      </x:c>
      <x:c r="C1591" s="16" t="str"/>
      <x:c r="D1591" s="16" t="str"/>
      <x:c r="E1591" s="16" t="str">
        <x:v>* myContacts</x:v>
      </x:c>
      <x:c r="F1591" s="16" t="str">
        <x:v>+60 11-6482 3851 | +601164823851</x:v>
      </x:c>
      <x:c r="G1591" s="16" t="str">
        <x:v>+601164823851 | +601164823851</x:v>
      </x:c>
      <x:c r="H1591" s="16" t="str">
        <x:v>Excluded</x:v>
      </x:c>
      <x:c r="I1591" s="16" t="str">
        <x:v>Missing email</x:v>
      </x:c>
    </x:row>
    <x:row r="1592">
      <x:c r="A1592" s="16" t="n">
        <x:v>1589</x:v>
      </x:c>
      <x:c r="B1592" s="16" t="str">
        <x:v>Cik Fakur</x:v>
      </x:c>
      <x:c r="C1592" s="16" t="str"/>
      <x:c r="D1592" s="16" t="str"/>
      <x:c r="E1592" s="16" t="str">
        <x:v>* myContacts</x:v>
      </x:c>
      <x:c r="F1592" s="16" t="str">
        <x:v>+601121001184</x:v>
      </x:c>
      <x:c r="G1592" s="16" t="str">
        <x:v>+601121001184</x:v>
      </x:c>
      <x:c r="H1592" s="16" t="str">
        <x:v>Excluded</x:v>
      </x:c>
      <x:c r="I1592" s="16" t="str">
        <x:v>Missing email</x:v>
      </x:c>
    </x:row>
    <x:row r="1593">
      <x:c r="A1593" s="16" t="n">
        <x:v>1590</x:v>
      </x:c>
      <x:c r="B1593" s="16" t="str">
        <x:v>Cik Gayah Rbz</x:v>
      </x:c>
      <x:c r="C1593" s="16" t="str"/>
      <x:c r="D1593" s="16" t="str"/>
      <x:c r="E1593" s="16" t="str">
        <x:v>* myContacts</x:v>
      </x:c>
      <x:c r="F1593" s="16" t="str">
        <x:v>+60192864711</x:v>
      </x:c>
      <x:c r="G1593" s="16" t="str">
        <x:v>+60192864711</x:v>
      </x:c>
      <x:c r="H1593" s="16" t="str">
        <x:v>Excluded</x:v>
      </x:c>
      <x:c r="I1593" s="16" t="str">
        <x:v>Missing email</x:v>
      </x:c>
    </x:row>
    <x:row r="1594">
      <x:c r="A1594" s="16" t="n">
        <x:v>1591</x:v>
      </x:c>
      <x:c r="B1594" s="16" t="str">
        <x:v>Cik Hamizah Partner</x:v>
      </x:c>
      <x:c r="C1594" s="16" t="str"/>
      <x:c r="D1594" s="16" t="str"/>
      <x:c r="E1594" s="16" t="str">
        <x:v>* myContacts</x:v>
      </x:c>
      <x:c r="F1594" s="16" t="str"/>
      <x:c r="G1594" s="16" t="str"/>
      <x:c r="H1594" s="16" t="str">
        <x:v>Excluded</x:v>
      </x:c>
      <x:c r="I1594" s="16" t="str">
        <x:v>Missing email</x:v>
      </x:c>
    </x:row>
    <x:row r="1595">
      <x:c r="A1595" s="16" t="n">
        <x:v>1592</x:v>
      </x:c>
      <x:c r="B1595" s="16" t="str">
        <x:v>Cik Hatikah Kasa</x:v>
      </x:c>
      <x:c r="C1595" s="16" t="str"/>
      <x:c r="D1595" s="16" t="str"/>
      <x:c r="E1595" s="16" t="str">
        <x:v>* myContacts</x:v>
      </x:c>
      <x:c r="F1595" s="16" t="str">
        <x:v>+60127242766</x:v>
      </x:c>
      <x:c r="G1595" s="16" t="str">
        <x:v>+60127242766</x:v>
      </x:c>
      <x:c r="H1595" s="16" t="str">
        <x:v>Excluded</x:v>
      </x:c>
      <x:c r="I1595" s="16" t="str">
        <x:v>Missing email</x:v>
      </x:c>
    </x:row>
    <x:row r="1596">
      <x:c r="A1596" s="16" t="n">
        <x:v>1593</x:v>
      </x:c>
      <x:c r="B1596" s="16" t="str">
        <x:v>Cik Herry</x:v>
      </x:c>
      <x:c r="C1596" s="16" t="str"/>
      <x:c r="D1596" s="16" t="str"/>
      <x:c r="E1596" s="16" t="str">
        <x:v>* myContacts</x:v>
      </x:c>
      <x:c r="F1596" s="16" t="str">
        <x:v>+60139642600</x:v>
      </x:c>
      <x:c r="G1596" s="16" t="str">
        <x:v>+60139642600</x:v>
      </x:c>
      <x:c r="H1596" s="16" t="str">
        <x:v>Excluded</x:v>
      </x:c>
      <x:c r="I1596" s="16" t="str">
        <x:v>Missing email</x:v>
      </x:c>
    </x:row>
    <x:row r="1597">
      <x:c r="A1597" s="16" t="n">
        <x:v>1594</x:v>
      </x:c>
      <x:c r="B1597" s="16" t="str">
        <x:v>Cik Ida Chemerkau Chekas Chalet</x:v>
      </x:c>
      <x:c r="C1597" s="16" t="str"/>
      <x:c r="D1597" s="16" t="str"/>
      <x:c r="E1597" s="16" t="str">
        <x:v>* myContacts</x:v>
      </x:c>
      <x:c r="F1597" s="16" t="str">
        <x:v>+60199949095</x:v>
      </x:c>
      <x:c r="G1597" s="16" t="str">
        <x:v>+60199949095</x:v>
      </x:c>
      <x:c r="H1597" s="16" t="str">
        <x:v>Excluded</x:v>
      </x:c>
      <x:c r="I1597" s="16" t="str">
        <x:v>Missing email</x:v>
      </x:c>
    </x:row>
    <x:row r="1598">
      <x:c r="A1598" s="16" t="n">
        <x:v>1595</x:v>
      </x:c>
      <x:c r="B1598" s="16" t="str">
        <x:v>Cik Julizar Rahman</x:v>
      </x:c>
      <x:c r="C1598" s="16" t="str"/>
      <x:c r="D1598" s="16" t="str"/>
      <x:c r="E1598" s="16" t="str">
        <x:v>* myContacts</x:v>
      </x:c>
      <x:c r="F1598" s="16" t="str">
        <x:v>+60129732847</x:v>
      </x:c>
      <x:c r="G1598" s="16" t="str">
        <x:v>+60129732847</x:v>
      </x:c>
      <x:c r="H1598" s="16" t="str">
        <x:v>Excluded</x:v>
      </x:c>
      <x:c r="I1598" s="16" t="str">
        <x:v>Missing email</x:v>
      </x:c>
    </x:row>
    <x:row r="1599">
      <x:c r="A1599" s="16" t="n">
        <x:v>1596</x:v>
      </x:c>
      <x:c r="B1599" s="16" t="str">
        <x:v>Cik Kai Head Training Hijrah</x:v>
      </x:c>
      <x:c r="C1599" s="16" t="str"/>
      <x:c r="D1599" s="16" t="str"/>
      <x:c r="E1599" s="16" t="str">
        <x:v>Alumni eUsahawan | * myContacts</x:v>
      </x:c>
      <x:c r="F1599" s="16" t="str">
        <x:v>+60 10-432 1071 | +60104321071</x:v>
      </x:c>
      <x:c r="G1599" s="16" t="str">
        <x:v>+60104321071 | +60104321071</x:v>
      </x:c>
      <x:c r="H1599" s="16" t="str">
        <x:v>Excluded</x:v>
      </x:c>
      <x:c r="I1599" s="16" t="str">
        <x:v>Missing email</x:v>
      </x:c>
    </x:row>
    <x:row r="1600">
      <x:c r="A1600" s="16" t="n">
        <x:v>1597</x:v>
      </x:c>
      <x:c r="B1600" s="16" t="str">
        <x:v>Cik Puan Siti Norhan</x:v>
      </x:c>
      <x:c r="C1600" s="16" t="str"/>
      <x:c r="D1600" s="16" t="str"/>
      <x:c r="E1600" s="16" t="str">
        <x:v>* myContacts</x:v>
      </x:c>
      <x:c r="F1600" s="16" t="str">
        <x:v>+60174814020</x:v>
      </x:c>
      <x:c r="G1600" s="16" t="str">
        <x:v>+60174814020</x:v>
      </x:c>
      <x:c r="H1600" s="16" t="str">
        <x:v>Excluded</x:v>
      </x:c>
      <x:c r="I1600" s="16" t="str">
        <x:v>Missing email</x:v>
      </x:c>
    </x:row>
    <x:row r="1601">
      <x:c r="A1601" s="16" t="n">
        <x:v>1598</x:v>
      </x:c>
      <x:c r="B1601" s="16" t="str">
        <x:v>Cik Puan Suzie Ibrahim</x:v>
      </x:c>
      <x:c r="C1601" s="16" t="str"/>
      <x:c r="D1601" s="16" t="str"/>
      <x:c r="E1601" s="16" t="str">
        <x:v>* myContacts</x:v>
      </x:c>
      <x:c r="F1601" s="16" t="str">
        <x:v>+60182114045</x:v>
      </x:c>
      <x:c r="G1601" s="16" t="str">
        <x:v>+60182114045</x:v>
      </x:c>
      <x:c r="H1601" s="16" t="str">
        <x:v>Excluded</x:v>
      </x:c>
      <x:c r="I1601" s="16" t="str">
        <x:v>Missing email</x:v>
      </x:c>
    </x:row>
    <x:row r="1602">
      <x:c r="A1602" s="16" t="n">
        <x:v>1599</x:v>
      </x:c>
      <x:c r="B1602" s="16" t="str">
        <x:v>cik puan syeena pusat Internet air panas</x:v>
      </x:c>
      <x:c r="C1602" s="16" t="str"/>
      <x:c r="D1602" s="16" t="str"/>
      <x:c r="E1602" s="16" t="str">
        <x:v>* myContacts</x:v>
      </x:c>
      <x:c r="F1602" s="16" t="str">
        <x:v>013-438 5792 | +60134385792</x:v>
      </x:c>
      <x:c r="G1602" s="16" t="str">
        <x:v>+60134385792 | +60134385792</x:v>
      </x:c>
      <x:c r="H1602" s="16" t="str">
        <x:v>Excluded</x:v>
      </x:c>
      <x:c r="I1602" s="16" t="str">
        <x:v>Missing email</x:v>
      </x:c>
    </x:row>
    <x:row r="1603">
      <x:c r="A1603" s="16" t="n">
        <x:v>1600</x:v>
      </x:c>
      <x:c r="B1603" s="16" t="str">
        <x:v>Cik Qaseh</x:v>
      </x:c>
      <x:c r="C1603" s="16" t="str"/>
      <x:c r="D1603" s="16" t="str"/>
      <x:c r="E1603" s="16" t="str">
        <x:v>* myContacts</x:v>
      </x:c>
      <x:c r="F1603" s="16" t="str">
        <x:v>+60134288350</x:v>
      </x:c>
      <x:c r="G1603" s="16" t="str">
        <x:v>+60134288350</x:v>
      </x:c>
      <x:c r="H1603" s="16" t="str">
        <x:v>Excluded</x:v>
      </x:c>
      <x:c r="I1603" s="16" t="str">
        <x:v>Missing email</x:v>
      </x:c>
    </x:row>
    <x:row r="1604">
      <x:c r="A1604" s="16" t="n">
        <x:v>1601</x:v>
      </x:c>
      <x:c r="B1604" s="16" t="str">
        <x:v>Cik Ros Tok Salidin</x:v>
      </x:c>
      <x:c r="C1604" s="16" t="str"/>
      <x:c r="D1604" s="16" t="str"/>
      <x:c r="E1604" s="16" t="str">
        <x:v>* myContacts</x:v>
      </x:c>
      <x:c r="F1604" s="16" t="str">
        <x:v>+60194639458 | +60194639458</x:v>
      </x:c>
      <x:c r="G1604" s="16" t="str">
        <x:v>+60194639458 | +60194639458</x:v>
      </x:c>
      <x:c r="H1604" s="16" t="str">
        <x:v>Excluded</x:v>
      </x:c>
      <x:c r="I1604" s="16" t="str">
        <x:v>Missing email</x:v>
      </x:c>
    </x:row>
    <x:row r="1605">
      <x:c r="A1605" s="16" t="n">
        <x:v>1602</x:v>
      </x:c>
      <x:c r="B1605" s="16" t="str">
        <x:v>Cik Ros Tok Salidin</x:v>
      </x:c>
      <x:c r="C1605" s="16" t="str"/>
      <x:c r="D1605" s="16" t="str"/>
      <x:c r="E1605" s="16" t="str">
        <x:v>* myContacts</x:v>
      </x:c>
      <x:c r="F1605" s="16" t="str">
        <x:v>+60 19-463 9458 | +60194639458</x:v>
      </x:c>
      <x:c r="G1605" s="16" t="str">
        <x:v>+60194639458 | +60194639458</x:v>
      </x:c>
      <x:c r="H1605" s="16" t="str">
        <x:v>Excluded</x:v>
      </x:c>
      <x:c r="I1605" s="16" t="str">
        <x:v>Missing email</x:v>
      </x:c>
    </x:row>
    <x:row r="1606">
      <x:c r="A1606" s="16" t="n">
        <x:v>1603</x:v>
      </x:c>
      <x:c r="B1606" s="16" t="str">
        <x:v>Cik Rose INSPEN KAJANG</x:v>
      </x:c>
      <x:c r="C1606" s="16" t="str"/>
      <x:c r="D1606" s="16" t="str"/>
      <x:c r="E1606" s="16" t="str">
        <x:v>* myContacts</x:v>
      </x:c>
      <x:c r="F1606" s="16" t="str">
        <x:v>+60123544139</x:v>
      </x:c>
      <x:c r="G1606" s="16" t="str">
        <x:v>+60123544139</x:v>
      </x:c>
      <x:c r="H1606" s="16" t="str">
        <x:v>Excluded</x:v>
      </x:c>
      <x:c r="I1606" s="16" t="str">
        <x:v>Missing email</x:v>
      </x:c>
    </x:row>
    <x:row r="1607">
      <x:c r="A1607" s="16" t="n">
        <x:v>1604</x:v>
      </x:c>
      <x:c r="B1607" s="16" t="str">
        <x:v>Cik Sarah Fintech Lab</x:v>
      </x:c>
      <x:c r="C1607" s="16" t="str"/>
      <x:c r="D1607" s="16" t="str"/>
      <x:c r="E1607" s="16" t="str">
        <x:v>* myContacts</x:v>
      </x:c>
      <x:c r="F1607" s="16" t="str">
        <x:v>60193539776 | +60193539776</x:v>
      </x:c>
      <x:c r="G1607" s="16" t="str">
        <x:v>+60193539776 | +60193539776</x:v>
      </x:c>
      <x:c r="H1607" s="16" t="str">
        <x:v>Excluded</x:v>
      </x:c>
      <x:c r="I1607" s="16" t="str">
        <x:v>Missing email</x:v>
      </x:c>
    </x:row>
    <x:row r="1608">
      <x:c r="A1608" s="16" t="n">
        <x:v>1605</x:v>
      </x:c>
      <x:c r="B1608" s="16" t="str">
        <x:v>Cik WAn AdRa</x:v>
      </x:c>
      <x:c r="C1608" s="16" t="str"/>
      <x:c r="D1608" s="16" t="str"/>
      <x:c r="E1608" s="16" t="str">
        <x:v>* myContacts</x:v>
      </x:c>
      <x:c r="F1608" s="16" t="str">
        <x:v>+601116963635</x:v>
      </x:c>
      <x:c r="G1608" s="16" t="str">
        <x:v>+601116963635</x:v>
      </x:c>
      <x:c r="H1608" s="16" t="str">
        <x:v>Excluded</x:v>
      </x:c>
      <x:c r="I1608" s="16" t="str">
        <x:v>Missing email</x:v>
      </x:c>
    </x:row>
    <x:row r="1609">
      <x:c r="A1609" s="16" t="n">
        <x:v>1606</x:v>
      </x:c>
      <x:c r="B1609" s="16" t="str">
        <x:v>Cik Wannie</x:v>
      </x:c>
      <x:c r="C1609" s="16" t="str"/>
      <x:c r="D1609" s="16" t="str"/>
      <x:c r="E1609" s="16" t="str">
        <x:v>* myContacts</x:v>
      </x:c>
      <x:c r="F1609" s="16" t="str">
        <x:v>03-8888 5678 | +60388885678</x:v>
      </x:c>
      <x:c r="G1609" s="16" t="str">
        <x:v>+60388885678 | +60388885678</x:v>
      </x:c>
      <x:c r="H1609" s="16" t="str">
        <x:v>Excluded</x:v>
      </x:c>
      <x:c r="I1609" s="16" t="str">
        <x:v>Missing email</x:v>
      </x:c>
    </x:row>
    <x:row r="1610">
      <x:c r="A1610" s="16" t="n">
        <x:v>1607</x:v>
      </x:c>
      <x:c r="B1610" s="16" t="str">
        <x:v>Cikda Stokis Jsd Kuantan</x:v>
      </x:c>
      <x:c r="C1610" s="16" t="str"/>
      <x:c r="D1610" s="16" t="str"/>
      <x:c r="E1610" s="16" t="str">
        <x:v>* myContacts</x:v>
      </x:c>
      <x:c r="F1610" s="16" t="str">
        <x:v>+60104665226</x:v>
      </x:c>
      <x:c r="G1610" s="16" t="str">
        <x:v>+60104665226</x:v>
      </x:c>
      <x:c r="H1610" s="16" t="str">
        <x:v>Excluded</x:v>
      </x:c>
      <x:c r="I1610" s="16" t="str">
        <x:v>Missing email</x:v>
      </x:c>
    </x:row>
    <x:row r="1611">
      <x:c r="A1611" s="16" t="n">
        <x:v>1608</x:v>
      </x:c>
      <x:c r="B1611" s="16" t="str">
        <x:v>Cikgu Aida SKBJ</x:v>
      </x:c>
      <x:c r="C1611" s="16" t="str"/>
      <x:c r="D1611" s="16" t="str"/>
      <x:c r="E1611" s="16" t="str">
        <x:v>* myContacts</x:v>
      </x:c>
      <x:c r="F1611" s="16" t="str">
        <x:v>+60 13-248 2685 | +60132482685</x:v>
      </x:c>
      <x:c r="G1611" s="16" t="str">
        <x:v>+60132482685 | +60132482685</x:v>
      </x:c>
      <x:c r="H1611" s="16" t="str">
        <x:v>Excluded</x:v>
      </x:c>
      <x:c r="I1611" s="16" t="str">
        <x:v>Missing email</x:v>
      </x:c>
    </x:row>
    <x:row r="1612">
      <x:c r="A1612" s="16" t="n">
        <x:v>1609</x:v>
      </x:c>
      <x:c r="B1612" s="16" t="str">
        <x:v>cikgu amin mdec</x:v>
      </x:c>
      <x:c r="C1612" s="16" t="str"/>
      <x:c r="D1612" s="16" t="str"/>
      <x:c r="E1612" s="16" t="str">
        <x:v>* myContacts</x:v>
      </x:c>
      <x:c r="F1612" s="16" t="str">
        <x:v>+60 19-989 5789 | +60199895789</x:v>
      </x:c>
      <x:c r="G1612" s="16" t="str">
        <x:v>+60199895789 | +60199895789</x:v>
      </x:c>
      <x:c r="H1612" s="16" t="str">
        <x:v>Excluded</x:v>
      </x:c>
      <x:c r="I1612" s="16" t="str">
        <x:v>Missing email</x:v>
      </x:c>
    </x:row>
    <x:row r="1613">
      <x:c r="A1613" s="16" t="n">
        <x:v>1610</x:v>
      </x:c>
      <x:c r="B1613" s="16" t="str">
        <x:v>Cikgu Daus Trainer</x:v>
      </x:c>
      <x:c r="C1613" s="16" t="str"/>
      <x:c r="D1613" s="16" t="str"/>
      <x:c r="E1613" s="16" t="str">
        <x:v>Trainer | * myContacts</x:v>
      </x:c>
      <x:c r="F1613" s="16" t="str">
        <x:v>+60 13-931 6769 | +60139316769</x:v>
      </x:c>
      <x:c r="G1613" s="16" t="str">
        <x:v>+60139316769 | +60139316769</x:v>
      </x:c>
      <x:c r="H1613" s="16" t="str">
        <x:v>Excluded</x:v>
      </x:c>
      <x:c r="I1613" s="16" t="str">
        <x:v>Missing email</x:v>
      </x:c>
    </x:row>
    <x:row r="1614">
      <x:c r="A1614" s="16" t="n">
        <x:v>1611</x:v>
      </x:c>
      <x:c r="B1614" s="16" t="str">
        <x:v>CIKGU FAZLIN</x:v>
      </x:c>
      <x:c r="C1614" s="16" t="str"/>
      <x:c r="D1614" s="16" t="str"/>
      <x:c r="E1614" s="16" t="str">
        <x:v>* myContacts</x:v>
      </x:c>
      <x:c r="F1614" s="16" t="str">
        <x:v>+60164850819</x:v>
      </x:c>
      <x:c r="G1614" s="16" t="str">
        <x:v>+60164850819</x:v>
      </x:c>
      <x:c r="H1614" s="16" t="str">
        <x:v>Excluded</x:v>
      </x:c>
      <x:c r="I1614" s="16" t="str">
        <x:v>Missing email</x:v>
      </x:c>
    </x:row>
    <x:row r="1615">
      <x:c r="A1615" s="16" t="n">
        <x:v>1612</x:v>
      </x:c>
      <x:c r="B1615" s="16" t="str">
        <x:v>Cikgu Haqem MDEC</x:v>
      </x:c>
      <x:c r="C1615" s="16" t="str"/>
      <x:c r="D1615" s="16" t="str"/>
      <x:c r="E1615" s="16" t="str">
        <x:v>* myContacts</x:v>
      </x:c>
      <x:c r="F1615" s="16" t="str">
        <x:v>+60 16-237 6254 | +60162376254</x:v>
      </x:c>
      <x:c r="G1615" s="16" t="str">
        <x:v>+60162376254 | +60162376254</x:v>
      </x:c>
      <x:c r="H1615" s="16" t="str">
        <x:v>Excluded</x:v>
      </x:c>
      <x:c r="I1615" s="16" t="str">
        <x:v>Missing email</x:v>
      </x:c>
    </x:row>
    <x:row r="1616">
      <x:c r="A1616" s="16" t="n">
        <x:v>1613</x:v>
      </x:c>
      <x:c r="B1616" s="16" t="str">
        <x:v>Cikgu Hasmah</x:v>
      </x:c>
      <x:c r="C1616" s="16" t="str"/>
      <x:c r="D1616" s="16" t="str"/>
      <x:c r="E1616" s="16" t="str">
        <x:v>* myContacts</x:v>
      </x:c>
      <x:c r="F1616" s="16" t="str">
        <x:v>+601135466385</x:v>
      </x:c>
      <x:c r="G1616" s="16" t="str">
        <x:v>+601135466385</x:v>
      </x:c>
      <x:c r="H1616" s="16" t="str">
        <x:v>Excluded</x:v>
      </x:c>
      <x:c r="I1616" s="16" t="str">
        <x:v>Missing email</x:v>
      </x:c>
    </x:row>
    <x:row r="1617">
      <x:c r="A1617" s="16" t="n">
        <x:v>1614</x:v>
      </x:c>
      <x:c r="B1617" s="16" t="str">
        <x:v>Cikgu Huzam Helmi</x:v>
      </x:c>
      <x:c r="C1617" s="16" t="str"/>
      <x:c r="D1617" s="16" t="str"/>
      <x:c r="E1617" s="16" t="str">
        <x:v>* myContacts</x:v>
      </x:c>
      <x:c r="F1617" s="16" t="str">
        <x:v>0126246737 | +60126246737</x:v>
      </x:c>
      <x:c r="G1617" s="16" t="str">
        <x:v>+60126246737 | +60126246737</x:v>
      </x:c>
      <x:c r="H1617" s="16" t="str">
        <x:v>Excluded</x:v>
      </x:c>
      <x:c r="I1617" s="16" t="str">
        <x:v>Missing email</x:v>
      </x:c>
    </x:row>
    <x:row r="1618">
      <x:c r="A1618" s="16" t="n">
        <x:v>1615</x:v>
      </x:c>
      <x:c r="B1618" s="16" t="str">
        <x:v>Cikgu Ina NGO Usahawan Wanita Terengganu</x:v>
      </x:c>
      <x:c r="C1618" s="16" t="str"/>
      <x:c r="D1618" s="16" t="str"/>
      <x:c r="E1618" s="16" t="str">
        <x:v>* myContacts</x:v>
      </x:c>
      <x:c r="F1618" s="16" t="str">
        <x:v>+60 13-981 5818 | +60139815818</x:v>
      </x:c>
      <x:c r="G1618" s="16" t="str">
        <x:v>+60139815818 | +60139815818</x:v>
      </x:c>
      <x:c r="H1618" s="16" t="str">
        <x:v>Excluded</x:v>
      </x:c>
      <x:c r="I1618" s="16" t="str">
        <x:v>Missing email</x:v>
      </x:c>
    </x:row>
    <x:row r="1619">
      <x:c r="A1619" s="16" t="n">
        <x:v>1616</x:v>
      </x:c>
      <x:c r="B1619" s="16" t="str">
        <x:v>Cikgu Iqmal</x:v>
      </x:c>
      <x:c r="C1619" s="16" t="str"/>
      <x:c r="D1619" s="16" t="str"/>
      <x:c r="E1619" s="16" t="str">
        <x:v>* myContacts</x:v>
      </x:c>
      <x:c r="F1619" s="16" t="str">
        <x:v>+60 16-402 9101 | +60164029101</x:v>
      </x:c>
      <x:c r="G1619" s="16" t="str">
        <x:v>+60164029101 | +60164029101</x:v>
      </x:c>
      <x:c r="H1619" s="16" t="str">
        <x:v>Excluded</x:v>
      </x:c>
      <x:c r="I1619" s="16" t="str">
        <x:v>Missing email</x:v>
      </x:c>
    </x:row>
    <x:row r="1620">
      <x:c r="A1620" s="16" t="n">
        <x:v>1617</x:v>
      </x:c>
      <x:c r="B1620" s="16" t="str">
        <x:v>Cikgu Irodologi Mohd Noor</x:v>
      </x:c>
      <x:c r="C1620" s="16" t="str"/>
      <x:c r="D1620" s="16" t="str"/>
      <x:c r="E1620" s="16" t="str">
        <x:v>* myContacts</x:v>
      </x:c>
      <x:c r="F1620" s="16" t="str">
        <x:v>0173776117 | +60173776117</x:v>
      </x:c>
      <x:c r="G1620" s="16" t="str">
        <x:v>+60173776117 | +60173776117</x:v>
      </x:c>
      <x:c r="H1620" s="16" t="str">
        <x:v>Excluded</x:v>
      </x:c>
      <x:c r="I1620" s="16" t="str">
        <x:v>Missing email</x:v>
      </x:c>
    </x:row>
    <x:row r="1621">
      <x:c r="A1621" s="16" t="n">
        <x:v>1618</x:v>
      </x:c>
      <x:c r="B1621" s="16" t="str">
        <x:v>CIKGU IZHAM</x:v>
      </x:c>
      <x:c r="C1621" s="16" t="str"/>
      <x:c r="D1621" s="16" t="str"/>
      <x:c r="E1621" s="16" t="str">
        <x:v>* myContacts</x:v>
      </x:c>
      <x:c r="F1621" s="16" t="str">
        <x:v>+60123756475</x:v>
      </x:c>
      <x:c r="G1621" s="16" t="str">
        <x:v>+60123756475</x:v>
      </x:c>
      <x:c r="H1621" s="16" t="str">
        <x:v>Excluded</x:v>
      </x:c>
      <x:c r="I1621" s="16" t="str">
        <x:v>Missing email</x:v>
      </x:c>
    </x:row>
    <x:row r="1622">
      <x:c r="A1622" s="16" t="n">
        <x:v>1619</x:v>
      </x:c>
      <x:c r="B1622" s="16" t="str">
        <x:v>cikgu izz</x:v>
      </x:c>
      <x:c r="C1622" s="16" t="str"/>
      <x:c r="D1622" s="16" t="str"/>
      <x:c r="E1622" s="16" t="str">
        <x:v>* myContacts</x:v>
      </x:c>
      <x:c r="F1622" s="16" t="str">
        <x:v>+601157509897</x:v>
      </x:c>
      <x:c r="G1622" s="16" t="str">
        <x:v>+601157509897</x:v>
      </x:c>
      <x:c r="H1622" s="16" t="str">
        <x:v>Excluded</x:v>
      </x:c>
      <x:c r="I1622" s="16" t="str">
        <x:v>Missing email</x:v>
      </x:c>
    </x:row>
    <x:row r="1623">
      <x:c r="A1623" s="16" t="n">
        <x:v>1620</x:v>
      </x:c>
      <x:c r="B1623" s="16" t="str">
        <x:v>Cikgu K PAKAR NLP</x:v>
      </x:c>
      <x:c r="C1623" s="16" t="str"/>
      <x:c r="D1623" s="16" t="str"/>
      <x:c r="E1623" s="16" t="str">
        <x:v>* myContacts</x:v>
      </x:c>
      <x:c r="F1623" s="16" t="str">
        <x:v>+60 19-389 7580 | +60193897580</x:v>
      </x:c>
      <x:c r="G1623" s="16" t="str">
        <x:v>+60193897580 | +60193897580</x:v>
      </x:c>
      <x:c r="H1623" s="16" t="str">
        <x:v>Excluded</x:v>
      </x:c>
      <x:c r="I1623" s="16" t="str">
        <x:v>Missing email</x:v>
      </x:c>
    </x:row>
    <x:row r="1624">
      <x:c r="A1624" s="16" t="n">
        <x:v>1621</x:v>
      </x:c>
      <x:c r="B1624" s="16" t="str">
        <x:v>Cikgu Marz Projaya</x:v>
      </x:c>
      <x:c r="C1624" s="16" t="str"/>
      <x:c r="D1624" s="16" t="str"/>
      <x:c r="E1624" s="16" t="str">
        <x:v>* myContacts</x:v>
      </x:c>
      <x:c r="F1624" s="16" t="str">
        <x:v>+60 18-387 6266 | +60183876266</x:v>
      </x:c>
      <x:c r="G1624" s="16" t="str">
        <x:v>+60183876266 | +60183876266</x:v>
      </x:c>
      <x:c r="H1624" s="16" t="str">
        <x:v>Excluded</x:v>
      </x:c>
      <x:c r="I1624" s="16" t="str">
        <x:v>Missing email</x:v>
      </x:c>
    </x:row>
    <x:row r="1625">
      <x:c r="A1625" s="16" t="n">
        <x:v>1622</x:v>
      </x:c>
      <x:c r="B1625" s="16" t="str">
        <x:v>cikgu mizan Ads</x:v>
      </x:c>
      <x:c r="C1625" s="16" t="str"/>
      <x:c r="D1625" s="16" t="str"/>
      <x:c r="E1625" s="16" t="str">
        <x:v>* myContacts</x:v>
      </x:c>
      <x:c r="F1625" s="16" t="str">
        <x:v>0124732501 | +60124732501</x:v>
      </x:c>
      <x:c r="G1625" s="16" t="str">
        <x:v>+60124732501 | +60124732501</x:v>
      </x:c>
      <x:c r="H1625" s="16" t="str">
        <x:v>Excluded</x:v>
      </x:c>
      <x:c r="I1625" s="16" t="str">
        <x:v>Missing email</x:v>
      </x:c>
    </x:row>
    <x:row r="1626">
      <x:c r="A1626" s="16" t="n">
        <x:v>1623</x:v>
      </x:c>
      <x:c r="B1626" s="16" t="str">
        <x:v>cikgu muaz</x:v>
      </x:c>
      <x:c r="C1626" s="16" t="str"/>
      <x:c r="D1626" s="16" t="str"/>
      <x:c r="E1626" s="16" t="str">
        <x:v>* myContacts</x:v>
      </x:c>
      <x:c r="F1626" s="16" t="str">
        <x:v>0145464681 | +60145464681</x:v>
      </x:c>
      <x:c r="G1626" s="16" t="str">
        <x:v>+60145464681 | +60145464681</x:v>
      </x:c>
      <x:c r="H1626" s="16" t="str">
        <x:v>Excluded</x:v>
      </x:c>
      <x:c r="I1626" s="16" t="str">
        <x:v>Missing email</x:v>
      </x:c>
    </x:row>
    <x:row r="1627">
      <x:c r="A1627" s="16" t="n">
        <x:v>1624</x:v>
      </x:c>
      <x:c r="B1627" s="16" t="str">
        <x:v>CIKGU NAZIRAH CIKGU 6 CERDIK DULU</x:v>
      </x:c>
      <x:c r="C1627" s="16" t="str"/>
      <x:c r="D1627" s="16" t="str"/>
      <x:c r="E1627" s="16" t="str">
        <x:v>* myContacts</x:v>
      </x:c>
      <x:c r="F1627" s="16" t="str">
        <x:v>+60194283907</x:v>
      </x:c>
      <x:c r="G1627" s="16" t="str">
        <x:v>+60194283907</x:v>
      </x:c>
      <x:c r="H1627" s="16" t="str">
        <x:v>Excluded</x:v>
      </x:c>
      <x:c r="I1627" s="16" t="str">
        <x:v>Missing email</x:v>
      </x:c>
    </x:row>
    <x:row r="1628">
      <x:c r="A1628" s="16" t="n">
        <x:v>1625</x:v>
      </x:c>
      <x:c r="B1628" s="16" t="str">
        <x:v>cikgu noorhasimi agp agp</x:v>
      </x:c>
      <x:c r="C1628" s="16" t="str"/>
      <x:c r="D1628" s="16" t="str"/>
      <x:c r="E1628" s="16" t="str">
        <x:v>* myContacts</x:v>
      </x:c>
      <x:c r="F1628" s="16" t="str">
        <x:v>+60132375600</x:v>
      </x:c>
      <x:c r="G1628" s="16" t="str">
        <x:v>+60132375600</x:v>
      </x:c>
      <x:c r="H1628" s="16" t="str">
        <x:v>Excluded</x:v>
      </x:c>
      <x:c r="I1628" s="16" t="str">
        <x:v>Missing email</x:v>
      </x:c>
    </x:row>
    <x:row r="1629">
      <x:c r="A1629" s="16" t="n">
        <x:v>1626</x:v>
      </x:c>
      <x:c r="B1629" s="16" t="str">
        <x:v>CIKGU PERUMAL</x:v>
      </x:c>
      <x:c r="C1629" s="16" t="str"/>
      <x:c r="D1629" s="16" t="str"/>
      <x:c r="E1629" s="16" t="str">
        <x:v>* myContacts</x:v>
      </x:c>
      <x:c r="F1629" s="16" t="str">
        <x:v>+60192386974</x:v>
      </x:c>
      <x:c r="G1629" s="16" t="str">
        <x:v>+60192386974</x:v>
      </x:c>
      <x:c r="H1629" s="16" t="str">
        <x:v>Excluded</x:v>
      </x:c>
      <x:c r="I1629" s="16" t="str">
        <x:v>Missing email</x:v>
      </x:c>
    </x:row>
    <x:row r="1630">
      <x:c r="A1630" s="16" t="n">
        <x:v>1627</x:v>
      </x:c>
      <x:c r="B1630" s="16" t="str">
        <x:v>Cikgu Radi Plumber</x:v>
      </x:c>
      <x:c r="C1630" s="16" t="str"/>
      <x:c r="D1630" s="16" t="str"/>
      <x:c r="E1630" s="16" t="str">
        <x:v>* myContacts</x:v>
      </x:c>
      <x:c r="F1630" s="16" t="str">
        <x:v>+60 19-572 7507 | +60195727507</x:v>
      </x:c>
      <x:c r="G1630" s="16" t="str">
        <x:v>+60195727507 | +60195727507</x:v>
      </x:c>
      <x:c r="H1630" s="16" t="str">
        <x:v>Excluded</x:v>
      </x:c>
      <x:c r="I1630" s="16" t="str">
        <x:v>Missing email</x:v>
      </x:c>
    </x:row>
    <x:row r="1631">
      <x:c r="A1631" s="16" t="n">
        <x:v>1628</x:v>
      </x:c>
      <x:c r="B1631" s="16" t="str">
        <x:v>Cikgu Razak Export</x:v>
      </x:c>
      <x:c r="C1631" s="16" t="str"/>
      <x:c r="D1631" s="16" t="str"/>
      <x:c r="E1631" s="16" t="str">
        <x:v>* myContacts</x:v>
      </x:c>
      <x:c r="F1631" s="16" t="str">
        <x:v>0134739790 | +60134739790</x:v>
      </x:c>
      <x:c r="G1631" s="16" t="str">
        <x:v>+60134739790 | +60134739790</x:v>
      </x:c>
      <x:c r="H1631" s="16" t="str">
        <x:v>Excluded</x:v>
      </x:c>
      <x:c r="I1631" s="16" t="str">
        <x:v>Missing email</x:v>
      </x:c>
    </x:row>
    <x:row r="1632">
      <x:c r="A1632" s="16" t="n">
        <x:v>1629</x:v>
      </x:c>
      <x:c r="B1632" s="16" t="str">
        <x:v>CIKGU ROSMADIA</x:v>
      </x:c>
      <x:c r="C1632" s="16" t="str"/>
      <x:c r="D1632" s="16" t="str"/>
      <x:c r="E1632" s="16" t="str">
        <x:v>* myContacts</x:v>
      </x:c>
      <x:c r="F1632" s="16" t="str">
        <x:v>+60193901002</x:v>
      </x:c>
      <x:c r="G1632" s="16" t="str">
        <x:v>+60193901002</x:v>
      </x:c>
      <x:c r="H1632" s="16" t="str">
        <x:v>Excluded</x:v>
      </x:c>
      <x:c r="I1632" s="16" t="str">
        <x:v>Missing email</x:v>
      </x:c>
    </x:row>
    <x:row r="1633">
      <x:c r="A1633" s="16" t="n">
        <x:v>1630</x:v>
      </x:c>
      <x:c r="B1633" s="16" t="str">
        <x:v>Cikgu Saif Agent Developer</x:v>
      </x:c>
      <x:c r="C1633" s="16" t="str"/>
      <x:c r="D1633" s="16" t="str"/>
      <x:c r="E1633" s="16" t="str">
        <x:v>* myContacts</x:v>
      </x:c>
      <x:c r="F1633" s="16" t="str">
        <x:v>0192922554 | +60192922554 | 0132328266</x:v>
      </x:c>
      <x:c r="G1633" s="16" t="str">
        <x:v>+60192922554 | +60192922554 | +60132328266</x:v>
      </x:c>
      <x:c r="H1633" s="16" t="str">
        <x:v>Excluded</x:v>
      </x:c>
      <x:c r="I1633" s="16" t="str">
        <x:v>Missing email</x:v>
      </x:c>
    </x:row>
    <x:row r="1634">
      <x:c r="A1634" s="16" t="n">
        <x:v>1631</x:v>
      </x:c>
      <x:c r="B1634" s="16" t="str">
        <x:v>Cikgu Salina Stephen</x:v>
      </x:c>
      <x:c r="C1634" s="16" t="str"/>
      <x:c r="D1634" s="16" t="str"/>
      <x:c r="E1634" s="16" t="str">
        <x:v>* myContacts</x:v>
      </x:c>
      <x:c r="F1634" s="16" t="str">
        <x:v>+60 19-288 2777 | +60192882777</x:v>
      </x:c>
      <x:c r="G1634" s="16" t="str">
        <x:v>+60192882777 | +60192882777</x:v>
      </x:c>
      <x:c r="H1634" s="16" t="str">
        <x:v>Excluded</x:v>
      </x:c>
      <x:c r="I1634" s="16" t="str">
        <x:v>Missing email</x:v>
      </x:c>
    </x:row>
    <x:row r="1635">
      <x:c r="A1635" s="16" t="n">
        <x:v>1632</x:v>
      </x:c>
      <x:c r="B1635" s="16" t="str">
        <x:v>cikgu sham food stylist</x:v>
      </x:c>
      <x:c r="C1635" s="16" t="str"/>
      <x:c r="D1635" s="16" t="str"/>
      <x:c r="E1635" s="16" t="str">
        <x:v>* myContacts</x:v>
      </x:c>
      <x:c r="F1635" s="16" t="str">
        <x:v>019-229 7223 | +60192297223</x:v>
      </x:c>
      <x:c r="G1635" s="16" t="str">
        <x:v>+60192297223 | +60192297223</x:v>
      </x:c>
      <x:c r="H1635" s="16" t="str">
        <x:v>Excluded</x:v>
      </x:c>
      <x:c r="I1635" s="16" t="str">
        <x:v>Missing email</x:v>
      </x:c>
    </x:row>
    <x:row r="1636">
      <x:c r="A1636" s="16" t="n">
        <x:v>1633</x:v>
      </x:c>
      <x:c r="B1636" s="16" t="str">
        <x:v>cikgu sham ppmm</x:v>
      </x:c>
      <x:c r="C1636" s="16" t="str"/>
      <x:c r="D1636" s="16" t="str"/>
      <x:c r="E1636" s="16" t="str">
        <x:v>* myContacts</x:v>
      </x:c>
      <x:c r="F1636" s="16" t="str">
        <x:v>+60 12-339 3637 | +60123393637</x:v>
      </x:c>
      <x:c r="G1636" s="16" t="str">
        <x:v>+60123393637 | +60123393637</x:v>
      </x:c>
      <x:c r="H1636" s="16" t="str">
        <x:v>Excluded</x:v>
      </x:c>
      <x:c r="I1636" s="16" t="str">
        <x:v>Missing email</x:v>
      </x:c>
    </x:row>
    <x:row r="1637">
      <x:c r="A1637" s="16" t="n">
        <x:v>1634</x:v>
      </x:c>
      <x:c r="B1637" s="16" t="str">
        <x:v>CIKGU SUHAILA</x:v>
      </x:c>
      <x:c r="C1637" s="16" t="str"/>
      <x:c r="D1637" s="16" t="str"/>
      <x:c r="E1637" s="16" t="str">
        <x:v>* myContacts</x:v>
      </x:c>
      <x:c r="F1637" s="16" t="str">
        <x:v>+60194601545</x:v>
      </x:c>
      <x:c r="G1637" s="16" t="str">
        <x:v>+60194601545</x:v>
      </x:c>
      <x:c r="H1637" s="16" t="str">
        <x:v>Excluded</x:v>
      </x:c>
      <x:c r="I1637" s="16" t="str">
        <x:v>Missing email</x:v>
      </x:c>
    </x:row>
    <x:row r="1638">
      <x:c r="A1638" s="16" t="n">
        <x:v>1635</x:v>
      </x:c>
      <x:c r="B1638" s="16" t="str">
        <x:v>Cikgu Sumaiyah Kolej Vokasional</x:v>
      </x:c>
      <x:c r="C1638" s="16" t="str"/>
      <x:c r="D1638" s="16" t="str"/>
      <x:c r="E1638" s="16" t="str">
        <x:v>* myContacts</x:v>
      </x:c>
      <x:c r="F1638" s="16" t="str">
        <x:v>+60 19-369 8721 | +60193698721</x:v>
      </x:c>
      <x:c r="G1638" s="16" t="str">
        <x:v>+60193698721 | +60193698721</x:v>
      </x:c>
      <x:c r="H1638" s="16" t="str">
        <x:v>Excluded</x:v>
      </x:c>
      <x:c r="I1638" s="16" t="str">
        <x:v>Missing email</x:v>
      </x:c>
    </x:row>
    <x:row r="1639">
      <x:c r="A1639" s="16" t="n">
        <x:v>1636</x:v>
      </x:c>
      <x:c r="B1639" s="16" t="str">
        <x:v>Cikgu Yaser Mynic</x:v>
      </x:c>
      <x:c r="C1639" s="16" t="str"/>
      <x:c r="D1639" s="16" t="str"/>
      <x:c r="E1639" s="16" t="str">
        <x:v>* myContacts</x:v>
      </x:c>
      <x:c r="F1639" s="16" t="str">
        <x:v>+60 19-800 0017 | +60198000017</x:v>
      </x:c>
      <x:c r="G1639" s="16" t="str">
        <x:v>+60198000017 | +60198000017</x:v>
      </x:c>
      <x:c r="H1639" s="16" t="str">
        <x:v>Excluded</x:v>
      </x:c>
      <x:c r="I1639" s="16" t="str">
        <x:v>Missing email</x:v>
      </x:c>
    </x:row>
    <x:row r="1640">
      <x:c r="A1640" s="16" t="n">
        <x:v>1637</x:v>
      </x:c>
      <x:c r="B1640" s="16" t="str">
        <x:v>Cikgu Zaidi Emas</x:v>
      </x:c>
      <x:c r="C1640" s="16" t="str"/>
      <x:c r="D1640" s="16" t="str"/>
      <x:c r="E1640" s="16" t="str">
        <x:v>* myContacts</x:v>
      </x:c>
      <x:c r="F1640" s="16" t="str">
        <x:v>+60199185593</x:v>
      </x:c>
      <x:c r="G1640" s="16" t="str">
        <x:v>+60199185593</x:v>
      </x:c>
      <x:c r="H1640" s="16" t="str">
        <x:v>Excluded</x:v>
      </x:c>
      <x:c r="I1640" s="16" t="str">
        <x:v>Missing email</x:v>
      </x:c>
    </x:row>
    <x:row r="1641">
      <x:c r="A1641" s="16" t="n">
        <x:v>1638</x:v>
      </x:c>
      <x:c r="B1641" s="16" t="str">
        <x:v>Cikk Nrl</x:v>
      </x:c>
      <x:c r="C1641" s="16" t="str"/>
      <x:c r="D1641" s="16" t="str"/>
      <x:c r="E1641" s="16" t="str">
        <x:v>* myContacts</x:v>
      </x:c>
      <x:c r="F1641" s="16" t="str">
        <x:v>+60175528824</x:v>
      </x:c>
      <x:c r="G1641" s="16" t="str">
        <x:v>+60175528824</x:v>
      </x:c>
      <x:c r="H1641" s="16" t="str">
        <x:v>Excluded</x:v>
      </x:c>
      <x:c r="I1641" s="16" t="str">
        <x:v>Missing email</x:v>
      </x:c>
    </x:row>
    <x:row r="1642">
      <x:c r="A1642" s="16" t="n">
        <x:v>1639</x:v>
      </x:c>
      <x:c r="B1642" s="16" t="str">
        <x:v>Cikk Nrl, IV IV</x:v>
      </x:c>
      <x:c r="C1642" s="16" t="str"/>
      <x:c r="D1642" s="16" t="str"/>
      <x:c r="E1642" s="16" t="str">
        <x:v>* myContacts</x:v>
      </x:c>
      <x:c r="F1642" s="16" t="str">
        <x:v>+60175528824</x:v>
      </x:c>
      <x:c r="G1642" s="16" t="str">
        <x:v>+60175528824</x:v>
      </x:c>
      <x:c r="H1642" s="16" t="str">
        <x:v>Excluded</x:v>
      </x:c>
      <x:c r="I1642" s="16" t="str">
        <x:v>Missing email</x:v>
      </x:c>
    </x:row>
    <x:row r="1643">
      <x:c r="A1643" s="16" t="n">
        <x:v>1640</x:v>
      </x:c>
      <x:c r="B1643" s="16" t="str">
        <x:v>Cikk Shitaa</x:v>
      </x:c>
      <x:c r="C1643" s="16" t="str"/>
      <x:c r="D1643" s="16" t="str"/>
      <x:c r="E1643" s="16" t="str">
        <x:v>* myContacts</x:v>
      </x:c>
      <x:c r="F1643" s="16" t="str">
        <x:v>+60174596204</x:v>
      </x:c>
      <x:c r="G1643" s="16" t="str">
        <x:v>+60174596204</x:v>
      </x:c>
      <x:c r="H1643" s="16" t="str">
        <x:v>Excluded</x:v>
      </x:c>
      <x:c r="I1643" s="16" t="str">
        <x:v>Missing email</x:v>
      </x:c>
    </x:row>
    <x:row r="1644">
      <x:c r="A1644" s="16" t="n">
        <x:v>1641</x:v>
      </x:c>
      <x:c r="B1644" s="16" t="str">
        <x:v>Ciksue Suzrynn</x:v>
      </x:c>
      <x:c r="C1644" s="16" t="str"/>
      <x:c r="D1644" s="16" t="str"/>
      <x:c r="E1644" s="16" t="str">
        <x:v>* myContacts</x:v>
      </x:c>
      <x:c r="F1644" s="16" t="str">
        <x:v>+60145346234</x:v>
      </x:c>
      <x:c r="G1644" s="16" t="str">
        <x:v>+60145346234</x:v>
      </x:c>
      <x:c r="H1644" s="16" t="str">
        <x:v>Excluded</x:v>
      </x:c>
      <x:c r="I1644" s="16" t="str">
        <x:v>Missing email</x:v>
      </x:c>
    </x:row>
    <x:row r="1645">
      <x:c r="A1645" s="16" t="n">
        <x:v>1642</x:v>
      </x:c>
      <x:c r="B1645" s="16" t="str">
        <x:v>Cikteja Khadijah</x:v>
      </x:c>
      <x:c r="C1645" s="16" t="str"/>
      <x:c r="D1645" s="16" t="str"/>
      <x:c r="E1645" s="16" t="str">
        <x:v>* myContacts</x:v>
      </x:c>
      <x:c r="F1645" s="16" t="str">
        <x:v>+60129111407</x:v>
      </x:c>
      <x:c r="G1645" s="16" t="str">
        <x:v>+60129111407</x:v>
      </x:c>
      <x:c r="H1645" s="16" t="str">
        <x:v>Excluded</x:v>
      </x:c>
      <x:c r="I1645" s="16" t="str">
        <x:v>Missing email</x:v>
      </x:c>
    </x:row>
    <x:row r="1646">
      <x:c r="A1646" s="16" t="n">
        <x:v>1643</x:v>
      </x:c>
      <x:c r="B1646" s="16" t="str">
        <x:v>Citarasa D'Seroja</x:v>
      </x:c>
      <x:c r="C1646" s="16" t="str"/>
      <x:c r="D1646" s="16" t="str"/>
      <x:c r="E1646" s="16" t="str">
        <x:v>* myContacts</x:v>
      </x:c>
      <x:c r="F1646" s="16" t="str">
        <x:v>+60193666812</x:v>
      </x:c>
      <x:c r="G1646" s="16" t="str">
        <x:v>+60193666812</x:v>
      </x:c>
      <x:c r="H1646" s="16" t="str">
        <x:v>Excluded</x:v>
      </x:c>
      <x:c r="I1646" s="16" t="str">
        <x:v>Missing email</x:v>
      </x:c>
    </x:row>
    <x:row r="1647">
      <x:c r="A1647" s="16" t="n">
        <x:v>1644</x:v>
      </x:c>
      <x:c r="B1647" s="16" t="str">
        <x:v>Ck Canai</x:v>
      </x:c>
      <x:c r="C1647" s="16" t="str"/>
      <x:c r="D1647" s="16" t="str"/>
      <x:c r="E1647" s="16" t="str">
        <x:v>* myContacts</x:v>
      </x:c>
      <x:c r="F1647" s="16" t="str">
        <x:v>+60178060594</x:v>
      </x:c>
      <x:c r="G1647" s="16" t="str">
        <x:v>+60178060594</x:v>
      </x:c>
      <x:c r="H1647" s="16" t="str">
        <x:v>Excluded</x:v>
      </x:c>
      <x:c r="I1647" s="16" t="str">
        <x:v>Missing email</x:v>
      </x:c>
    </x:row>
    <x:row r="1648">
      <x:c r="A1648" s="16" t="n">
        <x:v>1645</x:v>
      </x:c>
      <x:c r="B1648" s="16" t="str">
        <x:v>claim citra</x:v>
      </x:c>
      <x:c r="C1648" s="16" t="str"/>
      <x:c r="D1648" s="16" t="str"/>
      <x:c r="E1648" s="16" t="str">
        <x:v>* myContacts</x:v>
      </x:c>
      <x:c r="F1648" s="16" t="str">
        <x:v>+601131958247</x:v>
      </x:c>
      <x:c r="G1648" s="16" t="str">
        <x:v>+601131958247</x:v>
      </x:c>
      <x:c r="H1648" s="16" t="str">
        <x:v>Excluded</x:v>
      </x:c>
      <x:c r="I1648" s="16" t="str">
        <x:v>Missing email</x:v>
      </x:c>
    </x:row>
    <x:row r="1649">
      <x:c r="A1649" s="16" t="n">
        <x:v>1646</x:v>
      </x:c>
      <x:c r="B1649" s="16" t="str">
        <x:v>Clair Deevy</x:v>
      </x:c>
      <x:c r="C1649" s="16" t="str">
        <x:v>claird@fb.com</x:v>
      </x:c>
      <x:c r="D1649" s="16" t="str">
        <x:v>claird@fb.com</x:v>
      </x:c>
      <x:c r="E1649" s="16" t="str">
        <x:v>* myContacts</x:v>
      </x:c>
      <x:c r="F1649" s="16" t="str">
        <x:v>+6564206653 | +6588690396</x:v>
      </x:c>
      <x:c r="G1649" s="16" t="str">
        <x:v>+6564206653 | +6588690396</x:v>
      </x:c>
      <x:c r="H1649" s="16" t="str">
        <x:v>Eligible</x:v>
      </x:c>
      <x:c r="I1649" s="16" t="str"/>
    </x:row>
    <x:row r="1650">
      <x:c r="A1650" s="16" t="n">
        <x:v>1647</x:v>
      </x:c>
      <x:c r="B1650" s="16" t="str">
        <x:v>Classic Aroma</x:v>
      </x:c>
      <x:c r="C1650" s="16" t="str"/>
      <x:c r="D1650" s="16" t="str"/>
      <x:c r="E1650" s="16" t="str">
        <x:v>* myContacts</x:v>
      </x:c>
      <x:c r="F1650" s="16" t="str">
        <x:v>+60174377341</x:v>
      </x:c>
      <x:c r="G1650" s="16" t="str">
        <x:v>+60174377341</x:v>
      </x:c>
      <x:c r="H1650" s="16" t="str">
        <x:v>Excluded</x:v>
      </x:c>
      <x:c r="I1650" s="16" t="str">
        <x:v>Missing email</x:v>
      </x:c>
    </x:row>
    <x:row r="1651">
      <x:c r="A1651" s="16" t="n">
        <x:v>1648</x:v>
      </x:c>
      <x:c r="B1651" s="16" t="str">
        <x:v>Cleverland Teacher Shiela</x:v>
      </x:c>
      <x:c r="C1651" s="16" t="str"/>
      <x:c r="D1651" s="16" t="str"/>
      <x:c r="E1651" s="16" t="str">
        <x:v>* myContacts</x:v>
      </x:c>
      <x:c r="F1651" s="16" t="str">
        <x:v>+60 14-967 9680 | +60149679680</x:v>
      </x:c>
      <x:c r="G1651" s="16" t="str">
        <x:v>+60149679680 | +60149679680</x:v>
      </x:c>
      <x:c r="H1651" s="16" t="str">
        <x:v>Excluded</x:v>
      </x:c>
      <x:c r="I1651" s="16" t="str">
        <x:v>Missing email</x:v>
      </x:c>
    </x:row>
    <x:row r="1652">
      <x:c r="A1652" s="16" t="n">
        <x:v>1649</x:v>
      </x:c>
      <x:c r="B1652" s="16" t="str">
        <x:v>Client Amir</x:v>
      </x:c>
      <x:c r="C1652" s="16" t="str"/>
      <x:c r="D1652" s="16" t="str"/>
      <x:c r="E1652" s="16" t="str">
        <x:v>* myContacts</x:v>
      </x:c>
      <x:c r="F1652" s="16" t="str">
        <x:v>+60123156950</x:v>
      </x:c>
      <x:c r="G1652" s="16" t="str">
        <x:v>+60123156950</x:v>
      </x:c>
      <x:c r="H1652" s="16" t="str">
        <x:v>Excluded</x:v>
      </x:c>
      <x:c r="I1652" s="16" t="str">
        <x:v>Missing email</x:v>
      </x:c>
    </x:row>
    <x:row r="1653">
      <x:c r="A1653" s="16" t="n">
        <x:v>1650</x:v>
      </x:c>
      <x:c r="B1653" s="16" t="str">
        <x:v>Client CWA Shah Naz</x:v>
      </x:c>
      <x:c r="C1653" s="16" t="str"/>
      <x:c r="D1653" s="16" t="str"/>
      <x:c r="E1653" s="16" t="str">
        <x:v>* myContacts</x:v>
      </x:c>
      <x:c r="F1653" s="16" t="str">
        <x:v>+60 19-332 3413 | +60193323413</x:v>
      </x:c>
      <x:c r="G1653" s="16" t="str">
        <x:v>+60193323413 | +60193323413</x:v>
      </x:c>
      <x:c r="H1653" s="16" t="str">
        <x:v>Excluded</x:v>
      </x:c>
      <x:c r="I1653" s="16" t="str">
        <x:v>Missing email</x:v>
      </x:c>
    </x:row>
    <x:row r="1654">
      <x:c r="A1654" s="16" t="n">
        <x:v>1651</x:v>
      </x:c>
      <x:c r="B1654" s="16" t="str">
        <x:v>Client En Md Nor CWA</x:v>
      </x:c>
      <x:c r="C1654" s="16" t="str"/>
      <x:c r="D1654" s="16" t="str"/>
      <x:c r="E1654" s="16" t="str">
        <x:v>* myContacts</x:v>
      </x:c>
      <x:c r="F1654" s="16" t="str">
        <x:v>+60 12-972 8181 | +60129728181</x:v>
      </x:c>
      <x:c r="G1654" s="16" t="str">
        <x:v>+60129728181 | +60129728181</x:v>
      </x:c>
      <x:c r="H1654" s="16" t="str">
        <x:v>Excluded</x:v>
      </x:c>
      <x:c r="I1654" s="16" t="str">
        <x:v>Missing email</x:v>
      </x:c>
    </x:row>
    <x:row r="1655">
      <x:c r="A1655" s="16" t="n">
        <x:v>1652</x:v>
      </x:c>
      <x:c r="B1655" s="16" t="str">
        <x:v>Coach Abg Rizal</x:v>
      </x:c>
      <x:c r="C1655" s="16" t="str"/>
      <x:c r="D1655" s="16" t="str"/>
      <x:c r="E1655" s="16" t="str">
        <x:v>Trainer | * myContacts</x:v>
      </x:c>
      <x:c r="F1655" s="16" t="str">
        <x:v>+60 18-406 6544 | +60184066544</x:v>
      </x:c>
      <x:c r="G1655" s="16" t="str">
        <x:v>+60184066544 | +60184066544</x:v>
      </x:c>
      <x:c r="H1655" s="16" t="str">
        <x:v>Excluded</x:v>
      </x:c>
      <x:c r="I1655" s="16" t="str">
        <x:v>Missing email</x:v>
      </x:c>
    </x:row>
    <x:row r="1656">
      <x:c r="A1656" s="16" t="n">
        <x:v>1653</x:v>
      </x:c>
      <x:c r="B1656" s="16" t="str">
        <x:v>Coach Abu Barzah</x:v>
      </x:c>
      <x:c r="C1656" s="16" t="str"/>
      <x:c r="D1656" s="16" t="str"/>
      <x:c r="E1656" s="16" t="str">
        <x:v>Trainer | * myContacts</x:v>
      </x:c>
      <x:c r="F1656" s="16" t="str">
        <x:v>+60 16-666 1607 | +60166661607</x:v>
      </x:c>
      <x:c r="G1656" s="16" t="str">
        <x:v>+60166661607 | +60166661607</x:v>
      </x:c>
      <x:c r="H1656" s="16" t="str">
        <x:v>Excluded</x:v>
      </x:c>
      <x:c r="I1656" s="16" t="str">
        <x:v>Missing email</x:v>
      </x:c>
    </x:row>
    <x:row r="1657">
      <x:c r="A1657" s="16" t="n">
        <x:v>1654</x:v>
      </x:c>
      <x:c r="B1657" s="16" t="str">
        <x:v>Coach Account Shahira</x:v>
      </x:c>
      <x:c r="C1657" s="16" t="str"/>
      <x:c r="D1657" s="16" t="str"/>
      <x:c r="E1657" s="16" t="str">
        <x:v>Trainer | * myContacts</x:v>
      </x:c>
      <x:c r="F1657" s="16" t="str">
        <x:v>+60 16-941 9985 | +60169419985</x:v>
      </x:c>
      <x:c r="G1657" s="16" t="str">
        <x:v>+60169419985 | +60169419985</x:v>
      </x:c>
      <x:c r="H1657" s="16" t="str">
        <x:v>Excluded</x:v>
      </x:c>
      <x:c r="I1657" s="16" t="str">
        <x:v>Missing email</x:v>
      </x:c>
    </x:row>
    <x:row r="1658">
      <x:c r="A1658" s="16" t="n">
        <x:v>1655</x:v>
      </x:c>
      <x:c r="B1658" s="16" t="str">
        <x:v>Coach Afnan</x:v>
      </x:c>
      <x:c r="C1658" s="16" t="str"/>
      <x:c r="D1658" s="16" t="str"/>
      <x:c r="E1658" s="16" t="str">
        <x:v>Trainer | * myContacts</x:v>
      </x:c>
      <x:c r="F1658" s="16" t="str">
        <x:v>+60 12-300 3403 | +60123003403</x:v>
      </x:c>
      <x:c r="G1658" s="16" t="str">
        <x:v>+60123003403 | +60123003403</x:v>
      </x:c>
      <x:c r="H1658" s="16" t="str">
        <x:v>Excluded</x:v>
      </x:c>
      <x:c r="I1658" s="16" t="str">
        <x:v>Missing email</x:v>
      </x:c>
    </x:row>
    <x:row r="1659">
      <x:c r="A1659" s="16" t="n">
        <x:v>1656</x:v>
      </x:c>
      <x:c r="B1659" s="16" t="str">
        <x:v>Coach Ahmad Fadzli</x:v>
      </x:c>
      <x:c r="C1659" s="16" t="str"/>
      <x:c r="D1659" s="16" t="str"/>
      <x:c r="E1659" s="16" t="str">
        <x:v>Trainer | * myContacts</x:v>
      </x:c>
      <x:c r="F1659" s="16" t="str">
        <x:v>+60 13-288 8880 | +60132888880</x:v>
      </x:c>
      <x:c r="G1659" s="16" t="str">
        <x:v>+60132888880 | +60132888880</x:v>
      </x:c>
      <x:c r="H1659" s="16" t="str">
        <x:v>Excluded</x:v>
      </x:c>
      <x:c r="I1659" s="16" t="str">
        <x:v>Missing email</x:v>
      </x:c>
    </x:row>
    <x:row r="1660">
      <x:c r="A1660" s="16" t="n">
        <x:v>1657</x:v>
      </x:c>
      <x:c r="B1660" s="16" t="str">
        <x:v>Coach Akil</x:v>
      </x:c>
      <x:c r="C1660" s="16" t="str"/>
      <x:c r="D1660" s="16" t="str"/>
      <x:c r="E1660" s="16" t="str">
        <x:v>Trainer | * myContacts</x:v>
      </x:c>
      <x:c r="F1660" s="16" t="str">
        <x:v>+60 18-251 0497 | +60182510497</x:v>
      </x:c>
      <x:c r="G1660" s="16" t="str">
        <x:v>+60182510497 | +60182510497</x:v>
      </x:c>
      <x:c r="H1660" s="16" t="str">
        <x:v>Excluded</x:v>
      </x:c>
      <x:c r="I1660" s="16" t="str">
        <x:v>Missing email</x:v>
      </x:c>
    </x:row>
    <x:row r="1661">
      <x:c r="A1661" s="16" t="n">
        <x:v>1658</x:v>
      </x:c>
      <x:c r="B1661" s="16" t="str">
        <x:v>Coach Ali Mynef</x:v>
      </x:c>
      <x:c r="C1661" s="16" t="str"/>
      <x:c r="D1661" s="16" t="str"/>
      <x:c r="E1661" s="16" t="str">
        <x:v>Trainer | * myContacts</x:v>
      </x:c>
      <x:c r="F1661" s="16" t="str">
        <x:v>+60 17-203 1135 | +60172031135</x:v>
      </x:c>
      <x:c r="G1661" s="16" t="str">
        <x:v>+60172031135 | +60172031135</x:v>
      </x:c>
      <x:c r="H1661" s="16" t="str">
        <x:v>Excluded</x:v>
      </x:c>
      <x:c r="I1661" s="16" t="str">
        <x:v>Missing email</x:v>
      </x:c>
    </x:row>
    <x:row r="1662">
      <x:c r="A1662" s="16" t="n">
        <x:v>1659</x:v>
      </x:c>
      <x:c r="B1662" s="16" t="str">
        <x:v>Coach Along Fadzil</x:v>
      </x:c>
      <x:c r="C1662" s="16" t="str"/>
      <x:c r="D1662" s="16" t="str"/>
      <x:c r="E1662" s="16" t="str">
        <x:v>Trainer | * myContacts</x:v>
      </x:c>
      <x:c r="F1662" s="16" t="str">
        <x:v>0199888085 | +60199888085</x:v>
      </x:c>
      <x:c r="G1662" s="16" t="str">
        <x:v>+60199888085 | +60199888085</x:v>
      </x:c>
      <x:c r="H1662" s="16" t="str">
        <x:v>Excluded</x:v>
      </x:c>
      <x:c r="I1662" s="16" t="str">
        <x:v>Missing email</x:v>
      </x:c>
    </x:row>
    <x:row r="1663">
      <x:c r="A1663" s="16" t="n">
        <x:v>1660</x:v>
      </x:c>
      <x:c r="B1663" s="16" t="str">
        <x:v>Coach Annuar Mdec</x:v>
      </x:c>
      <x:c r="C1663" s="16" t="str"/>
      <x:c r="D1663" s="16" t="str"/>
      <x:c r="E1663" s="16" t="str">
        <x:v>Trainer | * myContacts</x:v>
      </x:c>
      <x:c r="F1663" s="16" t="str">
        <x:v>+60 12-669 5761 | +60126695761</x:v>
      </x:c>
      <x:c r="G1663" s="16" t="str">
        <x:v>+60126695761 | +60126695761</x:v>
      </x:c>
      <x:c r="H1663" s="16" t="str">
        <x:v>Excluded</x:v>
      </x:c>
      <x:c r="I1663" s="16" t="str">
        <x:v>Missing email</x:v>
      </x:c>
    </x:row>
    <x:row r="1664">
      <x:c r="A1664" s="16" t="n">
        <x:v>1661</x:v>
      </x:c>
      <x:c r="B1664" s="16" t="str">
        <x:v>Coach Are Key</x:v>
      </x:c>
      <x:c r="C1664" s="16" t="str">
        <x:v>kieno1443h@gmail.com</x:v>
      </x:c>
      <x:c r="D1664" s="16" t="str">
        <x:v>kieno1443h@gmail.com</x:v>
      </x:c>
      <x:c r="E1664" s="16" t="str">
        <x:v>Trainer | * myContacts</x:v>
      </x:c>
      <x:c r="F1664" s="16" t="str">
        <x:v>+60122926120</x:v>
      </x:c>
      <x:c r="G1664" s="16" t="str">
        <x:v>+60122926120</x:v>
      </x:c>
      <x:c r="H1664" s="16" t="str">
        <x:v>Eligible</x:v>
      </x:c>
      <x:c r="I1664" s="16" t="str"/>
    </x:row>
    <x:row r="1665">
      <x:c r="A1665" s="16" t="n">
        <x:v>1662</x:v>
      </x:c>
      <x:c r="B1665" s="16" t="str">
        <x:v>Coach Ashma</x:v>
      </x:c>
      <x:c r="C1665" s="16" t="str"/>
      <x:c r="D1665" s="16" t="str"/>
      <x:c r="E1665" s="16" t="str">
        <x:v>Trainer | * myContacts</x:v>
      </x:c>
      <x:c r="F1665" s="16" t="str">
        <x:v>0127412769 | +60127412769</x:v>
      </x:c>
      <x:c r="G1665" s="16" t="str">
        <x:v>+60127412769 | +60127412769</x:v>
      </x:c>
      <x:c r="H1665" s="16" t="str">
        <x:v>Excluded</x:v>
      </x:c>
      <x:c r="I1665" s="16" t="str">
        <x:v>Missing email</x:v>
      </x:c>
    </x:row>
    <x:row r="1666">
      <x:c r="A1666" s="16" t="n">
        <x:v>1663</x:v>
      </x:c>
      <x:c r="B1666" s="16" t="str">
        <x:v>coach bert</x:v>
      </x:c>
      <x:c r="C1666" s="16" t="str"/>
      <x:c r="D1666" s="16" t="str"/>
      <x:c r="E1666" s="16" t="str">
        <x:v>Trainer | * myContacts</x:v>
      </x:c>
      <x:c r="F1666" s="16" t="str">
        <x:v>+601121293800</x:v>
      </x:c>
      <x:c r="G1666" s="16" t="str">
        <x:v>+601121293800</x:v>
      </x:c>
      <x:c r="H1666" s="16" t="str">
        <x:v>Excluded</x:v>
      </x:c>
      <x:c r="I1666" s="16" t="str">
        <x:v>Missing email</x:v>
      </x:c>
    </x:row>
    <x:row r="1667">
      <x:c r="A1667" s="16" t="n">
        <x:v>1664</x:v>
      </x:c>
      <x:c r="B1667" s="16" t="str">
        <x:v>Coach Bert Phone No 2</x:v>
      </x:c>
      <x:c r="C1667" s="16" t="str"/>
      <x:c r="D1667" s="16" t="str"/>
      <x:c r="E1667" s="16" t="str">
        <x:v>Trainer | * myContacts</x:v>
      </x:c>
      <x:c r="F1667" s="16" t="str">
        <x:v>+60 11-5143 0499 | +601151430499</x:v>
      </x:c>
      <x:c r="G1667" s="16" t="str">
        <x:v>+601151430499 | +601151430499</x:v>
      </x:c>
      <x:c r="H1667" s="16" t="str">
        <x:v>Excluded</x:v>
      </x:c>
      <x:c r="I1667" s="16" t="str">
        <x:v>Missing email</x:v>
      </x:c>
    </x:row>
    <x:row r="1668">
      <x:c r="A1668" s="16" t="n">
        <x:v>1665</x:v>
      </x:c>
      <x:c r="B1668" s="16" t="str">
        <x:v>coach Bob Lay Vee Han mdec trainer</x:v>
      </x:c>
      <x:c r="C1668" s="16" t="str"/>
      <x:c r="D1668" s="16" t="str"/>
      <x:c r="E1668" s="16" t="str">
        <x:v>Trainer | * myContacts</x:v>
      </x:c>
      <x:c r="F1668" s="16" t="str">
        <x:v>+60 11-1229 6641 | +601112296641</x:v>
      </x:c>
      <x:c r="G1668" s="16" t="str">
        <x:v>+601112296641 | +601112296641</x:v>
      </x:c>
      <x:c r="H1668" s="16" t="str">
        <x:v>Excluded</x:v>
      </x:c>
      <x:c r="I1668" s="16" t="str">
        <x:v>Missing email</x:v>
      </x:c>
    </x:row>
    <x:row r="1669">
      <x:c r="A1669" s="16" t="n">
        <x:v>1666</x:v>
      </x:c>
      <x:c r="B1669" s="16" t="str">
        <x:v>coach Daniel Insken</x:v>
      </x:c>
      <x:c r="C1669" s="16" t="str"/>
      <x:c r="D1669" s="16" t="str"/>
      <x:c r="E1669" s="16" t="str">
        <x:v>Alumni INSKEN | Trainer | * myContacts</x:v>
      </x:c>
      <x:c r="F1669" s="16" t="str">
        <x:v>+60 11-1281 1725 | +601112811725</x:v>
      </x:c>
      <x:c r="G1669" s="16" t="str">
        <x:v>+601112811725 | +601112811725</x:v>
      </x:c>
      <x:c r="H1669" s="16" t="str">
        <x:v>Excluded</x:v>
      </x:c>
      <x:c r="I1669" s="16" t="str">
        <x:v>Missing email</x:v>
      </x:c>
    </x:row>
    <x:row r="1670">
      <x:c r="A1670" s="16" t="n">
        <x:v>1667</x:v>
      </x:c>
      <x:c r="B1670" s="16" t="str">
        <x:v>Coach Dina Eusahawan</x:v>
      </x:c>
      <x:c r="C1670" s="16" t="str"/>
      <x:c r="D1670" s="16" t="str"/>
      <x:c r="E1670" s="16" t="str">
        <x:v>Alumni eUsahawan | Trainer | * myContacts</x:v>
      </x:c>
      <x:c r="F1670" s="16" t="str">
        <x:v>+60168455510</x:v>
      </x:c>
      <x:c r="G1670" s="16" t="str">
        <x:v>+60168455510</x:v>
      </x:c>
      <x:c r="H1670" s="16" t="str">
        <x:v>Excluded</x:v>
      </x:c>
      <x:c r="I1670" s="16" t="str">
        <x:v>Missing email</x:v>
      </x:c>
    </x:row>
    <x:row r="1671">
      <x:c r="A1671" s="16" t="n">
        <x:v>1668</x:v>
      </x:c>
      <x:c r="B1671" s="16" t="str">
        <x:v>Coach Fahmi</x:v>
      </x:c>
      <x:c r="C1671" s="16" t="str"/>
      <x:c r="D1671" s="16" t="str"/>
      <x:c r="E1671" s="16" t="str">
        <x:v>Trainer | * myContacts</x:v>
      </x:c>
      <x:c r="F1671" s="16" t="str">
        <x:v>01120938932 | +60 16-694 2384 | +601120938932 | +60166942384</x:v>
      </x:c>
      <x:c r="G1671" s="16" t="str">
        <x:v>+601120938932 | +60166942384 | +601120938932 | +60166942384</x:v>
      </x:c>
      <x:c r="H1671" s="16" t="str">
        <x:v>Excluded</x:v>
      </x:c>
      <x:c r="I1671" s="16" t="str">
        <x:v>Missing email</x:v>
      </x:c>
    </x:row>
    <x:row r="1672">
      <x:c r="A1672" s="16" t="n">
        <x:v>1669</x:v>
      </x:c>
      <x:c r="B1672" s="16" t="str">
        <x:v>Coach Gym Mr Mad Tarzan</x:v>
      </x:c>
      <x:c r="C1672" s="16" t="str"/>
      <x:c r="D1672" s="16" t="str"/>
      <x:c r="E1672" s="16" t="str">
        <x:v>Trainer | * myContacts</x:v>
      </x:c>
      <x:c r="F1672" s="16" t="str">
        <x:v>+60 11-3961 7660 | +601139617660</x:v>
      </x:c>
      <x:c r="G1672" s="16" t="str">
        <x:v>+601139617660 | +601139617660</x:v>
      </x:c>
      <x:c r="H1672" s="16" t="str">
        <x:v>Excluded</x:v>
      </x:c>
      <x:c r="I1672" s="16" t="str">
        <x:v>Missing email</x:v>
      </x:c>
    </x:row>
    <x:row r="1673">
      <x:c r="A1673" s="16" t="n">
        <x:v>1670</x:v>
      </x:c>
      <x:c r="B1673" s="16" t="str">
        <x:v>Coach Hakim Eu Trainer</x:v>
      </x:c>
      <x:c r="C1673" s="16" t="str"/>
      <x:c r="D1673" s="16" t="str"/>
      <x:c r="E1673" s="16" t="str">
        <x:v>Trainer | * myContacts</x:v>
      </x:c>
      <x:c r="F1673" s="16" t="str">
        <x:v>+60 19-359 2816 | +60193592816</x:v>
      </x:c>
      <x:c r="G1673" s="16" t="str">
        <x:v>+60193592816 | +60193592816</x:v>
      </x:c>
      <x:c r="H1673" s="16" t="str">
        <x:v>Excluded</x:v>
      </x:c>
      <x:c r="I1673" s="16" t="str">
        <x:v>Missing email</x:v>
      </x:c>
    </x:row>
    <x:row r="1674">
      <x:c r="A1674" s="16" t="n">
        <x:v>1671</x:v>
      </x:c>
      <x:c r="B1674" s="16" t="str">
        <x:v>Coach Hamdi</x:v>
      </x:c>
      <x:c r="C1674" s="16" t="str"/>
      <x:c r="D1674" s="16" t="str"/>
      <x:c r="E1674" s="16" t="str">
        <x:v>Trainer | * myContacts</x:v>
      </x:c>
      <x:c r="F1674" s="16" t="str">
        <x:v>+60 13-342 5680 | +60133425680</x:v>
      </x:c>
      <x:c r="G1674" s="16" t="str">
        <x:v>+60133425680 | +60133425680</x:v>
      </x:c>
      <x:c r="H1674" s="16" t="str">
        <x:v>Excluded</x:v>
      </x:c>
      <x:c r="I1674" s="16" t="str">
        <x:v>Missing email</x:v>
      </x:c>
    </x:row>
    <x:row r="1675">
      <x:c r="A1675" s="16" t="n">
        <x:v>1672</x:v>
      </x:c>
      <x:c r="B1675" s="16" t="str">
        <x:v>Coach Hasbi Eusahawan MELAKA</x:v>
      </x:c>
      <x:c r="C1675" s="16" t="str"/>
      <x:c r="D1675" s="16" t="str"/>
      <x:c r="E1675" s="16" t="str">
        <x:v>Trainer | * myContacts</x:v>
      </x:c>
      <x:c r="F1675" s="16" t="str">
        <x:v>+601156466697</x:v>
      </x:c>
      <x:c r="G1675" s="16" t="str">
        <x:v>+601156466697</x:v>
      </x:c>
      <x:c r="H1675" s="16" t="str">
        <x:v>Excluded</x:v>
      </x:c>
      <x:c r="I1675" s="16" t="str">
        <x:v>Missing email</x:v>
      </x:c>
    </x:row>
    <x:row r="1676">
      <x:c r="A1676" s="16" t="n">
        <x:v>1673</x:v>
      </x:c>
      <x:c r="B1676" s="16" t="str">
        <x:v>Coach Hilmi Idris Expert Tulang</x:v>
      </x:c>
      <x:c r="C1676" s="16" t="str"/>
      <x:c r="D1676" s="16" t="str"/>
      <x:c r="E1676" s="16" t="str">
        <x:v>Trainer | * myContacts</x:v>
      </x:c>
      <x:c r="F1676" s="16" t="str">
        <x:v>+60183889769</x:v>
      </x:c>
      <x:c r="G1676" s="16" t="str">
        <x:v>+60183889769</x:v>
      </x:c>
      <x:c r="H1676" s="16" t="str">
        <x:v>Excluded</x:v>
      </x:c>
      <x:c r="I1676" s="16" t="str">
        <x:v>Missing email</x:v>
      </x:c>
    </x:row>
    <x:row r="1677">
      <x:c r="A1677" s="16" t="n">
        <x:v>1674</x:v>
      </x:c>
      <x:c r="B1677" s="16" t="str">
        <x:v>Coach Husaini INSKEN</x:v>
      </x:c>
      <x:c r="C1677" s="16" t="str"/>
      <x:c r="D1677" s="16" t="str"/>
      <x:c r="E1677" s="16" t="str">
        <x:v>Alumni INSKEN | Trainer | * myContacts</x:v>
      </x:c>
      <x:c r="F1677" s="16" t="str">
        <x:v>+60 11-1240 0806 | +601112400806</x:v>
      </x:c>
      <x:c r="G1677" s="16" t="str">
        <x:v>+601112400806 | +601112400806</x:v>
      </x:c>
      <x:c r="H1677" s="16" t="str">
        <x:v>Excluded</x:v>
      </x:c>
      <x:c r="I1677" s="16" t="str">
        <x:v>Missing email</x:v>
      </x:c>
    </x:row>
    <x:row r="1678">
      <x:c r="A1678" s="16" t="n">
        <x:v>1675</x:v>
      </x:c>
      <x:c r="B1678" s="16" t="str">
        <x:v>Coach Ibiq Solvy</x:v>
      </x:c>
      <x:c r="C1678" s="16" t="str"/>
      <x:c r="D1678" s="16" t="str"/>
      <x:c r="E1678" s="16" t="str">
        <x:v>Trainer | * myContacts</x:v>
      </x:c>
      <x:c r="F1678" s="16" t="str">
        <x:v>+60 13-383 5483 | +60133835483</x:v>
      </x:c>
      <x:c r="G1678" s="16" t="str">
        <x:v>+60133835483 | +60133835483</x:v>
      </x:c>
      <x:c r="H1678" s="16" t="str">
        <x:v>Excluded</x:v>
      </x:c>
      <x:c r="I1678" s="16" t="str">
        <x:v>Missing email</x:v>
      </x:c>
    </x:row>
    <x:row r="1679">
      <x:c r="A1679" s="16" t="n">
        <x:v>1676</x:v>
      </x:c>
      <x:c r="B1679" s="16" t="str">
        <x:v>Coach Iffa Mdec</x:v>
      </x:c>
      <x:c r="C1679" s="16" t="str"/>
      <x:c r="D1679" s="16" t="str"/>
      <x:c r="E1679" s="16" t="str">
        <x:v>Trainer | * myContacts</x:v>
      </x:c>
      <x:c r="F1679" s="16" t="str">
        <x:v>+60 13-276 0411 | +60132760411</x:v>
      </x:c>
      <x:c r="G1679" s="16" t="str">
        <x:v>+60132760411 | +60132760411</x:v>
      </x:c>
      <x:c r="H1679" s="16" t="str">
        <x:v>Excluded</x:v>
      </x:c>
      <x:c r="I1679" s="16" t="str">
        <x:v>Missing email</x:v>
      </x:c>
    </x:row>
    <x:row r="1680">
      <x:c r="A1680" s="16" t="n">
        <x:v>1677</x:v>
      </x:c>
      <x:c r="B1680" s="16" t="str">
        <x:v>Coach Ira Aziz TikTok Consultant</x:v>
      </x:c>
      <x:c r="C1680" s="16" t="str">
        <x:v>coachiraaziz@gmail.com</x:v>
      </x:c>
      <x:c r="D1680" s="16" t="str">
        <x:v>coachiraaziz@gmail.com</x:v>
      </x:c>
      <x:c r="E1680" s="16" t="str">
        <x:v>Trainer | * myContacts</x:v>
      </x:c>
      <x:c r="F1680" s="16" t="str">
        <x:v>0173260045 | +60173260045</x:v>
      </x:c>
      <x:c r="G1680" s="16" t="str">
        <x:v>+60173260045 | +60173260045</x:v>
      </x:c>
      <x:c r="H1680" s="16" t="str">
        <x:v>Eligible</x:v>
      </x:c>
      <x:c r="I1680" s="16" t="str"/>
    </x:row>
    <x:row r="1681">
      <x:c r="A1681" s="16" t="n">
        <x:v>1678</x:v>
      </x:c>
      <x:c r="B1681" s="16" t="str">
        <x:v>Coach Irda eU</x:v>
      </x:c>
      <x:c r="C1681" s="16" t="str"/>
      <x:c r="D1681" s="16" t="str"/>
      <x:c r="E1681" s="16" t="str">
        <x:v>Alumni eUsahawan | Trainer | * myContacts</x:v>
      </x:c>
      <x:c r="F1681" s="16" t="str">
        <x:v>+60 12-826 0552 | +60128260552</x:v>
      </x:c>
      <x:c r="G1681" s="16" t="str">
        <x:v>+60128260552 | +60128260552</x:v>
      </x:c>
      <x:c r="H1681" s="16" t="str">
        <x:v>Excluded</x:v>
      </x:c>
      <x:c r="I1681" s="16" t="str">
        <x:v>Missing email</x:v>
      </x:c>
    </x:row>
    <x:row r="1682">
      <x:c r="A1682" s="16" t="n">
        <x:v>1679</x:v>
      </x:c>
      <x:c r="B1682" s="16" t="str">
        <x:v>Coach Jahid Jamil</x:v>
      </x:c>
      <x:c r="C1682" s="16" t="str"/>
      <x:c r="D1682" s="16" t="str"/>
      <x:c r="E1682" s="16" t="str">
        <x:v>Trainer | * myContacts</x:v>
      </x:c>
      <x:c r="F1682" s="16" t="str">
        <x:v>+60196681234</x:v>
      </x:c>
      <x:c r="G1682" s="16" t="str">
        <x:v>+60196681234</x:v>
      </x:c>
      <x:c r="H1682" s="16" t="str">
        <x:v>Excluded</x:v>
      </x:c>
      <x:c r="I1682" s="16" t="str">
        <x:v>Missing email</x:v>
      </x:c>
    </x:row>
    <x:row r="1683">
      <x:c r="A1683" s="16" t="n">
        <x:v>1680</x:v>
      </x:c>
      <x:c r="B1683" s="16" t="str">
        <x:v>Coach Jamil</x:v>
      </x:c>
      <x:c r="C1683" s="16" t="str"/>
      <x:c r="D1683" s="16" t="str"/>
      <x:c r="E1683" s="16" t="str">
        <x:v>Trainer | * myContacts</x:v>
      </x:c>
      <x:c r="F1683" s="16" t="str">
        <x:v>+60133147008</x:v>
      </x:c>
      <x:c r="G1683" s="16" t="str">
        <x:v>+60133147008</x:v>
      </x:c>
      <x:c r="H1683" s="16" t="str">
        <x:v>Excluded</x:v>
      </x:c>
      <x:c r="I1683" s="16" t="str">
        <x:v>Missing email</x:v>
      </x:c>
    </x:row>
    <x:row r="1684">
      <x:c r="A1684" s="16" t="n">
        <x:v>1681</x:v>
      </x:c>
      <x:c r="B1684" s="16" t="str">
        <x:v>Coach jerryking</x:v>
      </x:c>
      <x:c r="C1684" s="16" t="str"/>
      <x:c r="D1684" s="16" t="str"/>
      <x:c r="E1684" s="16" t="str">
        <x:v>Trainer | * myContacts</x:v>
      </x:c>
      <x:c r="F1684" s="16" t="str">
        <x:v>+60 12-725 6034 | +60127256034</x:v>
      </x:c>
      <x:c r="G1684" s="16" t="str">
        <x:v>+60127256034 | +60127256034</x:v>
      </x:c>
      <x:c r="H1684" s="16" t="str">
        <x:v>Excluded</x:v>
      </x:c>
      <x:c r="I1684" s="16" t="str">
        <x:v>Missing email</x:v>
      </x:c>
    </x:row>
    <x:row r="1685">
      <x:c r="A1685" s="16" t="n">
        <x:v>1682</x:v>
      </x:c>
      <x:c r="B1685" s="16" t="str">
        <x:v>Coach Jusri Insken Eco Tourism</x:v>
      </x:c>
      <x:c r="C1685" s="16" t="str"/>
      <x:c r="D1685" s="16" t="str"/>
      <x:c r="E1685" s="16" t="str">
        <x:v>Alumni INSKEN | Trainer | * myContacts</x:v>
      </x:c>
      <x:c r="F1685" s="16" t="str">
        <x:v>+60 12-631 6132 | +60126316132</x:v>
      </x:c>
      <x:c r="G1685" s="16" t="str">
        <x:v>+60126316132 | +60126316132</x:v>
      </x:c>
      <x:c r="H1685" s="16" t="str">
        <x:v>Excluded</x:v>
      </x:c>
      <x:c r="I1685" s="16" t="str">
        <x:v>Missing email</x:v>
      </x:c>
    </x:row>
    <x:row r="1686">
      <x:c r="A1686" s="16" t="n">
        <x:v>1683</x:v>
      </x:c>
      <x:c r="B1686" s="16" t="str">
        <x:v>Coach Kak Kay Ibrahim</x:v>
      </x:c>
      <x:c r="C1686" s="16" t="str"/>
      <x:c r="D1686" s="16" t="str"/>
      <x:c r="E1686" s="16" t="str">
        <x:v>Trainer | * myContacts</x:v>
      </x:c>
      <x:c r="F1686" s="16" t="str">
        <x:v>+60 12-407 5258 | +60124075258</x:v>
      </x:c>
      <x:c r="G1686" s="16" t="str">
        <x:v>+60124075258 | +60124075258</x:v>
      </x:c>
      <x:c r="H1686" s="16" t="str">
        <x:v>Excluded</x:v>
      </x:c>
      <x:c r="I1686" s="16" t="str">
        <x:v>Missing email</x:v>
      </x:c>
    </x:row>
    <x:row r="1687">
      <x:c r="A1687" s="16" t="n">
        <x:v>1684</x:v>
      </x:c>
      <x:c r="B1687" s="16" t="str">
        <x:v>Coach Kamal IM</x:v>
      </x:c>
      <x:c r="C1687" s="16" t="str"/>
      <x:c r="D1687" s="16" t="str"/>
      <x:c r="E1687" s="16" t="str">
        <x:v>Trainer | * myContacts</x:v>
      </x:c>
      <x:c r="F1687" s="16" t="str">
        <x:v>+60189883346</x:v>
      </x:c>
      <x:c r="G1687" s="16" t="str">
        <x:v>+60189883346</x:v>
      </x:c>
      <x:c r="H1687" s="16" t="str">
        <x:v>Excluded</x:v>
      </x:c>
      <x:c r="I1687" s="16" t="str">
        <x:v>Missing email</x:v>
      </x:c>
    </x:row>
    <x:row r="1688">
      <x:c r="A1688" s="16" t="n">
        <x:v>1685</x:v>
      </x:c>
      <x:c r="B1688" s="16" t="str">
        <x:v>Coach Kaygarn Tan</x:v>
      </x:c>
      <x:c r="C1688" s="16" t="str"/>
      <x:c r="D1688" s="16" t="str"/>
      <x:c r="E1688" s="16" t="str">
        <x:v>Trainer | * myContacts</x:v>
      </x:c>
      <x:c r="F1688" s="16" t="str">
        <x:v>+60 17-431 8343 | +60174318343</x:v>
      </x:c>
      <x:c r="G1688" s="16" t="str">
        <x:v>+60174318343 | +60174318343</x:v>
      </x:c>
      <x:c r="H1688" s="16" t="str">
        <x:v>Excluded</x:v>
      </x:c>
      <x:c r="I1688" s="16" t="str">
        <x:v>Missing email</x:v>
      </x:c>
    </x:row>
    <x:row r="1689">
      <x:c r="A1689" s="16" t="n">
        <x:v>1686</x:v>
      </x:c>
      <x:c r="B1689" s="16" t="str">
        <x:v>Coach Latif</x:v>
      </x:c>
      <x:c r="C1689" s="16" t="str"/>
      <x:c r="D1689" s="16" t="str"/>
      <x:c r="E1689" s="16" t="str">
        <x:v>Trainer | * myContacts</x:v>
      </x:c>
      <x:c r="F1689" s="16" t="str">
        <x:v>+60 16-975 5361 | +60169755361</x:v>
      </x:c>
      <x:c r="G1689" s="16" t="str">
        <x:v>+60169755361 | +60169755361</x:v>
      </x:c>
      <x:c r="H1689" s="16" t="str">
        <x:v>Excluded</x:v>
      </x:c>
      <x:c r="I1689" s="16" t="str">
        <x:v>Missing email</x:v>
      </x:c>
    </x:row>
    <x:row r="1690">
      <x:c r="A1690" s="16" t="n">
        <x:v>1687</x:v>
      </x:c>
      <x:c r="B1690" s="16" t="str">
        <x:v>Coach Liza Mulan</x:v>
      </x:c>
      <x:c r="C1690" s="16" t="str"/>
      <x:c r="D1690" s="16" t="str"/>
      <x:c r="E1690" s="16" t="str">
        <x:v>Trainer | * myContacts</x:v>
      </x:c>
      <x:c r="F1690" s="16" t="str">
        <x:v>+60 11-1121 8629 | +601111218629</x:v>
      </x:c>
      <x:c r="G1690" s="16" t="str">
        <x:v>+601111218629 | +601111218629</x:v>
      </x:c>
      <x:c r="H1690" s="16" t="str">
        <x:v>Excluded</x:v>
      </x:c>
      <x:c r="I1690" s="16" t="str">
        <x:v>Missing email</x:v>
      </x:c>
    </x:row>
    <x:row r="1691">
      <x:c r="A1691" s="16" t="n">
        <x:v>1688</x:v>
      </x:c>
      <x:c r="B1691" s="16" t="str">
        <x:v>Coach Lokman Ibnu Basri</x:v>
      </x:c>
      <x:c r="C1691" s="16" t="str"/>
      <x:c r="D1691" s="16" t="str"/>
      <x:c r="E1691" s="16" t="str">
        <x:v>Trainer | * myContacts</x:v>
      </x:c>
      <x:c r="F1691" s="16" t="str">
        <x:v>+601159965100</x:v>
      </x:c>
      <x:c r="G1691" s="16" t="str">
        <x:v>+601159965100</x:v>
      </x:c>
      <x:c r="H1691" s="16" t="str">
        <x:v>Excluded</x:v>
      </x:c>
      <x:c r="I1691" s="16" t="str">
        <x:v>Missing email</x:v>
      </x:c>
    </x:row>
    <x:row r="1692">
      <x:c r="A1692" s="16" t="n">
        <x:v>1689</x:v>
      </x:c>
      <x:c r="B1692" s="16" t="str">
        <x:v>Coach Mohd Hafidz RAS INSKEN Tauke Kek Batik</x:v>
      </x:c>
      <x:c r="C1692" s="16" t="str"/>
      <x:c r="D1692" s="16" t="str"/>
      <x:c r="E1692" s="16" t="str">
        <x:v>Alumni INSKEN | Trainer | * myContacts</x:v>
      </x:c>
      <x:c r="F1692" s="16" t="str">
        <x:v>+60165892384</x:v>
      </x:c>
      <x:c r="G1692" s="16" t="str">
        <x:v>+60165892384</x:v>
      </x:c>
      <x:c r="H1692" s="16" t="str">
        <x:v>Excluded</x:v>
      </x:c>
      <x:c r="I1692" s="16" t="str">
        <x:v>Missing email</x:v>
      </x:c>
    </x:row>
    <x:row r="1693">
      <x:c r="A1693" s="16" t="n">
        <x:v>1690</x:v>
      </x:c>
      <x:c r="B1693" s="16" t="str">
        <x:v>Coach Muhd Zul Solvy</x:v>
      </x:c>
      <x:c r="C1693" s="16" t="str"/>
      <x:c r="D1693" s="16" t="str"/>
      <x:c r="E1693" s="16" t="str">
        <x:v>Trainer | * myContacts</x:v>
      </x:c>
      <x:c r="F1693" s="16" t="str">
        <x:v>+601115133191</x:v>
      </x:c>
      <x:c r="G1693" s="16" t="str">
        <x:v>+601115133191</x:v>
      </x:c>
      <x:c r="H1693" s="16" t="str">
        <x:v>Excluded</x:v>
      </x:c>
      <x:c r="I1693" s="16" t="str">
        <x:v>Missing email</x:v>
      </x:c>
    </x:row>
    <x:row r="1694">
      <x:c r="A1694" s="16" t="n">
        <x:v>1691</x:v>
      </x:c>
      <x:c r="B1694" s="16" t="str">
        <x:v>coach murad puim</x:v>
      </x:c>
      <x:c r="C1694" s="16" t="str"/>
      <x:c r="D1694" s="16" t="str"/>
      <x:c r="E1694" s="16" t="str">
        <x:v>Trainer | * myContacts</x:v>
      </x:c>
      <x:c r="F1694" s="16" t="str">
        <x:v>0172028615 | +60172028615</x:v>
      </x:c>
      <x:c r="G1694" s="16" t="str">
        <x:v>+60172028615 | +60172028615</x:v>
      </x:c>
      <x:c r="H1694" s="16" t="str">
        <x:v>Excluded</x:v>
      </x:c>
      <x:c r="I1694" s="16" t="str">
        <x:v>Missing email</x:v>
      </x:c>
    </x:row>
    <x:row r="1695">
      <x:c r="A1695" s="16" t="n">
        <x:v>1692</x:v>
      </x:c>
      <x:c r="B1695" s="16" t="str">
        <x:v>Coach Naz No Kerja Nas EX- IQPS</x:v>
      </x:c>
      <x:c r="C1695" s="16" t="str"/>
      <x:c r="D1695" s="16" t="str"/>
      <x:c r="E1695" s="16" t="str">
        <x:v>Trainer | * myContacts</x:v>
      </x:c>
      <x:c r="F1695" s="16" t="str">
        <x:v>+60178268879</x:v>
      </x:c>
      <x:c r="G1695" s="16" t="str">
        <x:v>+60178268879</x:v>
      </x:c>
      <x:c r="H1695" s="16" t="str">
        <x:v>Excluded</x:v>
      </x:c>
      <x:c r="I1695" s="16" t="str">
        <x:v>Missing email</x:v>
      </x:c>
    </x:row>
    <x:row r="1696">
      <x:c r="A1696" s="16" t="n">
        <x:v>1693</x:v>
      </x:c>
      <x:c r="B1696" s="16" t="str">
        <x:v>Coach Norazam Eu Trainer</x:v>
      </x:c>
      <x:c r="C1696" s="16" t="str"/>
      <x:c r="D1696" s="16" t="str"/>
      <x:c r="E1696" s="16" t="str">
        <x:v>Alumni eUsahawan | Trainer | * myContacts</x:v>
      </x:c>
      <x:c r="F1696" s="16" t="str">
        <x:v>+60 14-826 3532 | +60148263532</x:v>
      </x:c>
      <x:c r="G1696" s="16" t="str">
        <x:v>+60148263532 | +60148263532</x:v>
      </x:c>
      <x:c r="H1696" s="16" t="str">
        <x:v>Excluded</x:v>
      </x:c>
      <x:c r="I1696" s="16" t="str">
        <x:v>Missing email</x:v>
      </x:c>
    </x:row>
    <x:row r="1697">
      <x:c r="A1697" s="16" t="n">
        <x:v>1694</x:v>
      </x:c>
      <x:c r="B1697" s="16" t="str">
        <x:v>Coach Rik</x:v>
      </x:c>
      <x:c r="C1697" s="16" t="str"/>
      <x:c r="D1697" s="16" t="str"/>
      <x:c r="E1697" s="16" t="str">
        <x:v>Trainer | * myContacts</x:v>
      </x:c>
      <x:c r="F1697" s="16" t="str">
        <x:v>019-213 6203 | +60192136203</x:v>
      </x:c>
      <x:c r="G1697" s="16" t="str">
        <x:v>+60192136203 | +60192136203</x:v>
      </x:c>
      <x:c r="H1697" s="16" t="str">
        <x:v>Excluded</x:v>
      </x:c>
      <x:c r="I1697" s="16" t="str">
        <x:v>Missing email</x:v>
      </x:c>
    </x:row>
    <x:row r="1698">
      <x:c r="A1698" s="16" t="n">
        <x:v>1695</x:v>
      </x:c>
      <x:c r="B1698" s="16" t="str">
        <x:v>Coach Rosli Majid 2 RKKC</x:v>
      </x:c>
      <x:c r="C1698" s="16" t="str"/>
      <x:c r="D1698" s="16" t="str"/>
      <x:c r="E1698" s="16" t="str">
        <x:v>Trainer | * myContacts</x:v>
      </x:c>
      <x:c r="F1698" s="16" t="str">
        <x:v>+60 13-802 5231 | +60138025231</x:v>
      </x:c>
      <x:c r="G1698" s="16" t="str">
        <x:v>+60138025231 | +60138025231</x:v>
      </x:c>
      <x:c r="H1698" s="16" t="str">
        <x:v>Excluded</x:v>
      </x:c>
      <x:c r="I1698" s="16" t="str">
        <x:v>Missing email</x:v>
      </x:c>
    </x:row>
    <x:row r="1699">
      <x:c r="A1699" s="16" t="n">
        <x:v>1696</x:v>
      </x:c>
      <x:c r="B1699" s="16" t="str">
        <x:v>Coach Rostam</x:v>
      </x:c>
      <x:c r="C1699" s="16" t="str"/>
      <x:c r="D1699" s="16" t="str"/>
      <x:c r="E1699" s="16" t="str">
        <x:v>Trainer | * myContacts</x:v>
      </x:c>
      <x:c r="F1699" s="16" t="str">
        <x:v>019-220 0044 | +60192200044</x:v>
      </x:c>
      <x:c r="G1699" s="16" t="str">
        <x:v>+60192200044 | +60192200044</x:v>
      </x:c>
      <x:c r="H1699" s="16" t="str">
        <x:v>Excluded</x:v>
      </x:c>
      <x:c r="I1699" s="16" t="str">
        <x:v>Missing email</x:v>
      </x:c>
    </x:row>
    <x:row r="1700">
      <x:c r="A1700" s="16" t="n">
        <x:v>1697</x:v>
      </x:c>
      <x:c r="B1700" s="16" t="str">
        <x:v>Coach Rozek</x:v>
      </x:c>
      <x:c r="C1700" s="16" t="str"/>
      <x:c r="D1700" s="16" t="str"/>
      <x:c r="E1700" s="16" t="str">
        <x:v>Trainer | * myContacts</x:v>
      </x:c>
      <x:c r="F1700" s="16" t="str">
        <x:v>+60 10-865 2956 | +60108652956</x:v>
      </x:c>
      <x:c r="G1700" s="16" t="str">
        <x:v>+60108652956 | +60108652956</x:v>
      </x:c>
      <x:c r="H1700" s="16" t="str">
        <x:v>Excluded</x:v>
      </x:c>
      <x:c r="I1700" s="16" t="str">
        <x:v>Missing email</x:v>
      </x:c>
    </x:row>
    <x:row r="1701">
      <x:c r="A1701" s="16" t="n">
        <x:v>1698</x:v>
      </x:c>
      <x:c r="B1701" s="16" t="str">
        <x:v>coach rozek phone no 2</x:v>
      </x:c>
      <x:c r="C1701" s="16" t="str"/>
      <x:c r="D1701" s="16" t="str"/>
      <x:c r="E1701" s="16" t="str">
        <x:v>Trainer | * myContacts</x:v>
      </x:c>
      <x:c r="F1701" s="16" t="str">
        <x:v>010-337 6956 | +60103376956</x:v>
      </x:c>
      <x:c r="G1701" s="16" t="str">
        <x:v>+60103376956 | +60103376956</x:v>
      </x:c>
      <x:c r="H1701" s="16" t="str">
        <x:v>Excluded</x:v>
      </x:c>
      <x:c r="I1701" s="16" t="str">
        <x:v>Missing email</x:v>
      </x:c>
    </x:row>
    <x:row r="1702">
      <x:c r="A1702" s="16" t="n">
        <x:v>1699</x:v>
      </x:c>
      <x:c r="B1702" s="16" t="str">
        <x:v>Coach Rozie Rjb</x:v>
      </x:c>
      <x:c r="C1702" s="16" t="str"/>
      <x:c r="D1702" s="16" t="str"/>
      <x:c r="E1702" s="16" t="str">
        <x:v>Trainer | * myContacts</x:v>
      </x:c>
      <x:c r="F1702" s="16" t="str">
        <x:v>0193385331 | +60193385331</x:v>
      </x:c>
      <x:c r="G1702" s="16" t="str">
        <x:v>+60193385331 | +60193385331</x:v>
      </x:c>
      <x:c r="H1702" s="16" t="str">
        <x:v>Excluded</x:v>
      </x:c>
      <x:c r="I1702" s="16" t="str">
        <x:v>Missing email</x:v>
      </x:c>
    </x:row>
    <x:row r="1703">
      <x:c r="A1703" s="16" t="n">
        <x:v>1700</x:v>
      </x:c>
      <x:c r="B1703" s="16" t="str">
        <x:v>Coach Sam Suresh</x:v>
      </x:c>
      <x:c r="C1703" s="16" t="str"/>
      <x:c r="D1703" s="16" t="str"/>
      <x:c r="E1703" s="16" t="str">
        <x:v>Trainer | * myContacts</x:v>
      </x:c>
      <x:c r="F1703" s="16" t="str">
        <x:v>+60 13-333 2963 | +60133332963</x:v>
      </x:c>
      <x:c r="G1703" s="16" t="str">
        <x:v>+60133332963 | +60133332963</x:v>
      </x:c>
      <x:c r="H1703" s="16" t="str">
        <x:v>Excluded</x:v>
      </x:c>
      <x:c r="I1703" s="16" t="str">
        <x:v>Missing email</x:v>
      </x:c>
    </x:row>
    <x:row r="1704">
      <x:c r="A1704" s="16" t="n">
        <x:v>1701</x:v>
      </x:c>
      <x:c r="B1704" s="16" t="str">
        <x:v>Coach Shirajuddin Bolhi</x:v>
      </x:c>
      <x:c r="C1704" s="16" t="str"/>
      <x:c r="D1704" s="16" t="str"/>
      <x:c r="E1704" s="16" t="str">
        <x:v>Trainer | * myContacts</x:v>
      </x:c>
      <x:c r="F1704" s="16" t="str">
        <x:v>+60 17-267 7967 | +60172677967</x:v>
      </x:c>
      <x:c r="G1704" s="16" t="str">
        <x:v>+60172677967 | +60172677967</x:v>
      </x:c>
      <x:c r="H1704" s="16" t="str">
        <x:v>Excluded</x:v>
      </x:c>
      <x:c r="I1704" s="16" t="str">
        <x:v>Missing email</x:v>
      </x:c>
    </x:row>
    <x:row r="1705">
      <x:c r="A1705" s="16" t="n">
        <x:v>1702</x:v>
      </x:c>
      <x:c r="B1705" s="16" t="str">
        <x:v>Coach Wan Darul @ WanDa</x:v>
      </x:c>
      <x:c r="C1705" s="16" t="str"/>
      <x:c r="D1705" s="16" t="str"/>
      <x:c r="E1705" s="16" t="str">
        <x:v>Trainer | * myContacts</x:v>
      </x:c>
      <x:c r="F1705" s="16" t="str">
        <x:v>+60 17-232 3994 | +60172323994</x:v>
      </x:c>
      <x:c r="G1705" s="16" t="str">
        <x:v>+60172323994 | +60172323994</x:v>
      </x:c>
      <x:c r="H1705" s="16" t="str">
        <x:v>Excluded</x:v>
      </x:c>
      <x:c r="I1705" s="16" t="str">
        <x:v>Missing email</x:v>
      </x:c>
    </x:row>
    <x:row r="1706">
      <x:c r="A1706" s="16" t="n">
        <x:v>1703</x:v>
      </x:c>
      <x:c r="B1706" s="16" t="str">
        <x:v>Coach Z</x:v>
      </x:c>
      <x:c r="C1706" s="16" t="str"/>
      <x:c r="D1706" s="16" t="str"/>
      <x:c r="E1706" s="16" t="str">
        <x:v>Trainer | * myContacts</x:v>
      </x:c>
      <x:c r="F1706" s="16" t="str">
        <x:v>+60 11-1141 6279 | +601111416279</x:v>
      </x:c>
      <x:c r="G1706" s="16" t="str">
        <x:v>+601111416279 | +601111416279</x:v>
      </x:c>
      <x:c r="H1706" s="16" t="str">
        <x:v>Excluded</x:v>
      </x:c>
      <x:c r="I1706" s="16" t="str">
        <x:v>Missing email</x:v>
      </x:c>
    </x:row>
    <x:row r="1707">
      <x:c r="A1707" s="16" t="n">
        <x:v>1704</x:v>
      </x:c>
      <x:c r="B1707" s="16" t="str">
        <x:v>Collins Vernie Victro</x:v>
      </x:c>
      <x:c r="C1707" s="16" t="str"/>
      <x:c r="D1707" s="16" t="str"/>
      <x:c r="E1707" s="16" t="str">
        <x:v>* myContacts</x:v>
      </x:c>
      <x:c r="F1707" s="16" t="str">
        <x:v>+50557454623</x:v>
      </x:c>
      <x:c r="G1707" s="16" t="str">
        <x:v>+50557454623</x:v>
      </x:c>
      <x:c r="H1707" s="16" t="str">
        <x:v>Excluded</x:v>
      </x:c>
      <x:c r="I1707" s="16" t="str">
        <x:v>Missing email</x:v>
      </x:c>
    </x:row>
    <x:row r="1708">
      <x:c r="A1708" s="16" t="n">
        <x:v>1705</x:v>
      </x:c>
      <x:c r="B1708" s="16" t="str">
        <x:v>Come Sokmo</x:v>
      </x:c>
      <x:c r="C1708" s="16" t="str"/>
      <x:c r="D1708" s="16" t="str"/>
      <x:c r="E1708" s="16" t="str">
        <x:v>* myContacts</x:v>
      </x:c>
      <x:c r="F1708" s="16" t="str">
        <x:v>+60176505149</x:v>
      </x:c>
      <x:c r="G1708" s="16" t="str">
        <x:v>+60176505149</x:v>
      </x:c>
      <x:c r="H1708" s="16" t="str">
        <x:v>Excluded</x:v>
      </x:c>
      <x:c r="I1708" s="16" t="str">
        <x:v>Missing email</x:v>
      </x:c>
    </x:row>
    <x:row r="1709">
      <x:c r="A1709" s="16" t="n">
        <x:v>1706</x:v>
      </x:c>
      <x:c r="B1709" s="16" t="str">
        <x:v>connie koh ling yiunn</x:v>
      </x:c>
      <x:c r="C1709" s="16" t="str"/>
      <x:c r="D1709" s="16" t="str"/>
      <x:c r="E1709" s="16" t="str">
        <x:v>* myContacts</x:v>
      </x:c>
      <x:c r="F1709" s="16" t="str">
        <x:v>0138096633 | +60138096633</x:v>
      </x:c>
      <x:c r="G1709" s="16" t="str">
        <x:v>+60138096633 | +60138096633</x:v>
      </x:c>
      <x:c r="H1709" s="16" t="str">
        <x:v>Excluded</x:v>
      </x:c>
      <x:c r="I1709" s="16" t="str">
        <x:v>Missing email</x:v>
      </x:c>
    </x:row>
    <x:row r="1710">
      <x:c r="A1710" s="16" t="n">
        <x:v>1707</x:v>
      </x:c>
      <x:c r="B1710" s="16" t="str">
        <x:v>connie tmim</x:v>
      </x:c>
      <x:c r="C1710" s="16" t="str"/>
      <x:c r="D1710" s="16" t="str"/>
      <x:c r="E1710" s="16" t="str">
        <x:v>* myContacts</x:v>
      </x:c>
      <x:c r="F1710" s="16" t="str">
        <x:v>+60 16-882 0998 | +60168820998</x:v>
      </x:c>
      <x:c r="G1710" s="16" t="str">
        <x:v>+60168820998 | +60168820998</x:v>
      </x:c>
      <x:c r="H1710" s="16" t="str">
        <x:v>Excluded</x:v>
      </x:c>
      <x:c r="I1710" s="16" t="str">
        <x:v>Missing email</x:v>
      </x:c>
    </x:row>
    <x:row r="1711">
      <x:c r="A1711" s="16" t="n">
        <x:v>1708</x:v>
      </x:c>
      <x:c r="B1711" s="16" t="str">
        <x:v>Contest Nestle</x:v>
      </x:c>
      <x:c r="C1711" s="16" t="str"/>
      <x:c r="D1711" s="16" t="str"/>
      <x:c r="E1711" s="16" t="str">
        <x:v>* myContacts</x:v>
      </x:c>
      <x:c r="F1711" s="16" t="str">
        <x:v>013-232 2168 | +60132322168</x:v>
      </x:c>
      <x:c r="G1711" s="16" t="str">
        <x:v>+60132322168 | +60132322168</x:v>
      </x:c>
      <x:c r="H1711" s="16" t="str">
        <x:v>Excluded</x:v>
      </x:c>
      <x:c r="I1711" s="16" t="str">
        <x:v>Missing email</x:v>
      </x:c>
    </x:row>
    <x:row r="1712">
      <x:c r="A1712" s="16" t="n">
        <x:v>1709</x:v>
      </x:c>
      <x:c r="B1712" s="16" t="str">
        <x:v>copilot microsoft</x:v>
      </x:c>
      <x:c r="C1712" s="16" t="str"/>
      <x:c r="D1712" s="16" t="str"/>
      <x:c r="E1712" s="16" t="str">
        <x:v>* myContacts</x:v>
      </x:c>
      <x:c r="F1712" s="16" t="str">
        <x:v>+18772241042</x:v>
      </x:c>
      <x:c r="G1712" s="16" t="str">
        <x:v>+18772241042</x:v>
      </x:c>
      <x:c r="H1712" s="16" t="str">
        <x:v>Excluded</x:v>
      </x:c>
      <x:c r="I1712" s="16" t="str">
        <x:v>Missing email</x:v>
      </x:c>
    </x:row>
    <x:row r="1713">
      <x:c r="A1713" s="16" t="n">
        <x:v>1710</x:v>
      </x:c>
      <x:c r="B1713" s="16" t="str">
        <x:v>Cosmetik Nthree Skincare</x:v>
      </x:c>
      <x:c r="C1713" s="16" t="str"/>
      <x:c r="D1713" s="16" t="str"/>
      <x:c r="E1713" s="16" t="str">
        <x:v>* myContacts</x:v>
      </x:c>
      <x:c r="F1713" s="16" t="str">
        <x:v>+60139134848</x:v>
      </x:c>
      <x:c r="G1713" s="16" t="str">
        <x:v>+60139134848</x:v>
      </x:c>
      <x:c r="H1713" s="16" t="str">
        <x:v>Excluded</x:v>
      </x:c>
      <x:c r="I1713" s="16" t="str">
        <x:v>Missing email</x:v>
      </x:c>
    </x:row>
    <x:row r="1714">
      <x:c r="A1714" s="16" t="n">
        <x:v>1711</x:v>
      </x:c>
      <x:c r="B1714" s="16" t="str">
        <x:v>courier CityLink Express cawangan kuala selangor</x:v>
      </x:c>
      <x:c r="C1714" s="16" t="str"/>
      <x:c r="D1714" s="16" t="str"/>
      <x:c r="E1714" s="16" t="str">
        <x:v>* myContacts</x:v>
      </x:c>
      <x:c r="F1714" s="16" t="str">
        <x:v>+60 16-281 5061 | +60162815061</x:v>
      </x:c>
      <x:c r="G1714" s="16" t="str">
        <x:v>+60162815061 | +60162815061</x:v>
      </x:c>
      <x:c r="H1714" s="16" t="str">
        <x:v>Excluded</x:v>
      </x:c>
      <x:c r="I1714" s="16" t="str">
        <x:v>Missing email</x:v>
      </x:c>
    </x:row>
    <x:row r="1715">
      <x:c r="A1715" s="16" t="n">
        <x:v>1712</x:v>
      </x:c>
      <x:c r="B1715" s="16" t="str">
        <x:v>Coway Athirah</x:v>
      </x:c>
      <x:c r="C1715" s="16" t="str"/>
      <x:c r="D1715" s="16" t="str"/>
      <x:c r="E1715" s="16" t="str">
        <x:v>* myContacts</x:v>
      </x:c>
      <x:c r="F1715" s="16" t="str">
        <x:v>+60125891772</x:v>
      </x:c>
      <x:c r="G1715" s="16" t="str">
        <x:v>+60125891772</x:v>
      </x:c>
      <x:c r="H1715" s="16" t="str">
        <x:v>Excluded</x:v>
      </x:c>
      <x:c r="I1715" s="16" t="str">
        <x:v>Missing email</x:v>
      </x:c>
    </x:row>
    <x:row r="1716">
      <x:c r="A1716" s="16" t="n">
        <x:v>1713</x:v>
      </x:c>
      <x:c r="B1716" s="16" t="str">
        <x:v>CPA Correa Beauty</x:v>
      </x:c>
      <x:c r="C1716" s="16" t="str"/>
      <x:c r="D1716" s="16" t="str"/>
      <x:c r="E1716" s="16" t="str">
        <x:v>* myContacts</x:v>
      </x:c>
      <x:c r="F1716" s="16" t="str">
        <x:v>+60 17-883 4864 | +60178834864</x:v>
      </x:c>
      <x:c r="G1716" s="16" t="str">
        <x:v>+60178834864 | +60178834864</x:v>
      </x:c>
      <x:c r="H1716" s="16" t="str">
        <x:v>Excluded</x:v>
      </x:c>
      <x:c r="I1716" s="16" t="str">
        <x:v>Missing email</x:v>
      </x:c>
    </x:row>
    <x:row r="1717">
      <x:c r="A1717" s="16" t="n">
        <x:v>1714</x:v>
      </x:c>
      <x:c r="B1717" s="16" t="str">
        <x:v>Cromokan Live</x:v>
      </x:c>
      <x:c r="C1717" s="16" t="str"/>
      <x:c r="D1717" s="16" t="str"/>
      <x:c r="E1717" s="16" t="str">
        <x:v>* myContacts</x:v>
      </x:c>
      <x:c r="F1717" s="16" t="str">
        <x:v>+60198138452</x:v>
      </x:c>
      <x:c r="G1717" s="16" t="str">
        <x:v>+60198138452</x:v>
      </x:c>
      <x:c r="H1717" s="16" t="str">
        <x:v>Excluded</x:v>
      </x:c>
      <x:c r="I1717" s="16" t="str">
        <x:v>Missing email</x:v>
      </x:c>
    </x:row>
    <x:row r="1718">
      <x:c r="A1718" s="16" t="n">
        <x:v>1715</x:v>
      </x:c>
      <x:c r="B1718" s="16" t="str">
        <x:v>Crystal X Produk Nasa</x:v>
      </x:c>
      <x:c r="C1718" s="16" t="str"/>
      <x:c r="D1718" s="16" t="str"/>
      <x:c r="E1718" s="16" t="str">
        <x:v>* myContacts</x:v>
      </x:c>
      <x:c r="F1718" s="16" t="str">
        <x:v>+60143048033</x:v>
      </x:c>
      <x:c r="G1718" s="16" t="str">
        <x:v>+60143048033</x:v>
      </x:c>
      <x:c r="H1718" s="16" t="str">
        <x:v>Excluded</x:v>
      </x:c>
      <x:c r="I1718" s="16" t="str">
        <x:v>Missing email</x:v>
      </x:c>
    </x:row>
    <x:row r="1719">
      <x:c r="A1719" s="16" t="n">
        <x:v>1716</x:v>
      </x:c>
      <x:c r="B1719" s="16" t="str">
        <x:v>Ct Ainie</x:v>
      </x:c>
      <x:c r="C1719" s="16" t="str"/>
      <x:c r="D1719" s="16" t="str"/>
      <x:c r="E1719" s="16" t="str">
        <x:v>* myContacts</x:v>
      </x:c>
      <x:c r="F1719" s="16" t="str">
        <x:v>+60175077406</x:v>
      </x:c>
      <x:c r="G1719" s="16" t="str">
        <x:v>+60175077406</x:v>
      </x:c>
      <x:c r="H1719" s="16" t="str">
        <x:v>Excluded</x:v>
      </x:c>
      <x:c r="I1719" s="16" t="str">
        <x:v>Missing email</x:v>
      </x:c>
    </x:row>
    <x:row r="1720">
      <x:c r="A1720" s="16" t="n">
        <x:v>1717</x:v>
      </x:c>
      <x:c r="B1720" s="16" t="str">
        <x:v>Ct Echah</x:v>
      </x:c>
      <x:c r="C1720" s="16" t="str"/>
      <x:c r="D1720" s="16" t="str"/>
      <x:c r="E1720" s="16" t="str">
        <x:v>* myContacts</x:v>
      </x:c>
      <x:c r="F1720" s="16" t="str">
        <x:v>+60194130310</x:v>
      </x:c>
      <x:c r="G1720" s="16" t="str">
        <x:v>+60194130310</x:v>
      </x:c>
      <x:c r="H1720" s="16" t="str">
        <x:v>Excluded</x:v>
      </x:c>
      <x:c r="I1720" s="16" t="str">
        <x:v>Missing email</x:v>
      </x:c>
    </x:row>
    <x:row r="1721">
      <x:c r="A1721" s="16" t="n">
        <x:v>1718</x:v>
      </x:c>
      <x:c r="B1721" s="16" t="str">
        <x:v>Ct Eti NazconSauna</x:v>
      </x:c>
      <x:c r="C1721" s="16" t="str"/>
      <x:c r="D1721" s="16" t="str"/>
      <x:c r="E1721" s="16" t="str">
        <x:v>* myContacts</x:v>
      </x:c>
      <x:c r="F1721" s="16" t="str">
        <x:v>+60178029341</x:v>
      </x:c>
      <x:c r="G1721" s="16" t="str">
        <x:v>+60178029341</x:v>
      </x:c>
      <x:c r="H1721" s="16" t="str">
        <x:v>Excluded</x:v>
      </x:c>
      <x:c r="I1721" s="16" t="str">
        <x:v>Missing email</x:v>
      </x:c>
    </x:row>
    <x:row r="1722">
      <x:c r="A1722" s="16" t="n">
        <x:v>1719</x:v>
      </x:c>
      <x:c r="B1722" s="16" t="str">
        <x:v>Ct Fatimah Che Awang</x:v>
      </x:c>
      <x:c r="C1722" s="16" t="str"/>
      <x:c r="D1722" s="16" t="str"/>
      <x:c r="E1722" s="16" t="str">
        <x:v>* myContacts</x:v>
      </x:c>
      <x:c r="F1722" s="16" t="str">
        <x:v>+60183902259</x:v>
      </x:c>
      <x:c r="G1722" s="16" t="str">
        <x:v>+60183902259</x:v>
      </x:c>
      <x:c r="H1722" s="16" t="str">
        <x:v>Excluded</x:v>
      </x:c>
      <x:c r="I1722" s="16" t="str">
        <x:v>Missing email</x:v>
      </x:c>
    </x:row>
    <x:row r="1723">
      <x:c r="A1723" s="16" t="n">
        <x:v>1720</x:v>
      </x:c>
      <x:c r="B1723" s="16" t="str">
        <x:v>CT Nora Sikin</x:v>
      </x:c>
      <x:c r="C1723" s="16" t="str"/>
      <x:c r="D1723" s="16" t="str"/>
      <x:c r="E1723" s="16" t="str">
        <x:v>* myContacts</x:v>
      </x:c>
      <x:c r="F1723" s="16" t="str">
        <x:v>+60183517864</x:v>
      </x:c>
      <x:c r="G1723" s="16" t="str">
        <x:v>+60183517864</x:v>
      </x:c>
      <x:c r="H1723" s="16" t="str">
        <x:v>Excluded</x:v>
      </x:c>
      <x:c r="I1723" s="16" t="str">
        <x:v>Missing email</x:v>
      </x:c>
    </x:row>
    <x:row r="1724">
      <x:c r="A1724" s="16" t="n">
        <x:v>1721</x:v>
      </x:c>
      <x:c r="B1724" s="16" t="str">
        <x:v>Ct Nurfadilah</x:v>
      </x:c>
      <x:c r="C1724" s="16" t="str"/>
      <x:c r="D1724" s="16" t="str"/>
      <x:c r="E1724" s="16" t="str">
        <x:v>* myContacts</x:v>
      </x:c>
      <x:c r="F1724" s="16" t="str">
        <x:v>+60105894605</x:v>
      </x:c>
      <x:c r="G1724" s="16" t="str">
        <x:v>+60105894605</x:v>
      </x:c>
      <x:c r="H1724" s="16" t="str">
        <x:v>Excluded</x:v>
      </x:c>
      <x:c r="I1724" s="16" t="str">
        <x:v>Missing email</x:v>
      </x:c>
    </x:row>
    <x:row r="1725">
      <x:c r="A1725" s="16" t="n">
        <x:v>1722</x:v>
      </x:c>
      <x:c r="B1725" s="16" t="str">
        <x:v>Ct ZajErna Oji</x:v>
      </x:c>
      <x:c r="C1725" s="16" t="str"/>
      <x:c r="D1725" s="16" t="str"/>
      <x:c r="E1725" s="16" t="str">
        <x:v>* myContacts</x:v>
      </x:c>
      <x:c r="F1725" s="16" t="str">
        <x:v>+60143528782</x:v>
      </x:c>
      <x:c r="G1725" s="16" t="str">
        <x:v>+60143528782</x:v>
      </x:c>
      <x:c r="H1725" s="16" t="str">
        <x:v>Excluded</x:v>
      </x:c>
      <x:c r="I1725" s="16" t="str">
        <x:v>Missing email</x:v>
      </x:c>
    </x:row>
    <x:row r="1726">
      <x:c r="A1726" s="16" t="n">
        <x:v>1723</x:v>
      </x:c>
      <x:c r="B1726" s="16" t="str">
        <x:v>CT's Tupperware</x:v>
      </x:c>
      <x:c r="C1726" s="16" t="str"/>
      <x:c r="D1726" s="16" t="str"/>
      <x:c r="E1726" s="16" t="str">
        <x:v>* myContacts</x:v>
      </x:c>
      <x:c r="F1726" s="16" t="str">
        <x:v>+60132525728</x:v>
      </x:c>
      <x:c r="G1726" s="16" t="str">
        <x:v>+60132525728</x:v>
      </x:c>
      <x:c r="H1726" s="16" t="str">
        <x:v>Excluded</x:v>
      </x:c>
      <x:c r="I1726" s="16" t="str">
        <x:v>Missing email</x:v>
      </x:c>
    </x:row>
    <x:row r="1727">
      <x:c r="A1727" s="16" t="n">
        <x:v>1724</x:v>
      </x:c>
      <x:c r="B1727" s="16" t="str">
        <x:v>Ctea Fatimah Vitamincserum</x:v>
      </x:c>
      <x:c r="C1727" s="16" t="str"/>
      <x:c r="D1727" s="16" t="str"/>
      <x:c r="E1727" s="16" t="str">
        <x:v>* myContacts</x:v>
      </x:c>
      <x:c r="F1727" s="16" t="str">
        <x:v>+601116802639</x:v>
      </x:c>
      <x:c r="G1727" s="16" t="str">
        <x:v>+601116802639</x:v>
      </x:c>
      <x:c r="H1727" s="16" t="str">
        <x:v>Excluded</x:v>
      </x:c>
      <x:c r="I1727" s="16" t="str">
        <x:v>Missing email</x:v>
      </x:c>
    </x:row>
    <x:row r="1728">
      <x:c r="A1728" s="16" t="n">
        <x:v>1725</x:v>
      </x:c>
      <x:c r="B1728" s="16" t="str">
        <x:v>CtMiss Liha CatalystLexee</x:v>
      </x:c>
      <x:c r="C1728" s="16" t="str"/>
      <x:c r="D1728" s="16" t="str"/>
      <x:c r="E1728" s="16" t="str">
        <x:v>* myContacts</x:v>
      </x:c>
      <x:c r="F1728" s="16" t="str">
        <x:v>+60126197302</x:v>
      </x:c>
      <x:c r="G1728" s="16" t="str">
        <x:v>+60126197302</x:v>
      </x:c>
      <x:c r="H1728" s="16" t="str">
        <x:v>Excluded</x:v>
      </x:c>
      <x:c r="I1728" s="16" t="str">
        <x:v>Missing email</x:v>
      </x:c>
    </x:row>
    <x:row r="1729">
      <x:c r="A1729" s="16" t="n">
        <x:v>1726</x:v>
      </x:c>
      <x:c r="B1729" s="16" t="str">
        <x:v>Ctrod Malek</x:v>
      </x:c>
      <x:c r="C1729" s="16" t="str"/>
      <x:c r="D1729" s="16" t="str"/>
      <x:c r="E1729" s="16" t="str">
        <x:v>* myContacts</x:v>
      </x:c>
      <x:c r="F1729" s="16" t="str">
        <x:v>+60126511744</x:v>
      </x:c>
      <x:c r="G1729" s="16" t="str">
        <x:v>+60126511744</x:v>
      </x:c>
      <x:c r="H1729" s="16" t="str">
        <x:v>Excluded</x:v>
      </x:c>
      <x:c r="I1729" s="16" t="str">
        <x:v>Missing email</x:v>
      </x:c>
    </x:row>
    <x:row r="1730">
      <x:c r="A1730" s="16" t="n">
        <x:v>1727</x:v>
      </x:c>
      <x:c r="B1730" s="16" t="str">
        <x:v>Ctsalbiah Ahmad</x:v>
      </x:c>
      <x:c r="C1730" s="16" t="str"/>
      <x:c r="D1730" s="16" t="str"/>
      <x:c r="E1730" s="16" t="str">
        <x:v>* myContacts</x:v>
      </x:c>
      <x:c r="F1730" s="16" t="str">
        <x:v>+60174092125</x:v>
      </x:c>
      <x:c r="G1730" s="16" t="str">
        <x:v>+60174092125</x:v>
      </x:c>
      <x:c r="H1730" s="16" t="str">
        <x:v>Excluded</x:v>
      </x:c>
      <x:c r="I1730" s="16" t="str">
        <x:v>Missing email</x:v>
      </x:c>
    </x:row>
    <x:row r="1731">
      <x:c r="A1731" s="16" t="n">
        <x:v>1728</x:v>
      </x:c>
      <x:c r="B1731" s="16" t="str">
        <x:v>Cty Rohani Naniey</x:v>
      </x:c>
      <x:c r="C1731" s="16" t="str"/>
      <x:c r="D1731" s="16" t="str"/>
      <x:c r="E1731" s="16" t="str">
        <x:v>* myContacts</x:v>
      </x:c>
      <x:c r="F1731" s="16" t="str">
        <x:v>+601125806093</x:v>
      </x:c>
      <x:c r="G1731" s="16" t="str">
        <x:v>+601125806093</x:v>
      </x:c>
      <x:c r="H1731" s="16" t="str">
        <x:v>Excluded</x:v>
      </x:c>
      <x:c r="I1731" s="16" t="str">
        <x:v>Missing email</x:v>
      </x:c>
    </x:row>
    <x:row r="1732">
      <x:c r="A1732" s="16" t="n">
        <x:v>1729</x:v>
      </x:c>
      <x:c r="B1732" s="16" t="str">
        <x:v>Ctz Siti Zubaidah</x:v>
      </x:c>
      <x:c r="C1732" s="16" t="str"/>
      <x:c r="D1732" s="16" t="str"/>
      <x:c r="E1732" s="16" t="str">
        <x:v>* myContacts</x:v>
      </x:c>
      <x:c r="F1732" s="16" t="str">
        <x:v>+60129006051</x:v>
      </x:c>
      <x:c r="G1732" s="16" t="str">
        <x:v>+60129006051</x:v>
      </x:c>
      <x:c r="H1732" s="16" t="str">
        <x:v>Excluded</x:v>
      </x:c>
      <x:c r="I1732" s="16" t="str">
        <x:v>Missing email</x:v>
      </x:c>
    </x:row>
    <x:row r="1733">
      <x:c r="A1733" s="16" t="n">
        <x:v>1730</x:v>
      </x:c>
      <x:c r="B1733" s="16" t="str">
        <x:v>Cus Noorsani</x:v>
      </x:c>
      <x:c r="C1733" s="16" t="str"/>
      <x:c r="D1733" s="16" t="str"/>
      <x:c r="E1733" s="16" t="str">
        <x:v>* myContacts</x:v>
      </x:c>
      <x:c r="F1733" s="16" t="str">
        <x:v>+60 12-234 4411 | +60122344411</x:v>
      </x:c>
      <x:c r="G1733" s="16" t="str">
        <x:v>+60122344411 | +60122344411</x:v>
      </x:c>
      <x:c r="H1733" s="16" t="str">
        <x:v>Excluded</x:v>
      </x:c>
      <x:c r="I1733" s="16" t="str">
        <x:v>Missing email</x:v>
      </x:c>
    </x:row>
    <x:row r="1734">
      <x:c r="A1734" s="16" t="n">
        <x:v>1731</x:v>
      </x:c>
      <x:c r="B1734" s="16" t="str">
        <x:v>Cut Mutia</x:v>
      </x:c>
      <x:c r="C1734" s="16" t="str"/>
      <x:c r="D1734" s="16" t="str"/>
      <x:c r="E1734" s="16" t="str">
        <x:v>* myContacts</x:v>
      </x:c>
      <x:c r="F1734" s="16" t="str">
        <x:v>+6281990145965</x:v>
      </x:c>
      <x:c r="G1734" s="16" t="str">
        <x:v>+6281990145965</x:v>
      </x:c>
      <x:c r="H1734" s="16" t="str">
        <x:v>Excluded</x:v>
      </x:c>
      <x:c r="I1734" s="16" t="str">
        <x:v>Missing email</x:v>
      </x:c>
    </x:row>
    <x:row r="1735">
      <x:c r="A1735" s="16" t="n">
        <x:v>1732</x:v>
      </x:c>
      <x:c r="B1735" s="16" t="str">
        <x:v>cwa support</x:v>
      </x:c>
      <x:c r="C1735" s="16" t="str"/>
      <x:c r="D1735" s="16" t="str"/>
      <x:c r="E1735" s="16" t="str">
        <x:v>* myContacts</x:v>
      </x:c>
      <x:c r="F1735" s="16" t="str">
        <x:v>0377183001 | +60377183001</x:v>
      </x:c>
      <x:c r="G1735" s="16" t="str">
        <x:v>+60377183001 | +60377183001</x:v>
      </x:c>
      <x:c r="H1735" s="16" t="str">
        <x:v>Excluded</x:v>
      </x:c>
      <x:c r="I1735" s="16" t="str">
        <x:v>Missing email</x:v>
      </x:c>
    </x:row>
    <x:row r="1736">
      <x:c r="A1736" s="16" t="n">
        <x:v>1733</x:v>
      </x:c>
      <x:c r="B1736" s="16" t="str">
        <x:v>Cyg Xiie Montelx</x:v>
      </x:c>
      <x:c r="C1736" s="16" t="str"/>
      <x:c r="D1736" s="16" t="str"/>
      <x:c r="E1736" s="16" t="str">
        <x:v>* myContacts</x:v>
      </x:c>
      <x:c r="F1736" s="16" t="str">
        <x:v>+601131477941</x:v>
      </x:c>
      <x:c r="G1736" s="16" t="str">
        <x:v>+601131477941</x:v>
      </x:c>
      <x:c r="H1736" s="16" t="str">
        <x:v>Excluded</x:v>
      </x:c>
      <x:c r="I1736" s="16" t="str">
        <x:v>Missing email</x:v>
      </x:c>
    </x:row>
    <x:row r="1737">
      <x:c r="A1737" s="16" t="n">
        <x:v>1734</x:v>
      </x:c>
      <x:c r="B1737" s="16" t="str">
        <x:v>Cyla Cylasheela</x:v>
      </x:c>
      <x:c r="C1737" s="16" t="str"/>
      <x:c r="D1737" s="16" t="str"/>
      <x:c r="E1737" s="16" t="str">
        <x:v>* myContacts</x:v>
      </x:c>
      <x:c r="F1737" s="16" t="str">
        <x:v>+60167977464</x:v>
      </x:c>
      <x:c r="G1737" s="16" t="str">
        <x:v>+60167977464</x:v>
      </x:c>
      <x:c r="H1737" s="16" t="str">
        <x:v>Excluded</x:v>
      </x:c>
      <x:c r="I1737" s="16" t="str">
        <x:v>Missing email</x:v>
      </x:c>
    </x:row>
    <x:row r="1738">
      <x:c r="A1738" s="16" t="n">
        <x:v>1735</x:v>
      </x:c>
      <x:c r="B1738" s="16" t="str">
        <x:v>Cyril David</x:v>
      </x:c>
      <x:c r="C1738" s="16" t="str"/>
      <x:c r="D1738" s="16" t="str"/>
      <x:c r="E1738" s="16" t="str">
        <x:v>* myContacts</x:v>
      </x:c>
      <x:c r="F1738" s="16" t="str">
        <x:v>+60135433054</x:v>
      </x:c>
      <x:c r="G1738" s="16" t="str">
        <x:v>+60135433054</x:v>
      </x:c>
      <x:c r="H1738" s="16" t="str">
        <x:v>Excluded</x:v>
      </x:c>
      <x:c r="I1738" s="16" t="str">
        <x:v>Missing email</x:v>
      </x:c>
    </x:row>
    <x:row r="1739">
      <x:c r="A1739" s="16" t="n">
        <x:v>1736</x:v>
      </x:c>
      <x:c r="B1739" s="16" t="str">
        <x:v>Czedkell Mohamed</x:v>
      </x:c>
      <x:c r="C1739" s="16" t="str"/>
      <x:c r="D1739" s="16" t="str"/>
      <x:c r="E1739" s="16" t="str">
        <x:v>* myContacts</x:v>
      </x:c>
      <x:c r="F1739" s="16" t="str">
        <x:v>+601118581163</x:v>
      </x:c>
      <x:c r="G1739" s="16" t="str">
        <x:v>+601118581163</x:v>
      </x:c>
      <x:c r="H1739" s="16" t="str">
        <x:v>Excluded</x:v>
      </x:c>
      <x:c r="I1739" s="16" t="str">
        <x:v>Missing email</x:v>
      </x:c>
    </x:row>
    <x:row r="1740">
      <x:c r="A1740" s="16" t="n">
        <x:v>1737</x:v>
      </x:c>
      <x:c r="B1740" s="16" t="str">
        <x:v>D Zul Fiqar</x:v>
      </x:c>
      <x:c r="C1740" s="16" t="str"/>
      <x:c r="D1740" s="16" t="str"/>
      <x:c r="E1740" s="16" t="str">
        <x:v>* myContacts</x:v>
      </x:c>
      <x:c r="F1740" s="16" t="str">
        <x:v>+60149869872</x:v>
      </x:c>
      <x:c r="G1740" s="16" t="str">
        <x:v>+60149869872</x:v>
      </x:c>
      <x:c r="H1740" s="16" t="str">
        <x:v>Excluded</x:v>
      </x:c>
      <x:c r="I1740" s="16" t="str">
        <x:v>Missing email</x:v>
      </x:c>
    </x:row>
    <x:row r="1741">
      <x:c r="A1741" s="16" t="n">
        <x:v>1738</x:v>
      </x:c>
      <x:c r="B1741" s="16" t="str">
        <x:v>D-Max Pest</x:v>
      </x:c>
      <x:c r="C1741" s="16" t="str"/>
      <x:c r="D1741" s="16" t="str"/>
      <x:c r="E1741" s="16" t="str">
        <x:v>* myContacts</x:v>
      </x:c>
      <x:c r="F1741" s="16" t="str">
        <x:v>+60192612643</x:v>
      </x:c>
      <x:c r="G1741" s="16" t="str">
        <x:v>+60192612643</x:v>
      </x:c>
      <x:c r="H1741" s="16" t="str">
        <x:v>Excluded</x:v>
      </x:c>
      <x:c r="I1741" s="16" t="str">
        <x:v>Missing email</x:v>
      </x:c>
    </x:row>
    <x:row r="1742">
      <x:c r="A1742" s="16" t="n">
        <x:v>1739</x:v>
      </x:c>
      <x:c r="B1742" s="16" t="str">
        <x:v>D'ayue Collect Ayu</x:v>
      </x:c>
      <x:c r="C1742" s="16" t="str"/>
      <x:c r="D1742" s="16" t="str"/>
      <x:c r="E1742" s="16" t="str">
        <x:v>* myContacts</x:v>
      </x:c>
      <x:c r="F1742" s="16" t="str">
        <x:v>+60139338586</x:v>
      </x:c>
      <x:c r="G1742" s="16" t="str">
        <x:v>+60139338586</x:v>
      </x:c>
      <x:c r="H1742" s="16" t="str">
        <x:v>Excluded</x:v>
      </x:c>
      <x:c r="I1742" s="16" t="str">
        <x:v>Missing email</x:v>
      </x:c>
    </x:row>
    <x:row r="1743">
      <x:c r="A1743" s="16" t="n">
        <x:v>1740</x:v>
      </x:c>
      <x:c r="B1743" s="16" t="str">
        <x:v>D'elldye Superb Kosmetik</x:v>
      </x:c>
      <x:c r="C1743" s="16" t="str"/>
      <x:c r="D1743" s="16" t="str"/>
      <x:c r="E1743" s="16" t="str">
        <x:v>* myContacts</x:v>
      </x:c>
      <x:c r="F1743" s="16" t="str">
        <x:v>+601119305429</x:v>
      </x:c>
      <x:c r="G1743" s="16" t="str">
        <x:v>+601119305429</x:v>
      </x:c>
      <x:c r="H1743" s="16" t="str">
        <x:v>Excluded</x:v>
      </x:c>
      <x:c r="I1743" s="16" t="str">
        <x:v>Missing email</x:v>
      </x:c>
    </x:row>
    <x:row r="1744">
      <x:c r="A1744" s="16" t="n">
        <x:v>1741</x:v>
      </x:c>
      <x:c r="B1744" s="16" t="str">
        <x:v>D'fara Farhana</x:v>
      </x:c>
      <x:c r="C1744" s="16" t="str"/>
      <x:c r="D1744" s="16" t="str"/>
      <x:c r="E1744" s="16" t="str">
        <x:v>* myContacts</x:v>
      </x:c>
      <x:c r="F1744" s="16" t="str">
        <x:v>+60103208512</x:v>
      </x:c>
      <x:c r="G1744" s="16" t="str">
        <x:v>+60103208512</x:v>
      </x:c>
      <x:c r="H1744" s="16" t="str">
        <x:v>Excluded</x:v>
      </x:c>
      <x:c r="I1744" s="16" t="str">
        <x:v>Missing email</x:v>
      </x:c>
    </x:row>
    <x:row r="1745">
      <x:c r="A1745" s="16" t="n">
        <x:v>1742</x:v>
      </x:c>
      <x:c r="B1745" s="16" t="str">
        <x:v>D'fiesha Corner</x:v>
      </x:c>
      <x:c r="C1745" s="16" t="str"/>
      <x:c r="D1745" s="16" t="str"/>
      <x:c r="E1745" s="16" t="str">
        <x:v>* myContacts</x:v>
      </x:c>
      <x:c r="F1745" s="16" t="str">
        <x:v>+60104041779</x:v>
      </x:c>
      <x:c r="G1745" s="16" t="str">
        <x:v>+60104041779</x:v>
      </x:c>
      <x:c r="H1745" s="16" t="str">
        <x:v>Excluded</x:v>
      </x:c>
      <x:c r="I1745" s="16" t="str">
        <x:v>Missing email</x:v>
      </x:c>
    </x:row>
    <x:row r="1746">
      <x:c r="A1746" s="16" t="n">
        <x:v>1743</x:v>
      </x:c>
      <x:c r="B1746" s="16" t="str">
        <x:v>D'iq Conopy Entertaiment</x:v>
      </x:c>
      <x:c r="C1746" s="16" t="str"/>
      <x:c r="D1746" s="16" t="str"/>
      <x:c r="E1746" s="16" t="str">
        <x:v>* myContacts</x:v>
      </x:c>
      <x:c r="F1746" s="16" t="str">
        <x:v>+60167787625</x:v>
      </x:c>
      <x:c r="G1746" s="16" t="str">
        <x:v>+60167787625</x:v>
      </x:c>
      <x:c r="H1746" s="16" t="str">
        <x:v>Excluded</x:v>
      </x:c>
      <x:c r="I1746" s="16" t="str">
        <x:v>Missing email</x:v>
      </x:c>
    </x:row>
    <x:row r="1747">
      <x:c r="A1747" s="16" t="n">
        <x:v>1744</x:v>
      </x:c>
      <x:c r="B1747" s="16" t="str">
        <x:v>D'Putra Masterpiece</x:v>
      </x:c>
      <x:c r="C1747" s="16" t="str"/>
      <x:c r="D1747" s="16" t="str"/>
      <x:c r="E1747" s="16" t="str">
        <x:v>* myContacts</x:v>
      </x:c>
      <x:c r="F1747" s="16" t="str">
        <x:v>+60164396533</x:v>
      </x:c>
      <x:c r="G1747" s="16" t="str">
        <x:v>+60164396533</x:v>
      </x:c>
      <x:c r="H1747" s="16" t="str">
        <x:v>Excluded</x:v>
      </x:c>
      <x:c r="I1747" s="16" t="str">
        <x:v>Missing email</x:v>
      </x:c>
    </x:row>
    <x:row r="1748">
      <x:c r="A1748" s="16" t="n">
        <x:v>1745</x:v>
      </x:c>
      <x:c r="B1748" s="16" t="str">
        <x:v>D'rimba Flora</x:v>
      </x:c>
      <x:c r="C1748" s="16" t="str"/>
      <x:c r="D1748" s="16" t="str"/>
      <x:c r="E1748" s="16" t="str">
        <x:v>* myContacts</x:v>
      </x:c>
      <x:c r="F1748" s="16" t="str">
        <x:v>+601128076832</x:v>
      </x:c>
      <x:c r="G1748" s="16" t="str">
        <x:v>+601128076832</x:v>
      </x:c>
      <x:c r="H1748" s="16" t="str">
        <x:v>Excluded</x:v>
      </x:c>
      <x:c r="I1748" s="16" t="str">
        <x:v>Missing email</x:v>
      </x:c>
    </x:row>
    <x:row r="1749">
      <x:c r="A1749" s="16" t="n">
        <x:v>1746</x:v>
      </x:c>
      <x:c r="B1749" s="16" t="str">
        <x:v>D'Waty Arif</x:v>
      </x:c>
      <x:c r="C1749" s="16" t="str"/>
      <x:c r="D1749" s="16" t="str"/>
      <x:c r="E1749" s="16" t="str">
        <x:v>* myContacts</x:v>
      </x:c>
      <x:c r="F1749" s="16" t="str">
        <x:v>+601135365980</x:v>
      </x:c>
      <x:c r="G1749" s="16" t="str">
        <x:v>+601135365980</x:v>
      </x:c>
      <x:c r="H1749" s="16" t="str">
        <x:v>Excluded</x:v>
      </x:c>
      <x:c r="I1749" s="16" t="str">
        <x:v>Missing email</x:v>
      </x:c>
    </x:row>
    <x:row r="1750">
      <x:c r="A1750" s="16" t="n">
        <x:v>1747</x:v>
      </x:c>
      <x:c r="B1750" s="16" t="str">
        <x:v>Dadat Selamat</x:v>
      </x:c>
      <x:c r="C1750" s="16" t="str"/>
      <x:c r="D1750" s="16" t="str"/>
      <x:c r="E1750" s="16" t="str">
        <x:v>* myContacts</x:v>
      </x:c>
      <x:c r="F1750" s="16" t="str">
        <x:v>+60182498551</x:v>
      </x:c>
      <x:c r="G1750" s="16" t="str">
        <x:v>+60182498551</x:v>
      </x:c>
      <x:c r="H1750" s="16" t="str">
        <x:v>Excluded</x:v>
      </x:c>
      <x:c r="I1750" s="16" t="str">
        <x:v>Missing email</x:v>
      </x:c>
    </x:row>
    <x:row r="1751">
      <x:c r="A1751" s="16" t="n">
        <x:v>1748</x:v>
      </x:c>
      <x:c r="B1751" s="16" t="str">
        <x:v>Dadat Selamat II</x:v>
      </x:c>
      <x:c r="C1751" s="16" t="str"/>
      <x:c r="D1751" s="16" t="str"/>
      <x:c r="E1751" s="16" t="str">
        <x:v>* myContacts</x:v>
      </x:c>
      <x:c r="F1751" s="16" t="str">
        <x:v>+60182498551</x:v>
      </x:c>
      <x:c r="G1751" s="16" t="str">
        <x:v>+60182498551</x:v>
      </x:c>
      <x:c r="H1751" s="16" t="str">
        <x:v>Excluded</x:v>
      </x:c>
      <x:c r="I1751" s="16" t="str">
        <x:v>Missing email</x:v>
      </x:c>
    </x:row>
    <x:row r="1752">
      <x:c r="A1752" s="16" t="n">
        <x:v>1749</x:v>
      </x:c>
      <x:c r="B1752" s="16" t="str">
        <x:v>Daeng Gagak</x:v>
      </x:c>
      <x:c r="C1752" s="16" t="str"/>
      <x:c r="D1752" s="16" t="str"/>
      <x:c r="E1752" s="16" t="str">
        <x:v>* myContacts</x:v>
      </x:c>
      <x:c r="F1752" s="16" t="str">
        <x:v>+60128185682</x:v>
      </x:c>
      <x:c r="G1752" s="16" t="str">
        <x:v>+60128185682</x:v>
      </x:c>
      <x:c r="H1752" s="16" t="str">
        <x:v>Excluded</x:v>
      </x:c>
      <x:c r="I1752" s="16" t="str">
        <x:v>Missing email</x:v>
      </x:c>
    </x:row>
    <x:row r="1753">
      <x:c r="A1753" s="16" t="n">
        <x:v>1750</x:v>
      </x:c>
      <x:c r="B1753" s="16" t="str">
        <x:v>Dahlia Ddesign</x:v>
      </x:c>
      <x:c r="C1753" s="16" t="str"/>
      <x:c r="D1753" s="16" t="str"/>
      <x:c r="E1753" s="16" t="str">
        <x:v>* myContacts</x:v>
      </x:c>
      <x:c r="F1753" s="16" t="str">
        <x:v>+60133159466</x:v>
      </x:c>
      <x:c r="G1753" s="16" t="str">
        <x:v>+60133159466</x:v>
      </x:c>
      <x:c r="H1753" s="16" t="str">
        <x:v>Excluded</x:v>
      </x:c>
      <x:c r="I1753" s="16" t="str">
        <x:v>Missing email</x:v>
      </x:c>
    </x:row>
    <x:row r="1754">
      <x:c r="A1754" s="16" t="n">
        <x:v>1751</x:v>
      </x:c>
      <x:c r="B1754" s="16" t="str">
        <x:v>Dahlia Mizs</x:v>
      </x:c>
      <x:c r="C1754" s="16" t="str"/>
      <x:c r="D1754" s="16" t="str"/>
      <x:c r="E1754" s="16" t="str">
        <x:v>* myContacts</x:v>
      </x:c>
      <x:c r="F1754" s="16" t="str">
        <x:v>+60194599277</x:v>
      </x:c>
      <x:c r="G1754" s="16" t="str">
        <x:v>+60194599277</x:v>
      </x:c>
      <x:c r="H1754" s="16" t="str">
        <x:v>Excluded</x:v>
      </x:c>
      <x:c r="I1754" s="16" t="str">
        <x:v>Missing email</x:v>
      </x:c>
    </x:row>
    <x:row r="1755">
      <x:c r="A1755" s="16" t="n">
        <x:v>1752</x:v>
      </x:c>
      <x:c r="B1755" s="16" t="str">
        <x:v>DaiNee RaZwan</x:v>
      </x:c>
      <x:c r="C1755" s="16" t="str"/>
      <x:c r="D1755" s="16" t="str"/>
      <x:c r="E1755" s="16" t="str">
        <x:v>* myContacts</x:v>
      </x:c>
      <x:c r="F1755" s="16" t="str">
        <x:v>+60162336746</x:v>
      </x:c>
      <x:c r="G1755" s="16" t="str">
        <x:v>+60162336746</x:v>
      </x:c>
      <x:c r="H1755" s="16" t="str">
        <x:v>Excluded</x:v>
      </x:c>
      <x:c r="I1755" s="16" t="str">
        <x:v>Missing email</x:v>
      </x:c>
    </x:row>
    <x:row r="1756">
      <x:c r="A1756" s="16" t="n">
        <x:v>1753</x:v>
      </x:c>
      <x:c r="B1756" s="16" t="str">
        <x:v>Dak Wan Aircond</x:v>
      </x:c>
      <x:c r="C1756" s="16" t="str"/>
      <x:c r="D1756" s="16" t="str"/>
      <x:c r="E1756" s="16" t="str">
        <x:v>* myContacts</x:v>
      </x:c>
      <x:c r="F1756" s="16" t="str">
        <x:v>+601112878273</x:v>
      </x:c>
      <x:c r="G1756" s="16" t="str">
        <x:v>+601112878273</x:v>
      </x:c>
      <x:c r="H1756" s="16" t="str">
        <x:v>Excluded</x:v>
      </x:c>
      <x:c r="I1756" s="16" t="str">
        <x:v>Missing email</x:v>
      </x:c>
    </x:row>
    <x:row r="1757">
      <x:c r="A1757" s="16" t="n">
        <x:v>1754</x:v>
      </x:c>
      <x:c r="B1757" s="16" t="str">
        <x:v>DakZura Homebaker</x:v>
      </x:c>
      <x:c r="C1757" s="16" t="str"/>
      <x:c r="D1757" s="16" t="str"/>
      <x:c r="E1757" s="16" t="str">
        <x:v>* myContacts</x:v>
      </x:c>
      <x:c r="F1757" s="16" t="str">
        <x:v>+60197572059</x:v>
      </x:c>
      <x:c r="G1757" s="16" t="str">
        <x:v>+60197572059</x:v>
      </x:c>
      <x:c r="H1757" s="16" t="str">
        <x:v>Excluded</x:v>
      </x:c>
      <x:c r="I1757" s="16" t="str">
        <x:v>Missing email</x:v>
      </x:c>
    </x:row>
    <x:row r="1758">
      <x:c r="A1758" s="16" t="n">
        <x:v>1755</x:v>
      </x:c>
      <x:c r="B1758" s="16" t="str">
        <x:v>Dali Hj Salim AGP</x:v>
      </x:c>
      <x:c r="C1758" s="16" t="str"/>
      <x:c r="D1758" s="16" t="str"/>
      <x:c r="E1758" s="16" t="str">
        <x:v>* myContacts</x:v>
      </x:c>
      <x:c r="F1758" s="16" t="str">
        <x:v>+60 19-803 8977 | +60198038977</x:v>
      </x:c>
      <x:c r="G1758" s="16" t="str">
        <x:v>+60198038977 | +60198038977</x:v>
      </x:c>
      <x:c r="H1758" s="16" t="str">
        <x:v>Excluded</x:v>
      </x:c>
      <x:c r="I1758" s="16" t="str">
        <x:v>Missing email</x:v>
      </x:c>
    </x:row>
    <x:row r="1759">
      <x:c r="A1759" s="16" t="n">
        <x:v>1756</x:v>
      </x:c>
      <x:c r="B1759" s="16" t="str">
        <x:v>Dalina Ina</x:v>
      </x:c>
      <x:c r="C1759" s="16" t="str"/>
      <x:c r="D1759" s="16" t="str"/>
      <x:c r="E1759" s="16" t="str">
        <x:v>* myContacts</x:v>
      </x:c>
      <x:c r="F1759" s="16" t="str">
        <x:v>+60126462499</x:v>
      </x:c>
      <x:c r="G1759" s="16" t="str">
        <x:v>+60126462499</x:v>
      </x:c>
      <x:c r="H1759" s="16" t="str">
        <x:v>Excluded</x:v>
      </x:c>
      <x:c r="I1759" s="16" t="str">
        <x:v>Missing email</x:v>
      </x:c>
    </x:row>
    <x:row r="1760">
      <x:c r="A1760" s="16" t="n">
        <x:v>1757</x:v>
      </x:c>
      <x:c r="B1760" s="16" t="str">
        <x:v>Damaliqa Marlia</x:v>
      </x:c>
      <x:c r="C1760" s="16" t="str"/>
      <x:c r="D1760" s="16" t="str"/>
      <x:c r="E1760" s="16" t="str">
        <x:v>* myContacts</x:v>
      </x:c>
      <x:c r="F1760" s="16" t="str">
        <x:v>+60135298227</x:v>
      </x:c>
      <x:c r="G1760" s="16" t="str">
        <x:v>+60135298227</x:v>
      </x:c>
      <x:c r="H1760" s="16" t="str">
        <x:v>Excluded</x:v>
      </x:c>
      <x:c r="I1760" s="16" t="str">
        <x:v>Missing email</x:v>
      </x:c>
    </x:row>
    <x:row r="1761">
      <x:c r="A1761" s="16" t="n">
        <x:v>1758</x:v>
      </x:c>
      <x:c r="B1761" s="16" t="str">
        <x:v>Dani IM</x:v>
      </x:c>
      <x:c r="C1761" s="16" t="str"/>
      <x:c r="D1761" s="16" t="str"/>
      <x:c r="E1761" s="16" t="str">
        <x:v>* myContacts</x:v>
      </x:c>
      <x:c r="F1761" s="16" t="str">
        <x:v>+60 19-495 3517 | +60194953517</x:v>
      </x:c>
      <x:c r="G1761" s="16" t="str">
        <x:v>+60194953517 | +60194953517</x:v>
      </x:c>
      <x:c r="H1761" s="16" t="str">
        <x:v>Excluded</x:v>
      </x:c>
      <x:c r="I1761" s="16" t="str">
        <x:v>Missing email</x:v>
      </x:c>
    </x:row>
    <x:row r="1762">
      <x:c r="A1762" s="16" t="n">
        <x:v>1759</x:v>
      </x:c>
      <x:c r="B1762" s="16" t="str">
        <x:v>Dania Decor</x:v>
      </x:c>
      <x:c r="C1762" s="16" t="str"/>
      <x:c r="D1762" s="16" t="str"/>
      <x:c r="E1762" s="16" t="str">
        <x:v>* myContacts</x:v>
      </x:c>
      <x:c r="F1762" s="16" t="str">
        <x:v>+6053131555</x:v>
      </x:c>
      <x:c r="G1762" s="16" t="str">
        <x:v>+6053131555</x:v>
      </x:c>
      <x:c r="H1762" s="16" t="str">
        <x:v>Excluded</x:v>
      </x:c>
      <x:c r="I1762" s="16" t="str">
        <x:v>Missing email</x:v>
      </x:c>
    </x:row>
    <x:row r="1763">
      <x:c r="A1763" s="16" t="n">
        <x:v>1760</x:v>
      </x:c>
      <x:c r="B1763" s="16" t="str">
        <x:v>Dania Nur Qaseh</x:v>
      </x:c>
      <x:c r="C1763" s="16" t="str"/>
      <x:c r="D1763" s="16" t="str"/>
      <x:c r="E1763" s="16" t="str">
        <x:v>* myContacts</x:v>
      </x:c>
      <x:c r="F1763" s="16" t="str">
        <x:v>+60173556269</x:v>
      </x:c>
      <x:c r="G1763" s="16" t="str">
        <x:v>+60173556269</x:v>
      </x:c>
      <x:c r="H1763" s="16" t="str">
        <x:v>Excluded</x:v>
      </x:c>
      <x:c r="I1763" s="16" t="str">
        <x:v>Missing email</x:v>
      </x:c>
    </x:row>
    <x:row r="1764">
      <x:c r="A1764" s="16" t="n">
        <x:v>1761</x:v>
      </x:c>
      <x:c r="B1764" s="16" t="str">
        <x:v>Dania Zafirah</x:v>
      </x:c>
      <x:c r="C1764" s="16" t="str"/>
      <x:c r="D1764" s="16" t="str"/>
      <x:c r="E1764" s="16" t="str">
        <x:v>* myContacts</x:v>
      </x:c>
      <x:c r="F1764" s="16" t="str">
        <x:v>+60138676273</x:v>
      </x:c>
      <x:c r="G1764" s="16" t="str">
        <x:v>+60138676273</x:v>
      </x:c>
      <x:c r="H1764" s="16" t="str">
        <x:v>Excluded</x:v>
      </x:c>
      <x:c r="I1764" s="16" t="str">
        <x:v>Missing email</x:v>
      </x:c>
    </x:row>
    <x:row r="1765">
      <x:c r="A1765" s="16" t="n">
        <x:v>1762</x:v>
      </x:c>
      <x:c r="B1765" s="16" t="str">
        <x:v>Danial Arif Urut Chemor</x:v>
      </x:c>
      <x:c r="C1765" s="16" t="str"/>
      <x:c r="D1765" s="16" t="str"/>
      <x:c r="E1765" s="16" t="str">
        <x:v>* myContacts</x:v>
      </x:c>
      <x:c r="F1765" s="16" t="str">
        <x:v>+60126774094</x:v>
      </x:c>
      <x:c r="G1765" s="16" t="str">
        <x:v>+60126774094</x:v>
      </x:c>
      <x:c r="H1765" s="16" t="str">
        <x:v>Excluded</x:v>
      </x:c>
      <x:c r="I1765" s="16" t="str">
        <x:v>Missing email</x:v>
      </x:c>
    </x:row>
    <x:row r="1766">
      <x:c r="A1766" s="16" t="n">
        <x:v>1763</x:v>
      </x:c>
      <x:c r="B1766" s="16" t="str">
        <x:v>Danial Danish</x:v>
      </x:c>
      <x:c r="C1766" s="16" t="str"/>
      <x:c r="D1766" s="16" t="str"/>
      <x:c r="E1766" s="16" t="str">
        <x:v>* myContacts</x:v>
      </x:c>
      <x:c r="F1766" s="16" t="str">
        <x:v>+60133537273</x:v>
      </x:c>
      <x:c r="G1766" s="16" t="str">
        <x:v>+60133537273</x:v>
      </x:c>
      <x:c r="H1766" s="16" t="str">
        <x:v>Excluded</x:v>
      </x:c>
      <x:c r="I1766" s="16" t="str">
        <x:v>Missing email</x:v>
      </x:c>
    </x:row>
    <x:row r="1767">
      <x:c r="A1767" s="16" t="n">
        <x:v>1764</x:v>
      </x:c>
      <x:c r="B1767" s="16" t="str">
        <x:v>Danial Fikri</x:v>
      </x:c>
      <x:c r="C1767" s="16" t="str"/>
      <x:c r="D1767" s="16" t="str"/>
      <x:c r="E1767" s="16" t="str">
        <x:v>* myContacts</x:v>
      </x:c>
      <x:c r="F1767" s="16" t="str">
        <x:v>+60124972008</x:v>
      </x:c>
      <x:c r="G1767" s="16" t="str">
        <x:v>+60124972008</x:v>
      </x:c>
      <x:c r="H1767" s="16" t="str">
        <x:v>Excluded</x:v>
      </x:c>
      <x:c r="I1767" s="16" t="str">
        <x:v>Missing email</x:v>
      </x:c>
    </x:row>
    <x:row r="1768">
      <x:c r="A1768" s="16" t="n">
        <x:v>1765</x:v>
      </x:c>
      <x:c r="B1768" s="16" t="str">
        <x:v>Danial Hakim</x:v>
      </x:c>
      <x:c r="C1768" s="16" t="str"/>
      <x:c r="D1768" s="16" t="str"/>
      <x:c r="E1768" s="16" t="str">
        <x:v>* myContacts</x:v>
      </x:c>
      <x:c r="F1768" s="16" t="str">
        <x:v>+60148039768</x:v>
      </x:c>
      <x:c r="G1768" s="16" t="str">
        <x:v>+60148039768</x:v>
      </x:c>
      <x:c r="H1768" s="16" t="str">
        <x:v>Excluded</x:v>
      </x:c>
      <x:c r="I1768" s="16" t="str">
        <x:v>Missing email</x:v>
      </x:c>
    </x:row>
    <x:row r="1769">
      <x:c r="A1769" s="16" t="n">
        <x:v>1766</x:v>
      </x:c>
      <x:c r="B1769" s="16" t="str">
        <x:v>Danial Haziq Stephen</x:v>
      </x:c>
      <x:c r="C1769" s="16" t="str"/>
      <x:c r="D1769" s="16" t="str"/>
      <x:c r="E1769" s="16" t="str">
        <x:v>* myContacts</x:v>
      </x:c>
      <x:c r="F1769" s="16" t="str">
        <x:v>+60134828995</x:v>
      </x:c>
      <x:c r="G1769" s="16" t="str">
        <x:v>+60134828995</x:v>
      </x:c>
      <x:c r="H1769" s="16" t="str">
        <x:v>Excluded</x:v>
      </x:c>
      <x:c r="I1769" s="16" t="str">
        <x:v>Missing email</x:v>
      </x:c>
    </x:row>
    <x:row r="1770">
      <x:c r="A1770" s="16" t="n">
        <x:v>1767</x:v>
      </x:c>
      <x:c r="B1770" s="16" t="str">
        <x:v>Danial Jay</x:v>
      </x:c>
      <x:c r="C1770" s="16" t="str"/>
      <x:c r="D1770" s="16" t="str"/>
      <x:c r="E1770" s="16" t="str">
        <x:v>* myContacts</x:v>
      </x:c>
      <x:c r="F1770" s="16" t="str">
        <x:v>+60179847829</x:v>
      </x:c>
      <x:c r="G1770" s="16" t="str">
        <x:v>+60179847829</x:v>
      </x:c>
      <x:c r="H1770" s="16" t="str">
        <x:v>Excluded</x:v>
      </x:c>
      <x:c r="I1770" s="16" t="str">
        <x:v>Missing email</x:v>
      </x:c>
    </x:row>
    <x:row r="1771">
      <x:c r="A1771" s="16" t="n">
        <x:v>1768</x:v>
      </x:c>
      <x:c r="B1771" s="16" t="str">
        <x:v>Danial Nazrin</x:v>
      </x:c>
      <x:c r="C1771" s="16" t="str"/>
      <x:c r="D1771" s="16" t="str"/>
      <x:c r="E1771" s="16" t="str">
        <x:v>* myContacts</x:v>
      </x:c>
      <x:c r="F1771" s="16" t="str">
        <x:v>+60124988156</x:v>
      </x:c>
      <x:c r="G1771" s="16" t="str">
        <x:v>+60124988156</x:v>
      </x:c>
      <x:c r="H1771" s="16" t="str">
        <x:v>Excluded</x:v>
      </x:c>
      <x:c r="I1771" s="16" t="str">
        <x:v>Missing email</x:v>
      </x:c>
    </x:row>
    <x:row r="1772">
      <x:c r="A1772" s="16" t="n">
        <x:v>1769</x:v>
      </x:c>
      <x:c r="B1772" s="16" t="str">
        <x:v>Danial Spring Damper</x:v>
      </x:c>
      <x:c r="C1772" s="16" t="str"/>
      <x:c r="D1772" s="16" t="str"/>
      <x:c r="E1772" s="16" t="str">
        <x:v>* myContacts</x:v>
      </x:c>
      <x:c r="F1772" s="16" t="str">
        <x:v>+60 16-558 1747 | +60165581747</x:v>
      </x:c>
      <x:c r="G1772" s="16" t="str">
        <x:v>+60165581747 | +60165581747</x:v>
      </x:c>
      <x:c r="H1772" s="16" t="str">
        <x:v>Excluded</x:v>
      </x:c>
      <x:c r="I1772" s="16" t="str">
        <x:v>Missing email</x:v>
      </x:c>
    </x:row>
    <x:row r="1773">
      <x:c r="A1773" s="16" t="n">
        <x:v>1770</x:v>
      </x:c>
      <x:c r="B1773" s="16" t="str">
        <x:v>Danial Yamaha Nlp</x:v>
      </x:c>
      <x:c r="C1773" s="16" t="str"/>
      <x:c r="D1773" s="16" t="str"/>
      <x:c r="E1773" s="16" t="str">
        <x:v>* myContacts</x:v>
      </x:c>
      <x:c r="F1773" s="16" t="str">
        <x:v>0162001496 | +60162001496</x:v>
      </x:c>
      <x:c r="G1773" s="16" t="str">
        <x:v>+60162001496 | +60162001496</x:v>
      </x:c>
      <x:c r="H1773" s="16" t="str">
        <x:v>Excluded</x:v>
      </x:c>
      <x:c r="I1773" s="16" t="str">
        <x:v>Missing email</x:v>
      </x:c>
    </x:row>
    <x:row r="1774">
      <x:c r="A1774" s="16" t="n">
        <x:v>1771</x:v>
      </x:c>
      <x:c r="B1774" s="16" t="str">
        <x:v>Daniel Adden</x:v>
      </x:c>
      <x:c r="C1774" s="16" t="str"/>
      <x:c r="D1774" s="16" t="str"/>
      <x:c r="E1774" s="16" t="str">
        <x:v>* myContacts</x:v>
      </x:c>
      <x:c r="F1774" s="16" t="str">
        <x:v>+601119381751</x:v>
      </x:c>
      <x:c r="G1774" s="16" t="str">
        <x:v>+601119381751</x:v>
      </x:c>
      <x:c r="H1774" s="16" t="str">
        <x:v>Excluded</x:v>
      </x:c>
      <x:c r="I1774" s="16" t="str">
        <x:v>Missing email</x:v>
      </x:c>
    </x:row>
    <x:row r="1775">
      <x:c r="A1775" s="16" t="n">
        <x:v>1772</x:v>
      </x:c>
      <x:c r="B1775" s="16" t="str">
        <x:v>Daniel Hijrah Selangor</x:v>
      </x:c>
      <x:c r="C1775" s="16" t="str"/>
      <x:c r="D1775" s="16" t="str"/>
      <x:c r="E1775" s="16" t="str">
        <x:v>* myContacts</x:v>
      </x:c>
      <x:c r="F1775" s="16" t="str">
        <x:v>017-285 6294 | +60172856294</x:v>
      </x:c>
      <x:c r="G1775" s="16" t="str">
        <x:v>+60172856294 | +60172856294</x:v>
      </x:c>
      <x:c r="H1775" s="16" t="str">
        <x:v>Excluded</x:v>
      </x:c>
      <x:c r="I1775" s="16" t="str">
        <x:v>Missing email</x:v>
      </x:c>
    </x:row>
    <x:row r="1776">
      <x:c r="A1776" s="16" t="n">
        <x:v>1773</x:v>
      </x:c>
      <x:c r="B1776" s="16" t="str">
        <x:v>Daniel Homeliving</x:v>
      </x:c>
      <x:c r="C1776" s="16" t="str"/>
      <x:c r="D1776" s="16" t="str"/>
      <x:c r="E1776" s="16" t="str">
        <x:v>* myContacts</x:v>
      </x:c>
      <x:c r="F1776" s="16" t="str">
        <x:v>0195847286 | +60195847286</x:v>
      </x:c>
      <x:c r="G1776" s="16" t="str">
        <x:v>+60195847286 | +60195847286</x:v>
      </x:c>
      <x:c r="H1776" s="16" t="str">
        <x:v>Excluded</x:v>
      </x:c>
      <x:c r="I1776" s="16" t="str">
        <x:v>Missing email</x:v>
      </x:c>
    </x:row>
    <x:row r="1777">
      <x:c r="A1777" s="16" t="n">
        <x:v>1774</x:v>
      </x:c>
      <x:c r="B1777" s="16" t="str">
        <x:v>Daniel Joseph</x:v>
      </x:c>
      <x:c r="C1777" s="16" t="str"/>
      <x:c r="D1777" s="16" t="str"/>
      <x:c r="E1777" s="16" t="str">
        <x:v>* myContacts</x:v>
      </x:c>
      <x:c r="F1777" s="16" t="str">
        <x:v>+60169033842</x:v>
      </x:c>
      <x:c r="G1777" s="16" t="str">
        <x:v>+60169033842</x:v>
      </x:c>
      <x:c r="H1777" s="16" t="str">
        <x:v>Excluded</x:v>
      </x:c>
      <x:c r="I1777" s="16" t="str">
        <x:v>Missing email</x:v>
      </x:c>
    </x:row>
    <x:row r="1778">
      <x:c r="A1778" s="16" t="n">
        <x:v>1775</x:v>
      </x:c>
      <x:c r="B1778" s="16" t="str">
        <x:v>Daniel Kriss</x:v>
      </x:c>
      <x:c r="C1778" s="16" t="str"/>
      <x:c r="D1778" s="16" t="str"/>
      <x:c r="E1778" s="16" t="str">
        <x:v>* myContacts</x:v>
      </x:c>
      <x:c r="F1778" s="16" t="str">
        <x:v>+60149851619</x:v>
      </x:c>
      <x:c r="G1778" s="16" t="str">
        <x:v>+60149851619</x:v>
      </x:c>
      <x:c r="H1778" s="16" t="str">
        <x:v>Excluded</x:v>
      </x:c>
      <x:c r="I1778" s="16" t="str">
        <x:v>Missing email</x:v>
      </x:c>
    </x:row>
    <x:row r="1779">
      <x:c r="A1779" s="16" t="n">
        <x:v>1776</x:v>
      </x:c>
      <x:c r="B1779" s="16" t="str">
        <x:v>Daniel Lai</x:v>
      </x:c>
      <x:c r="C1779" s="16" t="str"/>
      <x:c r="D1779" s="16" t="str"/>
      <x:c r="E1779" s="16" t="str">
        <x:v>* myContacts</x:v>
      </x:c>
      <x:c r="F1779" s="16" t="str">
        <x:v>+60126875484</x:v>
      </x:c>
      <x:c r="G1779" s="16" t="str">
        <x:v>+60126875484</x:v>
      </x:c>
      <x:c r="H1779" s="16" t="str">
        <x:v>Excluded</x:v>
      </x:c>
      <x:c r="I1779" s="16" t="str">
        <x:v>Missing email</x:v>
      </x:c>
    </x:row>
    <x:row r="1780">
      <x:c r="A1780" s="16" t="n">
        <x:v>1777</x:v>
      </x:c>
      <x:c r="B1780" s="16" t="str">
        <x:v>Daniesya Baharum</x:v>
      </x:c>
      <x:c r="C1780" s="16" t="str"/>
      <x:c r="D1780" s="16" t="str"/>
      <x:c r="E1780" s="16" t="str">
        <x:v>* myContacts</x:v>
      </x:c>
      <x:c r="F1780" s="16" t="str">
        <x:v>+60192517839</x:v>
      </x:c>
      <x:c r="G1780" s="16" t="str">
        <x:v>+60192517839</x:v>
      </x:c>
      <x:c r="H1780" s="16" t="str">
        <x:v>Excluded</x:v>
      </x:c>
      <x:c r="I1780" s="16" t="str">
        <x:v>Missing email</x:v>
      </x:c>
    </x:row>
    <x:row r="1781">
      <x:c r="A1781" s="16" t="n">
        <x:v>1778</x:v>
      </x:c>
      <x:c r="B1781" s="16" t="str">
        <x:v>Danisha Don Daniella</x:v>
      </x:c>
      <x:c r="C1781" s="16" t="str"/>
      <x:c r="D1781" s="16" t="str"/>
      <x:c r="E1781" s="16" t="str">
        <x:v>* myContacts</x:v>
      </x:c>
      <x:c r="F1781" s="16" t="str">
        <x:v>+60179137977</x:v>
      </x:c>
      <x:c r="G1781" s="16" t="str">
        <x:v>+60179137977</x:v>
      </x:c>
      <x:c r="H1781" s="16" t="str">
        <x:v>Excluded</x:v>
      </x:c>
      <x:c r="I1781" s="16" t="str">
        <x:v>Missing email</x:v>
      </x:c>
    </x:row>
    <x:row r="1782">
      <x:c r="A1782" s="16" t="n">
        <x:v>1779</x:v>
      </x:c>
      <x:c r="B1782" s="16" t="str">
        <x:v>Danny Jesley</x:v>
      </x:c>
      <x:c r="C1782" s="16" t="str"/>
      <x:c r="D1782" s="16" t="str"/>
      <x:c r="E1782" s="16" t="str">
        <x:v>* myContacts</x:v>
      </x:c>
      <x:c r="F1782" s="16" t="str">
        <x:v>+60109483481</x:v>
      </x:c>
      <x:c r="G1782" s="16" t="str">
        <x:v>+60109483481</x:v>
      </x:c>
      <x:c r="H1782" s="16" t="str">
        <x:v>Excluded</x:v>
      </x:c>
      <x:c r="I1782" s="16" t="str">
        <x:v>Missing email</x:v>
      </x:c>
    </x:row>
    <x:row r="1783">
      <x:c r="A1783" s="16" t="n">
        <x:v>1780</x:v>
      </x:c>
      <x:c r="B1783" s="16" t="str">
        <x:v>Dapit E Xemex</x:v>
      </x:c>
      <x:c r="C1783" s="16" t="str"/>
      <x:c r="D1783" s="16" t="str"/>
      <x:c r="E1783" s="16" t="str">
        <x:v>* myContacts</x:v>
      </x:c>
      <x:c r="F1783" s="16" t="str">
        <x:v>+6285268867725</x:v>
      </x:c>
      <x:c r="G1783" s="16" t="str">
        <x:v>+6285268867725</x:v>
      </x:c>
      <x:c r="H1783" s="16" t="str">
        <x:v>Excluded</x:v>
      </x:c>
      <x:c r="I1783" s="16" t="str">
        <x:v>Missing email</x:v>
      </x:c>
    </x:row>
    <x:row r="1784">
      <x:c r="A1784" s="16" t="n">
        <x:v>1781</x:v>
      </x:c>
      <x:c r="B1784" s="16" t="str">
        <x:v>Dapur Suri</x:v>
      </x:c>
      <x:c r="C1784" s="16" t="str"/>
      <x:c r="D1784" s="16" t="str"/>
      <x:c r="E1784" s="16" t="str">
        <x:v>* myContacts</x:v>
      </x:c>
      <x:c r="F1784" s="16" t="str">
        <x:v>+6097412012</x:v>
      </x:c>
      <x:c r="G1784" s="16" t="str">
        <x:v>+6097412012</x:v>
      </x:c>
      <x:c r="H1784" s="16" t="str">
        <x:v>Excluded</x:v>
      </x:c>
      <x:c r="I1784" s="16" t="str">
        <x:v>Missing email</x:v>
      </x:c>
    </x:row>
    <x:row r="1785">
      <x:c r="A1785" s="16" t="n">
        <x:v>1782</x:v>
      </x:c>
      <x:c r="B1785" s="16" t="str">
        <x:v>Darling Suria Ramly</x:v>
      </x:c>
      <x:c r="C1785" s="16" t="str"/>
      <x:c r="D1785" s="16" t="str"/>
      <x:c r="E1785" s="16" t="str">
        <x:v>* myContacts</x:v>
      </x:c>
      <x:c r="F1785" s="16" t="str">
        <x:v>+60125368897</x:v>
      </x:c>
      <x:c r="G1785" s="16" t="str">
        <x:v>+60125368897</x:v>
      </x:c>
      <x:c r="H1785" s="16" t="str">
        <x:v>Excluded</x:v>
      </x:c>
      <x:c r="I1785" s="16" t="str">
        <x:v>Missing email</x:v>
      </x:c>
    </x:row>
    <x:row r="1786">
      <x:c r="A1786" s="16" t="n">
        <x:v>1783</x:v>
      </x:c>
      <x:c r="B1786" s="16" t="str">
        <x:v>Darrel Luke</x:v>
      </x:c>
      <x:c r="C1786" s="16" t="str"/>
      <x:c r="D1786" s="16" t="str"/>
      <x:c r="E1786" s="16" t="str">
        <x:v>* myContacts</x:v>
      </x:c>
      <x:c r="F1786" s="16" t="str">
        <x:v>+60355698822</x:v>
      </x:c>
      <x:c r="G1786" s="16" t="str">
        <x:v>+60355698822</x:v>
      </x:c>
      <x:c r="H1786" s="16" t="str">
        <x:v>Excluded</x:v>
      </x:c>
      <x:c r="I1786" s="16" t="str">
        <x:v>Missing email</x:v>
      </x:c>
    </x:row>
    <x:row r="1787">
      <x:c r="A1787" s="16" t="n">
        <x:v>1784</x:v>
      </x:c>
      <x:c r="B1787" s="16" t="str">
        <x:v>Darrina Andress Damien</x:v>
      </x:c>
      <x:c r="C1787" s="16" t="str"/>
      <x:c r="D1787" s="16" t="str"/>
      <x:c r="E1787" s="16" t="str">
        <x:v>* myContacts</x:v>
      </x:c>
      <x:c r="F1787" s="16" t="str">
        <x:v>+60194382960</x:v>
      </x:c>
      <x:c r="G1787" s="16" t="str">
        <x:v>+60194382960</x:v>
      </x:c>
      <x:c r="H1787" s="16" t="str">
        <x:v>Excluded</x:v>
      </x:c>
      <x:c r="I1787" s="16" t="str">
        <x:v>Missing email</x:v>
      </x:c>
    </x:row>
    <x:row r="1788">
      <x:c r="A1788" s="16" t="n">
        <x:v>1785</x:v>
      </x:c>
      <x:c r="B1788" s="16" t="str">
        <x:v>Darul Najmi</x:v>
      </x:c>
      <x:c r="C1788" s="16" t="str"/>
      <x:c r="D1788" s="16" t="str"/>
      <x:c r="E1788" s="16" t="str">
        <x:v>* myContacts</x:v>
      </x:c>
      <x:c r="F1788" s="16" t="str">
        <x:v>+60145678910</x:v>
      </x:c>
      <x:c r="G1788" s="16" t="str">
        <x:v>+60145678910</x:v>
      </x:c>
      <x:c r="H1788" s="16" t="str">
        <x:v>Excluded</x:v>
      </x:c>
      <x:c r="I1788" s="16" t="str">
        <x:v>Missing email</x:v>
      </x:c>
    </x:row>
    <x:row r="1789">
      <x:c r="A1789" s="16" t="n">
        <x:v>1786</x:v>
      </x:c>
      <x:c r="B1789" s="16" t="str">
        <x:v>Darul Ridzwan Derome</x:v>
      </x:c>
      <x:c r="C1789" s="16" t="str"/>
      <x:c r="D1789" s="16" t="str"/>
      <x:c r="E1789" s="16" t="str">
        <x:v>* myContacts</x:v>
      </x:c>
      <x:c r="F1789" s="16" t="str">
        <x:v>+601137516615</x:v>
      </x:c>
      <x:c r="G1789" s="16" t="str">
        <x:v>+601137516615</x:v>
      </x:c>
      <x:c r="H1789" s="16" t="str">
        <x:v>Excluded</x:v>
      </x:c>
      <x:c r="I1789" s="16" t="str">
        <x:v>Missing email</x:v>
      </x:c>
    </x:row>
    <x:row r="1790">
      <x:c r="A1790" s="16" t="n">
        <x:v>1787</x:v>
      </x:c>
      <x:c r="B1790" s="16" t="str">
        <x:v>Darvin Nair</x:v>
      </x:c>
      <x:c r="C1790" s="16" t="str">
        <x:v>darvintheboss@gmail.com</x:v>
      </x:c>
      <x:c r="D1790" s="16" t="str">
        <x:v>darvintheboss@gmail.com</x:v>
      </x:c>
      <x:c r="E1790" s="16" t="str">
        <x:v>* myContacts</x:v>
      </x:c>
      <x:c r="F1790" s="16" t="str">
        <x:v>+60103671675</x:v>
      </x:c>
      <x:c r="G1790" s="16" t="str">
        <x:v>+60103671675</x:v>
      </x:c>
      <x:c r="H1790" s="16" t="str">
        <x:v>Eligible</x:v>
      </x:c>
      <x:c r="I1790" s="16" t="str"/>
    </x:row>
    <x:row r="1791">
      <x:c r="A1791" s="16" t="n">
        <x:v>1788</x:v>
      </x:c>
      <x:c r="B1791" s="16" t="str">
        <x:v>Dasmayanti Mustafa</x:v>
      </x:c>
      <x:c r="C1791" s="16" t="str"/>
      <x:c r="D1791" s="16" t="str"/>
      <x:c r="E1791" s="16" t="str">
        <x:v>* myContacts</x:v>
      </x:c>
      <x:c r="F1791" s="16" t="str">
        <x:v>+60192677130</x:v>
      </x:c>
      <x:c r="G1791" s="16" t="str">
        <x:v>+60192677130</x:v>
      </x:c>
      <x:c r="H1791" s="16" t="str">
        <x:v>Excluded</x:v>
      </x:c>
      <x:c r="I1791" s="16" t="str">
        <x:v>Missing email</x:v>
      </x:c>
    </x:row>
    <x:row r="1792">
      <x:c r="A1792" s="16" t="n">
        <x:v>1789</x:v>
      </x:c>
      <x:c r="B1792" s="16" t="str">
        <x:v>datin questina yunus</x:v>
      </x:c>
      <x:c r="C1792" s="16" t="str"/>
      <x:c r="D1792" s="16" t="str"/>
      <x:c r="E1792" s="16" t="str">
        <x:v>* myContacts</x:v>
      </x:c>
      <x:c r="F1792" s="16" t="str">
        <x:v>019-230 0056 | +6019-230 0056 | +60192300056 | +60192300056</x:v>
      </x:c>
      <x:c r="G1792" s="16" t="str">
        <x:v>+60192300056 | +60192300056 | +60192300056 | +60192300056</x:v>
      </x:c>
      <x:c r="H1792" s="16" t="str">
        <x:v>Excluded</x:v>
      </x:c>
      <x:c r="I1792" s="16" t="str">
        <x:v>Missing email</x:v>
      </x:c>
    </x:row>
    <x:row r="1793">
      <x:c r="A1793" s="16" t="n">
        <x:v>1790</x:v>
      </x:c>
      <x:c r="B1793" s="16" t="str">
        <x:v>Dato Ayah Amin Fahmi</x:v>
      </x:c>
      <x:c r="C1793" s="16" t="str"/>
      <x:c r="D1793" s="16" t="str"/>
      <x:c r="E1793" s="16" t="str">
        <x:v>* myContacts</x:v>
      </x:c>
      <x:c r="F1793" s="16" t="str">
        <x:v>0133989869 | +60133989869</x:v>
      </x:c>
      <x:c r="G1793" s="16" t="str">
        <x:v>+60133989869 | +60133989869</x:v>
      </x:c>
      <x:c r="H1793" s="16" t="str">
        <x:v>Excluded</x:v>
      </x:c>
      <x:c r="I1793" s="16" t="str">
        <x:v>Missing email</x:v>
      </x:c>
    </x:row>
    <x:row r="1794">
      <x:c r="A1794" s="16" t="n">
        <x:v>1791</x:v>
      </x:c>
      <x:c r="B1794" s="16" t="str">
        <x:v>Dato Azli Dpim Pahang</x:v>
      </x:c>
      <x:c r="C1794" s="16" t="str"/>
      <x:c r="D1794" s="16" t="str"/>
      <x:c r="E1794" s="16" t="str">
        <x:v>* myContacts</x:v>
      </x:c>
      <x:c r="F1794" s="16" t="str">
        <x:v>+60139328000</x:v>
      </x:c>
      <x:c r="G1794" s="16" t="str">
        <x:v>+60139328000</x:v>
      </x:c>
      <x:c r="H1794" s="16" t="str">
        <x:v>Excluded</x:v>
      </x:c>
      <x:c r="I1794" s="16" t="str">
        <x:v>Missing email</x:v>
      </x:c>
    </x:row>
    <x:row r="1795">
      <x:c r="A1795" s="16" t="n">
        <x:v>1792</x:v>
      </x:c>
      <x:c r="B1795" s="16" t="str">
        <x:v>Dato Azman Tart</x:v>
      </x:c>
      <x:c r="C1795" s="16" t="str"/>
      <x:c r="D1795" s="16" t="str"/>
      <x:c r="E1795" s="16" t="str">
        <x:v>* myContacts</x:v>
      </x:c>
      <x:c r="F1795" s="16" t="str">
        <x:v>0122178228 | +60122178228</x:v>
      </x:c>
      <x:c r="G1795" s="16" t="str">
        <x:v>+60122178228 | +60122178228</x:v>
      </x:c>
      <x:c r="H1795" s="16" t="str">
        <x:v>Excluded</x:v>
      </x:c>
      <x:c r="I1795" s="16" t="str">
        <x:v>Missing email</x:v>
      </x:c>
    </x:row>
    <x:row r="1796">
      <x:c r="A1796" s="16" t="n">
        <x:v>1793</x:v>
      </x:c>
      <x:c r="B1796" s="16" t="str">
        <x:v>Dato Hifdzi Hamzah Al Qadiry</x:v>
      </x:c>
      <x:c r="C1796" s="16" t="str"/>
      <x:c r="D1796" s="16" t="str"/>
      <x:c r="E1796" s="16" t="str">
        <x:v>* myContacts</x:v>
      </x:c>
      <x:c r="F1796" s="16" t="str">
        <x:v>+60 19-663 4527 | +60196634527</x:v>
      </x:c>
      <x:c r="G1796" s="16" t="str">
        <x:v>+60196634527 | +60196634527</x:v>
      </x:c>
      <x:c r="H1796" s="16" t="str">
        <x:v>Excluded</x:v>
      </x:c>
      <x:c r="I1796" s="16" t="str">
        <x:v>Missing email</x:v>
      </x:c>
    </x:row>
    <x:row r="1797">
      <x:c r="A1797" s="16" t="n">
        <x:v>1794</x:v>
      </x:c>
      <x:c r="B1797" s="16" t="str">
        <x:v>Dato Hj Rusly</x:v>
      </x:c>
      <x:c r="C1797" s="16" t="str"/>
      <x:c r="D1797" s="16" t="str"/>
      <x:c r="E1797" s="16" t="str">
        <x:v>* myContacts</x:v>
      </x:c>
      <x:c r="F1797" s="16" t="str">
        <x:v>+60 19-341 0958 | +60193410958</x:v>
      </x:c>
      <x:c r="G1797" s="16" t="str">
        <x:v>+60193410958 | +60193410958</x:v>
      </x:c>
      <x:c r="H1797" s="16" t="str">
        <x:v>Excluded</x:v>
      </x:c>
      <x:c r="I1797" s="16" t="str">
        <x:v>Missing email</x:v>
      </x:c>
    </x:row>
    <x:row r="1798">
      <x:c r="A1798" s="16" t="n">
        <x:v>1795</x:v>
      </x:c>
      <x:c r="B1798" s="16" t="str">
        <x:v>Dato Khairul DPIM</x:v>
      </x:c>
      <x:c r="C1798" s="16" t="str"/>
      <x:c r="D1798" s="16" t="str"/>
      <x:c r="E1798" s="16" t="str">
        <x:v>* myContacts | * starred</x:v>
      </x:c>
      <x:c r="F1798" s="16" t="str">
        <x:v>+60 19-660 6869 | +60196606869</x:v>
      </x:c>
      <x:c r="G1798" s="16" t="str">
        <x:v>+60196606869 | +60196606869</x:v>
      </x:c>
      <x:c r="H1798" s="16" t="str">
        <x:v>Excluded</x:v>
      </x:c>
      <x:c r="I1798" s="16" t="str">
        <x:v>Missing email</x:v>
      </x:c>
    </x:row>
    <x:row r="1799">
      <x:c r="A1799" s="16" t="n">
        <x:v>1796</x:v>
      </x:c>
      <x:c r="B1799" s="16" t="str">
        <x:v>Dato Khalil</x:v>
      </x:c>
      <x:c r="C1799" s="16" t="str"/>
      <x:c r="D1799" s="16" t="str"/>
      <x:c r="E1799" s="16" t="str">
        <x:v>* myContacts</x:v>
      </x:c>
      <x:c r="F1799" s="16" t="str">
        <x:v>+60 13-252 5179 | +60132525179</x:v>
      </x:c>
      <x:c r="G1799" s="16" t="str">
        <x:v>+60132525179 | +60132525179</x:v>
      </x:c>
      <x:c r="H1799" s="16" t="str">
        <x:v>Excluded</x:v>
      </x:c>
      <x:c r="I1799" s="16" t="str">
        <x:v>Missing email</x:v>
      </x:c>
    </x:row>
    <x:row r="1800">
      <x:c r="A1800" s="16" t="n">
        <x:v>1797</x:v>
      </x:c>
      <x:c r="B1800" s="16" t="str">
        <x:v>Dato Kuzie Madzlan</x:v>
      </x:c>
      <x:c r="C1800" s="16" t="str"/>
      <x:c r="D1800" s="16" t="str"/>
      <x:c r="E1800" s="16" t="str">
        <x:v>* myContacts</x:v>
      </x:c>
      <x:c r="F1800" s="16" t="str">
        <x:v>+60183905330</x:v>
      </x:c>
      <x:c r="G1800" s="16" t="str">
        <x:v>+60183905330</x:v>
      </x:c>
      <x:c r="H1800" s="16" t="str">
        <x:v>Excluded</x:v>
      </x:c>
      <x:c r="I1800" s="16" t="str">
        <x:v>Missing email</x:v>
      </x:c>
    </x:row>
    <x:row r="1801">
      <x:c r="A1801" s="16" t="n">
        <x:v>1798</x:v>
      </x:c>
      <x:c r="B1801" s="16" t="str">
        <x:v>Dato Najib</x:v>
      </x:c>
      <x:c r="C1801" s="16" t="str"/>
      <x:c r="D1801" s="16" t="str"/>
      <x:c r="E1801" s="16" t="str">
        <x:v>* myContacts</x:v>
      </x:c>
      <x:c r="F1801" s="16" t="str">
        <x:v>0182886411 | +60182886411</x:v>
      </x:c>
      <x:c r="G1801" s="16" t="str">
        <x:v>+60182886411 | +60182886411</x:v>
      </x:c>
      <x:c r="H1801" s="16" t="str">
        <x:v>Excluded</x:v>
      </x:c>
      <x:c r="I1801" s="16" t="str">
        <x:v>Missing email</x:v>
      </x:c>
    </x:row>
    <x:row r="1802">
      <x:c r="A1802" s="16" t="n">
        <x:v>1799</x:v>
      </x:c>
      <x:c r="B1802" s="16" t="str">
        <x:v>Dato Norzam Darmin DPIM Johor</x:v>
      </x:c>
      <x:c r="C1802" s="16" t="str"/>
      <x:c r="D1802" s="16" t="str"/>
      <x:c r="E1802" s="16" t="str">
        <x:v>* myContacts</x:v>
      </x:c>
      <x:c r="F1802" s="16" t="str">
        <x:v>+60 19-778 9979 | +60197789979</x:v>
      </x:c>
      <x:c r="G1802" s="16" t="str">
        <x:v>+60197789979 | +60197789979</x:v>
      </x:c>
      <x:c r="H1802" s="16" t="str">
        <x:v>Excluded</x:v>
      </x:c>
      <x:c r="I1802" s="16" t="str">
        <x:v>Missing email</x:v>
      </x:c>
    </x:row>
    <x:row r="1803">
      <x:c r="A1803" s="16" t="n">
        <x:v>1800</x:v>
      </x:c>
      <x:c r="B1803" s="16" t="str">
        <x:v>Dato Ramlee Kariah SSMJ</x:v>
      </x:c>
      <x:c r="C1803" s="16" t="str"/>
      <x:c r="D1803" s="16" t="str"/>
      <x:c r="E1803" s="16" t="str">
        <x:v>* myContacts</x:v>
      </x:c>
      <x:c r="F1803" s="16" t="str">
        <x:v>+60138818105</x:v>
      </x:c>
      <x:c r="G1803" s="16" t="str">
        <x:v>+60138818105</x:v>
      </x:c>
      <x:c r="H1803" s="16" t="str">
        <x:v>Excluded</x:v>
      </x:c>
      <x:c r="I1803" s="16" t="str">
        <x:v>Missing email</x:v>
      </x:c>
    </x:row>
    <x:row r="1804">
      <x:c r="A1804" s="16" t="n">
        <x:v>1801</x:v>
      </x:c>
      <x:c r="B1804" s="16" t="str">
        <x:v>Dato Romli Ishak</x:v>
      </x:c>
      <x:c r="C1804" s="16" t="str"/>
      <x:c r="D1804" s="16" t="str"/>
      <x:c r="E1804" s="16" t="str">
        <x:v>* myContacts</x:v>
      </x:c>
      <x:c r="F1804" s="16" t="str">
        <x:v>+60122171710</x:v>
      </x:c>
      <x:c r="G1804" s="16" t="str">
        <x:v>+60122171710</x:v>
      </x:c>
      <x:c r="H1804" s="16" t="str">
        <x:v>Excluded</x:v>
      </x:c>
      <x:c r="I1804" s="16" t="str">
        <x:v>Missing email</x:v>
      </x:c>
    </x:row>
    <x:row r="1805">
      <x:c r="A1805" s="16" t="n">
        <x:v>1802</x:v>
      </x:c>
      <x:c r="B1805" s="16" t="str">
        <x:v>Dato Sam DPIM</x:v>
      </x:c>
      <x:c r="C1805" s="16" t="str"/>
      <x:c r="D1805" s="16" t="str"/>
      <x:c r="E1805" s="16" t="str">
        <x:v>* myContacts</x:v>
      </x:c>
      <x:c r="F1805" s="16" t="str">
        <x:v>+60 19-216 0616 | +60192160616</x:v>
      </x:c>
      <x:c r="G1805" s="16" t="str">
        <x:v>+60192160616 | +60192160616</x:v>
      </x:c>
      <x:c r="H1805" s="16" t="str">
        <x:v>Excluded</x:v>
      </x:c>
      <x:c r="I1805" s="16" t="str">
        <x:v>Missing email</x:v>
      </x:c>
    </x:row>
    <x:row r="1806">
      <x:c r="A1806" s="16" t="n">
        <x:v>1803</x:v>
      </x:c>
      <x:c r="B1806" s="16" t="str">
        <x:v>Dato Seri Hananda</x:v>
      </x:c>
      <x:c r="C1806" s="16" t="str"/>
      <x:c r="D1806" s="16" t="str"/>
      <x:c r="E1806" s="16" t="str">
        <x:v>* myContacts</x:v>
      </x:c>
      <x:c r="F1806" s="16" t="str">
        <x:v>0176030607 | +60176030607</x:v>
      </x:c>
      <x:c r="G1806" s="16" t="str">
        <x:v>+60176030607 | +60176030607</x:v>
      </x:c>
      <x:c r="H1806" s="16" t="str">
        <x:v>Excluded</x:v>
      </x:c>
      <x:c r="I1806" s="16" t="str">
        <x:v>Missing email</x:v>
      </x:c>
    </x:row>
    <x:row r="1807">
      <x:c r="A1807" s="16" t="n">
        <x:v>1804</x:v>
      </x:c>
      <x:c r="B1807" s="16" t="str">
        <x:v>Dato Seri Izwan Shah</x:v>
      </x:c>
      <x:c r="C1807" s="16" t="str"/>
      <x:c r="D1807" s="16" t="str"/>
      <x:c r="E1807" s="16" t="str">
        <x:v>* myContacts</x:v>
      </x:c>
      <x:c r="F1807" s="16" t="str">
        <x:v>+60 11-1868 0769 | +601118680769</x:v>
      </x:c>
      <x:c r="G1807" s="16" t="str">
        <x:v>+601118680769 | +601118680769</x:v>
      </x:c>
      <x:c r="H1807" s="16" t="str">
        <x:v>Excluded</x:v>
      </x:c>
      <x:c r="I1807" s="16" t="str">
        <x:v>Missing email</x:v>
      </x:c>
    </x:row>
    <x:row r="1808">
      <x:c r="A1808" s="16" t="n">
        <x:v>1805</x:v>
      </x:c>
      <x:c r="B1808" s="16" t="str">
        <x:v>Dato Seri Khanafi</x:v>
      </x:c>
      <x:c r="C1808" s="16" t="str"/>
      <x:c r="D1808" s="16" t="str"/>
      <x:c r="E1808" s="16" t="str">
        <x:v>* myContacts</x:v>
      </x:c>
      <x:c r="F1808" s="16" t="str">
        <x:v>+60 11-1300 0831 | +601113000831</x:v>
      </x:c>
      <x:c r="G1808" s="16" t="str">
        <x:v>+601113000831 | +601113000831</x:v>
      </x:c>
      <x:c r="H1808" s="16" t="str">
        <x:v>Excluded</x:v>
      </x:c>
      <x:c r="I1808" s="16" t="str">
        <x:v>Missing email</x:v>
      </x:c>
    </x:row>
    <x:row r="1809">
      <x:c r="A1809" s="16" t="n">
        <x:v>1806</x:v>
      </x:c>
      <x:c r="B1809" s="16" t="str">
        <x:v>Dato Shahrul Naser</x:v>
      </x:c>
      <x:c r="C1809" s="16" t="str">
        <x:v>datoshahrulnaser.yayasanyapenk@gmail.com</x:v>
      </x:c>
      <x:c r="D1809" s="16" t="str">
        <x:v>datoshahrulnaser.yayasanyapenk@gmail.com</x:v>
      </x:c>
      <x:c r="E1809" s="16" t="str">
        <x:v>* myContacts</x:v>
      </x:c>
      <x:c r="F1809" s="16" t="str">
        <x:v>+601126473277</x:v>
      </x:c>
      <x:c r="G1809" s="16" t="str">
        <x:v>+601126473277</x:v>
      </x:c>
      <x:c r="H1809" s="16" t="str">
        <x:v>Eligible</x:v>
      </x:c>
      <x:c r="I1809" s="16" t="str"/>
    </x:row>
    <x:row r="1810">
      <x:c r="A1810" s="16" t="n">
        <x:v>1807</x:v>
      </x:c>
      <x:c r="B1810" s="16" t="str">
        <x:v>Dato Tengku Sulong Rexton</x:v>
      </x:c>
      <x:c r="C1810" s="16" t="str"/>
      <x:c r="D1810" s="16" t="str"/>
      <x:c r="E1810" s="16" t="str">
        <x:v>* myContacts</x:v>
      </x:c>
      <x:c r="F1810" s="16" t="str">
        <x:v>+60 12-296 0172 | +60 12-219 0172 | +60122960172 | +60122190172</x:v>
      </x:c>
      <x:c r="G1810" s="16" t="str">
        <x:v>+60122960172 | +60122190172 | +60122960172 | +60122190172</x:v>
      </x:c>
      <x:c r="H1810" s="16" t="str">
        <x:v>Excluded</x:v>
      </x:c>
      <x:c r="I1810" s="16" t="str">
        <x:v>Missing email</x:v>
      </x:c>
    </x:row>
    <x:row r="1811">
      <x:c r="A1811" s="16" t="n">
        <x:v>1808</x:v>
      </x:c>
      <x:c r="B1811" s="16" t="str">
        <x:v>Dato Wahid G mart Group</x:v>
      </x:c>
      <x:c r="C1811" s="16" t="str"/>
      <x:c r="D1811" s="16" t="str"/>
      <x:c r="E1811" s="16" t="str">
        <x:v>* myContacts</x:v>
      </x:c>
      <x:c r="F1811" s="16" t="str">
        <x:v>+60192226061</x:v>
      </x:c>
      <x:c r="G1811" s="16" t="str">
        <x:v>+60192226061</x:v>
      </x:c>
      <x:c r="H1811" s="16" t="str">
        <x:v>Excluded</x:v>
      </x:c>
      <x:c r="I1811" s="16" t="str">
        <x:v>Missing email</x:v>
      </x:c>
    </x:row>
    <x:row r="1812">
      <x:c r="A1812" s="16" t="n">
        <x:v>1809</x:v>
      </x:c>
      <x:c r="B1812" s="16" t="str">
        <x:v>Dato Wan Aisyah Dmsone</x:v>
      </x:c>
      <x:c r="C1812" s="16" t="str"/>
      <x:c r="D1812" s="16" t="str"/>
      <x:c r="E1812" s="16" t="str">
        <x:v>* myContacts</x:v>
      </x:c>
      <x:c r="F1812" s="16" t="str">
        <x:v>+60182814142</x:v>
      </x:c>
      <x:c r="G1812" s="16" t="str">
        <x:v>+60182814142</x:v>
      </x:c>
      <x:c r="H1812" s="16" t="str">
        <x:v>Excluded</x:v>
      </x:c>
      <x:c r="I1812" s="16" t="str">
        <x:v>Missing email</x:v>
      </x:c>
    </x:row>
    <x:row r="1813">
      <x:c r="A1813" s="16" t="n">
        <x:v>1810</x:v>
      </x:c>
      <x:c r="B1813" s="16" t="str">
        <x:v>Dato Zack</x:v>
      </x:c>
      <x:c r="C1813" s="16" t="str"/>
      <x:c r="D1813" s="16" t="str"/>
      <x:c r="E1813" s="16" t="str">
        <x:v>* myContacts</x:v>
      </x:c>
      <x:c r="F1813" s="16" t="str">
        <x:v>+60 18-964 4880 | +60 18-952 1744 | +60189644880 | +60189521744</x:v>
      </x:c>
      <x:c r="G1813" s="16" t="str">
        <x:v>+60189644880 | +60189521744 | +60189644880 | +60189521744</x:v>
      </x:c>
      <x:c r="H1813" s="16" t="str">
        <x:v>Excluded</x:v>
      </x:c>
      <x:c r="I1813" s="16" t="str">
        <x:v>Missing email</x:v>
      </x:c>
    </x:row>
    <x:row r="1814">
      <x:c r="A1814" s="16" t="n">
        <x:v>1811</x:v>
      </x:c>
      <x:c r="B1814" s="16" t="str">
        <x:v>Dato zahar</x:v>
      </x:c>
      <x:c r="C1814" s="16" t="str"/>
      <x:c r="D1814" s="16" t="str"/>
      <x:c r="E1814" s="16" t="str">
        <x:v>* myContacts</x:v>
      </x:c>
      <x:c r="F1814" s="16" t="str">
        <x:v>+60 19-556 9287 | +60195569287</x:v>
      </x:c>
      <x:c r="G1814" s="16" t="str">
        <x:v>+60195569287 | +60195569287</x:v>
      </x:c>
      <x:c r="H1814" s="16" t="str">
        <x:v>Excluded</x:v>
      </x:c>
      <x:c r="I1814" s="16" t="str">
        <x:v>Missing email</x:v>
      </x:c>
    </x:row>
    <x:row r="1815">
      <x:c r="A1815" s="16" t="n">
        <x:v>1812</x:v>
      </x:c>
      <x:c r="B1815" s="16" t="str">
        <x:v>Dato Zawawi</x:v>
      </x:c>
      <x:c r="C1815" s="16" t="str"/>
      <x:c r="D1815" s="16" t="str"/>
      <x:c r="E1815" s="16" t="str">
        <x:v>* myContacts</x:v>
      </x:c>
      <x:c r="F1815" s="16" t="str">
        <x:v>019-329 2757 | +60193292757</x:v>
      </x:c>
      <x:c r="G1815" s="16" t="str">
        <x:v>+60193292757 | +60193292757</x:v>
      </x:c>
      <x:c r="H1815" s="16" t="str">
        <x:v>Excluded</x:v>
      </x:c>
      <x:c r="I1815" s="16" t="str">
        <x:v>Missing email</x:v>
      </x:c>
    </x:row>
    <x:row r="1816">
      <x:c r="A1816" s="16" t="n">
        <x:v>1813</x:v>
      </x:c>
      <x:c r="B1816" s="16" t="str">
        <x:v>Dato Zul Ghost Writer</x:v>
      </x:c>
      <x:c r="C1816" s="16" t="str"/>
      <x:c r="D1816" s="16" t="str"/>
      <x:c r="E1816" s="16" t="str">
        <x:v>* myContacts</x:v>
      </x:c>
      <x:c r="F1816" s="16" t="str">
        <x:v>014-338 0417 | +60143380417</x:v>
      </x:c>
      <x:c r="G1816" s="16" t="str">
        <x:v>+60143380417 | +60143380417</x:v>
      </x:c>
      <x:c r="H1816" s="16" t="str">
        <x:v>Excluded</x:v>
      </x:c>
      <x:c r="I1816" s="16" t="str">
        <x:v>Missing email</x:v>
      </x:c>
    </x:row>
    <x:row r="1817">
      <x:c r="A1817" s="16" t="n">
        <x:v>1814</x:v>
      </x:c>
      <x:c r="B1817" s="16" t="str">
        <x:v>Dato' Mohd Hanafiah</x:v>
      </x:c>
      <x:c r="C1817" s="16" t="str"/>
      <x:c r="D1817" s="16" t="str"/>
      <x:c r="E1817" s="16" t="str">
        <x:v>* myContacts</x:v>
      </x:c>
      <x:c r="F1817" s="16" t="str">
        <x:v>+60 10-325 9093 | +60103259093</x:v>
      </x:c>
      <x:c r="G1817" s="16" t="str">
        <x:v>+60103259093 | +60103259093</x:v>
      </x:c>
      <x:c r="H1817" s="16" t="str">
        <x:v>Excluded</x:v>
      </x:c>
      <x:c r="I1817" s="16" t="str">
        <x:v>Missing email</x:v>
      </x:c>
    </x:row>
    <x:row r="1818">
      <x:c r="A1818" s="16" t="n">
        <x:v>1815</x:v>
      </x:c>
      <x:c r="B1818" s="16" t="str">
        <x:v>DATUK DR MOHD DAUD BAKAR</x:v>
      </x:c>
      <x:c r="C1818" s="16" t="str"/>
      <x:c r="D1818" s="16" t="str"/>
      <x:c r="E1818" s="16" t="str">
        <x:v>* myContacts</x:v>
      </x:c>
      <x:c r="F1818" s="16" t="str">
        <x:v>+60178726667 | +60321818228 | +60321818219 | +97143888576 | +97143888575 | +971564669053</x:v>
      </x:c>
      <x:c r="G1818" s="16" t="str">
        <x:v>+60178726667 | +60321818228 | +60321818219 | +97143888576 | +97143888575 | +971564669053</x:v>
      </x:c>
      <x:c r="H1818" s="16" t="str">
        <x:v>Excluded</x:v>
      </x:c>
      <x:c r="I1818" s="16" t="str">
        <x:v>Missing email</x:v>
      </x:c>
    </x:row>
    <x:row r="1819">
      <x:c r="A1819" s="16" t="n">
        <x:v>1816</x:v>
      </x:c>
      <x:c r="B1819" s="16" t="str">
        <x:v>DATUK DR MOHD DAUD BAKAR</x:v>
      </x:c>
      <x:c r="C1819" s="16" t="str"/>
      <x:c r="D1819" s="16" t="str"/>
      <x:c r="E1819" s="16" t="str">
        <x:v>* myContacts</x:v>
      </x:c>
      <x:c r="F1819" s="16" t="str">
        <x:v>+60178726667 | +60321818228 | +60321818219 | +97143888576 | +97143888575 | +971564669053</x:v>
      </x:c>
      <x:c r="G1819" s="16" t="str">
        <x:v>+60178726667 | +60321818228 | +60321818219 | +97143888576 | +97143888575 | +971564669053</x:v>
      </x:c>
      <x:c r="H1819" s="16" t="str">
        <x:v>Excluded</x:v>
      </x:c>
      <x:c r="I1819" s="16" t="str">
        <x:v>Missing email</x:v>
      </x:c>
    </x:row>
    <x:row r="1820">
      <x:c r="A1820" s="16" t="n">
        <x:v>1817</x:v>
      </x:c>
      <x:c r="B1820" s="16" t="str">
        <x:v>Datuk Seri Mahadi</x:v>
      </x:c>
      <x:c r="C1820" s="16" t="str"/>
      <x:c r="D1820" s="16" t="str"/>
      <x:c r="E1820" s="16" t="str">
        <x:v>* myContacts</x:v>
      </x:c>
      <x:c r="F1820" s="16" t="str">
        <x:v>+60 13-208 8130 | +60132088130</x:v>
      </x:c>
      <x:c r="G1820" s="16" t="str">
        <x:v>+60132088130 | +60132088130</x:v>
      </x:c>
      <x:c r="H1820" s="16" t="str">
        <x:v>Excluded</x:v>
      </x:c>
      <x:c r="I1820" s="16" t="str">
        <x:v>Missing email</x:v>
      </x:c>
    </x:row>
    <x:row r="1821">
      <x:c r="A1821" s="16" t="n">
        <x:v>1818</x:v>
      </x:c>
      <x:c r="B1821" s="16" t="str">
        <x:v>Datuk Zaini Kusel</x:v>
      </x:c>
      <x:c r="C1821" s="16" t="str"/>
      <x:c r="D1821" s="16" t="str"/>
      <x:c r="E1821" s="16" t="str">
        <x:v>* myContacts</x:v>
      </x:c>
      <x:c r="F1821" s="16" t="str">
        <x:v>0132520005 | +60132520005</x:v>
      </x:c>
      <x:c r="G1821" s="16" t="str">
        <x:v>+60132520005 | +60132520005</x:v>
      </x:c>
      <x:c r="H1821" s="16" t="str">
        <x:v>Excluded</x:v>
      </x:c>
      <x:c r="I1821" s="16" t="str">
        <x:v>Missing email</x:v>
      </x:c>
    </x:row>
    <x:row r="1822">
      <x:c r="A1822" s="16" t="n">
        <x:v>1819</x:v>
      </x:c>
      <x:c r="B1822" s="16" t="str">
        <x:v>David Lai Kong Hua</x:v>
      </x:c>
      <x:c r="C1822" s="16" t="str"/>
      <x:c r="D1822" s="16" t="str"/>
      <x:c r="E1822" s="16" t="str">
        <x:v>* myContacts</x:v>
      </x:c>
      <x:c r="F1822" s="16" t="str">
        <x:v>+60168930339</x:v>
      </x:c>
      <x:c r="G1822" s="16" t="str">
        <x:v>+60168930339</x:v>
      </x:c>
      <x:c r="H1822" s="16" t="str">
        <x:v>Excluded</x:v>
      </x:c>
      <x:c r="I1822" s="16" t="str">
        <x:v>Missing email</x:v>
      </x:c>
    </x:row>
    <x:row r="1823">
      <x:c r="A1823" s="16" t="n">
        <x:v>1820</x:v>
      </x:c>
      <x:c r="B1823" s="16" t="str">
        <x:v>David Maran</x:v>
      </x:c>
      <x:c r="C1823" s="16" t="str"/>
      <x:c r="D1823" s="16" t="str"/>
      <x:c r="E1823" s="16" t="str">
        <x:v>* myContacts</x:v>
      </x:c>
      <x:c r="F1823" s="16" t="str">
        <x:v>+60129916360</x:v>
      </x:c>
      <x:c r="G1823" s="16" t="str">
        <x:v>+60129916360</x:v>
      </x:c>
      <x:c r="H1823" s="16" t="str">
        <x:v>Excluded</x:v>
      </x:c>
      <x:c r="I1823" s="16" t="str">
        <x:v>Missing email</x:v>
      </x:c>
    </x:row>
    <x:row r="1824">
      <x:c r="A1824" s="16" t="n">
        <x:v>1821</x:v>
      </x:c>
      <x:c r="B1824" s="16" t="str">
        <x:v>Davidson Ranggau</x:v>
      </x:c>
      <x:c r="C1824" s="16" t="str"/>
      <x:c r="D1824" s="16" t="str"/>
      <x:c r="E1824" s="16" t="str">
        <x:v>* myContacts</x:v>
      </x:c>
      <x:c r="F1824" s="16" t="str">
        <x:v>+60194842893</x:v>
      </x:c>
      <x:c r="G1824" s="16" t="str">
        <x:v>+60194842893</x:v>
      </x:c>
      <x:c r="H1824" s="16" t="str">
        <x:v>Excluded</x:v>
      </x:c>
      <x:c r="I1824" s="16" t="str">
        <x:v>Missing email</x:v>
      </x:c>
    </x:row>
    <x:row r="1825">
      <x:c r="A1825" s="16" t="n">
        <x:v>1822</x:v>
      </x:c>
      <x:c r="B1825" s="16" t="str">
        <x:v>Dawani Mohd Shaufi</x:v>
      </x:c>
      <x:c r="C1825" s="16" t="str"/>
      <x:c r="D1825" s="16" t="str"/>
      <x:c r="E1825" s="16" t="str">
        <x:v>* myContacts</x:v>
      </x:c>
      <x:c r="F1825" s="16" t="str">
        <x:v>+60148334911</x:v>
      </x:c>
      <x:c r="G1825" s="16" t="str">
        <x:v>+60148334911</x:v>
      </x:c>
      <x:c r="H1825" s="16" t="str">
        <x:v>Excluded</x:v>
      </x:c>
      <x:c r="I1825" s="16" t="str">
        <x:v>Missing email</x:v>
      </x:c>
    </x:row>
    <x:row r="1826">
      <x:c r="A1826" s="16" t="n">
        <x:v>1823</x:v>
      </x:c>
      <x:c r="B1826" s="16" t="str">
        <x:v>Dawson Smartway English</x:v>
      </x:c>
      <x:c r="C1826" s="16" t="str"/>
      <x:c r="D1826" s="16" t="str"/>
      <x:c r="E1826" s="16" t="str">
        <x:v>* myContacts</x:v>
      </x:c>
      <x:c r="F1826" s="16" t="str">
        <x:v>+60 16-349 8335 | +60163498335</x:v>
      </x:c>
      <x:c r="G1826" s="16" t="str">
        <x:v>+60163498335 | +60163498335</x:v>
      </x:c>
      <x:c r="H1826" s="16" t="str">
        <x:v>Excluded</x:v>
      </x:c>
      <x:c r="I1826" s="16" t="str">
        <x:v>Missing email</x:v>
      </x:c>
    </x:row>
    <x:row r="1827">
      <x:c r="A1827" s="16" t="n">
        <x:v>1824</x:v>
      </x:c>
      <x:c r="B1827" s="16" t="str">
        <x:v>Daya' Shazieda</x:v>
      </x:c>
      <x:c r="C1827" s="16" t="str"/>
      <x:c r="D1827" s="16" t="str"/>
      <x:c r="E1827" s="16" t="str">
        <x:v>* myContacts</x:v>
      </x:c>
      <x:c r="F1827" s="16" t="str">
        <x:v>+60179440896</x:v>
      </x:c>
      <x:c r="G1827" s="16" t="str">
        <x:v>+60179440896</x:v>
      </x:c>
      <x:c r="H1827" s="16" t="str">
        <x:v>Excluded</x:v>
      </x:c>
      <x:c r="I1827" s="16" t="str">
        <x:v>Missing email</x:v>
      </x:c>
    </x:row>
    <x:row r="1828">
      <x:c r="A1828" s="16" t="n">
        <x:v>1825</x:v>
      </x:c>
      <x:c r="B1828" s="16" t="str">
        <x:v>Dayach Loverlish</x:v>
      </x:c>
      <x:c r="C1828" s="16" t="str"/>
      <x:c r="D1828" s="16" t="str"/>
      <x:c r="E1828" s="16" t="str">
        <x:v>* myContacts</x:v>
      </x:c>
      <x:c r="F1828" s="16" t="str">
        <x:v>+601118947806</x:v>
      </x:c>
      <x:c r="G1828" s="16" t="str">
        <x:v>+601118947806</x:v>
      </x:c>
      <x:c r="H1828" s="16" t="str">
        <x:v>Excluded</x:v>
      </x:c>
      <x:c r="I1828" s="16" t="str">
        <x:v>Missing email</x:v>
      </x:c>
    </x:row>
    <x:row r="1829">
      <x:c r="A1829" s="16" t="n">
        <x:v>1826</x:v>
      </x:c>
      <x:c r="B1829" s="16" t="str">
        <x:v>Dayana Hj Mat Som</x:v>
      </x:c>
      <x:c r="C1829" s="16" t="str"/>
      <x:c r="D1829" s="16" t="str"/>
      <x:c r="E1829" s="16" t="str">
        <x:v>* myContacts</x:v>
      </x:c>
      <x:c r="F1829" s="16" t="str">
        <x:v>+60164416428</x:v>
      </x:c>
      <x:c r="G1829" s="16" t="str">
        <x:v>+60164416428</x:v>
      </x:c>
      <x:c r="H1829" s="16" t="str">
        <x:v>Excluded</x:v>
      </x:c>
      <x:c r="I1829" s="16" t="str">
        <x:v>Missing email</x:v>
      </x:c>
    </x:row>
    <x:row r="1830">
      <x:c r="A1830" s="16" t="n">
        <x:v>1827</x:v>
      </x:c>
      <x:c r="B1830" s="16" t="str">
        <x:v>Dayang Norazlina</x:v>
      </x:c>
      <x:c r="C1830" s="16" t="str"/>
      <x:c r="D1830" s="16" t="str"/>
      <x:c r="E1830" s="16" t="str">
        <x:v>* myContacts</x:v>
      </x:c>
      <x:c r="F1830" s="16" t="str">
        <x:v>+60109377845</x:v>
      </x:c>
      <x:c r="G1830" s="16" t="str">
        <x:v>+60109377845</x:v>
      </x:c>
      <x:c r="H1830" s="16" t="str">
        <x:v>Excluded</x:v>
      </x:c>
      <x:c r="I1830" s="16" t="str">
        <x:v>Missing email</x:v>
      </x:c>
    </x:row>
    <x:row r="1831">
      <x:c r="A1831" s="16" t="n">
        <x:v>1828</x:v>
      </x:c>
      <x:c r="B1831" s="16" t="str">
        <x:v>Dayang Norkamala Awang Ismail</x:v>
      </x:c>
      <x:c r="C1831" s="16" t="str"/>
      <x:c r="D1831" s="16" t="str"/>
      <x:c r="E1831" s="16" t="str">
        <x:v>* myContacts</x:v>
      </x:c>
      <x:c r="F1831" s="16" t="str">
        <x:v>+60198066683</x:v>
      </x:c>
      <x:c r="G1831" s="16" t="str">
        <x:v>+60198066683</x:v>
      </x:c>
      <x:c r="H1831" s="16" t="str">
        <x:v>Excluded</x:v>
      </x:c>
      <x:c r="I1831" s="16" t="str">
        <x:v>Missing email</x:v>
      </x:c>
    </x:row>
    <x:row r="1832">
      <x:c r="A1832" s="16" t="n">
        <x:v>1829</x:v>
      </x:c>
      <x:c r="B1832" s="16" t="str">
        <x:v>Dayangsiti Noorfatimah Awangibrahim</x:v>
      </x:c>
      <x:c r="C1832" s="16" t="str"/>
      <x:c r="D1832" s="16" t="str"/>
      <x:c r="E1832" s="16" t="str">
        <x:v>* myContacts</x:v>
      </x:c>
      <x:c r="F1832" s="16" t="str">
        <x:v>+601129947600</x:v>
      </x:c>
      <x:c r="G1832" s="16" t="str">
        <x:v>+601129947600</x:v>
      </x:c>
      <x:c r="H1832" s="16" t="str">
        <x:v>Excluded</x:v>
      </x:c>
      <x:c r="I1832" s="16" t="str">
        <x:v>Missing email</x:v>
      </x:c>
    </x:row>
    <x:row r="1833">
      <x:c r="A1833" s="16" t="n">
        <x:v>1830</x:v>
      </x:c>
      <x:c r="B1833" s="16" t="str">
        <x:v>Dayat Ahmad Hidayat Abdul Rahman</x:v>
      </x:c>
      <x:c r="C1833" s="16" t="str">
        <x:v>hidayat@powerbiz.my</x:v>
      </x:c>
      <x:c r="D1833" s="16" t="str">
        <x:v>hidayat@powerbiz.my</x:v>
      </x:c>
      <x:c r="E1833" s="16" t="str">
        <x:v>* myContacts</x:v>
      </x:c>
      <x:c r="F1833" s="16" t="str">
        <x:v>+60374966751 | +60162237082</x:v>
      </x:c>
      <x:c r="G1833" s="16" t="str">
        <x:v>+60374966751 | +60162237082</x:v>
      </x:c>
      <x:c r="H1833" s="16" t="str">
        <x:v>Eligible</x:v>
      </x:c>
      <x:c r="I1833" s="16" t="str"/>
    </x:row>
    <x:row r="1834">
      <x:c r="A1834" s="16" t="n">
        <x:v>1831</x:v>
      </x:c>
      <x:c r="B1834" s="16" t="str">
        <x:v>Dbs Johaimi</x:v>
      </x:c>
      <x:c r="C1834" s="16" t="str"/>
      <x:c r="D1834" s="16" t="str"/>
      <x:c r="E1834" s="16" t="str">
        <x:v>* myContacts</x:v>
      </x:c>
      <x:c r="F1834" s="16" t="str">
        <x:v>+60178822152</x:v>
      </x:c>
      <x:c r="G1834" s="16" t="str">
        <x:v>+60178822152</x:v>
      </x:c>
      <x:c r="H1834" s="16" t="str">
        <x:v>Excluded</x:v>
      </x:c>
      <x:c r="I1834" s="16" t="str">
        <x:v>Missing email</x:v>
      </x:c>
    </x:row>
    <x:row r="1835">
      <x:c r="A1835" s="16" t="n">
        <x:v>1832</x:v>
      </x:c>
      <x:c r="B1835" s="16" t="str">
        <x:v>Ddns Empire</x:v>
      </x:c>
      <x:c r="C1835" s="16" t="str"/>
      <x:c r="D1835" s="16" t="str"/>
      <x:c r="E1835" s="16" t="str">
        <x:v>* myContacts</x:v>
      </x:c>
      <x:c r="F1835" s="16" t="str">
        <x:v>+60184696238</x:v>
      </x:c>
      <x:c r="G1835" s="16" t="str">
        <x:v>+60184696238</x:v>
      </x:c>
      <x:c r="H1835" s="16" t="str">
        <x:v>Excluded</x:v>
      </x:c>
      <x:c r="I1835" s="16" t="str">
        <x:v>Missing email</x:v>
      </x:c>
    </x:row>
    <x:row r="1836">
      <x:c r="A1836" s="16" t="n">
        <x:v>1833</x:v>
      </x:c>
      <x:c r="B1836" s="16" t="str">
        <x:v>DdspZahra Julia Wilson</x:v>
      </x:c>
      <x:c r="C1836" s="16" t="str"/>
      <x:c r="D1836" s="16" t="str"/>
      <x:c r="E1836" s="16" t="str">
        <x:v>* myContacts</x:v>
      </x:c>
      <x:c r="F1836" s="16" t="str">
        <x:v>+64275774696</x:v>
      </x:c>
      <x:c r="G1836" s="16" t="str">
        <x:v>+64275774696</x:v>
      </x:c>
      <x:c r="H1836" s="16" t="str">
        <x:v>Excluded</x:v>
      </x:c>
      <x:c r="I1836" s="16" t="str">
        <x:v>Missing email</x:v>
      </x:c>
    </x:row>
    <x:row r="1837">
      <x:c r="A1837" s="16" t="n">
        <x:v>1834</x:v>
      </x:c>
      <x:c r="B1837" s="16" t="str">
        <x:v>De Alif</x:v>
      </x:c>
      <x:c r="C1837" s="16" t="str"/>
      <x:c r="D1837" s="16" t="str"/>
      <x:c r="E1837" s="16" t="str">
        <x:v>* myContacts</x:v>
      </x:c>
      <x:c r="F1837" s="16" t="str">
        <x:v>+60193722238</x:v>
      </x:c>
      <x:c r="G1837" s="16" t="str">
        <x:v>+60193722238</x:v>
      </x:c>
      <x:c r="H1837" s="16" t="str">
        <x:v>Excluded</x:v>
      </x:c>
      <x:c r="I1837" s="16" t="str">
        <x:v>Missing email</x:v>
      </x:c>
    </x:row>
    <x:row r="1838">
      <x:c r="A1838" s="16" t="n">
        <x:v>1835</x:v>
      </x:c>
      <x:c r="B1838" s="16" t="str">
        <x:v>De Rass III</x:v>
      </x:c>
      <x:c r="C1838" s="16" t="str"/>
      <x:c r="D1838" s="16" t="str"/>
      <x:c r="E1838" s="16" t="str">
        <x:v>* myContacts</x:v>
      </x:c>
      <x:c r="F1838" s="16" t="str">
        <x:v>+601119541368</x:v>
      </x:c>
      <x:c r="G1838" s="16" t="str">
        <x:v>+601119541368</x:v>
      </x:c>
      <x:c r="H1838" s="16" t="str">
        <x:v>Excluded</x:v>
      </x:c>
      <x:c r="I1838" s="16" t="str">
        <x:v>Missing email</x:v>
      </x:c>
    </x:row>
    <x:row r="1839">
      <x:c r="A1839" s="16" t="n">
        <x:v>1836</x:v>
      </x:c>
      <x:c r="B1839" s="16" t="str">
        <x:v>Dean Wong Wii Seller</x:v>
      </x:c>
      <x:c r="C1839" s="16" t="str"/>
      <x:c r="D1839" s="16" t="str"/>
      <x:c r="E1839" s="16" t="str">
        <x:v>* myContacts</x:v>
      </x:c>
      <x:c r="F1839" s="16" t="str">
        <x:v>0163112389 | +60163112389</x:v>
      </x:c>
      <x:c r="G1839" s="16" t="str">
        <x:v>+60163112389 | +60163112389</x:v>
      </x:c>
      <x:c r="H1839" s="16" t="str">
        <x:v>Excluded</x:v>
      </x:c>
      <x:c r="I1839" s="16" t="str">
        <x:v>Missing email</x:v>
      </x:c>
    </x:row>
    <x:row r="1840">
      <x:c r="A1840" s="16" t="n">
        <x:v>1837</x:v>
      </x:c>
      <x:c r="B1840" s="16" t="str">
        <x:v>Deborah My Win</x:v>
      </x:c>
      <x:c r="C1840" s="16" t="str"/>
      <x:c r="D1840" s="16" t="str"/>
      <x:c r="E1840" s="16" t="str">
        <x:v>* myContacts</x:v>
      </x:c>
      <x:c r="F1840" s="16" t="str">
        <x:v>+60 11-3550 4307 | +601135504307</x:v>
      </x:c>
      <x:c r="G1840" s="16" t="str">
        <x:v>+601135504307 | +601135504307</x:v>
      </x:c>
      <x:c r="H1840" s="16" t="str">
        <x:v>Excluded</x:v>
      </x:c>
      <x:c r="I1840" s="16" t="str">
        <x:v>Missing email</x:v>
      </x:c>
    </x:row>
    <x:row r="1841">
      <x:c r="A1841" s="16" t="n">
        <x:v>1838</x:v>
      </x:c>
      <x:c r="B1841" s="16" t="str">
        <x:v>Debraj Dey</x:v>
      </x:c>
      <x:c r="C1841" s="16" t="str"/>
      <x:c r="D1841" s="16" t="str"/>
      <x:c r="E1841" s="16" t="str">
        <x:v>* myContacts</x:v>
      </x:c>
      <x:c r="F1841" s="16" t="str">
        <x:v>+601136847481</x:v>
      </x:c>
      <x:c r="G1841" s="16" t="str">
        <x:v>+601136847481</x:v>
      </x:c>
      <x:c r="H1841" s="16" t="str">
        <x:v>Excluded</x:v>
      </x:c>
      <x:c r="I1841" s="16" t="str">
        <x:v>Missing email</x:v>
      </x:c>
    </x:row>
    <x:row r="1842">
      <x:c r="A1842" s="16" t="n">
        <x:v>1839</x:v>
      </x:c>
      <x:c r="B1842" s="16" t="str">
        <x:v>Dedi Transport</x:v>
      </x:c>
      <x:c r="C1842" s="16" t="str"/>
      <x:c r="D1842" s="16" t="str"/>
      <x:c r="E1842" s="16" t="str">
        <x:v>* myContacts</x:v>
      </x:c>
      <x:c r="F1842" s="16" t="str">
        <x:v>+6281224709150</x:v>
      </x:c>
      <x:c r="G1842" s="16" t="str">
        <x:v>+6281224709150</x:v>
      </x:c>
      <x:c r="H1842" s="16" t="str">
        <x:v>Excluded</x:v>
      </x:c>
      <x:c r="I1842" s="16" t="str">
        <x:v>Missing email</x:v>
      </x:c>
    </x:row>
    <x:row r="1843">
      <x:c r="A1843" s="16" t="n">
        <x:v>1840</x:v>
      </x:c>
      <x:c r="B1843" s="16" t="str">
        <x:v>Dedy Sepriyandi Simanjuntak</x:v>
      </x:c>
      <x:c r="C1843" s="16" t="str"/>
      <x:c r="D1843" s="16" t="str"/>
      <x:c r="E1843" s="16" t="str">
        <x:v>* myContacts</x:v>
      </x:c>
      <x:c r="F1843" s="16" t="str">
        <x:v>+6282272479825</x:v>
      </x:c>
      <x:c r="G1843" s="16" t="str">
        <x:v>+6282272479825</x:v>
      </x:c>
      <x:c r="H1843" s="16" t="str">
        <x:v>Excluded</x:v>
      </x:c>
      <x:c r="I1843" s="16" t="str">
        <x:v>Missing email</x:v>
      </x:c>
    </x:row>
    <x:row r="1844">
      <x:c r="A1844" s="16" t="n">
        <x:v>1841</x:v>
      </x:c>
      <x:c r="B1844" s="16" t="str">
        <x:v>Dee Konoha Special Number</x:v>
      </x:c>
      <x:c r="C1844" s="16" t="str"/>
      <x:c r="D1844" s="16" t="str"/>
      <x:c r="E1844" s="16" t="str">
        <x:v>* myContacts</x:v>
      </x:c>
      <x:c r="F1844" s="16" t="str">
        <x:v>+60127683998</x:v>
      </x:c>
      <x:c r="G1844" s="16" t="str">
        <x:v>+60127683998</x:v>
      </x:c>
      <x:c r="H1844" s="16" t="str">
        <x:v>Excluded</x:v>
      </x:c>
      <x:c r="I1844" s="16" t="str">
        <x:v>Missing email</x:v>
      </x:c>
    </x:row>
    <x:row r="1845">
      <x:c r="A1845" s="16" t="n">
        <x:v>1842</x:v>
      </x:c>
      <x:c r="B1845" s="16" t="str">
        <x:v>Dee Konoha Tyre</x:v>
      </x:c>
      <x:c r="C1845" s="16" t="str"/>
      <x:c r="D1845" s="16" t="str"/>
      <x:c r="E1845" s="16" t="str">
        <x:v>* myContacts</x:v>
      </x:c>
      <x:c r="F1845" s="16" t="str">
        <x:v>+60192800366</x:v>
      </x:c>
      <x:c r="G1845" s="16" t="str">
        <x:v>+60192800366</x:v>
      </x:c>
      <x:c r="H1845" s="16" t="str">
        <x:v>Excluded</x:v>
      </x:c>
      <x:c r="I1845" s="16" t="str">
        <x:v>Missing email</x:v>
      </x:c>
    </x:row>
    <x:row r="1846">
      <x:c r="A1846" s="16" t="n">
        <x:v>1843</x:v>
      </x:c>
      <x:c r="B1846" s="16" t="str">
        <x:v>Dee Pocket Production</x:v>
      </x:c>
      <x:c r="C1846" s="16" t="str"/>
      <x:c r="D1846" s="16" t="str"/>
      <x:c r="E1846" s="16" t="str">
        <x:v>* myContacts</x:v>
      </x:c>
      <x:c r="F1846" s="16" t="str">
        <x:v>+60 11-1620 0864 | +601116200864</x:v>
      </x:c>
      <x:c r="G1846" s="16" t="str">
        <x:v>+601116200864 | +601116200864</x:v>
      </x:c>
      <x:c r="H1846" s="16" t="str">
        <x:v>Excluded</x:v>
      </x:c>
      <x:c r="I1846" s="16" t="str">
        <x:v>Missing email</x:v>
      </x:c>
    </x:row>
    <x:row r="1847">
      <x:c r="A1847" s="16" t="n">
        <x:v>1844</x:v>
      </x:c>
      <x:c r="B1847" s="16" t="str">
        <x:v>Deen Inonesecond</x:v>
      </x:c>
      <x:c r="C1847" s="16" t="str"/>
      <x:c r="D1847" s="16" t="str"/>
      <x:c r="E1847" s="16" t="str">
        <x:v>* myContacts</x:v>
      </x:c>
      <x:c r="F1847" s="16" t="str">
        <x:v>+60177400969</x:v>
      </x:c>
      <x:c r="G1847" s="16" t="str">
        <x:v>+60177400969</x:v>
      </x:c>
      <x:c r="H1847" s="16" t="str">
        <x:v>Excluded</x:v>
      </x:c>
      <x:c r="I1847" s="16" t="str">
        <x:v>Missing email</x:v>
      </x:c>
    </x:row>
    <x:row r="1848">
      <x:c r="A1848" s="16" t="n">
        <x:v>1845</x:v>
      </x:c>
      <x:c r="B1848" s="16" t="str">
        <x:v>Deen Teliport</x:v>
      </x:c>
      <x:c r="C1848" s="16" t="str"/>
      <x:c r="D1848" s="16" t="str"/>
      <x:c r="E1848" s="16" t="str">
        <x:v>* myContacts</x:v>
      </x:c>
      <x:c r="F1848" s="16" t="str">
        <x:v>+601120844800</x:v>
      </x:c>
      <x:c r="G1848" s="16" t="str">
        <x:v>+601120844800</x:v>
      </x:c>
      <x:c r="H1848" s="16" t="str">
        <x:v>Excluded</x:v>
      </x:c>
      <x:c r="I1848" s="16" t="str">
        <x:v>Missing email</x:v>
      </x:c>
    </x:row>
    <x:row r="1849">
      <x:c r="A1849" s="16" t="n">
        <x:v>1846</x:v>
      </x:c>
      <x:c r="B1849" s="16" t="str">
        <x:v>Deeya Rostam</x:v>
      </x:c>
      <x:c r="C1849" s="16" t="str"/>
      <x:c r="D1849" s="16" t="str"/>
      <x:c r="E1849" s="16" t="str">
        <x:v>* myContacts</x:v>
      </x:c>
      <x:c r="F1849" s="16" t="str">
        <x:v>+60182079407</x:v>
      </x:c>
      <x:c r="G1849" s="16" t="str">
        <x:v>+60182079407</x:v>
      </x:c>
      <x:c r="H1849" s="16" t="str">
        <x:v>Excluded</x:v>
      </x:c>
      <x:c r="I1849" s="16" t="str">
        <x:v>Missing email</x:v>
      </x:c>
    </x:row>
    <x:row r="1850">
      <x:c r="A1850" s="16" t="n">
        <x:v>1847</x:v>
      </x:c>
      <x:c r="B1850" s="16" t="str">
        <x:v>Dekma Mdec IM</x:v>
      </x:c>
      <x:c r="C1850" s="16" t="str"/>
      <x:c r="D1850" s="16" t="str"/>
      <x:c r="E1850" s="16" t="str">
        <x:v>* myContacts</x:v>
      </x:c>
      <x:c r="F1850" s="16" t="str">
        <x:v>0192112178 | +60192112178</x:v>
      </x:c>
      <x:c r="G1850" s="16" t="str">
        <x:v>+60192112178 | +60192112178</x:v>
      </x:c>
      <x:c r="H1850" s="16" t="str">
        <x:v>Excluded</x:v>
      </x:c>
      <x:c r="I1850" s="16" t="str">
        <x:v>Missing email</x:v>
      </x:c>
    </x:row>
    <x:row r="1851">
      <x:c r="A1851" s="16" t="n">
        <x:v>1848</x:v>
      </x:c>
      <x:c r="B1851" s="16" t="str">
        <x:v>Delan Goh</x:v>
      </x:c>
      <x:c r="C1851" s="16" t="str"/>
      <x:c r="D1851" s="16" t="str"/>
      <x:c r="E1851" s="16" t="str">
        <x:v>* myContacts</x:v>
      </x:c>
      <x:c r="F1851" s="16" t="str">
        <x:v>+6592793360</x:v>
      </x:c>
      <x:c r="G1851" s="16" t="str">
        <x:v>+6592793360</x:v>
      </x:c>
      <x:c r="H1851" s="16" t="str">
        <x:v>Excluded</x:v>
      </x:c>
      <x:c r="I1851" s="16" t="str">
        <x:v>Missing email</x:v>
      </x:c>
    </x:row>
    <x:row r="1852">
      <x:c r="A1852" s="16" t="n">
        <x:v>1849</x:v>
      </x:c>
      <x:c r="B1852" s="16" t="str">
        <x:v>Dellito Axa</x:v>
      </x:c>
      <x:c r="C1852" s="16" t="str"/>
      <x:c r="D1852" s="16" t="str"/>
      <x:c r="E1852" s="16" t="str">
        <x:v>* myContacts</x:v>
      </x:c>
      <x:c r="F1852" s="16" t="str">
        <x:v>+60178294265</x:v>
      </x:c>
      <x:c r="G1852" s="16" t="str">
        <x:v>+60178294265</x:v>
      </x:c>
      <x:c r="H1852" s="16" t="str">
        <x:v>Excluded</x:v>
      </x:c>
      <x:c r="I1852" s="16" t="str">
        <x:v>Missing email</x:v>
      </x:c>
    </x:row>
    <x:row r="1853">
      <x:c r="A1853" s="16" t="n">
        <x:v>1850</x:v>
      </x:c>
      <x:c r="B1853" s="16" t="str">
        <x:v>Deni Putra Glanter</x:v>
      </x:c>
      <x:c r="C1853" s="16" t="str"/>
      <x:c r="D1853" s="16" t="str"/>
      <x:c r="E1853" s="16" t="str">
        <x:v>* myContacts</x:v>
      </x:c>
      <x:c r="F1853" s="16" t="str">
        <x:v>+6285271489331</x:v>
      </x:c>
      <x:c r="G1853" s="16" t="str">
        <x:v>+6285271489331</x:v>
      </x:c>
      <x:c r="H1853" s="16" t="str">
        <x:v>Excluded</x:v>
      </x:c>
      <x:c r="I1853" s="16" t="str">
        <x:v>Missing email</x:v>
      </x:c>
    </x:row>
    <x:row r="1854">
      <x:c r="A1854" s="16" t="n">
        <x:v>1851</x:v>
      </x:c>
      <x:c r="B1854" s="16" t="str">
        <x:v>Denim Lee Lee</x:v>
      </x:c>
      <x:c r="C1854" s="16" t="str"/>
      <x:c r="D1854" s="16" t="str"/>
      <x:c r="E1854" s="16" t="str">
        <x:v>* myContacts</x:v>
      </x:c>
      <x:c r="F1854" s="16" t="str">
        <x:v>+60132051407</x:v>
      </x:c>
      <x:c r="G1854" s="16" t="str">
        <x:v>+60132051407</x:v>
      </x:c>
      <x:c r="H1854" s="16" t="str">
        <x:v>Excluded</x:v>
      </x:c>
      <x:c r="I1854" s="16" t="str">
        <x:v>Missing email</x:v>
      </x:c>
    </x:row>
    <x:row r="1855">
      <x:c r="A1855" s="16" t="n">
        <x:v>1852</x:v>
      </x:c>
      <x:c r="B1855" s="16" t="str">
        <x:v>Denisham Salleh</x:v>
      </x:c>
      <x:c r="C1855" s="16" t="str"/>
      <x:c r="D1855" s="16" t="str"/>
      <x:c r="E1855" s="16" t="str">
        <x:v>* myContacts</x:v>
      </x:c>
      <x:c r="F1855" s="16" t="str">
        <x:v>+60177578548</x:v>
      </x:c>
      <x:c r="G1855" s="16" t="str">
        <x:v>+60177578548</x:v>
      </x:c>
      <x:c r="H1855" s="16" t="str">
        <x:v>Excluded</x:v>
      </x:c>
      <x:c r="I1855" s="16" t="str">
        <x:v>Missing email</x:v>
      </x:c>
    </x:row>
    <x:row r="1856">
      <x:c r="A1856" s="16" t="n">
        <x:v>1853</x:v>
      </x:c>
      <x:c r="B1856" s="16" t="str">
        <x:v>deon shoppe</x:v>
      </x:c>
      <x:c r="C1856" s="16" t="str"/>
      <x:c r="D1856" s="16" t="str"/>
      <x:c r="E1856" s="16" t="str">
        <x:v>* myContacts</x:v>
      </x:c>
      <x:c r="F1856" s="16" t="str">
        <x:v>0126559014 | +60126559014</x:v>
      </x:c>
      <x:c r="G1856" s="16" t="str">
        <x:v>+60126559014 | +60126559014</x:v>
      </x:c>
      <x:c r="H1856" s="16" t="str">
        <x:v>Excluded</x:v>
      </x:c>
      <x:c r="I1856" s="16" t="str">
        <x:v>Missing email</x:v>
      </x:c>
    </x:row>
    <x:row r="1857">
      <x:c r="A1857" s="16" t="n">
        <x:v>1854</x:v>
      </x:c>
      <x:c r="B1857" s="16" t="str">
        <x:v>Deq Chikk VI</x:v>
      </x:c>
      <x:c r="C1857" s="16" t="str"/>
      <x:c r="D1857" s="16" t="str"/>
      <x:c r="E1857" s="16" t="str">
        <x:v>* myContacts</x:v>
      </x:c>
      <x:c r="F1857" s="16" t="str">
        <x:v>+60135379502</x:v>
      </x:c>
      <x:c r="G1857" s="16" t="str">
        <x:v>+60135379502</x:v>
      </x:c>
      <x:c r="H1857" s="16" t="str">
        <x:v>Excluded</x:v>
      </x:c>
      <x:c r="I1857" s="16" t="str">
        <x:v>Missing email</x:v>
      </x:c>
    </x:row>
    <x:row r="1858">
      <x:c r="A1858" s="16" t="n">
        <x:v>1855</x:v>
      </x:c>
      <x:c r="B1858" s="16" t="str">
        <x:v>Deq Wanz</x:v>
      </x:c>
      <x:c r="C1858" s="16" t="str"/>
      <x:c r="D1858" s="16" t="str"/>
      <x:c r="E1858" s="16" t="str">
        <x:v>* myContacts</x:v>
      </x:c>
      <x:c r="F1858" s="16" t="str">
        <x:v>+60129335825</x:v>
      </x:c>
      <x:c r="G1858" s="16" t="str">
        <x:v>+60129335825</x:v>
      </x:c>
      <x:c r="H1858" s="16" t="str">
        <x:v>Excluded</x:v>
      </x:c>
      <x:c r="I1858" s="16" t="str">
        <x:v>Missing email</x:v>
      </x:c>
    </x:row>
    <x:row r="1859">
      <x:c r="A1859" s="16" t="n">
        <x:v>1856</x:v>
      </x:c>
      <x:c r="B1859" s="16" t="str">
        <x:v>DeqmaTanty..😘</x:v>
      </x:c>
      <x:c r="C1859" s="16" t="str"/>
      <x:c r="D1859" s="16" t="str"/>
      <x:c r="E1859" s="16" t="str">
        <x:v>* myContacts</x:v>
      </x:c>
      <x:c r="F1859" s="16" t="str">
        <x:v>+60199009640</x:v>
      </x:c>
      <x:c r="G1859" s="16" t="str">
        <x:v>+60199009640</x:v>
      </x:c>
      <x:c r="H1859" s="16" t="str">
        <x:v>Excluded</x:v>
      </x:c>
      <x:c r="I1859" s="16" t="str">
        <x:v>Missing email</x:v>
      </x:c>
    </x:row>
    <x:row r="1860">
      <x:c r="A1860" s="16" t="n">
        <x:v>1857</x:v>
      </x:c>
      <x:c r="B1860" s="16" t="str">
        <x:v>Derut Rudi</x:v>
      </x:c>
      <x:c r="C1860" s="16" t="str"/>
      <x:c r="D1860" s="16" t="str"/>
      <x:c r="E1860" s="16" t="str">
        <x:v>* myContacts</x:v>
      </x:c>
      <x:c r="F1860" s="16" t="str">
        <x:v>+628997501686</x:v>
      </x:c>
      <x:c r="G1860" s="16" t="str">
        <x:v>+628997501686</x:v>
      </x:c>
      <x:c r="H1860" s="16" t="str">
        <x:v>Excluded</x:v>
      </x:c>
      <x:c r="I1860" s="16" t="str">
        <x:v>Missing email</x:v>
      </x:c>
    </x:row>
    <x:row r="1861">
      <x:c r="A1861" s="16" t="n">
        <x:v>1858</x:v>
      </x:c>
      <x:c r="B1861" s="16" t="str">
        <x:v>Desi Maulayani</x:v>
      </x:c>
      <x:c r="C1861" s="16" t="str"/>
      <x:c r="D1861" s="16" t="str"/>
      <x:c r="E1861" s="16" t="str">
        <x:v>* myContacts</x:v>
      </x:c>
      <x:c r="F1861" s="16" t="str">
        <x:v>+6281275586576</x:v>
      </x:c>
      <x:c r="G1861" s="16" t="str">
        <x:v>+6281275586576</x:v>
      </x:c>
      <x:c r="H1861" s="16" t="str">
        <x:v>Excluded</x:v>
      </x:c>
      <x:c r="I1861" s="16" t="str">
        <x:v>Missing email</x:v>
      </x:c>
    </x:row>
    <x:row r="1862">
      <x:c r="A1862" s="16" t="n">
        <x:v>1859</x:v>
      </x:c>
      <x:c r="B1862" s="16" t="str">
        <x:v>Desire Aura</x:v>
      </x:c>
      <x:c r="C1862" s="16" t="str"/>
      <x:c r="D1862" s="16" t="str"/>
      <x:c r="E1862" s="16" t="str">
        <x:v>* myContacts</x:v>
      </x:c>
      <x:c r="F1862" s="16" t="str">
        <x:v>+60123147069</x:v>
      </x:c>
      <x:c r="G1862" s="16" t="str">
        <x:v>+60123147069</x:v>
      </x:c>
      <x:c r="H1862" s="16" t="str">
        <x:v>Excluded</x:v>
      </x:c>
      <x:c r="I1862" s="16" t="str">
        <x:v>Missing email</x:v>
      </x:c>
    </x:row>
    <x:row r="1863">
      <x:c r="A1863" s="16" t="n">
        <x:v>1860</x:v>
      </x:c>
      <x:c r="B1863" s="16" t="str">
        <x:v>Devan Molly</x:v>
      </x:c>
      <x:c r="C1863" s="16" t="str"/>
      <x:c r="D1863" s="16" t="str"/>
      <x:c r="E1863" s="16" t="str">
        <x:v>* myContacts</x:v>
      </x:c>
      <x:c r="F1863" s="16" t="str">
        <x:v>+60169753755</x:v>
      </x:c>
      <x:c r="G1863" s="16" t="str">
        <x:v>+60169753755</x:v>
      </x:c>
      <x:c r="H1863" s="16" t="str">
        <x:v>Excluded</x:v>
      </x:c>
      <x:c r="I1863" s="16" t="str">
        <x:v>Missing email</x:v>
      </x:c>
    </x:row>
    <x:row r="1864">
      <x:c r="A1864" s="16" t="n">
        <x:v>1861</x:v>
      </x:c>
      <x:c r="B1864" s="16" t="str">
        <x:v>Devi PKWIS</x:v>
      </x:c>
      <x:c r="C1864" s="16" t="str"/>
      <x:c r="D1864" s="16" t="str"/>
      <x:c r="E1864" s="16" t="str">
        <x:v>* myContacts</x:v>
      </x:c>
      <x:c r="F1864" s="16" t="str">
        <x:v>+60 16-270 3486 | +60162703486</x:v>
      </x:c>
      <x:c r="G1864" s="16" t="str">
        <x:v>+60162703486 | +60162703486</x:v>
      </x:c>
      <x:c r="H1864" s="16" t="str">
        <x:v>Excluded</x:v>
      </x:c>
      <x:c r="I1864" s="16" t="str">
        <x:v>Missing email</x:v>
      </x:c>
    </x:row>
    <x:row r="1865">
      <x:c r="A1865" s="16" t="n">
        <x:v>1862</x:v>
      </x:c>
      <x:c r="B1865" s="16" t="str">
        <x:v>DhanielRayyan Psc TonePlus Nilai</x:v>
      </x:c>
      <x:c r="C1865" s="16" t="str"/>
      <x:c r="D1865" s="16" t="str"/>
      <x:c r="E1865" s="16" t="str">
        <x:v>* myContacts</x:v>
      </x:c>
      <x:c r="F1865" s="16" t="str">
        <x:v>+60108001104</x:v>
      </x:c>
      <x:c r="G1865" s="16" t="str">
        <x:v>+60108001104</x:v>
      </x:c>
      <x:c r="H1865" s="16" t="str">
        <x:v>Excluded</x:v>
      </x:c>
      <x:c r="I1865" s="16" t="str">
        <x:v>Missing email</x:v>
      </x:c>
    </x:row>
    <x:row r="1866">
      <x:c r="A1866" s="16" t="n">
        <x:v>1863</x:v>
      </x:c>
      <x:c r="B1866" s="16" t="str">
        <x:v>Dhanya Alif Norwani</x:v>
      </x:c>
      <x:c r="C1866" s="16" t="str"/>
      <x:c r="D1866" s="16" t="str"/>
      <x:c r="E1866" s="16" t="str">
        <x:v>* myContacts</x:v>
      </x:c>
      <x:c r="F1866" s="16" t="str">
        <x:v>+60162724455</x:v>
      </x:c>
      <x:c r="G1866" s="16" t="str">
        <x:v>+60162724455</x:v>
      </x:c>
      <x:c r="H1866" s="16" t="str">
        <x:v>Excluded</x:v>
      </x:c>
      <x:c r="I1866" s="16" t="str">
        <x:v>Missing email</x:v>
      </x:c>
    </x:row>
    <x:row r="1867">
      <x:c r="A1867" s="16" t="n">
        <x:v>1864</x:v>
      </x:c>
      <x:c r="B1867" s="16" t="str">
        <x:v>Dharma Jerung Sales</x:v>
      </x:c>
      <x:c r="C1867" s="16" t="str"/>
      <x:c r="D1867" s="16" t="str"/>
      <x:c r="E1867" s="16" t="str">
        <x:v>* myContacts</x:v>
      </x:c>
      <x:c r="F1867" s="16" t="str">
        <x:v>+60167677759</x:v>
      </x:c>
      <x:c r="G1867" s="16" t="str">
        <x:v>+60167677759</x:v>
      </x:c>
      <x:c r="H1867" s="16" t="str">
        <x:v>Excluded</x:v>
      </x:c>
      <x:c r="I1867" s="16" t="str">
        <x:v>Missing email</x:v>
      </x:c>
    </x:row>
    <x:row r="1868">
      <x:c r="A1868" s="16" t="n">
        <x:v>1865</x:v>
      </x:c>
      <x:c r="B1868" s="16" t="str">
        <x:v>Dhea Afieryea</x:v>
      </x:c>
      <x:c r="C1868" s="16" t="str"/>
      <x:c r="D1868" s="16" t="str"/>
      <x:c r="E1868" s="16" t="str">
        <x:v>* myContacts</x:v>
      </x:c>
      <x:c r="F1868" s="16" t="str">
        <x:v>+60128565513</x:v>
      </x:c>
      <x:c r="G1868" s="16" t="str">
        <x:v>+60128565513</x:v>
      </x:c>
      <x:c r="H1868" s="16" t="str">
        <x:v>Excluded</x:v>
      </x:c>
      <x:c r="I1868" s="16" t="str">
        <x:v>Missing email</x:v>
      </x:c>
    </x:row>
    <x:row r="1869">
      <x:c r="A1869" s="16" t="n">
        <x:v>1866</x:v>
      </x:c>
      <x:c r="B1869" s="16" t="str">
        <x:v>Dhea Afifah Aliyyah</x:v>
      </x:c>
      <x:c r="C1869" s="16" t="str"/>
      <x:c r="D1869" s="16" t="str"/>
      <x:c r="E1869" s="16" t="str">
        <x:v>* myContacts</x:v>
      </x:c>
      <x:c r="F1869" s="16" t="str">
        <x:v>+622291189415</x:v>
      </x:c>
      <x:c r="G1869" s="16" t="str">
        <x:v>+622291189415</x:v>
      </x:c>
      <x:c r="H1869" s="16" t="str">
        <x:v>Excluded</x:v>
      </x:c>
      <x:c r="I1869" s="16" t="str">
        <x:v>Missing email</x:v>
      </x:c>
    </x:row>
    <x:row r="1870">
      <x:c r="A1870" s="16" t="n">
        <x:v>1867</x:v>
      </x:c>
      <x:c r="B1870" s="16" t="str">
        <x:v>Dhia Mutiara</x:v>
      </x:c>
      <x:c r="C1870" s="16" t="str"/>
      <x:c r="D1870" s="16" t="str"/>
      <x:c r="E1870" s="16" t="str">
        <x:v>* myContacts</x:v>
      </x:c>
      <x:c r="F1870" s="16" t="str">
        <x:v>+60198129359</x:v>
      </x:c>
      <x:c r="G1870" s="16" t="str">
        <x:v>+60198129359</x:v>
      </x:c>
      <x:c r="H1870" s="16" t="str">
        <x:v>Excluded</x:v>
      </x:c>
      <x:c r="I1870" s="16" t="str">
        <x:v>Missing email</x:v>
      </x:c>
    </x:row>
    <x:row r="1871">
      <x:c r="A1871" s="16" t="n">
        <x:v>1868</x:v>
      </x:c>
      <x:c r="B1871" s="16" t="str">
        <x:v>Dhia Razin</x:v>
      </x:c>
      <x:c r="C1871" s="16" t="str"/>
      <x:c r="D1871" s="16" t="str"/>
      <x:c r="E1871" s="16" t="str">
        <x:v>* myContacts</x:v>
      </x:c>
      <x:c r="F1871" s="16" t="str">
        <x:v>+60139020900</x:v>
      </x:c>
      <x:c r="G1871" s="16" t="str">
        <x:v>+60139020900</x:v>
      </x:c>
      <x:c r="H1871" s="16" t="str">
        <x:v>Excluded</x:v>
      </x:c>
      <x:c r="I1871" s="16" t="str">
        <x:v>Missing email</x:v>
      </x:c>
    </x:row>
    <x:row r="1872">
      <x:c r="A1872" s="16" t="n">
        <x:v>1869</x:v>
      </x:c>
      <x:c r="B1872" s="16" t="str">
        <x:v>Dhiya Aziz Hendry Asriadi</x:v>
      </x:c>
      <x:c r="C1872" s="16" t="str"/>
      <x:c r="D1872" s="16" t="str"/>
      <x:c r="E1872" s="16" t="str">
        <x:v>* myContacts</x:v>
      </x:c>
      <x:c r="F1872" s="16" t="str">
        <x:v>+60182456042</x:v>
      </x:c>
      <x:c r="G1872" s="16" t="str">
        <x:v>+60182456042</x:v>
      </x:c>
      <x:c r="H1872" s="16" t="str">
        <x:v>Excluded</x:v>
      </x:c>
      <x:c r="I1872" s="16" t="str">
        <x:v>Missing email</x:v>
      </x:c>
    </x:row>
    <x:row r="1873">
      <x:c r="A1873" s="16" t="n">
        <x:v>1870</x:v>
      </x:c>
      <x:c r="B1873" s="16" t="str">
        <x:v>Dhiya Taste Terengganu</x:v>
      </x:c>
      <x:c r="C1873" s="16" t="str"/>
      <x:c r="D1873" s="16" t="str"/>
      <x:c r="E1873" s="16" t="str">
        <x:v>* myContacts</x:v>
      </x:c>
      <x:c r="F1873" s="16" t="str">
        <x:v>+60145434814</x:v>
      </x:c>
      <x:c r="G1873" s="16" t="str">
        <x:v>+60145434814</x:v>
      </x:c>
      <x:c r="H1873" s="16" t="str">
        <x:v>Excluded</x:v>
      </x:c>
      <x:c r="I1873" s="16" t="str">
        <x:v>Missing email</x:v>
      </x:c>
    </x:row>
    <x:row r="1874">
      <x:c r="A1874" s="16" t="n">
        <x:v>1871</x:v>
      </x:c>
      <x:c r="B1874" s="16" t="str">
        <x:v>Dhm-Fendy Daedo</x:v>
      </x:c>
      <x:c r="C1874" s="16" t="str"/>
      <x:c r="D1874" s="16" t="str"/>
      <x:c r="E1874" s="16" t="str">
        <x:v>* myContacts</x:v>
      </x:c>
      <x:c r="F1874" s="16" t="str">
        <x:v>+60172532771</x:v>
      </x:c>
      <x:c r="G1874" s="16" t="str">
        <x:v>+60172532771</x:v>
      </x:c>
      <x:c r="H1874" s="16" t="str">
        <x:v>Excluded</x:v>
      </x:c>
      <x:c r="I1874" s="16" t="str">
        <x:v>Missing email</x:v>
      </x:c>
    </x:row>
    <x:row r="1875">
      <x:c r="A1875" s="16" t="n">
        <x:v>1872</x:v>
      </x:c>
      <x:c r="B1875" s="16" t="str">
        <x:v>Dho 'ie</x:v>
      </x:c>
      <x:c r="C1875" s="16" t="str"/>
      <x:c r="D1875" s="16" t="str"/>
      <x:c r="E1875" s="16" t="str">
        <x:v>* myContacts</x:v>
      </x:c>
      <x:c r="F1875" s="16" t="str">
        <x:v>+62617980110</x:v>
      </x:c>
      <x:c r="G1875" s="16" t="str">
        <x:v>+62617980110</x:v>
      </x:c>
      <x:c r="H1875" s="16" t="str">
        <x:v>Excluded</x:v>
      </x:c>
      <x:c r="I1875" s="16" t="str">
        <x:v>Missing email</x:v>
      </x:c>
    </x:row>
    <x:row r="1876">
      <x:c r="A1876" s="16" t="n">
        <x:v>1873</x:v>
      </x:c>
      <x:c r="B1876" s="16" t="str">
        <x:v>Di Fo Chong</x:v>
      </x:c>
      <x:c r="C1876" s="16" t="str"/>
      <x:c r="D1876" s="16" t="str"/>
      <x:c r="E1876" s="16" t="str">
        <x:v>* myContacts</x:v>
      </x:c>
      <x:c r="F1876" s="16" t="str">
        <x:v>+60126854682</x:v>
      </x:c>
      <x:c r="G1876" s="16" t="str">
        <x:v>+60126854682</x:v>
      </x:c>
      <x:c r="H1876" s="16" t="str">
        <x:v>Excluded</x:v>
      </x:c>
      <x:c r="I1876" s="16" t="str">
        <x:v>Missing email</x:v>
      </x:c>
    </x:row>
    <x:row r="1877">
      <x:c r="A1877" s="16" t="n">
        <x:v>1874</x:v>
      </x:c>
      <x:c r="B1877" s="16" t="str">
        <x:v>Diana Agent AGP Tier 1</x:v>
      </x:c>
      <x:c r="C1877" s="16" t="str"/>
      <x:c r="D1877" s="16" t="str"/>
      <x:c r="E1877" s="16" t="str">
        <x:v>* myContacts</x:v>
      </x:c>
      <x:c r="F1877" s="16" t="str">
        <x:v>+60 14-927 1148 | +60149271148</x:v>
      </x:c>
      <x:c r="G1877" s="16" t="str">
        <x:v>+60149271148 | +60149271148</x:v>
      </x:c>
      <x:c r="H1877" s="16" t="str">
        <x:v>Excluded</x:v>
      </x:c>
      <x:c r="I1877" s="16" t="str">
        <x:v>Missing email</x:v>
      </x:c>
    </x:row>
    <x:row r="1878">
      <x:c r="A1878" s="16" t="n">
        <x:v>1875</x:v>
      </x:c>
      <x:c r="B1878" s="16" t="str">
        <x:v>Diana Aje</x:v>
      </x:c>
      <x:c r="C1878" s="16" t="str"/>
      <x:c r="D1878" s="16" t="str"/>
      <x:c r="E1878" s="16" t="str">
        <x:v>* myContacts</x:v>
      </x:c>
      <x:c r="F1878" s="16" t="str">
        <x:v>+601123308304</x:v>
      </x:c>
      <x:c r="G1878" s="16" t="str">
        <x:v>+601123308304</x:v>
      </x:c>
      <x:c r="H1878" s="16" t="str">
        <x:v>Excluded</x:v>
      </x:c>
      <x:c r="I1878" s="16" t="str">
        <x:v>Missing email</x:v>
      </x:c>
    </x:row>
    <x:row r="1879">
      <x:c r="A1879" s="16" t="n">
        <x:v>1876</x:v>
      </x:c>
      <x:c r="B1879" s="16" t="str">
        <x:v>Diana Chong</x:v>
      </x:c>
      <x:c r="C1879" s="16" t="str"/>
      <x:c r="D1879" s="16" t="str"/>
      <x:c r="E1879" s="16" t="str">
        <x:v>* myContacts</x:v>
      </x:c>
      <x:c r="F1879" s="16" t="str">
        <x:v>+60172951532</x:v>
      </x:c>
      <x:c r="G1879" s="16" t="str">
        <x:v>+60172951532</x:v>
      </x:c>
      <x:c r="H1879" s="16" t="str">
        <x:v>Excluded</x:v>
      </x:c>
      <x:c r="I1879" s="16" t="str">
        <x:v>Missing email</x:v>
      </x:c>
    </x:row>
    <x:row r="1880">
      <x:c r="A1880" s="16" t="n">
        <x:v>1877</x:v>
      </x:c>
      <x:c r="B1880" s="16" t="str">
        <x:v>Diana Nordin</x:v>
      </x:c>
      <x:c r="C1880" s="16" t="str"/>
      <x:c r="D1880" s="16" t="str"/>
      <x:c r="E1880" s="16" t="str">
        <x:v>* myContacts</x:v>
      </x:c>
      <x:c r="F1880" s="16" t="str">
        <x:v>+60387687889</x:v>
      </x:c>
      <x:c r="G1880" s="16" t="str">
        <x:v>+60387687889</x:v>
      </x:c>
      <x:c r="H1880" s="16" t="str">
        <x:v>Excluded</x:v>
      </x:c>
      <x:c r="I1880" s="16" t="str">
        <x:v>Missing email</x:v>
      </x:c>
    </x:row>
    <x:row r="1881">
      <x:c r="A1881" s="16" t="n">
        <x:v>1878</x:v>
      </x:c>
      <x:c r="B1881" s="16" t="str">
        <x:v>Dianz Legacy Klang</x:v>
      </x:c>
      <x:c r="C1881" s="16" t="str"/>
      <x:c r="D1881" s="16" t="str"/>
      <x:c r="E1881" s="16" t="str">
        <x:v>* myContacts</x:v>
      </x:c>
      <x:c r="F1881" s="16" t="str">
        <x:v>+60148103843</x:v>
      </x:c>
      <x:c r="G1881" s="16" t="str">
        <x:v>+60148103843</x:v>
      </x:c>
      <x:c r="H1881" s="16" t="str">
        <x:v>Excluded</x:v>
      </x:c>
      <x:c r="I1881" s="16" t="str">
        <x:v>Missing email</x:v>
      </x:c>
    </x:row>
    <x:row r="1882">
      <x:c r="A1882" s="16" t="n">
        <x:v>1879</x:v>
      </x:c>
      <x:c r="B1882" s="16" t="str">
        <x:v>Dickson Marcos</x:v>
      </x:c>
      <x:c r="C1882" s="16" t="str"/>
      <x:c r="D1882" s="16" t="str"/>
      <x:c r="E1882" s="16" t="str">
        <x:v>* myContacts</x:v>
      </x:c>
      <x:c r="F1882" s="16" t="str">
        <x:v>+60138368621</x:v>
      </x:c>
      <x:c r="G1882" s="16" t="str">
        <x:v>+60138368621</x:v>
      </x:c>
      <x:c r="H1882" s="16" t="str">
        <x:v>Excluded</x:v>
      </x:c>
      <x:c r="I1882" s="16" t="str">
        <x:v>Missing email</x:v>
      </x:c>
    </x:row>
    <x:row r="1883">
      <x:c r="A1883" s="16" t="n">
        <x:v>1880</x:v>
      </x:c>
      <x:c r="B1883" s="16" t="str">
        <x:v>Didie Ibni Sainudin</x:v>
      </x:c>
      <x:c r="C1883" s="16" t="str"/>
      <x:c r="D1883" s="16" t="str"/>
      <x:c r="E1883" s="16" t="str">
        <x:v>* myContacts</x:v>
      </x:c>
      <x:c r="F1883" s="16" t="str">
        <x:v>+60136669992</x:v>
      </x:c>
      <x:c r="G1883" s="16" t="str">
        <x:v>+60136669992</x:v>
      </x:c>
      <x:c r="H1883" s="16" t="str">
        <x:v>Excluded</x:v>
      </x:c>
      <x:c r="I1883" s="16" t="str">
        <x:v>Missing email</x:v>
      </x:c>
    </x:row>
    <x:row r="1884">
      <x:c r="A1884" s="16" t="n">
        <x:v>1881</x:v>
      </x:c>
      <x:c r="B1884" s="16" t="str">
        <x:v>Didiey Yana</x:v>
      </x:c>
      <x:c r="C1884" s="16" t="str"/>
      <x:c r="D1884" s="16" t="str"/>
      <x:c r="E1884" s="16" t="str">
        <x:v>* myContacts</x:v>
      </x:c>
      <x:c r="F1884" s="16" t="str">
        <x:v>+60194562919</x:v>
      </x:c>
      <x:c r="G1884" s="16" t="str">
        <x:v>+60194562919</x:v>
      </x:c>
      <x:c r="H1884" s="16" t="str">
        <x:v>Excluded</x:v>
      </x:c>
      <x:c r="I1884" s="16" t="str">
        <x:v>Missing email</x:v>
      </x:c>
    </x:row>
    <x:row r="1885">
      <x:c r="A1885" s="16" t="n">
        <x:v>1882</x:v>
      </x:c>
      <x:c r="B1885" s="16" t="str">
        <x:v>Didot's AiDa</x:v>
      </x:c>
      <x:c r="C1885" s="16" t="str"/>
      <x:c r="D1885" s="16" t="str"/>
      <x:c r="E1885" s="16" t="str">
        <x:v>* myContacts</x:v>
      </x:c>
      <x:c r="F1885" s="16" t="str">
        <x:v>+60177105771</x:v>
      </x:c>
      <x:c r="G1885" s="16" t="str">
        <x:v>+60177105771</x:v>
      </x:c>
      <x:c r="H1885" s="16" t="str">
        <x:v>Excluded</x:v>
      </x:c>
      <x:c r="I1885" s="16" t="str">
        <x:v>Missing email</x:v>
      </x:c>
    </x:row>
    <x:row r="1886">
      <x:c r="A1886" s="16" t="n">
        <x:v>1883</x:v>
      </x:c>
      <x:c r="B1886" s="16" t="str">
        <x:v>Diela Pikofee Kuantan</x:v>
      </x:c>
      <x:c r="C1886" s="16" t="str"/>
      <x:c r="D1886" s="16" t="str"/>
      <x:c r="E1886" s="16" t="str">
        <x:v>* myContacts</x:v>
      </x:c>
      <x:c r="F1886" s="16" t="str">
        <x:v>+60199287188</x:v>
      </x:c>
      <x:c r="G1886" s="16" t="str">
        <x:v>+60199287188</x:v>
      </x:c>
      <x:c r="H1886" s="16" t="str">
        <x:v>Excluded</x:v>
      </x:c>
      <x:c r="I1886" s="16" t="str">
        <x:v>Missing email</x:v>
      </x:c>
    </x:row>
    <x:row r="1887">
      <x:c r="A1887" s="16" t="n">
        <x:v>1884</x:v>
      </x:c>
      <x:c r="B1887" s="16" t="str">
        <x:v>DieLzz PerOdua</x:v>
      </x:c>
      <x:c r="C1887" s="16" t="str"/>
      <x:c r="D1887" s="16" t="str"/>
      <x:c r="E1887" s="16" t="str">
        <x:v>* myContacts</x:v>
      </x:c>
      <x:c r="F1887" s="16" t="str">
        <x:v>+60126509339</x:v>
      </x:c>
      <x:c r="G1887" s="16" t="str">
        <x:v>+60126509339</x:v>
      </x:c>
      <x:c r="H1887" s="16" t="str">
        <x:v>Excluded</x:v>
      </x:c>
      <x:c r="I1887" s="16" t="str">
        <x:v>Missing email</x:v>
      </x:c>
    </x:row>
    <x:row r="1888">
      <x:c r="A1888" s="16" t="n">
        <x:v>1885</x:v>
      </x:c>
      <x:c r="B1888" s="16" t="str">
        <x:v>DiEn Daa</x:v>
      </x:c>
      <x:c r="C1888" s="16" t="str"/>
      <x:c r="D1888" s="16" t="str"/>
      <x:c r="E1888" s="16" t="str">
        <x:v>* myContacts</x:v>
      </x:c>
      <x:c r="F1888" s="16" t="str">
        <x:v>+60179825323</x:v>
      </x:c>
      <x:c r="G1888" s="16" t="str">
        <x:v>+60179825323</x:v>
      </x:c>
      <x:c r="H1888" s="16" t="str">
        <x:v>Excluded</x:v>
      </x:c>
      <x:c r="I1888" s="16" t="str">
        <x:v>Missing email</x:v>
      </x:c>
    </x:row>
    <x:row r="1889">
      <x:c r="A1889" s="16" t="n">
        <x:v>1886</x:v>
      </x:c>
      <x:c r="B1889" s="16" t="str">
        <x:v>Dien Spax</x:v>
      </x:c>
      <x:c r="C1889" s="16" t="str"/>
      <x:c r="D1889" s="16" t="str"/>
      <x:c r="E1889" s="16" t="str">
        <x:v>* myContacts</x:v>
      </x:c>
      <x:c r="F1889" s="16" t="str">
        <x:v>+60132789182</x:v>
      </x:c>
      <x:c r="G1889" s="16" t="str">
        <x:v>+60132789182</x:v>
      </x:c>
      <x:c r="H1889" s="16" t="str">
        <x:v>Excluded</x:v>
      </x:c>
      <x:c r="I1889" s="16" t="str">
        <x:v>Missing email</x:v>
      </x:c>
    </x:row>
    <x:row r="1890">
      <x:c r="A1890" s="16" t="n">
        <x:v>1887</x:v>
      </x:c>
      <x:c r="B1890" s="16" t="str">
        <x:v>Dieyana Himera</x:v>
      </x:c>
      <x:c r="C1890" s="16" t="str"/>
      <x:c r="D1890" s="16" t="str"/>
      <x:c r="E1890" s="16" t="str">
        <x:v>* myContacts</x:v>
      </x:c>
      <x:c r="F1890" s="16" t="str">
        <x:v>+6099999999 | +6099999999</x:v>
      </x:c>
      <x:c r="G1890" s="16" t="str">
        <x:v>+6099999999 | +6099999999</x:v>
      </x:c>
      <x:c r="H1890" s="16" t="str">
        <x:v>Excluded</x:v>
      </x:c>
      <x:c r="I1890" s="16" t="str">
        <x:v>Missing email</x:v>
      </x:c>
    </x:row>
    <x:row r="1891">
      <x:c r="A1891" s="16" t="n">
        <x:v>1888</x:v>
      </x:c>
      <x:c r="B1891" s="16" t="str">
        <x:v>digi Internet</x:v>
      </x:c>
      <x:c r="C1891" s="16" t="str"/>
      <x:c r="D1891" s="16" t="str"/>
      <x:c r="E1891" s="16" t="str">
        <x:v>* myContacts</x:v>
      </x:c>
      <x:c r="F1891" s="16" t="str">
        <x:v>014-8333801 | +60148333801</x:v>
      </x:c>
      <x:c r="G1891" s="16" t="str">
        <x:v>+60148333801 | +60148333801</x:v>
      </x:c>
      <x:c r="H1891" s="16" t="str">
        <x:v>Excluded</x:v>
      </x:c>
      <x:c r="I1891" s="16" t="str">
        <x:v>Missing email</x:v>
      </x:c>
    </x:row>
    <x:row r="1892">
      <x:c r="A1892" s="16" t="n">
        <x:v>1889</x:v>
      </x:c>
      <x:c r="B1892" s="16" t="str">
        <x:v>Dika Elits't</x:v>
      </x:c>
      <x:c r="C1892" s="16" t="str"/>
      <x:c r="D1892" s="16" t="str"/>
      <x:c r="E1892" s="16" t="str">
        <x:v>* myContacts</x:v>
      </x:c>
      <x:c r="F1892" s="16" t="str">
        <x:v>+6282362175446</x:v>
      </x:c>
      <x:c r="G1892" s="16" t="str">
        <x:v>+6282362175446</x:v>
      </x:c>
      <x:c r="H1892" s="16" t="str">
        <x:v>Excluded</x:v>
      </x:c>
      <x:c r="I1892" s="16" t="str">
        <x:v>Missing email</x:v>
      </x:c>
    </x:row>
    <x:row r="1893">
      <x:c r="A1893" s="16" t="n">
        <x:v>1890</x:v>
      </x:c>
      <x:c r="B1893" s="16" t="str">
        <x:v>Dila Gebu</x:v>
      </x:c>
      <x:c r="C1893" s="16" t="str"/>
      <x:c r="D1893" s="16" t="str"/>
      <x:c r="E1893" s="16" t="str">
        <x:v>* myContacts</x:v>
      </x:c>
      <x:c r="F1893" s="16" t="str">
        <x:v>+60162122717</x:v>
      </x:c>
      <x:c r="G1893" s="16" t="str">
        <x:v>+60162122717</x:v>
      </x:c>
      <x:c r="H1893" s="16" t="str">
        <x:v>Excluded</x:v>
      </x:c>
      <x:c r="I1893" s="16" t="str">
        <x:v>Missing email</x:v>
      </x:c>
    </x:row>
    <x:row r="1894">
      <x:c r="A1894" s="16" t="n">
        <x:v>1891</x:v>
      </x:c>
      <x:c r="B1894" s="16" t="str">
        <x:v>Dila Mohd Shapri</x:v>
      </x:c>
      <x:c r="C1894" s="16" t="str"/>
      <x:c r="D1894" s="16" t="str"/>
      <x:c r="E1894" s="16" t="str">
        <x:v>* myContacts</x:v>
      </x:c>
      <x:c r="F1894" s="16" t="str">
        <x:v>+601123238483</x:v>
      </x:c>
      <x:c r="G1894" s="16" t="str">
        <x:v>+601123238483</x:v>
      </x:c>
      <x:c r="H1894" s="16" t="str">
        <x:v>Excluded</x:v>
      </x:c>
      <x:c r="I1894" s="16" t="str">
        <x:v>Missing email</x:v>
      </x:c>
    </x:row>
    <x:row r="1895">
      <x:c r="A1895" s="16" t="n">
        <x:v>1892</x:v>
      </x:c>
      <x:c r="B1895" s="16" t="str">
        <x:v>Dila Prospect Cari Kerja</x:v>
      </x:c>
      <x:c r="C1895" s="16" t="str"/>
      <x:c r="D1895" s="16" t="str"/>
      <x:c r="E1895" s="16" t="str">
        <x:v>* myContacts</x:v>
      </x:c>
      <x:c r="F1895" s="16" t="str">
        <x:v>+60 11-3682 8779 | +601136828779</x:v>
      </x:c>
      <x:c r="G1895" s="16" t="str">
        <x:v>+601136828779 | +601136828779</x:v>
      </x:c>
      <x:c r="H1895" s="16" t="str">
        <x:v>Excluded</x:v>
      </x:c>
      <x:c r="I1895" s="16" t="str">
        <x:v>Missing email</x:v>
      </x:c>
    </x:row>
    <x:row r="1896">
      <x:c r="A1896" s="16" t="n">
        <x:v>1893</x:v>
      </x:c>
      <x:c r="B1896" s="16" t="str">
        <x:v>Din Laudine</x:v>
      </x:c>
      <x:c r="C1896" s="16" t="str"/>
      <x:c r="D1896" s="16" t="str"/>
      <x:c r="E1896" s="16" t="str">
        <x:v>* myContacts</x:v>
      </x:c>
      <x:c r="F1896" s="16" t="str">
        <x:v>+60105299768</x:v>
      </x:c>
      <x:c r="G1896" s="16" t="str">
        <x:v>+60105299768</x:v>
      </x:c>
      <x:c r="H1896" s="16" t="str">
        <x:v>Excluded</x:v>
      </x:c>
      <x:c r="I1896" s="16" t="str">
        <x:v>Missing email</x:v>
      </x:c>
    </x:row>
    <x:row r="1897">
      <x:c r="A1897" s="16" t="n">
        <x:v>1894</x:v>
      </x:c>
      <x:c r="B1897" s="16" t="str">
        <x:v>Din Macbeth</x:v>
      </x:c>
      <x:c r="C1897" s="16" t="str"/>
      <x:c r="D1897" s="16" t="str"/>
      <x:c r="E1897" s="16" t="str">
        <x:v>* myContacts</x:v>
      </x:c>
      <x:c r="F1897" s="16" t="str">
        <x:v>+60105737545</x:v>
      </x:c>
      <x:c r="G1897" s="16" t="str">
        <x:v>+60105737545</x:v>
      </x:c>
      <x:c r="H1897" s="16" t="str">
        <x:v>Excluded</x:v>
      </x:c>
      <x:c r="I1897" s="16" t="str">
        <x:v>Missing email</x:v>
      </x:c>
    </x:row>
    <x:row r="1898">
      <x:c r="A1898" s="16" t="n">
        <x:v>1895</x:v>
      </x:c>
      <x:c r="B1898" s="16" t="str">
        <x:v>Din Mujahid</x:v>
      </x:c>
      <x:c r="C1898" s="16" t="str"/>
      <x:c r="D1898" s="16" t="str"/>
      <x:c r="E1898" s="16" t="str">
        <x:v>* myContacts</x:v>
      </x:c>
      <x:c r="F1898" s="16" t="str">
        <x:v>+60142554319</x:v>
      </x:c>
      <x:c r="G1898" s="16" t="str">
        <x:v>+60142554319</x:v>
      </x:c>
      <x:c r="H1898" s="16" t="str">
        <x:v>Excluded</x:v>
      </x:c>
      <x:c r="I1898" s="16" t="str">
        <x:v>Missing email</x:v>
      </x:c>
    </x:row>
    <x:row r="1899">
      <x:c r="A1899" s="16" t="n">
        <x:v>1896</x:v>
      </x:c>
      <x:c r="B1899" s="16" t="str">
        <x:v>Din Sempoi</x:v>
      </x:c>
      <x:c r="C1899" s="16" t="str"/>
      <x:c r="D1899" s="16" t="str"/>
      <x:c r="E1899" s="16" t="str">
        <x:v>* myContacts</x:v>
      </x:c>
      <x:c r="F1899" s="16" t="str">
        <x:v>+60183637310</x:v>
      </x:c>
      <x:c r="G1899" s="16" t="str">
        <x:v>+60183637310</x:v>
      </x:c>
      <x:c r="H1899" s="16" t="str">
        <x:v>Excluded</x:v>
      </x:c>
      <x:c r="I1899" s="16" t="str">
        <x:v>Missing email</x:v>
      </x:c>
    </x:row>
    <x:row r="1900">
      <x:c r="A1900" s="16" t="n">
        <x:v>1897</x:v>
      </x:c>
      <x:c r="B1900" s="16" t="str">
        <x:v>Din Staff IQPS</x:v>
      </x:c>
      <x:c r="C1900" s="16" t="str"/>
      <x:c r="D1900" s="16" t="str"/>
      <x:c r="E1900" s="16" t="str">
        <x:v>* myContacts</x:v>
      </x:c>
      <x:c r="F1900" s="16" t="str">
        <x:v>+60 17-634 6448 | +60176346448</x:v>
      </x:c>
      <x:c r="G1900" s="16" t="str">
        <x:v>+60176346448 | +60176346448</x:v>
      </x:c>
      <x:c r="H1900" s="16" t="str">
        <x:v>Excluded</x:v>
      </x:c>
      <x:c r="I1900" s="16" t="str">
        <x:v>Missing email</x:v>
      </x:c>
    </x:row>
    <x:row r="1901">
      <x:c r="A1901" s="16" t="n">
        <x:v>1898</x:v>
      </x:c>
      <x:c r="B1901" s="16" t="str">
        <x:v>Din Transport</x:v>
      </x:c>
      <x:c r="C1901" s="16" t="str"/>
      <x:c r="D1901" s="16" t="str"/>
      <x:c r="E1901" s="16" t="str">
        <x:v>* myContacts</x:v>
      </x:c>
      <x:c r="F1901" s="16" t="str">
        <x:v>+60129495250</x:v>
      </x:c>
      <x:c r="G1901" s="16" t="str">
        <x:v>+60129495250</x:v>
      </x:c>
      <x:c r="H1901" s="16" t="str">
        <x:v>Excluded</x:v>
      </x:c>
      <x:c r="I1901" s="16" t="str">
        <x:v>Missing email</x:v>
      </x:c>
    </x:row>
    <x:row r="1902">
      <x:c r="A1902" s="16" t="n">
        <x:v>1899</x:v>
      </x:c>
      <x:c r="B1902" s="16" t="str">
        <x:v>Din Yan</x:v>
      </x:c>
      <x:c r="C1902" s="16" t="str"/>
      <x:c r="D1902" s="16" t="str"/>
      <x:c r="E1902" s="16" t="str">
        <x:v>* myContacts</x:v>
      </x:c>
      <x:c r="F1902" s="16" t="str">
        <x:v>+601112583464</x:v>
      </x:c>
      <x:c r="G1902" s="16" t="str">
        <x:v>+601112583464</x:v>
      </x:c>
      <x:c r="H1902" s="16" t="str">
        <x:v>Excluded</x:v>
      </x:c>
      <x:c r="I1902" s="16" t="str">
        <x:v>Missing email</x:v>
      </x:c>
    </x:row>
    <x:row r="1903">
      <x:c r="A1903" s="16" t="n">
        <x:v>1900</x:v>
      </x:c>
      <x:c r="B1903" s="16" t="str">
        <x:v>Din- KTM Shah Alam</x:v>
      </x:c>
      <x:c r="C1903" s="16" t="str"/>
      <x:c r="D1903" s="16" t="str"/>
      <x:c r="E1903" s="16" t="str">
        <x:v>* myContacts</x:v>
      </x:c>
      <x:c r="F1903" s="16" t="str">
        <x:v>+60138045417</x:v>
      </x:c>
      <x:c r="G1903" s="16" t="str">
        <x:v>+60138045417</x:v>
      </x:c>
      <x:c r="H1903" s="16" t="str">
        <x:v>Excluded</x:v>
      </x:c>
      <x:c r="I1903" s="16" t="str">
        <x:v>Missing email</x:v>
      </x:c>
    </x:row>
    <x:row r="1904">
      <x:c r="A1904" s="16" t="n">
        <x:v>1901</x:v>
      </x:c>
      <x:c r="B1904" s="16" t="str">
        <x:v>Dina Lorenza Simanjuntak</x:v>
      </x:c>
      <x:c r="C1904" s="16" t="str"/>
      <x:c r="D1904" s="16" t="str"/>
      <x:c r="E1904" s="16" t="str">
        <x:v>* myContacts</x:v>
      </x:c>
      <x:c r="F1904" s="16" t="str">
        <x:v>+601133156440</x:v>
      </x:c>
      <x:c r="G1904" s="16" t="str">
        <x:v>+601133156440</x:v>
      </x:c>
      <x:c r="H1904" s="16" t="str">
        <x:v>Excluded</x:v>
      </x:c>
      <x:c r="I1904" s="16" t="str">
        <x:v>Missing email</x:v>
      </x:c>
    </x:row>
    <x:row r="1905">
      <x:c r="A1905" s="16" t="n">
        <x:v>1902</x:v>
      </x:c>
      <x:c r="B1905" s="16" t="str">
        <x:v>Dina Mex</x:v>
      </x:c>
      <x:c r="C1905" s="16" t="str"/>
      <x:c r="D1905" s="16" t="str"/>
      <x:c r="E1905" s="16" t="str">
        <x:v>* myContacts</x:v>
      </x:c>
      <x:c r="F1905" s="16" t="str">
        <x:v>+60 11-3999 6812 | +601139996812</x:v>
      </x:c>
      <x:c r="G1905" s="16" t="str">
        <x:v>+601139996812 | +601139996812</x:v>
      </x:c>
      <x:c r="H1905" s="16" t="str">
        <x:v>Excluded</x:v>
      </x:c>
      <x:c r="I1905" s="16" t="str">
        <x:v>Missing email</x:v>
      </x:c>
    </x:row>
    <x:row r="1906">
      <x:c r="A1906" s="16" t="n">
        <x:v>1903</x:v>
      </x:c>
      <x:c r="B1906" s="16" t="str">
        <x:v>Ding Blues</x:v>
      </x:c>
      <x:c r="C1906" s="16" t="str"/>
      <x:c r="D1906" s="16" t="str"/>
      <x:c r="E1906" s="16" t="str">
        <x:v>* myContacts</x:v>
      </x:c>
      <x:c r="F1906" s="16" t="str">
        <x:v>+60142002591</x:v>
      </x:c>
      <x:c r="G1906" s="16" t="str">
        <x:v>+60142002591</x:v>
      </x:c>
      <x:c r="H1906" s="16" t="str">
        <x:v>Excluded</x:v>
      </x:c>
      <x:c r="I1906" s="16" t="str">
        <x:v>Missing email</x:v>
      </x:c>
    </x:row>
    <x:row r="1907">
      <x:c r="A1907" s="16" t="n">
        <x:v>1904</x:v>
      </x:c>
      <x:c r="B1907" s="16" t="str">
        <x:v>Dini Nur Dini</x:v>
      </x:c>
      <x:c r="C1907" s="16" t="str"/>
      <x:c r="D1907" s="16" t="str"/>
      <x:c r="E1907" s="16" t="str">
        <x:v>* myContacts</x:v>
      </x:c>
      <x:c r="F1907" s="16" t="str">
        <x:v>+601116809921</x:v>
      </x:c>
      <x:c r="G1907" s="16" t="str">
        <x:v>+601116809921</x:v>
      </x:c>
      <x:c r="H1907" s="16" t="str">
        <x:v>Excluded</x:v>
      </x:c>
      <x:c r="I1907" s="16" t="str">
        <x:v>Missing email</x:v>
      </x:c>
    </x:row>
    <x:row r="1908">
      <x:c r="A1908" s="16" t="n">
        <x:v>1905</x:v>
      </x:c>
      <x:c r="B1908" s="16" t="str">
        <x:v>Diniey Sabrey</x:v>
      </x:c>
      <x:c r="C1908" s="16" t="str"/>
      <x:c r="D1908" s="16" t="str"/>
      <x:c r="E1908" s="16" t="str">
        <x:v>* myContacts</x:v>
      </x:c>
      <x:c r="F1908" s="16" t="str">
        <x:v>+601124028169</x:v>
      </x:c>
      <x:c r="G1908" s="16" t="str">
        <x:v>+601124028169</x:v>
      </x:c>
      <x:c r="H1908" s="16" t="str">
        <x:v>Excluded</x:v>
      </x:c>
      <x:c r="I1908" s="16" t="str">
        <x:v>Missing email</x:v>
      </x:c>
    </x:row>
    <x:row r="1909">
      <x:c r="A1909" s="16" t="n">
        <x:v>1906</x:v>
      </x:c>
      <x:c r="B1909" s="16" t="str">
        <x:v>Dinieya Dinieya</x:v>
      </x:c>
      <x:c r="C1909" s="16" t="str"/>
      <x:c r="D1909" s="16" t="str"/>
      <x:c r="E1909" s="16" t="str">
        <x:v>* myContacts</x:v>
      </x:c>
      <x:c r="F1909" s="16" t="str">
        <x:v>+60145956114</x:v>
      </x:c>
      <x:c r="G1909" s="16" t="str">
        <x:v>+60145956114</x:v>
      </x:c>
      <x:c r="H1909" s="16" t="str">
        <x:v>Excluded</x:v>
      </x:c>
      <x:c r="I1909" s="16" t="str">
        <x:v>Missing email</x:v>
      </x:c>
    </x:row>
    <x:row r="1910">
      <x:c r="A1910" s="16" t="n">
        <x:v>1907</x:v>
      </x:c>
      <x:c r="B1910" s="16" t="str">
        <x:v>Diniy Hassan</x:v>
      </x:c>
      <x:c r="C1910" s="16" t="str"/>
      <x:c r="D1910" s="16" t="str"/>
      <x:c r="E1910" s="16" t="str">
        <x:v>* myContacts</x:v>
      </x:c>
      <x:c r="F1910" s="16" t="str">
        <x:v>+601117735067</x:v>
      </x:c>
      <x:c r="G1910" s="16" t="str">
        <x:v>+601117735067</x:v>
      </x:c>
      <x:c r="H1910" s="16" t="str">
        <x:v>Excluded</x:v>
      </x:c>
      <x:c r="I1910" s="16" t="str">
        <x:v>Missing email</x:v>
      </x:c>
    </x:row>
    <x:row r="1911">
      <x:c r="A1911" s="16" t="n">
        <x:v>1908</x:v>
      </x:c>
      <x:c r="B1911" s="16" t="str">
        <x:v>Dira Natasya</x:v>
      </x:c>
      <x:c r="C1911" s="16" t="str"/>
      <x:c r="D1911" s="16" t="str"/>
      <x:c r="E1911" s="16" t="str">
        <x:v>* myContacts</x:v>
      </x:c>
      <x:c r="F1911" s="16" t="str">
        <x:v>+60177539517</x:v>
      </x:c>
      <x:c r="G1911" s="16" t="str">
        <x:v>+60177539517</x:v>
      </x:c>
      <x:c r="H1911" s="16" t="str">
        <x:v>Excluded</x:v>
      </x:c>
      <x:c r="I1911" s="16" t="str">
        <x:v>Missing email</x:v>
      </x:c>
    </x:row>
    <x:row r="1912">
      <x:c r="A1912" s="16" t="n">
        <x:v>1909</x:v>
      </x:c>
      <x:c r="B1912" s="16" t="str">
        <x:v>DiTepian Agrofarm</x:v>
      </x:c>
      <x:c r="C1912" s="16" t="str"/>
      <x:c r="D1912" s="16" t="str"/>
      <x:c r="E1912" s="16" t="str">
        <x:v>* myContacts</x:v>
      </x:c>
      <x:c r="F1912" s="16" t="str">
        <x:v>+60134850643</x:v>
      </x:c>
      <x:c r="G1912" s="16" t="str">
        <x:v>+60134850643</x:v>
      </x:c>
      <x:c r="H1912" s="16" t="str">
        <x:v>Excluded</x:v>
      </x:c>
      <x:c r="I1912" s="16" t="str">
        <x:v>Missing email</x:v>
      </x:c>
    </x:row>
    <x:row r="1913">
      <x:c r="A1913" s="16" t="n">
        <x:v>1910</x:v>
      </x:c>
      <x:c r="B1913" s="16" t="str">
        <x:v>Diverss Man</x:v>
      </x:c>
      <x:c r="C1913" s="16" t="str"/>
      <x:c r="D1913" s="16" t="str"/>
      <x:c r="E1913" s="16" t="str">
        <x:v>* myContacts</x:v>
      </x:c>
      <x:c r="F1913" s="16" t="str">
        <x:v>+60184747478</x:v>
      </x:c>
      <x:c r="G1913" s="16" t="str">
        <x:v>+60184747478</x:v>
      </x:c>
      <x:c r="H1913" s="16" t="str">
        <x:v>Excluded</x:v>
      </x:c>
      <x:c r="I1913" s="16" t="str">
        <x:v>Missing email</x:v>
      </x:c>
    </x:row>
    <x:row r="1914">
      <x:c r="A1914" s="16" t="n">
        <x:v>1911</x:v>
      </x:c>
      <x:c r="B1914" s="16" t="str">
        <x:v>diwan contractor</x:v>
      </x:c>
      <x:c r="C1914" s="16" t="str"/>
      <x:c r="D1914" s="16" t="str"/>
      <x:c r="E1914" s="16" t="str">
        <x:v>* myContacts</x:v>
      </x:c>
      <x:c r="F1914" s="16" t="str">
        <x:v>01123603781 | +601123603781</x:v>
      </x:c>
      <x:c r="G1914" s="16" t="str">
        <x:v>+601123603781 | +601123603781</x:v>
      </x:c>
      <x:c r="H1914" s="16" t="str">
        <x:v>Excluded</x:v>
      </x:c>
      <x:c r="I1914" s="16" t="str">
        <x:v>Missing email</x:v>
      </x:c>
    </x:row>
    <x:row r="1915">
      <x:c r="A1915" s="16" t="n">
        <x:v>1912</x:v>
      </x:c>
      <x:c r="B1915" s="16" t="str">
        <x:v>Diy Print</x:v>
      </x:c>
      <x:c r="C1915" s="16" t="str"/>
      <x:c r="D1915" s="16" t="str"/>
      <x:c r="E1915" s="16" t="str">
        <x:v>* myContacts</x:v>
      </x:c>
      <x:c r="F1915" s="16" t="str">
        <x:v>+60197759455</x:v>
      </x:c>
      <x:c r="G1915" s="16" t="str">
        <x:v>+60197759455</x:v>
      </x:c>
      <x:c r="H1915" s="16" t="str">
        <x:v>Excluded</x:v>
      </x:c>
      <x:c r="I1915" s="16" t="str">
        <x:v>Missing email</x:v>
      </x:c>
    </x:row>
    <x:row r="1916">
      <x:c r="A1916" s="16" t="n">
        <x:v>1913</x:v>
      </x:c>
      <x:c r="B1916" s="16" t="str">
        <x:v>Diyana Mukhayadi</x:v>
      </x:c>
      <x:c r="C1916" s="16" t="str"/>
      <x:c r="D1916" s="16" t="str"/>
      <x:c r="E1916" s="16" t="str">
        <x:v>* myContacts</x:v>
      </x:c>
      <x:c r="F1916" s="16" t="str">
        <x:v>+60175542008</x:v>
      </x:c>
      <x:c r="G1916" s="16" t="str">
        <x:v>+60175542008</x:v>
      </x:c>
      <x:c r="H1916" s="16" t="str">
        <x:v>Excluded</x:v>
      </x:c>
      <x:c r="I1916" s="16" t="str">
        <x:v>Missing email</x:v>
      </x:c>
    </x:row>
    <x:row r="1917">
      <x:c r="A1917" s="16" t="n">
        <x:v>1914</x:v>
      </x:c>
      <x:c r="B1917" s="16" t="str">
        <x:v>Diyana Toyyib Designer</x:v>
      </x:c>
      <x:c r="C1917" s="16" t="str"/>
      <x:c r="D1917" s="16" t="str"/>
      <x:c r="E1917" s="16" t="str">
        <x:v>* myContacts</x:v>
      </x:c>
      <x:c r="F1917" s="16" t="str">
        <x:v>+60 17-271 5231 | +60172715231</x:v>
      </x:c>
      <x:c r="G1917" s="16" t="str">
        <x:v>+60172715231 | +60172715231</x:v>
      </x:c>
      <x:c r="H1917" s="16" t="str">
        <x:v>Excluded</x:v>
      </x:c>
      <x:c r="I1917" s="16" t="str">
        <x:v>Missing email</x:v>
      </x:c>
    </x:row>
    <x:row r="1918">
      <x:c r="A1918" s="16" t="n">
        <x:v>1915</x:v>
      </x:c>
      <x:c r="B1918" s="16" t="str">
        <x:v>Diyanah Prudential BSN Takaful</x:v>
      </x:c>
      <x:c r="C1918" s="16" t="str"/>
      <x:c r="D1918" s="16" t="str"/>
      <x:c r="E1918" s="16" t="str">
        <x:v>* myContacts</x:v>
      </x:c>
      <x:c r="F1918" s="16" t="str">
        <x:v>+60 10-209 3201 | +60102093201</x:v>
      </x:c>
      <x:c r="G1918" s="16" t="str">
        <x:v>+60102093201 | +60102093201</x:v>
      </x:c>
      <x:c r="H1918" s="16" t="str">
        <x:v>Excluded</x:v>
      </x:c>
      <x:c r="I1918" s="16" t="str">
        <x:v>Missing email</x:v>
      </x:c>
    </x:row>
    <x:row r="1919">
      <x:c r="A1919" s="16" t="n">
        <x:v>1916</x:v>
      </x:c>
      <x:c r="B1919" s="16" t="str">
        <x:v>DiyoOn</x:v>
      </x:c>
      <x:c r="C1919" s="16" t="str"/>
      <x:c r="D1919" s="16" t="str"/>
      <x:c r="E1919" s="16" t="str">
        <x:v>* myContacts</x:v>
      </x:c>
      <x:c r="F1919" s="16" t="str">
        <x:v>+6285669643837</x:v>
      </x:c>
      <x:c r="G1919" s="16" t="str">
        <x:v>+6285669643837</x:v>
      </x:c>
      <x:c r="H1919" s="16" t="str">
        <x:v>Excluded</x:v>
      </x:c>
      <x:c r="I1919" s="16" t="str">
        <x:v>Missing email</x:v>
      </x:c>
    </x:row>
    <x:row r="1920">
      <x:c r="A1920" s="16" t="n">
        <x:v>1917</x:v>
      </x:c>
      <x:c r="B1920" s="16" t="str">
        <x:v>DJ Rizz</x:v>
      </x:c>
      <x:c r="C1920" s="16" t="str"/>
      <x:c r="D1920" s="16" t="str"/>
      <x:c r="E1920" s="16" t="str">
        <x:v>* myContacts</x:v>
      </x:c>
      <x:c r="F1920" s="16" t="str">
        <x:v>+60 11-3388 7446 | +601133887446</x:v>
      </x:c>
      <x:c r="G1920" s="16" t="str">
        <x:v>+601133887446 | +601133887446</x:v>
      </x:c>
      <x:c r="H1920" s="16" t="str">
        <x:v>Excluded</x:v>
      </x:c>
      <x:c r="I1920" s="16" t="str">
        <x:v>Missing email</x:v>
      </x:c>
    </x:row>
    <x:row r="1921">
      <x:c r="A1921" s="16" t="n">
        <x:v>1918</x:v>
      </x:c>
      <x:c r="B1921" s="16" t="str">
        <x:v>Dj Wan Djrk</x:v>
      </x:c>
      <x:c r="C1921" s="16" t="str"/>
      <x:c r="D1921" s="16" t="str"/>
      <x:c r="E1921" s="16" t="str">
        <x:v>* myContacts</x:v>
      </x:c>
      <x:c r="F1921" s="16" t="str">
        <x:v>+60193382550</x:v>
      </x:c>
      <x:c r="G1921" s="16" t="str">
        <x:v>+60193382550</x:v>
      </x:c>
      <x:c r="H1921" s="16" t="str">
        <x:v>Excluded</x:v>
      </x:c>
      <x:c r="I1921" s="16" t="str">
        <x:v>Missing email</x:v>
      </x:c>
    </x:row>
    <x:row r="1922">
      <x:c r="A1922" s="16" t="n">
        <x:v>1919</x:v>
      </x:c>
      <x:c r="B1922" s="16" t="str">
        <x:v>dji</x:v>
      </x:c>
      <x:c r="C1922" s="16" t="str"/>
      <x:c r="D1922" s="16" t="str"/>
      <x:c r="E1922" s="16" t="str">
        <x:v>* myContacts</x:v>
      </x:c>
      <x:c r="F1922" s="16" t="str">
        <x:v>+60 18-315 3733 | +60183153733</x:v>
      </x:c>
      <x:c r="G1922" s="16" t="str">
        <x:v>+60183153733 | +60183153733</x:v>
      </x:c>
      <x:c r="H1922" s="16" t="str">
        <x:v>Excluded</x:v>
      </x:c>
      <x:c r="I1922" s="16" t="str">
        <x:v>Missing email</x:v>
      </x:c>
    </x:row>
    <x:row r="1923">
      <x:c r="A1923" s="16" t="n">
        <x:v>1920</x:v>
      </x:c>
      <x:c r="B1923" s="16" t="str">
        <x:v>Dji Imago SABAH</x:v>
      </x:c>
      <x:c r="C1923" s="16" t="str"/>
      <x:c r="D1923" s="16" t="str"/>
      <x:c r="E1923" s="16" t="str">
        <x:v>* myContacts</x:v>
      </x:c>
      <x:c r="F1923" s="16" t="str">
        <x:v>+601111080280</x:v>
      </x:c>
      <x:c r="G1923" s="16" t="str">
        <x:v>+601111080280</x:v>
      </x:c>
      <x:c r="H1923" s="16" t="str">
        <x:v>Excluded</x:v>
      </x:c>
      <x:c r="I1923" s="16" t="str">
        <x:v>Missing email</x:v>
      </x:c>
    </x:row>
    <x:row r="1924">
      <x:c r="A1924" s="16" t="n">
        <x:v>1921</x:v>
      </x:c>
      <x:c r="B1924" s="16" t="str">
        <x:v>Dl Icare Hq</x:v>
      </x:c>
      <x:c r="C1924" s="16" t="str"/>
      <x:c r="D1924" s="16" t="str"/>
      <x:c r="E1924" s="16" t="str">
        <x:v>* myContacts</x:v>
      </x:c>
      <x:c r="F1924" s="16" t="str">
        <x:v>+60128618048</x:v>
      </x:c>
      <x:c r="G1924" s="16" t="str">
        <x:v>+60128618048</x:v>
      </x:c>
      <x:c r="H1924" s="16" t="str">
        <x:v>Excluded</x:v>
      </x:c>
      <x:c r="I1924" s="16" t="str">
        <x:v>Missing email</x:v>
      </x:c>
    </x:row>
    <x:row r="1925">
      <x:c r="A1925" s="16" t="n">
        <x:v>1922</x:v>
      </x:c>
      <x:c r="B1925" s="16" t="str">
        <x:v>Dmya Amanina</x:v>
      </x:c>
      <x:c r="C1925" s="16" t="str"/>
      <x:c r="D1925" s="16" t="str"/>
      <x:c r="E1925" s="16" t="str">
        <x:v>* myContacts</x:v>
      </x:c>
      <x:c r="F1925" s="16" t="str">
        <x:v>+60122234428</x:v>
      </x:c>
      <x:c r="G1925" s="16" t="str">
        <x:v>+60122234428</x:v>
      </x:c>
      <x:c r="H1925" s="16" t="str">
        <x:v>Excluded</x:v>
      </x:c>
      <x:c r="I1925" s="16" t="str">
        <x:v>Missing email</x:v>
      </x:c>
    </x:row>
    <x:row r="1926">
      <x:c r="A1926" s="16" t="n">
        <x:v>1923</x:v>
      </x:c>
      <x:c r="B1926" s="16" t="str">
        <x:v>Dolinik Rosian</x:v>
      </x:c>
      <x:c r="C1926" s="16" t="str"/>
      <x:c r="D1926" s="16" t="str"/>
      <x:c r="E1926" s="16" t="str">
        <x:v>* myContacts</x:v>
      </x:c>
      <x:c r="F1926" s="16" t="str">
        <x:v>+601119049825</x:v>
      </x:c>
      <x:c r="G1926" s="16" t="str">
        <x:v>+601119049825</x:v>
      </x:c>
      <x:c r="H1926" s="16" t="str">
        <x:v>Excluded</x:v>
      </x:c>
      <x:c r="I1926" s="16" t="str">
        <x:v>Missing email</x:v>
      </x:c>
    </x:row>
    <x:row r="1927">
      <x:c r="A1927" s="16" t="n">
        <x:v>1924</x:v>
      </x:c>
      <x:c r="B1927" s="16" t="str">
        <x:v>DomDom My</x:v>
      </x:c>
      <x:c r="C1927" s="16" t="str"/>
      <x:c r="D1927" s="16" t="str"/>
      <x:c r="E1927" s="16" t="str">
        <x:v>* myContacts</x:v>
      </x:c>
      <x:c r="F1927" s="16" t="str">
        <x:v>+60162640951</x:v>
      </x:c>
      <x:c r="G1927" s="16" t="str">
        <x:v>+60162640951</x:v>
      </x:c>
      <x:c r="H1927" s="16" t="str">
        <x:v>Excluded</x:v>
      </x:c>
      <x:c r="I1927" s="16" t="str">
        <x:v>Missing email</x:v>
      </x:c>
    </x:row>
    <x:row r="1928">
      <x:c r="A1928" s="16" t="n">
        <x:v>1925</x:v>
      </x:c>
      <x:c r="B1928" s="16" t="str">
        <x:v>Dominic Nyumbang</x:v>
      </x:c>
      <x:c r="C1928" s="16" t="str"/>
      <x:c r="D1928" s="16" t="str"/>
      <x:c r="E1928" s="16" t="str">
        <x:v>* myContacts</x:v>
      </x:c>
      <x:c r="F1928" s="16" t="str">
        <x:v>+60168099465</x:v>
      </x:c>
      <x:c r="G1928" s="16" t="str">
        <x:v>+60168099465</x:v>
      </x:c>
      <x:c r="H1928" s="16" t="str">
        <x:v>Excluded</x:v>
      </x:c>
      <x:c r="I1928" s="16" t="str">
        <x:v>Missing email</x:v>
      </x:c>
    </x:row>
    <x:row r="1929">
      <x:c r="A1929" s="16" t="n">
        <x:v>1926</x:v>
      </x:c>
      <x:c r="B1929" s="16" t="str">
        <x:v>Domysius Antius</x:v>
      </x:c>
      <x:c r="C1929" s="16" t="str"/>
      <x:c r="D1929" s="16" t="str"/>
      <x:c r="E1929" s="16" t="str">
        <x:v>* myContacts</x:v>
      </x:c>
      <x:c r="F1929" s="16" t="str">
        <x:v>+60109558391</x:v>
      </x:c>
      <x:c r="G1929" s="16" t="str">
        <x:v>+60109558391</x:v>
      </x:c>
      <x:c r="H1929" s="16" t="str">
        <x:v>Excluded</x:v>
      </x:c>
      <x:c r="I1929" s="16" t="str">
        <x:v>Missing email</x:v>
      </x:c>
    </x:row>
    <x:row r="1930">
      <x:c r="A1930" s="16" t="n">
        <x:v>1927</x:v>
      </x:c>
      <x:c r="B1930" s="16" t="str">
        <x:v>Dora Aurora</x:v>
      </x:c>
      <x:c r="C1930" s="16" t="str"/>
      <x:c r="D1930" s="16" t="str"/>
      <x:c r="E1930" s="16" t="str">
        <x:v>* myContacts</x:v>
      </x:c>
      <x:c r="F1930" s="16" t="str">
        <x:v>+601117536623</x:v>
      </x:c>
      <x:c r="G1930" s="16" t="str">
        <x:v>+601117536623</x:v>
      </x:c>
      <x:c r="H1930" s="16" t="str">
        <x:v>Excluded</x:v>
      </x:c>
      <x:c r="I1930" s="16" t="str">
        <x:v>Missing email</x:v>
      </x:c>
    </x:row>
    <x:row r="1931">
      <x:c r="A1931" s="16" t="n">
        <x:v>1928</x:v>
      </x:c>
      <x:c r="B1931" s="16" t="str">
        <x:v>Dorris Joesly Bonnie</x:v>
      </x:c>
      <x:c r="C1931" s="16" t="str"/>
      <x:c r="D1931" s="16" t="str"/>
      <x:c r="E1931" s="16" t="str">
        <x:v>* myContacts</x:v>
      </x:c>
      <x:c r="F1931" s="16" t="str">
        <x:v>+601117517348</x:v>
      </x:c>
      <x:c r="G1931" s="16" t="str">
        <x:v>+601117517348</x:v>
      </x:c>
      <x:c r="H1931" s="16" t="str">
        <x:v>Excluded</x:v>
      </x:c>
      <x:c r="I1931" s="16" t="str">
        <x:v>Missing email</x:v>
      </x:c>
    </x:row>
    <x:row r="1932">
      <x:c r="A1932" s="16" t="n">
        <x:v>1929</x:v>
      </x:c>
      <x:c r="B1932" s="16" t="str">
        <x:v>Dot Beslim</x:v>
      </x:c>
      <x:c r="C1932" s="16" t="str"/>
      <x:c r="D1932" s="16" t="str"/>
      <x:c r="E1932" s="16" t="str">
        <x:v>* myContacts</x:v>
      </x:c>
      <x:c r="F1932" s="16" t="str">
        <x:v>+60 19-650 5230 | +60196505230</x:v>
      </x:c>
      <x:c r="G1932" s="16" t="str">
        <x:v>+60196505230 | +60196505230</x:v>
      </x:c>
      <x:c r="H1932" s="16" t="str">
        <x:v>Excluded</x:v>
      </x:c>
      <x:c r="I1932" s="16" t="str">
        <x:v>Missing email</x:v>
      </x:c>
    </x:row>
    <x:row r="1933">
      <x:c r="A1933" s="16" t="n">
        <x:v>1930</x:v>
      </x:c>
      <x:c r="B1933" s="16" t="str">
        <x:v>DPIM HQ Syamil Afifi</x:v>
      </x:c>
      <x:c r="C1933" s="16" t="str"/>
      <x:c r="D1933" s="16" t="str"/>
      <x:c r="E1933" s="16" t="str">
        <x:v>* myContacts</x:v>
      </x:c>
      <x:c r="F1933" s="16" t="str">
        <x:v>+60132704413</x:v>
      </x:c>
      <x:c r="G1933" s="16" t="str">
        <x:v>+60132704413</x:v>
      </x:c>
      <x:c r="H1933" s="16" t="str">
        <x:v>Excluded</x:v>
      </x:c>
      <x:c r="I1933" s="16" t="str">
        <x:v>Missing email</x:v>
      </x:c>
    </x:row>
    <x:row r="1934">
      <x:c r="A1934" s="16" t="n">
        <x:v>1931</x:v>
      </x:c>
      <x:c r="B1934" s="16" t="str">
        <x:v>DPIM PERAK Amal Hashim</x:v>
      </x:c>
      <x:c r="C1934" s="16" t="str"/>
      <x:c r="D1934" s="16" t="str"/>
      <x:c r="E1934" s="16" t="str">
        <x:v>* myContacts</x:v>
      </x:c>
      <x:c r="F1934" s="16" t="str">
        <x:v>0195142000 | +60195142000</x:v>
      </x:c>
      <x:c r="G1934" s="16" t="str">
        <x:v>+60195142000 | +60195142000</x:v>
      </x:c>
      <x:c r="H1934" s="16" t="str">
        <x:v>Excluded</x:v>
      </x:c>
      <x:c r="I1934" s="16" t="str">
        <x:v>Missing email</x:v>
      </x:c>
    </x:row>
    <x:row r="1935">
      <x:c r="A1935" s="16" t="n">
        <x:v>1932</x:v>
      </x:c>
      <x:c r="B1935" s="16" t="str">
        <x:v>DQ Cosmetic Shopline</x:v>
      </x:c>
      <x:c r="C1935" s="16" t="str"/>
      <x:c r="D1935" s="16" t="str"/>
      <x:c r="E1935" s="16" t="str">
        <x:v>* myContacts</x:v>
      </x:c>
      <x:c r="F1935" s="16" t="str">
        <x:v>+60163448355</x:v>
      </x:c>
      <x:c r="G1935" s="16" t="str">
        <x:v>+60163448355</x:v>
      </x:c>
      <x:c r="H1935" s="16" t="str">
        <x:v>Excluded</x:v>
      </x:c>
      <x:c r="I1935" s="16" t="str">
        <x:v>Missing email</x:v>
      </x:c>
    </x:row>
    <x:row r="1936">
      <x:c r="A1936" s="16" t="n">
        <x:v>1933</x:v>
      </x:c>
      <x:c r="B1936" s="16" t="str">
        <x:v>Dr ABDUL HAKIM JAAFAR</x:v>
      </x:c>
      <x:c r="C1936" s="16" t="str">
        <x:v>lullhakim@marhakimc.or | info@marhakim.com</x:v>
      </x:c>
      <x:c r="D1936" s="16" t="str">
        <x:v>lullhakim@marhakimc.or | info@marhakim.com</x:v>
      </x:c>
      <x:c r="E1936" s="16" t="str">
        <x:v>* myContacts</x:v>
      </x:c>
      <x:c r="F1936" s="16" t="str">
        <x:v>1196678666 | 01110927168 | +60377257158 | 1196678666 | 01110927168 | +60377257158 | 0377257160</x:v>
      </x:c>
      <x:c r="G1936" s="16" t="str">
        <x:v>+601110927168 | +60377257158 | +601110927168 | +60377257158 | +60377257160</x:v>
      </x:c>
      <x:c r="H1936" s="16" t="str">
        <x:v>Eligible</x:v>
      </x:c>
      <x:c r="I1936" s="16" t="str"/>
    </x:row>
    <x:row r="1937">
      <x:c r="A1937" s="16" t="n">
        <x:v>1934</x:v>
      </x:c>
      <x:c r="B1937" s="16" t="str">
        <x:v>Dr ariff barakah class</x:v>
      </x:c>
      <x:c r="C1937" s="16" t="str"/>
      <x:c r="D1937" s="16" t="str"/>
      <x:c r="E1937" s="16" t="str">
        <x:v>* myContacts</x:v>
      </x:c>
      <x:c r="F1937" s="16" t="str">
        <x:v>019-330-1278 | +60193301278</x:v>
      </x:c>
      <x:c r="G1937" s="16" t="str">
        <x:v>+60193301278 | +60193301278</x:v>
      </x:c>
      <x:c r="H1937" s="16" t="str">
        <x:v>Excluded</x:v>
      </x:c>
      <x:c r="I1937" s="16" t="str">
        <x:v>Missing email</x:v>
      </x:c>
    </x:row>
    <x:row r="1938">
      <x:c r="A1938" s="16" t="n">
        <x:v>1935</x:v>
      </x:c>
      <x:c r="B1938" s="16" t="str">
        <x:v>Dr Azhar</x:v>
      </x:c>
      <x:c r="C1938" s="16" t="str"/>
      <x:c r="D1938" s="16" t="str"/>
      <x:c r="E1938" s="16" t="str">
        <x:v>* myContacts</x:v>
      </x:c>
      <x:c r="F1938" s="16" t="str">
        <x:v>+60 19-472 3622 | +60194723622</x:v>
      </x:c>
      <x:c r="G1938" s="16" t="str">
        <x:v>+60194723622 | +60194723622</x:v>
      </x:c>
      <x:c r="H1938" s="16" t="str">
        <x:v>Excluded</x:v>
      </x:c>
      <x:c r="I1938" s="16" t="str">
        <x:v>Missing email</x:v>
      </x:c>
    </x:row>
    <x:row r="1939">
      <x:c r="A1939" s="16" t="n">
        <x:v>1936</x:v>
      </x:c>
      <x:c r="B1939" s="16" t="str">
        <x:v>maj dr aziz bin ibrahim</x:v>
      </x:c>
      <x:c r="C1939" s="16" t="str"/>
      <x:c r="D1939" s="16" t="str"/>
      <x:c r="E1939" s="16" t="str">
        <x:v>* myContacts</x:v>
      </x:c>
      <x:c r="F1939" s="16" t="str">
        <x:v>+60124231545</x:v>
      </x:c>
      <x:c r="G1939" s="16" t="str">
        <x:v>+60124231545</x:v>
      </x:c>
      <x:c r="H1939" s="16" t="str">
        <x:v>Excluded</x:v>
      </x:c>
      <x:c r="I1939" s="16" t="str">
        <x:v>Missing email</x:v>
      </x:c>
    </x:row>
    <x:row r="1940">
      <x:c r="A1940" s="16" t="n">
        <x:v>1937</x:v>
      </x:c>
      <x:c r="B1940" s="16" t="str">
        <x:v>Dr Ezat</x:v>
      </x:c>
      <x:c r="C1940" s="16" t="str"/>
      <x:c r="D1940" s="16" t="str"/>
      <x:c r="E1940" s="16" t="str">
        <x:v>* myContacts</x:v>
      </x:c>
      <x:c r="F1940" s="16" t="str">
        <x:v>+60124111125</x:v>
      </x:c>
      <x:c r="G1940" s="16" t="str">
        <x:v>+60124111125</x:v>
      </x:c>
      <x:c r="H1940" s="16" t="str">
        <x:v>Excluded</x:v>
      </x:c>
      <x:c r="I1940" s="16" t="str">
        <x:v>Missing email</x:v>
      </x:c>
    </x:row>
    <x:row r="1941">
      <x:c r="A1941" s="16" t="n">
        <x:v>1938</x:v>
      </x:c>
      <x:c r="B1941" s="16" t="str">
        <x:v>Dr Hakim</x:v>
      </x:c>
      <x:c r="C1941" s="16" t="str">
        <x:v>giinfo@mymuna.com</x:v>
      </x:c>
      <x:c r="D1941" s="16" t="str">
        <x:v>giinfo@mymuna.com</x:v>
      </x:c>
      <x:c r="E1941" s="16" t="str">
        <x:v>* myContacts</x:v>
      </x:c>
      <x:c r="F1941" s="16" t="str">
        <x:v>0377317648 | 01110861889 | +60377317648 | 01110861889</x:v>
      </x:c>
      <x:c r="G1941" s="16" t="str">
        <x:v>+60377317648 | +601110861889 | +60377317648 | +601110861889</x:v>
      </x:c>
      <x:c r="H1941" s="16" t="str">
        <x:v>Eligible</x:v>
      </x:c>
      <x:c r="I1941" s="16" t="str"/>
    </x:row>
    <x:row r="1942">
      <x:c r="A1942" s="16" t="n">
        <x:v>1939</x:v>
      </x:c>
      <x:c r="B1942" s="16" t="str">
        <x:v>Dr Liza UTM</x:v>
      </x:c>
      <x:c r="C1942" s="16" t="str"/>
      <x:c r="D1942" s="16" t="str"/>
      <x:c r="E1942" s="16" t="str">
        <x:v>* myContacts</x:v>
      </x:c>
      <x:c r="F1942" s="16" t="str">
        <x:v>+60193928410</x:v>
      </x:c>
      <x:c r="G1942" s="16" t="str">
        <x:v>+60193928410</x:v>
      </x:c>
      <x:c r="H1942" s="16" t="str">
        <x:v>Excluded</x:v>
      </x:c>
      <x:c r="I1942" s="16" t="str">
        <x:v>Missing email</x:v>
      </x:c>
    </x:row>
    <x:row r="1943">
      <x:c r="A1943" s="16" t="n">
        <x:v>1940</x:v>
      </x:c>
      <x:c r="B1943" s="16" t="str">
        <x:v>DR. HJH. FARIDAH</x:v>
      </x:c>
      <x:c r="C1943" s="16" t="str"/>
      <x:c r="D1943" s="16" t="str"/>
      <x:c r="E1943" s="16" t="str">
        <x:v>* myContacts</x:v>
      </x:c>
      <x:c r="F1943" s="16" t="str">
        <x:v>+60199316418</x:v>
      </x:c>
      <x:c r="G1943" s="16" t="str">
        <x:v>+60199316418</x:v>
      </x:c>
      <x:c r="H1943" s="16" t="str">
        <x:v>Excluded</x:v>
      </x:c>
      <x:c r="I1943" s="16" t="str">
        <x:v>Missing email</x:v>
      </x:c>
    </x:row>
    <x:row r="1944">
      <x:c r="A1944" s="16" t="n">
        <x:v>1941</x:v>
      </x:c>
      <x:c r="B1944" s="16" t="str">
        <x:v>Drabu Bakar</x:v>
      </x:c>
      <x:c r="C1944" s="16" t="str"/>
      <x:c r="D1944" s="16" t="str"/>
      <x:c r="E1944" s="16" t="str">
        <x:v>* myContacts</x:v>
      </x:c>
      <x:c r="F1944" s="16" t="str">
        <x:v>+60133154577</x:v>
      </x:c>
      <x:c r="G1944" s="16" t="str">
        <x:v>+60133154577</x:v>
      </x:c>
      <x:c r="H1944" s="16" t="str">
        <x:v>Excluded</x:v>
      </x:c>
      <x:c r="I1944" s="16" t="str">
        <x:v>Missing email</x:v>
      </x:c>
    </x:row>
    <x:row r="1945">
      <x:c r="A1945" s="16" t="n">
        <x:v>1942</x:v>
      </x:c>
      <x:c r="B1945" s="16" t="str">
        <x:v>Drexel Mehuyael</x:v>
      </x:c>
      <x:c r="C1945" s="16" t="str"/>
      <x:c r="D1945" s="16" t="str"/>
      <x:c r="E1945" s="16" t="str">
        <x:v>* myContacts</x:v>
      </x:c>
      <x:c r="F1945" s="16" t="str">
        <x:v>+60109743080</x:v>
      </x:c>
      <x:c r="G1945" s="16" t="str">
        <x:v>+60109743080</x:v>
      </x:c>
      <x:c r="H1945" s="16" t="str">
        <x:v>Excluded</x:v>
      </x:c>
      <x:c r="I1945" s="16" t="str">
        <x:v>Missing email</x:v>
      </x:c>
    </x:row>
    <x:row r="1946">
      <x:c r="A1946" s="16" t="n">
        <x:v>1943</x:v>
      </x:c>
      <x:c r="B1946" s="16" t="str">
        <x:v>Drey's Andaresta</x:v>
      </x:c>
      <x:c r="C1946" s="16" t="str"/>
      <x:c r="D1946" s="16" t="str"/>
      <x:c r="E1946" s="16" t="str">
        <x:v>* myContacts</x:v>
      </x:c>
      <x:c r="F1946" s="16" t="str">
        <x:v>+6281394755668</x:v>
      </x:c>
      <x:c r="G1946" s="16" t="str">
        <x:v>+6281394755668</x:v>
      </x:c>
      <x:c r="H1946" s="16" t="str">
        <x:v>Excluded</x:v>
      </x:c>
      <x:c r="I1946" s="16" t="str">
        <x:v>Missing email</x:v>
      </x:c>
    </x:row>
    <x:row r="1947">
      <x:c r="A1947" s="16" t="n">
        <x:v>1944</x:v>
      </x:c>
      <x:c r="B1947" s="16" t="str">
        <x:v>DS Yap Founder TMB</x:v>
      </x:c>
      <x:c r="C1947" s="16" t="str"/>
      <x:c r="D1947" s="16" t="str"/>
      <x:c r="E1947" s="16" t="str">
        <x:v>* myContacts</x:v>
      </x:c>
      <x:c r="F1947" s="16" t="str">
        <x:v>+60 14-225 1163 | +60142251163</x:v>
      </x:c>
      <x:c r="G1947" s="16" t="str">
        <x:v>+60142251163 | +60142251163</x:v>
      </x:c>
      <x:c r="H1947" s="16" t="str">
        <x:v>Excluded</x:v>
      </x:c>
      <x:c r="I1947" s="16" t="str">
        <x:v>Missing email</x:v>
      </x:c>
    </x:row>
    <x:row r="1948">
      <x:c r="A1948" s="16" t="n">
        <x:v>1945</x:v>
      </x:c>
      <x:c r="B1948" s="16" t="str">
        <x:v>Dt Andri</x:v>
      </x:c>
      <x:c r="C1948" s="16" t="str"/>
      <x:c r="D1948" s="16" t="str"/>
      <x:c r="E1948" s="16" t="str">
        <x:v>* myContacts</x:v>
      </x:c>
      <x:c r="F1948" s="16" t="str">
        <x:v>+6585102239</x:v>
      </x:c>
      <x:c r="G1948" s="16" t="str">
        <x:v>+6585102239</x:v>
      </x:c>
      <x:c r="H1948" s="16" t="str">
        <x:v>Excluded</x:v>
      </x:c>
      <x:c r="I1948" s="16" t="str">
        <x:v>Missing email</x:v>
      </x:c>
    </x:row>
    <x:row r="1949">
      <x:c r="A1949" s="16" t="n">
        <x:v>1946</x:v>
      </x:c>
      <x:c r="B1949" s="16" t="str">
        <x:v>Dua Gantong Quuquu</x:v>
      </x:c>
      <x:c r="C1949" s="16" t="str"/>
      <x:c r="D1949" s="16" t="str"/>
      <x:c r="E1949" s="16" t="str">
        <x:v>* myContacts</x:v>
      </x:c>
      <x:c r="F1949" s="16" t="str">
        <x:v>+60176796124</x:v>
      </x:c>
      <x:c r="G1949" s="16" t="str">
        <x:v>+60176796124</x:v>
      </x:c>
      <x:c r="H1949" s="16" t="str">
        <x:v>Excluded</x:v>
      </x:c>
      <x:c r="I1949" s="16" t="str">
        <x:v>Missing email</x:v>
      </x:c>
    </x:row>
    <x:row r="1950">
      <x:c r="A1950" s="16" t="n">
        <x:v>1947</x:v>
      </x:c>
      <x:c r="B1950" s="16" t="str">
        <x:v>Duke 2</x:v>
      </x:c>
      <x:c r="C1950" s="16" t="str"/>
      <x:c r="D1950" s="16" t="str"/>
      <x:c r="E1950" s="16" t="str">
        <x:v>* myContacts</x:v>
      </x:c>
      <x:c r="F1950" s="16" t="str">
        <x:v>+60 14-242 7458 | +60142427458</x:v>
      </x:c>
      <x:c r="G1950" s="16" t="str">
        <x:v>+60142427458 | +60142427458</x:v>
      </x:c>
      <x:c r="H1950" s="16" t="str">
        <x:v>Excluded</x:v>
      </x:c>
      <x:c r="I1950" s="16" t="str">
        <x:v>Missing email</x:v>
      </x:c>
    </x:row>
    <x:row r="1951">
      <x:c r="A1951" s="16" t="n">
        <x:v>1948</x:v>
      </x:c>
      <x:c r="B1951" s="16" t="str">
        <x:v>Duke Naim</x:v>
      </x:c>
      <x:c r="C1951" s="16" t="str">
        <x:v>dukenaim@gmail.com</x:v>
      </x:c>
      <x:c r="D1951" s="16" t="str">
        <x:v>dukenaim@gmail.com</x:v>
      </x:c>
      <x:c r="E1951" s="16" t="str">
        <x:v>* myContacts</x:v>
      </x:c>
      <x:c r="F1951" s="16" t="str">
        <x:v>+60 19-619 6964 | +60196196964 | 01125605645</x:v>
      </x:c>
      <x:c r="G1951" s="16" t="str">
        <x:v>+60196196964 | +60196196964 | +601125605645</x:v>
      </x:c>
      <x:c r="H1951" s="16" t="str">
        <x:v>Eligible</x:v>
      </x:c>
      <x:c r="I1951" s="16" t="str"/>
    </x:row>
    <x:row r="1952">
      <x:c r="A1952" s="16" t="n">
        <x:v>1949</x:v>
      </x:c>
      <x:c r="B1952" s="16" t="str">
        <x:v>Duwe Kbbc Agent</x:v>
      </x:c>
      <x:c r="C1952" s="16" t="str"/>
      <x:c r="D1952" s="16" t="str"/>
      <x:c r="E1952" s="16" t="str">
        <x:v>* myContacts</x:v>
      </x:c>
      <x:c r="F1952" s="16" t="str">
        <x:v>+60 11-1290 2679 | +60129895151 | +601112902679 | +60129895151</x:v>
      </x:c>
      <x:c r="G1952" s="16" t="str">
        <x:v>+601112902679 | +60129895151 | +601112902679 | +60129895151</x:v>
      </x:c>
      <x:c r="H1952" s="16" t="str">
        <x:v>Excluded</x:v>
      </x:c>
      <x:c r="I1952" s="16" t="str">
        <x:v>Missing email</x:v>
      </x:c>
    </x:row>
    <x:row r="1953">
      <x:c r="A1953" s="16" t="n">
        <x:v>1950</x:v>
      </x:c>
      <x:c r="B1953" s="16" t="str">
        <x:v>Dyg Haslinda Abg Ali</x:v>
      </x:c>
      <x:c r="C1953" s="16" t="str"/>
      <x:c r="D1953" s="16" t="str"/>
      <x:c r="E1953" s="16" t="str">
        <x:v>* myContacts</x:v>
      </x:c>
      <x:c r="F1953" s="16" t="str">
        <x:v>+60138198954</x:v>
      </x:c>
      <x:c r="G1953" s="16" t="str">
        <x:v>+60138198954</x:v>
      </x:c>
      <x:c r="H1953" s="16" t="str">
        <x:v>Excluded</x:v>
      </x:c>
      <x:c r="I1953" s="16" t="str">
        <x:v>Missing email</x:v>
      </x:c>
    </x:row>
    <x:row r="1954">
      <x:c r="A1954" s="16" t="n">
        <x:v>1951</x:v>
      </x:c>
      <x:c r="B1954" s="16" t="str">
        <x:v>Dyidee Sepang</x:v>
      </x:c>
      <x:c r="C1954" s="16" t="str"/>
      <x:c r="D1954" s="16" t="str"/>
      <x:c r="E1954" s="16" t="str">
        <x:v>* myContacts</x:v>
      </x:c>
      <x:c r="F1954" s="16" t="str">
        <x:v>+601135090593</x:v>
      </x:c>
      <x:c r="G1954" s="16" t="str">
        <x:v>+601135090593</x:v>
      </x:c>
      <x:c r="H1954" s="16" t="str">
        <x:v>Excluded</x:v>
      </x:c>
      <x:c r="I1954" s="16" t="str">
        <x:v>Missing email</x:v>
      </x:c>
    </x:row>
    <x:row r="1955">
      <x:c r="A1955" s="16" t="n">
        <x:v>1952</x:v>
      </x:c>
      <x:c r="B1955" s="16" t="str">
        <x:v>Dyna Richwork</x:v>
      </x:c>
      <x:c r="C1955" s="16" t="str"/>
      <x:c r="D1955" s="16" t="str"/>
      <x:c r="E1955" s="16" t="str">
        <x:v>* myContacts</x:v>
      </x:c>
      <x:c r="F1955" s="16" t="str">
        <x:v>+60 16-261 4226 | +60162614226</x:v>
      </x:c>
      <x:c r="G1955" s="16" t="str">
        <x:v>+60162614226 | +60162614226</x:v>
      </x:c>
      <x:c r="H1955" s="16" t="str">
        <x:v>Excluded</x:v>
      </x:c>
      <x:c r="I1955" s="16" t="str">
        <x:v>Missing email</x:v>
      </x:c>
    </x:row>
    <x:row r="1956">
      <x:c r="A1956" s="16" t="n">
        <x:v>1953</x:v>
      </x:c>
      <x:c r="B1956" s="16" t="str">
        <x:v>Dys Hobby</x:v>
      </x:c>
      <x:c r="C1956" s="16" t="str"/>
      <x:c r="D1956" s="16" t="str"/>
      <x:c r="E1956" s="16" t="str">
        <x:v>* myContacts</x:v>
      </x:c>
      <x:c r="F1956" s="16" t="str">
        <x:v>+60182505413</x:v>
      </x:c>
      <x:c r="G1956" s="16" t="str">
        <x:v>+60182505413</x:v>
      </x:c>
      <x:c r="H1956" s="16" t="str">
        <x:v>Excluded</x:v>
      </x:c>
      <x:c r="I1956" s="16" t="str">
        <x:v>Missing email</x:v>
      </x:c>
    </x:row>
    <x:row r="1957">
      <x:c r="A1957" s="16" t="n">
        <x:v>1954</x:v>
      </x:c>
      <x:c r="B1957" s="16" t="str">
        <x:v>Dz Reka</x:v>
      </x:c>
      <x:c r="C1957" s="16" t="str"/>
      <x:c r="D1957" s="16" t="str"/>
      <x:c r="E1957" s="16" t="str">
        <x:v>* myContacts</x:v>
      </x:c>
      <x:c r="F1957" s="16" t="str">
        <x:v>+60128278433</x:v>
      </x:c>
      <x:c r="G1957" s="16" t="str">
        <x:v>+60128278433</x:v>
      </x:c>
      <x:c r="H1957" s="16" t="str">
        <x:v>Excluded</x:v>
      </x:c>
      <x:c r="I1957" s="16" t="str">
        <x:v>Missing email</x:v>
      </x:c>
    </x:row>
    <x:row r="1958">
      <x:c r="A1958" s="16" t="n">
        <x:v>1955</x:v>
      </x:c>
      <x:c r="B1958" s="16" t="str">
        <x:v>Dzarul Farhan bin Dzahar</x:v>
      </x:c>
      <x:c r="C1958" s="16" t="str">
        <x:v>dzarul@teraju.gov.my</x:v>
      </x:c>
      <x:c r="D1958" s="16" t="str">
        <x:v>dzarul@teraju.gov.my</x:v>
      </x:c>
      <x:c r="E1958" s="16" t="str">
        <x:v>* myContacts</x:v>
      </x:c>
      <x:c r="F1958" s="16" t="str">
        <x:v>+60378398096 | +60194284180 | +60378398000 | +60378398100</x:v>
      </x:c>
      <x:c r="G1958" s="16" t="str">
        <x:v>+60378398096 | +60194284180 | +60378398000 | +60378398100</x:v>
      </x:c>
      <x:c r="H1958" s="16" t="str">
        <x:v>Eligible</x:v>
      </x:c>
      <x:c r="I1958" s="16" t="str"/>
    </x:row>
    <x:row r="1959">
      <x:c r="A1959" s="16" t="n">
        <x:v>1956</x:v>
      </x:c>
      <x:c r="B1959" s="16" t="str">
        <x:v>Dzarul Farhan bin Dzahar</x:v>
      </x:c>
      <x:c r="C1959" s="16" t="str">
        <x:v>dzarul@teraju.gov.my</x:v>
      </x:c>
      <x:c r="D1959" s="16" t="str">
        <x:v>dzarul@teraju.gov.my</x:v>
      </x:c>
      <x:c r="E1959" s="16" t="str">
        <x:v>* myContacts</x:v>
      </x:c>
      <x:c r="F1959" s="16" t="str">
        <x:v>+60378398096 | +60194284180 | +60378398000 | +60378398100</x:v>
      </x:c>
      <x:c r="G1959" s="16" t="str">
        <x:v>+60378398096 | +60194284180 | +60378398000 | +60378398100</x:v>
      </x:c>
      <x:c r="H1959" s="16" t="str">
        <x:v>Eligible</x:v>
      </x:c>
      <x:c r="I1959" s="16" t="str"/>
    </x:row>
    <x:row r="1960">
      <x:c r="A1960" s="16" t="n">
        <x:v>1957</x:v>
      </x:c>
      <x:c r="B1960" s="16" t="str">
        <x:v>Dzuan Jaya Furniture</x:v>
      </x:c>
      <x:c r="C1960" s="16" t="str"/>
      <x:c r="D1960" s="16" t="str"/>
      <x:c r="E1960" s="16" t="str">
        <x:v>* myContacts</x:v>
      </x:c>
      <x:c r="F1960" s="16" t="str">
        <x:v>+60182339882</x:v>
      </x:c>
      <x:c r="G1960" s="16" t="str">
        <x:v>+60182339882</x:v>
      </x:c>
      <x:c r="H1960" s="16" t="str">
        <x:v>Excluded</x:v>
      </x:c>
      <x:c r="I1960" s="16" t="str">
        <x:v>Missing email</x:v>
      </x:c>
    </x:row>
    <x:row r="1961">
      <x:c r="A1961" s="16" t="n">
        <x:v>1958</x:v>
      </x:c>
      <x:c r="B1961" s="16" t="str">
        <x:v>Dzul Akmal</x:v>
      </x:c>
      <x:c r="C1961" s="16" t="str"/>
      <x:c r="D1961" s="16" t="str"/>
      <x:c r="E1961" s="16" t="str">
        <x:v>* myContacts</x:v>
      </x:c>
      <x:c r="F1961" s="16" t="str">
        <x:v>+60109724534</x:v>
      </x:c>
      <x:c r="G1961" s="16" t="str">
        <x:v>+60109724534</x:v>
      </x:c>
      <x:c r="H1961" s="16" t="str">
        <x:v>Excluded</x:v>
      </x:c>
      <x:c r="I1961" s="16" t="str">
        <x:v>Missing email</x:v>
      </x:c>
    </x:row>
    <x:row r="1962">
      <x:c r="A1962" s="16" t="n">
        <x:v>1959</x:v>
      </x:c>
      <x:c r="B1962" s="16" t="str">
        <x:v>Dzul Bda</x:v>
      </x:c>
      <x:c r="C1962" s="16" t="str"/>
      <x:c r="D1962" s="16" t="str"/>
      <x:c r="E1962" s="16" t="str">
        <x:v>* myContacts</x:v>
      </x:c>
      <x:c r="F1962" s="16" t="str">
        <x:v>+60196910377</x:v>
      </x:c>
      <x:c r="G1962" s="16" t="str">
        <x:v>+60196910377</x:v>
      </x:c>
      <x:c r="H1962" s="16" t="str">
        <x:v>Excluded</x:v>
      </x:c>
      <x:c r="I1962" s="16" t="str">
        <x:v>Missing email</x:v>
      </x:c>
    </x:row>
    <x:row r="1963">
      <x:c r="A1963" s="16" t="n">
        <x:v>1960</x:v>
      </x:c>
      <x:c r="B1963" s="16" t="str">
        <x:v>Dzul H A'jg</x:v>
      </x:c>
      <x:c r="C1963" s="16" t="str"/>
      <x:c r="D1963" s="16" t="str"/>
      <x:c r="E1963" s="16" t="str">
        <x:v>* myContacts</x:v>
      </x:c>
      <x:c r="F1963" s="16" t="str">
        <x:v>+60138947758</x:v>
      </x:c>
      <x:c r="G1963" s="16" t="str">
        <x:v>+60138947758</x:v>
      </x:c>
      <x:c r="H1963" s="16" t="str">
        <x:v>Excluded</x:v>
      </x:c>
      <x:c r="I1963" s="16" t="str">
        <x:v>Missing email</x:v>
      </x:c>
    </x:row>
    <x:row r="1964">
      <x:c r="A1964" s="16" t="n">
        <x:v>1961</x:v>
      </x:c>
      <x:c r="B1964" s="16" t="str">
        <x:v>Dzul Jutawan</x:v>
      </x:c>
      <x:c r="C1964" s="16" t="str"/>
      <x:c r="D1964" s="16" t="str"/>
      <x:c r="E1964" s="16" t="str">
        <x:v>* myContacts</x:v>
      </x:c>
      <x:c r="F1964" s="16" t="str">
        <x:v>0139964803 | +60139964803</x:v>
      </x:c>
      <x:c r="G1964" s="16" t="str">
        <x:v>+60139964803 | +60139964803</x:v>
      </x:c>
      <x:c r="H1964" s="16" t="str">
        <x:v>Excluded</x:v>
      </x:c>
      <x:c r="I1964" s="16" t="str">
        <x:v>Missing email</x:v>
      </x:c>
    </x:row>
    <x:row r="1965">
      <x:c r="A1965" s="16" t="n">
        <x:v>1962</x:v>
      </x:c>
      <x:c r="B1965" s="16" t="str">
        <x:v>Dzulaiqha Aziz</x:v>
      </x:c>
      <x:c r="C1965" s="16" t="str"/>
      <x:c r="D1965" s="16" t="str"/>
      <x:c r="E1965" s="16" t="str">
        <x:v>* myContacts</x:v>
      </x:c>
      <x:c r="F1965" s="16" t="str">
        <x:v>+60193648157</x:v>
      </x:c>
      <x:c r="G1965" s="16" t="str">
        <x:v>+60193648157</x:v>
      </x:c>
      <x:c r="H1965" s="16" t="str">
        <x:v>Excluded</x:v>
      </x:c>
      <x:c r="I1965" s="16" t="str">
        <x:v>Missing email</x:v>
      </x:c>
    </x:row>
    <x:row r="1966">
      <x:c r="A1966" s="16" t="n">
        <x:v>1963</x:v>
      </x:c>
      <x:c r="B1966" s="16" t="str">
        <x:v>DZULFADHLI ZAINAL ABIDIN</x:v>
      </x:c>
      <x:c r="C1966" s="16" t="str">
        <x:v>dzulfadhli@shardglobal.com</x:v>
      </x:c>
      <x:c r="D1966" s="16" t="str">
        <x:v>dzulfadhli@shardglobal.com</x:v>
      </x:c>
      <x:c r="E1966" s="16" t="str">
        <x:v>* myContacts</x:v>
      </x:c>
      <x:c r="F1966" s="16" t="str">
        <x:v>+60196910377 | +60377318444 | +60377318444</x:v>
      </x:c>
      <x:c r="G1966" s="16" t="str">
        <x:v>+60196910377 | +60377318444 | +60377318444</x:v>
      </x:c>
      <x:c r="H1966" s="16" t="str">
        <x:v>Eligible</x:v>
      </x:c>
      <x:c r="I1966" s="16" t="str"/>
    </x:row>
    <x:row r="1967">
      <x:c r="A1967" s="16" t="n">
        <x:v>1964</x:v>
      </x:c>
      <x:c r="B1967" s="16" t="str">
        <x:v>E-m A-n</x:v>
      </x:c>
      <x:c r="C1967" s="16" t="str"/>
      <x:c r="D1967" s="16" t="str"/>
      <x:c r="E1967" s="16" t="str">
        <x:v>* myContacts</x:v>
      </x:c>
      <x:c r="F1967" s="16" t="str">
        <x:v>+60138993906</x:v>
      </x:c>
      <x:c r="G1967" s="16" t="str">
        <x:v>+60138993906</x:v>
      </x:c>
      <x:c r="H1967" s="16" t="str">
        <x:v>Excluded</x:v>
      </x:c>
      <x:c r="I1967" s="16" t="str">
        <x:v>Missing email</x:v>
      </x:c>
    </x:row>
    <x:row r="1968">
      <x:c r="A1968" s="16" t="n">
        <x:v>1965</x:v>
      </x:c>
      <x:c r="B1968" s="16" t="str">
        <x:v>E-mah Zainal</x:v>
      </x:c>
      <x:c r="C1968" s="16" t="str"/>
      <x:c r="D1968" s="16" t="str"/>
      <x:c r="E1968" s="16" t="str">
        <x:v>* myContacts</x:v>
      </x:c>
      <x:c r="F1968" s="16" t="str">
        <x:v>+60196050180</x:v>
      </x:c>
      <x:c r="G1968" s="16" t="str">
        <x:v>+60196050180</x:v>
      </x:c>
      <x:c r="H1968" s="16" t="str">
        <x:v>Excluded</x:v>
      </x:c>
      <x:c r="I1968" s="16" t="str">
        <x:v>Missing email</x:v>
      </x:c>
    </x:row>
    <x:row r="1969">
      <x:c r="A1969" s="16" t="n">
        <x:v>1966</x:v>
      </x:c>
      <x:c r="B1969" s="16" t="str">
        <x:v>E-one Fikri</x:v>
      </x:c>
      <x:c r="C1969" s="16" t="str"/>
      <x:c r="D1969" s="16" t="str"/>
      <x:c r="E1969" s="16" t="str">
        <x:v>* myContacts</x:v>
      </x:c>
      <x:c r="F1969" s="16" t="str">
        <x:v>+60183675261</x:v>
      </x:c>
      <x:c r="G1969" s="16" t="str">
        <x:v>+60183675261</x:v>
      </x:c>
      <x:c r="H1969" s="16" t="str">
        <x:v>Excluded</x:v>
      </x:c>
      <x:c r="I1969" s="16" t="str">
        <x:v>Missing email</x:v>
      </x:c>
    </x:row>
    <x:row r="1970">
      <x:c r="A1970" s="16" t="n">
        <x:v>1967</x:v>
      </x:c>
      <x:c r="B1970" s="16" t="str">
        <x:v>e1</x:v>
      </x:c>
      <x:c r="C1970" s="16" t="str"/>
      <x:c r="D1970" s="16" t="str"/>
      <x:c r="E1970" s="16" t="str">
        <x:v>* myContacts</x:v>
      </x:c>
      <x:c r="F1970" s="16" t="str">
        <x:v>+60 11-3180 6061 | +601131806061</x:v>
      </x:c>
      <x:c r="G1970" s="16" t="str">
        <x:v>+601131806061 | +601131806061</x:v>
      </x:c>
      <x:c r="H1970" s="16" t="str">
        <x:v>Excluded</x:v>
      </x:c>
      <x:c r="I1970" s="16" t="str">
        <x:v>Missing email</x:v>
      </x:c>
    </x:row>
    <x:row r="1971">
      <x:c r="A1971" s="16" t="n">
        <x:v>1968</x:v>
      </x:c>
      <x:c r="B1971" s="16" t="str">
        <x:v>e10</x:v>
      </x:c>
      <x:c r="C1971" s="16" t="str"/>
      <x:c r="D1971" s="16" t="str"/>
      <x:c r="E1971" s="16" t="str">
        <x:v>* myContacts</x:v>
      </x:c>
      <x:c r="F1971" s="16" t="str">
        <x:v>+60 13-427 7269 | +60134277269</x:v>
      </x:c>
      <x:c r="G1971" s="16" t="str">
        <x:v>+60134277269 | +60134277269</x:v>
      </x:c>
      <x:c r="H1971" s="16" t="str">
        <x:v>Excluded</x:v>
      </x:c>
      <x:c r="I1971" s="16" t="str">
        <x:v>Missing email</x:v>
      </x:c>
    </x:row>
    <x:row r="1972">
      <x:c r="A1972" s="16" t="n">
        <x:v>1969</x:v>
      </x:c>
      <x:c r="B1972" s="16" t="str">
        <x:v>e11</x:v>
      </x:c>
      <x:c r="C1972" s="16" t="str"/>
      <x:c r="D1972" s="16" t="str"/>
      <x:c r="E1972" s="16" t="str">
        <x:v>* myContacts</x:v>
      </x:c>
      <x:c r="F1972" s="16" t="str">
        <x:v>+60 11-2535 2854 | +601125352854</x:v>
      </x:c>
      <x:c r="G1972" s="16" t="str">
        <x:v>+601125352854 | +601125352854</x:v>
      </x:c>
      <x:c r="H1972" s="16" t="str">
        <x:v>Excluded</x:v>
      </x:c>
      <x:c r="I1972" s="16" t="str">
        <x:v>Missing email</x:v>
      </x:c>
    </x:row>
    <x:row r="1973">
      <x:c r="A1973" s="16" t="n">
        <x:v>1970</x:v>
      </x:c>
      <x:c r="B1973" s="16" t="str">
        <x:v>e12</x:v>
      </x:c>
      <x:c r="C1973" s="16" t="str"/>
      <x:c r="D1973" s="16" t="str"/>
      <x:c r="E1973" s="16" t="str">
        <x:v>* myContacts</x:v>
      </x:c>
      <x:c r="F1973" s="16" t="str">
        <x:v>+60 18-211 7160 | +60182117160</x:v>
      </x:c>
      <x:c r="G1973" s="16" t="str">
        <x:v>+60182117160 | +60182117160</x:v>
      </x:c>
      <x:c r="H1973" s="16" t="str">
        <x:v>Excluded</x:v>
      </x:c>
      <x:c r="I1973" s="16" t="str">
        <x:v>Missing email</x:v>
      </x:c>
    </x:row>
    <x:row r="1974">
      <x:c r="A1974" s="16" t="n">
        <x:v>1971</x:v>
      </x:c>
      <x:c r="B1974" s="16" t="str">
        <x:v>e13</x:v>
      </x:c>
      <x:c r="C1974" s="16" t="str"/>
      <x:c r="D1974" s="16" t="str"/>
      <x:c r="E1974" s="16" t="str">
        <x:v>* myContacts</x:v>
      </x:c>
      <x:c r="F1974" s="16" t="str">
        <x:v>+60 11-2543 2700 | +601125432700</x:v>
      </x:c>
      <x:c r="G1974" s="16" t="str">
        <x:v>+601125432700 | +601125432700</x:v>
      </x:c>
      <x:c r="H1974" s="16" t="str">
        <x:v>Excluded</x:v>
      </x:c>
      <x:c r="I1974" s="16" t="str">
        <x:v>Missing email</x:v>
      </x:c>
    </x:row>
    <x:row r="1975">
      <x:c r="A1975" s="16" t="n">
        <x:v>1972</x:v>
      </x:c>
      <x:c r="B1975" s="16" t="str">
        <x:v>e15</x:v>
      </x:c>
      <x:c r="C1975" s="16" t="str"/>
      <x:c r="D1975" s="16" t="str"/>
      <x:c r="E1975" s="16" t="str">
        <x:v>* myContacts</x:v>
      </x:c>
      <x:c r="F1975" s="16" t="str">
        <x:v>+60 19-629 2801 | +60196292801</x:v>
      </x:c>
      <x:c r="G1975" s="16" t="str">
        <x:v>+60196292801 | +60196292801</x:v>
      </x:c>
      <x:c r="H1975" s="16" t="str">
        <x:v>Excluded</x:v>
      </x:c>
      <x:c r="I1975" s="16" t="str">
        <x:v>Missing email</x:v>
      </x:c>
    </x:row>
    <x:row r="1976">
      <x:c r="A1976" s="16" t="n">
        <x:v>1973</x:v>
      </x:c>
      <x:c r="B1976" s="16" t="str">
        <x:v>e16</x:v>
      </x:c>
      <x:c r="C1976" s="16" t="str"/>
      <x:c r="D1976" s="16" t="str"/>
      <x:c r="E1976" s="16" t="str">
        <x:v>* myContacts</x:v>
      </x:c>
      <x:c r="F1976" s="16" t="str">
        <x:v>+60 11-3269 4443 | +601132694443</x:v>
      </x:c>
      <x:c r="G1976" s="16" t="str">
        <x:v>+601132694443 | +601132694443</x:v>
      </x:c>
      <x:c r="H1976" s="16" t="str">
        <x:v>Excluded</x:v>
      </x:c>
      <x:c r="I1976" s="16" t="str">
        <x:v>Missing email</x:v>
      </x:c>
    </x:row>
    <x:row r="1977">
      <x:c r="A1977" s="16" t="n">
        <x:v>1974</x:v>
      </x:c>
      <x:c r="B1977" s="16" t="str">
        <x:v>e17</x:v>
      </x:c>
      <x:c r="C1977" s="16" t="str"/>
      <x:c r="D1977" s="16" t="str"/>
      <x:c r="E1977" s="16" t="str">
        <x:v>* myContacts</x:v>
      </x:c>
      <x:c r="F1977" s="16" t="str">
        <x:v>+60 10-256 3801 | +60102563801</x:v>
      </x:c>
      <x:c r="G1977" s="16" t="str">
        <x:v>+60102563801 | +60102563801</x:v>
      </x:c>
      <x:c r="H1977" s="16" t="str">
        <x:v>Excluded</x:v>
      </x:c>
      <x:c r="I1977" s="16" t="str">
        <x:v>Missing email</x:v>
      </x:c>
    </x:row>
    <x:row r="1978">
      <x:c r="A1978" s="16" t="n">
        <x:v>1975</x:v>
      </x:c>
      <x:c r="B1978" s="16" t="str">
        <x:v>e18</x:v>
      </x:c>
      <x:c r="C1978" s="16" t="str"/>
      <x:c r="D1978" s="16" t="str"/>
      <x:c r="E1978" s="16" t="str">
        <x:v>* myContacts</x:v>
      </x:c>
      <x:c r="F1978" s="16" t="str">
        <x:v>+60 13-478 8621 | +60134788621</x:v>
      </x:c>
      <x:c r="G1978" s="16" t="str">
        <x:v>+60134788621 | +60134788621</x:v>
      </x:c>
      <x:c r="H1978" s="16" t="str">
        <x:v>Excluded</x:v>
      </x:c>
      <x:c r="I1978" s="16" t="str">
        <x:v>Missing email</x:v>
      </x:c>
    </x:row>
    <x:row r="1979">
      <x:c r="A1979" s="16" t="n">
        <x:v>1976</x:v>
      </x:c>
      <x:c r="B1979" s="16" t="str">
        <x:v>e19</x:v>
      </x:c>
      <x:c r="C1979" s="16" t="str"/>
      <x:c r="D1979" s="16" t="str"/>
      <x:c r="E1979" s="16" t="str">
        <x:v>* myContacts</x:v>
      </x:c>
      <x:c r="F1979" s="16" t="str">
        <x:v>+60 14-386 0490 | +60143860490</x:v>
      </x:c>
      <x:c r="G1979" s="16" t="str">
        <x:v>+60143860490 | +60143860490</x:v>
      </x:c>
      <x:c r="H1979" s="16" t="str">
        <x:v>Excluded</x:v>
      </x:c>
      <x:c r="I1979" s="16" t="str">
        <x:v>Missing email</x:v>
      </x:c>
    </x:row>
    <x:row r="1980">
      <x:c r="A1980" s="16" t="n">
        <x:v>1977</x:v>
      </x:c>
      <x:c r="B1980" s="16" t="str">
        <x:v>e2</x:v>
      </x:c>
      <x:c r="C1980" s="16" t="str"/>
      <x:c r="D1980" s="16" t="str"/>
      <x:c r="E1980" s="16" t="str">
        <x:v>* myContacts</x:v>
      </x:c>
      <x:c r="F1980" s="16" t="str">
        <x:v>+60 19-262 5578 | +60192625578</x:v>
      </x:c>
      <x:c r="G1980" s="16" t="str">
        <x:v>+60192625578 | +60192625578</x:v>
      </x:c>
      <x:c r="H1980" s="16" t="str">
        <x:v>Excluded</x:v>
      </x:c>
      <x:c r="I1980" s="16" t="str">
        <x:v>Missing email</x:v>
      </x:c>
    </x:row>
    <x:row r="1981">
      <x:c r="A1981" s="16" t="n">
        <x:v>1978</x:v>
      </x:c>
      <x:c r="B1981" s="16" t="str">
        <x:v>e20</x:v>
      </x:c>
      <x:c r="C1981" s="16" t="str"/>
      <x:c r="D1981" s="16" t="str"/>
      <x:c r="E1981" s="16" t="str">
        <x:v>* myContacts</x:v>
      </x:c>
      <x:c r="F1981" s="16" t="str">
        <x:v>+60 13-825 2935 | +60138252935</x:v>
      </x:c>
      <x:c r="G1981" s="16" t="str">
        <x:v>+60138252935 | +60138252935</x:v>
      </x:c>
      <x:c r="H1981" s="16" t="str">
        <x:v>Excluded</x:v>
      </x:c>
      <x:c r="I1981" s="16" t="str">
        <x:v>Missing email</x:v>
      </x:c>
    </x:row>
    <x:row r="1982">
      <x:c r="A1982" s="16" t="n">
        <x:v>1979</x:v>
      </x:c>
      <x:c r="B1982" s="16" t="str">
        <x:v>e21</x:v>
      </x:c>
      <x:c r="C1982" s="16" t="str"/>
      <x:c r="D1982" s="16" t="str"/>
      <x:c r="E1982" s="16" t="str">
        <x:v>* myContacts</x:v>
      </x:c>
      <x:c r="F1982" s="16" t="str">
        <x:v>+60 10-983 9310 | +60109839310</x:v>
      </x:c>
      <x:c r="G1982" s="16" t="str">
        <x:v>+60109839310 | +60109839310</x:v>
      </x:c>
      <x:c r="H1982" s="16" t="str">
        <x:v>Excluded</x:v>
      </x:c>
      <x:c r="I1982" s="16" t="str">
        <x:v>Missing email</x:v>
      </x:c>
    </x:row>
    <x:row r="1983">
      <x:c r="A1983" s="16" t="n">
        <x:v>1980</x:v>
      </x:c>
      <x:c r="B1983" s="16" t="str">
        <x:v>e22</x:v>
      </x:c>
      <x:c r="C1983" s="16" t="str"/>
      <x:c r="D1983" s="16" t="str"/>
      <x:c r="E1983" s="16" t="str">
        <x:v>* myContacts</x:v>
      </x:c>
      <x:c r="F1983" s="16" t="str">
        <x:v>+60 12-253 3292 | +60122533292</x:v>
      </x:c>
      <x:c r="G1983" s="16" t="str">
        <x:v>+60122533292 | +60122533292</x:v>
      </x:c>
      <x:c r="H1983" s="16" t="str">
        <x:v>Excluded</x:v>
      </x:c>
      <x:c r="I1983" s="16" t="str">
        <x:v>Missing email</x:v>
      </x:c>
    </x:row>
    <x:row r="1984">
      <x:c r="A1984" s="16" t="n">
        <x:v>1981</x:v>
      </x:c>
      <x:c r="B1984" s="16" t="str">
        <x:v>e23</x:v>
      </x:c>
      <x:c r="C1984" s="16" t="str"/>
      <x:c r="D1984" s="16" t="str"/>
      <x:c r="E1984" s="16" t="str">
        <x:v>* myContacts</x:v>
      </x:c>
      <x:c r="F1984" s="16" t="str">
        <x:v>+60 18-220 3951 | +60182203951</x:v>
      </x:c>
      <x:c r="G1984" s="16" t="str">
        <x:v>+60182203951 | +60182203951</x:v>
      </x:c>
      <x:c r="H1984" s="16" t="str">
        <x:v>Excluded</x:v>
      </x:c>
      <x:c r="I1984" s="16" t="str">
        <x:v>Missing email</x:v>
      </x:c>
    </x:row>
    <x:row r="1985">
      <x:c r="A1985" s="16" t="n">
        <x:v>1982</x:v>
      </x:c>
      <x:c r="B1985" s="16" t="str">
        <x:v>e24</x:v>
      </x:c>
      <x:c r="C1985" s="16" t="str"/>
      <x:c r="D1985" s="16" t="str"/>
      <x:c r="E1985" s="16" t="str">
        <x:v>* myContacts</x:v>
      </x:c>
      <x:c r="F1985" s="16" t="str">
        <x:v>+60 11-3585 7194 | +601135857194</x:v>
      </x:c>
      <x:c r="G1985" s="16" t="str">
        <x:v>+601135857194 | +601135857194</x:v>
      </x:c>
      <x:c r="H1985" s="16" t="str">
        <x:v>Excluded</x:v>
      </x:c>
      <x:c r="I1985" s="16" t="str">
        <x:v>Missing email</x:v>
      </x:c>
    </x:row>
    <x:row r="1986">
      <x:c r="A1986" s="16" t="n">
        <x:v>1983</x:v>
      </x:c>
      <x:c r="B1986" s="16" t="str">
        <x:v>e25</x:v>
      </x:c>
      <x:c r="C1986" s="16" t="str"/>
      <x:c r="D1986" s="16" t="str"/>
      <x:c r="E1986" s="16" t="str">
        <x:v>* myContacts</x:v>
      </x:c>
      <x:c r="F1986" s="16" t="str">
        <x:v>+60 19-925 2600 | +60199252600</x:v>
      </x:c>
      <x:c r="G1986" s="16" t="str">
        <x:v>+60199252600 | +60199252600</x:v>
      </x:c>
      <x:c r="H1986" s="16" t="str">
        <x:v>Excluded</x:v>
      </x:c>
      <x:c r="I1986" s="16" t="str">
        <x:v>Missing email</x:v>
      </x:c>
    </x:row>
    <x:row r="1987">
      <x:c r="A1987" s="16" t="n">
        <x:v>1984</x:v>
      </x:c>
      <x:c r="B1987" s="16" t="str">
        <x:v>e26</x:v>
      </x:c>
      <x:c r="C1987" s="16" t="str"/>
      <x:c r="D1987" s="16" t="str"/>
      <x:c r="E1987" s="16" t="str">
        <x:v>* myContacts</x:v>
      </x:c>
      <x:c r="F1987" s="16" t="str">
        <x:v>+60 11-2502 8158 | +601125028158</x:v>
      </x:c>
      <x:c r="G1987" s="16" t="str">
        <x:v>+601125028158 | +601125028158</x:v>
      </x:c>
      <x:c r="H1987" s="16" t="str">
        <x:v>Excluded</x:v>
      </x:c>
      <x:c r="I1987" s="16" t="str">
        <x:v>Missing email</x:v>
      </x:c>
    </x:row>
    <x:row r="1988">
      <x:c r="A1988" s="16" t="n">
        <x:v>1985</x:v>
      </x:c>
      <x:c r="B1988" s="16" t="str">
        <x:v>e27</x:v>
      </x:c>
      <x:c r="C1988" s="16" t="str"/>
      <x:c r="D1988" s="16" t="str"/>
      <x:c r="E1988" s="16" t="str">
        <x:v>* myContacts</x:v>
      </x:c>
      <x:c r="F1988" s="16" t="str">
        <x:v>+60 19-204 7837 | +60192047837</x:v>
      </x:c>
      <x:c r="G1988" s="16" t="str">
        <x:v>+60192047837 | +60192047837</x:v>
      </x:c>
      <x:c r="H1988" s="16" t="str">
        <x:v>Excluded</x:v>
      </x:c>
      <x:c r="I1988" s="16" t="str">
        <x:v>Missing email</x:v>
      </x:c>
    </x:row>
    <x:row r="1989">
      <x:c r="A1989" s="16" t="n">
        <x:v>1986</x:v>
      </x:c>
      <x:c r="B1989" s="16" t="str">
        <x:v>e28</x:v>
      </x:c>
      <x:c r="C1989" s="16" t="str"/>
      <x:c r="D1989" s="16" t="str"/>
      <x:c r="E1989" s="16" t="str">
        <x:v>* myContacts</x:v>
      </x:c>
      <x:c r="F1989" s="16" t="str">
        <x:v>+60 11-3290 6795 | +601132906795</x:v>
      </x:c>
      <x:c r="G1989" s="16" t="str">
        <x:v>+601132906795 | +601132906795</x:v>
      </x:c>
      <x:c r="H1989" s="16" t="str">
        <x:v>Excluded</x:v>
      </x:c>
      <x:c r="I1989" s="16" t="str">
        <x:v>Missing email</x:v>
      </x:c>
    </x:row>
    <x:row r="1990">
      <x:c r="A1990" s="16" t="n">
        <x:v>1987</x:v>
      </x:c>
      <x:c r="B1990" s="16" t="str">
        <x:v>e29</x:v>
      </x:c>
      <x:c r="C1990" s="16" t="str"/>
      <x:c r="D1990" s="16" t="str"/>
      <x:c r="E1990" s="16" t="str">
        <x:v>* myContacts</x:v>
      </x:c>
      <x:c r="F1990" s="16" t="str">
        <x:v>+60 14-309 8010 | +60143098010</x:v>
      </x:c>
      <x:c r="G1990" s="16" t="str">
        <x:v>+60143098010 | +60143098010</x:v>
      </x:c>
      <x:c r="H1990" s="16" t="str">
        <x:v>Excluded</x:v>
      </x:c>
      <x:c r="I1990" s="16" t="str">
        <x:v>Missing email</x:v>
      </x:c>
    </x:row>
    <x:row r="1991">
      <x:c r="A1991" s="16" t="n">
        <x:v>1988</x:v>
      </x:c>
      <x:c r="B1991" s="16" t="str">
        <x:v>e3</x:v>
      </x:c>
      <x:c r="C1991" s="16" t="str"/>
      <x:c r="D1991" s="16" t="str"/>
      <x:c r="E1991" s="16" t="str">
        <x:v>* myContacts</x:v>
      </x:c>
      <x:c r="F1991" s="16" t="str">
        <x:v>+60 17-606 4564 | +60176064564</x:v>
      </x:c>
      <x:c r="G1991" s="16" t="str">
        <x:v>+60176064564 | +60176064564</x:v>
      </x:c>
      <x:c r="H1991" s="16" t="str">
        <x:v>Excluded</x:v>
      </x:c>
      <x:c r="I1991" s="16" t="str">
        <x:v>Missing email</x:v>
      </x:c>
    </x:row>
    <x:row r="1992">
      <x:c r="A1992" s="16" t="n">
        <x:v>1989</x:v>
      </x:c>
      <x:c r="B1992" s="16" t="str">
        <x:v>e30</x:v>
      </x:c>
      <x:c r="C1992" s="16" t="str"/>
      <x:c r="D1992" s="16" t="str"/>
      <x:c r="E1992" s="16" t="str">
        <x:v>* myContacts</x:v>
      </x:c>
      <x:c r="F1992" s="16" t="str">
        <x:v>+60 18-911 9010 | +60189119010</x:v>
      </x:c>
      <x:c r="G1992" s="16" t="str">
        <x:v>+60189119010 | +60189119010</x:v>
      </x:c>
      <x:c r="H1992" s="16" t="str">
        <x:v>Excluded</x:v>
      </x:c>
      <x:c r="I1992" s="16" t="str">
        <x:v>Missing email</x:v>
      </x:c>
    </x:row>
    <x:row r="1993">
      <x:c r="A1993" s="16" t="n">
        <x:v>1990</x:v>
      </x:c>
      <x:c r="B1993" s="16" t="str">
        <x:v>e31</x:v>
      </x:c>
      <x:c r="C1993" s="16" t="str"/>
      <x:c r="D1993" s="16" t="str"/>
      <x:c r="E1993" s="16" t="str">
        <x:v>* myContacts</x:v>
      </x:c>
      <x:c r="F1993" s="16" t="str">
        <x:v>+60 19-220 1750 | +60192201750</x:v>
      </x:c>
      <x:c r="G1993" s="16" t="str">
        <x:v>+60192201750 | +60192201750</x:v>
      </x:c>
      <x:c r="H1993" s="16" t="str">
        <x:v>Excluded</x:v>
      </x:c>
      <x:c r="I1993" s="16" t="str">
        <x:v>Missing email</x:v>
      </x:c>
    </x:row>
    <x:row r="1994">
      <x:c r="A1994" s="16" t="n">
        <x:v>1991</x:v>
      </x:c>
      <x:c r="B1994" s="16" t="str">
        <x:v>e32</x:v>
      </x:c>
      <x:c r="C1994" s="16" t="str"/>
      <x:c r="D1994" s="16" t="str"/>
      <x:c r="E1994" s="16" t="str">
        <x:v>* myContacts</x:v>
      </x:c>
      <x:c r="F1994" s="16" t="str">
        <x:v>+60 12-262 9569 | +60122629569</x:v>
      </x:c>
      <x:c r="G1994" s="16" t="str">
        <x:v>+60122629569 | +60122629569</x:v>
      </x:c>
      <x:c r="H1994" s="16" t="str">
        <x:v>Excluded</x:v>
      </x:c>
      <x:c r="I1994" s="16" t="str">
        <x:v>Missing email</x:v>
      </x:c>
    </x:row>
    <x:row r="1995">
      <x:c r="A1995" s="16" t="n">
        <x:v>1992</x:v>
      </x:c>
      <x:c r="B1995" s="16" t="str">
        <x:v>e33</x:v>
      </x:c>
      <x:c r="C1995" s="16" t="str"/>
      <x:c r="D1995" s="16" t="str"/>
      <x:c r="E1995" s="16" t="str">
        <x:v>* myContacts</x:v>
      </x:c>
      <x:c r="F1995" s="16" t="str">
        <x:v>+60 16-882 1548 | +60168821548</x:v>
      </x:c>
      <x:c r="G1995" s="16" t="str">
        <x:v>+60168821548 | +60168821548</x:v>
      </x:c>
      <x:c r="H1995" s="16" t="str">
        <x:v>Excluded</x:v>
      </x:c>
      <x:c r="I1995" s="16" t="str">
        <x:v>Missing email</x:v>
      </x:c>
    </x:row>
    <x:row r="1996">
      <x:c r="A1996" s="16" t="n">
        <x:v>1993</x:v>
      </x:c>
      <x:c r="B1996" s="16" t="str">
        <x:v>e34</x:v>
      </x:c>
      <x:c r="C1996" s="16" t="str"/>
      <x:c r="D1996" s="16" t="str"/>
      <x:c r="E1996" s="16" t="str">
        <x:v>* myContacts</x:v>
      </x:c>
      <x:c r="F1996" s="16" t="str">
        <x:v>+60 11-1629 0590 | +601116290590</x:v>
      </x:c>
      <x:c r="G1996" s="16" t="str">
        <x:v>+601116290590 | +601116290590</x:v>
      </x:c>
      <x:c r="H1996" s="16" t="str">
        <x:v>Excluded</x:v>
      </x:c>
      <x:c r="I1996" s="16" t="str">
        <x:v>Missing email</x:v>
      </x:c>
    </x:row>
    <x:row r="1997">
      <x:c r="A1997" s="16" t="n">
        <x:v>1994</x:v>
      </x:c>
      <x:c r="B1997" s="16" t="str">
        <x:v>e35</x:v>
      </x:c>
      <x:c r="C1997" s="16" t="str"/>
      <x:c r="D1997" s="16" t="str"/>
      <x:c r="E1997" s="16" t="str">
        <x:v>* myContacts</x:v>
      </x:c>
      <x:c r="F1997" s="16" t="str">
        <x:v>+60 17-234 0183 | +60172340183</x:v>
      </x:c>
      <x:c r="G1997" s="16" t="str">
        <x:v>+60172340183 | +60172340183</x:v>
      </x:c>
      <x:c r="H1997" s="16" t="str">
        <x:v>Excluded</x:v>
      </x:c>
      <x:c r="I1997" s="16" t="str">
        <x:v>Missing email</x:v>
      </x:c>
    </x:row>
    <x:row r="1998">
      <x:c r="A1998" s="16" t="n">
        <x:v>1995</x:v>
      </x:c>
      <x:c r="B1998" s="16" t="str">
        <x:v>e36</x:v>
      </x:c>
      <x:c r="C1998" s="16" t="str"/>
      <x:c r="D1998" s="16" t="str"/>
      <x:c r="E1998" s="16" t="str">
        <x:v>* myContacts</x:v>
      </x:c>
      <x:c r="F1998" s="16" t="str">
        <x:v>+60 17-974 1774 | +60179741774</x:v>
      </x:c>
      <x:c r="G1998" s="16" t="str">
        <x:v>+60179741774 | +60179741774</x:v>
      </x:c>
      <x:c r="H1998" s="16" t="str">
        <x:v>Excluded</x:v>
      </x:c>
      <x:c r="I1998" s="16" t="str">
        <x:v>Missing email</x:v>
      </x:c>
    </x:row>
    <x:row r="1999">
      <x:c r="A1999" s="16" t="n">
        <x:v>1996</x:v>
      </x:c>
      <x:c r="B1999" s="16" t="str">
        <x:v>e37</x:v>
      </x:c>
      <x:c r="C1999" s="16" t="str"/>
      <x:c r="D1999" s="16" t="str"/>
      <x:c r="E1999" s="16" t="str">
        <x:v>* myContacts</x:v>
      </x:c>
      <x:c r="F1999" s="16" t="str">
        <x:v>+60 19-932 0881 | +60199320881</x:v>
      </x:c>
      <x:c r="G1999" s="16" t="str">
        <x:v>+60199320881 | +60199320881</x:v>
      </x:c>
      <x:c r="H1999" s="16" t="str">
        <x:v>Excluded</x:v>
      </x:c>
      <x:c r="I1999" s="16" t="str">
        <x:v>Missing email</x:v>
      </x:c>
    </x:row>
    <x:row r="2000">
      <x:c r="A2000" s="16" t="n">
        <x:v>1997</x:v>
      </x:c>
      <x:c r="B2000" s="16" t="str">
        <x:v>e38</x:v>
      </x:c>
      <x:c r="C2000" s="16" t="str"/>
      <x:c r="D2000" s="16" t="str"/>
      <x:c r="E2000" s="16" t="str">
        <x:v>* myContacts</x:v>
      </x:c>
      <x:c r="F2000" s="16" t="str">
        <x:v>+60 17-224 3501 | +60172243501</x:v>
      </x:c>
      <x:c r="G2000" s="16" t="str">
        <x:v>+60172243501 | +60172243501</x:v>
      </x:c>
      <x:c r="H2000" s="16" t="str">
        <x:v>Excluded</x:v>
      </x:c>
      <x:c r="I2000" s="16" t="str">
        <x:v>Missing email</x:v>
      </x:c>
    </x:row>
    <x:row r="2001">
      <x:c r="A2001" s="16" t="n">
        <x:v>1998</x:v>
      </x:c>
      <x:c r="B2001" s="16" t="str">
        <x:v>e39</x:v>
      </x:c>
      <x:c r="C2001" s="16" t="str"/>
      <x:c r="D2001" s="16" t="str"/>
      <x:c r="E2001" s="16" t="str">
        <x:v>* myContacts</x:v>
      </x:c>
      <x:c r="F2001" s="16" t="str">
        <x:v>+60 14-917 2860 | +60149172860</x:v>
      </x:c>
      <x:c r="G2001" s="16" t="str">
        <x:v>+60149172860 | +60149172860</x:v>
      </x:c>
      <x:c r="H2001" s="16" t="str">
        <x:v>Excluded</x:v>
      </x:c>
      <x:c r="I2001" s="16" t="str">
        <x:v>Missing email</x:v>
      </x:c>
    </x:row>
    <x:row r="2002">
      <x:c r="A2002" s="16" t="n">
        <x:v>1999</x:v>
      </x:c>
      <x:c r="B2002" s="16" t="str">
        <x:v>e4</x:v>
      </x:c>
      <x:c r="C2002" s="16" t="str"/>
      <x:c r="D2002" s="16" t="str"/>
      <x:c r="E2002" s="16" t="str">
        <x:v>* myContacts</x:v>
      </x:c>
      <x:c r="F2002" s="16" t="str">
        <x:v>+60 10-503 9704 | +60105039704</x:v>
      </x:c>
      <x:c r="G2002" s="16" t="str">
        <x:v>+60105039704 | +60105039704</x:v>
      </x:c>
      <x:c r="H2002" s="16" t="str">
        <x:v>Excluded</x:v>
      </x:c>
      <x:c r="I2002" s="16" t="str">
        <x:v>Missing email</x:v>
      </x:c>
    </x:row>
    <x:row r="2003">
      <x:c r="A2003" s="16" t="n">
        <x:v>2000</x:v>
      </x:c>
      <x:c r="B2003" s="16" t="str">
        <x:v>e40</x:v>
      </x:c>
      <x:c r="C2003" s="16" t="str"/>
      <x:c r="D2003" s="16" t="str"/>
      <x:c r="E2003" s="16" t="str">
        <x:v>* myContacts</x:v>
      </x:c>
      <x:c r="F2003" s="16" t="str">
        <x:v>+60 13-880 1673 | +60138801673</x:v>
      </x:c>
      <x:c r="G2003" s="16" t="str">
        <x:v>+60138801673 | +60138801673</x:v>
      </x:c>
      <x:c r="H2003" s="16" t="str">
        <x:v>Excluded</x:v>
      </x:c>
      <x:c r="I2003" s="16" t="str">
        <x:v>Missing email</x:v>
      </x:c>
    </x:row>
    <x:row r="2004">
      <x:c r="A2004" s="16" t="n">
        <x:v>2001</x:v>
      </x:c>
      <x:c r="B2004" s="16" t="str">
        <x:v>e41</x:v>
      </x:c>
      <x:c r="C2004" s="16" t="str"/>
      <x:c r="D2004" s="16" t="str"/>
      <x:c r="E2004" s="16" t="str">
        <x:v>* myContacts</x:v>
      </x:c>
      <x:c r="F2004" s="16" t="str">
        <x:v>+60 11-1283 9924 | +601112839924</x:v>
      </x:c>
      <x:c r="G2004" s="16" t="str">
        <x:v>+601112839924 | +601112839924</x:v>
      </x:c>
      <x:c r="H2004" s="16" t="str">
        <x:v>Excluded</x:v>
      </x:c>
      <x:c r="I2004" s="16" t="str">
        <x:v>Missing email</x:v>
      </x:c>
    </x:row>
    <x:row r="2005">
      <x:c r="A2005" s="16" t="n">
        <x:v>2002</x:v>
      </x:c>
      <x:c r="B2005" s="16" t="str">
        <x:v>e42</x:v>
      </x:c>
      <x:c r="C2005" s="16" t="str"/>
      <x:c r="D2005" s="16" t="str"/>
      <x:c r="E2005" s="16" t="str">
        <x:v>* myContacts</x:v>
      </x:c>
      <x:c r="F2005" s="16" t="str">
        <x:v>+60 17-395 2683 | +60173952683</x:v>
      </x:c>
      <x:c r="G2005" s="16" t="str">
        <x:v>+60173952683 | +60173952683</x:v>
      </x:c>
      <x:c r="H2005" s="16" t="str">
        <x:v>Excluded</x:v>
      </x:c>
      <x:c r="I2005" s="16" t="str">
        <x:v>Missing email</x:v>
      </x:c>
    </x:row>
    <x:row r="2006">
      <x:c r="A2006" s="16" t="n">
        <x:v>2003</x:v>
      </x:c>
      <x:c r="B2006" s="16" t="str">
        <x:v>e43</x:v>
      </x:c>
      <x:c r="C2006" s="16" t="str"/>
      <x:c r="D2006" s="16" t="str"/>
      <x:c r="E2006" s="16" t="str">
        <x:v>* myContacts</x:v>
      </x:c>
      <x:c r="F2006" s="16" t="str">
        <x:v>+60 13-903 8531 | +60139038531</x:v>
      </x:c>
      <x:c r="G2006" s="16" t="str">
        <x:v>+60139038531 | +60139038531</x:v>
      </x:c>
      <x:c r="H2006" s="16" t="str">
        <x:v>Excluded</x:v>
      </x:c>
      <x:c r="I2006" s="16" t="str">
        <x:v>Missing email</x:v>
      </x:c>
    </x:row>
    <x:row r="2007">
      <x:c r="A2007" s="16" t="n">
        <x:v>2004</x:v>
      </x:c>
      <x:c r="B2007" s="16" t="str">
        <x:v>e44</x:v>
      </x:c>
      <x:c r="C2007" s="16" t="str"/>
      <x:c r="D2007" s="16" t="str"/>
      <x:c r="E2007" s="16" t="str">
        <x:v>* myContacts</x:v>
      </x:c>
      <x:c r="F2007" s="16" t="str">
        <x:v>+60 18-362 0509 | +60183620509</x:v>
      </x:c>
      <x:c r="G2007" s="16" t="str">
        <x:v>+60183620509 | +60183620509</x:v>
      </x:c>
      <x:c r="H2007" s="16" t="str">
        <x:v>Excluded</x:v>
      </x:c>
      <x:c r="I2007" s="16" t="str">
        <x:v>Missing email</x:v>
      </x:c>
    </x:row>
    <x:row r="2008">
      <x:c r="A2008" s="16" t="n">
        <x:v>2005</x:v>
      </x:c>
      <x:c r="B2008" s="16" t="str">
        <x:v>e45</x:v>
      </x:c>
      <x:c r="C2008" s="16" t="str"/>
      <x:c r="D2008" s="16" t="str"/>
      <x:c r="E2008" s="16" t="str">
        <x:v>* myContacts</x:v>
      </x:c>
      <x:c r="F2008" s="16" t="str">
        <x:v>+60 17-376 7568 | +60173767568</x:v>
      </x:c>
      <x:c r="G2008" s="16" t="str">
        <x:v>+60173767568 | +60173767568</x:v>
      </x:c>
      <x:c r="H2008" s="16" t="str">
        <x:v>Excluded</x:v>
      </x:c>
      <x:c r="I2008" s="16" t="str">
        <x:v>Missing email</x:v>
      </x:c>
    </x:row>
    <x:row r="2009">
      <x:c r="A2009" s="16" t="n">
        <x:v>2006</x:v>
      </x:c>
      <x:c r="B2009" s="16" t="str">
        <x:v>e46</x:v>
      </x:c>
      <x:c r="C2009" s="16" t="str"/>
      <x:c r="D2009" s="16" t="str"/>
      <x:c r="E2009" s="16" t="str">
        <x:v>* myContacts</x:v>
      </x:c>
      <x:c r="F2009" s="16" t="str">
        <x:v>+60 11-1074 9639 | +601110749639</x:v>
      </x:c>
      <x:c r="G2009" s="16" t="str">
        <x:v>+601110749639 | +601110749639</x:v>
      </x:c>
      <x:c r="H2009" s="16" t="str">
        <x:v>Excluded</x:v>
      </x:c>
      <x:c r="I2009" s="16" t="str">
        <x:v>Missing email</x:v>
      </x:c>
    </x:row>
    <x:row r="2010">
      <x:c r="A2010" s="16" t="n">
        <x:v>2007</x:v>
      </x:c>
      <x:c r="B2010" s="16" t="str">
        <x:v>e47</x:v>
      </x:c>
      <x:c r="C2010" s="16" t="str"/>
      <x:c r="D2010" s="16" t="str"/>
      <x:c r="E2010" s="16" t="str">
        <x:v>* myContacts</x:v>
      </x:c>
      <x:c r="F2010" s="16" t="str">
        <x:v>+60 12-954 2784 | +60129542784</x:v>
      </x:c>
      <x:c r="G2010" s="16" t="str">
        <x:v>+60129542784 | +60129542784</x:v>
      </x:c>
      <x:c r="H2010" s="16" t="str">
        <x:v>Excluded</x:v>
      </x:c>
      <x:c r="I2010" s="16" t="str">
        <x:v>Missing email</x:v>
      </x:c>
    </x:row>
    <x:row r="2011">
      <x:c r="A2011" s="16" t="n">
        <x:v>2008</x:v>
      </x:c>
      <x:c r="B2011" s="16" t="str">
        <x:v>e48</x:v>
      </x:c>
      <x:c r="C2011" s="16" t="str"/>
      <x:c r="D2011" s="16" t="str"/>
      <x:c r="E2011" s="16" t="str">
        <x:v>* myContacts</x:v>
      </x:c>
      <x:c r="F2011" s="16" t="str">
        <x:v>+60 11-1615 1443 | +601116151443</x:v>
      </x:c>
      <x:c r="G2011" s="16" t="str">
        <x:v>+601116151443 | +601116151443</x:v>
      </x:c>
      <x:c r="H2011" s="16" t="str">
        <x:v>Excluded</x:v>
      </x:c>
      <x:c r="I2011" s="16" t="str">
        <x:v>Missing email</x:v>
      </x:c>
    </x:row>
    <x:row r="2012">
      <x:c r="A2012" s="16" t="n">
        <x:v>2009</x:v>
      </x:c>
      <x:c r="B2012" s="16" t="str">
        <x:v>e49</x:v>
      </x:c>
      <x:c r="C2012" s="16" t="str"/>
      <x:c r="D2012" s="16" t="str"/>
      <x:c r="E2012" s="16" t="str">
        <x:v>* myContacts</x:v>
      </x:c>
      <x:c r="F2012" s="16" t="str">
        <x:v>+60 16-929 2724 | +60169292724</x:v>
      </x:c>
      <x:c r="G2012" s="16" t="str">
        <x:v>+60169292724 | +60169292724</x:v>
      </x:c>
      <x:c r="H2012" s="16" t="str">
        <x:v>Excluded</x:v>
      </x:c>
      <x:c r="I2012" s="16" t="str">
        <x:v>Missing email</x:v>
      </x:c>
    </x:row>
    <x:row r="2013">
      <x:c r="A2013" s="16" t="n">
        <x:v>2010</x:v>
      </x:c>
      <x:c r="B2013" s="16" t="str">
        <x:v>e5</x:v>
      </x:c>
      <x:c r="C2013" s="16" t="str"/>
      <x:c r="D2013" s="16" t="str"/>
      <x:c r="E2013" s="16" t="str">
        <x:v>* myContacts</x:v>
      </x:c>
      <x:c r="F2013" s="16" t="str">
        <x:v>+60 10-421 8079 | +60104218079</x:v>
      </x:c>
      <x:c r="G2013" s="16" t="str">
        <x:v>+60104218079 | +60104218079</x:v>
      </x:c>
      <x:c r="H2013" s="16" t="str">
        <x:v>Excluded</x:v>
      </x:c>
      <x:c r="I2013" s="16" t="str">
        <x:v>Missing email</x:v>
      </x:c>
    </x:row>
    <x:row r="2014">
      <x:c r="A2014" s="16" t="n">
        <x:v>2011</x:v>
      </x:c>
      <x:c r="B2014" s="16" t="str">
        <x:v>e50</x:v>
      </x:c>
      <x:c r="C2014" s="16" t="str"/>
      <x:c r="D2014" s="16" t="str"/>
      <x:c r="E2014" s="16" t="str">
        <x:v>* myContacts</x:v>
      </x:c>
      <x:c r="F2014" s="16" t="str">
        <x:v>+60 18-574 4616 | +60185744616</x:v>
      </x:c>
      <x:c r="G2014" s="16" t="str">
        <x:v>+60185744616 | +60185744616</x:v>
      </x:c>
      <x:c r="H2014" s="16" t="str">
        <x:v>Excluded</x:v>
      </x:c>
      <x:c r="I2014" s="16" t="str">
        <x:v>Missing email</x:v>
      </x:c>
    </x:row>
    <x:row r="2015">
      <x:c r="A2015" s="16" t="n">
        <x:v>2012</x:v>
      </x:c>
      <x:c r="B2015" s="16" t="str">
        <x:v>e51</x:v>
      </x:c>
      <x:c r="C2015" s="16" t="str"/>
      <x:c r="D2015" s="16" t="str"/>
      <x:c r="E2015" s="16" t="str">
        <x:v>* myContacts</x:v>
      </x:c>
      <x:c r="F2015" s="16" t="str">
        <x:v>+60 12-844 5340 | +60128445340</x:v>
      </x:c>
      <x:c r="G2015" s="16" t="str">
        <x:v>+60128445340 | +60128445340</x:v>
      </x:c>
      <x:c r="H2015" s="16" t="str">
        <x:v>Excluded</x:v>
      </x:c>
      <x:c r="I2015" s="16" t="str">
        <x:v>Missing email</x:v>
      </x:c>
    </x:row>
    <x:row r="2016">
      <x:c r="A2016" s="16" t="n">
        <x:v>2013</x:v>
      </x:c>
      <x:c r="B2016" s="16" t="str">
        <x:v>e52</x:v>
      </x:c>
      <x:c r="C2016" s="16" t="str"/>
      <x:c r="D2016" s="16" t="str"/>
      <x:c r="E2016" s="16" t="str">
        <x:v>* myContacts</x:v>
      </x:c>
      <x:c r="F2016" s="16" t="str">
        <x:v>+60 11-1040 4335 | +601110404335</x:v>
      </x:c>
      <x:c r="G2016" s="16" t="str">
        <x:v>+601110404335 | +601110404335</x:v>
      </x:c>
      <x:c r="H2016" s="16" t="str">
        <x:v>Excluded</x:v>
      </x:c>
      <x:c r="I2016" s="16" t="str">
        <x:v>Missing email</x:v>
      </x:c>
    </x:row>
    <x:row r="2017">
      <x:c r="A2017" s="16" t="n">
        <x:v>2014</x:v>
      </x:c>
      <x:c r="B2017" s="16" t="str">
        <x:v>e53</x:v>
      </x:c>
      <x:c r="C2017" s="16" t="str"/>
      <x:c r="D2017" s="16" t="str"/>
      <x:c r="E2017" s="16" t="str">
        <x:v>* myContacts</x:v>
      </x:c>
      <x:c r="F2017" s="16" t="str">
        <x:v>+60 10-711 7190 | +60107117190</x:v>
      </x:c>
      <x:c r="G2017" s="16" t="str">
        <x:v>+60107117190 | +60107117190</x:v>
      </x:c>
      <x:c r="H2017" s="16" t="str">
        <x:v>Excluded</x:v>
      </x:c>
      <x:c r="I2017" s="16" t="str">
        <x:v>Missing email</x:v>
      </x:c>
    </x:row>
    <x:row r="2018">
      <x:c r="A2018" s="16" t="n">
        <x:v>2015</x:v>
      </x:c>
      <x:c r="B2018" s="16" t="str">
        <x:v>e54</x:v>
      </x:c>
      <x:c r="C2018" s="16" t="str"/>
      <x:c r="D2018" s="16" t="str"/>
      <x:c r="E2018" s="16" t="str">
        <x:v>* myContacts</x:v>
      </x:c>
      <x:c r="F2018" s="16" t="str">
        <x:v>+60 18-900 4123 | +60189004123</x:v>
      </x:c>
      <x:c r="G2018" s="16" t="str">
        <x:v>+60189004123 | +60189004123</x:v>
      </x:c>
      <x:c r="H2018" s="16" t="str">
        <x:v>Excluded</x:v>
      </x:c>
      <x:c r="I2018" s="16" t="str">
        <x:v>Missing email</x:v>
      </x:c>
    </x:row>
    <x:row r="2019">
      <x:c r="A2019" s="16" t="n">
        <x:v>2016</x:v>
      </x:c>
      <x:c r="B2019" s="16" t="str">
        <x:v>e55</x:v>
      </x:c>
      <x:c r="C2019" s="16" t="str"/>
      <x:c r="D2019" s="16" t="str"/>
      <x:c r="E2019" s="16" t="str">
        <x:v>* myContacts</x:v>
      </x:c>
      <x:c r="F2019" s="16" t="str">
        <x:v>+60 14-341 7364 | +60143417364</x:v>
      </x:c>
      <x:c r="G2019" s="16" t="str">
        <x:v>+60143417364 | +60143417364</x:v>
      </x:c>
      <x:c r="H2019" s="16" t="str">
        <x:v>Excluded</x:v>
      </x:c>
      <x:c r="I2019" s="16" t="str">
        <x:v>Missing email</x:v>
      </x:c>
    </x:row>
    <x:row r="2020">
      <x:c r="A2020" s="16" t="n">
        <x:v>2017</x:v>
      </x:c>
      <x:c r="B2020" s="16" t="str">
        <x:v>e56</x:v>
      </x:c>
      <x:c r="C2020" s="16" t="str"/>
      <x:c r="D2020" s="16" t="str"/>
      <x:c r="E2020" s="16" t="str">
        <x:v>* myContacts</x:v>
      </x:c>
      <x:c r="F2020" s="16" t="str">
        <x:v>+60 13-836 4220 | +60138364220</x:v>
      </x:c>
      <x:c r="G2020" s="16" t="str">
        <x:v>+60138364220 | +60138364220</x:v>
      </x:c>
      <x:c r="H2020" s="16" t="str">
        <x:v>Excluded</x:v>
      </x:c>
      <x:c r="I2020" s="16" t="str">
        <x:v>Missing email</x:v>
      </x:c>
    </x:row>
    <x:row r="2021">
      <x:c r="A2021" s="16" t="n">
        <x:v>2018</x:v>
      </x:c>
      <x:c r="B2021" s="16" t="str">
        <x:v>e57</x:v>
      </x:c>
      <x:c r="C2021" s="16" t="str"/>
      <x:c r="D2021" s="16" t="str"/>
      <x:c r="E2021" s="16" t="str">
        <x:v>* myContacts</x:v>
      </x:c>
      <x:c r="F2021" s="16" t="str">
        <x:v>+60 18-315 5704 | +60183155704</x:v>
      </x:c>
      <x:c r="G2021" s="16" t="str">
        <x:v>+60183155704 | +60183155704</x:v>
      </x:c>
      <x:c r="H2021" s="16" t="str">
        <x:v>Excluded</x:v>
      </x:c>
      <x:c r="I2021" s="16" t="str">
        <x:v>Missing email</x:v>
      </x:c>
    </x:row>
    <x:row r="2022">
      <x:c r="A2022" s="16" t="n">
        <x:v>2019</x:v>
      </x:c>
      <x:c r="B2022" s="16" t="str">
        <x:v>e58</x:v>
      </x:c>
      <x:c r="C2022" s="16" t="str"/>
      <x:c r="D2022" s="16" t="str"/>
      <x:c r="E2022" s="16" t="str">
        <x:v>* myContacts</x:v>
      </x:c>
      <x:c r="F2022" s="16" t="str">
        <x:v>+60 16-633 8192 | +60166338192</x:v>
      </x:c>
      <x:c r="G2022" s="16" t="str">
        <x:v>+60166338192 | +60166338192</x:v>
      </x:c>
      <x:c r="H2022" s="16" t="str">
        <x:v>Excluded</x:v>
      </x:c>
      <x:c r="I2022" s="16" t="str">
        <x:v>Missing email</x:v>
      </x:c>
    </x:row>
    <x:row r="2023">
      <x:c r="A2023" s="16" t="n">
        <x:v>2020</x:v>
      </x:c>
      <x:c r="B2023" s="16" t="str">
        <x:v>e59</x:v>
      </x:c>
      <x:c r="C2023" s="16" t="str"/>
      <x:c r="D2023" s="16" t="str"/>
      <x:c r="E2023" s="16" t="str">
        <x:v>* myContacts</x:v>
      </x:c>
      <x:c r="F2023" s="16" t="str">
        <x:v>+60 19-496 9238 | +60194969238</x:v>
      </x:c>
      <x:c r="G2023" s="16" t="str">
        <x:v>+60194969238 | +60194969238</x:v>
      </x:c>
      <x:c r="H2023" s="16" t="str">
        <x:v>Excluded</x:v>
      </x:c>
      <x:c r="I2023" s="16" t="str">
        <x:v>Missing email</x:v>
      </x:c>
    </x:row>
    <x:row r="2024">
      <x:c r="A2024" s="16" t="n">
        <x:v>2021</x:v>
      </x:c>
      <x:c r="B2024" s="16" t="str">
        <x:v>e6</x:v>
      </x:c>
      <x:c r="C2024" s="16" t="str"/>
      <x:c r="D2024" s="16" t="str"/>
      <x:c r="E2024" s="16" t="str">
        <x:v>* myContacts</x:v>
      </x:c>
      <x:c r="F2024" s="16" t="str">
        <x:v>+60 12-649 4459 | +60126494459</x:v>
      </x:c>
      <x:c r="G2024" s="16" t="str">
        <x:v>+60126494459 | +60126494459</x:v>
      </x:c>
      <x:c r="H2024" s="16" t="str">
        <x:v>Excluded</x:v>
      </x:c>
      <x:c r="I2024" s="16" t="str">
        <x:v>Missing email</x:v>
      </x:c>
    </x:row>
    <x:row r="2025">
      <x:c r="A2025" s="16" t="n">
        <x:v>2022</x:v>
      </x:c>
      <x:c r="B2025" s="16" t="str">
        <x:v>e60</x:v>
      </x:c>
      <x:c r="C2025" s="16" t="str"/>
      <x:c r="D2025" s="16" t="str"/>
      <x:c r="E2025" s="16" t="str">
        <x:v>* myContacts</x:v>
      </x:c>
      <x:c r="F2025" s="16" t="str">
        <x:v>+60 13-739 0507 | +60137390507</x:v>
      </x:c>
      <x:c r="G2025" s="16" t="str">
        <x:v>+60137390507 | +60137390507</x:v>
      </x:c>
      <x:c r="H2025" s="16" t="str">
        <x:v>Excluded</x:v>
      </x:c>
      <x:c r="I2025" s="16" t="str">
        <x:v>Missing email</x:v>
      </x:c>
    </x:row>
    <x:row r="2026">
      <x:c r="A2026" s="16" t="n">
        <x:v>2023</x:v>
      </x:c>
      <x:c r="B2026" s="16" t="str">
        <x:v>e61</x:v>
      </x:c>
      <x:c r="C2026" s="16" t="str"/>
      <x:c r="D2026" s="16" t="str"/>
      <x:c r="E2026" s="16" t="str">
        <x:v>* myContacts</x:v>
      </x:c>
      <x:c r="F2026" s="16" t="str">
        <x:v>+60 12-347 9121 | +60123479121</x:v>
      </x:c>
      <x:c r="G2026" s="16" t="str">
        <x:v>+60123479121 | +60123479121</x:v>
      </x:c>
      <x:c r="H2026" s="16" t="str">
        <x:v>Excluded</x:v>
      </x:c>
      <x:c r="I2026" s="16" t="str">
        <x:v>Missing email</x:v>
      </x:c>
    </x:row>
    <x:row r="2027">
      <x:c r="A2027" s="16" t="n">
        <x:v>2024</x:v>
      </x:c>
      <x:c r="B2027" s="16" t="str">
        <x:v>e62</x:v>
      </x:c>
      <x:c r="C2027" s="16" t="str"/>
      <x:c r="D2027" s="16" t="str"/>
      <x:c r="E2027" s="16" t="str">
        <x:v>* myContacts</x:v>
      </x:c>
      <x:c r="F2027" s="16" t="str">
        <x:v>+60 10-877 6044 | +60108776044</x:v>
      </x:c>
      <x:c r="G2027" s="16" t="str">
        <x:v>+60108776044 | +60108776044</x:v>
      </x:c>
      <x:c r="H2027" s="16" t="str">
        <x:v>Excluded</x:v>
      </x:c>
      <x:c r="I2027" s="16" t="str">
        <x:v>Missing email</x:v>
      </x:c>
    </x:row>
    <x:row r="2028">
      <x:c r="A2028" s="16" t="n">
        <x:v>2025</x:v>
      </x:c>
      <x:c r="B2028" s="16" t="str">
        <x:v>e63</x:v>
      </x:c>
      <x:c r="C2028" s="16" t="str"/>
      <x:c r="D2028" s="16" t="str"/>
      <x:c r="E2028" s="16" t="str">
        <x:v>* myContacts</x:v>
      </x:c>
      <x:c r="F2028" s="16" t="str">
        <x:v>+60 11-3929 3522 | +601139293522</x:v>
      </x:c>
      <x:c r="G2028" s="16" t="str">
        <x:v>+601139293522 | +601139293522</x:v>
      </x:c>
      <x:c r="H2028" s="16" t="str">
        <x:v>Excluded</x:v>
      </x:c>
      <x:c r="I2028" s="16" t="str">
        <x:v>Missing email</x:v>
      </x:c>
    </x:row>
    <x:row r="2029">
      <x:c r="A2029" s="16" t="n">
        <x:v>2026</x:v>
      </x:c>
      <x:c r="B2029" s="16" t="str">
        <x:v>e64</x:v>
      </x:c>
      <x:c r="C2029" s="16" t="str"/>
      <x:c r="D2029" s="16" t="str"/>
      <x:c r="E2029" s="16" t="str">
        <x:v>* myContacts</x:v>
      </x:c>
      <x:c r="F2029" s="16" t="str">
        <x:v>+60 11-5686 5942 | +601156865942</x:v>
      </x:c>
      <x:c r="G2029" s="16" t="str">
        <x:v>+601156865942 | +601156865942</x:v>
      </x:c>
      <x:c r="H2029" s="16" t="str">
        <x:v>Excluded</x:v>
      </x:c>
      <x:c r="I2029" s="16" t="str">
        <x:v>Missing email</x:v>
      </x:c>
    </x:row>
    <x:row r="2030">
      <x:c r="A2030" s="16" t="n">
        <x:v>2027</x:v>
      </x:c>
      <x:c r="B2030" s="16" t="str">
        <x:v>e65</x:v>
      </x:c>
      <x:c r="C2030" s="16" t="str"/>
      <x:c r="D2030" s="16" t="str"/>
      <x:c r="E2030" s="16" t="str">
        <x:v>* myContacts</x:v>
      </x:c>
      <x:c r="F2030" s="16" t="str">
        <x:v>+60 13-303 7564 | +60133037564</x:v>
      </x:c>
      <x:c r="G2030" s="16" t="str">
        <x:v>+60133037564 | +60133037564</x:v>
      </x:c>
      <x:c r="H2030" s="16" t="str">
        <x:v>Excluded</x:v>
      </x:c>
      <x:c r="I2030" s="16" t="str">
        <x:v>Missing email</x:v>
      </x:c>
    </x:row>
    <x:row r="2031">
      <x:c r="A2031" s="16" t="n">
        <x:v>2028</x:v>
      </x:c>
      <x:c r="B2031" s="16" t="str">
        <x:v>e66</x:v>
      </x:c>
      <x:c r="C2031" s="16" t="str"/>
      <x:c r="D2031" s="16" t="str"/>
      <x:c r="E2031" s="16" t="str">
        <x:v>* myContacts</x:v>
      </x:c>
      <x:c r="F2031" s="16" t="str">
        <x:v>+60 19-470 9269 | +60194709269</x:v>
      </x:c>
      <x:c r="G2031" s="16" t="str">
        <x:v>+60194709269 | +60194709269</x:v>
      </x:c>
      <x:c r="H2031" s="16" t="str">
        <x:v>Excluded</x:v>
      </x:c>
      <x:c r="I2031" s="16" t="str">
        <x:v>Missing email</x:v>
      </x:c>
    </x:row>
    <x:row r="2032">
      <x:c r="A2032" s="16" t="n">
        <x:v>2029</x:v>
      </x:c>
      <x:c r="B2032" s="16" t="str">
        <x:v>e67</x:v>
      </x:c>
      <x:c r="C2032" s="16" t="str"/>
      <x:c r="D2032" s="16" t="str"/>
      <x:c r="E2032" s="16" t="str">
        <x:v>* myContacts</x:v>
      </x:c>
      <x:c r="F2032" s="16" t="str">
        <x:v>+60 13-859 1299 | +60138591299</x:v>
      </x:c>
      <x:c r="G2032" s="16" t="str">
        <x:v>+60138591299 | +60138591299</x:v>
      </x:c>
      <x:c r="H2032" s="16" t="str">
        <x:v>Excluded</x:v>
      </x:c>
      <x:c r="I2032" s="16" t="str">
        <x:v>Missing email</x:v>
      </x:c>
    </x:row>
    <x:row r="2033">
      <x:c r="A2033" s="16" t="n">
        <x:v>2030</x:v>
      </x:c>
      <x:c r="B2033" s="16" t="str">
        <x:v>e68</x:v>
      </x:c>
      <x:c r="C2033" s="16" t="str"/>
      <x:c r="D2033" s="16" t="str"/>
      <x:c r="E2033" s="16" t="str">
        <x:v>* myContacts</x:v>
      </x:c>
      <x:c r="F2033" s="16" t="str">
        <x:v>+60 17-979 1232 | +60179791232</x:v>
      </x:c>
      <x:c r="G2033" s="16" t="str">
        <x:v>+60179791232 | +60179791232</x:v>
      </x:c>
      <x:c r="H2033" s="16" t="str">
        <x:v>Excluded</x:v>
      </x:c>
      <x:c r="I2033" s="16" t="str">
        <x:v>Missing email</x:v>
      </x:c>
    </x:row>
    <x:row r="2034">
      <x:c r="A2034" s="16" t="n">
        <x:v>2031</x:v>
      </x:c>
      <x:c r="B2034" s="16" t="str">
        <x:v>e69</x:v>
      </x:c>
      <x:c r="C2034" s="16" t="str"/>
      <x:c r="D2034" s="16" t="str"/>
      <x:c r="E2034" s="16" t="str">
        <x:v>* myContacts</x:v>
      </x:c>
      <x:c r="F2034" s="16" t="str">
        <x:v>+60 19-953 0871 | +60199530871</x:v>
      </x:c>
      <x:c r="G2034" s="16" t="str">
        <x:v>+60199530871 | +60199530871</x:v>
      </x:c>
      <x:c r="H2034" s="16" t="str">
        <x:v>Excluded</x:v>
      </x:c>
      <x:c r="I2034" s="16" t="str">
        <x:v>Missing email</x:v>
      </x:c>
    </x:row>
    <x:row r="2035">
      <x:c r="A2035" s="16" t="n">
        <x:v>2032</x:v>
      </x:c>
      <x:c r="B2035" s="16" t="str">
        <x:v>e7</x:v>
      </x:c>
      <x:c r="C2035" s="16" t="str"/>
      <x:c r="D2035" s="16" t="str"/>
      <x:c r="E2035" s="16" t="str">
        <x:v>* myContacts</x:v>
      </x:c>
      <x:c r="F2035" s="16" t="str">
        <x:v>+60 16-821 0057 | +60168210057</x:v>
      </x:c>
      <x:c r="G2035" s="16" t="str">
        <x:v>+60168210057 | +60168210057</x:v>
      </x:c>
      <x:c r="H2035" s="16" t="str">
        <x:v>Excluded</x:v>
      </x:c>
      <x:c r="I2035" s="16" t="str">
        <x:v>Missing email</x:v>
      </x:c>
    </x:row>
    <x:row r="2036">
      <x:c r="A2036" s="16" t="n">
        <x:v>2033</x:v>
      </x:c>
      <x:c r="B2036" s="16" t="str">
        <x:v>e70</x:v>
      </x:c>
      <x:c r="C2036" s="16" t="str"/>
      <x:c r="D2036" s="16" t="str"/>
      <x:c r="E2036" s="16" t="str">
        <x:v>* myContacts</x:v>
      </x:c>
      <x:c r="F2036" s="16" t="str">
        <x:v>+60 13-241 5882 | +60132415882</x:v>
      </x:c>
      <x:c r="G2036" s="16" t="str">
        <x:v>+60132415882 | +60132415882</x:v>
      </x:c>
      <x:c r="H2036" s="16" t="str">
        <x:v>Excluded</x:v>
      </x:c>
      <x:c r="I2036" s="16" t="str">
        <x:v>Missing email</x:v>
      </x:c>
    </x:row>
    <x:row r="2037">
      <x:c r="A2037" s="16" t="n">
        <x:v>2034</x:v>
      </x:c>
      <x:c r="B2037" s="16" t="str">
        <x:v>e71</x:v>
      </x:c>
      <x:c r="C2037" s="16" t="str"/>
      <x:c r="D2037" s="16" t="str"/>
      <x:c r="E2037" s="16" t="str">
        <x:v>* myContacts</x:v>
      </x:c>
      <x:c r="F2037" s="16" t="str">
        <x:v>+60 10-971 8594 | +60109718594</x:v>
      </x:c>
      <x:c r="G2037" s="16" t="str">
        <x:v>+60109718594 | +60109718594</x:v>
      </x:c>
      <x:c r="H2037" s="16" t="str">
        <x:v>Excluded</x:v>
      </x:c>
      <x:c r="I2037" s="16" t="str">
        <x:v>Missing email</x:v>
      </x:c>
    </x:row>
    <x:row r="2038">
      <x:c r="A2038" s="16" t="n">
        <x:v>2035</x:v>
      </x:c>
      <x:c r="B2038" s="16" t="str">
        <x:v>e72</x:v>
      </x:c>
      <x:c r="C2038" s="16" t="str"/>
      <x:c r="D2038" s="16" t="str"/>
      <x:c r="E2038" s="16" t="str">
        <x:v>* myContacts</x:v>
      </x:c>
      <x:c r="F2038" s="16" t="str">
        <x:v>+60 11-1448 2472 | +601114482472</x:v>
      </x:c>
      <x:c r="G2038" s="16" t="str">
        <x:v>+601114482472 | +601114482472</x:v>
      </x:c>
      <x:c r="H2038" s="16" t="str">
        <x:v>Excluded</x:v>
      </x:c>
      <x:c r="I2038" s="16" t="str">
        <x:v>Missing email</x:v>
      </x:c>
    </x:row>
    <x:row r="2039">
      <x:c r="A2039" s="16" t="n">
        <x:v>2036</x:v>
      </x:c>
      <x:c r="B2039" s="16" t="str">
        <x:v>e73</x:v>
      </x:c>
      <x:c r="C2039" s="16" t="str"/>
      <x:c r="D2039" s="16" t="str"/>
      <x:c r="E2039" s="16" t="str">
        <x:v>* myContacts</x:v>
      </x:c>
      <x:c r="F2039" s="16" t="str">
        <x:v>+60 10-243 8561 | +60102438561</x:v>
      </x:c>
      <x:c r="G2039" s="16" t="str">
        <x:v>+60102438561 | +60102438561</x:v>
      </x:c>
      <x:c r="H2039" s="16" t="str">
        <x:v>Excluded</x:v>
      </x:c>
      <x:c r="I2039" s="16" t="str">
        <x:v>Missing email</x:v>
      </x:c>
    </x:row>
    <x:row r="2040">
      <x:c r="A2040" s="16" t="n">
        <x:v>2037</x:v>
      </x:c>
      <x:c r="B2040" s="16" t="str">
        <x:v>e74</x:v>
      </x:c>
      <x:c r="C2040" s="16" t="str"/>
      <x:c r="D2040" s="16" t="str"/>
      <x:c r="E2040" s="16" t="str">
        <x:v>* myContacts</x:v>
      </x:c>
      <x:c r="F2040" s="16" t="str">
        <x:v>+60 12-347 2914 | +60123472914</x:v>
      </x:c>
      <x:c r="G2040" s="16" t="str">
        <x:v>+60123472914 | +60123472914</x:v>
      </x:c>
      <x:c r="H2040" s="16" t="str">
        <x:v>Excluded</x:v>
      </x:c>
      <x:c r="I2040" s="16" t="str">
        <x:v>Missing email</x:v>
      </x:c>
    </x:row>
    <x:row r="2041">
      <x:c r="A2041" s="16" t="n">
        <x:v>2038</x:v>
      </x:c>
      <x:c r="B2041" s="16" t="str">
        <x:v>e75</x:v>
      </x:c>
      <x:c r="C2041" s="16" t="str"/>
      <x:c r="D2041" s="16" t="str"/>
      <x:c r="E2041" s="16" t="str">
        <x:v>* myContacts</x:v>
      </x:c>
      <x:c r="F2041" s="16" t="str">
        <x:v>+60 14-992 5123 | +60149925123</x:v>
      </x:c>
      <x:c r="G2041" s="16" t="str">
        <x:v>+60149925123 | +60149925123</x:v>
      </x:c>
      <x:c r="H2041" s="16" t="str">
        <x:v>Excluded</x:v>
      </x:c>
      <x:c r="I2041" s="16" t="str">
        <x:v>Missing email</x:v>
      </x:c>
    </x:row>
    <x:row r="2042">
      <x:c r="A2042" s="16" t="n">
        <x:v>2039</x:v>
      </x:c>
      <x:c r="B2042" s="16" t="str">
        <x:v>e76</x:v>
      </x:c>
      <x:c r="C2042" s="16" t="str"/>
      <x:c r="D2042" s="16" t="str"/>
      <x:c r="E2042" s="16" t="str">
        <x:v>* myContacts</x:v>
      </x:c>
      <x:c r="F2042" s="16" t="str">
        <x:v>+60 18-761 1226 | +60187611226</x:v>
      </x:c>
      <x:c r="G2042" s="16" t="str">
        <x:v>+60187611226 | +60187611226</x:v>
      </x:c>
      <x:c r="H2042" s="16" t="str">
        <x:v>Excluded</x:v>
      </x:c>
      <x:c r="I2042" s="16" t="str">
        <x:v>Missing email</x:v>
      </x:c>
    </x:row>
    <x:row r="2043">
      <x:c r="A2043" s="16" t="n">
        <x:v>2040</x:v>
      </x:c>
      <x:c r="B2043" s="16" t="str">
        <x:v>e77</x:v>
      </x:c>
      <x:c r="C2043" s="16" t="str"/>
      <x:c r="D2043" s="16" t="str"/>
      <x:c r="E2043" s="16" t="str">
        <x:v>* myContacts</x:v>
      </x:c>
      <x:c r="F2043" s="16" t="str">
        <x:v>+60 10-770 7749 | +60107707749</x:v>
      </x:c>
      <x:c r="G2043" s="16" t="str">
        <x:v>+60107707749 | +60107707749</x:v>
      </x:c>
      <x:c r="H2043" s="16" t="str">
        <x:v>Excluded</x:v>
      </x:c>
      <x:c r="I2043" s="16" t="str">
        <x:v>Missing email</x:v>
      </x:c>
    </x:row>
    <x:row r="2044">
      <x:c r="A2044" s="16" t="n">
        <x:v>2041</x:v>
      </x:c>
      <x:c r="B2044" s="16" t="str">
        <x:v>e78</x:v>
      </x:c>
      <x:c r="C2044" s="16" t="str"/>
      <x:c r="D2044" s="16" t="str"/>
      <x:c r="E2044" s="16" t="str">
        <x:v>* myContacts</x:v>
      </x:c>
      <x:c r="F2044" s="16" t="str">
        <x:v>+60 18-968 4782 | +60189684782</x:v>
      </x:c>
      <x:c r="G2044" s="16" t="str">
        <x:v>+60189684782 | +60189684782</x:v>
      </x:c>
      <x:c r="H2044" s="16" t="str">
        <x:v>Excluded</x:v>
      </x:c>
      <x:c r="I2044" s="16" t="str">
        <x:v>Missing email</x:v>
      </x:c>
    </x:row>
    <x:row r="2045">
      <x:c r="A2045" s="16" t="n">
        <x:v>2042</x:v>
      </x:c>
      <x:c r="B2045" s="16" t="str">
        <x:v>e79</x:v>
      </x:c>
      <x:c r="C2045" s="16" t="str"/>
      <x:c r="D2045" s="16" t="str"/>
      <x:c r="E2045" s="16" t="str">
        <x:v>* myContacts</x:v>
      </x:c>
      <x:c r="F2045" s="16" t="str">
        <x:v>+60 18-213 5970 | +60182135970</x:v>
      </x:c>
      <x:c r="G2045" s="16" t="str">
        <x:v>+60182135970 | +60182135970</x:v>
      </x:c>
      <x:c r="H2045" s="16" t="str">
        <x:v>Excluded</x:v>
      </x:c>
      <x:c r="I2045" s="16" t="str">
        <x:v>Missing email</x:v>
      </x:c>
    </x:row>
    <x:row r="2046">
      <x:c r="A2046" s="16" t="n">
        <x:v>2043</x:v>
      </x:c>
      <x:c r="B2046" s="16" t="str">
        <x:v>e8</x:v>
      </x:c>
      <x:c r="C2046" s="16" t="str"/>
      <x:c r="D2046" s="16" t="str"/>
      <x:c r="E2046" s="16" t="str">
        <x:v>* myContacts</x:v>
      </x:c>
      <x:c r="F2046" s="16" t="str">
        <x:v>+60 14-906 4161 | +60149064161</x:v>
      </x:c>
      <x:c r="G2046" s="16" t="str">
        <x:v>+60149064161 | +60149064161</x:v>
      </x:c>
      <x:c r="H2046" s="16" t="str">
        <x:v>Excluded</x:v>
      </x:c>
      <x:c r="I2046" s="16" t="str">
        <x:v>Missing email</x:v>
      </x:c>
    </x:row>
    <x:row r="2047">
      <x:c r="A2047" s="16" t="n">
        <x:v>2044</x:v>
      </x:c>
      <x:c r="B2047" s="16" t="str">
        <x:v>e80</x:v>
      </x:c>
      <x:c r="C2047" s="16" t="str"/>
      <x:c r="D2047" s="16" t="str"/>
      <x:c r="E2047" s="16" t="str">
        <x:v>* myContacts</x:v>
      </x:c>
      <x:c r="F2047" s="16" t="str">
        <x:v>+60 19-436 7194 | +60194367194</x:v>
      </x:c>
      <x:c r="G2047" s="16" t="str">
        <x:v>+60194367194 | +60194367194</x:v>
      </x:c>
      <x:c r="H2047" s="16" t="str">
        <x:v>Excluded</x:v>
      </x:c>
      <x:c r="I2047" s="16" t="str">
        <x:v>Missing email</x:v>
      </x:c>
    </x:row>
    <x:row r="2048">
      <x:c r="A2048" s="16" t="n">
        <x:v>2045</x:v>
      </x:c>
      <x:c r="B2048" s="16" t="str">
        <x:v>e81</x:v>
      </x:c>
      <x:c r="C2048" s="16" t="str"/>
      <x:c r="D2048" s="16" t="str"/>
      <x:c r="E2048" s="16" t="str">
        <x:v>* myContacts</x:v>
      </x:c>
      <x:c r="F2048" s="16" t="str">
        <x:v>+60 11-1172 4070 | +601111724070</x:v>
      </x:c>
      <x:c r="G2048" s="16" t="str">
        <x:v>+601111724070 | +601111724070</x:v>
      </x:c>
      <x:c r="H2048" s="16" t="str">
        <x:v>Excluded</x:v>
      </x:c>
      <x:c r="I2048" s="16" t="str">
        <x:v>Missing email</x:v>
      </x:c>
    </x:row>
    <x:row r="2049">
      <x:c r="A2049" s="16" t="n">
        <x:v>2046</x:v>
      </x:c>
      <x:c r="B2049" s="16" t="str">
        <x:v>e82</x:v>
      </x:c>
      <x:c r="C2049" s="16" t="str"/>
      <x:c r="D2049" s="16" t="str"/>
      <x:c r="E2049" s="16" t="str">
        <x:v>* myContacts</x:v>
      </x:c>
      <x:c r="F2049" s="16" t="str">
        <x:v>+60 17-391 6713 | +60173916713</x:v>
      </x:c>
      <x:c r="G2049" s="16" t="str">
        <x:v>+60173916713 | +60173916713</x:v>
      </x:c>
      <x:c r="H2049" s="16" t="str">
        <x:v>Excluded</x:v>
      </x:c>
      <x:c r="I2049" s="16" t="str">
        <x:v>Missing email</x:v>
      </x:c>
    </x:row>
    <x:row r="2050">
      <x:c r="A2050" s="16" t="n">
        <x:v>2047</x:v>
      </x:c>
      <x:c r="B2050" s="16" t="str">
        <x:v>e83</x:v>
      </x:c>
      <x:c r="C2050" s="16" t="str"/>
      <x:c r="D2050" s="16" t="str"/>
      <x:c r="E2050" s="16" t="str">
        <x:v>* myContacts</x:v>
      </x:c>
      <x:c r="F2050" s="16" t="str">
        <x:v>+60 13-864 5440 | +60138645440</x:v>
      </x:c>
      <x:c r="G2050" s="16" t="str">
        <x:v>+60138645440 | +60138645440</x:v>
      </x:c>
      <x:c r="H2050" s="16" t="str">
        <x:v>Excluded</x:v>
      </x:c>
      <x:c r="I2050" s="16" t="str">
        <x:v>Missing email</x:v>
      </x:c>
    </x:row>
    <x:row r="2051">
      <x:c r="A2051" s="16" t="n">
        <x:v>2048</x:v>
      </x:c>
      <x:c r="B2051" s="16" t="str">
        <x:v>e84</x:v>
      </x:c>
      <x:c r="C2051" s="16" t="str"/>
      <x:c r="D2051" s="16" t="str"/>
      <x:c r="E2051" s="16" t="str">
        <x:v>* myContacts</x:v>
      </x:c>
      <x:c r="F2051" s="16" t="str">
        <x:v>+60 17-501 8616 | +60175018616</x:v>
      </x:c>
      <x:c r="G2051" s="16" t="str">
        <x:v>+60175018616 | +60175018616</x:v>
      </x:c>
      <x:c r="H2051" s="16" t="str">
        <x:v>Excluded</x:v>
      </x:c>
      <x:c r="I2051" s="16" t="str">
        <x:v>Missing email</x:v>
      </x:c>
    </x:row>
    <x:row r="2052">
      <x:c r="A2052" s="16" t="n">
        <x:v>2049</x:v>
      </x:c>
      <x:c r="B2052" s="16" t="str">
        <x:v>e85</x:v>
      </x:c>
      <x:c r="C2052" s="16" t="str"/>
      <x:c r="D2052" s="16" t="str"/>
      <x:c r="E2052" s="16" t="str">
        <x:v>* myContacts</x:v>
      </x:c>
      <x:c r="F2052" s="16" t="str">
        <x:v>+60 12-819 6192 | +60128196192</x:v>
      </x:c>
      <x:c r="G2052" s="16" t="str">
        <x:v>+60128196192 | +60128196192</x:v>
      </x:c>
      <x:c r="H2052" s="16" t="str">
        <x:v>Excluded</x:v>
      </x:c>
      <x:c r="I2052" s="16" t="str">
        <x:v>Missing email</x:v>
      </x:c>
    </x:row>
    <x:row r="2053">
      <x:c r="A2053" s="16" t="n">
        <x:v>2050</x:v>
      </x:c>
      <x:c r="B2053" s="16" t="str">
        <x:v>e86</x:v>
      </x:c>
      <x:c r="C2053" s="16" t="str"/>
      <x:c r="D2053" s="16" t="str"/>
      <x:c r="E2053" s="16" t="str">
        <x:v>* myContacts</x:v>
      </x:c>
      <x:c r="F2053" s="16" t="str">
        <x:v>+60 14-735 4730 | +60147354730</x:v>
      </x:c>
      <x:c r="G2053" s="16" t="str">
        <x:v>+60147354730 | +60147354730</x:v>
      </x:c>
      <x:c r="H2053" s="16" t="str">
        <x:v>Excluded</x:v>
      </x:c>
      <x:c r="I2053" s="16" t="str">
        <x:v>Missing email</x:v>
      </x:c>
    </x:row>
    <x:row r="2054">
      <x:c r="A2054" s="16" t="n">
        <x:v>2051</x:v>
      </x:c>
      <x:c r="B2054" s="16" t="str">
        <x:v>e87</x:v>
      </x:c>
      <x:c r="C2054" s="16" t="str"/>
      <x:c r="D2054" s="16" t="str"/>
      <x:c r="E2054" s="16" t="str">
        <x:v>* myContacts</x:v>
      </x:c>
      <x:c r="F2054" s="16" t="str">
        <x:v>+60 16-976 1595 | +60169761595</x:v>
      </x:c>
      <x:c r="G2054" s="16" t="str">
        <x:v>+60169761595 | +60169761595</x:v>
      </x:c>
      <x:c r="H2054" s="16" t="str">
        <x:v>Excluded</x:v>
      </x:c>
      <x:c r="I2054" s="16" t="str">
        <x:v>Missing email</x:v>
      </x:c>
    </x:row>
    <x:row r="2055">
      <x:c r="A2055" s="16" t="n">
        <x:v>2052</x:v>
      </x:c>
      <x:c r="B2055" s="16" t="str">
        <x:v>e88</x:v>
      </x:c>
      <x:c r="C2055" s="16" t="str"/>
      <x:c r="D2055" s="16" t="str"/>
      <x:c r="E2055" s="16" t="str">
        <x:v>* myContacts</x:v>
      </x:c>
      <x:c r="F2055" s="16" t="str">
        <x:v>+60 11-3108 9819 | +601131089819</x:v>
      </x:c>
      <x:c r="G2055" s="16" t="str">
        <x:v>+601131089819 | +601131089819</x:v>
      </x:c>
      <x:c r="H2055" s="16" t="str">
        <x:v>Excluded</x:v>
      </x:c>
      <x:c r="I2055" s="16" t="str">
        <x:v>Missing email</x:v>
      </x:c>
    </x:row>
    <x:row r="2056">
      <x:c r="A2056" s="16" t="n">
        <x:v>2053</x:v>
      </x:c>
      <x:c r="B2056" s="16" t="str">
        <x:v>e89</x:v>
      </x:c>
      <x:c r="C2056" s="16" t="str"/>
      <x:c r="D2056" s="16" t="str"/>
      <x:c r="E2056" s="16" t="str">
        <x:v>* myContacts</x:v>
      </x:c>
      <x:c r="F2056" s="16" t="str">
        <x:v>+60 19-621 4426 | +60196214426</x:v>
      </x:c>
      <x:c r="G2056" s="16" t="str">
        <x:v>+60196214426 | +60196214426</x:v>
      </x:c>
      <x:c r="H2056" s="16" t="str">
        <x:v>Excluded</x:v>
      </x:c>
      <x:c r="I2056" s="16" t="str">
        <x:v>Missing email</x:v>
      </x:c>
    </x:row>
    <x:row r="2057">
      <x:c r="A2057" s="16" t="n">
        <x:v>2054</x:v>
      </x:c>
      <x:c r="B2057" s="16" t="str">
        <x:v>e9</x:v>
      </x:c>
      <x:c r="C2057" s="16" t="str"/>
      <x:c r="D2057" s="16" t="str"/>
      <x:c r="E2057" s="16" t="str">
        <x:v>* myContacts</x:v>
      </x:c>
      <x:c r="F2057" s="16" t="str">
        <x:v>+60 14-609 1915 | +60146091915</x:v>
      </x:c>
      <x:c r="G2057" s="16" t="str">
        <x:v>+60146091915 | +60146091915</x:v>
      </x:c>
      <x:c r="H2057" s="16" t="str">
        <x:v>Excluded</x:v>
      </x:c>
      <x:c r="I2057" s="16" t="str">
        <x:v>Missing email</x:v>
      </x:c>
    </x:row>
    <x:row r="2058">
      <x:c r="A2058" s="16" t="n">
        <x:v>2055</x:v>
      </x:c>
      <x:c r="B2058" s="16" t="str">
        <x:v>e90</x:v>
      </x:c>
      <x:c r="C2058" s="16" t="str"/>
      <x:c r="D2058" s="16" t="str"/>
      <x:c r="E2058" s="16" t="str">
        <x:v>* myContacts</x:v>
      </x:c>
      <x:c r="F2058" s="16" t="str">
        <x:v>+60 16-498 0242 | +60164980242</x:v>
      </x:c>
      <x:c r="G2058" s="16" t="str">
        <x:v>+60164980242 | +60164980242</x:v>
      </x:c>
      <x:c r="H2058" s="16" t="str">
        <x:v>Excluded</x:v>
      </x:c>
      <x:c r="I2058" s="16" t="str">
        <x:v>Missing email</x:v>
      </x:c>
    </x:row>
    <x:row r="2059">
      <x:c r="A2059" s="16" t="n">
        <x:v>2056</x:v>
      </x:c>
      <x:c r="B2059" s="16" t="str">
        <x:v>e91</x:v>
      </x:c>
      <x:c r="C2059" s="16" t="str"/>
      <x:c r="D2059" s="16" t="str"/>
      <x:c r="E2059" s="16" t="str">
        <x:v>* myContacts</x:v>
      </x:c>
      <x:c r="F2059" s="16" t="str">
        <x:v>+60 12-699 9602 | +60126999602</x:v>
      </x:c>
      <x:c r="G2059" s="16" t="str">
        <x:v>+60126999602 | +60126999602</x:v>
      </x:c>
      <x:c r="H2059" s="16" t="str">
        <x:v>Excluded</x:v>
      </x:c>
      <x:c r="I2059" s="16" t="str">
        <x:v>Missing email</x:v>
      </x:c>
    </x:row>
    <x:row r="2060">
      <x:c r="A2060" s="16" t="n">
        <x:v>2057</x:v>
      </x:c>
      <x:c r="B2060" s="16" t="str">
        <x:v>e92</x:v>
      </x:c>
      <x:c r="C2060" s="16" t="str"/>
      <x:c r="D2060" s="16" t="str"/>
      <x:c r="E2060" s="16" t="str">
        <x:v>* myContacts</x:v>
      </x:c>
      <x:c r="F2060" s="16" t="str">
        <x:v>+60 11-2765 1322 | +601127651322</x:v>
      </x:c>
      <x:c r="G2060" s="16" t="str">
        <x:v>+601127651322 | +601127651322</x:v>
      </x:c>
      <x:c r="H2060" s="16" t="str">
        <x:v>Excluded</x:v>
      </x:c>
      <x:c r="I2060" s="16" t="str">
        <x:v>Missing email</x:v>
      </x:c>
    </x:row>
    <x:row r="2061">
      <x:c r="A2061" s="16" t="n">
        <x:v>2058</x:v>
      </x:c>
      <x:c r="B2061" s="16" t="str">
        <x:v>e93</x:v>
      </x:c>
      <x:c r="C2061" s="16" t="str"/>
      <x:c r="D2061" s="16" t="str"/>
      <x:c r="E2061" s="16" t="str">
        <x:v>* myContacts</x:v>
      </x:c>
      <x:c r="F2061" s="16" t="str">
        <x:v>+60 13-859 6813 | +60138596813</x:v>
      </x:c>
      <x:c r="G2061" s="16" t="str">
        <x:v>+60138596813 | +60138596813</x:v>
      </x:c>
      <x:c r="H2061" s="16" t="str">
        <x:v>Excluded</x:v>
      </x:c>
      <x:c r="I2061" s="16" t="str">
        <x:v>Missing email</x:v>
      </x:c>
    </x:row>
    <x:row r="2062">
      <x:c r="A2062" s="16" t="n">
        <x:v>2059</x:v>
      </x:c>
      <x:c r="B2062" s="16" t="str">
        <x:v>e94</x:v>
      </x:c>
      <x:c r="C2062" s="16" t="str"/>
      <x:c r="D2062" s="16" t="str"/>
      <x:c r="E2062" s="16" t="str">
        <x:v>* myContacts</x:v>
      </x:c>
      <x:c r="F2062" s="16" t="str">
        <x:v>+60 14-521 2264 | +60145212264</x:v>
      </x:c>
      <x:c r="G2062" s="16" t="str">
        <x:v>+60145212264 | +60145212264</x:v>
      </x:c>
      <x:c r="H2062" s="16" t="str">
        <x:v>Excluded</x:v>
      </x:c>
      <x:c r="I2062" s="16" t="str">
        <x:v>Missing email</x:v>
      </x:c>
    </x:row>
    <x:row r="2063">
      <x:c r="A2063" s="16" t="n">
        <x:v>2060</x:v>
      </x:c>
      <x:c r="B2063" s="16" t="str">
        <x:v>e95</x:v>
      </x:c>
      <x:c r="C2063" s="16" t="str"/>
      <x:c r="D2063" s="16" t="str"/>
      <x:c r="E2063" s="16" t="str">
        <x:v>* myContacts</x:v>
      </x:c>
      <x:c r="F2063" s="16" t="str">
        <x:v>+60 11-2848 9725 | +601128489725</x:v>
      </x:c>
      <x:c r="G2063" s="16" t="str">
        <x:v>+601128489725 | +601128489725</x:v>
      </x:c>
      <x:c r="H2063" s="16" t="str">
        <x:v>Excluded</x:v>
      </x:c>
      <x:c r="I2063" s="16" t="str">
        <x:v>Missing email</x:v>
      </x:c>
    </x:row>
    <x:row r="2064">
      <x:c r="A2064" s="16" t="n">
        <x:v>2061</x:v>
      </x:c>
      <x:c r="B2064" s="16" t="str">
        <x:v>e96</x:v>
      </x:c>
      <x:c r="C2064" s="16" t="str"/>
      <x:c r="D2064" s="16" t="str"/>
      <x:c r="E2064" s="16" t="str">
        <x:v>* myContacts</x:v>
      </x:c>
      <x:c r="F2064" s="16" t="str">
        <x:v>+60 16-238 3432 | +60162383432</x:v>
      </x:c>
      <x:c r="G2064" s="16" t="str">
        <x:v>+60162383432 | +60162383432</x:v>
      </x:c>
      <x:c r="H2064" s="16" t="str">
        <x:v>Excluded</x:v>
      </x:c>
      <x:c r="I2064" s="16" t="str">
        <x:v>Missing email</x:v>
      </x:c>
    </x:row>
    <x:row r="2065">
      <x:c r="A2065" s="16" t="n">
        <x:v>2062</x:v>
      </x:c>
      <x:c r="B2065" s="16" t="str">
        <x:v>e97</x:v>
      </x:c>
      <x:c r="C2065" s="16" t="str"/>
      <x:c r="D2065" s="16" t="str"/>
      <x:c r="E2065" s="16" t="str">
        <x:v>* myContacts</x:v>
      </x:c>
      <x:c r="F2065" s="16" t="str">
        <x:v>+60 10-520 1453 | +60105201453</x:v>
      </x:c>
      <x:c r="G2065" s="16" t="str">
        <x:v>+60105201453 | +60105201453</x:v>
      </x:c>
      <x:c r="H2065" s="16" t="str">
        <x:v>Excluded</x:v>
      </x:c>
      <x:c r="I2065" s="16" t="str">
        <x:v>Missing email</x:v>
      </x:c>
    </x:row>
    <x:row r="2066">
      <x:c r="A2066" s="16" t="n">
        <x:v>2063</x:v>
      </x:c>
      <x:c r="B2066" s="16" t="str">
        <x:v>Earfanul Hoque Chy Joshef</x:v>
      </x:c>
      <x:c r="C2066" s="16" t="str"/>
      <x:c r="D2066" s="16" t="str"/>
      <x:c r="E2066" s="16" t="str">
        <x:v>* myContacts</x:v>
      </x:c>
      <x:c r="F2066" s="16" t="str">
        <x:v>+8801813850585</x:v>
      </x:c>
      <x:c r="G2066" s="16" t="str">
        <x:v>+8801813850585</x:v>
      </x:c>
      <x:c r="H2066" s="16" t="str">
        <x:v>Excluded</x:v>
      </x:c>
      <x:c r="I2066" s="16" t="str">
        <x:v>Missing email</x:v>
      </x:c>
    </x:row>
    <x:row r="2067">
      <x:c r="A2067" s="16" t="n">
        <x:v>2064</x:v>
      </x:c>
      <x:c r="B2067" s="16" t="str">
        <x:v>Ebay</x:v>
      </x:c>
      <x:c r="C2067" s="16" t="str"/>
      <x:c r="D2067" s="16" t="str"/>
      <x:c r="E2067" s="16" t="str">
        <x:v>* myContacts</x:v>
      </x:c>
      <x:c r="F2067" s="16" t="str">
        <x:v>+60162322119</x:v>
      </x:c>
      <x:c r="G2067" s="16" t="str">
        <x:v>+60162322119</x:v>
      </x:c>
      <x:c r="H2067" s="16" t="str">
        <x:v>Excluded</x:v>
      </x:c>
      <x:c r="I2067" s="16" t="str">
        <x:v>Missing email</x:v>
      </x:c>
    </x:row>
    <x:row r="2068">
      <x:c r="A2068" s="16" t="n">
        <x:v>2065</x:v>
      </x:c>
      <x:c r="B2068" s="16" t="str">
        <x:v>Dr Ebay</x:v>
      </x:c>
      <x:c r="C2068" s="16" t="str"/>
      <x:c r="D2068" s="16" t="str"/>
      <x:c r="E2068" s="16" t="str">
        <x:v>* myContacts</x:v>
      </x:c>
      <x:c r="F2068" s="16" t="str">
        <x:v>0162322119</x:v>
      </x:c>
      <x:c r="G2068" s="16" t="str">
        <x:v>+60162322119</x:v>
      </x:c>
      <x:c r="H2068" s="16" t="str">
        <x:v>Excluded</x:v>
      </x:c>
      <x:c r="I2068" s="16" t="str">
        <x:v>Missing email</x:v>
      </x:c>
    </x:row>
    <x:row r="2069">
      <x:c r="A2069" s="16" t="n">
        <x:v>2066</x:v>
      </x:c>
      <x:c r="B2069" s="16" t="str">
        <x:v>Eby Joe</x:v>
      </x:c>
      <x:c r="C2069" s="16" t="str"/>
      <x:c r="D2069" s="16" t="str"/>
      <x:c r="E2069" s="16" t="str">
        <x:v>* myContacts</x:v>
      </x:c>
      <x:c r="F2069" s="16" t="str">
        <x:v>+601119964939</x:v>
      </x:c>
      <x:c r="G2069" s="16" t="str">
        <x:v>+601119964939</x:v>
      </x:c>
      <x:c r="H2069" s="16" t="str">
        <x:v>Excluded</x:v>
      </x:c>
      <x:c r="I2069" s="16" t="str">
        <x:v>Missing email</x:v>
      </x:c>
    </x:row>
    <x:row r="2070">
      <x:c r="A2070" s="16" t="n">
        <x:v>2067</x:v>
      </x:c>
      <x:c r="B2070" s="16" t="str">
        <x:v>EC Mdec</x:v>
      </x:c>
      <x:c r="C2070" s="16" t="str"/>
      <x:c r="D2070" s="16" t="str"/>
      <x:c r="E2070" s="16" t="str">
        <x:v>* myContacts</x:v>
      </x:c>
      <x:c r="F2070" s="16" t="str">
        <x:v>+60 17-939 2266 | +60179392266</x:v>
      </x:c>
      <x:c r="G2070" s="16" t="str">
        <x:v>+60179392266 | +60179392266</x:v>
      </x:c>
      <x:c r="H2070" s="16" t="str">
        <x:v>Excluded</x:v>
      </x:c>
      <x:c r="I2070" s="16" t="str">
        <x:v>Missing email</x:v>
      </x:c>
    </x:row>
    <x:row r="2071">
      <x:c r="A2071" s="16" t="n">
        <x:v>2068</x:v>
      </x:c>
      <x:c r="B2071" s="16" t="str">
        <x:v>Ecah Chubbylixiouse</x:v>
      </x:c>
      <x:c r="C2071" s="16" t="str"/>
      <x:c r="D2071" s="16" t="str"/>
      <x:c r="E2071" s="16" t="str">
        <x:v>* myContacts</x:v>
      </x:c>
      <x:c r="F2071" s="16" t="str">
        <x:v>+60179489418</x:v>
      </x:c>
      <x:c r="G2071" s="16" t="str">
        <x:v>+60179489418</x:v>
      </x:c>
      <x:c r="H2071" s="16" t="str">
        <x:v>Excluded</x:v>
      </x:c>
      <x:c r="I2071" s="16" t="str">
        <x:v>Missing email</x:v>
      </x:c>
    </x:row>
    <x:row r="2072">
      <x:c r="A2072" s="16" t="n">
        <x:v>2069</x:v>
      </x:c>
      <x:c r="B2072" s="16" t="str">
        <x:v>Ecah Cyunk</x:v>
      </x:c>
      <x:c r="C2072" s="16" t="str"/>
      <x:c r="D2072" s="16" t="str"/>
      <x:c r="E2072" s="16" t="str">
        <x:v>* myContacts</x:v>
      </x:c>
      <x:c r="F2072" s="16" t="str">
        <x:v>+60194692302</x:v>
      </x:c>
      <x:c r="G2072" s="16" t="str">
        <x:v>+60194692302</x:v>
      </x:c>
      <x:c r="H2072" s="16" t="str">
        <x:v>Excluded</x:v>
      </x:c>
      <x:c r="I2072" s="16" t="str">
        <x:v>Missing email</x:v>
      </x:c>
    </x:row>
    <x:row r="2073">
      <x:c r="A2073" s="16" t="n">
        <x:v>2070</x:v>
      </x:c>
      <x:c r="B2073" s="16" t="str">
        <x:v>Echa Misul Lidjan</x:v>
      </x:c>
      <x:c r="C2073" s="16" t="str"/>
      <x:c r="D2073" s="16" t="str"/>
      <x:c r="E2073" s="16" t="str">
        <x:v>* myContacts</x:v>
      </x:c>
      <x:c r="F2073" s="16" t="str">
        <x:v>+60145568022</x:v>
      </x:c>
      <x:c r="G2073" s="16" t="str">
        <x:v>+60145568022</x:v>
      </x:c>
      <x:c r="H2073" s="16" t="str">
        <x:v>Excluded</x:v>
      </x:c>
      <x:c r="I2073" s="16" t="str">
        <x:v>Missing email</x:v>
      </x:c>
    </x:row>
    <x:row r="2074">
      <x:c r="A2074" s="16" t="n">
        <x:v>2071</x:v>
      </x:c>
      <x:c r="B2074" s="16" t="str">
        <x:v>Echam Jusham Lajim</x:v>
      </x:c>
      <x:c r="C2074" s="16" t="str"/>
      <x:c r="D2074" s="16" t="str"/>
      <x:c r="E2074" s="16" t="str">
        <x:v>* myContacts</x:v>
      </x:c>
      <x:c r="F2074" s="16" t="str">
        <x:v>+601116448512</x:v>
      </x:c>
      <x:c r="G2074" s="16" t="str">
        <x:v>+601116448512</x:v>
      </x:c>
      <x:c r="H2074" s="16" t="str">
        <x:v>Excluded</x:v>
      </x:c>
      <x:c r="I2074" s="16" t="str">
        <x:v>Missing email</x:v>
      </x:c>
    </x:row>
    <x:row r="2075">
      <x:c r="A2075" s="16" t="n">
        <x:v>2072</x:v>
      </x:c>
      <x:c r="B2075" s="16" t="str">
        <x:v>Ed Dean</x:v>
      </x:c>
      <x:c r="C2075" s="16" t="str"/>
      <x:c r="D2075" s="16" t="str"/>
      <x:c r="E2075" s="16" t="str">
        <x:v>* myContacts</x:v>
      </x:c>
      <x:c r="F2075" s="16" t="str">
        <x:v>+60135130835</x:v>
      </x:c>
      <x:c r="G2075" s="16" t="str">
        <x:v>+60135130835</x:v>
      </x:c>
      <x:c r="H2075" s="16" t="str">
        <x:v>Excluded</x:v>
      </x:c>
      <x:c r="I2075" s="16" t="str">
        <x:v>Missing email</x:v>
      </x:c>
    </x:row>
    <x:row r="2076">
      <x:c r="A2076" s="16" t="n">
        <x:v>2073</x:v>
      </x:c>
      <x:c r="B2076" s="16" t="str">
        <x:v>Edana OA Temiar</x:v>
      </x:c>
      <x:c r="C2076" s="16" t="str"/>
      <x:c r="D2076" s="16" t="str"/>
      <x:c r="E2076" s="16" t="str">
        <x:v>* myContacts</x:v>
      </x:c>
      <x:c r="F2076" s="16" t="str">
        <x:v>+601125591195</x:v>
      </x:c>
      <x:c r="G2076" s="16" t="str">
        <x:v>+601125591195</x:v>
      </x:c>
      <x:c r="H2076" s="16" t="str">
        <x:v>Excluded</x:v>
      </x:c>
      <x:c r="I2076" s="16" t="str">
        <x:v>Missing email</x:v>
      </x:c>
    </x:row>
    <x:row r="2077">
      <x:c r="A2077" s="16" t="n">
        <x:v>2074</x:v>
      </x:c>
      <x:c r="B2077" s="16" t="str">
        <x:v>Edda Ida</x:v>
      </x:c>
      <x:c r="C2077" s="16" t="str"/>
      <x:c r="D2077" s="16" t="str"/>
      <x:c r="E2077" s="16" t="str">
        <x:v>* myContacts</x:v>
      </x:c>
      <x:c r="F2077" s="16" t="str">
        <x:v>+60135595763</x:v>
      </x:c>
      <x:c r="G2077" s="16" t="str">
        <x:v>+60135595763</x:v>
      </x:c>
      <x:c r="H2077" s="16" t="str">
        <x:v>Excluded</x:v>
      </x:c>
      <x:c r="I2077" s="16" t="str">
        <x:v>Missing email</x:v>
      </x:c>
    </x:row>
    <x:row r="2078">
      <x:c r="A2078" s="16" t="n">
        <x:v>2075</x:v>
      </x:c>
      <x:c r="B2078" s="16" t="str">
        <x:v>Eddie aswan</x:v>
      </x:c>
      <x:c r="C2078" s="16" t="str"/>
      <x:c r="D2078" s="16" t="str"/>
      <x:c r="E2078" s="16" t="str">
        <x:v>* myContacts</x:v>
      </x:c>
      <x:c r="F2078" s="16" t="str">
        <x:v>017-201 1709 | +60172011709</x:v>
      </x:c>
      <x:c r="G2078" s="16" t="str">
        <x:v>+60172011709 | +60172011709</x:v>
      </x:c>
      <x:c r="H2078" s="16" t="str">
        <x:v>Excluded</x:v>
      </x:c>
      <x:c r="I2078" s="16" t="str">
        <x:v>Missing email</x:v>
      </x:c>
    </x:row>
    <x:row r="2079">
      <x:c r="A2079" s="16" t="n">
        <x:v>2076</x:v>
      </x:c>
      <x:c r="B2079" s="16" t="str">
        <x:v>Eddie Law</x:v>
      </x:c>
      <x:c r="C2079" s="16" t="str"/>
      <x:c r="D2079" s="16" t="str"/>
      <x:c r="E2079" s="16" t="str">
        <x:v>* myContacts</x:v>
      </x:c>
      <x:c r="F2079" s="16" t="str">
        <x:v>+60127199967</x:v>
      </x:c>
      <x:c r="G2079" s="16" t="str">
        <x:v>+60127199967</x:v>
      </x:c>
      <x:c r="H2079" s="16" t="str">
        <x:v>Excluded</x:v>
      </x:c>
      <x:c r="I2079" s="16" t="str">
        <x:v>Missing email</x:v>
      </x:c>
    </x:row>
    <x:row r="2080">
      <x:c r="A2080" s="16" t="n">
        <x:v>2077</x:v>
      </x:c>
      <x:c r="B2080" s="16" t="str">
        <x:v>Eddy Daun Bidara Batang Kali</x:v>
      </x:c>
      <x:c r="C2080" s="16" t="str"/>
      <x:c r="D2080" s="16" t="str"/>
      <x:c r="E2080" s="16" t="str">
        <x:v>* myContacts</x:v>
      </x:c>
      <x:c r="F2080" s="16" t="str">
        <x:v>016-443 5172 | +60164435172</x:v>
      </x:c>
      <x:c r="G2080" s="16" t="str">
        <x:v>+60164435172 | +60164435172</x:v>
      </x:c>
      <x:c r="H2080" s="16" t="str">
        <x:v>Excluded</x:v>
      </x:c>
      <x:c r="I2080" s="16" t="str">
        <x:v>Missing email</x:v>
      </x:c>
    </x:row>
    <x:row r="2081">
      <x:c r="A2081" s="16" t="n">
        <x:v>2078</x:v>
      </x:c>
      <x:c r="B2081" s="16" t="str">
        <x:v>Eddy ideastore</x:v>
      </x:c>
      <x:c r="C2081" s="16" t="str"/>
      <x:c r="D2081" s="16" t="str"/>
      <x:c r="E2081" s="16" t="str">
        <x:v>* myContacts</x:v>
      </x:c>
      <x:c r="F2081" s="16" t="str">
        <x:v>01325483700 | +601325483700</x:v>
      </x:c>
      <x:c r="G2081" s="16" t="str">
        <x:v>+601325483700 | +601325483700</x:v>
      </x:c>
      <x:c r="H2081" s="16" t="str">
        <x:v>Excluded</x:v>
      </x:c>
      <x:c r="I2081" s="16" t="str">
        <x:v>Missing email</x:v>
      </x:c>
    </x:row>
    <x:row r="2082">
      <x:c r="A2082" s="16" t="n">
        <x:v>2079</x:v>
      </x:c>
      <x:c r="B2082" s="16" t="str">
        <x:v>Eddy Kilauan Emas</x:v>
      </x:c>
      <x:c r="C2082" s="16" t="str"/>
      <x:c r="D2082" s="16" t="str"/>
      <x:c r="E2082" s="16" t="str">
        <x:v>* myContacts</x:v>
      </x:c>
      <x:c r="F2082" s="16" t="str">
        <x:v>+60137616455</x:v>
      </x:c>
      <x:c r="G2082" s="16" t="str">
        <x:v>+60137616455</x:v>
      </x:c>
      <x:c r="H2082" s="16" t="str">
        <x:v>Excluded</x:v>
      </x:c>
      <x:c r="I2082" s="16" t="str">
        <x:v>Missing email</x:v>
      </x:c>
    </x:row>
    <x:row r="2083">
      <x:c r="A2083" s="16" t="n">
        <x:v>2080</x:v>
      </x:c>
      <x:c r="B2083" s="16" t="str">
        <x:v>Eddy montaj event pa system</x:v>
      </x:c>
      <x:c r="C2083" s="16" t="str"/>
      <x:c r="D2083" s="16" t="str"/>
      <x:c r="E2083" s="16" t="str">
        <x:v>* myContacts</x:v>
      </x:c>
      <x:c r="F2083" s="16" t="str">
        <x:v>+60166687404</x:v>
      </x:c>
      <x:c r="G2083" s="16" t="str">
        <x:v>+60166687404</x:v>
      </x:c>
      <x:c r="H2083" s="16" t="str">
        <x:v>Excluded</x:v>
      </x:c>
      <x:c r="I2083" s="16" t="str">
        <x:v>Missing email</x:v>
      </x:c>
    </x:row>
    <x:row r="2084">
      <x:c r="A2084" s="16" t="n">
        <x:v>2081</x:v>
      </x:c>
      <x:c r="B2084" s="16" t="str">
        <x:v>Eddy PPMM</x:v>
      </x:c>
      <x:c r="C2084" s="16" t="str"/>
      <x:c r="D2084" s="16" t="str"/>
      <x:c r="E2084" s="16" t="str">
        <x:v>* myContacts</x:v>
      </x:c>
      <x:c r="F2084" s="16" t="str">
        <x:v>+60 19-282 0246 | +60192820246</x:v>
      </x:c>
      <x:c r="G2084" s="16" t="str">
        <x:v>+60192820246 | +60192820246</x:v>
      </x:c>
      <x:c r="H2084" s="16" t="str">
        <x:v>Excluded</x:v>
      </x:c>
      <x:c r="I2084" s="16" t="str">
        <x:v>Missing email</x:v>
      </x:c>
    </x:row>
    <x:row r="2085">
      <x:c r="A2085" s="16" t="n">
        <x:v>2082</x:v>
      </x:c>
      <x:c r="B2085" s="16" t="str">
        <x:v>EdenAmiza S'wak</x:v>
      </x:c>
      <x:c r="C2085" s="16" t="str"/>
      <x:c r="D2085" s="16" t="str"/>
      <x:c r="E2085" s="16" t="str">
        <x:v>* myContacts</x:v>
      </x:c>
      <x:c r="F2085" s="16" t="str">
        <x:v>+60148159883</x:v>
      </x:c>
      <x:c r="G2085" s="16" t="str">
        <x:v>+60148159883</x:v>
      </x:c>
      <x:c r="H2085" s="16" t="str">
        <x:v>Excluded</x:v>
      </x:c>
      <x:c r="I2085" s="16" t="str">
        <x:v>Missing email</x:v>
      </x:c>
    </x:row>
    <x:row r="2086">
      <x:c r="A2086" s="16" t="n">
        <x:v>2083</x:v>
      </x:c>
      <x:c r="B2086" s="16" t="str">
        <x:v>Edie Senang la Uitm</x:v>
      </x:c>
      <x:c r="C2086" s="16" t="str"/>
      <x:c r="D2086" s="16" t="str"/>
      <x:c r="E2086" s="16" t="str">
        <x:v>* myContacts</x:v>
      </x:c>
      <x:c r="F2086" s="16" t="str">
        <x:v>+60173620266</x:v>
      </x:c>
      <x:c r="G2086" s="16" t="str">
        <x:v>+60173620266</x:v>
      </x:c>
      <x:c r="H2086" s="16" t="str">
        <x:v>Excluded</x:v>
      </x:c>
      <x:c r="I2086" s="16" t="str">
        <x:v>Missing email</x:v>
      </x:c>
    </x:row>
    <x:row r="2087">
      <x:c r="A2087" s="16" t="n">
        <x:v>2084</x:v>
      </x:c>
      <x:c r="B2087" s="16" t="str">
        <x:v>Edwin Julwin</x:v>
      </x:c>
      <x:c r="C2087" s="16" t="str"/>
      <x:c r="D2087" s="16" t="str"/>
      <x:c r="E2087" s="16" t="str">
        <x:v>* myContacts</x:v>
      </x:c>
      <x:c r="F2087" s="16" t="str">
        <x:v>+60105076830</x:v>
      </x:c>
      <x:c r="G2087" s="16" t="str">
        <x:v>+60105076830</x:v>
      </x:c>
      <x:c r="H2087" s="16" t="str">
        <x:v>Excluded</x:v>
      </x:c>
      <x:c r="I2087" s="16" t="str">
        <x:v>Missing email</x:v>
      </x:c>
    </x:row>
    <x:row r="2088">
      <x:c r="A2088" s="16" t="n">
        <x:v>2085</x:v>
      </x:c>
      <x:c r="B2088" s="16" t="str">
        <x:v>Edwin Tan</x:v>
      </x:c>
      <x:c r="C2088" s="16" t="str"/>
      <x:c r="D2088" s="16" t="str"/>
      <x:c r="E2088" s="16" t="str">
        <x:v>* myContacts</x:v>
      </x:c>
      <x:c r="F2088" s="16" t="str">
        <x:v>+60142539960</x:v>
      </x:c>
      <x:c r="G2088" s="16" t="str">
        <x:v>+60142539960</x:v>
      </x:c>
      <x:c r="H2088" s="16" t="str">
        <x:v>Excluded</x:v>
      </x:c>
      <x:c r="I2088" s="16" t="str">
        <x:v>Missing email</x:v>
      </x:c>
    </x:row>
    <x:row r="2089">
      <x:c r="A2089" s="16" t="n">
        <x:v>2086</x:v>
      </x:c>
      <x:c r="B2089" s="16" t="str">
        <x:v>edy jnj</x:v>
      </x:c>
      <x:c r="C2089" s="16" t="str"/>
      <x:c r="D2089" s="16" t="str"/>
      <x:c r="E2089" s="16" t="str">
        <x:v>* myContacts</x:v>
      </x:c>
      <x:c r="F2089" s="16" t="str">
        <x:v>0102380407 | 0183776389 | +60102380407 | 0183776389</x:v>
      </x:c>
      <x:c r="G2089" s="16" t="str">
        <x:v>+60102380407 | +60183776389 | +60102380407 | +60183776389</x:v>
      </x:c>
      <x:c r="H2089" s="16" t="str">
        <x:v>Excluded</x:v>
      </x:c>
      <x:c r="I2089" s="16" t="str">
        <x:v>Missing email</x:v>
      </x:c>
    </x:row>
    <x:row r="2090">
      <x:c r="A2090" s="16" t="n">
        <x:v>2087</x:v>
      </x:c>
      <x:c r="B2090" s="16" t="str">
        <x:v>Edy Lambo</x:v>
      </x:c>
      <x:c r="C2090" s="16" t="str"/>
      <x:c r="D2090" s="16" t="str"/>
      <x:c r="E2090" s="16" t="str">
        <x:v>* myContacts</x:v>
      </x:c>
      <x:c r="F2090" s="16" t="str">
        <x:v>+60166454472</x:v>
      </x:c>
      <x:c r="G2090" s="16" t="str">
        <x:v>+60166454472</x:v>
      </x:c>
      <x:c r="H2090" s="16" t="str">
        <x:v>Excluded</x:v>
      </x:c>
      <x:c r="I2090" s="16" t="str">
        <x:v>Missing email</x:v>
      </x:c>
    </x:row>
    <x:row r="2091">
      <x:c r="A2091" s="16" t="n">
        <x:v>2088</x:v>
      </x:c>
      <x:c r="B2091" s="16" t="str">
        <x:v>Edy Putra</x:v>
      </x:c>
      <x:c r="C2091" s="16" t="str"/>
      <x:c r="D2091" s="16" t="str"/>
      <x:c r="E2091" s="16" t="str">
        <x:v>* myContacts</x:v>
      </x:c>
      <x:c r="F2091" s="16" t="str">
        <x:v>+60129018882</x:v>
      </x:c>
      <x:c r="G2091" s="16" t="str">
        <x:v>+60129018882</x:v>
      </x:c>
      <x:c r="H2091" s="16" t="str">
        <x:v>Excluded</x:v>
      </x:c>
      <x:c r="I2091" s="16" t="str">
        <x:v>Missing email</x:v>
      </x:c>
    </x:row>
    <x:row r="2092">
      <x:c r="A2092" s="16" t="n">
        <x:v>2089</x:v>
      </x:c>
      <x:c r="B2092" s="16" t="str">
        <x:v>EDY RIZAL</x:v>
      </x:c>
      <x:c r="C2092" s="16" t="str"/>
      <x:c r="D2092" s="16" t="str"/>
      <x:c r="E2092" s="16" t="str">
        <x:v>* myContacts</x:v>
      </x:c>
      <x:c r="F2092" s="16" t="str">
        <x:v>+60 10-969 5677 | +60109695677</x:v>
      </x:c>
      <x:c r="G2092" s="16" t="str">
        <x:v>+60109695677 | +60109695677</x:v>
      </x:c>
      <x:c r="H2092" s="16" t="str">
        <x:v>Excluded</x:v>
      </x:c>
      <x:c r="I2092" s="16" t="str">
        <x:v>Missing email</x:v>
      </x:c>
    </x:row>
    <x:row r="2093">
      <x:c r="A2093" s="16" t="n">
        <x:v>2090</x:v>
      </x:c>
      <x:c r="B2093" s="16" t="str">
        <x:v>Eeyra Azeera</x:v>
      </x:c>
      <x:c r="C2093" s="16" t="str"/>
      <x:c r="D2093" s="16" t="str"/>
      <x:c r="E2093" s="16" t="str">
        <x:v>* myContacts</x:v>
      </x:c>
      <x:c r="F2093" s="16" t="str">
        <x:v>+601116504602</x:v>
      </x:c>
      <x:c r="G2093" s="16" t="str">
        <x:v>+601116504602</x:v>
      </x:c>
      <x:c r="H2093" s="16" t="str">
        <x:v>Excluded</x:v>
      </x:c>
      <x:c r="I2093" s="16" t="str">
        <x:v>Missing email</x:v>
      </x:c>
    </x:row>
    <x:row r="2094">
      <x:c r="A2094" s="16" t="n">
        <x:v>2091</x:v>
      </x:c>
      <x:c r="B2094" s="16" t="str">
        <x:v>Effa Latifah</x:v>
      </x:c>
      <x:c r="C2094" s="16" t="str"/>
      <x:c r="D2094" s="16" t="str"/>
      <x:c r="E2094" s="16" t="str">
        <x:v>* myContacts</x:v>
      </x:c>
      <x:c r="F2094" s="16" t="str">
        <x:v>+6597638257</x:v>
      </x:c>
      <x:c r="G2094" s="16" t="str">
        <x:v>+6597638257</x:v>
      </x:c>
      <x:c r="H2094" s="16" t="str">
        <x:v>Excluded</x:v>
      </x:c>
      <x:c r="I2094" s="16" t="str">
        <x:v>Missing email</x:v>
      </x:c>
    </x:row>
    <x:row r="2095">
      <x:c r="A2095" s="16" t="n">
        <x:v>2092</x:v>
      </x:c>
      <x:c r="B2095" s="16" t="str">
        <x:v>Effa Sidek</x:v>
      </x:c>
      <x:c r="C2095" s="16" t="str"/>
      <x:c r="D2095" s="16" t="str"/>
      <x:c r="E2095" s="16" t="str">
        <x:v>* myContacts</x:v>
      </x:c>
      <x:c r="F2095" s="16" t="str">
        <x:v>+60192585096</x:v>
      </x:c>
      <x:c r="G2095" s="16" t="str">
        <x:v>+60192585096</x:v>
      </x:c>
      <x:c r="H2095" s="16" t="str">
        <x:v>Excluded</x:v>
      </x:c>
      <x:c r="I2095" s="16" t="str">
        <x:v>Missing email</x:v>
      </x:c>
    </x:row>
    <x:row r="2096">
      <x:c r="A2096" s="16" t="n">
        <x:v>2093</x:v>
      </x:c>
      <x:c r="B2096" s="16" t="str">
        <x:v>Effanorrasikin Norra</x:v>
      </x:c>
      <x:c r="C2096" s="16" t="str"/>
      <x:c r="D2096" s="16" t="str"/>
      <x:c r="E2096" s="16" t="str">
        <x:v>* myContacts</x:v>
      </x:c>
      <x:c r="F2096" s="16" t="str">
        <x:v>+60173912036</x:v>
      </x:c>
      <x:c r="G2096" s="16" t="str">
        <x:v>+60173912036</x:v>
      </x:c>
      <x:c r="H2096" s="16" t="str">
        <x:v>Excluded</x:v>
      </x:c>
      <x:c r="I2096" s="16" t="str">
        <x:v>Missing email</x:v>
      </x:c>
    </x:row>
    <x:row r="2097">
      <x:c r="A2097" s="16" t="n">
        <x:v>2094</x:v>
      </x:c>
      <x:c r="B2097" s="16" t="str">
        <x:v>Effendi Eusahawan Trainer</x:v>
      </x:c>
      <x:c r="C2097" s="16" t="str"/>
      <x:c r="D2097" s="16" t="str"/>
      <x:c r="E2097" s="16" t="str">
        <x:v>Trainer | * myContacts</x:v>
      </x:c>
      <x:c r="F2097" s="16" t="str">
        <x:v>+60 19-383 1240 | +60193831240</x:v>
      </x:c>
      <x:c r="G2097" s="16" t="str">
        <x:v>+60193831240 | +60193831240</x:v>
      </x:c>
      <x:c r="H2097" s="16" t="str">
        <x:v>Excluded</x:v>
      </x:c>
      <x:c r="I2097" s="16" t="str">
        <x:v>Missing email</x:v>
      </x:c>
    </x:row>
    <x:row r="2098">
      <x:c r="A2098" s="16" t="n">
        <x:v>2095</x:v>
      </x:c>
      <x:c r="B2098" s="16" t="str">
        <x:v>Effie Tapaw Group</x:v>
      </x:c>
      <x:c r="C2098" s="16" t="str"/>
      <x:c r="D2098" s="16" t="str"/>
      <x:c r="E2098" s="16" t="str">
        <x:v>* myContacts</x:v>
      </x:c>
      <x:c r="F2098" s="16" t="str">
        <x:v>+60 10-961 2769 | +60109612769</x:v>
      </x:c>
      <x:c r="G2098" s="16" t="str">
        <x:v>+60109612769 | +60109612769</x:v>
      </x:c>
      <x:c r="H2098" s="16" t="str">
        <x:v>Excluded</x:v>
      </x:c>
      <x:c r="I2098" s="16" t="str">
        <x:v>Missing email</x:v>
      </x:c>
    </x:row>
    <x:row r="2099">
      <x:c r="A2099" s="16" t="n">
        <x:v>2096</x:v>
      </x:c>
      <x:c r="B2099" s="16" t="str">
        <x:v>Effiza Abdul Rahman</x:v>
      </x:c>
      <x:c r="C2099" s="16" t="str"/>
      <x:c r="D2099" s="16" t="str"/>
      <x:c r="E2099" s="16" t="str">
        <x:v>* myContacts</x:v>
      </x:c>
      <x:c r="F2099" s="16" t="str">
        <x:v>+60126752858</x:v>
      </x:c>
      <x:c r="G2099" s="16" t="str">
        <x:v>+60126752858</x:v>
      </x:c>
      <x:c r="H2099" s="16" t="str">
        <x:v>Excluded</x:v>
      </x:c>
      <x:c r="I2099" s="16" t="str">
        <x:v>Missing email</x:v>
      </x:c>
    </x:row>
    <x:row r="2100">
      <x:c r="A2100" s="16" t="n">
        <x:v>2097</x:v>
      </x:c>
      <x:c r="B2100" s="16" t="str">
        <x:v>Ega Egar</x:v>
      </x:c>
      <x:c r="C2100" s="16" t="str"/>
      <x:c r="D2100" s="16" t="str"/>
      <x:c r="E2100" s="16" t="str">
        <x:v>* myContacts</x:v>
      </x:c>
      <x:c r="F2100" s="16" t="str">
        <x:v>+6285694334032</x:v>
      </x:c>
      <x:c r="G2100" s="16" t="str">
        <x:v>+6285694334032</x:v>
      </x:c>
      <x:c r="H2100" s="16" t="str">
        <x:v>Excluded</x:v>
      </x:c>
      <x:c r="I2100" s="16" t="str">
        <x:v>Missing email</x:v>
      </x:c>
    </x:row>
    <x:row r="2101">
      <x:c r="A2101" s="16" t="n">
        <x:v>2098</x:v>
      </x:c>
      <x:c r="B2101" s="16" t="str">
        <x:v>Ehh Amir Mukminin IV</x:v>
      </x:c>
      <x:c r="C2101" s="16" t="str"/>
      <x:c r="D2101" s="16" t="str"/>
      <x:c r="E2101" s="16" t="str">
        <x:v>* myContacts</x:v>
      </x:c>
      <x:c r="F2101" s="16" t="str">
        <x:v>+601125480034</x:v>
      </x:c>
      <x:c r="G2101" s="16" t="str">
        <x:v>+601125480034</x:v>
      </x:c>
      <x:c r="H2101" s="16" t="str">
        <x:v>Excluded</x:v>
      </x:c>
      <x:c r="I2101" s="16" t="str">
        <x:v>Missing email</x:v>
      </x:c>
    </x:row>
    <x:row r="2102">
      <x:c r="A2102" s="16" t="n">
        <x:v>2099</x:v>
      </x:c>
      <x:c r="B2102" s="16" t="str">
        <x:v>EHSAN Coach</x:v>
      </x:c>
      <x:c r="C2102" s="16" t="str"/>
      <x:c r="D2102" s="16" t="str"/>
      <x:c r="E2102" s="16" t="str">
        <x:v>Trainer | * myContacts</x:v>
      </x:c>
      <x:c r="F2102" s="16" t="str">
        <x:v>+60 12-757 5186 | +60127575186</x:v>
      </x:c>
      <x:c r="G2102" s="16" t="str">
        <x:v>+60127575186 | +60127575186</x:v>
      </x:c>
      <x:c r="H2102" s="16" t="str">
        <x:v>Excluded</x:v>
      </x:c>
      <x:c r="I2102" s="16" t="str">
        <x:v>Missing email</x:v>
      </x:c>
    </x:row>
    <x:row r="2103">
      <x:c r="A2103" s="16" t="n">
        <x:v>2100</x:v>
      </x:c>
      <x:c r="B2103" s="16" t="str">
        <x:v>Ei Kin</x:v>
      </x:c>
      <x:c r="C2103" s="16" t="str"/>
      <x:c r="D2103" s="16" t="str"/>
      <x:c r="E2103" s="16" t="str">
        <x:v>* myContacts</x:v>
      </x:c>
      <x:c r="F2103" s="16" t="str">
        <x:v>+60122296987</x:v>
      </x:c>
      <x:c r="G2103" s="16" t="str">
        <x:v>+60122296987</x:v>
      </x:c>
      <x:c r="H2103" s="16" t="str">
        <x:v>Excluded</x:v>
      </x:c>
      <x:c r="I2103" s="16" t="str">
        <x:v>Missing email</x:v>
      </x:c>
    </x:row>
    <x:row r="2104">
      <x:c r="A2104" s="16" t="n">
        <x:v>2101</x:v>
      </x:c>
      <x:c r="B2104" s="16" t="str">
        <x:v>Eida Zaini</x:v>
      </x:c>
      <x:c r="C2104" s="16" t="str"/>
      <x:c r="D2104" s="16" t="str"/>
      <x:c r="E2104" s="16" t="str">
        <x:v>* myContacts</x:v>
      </x:c>
      <x:c r="F2104" s="16" t="str">
        <x:v>+60134068876</x:v>
      </x:c>
      <x:c r="G2104" s="16" t="str">
        <x:v>+60134068876</x:v>
      </x:c>
      <x:c r="H2104" s="16" t="str">
        <x:v>Excluded</x:v>
      </x:c>
      <x:c r="I2104" s="16" t="str">
        <x:v>Missing email</x:v>
      </x:c>
    </x:row>
    <x:row r="2105">
      <x:c r="A2105" s="16" t="n">
        <x:v>2102</x:v>
      </x:c>
      <x:c r="B2105" s="16" t="str">
        <x:v>Eija Hafiz</x:v>
      </x:c>
      <x:c r="C2105" s="16" t="str"/>
      <x:c r="D2105" s="16" t="str"/>
      <x:c r="E2105" s="16" t="str">
        <x:v>* myContacts</x:v>
      </x:c>
      <x:c r="F2105" s="16" t="str">
        <x:v>+60134453953</x:v>
      </x:c>
      <x:c r="G2105" s="16" t="str">
        <x:v>+60134453953</x:v>
      </x:c>
      <x:c r="H2105" s="16" t="str">
        <x:v>Excluded</x:v>
      </x:c>
      <x:c r="I2105" s="16" t="str">
        <x:v>Missing email</x:v>
      </x:c>
    </x:row>
    <x:row r="2106">
      <x:c r="A2106" s="16" t="n">
        <x:v>2103</x:v>
      </x:c>
      <x:c r="B2106" s="16" t="str">
        <x:v>EijAt AizAt</x:v>
      </x:c>
      <x:c r="C2106" s="16" t="str"/>
      <x:c r="D2106" s="16" t="str"/>
      <x:c r="E2106" s="16" t="str">
        <x:v>* myContacts</x:v>
      </x:c>
      <x:c r="F2106" s="16" t="str">
        <x:v>+60126201257</x:v>
      </x:c>
      <x:c r="G2106" s="16" t="str">
        <x:v>+60126201257</x:v>
      </x:c>
      <x:c r="H2106" s="16" t="str">
        <x:v>Excluded</x:v>
      </x:c>
      <x:c r="I2106" s="16" t="str">
        <x:v>Missing email</x:v>
      </x:c>
    </x:row>
    <x:row r="2107">
      <x:c r="A2107" s="16" t="n">
        <x:v>2104</x:v>
      </x:c>
      <x:c r="B2107" s="16" t="str">
        <x:v>Eila Azmer</x:v>
      </x:c>
      <x:c r="C2107" s="16" t="str"/>
      <x:c r="D2107" s="16" t="str"/>
      <x:c r="E2107" s="16" t="str">
        <x:v>* myContacts</x:v>
      </x:c>
      <x:c r="F2107" s="16" t="str">
        <x:v>+60147178732</x:v>
      </x:c>
      <x:c r="G2107" s="16" t="str">
        <x:v>+60147178732</x:v>
      </x:c>
      <x:c r="H2107" s="16" t="str">
        <x:v>Excluded</x:v>
      </x:c>
      <x:c r="I2107" s="16" t="str">
        <x:v>Missing email</x:v>
      </x:c>
    </x:row>
    <x:row r="2108">
      <x:c r="A2108" s="16" t="n">
        <x:v>2105</x:v>
      </x:c>
      <x:c r="B2108" s="16" t="str">
        <x:v>Eilzaff Ell</x:v>
      </x:c>
      <x:c r="C2108" s="16" t="str"/>
      <x:c r="D2108" s="16" t="str"/>
      <x:c r="E2108" s="16" t="str">
        <x:v>* myContacts</x:v>
      </x:c>
      <x:c r="F2108" s="16" t="str">
        <x:v>+60196382873</x:v>
      </x:c>
      <x:c r="G2108" s="16" t="str">
        <x:v>+60196382873</x:v>
      </x:c>
      <x:c r="H2108" s="16" t="str">
        <x:v>Excluded</x:v>
      </x:c>
      <x:c r="I2108" s="16" t="str">
        <x:v>Missing email</x:v>
      </x:c>
    </x:row>
    <x:row r="2109">
      <x:c r="A2109" s="16" t="n">
        <x:v>2106</x:v>
      </x:c>
      <x:c r="B2109" s="16" t="str">
        <x:v>Eima Raziema</x:v>
      </x:c>
      <x:c r="C2109" s="16" t="str"/>
      <x:c r="D2109" s="16" t="str"/>
      <x:c r="E2109" s="16" t="str">
        <x:v>* myContacts</x:v>
      </x:c>
      <x:c r="F2109" s="16" t="str">
        <x:v>+60183962716</x:v>
      </x:c>
      <x:c r="G2109" s="16" t="str">
        <x:v>+60183962716</x:v>
      </x:c>
      <x:c r="H2109" s="16" t="str">
        <x:v>Excluded</x:v>
      </x:c>
      <x:c r="I2109" s="16" t="str">
        <x:v>Missing email</x:v>
      </x:c>
    </x:row>
    <x:row r="2110">
      <x:c r="A2110" s="16" t="n">
        <x:v>2107</x:v>
      </x:c>
      <x:c r="B2110" s="16" t="str">
        <x:v>Eimma Ebag-shop</x:v>
      </x:c>
      <x:c r="C2110" s="16" t="str"/>
      <x:c r="D2110" s="16" t="str"/>
      <x:c r="E2110" s="16" t="str">
        <x:v>* myContacts</x:v>
      </x:c>
      <x:c r="F2110" s="16" t="str">
        <x:v>+60179757764</x:v>
      </x:c>
      <x:c r="G2110" s="16" t="str">
        <x:v>+60179757764</x:v>
      </x:c>
      <x:c r="H2110" s="16" t="str">
        <x:v>Excluded</x:v>
      </x:c>
      <x:c r="I2110" s="16" t="str">
        <x:v>Missing email</x:v>
      </x:c>
    </x:row>
    <x:row r="2111">
      <x:c r="A2111" s="16" t="n">
        <x:v>2108</x:v>
      </x:c>
      <x:c r="B2111" s="16" t="str">
        <x:v>Eina Hana</x:v>
      </x:c>
      <x:c r="C2111" s="16" t="str"/>
      <x:c r="D2111" s="16" t="str"/>
      <x:c r="E2111" s="16" t="str">
        <x:v>* myContacts</x:v>
      </x:c>
      <x:c r="F2111" s="16" t="str">
        <x:v>+60174740713</x:v>
      </x:c>
      <x:c r="G2111" s="16" t="str">
        <x:v>+60174740713</x:v>
      </x:c>
      <x:c r="H2111" s="16" t="str">
        <x:v>Excluded</x:v>
      </x:c>
      <x:c r="I2111" s="16" t="str">
        <x:v>Missing email</x:v>
      </x:c>
    </x:row>
    <x:row r="2112">
      <x:c r="A2112" s="16" t="n">
        <x:v>2109</x:v>
      </x:c>
      <x:c r="B2112" s="16" t="str">
        <x:v>Eiq PPMM</x:v>
      </x:c>
      <x:c r="C2112" s="16" t="str"/>
      <x:c r="D2112" s="16" t="str"/>
      <x:c r="E2112" s="16" t="str">
        <x:v>* myContacts</x:v>
      </x:c>
      <x:c r="F2112" s="16" t="str">
        <x:v>+60 18-211 0300 | +60 19-962 6203 | +60182110300 | +60199626203</x:v>
      </x:c>
      <x:c r="G2112" s="16" t="str">
        <x:v>+60182110300 | +60199626203 | +60182110300 | +60199626203</x:v>
      </x:c>
      <x:c r="H2112" s="16" t="str">
        <x:v>Excluded</x:v>
      </x:c>
      <x:c r="I2112" s="16" t="str">
        <x:v>Missing email</x:v>
      </x:c>
    </x:row>
    <x:row r="2113">
      <x:c r="A2113" s="16" t="n">
        <x:v>2110</x:v>
      </x:c>
      <x:c r="B2113" s="16" t="str">
        <x:v>Eira Syaziera</x:v>
      </x:c>
      <x:c r="C2113" s="16" t="str"/>
      <x:c r="D2113" s="16" t="str"/>
      <x:c r="E2113" s="16" t="str">
        <x:v>* myContacts</x:v>
      </x:c>
      <x:c r="F2113" s="16" t="str">
        <x:v>+601133162616</x:v>
      </x:c>
      <x:c r="G2113" s="16" t="str">
        <x:v>+601133162616</x:v>
      </x:c>
      <x:c r="H2113" s="16" t="str">
        <x:v>Excluded</x:v>
      </x:c>
      <x:c r="I2113" s="16" t="str">
        <x:v>Missing email</x:v>
      </x:c>
    </x:row>
    <x:row r="2114">
      <x:c r="A2114" s="16" t="n">
        <x:v>2111</x:v>
      </x:c>
      <x:c r="B2114" s="16" t="str">
        <x:v>Eirah Eyza</x:v>
      </x:c>
      <x:c r="C2114" s="16" t="str"/>
      <x:c r="D2114" s="16" t="str"/>
      <x:c r="E2114" s="16" t="str">
        <x:v>* myContacts</x:v>
      </x:c>
      <x:c r="F2114" s="16" t="str">
        <x:v>+60179702458</x:v>
      </x:c>
      <x:c r="G2114" s="16" t="str">
        <x:v>+60179702458</x:v>
      </x:c>
      <x:c r="H2114" s="16" t="str">
        <x:v>Excluded</x:v>
      </x:c>
      <x:c r="I2114" s="16" t="str">
        <x:v>Missing email</x:v>
      </x:c>
    </x:row>
    <x:row r="2115">
      <x:c r="A2115" s="16" t="n">
        <x:v>2112</x:v>
      </x:c>
      <x:c r="B2115" s="16" t="str">
        <x:v>Eita Masita</x:v>
      </x:c>
      <x:c r="C2115" s="16" t="str"/>
      <x:c r="D2115" s="16" t="str"/>
      <x:c r="E2115" s="16" t="str">
        <x:v>* myContacts</x:v>
      </x:c>
      <x:c r="F2115" s="16" t="str">
        <x:v>+60169276179</x:v>
      </x:c>
      <x:c r="G2115" s="16" t="str">
        <x:v>+60169276179</x:v>
      </x:c>
      <x:c r="H2115" s="16" t="str">
        <x:v>Excluded</x:v>
      </x:c>
      <x:c r="I2115" s="16" t="str">
        <x:v>Missing email</x:v>
      </x:c>
    </x:row>
    <x:row r="2116">
      <x:c r="A2116" s="16" t="n">
        <x:v>2113</x:v>
      </x:c>
      <x:c r="B2116" s="16" t="str">
        <x:v>Eiyaz Eiyschaa</x:v>
      </x:c>
      <x:c r="C2116" s="16" t="str"/>
      <x:c r="D2116" s="16" t="str"/>
      <x:c r="E2116" s="16" t="str">
        <x:v>* myContacts</x:v>
      </x:c>
      <x:c r="F2116" s="16" t="str">
        <x:v>+60169433722</x:v>
      </x:c>
      <x:c r="G2116" s="16" t="str">
        <x:v>+60169433722</x:v>
      </x:c>
      <x:c r="H2116" s="16" t="str">
        <x:v>Excluded</x:v>
      </x:c>
      <x:c r="I2116" s="16" t="str">
        <x:v>Missing email</x:v>
      </x:c>
    </x:row>
    <x:row r="2117">
      <x:c r="A2117" s="16" t="n">
        <x:v>2114</x:v>
      </x:c>
      <x:c r="B2117" s="16" t="str">
        <x:v>Eiyka Tieyka</x:v>
      </x:c>
      <x:c r="C2117" s="16" t="str"/>
      <x:c r="D2117" s="16" t="str"/>
      <x:c r="E2117" s="16" t="str">
        <x:v>* myContacts</x:v>
      </x:c>
      <x:c r="F2117" s="16" t="str">
        <x:v>+60146506599</x:v>
      </x:c>
      <x:c r="G2117" s="16" t="str">
        <x:v>+60146506599</x:v>
      </x:c>
      <x:c r="H2117" s="16" t="str">
        <x:v>Excluded</x:v>
      </x:c>
      <x:c r="I2117" s="16" t="str">
        <x:v>Missing email</x:v>
      </x:c>
    </x:row>
    <x:row r="2118">
      <x:c r="A2118" s="16" t="n">
        <x:v>2115</x:v>
      </x:c>
      <x:c r="B2118" s="16" t="str">
        <x:v>Eiyna Zam</x:v>
      </x:c>
      <x:c r="C2118" s="16" t="str"/>
      <x:c r="D2118" s="16" t="str"/>
      <x:c r="E2118" s="16" t="str">
        <x:v>* myContacts</x:v>
      </x:c>
      <x:c r="F2118" s="16" t="str">
        <x:v>+60193792329</x:v>
      </x:c>
      <x:c r="G2118" s="16" t="str">
        <x:v>+60193792329</x:v>
      </x:c>
      <x:c r="H2118" s="16" t="str">
        <x:v>Excluded</x:v>
      </x:c>
      <x:c r="I2118" s="16" t="str">
        <x:v>Missing email</x:v>
      </x:c>
    </x:row>
    <x:row r="2119">
      <x:c r="A2119" s="16" t="n">
        <x:v>2116</x:v>
      </x:c>
      <x:c r="B2119" s="16" t="str">
        <x:v>Eiyra Afida</x:v>
      </x:c>
      <x:c r="C2119" s="16" t="str"/>
      <x:c r="D2119" s="16" t="str"/>
      <x:c r="E2119" s="16" t="str">
        <x:v>* myContacts</x:v>
      </x:c>
      <x:c r="F2119" s="16" t="str">
        <x:v>+60139600099</x:v>
      </x:c>
      <x:c r="G2119" s="16" t="str">
        <x:v>+60139600099</x:v>
      </x:c>
      <x:c r="H2119" s="16" t="str">
        <x:v>Excluded</x:v>
      </x:c>
      <x:c r="I2119" s="16" t="str">
        <x:v>Missing email</x:v>
      </x:c>
    </x:row>
    <x:row r="2120">
      <x:c r="A2120" s="16" t="n">
        <x:v>2117</x:v>
      </x:c>
      <x:c r="B2120" s="16" t="str">
        <x:v>Eizai Rizal</x:v>
      </x:c>
      <x:c r="C2120" s="16" t="str"/>
      <x:c r="D2120" s="16" t="str"/>
      <x:c r="E2120" s="16" t="str">
        <x:v>* myContacts</x:v>
      </x:c>
      <x:c r="F2120" s="16" t="str">
        <x:v>+60102832214</x:v>
      </x:c>
      <x:c r="G2120" s="16" t="str">
        <x:v>+60102832214</x:v>
      </x:c>
      <x:c r="H2120" s="16" t="str">
        <x:v>Excluded</x:v>
      </x:c>
      <x:c r="I2120" s="16" t="str">
        <x:v>Missing email</x:v>
      </x:c>
    </x:row>
    <x:row r="2121">
      <x:c r="A2121" s="16" t="n">
        <x:v>2118</x:v>
      </x:c>
      <x:c r="B2121" s="16" t="str">
        <x:v>Eizuwan Eizuddin</x:v>
      </x:c>
      <x:c r="C2121" s="16" t="str"/>
      <x:c r="D2121" s="16" t="str"/>
      <x:c r="E2121" s="16" t="str">
        <x:v>* myContacts</x:v>
      </x:c>
      <x:c r="F2121" s="16" t="str">
        <x:v>+447031956911</x:v>
      </x:c>
      <x:c r="G2121" s="16" t="str">
        <x:v>+447031956911</x:v>
      </x:c>
      <x:c r="H2121" s="16" t="str">
        <x:v>Excluded</x:v>
      </x:c>
      <x:c r="I2121" s="16" t="str">
        <x:v>Missing email</x:v>
      </x:c>
    </x:row>
    <x:row r="2122">
      <x:c r="A2122" s="16" t="n">
        <x:v>2119</x:v>
      </x:c>
      <x:c r="B2122" s="16" t="str">
        <x:v>Eizzy Syazriq Azali</x:v>
      </x:c>
      <x:c r="C2122" s="16" t="str"/>
      <x:c r="D2122" s="16" t="str"/>
      <x:c r="E2122" s="16" t="str">
        <x:v>* myContacts</x:v>
      </x:c>
      <x:c r="F2122" s="16" t="str">
        <x:v>+60134981326</x:v>
      </x:c>
      <x:c r="G2122" s="16" t="str">
        <x:v>+60134981326</x:v>
      </x:c>
      <x:c r="H2122" s="16" t="str">
        <x:v>Excluded</x:v>
      </x:c>
      <x:c r="I2122" s="16" t="str">
        <x:v>Missing email</x:v>
      </x:c>
    </x:row>
    <x:row r="2123">
      <x:c r="A2123" s="16" t="n">
        <x:v>2120</x:v>
      </x:c>
      <x:c r="B2123" s="16" t="str">
        <x:v>Eja Candidate Kerja</x:v>
      </x:c>
      <x:c r="C2123" s="16" t="str"/>
      <x:c r="D2123" s="16" t="str"/>
      <x:c r="E2123" s="16" t="str">
        <x:v>* myContacts</x:v>
      </x:c>
      <x:c r="F2123" s="16" t="str">
        <x:v>+60 11-3607 1694 | +601136071694</x:v>
      </x:c>
      <x:c r="G2123" s="16" t="str">
        <x:v>+601136071694 | +601136071694</x:v>
      </x:c>
      <x:c r="H2123" s="16" t="str">
        <x:v>Excluded</x:v>
      </x:c>
      <x:c r="I2123" s="16" t="str">
        <x:v>Missing email</x:v>
      </x:c>
    </x:row>
    <x:row r="2124">
      <x:c r="A2124" s="16" t="n">
        <x:v>2121</x:v>
      </x:c>
      <x:c r="B2124" s="16" t="str">
        <x:v>Eja Faezah Shuib</x:v>
      </x:c>
      <x:c r="C2124" s="16" t="str"/>
      <x:c r="D2124" s="16" t="str"/>
      <x:c r="E2124" s="16" t="str">
        <x:v>* myContacts</x:v>
      </x:c>
      <x:c r="F2124" s="16" t="str">
        <x:v>+601126537928</x:v>
      </x:c>
      <x:c r="G2124" s="16" t="str">
        <x:v>+601126537928</x:v>
      </x:c>
      <x:c r="H2124" s="16" t="str">
        <x:v>Excluded</x:v>
      </x:c>
      <x:c r="I2124" s="16" t="str">
        <x:v>Missing email</x:v>
      </x:c>
    </x:row>
    <x:row r="2125">
      <x:c r="A2125" s="16" t="n">
        <x:v>2122</x:v>
      </x:c>
      <x:c r="B2125" s="16" t="str">
        <x:v>Eja Jia</x:v>
      </x:c>
      <x:c r="C2125" s="16" t="str"/>
      <x:c r="D2125" s="16" t="str"/>
      <x:c r="E2125" s="16" t="str">
        <x:v>* myContacts</x:v>
      </x:c>
      <x:c r="F2125" s="16" t="str">
        <x:v>+60123060581</x:v>
      </x:c>
      <x:c r="G2125" s="16" t="str">
        <x:v>+60123060581</x:v>
      </x:c>
      <x:c r="H2125" s="16" t="str">
        <x:v>Excluded</x:v>
      </x:c>
      <x:c r="I2125" s="16" t="str">
        <x:v>Missing email</x:v>
      </x:c>
    </x:row>
    <x:row r="2126">
      <x:c r="A2126" s="16" t="n">
        <x:v>2123</x:v>
      </x:c>
      <x:c r="B2126" s="16" t="str">
        <x:v>Ejad Ayob</x:v>
      </x:c>
      <x:c r="C2126" s="16" t="str"/>
      <x:c r="D2126" s="16" t="str"/>
      <x:c r="E2126" s="16" t="str">
        <x:v>* myContacts</x:v>
      </x:c>
      <x:c r="F2126" s="16" t="str">
        <x:v>+60177053261</x:v>
      </x:c>
      <x:c r="G2126" s="16" t="str">
        <x:v>+60177053261</x:v>
      </x:c>
      <x:c r="H2126" s="16" t="str">
        <x:v>Excluded</x:v>
      </x:c>
      <x:c r="I2126" s="16" t="str">
        <x:v>Missing email</x:v>
      </x:c>
    </x:row>
    <x:row r="2127">
      <x:c r="A2127" s="16" t="n">
        <x:v>2124</x:v>
      </x:c>
      <x:c r="B2127" s="16" t="str">
        <x:v>Ejal White Stone</x:v>
      </x:c>
      <x:c r="C2127" s="16" t="str"/>
      <x:c r="D2127" s="16" t="str"/>
      <x:c r="E2127" s="16" t="str">
        <x:v>* myContacts</x:v>
      </x:c>
      <x:c r="F2127" s="16" t="str">
        <x:v>+60177395801</x:v>
      </x:c>
      <x:c r="G2127" s="16" t="str">
        <x:v>+60177395801</x:v>
      </x:c>
      <x:c r="H2127" s="16" t="str">
        <x:v>Excluded</x:v>
      </x:c>
      <x:c r="I2127" s="16" t="str">
        <x:v>Missing email</x:v>
      </x:c>
    </x:row>
    <x:row r="2128">
      <x:c r="A2128" s="16" t="n">
        <x:v>2125</x:v>
      </x:c>
      <x:c r="B2128" s="16" t="str">
        <x:v>Ejam Dhiya</x:v>
      </x:c>
      <x:c r="C2128" s="16" t="str"/>
      <x:c r="D2128" s="16" t="str"/>
      <x:c r="E2128" s="16" t="str">
        <x:v>* myContacts</x:v>
      </x:c>
      <x:c r="F2128" s="16" t="str">
        <x:v>+60175462055</x:v>
      </x:c>
      <x:c r="G2128" s="16" t="str">
        <x:v>+60175462055</x:v>
      </x:c>
      <x:c r="H2128" s="16" t="str">
        <x:v>Excluded</x:v>
      </x:c>
      <x:c r="I2128" s="16" t="str">
        <x:v>Missing email</x:v>
      </x:c>
    </x:row>
    <x:row r="2129">
      <x:c r="A2129" s="16" t="n">
        <x:v>2126</x:v>
      </x:c>
      <x:c r="B2129" s="16" t="str">
        <x:v>Ejan Perodua</x:v>
      </x:c>
      <x:c r="C2129" s="16" t="str"/>
      <x:c r="D2129" s="16" t="str"/>
      <x:c r="E2129" s="16" t="str">
        <x:v>* myContacts</x:v>
      </x:c>
      <x:c r="F2129" s="16" t="str">
        <x:v>0196080909 | +60196080909</x:v>
      </x:c>
      <x:c r="G2129" s="16" t="str">
        <x:v>+60196080909 | +60196080909</x:v>
      </x:c>
      <x:c r="H2129" s="16" t="str">
        <x:v>Excluded</x:v>
      </x:c>
      <x:c r="I2129" s="16" t="str">
        <x:v>Missing email</x:v>
      </x:c>
    </x:row>
    <x:row r="2130">
      <x:c r="A2130" s="16" t="n">
        <x:v>2127</x:v>
      </x:c>
      <x:c r="B2130" s="16" t="str">
        <x:v>Ejan Plg</x:v>
      </x:c>
      <x:c r="C2130" s="16" t="str"/>
      <x:c r="D2130" s="16" t="str"/>
      <x:c r="E2130" s="16" t="str">
        <x:v>* myContacts</x:v>
      </x:c>
      <x:c r="F2130" s="16" t="str">
        <x:v>+60126063012</x:v>
      </x:c>
      <x:c r="G2130" s="16" t="str">
        <x:v>+60126063012</x:v>
      </x:c>
      <x:c r="H2130" s="16" t="str">
        <x:v>Excluded</x:v>
      </x:c>
      <x:c r="I2130" s="16" t="str">
        <x:v>Missing email</x:v>
      </x:c>
    </x:row>
    <x:row r="2131">
      <x:c r="A2131" s="16" t="n">
        <x:v>2128</x:v>
      </x:c>
      <x:c r="B2131" s="16" t="str">
        <x:v>Ejoer Daniel</x:v>
      </x:c>
      <x:c r="C2131" s="16" t="str"/>
      <x:c r="D2131" s="16" t="str"/>
      <x:c r="E2131" s="16" t="str">
        <x:v>* myContacts</x:v>
      </x:c>
      <x:c r="F2131" s="16" t="str">
        <x:v>+60199649469</x:v>
      </x:c>
      <x:c r="G2131" s="16" t="str">
        <x:v>+60199649469</x:v>
      </x:c>
      <x:c r="H2131" s="16" t="str">
        <x:v>Excluded</x:v>
      </x:c>
      <x:c r="I2131" s="16" t="str">
        <x:v>Missing email</x:v>
      </x:c>
    </x:row>
    <x:row r="2132">
      <x:c r="A2132" s="16" t="n">
        <x:v>2129</x:v>
      </x:c>
      <x:c r="B2132" s="16" t="str">
        <x:v>Ejoy Budut</x:v>
      </x:c>
      <x:c r="C2132" s="16" t="str"/>
      <x:c r="D2132" s="16" t="str"/>
      <x:c r="E2132" s="16" t="str">
        <x:v>* myContacts</x:v>
      </x:c>
      <x:c r="F2132" s="16" t="str">
        <x:v>+60176824870</x:v>
      </x:c>
      <x:c r="G2132" s="16" t="str">
        <x:v>+60176824870</x:v>
      </x:c>
      <x:c r="H2132" s="16" t="str">
        <x:v>Excluded</x:v>
      </x:c>
      <x:c r="I2132" s="16" t="str">
        <x:v>Missing email</x:v>
      </x:c>
    </x:row>
    <x:row r="2133">
      <x:c r="A2133" s="16" t="n">
        <x:v>2130</x:v>
      </x:c>
      <x:c r="B2133" s="16" t="str">
        <x:v>Ejul Lutfi</x:v>
      </x:c>
      <x:c r="C2133" s="16" t="str"/>
      <x:c r="D2133" s="16" t="str"/>
      <x:c r="E2133" s="16" t="str">
        <x:v>* myContacts</x:v>
      </x:c>
      <x:c r="F2133" s="16" t="str">
        <x:v>+60127737477</x:v>
      </x:c>
      <x:c r="G2133" s="16" t="str">
        <x:v>+60127737477</x:v>
      </x:c>
      <x:c r="H2133" s="16" t="str">
        <x:v>Excluded</x:v>
      </x:c>
      <x:c r="I2133" s="16" t="str">
        <x:v>Missing email</x:v>
      </x:c>
    </x:row>
    <x:row r="2134">
      <x:c r="A2134" s="16" t="n">
        <x:v>2131</x:v>
      </x:c>
      <x:c r="B2134" s="16" t="str">
        <x:v>Eka Azrat</x:v>
      </x:c>
      <x:c r="C2134" s="16" t="str"/>
      <x:c r="D2134" s="16" t="str"/>
      <x:c r="E2134" s="16" t="str">
        <x:v>* myContacts</x:v>
      </x:c>
      <x:c r="F2134" s="16" t="str">
        <x:v>+60173045667</x:v>
      </x:c>
      <x:c r="G2134" s="16" t="str">
        <x:v>+60173045667</x:v>
      </x:c>
      <x:c r="H2134" s="16" t="str">
        <x:v>Excluded</x:v>
      </x:c>
      <x:c r="I2134" s="16" t="str">
        <x:v>Missing email</x:v>
      </x:c>
    </x:row>
    <x:row r="2135">
      <x:c r="A2135" s="16" t="n">
        <x:v>2132</x:v>
      </x:c>
      <x:c r="B2135" s="16" t="str">
        <x:v>Eka Maju Enterprise Baikpulih Sofa</x:v>
      </x:c>
      <x:c r="C2135" s="16" t="str"/>
      <x:c r="D2135" s="16" t="str"/>
      <x:c r="E2135" s="16" t="str">
        <x:v>* myContacts</x:v>
      </x:c>
      <x:c r="F2135" s="16" t="str">
        <x:v>+60173343054</x:v>
      </x:c>
      <x:c r="G2135" s="16" t="str">
        <x:v>+60173343054</x:v>
      </x:c>
      <x:c r="H2135" s="16" t="str">
        <x:v>Excluded</x:v>
      </x:c>
      <x:c r="I2135" s="16" t="str">
        <x:v>Missing email</x:v>
      </x:c>
    </x:row>
    <x:row r="2136">
      <x:c r="A2136" s="16" t="n">
        <x:v>2133</x:v>
      </x:c>
      <x:c r="B2136" s="16" t="str">
        <x:v>Ekin Lynn</x:v>
      </x:c>
      <x:c r="C2136" s="16" t="str"/>
      <x:c r="D2136" s="16" t="str"/>
      <x:c r="E2136" s="16" t="str">
        <x:v>* myContacts</x:v>
      </x:c>
      <x:c r="F2136" s="16" t="str">
        <x:v>+60196205154</x:v>
      </x:c>
      <x:c r="G2136" s="16" t="str">
        <x:v>+60196205154</x:v>
      </x:c>
      <x:c r="H2136" s="16" t="str">
        <x:v>Excluded</x:v>
      </x:c>
      <x:c r="I2136" s="16" t="str">
        <x:v>Missing email</x:v>
      </x:c>
    </x:row>
    <x:row r="2137">
      <x:c r="A2137" s="16" t="n">
        <x:v>2134</x:v>
      </x:c>
      <x:c r="B2137" s="16" t="str">
        <x:v>Ekin Zulkifli</x:v>
      </x:c>
      <x:c r="C2137" s="16" t="str"/>
      <x:c r="D2137" s="16" t="str"/>
      <x:c r="E2137" s="16" t="str">
        <x:v>* myContacts</x:v>
      </x:c>
      <x:c r="F2137" s="16" t="str">
        <x:v>+60102661762</x:v>
      </x:c>
      <x:c r="G2137" s="16" t="str">
        <x:v>+60102661762</x:v>
      </x:c>
      <x:c r="H2137" s="16" t="str">
        <x:v>Excluded</x:v>
      </x:c>
      <x:c r="I2137" s="16" t="str">
        <x:v>Missing email</x:v>
      </x:c>
    </x:row>
    <x:row r="2138">
      <x:c r="A2138" s="16" t="n">
        <x:v>2135</x:v>
      </x:c>
      <x:c r="B2138" s="16" t="str">
        <x:v>Ela Syafiela</x:v>
      </x:c>
      <x:c r="C2138" s="16" t="str"/>
      <x:c r="D2138" s="16" t="str"/>
      <x:c r="E2138" s="16" t="str">
        <x:v>* myContacts</x:v>
      </x:c>
      <x:c r="F2138" s="16" t="str">
        <x:v>+60168763005</x:v>
      </x:c>
      <x:c r="G2138" s="16" t="str">
        <x:v>+60168763005</x:v>
      </x:c>
      <x:c r="H2138" s="16" t="str">
        <x:v>Excluded</x:v>
      </x:c>
      <x:c r="I2138" s="16" t="str">
        <x:v>Missing email</x:v>
      </x:c>
    </x:row>
    <x:row r="2139">
      <x:c r="A2139" s="16" t="n">
        <x:v>2136</x:v>
      </x:c>
      <x:c r="B2139" s="16" t="str">
        <x:v>Elegant Tours</x:v>
      </x:c>
      <x:c r="C2139" s="16" t="str"/>
      <x:c r="D2139" s="16" t="str"/>
      <x:c r="E2139" s="16" t="str">
        <x:v>* myContacts</x:v>
      </x:c>
      <x:c r="F2139" s="16" t="str">
        <x:v>+62617851975</x:v>
      </x:c>
      <x:c r="G2139" s="16" t="str">
        <x:v>+62617851975</x:v>
      </x:c>
      <x:c r="H2139" s="16" t="str">
        <x:v>Excluded</x:v>
      </x:c>
      <x:c r="I2139" s="16" t="str">
        <x:v>Missing email</x:v>
      </x:c>
    </x:row>
    <x:row r="2140">
      <x:c r="A2140" s="16" t="n">
        <x:v>2137</x:v>
      </x:c>
      <x:c r="B2140" s="16" t="str">
        <x:v>Elia Yusniza AGP</x:v>
      </x:c>
      <x:c r="C2140" s="16" t="str"/>
      <x:c r="D2140" s="16" t="str"/>
      <x:c r="E2140" s="16" t="str">
        <x:v>* myContacts</x:v>
      </x:c>
      <x:c r="F2140" s="16" t="str">
        <x:v>+60124866803</x:v>
      </x:c>
      <x:c r="G2140" s="16" t="str">
        <x:v>+60124866803</x:v>
      </x:c>
      <x:c r="H2140" s="16" t="str">
        <x:v>Excluded</x:v>
      </x:c>
      <x:c r="I2140" s="16" t="str">
        <x:v>Missing email</x:v>
      </x:c>
    </x:row>
    <x:row r="2141">
      <x:c r="A2141" s="16" t="n">
        <x:v>2138</x:v>
      </x:c>
      <x:c r="B2141" s="16" t="str">
        <x:v>Elis Dpim Putrajaya</x:v>
      </x:c>
      <x:c r="C2141" s="16" t="str"/>
      <x:c r="D2141" s="16" t="str"/>
      <x:c r="E2141" s="16" t="str">
        <x:v>* myContacts</x:v>
      </x:c>
      <x:c r="F2141" s="16" t="str">
        <x:v>016-233 5702 | +60 16-207 7609 | +60162335702 | +60162077609</x:v>
      </x:c>
      <x:c r="G2141" s="16" t="str">
        <x:v>+60162335702 | +60162077609 | +60162335702 | +60162077609</x:v>
      </x:c>
      <x:c r="H2141" s="16" t="str">
        <x:v>Excluded</x:v>
      </x:c>
      <x:c r="I2141" s="16" t="str">
        <x:v>Missing email</x:v>
      </x:c>
    </x:row>
    <x:row r="2142">
      <x:c r="A2142" s="16" t="n">
        <x:v>2139</x:v>
      </x:c>
      <x:c r="B2142" s="16" t="str">
        <x:v>Elizabeth Lian</x:v>
      </x:c>
      <x:c r="C2142" s="16" t="str"/>
      <x:c r="D2142" s="16" t="str"/>
      <x:c r="E2142" s="16" t="str">
        <x:v>* myContacts</x:v>
      </x:c>
      <x:c r="F2142" s="16" t="str">
        <x:v>+60143966142</x:v>
      </x:c>
      <x:c r="G2142" s="16" t="str">
        <x:v>+60143966142</x:v>
      </x:c>
      <x:c r="H2142" s="16" t="str">
        <x:v>Excluded</x:v>
      </x:c>
      <x:c r="I2142" s="16" t="str">
        <x:v>Missing email</x:v>
      </x:c>
    </x:row>
    <x:row r="2143">
      <x:c r="A2143" s="16" t="n">
        <x:v>2140</x:v>
      </x:c>
      <x:c r="B2143" s="16" t="str">
        <x:v>ELkc Lee</x:v>
      </x:c>
      <x:c r="C2143" s="16" t="str"/>
      <x:c r="D2143" s="16" t="str"/>
      <x:c r="E2143" s="16" t="str">
        <x:v>* myContacts</x:v>
      </x:c>
      <x:c r="F2143" s="16" t="str">
        <x:v>+60128903287</x:v>
      </x:c>
      <x:c r="G2143" s="16" t="str">
        <x:v>+60128903287</x:v>
      </x:c>
      <x:c r="H2143" s="16" t="str">
        <x:v>Excluded</x:v>
      </x:c>
      <x:c r="I2143" s="16" t="str">
        <x:v>Missing email</x:v>
      </x:c>
    </x:row>
    <x:row r="2144">
      <x:c r="A2144" s="16" t="n">
        <x:v>2141</x:v>
      </x:c>
      <x:c r="B2144" s="16" t="str">
        <x:v>Ell-rall Melyul</x:v>
      </x:c>
      <x:c r="C2144" s="16" t="str"/>
      <x:c r="D2144" s="16" t="str"/>
      <x:c r="E2144" s="16" t="str">
        <x:v>* myContacts</x:v>
      </x:c>
      <x:c r="F2144" s="16" t="str">
        <x:v>+60173862441</x:v>
      </x:c>
      <x:c r="G2144" s="16" t="str">
        <x:v>+60173862441</x:v>
      </x:c>
      <x:c r="H2144" s="16" t="str">
        <x:v>Excluded</x:v>
      </x:c>
      <x:c r="I2144" s="16" t="str">
        <x:v>Missing email</x:v>
      </x:c>
    </x:row>
    <x:row r="2145">
      <x:c r="A2145" s="16" t="n">
        <x:v>2142</x:v>
      </x:c>
      <x:c r="B2145" s="16" t="str">
        <x:v>Ella Safitri</x:v>
      </x:c>
      <x:c r="C2145" s="16" t="str"/>
      <x:c r="D2145" s="16" t="str"/>
      <x:c r="E2145" s="16" t="str">
        <x:v>* myContacts</x:v>
      </x:c>
      <x:c r="F2145" s="16" t="str">
        <x:v>+6283194657882</x:v>
      </x:c>
      <x:c r="G2145" s="16" t="str">
        <x:v>+6283194657882</x:v>
      </x:c>
      <x:c r="H2145" s="16" t="str">
        <x:v>Excluded</x:v>
      </x:c>
      <x:c r="I2145" s="16" t="str">
        <x:v>Missing email</x:v>
      </x:c>
    </x:row>
    <x:row r="2146">
      <x:c r="A2146" s="16" t="n">
        <x:v>2143</x:v>
      </x:c>
      <x:c r="B2146" s="16" t="str">
        <x:v>Ellana Sahari</x:v>
      </x:c>
      <x:c r="C2146" s="16" t="str"/>
      <x:c r="D2146" s="16" t="str"/>
      <x:c r="E2146" s="16" t="str">
        <x:v>* myContacts</x:v>
      </x:c>
      <x:c r="F2146" s="16" t="str">
        <x:v>+60123133524</x:v>
      </x:c>
      <x:c r="G2146" s="16" t="str">
        <x:v>+60123133524</x:v>
      </x:c>
      <x:c r="H2146" s="16" t="str">
        <x:v>Excluded</x:v>
      </x:c>
      <x:c r="I2146" s="16" t="str">
        <x:v>Missing email</x:v>
      </x:c>
    </x:row>
    <x:row r="2147">
      <x:c r="A2147" s="16" t="n">
        <x:v>2144</x:v>
      </x:c>
      <x:c r="B2147" s="16" t="str">
        <x:v>Ellen Tan</x:v>
      </x:c>
      <x:c r="C2147" s="16" t="str"/>
      <x:c r="D2147" s="16" t="str"/>
      <x:c r="E2147" s="16" t="str">
        <x:v>* myContacts</x:v>
      </x:c>
      <x:c r="F2147" s="16" t="str">
        <x:v>0126747632 | +60126747632</x:v>
      </x:c>
      <x:c r="G2147" s="16" t="str">
        <x:v>+60126747632 | +60126747632</x:v>
      </x:c>
      <x:c r="H2147" s="16" t="str">
        <x:v>Excluded</x:v>
      </x:c>
      <x:c r="I2147" s="16" t="str">
        <x:v>Missing email</x:v>
      </x:c>
    </x:row>
    <x:row r="2148">
      <x:c r="A2148" s="16" t="n">
        <x:v>2145</x:v>
      </x:c>
      <x:c r="B2148" s="16" t="str">
        <x:v>Elly Eddy</x:v>
      </x:c>
      <x:c r="C2148" s="16" t="str"/>
      <x:c r="D2148" s="16" t="str"/>
      <x:c r="E2148" s="16" t="str">
        <x:v>* myContacts</x:v>
      </x:c>
      <x:c r="F2148" s="16" t="str">
        <x:v>+601128848012</x:v>
      </x:c>
      <x:c r="G2148" s="16" t="str">
        <x:v>+601128848012</x:v>
      </x:c>
      <x:c r="H2148" s="16" t="str">
        <x:v>Excluded</x:v>
      </x:c>
      <x:c r="I2148" s="16" t="str">
        <x:v>Missing email</x:v>
      </x:c>
    </x:row>
    <x:row r="2149">
      <x:c r="A2149" s="16" t="n">
        <x:v>2146</x:v>
      </x:c>
      <x:c r="B2149" s="16" t="str">
        <x:v>Elly Latip</x:v>
      </x:c>
      <x:c r="C2149" s="16" t="str"/>
      <x:c r="D2149" s="16" t="str"/>
      <x:c r="E2149" s="16" t="str">
        <x:v>* myContacts</x:v>
      </x:c>
      <x:c r="F2149" s="16" t="str">
        <x:v>+60193639887</x:v>
      </x:c>
      <x:c r="G2149" s="16" t="str">
        <x:v>+60193639887</x:v>
      </x:c>
      <x:c r="H2149" s="16" t="str">
        <x:v>Excluded</x:v>
      </x:c>
      <x:c r="I2149" s="16" t="str">
        <x:v>Missing email</x:v>
      </x:c>
    </x:row>
    <x:row r="2150">
      <x:c r="A2150" s="16" t="n">
        <x:v>2147</x:v>
      </x:c>
      <x:c r="B2150" s="16" t="str">
        <x:v>Elly Suhana Mohamed</x:v>
      </x:c>
      <x:c r="C2150" s="16" t="str"/>
      <x:c r="D2150" s="16" t="str"/>
      <x:c r="E2150" s="16" t="str">
        <x:v>* myContacts</x:v>
      </x:c>
      <x:c r="F2150" s="16" t="str">
        <x:v>+60177349756</x:v>
      </x:c>
      <x:c r="G2150" s="16" t="str">
        <x:v>+60177349756</x:v>
      </x:c>
      <x:c r="H2150" s="16" t="str">
        <x:v>Excluded</x:v>
      </x:c>
      <x:c r="I2150" s="16" t="str">
        <x:v>Missing email</x:v>
      </x:c>
    </x:row>
    <x:row r="2151">
      <x:c r="A2151" s="16" t="n">
        <x:v>2148</x:v>
      </x:c>
      <x:c r="B2151" s="16" t="str">
        <x:v>Ellynda Norfaizah</x:v>
      </x:c>
      <x:c r="C2151" s="16" t="str"/>
      <x:c r="D2151" s="16" t="str"/>
      <x:c r="E2151" s="16" t="str">
        <x:v>* myContacts</x:v>
      </x:c>
      <x:c r="F2151" s="16" t="str">
        <x:v>+60128626867</x:v>
      </x:c>
      <x:c r="G2151" s="16" t="str">
        <x:v>+60128626867</x:v>
      </x:c>
      <x:c r="H2151" s="16" t="str">
        <x:v>Excluded</x:v>
      </x:c>
      <x:c r="I2151" s="16" t="str">
        <x:v>Missing email</x:v>
      </x:c>
    </x:row>
    <x:row r="2152">
      <x:c r="A2152" s="16" t="n">
        <x:v>2149</x:v>
      </x:c>
      <x:c r="B2152" s="16" t="str">
        <x:v>Elmanzeel Chendor</x:v>
      </x:c>
      <x:c r="C2152" s="16" t="str"/>
      <x:c r="D2152" s="16" t="str"/>
      <x:c r="E2152" s="16" t="str">
        <x:v>* myContacts</x:v>
      </x:c>
      <x:c r="F2152" s="16" t="str">
        <x:v>+6098588423</x:v>
      </x:c>
      <x:c r="G2152" s="16" t="str">
        <x:v>+6098588423</x:v>
      </x:c>
      <x:c r="H2152" s="16" t="str">
        <x:v>Excluded</x:v>
      </x:c>
      <x:c r="I2152" s="16" t="str">
        <x:v>Missing email</x:v>
      </x:c>
    </x:row>
    <x:row r="2153">
      <x:c r="A2153" s="16" t="n">
        <x:v>2150</x:v>
      </x:c>
      <x:c r="B2153" s="16" t="str">
        <x:v>Elmy ToneExcel</x:v>
      </x:c>
      <x:c r="C2153" s="16" t="str"/>
      <x:c r="D2153" s="16" t="str"/>
      <x:c r="E2153" s="16" t="str">
        <x:v>* myContacts</x:v>
      </x:c>
      <x:c r="F2153" s="16" t="str">
        <x:v>+60105228387</x:v>
      </x:c>
      <x:c r="G2153" s="16" t="str">
        <x:v>+60105228387</x:v>
      </x:c>
      <x:c r="H2153" s="16" t="str">
        <x:v>Excluded</x:v>
      </x:c>
      <x:c r="I2153" s="16" t="str">
        <x:v>Missing email</x:v>
      </x:c>
    </x:row>
    <x:row r="2154">
      <x:c r="A2154" s="16" t="n">
        <x:v>2151</x:v>
      </x:c>
      <x:c r="B2154" s="16" t="str">
        <x:v>Elmyra HQ</x:v>
      </x:c>
      <x:c r="C2154" s="16" t="str"/>
      <x:c r="D2154" s="16" t="str"/>
      <x:c r="E2154" s="16" t="str">
        <x:v>* myContacts</x:v>
      </x:c>
      <x:c r="F2154" s="16" t="str">
        <x:v>+60136596699</x:v>
      </x:c>
      <x:c r="G2154" s="16" t="str">
        <x:v>+60136596699</x:v>
      </x:c>
      <x:c r="H2154" s="16" t="str">
        <x:v>Excluded</x:v>
      </x:c>
      <x:c r="I2154" s="16" t="str">
        <x:v>Missing email</x:v>
      </x:c>
    </x:row>
    <x:row r="2155">
      <x:c r="A2155" s="16" t="n">
        <x:v>2152</x:v>
      </x:c>
      <x:c r="B2155" s="16" t="str">
        <x:v>Elys Ismail</x:v>
      </x:c>
      <x:c r="C2155" s="16" t="str"/>
      <x:c r="D2155" s="16" t="str"/>
      <x:c r="E2155" s="16" t="str">
        <x:v>* myContacts</x:v>
      </x:c>
      <x:c r="F2155" s="16" t="str">
        <x:v>+60108377900</x:v>
      </x:c>
      <x:c r="G2155" s="16" t="str">
        <x:v>+60108377900</x:v>
      </x:c>
      <x:c r="H2155" s="16" t="str">
        <x:v>Excluded</x:v>
      </x:c>
      <x:c r="I2155" s="16" t="str">
        <x:v>Missing email</x:v>
      </x:c>
    </x:row>
    <x:row r="2156">
      <x:c r="A2156" s="16" t="n">
        <x:v>2153</x:v>
      </x:c>
      <x:c r="B2156" s="16" t="str">
        <x:v>Ema Jaafaq</x:v>
      </x:c>
      <x:c r="C2156" s="16" t="str"/>
      <x:c r="D2156" s="16" t="str"/>
      <x:c r="E2156" s="16" t="str">
        <x:v>* myContacts</x:v>
      </x:c>
      <x:c r="F2156" s="16" t="str">
        <x:v>+60123456890</x:v>
      </x:c>
      <x:c r="G2156" s="16" t="str">
        <x:v>+60123456890</x:v>
      </x:c>
      <x:c r="H2156" s="16" t="str">
        <x:v>Excluded</x:v>
      </x:c>
      <x:c r="I2156" s="16" t="str">
        <x:v>Missing email</x:v>
      </x:c>
    </x:row>
    <x:row r="2157">
      <x:c r="A2157" s="16" t="n">
        <x:v>2154</x:v>
      </x:c>
      <x:c r="B2157" s="16" t="str">
        <x:v>Ema Scarf</x:v>
      </x:c>
      <x:c r="C2157" s="16" t="str"/>
      <x:c r="D2157" s="16" t="str"/>
      <x:c r="E2157" s="16" t="str">
        <x:v>* myContacts</x:v>
      </x:c>
      <x:c r="F2157" s="16" t="str">
        <x:v>+60146716056</x:v>
      </x:c>
      <x:c r="G2157" s="16" t="str">
        <x:v>+60146716056</x:v>
      </x:c>
      <x:c r="H2157" s="16" t="str">
        <x:v>Excluded</x:v>
      </x:c>
      <x:c r="I2157" s="16" t="str">
        <x:v>Missing email</x:v>
      </x:c>
    </x:row>
    <x:row r="2158">
      <x:c r="A2158" s="16" t="n">
        <x:v>2155</x:v>
      </x:c>
      <x:c r="B2158" s="16" t="str">
        <x:v>Ema Zaima</x:v>
      </x:c>
      <x:c r="C2158" s="16" t="str"/>
      <x:c r="D2158" s="16" t="str"/>
      <x:c r="E2158" s="16" t="str">
        <x:v>* myContacts</x:v>
      </x:c>
      <x:c r="F2158" s="16" t="str">
        <x:v>+60199769607</x:v>
      </x:c>
      <x:c r="G2158" s="16" t="str">
        <x:v>+60199769607</x:v>
      </x:c>
      <x:c r="H2158" s="16" t="str">
        <x:v>Excluded</x:v>
      </x:c>
      <x:c r="I2158" s="16" t="str">
        <x:v>Missing email</x:v>
      </x:c>
    </x:row>
    <x:row r="2159">
      <x:c r="A2159" s="16" t="n">
        <x:v>2156</x:v>
      </x:c>
      <x:c r="B2159" s="16" t="str">
        <x:v>Emak Abg Mohamad</x:v>
      </x:c>
      <x:c r="C2159" s="16" t="str"/>
      <x:c r="D2159" s="16" t="str"/>
      <x:c r="E2159" s="16" t="str">
        <x:v>* myContacts</x:v>
      </x:c>
      <x:c r="F2159" s="16" t="str">
        <x:v>018-762 9685 | +60187629685</x:v>
      </x:c>
      <x:c r="G2159" s="16" t="str">
        <x:v>+60187629685 | +60187629685</x:v>
      </x:c>
      <x:c r="H2159" s="16" t="str">
        <x:v>Excluded</x:v>
      </x:c>
      <x:c r="I2159" s="16" t="str">
        <x:v>Missing email</x:v>
      </x:c>
    </x:row>
    <x:row r="2160">
      <x:c r="A2160" s="16" t="n">
        <x:v>2157</x:v>
      </x:c>
      <x:c r="B2160" s="16" t="str">
        <x:v>Eman Qaseh</x:v>
      </x:c>
      <x:c r="C2160" s="16" t="str"/>
      <x:c r="D2160" s="16" t="str"/>
      <x:c r="E2160" s="16" t="str">
        <x:v>* myContacts</x:v>
      </x:c>
      <x:c r="F2160" s="16" t="str">
        <x:v>+60133964197</x:v>
      </x:c>
      <x:c r="G2160" s="16" t="str">
        <x:v>+60133964197</x:v>
      </x:c>
      <x:c r="H2160" s="16" t="str">
        <x:v>Excluded</x:v>
      </x:c>
      <x:c r="I2160" s="16" t="str">
        <x:v>Missing email</x:v>
      </x:c>
    </x:row>
    <x:row r="2161">
      <x:c r="A2161" s="16" t="n">
        <x:v>2158</x:v>
      </x:c>
      <x:c r="B2161" s="16" t="str">
        <x:v>Eman Sampuri Cikgu Muay Thai</x:v>
      </x:c>
      <x:c r="C2161" s="16" t="str"/>
      <x:c r="D2161" s="16" t="str"/>
      <x:c r="E2161" s="16" t="str">
        <x:v>* myContacts</x:v>
      </x:c>
      <x:c r="F2161" s="16" t="str">
        <x:v>+60 16-433 7974 | +60164337974</x:v>
      </x:c>
      <x:c r="G2161" s="16" t="str">
        <x:v>+60164337974 | +60164337974</x:v>
      </x:c>
      <x:c r="H2161" s="16" t="str">
        <x:v>Excluded</x:v>
      </x:c>
      <x:c r="I2161" s="16" t="str">
        <x:v>Missing email</x:v>
      </x:c>
    </x:row>
    <x:row r="2162">
      <x:c r="A2162" s="16" t="n">
        <x:v>2159</x:v>
      </x:c>
      <x:c r="B2162" s="16" t="str">
        <x:v>Eman Zulkafli</x:v>
      </x:c>
      <x:c r="C2162" s="16" t="str"/>
      <x:c r="D2162" s="16" t="str"/>
      <x:c r="E2162" s="16" t="str">
        <x:v>* myContacts</x:v>
      </x:c>
      <x:c r="F2162" s="16" t="str">
        <x:v>+60124964000</x:v>
      </x:c>
      <x:c r="G2162" s="16" t="str">
        <x:v>+60124964000</x:v>
      </x:c>
      <x:c r="H2162" s="16" t="str">
        <x:v>Excluded</x:v>
      </x:c>
      <x:c r="I2162" s="16" t="str">
        <x:v>Missing email</x:v>
      </x:c>
    </x:row>
    <x:row r="2163">
      <x:c r="A2163" s="16" t="n">
        <x:v>2160</x:v>
      </x:c>
      <x:c r="B2163" s="16" t="str">
        <x:v>Embie Bie</x:v>
      </x:c>
      <x:c r="C2163" s="16" t="str"/>
      <x:c r="D2163" s="16" t="str"/>
      <x:c r="E2163" s="16" t="str">
        <x:v>* myContacts</x:v>
      </x:c>
      <x:c r="F2163" s="16" t="str">
        <x:v>+60174521357</x:v>
      </x:c>
      <x:c r="G2163" s="16" t="str">
        <x:v>+60174521357</x:v>
      </x:c>
      <x:c r="H2163" s="16" t="str">
        <x:v>Excluded</x:v>
      </x:c>
      <x:c r="I2163" s="16" t="str">
        <x:v>Missing email</x:v>
      </x:c>
    </x:row>
    <x:row r="2164">
      <x:c r="A2164" s="16" t="n">
        <x:v>2161</x:v>
      </x:c>
      <x:c r="B2164" s="16" t="str">
        <x:v>Emelia Nabila</x:v>
      </x:c>
      <x:c r="C2164" s="16" t="str"/>
      <x:c r="D2164" s="16" t="str"/>
      <x:c r="E2164" s="16" t="str">
        <x:v>* myContacts</x:v>
      </x:c>
      <x:c r="F2164" s="16" t="str">
        <x:v>+601123188256</x:v>
      </x:c>
      <x:c r="G2164" s="16" t="str">
        <x:v>+601123188256</x:v>
      </x:c>
      <x:c r="H2164" s="16" t="str">
        <x:v>Excluded</x:v>
      </x:c>
      <x:c r="I2164" s="16" t="str">
        <x:v>Missing email</x:v>
      </x:c>
    </x:row>
    <x:row r="2165">
      <x:c r="A2165" s="16" t="n">
        <x:v>2162</x:v>
      </x:c>
      <x:c r="B2165" s="16" t="str">
        <x:v>Emi JNJ</x:v>
      </x:c>
      <x:c r="C2165" s="16" t="str"/>
      <x:c r="D2165" s="16" t="str"/>
      <x:c r="E2165" s="16" t="str">
        <x:v>* myContacts</x:v>
      </x:c>
      <x:c r="F2165" s="16" t="str">
        <x:v>+60 11-2848 4149 | +601128484149</x:v>
      </x:c>
      <x:c r="G2165" s="16" t="str">
        <x:v>+601128484149 | +601128484149</x:v>
      </x:c>
      <x:c r="H2165" s="16" t="str">
        <x:v>Excluded</x:v>
      </x:c>
      <x:c r="I2165" s="16" t="str">
        <x:v>Missing email</x:v>
      </x:c>
    </x:row>
    <x:row r="2166">
      <x:c r="A2166" s="16" t="n">
        <x:v>2163</x:v>
      </x:c>
      <x:c r="B2166" s="16" t="str">
        <x:v>Emiriah Kamarulzaman</x:v>
      </x:c>
      <x:c r="C2166" s="16" t="str"/>
      <x:c r="D2166" s="16" t="str"/>
      <x:c r="E2166" s="16" t="str">
        <x:v>* myContacts</x:v>
      </x:c>
      <x:c r="F2166" s="16" t="str">
        <x:v>+60132536519</x:v>
      </x:c>
      <x:c r="G2166" s="16" t="str">
        <x:v>+60132536519</x:v>
      </x:c>
      <x:c r="H2166" s="16" t="str">
        <x:v>Excluded</x:v>
      </x:c>
      <x:c r="I2166" s="16" t="str">
        <x:v>Missing email</x:v>
      </x:c>
    </x:row>
    <x:row r="2167">
      <x:c r="A2167" s="16" t="n">
        <x:v>2164</x:v>
      </x:c>
      <x:c r="B2167" s="16" t="str">
        <x:v>EMjay Salapuddin</x:v>
      </x:c>
      <x:c r="C2167" s="16" t="str"/>
      <x:c r="D2167" s="16" t="str"/>
      <x:c r="E2167" s="16" t="str">
        <x:v>* myContacts</x:v>
      </x:c>
      <x:c r="F2167" s="16" t="str">
        <x:v>+60142011678</x:v>
      </x:c>
      <x:c r="G2167" s="16" t="str">
        <x:v>+60142011678</x:v>
      </x:c>
      <x:c r="H2167" s="16" t="str">
        <x:v>Excluded</x:v>
      </x:c>
      <x:c r="I2167" s="16" t="str">
        <x:v>Missing email</x:v>
      </x:c>
    </x:row>
    <x:row r="2168">
      <x:c r="A2168" s="16" t="n">
        <x:v>2165</x:v>
      </x:c>
      <x:c r="B2168" s="16" t="str">
        <x:v>Emma Arshad</x:v>
      </x:c>
      <x:c r="C2168" s="16" t="str"/>
      <x:c r="D2168" s="16" t="str"/>
      <x:c r="E2168" s="16" t="str">
        <x:v>* myContacts</x:v>
      </x:c>
      <x:c r="F2168" s="16" t="str">
        <x:v>+60193782577</x:v>
      </x:c>
      <x:c r="G2168" s="16" t="str">
        <x:v>+60193782577</x:v>
      </x:c>
      <x:c r="H2168" s="16" t="str">
        <x:v>Excluded</x:v>
      </x:c>
      <x:c r="I2168" s="16" t="str">
        <x:v>Missing email</x:v>
      </x:c>
    </x:row>
    <x:row r="2169">
      <x:c r="A2169" s="16" t="n">
        <x:v>2166</x:v>
      </x:c>
      <x:c r="B2169" s="16" t="str">
        <x:v>Emma Azman</x:v>
      </x:c>
      <x:c r="C2169" s="16" t="str"/>
      <x:c r="D2169" s="16" t="str"/>
      <x:c r="E2169" s="16" t="str">
        <x:v>* myContacts</x:v>
      </x:c>
      <x:c r="F2169" s="16" t="str">
        <x:v>+60139286734</x:v>
      </x:c>
      <x:c r="G2169" s="16" t="str">
        <x:v>+60139286734</x:v>
      </x:c>
      <x:c r="H2169" s="16" t="str">
        <x:v>Excluded</x:v>
      </x:c>
      <x:c r="I2169" s="16" t="str">
        <x:v>Missing email</x:v>
      </x:c>
    </x:row>
    <x:row r="2170">
      <x:c r="A2170" s="16" t="n">
        <x:v>2167</x:v>
      </x:c>
      <x:c r="B2170" s="16" t="str">
        <x:v>Emma Emaa</x:v>
      </x:c>
      <x:c r="C2170" s="16" t="str"/>
      <x:c r="D2170" s="16" t="str"/>
      <x:c r="E2170" s="16" t="str">
        <x:v>* myContacts</x:v>
      </x:c>
      <x:c r="F2170" s="16" t="str">
        <x:v>+60135490191</x:v>
      </x:c>
      <x:c r="G2170" s="16" t="str">
        <x:v>+60135490191</x:v>
      </x:c>
      <x:c r="H2170" s="16" t="str">
        <x:v>Excluded</x:v>
      </x:c>
      <x:c r="I2170" s="16" t="str">
        <x:v>Missing email</x:v>
      </x:c>
    </x:row>
    <x:row r="2171">
      <x:c r="A2171" s="16" t="n">
        <x:v>2168</x:v>
      </x:c>
      <x:c r="B2171" s="16" t="str">
        <x:v>Emma Fatima</x:v>
      </x:c>
      <x:c r="C2171" s="16" t="str"/>
      <x:c r="D2171" s="16" t="str"/>
      <x:c r="E2171" s="16" t="str">
        <x:v>* myContacts</x:v>
      </x:c>
      <x:c r="F2171" s="16" t="str">
        <x:v>+60162228350</x:v>
      </x:c>
      <x:c r="G2171" s="16" t="str">
        <x:v>+60162228350</x:v>
      </x:c>
      <x:c r="H2171" s="16" t="str">
        <x:v>Excluded</x:v>
      </x:c>
      <x:c r="I2171" s="16" t="str">
        <x:v>Missing email</x:v>
      </x:c>
    </x:row>
    <x:row r="2172">
      <x:c r="A2172" s="16" t="n">
        <x:v>2169</x:v>
      </x:c>
      <x:c r="B2172" s="16" t="str">
        <x:v>Emma G. Amil</x:v>
      </x:c>
      <x:c r="C2172" s="16" t="str"/>
      <x:c r="D2172" s="16" t="str"/>
      <x:c r="E2172" s="16" t="str">
        <x:v>* myContacts</x:v>
      </x:c>
      <x:c r="F2172" s="16" t="str">
        <x:v>+60167315828</x:v>
      </x:c>
      <x:c r="G2172" s="16" t="str">
        <x:v>+60167315828</x:v>
      </x:c>
      <x:c r="H2172" s="16" t="str">
        <x:v>Excluded</x:v>
      </x:c>
      <x:c r="I2172" s="16" t="str">
        <x:v>Missing email</x:v>
      </x:c>
    </x:row>
    <x:row r="2173">
      <x:c r="A2173" s="16" t="n">
        <x:v>2170</x:v>
      </x:c>
      <x:c r="B2173" s="16" t="str">
        <x:v>Emma Nurimah Deen</x:v>
      </x:c>
      <x:c r="C2173" s="16" t="str"/>
      <x:c r="D2173" s="16" t="str"/>
      <x:c r="E2173" s="16" t="str">
        <x:v>* myContacts</x:v>
      </x:c>
      <x:c r="F2173" s="16" t="str">
        <x:v>+60197815757</x:v>
      </x:c>
      <x:c r="G2173" s="16" t="str">
        <x:v>+60197815757</x:v>
      </x:c>
      <x:c r="H2173" s="16" t="str">
        <x:v>Excluded</x:v>
      </x:c>
      <x:c r="I2173" s="16" t="str">
        <x:v>Missing email</x:v>
      </x:c>
    </x:row>
    <x:row r="2174">
      <x:c r="A2174" s="16" t="n">
        <x:v>2171</x:v>
      </x:c>
      <x:c r="B2174" s="16" t="str">
        <x:v>Emma Rahimah Edi Z</x:v>
      </x:c>
      <x:c r="C2174" s="16" t="str"/>
      <x:c r="D2174" s="16" t="str"/>
      <x:c r="E2174" s="16" t="str">
        <x:v>* myContacts</x:v>
      </x:c>
      <x:c r="F2174" s="16" t="str">
        <x:v>+60122244720</x:v>
      </x:c>
      <x:c r="G2174" s="16" t="str">
        <x:v>+60122244720</x:v>
      </x:c>
      <x:c r="H2174" s="16" t="str">
        <x:v>Excluded</x:v>
      </x:c>
      <x:c r="I2174" s="16" t="str">
        <x:v>Missing email</x:v>
      </x:c>
    </x:row>
    <x:row r="2175">
      <x:c r="A2175" s="16" t="n">
        <x:v>2172</x:v>
      </x:c>
      <x:c r="B2175" s="16" t="str">
        <x:v>Emma Zack</x:v>
      </x:c>
      <x:c r="C2175" s="16" t="str"/>
      <x:c r="D2175" s="16" t="str"/>
      <x:c r="E2175" s="16" t="str">
        <x:v>* myContacts</x:v>
      </x:c>
      <x:c r="F2175" s="16" t="str">
        <x:v>+601117824286</x:v>
      </x:c>
      <x:c r="G2175" s="16" t="str">
        <x:v>+601117824286</x:v>
      </x:c>
      <x:c r="H2175" s="16" t="str">
        <x:v>Excluded</x:v>
      </x:c>
      <x:c r="I2175" s="16" t="str">
        <x:v>Missing email</x:v>
      </x:c>
    </x:row>
    <x:row r="2176">
      <x:c r="A2176" s="16" t="n">
        <x:v>2173</x:v>
      </x:c>
      <x:c r="B2176" s="16" t="str">
        <x:v>Emmazin Emma</x:v>
      </x:c>
      <x:c r="C2176" s="16" t="str"/>
      <x:c r="D2176" s="16" t="str"/>
      <x:c r="E2176" s="16" t="str">
        <x:v>* myContacts</x:v>
      </x:c>
      <x:c r="F2176" s="16" t="str">
        <x:v>+60126424409</x:v>
      </x:c>
      <x:c r="G2176" s="16" t="str">
        <x:v>+60126424409</x:v>
      </x:c>
      <x:c r="H2176" s="16" t="str">
        <x:v>Excluded</x:v>
      </x:c>
      <x:c r="I2176" s="16" t="str">
        <x:v>Missing email</x:v>
      </x:c>
    </x:row>
    <x:row r="2177">
      <x:c r="A2177" s="16" t="n">
        <x:v>2174</x:v>
      </x:c>
      <x:c r="B2177" s="16" t="str">
        <x:v>Empatduakosong Ariey</x:v>
      </x:c>
      <x:c r="C2177" s="16" t="str"/>
      <x:c r="D2177" s="16" t="str"/>
      <x:c r="E2177" s="16" t="str">
        <x:v>* myContacts</x:v>
      </x:c>
      <x:c r="F2177" s="16" t="str">
        <x:v>+60168066989</x:v>
      </x:c>
      <x:c r="G2177" s="16" t="str">
        <x:v>+60168066989</x:v>
      </x:c>
      <x:c r="H2177" s="16" t="str">
        <x:v>Excluded</x:v>
      </x:c>
      <x:c r="I2177" s="16" t="str">
        <x:v>Missing email</x:v>
      </x:c>
    </x:row>
    <x:row r="2178">
      <x:c r="A2178" s="16" t="n">
        <x:v>2175</x:v>
      </x:c>
      <x:c r="B2178" s="16" t="str">
        <x:v>Empayar Cahaya</x:v>
      </x:c>
      <x:c r="C2178" s="16" t="str"/>
      <x:c r="D2178" s="16" t="str"/>
      <x:c r="E2178" s="16" t="str">
        <x:v>* myContacts</x:v>
      </x:c>
      <x:c r="F2178" s="16" t="str">
        <x:v>+60139796442</x:v>
      </x:c>
      <x:c r="G2178" s="16" t="str">
        <x:v>+60139796442</x:v>
      </x:c>
      <x:c r="H2178" s="16" t="str">
        <x:v>Excluded</x:v>
      </x:c>
      <x:c r="I2178" s="16" t="str">
        <x:v>Missing email</x:v>
      </x:c>
    </x:row>
    <x:row r="2179">
      <x:c r="A2179" s="16" t="n">
        <x:v>2176</x:v>
      </x:c>
      <x:c r="B2179" s="16" t="str">
        <x:v>Emran Ferran Client CWA</x:v>
      </x:c>
      <x:c r="C2179" s="16" t="str"/>
      <x:c r="D2179" s="16" t="str"/>
      <x:c r="E2179" s="16" t="str">
        <x:v>* myContacts</x:v>
      </x:c>
      <x:c r="F2179" s="16" t="str">
        <x:v>‪+60 19-232 7627‬ | ‪+60192327627‬</x:v>
      </x:c>
      <x:c r="G2179" s="16" t="str">
        <x:v>+60192327627 | +60192327627</x:v>
      </x:c>
      <x:c r="H2179" s="16" t="str">
        <x:v>Excluded</x:v>
      </x:c>
      <x:c r="I2179" s="16" t="str">
        <x:v>Missing email</x:v>
      </x:c>
    </x:row>
    <x:row r="2180">
      <x:c r="A2180" s="16" t="n">
        <x:v>2177</x:v>
      </x:c>
      <x:c r="B2180" s="16" t="str">
        <x:v>Emy Zara</x:v>
      </x:c>
      <x:c r="C2180" s="16" t="str"/>
      <x:c r="D2180" s="16" t="str"/>
      <x:c r="E2180" s="16" t="str">
        <x:v>* myContacts</x:v>
      </x:c>
      <x:c r="F2180" s="16" t="str">
        <x:v>+60177265446</x:v>
      </x:c>
      <x:c r="G2180" s="16" t="str">
        <x:v>+60177265446</x:v>
      </x:c>
      <x:c r="H2180" s="16" t="str">
        <x:v>Excluded</x:v>
      </x:c>
      <x:c r="I2180" s="16" t="str">
        <x:v>Missing email</x:v>
      </x:c>
    </x:row>
    <x:row r="2181">
      <x:c r="A2181" s="16" t="n">
        <x:v>2178</x:v>
      </x:c>
      <x:c r="B2181" s="16" t="str">
        <x:v>Emylia Andaman Katering Canopy</x:v>
      </x:c>
      <x:c r="C2181" s="16" t="str"/>
      <x:c r="D2181" s="16" t="str"/>
      <x:c r="E2181" s="16" t="str">
        <x:v>* myContacts</x:v>
      </x:c>
      <x:c r="F2181" s="16" t="str">
        <x:v>+60192086149</x:v>
      </x:c>
      <x:c r="G2181" s="16" t="str">
        <x:v>+60192086149</x:v>
      </x:c>
      <x:c r="H2181" s="16" t="str">
        <x:v>Excluded</x:v>
      </x:c>
      <x:c r="I2181" s="16" t="str">
        <x:v>Missing email</x:v>
      </x:c>
    </x:row>
    <x:row r="2182">
      <x:c r="A2182" s="16" t="n">
        <x:v>2179</x:v>
      </x:c>
      <x:c r="B2182" s="16" t="str">
        <x:v>En Adly Mplus Remizer</x:v>
      </x:c>
      <x:c r="C2182" s="16" t="str"/>
      <x:c r="D2182" s="16" t="str"/>
      <x:c r="E2182" s="16" t="str">
        <x:v>* myContacts</x:v>
      </x:c>
      <x:c r="F2182" s="16" t="str">
        <x:v>+601151118045</x:v>
      </x:c>
      <x:c r="G2182" s="16" t="str">
        <x:v>+601151118045</x:v>
      </x:c>
      <x:c r="H2182" s="16" t="str">
        <x:v>Excluded</x:v>
      </x:c>
      <x:c r="I2182" s="16" t="str">
        <x:v>Missing email</x:v>
      </x:c>
    </x:row>
    <x:row r="2183">
      <x:c r="A2183" s="16" t="n">
        <x:v>2180</x:v>
      </x:c>
      <x:c r="B2183" s="16" t="str">
        <x:v>En Ahmad</x:v>
      </x:c>
      <x:c r="C2183" s="16" t="str"/>
      <x:c r="D2183" s="16" t="str"/>
      <x:c r="E2183" s="16" t="str">
        <x:v>* myContacts</x:v>
      </x:c>
      <x:c r="F2183" s="16" t="str">
        <x:v>+60173418014</x:v>
      </x:c>
      <x:c r="G2183" s="16" t="str">
        <x:v>+60173418014</x:v>
      </x:c>
      <x:c r="H2183" s="16" t="str">
        <x:v>Excluded</x:v>
      </x:c>
      <x:c r="I2183" s="16" t="str">
        <x:v>Missing email</x:v>
      </x:c>
    </x:row>
    <x:row r="2184">
      <x:c r="A2184" s="16" t="n">
        <x:v>2181</x:v>
      </x:c>
      <x:c r="B2184" s="16" t="str">
        <x:v>En Amirul Jabatan Peneranga</x:v>
      </x:c>
      <x:c r="C2184" s="16" t="str"/>
      <x:c r="D2184" s="16" t="str"/>
      <x:c r="E2184" s="16" t="str">
        <x:v>* myContacts</x:v>
      </x:c>
      <x:c r="F2184" s="16" t="str">
        <x:v>0172773148 | +60172773148</x:v>
      </x:c>
      <x:c r="G2184" s="16" t="str">
        <x:v>+60172773148 | +60172773148</x:v>
      </x:c>
      <x:c r="H2184" s="16" t="str">
        <x:v>Excluded</x:v>
      </x:c>
      <x:c r="I2184" s="16" t="str">
        <x:v>Missing email</x:v>
      </x:c>
    </x:row>
    <x:row r="2185">
      <x:c r="A2185" s="16" t="n">
        <x:v>2182</x:v>
      </x:c>
      <x:c r="B2185" s="16" t="str">
        <x:v>En Azahan Pembeli Stylus</x:v>
      </x:c>
      <x:c r="C2185" s="16" t="str"/>
      <x:c r="D2185" s="16" t="str"/>
      <x:c r="E2185" s="16" t="str">
        <x:v>* myContacts</x:v>
      </x:c>
      <x:c r="F2185" s="16" t="str">
        <x:v>+60 19-773 3967 | +60197733967</x:v>
      </x:c>
      <x:c r="G2185" s="16" t="str">
        <x:v>+60197733967 | +60197733967</x:v>
      </x:c>
      <x:c r="H2185" s="16" t="str">
        <x:v>Excluded</x:v>
      </x:c>
      <x:c r="I2185" s="16" t="str">
        <x:v>Missing email</x:v>
      </x:c>
    </x:row>
    <x:row r="2186">
      <x:c r="A2186" s="16" t="n">
        <x:v>2183</x:v>
      </x:c>
      <x:c r="B2186" s="16" t="str">
        <x:v>En Azhar</x:v>
      </x:c>
      <x:c r="C2186" s="16" t="str"/>
      <x:c r="D2186" s="16" t="str"/>
      <x:c r="E2186" s="16" t="str">
        <x:v>* myContacts</x:v>
      </x:c>
      <x:c r="F2186" s="16" t="str">
        <x:v>019-377 7725 | +60193777725</x:v>
      </x:c>
      <x:c r="G2186" s="16" t="str">
        <x:v>+60193777725 | +60193777725</x:v>
      </x:c>
      <x:c r="H2186" s="16" t="str">
        <x:v>Excluded</x:v>
      </x:c>
      <x:c r="I2186" s="16" t="str">
        <x:v>Missing email</x:v>
      </x:c>
    </x:row>
    <x:row r="2187">
      <x:c r="A2187" s="16" t="n">
        <x:v>2184</x:v>
      </x:c>
      <x:c r="B2187" s="16" t="str">
        <x:v>En Azlan PUBM</x:v>
      </x:c>
      <x:c r="C2187" s="16" t="str"/>
      <x:c r="D2187" s="16" t="str"/>
      <x:c r="E2187" s="16" t="str">
        <x:v>* myContacts</x:v>
      </x:c>
      <x:c r="F2187" s="16" t="str">
        <x:v>+60 11-2372 7691 | +601123727691</x:v>
      </x:c>
      <x:c r="G2187" s="16" t="str">
        <x:v>+601123727691 | +601123727691</x:v>
      </x:c>
      <x:c r="H2187" s="16" t="str">
        <x:v>Excluded</x:v>
      </x:c>
      <x:c r="I2187" s="16" t="str">
        <x:v>Missing email</x:v>
      </x:c>
    </x:row>
    <x:row r="2188">
      <x:c r="A2188" s="16" t="n">
        <x:v>2185</x:v>
      </x:c>
      <x:c r="B2188" s="16" t="str">
        <x:v>En Azman PA Dr Helmi</x:v>
      </x:c>
      <x:c r="C2188" s="16" t="str"/>
      <x:c r="D2188" s="16" t="str"/>
      <x:c r="E2188" s="16" t="str">
        <x:v>* myContacts</x:v>
      </x:c>
      <x:c r="F2188" s="16" t="str">
        <x:v>+60195515643</x:v>
      </x:c>
      <x:c r="G2188" s="16" t="str">
        <x:v>+60195515643</x:v>
      </x:c>
      <x:c r="H2188" s="16" t="str">
        <x:v>Excluded</x:v>
      </x:c>
      <x:c r="I2188" s="16" t="str">
        <x:v>Missing email</x:v>
      </x:c>
    </x:row>
    <x:row r="2189">
      <x:c r="A2189" s="16" t="n">
        <x:v>2186</x:v>
      </x:c>
      <x:c r="B2189" s="16" t="str">
        <x:v>En DEE Plf</x:v>
      </x:c>
      <x:c r="C2189" s="16" t="str"/>
      <x:c r="D2189" s="16" t="str"/>
      <x:c r="E2189" s="16" t="str">
        <x:v>* myContacts</x:v>
      </x:c>
      <x:c r="F2189" s="16" t="str">
        <x:v>+60 19-984 9519 | +60199849519</x:v>
      </x:c>
      <x:c r="G2189" s="16" t="str">
        <x:v>+60199849519 | +60199849519</x:v>
      </x:c>
      <x:c r="H2189" s="16" t="str">
        <x:v>Excluded</x:v>
      </x:c>
      <x:c r="I2189" s="16" t="str">
        <x:v>Missing email</x:v>
      </x:c>
    </x:row>
    <x:row r="2190">
      <x:c r="A2190" s="16" t="n">
        <x:v>2187</x:v>
      </x:c>
      <x:c r="B2190" s="16" t="str">
        <x:v>En Din AJK Masjid</x:v>
      </x:c>
      <x:c r="C2190" s="16" t="str"/>
      <x:c r="D2190" s="16" t="str"/>
      <x:c r="E2190" s="16" t="str">
        <x:v>* myContacts</x:v>
      </x:c>
      <x:c r="F2190" s="16" t="str">
        <x:v>+60 12-324 9970 | +60123249970</x:v>
      </x:c>
      <x:c r="G2190" s="16" t="str">
        <x:v>+60123249970 | +60123249970</x:v>
      </x:c>
      <x:c r="H2190" s="16" t="str">
        <x:v>Excluded</x:v>
      </x:c>
      <x:c r="I2190" s="16" t="str">
        <x:v>Missing email</x:v>
      </x:c>
    </x:row>
    <x:row r="2191">
      <x:c r="A2191" s="16" t="n">
        <x:v>2188</x:v>
      </x:c>
      <x:c r="B2191" s="16" t="str">
        <x:v>En Din Procument CGC</x:v>
      </x:c>
      <x:c r="C2191" s="16" t="str"/>
      <x:c r="D2191" s="16" t="str"/>
      <x:c r="E2191" s="16" t="str">
        <x:v>* myContacts</x:v>
      </x:c>
      <x:c r="F2191" s="16" t="str">
        <x:v>0126866657 | +60126866657</x:v>
      </x:c>
      <x:c r="G2191" s="16" t="str">
        <x:v>+60126866657 | +60126866657</x:v>
      </x:c>
      <x:c r="H2191" s="16" t="str">
        <x:v>Excluded</x:v>
      </x:c>
      <x:c r="I2191" s="16" t="str">
        <x:v>Missing email</x:v>
      </x:c>
    </x:row>
    <x:row r="2192">
      <x:c r="A2192" s="16" t="n">
        <x:v>2189</x:v>
      </x:c>
      <x:c r="B2192" s="16" t="str">
        <x:v>En Dy</x:v>
      </x:c>
      <x:c r="C2192" s="16" t="str"/>
      <x:c r="D2192" s="16" t="str"/>
      <x:c r="E2192" s="16" t="str">
        <x:v>* myContacts</x:v>
      </x:c>
      <x:c r="F2192" s="16" t="str">
        <x:v>+60179320959</x:v>
      </x:c>
      <x:c r="G2192" s="16" t="str">
        <x:v>+60179320959</x:v>
      </x:c>
      <x:c r="H2192" s="16" t="str">
        <x:v>Excluded</x:v>
      </x:c>
      <x:c r="I2192" s="16" t="str">
        <x:v>Missing email</x:v>
      </x:c>
    </x:row>
    <x:row r="2193">
      <x:c r="A2193" s="16" t="n">
        <x:v>2190</x:v>
      </x:c>
      <x:c r="B2193" s="16" t="str">
        <x:v>En EQram Bieyy</x:v>
      </x:c>
      <x:c r="C2193" s="16" t="str"/>
      <x:c r="D2193" s="16" t="str"/>
      <x:c r="E2193" s="16" t="str">
        <x:v>* myContacts</x:v>
      </x:c>
      <x:c r="F2193" s="16" t="str">
        <x:v>+60146016490</x:v>
      </x:c>
      <x:c r="G2193" s="16" t="str">
        <x:v>+60146016490</x:v>
      </x:c>
      <x:c r="H2193" s="16" t="str">
        <x:v>Excluded</x:v>
      </x:c>
      <x:c r="I2193" s="16" t="str">
        <x:v>Missing email</x:v>
      </x:c>
    </x:row>
    <x:row r="2194">
      <x:c r="A2194" s="16" t="n">
        <x:v>2191</x:v>
      </x:c>
      <x:c r="B2194" s="16" t="str">
        <x:v>En Fadhly</x:v>
      </x:c>
      <x:c r="C2194" s="16" t="str"/>
      <x:c r="D2194" s="16" t="str"/>
      <x:c r="E2194" s="16" t="str">
        <x:v>* myContacts</x:v>
      </x:c>
      <x:c r="F2194" s="16" t="str">
        <x:v>012-678 4124 | +60126784124</x:v>
      </x:c>
      <x:c r="G2194" s="16" t="str">
        <x:v>+60126784124 | +60126784124</x:v>
      </x:c>
      <x:c r="H2194" s="16" t="str">
        <x:v>Excluded</x:v>
      </x:c>
      <x:c r="I2194" s="16" t="str">
        <x:v>Missing email</x:v>
      </x:c>
    </x:row>
    <x:row r="2195">
      <x:c r="A2195" s="16" t="n">
        <x:v>2192</x:v>
      </x:c>
      <x:c r="B2195" s="16" t="str">
        <x:v>en fadzil</x:v>
      </x:c>
      <x:c r="C2195" s="16" t="str"/>
      <x:c r="D2195" s="16" t="str"/>
      <x:c r="E2195" s="16" t="str">
        <x:v>* myContacts</x:v>
      </x:c>
      <x:c r="F2195" s="16" t="str">
        <x:v>012-334 3022 | +60123343022</x:v>
      </x:c>
      <x:c r="G2195" s="16" t="str">
        <x:v>+60123343022 | +60123343022</x:v>
      </x:c>
      <x:c r="H2195" s="16" t="str">
        <x:v>Excluded</x:v>
      </x:c>
      <x:c r="I2195" s="16" t="str">
        <x:v>Missing email</x:v>
      </x:c>
    </x:row>
    <x:row r="2196">
      <x:c r="A2196" s="16" t="n">
        <x:v>2193</x:v>
      </x:c>
      <x:c r="B2196" s="16" t="str">
        <x:v>En fauzi ismail tokeh suppliment</x:v>
      </x:c>
      <x:c r="C2196" s="16" t="str"/>
      <x:c r="D2196" s="16" t="str"/>
      <x:c r="E2196" s="16" t="str">
        <x:v>* myContacts</x:v>
      </x:c>
      <x:c r="F2196" s="16" t="str">
        <x:v>014-620 1948 | +60146201948</x:v>
      </x:c>
      <x:c r="G2196" s="16" t="str">
        <x:v>+60146201948 | +60146201948</x:v>
      </x:c>
      <x:c r="H2196" s="16" t="str">
        <x:v>Excluded</x:v>
      </x:c>
      <x:c r="I2196" s="16" t="str">
        <x:v>Missing email</x:v>
      </x:c>
    </x:row>
    <x:row r="2197">
      <x:c r="A2197" s="16" t="n">
        <x:v>2194</x:v>
      </x:c>
      <x:c r="B2197" s="16" t="str">
        <x:v>En Hairi Telok Bakong</x:v>
      </x:c>
      <x:c r="C2197" s="16" t="str"/>
      <x:c r="D2197" s="16" t="str"/>
      <x:c r="E2197" s="16" t="str">
        <x:v>* myContacts</x:v>
      </x:c>
      <x:c r="F2197" s="16" t="str">
        <x:v>0124500131 | +60124500131 | 019-578 3316</x:v>
      </x:c>
      <x:c r="G2197" s="16" t="str">
        <x:v>+60124500131 | +60124500131 | +60195783316</x:v>
      </x:c>
      <x:c r="H2197" s="16" t="str">
        <x:v>Excluded</x:v>
      </x:c>
      <x:c r="I2197" s="16" t="str">
        <x:v>Missing email</x:v>
      </x:c>
    </x:row>
    <x:row r="2198">
      <x:c r="A2198" s="16" t="n">
        <x:v>2195</x:v>
      </x:c>
      <x:c r="B2198" s="16" t="str">
        <x:v>En Hairudin DPIM perak</x:v>
      </x:c>
      <x:c r="C2198" s="16" t="str"/>
      <x:c r="D2198" s="16" t="str"/>
      <x:c r="E2198" s="16" t="str">
        <x:v>* myContacts</x:v>
      </x:c>
      <x:c r="F2198" s="16" t="str">
        <x:v>017-501 3502 | +60175013502</x:v>
      </x:c>
      <x:c r="G2198" s="16" t="str">
        <x:v>+60175013502 | +60175013502</x:v>
      </x:c>
      <x:c r="H2198" s="16" t="str">
        <x:v>Excluded</x:v>
      </x:c>
      <x:c r="I2198" s="16" t="str">
        <x:v>Missing email</x:v>
      </x:c>
    </x:row>
    <x:row r="2199">
      <x:c r="A2199" s="16" t="n">
        <x:v>2196</x:v>
      </x:c>
      <x:c r="B2199" s="16" t="str">
        <x:v>En Halim AGP customer</x:v>
      </x:c>
      <x:c r="C2199" s="16" t="str"/>
      <x:c r="D2199" s="16" t="str"/>
      <x:c r="E2199" s="16" t="str">
        <x:v>* myContacts</x:v>
      </x:c>
      <x:c r="F2199" s="16" t="str">
        <x:v>+60 19-666 8318 | +60196668318</x:v>
      </x:c>
      <x:c r="G2199" s="16" t="str">
        <x:v>+60196668318 | +60196668318</x:v>
      </x:c>
      <x:c r="H2199" s="16" t="str">
        <x:v>Excluded</x:v>
      </x:c>
      <x:c r="I2199" s="16" t="str">
        <x:v>Missing email</x:v>
      </x:c>
    </x:row>
    <x:row r="2200">
      <x:c r="A2200" s="16" t="n">
        <x:v>2197</x:v>
      </x:c>
      <x:c r="B2200" s="16" t="str">
        <x:v>En Halim TM INSTALLER</x:v>
      </x:c>
      <x:c r="C2200" s="16" t="str"/>
      <x:c r="D2200" s="16" t="str"/>
      <x:c r="E2200" s="16" t="str">
        <x:v>* myContacts</x:v>
      </x:c>
      <x:c r="F2200" s="16" t="str">
        <x:v>01165755191 | +601165755191</x:v>
      </x:c>
      <x:c r="G2200" s="16" t="str">
        <x:v>+601165755191 | +601165755191</x:v>
      </x:c>
      <x:c r="H2200" s="16" t="str">
        <x:v>Excluded</x:v>
      </x:c>
      <x:c r="I2200" s="16" t="str">
        <x:v>Missing email</x:v>
      </x:c>
    </x:row>
    <x:row r="2201">
      <x:c r="A2201" s="16" t="n">
        <x:v>2198</x:v>
      </x:c>
      <x:c r="B2201" s="16" t="str">
        <x:v>En Halim Workshop</x:v>
      </x:c>
      <x:c r="C2201" s="16" t="str"/>
      <x:c r="D2201" s="16" t="str"/>
      <x:c r="E2201" s="16" t="str">
        <x:v>* myContacts</x:v>
      </x:c>
      <x:c r="F2201" s="16" t="str">
        <x:v>019-393 3060 | +60193933060</x:v>
      </x:c>
      <x:c r="G2201" s="16" t="str">
        <x:v>+60193933060 | +60193933060</x:v>
      </x:c>
      <x:c r="H2201" s="16" t="str">
        <x:v>Excluded</x:v>
      </x:c>
      <x:c r="I2201" s="16" t="str">
        <x:v>Missing email</x:v>
      </x:c>
    </x:row>
    <x:row r="2202">
      <x:c r="A2202" s="16" t="n">
        <x:v>2199</x:v>
      </x:c>
      <x:c r="B2202" s="16" t="str">
        <x:v>En Har Xie Nyn</x:v>
      </x:c>
      <x:c r="C2202" s="16" t="str"/>
      <x:c r="D2202" s="16" t="str"/>
      <x:c r="E2202" s="16" t="str">
        <x:v>* myContacts</x:v>
      </x:c>
      <x:c r="F2202" s="16" t="str">
        <x:v>+60187707797</x:v>
      </x:c>
      <x:c r="G2202" s="16" t="str">
        <x:v>+60187707797</x:v>
      </x:c>
      <x:c r="H2202" s="16" t="str">
        <x:v>Excluded</x:v>
      </x:c>
      <x:c r="I2202" s="16" t="str">
        <x:v>Missing email</x:v>
      </x:c>
    </x:row>
    <x:row r="2203">
      <x:c r="A2203" s="16" t="n">
        <x:v>2200</x:v>
      </x:c>
      <x:c r="B2203" s="16" t="str">
        <x:v>En Har Xie Nyn VII</x:v>
      </x:c>
      <x:c r="C2203" s="16" t="str"/>
      <x:c r="D2203" s="16" t="str"/>
      <x:c r="E2203" s="16" t="str">
        <x:v>* myContacts</x:v>
      </x:c>
      <x:c r="F2203" s="16" t="str">
        <x:v>+60187707797</x:v>
      </x:c>
      <x:c r="G2203" s="16" t="str">
        <x:v>+60187707797</x:v>
      </x:c>
      <x:c r="H2203" s="16" t="str">
        <x:v>Excluded</x:v>
      </x:c>
      <x:c r="I2203" s="16" t="str">
        <x:v>Missing email</x:v>
      </x:c>
    </x:row>
    <x:row r="2204">
      <x:c r="A2204" s="16" t="n">
        <x:v>2201</x:v>
      </x:c>
      <x:c r="B2204" s="16" t="str">
        <x:v>En Hassan Basri Ahli Hijrah Ampang</x:v>
      </x:c>
      <x:c r="C2204" s="16" t="str"/>
      <x:c r="D2204" s="16" t="str"/>
      <x:c r="E2204" s="16" t="str">
        <x:v>* myContacts</x:v>
      </x:c>
      <x:c r="F2204" s="16" t="str">
        <x:v>+60 18-376 8151 | +60183768151</x:v>
      </x:c>
      <x:c r="G2204" s="16" t="str">
        <x:v>+60183768151 | +60183768151</x:v>
      </x:c>
      <x:c r="H2204" s="16" t="str">
        <x:v>Excluded</x:v>
      </x:c>
      <x:c r="I2204" s="16" t="str">
        <x:v>Missing email</x:v>
      </x:c>
    </x:row>
    <x:row r="2205">
      <x:c r="A2205" s="16" t="n">
        <x:v>2202</x:v>
      </x:c>
      <x:c r="B2205" s="16" t="str">
        <x:v>En Huz Coffea</x:v>
      </x:c>
      <x:c r="C2205" s="16" t="str"/>
      <x:c r="D2205" s="16" t="str"/>
      <x:c r="E2205" s="16" t="str">
        <x:v>* myContacts</x:v>
      </x:c>
      <x:c r="F2205" s="16" t="str">
        <x:v>+60 19-276 5712 | +60192765712</x:v>
      </x:c>
      <x:c r="G2205" s="16" t="str">
        <x:v>+60192765712 | +60192765712</x:v>
      </x:c>
      <x:c r="H2205" s="16" t="str">
        <x:v>Excluded</x:v>
      </x:c>
      <x:c r="I2205" s="16" t="str">
        <x:v>Missing email</x:v>
      </x:c>
    </x:row>
    <x:row r="2206">
      <x:c r="A2206" s="16" t="n">
        <x:v>2203</x:v>
      </x:c>
      <x:c r="B2206" s="16" t="str">
        <x:v>En Jasri Financial Expert Dpim</x:v>
      </x:c>
      <x:c r="C2206" s="16" t="str"/>
      <x:c r="D2206" s="16" t="str"/>
      <x:c r="E2206" s="16" t="str">
        <x:v>* myContacts</x:v>
      </x:c>
      <x:c r="F2206" s="16" t="str">
        <x:v>+60 10-982 2021 | +60109822021</x:v>
      </x:c>
      <x:c r="G2206" s="16" t="str">
        <x:v>+60109822021 | +60109822021</x:v>
      </x:c>
      <x:c r="H2206" s="16" t="str">
        <x:v>Excluded</x:v>
      </x:c>
      <x:c r="I2206" s="16" t="str">
        <x:v>Missing email</x:v>
      </x:c>
    </x:row>
    <x:row r="2207">
      <x:c r="A2207" s="16" t="n">
        <x:v>2204</x:v>
      </x:c>
      <x:c r="B2207" s="16" t="str">
        <x:v>En Jookepli Karhoo AFM Fullfillment</x:v>
      </x:c>
      <x:c r="C2207" s="16" t="str"/>
      <x:c r="D2207" s="16" t="str"/>
      <x:c r="E2207" s="16" t="str">
        <x:v>* myContacts</x:v>
      </x:c>
      <x:c r="F2207" s="16" t="str">
        <x:v>+60 19-744 8800 | +60197448800</x:v>
      </x:c>
      <x:c r="G2207" s="16" t="str">
        <x:v>+60197448800 | +60197448800</x:v>
      </x:c>
      <x:c r="H2207" s="16" t="str">
        <x:v>Excluded</x:v>
      </x:c>
      <x:c r="I2207" s="16" t="str">
        <x:v>Missing email</x:v>
      </x:c>
    </x:row>
    <x:row r="2208">
      <x:c r="A2208" s="16" t="n">
        <x:v>2205</x:v>
      </x:c>
      <x:c r="B2208" s="16" t="str">
        <x:v>En Kamarul Hain Perodua Salesmen Puncak Alam Kamarudin</x:v>
      </x:c>
      <x:c r="C2208" s="16" t="str"/>
      <x:c r="D2208" s="16" t="str"/>
      <x:c r="E2208" s="16" t="str">
        <x:v>* myContacts</x:v>
      </x:c>
      <x:c r="F2208" s="16" t="str">
        <x:v>+60146848908</x:v>
      </x:c>
      <x:c r="G2208" s="16" t="str">
        <x:v>+60146848908</x:v>
      </x:c>
      <x:c r="H2208" s="16" t="str">
        <x:v>Excluded</x:v>
      </x:c>
      <x:c r="I2208" s="16" t="str">
        <x:v>Missing email</x:v>
      </x:c>
    </x:row>
    <x:row r="2209">
      <x:c r="A2209" s="16" t="n">
        <x:v>2206</x:v>
      </x:c>
      <x:c r="B2209" s="16" t="str">
        <x:v>En Khai INSKEN</x:v>
      </x:c>
      <x:c r="C2209" s="16" t="str"/>
      <x:c r="D2209" s="16" t="str"/>
      <x:c r="E2209" s="16" t="str">
        <x:v>Alumni INSKEN | * myContacts</x:v>
      </x:c>
      <x:c r="F2209" s="16" t="str">
        <x:v>+60 13-361 2640 | +60133612640</x:v>
      </x:c>
      <x:c r="G2209" s="16" t="str">
        <x:v>+60133612640 | +60133612640</x:v>
      </x:c>
      <x:c r="H2209" s="16" t="str">
        <x:v>Excluded</x:v>
      </x:c>
      <x:c r="I2209" s="16" t="str">
        <x:v>Missing email</x:v>
      </x:c>
    </x:row>
    <x:row r="2210">
      <x:c r="A2210" s="16" t="n">
        <x:v>2207</x:v>
      </x:c>
      <x:c r="B2210" s="16" t="str">
        <x:v>en khairul home nursing</x:v>
      </x:c>
      <x:c r="C2210" s="16" t="str"/>
      <x:c r="D2210" s="16" t="str"/>
      <x:c r="E2210" s="16" t="str">
        <x:v>* myContacts</x:v>
      </x:c>
      <x:c r="F2210" s="16" t="str">
        <x:v>60103771277 | +60103771277</x:v>
      </x:c>
      <x:c r="G2210" s="16" t="str">
        <x:v>+60103771277 | +60103771277</x:v>
      </x:c>
      <x:c r="H2210" s="16" t="str">
        <x:v>Excluded</x:v>
      </x:c>
      <x:c r="I2210" s="16" t="str">
        <x:v>Missing email</x:v>
      </x:c>
    </x:row>
    <x:row r="2211">
      <x:c r="A2211" s="16" t="n">
        <x:v>2208</x:v>
      </x:c>
      <x:c r="B2211" s="16" t="str">
        <x:v>En Kuhen teraphy stroke</x:v>
      </x:c>
      <x:c r="C2211" s="16" t="str"/>
      <x:c r="D2211" s="16" t="str"/>
      <x:c r="E2211" s="16" t="str">
        <x:v>* myContacts</x:v>
      </x:c>
      <x:c r="F2211" s="16" t="str">
        <x:v>+60199153808</x:v>
      </x:c>
      <x:c r="G2211" s="16" t="str">
        <x:v>+60199153808</x:v>
      </x:c>
      <x:c r="H2211" s="16" t="str">
        <x:v>Excluded</x:v>
      </x:c>
      <x:c r="I2211" s="16" t="str">
        <x:v>Missing email</x:v>
      </x:c>
    </x:row>
    <x:row r="2212">
      <x:c r="A2212" s="16" t="n">
        <x:v>2209</x:v>
      </x:c>
      <x:c r="B2212" s="16" t="str">
        <x:v>En Lan Transporter</x:v>
      </x:c>
      <x:c r="C2212" s="16" t="str"/>
      <x:c r="D2212" s="16" t="str"/>
      <x:c r="E2212" s="16" t="str">
        <x:v>* myContacts</x:v>
      </x:c>
      <x:c r="F2212" s="16" t="str">
        <x:v>0102826327 | +60102826327</x:v>
      </x:c>
      <x:c r="G2212" s="16" t="str">
        <x:v>+60102826327 | +60102826327</x:v>
      </x:c>
      <x:c r="H2212" s="16" t="str">
        <x:v>Excluded</x:v>
      </x:c>
      <x:c r="I2212" s="16" t="str">
        <x:v>Missing email</x:v>
      </x:c>
    </x:row>
    <x:row r="2213">
      <x:c r="A2213" s="16" t="n">
        <x:v>2210</x:v>
      </x:c>
      <x:c r="B2213" s="16" t="str">
        <x:v>En Luqman Tiktok</x:v>
      </x:c>
      <x:c r="C2213" s="16" t="str"/>
      <x:c r="D2213" s="16" t="str"/>
      <x:c r="E2213" s="16" t="str">
        <x:v>* myContacts</x:v>
      </x:c>
      <x:c r="F2213" s="16" t="str">
        <x:v>0132970775 | +60132970775</x:v>
      </x:c>
      <x:c r="G2213" s="16" t="str">
        <x:v>+60132970775 | +60132970775</x:v>
      </x:c>
      <x:c r="H2213" s="16" t="str">
        <x:v>Excluded</x:v>
      </x:c>
      <x:c r="I2213" s="16" t="str">
        <x:v>Missing email</x:v>
      </x:c>
    </x:row>
    <x:row r="2214">
      <x:c r="A2214" s="16" t="n">
        <x:v>2211</x:v>
      </x:c>
      <x:c r="B2214" s="16" t="str">
        <x:v>En Man Katering Ampang</x:v>
      </x:c>
      <x:c r="C2214" s="16" t="str"/>
      <x:c r="D2214" s="16" t="str"/>
      <x:c r="E2214" s="16" t="str">
        <x:v>* myContacts</x:v>
      </x:c>
      <x:c r="F2214" s="16" t="str">
        <x:v>017-366 1351 | +60173661351</x:v>
      </x:c>
      <x:c r="G2214" s="16" t="str">
        <x:v>+60173661351 | +60173661351</x:v>
      </x:c>
      <x:c r="H2214" s="16" t="str">
        <x:v>Excluded</x:v>
      </x:c>
      <x:c r="I2214" s="16" t="str">
        <x:v>Missing email</x:v>
      </x:c>
    </x:row>
    <x:row r="2215">
      <x:c r="A2215" s="16" t="n">
        <x:v>2212</x:v>
      </x:c>
      <x:c r="B2215" s="16" t="str">
        <x:v>en misni</x:v>
      </x:c>
      <x:c r="C2215" s="16" t="str"/>
      <x:c r="D2215" s="16" t="str"/>
      <x:c r="E2215" s="16" t="str">
        <x:v>* myContacts</x:v>
      </x:c>
      <x:c r="F2215" s="16" t="str">
        <x:v>01116630706 | +601116630706</x:v>
      </x:c>
      <x:c r="G2215" s="16" t="str">
        <x:v>+601116630706 | +601116630706</x:v>
      </x:c>
      <x:c r="H2215" s="16" t="str">
        <x:v>Excluded</x:v>
      </x:c>
      <x:c r="I2215" s="16" t="str">
        <x:v>Missing email</x:v>
      </x:c>
    </x:row>
    <x:row r="2216">
      <x:c r="A2216" s="16" t="n">
        <x:v>2213</x:v>
      </x:c>
      <x:c r="B2216" s="16" t="str">
        <x:v>EN RAJA GM TM Infomedia</x:v>
      </x:c>
      <x:c r="C2216" s="16" t="str"/>
      <x:c r="D2216" s="16" t="str"/>
      <x:c r="E2216" s="16" t="str">
        <x:v>* myContacts</x:v>
      </x:c>
      <x:c r="F2216" s="16" t="str">
        <x:v>0133417777 | +60133417777</x:v>
      </x:c>
      <x:c r="G2216" s="16" t="str">
        <x:v>+60133417777 | +60133417777</x:v>
      </x:c>
      <x:c r="H2216" s="16" t="str">
        <x:v>Excluded</x:v>
      </x:c>
      <x:c r="I2216" s="16" t="str">
        <x:v>Missing email</x:v>
      </x:c>
    </x:row>
    <x:row r="2217">
      <x:c r="A2217" s="16" t="n">
        <x:v>2214</x:v>
      </x:c>
      <x:c r="B2217" s="16" t="str">
        <x:v>En Rizham IKM Alor Setar</x:v>
      </x:c>
      <x:c r="C2217" s="16" t="str"/>
      <x:c r="D2217" s="16" t="str"/>
      <x:c r="E2217" s="16" t="str">
        <x:v>* myContacts</x:v>
      </x:c>
      <x:c r="F2217" s="16" t="str">
        <x:v>+60125776479</x:v>
      </x:c>
      <x:c r="G2217" s="16" t="str">
        <x:v>+60125776479</x:v>
      </x:c>
      <x:c r="H2217" s="16" t="str">
        <x:v>Excluded</x:v>
      </x:c>
      <x:c r="I2217" s="16" t="str">
        <x:v>Missing email</x:v>
      </x:c>
    </x:row>
    <x:row r="2218">
      <x:c r="A2218" s="16" t="n">
        <x:v>2215</x:v>
      </x:c>
      <x:c r="B2218" s="16" t="str">
        <x:v>En Ross Telok Bakong</x:v>
      </x:c>
      <x:c r="C2218" s="16" t="str"/>
      <x:c r="D2218" s="16" t="str"/>
      <x:c r="E2218" s="16" t="str">
        <x:v>* myContacts</x:v>
      </x:c>
      <x:c r="F2218" s="16" t="str">
        <x:v>0194639458 | +60194639458</x:v>
      </x:c>
      <x:c r="G2218" s="16" t="str">
        <x:v>+60194639458 | +60194639458</x:v>
      </x:c>
      <x:c r="H2218" s="16" t="str">
        <x:v>Excluded</x:v>
      </x:c>
      <x:c r="I2218" s="16" t="str">
        <x:v>Missing email</x:v>
      </x:c>
    </x:row>
    <x:row r="2219">
      <x:c r="A2219" s="16" t="n">
        <x:v>2216</x:v>
      </x:c>
      <x:c r="B2219" s="16" t="str">
        <x:v>En Sahar BNI</x:v>
      </x:c>
      <x:c r="C2219" s="16" t="str"/>
      <x:c r="D2219" s="16" t="str"/>
      <x:c r="E2219" s="16" t="str">
        <x:v>* myContacts</x:v>
      </x:c>
      <x:c r="F2219" s="16" t="str">
        <x:v>0176277600 | +60176277600</x:v>
      </x:c>
      <x:c r="G2219" s="16" t="str">
        <x:v>+60176277600 | +60176277600</x:v>
      </x:c>
      <x:c r="H2219" s="16" t="str">
        <x:v>Excluded</x:v>
      </x:c>
      <x:c r="I2219" s="16" t="str">
        <x:v>Missing email</x:v>
      </x:c>
    </x:row>
    <x:row r="2220">
      <x:c r="A2220" s="16" t="n">
        <x:v>2217</x:v>
      </x:c>
      <x:c r="B2220" s="16" t="str">
        <x:v>En Saupi Quantum Metal</x:v>
      </x:c>
      <x:c r="C2220" s="16" t="str"/>
      <x:c r="D2220" s="16" t="str"/>
      <x:c r="E2220" s="16" t="str">
        <x:v>* myContacts</x:v>
      </x:c>
      <x:c r="F2220" s="16" t="str">
        <x:v>+601117979097</x:v>
      </x:c>
      <x:c r="G2220" s="16" t="str">
        <x:v>+601117979097</x:v>
      </x:c>
      <x:c r="H2220" s="16" t="str">
        <x:v>Excluded</x:v>
      </x:c>
      <x:c r="I2220" s="16" t="str">
        <x:v>Missing email</x:v>
      </x:c>
    </x:row>
    <x:row r="2221">
      <x:c r="A2221" s="16" t="n">
        <x:v>2218</x:v>
      </x:c>
      <x:c r="B2221" s="16" t="str">
        <x:v>En Sazali</x:v>
      </x:c>
      <x:c r="C2221" s="16" t="str"/>
      <x:c r="D2221" s="16" t="str"/>
      <x:c r="E2221" s="16" t="str">
        <x:v>* myContacts</x:v>
      </x:c>
      <x:c r="F2221" s="16" t="str">
        <x:v>+60132229995 | +60132229995</x:v>
      </x:c>
      <x:c r="G2221" s="16" t="str">
        <x:v>+60132229995 | +60132229995</x:v>
      </x:c>
      <x:c r="H2221" s="16" t="str">
        <x:v>Excluded</x:v>
      </x:c>
      <x:c r="I2221" s="16" t="str">
        <x:v>Missing email</x:v>
      </x:c>
    </x:row>
    <x:row r="2222">
      <x:c r="A2222" s="16" t="n">
        <x:v>2219</x:v>
      </x:c>
      <x:c r="B2222" s="16" t="str">
        <x:v>En shafwan jabatan penerangan</x:v>
      </x:c>
      <x:c r="C2222" s="16" t="str"/>
      <x:c r="D2222" s="16" t="str"/>
      <x:c r="E2222" s="16" t="str">
        <x:v>* myContacts</x:v>
      </x:c>
      <x:c r="F2222" s="16" t="str">
        <x:v>01121068664 | +601121068664</x:v>
      </x:c>
      <x:c r="G2222" s="16" t="str">
        <x:v>+601121068664 | +601121068664</x:v>
      </x:c>
      <x:c r="H2222" s="16" t="str">
        <x:v>Excluded</x:v>
      </x:c>
      <x:c r="I2222" s="16" t="str">
        <x:v>Missing email</x:v>
      </x:c>
    </x:row>
    <x:row r="2223">
      <x:c r="A2223" s="16" t="n">
        <x:v>2220</x:v>
      </x:c>
      <x:c r="B2223" s="16" t="str">
        <x:v>En Sham Camper Van</x:v>
      </x:c>
      <x:c r="C2223" s="16" t="str"/>
      <x:c r="D2223" s="16" t="str"/>
      <x:c r="E2223" s="16" t="str">
        <x:v>* myContacts</x:v>
      </x:c>
      <x:c r="F2223" s="16" t="str">
        <x:v>0196215975 | +60196215975</x:v>
      </x:c>
      <x:c r="G2223" s="16" t="str">
        <x:v>+60196215975 | +60196215975</x:v>
      </x:c>
      <x:c r="H2223" s="16" t="str">
        <x:v>Excluded</x:v>
      </x:c>
      <x:c r="I2223" s="16" t="str">
        <x:v>Missing email</x:v>
      </x:c>
    </x:row>
    <x:row r="2224">
      <x:c r="A2224" s="16" t="n">
        <x:v>2221</x:v>
      </x:c>
      <x:c r="B2224" s="16" t="str">
        <x:v>En Shazli</x:v>
      </x:c>
      <x:c r="C2224" s="16" t="str"/>
      <x:c r="D2224" s="16" t="str"/>
      <x:c r="E2224" s="16" t="str">
        <x:v>* myContacts</x:v>
      </x:c>
      <x:c r="F2224" s="16" t="str">
        <x:v>012-300 2605 | +60123002605</x:v>
      </x:c>
      <x:c r="G2224" s="16" t="str">
        <x:v>+60123002605 | +60123002605</x:v>
      </x:c>
      <x:c r="H2224" s="16" t="str">
        <x:v>Excluded</x:v>
      </x:c>
      <x:c r="I2224" s="16" t="str">
        <x:v>Missing email</x:v>
      </x:c>
    </x:row>
    <x:row r="2225">
      <x:c r="A2225" s="16" t="n">
        <x:v>2222</x:v>
      </x:c>
      <x:c r="B2225" s="16" t="str">
        <x:v>En Sukri MFC Kota Kemuning</x:v>
      </x:c>
      <x:c r="C2225" s="16" t="str"/>
      <x:c r="D2225" s="16" t="str"/>
      <x:c r="E2225" s="16" t="str">
        <x:v>* myContacts</x:v>
      </x:c>
      <x:c r="F2225" s="16" t="str">
        <x:v>+60 17-962 2944 | +60179622944</x:v>
      </x:c>
      <x:c r="G2225" s="16" t="str">
        <x:v>+60179622944 | +60179622944</x:v>
      </x:c>
      <x:c r="H2225" s="16" t="str">
        <x:v>Excluded</x:v>
      </x:c>
      <x:c r="I2225" s="16" t="str">
        <x:v>Missing email</x:v>
      </x:c>
    </x:row>
    <x:row r="2226">
      <x:c r="A2226" s="16" t="n">
        <x:v>2223</x:v>
      </x:c>
      <x:c r="B2226" s="16" t="str">
        <x:v>En Syukur Abang Abu Group</x:v>
      </x:c>
      <x:c r="C2226" s="16" t="str"/>
      <x:c r="D2226" s="16" t="str"/>
      <x:c r="E2226" s="16" t="str">
        <x:v>* myContacts</x:v>
      </x:c>
      <x:c r="F2226" s="16" t="str">
        <x:v>013-390 2390 | +60133902390</x:v>
      </x:c>
      <x:c r="G2226" s="16" t="str">
        <x:v>+60133902390 | +60133902390</x:v>
      </x:c>
      <x:c r="H2226" s="16" t="str">
        <x:v>Excluded</x:v>
      </x:c>
      <x:c r="I2226" s="16" t="str">
        <x:v>Missing email</x:v>
      </x:c>
    </x:row>
    <x:row r="2227">
      <x:c r="A2227" s="16" t="n">
        <x:v>2224</x:v>
      </x:c>
      <x:c r="B2227" s="16" t="str">
        <x:v>En Wan Dpim labuan</x:v>
      </x:c>
      <x:c r="C2227" s="16" t="str"/>
      <x:c r="D2227" s="16" t="str"/>
      <x:c r="E2227" s="16" t="str">
        <x:v>* myContacts</x:v>
      </x:c>
      <x:c r="F2227" s="16" t="str">
        <x:v>+60 12-828 7827 | +60128287827</x:v>
      </x:c>
      <x:c r="G2227" s="16" t="str">
        <x:v>+60128287827 | +60128287827</x:v>
      </x:c>
      <x:c r="H2227" s="16" t="str">
        <x:v>Excluded</x:v>
      </x:c>
      <x:c r="I2227" s="16" t="str">
        <x:v>Missing email</x:v>
      </x:c>
    </x:row>
    <x:row r="2228">
      <x:c r="A2228" s="16" t="n">
        <x:v>2225</x:v>
      </x:c>
      <x:c r="B2228" s="16" t="str">
        <x:v>En Wan Nasser Petronas</x:v>
      </x:c>
      <x:c r="C2228" s="16" t="str"/>
      <x:c r="D2228" s="16" t="str"/>
      <x:c r="E2228" s="16" t="str">
        <x:v>* myContacts</x:v>
      </x:c>
      <x:c r="F2228" s="16" t="str">
        <x:v>+60199536362</x:v>
      </x:c>
      <x:c r="G2228" s="16" t="str">
        <x:v>+60199536362</x:v>
      </x:c>
      <x:c r="H2228" s="16" t="str">
        <x:v>Excluded</x:v>
      </x:c>
      <x:c r="I2228" s="16" t="str">
        <x:v>Missing email</x:v>
      </x:c>
    </x:row>
    <x:row r="2229">
      <x:c r="A2229" s="16" t="n">
        <x:v>2226</x:v>
      </x:c>
      <x:c r="B2229" s="16" t="str">
        <x:v>En Wan Sado Trainer</x:v>
      </x:c>
      <x:c r="C2229" s="16" t="str"/>
      <x:c r="D2229" s="16" t="str"/>
      <x:c r="E2229" s="16" t="str">
        <x:v>Trainer | * myContacts</x:v>
      </x:c>
      <x:c r="F2229" s="16" t="str">
        <x:v>0133859766 | +60133859766</x:v>
      </x:c>
      <x:c r="G2229" s="16" t="str">
        <x:v>+60133859766 | +60133859766</x:v>
      </x:c>
      <x:c r="H2229" s="16" t="str">
        <x:v>Excluded</x:v>
      </x:c>
      <x:c r="I2229" s="16" t="str">
        <x:v>Missing email</x:v>
      </x:c>
    </x:row>
    <x:row r="2230">
      <x:c r="A2230" s="16" t="n">
        <x:v>2227</x:v>
      </x:c>
      <x:c r="B2230" s="16" t="str">
        <x:v>En Yazid Ikan Bilis</x:v>
      </x:c>
      <x:c r="C2230" s="16" t="str"/>
      <x:c r="D2230" s="16" t="str"/>
      <x:c r="E2230" s="16" t="str">
        <x:v>* myContacts</x:v>
      </x:c>
      <x:c r="F2230" s="16" t="str">
        <x:v>0132179797 | +60132179797</x:v>
      </x:c>
      <x:c r="G2230" s="16" t="str">
        <x:v>+60132179797 | +60132179797</x:v>
      </x:c>
      <x:c r="H2230" s="16" t="str">
        <x:v>Excluded</x:v>
      </x:c>
      <x:c r="I2230" s="16" t="str">
        <x:v>Missing email</x:v>
      </x:c>
    </x:row>
    <x:row r="2231">
      <x:c r="A2231" s="16" t="n">
        <x:v>2228</x:v>
      </x:c>
      <x:c r="B2231" s="16" t="str">
        <x:v>En Yusri Yunus Adventure Bikers</x:v>
      </x:c>
      <x:c r="C2231" s="16" t="str"/>
      <x:c r="D2231" s="16" t="str"/>
      <x:c r="E2231" s="16" t="str">
        <x:v>* myContacts</x:v>
      </x:c>
      <x:c r="F2231" s="16" t="str">
        <x:v>+60133421234</x:v>
      </x:c>
      <x:c r="G2231" s="16" t="str">
        <x:v>+60133421234</x:v>
      </x:c>
      <x:c r="H2231" s="16" t="str">
        <x:v>Excluded</x:v>
      </x:c>
      <x:c r="I2231" s="16" t="str">
        <x:v>Missing email</x:v>
      </x:c>
    </x:row>
    <x:row r="2232">
      <x:c r="A2232" s="16" t="n">
        <x:v>2229</x:v>
      </x:c>
      <x:c r="B2232" s="16" t="str">
        <x:v>En zafri Ukm</x:v>
      </x:c>
      <x:c r="C2232" s="16" t="str"/>
      <x:c r="D2232" s="16" t="str"/>
      <x:c r="E2232" s="16" t="str">
        <x:v>* myContacts</x:v>
      </x:c>
      <x:c r="F2232" s="16" t="str">
        <x:v>+60197561678</x:v>
      </x:c>
      <x:c r="G2232" s="16" t="str">
        <x:v>+60197561678</x:v>
      </x:c>
      <x:c r="H2232" s="16" t="str">
        <x:v>Excluded</x:v>
      </x:c>
      <x:c r="I2232" s="16" t="str">
        <x:v>Missing email</x:v>
      </x:c>
    </x:row>
    <x:row r="2233">
      <x:c r="A2233" s="16" t="n">
        <x:v>2230</x:v>
      </x:c>
      <x:c r="B2233" s="16" t="str">
        <x:v>En Zaini GM Karhoo</x:v>
      </x:c>
      <x:c r="C2233" s="16" t="str"/>
      <x:c r="D2233" s="16" t="str"/>
      <x:c r="E2233" s="16" t="str">
        <x:v>* myContacts</x:v>
      </x:c>
      <x:c r="F2233" s="16" t="str">
        <x:v>+60 12-299 2817 | +60122992817</x:v>
      </x:c>
      <x:c r="G2233" s="16" t="str">
        <x:v>+60122992817 | +60122992817</x:v>
      </x:c>
      <x:c r="H2233" s="16" t="str">
        <x:v>Excluded</x:v>
      </x:c>
      <x:c r="I2233" s="16" t="str">
        <x:v>Missing email</x:v>
      </x:c>
    </x:row>
    <x:row r="2234">
      <x:c r="A2234" s="16" t="n">
        <x:v>2231</x:v>
      </x:c>
      <x:c r="B2234" s="16" t="str">
        <x:v>En Zaki Bda</x:v>
      </x:c>
      <x:c r="C2234" s="16" t="str">
        <x:v>zaki@jontraining.com.my</x:v>
      </x:c>
      <x:c r="D2234" s="16" t="str">
        <x:v>zaki@jontraining.com.my</x:v>
      </x:c>
      <x:c r="E2234" s="16" t="str">
        <x:v>* myContacts</x:v>
      </x:c>
      <x:c r="F2234" s="16" t="str">
        <x:v>+6019-262 6101 | +60192626101</x:v>
      </x:c>
      <x:c r="G2234" s="16" t="str">
        <x:v>+60192626101 | +60192626101</x:v>
      </x:c>
      <x:c r="H2234" s="16" t="str">
        <x:v>Eligible</x:v>
      </x:c>
      <x:c r="I2234" s="16" t="str"/>
    </x:row>
    <x:row r="2235">
      <x:c r="A2235" s="16" t="n">
        <x:v>2232</x:v>
      </x:c>
      <x:c r="B2235" s="16" t="str">
        <x:v>En Zul Nlp</x:v>
      </x:c>
      <x:c r="C2235" s="16" t="str"/>
      <x:c r="D2235" s="16" t="str"/>
      <x:c r="E2235" s="16" t="str">
        <x:v>* myContacts</x:v>
      </x:c>
      <x:c r="F2235" s="16" t="str">
        <x:v>+60199828769</x:v>
      </x:c>
      <x:c r="G2235" s="16" t="str">
        <x:v>+60199828769</x:v>
      </x:c>
      <x:c r="H2235" s="16" t="str">
        <x:v>Excluded</x:v>
      </x:c>
      <x:c r="I2235" s="16" t="str">
        <x:v>Missing email</x:v>
      </x:c>
    </x:row>
    <x:row r="2236">
      <x:c r="A2236" s="16" t="n">
        <x:v>2233</x:v>
      </x:c>
      <x:c r="B2236" s="16" t="str">
        <x:v>En Zul Physio Theraphy</x:v>
      </x:c>
      <x:c r="C2236" s="16" t="str"/>
      <x:c r="D2236" s="16" t="str"/>
      <x:c r="E2236" s="16" t="str">
        <x:v>* myContacts</x:v>
      </x:c>
      <x:c r="F2236" s="16" t="str">
        <x:v>0134041463 | +60134041463</x:v>
      </x:c>
      <x:c r="G2236" s="16" t="str">
        <x:v>+60134041463 | +60134041463</x:v>
      </x:c>
      <x:c r="H2236" s="16" t="str">
        <x:v>Excluded</x:v>
      </x:c>
      <x:c r="I2236" s="16" t="str">
        <x:v>Missing email</x:v>
      </x:c>
    </x:row>
    <x:row r="2237">
      <x:c r="A2237" s="16" t="n">
        <x:v>2234</x:v>
      </x:c>
      <x:c r="B2237" s="16" t="str">
        <x:v>Enamie Azmi</x:v>
      </x:c>
      <x:c r="C2237" s="16" t="str"/>
      <x:c r="D2237" s="16" t="str"/>
      <x:c r="E2237" s="16" t="str">
        <x:v>* myContacts</x:v>
      </x:c>
      <x:c r="F2237" s="16" t="str">
        <x:v>+60126910072</x:v>
      </x:c>
      <x:c r="G2237" s="16" t="str">
        <x:v>+60126910072</x:v>
      </x:c>
      <x:c r="H2237" s="16" t="str">
        <x:v>Excluded</x:v>
      </x:c>
      <x:c r="I2237" s="16" t="str">
        <x:v>Missing email</x:v>
      </x:c>
    </x:row>
    <x:row r="2238">
      <x:c r="A2238" s="16" t="n">
        <x:v>2235</x:v>
      </x:c>
      <x:c r="B2238" s="16" t="str">
        <x:v>Encep Sajalah</x:v>
      </x:c>
      <x:c r="C2238" s="16" t="str"/>
      <x:c r="D2238" s="16" t="str"/>
      <x:c r="E2238" s="16" t="str">
        <x:v>* myContacts</x:v>
      </x:c>
      <x:c r="F2238" s="16" t="str">
        <x:v>+6289501314067</x:v>
      </x:c>
      <x:c r="G2238" s="16" t="str">
        <x:v>+6289501314067</x:v>
      </x:c>
      <x:c r="H2238" s="16" t="str">
        <x:v>Excluded</x:v>
      </x:c>
      <x:c r="I2238" s="16" t="str">
        <x:v>Missing email</x:v>
      </x:c>
    </x:row>
    <x:row r="2239">
      <x:c r="A2239" s="16" t="n">
        <x:v>2236</x:v>
      </x:c>
      <x:c r="B2239" s="16" t="str">
        <x:v>Encik Bear</x:v>
      </x:c>
      <x:c r="C2239" s="16" t="str"/>
      <x:c r="D2239" s="16" t="str"/>
      <x:c r="E2239" s="16" t="str">
        <x:v>* myContacts</x:v>
      </x:c>
      <x:c r="F2239" s="16" t="str">
        <x:v>+60136061652</x:v>
      </x:c>
      <x:c r="G2239" s="16" t="str">
        <x:v>+60136061652</x:v>
      </x:c>
      <x:c r="H2239" s="16" t="str">
        <x:v>Excluded</x:v>
      </x:c>
      <x:c r="I2239" s="16" t="str">
        <x:v>Missing email</x:v>
      </x:c>
    </x:row>
    <x:row r="2240">
      <x:c r="A2240" s="16" t="n">
        <x:v>2237</x:v>
      </x:c>
      <x:c r="B2240" s="16" t="str">
        <x:v>Encik Din</x:v>
      </x:c>
      <x:c r="C2240" s="16" t="str"/>
      <x:c r="D2240" s="16" t="str"/>
      <x:c r="E2240" s="16" t="str">
        <x:v>* myContacts</x:v>
      </x:c>
      <x:c r="F2240" s="16" t="str">
        <x:v>013-397 4811 | +60133974811</x:v>
      </x:c>
      <x:c r="G2240" s="16" t="str">
        <x:v>+60133974811 | +60133974811</x:v>
      </x:c>
      <x:c r="H2240" s="16" t="str">
        <x:v>Excluded</x:v>
      </x:c>
      <x:c r="I2240" s="16" t="str">
        <x:v>Missing email</x:v>
      </x:c>
    </x:row>
    <x:row r="2241">
      <x:c r="A2241" s="16" t="n">
        <x:v>2238</x:v>
      </x:c>
      <x:c r="B2241" s="16" t="str">
        <x:v>Encik Din Qudwah APPS DEVELOPER</x:v>
      </x:c>
      <x:c r="C2241" s="16" t="str"/>
      <x:c r="D2241" s="16" t="str"/>
      <x:c r="E2241" s="16" t="str">
        <x:v>* myContacts</x:v>
      </x:c>
      <x:c r="F2241" s="16" t="str">
        <x:v>+60122261601</x:v>
      </x:c>
      <x:c r="G2241" s="16" t="str">
        <x:v>+60122261601</x:v>
      </x:c>
      <x:c r="H2241" s="16" t="str">
        <x:v>Excluded</x:v>
      </x:c>
      <x:c r="I2241" s="16" t="str">
        <x:v>Missing email</x:v>
      </x:c>
    </x:row>
    <x:row r="2242">
      <x:c r="A2242" s="16" t="n">
        <x:v>2239</x:v>
      </x:c>
      <x:c r="B2242" s="16" t="str">
        <x:v>Encik Fauzrin</x:v>
      </x:c>
      <x:c r="C2242" s="16" t="str"/>
      <x:c r="D2242" s="16" t="str"/>
      <x:c r="E2242" s="16" t="str">
        <x:v>* myContacts</x:v>
      </x:c>
      <x:c r="F2242" s="16" t="str">
        <x:v>+601116700734</x:v>
      </x:c>
      <x:c r="G2242" s="16" t="str">
        <x:v>+601116700734</x:v>
      </x:c>
      <x:c r="H2242" s="16" t="str">
        <x:v>Excluded</x:v>
      </x:c>
      <x:c r="I2242" s="16" t="str">
        <x:v>Missing email</x:v>
      </x:c>
    </x:row>
    <x:row r="2243">
      <x:c r="A2243" s="16" t="n">
        <x:v>2240</x:v>
      </x:c>
      <x:c r="B2243" s="16" t="str">
        <x:v>Encik Firdaus Rosnan</x:v>
      </x:c>
      <x:c r="C2243" s="16" t="str"/>
      <x:c r="D2243" s="16" t="str"/>
      <x:c r="E2243" s="16" t="str">
        <x:v>* myContacts</x:v>
      </x:c>
      <x:c r="F2243" s="16" t="str">
        <x:v>+60122084572</x:v>
      </x:c>
      <x:c r="G2243" s="16" t="str">
        <x:v>+60122084572</x:v>
      </x:c>
      <x:c r="H2243" s="16" t="str">
        <x:v>Excluded</x:v>
      </x:c>
      <x:c r="I2243" s="16" t="str">
        <x:v>Missing email</x:v>
      </x:c>
    </x:row>
    <x:row r="2244">
      <x:c r="A2244" s="16" t="n">
        <x:v>2241</x:v>
      </x:c>
      <x:c r="B2244" s="16" t="str">
        <x:v>Encik Kamal</x:v>
      </x:c>
      <x:c r="C2244" s="16" t="str"/>
      <x:c r="D2244" s="16" t="str"/>
      <x:c r="E2244" s="16" t="str">
        <x:v>* myContacts</x:v>
      </x:c>
      <x:c r="F2244" s="16" t="str">
        <x:v>+60172816674</x:v>
      </x:c>
      <x:c r="G2244" s="16" t="str">
        <x:v>+60172816674</x:v>
      </x:c>
      <x:c r="H2244" s="16" t="str">
        <x:v>Excluded</x:v>
      </x:c>
      <x:c r="I2244" s="16" t="str">
        <x:v>Missing email</x:v>
      </x:c>
    </x:row>
    <x:row r="2245">
      <x:c r="A2245" s="16" t="n">
        <x:v>2242</x:v>
      </x:c>
      <x:c r="B2245" s="16" t="str">
        <x:v>Encik Mimpi</x:v>
      </x:c>
      <x:c r="C2245" s="16" t="str"/>
      <x:c r="D2245" s="16" t="str"/>
      <x:c r="E2245" s="16" t="str">
        <x:v>* myContacts</x:v>
      </x:c>
      <x:c r="F2245" s="16" t="str">
        <x:v>+601125001226</x:v>
      </x:c>
      <x:c r="G2245" s="16" t="str">
        <x:v>+601125001226</x:v>
      </x:c>
      <x:c r="H2245" s="16" t="str">
        <x:v>Excluded</x:v>
      </x:c>
      <x:c r="I2245" s="16" t="str">
        <x:v>Missing email</x:v>
      </x:c>
    </x:row>
    <x:row r="2246">
      <x:c r="A2246" s="16" t="n">
        <x:v>2243</x:v>
      </x:c>
      <x:c r="B2246" s="16" t="str">
        <x:v>Encik MJ</x:v>
      </x:c>
      <x:c r="C2246" s="16" t="str"/>
      <x:c r="D2246" s="16" t="str"/>
      <x:c r="E2246" s="16" t="str">
        <x:v>* myContacts</x:v>
      </x:c>
      <x:c r="F2246" s="16" t="str">
        <x:v>+60168022989</x:v>
      </x:c>
      <x:c r="G2246" s="16" t="str">
        <x:v>+60168022989</x:v>
      </x:c>
      <x:c r="H2246" s="16" t="str">
        <x:v>Excluded</x:v>
      </x:c>
      <x:c r="I2246" s="16" t="str">
        <x:v>Missing email</x:v>
      </x:c>
    </x:row>
    <x:row r="2247">
      <x:c r="A2247" s="16" t="n">
        <x:v>2244</x:v>
      </x:c>
      <x:c r="B2247" s="16" t="str">
        <x:v>Encik Senget</x:v>
      </x:c>
      <x:c r="C2247" s="16" t="str"/>
      <x:c r="D2247" s="16" t="str"/>
      <x:c r="E2247" s="16" t="str">
        <x:v>* myContacts</x:v>
      </x:c>
      <x:c r="F2247" s="16" t="str">
        <x:v>+60136315761</x:v>
      </x:c>
      <x:c r="G2247" s="16" t="str">
        <x:v>+60136315761</x:v>
      </x:c>
      <x:c r="H2247" s="16" t="str">
        <x:v>Excluded</x:v>
      </x:c>
      <x:c r="I2247" s="16" t="str">
        <x:v>Missing email</x:v>
      </x:c>
    </x:row>
    <x:row r="2248">
      <x:c r="A2248" s="16" t="n">
        <x:v>2245</x:v>
      </x:c>
      <x:c r="B2248" s="16" t="str">
        <x:v>Encik Taufan Tenang</x:v>
      </x:c>
      <x:c r="C2248" s="16" t="str"/>
      <x:c r="D2248" s="16" t="str"/>
      <x:c r="E2248" s="16" t="str">
        <x:v>* myContacts</x:v>
      </x:c>
      <x:c r="F2248" s="16" t="str">
        <x:v>+60173696931</x:v>
      </x:c>
      <x:c r="G2248" s="16" t="str">
        <x:v>+60173696931</x:v>
      </x:c>
      <x:c r="H2248" s="16" t="str">
        <x:v>Excluded</x:v>
      </x:c>
      <x:c r="I2248" s="16" t="str">
        <x:v>Missing email</x:v>
      </x:c>
    </x:row>
    <x:row r="2249">
      <x:c r="A2249" s="16" t="n">
        <x:v>2246</x:v>
      </x:c>
      <x:c r="B2249" s="16" t="str">
        <x:v>Endah Sari</x:v>
      </x:c>
      <x:c r="C2249" s="16" t="str"/>
      <x:c r="D2249" s="16" t="str"/>
      <x:c r="E2249" s="16" t="str">
        <x:v>* myContacts</x:v>
      </x:c>
      <x:c r="F2249" s="16" t="str">
        <x:v>+60145587881</x:v>
      </x:c>
      <x:c r="G2249" s="16" t="str">
        <x:v>+60145587881</x:v>
      </x:c>
      <x:c r="H2249" s="16" t="str">
        <x:v>Excluded</x:v>
      </x:c>
      <x:c r="I2249" s="16" t="str">
        <x:v>Missing email</x:v>
      </x:c>
    </x:row>
    <x:row r="2250">
      <x:c r="A2250" s="16" t="n">
        <x:v>2247</x:v>
      </x:c>
      <x:c r="B2250" s="16" t="str">
        <x:v>ENES CEPNI</x:v>
      </x:c>
      <x:c r="C2250" s="16" t="str"/>
      <x:c r="D2250" s="16" t="str"/>
      <x:c r="E2250" s="16" t="str">
        <x:v>* myContacts</x:v>
      </x:c>
      <x:c r="F2250" s="16" t="str">
        <x:v>+905530710016</x:v>
      </x:c>
      <x:c r="G2250" s="16" t="str">
        <x:v>+905530710016</x:v>
      </x:c>
      <x:c r="H2250" s="16" t="str">
        <x:v>Excluded</x:v>
      </x:c>
      <x:c r="I2250" s="16" t="str">
        <x:v>Missing email</x:v>
      </x:c>
    </x:row>
    <x:row r="2251">
      <x:c r="A2251" s="16" t="n">
        <x:v>2248</x:v>
      </x:c>
      <x:c r="B2251" s="16" t="str">
        <x:v>Eng Song</x:v>
      </x:c>
      <x:c r="C2251" s="16" t="str"/>
      <x:c r="D2251" s="16" t="str"/>
      <x:c r="E2251" s="16" t="str">
        <x:v>* myContacts</x:v>
      </x:c>
      <x:c r="F2251" s="16" t="str">
        <x:v>+60123793938</x:v>
      </x:c>
      <x:c r="G2251" s="16" t="str">
        <x:v>+60123793938</x:v>
      </x:c>
      <x:c r="H2251" s="16" t="str">
        <x:v>Excluded</x:v>
      </x:c>
      <x:c r="I2251" s="16" t="str">
        <x:v>Missing email</x:v>
      </x:c>
    </x:row>
    <x:row r="2252">
      <x:c r="A2252" s="16" t="n">
        <x:v>2249</x:v>
      </x:c>
      <x:c r="B2252" s="16" t="str">
        <x:v>Enitsirhc Mica Selaznog Villanueva</x:v>
      </x:c>
      <x:c r="C2252" s="16" t="str"/>
      <x:c r="D2252" s="16" t="str"/>
      <x:c r="E2252" s="16" t="str">
        <x:v>* myContacts</x:v>
      </x:c>
      <x:c r="F2252" s="16" t="str">
        <x:v>+639307595711</x:v>
      </x:c>
      <x:c r="G2252" s="16" t="str">
        <x:v>+639307595711</x:v>
      </x:c>
      <x:c r="H2252" s="16" t="str">
        <x:v>Excluded</x:v>
      </x:c>
      <x:c r="I2252" s="16" t="str">
        <x:v>Missing email</x:v>
      </x:c>
    </x:row>
    <x:row r="2253">
      <x:c r="A2253" s="16" t="n">
        <x:v>2250</x:v>
      </x:c>
      <x:c r="B2253" s="16" t="str">
        <x:v>Enrich Gym</x:v>
      </x:c>
      <x:c r="C2253" s="16" t="str"/>
      <x:c r="D2253" s="16" t="str"/>
      <x:c r="E2253" s="16" t="str">
        <x:v>* myContacts</x:v>
      </x:c>
      <x:c r="F2253" s="16" t="str">
        <x:v>010-218 9391 | +60102189391</x:v>
      </x:c>
      <x:c r="G2253" s="16" t="str">
        <x:v>+60102189391 | +60102189391</x:v>
      </x:c>
      <x:c r="H2253" s="16" t="str">
        <x:v>Excluded</x:v>
      </x:c>
      <x:c r="I2253" s="16" t="str">
        <x:v>Missing email</x:v>
      </x:c>
    </x:row>
    <x:row r="2254">
      <x:c r="A2254" s="16" t="n">
        <x:v>2251</x:v>
      </x:c>
      <x:c r="B2254" s="16" t="str">
        <x:v>Enson Mc</x:v>
      </x:c>
      <x:c r="C2254" s="16" t="str"/>
      <x:c r="D2254" s="16" t="str"/>
      <x:c r="E2254" s="16" t="str">
        <x:v>* myContacts</x:v>
      </x:c>
      <x:c r="F2254" s="16" t="str">
        <x:v>0122080761 | +60122080761</x:v>
      </x:c>
      <x:c r="G2254" s="16" t="str">
        <x:v>+60122080761 | +60122080761</x:v>
      </x:c>
      <x:c r="H2254" s="16" t="str">
        <x:v>Excluded</x:v>
      </x:c>
      <x:c r="I2254" s="16" t="str">
        <x:v>Missing email</x:v>
      </x:c>
    </x:row>
    <x:row r="2255">
      <x:c r="A2255" s="16" t="n">
        <x:v>2252</x:v>
      </x:c>
      <x:c r="B2255" s="16" t="str">
        <x:v>Eny Muttdzalib</x:v>
      </x:c>
      <x:c r="C2255" s="16" t="str"/>
      <x:c r="D2255" s="16" t="str"/>
      <x:c r="E2255" s="16" t="str">
        <x:v>* myContacts</x:v>
      </x:c>
      <x:c r="F2255" s="16" t="str">
        <x:v>+60125493894</x:v>
      </x:c>
      <x:c r="G2255" s="16" t="str">
        <x:v>+60125493894</x:v>
      </x:c>
      <x:c r="H2255" s="16" t="str">
        <x:v>Excluded</x:v>
      </x:c>
      <x:c r="I2255" s="16" t="str">
        <x:v>Missing email</x:v>
      </x:c>
    </x:row>
    <x:row r="2256">
      <x:c r="A2256" s="16" t="n">
        <x:v>2253</x:v>
      </x:c>
      <x:c r="B2256" s="16" t="str">
        <x:v>Epap Shirt Specialist</x:v>
      </x:c>
      <x:c r="C2256" s="16" t="str"/>
      <x:c r="D2256" s="16" t="str"/>
      <x:c r="E2256" s="16" t="str">
        <x:v>* myContacts</x:v>
      </x:c>
      <x:c r="F2256" s="16" t="str">
        <x:v>011-5504 5780 | +601155045780</x:v>
      </x:c>
      <x:c r="G2256" s="16" t="str">
        <x:v>+601155045780 | +601155045780</x:v>
      </x:c>
      <x:c r="H2256" s="16" t="str">
        <x:v>Excluded</x:v>
      </x:c>
      <x:c r="I2256" s="16" t="str">
        <x:v>Missing email</x:v>
      </x:c>
    </x:row>
    <x:row r="2257">
      <x:c r="A2257" s="16" t="n">
        <x:v>2254</x:v>
      </x:c>
      <x:c r="B2257" s="16" t="str">
        <x:v>Epiey Nefizal</x:v>
      </x:c>
      <x:c r="C2257" s="16" t="str"/>
      <x:c r="D2257" s="16" t="str"/>
      <x:c r="E2257" s="16" t="str">
        <x:v>* myContacts</x:v>
      </x:c>
      <x:c r="F2257" s="16" t="str">
        <x:v>+60139668806</x:v>
      </x:c>
      <x:c r="G2257" s="16" t="str">
        <x:v>+60139668806</x:v>
      </x:c>
      <x:c r="H2257" s="16" t="str">
        <x:v>Excluded</x:v>
      </x:c>
      <x:c r="I2257" s="16" t="str">
        <x:v>Missing email</x:v>
      </x:c>
    </x:row>
    <x:row r="2258">
      <x:c r="A2258" s="16" t="n">
        <x:v>2255</x:v>
      </x:c>
      <x:c r="B2258" s="16" t="str">
        <x:v>Epot-t</x:v>
      </x:c>
      <x:c r="C2258" s="16" t="str"/>
      <x:c r="D2258" s="16" t="str"/>
      <x:c r="E2258" s="16" t="str">
        <x:v>* myContacts</x:v>
      </x:c>
      <x:c r="F2258" s="16" t="str">
        <x:v>+6282122478945</x:v>
      </x:c>
      <x:c r="G2258" s="16" t="str">
        <x:v>+6282122478945</x:v>
      </x:c>
      <x:c r="H2258" s="16" t="str">
        <x:v>Excluded</x:v>
      </x:c>
      <x:c r="I2258" s="16" t="str">
        <x:v>Missing email</x:v>
      </x:c>
    </x:row>
    <x:row r="2259">
      <x:c r="A2259" s="16" t="n">
        <x:v>2256</x:v>
      </x:c>
      <x:c r="B2259" s="16" t="str">
        <x:v>Epy Nofy</x:v>
      </x:c>
      <x:c r="C2259" s="16" t="str"/>
      <x:c r="D2259" s="16" t="str"/>
      <x:c r="E2259" s="16" t="str">
        <x:v>* myContacts</x:v>
      </x:c>
      <x:c r="F2259" s="16" t="str">
        <x:v>+60198110549</x:v>
      </x:c>
      <x:c r="G2259" s="16" t="str">
        <x:v>+60198110549</x:v>
      </x:c>
      <x:c r="H2259" s="16" t="str">
        <x:v>Excluded</x:v>
      </x:c>
      <x:c r="I2259" s="16" t="str">
        <x:v>Missing email</x:v>
      </x:c>
    </x:row>
    <x:row r="2260">
      <x:c r="A2260" s="16" t="n">
        <x:v>2257</x:v>
      </x:c>
      <x:c r="B2260" s="16" t="str">
        <x:v>Era Delivery</x:v>
      </x:c>
      <x:c r="C2260" s="16" t="str"/>
      <x:c r="D2260" s="16" t="str"/>
      <x:c r="E2260" s="16" t="str">
        <x:v>* myContacts</x:v>
      </x:c>
      <x:c r="F2260" s="16" t="str">
        <x:v>011280955906 | +6011280955906</x:v>
      </x:c>
      <x:c r="G2260" s="16" t="str">
        <x:v>+6011280955906</x:v>
      </x:c>
      <x:c r="H2260" s="16" t="str">
        <x:v>Excluded</x:v>
      </x:c>
      <x:c r="I2260" s="16" t="str">
        <x:v>Missing email</x:v>
      </x:c>
    </x:row>
    <x:row r="2261">
      <x:c r="A2261" s="16" t="n">
        <x:v>2258</x:v>
      </x:c>
      <x:c r="B2261" s="16" t="str">
        <x:v>Era Farinna @ Nanue</x:v>
      </x:c>
      <x:c r="C2261" s="16" t="str"/>
      <x:c r="D2261" s="16" t="str"/>
      <x:c r="E2261" s="16" t="str">
        <x:v>* myContacts</x:v>
      </x:c>
      <x:c r="F2261" s="16" t="str">
        <x:v>+60 10-929 6694 | +60109296694</x:v>
      </x:c>
      <x:c r="G2261" s="16" t="str">
        <x:v>+60109296694 | +60109296694</x:v>
      </x:c>
      <x:c r="H2261" s="16" t="str">
        <x:v>Excluded</x:v>
      </x:c>
      <x:c r="I2261" s="16" t="str">
        <x:v>Missing email</x:v>
      </x:c>
    </x:row>
    <x:row r="2262">
      <x:c r="A2262" s="16" t="n">
        <x:v>2259</x:v>
      </x:c>
      <x:c r="B2262" s="16" t="str">
        <x:v>Erah Rahim</x:v>
      </x:c>
      <x:c r="C2262" s="16" t="str"/>
      <x:c r="D2262" s="16" t="str"/>
      <x:c r="E2262" s="16" t="str">
        <x:v>* myContacts</x:v>
      </x:c>
      <x:c r="F2262" s="16" t="str">
        <x:v>+60105830647</x:v>
      </x:c>
      <x:c r="G2262" s="16" t="str">
        <x:v>+60105830647</x:v>
      </x:c>
      <x:c r="H2262" s="16" t="str">
        <x:v>Excluded</x:v>
      </x:c>
      <x:c r="I2262" s="16" t="str">
        <x:v>Missing email</x:v>
      </x:c>
    </x:row>
    <x:row r="2263">
      <x:c r="A2263" s="16" t="n">
        <x:v>2260</x:v>
      </x:c>
      <x:c r="B2263" s="16" t="str">
        <x:v>Erhh Dallek KemPrek</x:v>
      </x:c>
      <x:c r="C2263" s="16" t="str"/>
      <x:c r="D2263" s="16" t="str"/>
      <x:c r="E2263" s="16" t="str">
        <x:v>* myContacts</x:v>
      </x:c>
      <x:c r="F2263" s="16" t="str">
        <x:v>+601151774031</x:v>
      </x:c>
      <x:c r="G2263" s="16" t="str">
        <x:v>+601151774031</x:v>
      </x:c>
      <x:c r="H2263" s="16" t="str">
        <x:v>Excluded</x:v>
      </x:c>
      <x:c r="I2263" s="16" t="str">
        <x:v>Missing email</x:v>
      </x:c>
    </x:row>
    <x:row r="2264">
      <x:c r="A2264" s="16" t="n">
        <x:v>2261</x:v>
      </x:c>
      <x:c r="B2264" s="16" t="str">
        <x:v>Eric Jual Kereta Lama Mercedes</x:v>
      </x:c>
      <x:c r="C2264" s="16" t="str"/>
      <x:c r="D2264" s="16" t="str"/>
      <x:c r="E2264" s="16" t="str">
        <x:v>* myContacts</x:v>
      </x:c>
      <x:c r="F2264" s="16" t="str">
        <x:v>0162020360 | +60162020360</x:v>
      </x:c>
      <x:c r="G2264" s="16" t="str">
        <x:v>+60162020360 | +60162020360</x:v>
      </x:c>
      <x:c r="H2264" s="16" t="str">
        <x:v>Excluded</x:v>
      </x:c>
      <x:c r="I2264" s="16" t="str">
        <x:v>Missing email</x:v>
      </x:c>
    </x:row>
    <x:row r="2265">
      <x:c r="A2265" s="16" t="n">
        <x:v>2262</x:v>
      </x:c>
      <x:c r="B2265" s="16" t="str">
        <x:v>Ericda Eyda</x:v>
      </x:c>
      <x:c r="C2265" s="16" t="str"/>
      <x:c r="D2265" s="16" t="str"/>
      <x:c r="E2265" s="16" t="str">
        <x:v>* myContacts</x:v>
      </x:c>
      <x:c r="F2265" s="16" t="str">
        <x:v>+60137884249</x:v>
      </x:c>
      <x:c r="G2265" s="16" t="str">
        <x:v>+60137884249</x:v>
      </x:c>
      <x:c r="H2265" s="16" t="str">
        <x:v>Excluded</x:v>
      </x:c>
      <x:c r="I2265" s="16" t="str">
        <x:v>Missing email</x:v>
      </x:c>
    </x:row>
    <x:row r="2266">
      <x:c r="A2266" s="16" t="n">
        <x:v>2263</x:v>
      </x:c>
      <x:c r="B2266" s="16" t="str">
        <x:v>Erin Agent Essens</x:v>
      </x:c>
      <x:c r="C2266" s="16" t="str"/>
      <x:c r="D2266" s="16" t="str"/>
      <x:c r="E2266" s="16" t="str">
        <x:v>* myContacts</x:v>
      </x:c>
      <x:c r="F2266" s="16" t="str">
        <x:v>+60 18-772 9980 | +60187729980</x:v>
      </x:c>
      <x:c r="G2266" s="16" t="str">
        <x:v>+60187729980 | +60187729980</x:v>
      </x:c>
      <x:c r="H2266" s="16" t="str">
        <x:v>Excluded</x:v>
      </x:c>
      <x:c r="I2266" s="16" t="str">
        <x:v>Missing email</x:v>
      </x:c>
    </x:row>
    <x:row r="2267">
      <x:c r="A2267" s="16" t="n">
        <x:v>2264</x:v>
      </x:c>
      <x:c r="B2267" s="16" t="str">
        <x:v>Erin Seyyidina</x:v>
      </x:c>
      <x:c r="C2267" s="16" t="str"/>
      <x:c r="D2267" s="16" t="str"/>
      <x:c r="E2267" s="16" t="str">
        <x:v>* myContacts</x:v>
      </x:c>
      <x:c r="F2267" s="16" t="str">
        <x:v>+60173864793</x:v>
      </x:c>
      <x:c r="G2267" s="16" t="str">
        <x:v>+60173864793</x:v>
      </x:c>
      <x:c r="H2267" s="16" t="str">
        <x:v>Excluded</x:v>
      </x:c>
      <x:c r="I2267" s="16" t="str">
        <x:v>Missing email</x:v>
      </x:c>
    </x:row>
    <x:row r="2268">
      <x:c r="A2268" s="16" t="n">
        <x:v>2265</x:v>
      </x:c>
      <x:c r="B2268" s="16" t="str">
        <x:v>Erka Natasha</x:v>
      </x:c>
      <x:c r="C2268" s="16" t="str"/>
      <x:c r="D2268" s="16" t="str"/>
      <x:c r="E2268" s="16" t="str">
        <x:v>* myContacts</x:v>
      </x:c>
      <x:c r="F2268" s="16" t="str">
        <x:v>+601110660855</x:v>
      </x:c>
      <x:c r="G2268" s="16" t="str">
        <x:v>+601110660855</x:v>
      </x:c>
      <x:c r="H2268" s="16" t="str">
        <x:v>Excluded</x:v>
      </x:c>
      <x:c r="I2268" s="16" t="str">
        <x:v>Missing email</x:v>
      </x:c>
    </x:row>
    <x:row r="2269">
      <x:c r="A2269" s="16" t="n">
        <x:v>2266</x:v>
      </x:c>
      <x:c r="B2269" s="16" t="str">
        <x:v>Erni Arisha</x:v>
      </x:c>
      <x:c r="C2269" s="16" t="str"/>
      <x:c r="D2269" s="16" t="str"/>
      <x:c r="E2269" s="16" t="str">
        <x:v>* myContacts</x:v>
      </x:c>
      <x:c r="F2269" s="16" t="str">
        <x:v>+601117902087</x:v>
      </x:c>
      <x:c r="G2269" s="16" t="str">
        <x:v>+601117902087</x:v>
      </x:c>
      <x:c r="H2269" s="16" t="str">
        <x:v>Excluded</x:v>
      </x:c>
      <x:c r="I2269" s="16" t="str">
        <x:v>Missing email</x:v>
      </x:c>
    </x:row>
    <x:row r="2270">
      <x:c r="A2270" s="16" t="n">
        <x:v>2267</x:v>
      </x:c>
      <x:c r="B2270" s="16" t="str">
        <x:v>Erni cuckoo EU2017</x:v>
      </x:c>
      <x:c r="C2270" s="16" t="str"/>
      <x:c r="D2270" s="16" t="str"/>
      <x:c r="E2270" s="16" t="str">
        <x:v>* myContacts</x:v>
      </x:c>
      <x:c r="F2270" s="16" t="str">
        <x:v>+60 12-696 4212 | +60126964212</x:v>
      </x:c>
      <x:c r="G2270" s="16" t="str">
        <x:v>+60126964212 | +60126964212</x:v>
      </x:c>
      <x:c r="H2270" s="16" t="str">
        <x:v>Excluded</x:v>
      </x:c>
      <x:c r="I2270" s="16" t="str">
        <x:v>Missing email</x:v>
      </x:c>
    </x:row>
    <x:row r="2271">
      <x:c r="A2271" s="16" t="n">
        <x:v>2268</x:v>
      </x:c>
      <x:c r="B2271" s="16" t="str">
        <x:v>Erni Rohayu</x:v>
      </x:c>
      <x:c r="C2271" s="16" t="str"/>
      <x:c r="D2271" s="16" t="str"/>
      <x:c r="E2271" s="16" t="str">
        <x:v>* myContacts</x:v>
      </x:c>
      <x:c r="F2271" s="16" t="str">
        <x:v>+60192905460</x:v>
      </x:c>
      <x:c r="G2271" s="16" t="str">
        <x:v>+60192905460</x:v>
      </x:c>
      <x:c r="H2271" s="16" t="str">
        <x:v>Excluded</x:v>
      </x:c>
      <x:c r="I2271" s="16" t="str">
        <x:v>Missing email</x:v>
      </x:c>
    </x:row>
    <x:row r="2272">
      <x:c r="A2272" s="16" t="n">
        <x:v>2269</x:v>
      </x:c>
      <x:c r="B2272" s="16" t="str">
        <x:v>Erni Sharlina</x:v>
      </x:c>
      <x:c r="C2272" s="16" t="str"/>
      <x:c r="D2272" s="16" t="str"/>
      <x:c r="E2272" s="16" t="str">
        <x:v>* myContacts</x:v>
      </x:c>
      <x:c r="F2272" s="16" t="str">
        <x:v>+601114409230</x:v>
      </x:c>
      <x:c r="G2272" s="16" t="str">
        <x:v>+601114409230</x:v>
      </x:c>
      <x:c r="H2272" s="16" t="str">
        <x:v>Excluded</x:v>
      </x:c>
      <x:c r="I2272" s="16" t="str">
        <x:v>Missing email</x:v>
      </x:c>
    </x:row>
    <x:row r="2273">
      <x:c r="A2273" s="16" t="n">
        <x:v>2270</x:v>
      </x:c>
      <x:c r="B2273" s="16" t="str">
        <x:v>Ernie Ina</x:v>
      </x:c>
      <x:c r="C2273" s="16" t="str"/>
      <x:c r="D2273" s="16" t="str"/>
      <x:c r="E2273" s="16" t="str">
        <x:v>* myContacts</x:v>
      </x:c>
      <x:c r="F2273" s="16" t="str">
        <x:v>+60138911927</x:v>
      </x:c>
      <x:c r="G2273" s="16" t="str">
        <x:v>+60138911927</x:v>
      </x:c>
      <x:c r="H2273" s="16" t="str">
        <x:v>Excluded</x:v>
      </x:c>
      <x:c r="I2273" s="16" t="str">
        <x:v>Missing email</x:v>
      </x:c>
    </x:row>
    <x:row r="2274">
      <x:c r="A2274" s="16" t="n">
        <x:v>2271</x:v>
      </x:c>
      <x:c r="B2274" s="16" t="str">
        <x:v>Erny HyuOhara</x:v>
      </x:c>
      <x:c r="C2274" s="16" t="str"/>
      <x:c r="D2274" s="16" t="str"/>
      <x:c r="E2274" s="16" t="str">
        <x:v>* myContacts</x:v>
      </x:c>
      <x:c r="F2274" s="16" t="str">
        <x:v>+60144444444 | +60144444444</x:v>
      </x:c>
      <x:c r="G2274" s="16" t="str">
        <x:v>+60144444444 | +60144444444</x:v>
      </x:c>
      <x:c r="H2274" s="16" t="str">
        <x:v>Excluded</x:v>
      </x:c>
      <x:c r="I2274" s="16" t="str">
        <x:v>Missing email</x:v>
      </x:c>
    </x:row>
    <x:row r="2275">
      <x:c r="A2275" s="16" t="n">
        <x:v>2272</x:v>
      </x:c>
      <x:c r="B2275" s="16" t="str">
        <x:v>Erra Nurani Azman</x:v>
      </x:c>
      <x:c r="C2275" s="16" t="str"/>
      <x:c r="D2275" s="16" t="str"/>
      <x:c r="E2275" s="16" t="str">
        <x:v>* myContacts</x:v>
      </x:c>
      <x:c r="F2275" s="16" t="str">
        <x:v>+601123505638</x:v>
      </x:c>
      <x:c r="G2275" s="16" t="str">
        <x:v>+601123505638</x:v>
      </x:c>
      <x:c r="H2275" s="16" t="str">
        <x:v>Excluded</x:v>
      </x:c>
      <x:c r="I2275" s="16" t="str">
        <x:v>Missing email</x:v>
      </x:c>
    </x:row>
    <x:row r="2276">
      <x:c r="A2276" s="16" t="n">
        <x:v>2273</x:v>
      </x:c>
      <x:c r="B2276" s="16" t="str">
        <x:v>Erwin Prihadi</x:v>
      </x:c>
      <x:c r="C2276" s="16" t="str"/>
      <x:c r="D2276" s="16" t="str"/>
      <x:c r="E2276" s="16" t="str">
        <x:v>* myContacts</x:v>
      </x:c>
      <x:c r="F2276" s="16" t="str">
        <x:v>+6285722835302</x:v>
      </x:c>
      <x:c r="G2276" s="16" t="str">
        <x:v>+6285722835302</x:v>
      </x:c>
      <x:c r="H2276" s="16" t="str">
        <x:v>Excluded</x:v>
      </x:c>
      <x:c r="I2276" s="16" t="str">
        <x:v>Missing email</x:v>
      </x:c>
    </x:row>
    <x:row r="2277">
      <x:c r="A2277" s="16" t="n">
        <x:v>2274</x:v>
      </x:c>
      <x:c r="B2277" s="16" t="str">
        <x:v>Esa Iskandar</x:v>
      </x:c>
      <x:c r="C2277" s="16" t="str"/>
      <x:c r="D2277" s="16" t="str"/>
      <x:c r="E2277" s="16" t="str">
        <x:v>* myContacts</x:v>
      </x:c>
      <x:c r="F2277" s="16" t="str">
        <x:v>+60167062595</x:v>
      </x:c>
      <x:c r="G2277" s="16" t="str">
        <x:v>+60167062595</x:v>
      </x:c>
      <x:c r="H2277" s="16" t="str">
        <x:v>Excluded</x:v>
      </x:c>
      <x:c r="I2277" s="16" t="str">
        <x:v>Missing email</x:v>
      </x:c>
    </x:row>
    <x:row r="2278">
      <x:c r="A2278" s="16" t="n">
        <x:v>2275</x:v>
      </x:c>
      <x:c r="B2278" s="16" t="str">
        <x:v>Eswandy Cgat</x:v>
      </x:c>
      <x:c r="C2278" s="16" t="str"/>
      <x:c r="D2278" s="16" t="str"/>
      <x:c r="E2278" s="16" t="str">
        <x:v>* myContacts</x:v>
      </x:c>
      <x:c r="F2278" s="16" t="str">
        <x:v>+60197455150</x:v>
      </x:c>
      <x:c r="G2278" s="16" t="str">
        <x:v>+60197455150</x:v>
      </x:c>
      <x:c r="H2278" s="16" t="str">
        <x:v>Excluded</x:v>
      </x:c>
      <x:c r="I2278" s="16" t="str">
        <x:v>Missing email</x:v>
      </x:c>
    </x:row>
    <x:row r="2279">
      <x:c r="A2279" s="16" t="n">
        <x:v>2276</x:v>
      </x:c>
      <x:c r="B2279" s="16" t="str">
        <x:v>Etik Wihayati</x:v>
      </x:c>
      <x:c r="C2279" s="16" t="str"/>
      <x:c r="D2279" s="16" t="str"/>
      <x:c r="E2279" s="16" t="str">
        <x:v>* myContacts</x:v>
      </x:c>
      <x:c r="F2279" s="16" t="str">
        <x:v>+60177777200</x:v>
      </x:c>
      <x:c r="G2279" s="16" t="str">
        <x:v>+60177777200</x:v>
      </x:c>
      <x:c r="H2279" s="16" t="str">
        <x:v>Excluded</x:v>
      </x:c>
      <x:c r="I2279" s="16" t="str">
        <x:v>Missing email</x:v>
      </x:c>
    </x:row>
    <x:row r="2280">
      <x:c r="A2280" s="16" t="n">
        <x:v>2277</x:v>
      </x:c>
      <x:c r="B2280" s="16" t="str">
        <x:v>Eton Polis</x:v>
      </x:c>
      <x:c r="C2280" s="16" t="str"/>
      <x:c r="D2280" s="16" t="str"/>
      <x:c r="E2280" s="16" t="str">
        <x:v>* myContacts</x:v>
      </x:c>
      <x:c r="F2280" s="16" t="str">
        <x:v>+60163695170</x:v>
      </x:c>
      <x:c r="G2280" s="16" t="str">
        <x:v>+60163695170</x:v>
      </x:c>
      <x:c r="H2280" s="16" t="str">
        <x:v>Excluded</x:v>
      </x:c>
      <x:c r="I2280" s="16" t="str">
        <x:v>Missing email</x:v>
      </x:c>
    </x:row>
    <x:row r="2281">
      <x:c r="A2281" s="16" t="n">
        <x:v>2278</x:v>
      </x:c>
      <x:c r="B2281" s="16" t="str">
        <x:v>Etumax Royal Honey</x:v>
      </x:c>
      <x:c r="C2281" s="16" t="str"/>
      <x:c r="D2281" s="16" t="str"/>
      <x:c r="E2281" s="16" t="str">
        <x:v>* myContacts</x:v>
      </x:c>
      <x:c r="F2281" s="16" t="str">
        <x:v>+60172541181</x:v>
      </x:c>
      <x:c r="G2281" s="16" t="str">
        <x:v>+60172541181</x:v>
      </x:c>
      <x:c r="H2281" s="16" t="str">
        <x:v>Excluded</x:v>
      </x:c>
      <x:c r="I2281" s="16" t="str">
        <x:v>Missing email</x:v>
      </x:c>
    </x:row>
    <x:row r="2282">
      <x:c r="A2282" s="16" t="n">
        <x:v>2279</x:v>
      </x:c>
      <x:c r="B2282" s="16" t="str">
        <x:v>Eu Abdul Fatah Z 130823</x:v>
      </x:c>
      <x:c r="C2282" s="16" t="str"/>
      <x:c r="D2282" s="16" t="str"/>
      <x:c r="E2282" s="16" t="str">
        <x:v>Alumni eUsahawan | * myContacts</x:v>
      </x:c>
      <x:c r="F2282" s="16" t="str">
        <x:v>0122160547 | +60122160547</x:v>
      </x:c>
      <x:c r="G2282" s="16" t="str">
        <x:v>+60122160547 | +60122160547</x:v>
      </x:c>
      <x:c r="H2282" s="16" t="str">
        <x:v>Excluded</x:v>
      </x:c>
      <x:c r="I2282" s="16" t="str">
        <x:v>Missing email</x:v>
      </x:c>
    </x:row>
    <x:row r="2283">
      <x:c r="A2283" s="16" t="n">
        <x:v>2280</x:v>
      </x:c>
      <x:c r="B2283" s="16" t="str">
        <x:v>eu abdul rahim z 060823</x:v>
      </x:c>
      <x:c r="C2283" s="16" t="str"/>
      <x:c r="D2283" s="16" t="str"/>
      <x:c r="E2283" s="16" t="str">
        <x:v>Alumni eUsahawan | * myContacts</x:v>
      </x:c>
      <x:c r="F2283" s="16" t="str">
        <x:v>0136213600 | +60136213600</x:v>
      </x:c>
      <x:c r="G2283" s="16" t="str">
        <x:v>+60136213600 | +60136213600</x:v>
      </x:c>
      <x:c r="H2283" s="16" t="str">
        <x:v>Excluded</x:v>
      </x:c>
      <x:c r="I2283" s="16" t="str">
        <x:v>Missing email</x:v>
      </x:c>
    </x:row>
    <x:row r="2284">
      <x:c r="A2284" s="16" t="n">
        <x:v>2281</x:v>
      </x:c>
      <x:c r="B2284" s="16" t="str">
        <x:v>eu abdul razak 18112023</x:v>
      </x:c>
      <x:c r="C2284" s="16" t="str">
        <x:v>razakhasan6017@gmail.com</x:v>
      </x:c>
      <x:c r="D2284" s="16" t="str">
        <x:v>razakhasan6017@gmail.com</x:v>
      </x:c>
      <x:c r="E2284" s="16" t="str">
        <x:v>Alumni eUsahawan | * myContacts</x:v>
      </x:c>
      <x:c r="F2284" s="16" t="str">
        <x:v>0139380715 | +60139380715</x:v>
      </x:c>
      <x:c r="G2284" s="16" t="str">
        <x:v>+60139380715 | +60139380715</x:v>
      </x:c>
      <x:c r="H2284" s="16" t="str">
        <x:v>Eligible</x:v>
      </x:c>
      <x:c r="I2284" s="16" t="str"/>
    </x:row>
    <x:row r="2285">
      <x:c r="A2285" s="16" t="n">
        <x:v>2282</x:v>
      </x:c>
      <x:c r="B2285" s="16" t="str">
        <x:v>Eu Adib Z 130823</x:v>
      </x:c>
      <x:c r="C2285" s="16" t="str"/>
      <x:c r="D2285" s="16" t="str"/>
      <x:c r="E2285" s="16" t="str">
        <x:v>Alumni eUsahawan | * myContacts</x:v>
      </x:c>
      <x:c r="F2285" s="16" t="str">
        <x:v>0138663689 | +60138663689</x:v>
      </x:c>
      <x:c r="G2285" s="16" t="str">
        <x:v>+60138663689 | +60138663689</x:v>
      </x:c>
      <x:c r="H2285" s="16" t="str">
        <x:v>Excluded</x:v>
      </x:c>
      <x:c r="I2285" s="16" t="str">
        <x:v>Missing email</x:v>
      </x:c>
    </x:row>
    <x:row r="2286">
      <x:c r="A2286" s="16" t="n">
        <x:v>2283</x:v>
      </x:c>
      <x:c r="B2286" s="16" t="str">
        <x:v>eu adibah z 060823</x:v>
      </x:c>
      <x:c r="C2286" s="16" t="str"/>
      <x:c r="D2286" s="16" t="str"/>
      <x:c r="E2286" s="16" t="str">
        <x:v>Alumni eUsahawan | * myContacts</x:v>
      </x:c>
      <x:c r="F2286" s="16" t="str">
        <x:v>01112994813 | +601112994813</x:v>
      </x:c>
      <x:c r="G2286" s="16" t="str">
        <x:v>+601112994813 | +601112994813</x:v>
      </x:c>
      <x:c r="H2286" s="16" t="str">
        <x:v>Excluded</x:v>
      </x:c>
      <x:c r="I2286" s="16" t="str">
        <x:v>Missing email</x:v>
      </x:c>
    </x:row>
    <x:row r="2287">
      <x:c r="A2287" s="16" t="n">
        <x:v>2284</x:v>
      </x:c>
      <x:c r="B2287" s="16" t="str">
        <x:v>eu ahamad phahamin 04112023</x:v>
      </x:c>
      <x:c r="C2287" s="16" t="str">
        <x:v>ahamadphahamin99@gmail.com</x:v>
      </x:c>
      <x:c r="D2287" s="16" t="str">
        <x:v>ahamadphahamin99@gmail.com</x:v>
      </x:c>
      <x:c r="E2287" s="16" t="str">
        <x:v>Alumni eUsahawan | * myContacts</x:v>
      </x:c>
      <x:c r="F2287" s="16" t="str">
        <x:v>01161090107 | +601161090107</x:v>
      </x:c>
      <x:c r="G2287" s="16" t="str">
        <x:v>+601161090107 | +601161090107</x:v>
      </x:c>
      <x:c r="H2287" s="16" t="str">
        <x:v>Eligible</x:v>
      </x:c>
      <x:c r="I2287" s="16" t="str"/>
    </x:row>
    <x:row r="2288">
      <x:c r="A2288" s="16" t="n">
        <x:v>2285</x:v>
      </x:c>
      <x:c r="B2288" s="16" t="str">
        <x:v>Eu Ahmad Amir Z 130823</x:v>
      </x:c>
      <x:c r="C2288" s="16" t="str"/>
      <x:c r="D2288" s="16" t="str"/>
      <x:c r="E2288" s="16" t="str">
        <x:v>Alumni eUsahawan | * myContacts</x:v>
      </x:c>
      <x:c r="F2288" s="16" t="str">
        <x:v>0148243573 | +60148243573</x:v>
      </x:c>
      <x:c r="G2288" s="16" t="str">
        <x:v>+60148243573 | +60148243573</x:v>
      </x:c>
      <x:c r="H2288" s="16" t="str">
        <x:v>Excluded</x:v>
      </x:c>
      <x:c r="I2288" s="16" t="str">
        <x:v>Missing email</x:v>
      </x:c>
    </x:row>
    <x:row r="2289">
      <x:c r="A2289" s="16" t="n">
        <x:v>2286</x:v>
      </x:c>
      <x:c r="B2289" s="16" t="str">
        <x:v>Eu Ahmad Basyir Z 130823</x:v>
      </x:c>
      <x:c r="C2289" s="16" t="str"/>
      <x:c r="D2289" s="16" t="str"/>
      <x:c r="E2289" s="16" t="str">
        <x:v>Alumni eUsahawan | * myContacts</x:v>
      </x:c>
      <x:c r="F2289" s="16" t="str">
        <x:v>01163263808 | +601163263808</x:v>
      </x:c>
      <x:c r="G2289" s="16" t="str">
        <x:v>+601163263808 | +601163263808</x:v>
      </x:c>
      <x:c r="H2289" s="16" t="str">
        <x:v>Excluded</x:v>
      </x:c>
      <x:c r="I2289" s="16" t="str">
        <x:v>Missing email</x:v>
      </x:c>
    </x:row>
    <x:row r="2290">
      <x:c r="A2290" s="16" t="n">
        <x:v>2287</x:v>
      </x:c>
      <x:c r="B2290" s="16" t="str">
        <x:v>eu ahmad izat 18112023</x:v>
      </x:c>
      <x:c r="C2290" s="16" t="str">
        <x:v>izatafifi69@gmail.com</x:v>
      </x:c>
      <x:c r="D2290" s="16" t="str">
        <x:v>izatafifi69@gmail.com</x:v>
      </x:c>
      <x:c r="E2290" s="16" t="str">
        <x:v>Alumni eUsahawan | * myContacts</x:v>
      </x:c>
      <x:c r="F2290" s="16" t="str">
        <x:v>0179697469 | +60179697469</x:v>
      </x:c>
      <x:c r="G2290" s="16" t="str">
        <x:v>+60179697469 | +60179697469</x:v>
      </x:c>
      <x:c r="H2290" s="16" t="str">
        <x:v>Eligible</x:v>
      </x:c>
      <x:c r="I2290" s="16" t="str"/>
    </x:row>
    <x:row r="2291">
      <x:c r="A2291" s="16" t="n">
        <x:v>2288</x:v>
      </x:c>
      <x:c r="B2291" s="16" t="str">
        <x:v>eu ahmad mustakim 04112023</x:v>
      </x:c>
      <x:c r="C2291" s="16" t="str">
        <x:v>mustakim.azhan@yahoo.com</x:v>
      </x:c>
      <x:c r="D2291" s="16" t="str">
        <x:v>mustakim.azhan@yahoo.com</x:v>
      </x:c>
      <x:c r="E2291" s="16" t="str">
        <x:v>* myContacts</x:v>
      </x:c>
      <x:c r="F2291" s="16" t="str">
        <x:v>01338996187 | 0138996187</x:v>
      </x:c>
      <x:c r="G2291" s="16" t="str">
        <x:v>+601338996187 | +60138996187</x:v>
      </x:c>
      <x:c r="H2291" s="16" t="str">
        <x:v>Eligible</x:v>
      </x:c>
      <x:c r="I2291" s="16" t="str"/>
    </x:row>
    <x:row r="2292">
      <x:c r="A2292" s="16" t="n">
        <x:v>2289</x:v>
      </x:c>
      <x:c r="B2292" s="16" t="str">
        <x:v>eu ahmad mustakim 04112023</x:v>
      </x:c>
      <x:c r="C2292" s="16" t="str">
        <x:v>mustakim.azhan@yahoo.com</x:v>
      </x:c>
      <x:c r="D2292" s="16" t="str">
        <x:v>mustakim.azhan@yahoo.com</x:v>
      </x:c>
      <x:c r="E2292" s="16" t="str">
        <x:v>Alumni eUsahawan | * myContacts</x:v>
      </x:c>
      <x:c r="F2292" s="16" t="str">
        <x:v>+601338996187 | 0138996187</x:v>
      </x:c>
      <x:c r="G2292" s="16" t="str">
        <x:v>+601338996187 | +60138996187</x:v>
      </x:c>
      <x:c r="H2292" s="16" t="str">
        <x:v>Eligible</x:v>
      </x:c>
      <x:c r="I2292" s="16" t="str"/>
    </x:row>
    <x:row r="2293">
      <x:c r="A2293" s="16" t="n">
        <x:v>2290</x:v>
      </x:c>
      <x:c r="B2293" s="16" t="str">
        <x:v>Eu Ahmad Z 130823</x:v>
      </x:c>
      <x:c r="C2293" s="16" t="str"/>
      <x:c r="D2293" s="16" t="str"/>
      <x:c r="E2293" s="16" t="str">
        <x:v>Alumni eUsahawan | * myContacts</x:v>
      </x:c>
      <x:c r="F2293" s="16" t="str">
        <x:v>0174899527 | +60174899527</x:v>
      </x:c>
      <x:c r="G2293" s="16" t="str">
        <x:v>+60174899527 | +60174899527</x:v>
      </x:c>
      <x:c r="H2293" s="16" t="str">
        <x:v>Excluded</x:v>
      </x:c>
      <x:c r="I2293" s="16" t="str">
        <x:v>Missing email</x:v>
      </x:c>
    </x:row>
    <x:row r="2294">
      <x:c r="A2294" s="16" t="n">
        <x:v>2291</x:v>
      </x:c>
      <x:c r="B2294" s="16" t="str">
        <x:v>Eu Ahmad Zakwan Z 130823</x:v>
      </x:c>
      <x:c r="C2294" s="16" t="str"/>
      <x:c r="D2294" s="16" t="str"/>
      <x:c r="E2294" s="16" t="str">
        <x:v>Alumni eUsahawan | * myContacts</x:v>
      </x:c>
      <x:c r="F2294" s="16" t="str">
        <x:v>0162332262 | +60162332262</x:v>
      </x:c>
      <x:c r="G2294" s="16" t="str">
        <x:v>+60162332262 | +60162332262</x:v>
      </x:c>
      <x:c r="H2294" s="16" t="str">
        <x:v>Excluded</x:v>
      </x:c>
      <x:c r="I2294" s="16" t="str">
        <x:v>Missing email</x:v>
      </x:c>
    </x:row>
    <x:row r="2295">
      <x:c r="A2295" s="16" t="n">
        <x:v>2292</x:v>
      </x:c>
      <x:c r="B2295" s="16" t="str">
        <x:v>eu aina 04112023</x:v>
      </x:c>
      <x:c r="C2295" s="16" t="str">
        <x:v>ainamardiyah0203@gmail.com</x:v>
      </x:c>
      <x:c r="D2295" s="16" t="str">
        <x:v>ainamardiyah0203@gmail.com</x:v>
      </x:c>
      <x:c r="E2295" s="16" t="str">
        <x:v>Alumni eUsahawan | * myContacts</x:v>
      </x:c>
      <x:c r="F2295" s="16" t="str">
        <x:v>0145027563 | +60145027563</x:v>
      </x:c>
      <x:c r="G2295" s="16" t="str">
        <x:v>+60145027563 | +60145027563</x:v>
      </x:c>
      <x:c r="H2295" s="16" t="str">
        <x:v>Eligible</x:v>
      </x:c>
      <x:c r="I2295" s="16" t="str"/>
    </x:row>
    <x:row r="2296">
      <x:c r="A2296" s="16" t="n">
        <x:v>2293</x:v>
      </x:c>
      <x:c r="B2296" s="16" t="str">
        <x:v>eu alisa malini 18112023</x:v>
      </x:c>
      <x:c r="C2296" s="16" t="str"/>
      <x:c r="D2296" s="16" t="str"/>
      <x:c r="E2296" s="16" t="str">
        <x:v>Alumni eUsahawan | * myContacts</x:v>
      </x:c>
      <x:c r="F2296" s="16" t="str">
        <x:v>01110700933 | +601110700933</x:v>
      </x:c>
      <x:c r="G2296" s="16" t="str">
        <x:v>+601110700933 | +601110700933</x:v>
      </x:c>
      <x:c r="H2296" s="16" t="str">
        <x:v>Excluded</x:v>
      </x:c>
      <x:c r="I2296" s="16" t="str">
        <x:v>Missing email</x:v>
      </x:c>
    </x:row>
    <x:row r="2297">
      <x:c r="A2297" s="16" t="n">
        <x:v>2294</x:v>
      </x:c>
      <x:c r="B2297" s="16" t="str">
        <x:v>Eu Amir Husni Z 130823</x:v>
      </x:c>
      <x:c r="C2297" s="16" t="str"/>
      <x:c r="D2297" s="16" t="str"/>
      <x:c r="E2297" s="16" t="str">
        <x:v>Alumni eUsahawan | * myContacts</x:v>
      </x:c>
      <x:c r="F2297" s="16" t="str">
        <x:v>0125742957 | +60125742957</x:v>
      </x:c>
      <x:c r="G2297" s="16" t="str">
        <x:v>+60125742957 | +60125742957</x:v>
      </x:c>
      <x:c r="H2297" s="16" t="str">
        <x:v>Excluded</x:v>
      </x:c>
      <x:c r="I2297" s="16" t="str">
        <x:v>Missing email</x:v>
      </x:c>
    </x:row>
    <x:row r="2298">
      <x:c r="A2298" s="16" t="n">
        <x:v>2295</x:v>
      </x:c>
      <x:c r="B2298" s="16" t="str">
        <x:v>eu amirah hawa z 060823</x:v>
      </x:c>
      <x:c r="C2298" s="16" t="str"/>
      <x:c r="D2298" s="16" t="str"/>
      <x:c r="E2298" s="16" t="str">
        <x:v>Alumni eUsahawan | * myContacts</x:v>
      </x:c>
      <x:c r="F2298" s="16" t="str">
        <x:v>0189494321 | +60189494321</x:v>
      </x:c>
      <x:c r="G2298" s="16" t="str">
        <x:v>+60189494321 | +60189494321</x:v>
      </x:c>
      <x:c r="H2298" s="16" t="str">
        <x:v>Excluded</x:v>
      </x:c>
      <x:c r="I2298" s="16" t="str">
        <x:v>Missing email</x:v>
      </x:c>
    </x:row>
    <x:row r="2299">
      <x:c r="A2299" s="16" t="n">
        <x:v>2296</x:v>
      </x:c>
      <x:c r="B2299" s="16" t="str">
        <x:v>Eu Amiza Z 170823</x:v>
      </x:c>
      <x:c r="C2299" s="16" t="str"/>
      <x:c r="D2299" s="16" t="str"/>
      <x:c r="E2299" s="16" t="str">
        <x:v>Alumni eUsahawan | * myContacts</x:v>
      </x:c>
      <x:c r="F2299" s="16" t="str">
        <x:v>+60 10-988 3345 | +60109883345</x:v>
      </x:c>
      <x:c r="G2299" s="16" t="str">
        <x:v>+60109883345 | +60109883345</x:v>
      </x:c>
      <x:c r="H2299" s="16" t="str">
        <x:v>Excluded</x:v>
      </x:c>
      <x:c r="I2299" s="16" t="str">
        <x:v>Missing email</x:v>
      </x:c>
    </x:row>
    <x:row r="2300">
      <x:c r="A2300" s="16" t="n">
        <x:v>2297</x:v>
      </x:c>
      <x:c r="B2300" s="16" t="str">
        <x:v>eu anida 18112023</x:v>
      </x:c>
      <x:c r="C2300" s="16" t="str">
        <x:v>anidamohdzainuddin@gmail.com</x:v>
      </x:c>
      <x:c r="D2300" s="16" t="str">
        <x:v>anidamohdzainuddin@gmail.com</x:v>
      </x:c>
      <x:c r="E2300" s="16" t="str">
        <x:v>Alumni eUsahawan | * myContacts</x:v>
      </x:c>
      <x:c r="F2300" s="16" t="str">
        <x:v>01137526298 | +601137526298</x:v>
      </x:c>
      <x:c r="G2300" s="16" t="str">
        <x:v>+601137526298 | +601137526298</x:v>
      </x:c>
      <x:c r="H2300" s="16" t="str">
        <x:v>Eligible</x:v>
      </x:c>
      <x:c r="I2300" s="16" t="str"/>
    </x:row>
    <x:row r="2301">
      <x:c r="A2301" s="16" t="n">
        <x:v>2298</x:v>
      </x:c>
      <x:c r="B2301" s="16" t="str">
        <x:v>eu anis amila 18112023</x:v>
      </x:c>
      <x:c r="C2301" s="16" t="str">
        <x:v>annmill.10@gmail.com</x:v>
      </x:c>
      <x:c r="D2301" s="16" t="str">
        <x:v>annmill.10@gmail.com</x:v>
      </x:c>
      <x:c r="E2301" s="16" t="str">
        <x:v>Alumni eUsahawan | * myContacts</x:v>
      </x:c>
      <x:c r="F2301" s="16" t="str">
        <x:v>0199111601 | +60199111601</x:v>
      </x:c>
      <x:c r="G2301" s="16" t="str">
        <x:v>+60199111601 | +60199111601</x:v>
      </x:c>
      <x:c r="H2301" s="16" t="str">
        <x:v>Eligible</x:v>
      </x:c>
      <x:c r="I2301" s="16" t="str"/>
    </x:row>
    <x:row r="2302">
      <x:c r="A2302" s="16" t="n">
        <x:v>2299</x:v>
      </x:c>
      <x:c r="B2302" s="16" t="str">
        <x:v>eu anis nabilah z 060823</x:v>
      </x:c>
      <x:c r="C2302" s="16" t="str"/>
      <x:c r="D2302" s="16" t="str"/>
      <x:c r="E2302" s="16" t="str">
        <x:v>Alumni eUsahawan | * myContacts</x:v>
      </x:c>
      <x:c r="F2302" s="16" t="str">
        <x:v>0132006886 | +60132006886</x:v>
      </x:c>
      <x:c r="G2302" s="16" t="str">
        <x:v>+60132006886 | +60132006886</x:v>
      </x:c>
      <x:c r="H2302" s="16" t="str">
        <x:v>Excluded</x:v>
      </x:c>
      <x:c r="I2302" s="16" t="str">
        <x:v>Missing email</x:v>
      </x:c>
    </x:row>
    <x:row r="2303">
      <x:c r="A2303" s="16" t="n">
        <x:v>2300</x:v>
      </x:c>
      <x:c r="B2303" s="16" t="str">
        <x:v>eu anuar z 060823</x:v>
      </x:c>
      <x:c r="C2303" s="16" t="str"/>
      <x:c r="D2303" s="16" t="str"/>
      <x:c r="E2303" s="16" t="str">
        <x:v>Alumni eUsahawan | * myContacts</x:v>
      </x:c>
      <x:c r="F2303" s="16" t="str">
        <x:v>0122040893 | +60122040893</x:v>
      </x:c>
      <x:c r="G2303" s="16" t="str">
        <x:v>+60122040893 | +60122040893</x:v>
      </x:c>
      <x:c r="H2303" s="16" t="str">
        <x:v>Excluded</x:v>
      </x:c>
      <x:c r="I2303" s="16" t="str">
        <x:v>Missing email</x:v>
      </x:c>
    </x:row>
    <x:row r="2304">
      <x:c r="A2304" s="16" t="n">
        <x:v>2301</x:v>
      </x:c>
      <x:c r="B2304" s="16" t="str">
        <x:v>Eu Ayu Wanni Z 130823</x:v>
      </x:c>
      <x:c r="C2304" s="16" t="str"/>
      <x:c r="D2304" s="16" t="str"/>
      <x:c r="E2304" s="16" t="str">
        <x:v>Alumni eUsahawan | * myContacts</x:v>
      </x:c>
      <x:c r="F2304" s="16" t="str">
        <x:v>0196447244 | +60196447244</x:v>
      </x:c>
      <x:c r="G2304" s="16" t="str">
        <x:v>+60196447244 | +60196447244</x:v>
      </x:c>
      <x:c r="H2304" s="16" t="str">
        <x:v>Excluded</x:v>
      </x:c>
      <x:c r="I2304" s="16" t="str">
        <x:v>Missing email</x:v>
      </x:c>
    </x:row>
    <x:row r="2305">
      <x:c r="A2305" s="16" t="n">
        <x:v>2302</x:v>
      </x:c>
      <x:c r="B2305" s="16" t="str">
        <x:v>Eu Azizul Z 130823</x:v>
      </x:c>
      <x:c r="C2305" s="16" t="str"/>
      <x:c r="D2305" s="16" t="str"/>
      <x:c r="E2305" s="16" t="str">
        <x:v>Alumni eUsahawan | * myContacts</x:v>
      </x:c>
      <x:c r="F2305" s="16" t="str">
        <x:v>01118749182 | +601118749182</x:v>
      </x:c>
      <x:c r="G2305" s="16" t="str">
        <x:v>+601118749182 | +601118749182</x:v>
      </x:c>
      <x:c r="H2305" s="16" t="str">
        <x:v>Excluded</x:v>
      </x:c>
      <x:c r="I2305" s="16" t="str">
        <x:v>Missing email</x:v>
      </x:c>
    </x:row>
    <x:row r="2306">
      <x:c r="A2306" s="16" t="n">
        <x:v>2303</x:v>
      </x:c>
      <x:c r="B2306" s="16" t="str">
        <x:v>eu azlan z 060823</x:v>
      </x:c>
      <x:c r="C2306" s="16" t="str"/>
      <x:c r="D2306" s="16" t="str"/>
      <x:c r="E2306" s="16" t="str">
        <x:v>Alumni eUsahawan | * myContacts</x:v>
      </x:c>
      <x:c r="F2306" s="16" t="str">
        <x:v>0139849008 | +60139849008</x:v>
      </x:c>
      <x:c r="G2306" s="16" t="str">
        <x:v>+60139849008 | +60139849008</x:v>
      </x:c>
      <x:c r="H2306" s="16" t="str">
        <x:v>Excluded</x:v>
      </x:c>
      <x:c r="I2306" s="16" t="str">
        <x:v>Missing email</x:v>
      </x:c>
    </x:row>
    <x:row r="2307">
      <x:c r="A2307" s="16" t="n">
        <x:v>2304</x:v>
      </x:c>
      <x:c r="B2307" s="16" t="str">
        <x:v>eu azmawati z 060823</x:v>
      </x:c>
      <x:c r="C2307" s="16" t="str"/>
      <x:c r="D2307" s="16" t="str"/>
      <x:c r="E2307" s="16" t="str">
        <x:v>Alumni eUsahawan | * myContacts</x:v>
      </x:c>
      <x:c r="F2307" s="16" t="str">
        <x:v>0105582187 | +60105582187</x:v>
      </x:c>
      <x:c r="G2307" s="16" t="str">
        <x:v>+60105582187 | +60105582187</x:v>
      </x:c>
      <x:c r="H2307" s="16" t="str">
        <x:v>Excluded</x:v>
      </x:c>
      <x:c r="I2307" s="16" t="str">
        <x:v>Missing email</x:v>
      </x:c>
    </x:row>
    <x:row r="2308">
      <x:c r="A2308" s="16" t="n">
        <x:v>2305</x:v>
      </x:c>
      <x:c r="B2308" s="16" t="str">
        <x:v>Eu Balinda Shasha Z 170823</x:v>
      </x:c>
      <x:c r="C2308" s="16" t="str"/>
      <x:c r="D2308" s="16" t="str"/>
      <x:c r="E2308" s="16" t="str">
        <x:v>Alumni eUsahawan | * myContacts</x:v>
      </x:c>
      <x:c r="F2308" s="16" t="str">
        <x:v>01118810113 | +601118810113</x:v>
      </x:c>
      <x:c r="G2308" s="16" t="str">
        <x:v>+601118810113 | +601118810113</x:v>
      </x:c>
      <x:c r="H2308" s="16" t="str">
        <x:v>Excluded</x:v>
      </x:c>
      <x:c r="I2308" s="16" t="str">
        <x:v>Missing email</x:v>
      </x:c>
    </x:row>
    <x:row r="2309">
      <x:c r="A2309" s="16" t="n">
        <x:v>2306</x:v>
      </x:c>
      <x:c r="B2309" s="16" t="str">
        <x:v>Eu bibi sunita Z 170823</x:v>
      </x:c>
      <x:c r="C2309" s="16" t="str"/>
      <x:c r="D2309" s="16" t="str"/>
      <x:c r="E2309" s="16" t="str">
        <x:v>Alumni eUsahawan | * myContacts</x:v>
      </x:c>
      <x:c r="F2309" s="16" t="str">
        <x:v>+60 19-332 6144 | +60193326144</x:v>
      </x:c>
      <x:c r="G2309" s="16" t="str">
        <x:v>+60193326144 | +60193326144</x:v>
      </x:c>
      <x:c r="H2309" s="16" t="str">
        <x:v>Excluded</x:v>
      </x:c>
      <x:c r="I2309" s="16" t="str">
        <x:v>Missing email</x:v>
      </x:c>
    </x:row>
    <x:row r="2310">
      <x:c r="A2310" s="16" t="n">
        <x:v>2307</x:v>
      </x:c>
      <x:c r="B2310" s="16" t="str">
        <x:v>Eu Che Syafatin Z 130823</x:v>
      </x:c>
      <x:c r="C2310" s="16" t="str"/>
      <x:c r="D2310" s="16" t="str"/>
      <x:c r="E2310" s="16" t="str">
        <x:v>Alumni eUsahawan | * myContacts</x:v>
      </x:c>
      <x:c r="F2310" s="16" t="str">
        <x:v>0134157118 | +60134157118</x:v>
      </x:c>
      <x:c r="G2310" s="16" t="str">
        <x:v>+60134157118 | +60134157118</x:v>
      </x:c>
      <x:c r="H2310" s="16" t="str">
        <x:v>Excluded</x:v>
      </x:c>
      <x:c r="I2310" s="16" t="str">
        <x:v>Missing email</x:v>
      </x:c>
    </x:row>
    <x:row r="2311">
      <x:c r="A2311" s="16" t="n">
        <x:v>2308</x:v>
      </x:c>
      <x:c r="B2311" s="16" t="str">
        <x:v>Eu Ellyaherny Z 130823</x:v>
      </x:c>
      <x:c r="C2311" s="16" t="str"/>
      <x:c r="D2311" s="16" t="str"/>
      <x:c r="E2311" s="16" t="str">
        <x:v>Alumni eUsahawan | * myContacts</x:v>
      </x:c>
      <x:c r="F2311" s="16" t="str">
        <x:v>0174266357 | +60174266357</x:v>
      </x:c>
      <x:c r="G2311" s="16" t="str">
        <x:v>+60174266357 | +60174266357</x:v>
      </x:c>
      <x:c r="H2311" s="16" t="str">
        <x:v>Excluded</x:v>
      </x:c>
      <x:c r="I2311" s="16" t="str">
        <x:v>Missing email</x:v>
      </x:c>
    </x:row>
    <x:row r="2312">
      <x:c r="A2312" s="16" t="n">
        <x:v>2309</x:v>
      </x:c>
      <x:c r="B2312" s="16" t="str">
        <x:v>Eu Emilia Z 170823</x:v>
      </x:c>
      <x:c r="C2312" s="16" t="str"/>
      <x:c r="D2312" s="16" t="str"/>
      <x:c r="E2312" s="16" t="str">
        <x:v>Alumni eUsahawan | * myContacts</x:v>
      </x:c>
      <x:c r="F2312" s="16" t="str">
        <x:v>0166709477 | +60166709477</x:v>
      </x:c>
      <x:c r="G2312" s="16" t="str">
        <x:v>+60166709477 | +60166709477</x:v>
      </x:c>
      <x:c r="H2312" s="16" t="str">
        <x:v>Excluded</x:v>
      </x:c>
      <x:c r="I2312" s="16" t="str">
        <x:v>Missing email</x:v>
      </x:c>
    </x:row>
    <x:row r="2313">
      <x:c r="A2313" s="16" t="n">
        <x:v>2310</x:v>
      </x:c>
      <x:c r="B2313" s="16" t="str">
        <x:v>eu engku suraya 04112023</x:v>
      </x:c>
      <x:c r="C2313" s="16" t="str">
        <x:v>ayarusimail@gmail.com</x:v>
      </x:c>
      <x:c r="D2313" s="16" t="str">
        <x:v>ayarusimail@gmail.com</x:v>
      </x:c>
      <x:c r="E2313" s="16" t="str">
        <x:v>Alumni eUsahawan | * myContacts</x:v>
      </x:c>
      <x:c r="F2313" s="16" t="str">
        <x:v>01135681643 | +601135681643</x:v>
      </x:c>
      <x:c r="G2313" s="16" t="str">
        <x:v>+601135681643 | +601135681643</x:v>
      </x:c>
      <x:c r="H2313" s="16" t="str">
        <x:v>Eligible</x:v>
      </x:c>
      <x:c r="I2313" s="16" t="str"/>
    </x:row>
    <x:row r="2314">
      <x:c r="A2314" s="16" t="n">
        <x:v>2311</x:v>
      </x:c>
      <x:c r="B2314" s="16" t="str">
        <x:v>Eu Faezah Z 130823</x:v>
      </x:c>
      <x:c r="C2314" s="16" t="str"/>
      <x:c r="D2314" s="16" t="str"/>
      <x:c r="E2314" s="16" t="str">
        <x:v>Alumni eUsahawan | * myContacts</x:v>
      </x:c>
      <x:c r="F2314" s="16" t="str">
        <x:v>0182050996 | +60182050996</x:v>
      </x:c>
      <x:c r="G2314" s="16" t="str">
        <x:v>+60182050996 | +60182050996</x:v>
      </x:c>
      <x:c r="H2314" s="16" t="str">
        <x:v>Excluded</x:v>
      </x:c>
      <x:c r="I2314" s="16" t="str">
        <x:v>Missing email</x:v>
      </x:c>
    </x:row>
    <x:row r="2315">
      <x:c r="A2315" s="16" t="n">
        <x:v>2312</x:v>
      </x:c>
      <x:c r="B2315" s="16" t="str">
        <x:v>Eu Faizal Z 130823</x:v>
      </x:c>
      <x:c r="C2315" s="16" t="str"/>
      <x:c r="D2315" s="16" t="str"/>
      <x:c r="E2315" s="16" t="str">
        <x:v>Alumni eUsahawan | * myContacts</x:v>
      </x:c>
      <x:c r="F2315" s="16" t="str">
        <x:v>+60199575763</x:v>
      </x:c>
      <x:c r="G2315" s="16" t="str">
        <x:v>+60199575763</x:v>
      </x:c>
      <x:c r="H2315" s="16" t="str">
        <x:v>Excluded</x:v>
      </x:c>
      <x:c r="I2315" s="16" t="str">
        <x:v>Missing email</x:v>
      </x:c>
    </x:row>
    <x:row r="2316">
      <x:c r="A2316" s="16" t="n">
        <x:v>2313</x:v>
      </x:c>
      <x:c r="B2316" s="16" t="str">
        <x:v>Eu Farhana Low Z 130823</x:v>
      </x:c>
      <x:c r="C2316" s="16" t="str"/>
      <x:c r="D2316" s="16" t="str"/>
      <x:c r="E2316" s="16" t="str">
        <x:v>Alumni eUsahawan | * myContacts</x:v>
      </x:c>
      <x:c r="F2316" s="16" t="str">
        <x:v>0167676677 | +60167676677</x:v>
      </x:c>
      <x:c r="G2316" s="16" t="str">
        <x:v>+60167676677 | +60167676677</x:v>
      </x:c>
      <x:c r="H2316" s="16" t="str">
        <x:v>Excluded</x:v>
      </x:c>
      <x:c r="I2316" s="16" t="str">
        <x:v>Missing email</x:v>
      </x:c>
    </x:row>
    <x:row r="2317">
      <x:c r="A2317" s="16" t="n">
        <x:v>2314</x:v>
      </x:c>
      <x:c r="B2317" s="16" t="str">
        <x:v>Eu Farhana z 170823</x:v>
      </x:c>
      <x:c r="C2317" s="16" t="str"/>
      <x:c r="D2317" s="16" t="str"/>
      <x:c r="E2317" s="16" t="str">
        <x:v>Alumni eUsahawan | * myContacts</x:v>
      </x:c>
      <x:c r="F2317" s="16" t="str">
        <x:v>+60 17-650 9769 | +60176509769</x:v>
      </x:c>
      <x:c r="G2317" s="16" t="str">
        <x:v>+60176509769 | +60176509769</x:v>
      </x:c>
      <x:c r="H2317" s="16" t="str">
        <x:v>Excluded</x:v>
      </x:c>
      <x:c r="I2317" s="16" t="str">
        <x:v>Missing email</x:v>
      </x:c>
    </x:row>
    <x:row r="2318">
      <x:c r="A2318" s="16" t="n">
        <x:v>2315</x:v>
      </x:c>
      <x:c r="B2318" s="16" t="str">
        <x:v>eu fauziah yaakob 18112023</x:v>
      </x:c>
      <x:c r="C2318" s="16" t="str">
        <x:v>mhzamhza97@gmail.com</x:v>
      </x:c>
      <x:c r="D2318" s="16" t="str">
        <x:v>mhzamhza97@gmail.com</x:v>
      </x:c>
      <x:c r="E2318" s="16" t="str">
        <x:v>Alumni eUsahawan | * myContacts</x:v>
      </x:c>
      <x:c r="F2318" s="16" t="str">
        <x:v>0179095281 | +60179095281</x:v>
      </x:c>
      <x:c r="G2318" s="16" t="str">
        <x:v>+60179095281 | +60179095281</x:v>
      </x:c>
      <x:c r="H2318" s="16" t="str">
        <x:v>Eligible</x:v>
      </x:c>
      <x:c r="I2318" s="16" t="str"/>
    </x:row>
    <x:row r="2319">
      <x:c r="A2319" s="16" t="n">
        <x:v>2316</x:v>
      </x:c>
      <x:c r="B2319" s="16" t="str">
        <x:v>eu fazeli 04112023</x:v>
      </x:c>
      <x:c r="C2319" s="16" t="str"/>
      <x:c r="D2319" s="16" t="str"/>
      <x:c r="E2319" s="16" t="str">
        <x:v>Alumni eUsahawan | * myContacts</x:v>
      </x:c>
      <x:c r="F2319" s="16" t="str">
        <x:v>0193291108 | +60193291108</x:v>
      </x:c>
      <x:c r="G2319" s="16" t="str">
        <x:v>+60193291108 | +60193291108</x:v>
      </x:c>
      <x:c r="H2319" s="16" t="str">
        <x:v>Excluded</x:v>
      </x:c>
      <x:c r="I2319" s="16" t="str">
        <x:v>Missing email</x:v>
      </x:c>
    </x:row>
    <x:row r="2320">
      <x:c r="A2320" s="16" t="n">
        <x:v>2317</x:v>
      </x:c>
      <x:c r="B2320" s="16" t="str">
        <x:v>Eu Hafiz Najmi Z 170823</x:v>
      </x:c>
      <x:c r="C2320" s="16" t="str"/>
      <x:c r="D2320" s="16" t="str"/>
      <x:c r="E2320" s="16" t="str">
        <x:v>Alumni eUsahawan | * myContacts</x:v>
      </x:c>
      <x:c r="F2320" s="16" t="str">
        <x:v>01160576530 | +601160576530</x:v>
      </x:c>
      <x:c r="G2320" s="16" t="str">
        <x:v>+601160576530 | +601160576530</x:v>
      </x:c>
      <x:c r="H2320" s="16" t="str">
        <x:v>Excluded</x:v>
      </x:c>
      <x:c r="I2320" s="16" t="str">
        <x:v>Missing email</x:v>
      </x:c>
    </x:row>
    <x:row r="2321">
      <x:c r="A2321" s="16" t="n">
        <x:v>2318</x:v>
      </x:c>
      <x:c r="B2321" s="16" t="str">
        <x:v>Eu Hafizul Aziz Z 170823</x:v>
      </x:c>
      <x:c r="C2321" s="16" t="str"/>
      <x:c r="D2321" s="16" t="str"/>
      <x:c r="E2321" s="16" t="str">
        <x:v>Alumni eUsahawan | * myContacts</x:v>
      </x:c>
      <x:c r="F2321" s="16" t="str">
        <x:v>+60 18-963 4898 | +60189634898</x:v>
      </x:c>
      <x:c r="G2321" s="16" t="str">
        <x:v>+60189634898 | +60189634898</x:v>
      </x:c>
      <x:c r="H2321" s="16" t="str">
        <x:v>Excluded</x:v>
      </x:c>
      <x:c r="I2321" s="16" t="str">
        <x:v>Missing email</x:v>
      </x:c>
    </x:row>
    <x:row r="2322">
      <x:c r="A2322" s="16" t="n">
        <x:v>2319</x:v>
      </x:c>
      <x:c r="B2322" s="16" t="str">
        <x:v>eu hakimi z 060823</x:v>
      </x:c>
      <x:c r="C2322" s="16" t="str"/>
      <x:c r="D2322" s="16" t="str"/>
      <x:c r="E2322" s="16" t="str">
        <x:v>Alumni eUsahawan | * myContacts</x:v>
      </x:c>
      <x:c r="F2322" s="16" t="str">
        <x:v>0136952993 | +60136952993</x:v>
      </x:c>
      <x:c r="G2322" s="16" t="str">
        <x:v>+60136952993 | +60136952993</x:v>
      </x:c>
      <x:c r="H2322" s="16" t="str">
        <x:v>Excluded</x:v>
      </x:c>
      <x:c r="I2322" s="16" t="str">
        <x:v>Missing email</x:v>
      </x:c>
    </x:row>
    <x:row r="2323">
      <x:c r="A2323" s="16" t="n">
        <x:v>2320</x:v>
      </x:c>
      <x:c r="B2323" s="16" t="str">
        <x:v>eu hamizah z 060823</x:v>
      </x:c>
      <x:c r="C2323" s="16" t="str"/>
      <x:c r="D2323" s="16" t="str"/>
      <x:c r="E2323" s="16" t="str">
        <x:v>Alumni eUsahawan | * myContacts</x:v>
      </x:c>
      <x:c r="F2323" s="16" t="str">
        <x:v>0187844176 | +60187844176</x:v>
      </x:c>
      <x:c r="G2323" s="16" t="str">
        <x:v>+60187844176 | +60187844176</x:v>
      </x:c>
      <x:c r="H2323" s="16" t="str">
        <x:v>Excluded</x:v>
      </x:c>
      <x:c r="I2323" s="16" t="str">
        <x:v>Missing email</x:v>
      </x:c>
    </x:row>
    <x:row r="2324">
      <x:c r="A2324" s="16" t="n">
        <x:v>2321</x:v>
      </x:c>
      <x:c r="B2324" s="16" t="str">
        <x:v>eu hanee harun z 060823</x:v>
      </x:c>
      <x:c r="C2324" s="16" t="str"/>
      <x:c r="D2324" s="16" t="str"/>
      <x:c r="E2324" s="16" t="str">
        <x:v>Alumni eUsahawan | * myContacts</x:v>
      </x:c>
      <x:c r="F2324" s="16" t="str">
        <x:v>0133934121 | +60133934121</x:v>
      </x:c>
      <x:c r="G2324" s="16" t="str">
        <x:v>+60133934121 | +60133934121</x:v>
      </x:c>
      <x:c r="H2324" s="16" t="str">
        <x:v>Excluded</x:v>
      </x:c>
      <x:c r="I2324" s="16" t="str">
        <x:v>Missing email</x:v>
      </x:c>
    </x:row>
    <x:row r="2325">
      <x:c r="A2325" s="16" t="n">
        <x:v>2322</x:v>
      </x:c>
      <x:c r="B2325" s="16" t="str">
        <x:v>eu haslina 18112023</x:v>
      </x:c>
      <x:c r="C2325" s="16" t="str">
        <x:v>ahaslina89@gmail.com</x:v>
      </x:c>
      <x:c r="D2325" s="16" t="str">
        <x:v>ahaslina89@gmail.com</x:v>
      </x:c>
      <x:c r="E2325" s="16" t="str">
        <x:v>Alumni eUsahawan | * myContacts</x:v>
      </x:c>
      <x:c r="F2325" s="16" t="str">
        <x:v>0178748505 | +60178748505</x:v>
      </x:c>
      <x:c r="G2325" s="16" t="str">
        <x:v>+60178748505 | +60178748505</x:v>
      </x:c>
      <x:c r="H2325" s="16" t="str">
        <x:v>Eligible</x:v>
      </x:c>
      <x:c r="I2325" s="16" t="str"/>
    </x:row>
    <x:row r="2326">
      <x:c r="A2326" s="16" t="n">
        <x:v>2323</x:v>
      </x:c>
      <x:c r="B2326" s="16" t="str">
        <x:v>eu hasmah 18112023</x:v>
      </x:c>
      <x:c r="C2326" s="16" t="str">
        <x:v>hasmahmatjais32@gmail.com</x:v>
      </x:c>
      <x:c r="D2326" s="16" t="str">
        <x:v>hasmahmatjais32@gmail.com</x:v>
      </x:c>
      <x:c r="E2326" s="16" t="str">
        <x:v>Alumni eUsahawan | * myContacts</x:v>
      </x:c>
      <x:c r="F2326" s="16" t="str">
        <x:v>0139942981 | +60139942981</x:v>
      </x:c>
      <x:c r="G2326" s="16" t="str">
        <x:v>+60139942981 | +60139942981</x:v>
      </x:c>
      <x:c r="H2326" s="16" t="str">
        <x:v>Eligible</x:v>
      </x:c>
      <x:c r="I2326" s="16" t="str"/>
    </x:row>
    <x:row r="2327">
      <x:c r="A2327" s="16" t="n">
        <x:v>2324</x:v>
      </x:c>
      <x:c r="B2327" s="16" t="str">
        <x:v>eu hasrulnizam z 060823</x:v>
      </x:c>
      <x:c r="C2327" s="16" t="str"/>
      <x:c r="D2327" s="16" t="str"/>
      <x:c r="E2327" s="16" t="str">
        <x:v>Alumni eUsahawan | * myContacts</x:v>
      </x:c>
      <x:c r="F2327" s="16" t="str">
        <x:v>0192656734 | +60192656734</x:v>
      </x:c>
      <x:c r="G2327" s="16" t="str">
        <x:v>+60192656734 | +60192656734</x:v>
      </x:c>
      <x:c r="H2327" s="16" t="str">
        <x:v>Excluded</x:v>
      </x:c>
      <x:c r="I2327" s="16" t="str">
        <x:v>Missing email</x:v>
      </x:c>
    </x:row>
    <x:row r="2328">
      <x:c r="A2328" s="16" t="n">
        <x:v>2325</x:v>
      </x:c>
      <x:c r="B2328" s="16" t="str">
        <x:v>Eu Hazatta Z 130823</x:v>
      </x:c>
      <x:c r="C2328" s="16" t="str"/>
      <x:c r="D2328" s="16" t="str"/>
      <x:c r="E2328" s="16" t="str">
        <x:v>Alumni eUsahawan | * myContacts</x:v>
      </x:c>
      <x:c r="F2328" s="16" t="str">
        <x:v>0138113500 | +60138113500</x:v>
      </x:c>
      <x:c r="G2328" s="16" t="str">
        <x:v>+60138113500 | +60138113500</x:v>
      </x:c>
      <x:c r="H2328" s="16" t="str">
        <x:v>Excluded</x:v>
      </x:c>
      <x:c r="I2328" s="16" t="str">
        <x:v>Missing email</x:v>
      </x:c>
    </x:row>
    <x:row r="2329">
      <x:c r="A2329" s="16" t="n">
        <x:v>2326</x:v>
      </x:c>
      <x:c r="B2329" s="16" t="str">
        <x:v>eu hazwani 04112023</x:v>
      </x:c>
      <x:c r="C2329" s="16" t="str">
        <x:v>hazwani_cheabrahman@yahoo.com</x:v>
      </x:c>
      <x:c r="D2329" s="16" t="str">
        <x:v>hazwani_cheabrahman@yahoo.com</x:v>
      </x:c>
      <x:c r="E2329" s="16" t="str">
        <x:v>Alumni eUsahawan | * myContacts</x:v>
      </x:c>
      <x:c r="F2329" s="16" t="str">
        <x:v>0102949864 | +60102949864</x:v>
      </x:c>
      <x:c r="G2329" s="16" t="str">
        <x:v>+60102949864 | +60102949864</x:v>
      </x:c>
      <x:c r="H2329" s="16" t="str">
        <x:v>Eligible</x:v>
      </x:c>
      <x:c r="I2329" s="16" t="str"/>
    </x:row>
    <x:row r="2330">
      <x:c r="A2330" s="16" t="n">
        <x:v>2327</x:v>
      </x:c>
      <x:c r="B2330" s="16" t="str">
        <x:v>Eu Hng Yin Mun Z 130823</x:v>
      </x:c>
      <x:c r="C2330" s="16" t="str"/>
      <x:c r="D2330" s="16" t="str"/>
      <x:c r="E2330" s="16" t="str">
        <x:v>Alumni eUsahawan | * myContacts</x:v>
      </x:c>
      <x:c r="F2330" s="16" t="str">
        <x:v>0165071323 | +60165071323</x:v>
      </x:c>
      <x:c r="G2330" s="16" t="str">
        <x:v>+60165071323 | +60165071323</x:v>
      </x:c>
      <x:c r="H2330" s="16" t="str">
        <x:v>Excluded</x:v>
      </x:c>
      <x:c r="I2330" s="16" t="str">
        <x:v>Missing email</x:v>
      </x:c>
    </x:row>
    <x:row r="2331">
      <x:c r="A2331" s="16" t="n">
        <x:v>2328</x:v>
      </x:c>
      <x:c r="B2331" s="16" t="str">
        <x:v>eu iqmal khair 04112023</x:v>
      </x:c>
      <x:c r="C2331" s="16" t="str">
        <x:v>iqmaluchiha98@gmail.com</x:v>
      </x:c>
      <x:c r="D2331" s="16" t="str">
        <x:v>iqmaluchiha98@gmail.com</x:v>
      </x:c>
      <x:c r="E2331" s="16" t="str">
        <x:v>Alumni eUsahawan | * myContacts</x:v>
      </x:c>
      <x:c r="F2331" s="16" t="str">
        <x:v>0148064039 | +60148064039</x:v>
      </x:c>
      <x:c r="G2331" s="16" t="str">
        <x:v>+60148064039 | +60148064039</x:v>
      </x:c>
      <x:c r="H2331" s="16" t="str">
        <x:v>Eligible</x:v>
      </x:c>
      <x:c r="I2331" s="16" t="str"/>
    </x:row>
    <x:row r="2332">
      <x:c r="A2332" s="16" t="n">
        <x:v>2329</x:v>
      </x:c>
      <x:c r="B2332" s="16" t="str">
        <x:v>Eu Izhar Z 130823</x:v>
      </x:c>
      <x:c r="C2332" s="16" t="str"/>
      <x:c r="D2332" s="16" t="str"/>
      <x:c r="E2332" s="16" t="str">
        <x:v>Alumni eUsahawan | * myContacts</x:v>
      </x:c>
      <x:c r="F2332" s="16" t="str">
        <x:v>+60 14-944 3139 | +60149443139</x:v>
      </x:c>
      <x:c r="G2332" s="16" t="str">
        <x:v>+60149443139 | +60149443139</x:v>
      </x:c>
      <x:c r="H2332" s="16" t="str">
        <x:v>Excluded</x:v>
      </x:c>
      <x:c r="I2332" s="16" t="str">
        <x:v>Missing email</x:v>
      </x:c>
    </x:row>
    <x:row r="2333">
      <x:c r="A2333" s="16" t="n">
        <x:v>2330</x:v>
      </x:c>
      <x:c r="B2333" s="16" t="str">
        <x:v>eu izzatil akmal</x:v>
      </x:c>
      <x:c r="C2333" s="16" t="str">
        <x:v>izzmal25@gmail.com</x:v>
      </x:c>
      <x:c r="D2333" s="16" t="str">
        <x:v>izzmal25@gmail.com</x:v>
      </x:c>
      <x:c r="E2333" s="16" t="str">
        <x:v>Alumni eUsahawan | * myContacts</x:v>
      </x:c>
      <x:c r="F2333" s="16" t="str">
        <x:v>0169577374 | +60169577374</x:v>
      </x:c>
      <x:c r="G2333" s="16" t="str">
        <x:v>+60169577374 | +60169577374</x:v>
      </x:c>
      <x:c r="H2333" s="16" t="str">
        <x:v>Eligible</x:v>
      </x:c>
      <x:c r="I2333" s="16" t="str"/>
    </x:row>
    <x:row r="2334">
      <x:c r="A2334" s="16" t="n">
        <x:v>2331</x:v>
      </x:c>
      <x:c r="B2334" s="16" t="str">
        <x:v>Eu Jad Hanif Z 130823</x:v>
      </x:c>
      <x:c r="C2334" s="16" t="str"/>
      <x:c r="D2334" s="16" t="str"/>
      <x:c r="E2334" s="16" t="str">
        <x:v>Alumni eUsahawan | * myContacts</x:v>
      </x:c>
      <x:c r="F2334" s="16" t="str">
        <x:v>0168626620 | +60168626620</x:v>
      </x:c>
      <x:c r="G2334" s="16" t="str">
        <x:v>+60168626620 | +60168626620</x:v>
      </x:c>
      <x:c r="H2334" s="16" t="str">
        <x:v>Excluded</x:v>
      </x:c>
      <x:c r="I2334" s="16" t="str">
        <x:v>Missing email</x:v>
      </x:c>
    </x:row>
    <x:row r="2335">
      <x:c r="A2335" s="16" t="n">
        <x:v>2332</x:v>
      </x:c>
      <x:c r="B2335" s="16" t="str">
        <x:v>eu kasma dewi 18112023</x:v>
      </x:c>
      <x:c r="C2335" s="16" t="str">
        <x:v>kasmadewikek9@gmail.com</x:v>
      </x:c>
      <x:c r="D2335" s="16" t="str">
        <x:v>kasmadewikek9@gmail.com</x:v>
      </x:c>
      <x:c r="E2335" s="16" t="str">
        <x:v>Alumni eUsahawan | * myContacts</x:v>
      </x:c>
      <x:c r="F2335" s="16" t="str">
        <x:v>0139822050 | +60139822050</x:v>
      </x:c>
      <x:c r="G2335" s="16" t="str">
        <x:v>+60139822050 | +60139822050</x:v>
      </x:c>
      <x:c r="H2335" s="16" t="str">
        <x:v>Eligible</x:v>
      </x:c>
      <x:c r="I2335" s="16" t="str"/>
    </x:row>
    <x:row r="2336">
      <x:c r="A2336" s="16" t="n">
        <x:v>2333</x:v>
      </x:c>
      <x:c r="B2336" s="16" t="str">
        <x:v>eu khairunnisaa z 060823</x:v>
      </x:c>
      <x:c r="C2336" s="16" t="str"/>
      <x:c r="D2336" s="16" t="str"/>
      <x:c r="E2336" s="16" t="str">
        <x:v>Alumni eUsahawan | * myContacts</x:v>
      </x:c>
      <x:c r="F2336" s="16" t="str">
        <x:v>0178175187 | +60178175187</x:v>
      </x:c>
      <x:c r="G2336" s="16" t="str">
        <x:v>+60178175187 | +60178175187</x:v>
      </x:c>
      <x:c r="H2336" s="16" t="str">
        <x:v>Excluded</x:v>
      </x:c>
      <x:c r="I2336" s="16" t="str">
        <x:v>Missing email</x:v>
      </x:c>
    </x:row>
    <x:row r="2337">
      <x:c r="A2337" s="16" t="n">
        <x:v>2334</x:v>
      </x:c>
      <x:c r="B2337" s="16" t="str">
        <x:v>Eu Lizah Z 170823</x:v>
      </x:c>
      <x:c r="C2337" s="16" t="str"/>
      <x:c r="D2337" s="16" t="str"/>
      <x:c r="E2337" s="16" t="str">
        <x:v>Alumni eUsahawan | * myContacts</x:v>
      </x:c>
      <x:c r="F2337" s="16" t="str">
        <x:v>0133673688 | +60133673688</x:v>
      </x:c>
      <x:c r="G2337" s="16" t="str">
        <x:v>+60133673688 | +60133673688</x:v>
      </x:c>
      <x:c r="H2337" s="16" t="str">
        <x:v>Excluded</x:v>
      </x:c>
      <x:c r="I2337" s="16" t="str">
        <x:v>Missing email</x:v>
      </x:c>
    </x:row>
    <x:row r="2338">
      <x:c r="A2338" s="16" t="n">
        <x:v>2335</x:v>
      </x:c>
      <x:c r="B2338" s="16" t="str">
        <x:v>eu masya z 060823</x:v>
      </x:c>
      <x:c r="C2338" s="16" t="str"/>
      <x:c r="D2338" s="16" t="str"/>
      <x:c r="E2338" s="16" t="str">
        <x:v>Alumni eUsahawan | * myContacts</x:v>
      </x:c>
      <x:c r="F2338" s="16" t="str">
        <x:v>0192866066 | +60192866066 | +60 11-3069 1012</x:v>
      </x:c>
      <x:c r="G2338" s="16" t="str">
        <x:v>+60192866066 | +60192866066 | +601130691012</x:v>
      </x:c>
      <x:c r="H2338" s="16" t="str">
        <x:v>Excluded</x:v>
      </x:c>
      <x:c r="I2338" s="16" t="str">
        <x:v>Missing email</x:v>
      </x:c>
    </x:row>
    <x:row r="2339">
      <x:c r="A2339" s="16" t="n">
        <x:v>2336</x:v>
      </x:c>
      <x:c r="B2339" s="16" t="str">
        <x:v>Eu Md Azhan Z 130823</x:v>
      </x:c>
      <x:c r="C2339" s="16" t="str"/>
      <x:c r="D2339" s="16" t="str"/>
      <x:c r="E2339" s="16" t="str">
        <x:v>Alumni eUsahawan | * myContacts</x:v>
      </x:c>
      <x:c r="F2339" s="16" t="str">
        <x:v>0173613212 | +60173613212</x:v>
      </x:c>
      <x:c r="G2339" s="16" t="str">
        <x:v>+60173613212 | +60173613212</x:v>
      </x:c>
      <x:c r="H2339" s="16" t="str">
        <x:v>Excluded</x:v>
      </x:c>
      <x:c r="I2339" s="16" t="str">
        <x:v>Missing email</x:v>
      </x:c>
    </x:row>
    <x:row r="2340">
      <x:c r="A2340" s="16" t="n">
        <x:v>2337</x:v>
      </x:c>
      <x:c r="B2340" s="16" t="str">
        <x:v>Eu Md Hidhir Bin Mohamed Z 170823</x:v>
      </x:c>
      <x:c r="C2340" s="16" t="str">
        <x:v>edaysan1980@gmail.com</x:v>
      </x:c>
      <x:c r="D2340" s="16" t="str">
        <x:v>edaysan1980@gmail.com</x:v>
      </x:c>
      <x:c r="E2340" s="16" t="str">
        <x:v>Alumni eUsahawan | * myContacts</x:v>
      </x:c>
      <x:c r="F2340" s="16" t="str">
        <x:v>+60 11-1134 5498 | +601111345498</x:v>
      </x:c>
      <x:c r="G2340" s="16" t="str">
        <x:v>+601111345498 | +601111345498</x:v>
      </x:c>
      <x:c r="H2340" s="16" t="str">
        <x:v>Eligible</x:v>
      </x:c>
      <x:c r="I2340" s="16" t="str"/>
    </x:row>
    <x:row r="2341">
      <x:c r="A2341" s="16" t="n">
        <x:v>2338</x:v>
      </x:c>
      <x:c r="B2341" s="16" t="str">
        <x:v>eu mohamad albab 04112023</x:v>
      </x:c>
      <x:c r="C2341" s="16" t="str">
        <x:v>mohdalbab6227@gmail.com</x:v>
      </x:c>
      <x:c r="D2341" s="16" t="str">
        <x:v>mohdalbab6227@gmail.com</x:v>
      </x:c>
      <x:c r="E2341" s="16" t="str">
        <x:v>Alumni eUsahawan | * myContacts</x:v>
      </x:c>
      <x:c r="F2341" s="16" t="str">
        <x:v>0177253848 | +60177253848</x:v>
      </x:c>
      <x:c r="G2341" s="16" t="str">
        <x:v>+60177253848 | +60177253848</x:v>
      </x:c>
      <x:c r="H2341" s="16" t="str">
        <x:v>Eligible</x:v>
      </x:c>
      <x:c r="I2341" s="16" t="str"/>
    </x:row>
    <x:row r="2342">
      <x:c r="A2342" s="16" t="n">
        <x:v>2339</x:v>
      </x:c>
      <x:c r="B2342" s="16" t="str">
        <x:v>eu mohammad danish iqmal</x:v>
      </x:c>
      <x:c r="C2342" s="16" t="str">
        <x:v>danishiqmal103@gmail.com</x:v>
      </x:c>
      <x:c r="D2342" s="16" t="str">
        <x:v>danishiqmal103@gmail.com</x:v>
      </x:c>
      <x:c r="E2342" s="16" t="str">
        <x:v>Alumni eUsahawan | * myContacts</x:v>
      </x:c>
      <x:c r="F2342" s="16" t="str">
        <x:v>01110892123 | +601110892123</x:v>
      </x:c>
      <x:c r="G2342" s="16" t="str">
        <x:v>+601110892123 | +601110892123</x:v>
      </x:c>
      <x:c r="H2342" s="16" t="str">
        <x:v>Eligible</x:v>
      </x:c>
      <x:c r="I2342" s="16" t="str"/>
    </x:row>
    <x:row r="2343">
      <x:c r="A2343" s="16" t="n">
        <x:v>2340</x:v>
      </x:c>
      <x:c r="B2343" s="16" t="str">
        <x:v>Eu mohammad nabil Z 130823</x:v>
      </x:c>
      <x:c r="C2343" s="16" t="str"/>
      <x:c r="D2343" s="16" t="str"/>
      <x:c r="E2343" s="16" t="str">
        <x:v>Alumni eUsahawan | * myContacts</x:v>
      </x:c>
      <x:c r="F2343" s="16" t="str">
        <x:v>01163261775 | +601163261775</x:v>
      </x:c>
      <x:c r="G2343" s="16" t="str">
        <x:v>+601163261775 | +601163261775</x:v>
      </x:c>
      <x:c r="H2343" s="16" t="str">
        <x:v>Excluded</x:v>
      </x:c>
      <x:c r="I2343" s="16" t="str">
        <x:v>Missing email</x:v>
      </x:c>
    </x:row>
    <x:row r="2344">
      <x:c r="A2344" s="16" t="n">
        <x:v>2341</x:v>
      </x:c>
      <x:c r="B2344" s="16" t="str">
        <x:v>Eu Mohd Hirzi Z 130823</x:v>
      </x:c>
      <x:c r="C2344" s="16" t="str"/>
      <x:c r="D2344" s="16" t="str"/>
      <x:c r="E2344" s="16" t="str">
        <x:v>Alumni eUsahawan | * myContacts</x:v>
      </x:c>
      <x:c r="F2344" s="16" t="str">
        <x:v>0163102343 | +60163102343</x:v>
      </x:c>
      <x:c r="G2344" s="16" t="str">
        <x:v>+60163102343 | +60163102343</x:v>
      </x:c>
      <x:c r="H2344" s="16" t="str">
        <x:v>Excluded</x:v>
      </x:c>
      <x:c r="I2344" s="16" t="str">
        <x:v>Missing email</x:v>
      </x:c>
    </x:row>
    <x:row r="2345">
      <x:c r="A2345" s="16" t="n">
        <x:v>2342</x:v>
      </x:c>
      <x:c r="B2345" s="16" t="str">
        <x:v>Eu Mohd Nazrulhisham Z 130823</x:v>
      </x:c>
      <x:c r="C2345" s="16" t="str"/>
      <x:c r="D2345" s="16" t="str"/>
      <x:c r="E2345" s="16" t="str">
        <x:v>Alumni eUsahawan | * myContacts</x:v>
      </x:c>
      <x:c r="F2345" s="16" t="str">
        <x:v>0139180976 | +60139180976</x:v>
      </x:c>
      <x:c r="G2345" s="16" t="str">
        <x:v>+60139180976 | +60139180976</x:v>
      </x:c>
      <x:c r="H2345" s="16" t="str">
        <x:v>Excluded</x:v>
      </x:c>
      <x:c r="I2345" s="16" t="str">
        <x:v>Missing email</x:v>
      </x:c>
    </x:row>
    <x:row r="2346">
      <x:c r="A2346" s="16" t="n">
        <x:v>2343</x:v>
      </x:c>
      <x:c r="B2346" s="16" t="str">
        <x:v>eu mohd razak 18112023</x:v>
      </x:c>
      <x:c r="C2346" s="16" t="str">
        <x:v>mohdrazak.mohdzuki@gmail.com</x:v>
      </x:c>
      <x:c r="D2346" s="16" t="str">
        <x:v>mohdrazak.mohdzuki@gmail.com</x:v>
      </x:c>
      <x:c r="E2346" s="16" t="str">
        <x:v>Alumni eUsahawan | * myContacts</x:v>
      </x:c>
      <x:c r="F2346" s="16" t="str">
        <x:v>01137606073 | +601137606073</x:v>
      </x:c>
      <x:c r="G2346" s="16" t="str">
        <x:v>+601137606073 | +601137606073</x:v>
      </x:c>
      <x:c r="H2346" s="16" t="str">
        <x:v>Eligible</x:v>
      </x:c>
      <x:c r="I2346" s="16" t="str"/>
    </x:row>
    <x:row r="2347">
      <x:c r="A2347" s="16" t="n">
        <x:v>2344</x:v>
      </x:c>
      <x:c r="B2347" s="16" t="str">
        <x:v>eu mohd razman z 060823</x:v>
      </x:c>
      <x:c r="C2347" s="16" t="str"/>
      <x:c r="D2347" s="16" t="str"/>
      <x:c r="E2347" s="16" t="str">
        <x:v>* myContacts</x:v>
      </x:c>
      <x:c r="F2347" s="16" t="str">
        <x:v>0129582210</x:v>
      </x:c>
      <x:c r="G2347" s="16" t="str">
        <x:v>+60129582210</x:v>
      </x:c>
      <x:c r="H2347" s="16" t="str">
        <x:v>Excluded</x:v>
      </x:c>
      <x:c r="I2347" s="16" t="str">
        <x:v>Missing email</x:v>
      </x:c>
    </x:row>
    <x:row r="2348">
      <x:c r="A2348" s="16" t="n">
        <x:v>2345</x:v>
      </x:c>
      <x:c r="B2348" s="16" t="str">
        <x:v>Eu Mohd Redzuan Z 130823</x:v>
      </x:c>
      <x:c r="C2348" s="16" t="str"/>
      <x:c r="D2348" s="16" t="str"/>
      <x:c r="E2348" s="16" t="str">
        <x:v>Alumni eUsahawan | * myContacts</x:v>
      </x:c>
      <x:c r="F2348" s="16" t="str">
        <x:v>0122339704 | +60122339704</x:v>
      </x:c>
      <x:c r="G2348" s="16" t="str">
        <x:v>+60122339704 | +60122339704</x:v>
      </x:c>
      <x:c r="H2348" s="16" t="str">
        <x:v>Excluded</x:v>
      </x:c>
      <x:c r="I2348" s="16" t="str">
        <x:v>Missing email</x:v>
      </x:c>
    </x:row>
    <x:row r="2349">
      <x:c r="A2349" s="16" t="n">
        <x:v>2346</x:v>
      </x:c>
      <x:c r="B2349" s="16" t="str">
        <x:v>eu mohd rosli 04112023</x:v>
      </x:c>
      <x:c r="C2349" s="16" t="str">
        <x:v>mrosli801806@gmail.com</x:v>
      </x:c>
      <x:c r="D2349" s="16" t="str">
        <x:v>mrosli801806@gmail.com</x:v>
      </x:c>
      <x:c r="E2349" s="16" t="str">
        <x:v>Alumni eUsahawan | * myContacts</x:v>
      </x:c>
      <x:c r="F2349" s="16" t="str">
        <x:v>01118758010 | +601118758010</x:v>
      </x:c>
      <x:c r="G2349" s="16" t="str">
        <x:v>+601118758010 | +601118758010</x:v>
      </x:c>
      <x:c r="H2349" s="16" t="str">
        <x:v>Eligible</x:v>
      </x:c>
      <x:c r="I2349" s="16" t="str"/>
    </x:row>
    <x:row r="2350">
      <x:c r="A2350" s="16" t="n">
        <x:v>2347</x:v>
      </x:c>
      <x:c r="B2350" s="16" t="str">
        <x:v>eu mohd syarif z 060823</x:v>
      </x:c>
      <x:c r="C2350" s="16" t="str"/>
      <x:c r="D2350" s="16" t="str"/>
      <x:c r="E2350" s="16" t="str">
        <x:v>Alumni eUsahawan | * myContacts</x:v>
      </x:c>
      <x:c r="F2350" s="16" t="str">
        <x:v>01728795</x:v>
      </x:c>
      <x:c r="G2350" s="16" t="str"/>
      <x:c r="H2350" s="16" t="str">
        <x:v>Excluded</x:v>
      </x:c>
      <x:c r="I2350" s="16" t="str">
        <x:v>Missing email</x:v>
      </x:c>
    </x:row>
    <x:row r="2351">
      <x:c r="A2351" s="16" t="n">
        <x:v>2348</x:v>
      </x:c>
      <x:c r="B2351" s="16" t="str">
        <x:v>eu mohd zairul 18112023</x:v>
      </x:c>
      <x:c r="C2351" s="16" t="str">
        <x:v>mzh201258@gmail.com</x:v>
      </x:c>
      <x:c r="D2351" s="16" t="str">
        <x:v>mzh201258@gmail.com</x:v>
      </x:c>
      <x:c r="E2351" s="16" t="str">
        <x:v>Alumni eUsahawan | * myContacts</x:v>
      </x:c>
      <x:c r="F2351" s="16" t="str">
        <x:v>01155572696 | +601155572696</x:v>
      </x:c>
      <x:c r="G2351" s="16" t="str">
        <x:v>+601155572696 | +601155572696</x:v>
      </x:c>
      <x:c r="H2351" s="16" t="str">
        <x:v>Eligible</x:v>
      </x:c>
      <x:c r="I2351" s="16" t="str"/>
    </x:row>
    <x:row r="2352">
      <x:c r="A2352" s="16" t="n">
        <x:v>2349</x:v>
      </x:c>
      <x:c r="B2352" s="16" t="str">
        <x:v>Eu Muhamad Afiq Z 170823</x:v>
      </x:c>
      <x:c r="C2352" s="16" t="str"/>
      <x:c r="D2352" s="16" t="str"/>
      <x:c r="E2352" s="16" t="str">
        <x:v>Alumni eUsahawan | * myContacts</x:v>
      </x:c>
      <x:c r="F2352" s="16" t="str">
        <x:v>+60 19-421 6540 | +60194216540</x:v>
      </x:c>
      <x:c r="G2352" s="16" t="str">
        <x:v>+60194216540 | +60194216540</x:v>
      </x:c>
      <x:c r="H2352" s="16" t="str">
        <x:v>Excluded</x:v>
      </x:c>
      <x:c r="I2352" s="16" t="str">
        <x:v>Missing email</x:v>
      </x:c>
    </x:row>
    <x:row r="2353">
      <x:c r="A2353" s="16" t="n">
        <x:v>2350</x:v>
      </x:c>
      <x:c r="B2353" s="16" t="str">
        <x:v>eu muhamad bukhari 04112023</x:v>
      </x:c>
      <x:c r="C2353" s="16" t="str">
        <x:v>mbmj31@gmail.com</x:v>
      </x:c>
      <x:c r="D2353" s="16" t="str">
        <x:v>mbmj31@gmail.com</x:v>
      </x:c>
      <x:c r="E2353" s="16" t="str">
        <x:v>Alumni eUsahawan | * myContacts</x:v>
      </x:c>
      <x:c r="F2353" s="16" t="str">
        <x:v>0169503556 | +60169503556</x:v>
      </x:c>
      <x:c r="G2353" s="16" t="str">
        <x:v>+60169503556 | +60169503556</x:v>
      </x:c>
      <x:c r="H2353" s="16" t="str">
        <x:v>Eligible</x:v>
      </x:c>
      <x:c r="I2353" s="16" t="str"/>
    </x:row>
    <x:row r="2354">
      <x:c r="A2354" s="16" t="n">
        <x:v>2351</x:v>
      </x:c>
      <x:c r="B2354" s="16" t="str">
        <x:v>Eu Muhamad Firdaus Z 130823</x:v>
      </x:c>
      <x:c r="C2354" s="16" t="str"/>
      <x:c r="D2354" s="16" t="str"/>
      <x:c r="E2354" s="16" t="str">
        <x:v>Alumni eUsahawan | * myContacts</x:v>
      </x:c>
      <x:c r="F2354" s="16" t="str">
        <x:v>0162228785 | +60162228785</x:v>
      </x:c>
      <x:c r="G2354" s="16" t="str">
        <x:v>+60162228785 | +60162228785</x:v>
      </x:c>
      <x:c r="H2354" s="16" t="str">
        <x:v>Excluded</x:v>
      </x:c>
      <x:c r="I2354" s="16" t="str">
        <x:v>Missing email</x:v>
      </x:c>
    </x:row>
    <x:row r="2355">
      <x:c r="A2355" s="16" t="n">
        <x:v>2352</x:v>
      </x:c>
      <x:c r="B2355" s="16" t="str">
        <x:v>eu muhamad kamarul 04112023</x:v>
      </x:c>
      <x:c r="C2355" s="16" t="str">
        <x:v>yoeskodar@gmail.com</x:v>
      </x:c>
      <x:c r="D2355" s="16" t="str">
        <x:v>yoeskodar@gmail.com</x:v>
      </x:c>
      <x:c r="E2355" s="16" t="str">
        <x:v>Alumni eUsahawan | * myContacts</x:v>
      </x:c>
      <x:c r="F2355" s="16" t="str">
        <x:v>0134172529 | +60134172529</x:v>
      </x:c>
      <x:c r="G2355" s="16" t="str">
        <x:v>+60134172529 | +60134172529</x:v>
      </x:c>
      <x:c r="H2355" s="16" t="str">
        <x:v>Eligible</x:v>
      </x:c>
      <x:c r="I2355" s="16" t="str"/>
    </x:row>
    <x:row r="2356">
      <x:c r="A2356" s="16" t="n">
        <x:v>2353</x:v>
      </x:c>
      <x:c r="B2356" s="16" t="str">
        <x:v>Eu Muhamad Zulfikri Z 170823</x:v>
      </x:c>
      <x:c r="C2356" s="16" t="str"/>
      <x:c r="D2356" s="16" t="str"/>
      <x:c r="E2356" s="16" t="str">
        <x:v>Alumni eUsahawan | * myContacts | * starred</x:v>
      </x:c>
      <x:c r="F2356" s="16" t="str">
        <x:v>+60 18-227 2209 | +60182272209</x:v>
      </x:c>
      <x:c r="G2356" s="16" t="str">
        <x:v>+60182272209 | +60182272209</x:v>
      </x:c>
      <x:c r="H2356" s="16" t="str">
        <x:v>Excluded</x:v>
      </x:c>
      <x:c r="I2356" s="16" t="str">
        <x:v>Missing email</x:v>
      </x:c>
    </x:row>
    <x:row r="2357">
      <x:c r="A2357" s="16" t="n">
        <x:v>2354</x:v>
      </x:c>
      <x:c r="B2357" s="16" t="str">
        <x:v>eu muhammad 18112023</x:v>
      </x:c>
      <x:c r="C2357" s="16" t="str">
        <x:v>hanif.nasir236@gmail.com</x:v>
      </x:c>
      <x:c r="D2357" s="16" t="str">
        <x:v>hanif.nasir236@gmail.com</x:v>
      </x:c>
      <x:c r="E2357" s="16" t="str">
        <x:v>Alumni eUsahawan | * myContacts</x:v>
      </x:c>
      <x:c r="F2357" s="16" t="str">
        <x:v>01118544627 | +601118544627</x:v>
      </x:c>
      <x:c r="G2357" s="16" t="str">
        <x:v>+601118544627 | +601118544627</x:v>
      </x:c>
      <x:c r="H2357" s="16" t="str">
        <x:v>Eligible</x:v>
      </x:c>
      <x:c r="I2357" s="16" t="str"/>
    </x:row>
    <x:row r="2358">
      <x:c r="A2358" s="16" t="n">
        <x:v>2355</x:v>
      </x:c>
      <x:c r="B2358" s="16" t="str">
        <x:v>eu muhammad z 060823</x:v>
      </x:c>
      <x:c r="C2358" s="16" t="str"/>
      <x:c r="D2358" s="16" t="str"/>
      <x:c r="E2358" s="16" t="str">
        <x:v>Alumni eUsahawan | * myContacts</x:v>
      </x:c>
      <x:c r="F2358" s="16" t="str">
        <x:v>0174746586 | +60174746586</x:v>
      </x:c>
      <x:c r="G2358" s="16" t="str">
        <x:v>+60174746586 | +60174746586</x:v>
      </x:c>
      <x:c r="H2358" s="16" t="str">
        <x:v>Excluded</x:v>
      </x:c>
      <x:c r="I2358" s="16" t="str">
        <x:v>Missing email</x:v>
      </x:c>
    </x:row>
    <x:row r="2359">
      <x:c r="A2359" s="16" t="n">
        <x:v>2356</x:v>
      </x:c>
      <x:c r="B2359" s="16" t="str">
        <x:v>eu muhammad zulfakaruddin 04112023</x:v>
      </x:c>
      <x:c r="C2359" s="16" t="str"/>
      <x:c r="D2359" s="16" t="str"/>
      <x:c r="E2359" s="16" t="str">
        <x:v>Alumni eUsahawan | * myContacts</x:v>
      </x:c>
      <x:c r="F2359" s="16" t="str">
        <x:v>0199518003 | +60199518003</x:v>
      </x:c>
      <x:c r="G2359" s="16" t="str">
        <x:v>+60199518003 | +60199518003</x:v>
      </x:c>
      <x:c r="H2359" s="16" t="str">
        <x:v>Excluded</x:v>
      </x:c>
      <x:c r="I2359" s="16" t="str">
        <x:v>Missing email</x:v>
      </x:c>
    </x:row>
    <x:row r="2360">
      <x:c r="A2360" s="16" t="n">
        <x:v>2357</x:v>
      </x:c>
      <x:c r="B2360" s="16" t="str">
        <x:v>eu muhd helmie 04112023</x:v>
      </x:c>
      <x:c r="C2360" s="16" t="str"/>
      <x:c r="D2360" s="16" t="str"/>
      <x:c r="E2360" s="16" t="str">
        <x:v>Alumni eUsahawan | * myContacts</x:v>
      </x:c>
      <x:c r="F2360" s="16" t="str">
        <x:v>0109738307 | +60109738307</x:v>
      </x:c>
      <x:c r="G2360" s="16" t="str">
        <x:v>+60109738307 | +60109738307</x:v>
      </x:c>
      <x:c r="H2360" s="16" t="str">
        <x:v>Excluded</x:v>
      </x:c>
      <x:c r="I2360" s="16" t="str">
        <x:v>Missing email</x:v>
      </x:c>
    </x:row>
    <x:row r="2361">
      <x:c r="A2361" s="16" t="n">
        <x:v>2358</x:v>
      </x:c>
      <x:c r="B2361" s="16" t="str">
        <x:v>eu muzaidi 04112023</x:v>
      </x:c>
      <x:c r="C2361" s="16" t="str">
        <x:v>muzaidimohamad19@gmail.com</x:v>
      </x:c>
      <x:c r="D2361" s="16" t="str">
        <x:v>muzaidimohamad19@gmail.com</x:v>
      </x:c>
      <x:c r="E2361" s="16" t="str">
        <x:v>Alumni eUsahawan | * myContacts</x:v>
      </x:c>
      <x:c r="F2361" s="16" t="str">
        <x:v>01110612797 | +601110612797</x:v>
      </x:c>
      <x:c r="G2361" s="16" t="str">
        <x:v>+601110612797 | +601110612797</x:v>
      </x:c>
      <x:c r="H2361" s="16" t="str">
        <x:v>Eligible</x:v>
      </x:c>
      <x:c r="I2361" s="16" t="str"/>
    </x:row>
    <x:row r="2362">
      <x:c r="A2362" s="16" t="n">
        <x:v>2359</x:v>
      </x:c>
      <x:c r="B2362" s="16" t="str">
        <x:v>Eu Nabilah Rosney Z 130823</x:v>
      </x:c>
      <x:c r="C2362" s="16" t="str"/>
      <x:c r="D2362" s="16" t="str"/>
      <x:c r="E2362" s="16" t="str">
        <x:v>Alumni eUsahawan | * myContacts</x:v>
      </x:c>
      <x:c r="F2362" s="16" t="str">
        <x:v>0172485127 | +60172485127</x:v>
      </x:c>
      <x:c r="G2362" s="16" t="str">
        <x:v>+60172485127 | +60172485127</x:v>
      </x:c>
      <x:c r="H2362" s="16" t="str">
        <x:v>Excluded</x:v>
      </x:c>
      <x:c r="I2362" s="16" t="str">
        <x:v>Missing email</x:v>
      </x:c>
    </x:row>
    <x:row r="2363">
      <x:c r="A2363" s="16" t="n">
        <x:v>2360</x:v>
      </x:c>
      <x:c r="B2363" s="16" t="str">
        <x:v>Eu Nazmi Azizan Z 170823</x:v>
      </x:c>
      <x:c r="C2363" s="16" t="str"/>
      <x:c r="D2363" s="16" t="str"/>
      <x:c r="E2363" s="16" t="str">
        <x:v>Alumni eUsahawan | * myContacts</x:v>
      </x:c>
      <x:c r="F2363" s="16" t="str">
        <x:v>+60 12-676 9015 | +60126769015</x:v>
      </x:c>
      <x:c r="G2363" s="16" t="str">
        <x:v>+60126769015 | +60126769015</x:v>
      </x:c>
      <x:c r="H2363" s="16" t="str">
        <x:v>Excluded</x:v>
      </x:c>
      <x:c r="I2363" s="16" t="str">
        <x:v>Missing email</x:v>
      </x:c>
    </x:row>
    <x:row r="2364">
      <x:c r="A2364" s="16" t="n">
        <x:v>2361</x:v>
      </x:c>
      <x:c r="B2364" s="16" t="str">
        <x:v>eu nik norsabiqah 18112023</x:v>
      </x:c>
      <x:c r="C2364" s="16" t="str"/>
      <x:c r="D2364" s="16" t="str"/>
      <x:c r="E2364" s="16" t="str">
        <x:v>Alumni eUsahawan | * myContacts</x:v>
      </x:c>
      <x:c r="F2364" s="16" t="str">
        <x:v>0129630348 | +60129630348</x:v>
      </x:c>
      <x:c r="G2364" s="16" t="str">
        <x:v>+60129630348 | +60129630348</x:v>
      </x:c>
      <x:c r="H2364" s="16" t="str">
        <x:v>Excluded</x:v>
      </x:c>
      <x:c r="I2364" s="16" t="str">
        <x:v>Missing email</x:v>
      </x:c>
    </x:row>
    <x:row r="2365">
      <x:c r="A2365" s="16" t="n">
        <x:v>2362</x:v>
      </x:c>
      <x:c r="B2365" s="16" t="str">
        <x:v>eu noor ashikien z 060823</x:v>
      </x:c>
      <x:c r="C2365" s="16" t="str"/>
      <x:c r="D2365" s="16" t="str"/>
      <x:c r="E2365" s="16" t="str">
        <x:v>Alumni eUsahawan | * myContacts</x:v>
      </x:c>
      <x:c r="F2365" s="16" t="str">
        <x:v>01139706300 | +601139706300</x:v>
      </x:c>
      <x:c r="G2365" s="16" t="str">
        <x:v>+601139706300 | +601139706300</x:v>
      </x:c>
      <x:c r="H2365" s="16" t="str">
        <x:v>Excluded</x:v>
      </x:c>
      <x:c r="I2365" s="16" t="str">
        <x:v>Missing email</x:v>
      </x:c>
    </x:row>
    <x:row r="2366">
      <x:c r="A2366" s="16" t="n">
        <x:v>2363</x:v>
      </x:c>
      <x:c r="B2366" s="16" t="str">
        <x:v>Eu Noor Azam Z 130823</x:v>
      </x:c>
      <x:c r="C2366" s="16" t="str"/>
      <x:c r="D2366" s="16" t="str"/>
      <x:c r="E2366" s="16" t="str">
        <x:v>Alumni eUsahawan | * myContacts</x:v>
      </x:c>
      <x:c r="F2366" s="16" t="str">
        <x:v>0123130186 | +60123130186</x:v>
      </x:c>
      <x:c r="G2366" s="16" t="str">
        <x:v>+60123130186 | +60123130186</x:v>
      </x:c>
      <x:c r="H2366" s="16" t="str">
        <x:v>Excluded</x:v>
      </x:c>
      <x:c r="I2366" s="16" t="str">
        <x:v>Missing email</x:v>
      </x:c>
    </x:row>
    <x:row r="2367">
      <x:c r="A2367" s="16" t="n">
        <x:v>2364</x:v>
      </x:c>
      <x:c r="B2367" s="16" t="str">
        <x:v>eu nooranis sofia 04112023</x:v>
      </x:c>
      <x:c r="C2367" s="16" t="str">
        <x:v>anissofia992@gmail.com</x:v>
      </x:c>
      <x:c r="D2367" s="16" t="str">
        <x:v>anissofia992@gmail.com</x:v>
      </x:c>
      <x:c r="E2367" s="16" t="str">
        <x:v>Alumni eUsahawan | * myContacts</x:v>
      </x:c>
      <x:c r="F2367" s="16" t="str">
        <x:v>01136092530 | +601136092530</x:v>
      </x:c>
      <x:c r="G2367" s="16" t="str">
        <x:v>+601136092530 | +601136092530</x:v>
      </x:c>
      <x:c r="H2367" s="16" t="str">
        <x:v>Eligible</x:v>
      </x:c>
      <x:c r="I2367" s="16" t="str"/>
    </x:row>
    <x:row r="2368">
      <x:c r="A2368" s="16" t="n">
        <x:v>2365</x:v>
      </x:c>
      <x:c r="B2368" s="16" t="str">
        <x:v>eu noormaliza 04112023</x:v>
      </x:c>
      <x:c r="C2368" s="16" t="str">
        <x:v>normalizaghazali@gmail.com</x:v>
      </x:c>
      <x:c r="D2368" s="16" t="str">
        <x:v>normalizaghazali@gmail.com</x:v>
      </x:c>
      <x:c r="E2368" s="16" t="str">
        <x:v>Alumni eUsahawan | * myContacts</x:v>
      </x:c>
      <x:c r="F2368" s="16" t="str">
        <x:v>0164303857 | +60164303857</x:v>
      </x:c>
      <x:c r="G2368" s="16" t="str">
        <x:v>+60164303857 | +60164303857</x:v>
      </x:c>
      <x:c r="H2368" s="16" t="str">
        <x:v>Eligible</x:v>
      </x:c>
      <x:c r="I2368" s="16" t="str"/>
    </x:row>
    <x:row r="2369">
      <x:c r="A2369" s="16" t="n">
        <x:v>2366</x:v>
      </x:c>
      <x:c r="B2369" s="16" t="str">
        <x:v>eu noorulaida z 060823</x:v>
      </x:c>
      <x:c r="C2369" s="16" t="str"/>
      <x:c r="D2369" s="16" t="str"/>
      <x:c r="E2369" s="16" t="str">
        <x:v>Alumni eUsahawan | * myContacts</x:v>
      </x:c>
      <x:c r="F2369" s="16" t="str">
        <x:v>0182920906 | +60182920906</x:v>
      </x:c>
      <x:c r="G2369" s="16" t="str">
        <x:v>+60182920906 | +60182920906</x:v>
      </x:c>
      <x:c r="H2369" s="16" t="str">
        <x:v>Excluded</x:v>
      </x:c>
      <x:c r="I2369" s="16" t="str">
        <x:v>Missing email</x:v>
      </x:c>
    </x:row>
    <x:row r="2370">
      <x:c r="A2370" s="16" t="n">
        <x:v>2367</x:v>
      </x:c>
      <x:c r="B2370" s="16" t="str">
        <x:v>eu nor ashikin 18112023</x:v>
      </x:c>
      <x:c r="C2370" s="16" t="str"/>
      <x:c r="D2370" s="16" t="str"/>
      <x:c r="E2370" s="16" t="str">
        <x:v>Alumni eUsahawan | * myContacts</x:v>
      </x:c>
      <x:c r="F2370" s="16" t="str">
        <x:v>0189576888 | +60189576888</x:v>
      </x:c>
      <x:c r="G2370" s="16" t="str">
        <x:v>+60189576888 | +60189576888</x:v>
      </x:c>
      <x:c r="H2370" s="16" t="str">
        <x:v>Excluded</x:v>
      </x:c>
      <x:c r="I2370" s="16" t="str">
        <x:v>Missing email</x:v>
      </x:c>
    </x:row>
    <x:row r="2371">
      <x:c r="A2371" s="16" t="n">
        <x:v>2368</x:v>
      </x:c>
      <x:c r="B2371" s="16" t="str">
        <x:v>eu nor asiah haron 04112023</x:v>
      </x:c>
      <x:c r="C2371" s="16" t="str">
        <x:v>suenorasiah69@gmail.com</x:v>
      </x:c>
      <x:c r="D2371" s="16" t="str">
        <x:v>suenorasiah69@gmail.com</x:v>
      </x:c>
      <x:c r="E2371" s="16" t="str">
        <x:v>Alumni eUsahawan | * myContacts</x:v>
      </x:c>
      <x:c r="F2371" s="16" t="str">
        <x:v>0136031069 | +60136031069</x:v>
      </x:c>
      <x:c r="G2371" s="16" t="str">
        <x:v>+60136031069 | +60136031069</x:v>
      </x:c>
      <x:c r="H2371" s="16" t="str">
        <x:v>Eligible</x:v>
      </x:c>
      <x:c r="I2371" s="16" t="str"/>
    </x:row>
    <x:row r="2372">
      <x:c r="A2372" s="16" t="n">
        <x:v>2369</x:v>
      </x:c>
      <x:c r="B2372" s="16" t="str">
        <x:v>Eu Nor Azian Z 130823</x:v>
      </x:c>
      <x:c r="C2372" s="16" t="str"/>
      <x:c r="D2372" s="16" t="str"/>
      <x:c r="E2372" s="16" t="str">
        <x:v>Alumni eUsahawan | * myContacts</x:v>
      </x:c>
      <x:c r="F2372" s="16" t="str">
        <x:v>0122399629 | +60122399629</x:v>
      </x:c>
      <x:c r="G2372" s="16" t="str">
        <x:v>+60122399629 | +60122399629</x:v>
      </x:c>
      <x:c r="H2372" s="16" t="str">
        <x:v>Excluded</x:v>
      </x:c>
      <x:c r="I2372" s="16" t="str">
        <x:v>Missing email</x:v>
      </x:c>
    </x:row>
    <x:row r="2373">
      <x:c r="A2373" s="16" t="n">
        <x:v>2370</x:v>
      </x:c>
      <x:c r="B2373" s="16" t="str">
        <x:v>eu nor farazihan z 060823</x:v>
      </x:c>
      <x:c r="C2373" s="16" t="str"/>
      <x:c r="D2373" s="16" t="str"/>
      <x:c r="E2373" s="16" t="str">
        <x:v>Alumni eUsahawan | * myContacts</x:v>
      </x:c>
      <x:c r="F2373" s="16" t="str">
        <x:v>0172376242 | +60172376242</x:v>
      </x:c>
      <x:c r="G2373" s="16" t="str">
        <x:v>+60172376242 | +60172376242</x:v>
      </x:c>
      <x:c r="H2373" s="16" t="str">
        <x:v>Excluded</x:v>
      </x:c>
      <x:c r="I2373" s="16" t="str">
        <x:v>Missing email</x:v>
      </x:c>
    </x:row>
    <x:row r="2374">
      <x:c r="A2374" s="16" t="n">
        <x:v>2371</x:v>
      </x:c>
      <x:c r="B2374" s="16" t="str">
        <x:v>eu nor fatihah 04112023</x:v>
      </x:c>
      <x:c r="C2374" s="16" t="str">
        <x:v>acikdecoration@gmail.com</x:v>
      </x:c>
      <x:c r="D2374" s="16" t="str">
        <x:v>acikdecoration@gmail.com</x:v>
      </x:c>
      <x:c r="E2374" s="16" t="str">
        <x:v>Alumni eUsahawan | * myContacts</x:v>
      </x:c>
      <x:c r="F2374" s="16" t="str">
        <x:v>0133070047 | +60133070047</x:v>
      </x:c>
      <x:c r="G2374" s="16" t="str">
        <x:v>+60133070047 | +60133070047</x:v>
      </x:c>
      <x:c r="H2374" s="16" t="str">
        <x:v>Eligible</x:v>
      </x:c>
      <x:c r="I2374" s="16" t="str"/>
    </x:row>
    <x:row r="2375">
      <x:c r="A2375" s="16" t="n">
        <x:v>2372</x:v>
      </x:c>
      <x:c r="B2375" s="16" t="str">
        <x:v>Eu Nor Fazirah Z 170823</x:v>
      </x:c>
      <x:c r="C2375" s="16" t="str"/>
      <x:c r="D2375" s="16" t="str"/>
      <x:c r="E2375" s="16" t="str">
        <x:v>Alumni eUsahawan | * myContacts</x:v>
      </x:c>
      <x:c r="F2375" s="16" t="str">
        <x:v>01164333527 | +601164333527</x:v>
      </x:c>
      <x:c r="G2375" s="16" t="str">
        <x:v>+601164333527 | +601164333527</x:v>
      </x:c>
      <x:c r="H2375" s="16" t="str">
        <x:v>Excluded</x:v>
      </x:c>
      <x:c r="I2375" s="16" t="str">
        <x:v>Missing email</x:v>
      </x:c>
    </x:row>
    <x:row r="2376">
      <x:c r="A2376" s="16" t="n">
        <x:v>2373</x:v>
      </x:c>
      <x:c r="B2376" s="16" t="str">
        <x:v>eu nor hadinah 04112023</x:v>
      </x:c>
      <x:c r="C2376" s="16" t="str">
        <x:v>norhaidahramly9@gmail.com</x:v>
      </x:c>
      <x:c r="D2376" s="16" t="str">
        <x:v>norhaidahramly9@gmail.com</x:v>
      </x:c>
      <x:c r="E2376" s="16" t="str">
        <x:v>Alumni eUsahawan | * myContacts</x:v>
      </x:c>
      <x:c r="F2376" s="16" t="str">
        <x:v>0139473117 | +60139473117</x:v>
      </x:c>
      <x:c r="G2376" s="16" t="str">
        <x:v>+60139473117 | +60139473117</x:v>
      </x:c>
      <x:c r="H2376" s="16" t="str">
        <x:v>Eligible</x:v>
      </x:c>
      <x:c r="I2376" s="16" t="str"/>
    </x:row>
    <x:row r="2377">
      <x:c r="A2377" s="16" t="n">
        <x:v>2374</x:v>
      </x:c>
      <x:c r="B2377" s="16" t="str">
        <x:v>eu nora 04112023</x:v>
      </x:c>
      <x:c r="C2377" s="16" t="str">
        <x:v>noramseho@gmail.com</x:v>
      </x:c>
      <x:c r="D2377" s="16" t="str">
        <x:v>noramseho@gmail.com</x:v>
      </x:c>
      <x:c r="E2377" s="16" t="str">
        <x:v>Alumni eUsahawan | * myContacts</x:v>
      </x:c>
      <x:c r="F2377" s="16" t="str">
        <x:v>0139471051 | +60139471051</x:v>
      </x:c>
      <x:c r="G2377" s="16" t="str">
        <x:v>+60139471051 | +60139471051</x:v>
      </x:c>
      <x:c r="H2377" s="16" t="str">
        <x:v>Eligible</x:v>
      </x:c>
      <x:c r="I2377" s="16" t="str"/>
    </x:row>
    <x:row r="2378">
      <x:c r="A2378" s="16" t="n">
        <x:v>2375</x:v>
      </x:c>
      <x:c r="B2378" s="16" t="str">
        <x:v>Eu Norafandi Zazli Z 170823</x:v>
      </x:c>
      <x:c r="C2378" s="16" t="str"/>
      <x:c r="D2378" s="16" t="str"/>
      <x:c r="E2378" s="16" t="str">
        <x:v>Alumni eUsahawan | * myContacts</x:v>
      </x:c>
      <x:c r="F2378" s="16" t="str">
        <x:v>+60 12-554 3744 | +60125543744</x:v>
      </x:c>
      <x:c r="G2378" s="16" t="str">
        <x:v>+60125543744 | +60125543744</x:v>
      </x:c>
      <x:c r="H2378" s="16" t="str">
        <x:v>Excluded</x:v>
      </x:c>
      <x:c r="I2378" s="16" t="str">
        <x:v>Missing email</x:v>
      </x:c>
    </x:row>
    <x:row r="2379">
      <x:c r="A2379" s="16" t="n">
        <x:v>2376</x:v>
      </x:c>
      <x:c r="B2379" s="16" t="str">
        <x:v>eu noraini z 060823</x:v>
      </x:c>
      <x:c r="C2379" s="16" t="str"/>
      <x:c r="D2379" s="16" t="str"/>
      <x:c r="E2379" s="16" t="str">
        <x:v>Alumni eUsahawan | * myContacts</x:v>
      </x:c>
      <x:c r="F2379" s="16" t="str">
        <x:v>0123804228 | +60123804228</x:v>
      </x:c>
      <x:c r="G2379" s="16" t="str">
        <x:v>+60123804228 | +60123804228</x:v>
      </x:c>
      <x:c r="H2379" s="16" t="str">
        <x:v>Excluded</x:v>
      </x:c>
      <x:c r="I2379" s="16" t="str">
        <x:v>Missing email</x:v>
      </x:c>
    </x:row>
    <x:row r="2380">
      <x:c r="A2380" s="16" t="n">
        <x:v>2377</x:v>
      </x:c>
      <x:c r="B2380" s="16" t="str">
        <x:v>eu noraizzam z 060823</x:v>
      </x:c>
      <x:c r="C2380" s="16" t="str"/>
      <x:c r="D2380" s="16" t="str"/>
      <x:c r="E2380" s="16" t="str">
        <x:v>Alumni eUsahawan | * myContacts</x:v>
      </x:c>
      <x:c r="F2380" s="16" t="str">
        <x:v>0143046464 | +60143046464</x:v>
      </x:c>
      <x:c r="G2380" s="16" t="str">
        <x:v>+60143046464 | +60143046464</x:v>
      </x:c>
      <x:c r="H2380" s="16" t="str">
        <x:v>Excluded</x:v>
      </x:c>
      <x:c r="I2380" s="16" t="str">
        <x:v>Missing email</x:v>
      </x:c>
    </x:row>
    <x:row r="2381">
      <x:c r="A2381" s="16" t="n">
        <x:v>2378</x:v>
      </x:c>
      <x:c r="B2381" s="16" t="str">
        <x:v>eu noranaliza 04112023</x:v>
      </x:c>
      <x:c r="C2381" s="16" t="str">
        <x:v>mohdnorkhairi96@gmail.com</x:v>
      </x:c>
      <x:c r="D2381" s="16" t="str">
        <x:v>mohdnorkhairi96@gmail.com</x:v>
      </x:c>
      <x:c r="E2381" s="16" t="str">
        <x:v>Alumni eUsahawan | * myContacts</x:v>
      </x:c>
      <x:c r="F2381" s="16" t="str">
        <x:v>0179654384 | +60179654384</x:v>
      </x:c>
      <x:c r="G2381" s="16" t="str">
        <x:v>+60179654384 | +60179654384</x:v>
      </x:c>
      <x:c r="H2381" s="16" t="str">
        <x:v>Eligible</x:v>
      </x:c>
      <x:c r="I2381" s="16" t="str"/>
    </x:row>
    <x:row r="2382">
      <x:c r="A2382" s="16" t="n">
        <x:v>2379</x:v>
      </x:c>
      <x:c r="B2382" s="16" t="str">
        <x:v>eu norazbaini 18112023</x:v>
      </x:c>
      <x:c r="C2382" s="16" t="str"/>
      <x:c r="D2382" s="16" t="str"/>
      <x:c r="E2382" s="16" t="str">
        <x:v>Alumni eUsahawan | * myContacts</x:v>
      </x:c>
      <x:c r="F2382" s="16" t="str">
        <x:v>0129512505 | +60129512505</x:v>
      </x:c>
      <x:c r="G2382" s="16" t="str">
        <x:v>+60129512505 | +60129512505</x:v>
      </x:c>
      <x:c r="H2382" s="16" t="str">
        <x:v>Excluded</x:v>
      </x:c>
      <x:c r="I2382" s="16" t="str">
        <x:v>Missing email</x:v>
      </x:c>
    </x:row>
    <x:row r="2383">
      <x:c r="A2383" s="16" t="n">
        <x:v>2380</x:v>
      </x:c>
      <x:c r="B2383" s="16" t="str">
        <x:v>eu norazian z 060823</x:v>
      </x:c>
      <x:c r="C2383" s="16" t="str"/>
      <x:c r="D2383" s="16" t="str"/>
      <x:c r="E2383" s="16" t="str">
        <x:v>Alumni eUsahawan | * myContacts</x:v>
      </x:c>
      <x:c r="F2383" s="16" t="str">
        <x:v>0137203369 | +60137203369</x:v>
      </x:c>
      <x:c r="G2383" s="16" t="str">
        <x:v>+60137203369 | +60137203369</x:v>
      </x:c>
      <x:c r="H2383" s="16" t="str">
        <x:v>Excluded</x:v>
      </x:c>
      <x:c r="I2383" s="16" t="str">
        <x:v>Missing email</x:v>
      </x:c>
    </x:row>
    <x:row r="2384">
      <x:c r="A2384" s="16" t="n">
        <x:v>2381</x:v>
      </x:c>
      <x:c r="B2384" s="16" t="str">
        <x:v>eu nordazilah z 060823</x:v>
      </x:c>
      <x:c r="C2384" s="16" t="str"/>
      <x:c r="D2384" s="16" t="str"/>
      <x:c r="E2384" s="16" t="str">
        <x:v>Alumni eUsahawan | * myContacts</x:v>
      </x:c>
      <x:c r="F2384" s="16" t="str">
        <x:v>0194516274 | +60194516274</x:v>
      </x:c>
      <x:c r="G2384" s="16" t="str">
        <x:v>+60194516274 | +60194516274</x:v>
      </x:c>
      <x:c r="H2384" s="16" t="str">
        <x:v>Excluded</x:v>
      </x:c>
      <x:c r="I2384" s="16" t="str">
        <x:v>Missing email</x:v>
      </x:c>
    </x:row>
    <x:row r="2385">
      <x:c r="A2385" s="16" t="n">
        <x:v>2382</x:v>
      </x:c>
      <x:c r="B2385" s="16" t="str">
        <x:v>eu noreha z 060823</x:v>
      </x:c>
      <x:c r="C2385" s="16" t="str"/>
      <x:c r="D2385" s="16" t="str"/>
      <x:c r="E2385" s="16" t="str">
        <x:v>Alumni eUsahawan | * myContacts</x:v>
      </x:c>
      <x:c r="F2385" s="16" t="str">
        <x:v>0192547804 | +60192547804</x:v>
      </x:c>
      <x:c r="G2385" s="16" t="str">
        <x:v>+60192547804 | +60192547804</x:v>
      </x:c>
      <x:c r="H2385" s="16" t="str">
        <x:v>Excluded</x:v>
      </x:c>
      <x:c r="I2385" s="16" t="str">
        <x:v>Missing email</x:v>
      </x:c>
    </x:row>
    <x:row r="2386">
      <x:c r="A2386" s="16" t="n">
        <x:v>2383</x:v>
      </x:c>
      <x:c r="B2386" s="16" t="str">
        <x:v>Eu Norhaniz Z 130823</x:v>
      </x:c>
      <x:c r="C2386" s="16" t="str"/>
      <x:c r="D2386" s="16" t="str"/>
      <x:c r="E2386" s="16" t="str">
        <x:v>Alumni eUsahawan | * myContacts</x:v>
      </x:c>
      <x:c r="F2386" s="16" t="str">
        <x:v>0102392930 | +60102392930</x:v>
      </x:c>
      <x:c r="G2386" s="16" t="str">
        <x:v>+60102392930 | +60102392930</x:v>
      </x:c>
      <x:c r="H2386" s="16" t="str">
        <x:v>Excluded</x:v>
      </x:c>
      <x:c r="I2386" s="16" t="str">
        <x:v>Missing email</x:v>
      </x:c>
    </x:row>
    <x:row r="2387">
      <x:c r="A2387" s="16" t="n">
        <x:v>2384</x:v>
      </x:c>
      <x:c r="B2387" s="16" t="str">
        <x:v>eu norhaslin z 060823</x:v>
      </x:c>
      <x:c r="C2387" s="16" t="str"/>
      <x:c r="D2387" s="16" t="str"/>
      <x:c r="E2387" s="16" t="str">
        <x:v>Alumni eUsahawan | * myContacts</x:v>
      </x:c>
      <x:c r="F2387" s="16" t="str">
        <x:v>0142558050 | +60142558050</x:v>
      </x:c>
      <x:c r="G2387" s="16" t="str">
        <x:v>+60142558050 | +60142558050</x:v>
      </x:c>
      <x:c r="H2387" s="16" t="str">
        <x:v>Excluded</x:v>
      </x:c>
      <x:c r="I2387" s="16" t="str">
        <x:v>Missing email</x:v>
      </x:c>
    </x:row>
    <x:row r="2388">
      <x:c r="A2388" s="16" t="n">
        <x:v>2385</x:v>
      </x:c>
      <x:c r="B2388" s="16" t="str">
        <x:v>eu norhayati 04112023</x:v>
      </x:c>
      <x:c r="C2388" s="16" t="str">
        <x:v>yatidin1986@gmail.com</x:v>
      </x:c>
      <x:c r="D2388" s="16" t="str">
        <x:v>yatidin1986@gmail.com</x:v>
      </x:c>
      <x:c r="E2388" s="16" t="str">
        <x:v>Alumni eUsahawan | * myContacts</x:v>
      </x:c>
      <x:c r="F2388" s="16" t="str">
        <x:v>0179632889 | +60179632889</x:v>
      </x:c>
      <x:c r="G2388" s="16" t="str">
        <x:v>+60179632889 | +60179632889</x:v>
      </x:c>
      <x:c r="H2388" s="16" t="str">
        <x:v>Eligible</x:v>
      </x:c>
      <x:c r="I2388" s="16" t="str"/>
    </x:row>
    <x:row r="2389">
      <x:c r="A2389" s="16" t="n">
        <x:v>2386</x:v>
      </x:c>
      <x:c r="B2389" s="16" t="str">
        <x:v>eu norhayati z 060823</x:v>
      </x:c>
      <x:c r="C2389" s="16" t="str"/>
      <x:c r="D2389" s="16" t="str"/>
      <x:c r="E2389" s="16" t="str">
        <x:v>Alumni eUsahawan | * myContacts</x:v>
      </x:c>
      <x:c r="F2389" s="16" t="str">
        <x:v>0123471962 | +60123471962</x:v>
      </x:c>
      <x:c r="G2389" s="16" t="str">
        <x:v>+60123471962 | +60123471962</x:v>
      </x:c>
      <x:c r="H2389" s="16" t="str">
        <x:v>Excluded</x:v>
      </x:c>
      <x:c r="I2389" s="16" t="str">
        <x:v>Missing email</x:v>
      </x:c>
    </x:row>
    <x:row r="2390">
      <x:c r="A2390" s="16" t="n">
        <x:v>2387</x:v>
      </x:c>
      <x:c r="B2390" s="16" t="str">
        <x:v>eu norhuzaira z 060823</x:v>
      </x:c>
      <x:c r="C2390" s="16" t="str"/>
      <x:c r="D2390" s="16" t="str"/>
      <x:c r="E2390" s="16" t="str">
        <x:v>Alumni eUsahawan | * myContacts</x:v>
      </x:c>
      <x:c r="F2390" s="16" t="str">
        <x:v>01117969142 | +601117969142</x:v>
      </x:c>
      <x:c r="G2390" s="16" t="str">
        <x:v>+601117969142 | +601117969142</x:v>
      </x:c>
      <x:c r="H2390" s="16" t="str">
        <x:v>Excluded</x:v>
      </x:c>
      <x:c r="I2390" s="16" t="str">
        <x:v>Missing email</x:v>
      </x:c>
    </x:row>
    <x:row r="2391">
      <x:c r="A2391" s="16" t="n">
        <x:v>2388</x:v>
      </x:c>
      <x:c r="B2391" s="16" t="str">
        <x:v>eu noridnyu 04112023</x:v>
      </x:c>
      <x:c r="C2391" s="16" t="str">
        <x:v>ayueda@yahoo.com</x:v>
      </x:c>
      <x:c r="D2391" s="16" t="str">
        <x:v>ayueda@yahoo.com</x:v>
      </x:c>
      <x:c r="E2391" s="16" t="str">
        <x:v>Alumni eUsahawan | * myContacts</x:v>
      </x:c>
      <x:c r="F2391" s="16" t="str">
        <x:v>0126260340 | +60126260340</x:v>
      </x:c>
      <x:c r="G2391" s="16" t="str">
        <x:v>+60126260340 | +60126260340</x:v>
      </x:c>
      <x:c r="H2391" s="16" t="str">
        <x:v>Eligible</x:v>
      </x:c>
      <x:c r="I2391" s="16" t="str"/>
    </x:row>
    <x:row r="2392">
      <x:c r="A2392" s="16" t="n">
        <x:v>2389</x:v>
      </x:c>
      <x:c r="B2392" s="16" t="str">
        <x:v>eu norisya 04112023</x:v>
      </x:c>
      <x:c r="C2392" s="16" t="str">
        <x:v>norisyahaznam@gmail.com</x:v>
      </x:c>
      <x:c r="D2392" s="16" t="str">
        <x:v>norisyahaznam@gmail.com</x:v>
      </x:c>
      <x:c r="E2392" s="16" t="str">
        <x:v>Alumni eUsahawan | * myContacts</x:v>
      </x:c>
      <x:c r="F2392" s="16" t="str">
        <x:v>0139496446 | +60139496446</x:v>
      </x:c>
      <x:c r="G2392" s="16" t="str">
        <x:v>+60139496446 | +60139496446</x:v>
      </x:c>
      <x:c r="H2392" s="16" t="str">
        <x:v>Eligible</x:v>
      </x:c>
      <x:c r="I2392" s="16" t="str"/>
    </x:row>
    <x:row r="2393">
      <x:c r="A2393" s="16" t="n">
        <x:v>2390</x:v>
      </x:c>
      <x:c r="B2393" s="16" t="str">
        <x:v>eu norlisa 18112023</x:v>
      </x:c>
      <x:c r="C2393" s="16" t="str">
        <x:v>norlisabintinordin@gmail.com</x:v>
      </x:c>
      <x:c r="D2393" s="16" t="str">
        <x:v>norlisabintinordin@gmail.com</x:v>
      </x:c>
      <x:c r="E2393" s="16" t="str">
        <x:v>Alumni eUsahawan | * myContacts</x:v>
      </x:c>
      <x:c r="F2393" s="16" t="str">
        <x:v>0123114982 | +60123114982</x:v>
      </x:c>
      <x:c r="G2393" s="16" t="str">
        <x:v>+60123114982 | +60123114982</x:v>
      </x:c>
      <x:c r="H2393" s="16" t="str">
        <x:v>Eligible</x:v>
      </x:c>
      <x:c r="I2393" s="16" t="str"/>
    </x:row>
    <x:row r="2394">
      <x:c r="A2394" s="16" t="n">
        <x:v>2391</x:v>
      </x:c>
      <x:c r="B2394" s="16" t="str">
        <x:v>eu nur basirah 04112023</x:v>
      </x:c>
      <x:c r="C2394" s="16" t="str">
        <x:v>basirakaziz@gmail.com</x:v>
      </x:c>
      <x:c r="D2394" s="16" t="str">
        <x:v>basirakaziz@gmail.com</x:v>
      </x:c>
      <x:c r="E2394" s="16" t="str">
        <x:v>Alumni eUsahawan | * myContacts</x:v>
      </x:c>
      <x:c r="F2394" s="16" t="str">
        <x:v>0129869416 | +60129869416</x:v>
      </x:c>
      <x:c r="G2394" s="16" t="str">
        <x:v>+60129869416 | +60129869416</x:v>
      </x:c>
      <x:c r="H2394" s="16" t="str">
        <x:v>Eligible</x:v>
      </x:c>
      <x:c r="I2394" s="16" t="str"/>
    </x:row>
    <x:row r="2395">
      <x:c r="A2395" s="16" t="n">
        <x:v>2392</x:v>
      </x:c>
      <x:c r="B2395" s="16" t="str">
        <x:v>eu nur dayana z 060823</x:v>
      </x:c>
      <x:c r="C2395" s="16" t="str"/>
      <x:c r="D2395" s="16" t="str"/>
      <x:c r="E2395" s="16" t="str">
        <x:v>Alumni eUsahawan | * myContacts</x:v>
      </x:c>
      <x:c r="F2395" s="16" t="str">
        <x:v>0194255292 | +60194255292</x:v>
      </x:c>
      <x:c r="G2395" s="16" t="str">
        <x:v>+60194255292 | +60194255292</x:v>
      </x:c>
      <x:c r="H2395" s="16" t="str">
        <x:v>Excluded</x:v>
      </x:c>
      <x:c r="I2395" s="16" t="str">
        <x:v>Missing email</x:v>
      </x:c>
    </x:row>
    <x:row r="2396">
      <x:c r="A2396" s="16" t="n">
        <x:v>2393</x:v>
      </x:c>
      <x:c r="B2396" s="16" t="str">
        <x:v>eu nur farzana 18112023</x:v>
      </x:c>
      <x:c r="C2396" s="16" t="str">
        <x:v>nana.farzana226@gmail.com</x:v>
      </x:c>
      <x:c r="D2396" s="16" t="str">
        <x:v>nana.farzana226@gmail.com</x:v>
      </x:c>
      <x:c r="E2396" s="16" t="str">
        <x:v>Alumni eUsahawan | * myContacts</x:v>
      </x:c>
      <x:c r="F2396" s="16" t="str">
        <x:v>0182584828 | +60182584828</x:v>
      </x:c>
      <x:c r="G2396" s="16" t="str">
        <x:v>+60182584828 | +60182584828</x:v>
      </x:c>
      <x:c r="H2396" s="16" t="str">
        <x:v>Eligible</x:v>
      </x:c>
      <x:c r="I2396" s="16" t="str"/>
    </x:row>
    <x:row r="2397">
      <x:c r="A2397" s="16" t="n">
        <x:v>2394</x:v>
      </x:c>
      <x:c r="B2397" s="16" t="str">
        <x:v>eu nur fatihah 04112023</x:v>
      </x:c>
      <x:c r="C2397" s="16" t="str">
        <x:v>faizfahhah95@gmail.com</x:v>
      </x:c>
      <x:c r="D2397" s="16" t="str">
        <x:v>faizfahhah95@gmail.com</x:v>
      </x:c>
      <x:c r="E2397" s="16" t="str">
        <x:v>Alumni eUsahawan | * myContacts</x:v>
      </x:c>
      <x:c r="F2397" s="16" t="str">
        <x:v>0124851519 | +60124851519</x:v>
      </x:c>
      <x:c r="G2397" s="16" t="str">
        <x:v>+60124851519 | +60124851519</x:v>
      </x:c>
      <x:c r="H2397" s="16" t="str">
        <x:v>Eligible</x:v>
      </x:c>
      <x:c r="I2397" s="16" t="str"/>
    </x:row>
    <x:row r="2398">
      <x:c r="A2398" s="16" t="n">
        <x:v>2395</x:v>
      </x:c>
      <x:c r="B2398" s="16" t="str">
        <x:v>Eu Nur Fatihah Z 130823</x:v>
      </x:c>
      <x:c r="C2398" s="16" t="str"/>
      <x:c r="D2398" s="16" t="str"/>
      <x:c r="E2398" s="16" t="str">
        <x:v>Alumni eUsahawan | * myContacts</x:v>
      </x:c>
      <x:c r="F2398" s="16" t="str">
        <x:v>0136414596 | +60136414596</x:v>
      </x:c>
      <x:c r="G2398" s="16" t="str">
        <x:v>+60136414596 | +60136414596</x:v>
      </x:c>
      <x:c r="H2398" s="16" t="str">
        <x:v>Excluded</x:v>
      </x:c>
      <x:c r="I2398" s="16" t="str">
        <x:v>Missing email</x:v>
      </x:c>
    </x:row>
    <x:row r="2399">
      <x:c r="A2399" s="16" t="n">
        <x:v>2396</x:v>
      </x:c>
      <x:c r="B2399" s="16" t="str">
        <x:v>eu nur hassanal hakkim 04112023</x:v>
      </x:c>
      <x:c r="C2399" s="16" t="str">
        <x:v>hasanalhakkim93@icloud.com</x:v>
      </x:c>
      <x:c r="D2399" s="16" t="str">
        <x:v>hasanalhakkim93@icloud.com</x:v>
      </x:c>
      <x:c r="E2399" s="16" t="str">
        <x:v>Alumni eUsahawan | * myContacts</x:v>
      </x:c>
      <x:c r="F2399" s="16" t="str">
        <x:v>0179874908 | +60179874908</x:v>
      </x:c>
      <x:c r="G2399" s="16" t="str">
        <x:v>+60179874908 | +60179874908</x:v>
      </x:c>
      <x:c r="H2399" s="16" t="str">
        <x:v>Eligible</x:v>
      </x:c>
      <x:c r="I2399" s="16" t="str"/>
    </x:row>
    <x:row r="2400">
      <x:c r="A2400" s="16" t="n">
        <x:v>2397</x:v>
      </x:c>
      <x:c r="B2400" s="16" t="str">
        <x:v>eu nur hidayatul z 060823</x:v>
      </x:c>
      <x:c r="C2400" s="16" t="str"/>
      <x:c r="D2400" s="16" t="str"/>
      <x:c r="E2400" s="16" t="str">
        <x:v>Alumni eUsahawan | * myContacts</x:v>
      </x:c>
      <x:c r="F2400" s="16" t="str">
        <x:v>0166672834 | +60166672834</x:v>
      </x:c>
      <x:c r="G2400" s="16" t="str">
        <x:v>+60166672834 | +60166672834</x:v>
      </x:c>
      <x:c r="H2400" s="16" t="str">
        <x:v>Excluded</x:v>
      </x:c>
      <x:c r="I2400" s="16" t="str">
        <x:v>Missing email</x:v>
      </x:c>
    </x:row>
    <x:row r="2401">
      <x:c r="A2401" s="16" t="n">
        <x:v>2398</x:v>
      </x:c>
      <x:c r="B2401" s="16" t="str">
        <x:v>eu nur syahida z 060823</x:v>
      </x:c>
      <x:c r="C2401" s="16" t="str"/>
      <x:c r="D2401" s="16" t="str"/>
      <x:c r="E2401" s="16" t="str">
        <x:v>Alumni eUsahawan | * myContacts</x:v>
      </x:c>
      <x:c r="F2401" s="16" t="str">
        <x:v>0197079318 | +60197079318</x:v>
      </x:c>
      <x:c r="G2401" s="16" t="str">
        <x:v>+60197079318 | +60197079318</x:v>
      </x:c>
      <x:c r="H2401" s="16" t="str">
        <x:v>Excluded</x:v>
      </x:c>
      <x:c r="I2401" s="16" t="str">
        <x:v>Missing email</x:v>
      </x:c>
    </x:row>
    <x:row r="2402">
      <x:c r="A2402" s="16" t="n">
        <x:v>2399</x:v>
      </x:c>
      <x:c r="B2402" s="16" t="str">
        <x:v>Eu Nur Syazwani Z 130823</x:v>
      </x:c>
      <x:c r="C2402" s="16" t="str"/>
      <x:c r="D2402" s="16" t="str"/>
      <x:c r="E2402" s="16" t="str">
        <x:v>Alumni eUsahawan | * myContacts</x:v>
      </x:c>
      <x:c r="F2402" s="16" t="str">
        <x:v>0174489120 | +60174489120</x:v>
      </x:c>
      <x:c r="G2402" s="16" t="str">
        <x:v>+60174489120 | +60174489120</x:v>
      </x:c>
      <x:c r="H2402" s="16" t="str">
        <x:v>Excluded</x:v>
      </x:c>
      <x:c r="I2402" s="16" t="str">
        <x:v>Missing email</x:v>
      </x:c>
    </x:row>
    <x:row r="2403">
      <x:c r="A2403" s="16" t="n">
        <x:v>2400</x:v>
      </x:c>
      <x:c r="B2403" s="16" t="str">
        <x:v>Eu Nur Zawin Z 130823</x:v>
      </x:c>
      <x:c r="C2403" s="16" t="str"/>
      <x:c r="D2403" s="16" t="str"/>
      <x:c r="E2403" s="16" t="str">
        <x:v>Alumni eUsahawan | * myContacts</x:v>
      </x:c>
      <x:c r="F2403" s="16" t="str">
        <x:v>0122065530 | +60122065530</x:v>
      </x:c>
      <x:c r="G2403" s="16" t="str">
        <x:v>+60122065530 | +60122065530</x:v>
      </x:c>
      <x:c r="H2403" s="16" t="str">
        <x:v>Excluded</x:v>
      </x:c>
      <x:c r="I2403" s="16" t="str">
        <x:v>Missing email</x:v>
      </x:c>
    </x:row>
    <x:row r="2404">
      <x:c r="A2404" s="16" t="n">
        <x:v>2401</x:v>
      </x:c>
      <x:c r="B2404" s="16" t="str">
        <x:v>eu nur zulika 04112023</x:v>
      </x:c>
      <x:c r="C2404" s="16" t="str">
        <x:v>nurleyka95@gmail.com</x:v>
      </x:c>
      <x:c r="D2404" s="16" t="str">
        <x:v>nurleyka95@gmail.com</x:v>
      </x:c>
      <x:c r="E2404" s="16" t="str">
        <x:v>Alumni eUsahawan | * myContacts</x:v>
      </x:c>
      <x:c r="F2404" s="16" t="str">
        <x:v>0199264626 | +60199264626</x:v>
      </x:c>
      <x:c r="G2404" s="16" t="str">
        <x:v>+60199264626 | +60199264626</x:v>
      </x:c>
      <x:c r="H2404" s="16" t="str">
        <x:v>Eligible</x:v>
      </x:c>
      <x:c r="I2404" s="16" t="str"/>
    </x:row>
    <x:row r="2405">
      <x:c r="A2405" s="16" t="n">
        <x:v>2402</x:v>
      </x:c>
      <x:c r="B2405" s="16" t="str">
        <x:v>eu nurul ainie 04112023</x:v>
      </x:c>
      <x:c r="C2405" s="16" t="str">
        <x:v>ainie930816@icloud.com</x:v>
      </x:c>
      <x:c r="D2405" s="16" t="str">
        <x:v>ainie930816@icloud.com</x:v>
      </x:c>
      <x:c r="E2405" s="16" t="str">
        <x:v>Alumni eUsahawan | * myContacts</x:v>
      </x:c>
      <x:c r="F2405" s="16" t="str">
        <x:v>0142166875 | +60142166875</x:v>
      </x:c>
      <x:c r="G2405" s="16" t="str">
        <x:v>+60142166875 | +60142166875</x:v>
      </x:c>
      <x:c r="H2405" s="16" t="str">
        <x:v>Eligible</x:v>
      </x:c>
      <x:c r="I2405" s="16" t="str"/>
    </x:row>
    <x:row r="2406">
      <x:c r="A2406" s="16" t="n">
        <x:v>2403</x:v>
      </x:c>
      <x:c r="B2406" s="16" t="str">
        <x:v>Eu Nurul Anis Z 130823</x:v>
      </x:c>
      <x:c r="C2406" s="16" t="str"/>
      <x:c r="D2406" s="16" t="str"/>
      <x:c r="E2406" s="16" t="str">
        <x:v>Alumni eUsahawan | * myContacts</x:v>
      </x:c>
      <x:c r="F2406" s="16" t="str">
        <x:v>0125013928 | +60125013928</x:v>
      </x:c>
      <x:c r="G2406" s="16" t="str">
        <x:v>+60125013928 | +60125013928</x:v>
      </x:c>
      <x:c r="H2406" s="16" t="str">
        <x:v>Excluded</x:v>
      </x:c>
      <x:c r="I2406" s="16" t="str">
        <x:v>Missing email</x:v>
      </x:c>
    </x:row>
    <x:row r="2407">
      <x:c r="A2407" s="16" t="n">
        <x:v>2404</x:v>
      </x:c>
      <x:c r="B2407" s="16" t="str">
        <x:v>eu nurul hafizah 18112023</x:v>
      </x:c>
      <x:c r="C2407" s="16" t="str">
        <x:v>nurulhafizahmahusin@gmail.com</x:v>
      </x:c>
      <x:c r="D2407" s="16" t="str">
        <x:v>nurulhafizahmahusin@gmail.com</x:v>
      </x:c>
      <x:c r="E2407" s="16" t="str">
        <x:v>Alumni eUsahawan | * myContacts</x:v>
      </x:c>
      <x:c r="F2407" s="16" t="str">
        <x:v>0129684467 | +60129684467</x:v>
      </x:c>
      <x:c r="G2407" s="16" t="str">
        <x:v>+60129684467 | +60129684467</x:v>
      </x:c>
      <x:c r="H2407" s="16" t="str">
        <x:v>Eligible</x:v>
      </x:c>
      <x:c r="I2407" s="16" t="str"/>
    </x:row>
    <x:row r="2408">
      <x:c r="A2408" s="16" t="n">
        <x:v>2405</x:v>
      </x:c>
      <x:c r="B2408" s="16" t="str">
        <x:v>Eu Nurul Nadhira Z 130823</x:v>
      </x:c>
      <x:c r="C2408" s="16" t="str"/>
      <x:c r="D2408" s="16" t="str"/>
      <x:c r="E2408" s="16" t="str">
        <x:v>Alumni eUsahawan | * myContacts</x:v>
      </x:c>
      <x:c r="F2408" s="16" t="str">
        <x:v>0173823723 | +60173823723</x:v>
      </x:c>
      <x:c r="G2408" s="16" t="str">
        <x:v>+60173823723 | +60173823723</x:v>
      </x:c>
      <x:c r="H2408" s="16" t="str">
        <x:v>Excluded</x:v>
      </x:c>
      <x:c r="I2408" s="16" t="str">
        <x:v>Missing email</x:v>
      </x:c>
    </x:row>
    <x:row r="2409">
      <x:c r="A2409" s="16" t="n">
        <x:v>2406</x:v>
      </x:c>
      <x:c r="B2409" s="16" t="str">
        <x:v>Eu Nurul Natasya Z 130823</x:v>
      </x:c>
      <x:c r="C2409" s="16" t="str"/>
      <x:c r="D2409" s="16" t="str"/>
      <x:c r="E2409" s="16" t="str">
        <x:v>Alumni eUsahawan | * myContacts</x:v>
      </x:c>
      <x:c r="F2409" s="16" t="str">
        <x:v>0134623825 | +60134623825</x:v>
      </x:c>
      <x:c r="G2409" s="16" t="str">
        <x:v>+60134623825 | +60134623825</x:v>
      </x:c>
      <x:c r="H2409" s="16" t="str">
        <x:v>Excluded</x:v>
      </x:c>
      <x:c r="I2409" s="16" t="str">
        <x:v>Missing email</x:v>
      </x:c>
    </x:row>
    <x:row r="2410">
      <x:c r="A2410" s="16" t="n">
        <x:v>2407</x:v>
      </x:c>
      <x:c r="B2410" s="16" t="str">
        <x:v>Eu Nurul Syaqinah Z 170823</x:v>
      </x:c>
      <x:c r="C2410" s="16" t="str"/>
      <x:c r="D2410" s="16" t="str"/>
      <x:c r="E2410" s="16" t="str">
        <x:v>Alumni eUsahawan | * myContacts</x:v>
      </x:c>
      <x:c r="F2410" s="16" t="str">
        <x:v>+60 19-532 9722 | +60195329722</x:v>
      </x:c>
      <x:c r="G2410" s="16" t="str">
        <x:v>+60195329722 | +60195329722</x:v>
      </x:c>
      <x:c r="H2410" s="16" t="str">
        <x:v>Excluded</x:v>
      </x:c>
      <x:c r="I2410" s="16" t="str">
        <x:v>Missing email</x:v>
      </x:c>
    </x:row>
    <x:row r="2411">
      <x:c r="A2411" s="16" t="n">
        <x:v>2408</x:v>
      </x:c>
      <x:c r="B2411" s="16" t="str">
        <x:v>eu nuur auji 04112023</x:v>
      </x:c>
      <x:c r="C2411" s="16" t="str">
        <x:v>aujimohamad95@gmail.com</x:v>
      </x:c>
      <x:c r="D2411" s="16" t="str">
        <x:v>aujimohamad95@gmail.com</x:v>
      </x:c>
      <x:c r="E2411" s="16" t="str">
        <x:v>Alumni eUsahawan | * myContacts</x:v>
      </x:c>
      <x:c r="F2411" s="16" t="str">
        <x:v>01127625160 | +601127625160</x:v>
      </x:c>
      <x:c r="G2411" s="16" t="str">
        <x:v>+601127625160 | +601127625160</x:v>
      </x:c>
      <x:c r="H2411" s="16" t="str">
        <x:v>Eligible</x:v>
      </x:c>
      <x:c r="I2411" s="16" t="str"/>
    </x:row>
    <x:row r="2412">
      <x:c r="A2412" s="16" t="n">
        <x:v>2409</x:v>
      </x:c>
      <x:c r="B2412" s="16" t="str">
        <x:v>EU PMO Ain</x:v>
      </x:c>
      <x:c r="C2412" s="16" t="str"/>
      <x:c r="D2412" s="16" t="str"/>
      <x:c r="E2412" s="16" t="str">
        <x:v>Alumni eUsahawan | * myContacts</x:v>
      </x:c>
      <x:c r="F2412" s="16" t="str">
        <x:v>+60 19-340 2401 | +60193402401 | +60182413900</x:v>
      </x:c>
      <x:c r="G2412" s="16" t="str">
        <x:v>+60193402401 | +60193402401 | +60182413900</x:v>
      </x:c>
      <x:c r="H2412" s="16" t="str">
        <x:v>Excluded</x:v>
      </x:c>
      <x:c r="I2412" s="16" t="str">
        <x:v>Missing email</x:v>
      </x:c>
    </x:row>
    <x:row r="2413">
      <x:c r="A2413" s="16" t="n">
        <x:v>2410</x:v>
      </x:c>
      <x:c r="B2413" s="16" t="str">
        <x:v>eu rafi z 060823</x:v>
      </x:c>
      <x:c r="C2413" s="16" t="str"/>
      <x:c r="D2413" s="16" t="str"/>
      <x:c r="E2413" s="16" t="str">
        <x:v>Alumni eUsahawan | * myContacts</x:v>
      </x:c>
      <x:c r="F2413" s="16" t="str">
        <x:v>01121265969 | +601121265969</x:v>
      </x:c>
      <x:c r="G2413" s="16" t="str">
        <x:v>+601121265969 | +601121265969</x:v>
      </x:c>
      <x:c r="H2413" s="16" t="str">
        <x:v>Excluded</x:v>
      </x:c>
      <x:c r="I2413" s="16" t="str">
        <x:v>Missing email</x:v>
      </x:c>
    </x:row>
    <x:row r="2414">
      <x:c r="A2414" s="16" t="n">
        <x:v>2411</x:v>
      </x:c>
      <x:c r="B2414" s="16" t="str">
        <x:v>eu rahmat z 060823</x:v>
      </x:c>
      <x:c r="C2414" s="16" t="str"/>
      <x:c r="D2414" s="16" t="str"/>
      <x:c r="E2414" s="16" t="str">
        <x:v>Alumni eUsahawan | * myContacts</x:v>
      </x:c>
      <x:c r="F2414" s="16" t="str">
        <x:v>0198754379 | +60198754379</x:v>
      </x:c>
      <x:c r="G2414" s="16" t="str">
        <x:v>+60198754379 | +60198754379</x:v>
      </x:c>
      <x:c r="H2414" s="16" t="str">
        <x:v>Excluded</x:v>
      </x:c>
      <x:c r="I2414" s="16" t="str">
        <x:v>Missing email</x:v>
      </x:c>
    </x:row>
    <x:row r="2415">
      <x:c r="A2415" s="16" t="n">
        <x:v>2412</x:v>
      </x:c>
      <x:c r="B2415" s="16" t="str">
        <x:v>eu raidah 04112023</x:v>
      </x:c>
      <x:c r="C2415" s="16" t="str">
        <x:v>raidahcheamran@gmail.com</x:v>
      </x:c>
      <x:c r="D2415" s="16" t="str">
        <x:v>raidahcheamran@gmail.com</x:v>
      </x:c>
      <x:c r="E2415" s="16" t="str">
        <x:v>Alumni eUsahawan | * myContacts</x:v>
      </x:c>
      <x:c r="F2415" s="16" t="str">
        <x:v>01121955639 | +601121955639</x:v>
      </x:c>
      <x:c r="G2415" s="16" t="str">
        <x:v>+601121955639 | +601121955639</x:v>
      </x:c>
      <x:c r="H2415" s="16" t="str">
        <x:v>Eligible</x:v>
      </x:c>
      <x:c r="I2415" s="16" t="str"/>
    </x:row>
    <x:row r="2416">
      <x:c r="A2416" s="16" t="n">
        <x:v>2413</x:v>
      </x:c>
      <x:c r="B2416" s="16" t="str">
        <x:v>Eu raja khairulnisa Z 170823</x:v>
      </x:c>
      <x:c r="C2416" s="16" t="str"/>
      <x:c r="D2416" s="16" t="str"/>
      <x:c r="E2416" s="16" t="str">
        <x:v>Alumni eUsahawan | * myContacts</x:v>
      </x:c>
      <x:c r="F2416" s="16" t="str">
        <x:v>+60 12-975 7597 | +60129757597</x:v>
      </x:c>
      <x:c r="G2416" s="16" t="str">
        <x:v>+60129757597 | +60129757597</x:v>
      </x:c>
      <x:c r="H2416" s="16" t="str">
        <x:v>Excluded</x:v>
      </x:c>
      <x:c r="I2416" s="16" t="str">
        <x:v>Missing email</x:v>
      </x:c>
    </x:row>
    <x:row r="2417">
      <x:c r="A2417" s="16" t="n">
        <x:v>2414</x:v>
      </x:c>
      <x:c r="B2417" s="16" t="str">
        <x:v>eu raja nur akila 18112023</x:v>
      </x:c>
      <x:c r="C2417" s="16" t="str">
        <x:v>rajaakila98@gmail.com</x:v>
      </x:c>
      <x:c r="D2417" s="16" t="str">
        <x:v>rajaakila98@gmail.com</x:v>
      </x:c>
      <x:c r="E2417" s="16" t="str">
        <x:v>Alumni eUsahawan | * myContacts</x:v>
      </x:c>
      <x:c r="F2417" s="16" t="str">
        <x:v>01131836796 | +601131836796</x:v>
      </x:c>
      <x:c r="G2417" s="16" t="str">
        <x:v>+601131836796 | +601131836796</x:v>
      </x:c>
      <x:c r="H2417" s="16" t="str">
        <x:v>Eligible</x:v>
      </x:c>
      <x:c r="I2417" s="16" t="str"/>
    </x:row>
    <x:row r="2418">
      <x:c r="A2418" s="16" t="n">
        <x:v>2415</x:v>
      </x:c>
      <x:c r="B2418" s="16" t="str">
        <x:v>eu rasidah 04112023</x:v>
      </x:c>
      <x:c r="C2418" s="16" t="str">
        <x:v>syazwanzainal@gmail.com</x:v>
      </x:c>
      <x:c r="D2418" s="16" t="str">
        <x:v>syazwanzainal@gmail.com</x:v>
      </x:c>
      <x:c r="E2418" s="16" t="str">
        <x:v>Alumni eUsahawan | * myContacts</x:v>
      </x:c>
      <x:c r="F2418" s="16" t="str">
        <x:v>0199454857 | +60199454857</x:v>
      </x:c>
      <x:c r="G2418" s="16" t="str">
        <x:v>+60199454857 | +60199454857</x:v>
      </x:c>
      <x:c r="H2418" s="16" t="str">
        <x:v>Eligible</x:v>
      </x:c>
      <x:c r="I2418" s="16" t="str"/>
    </x:row>
    <x:row r="2419">
      <x:c r="A2419" s="16" t="n">
        <x:v>2416</x:v>
      </x:c>
      <x:c r="B2419" s="16" t="str">
        <x:v>Eu Rosahairil Tan Z 130823</x:v>
      </x:c>
      <x:c r="C2419" s="16" t="str"/>
      <x:c r="D2419" s="16" t="str"/>
      <x:c r="E2419" s="16" t="str">
        <x:v>Alumni eUsahawan | * myContacts</x:v>
      </x:c>
      <x:c r="F2419" s="16" t="str">
        <x:v>0129106157 | +60129106157</x:v>
      </x:c>
      <x:c r="G2419" s="16" t="str">
        <x:v>+60129106157 | +60129106157</x:v>
      </x:c>
      <x:c r="H2419" s="16" t="str">
        <x:v>Excluded</x:v>
      </x:c>
      <x:c r="I2419" s="16" t="str">
        <x:v>Missing email</x:v>
      </x:c>
    </x:row>
    <x:row r="2420">
      <x:c r="A2420" s="16" t="n">
        <x:v>2417</x:v>
      </x:c>
      <x:c r="B2420" s="16" t="str">
        <x:v>eu rosilawati 04112023</x:v>
      </x:c>
      <x:c r="C2420" s="16" t="str">
        <x:v>ilodila040@gmail.com</x:v>
      </x:c>
      <x:c r="D2420" s="16" t="str">
        <x:v>ilodila040@gmail.com</x:v>
      </x:c>
      <x:c r="E2420" s="16" t="str">
        <x:v>Alumni eUsahawan | * myContacts</x:v>
      </x:c>
      <x:c r="F2420" s="16" t="str">
        <x:v>01130297412 | +601130297412</x:v>
      </x:c>
      <x:c r="G2420" s="16" t="str">
        <x:v>+601130297412 | +601130297412</x:v>
      </x:c>
      <x:c r="H2420" s="16" t="str">
        <x:v>Eligible</x:v>
      </x:c>
      <x:c r="I2420" s="16" t="str"/>
    </x:row>
    <x:row r="2421">
      <x:c r="A2421" s="16" t="n">
        <x:v>2418</x:v>
      </x:c>
      <x:c r="B2421" s="16" t="str">
        <x:v>Eu Rufizam Ramly Z 170823</x:v>
      </x:c>
      <x:c r="C2421" s="16" t="str"/>
      <x:c r="D2421" s="16" t="str"/>
      <x:c r="E2421" s="16" t="str">
        <x:v>Alumni eUsahawan | * myContacts</x:v>
      </x:c>
      <x:c r="F2421" s="16" t="str">
        <x:v>+60 13-645 9324 | +60136459324</x:v>
      </x:c>
      <x:c r="G2421" s="16" t="str">
        <x:v>+60136459324 | +60136459324</x:v>
      </x:c>
      <x:c r="H2421" s="16" t="str">
        <x:v>Excluded</x:v>
      </x:c>
      <x:c r="I2421" s="16" t="str">
        <x:v>Missing email</x:v>
      </x:c>
    </x:row>
    <x:row r="2422">
      <x:c r="A2422" s="16" t="n">
        <x:v>2419</x:v>
      </x:c>
      <x:c r="B2422" s="16" t="str">
        <x:v>eu rusmariam 04112023</x:v>
      </x:c>
      <x:c r="C2422" s="16" t="str">
        <x:v>sayawakk84@gmail.com</x:v>
      </x:c>
      <x:c r="D2422" s="16" t="str">
        <x:v>sayawakk84@gmail.com</x:v>
      </x:c>
      <x:c r="E2422" s="16" t="str">
        <x:v>Alumni eUsahawan | * myContacts</x:v>
      </x:c>
      <x:c r="F2422" s="16" t="str">
        <x:v>0179427902 | +60179427902</x:v>
      </x:c>
      <x:c r="G2422" s="16" t="str">
        <x:v>+60179427902 | +60179427902</x:v>
      </x:c>
      <x:c r="H2422" s="16" t="str">
        <x:v>Eligible</x:v>
      </x:c>
      <x:c r="I2422" s="16" t="str"/>
    </x:row>
    <x:row r="2423">
      <x:c r="A2423" s="16" t="n">
        <x:v>2420</x:v>
      </x:c>
      <x:c r="B2423" s="16" t="str">
        <x:v>eu sabtiah z 060823</x:v>
      </x:c>
      <x:c r="C2423" s="16" t="str"/>
      <x:c r="D2423" s="16" t="str"/>
      <x:c r="E2423" s="16" t="str">
        <x:v>Alumni eUsahawan | * myContacts</x:v>
      </x:c>
      <x:c r="F2423" s="16" t="str">
        <x:v>0125219101 | +60125219101</x:v>
      </x:c>
      <x:c r="G2423" s="16" t="str">
        <x:v>+60125219101 | +60125219101</x:v>
      </x:c>
      <x:c r="H2423" s="16" t="str">
        <x:v>Excluded</x:v>
      </x:c>
      <x:c r="I2423" s="16" t="str">
        <x:v>Missing email</x:v>
      </x:c>
    </x:row>
    <x:row r="2424">
      <x:c r="A2424" s="16" t="n">
        <x:v>2421</x:v>
      </x:c>
      <x:c r="B2424" s="16" t="str">
        <x:v>eu saiful z 060823</x:v>
      </x:c>
      <x:c r="C2424" s="16" t="str"/>
      <x:c r="D2424" s="16" t="str"/>
      <x:c r="E2424" s="16" t="str">
        <x:v>Alumni eUsahawan | * myContacts</x:v>
      </x:c>
      <x:c r="F2424" s="16" t="str">
        <x:v>01137791865 | +601137791865</x:v>
      </x:c>
      <x:c r="G2424" s="16" t="str">
        <x:v>+601137791865 | +601137791865</x:v>
      </x:c>
      <x:c r="H2424" s="16" t="str">
        <x:v>Excluded</x:v>
      </x:c>
      <x:c r="I2424" s="16" t="str">
        <x:v>Missing email</x:v>
      </x:c>
    </x:row>
    <x:row r="2425">
      <x:c r="A2425" s="16" t="n">
        <x:v>2422</x:v>
      </x:c>
      <x:c r="B2425" s="16" t="str">
        <x:v>eu salmah 18112023</x:v>
      </x:c>
      <x:c r="C2425" s="16" t="str">
        <x:v>amiza970324@gmail.com</x:v>
      </x:c>
      <x:c r="D2425" s="16" t="str">
        <x:v>amiza970324@gmail.com</x:v>
      </x:c>
      <x:c r="E2425" s="16" t="str">
        <x:v>Alumni eUsahawan | * myContacts</x:v>
      </x:c>
      <x:c r="F2425" s="16" t="str">
        <x:v>0139055723 | +60139055723</x:v>
      </x:c>
      <x:c r="G2425" s="16" t="str">
        <x:v>+60139055723 | +60139055723</x:v>
      </x:c>
      <x:c r="H2425" s="16" t="str">
        <x:v>Eligible</x:v>
      </x:c>
      <x:c r="I2425" s="16" t="str"/>
    </x:row>
    <x:row r="2426">
      <x:c r="A2426" s="16" t="n">
        <x:v>2423</x:v>
      </x:c>
      <x:c r="B2426" s="16" t="str">
        <x:v>Eu Sarfudin Z 130823</x:v>
      </x:c>
      <x:c r="C2426" s="16" t="str"/>
      <x:c r="D2426" s="16" t="str"/>
      <x:c r="E2426" s="16" t="str">
        <x:v>Alumni eUsahawan | * myContacts</x:v>
      </x:c>
      <x:c r="F2426" s="16" t="str">
        <x:v>60199273709 | +60199273709</x:v>
      </x:c>
      <x:c r="G2426" s="16" t="str">
        <x:v>+60199273709 | +60199273709</x:v>
      </x:c>
      <x:c r="H2426" s="16" t="str">
        <x:v>Excluded</x:v>
      </x:c>
      <x:c r="I2426" s="16" t="str">
        <x:v>Missing email</x:v>
      </x:c>
    </x:row>
    <x:row r="2427">
      <x:c r="A2427" s="16" t="n">
        <x:v>2424</x:v>
      </x:c>
      <x:c r="B2427" s="16" t="str">
        <x:v>Eu Shafirul Azmie Z 130823</x:v>
      </x:c>
      <x:c r="C2427" s="16" t="str"/>
      <x:c r="D2427" s="16" t="str"/>
      <x:c r="E2427" s="16" t="str">
        <x:v>Alumni eUsahawan | * myContacts</x:v>
      </x:c>
      <x:c r="F2427" s="16" t="str">
        <x:v>60105199447 | +60105199447</x:v>
      </x:c>
      <x:c r="G2427" s="16" t="str">
        <x:v>+60105199447 | +60105199447</x:v>
      </x:c>
      <x:c r="H2427" s="16" t="str">
        <x:v>Excluded</x:v>
      </x:c>
      <x:c r="I2427" s="16" t="str">
        <x:v>Missing email</x:v>
      </x:c>
    </x:row>
    <x:row r="2428">
      <x:c r="A2428" s="16" t="n">
        <x:v>2425</x:v>
      </x:c>
      <x:c r="B2428" s="16" t="str">
        <x:v>eu siew chen ong z 060823</x:v>
      </x:c>
      <x:c r="C2428" s="16" t="str"/>
      <x:c r="D2428" s="16" t="str"/>
      <x:c r="E2428" s="16" t="str">
        <x:v>Alumni eUsahawan | * myContacts</x:v>
      </x:c>
      <x:c r="F2428" s="16" t="str">
        <x:v>0124300692 | +60124300692</x:v>
      </x:c>
      <x:c r="G2428" s="16" t="str">
        <x:v>+60124300692 | +60124300692</x:v>
      </x:c>
      <x:c r="H2428" s="16" t="str">
        <x:v>Excluded</x:v>
      </x:c>
      <x:c r="I2428" s="16" t="str">
        <x:v>Missing email</x:v>
      </x:c>
    </x:row>
    <x:row r="2429">
      <x:c r="A2429" s="16" t="n">
        <x:v>2426</x:v>
      </x:c>
      <x:c r="B2429" s="16" t="str">
        <x:v>Eu Siti Atiqah Z 130823</x:v>
      </x:c>
      <x:c r="C2429" s="16" t="str"/>
      <x:c r="D2429" s="16" t="str"/>
      <x:c r="E2429" s="16" t="str">
        <x:v>Alumni eUsahawan | * myContacts</x:v>
      </x:c>
      <x:c r="F2429" s="16" t="str">
        <x:v>0177142317 | +60177142317</x:v>
      </x:c>
      <x:c r="G2429" s="16" t="str">
        <x:v>+60177142317 | +60177142317</x:v>
      </x:c>
      <x:c r="H2429" s="16" t="str">
        <x:v>Excluded</x:v>
      </x:c>
      <x:c r="I2429" s="16" t="str">
        <x:v>Missing email</x:v>
      </x:c>
    </x:row>
    <x:row r="2430">
      <x:c r="A2430" s="16" t="n">
        <x:v>2427</x:v>
      </x:c>
      <x:c r="B2430" s="16" t="str">
        <x:v>eu siti nokmarinee 18112023</x:v>
      </x:c>
      <x:c r="C2430" s="16" t="str">
        <x:v>siti7002@gmail.com</x:v>
      </x:c>
      <x:c r="D2430" s="16" t="str">
        <x:v>siti7002@gmail.com</x:v>
      </x:c>
      <x:c r="E2430" s="16" t="str">
        <x:v>Alumni eUsahawan | * myContacts</x:v>
      </x:c>
      <x:c r="F2430" s="16" t="str">
        <x:v>01162682086 | +601162682086</x:v>
      </x:c>
      <x:c r="G2430" s="16" t="str">
        <x:v>+601162682086 | +601162682086</x:v>
      </x:c>
      <x:c r="H2430" s="16" t="str">
        <x:v>Eligible</x:v>
      </x:c>
      <x:c r="I2430" s="16" t="str"/>
    </x:row>
    <x:row r="2431">
      <x:c r="A2431" s="16" t="n">
        <x:v>2428</x:v>
      </x:c>
      <x:c r="B2431" s="16" t="str">
        <x:v>eu siti nora isha 04112023</x:v>
      </x:c>
      <x:c r="C2431" s="16" t="str">
        <x:v>kasehsejati11985@gmail.com</x:v>
      </x:c>
      <x:c r="D2431" s="16" t="str">
        <x:v>kasehsejati11985@gmail.com</x:v>
      </x:c>
      <x:c r="E2431" s="16" t="str">
        <x:v>Alumni eUsahawan | * myContacts</x:v>
      </x:c>
      <x:c r="F2431" s="16" t="str">
        <x:v>0145304441 | +60145304441</x:v>
      </x:c>
      <x:c r="G2431" s="16" t="str">
        <x:v>+60145304441 | +60145304441</x:v>
      </x:c>
      <x:c r="H2431" s="16" t="str">
        <x:v>Eligible</x:v>
      </x:c>
      <x:c r="I2431" s="16" t="str"/>
    </x:row>
    <x:row r="2432">
      <x:c r="A2432" s="16" t="n">
        <x:v>2429</x:v>
      </x:c>
      <x:c r="B2432" s="16" t="str">
        <x:v>eu siti nur hafiezaty</x:v>
      </x:c>
      <x:c r="C2432" s="16" t="str">
        <x:v>cthafiezerty@yahoo.com</x:v>
      </x:c>
      <x:c r="D2432" s="16" t="str">
        <x:v>cthafiezerty@yahoo.com</x:v>
      </x:c>
      <x:c r="E2432" s="16" t="str">
        <x:v>Alumni eUsahawan | * myContacts</x:v>
      </x:c>
      <x:c r="F2432" s="16" t="str">
        <x:v>01163668334 | +601163668334</x:v>
      </x:c>
      <x:c r="G2432" s="16" t="str">
        <x:v>+601163668334 | +601163668334</x:v>
      </x:c>
      <x:c r="H2432" s="16" t="str">
        <x:v>Eligible</x:v>
      </x:c>
      <x:c r="I2432" s="16" t="str"/>
    </x:row>
    <x:row r="2433">
      <x:c r="A2433" s="16" t="n">
        <x:v>2430</x:v>
      </x:c>
      <x:c r="B2433" s="16" t="str">
        <x:v>eu siti nur zulaikha 04112023</x:v>
      </x:c>
      <x:c r="C2433" s="16" t="str">
        <x:v>eykahisum3@gmail.com</x:v>
      </x:c>
      <x:c r="D2433" s="16" t="str">
        <x:v>eykahisum3@gmail.com</x:v>
      </x:c>
      <x:c r="E2433" s="16" t="str">
        <x:v>Alumni eUsahawan | * myContacts</x:v>
      </x:c>
      <x:c r="F2433" s="16" t="str">
        <x:v>0145728013 | +60145728013</x:v>
      </x:c>
      <x:c r="G2433" s="16" t="str">
        <x:v>+60145728013 | +60145728013</x:v>
      </x:c>
      <x:c r="H2433" s="16" t="str">
        <x:v>Eligible</x:v>
      </x:c>
      <x:c r="I2433" s="16" t="str"/>
    </x:row>
    <x:row r="2434">
      <x:c r="A2434" s="16" t="n">
        <x:v>2431</x:v>
      </x:c>
      <x:c r="B2434" s="16" t="str">
        <x:v>eu siti nurulhuda z 060823</x:v>
      </x:c>
      <x:c r="C2434" s="16" t="str"/>
      <x:c r="D2434" s="16" t="str"/>
      <x:c r="E2434" s="16" t="str">
        <x:v>Alumni eUsahawan | * myContacts</x:v>
      </x:c>
      <x:c r="F2434" s="16" t="str">
        <x:v>0166164226 | +60166164226 | +60 11-3595 5299</x:v>
      </x:c>
      <x:c r="G2434" s="16" t="str">
        <x:v>+60166164226 | +60166164226 | +601135955299</x:v>
      </x:c>
      <x:c r="H2434" s="16" t="str">
        <x:v>Excluded</x:v>
      </x:c>
      <x:c r="I2434" s="16" t="str">
        <x:v>Missing email</x:v>
      </x:c>
    </x:row>
    <x:row r="2435">
      <x:c r="A2435" s="16" t="n">
        <x:v>2432</x:v>
      </x:c>
      <x:c r="B2435" s="16" t="str">
        <x:v>Eu Siti Suhailey Z 130823</x:v>
      </x:c>
      <x:c r="C2435" s="16" t="str"/>
      <x:c r="D2435" s="16" t="str"/>
      <x:c r="E2435" s="16" t="str">
        <x:v>Alumni eUsahawan | * myContacts</x:v>
      </x:c>
      <x:c r="F2435" s="16" t="str">
        <x:v>0106603985 | +60106603985</x:v>
      </x:c>
      <x:c r="G2435" s="16" t="str">
        <x:v>+60106603985 | +60106603985</x:v>
      </x:c>
      <x:c r="H2435" s="16" t="str">
        <x:v>Excluded</x:v>
      </x:c>
      <x:c r="I2435" s="16" t="str">
        <x:v>Missing email</x:v>
      </x:c>
    </x:row>
    <x:row r="2436">
      <x:c r="A2436" s="16" t="n">
        <x:v>2433</x:v>
      </x:c>
      <x:c r="B2436" s="16" t="str">
        <x:v>eu siti suriani 18112023</x:v>
      </x:c>
      <x:c r="C2436" s="16" t="str">
        <x:v>putrizafran1012@gmail.com</x:v>
      </x:c>
      <x:c r="D2436" s="16" t="str">
        <x:v>putrizafran1012@gmail.com</x:v>
      </x:c>
      <x:c r="E2436" s="16" t="str">
        <x:v>Alumni eUsahawan | * myContacts</x:v>
      </x:c>
      <x:c r="F2436" s="16" t="str">
        <x:v>0193336462 | +60193336462</x:v>
      </x:c>
      <x:c r="G2436" s="16" t="str">
        <x:v>+60193336462 | +60193336462</x:v>
      </x:c>
      <x:c r="H2436" s="16" t="str">
        <x:v>Eligible</x:v>
      </x:c>
      <x:c r="I2436" s="16" t="str"/>
    </x:row>
    <x:row r="2437">
      <x:c r="A2437" s="16" t="n">
        <x:v>2434</x:v>
      </x:c>
      <x:c r="B2437" s="16" t="str">
        <x:v>eu siti zubaidah z 060823</x:v>
      </x:c>
      <x:c r="C2437" s="16" t="str"/>
      <x:c r="D2437" s="16" t="str"/>
      <x:c r="E2437" s="16" t="str">
        <x:v>Alumni eUsahawan | * myContacts</x:v>
      </x:c>
      <x:c r="F2437" s="16" t="str">
        <x:v>0199859427 | +60199859427</x:v>
      </x:c>
      <x:c r="G2437" s="16" t="str">
        <x:v>+60199859427 | +60199859427</x:v>
      </x:c>
      <x:c r="H2437" s="16" t="str">
        <x:v>Excluded</x:v>
      </x:c>
      <x:c r="I2437" s="16" t="str">
        <x:v>Missing email</x:v>
      </x:c>
    </x:row>
    <x:row r="2438">
      <x:c r="A2438" s="16" t="n">
        <x:v>2435</x:v>
      </x:c>
      <x:c r="B2438" s="16" t="str">
        <x:v>Eu Sopia Hanim VOE EU2023</x:v>
      </x:c>
      <x:c r="C2438" s="16" t="str"/>
      <x:c r="D2438" s="16" t="str"/>
      <x:c r="E2438" s="16" t="str">
        <x:v>Alumni eUsahawan | * myContacts</x:v>
      </x:c>
      <x:c r="F2438" s="16" t="str">
        <x:v>+60 12-424 3203 | +60124243203</x:v>
      </x:c>
      <x:c r="G2438" s="16" t="str">
        <x:v>+60124243203 | +60124243203</x:v>
      </x:c>
      <x:c r="H2438" s="16" t="str">
        <x:v>Excluded</x:v>
      </x:c>
      <x:c r="I2438" s="16" t="str">
        <x:v>Missing email</x:v>
      </x:c>
    </x:row>
    <x:row r="2439">
      <x:c r="A2439" s="16" t="n">
        <x:v>2436</x:v>
      </x:c>
      <x:c r="B2439" s="16" t="str">
        <x:v>eu suziana 18112023</x:v>
      </x:c>
      <x:c r="C2439" s="16" t="str"/>
      <x:c r="D2439" s="16" t="str"/>
      <x:c r="E2439" s="16" t="str">
        <x:v>Alumni eUsahawan | * myContacts</x:v>
      </x:c>
      <x:c r="F2439" s="16" t="str">
        <x:v>+601110671249</x:v>
      </x:c>
      <x:c r="G2439" s="16" t="str">
        <x:v>+601110671249</x:v>
      </x:c>
      <x:c r="H2439" s="16" t="str">
        <x:v>Excluded</x:v>
      </x:c>
      <x:c r="I2439" s="16" t="str">
        <x:v>Missing email</x:v>
      </x:c>
    </x:row>
    <x:row r="2440">
      <x:c r="A2440" s="16" t="n">
        <x:v>2437</x:v>
      </x:c>
      <x:c r="B2440" s="16" t="str">
        <x:v>eu syarifah 18112023</x:v>
      </x:c>
      <x:c r="C2440" s="16" t="str">
        <x:v>syarifahfatimah8@yahoo.com</x:v>
      </x:c>
      <x:c r="D2440" s="16" t="str">
        <x:v>syarifahfatimah8@yahoo.com</x:v>
      </x:c>
      <x:c r="E2440" s="16" t="str">
        <x:v>Alumni eUsahawan | * myContacts</x:v>
      </x:c>
      <x:c r="F2440" s="16" t="str">
        <x:v>0143012893 | +60143012893</x:v>
      </x:c>
      <x:c r="G2440" s="16" t="str">
        <x:v>+60143012893 | +60143012893</x:v>
      </x:c>
      <x:c r="H2440" s="16" t="str">
        <x:v>Eligible</x:v>
      </x:c>
      <x:c r="I2440" s="16" t="str"/>
    </x:row>
    <x:row r="2441">
      <x:c r="A2441" s="16" t="n">
        <x:v>2438</x:v>
      </x:c>
      <x:c r="B2441" s="16" t="str">
        <x:v>eu tuan fatimah 18112023</x:v>
      </x:c>
      <x:c r="C2441" s="16" t="str">
        <x:v>effaazfa82@gmail.com</x:v>
      </x:c>
      <x:c r="D2441" s="16" t="str">
        <x:v>effaazfa82@gmail.com</x:v>
      </x:c>
      <x:c r="E2441" s="16" t="str">
        <x:v>Alumni eUsahawan | * myContacts</x:v>
      </x:c>
      <x:c r="F2441" s="16" t="str">
        <x:v>0177529747 | +60177529747</x:v>
      </x:c>
      <x:c r="G2441" s="16" t="str">
        <x:v>+60177529747 | +60177529747</x:v>
      </x:c>
      <x:c r="H2441" s="16" t="str">
        <x:v>Eligible</x:v>
      </x:c>
      <x:c r="I2441" s="16" t="str"/>
    </x:row>
    <x:row r="2442">
      <x:c r="A2442" s="16" t="n">
        <x:v>2439</x:v>
      </x:c>
      <x:c r="B2442" s="16" t="str">
        <x:v>eu tuan noor 04112023</x:v>
      </x:c>
      <x:c r="C2442" s="16" t="str">
        <x:v>aidawati4884@gmail.com</x:v>
      </x:c>
      <x:c r="D2442" s="16" t="str">
        <x:v>aidawati4884@gmail.com</x:v>
      </x:c>
      <x:c r="E2442" s="16" t="str">
        <x:v>Alumni eUsahawan | * myContacts</x:v>
      </x:c>
      <x:c r="F2442" s="16" t="str">
        <x:v>0148074884 | +60148074884</x:v>
      </x:c>
      <x:c r="G2442" s="16" t="str">
        <x:v>+60148074884 | +60148074884</x:v>
      </x:c>
      <x:c r="H2442" s="16" t="str">
        <x:v>Eligible</x:v>
      </x:c>
      <x:c r="I2442" s="16" t="str"/>
    </x:row>
    <x:row r="2443">
      <x:c r="A2443" s="16" t="n">
        <x:v>2440</x:v>
      </x:c>
      <x:c r="B2443" s="16" t="str">
        <x:v>eu umar hafidz z 060823</x:v>
      </x:c>
      <x:c r="C2443" s="16" t="str"/>
      <x:c r="D2443" s="16" t="str"/>
      <x:c r="E2443" s="16" t="str">
        <x:v>Alumni eUsahawan | * myContacts</x:v>
      </x:c>
      <x:c r="F2443" s="16" t="str">
        <x:v>01137389442 | +601137389442</x:v>
      </x:c>
      <x:c r="G2443" s="16" t="str">
        <x:v>+601137389442 | +601137389442</x:v>
      </x:c>
      <x:c r="H2443" s="16" t="str">
        <x:v>Excluded</x:v>
      </x:c>
      <x:c r="I2443" s="16" t="str">
        <x:v>Missing email</x:v>
      </x:c>
    </x:row>
    <x:row r="2444">
      <x:c r="A2444" s="16" t="n">
        <x:v>2441</x:v>
      </x:c>
      <x:c r="B2444" s="16" t="str">
        <x:v>eu wan asmah 04112023</x:v>
      </x:c>
      <x:c r="C2444" s="16" t="str">
        <x:v>waasma9574@gmail.com</x:v>
      </x:c>
      <x:c r="D2444" s="16" t="str">
        <x:v>waasma9574@gmail.com</x:v>
      </x:c>
      <x:c r="E2444" s="16" t="str">
        <x:v>Alumni eUsahawan | * myContacts</x:v>
      </x:c>
      <x:c r="F2444" s="16" t="str"/>
      <x:c r="G2444" s="16" t="str"/>
      <x:c r="H2444" s="16" t="str">
        <x:v>Eligible</x:v>
      </x:c>
      <x:c r="I2444" s="16" t="str"/>
    </x:row>
    <x:row r="2445">
      <x:c r="A2445" s="16" t="n">
        <x:v>2442</x:v>
      </x:c>
      <x:c r="B2445" s="16" t="str">
        <x:v>Eu Wan Ibrahim Z 130823</x:v>
      </x:c>
      <x:c r="C2445" s="16" t="str"/>
      <x:c r="D2445" s="16" t="str"/>
      <x:c r="E2445" s="16" t="str">
        <x:v>Alumni eUsahawan | * myContacts</x:v>
      </x:c>
      <x:c r="F2445" s="16" t="str">
        <x:v>0129377371 | +60129377371</x:v>
      </x:c>
      <x:c r="G2445" s="16" t="str">
        <x:v>+60129377371 | +60129377371</x:v>
      </x:c>
      <x:c r="H2445" s="16" t="str">
        <x:v>Excluded</x:v>
      </x:c>
      <x:c r="I2445" s="16" t="str">
        <x:v>Missing email</x:v>
      </x:c>
    </x:row>
    <x:row r="2446">
      <x:c r="A2446" s="16" t="n">
        <x:v>2443</x:v>
      </x:c>
      <x:c r="B2446" s="16" t="str">
        <x:v>Eu Wan Mohd Z 130823</x:v>
      </x:c>
      <x:c r="C2446" s="16" t="str"/>
      <x:c r="D2446" s="16" t="str"/>
      <x:c r="E2446" s="16" t="str">
        <x:v>Alumni eUsahawan | * myContacts</x:v>
      </x:c>
      <x:c r="F2446" s="16" t="str">
        <x:v>0133235051 | +60133235051</x:v>
      </x:c>
      <x:c r="G2446" s="16" t="str">
        <x:v>+60133235051 | +60133235051</x:v>
      </x:c>
      <x:c r="H2446" s="16" t="str">
        <x:v>Excluded</x:v>
      </x:c>
      <x:c r="I2446" s="16" t="str">
        <x:v>Missing email</x:v>
      </x:c>
    </x:row>
    <x:row r="2447">
      <x:c r="A2447" s="16" t="n">
        <x:v>2444</x:v>
      </x:c>
      <x:c r="B2447" s="16" t="str">
        <x:v>Eu Wan Nur Fateehah Z 170823</x:v>
      </x:c>
      <x:c r="C2447" s="16" t="str"/>
      <x:c r="D2447" s="16" t="str"/>
      <x:c r="E2447" s="16" t="str">
        <x:v>Alumni eUsahawan | * myContacts</x:v>
      </x:c>
      <x:c r="F2447" s="16" t="str">
        <x:v>+60 14-845 9203 | +60148459203</x:v>
      </x:c>
      <x:c r="G2447" s="16" t="str">
        <x:v>+60148459203 | +60148459203</x:v>
      </x:c>
      <x:c r="H2447" s="16" t="str">
        <x:v>Excluded</x:v>
      </x:c>
      <x:c r="I2447" s="16" t="str">
        <x:v>Missing email</x:v>
      </x:c>
    </x:row>
    <x:row r="2448">
      <x:c r="A2448" s="16" t="n">
        <x:v>2445</x:v>
      </x:c>
      <x:c r="B2448" s="16" t="str">
        <x:v>eu wan zarifah z 060823</x:v>
      </x:c>
      <x:c r="C2448" s="16" t="str"/>
      <x:c r="D2448" s="16" t="str"/>
      <x:c r="E2448" s="16" t="str">
        <x:v>Alumni eUsahawan | * myContacts</x:v>
      </x:c>
      <x:c r="F2448" s="16" t="str">
        <x:v>0192016520 | +60192016520</x:v>
      </x:c>
      <x:c r="G2448" s="16" t="str">
        <x:v>+60192016520 | +60192016520</x:v>
      </x:c>
      <x:c r="H2448" s="16" t="str">
        <x:v>Excluded</x:v>
      </x:c>
      <x:c r="I2448" s="16" t="str">
        <x:v>Missing email</x:v>
      </x:c>
    </x:row>
    <x:row r="2449">
      <x:c r="A2449" s="16" t="n">
        <x:v>2446</x:v>
      </x:c>
      <x:c r="B2449" s="16" t="str">
        <x:v>eu wannabihah 04112023</x:v>
      </x:c>
      <x:c r="C2449" s="16" t="str">
        <x:v>affhansalihaim@gmail.com</x:v>
      </x:c>
      <x:c r="D2449" s="16" t="str">
        <x:v>affhansalihaim@gmail.com</x:v>
      </x:c>
      <x:c r="E2449" s="16" t="str">
        <x:v>Alumni eUsahawan | * myContacts</x:v>
      </x:c>
      <x:c r="F2449" s="16" t="str">
        <x:v>0136550955 | +60136550955</x:v>
      </x:c>
      <x:c r="G2449" s="16" t="str">
        <x:v>+60136550955 | +60136550955</x:v>
      </x:c>
      <x:c r="H2449" s="16" t="str">
        <x:v>Eligible</x:v>
      </x:c>
      <x:c r="I2449" s="16" t="str"/>
    </x:row>
    <x:row r="2450">
      <x:c r="A2450" s="16" t="n">
        <x:v>2447</x:v>
      </x:c>
      <x:c r="B2450" s="16" t="str">
        <x:v>Eu Yeow Xin Zhao Z 170823</x:v>
      </x:c>
      <x:c r="C2450" s="16" t="str"/>
      <x:c r="D2450" s="16" t="str"/>
      <x:c r="E2450" s="16" t="str">
        <x:v>Alumni eUsahawan | * myContacts</x:v>
      </x:c>
      <x:c r="F2450" s="16" t="str">
        <x:v>01133328963 | +601133328963</x:v>
      </x:c>
      <x:c r="G2450" s="16" t="str">
        <x:v>+601133328963 | +601133328963</x:v>
      </x:c>
      <x:c r="H2450" s="16" t="str">
        <x:v>Excluded</x:v>
      </x:c>
      <x:c r="I2450" s="16" t="str">
        <x:v>Missing email</x:v>
      </x:c>
    </x:row>
    <x:row r="2451">
      <x:c r="A2451" s="16" t="n">
        <x:v>2448</x:v>
      </x:c>
      <x:c r="B2451" s="16" t="str">
        <x:v>eu yusnita 04112023</x:v>
      </x:c>
      <x:c r="C2451" s="16" t="str">
        <x:v>yusnita1977@gmail.com</x:v>
      </x:c>
      <x:c r="D2451" s="16" t="str">
        <x:v>yusnita1977@gmail.com</x:v>
      </x:c>
      <x:c r="E2451" s="16" t="str">
        <x:v>Alumni eUsahawan | * myContacts</x:v>
      </x:c>
      <x:c r="F2451" s="16" t="str">
        <x:v>01136025316 | +601136025316</x:v>
      </x:c>
      <x:c r="G2451" s="16" t="str">
        <x:v>+601136025316 | +601136025316</x:v>
      </x:c>
      <x:c r="H2451" s="16" t="str">
        <x:v>Eligible</x:v>
      </x:c>
      <x:c r="I2451" s="16" t="str"/>
    </x:row>
    <x:row r="2452">
      <x:c r="A2452" s="16" t="n">
        <x:v>2449</x:v>
      </x:c>
      <x:c r="B2452" s="16" t="str">
        <x:v>eu zaudawati ab wahab 04112023</x:v>
      </x:c>
      <x:c r="C2452" s="16" t="str">
        <x:v>mymediczarida@gmail.com</x:v>
      </x:c>
      <x:c r="D2452" s="16" t="str">
        <x:v>mymediczarida@gmail.com</x:v>
      </x:c>
      <x:c r="E2452" s="16" t="str">
        <x:v>Alumni eUsahawan | * myContacts</x:v>
      </x:c>
      <x:c r="F2452" s="16" t="str">
        <x:v>0139648968 | +60139648968</x:v>
      </x:c>
      <x:c r="G2452" s="16" t="str">
        <x:v>+60139648968 | +60139648968</x:v>
      </x:c>
      <x:c r="H2452" s="16" t="str">
        <x:v>Eligible</x:v>
      </x:c>
      <x:c r="I2452" s="16" t="str"/>
    </x:row>
    <x:row r="2453">
      <x:c r="A2453" s="16" t="n">
        <x:v>2450</x:v>
      </x:c>
      <x:c r="B2453" s="16" t="str">
        <x:v>Eu Zulkifli Ahmad Z 130823</x:v>
      </x:c>
      <x:c r="C2453" s="16" t="str"/>
      <x:c r="D2453" s="16" t="str"/>
      <x:c r="E2453" s="16" t="str">
        <x:v>Alumni eUsahawan | * myContacts</x:v>
      </x:c>
      <x:c r="F2453" s="16" t="str">
        <x:v>0124152814 | +60124152814</x:v>
      </x:c>
      <x:c r="G2453" s="16" t="str">
        <x:v>+60124152814 | +60124152814</x:v>
      </x:c>
      <x:c r="H2453" s="16" t="str">
        <x:v>Excluded</x:v>
      </x:c>
      <x:c r="I2453" s="16" t="str">
        <x:v>Missing email</x:v>
      </x:c>
    </x:row>
    <x:row r="2454">
      <x:c r="A2454" s="16" t="n">
        <x:v>2451</x:v>
      </x:c>
      <x:c r="B2454" s="16" t="str">
        <x:v>eu zur aida che mat</x:v>
      </x:c>
      <x:c r="C2454" s="16" t="str">
        <x:v>zuraida1224@gmail.com</x:v>
      </x:c>
      <x:c r="D2454" s="16" t="str">
        <x:v>zuraida1224@gmail.com</x:v>
      </x:c>
      <x:c r="E2454" s="16" t="str">
        <x:v>Alumni eUsahawan | * myContacts</x:v>
      </x:c>
      <x:c r="F2454" s="16" t="str">
        <x:v>0139726686 | +60139726686</x:v>
      </x:c>
      <x:c r="G2454" s="16" t="str">
        <x:v>+60139726686 | +60139726686</x:v>
      </x:c>
      <x:c r="H2454" s="16" t="str">
        <x:v>Eligible</x:v>
      </x:c>
      <x:c r="I2454" s="16" t="str"/>
    </x:row>
    <x:row r="2455">
      <x:c r="A2455" s="16" t="n">
        <x:v>2452</x:v>
      </x:c>
      <x:c r="B2455" s="16" t="str">
        <x:v>eUsahawan Hakim Danapalan</x:v>
      </x:c>
      <x:c r="C2455" s="16" t="str"/>
      <x:c r="D2455" s="16" t="str"/>
      <x:c r="E2455" s="16" t="str">
        <x:v>Alumni eUsahawan | * myContacts</x:v>
      </x:c>
      <x:c r="F2455" s="16" t="str">
        <x:v>+60 17-938 0326 | +60179380326</x:v>
      </x:c>
      <x:c r="G2455" s="16" t="str">
        <x:v>+60179380326 | +60179380326</x:v>
      </x:c>
      <x:c r="H2455" s="16" t="str">
        <x:v>Excluded</x:v>
      </x:c>
      <x:c r="I2455" s="16" t="str">
        <x:v>Missing email</x:v>
      </x:c>
    </x:row>
    <x:row r="2456">
      <x:c r="A2456" s="16" t="n">
        <x:v>2453</x:v>
      </x:c>
      <x:c r="B2456" s="16" t="str">
        <x:v>Eusoff Green garage</x:v>
      </x:c>
      <x:c r="C2456" s="16" t="str"/>
      <x:c r="D2456" s="16" t="str"/>
      <x:c r="E2456" s="16" t="str">
        <x:v>* myContacts</x:v>
      </x:c>
      <x:c r="F2456" s="16" t="str">
        <x:v>+60 16-402 4482 | +60164024482</x:v>
      </x:c>
      <x:c r="G2456" s="16" t="str">
        <x:v>+60164024482 | +60164024482</x:v>
      </x:c>
      <x:c r="H2456" s="16" t="str">
        <x:v>Excluded</x:v>
      </x:c>
      <x:c r="I2456" s="16" t="str">
        <x:v>Missing email</x:v>
      </x:c>
    </x:row>
    <x:row r="2457">
      <x:c r="A2457" s="16" t="n">
        <x:v>2454</x:v>
      </x:c>
      <x:c r="B2457" s="16" t="str">
        <x:v>EUZOOM Syed Munif 180923</x:v>
      </x:c>
      <x:c r="C2457" s="16" t="str"/>
      <x:c r="D2457" s="16" t="str"/>
      <x:c r="E2457" s="16" t="str">
        <x:v>* myContacts</x:v>
      </x:c>
      <x:c r="F2457" s="16" t="str">
        <x:v>+60 18-767 7706 | +60187677706</x:v>
      </x:c>
      <x:c r="G2457" s="16" t="str">
        <x:v>+60187677706 | +60187677706</x:v>
      </x:c>
      <x:c r="H2457" s="16" t="str">
        <x:v>Excluded</x:v>
      </x:c>
      <x:c r="I2457" s="16" t="str">
        <x:v>Missing email</x:v>
      </x:c>
    </x:row>
    <x:row r="2458">
      <x:c r="A2458" s="16" t="n">
        <x:v>2455</x:v>
      </x:c>
      <x:c r="B2458" s="16" t="str">
        <x:v>Evellyn</x:v>
      </x:c>
      <x:c r="C2458" s="16" t="str"/>
      <x:c r="D2458" s="16" t="str"/>
      <x:c r="E2458" s="16" t="str">
        <x:v>* myContacts</x:v>
      </x:c>
      <x:c r="F2458" s="16" t="str">
        <x:v>+6285742737477</x:v>
      </x:c>
      <x:c r="G2458" s="16" t="str">
        <x:v>+6285742737477</x:v>
      </x:c>
      <x:c r="H2458" s="16" t="str">
        <x:v>Excluded</x:v>
      </x:c>
      <x:c r="I2458" s="16" t="str">
        <x:v>Missing email</x:v>
      </x:c>
    </x:row>
    <x:row r="2459">
      <x:c r="A2459" s="16" t="n">
        <x:v>2456</x:v>
      </x:c>
      <x:c r="B2459" s="16" t="str">
        <x:v>event bijak bicara</x:v>
      </x:c>
      <x:c r="C2459" s="16" t="str"/>
      <x:c r="D2459" s="16" t="str"/>
      <x:c r="E2459" s="16" t="str">
        <x:v>* myContacts</x:v>
      </x:c>
      <x:c r="F2459" s="16" t="str">
        <x:v>+60194509025</x:v>
      </x:c>
      <x:c r="G2459" s="16" t="str">
        <x:v>+60194509025</x:v>
      </x:c>
      <x:c r="H2459" s="16" t="str">
        <x:v>Excluded</x:v>
      </x:c>
      <x:c r="I2459" s="16" t="str">
        <x:v>Missing email</x:v>
      </x:c>
    </x:row>
    <x:row r="2460">
      <x:c r="A2460" s="16" t="n">
        <x:v>2457</x:v>
      </x:c>
      <x:c r="B2460" s="16" t="str">
        <x:v>Evisunarti</x:v>
      </x:c>
      <x:c r="C2460" s="16" t="str"/>
      <x:c r="D2460" s="16" t="str"/>
      <x:c r="E2460" s="16" t="str">
        <x:v>* myContacts</x:v>
      </x:c>
      <x:c r="F2460" s="16" t="str">
        <x:v>+6289627234870</x:v>
      </x:c>
      <x:c r="G2460" s="16" t="str">
        <x:v>+6289627234870</x:v>
      </x:c>
      <x:c r="H2460" s="16" t="str">
        <x:v>Excluded</x:v>
      </x:c>
      <x:c r="I2460" s="16" t="str">
        <x:v>Missing email</x:v>
      </x:c>
    </x:row>
    <x:row r="2461">
      <x:c r="A2461" s="16" t="n">
        <x:v>2458</x:v>
      </x:c>
      <x:c r="B2461" s="16" t="str">
        <x:v>Ewan Jny</x:v>
      </x:c>
      <x:c r="C2461" s="16" t="str"/>
      <x:c r="D2461" s="16" t="str"/>
      <x:c r="E2461" s="16" t="str">
        <x:v>* myContacts</x:v>
      </x:c>
      <x:c r="F2461" s="16" t="str">
        <x:v>+60133675822</x:v>
      </x:c>
      <x:c r="G2461" s="16" t="str">
        <x:v>+60133675822</x:v>
      </x:c>
      <x:c r="H2461" s="16" t="str">
        <x:v>Excluded</x:v>
      </x:c>
      <x:c r="I2461" s="16" t="str">
        <x:v>Missing email</x:v>
      </x:c>
    </x:row>
    <x:row r="2462">
      <x:c r="A2462" s="16" t="n">
        <x:v>2459</x:v>
      </x:c>
      <x:c r="B2462" s="16" t="str">
        <x:v>Exaf Resources</x:v>
      </x:c>
      <x:c r="C2462" s="16" t="str"/>
      <x:c r="D2462" s="16" t="str"/>
      <x:c r="E2462" s="16" t="str">
        <x:v>* myContacts</x:v>
      </x:c>
      <x:c r="F2462" s="16" t="str">
        <x:v>+60137517081</x:v>
      </x:c>
      <x:c r="G2462" s="16" t="str">
        <x:v>+60137517081</x:v>
      </x:c>
      <x:c r="H2462" s="16" t="str">
        <x:v>Excluded</x:v>
      </x:c>
      <x:c r="I2462" s="16" t="str">
        <x:v>Missing email</x:v>
      </x:c>
    </x:row>
    <x:row r="2463">
      <x:c r="A2463" s="16" t="n">
        <x:v>2460</x:v>
      </x:c>
      <x:c r="B2463" s="16" t="str">
        <x:v>ExcelGain Hardware</x:v>
      </x:c>
      <x:c r="C2463" s="16" t="str"/>
      <x:c r="D2463" s="16" t="str"/>
      <x:c r="E2463" s="16" t="str">
        <x:v>* myContacts</x:v>
      </x:c>
      <x:c r="F2463" s="16" t="str">
        <x:v>+6067671111</x:v>
      </x:c>
      <x:c r="G2463" s="16" t="str">
        <x:v>+6067671111</x:v>
      </x:c>
      <x:c r="H2463" s="16" t="str">
        <x:v>Excluded</x:v>
      </x:c>
      <x:c r="I2463" s="16" t="str">
        <x:v>Missing email</x:v>
      </x:c>
    </x:row>
    <x:row r="2464">
      <x:c r="A2464" s="16" t="n">
        <x:v>2461</x:v>
      </x:c>
      <x:c r="B2464" s="16" t="str">
        <x:v>ExclusivePerfume Elizad Sharifuddin</x:v>
      </x:c>
      <x:c r="C2464" s="16" t="str"/>
      <x:c r="D2464" s="16" t="str"/>
      <x:c r="E2464" s="16" t="str">
        <x:v>* myContacts</x:v>
      </x:c>
      <x:c r="F2464" s="16" t="str">
        <x:v>+60145361056</x:v>
      </x:c>
      <x:c r="G2464" s="16" t="str">
        <x:v>+60145361056</x:v>
      </x:c>
      <x:c r="H2464" s="16" t="str">
        <x:v>Excluded</x:v>
      </x:c>
      <x:c r="I2464" s="16" t="str">
        <x:v>Missing email</x:v>
      </x:c>
    </x:row>
    <x:row r="2465">
      <x:c r="A2465" s="16" t="n">
        <x:v>2462</x:v>
      </x:c>
      <x:c r="B2465" s="16" t="str">
        <x:v>Executive Program FAIZUL IMRAN @ ALANG</x:v>
      </x:c>
      <x:c r="C2465" s="16" t="str"/>
      <x:c r="D2465" s="16" t="str"/>
      <x:c r="E2465" s="16" t="str">
        <x:v>* myContacts</x:v>
      </x:c>
      <x:c r="F2465" s="16" t="str">
        <x:v>+60136249029</x:v>
      </x:c>
      <x:c r="G2465" s="16" t="str">
        <x:v>+60136249029</x:v>
      </x:c>
      <x:c r="H2465" s="16" t="str">
        <x:v>Excluded</x:v>
      </x:c>
      <x:c r="I2465" s="16" t="str">
        <x:v>Missing email</x:v>
      </x:c>
    </x:row>
    <x:row r="2466">
      <x:c r="A2466" s="16" t="n">
        <x:v>2463</x:v>
      </x:c>
      <x:c r="B2466" s="16" t="str">
        <x:v>EyCa Oyo Oyo</x:v>
      </x:c>
      <x:c r="C2466" s="16" t="str"/>
      <x:c r="D2466" s="16" t="str"/>
      <x:c r="E2466" s="16" t="str">
        <x:v>* myContacts</x:v>
      </x:c>
      <x:c r="F2466" s="16" t="str">
        <x:v>+601126854135</x:v>
      </x:c>
      <x:c r="G2466" s="16" t="str">
        <x:v>+601126854135</x:v>
      </x:c>
      <x:c r="H2466" s="16" t="str">
        <x:v>Excluded</x:v>
      </x:c>
      <x:c r="I2466" s="16" t="str">
        <x:v>Missing email</x:v>
      </x:c>
    </x:row>
    <x:row r="2467">
      <x:c r="A2467" s="16" t="n">
        <x:v>2464</x:v>
      </x:c>
      <x:c r="B2467" s="16" t="str">
        <x:v>Eyda PA PA</x:v>
      </x:c>
      <x:c r="C2467" s="16" t="str"/>
      <x:c r="D2467" s="16" t="str"/>
      <x:c r="E2467" s="16" t="str">
        <x:v>* myContacts</x:v>
      </x:c>
      <x:c r="F2467" s="16" t="str">
        <x:v>+60 16-293 0490 | +60162930490</x:v>
      </x:c>
      <x:c r="G2467" s="16" t="str">
        <x:v>+60162930490 | +60162930490</x:v>
      </x:c>
      <x:c r="H2467" s="16" t="str">
        <x:v>Excluded</x:v>
      </x:c>
      <x:c r="I2467" s="16" t="str">
        <x:v>Missing email</x:v>
      </x:c>
    </x:row>
    <x:row r="2468">
      <x:c r="A2468" s="16" t="n">
        <x:v>2465</x:v>
      </x:c>
      <x:c r="B2468" s="16" t="str">
        <x:v>Eydaa Noraida</x:v>
      </x:c>
      <x:c r="C2468" s="16" t="str"/>
      <x:c r="D2468" s="16" t="str"/>
      <x:c r="E2468" s="16" t="str">
        <x:v>* myContacts</x:v>
      </x:c>
      <x:c r="F2468" s="16" t="str">
        <x:v>+601114935328</x:v>
      </x:c>
      <x:c r="G2468" s="16" t="str">
        <x:v>+601114935328</x:v>
      </x:c>
      <x:c r="H2468" s="16" t="str">
        <x:v>Excluded</x:v>
      </x:c>
      <x:c r="I2468" s="16" t="str">
        <x:v>Missing email</x:v>
      </x:c>
    </x:row>
    <x:row r="2469">
      <x:c r="A2469" s="16" t="n">
        <x:v>2466</x:v>
      </x:c>
      <x:c r="B2469" s="16" t="str">
        <x:v>Eyemake PG Karpal Singh</x:v>
      </x:c>
      <x:c r="C2469" s="16" t="str"/>
      <x:c r="D2469" s="16" t="str"/>
      <x:c r="E2469" s="16" t="str">
        <x:v>* myContacts</x:v>
      </x:c>
      <x:c r="F2469" s="16" t="str">
        <x:v>+6042889655</x:v>
      </x:c>
      <x:c r="G2469" s="16" t="str">
        <x:v>+6042889655</x:v>
      </x:c>
      <x:c r="H2469" s="16" t="str">
        <x:v>Excluded</x:v>
      </x:c>
      <x:c r="I2469" s="16" t="str">
        <x:v>Missing email</x:v>
      </x:c>
    </x:row>
    <x:row r="2470">
      <x:c r="A2470" s="16" t="n">
        <x:v>2467</x:v>
      </x:c>
      <x:c r="B2470" s="16" t="str">
        <x:v>Eyfa NorArfah</x:v>
      </x:c>
      <x:c r="C2470" s="16" t="str"/>
      <x:c r="D2470" s="16" t="str"/>
      <x:c r="E2470" s="16" t="str">
        <x:v>* myContacts</x:v>
      </x:c>
      <x:c r="F2470" s="16" t="str">
        <x:v>+60197307701</x:v>
      </x:c>
      <x:c r="G2470" s="16" t="str">
        <x:v>+60197307701</x:v>
      </x:c>
      <x:c r="H2470" s="16" t="str">
        <x:v>Excluded</x:v>
      </x:c>
      <x:c r="I2470" s="16" t="str">
        <x:v>Missing email</x:v>
      </x:c>
    </x:row>
    <x:row r="2471">
      <x:c r="A2471" s="16" t="n">
        <x:v>2468</x:v>
      </x:c>
      <x:c r="B2471" s="16" t="str">
        <x:v>Eyka Essens Agent Rompin Paàhang</x:v>
      </x:c>
      <x:c r="C2471" s="16" t="str"/>
      <x:c r="D2471" s="16" t="str"/>
      <x:c r="E2471" s="16" t="str">
        <x:v>* myContacts</x:v>
      </x:c>
      <x:c r="F2471" s="16" t="str">
        <x:v>+60 11-2410 2071 | +601124102071</x:v>
      </x:c>
      <x:c r="G2471" s="16" t="str">
        <x:v>+601124102071 | +601124102071</x:v>
      </x:c>
      <x:c r="H2471" s="16" t="str">
        <x:v>Excluded</x:v>
      </x:c>
      <x:c r="I2471" s="16" t="str">
        <x:v>Missing email</x:v>
      </x:c>
    </x:row>
    <x:row r="2472">
      <x:c r="A2472" s="16" t="n">
        <x:v>2469</x:v>
      </x:c>
      <x:c r="B2472" s="16" t="str">
        <x:v>Eyka Mieca</x:v>
      </x:c>
      <x:c r="C2472" s="16" t="str"/>
      <x:c r="D2472" s="16" t="str"/>
      <x:c r="E2472" s="16" t="str">
        <x:v>* myContacts</x:v>
      </x:c>
      <x:c r="F2472" s="16" t="str">
        <x:v>+60142505931</x:v>
      </x:c>
      <x:c r="G2472" s="16" t="str">
        <x:v>+60142505931</x:v>
      </x:c>
      <x:c r="H2472" s="16" t="str">
        <x:v>Excluded</x:v>
      </x:c>
      <x:c r="I2472" s="16" t="str">
        <x:v>Missing email</x:v>
      </x:c>
    </x:row>
    <x:row r="2473">
      <x:c r="A2473" s="16" t="n">
        <x:v>2470</x:v>
      </x:c>
      <x:c r="B2473" s="16" t="str">
        <x:v>Eyka Syazrina</x:v>
      </x:c>
      <x:c r="C2473" s="16" t="str"/>
      <x:c r="D2473" s="16" t="str"/>
      <x:c r="E2473" s="16" t="str">
        <x:v>* myContacts</x:v>
      </x:c>
      <x:c r="F2473" s="16" t="str">
        <x:v>+60125985957</x:v>
      </x:c>
      <x:c r="G2473" s="16" t="str">
        <x:v>+60125985957</x:v>
      </x:c>
      <x:c r="H2473" s="16" t="str">
        <x:v>Excluded</x:v>
      </x:c>
      <x:c r="I2473" s="16" t="str">
        <x:v>Missing email</x:v>
      </x:c>
    </x:row>
    <x:row r="2474">
      <x:c r="A2474" s="16" t="n">
        <x:v>2471</x:v>
      </x:c>
      <x:c r="B2474" s="16" t="str">
        <x:v>Eykin Hasikin Ekin</x:v>
      </x:c>
      <x:c r="C2474" s="16" t="str"/>
      <x:c r="D2474" s="16" t="str"/>
      <x:c r="E2474" s="16" t="str">
        <x:v>* myContacts</x:v>
      </x:c>
      <x:c r="F2474" s="16" t="str">
        <x:v>+60127263088</x:v>
      </x:c>
      <x:c r="G2474" s="16" t="str">
        <x:v>+60127263088</x:v>
      </x:c>
      <x:c r="H2474" s="16" t="str">
        <x:v>Excluded</x:v>
      </x:c>
      <x:c r="I2474" s="16" t="str">
        <x:v>Missing email</x:v>
      </x:c>
    </x:row>
    <x:row r="2475">
      <x:c r="A2475" s="16" t="n">
        <x:v>2472</x:v>
      </x:c>
      <x:c r="B2475" s="16" t="str">
        <x:v>Eyla Bcs</x:v>
      </x:c>
      <x:c r="C2475" s="16" t="str"/>
      <x:c r="D2475" s="16" t="str"/>
      <x:c r="E2475" s="16" t="str">
        <x:v>* myContacts</x:v>
      </x:c>
      <x:c r="F2475" s="16" t="str">
        <x:v>+60182501223</x:v>
      </x:c>
      <x:c r="G2475" s="16" t="str">
        <x:v>+60182501223</x:v>
      </x:c>
      <x:c r="H2475" s="16" t="str">
        <x:v>Excluded</x:v>
      </x:c>
      <x:c r="I2475" s="16" t="str">
        <x:v>Missing email</x:v>
      </x:c>
    </x:row>
    <x:row r="2476">
      <x:c r="A2476" s="16" t="n">
        <x:v>2473</x:v>
      </x:c>
      <x:c r="B2476" s="16" t="str">
        <x:v>Eyla Dinzniey</x:v>
      </x:c>
      <x:c r="C2476" s="16" t="str"/>
      <x:c r="D2476" s="16" t="str"/>
      <x:c r="E2476" s="16" t="str">
        <x:v>* myContacts</x:v>
      </x:c>
      <x:c r="F2476" s="16" t="str">
        <x:v>+60179170012</x:v>
      </x:c>
      <x:c r="G2476" s="16" t="str">
        <x:v>+60179170012</x:v>
      </x:c>
      <x:c r="H2476" s="16" t="str">
        <x:v>Excluded</x:v>
      </x:c>
      <x:c r="I2476" s="16" t="str">
        <x:v>Missing email</x:v>
      </x:c>
    </x:row>
    <x:row r="2477">
      <x:c r="A2477" s="16" t="n">
        <x:v>2474</x:v>
      </x:c>
      <x:c r="B2477" s="16" t="str">
        <x:v>Eyna Mia</x:v>
      </x:c>
      <x:c r="C2477" s="16" t="str"/>
      <x:c r="D2477" s="16" t="str"/>
      <x:c r="E2477" s="16" t="str">
        <x:v>* myContacts</x:v>
      </x:c>
      <x:c r="F2477" s="16" t="str">
        <x:v>+60175119712</x:v>
      </x:c>
      <x:c r="G2477" s="16" t="str">
        <x:v>+60175119712</x:v>
      </x:c>
      <x:c r="H2477" s="16" t="str">
        <x:v>Excluded</x:v>
      </x:c>
      <x:c r="I2477" s="16" t="str">
        <x:v>Missing email</x:v>
      </x:c>
    </x:row>
    <x:row r="2478">
      <x:c r="A2478" s="16" t="n">
        <x:v>2475</x:v>
      </x:c>
      <x:c r="B2478" s="16" t="str">
        <x:v>Eynha Liyana</x:v>
      </x:c>
      <x:c r="C2478" s="16" t="str"/>
      <x:c r="D2478" s="16" t="str"/>
      <x:c r="E2478" s="16" t="str">
        <x:v>* myContacts</x:v>
      </x:c>
      <x:c r="F2478" s="16" t="str">
        <x:v>+60194696192</x:v>
      </x:c>
      <x:c r="G2478" s="16" t="str">
        <x:v>+60194696192</x:v>
      </x:c>
      <x:c r="H2478" s="16" t="str">
        <x:v>Excluded</x:v>
      </x:c>
      <x:c r="I2478" s="16" t="str">
        <x:v>Missing email</x:v>
      </x:c>
    </x:row>
    <x:row r="2479">
      <x:c r="A2479" s="16" t="n">
        <x:v>2476</x:v>
      </x:c>
      <x:c r="B2479" s="16" t="str">
        <x:v>EyQa SyakEyra</x:v>
      </x:c>
      <x:c r="C2479" s="16" t="str"/>
      <x:c r="D2479" s="16" t="str"/>
      <x:c r="E2479" s="16" t="str">
        <x:v>* myContacts</x:v>
      </x:c>
      <x:c r="F2479" s="16" t="str">
        <x:v>+60199745435</x:v>
      </x:c>
      <x:c r="G2479" s="16" t="str">
        <x:v>+60199745435</x:v>
      </x:c>
      <x:c r="H2479" s="16" t="str">
        <x:v>Excluded</x:v>
      </x:c>
      <x:c r="I2479" s="16" t="str">
        <x:v>Missing email</x:v>
      </x:c>
    </x:row>
    <x:row r="2480">
      <x:c r="A2480" s="16" t="n">
        <x:v>2477</x:v>
      </x:c>
      <x:c r="B2480" s="16" t="str">
        <x:v>Eyqa Zati</x:v>
      </x:c>
      <x:c r="C2480" s="16" t="str"/>
      <x:c r="D2480" s="16" t="str"/>
      <x:c r="E2480" s="16" t="str">
        <x:v>* myContacts</x:v>
      </x:c>
      <x:c r="F2480" s="16" t="str">
        <x:v>+601137375016</x:v>
      </x:c>
      <x:c r="G2480" s="16" t="str">
        <x:v>+601137375016</x:v>
      </x:c>
      <x:c r="H2480" s="16" t="str">
        <x:v>Excluded</x:v>
      </x:c>
      <x:c r="I2480" s="16" t="str">
        <x:v>Missing email</x:v>
      </x:c>
    </x:row>
    <x:row r="2481">
      <x:c r="A2481" s="16" t="n">
        <x:v>2478</x:v>
      </x:c>
      <x:c r="B2481" s="16" t="str">
        <x:v>Eyra Are-peng</x:v>
      </x:c>
      <x:c r="C2481" s="16" t="str"/>
      <x:c r="D2481" s="16" t="str"/>
      <x:c r="E2481" s="16" t="str">
        <x:v>* myContacts</x:v>
      </x:c>
      <x:c r="F2481" s="16" t="str">
        <x:v>+601117581739</x:v>
      </x:c>
      <x:c r="G2481" s="16" t="str">
        <x:v>+601117581739</x:v>
      </x:c>
      <x:c r="H2481" s="16" t="str">
        <x:v>Excluded</x:v>
      </x:c>
      <x:c r="I2481" s="16" t="str">
        <x:v>Missing email</x:v>
      </x:c>
    </x:row>
    <x:row r="2482">
      <x:c r="A2482" s="16" t="n">
        <x:v>2479</x:v>
      </x:c>
      <x:c r="B2482" s="16" t="str">
        <x:v>Eyra Nadira</x:v>
      </x:c>
      <x:c r="C2482" s="16" t="str"/>
      <x:c r="D2482" s="16" t="str"/>
      <x:c r="E2482" s="16" t="str">
        <x:v>* myContacts</x:v>
      </x:c>
      <x:c r="F2482" s="16" t="str">
        <x:v>+60149006996</x:v>
      </x:c>
      <x:c r="G2482" s="16" t="str">
        <x:v>+60149006996</x:v>
      </x:c>
      <x:c r="H2482" s="16" t="str">
        <x:v>Excluded</x:v>
      </x:c>
      <x:c r="I2482" s="16" t="str">
        <x:v>Missing email</x:v>
      </x:c>
    </x:row>
    <x:row r="2483">
      <x:c r="A2483" s="16" t="n">
        <x:v>2480</x:v>
      </x:c>
      <x:c r="B2483" s="16" t="str">
        <x:v>Eyza Riesya</x:v>
      </x:c>
      <x:c r="C2483" s="16" t="str"/>
      <x:c r="D2483" s="16" t="str"/>
      <x:c r="E2483" s="16" t="str">
        <x:v>* myContacts</x:v>
      </x:c>
      <x:c r="F2483" s="16" t="str">
        <x:v>+60165724085</x:v>
      </x:c>
      <x:c r="G2483" s="16" t="str">
        <x:v>+60165724085</x:v>
      </x:c>
      <x:c r="H2483" s="16" t="str">
        <x:v>Excluded</x:v>
      </x:c>
      <x:c r="I2483" s="16" t="str">
        <x:v>Missing email</x:v>
      </x:c>
    </x:row>
    <x:row r="2484">
      <x:c r="A2484" s="16" t="n">
        <x:v>2481</x:v>
      </x:c>
      <x:c r="B2484" s="16" t="str">
        <x:v>Eyzal Airyza</x:v>
      </x:c>
      <x:c r="C2484" s="16" t="str"/>
      <x:c r="D2484" s="16" t="str"/>
      <x:c r="E2484" s="16" t="str">
        <x:v>* myContacts</x:v>
      </x:c>
      <x:c r="F2484" s="16" t="str">
        <x:v>+601125818708</x:v>
      </x:c>
      <x:c r="G2484" s="16" t="str">
        <x:v>+601125818708</x:v>
      </x:c>
      <x:c r="H2484" s="16" t="str">
        <x:v>Excluded</x:v>
      </x:c>
      <x:c r="I2484" s="16" t="str">
        <x:v>Missing email</x:v>
      </x:c>
    </x:row>
    <x:row r="2485">
      <x:c r="A2485" s="16" t="n">
        <x:v>2482</x:v>
      </x:c>
      <x:c r="B2485" s="16" t="str">
        <x:v>Eyzara Umaira</x:v>
      </x:c>
      <x:c r="C2485" s="16" t="str"/>
      <x:c r="D2485" s="16" t="str"/>
      <x:c r="E2485" s="16" t="str">
        <x:v>* myContacts</x:v>
      </x:c>
      <x:c r="F2485" s="16" t="str">
        <x:v>+60148571608</x:v>
      </x:c>
      <x:c r="G2485" s="16" t="str">
        <x:v>+60148571608</x:v>
      </x:c>
      <x:c r="H2485" s="16" t="str">
        <x:v>Excluded</x:v>
      </x:c>
      <x:c r="I2485" s="16" t="str">
        <x:v>Missing email</x:v>
      </x:c>
    </x:row>
    <x:row r="2486">
      <x:c r="A2486" s="16" t="n">
        <x:v>2483</x:v>
      </x:c>
      <x:c r="B2486" s="16" t="str">
        <x:v>EZ Talaze Nofiliya Rahmawati</x:v>
      </x:c>
      <x:c r="C2486" s="16" t="str"/>
      <x:c r="D2486" s="16" t="str"/>
      <x:c r="E2486" s="16" t="str">
        <x:v>* myContacts</x:v>
      </x:c>
      <x:c r="F2486" s="16" t="str">
        <x:v>+6281233445747</x:v>
      </x:c>
      <x:c r="G2486" s="16" t="str">
        <x:v>+6281233445747</x:v>
      </x:c>
      <x:c r="H2486" s="16" t="str">
        <x:v>Excluded</x:v>
      </x:c>
      <x:c r="I2486" s="16" t="str">
        <x:v>Missing email</x:v>
      </x:c>
    </x:row>
    <x:row r="2487">
      <x:c r="A2487" s="16" t="n">
        <x:v>2484</x:v>
      </x:c>
      <x:c r="B2487" s="16" t="str">
        <x:v>Ezaatie Azemie</x:v>
      </x:c>
      <x:c r="C2487" s="16" t="str"/>
      <x:c r="D2487" s="16" t="str"/>
      <x:c r="E2487" s="16" t="str">
        <x:v>* myContacts</x:v>
      </x:c>
      <x:c r="F2487" s="16" t="str">
        <x:v>+60183672242</x:v>
      </x:c>
      <x:c r="G2487" s="16" t="str">
        <x:v>+60183672242</x:v>
      </x:c>
      <x:c r="H2487" s="16" t="str">
        <x:v>Excluded</x:v>
      </x:c>
      <x:c r="I2487" s="16" t="str">
        <x:v>Missing email</x:v>
      </x:c>
    </x:row>
    <x:row r="2488">
      <x:c r="A2488" s="16" t="n">
        <x:v>2485</x:v>
      </x:c>
      <x:c r="B2488" s="16" t="str">
        <x:v>Ezain Tauke Bot Sabah Kk</x:v>
      </x:c>
      <x:c r="C2488" s="16" t="str"/>
      <x:c r="D2488" s="16" t="str"/>
      <x:c r="E2488" s="16" t="str">
        <x:v>* myContacts</x:v>
      </x:c>
      <x:c r="F2488" s="16" t="str">
        <x:v>+60149110799</x:v>
      </x:c>
      <x:c r="G2488" s="16" t="str">
        <x:v>+60149110799</x:v>
      </x:c>
      <x:c r="H2488" s="16" t="str">
        <x:v>Excluded</x:v>
      </x:c>
      <x:c r="I2488" s="16" t="str">
        <x:v>Missing email</x:v>
      </x:c>
    </x:row>
    <x:row r="2489">
      <x:c r="A2489" s="16" t="n">
        <x:v>2486</x:v>
      </x:c>
      <x:c r="B2489" s="16" t="str">
        <x:v>Ezal Azmeer</x:v>
      </x:c>
      <x:c r="C2489" s="16" t="str"/>
      <x:c r="D2489" s="16" t="str"/>
      <x:c r="E2489" s="16" t="str">
        <x:v>* myContacts</x:v>
      </x:c>
      <x:c r="F2489" s="16" t="str">
        <x:v>+60187654321</x:v>
      </x:c>
      <x:c r="G2489" s="16" t="str">
        <x:v>+60187654321</x:v>
      </x:c>
      <x:c r="H2489" s="16" t="str">
        <x:v>Excluded</x:v>
      </x:c>
      <x:c r="I2489" s="16" t="str">
        <x:v>Missing email</x:v>
      </x:c>
    </x:row>
    <x:row r="2490">
      <x:c r="A2490" s="16" t="n">
        <x:v>2487</x:v>
      </x:c>
      <x:c r="B2490" s="16" t="str">
        <x:v>Ezanie RH</x:v>
      </x:c>
      <x:c r="C2490" s="16" t="str"/>
      <x:c r="D2490" s="16" t="str"/>
      <x:c r="E2490" s="16" t="str">
        <x:v>* myContacts</x:v>
      </x:c>
      <x:c r="F2490" s="16" t="str">
        <x:v>+60163123314</x:v>
      </x:c>
      <x:c r="G2490" s="16" t="str">
        <x:v>+60163123314</x:v>
      </x:c>
      <x:c r="H2490" s="16" t="str">
        <x:v>Excluded</x:v>
      </x:c>
      <x:c r="I2490" s="16" t="str">
        <x:v>Missing email</x:v>
      </x:c>
    </x:row>
    <x:row r="2491">
      <x:c r="A2491" s="16" t="n">
        <x:v>2488</x:v>
      </x:c>
      <x:c r="B2491" s="16" t="str">
        <x:v>Ezann Zaiani</x:v>
      </x:c>
      <x:c r="C2491" s="16" t="str"/>
      <x:c r="D2491" s="16" t="str"/>
      <x:c r="E2491" s="16" t="str">
        <x:v>* myContacts</x:v>
      </x:c>
      <x:c r="F2491" s="16" t="str">
        <x:v>+60133224941</x:v>
      </x:c>
      <x:c r="G2491" s="16" t="str">
        <x:v>+60133224941</x:v>
      </x:c>
      <x:c r="H2491" s="16" t="str">
        <x:v>Excluded</x:v>
      </x:c>
      <x:c r="I2491" s="16" t="str">
        <x:v>Missing email</x:v>
      </x:c>
    </x:row>
    <x:row r="2492">
      <x:c r="A2492" s="16" t="n">
        <x:v>2489</x:v>
      </x:c>
      <x:c r="B2492" s="16" t="str">
        <x:v>Ezdiani Mohammad</x:v>
      </x:c>
      <x:c r="C2492" s="16" t="str"/>
      <x:c r="D2492" s="16" t="str"/>
      <x:c r="E2492" s="16" t="str">
        <x:v>* myContacts</x:v>
      </x:c>
      <x:c r="F2492" s="16" t="str">
        <x:v>+60175744889</x:v>
      </x:c>
      <x:c r="G2492" s="16" t="str">
        <x:v>+60175744889</x:v>
      </x:c>
      <x:c r="H2492" s="16" t="str">
        <x:v>Excluded</x:v>
      </x:c>
      <x:c r="I2492" s="16" t="str">
        <x:v>Missing email</x:v>
      </x:c>
    </x:row>
    <x:row r="2493">
      <x:c r="A2493" s="16" t="n">
        <x:v>2490</x:v>
      </x:c>
      <x:c r="B2493" s="16" t="str">
        <x:v>Eziey Kalam</x:v>
      </x:c>
      <x:c r="C2493" s="16" t="str"/>
      <x:c r="D2493" s="16" t="str"/>
      <x:c r="E2493" s="16" t="str">
        <x:v>* myContacts</x:v>
      </x:c>
      <x:c r="F2493" s="16" t="str">
        <x:v>+60179783417</x:v>
      </x:c>
      <x:c r="G2493" s="16" t="str">
        <x:v>+60179783417</x:v>
      </x:c>
      <x:c r="H2493" s="16" t="str">
        <x:v>Excluded</x:v>
      </x:c>
      <x:c r="I2493" s="16" t="str">
        <x:v>Missing email</x:v>
      </x:c>
    </x:row>
    <x:row r="2494">
      <x:c r="A2494" s="16" t="n">
        <x:v>2491</x:v>
      </x:c>
      <x:c r="B2494" s="16" t="str">
        <x:v>Ezral IM</x:v>
      </x:c>
      <x:c r="C2494" s="16" t="str"/>
      <x:c r="D2494" s="16" t="str"/>
      <x:c r="E2494" s="16" t="str">
        <x:v>* myContacts</x:v>
      </x:c>
      <x:c r="F2494" s="16" t="str">
        <x:v>019-955 8180 | +60199558180</x:v>
      </x:c>
      <x:c r="G2494" s="16" t="str">
        <x:v>+60199558180 | +60199558180</x:v>
      </x:c>
      <x:c r="H2494" s="16" t="str">
        <x:v>Excluded</x:v>
      </x:c>
      <x:c r="I2494" s="16" t="str">
        <x:v>Missing email</x:v>
      </x:c>
    </x:row>
    <x:row r="2495">
      <x:c r="A2495" s="16" t="n">
        <x:v>2492</x:v>
      </x:c>
      <x:c r="B2495" s="16" t="str">
        <x:v>Ezran Anuar</x:v>
      </x:c>
      <x:c r="C2495" s="16" t="str"/>
      <x:c r="D2495" s="16" t="str"/>
      <x:c r="E2495" s="16" t="str">
        <x:v>* myContacts</x:v>
      </x:c>
      <x:c r="F2495" s="16" t="str">
        <x:v>+60123411206</x:v>
      </x:c>
      <x:c r="G2495" s="16" t="str">
        <x:v>+60123411206</x:v>
      </x:c>
      <x:c r="H2495" s="16" t="str">
        <x:v>Excluded</x:v>
      </x:c>
      <x:c r="I2495" s="16" t="str">
        <x:v>Missing email</x:v>
      </x:c>
    </x:row>
    <x:row r="2496">
      <x:c r="A2496" s="16" t="n">
        <x:v>2493</x:v>
      </x:c>
      <x:c r="B2496" s="16" t="str">
        <x:v>Ezuliana Elahi</x:v>
      </x:c>
      <x:c r="C2496" s="16" t="str"/>
      <x:c r="D2496" s="16" t="str"/>
      <x:c r="E2496" s="16" t="str">
        <x:v>* myContacts</x:v>
      </x:c>
      <x:c r="F2496" s="16" t="str">
        <x:v>+60197720775</x:v>
      </x:c>
      <x:c r="G2496" s="16" t="str">
        <x:v>+60197720775</x:v>
      </x:c>
      <x:c r="H2496" s="16" t="str">
        <x:v>Excluded</x:v>
      </x:c>
      <x:c r="I2496" s="16" t="str">
        <x:v>Missing email</x:v>
      </x:c>
    </x:row>
    <x:row r="2497">
      <x:c r="A2497" s="16" t="n">
        <x:v>2494</x:v>
      </x:c>
      <x:c r="B2497" s="16" t="str">
        <x:v>Ezura Ahmad Jue</x:v>
      </x:c>
      <x:c r="C2497" s="16" t="str"/>
      <x:c r="D2497" s="16" t="str"/>
      <x:c r="E2497" s="16" t="str">
        <x:v>* myContacts</x:v>
      </x:c>
      <x:c r="F2497" s="16" t="str">
        <x:v>+60179268653</x:v>
      </x:c>
      <x:c r="G2497" s="16" t="str">
        <x:v>+60179268653</x:v>
      </x:c>
      <x:c r="H2497" s="16" t="str">
        <x:v>Excluded</x:v>
      </x:c>
      <x:c r="I2497" s="16" t="str">
        <x:v>Missing email</x:v>
      </x:c>
    </x:row>
    <x:row r="2498">
      <x:c r="A2498" s="16" t="n">
        <x:v>2495</x:v>
      </x:c>
      <x:c r="B2498" s="16" t="str">
        <x:v>Ezz Studio</x:v>
      </x:c>
      <x:c r="C2498" s="16" t="str"/>
      <x:c r="D2498" s="16" t="str"/>
      <x:c r="E2498" s="16" t="str">
        <x:v>* myContacts</x:v>
      </x:c>
      <x:c r="F2498" s="16" t="str">
        <x:v>+60182204041</x:v>
      </x:c>
      <x:c r="G2498" s="16" t="str">
        <x:v>+60182204041</x:v>
      </x:c>
      <x:c r="H2498" s="16" t="str">
        <x:v>Excluded</x:v>
      </x:c>
      <x:c r="I2498" s="16" t="str">
        <x:v>Missing email</x:v>
      </x:c>
    </x:row>
    <x:row r="2499">
      <x:c r="A2499" s="16" t="n">
        <x:v>2496</x:v>
      </x:c>
      <x:c r="B2499" s="16" t="str">
        <x:v>Ezzmet INSKEN</x:v>
      </x:c>
      <x:c r="C2499" s="16" t="str"/>
      <x:c r="D2499" s="16" t="str"/>
      <x:c r="E2499" s="16" t="str">
        <x:v>Alumni INSKEN | * myContacts</x:v>
      </x:c>
      <x:c r="F2499" s="16" t="str">
        <x:v>+60126940046</x:v>
      </x:c>
      <x:c r="G2499" s="16" t="str">
        <x:v>+60126940046</x:v>
      </x:c>
      <x:c r="H2499" s="16" t="str">
        <x:v>Excluded</x:v>
      </x:c>
      <x:c r="I2499" s="16" t="str">
        <x:v>Missing email</x:v>
      </x:c>
    </x:row>
    <x:row r="2500">
      <x:c r="A2500" s="16" t="n">
        <x:v>2497</x:v>
      </x:c>
      <x:c r="B2500" s="16" t="str">
        <x:v>Ezzul Student tiktok letup marketing</x:v>
      </x:c>
      <x:c r="C2500" s="16" t="str"/>
      <x:c r="D2500" s="16" t="str"/>
      <x:c r="E2500" s="16" t="str">
        <x:v>* myContacts</x:v>
      </x:c>
      <x:c r="F2500" s="16" t="str">
        <x:v>+60 19-372 4196 | +60193724196</x:v>
      </x:c>
      <x:c r="G2500" s="16" t="str">
        <x:v>+60193724196 | +60193724196</x:v>
      </x:c>
      <x:c r="H2500" s="16" t="str">
        <x:v>Excluded</x:v>
      </x:c>
      <x:c r="I2500" s="16" t="str">
        <x:v>Missing email</x:v>
      </x:c>
    </x:row>
    <x:row r="2501">
      <x:c r="A2501" s="16" t="n">
        <x:v>2498</x:v>
      </x:c>
      <x:c r="B2501" s="16" t="str">
        <x:v>F EN DI</x:v>
      </x:c>
      <x:c r="C2501" s="16" t="str"/>
      <x:c r="D2501" s="16" t="str"/>
      <x:c r="E2501" s="16" t="str">
        <x:v>* myContacts</x:v>
      </x:c>
      <x:c r="F2501" s="16" t="str">
        <x:v>+60124169265</x:v>
      </x:c>
      <x:c r="G2501" s="16" t="str">
        <x:v>+60124169265</x:v>
      </x:c>
      <x:c r="H2501" s="16" t="str">
        <x:v>Excluded</x:v>
      </x:c>
      <x:c r="I2501" s="16" t="str">
        <x:v>Missing email</x:v>
      </x:c>
    </x:row>
    <x:row r="2502">
      <x:c r="A2502" s="16" t="n">
        <x:v>2499</x:v>
      </x:c>
      <x:c r="B2502" s="16" t="str">
        <x:v>FÃ¬wÃ¤r Purple</x:v>
      </x:c>
      <x:c r="C2502" s="16" t="str"/>
      <x:c r="D2502" s="16" t="str"/>
      <x:c r="E2502" s="16" t="str">
        <x:v>* myContacts</x:v>
      </x:c>
      <x:c r="F2502" s="16" t="str">
        <x:v>+6285263089450</x:v>
      </x:c>
      <x:c r="G2502" s="16" t="str">
        <x:v>+6285263089450</x:v>
      </x:c>
      <x:c r="H2502" s="16" t="str">
        <x:v>Excluded</x:v>
      </x:c>
      <x:c r="I2502" s="16" t="str">
        <x:v>Missing email</x:v>
      </x:c>
    </x:row>
    <x:row r="2503">
      <x:c r="A2503" s="16" t="n">
        <x:v>2500</x:v>
      </x:c>
      <x:c r="B2503" s="16" t="str">
        <x:v>Fabu Lous</x:v>
      </x:c>
      <x:c r="C2503" s="16" t="str"/>
      <x:c r="D2503" s="16" t="str"/>
      <x:c r="E2503" s="16" t="str">
        <x:v>* myContacts</x:v>
      </x:c>
      <x:c r="F2503" s="16" t="str">
        <x:v>+60172927466</x:v>
      </x:c>
      <x:c r="G2503" s="16" t="str">
        <x:v>+60172927466</x:v>
      </x:c>
      <x:c r="H2503" s="16" t="str">
        <x:v>Excluded</x:v>
      </x:c>
      <x:c r="I2503" s="16" t="str">
        <x:v>Missing email</x:v>
      </x:c>
    </x:row>
    <x:row r="2504">
      <x:c r="A2504" s="16" t="n">
        <x:v>2501</x:v>
      </x:c>
      <x:c r="B2504" s="16" t="str">
        <x:v>Fad Cliff's</x:v>
      </x:c>
      <x:c r="C2504" s="16" t="str"/>
      <x:c r="D2504" s="16" t="str"/>
      <x:c r="E2504" s="16" t="str">
        <x:v>* myContacts</x:v>
      </x:c>
      <x:c r="F2504" s="16" t="str">
        <x:v>+60127859548</x:v>
      </x:c>
      <x:c r="G2504" s="16" t="str">
        <x:v>+60127859548</x:v>
      </x:c>
      <x:c r="H2504" s="16" t="str">
        <x:v>Excluded</x:v>
      </x:c>
      <x:c r="I2504" s="16" t="str">
        <x:v>Missing email</x:v>
      </x:c>
    </x:row>
    <x:row r="2505">
      <x:c r="A2505" s="16" t="n">
        <x:v>2502</x:v>
      </x:c>
      <x:c r="B2505" s="16" t="str">
        <x:v>Fad Cliff's II</x:v>
      </x:c>
      <x:c r="C2505" s="16" t="str"/>
      <x:c r="D2505" s="16" t="str"/>
      <x:c r="E2505" s="16" t="str">
        <x:v>* myContacts</x:v>
      </x:c>
      <x:c r="F2505" s="16" t="str">
        <x:v>+60127859548</x:v>
      </x:c>
      <x:c r="G2505" s="16" t="str">
        <x:v>+60127859548</x:v>
      </x:c>
      <x:c r="H2505" s="16" t="str">
        <x:v>Excluded</x:v>
      </x:c>
      <x:c r="I2505" s="16" t="str">
        <x:v>Missing email</x:v>
      </x:c>
    </x:row>
    <x:row r="2506">
      <x:c r="A2506" s="16" t="n">
        <x:v>2503</x:v>
      </x:c>
      <x:c r="B2506" s="16" t="str">
        <x:v>Fad Dhell</x:v>
      </x:c>
      <x:c r="C2506" s="16" t="str"/>
      <x:c r="D2506" s="16" t="str"/>
      <x:c r="E2506" s="16" t="str">
        <x:v>* myContacts</x:v>
      </x:c>
      <x:c r="F2506" s="16" t="str">
        <x:v>+60178431784</x:v>
      </x:c>
      <x:c r="G2506" s="16" t="str">
        <x:v>+60178431784</x:v>
      </x:c>
      <x:c r="H2506" s="16" t="str">
        <x:v>Excluded</x:v>
      </x:c>
      <x:c r="I2506" s="16" t="str">
        <x:v>Missing email</x:v>
      </x:c>
    </x:row>
    <x:row r="2507">
      <x:c r="A2507" s="16" t="n">
        <x:v>2504</x:v>
      </x:c>
      <x:c r="B2507" s="16" t="str">
        <x:v>Fad Ilah</x:v>
      </x:c>
      <x:c r="C2507" s="16" t="str"/>
      <x:c r="D2507" s="16" t="str"/>
      <x:c r="E2507" s="16" t="str">
        <x:v>* myContacts</x:v>
      </x:c>
      <x:c r="F2507" s="16" t="str">
        <x:v>+60199639456</x:v>
      </x:c>
      <x:c r="G2507" s="16" t="str">
        <x:v>+60199639456</x:v>
      </x:c>
      <x:c r="H2507" s="16" t="str">
        <x:v>Excluded</x:v>
      </x:c>
      <x:c r="I2507" s="16" t="str">
        <x:v>Missing email</x:v>
      </x:c>
    </x:row>
    <x:row r="2508">
      <x:c r="A2508" s="16" t="n">
        <x:v>2505</x:v>
      </x:c>
      <x:c r="B2508" s="16" t="str">
        <x:v>Fadhalia Abd Mutlib</x:v>
      </x:c>
      <x:c r="C2508" s="16" t="str"/>
      <x:c r="D2508" s="16" t="str"/>
      <x:c r="E2508" s="16" t="str">
        <x:v>* myContacts</x:v>
      </x:c>
      <x:c r="F2508" s="16" t="str">
        <x:v>+60148488578</x:v>
      </x:c>
      <x:c r="G2508" s="16" t="str">
        <x:v>+60148488578</x:v>
      </x:c>
      <x:c r="H2508" s="16" t="str">
        <x:v>Excluded</x:v>
      </x:c>
      <x:c r="I2508" s="16" t="str">
        <x:v>Missing email</x:v>
      </x:c>
    </x:row>
    <x:row r="2509">
      <x:c r="A2509" s="16" t="n">
        <x:v>2506</x:v>
      </x:c>
      <x:c r="B2509" s="16" t="str">
        <x:v>Fadhil Adhaj</x:v>
      </x:c>
      <x:c r="C2509" s="16" t="str"/>
      <x:c r="D2509" s="16" t="str"/>
      <x:c r="E2509" s="16" t="str">
        <x:v>* myContacts</x:v>
      </x:c>
      <x:c r="F2509" s="16" t="str">
        <x:v>+601111880103</x:v>
      </x:c>
      <x:c r="G2509" s="16" t="str">
        <x:v>+601111880103</x:v>
      </x:c>
      <x:c r="H2509" s="16" t="str">
        <x:v>Excluded</x:v>
      </x:c>
      <x:c r="I2509" s="16" t="str">
        <x:v>Missing email</x:v>
      </x:c>
    </x:row>
    <x:row r="2510">
      <x:c r="A2510" s="16" t="n">
        <x:v>2507</x:v>
      </x:c>
      <x:c r="B2510" s="16" t="str">
        <x:v>Fadhil Basri</x:v>
      </x:c>
      <x:c r="C2510" s="16" t="str"/>
      <x:c r="D2510" s="16" t="str"/>
      <x:c r="E2510" s="16" t="str">
        <x:v>* myContacts</x:v>
      </x:c>
      <x:c r="F2510" s="16" t="str">
        <x:v>+60195525684</x:v>
      </x:c>
      <x:c r="G2510" s="16" t="str">
        <x:v>+60195525684</x:v>
      </x:c>
      <x:c r="H2510" s="16" t="str">
        <x:v>Excluded</x:v>
      </x:c>
      <x:c r="I2510" s="16" t="str">
        <x:v>Missing email</x:v>
      </x:c>
    </x:row>
    <x:row r="2511">
      <x:c r="A2511" s="16" t="n">
        <x:v>2508</x:v>
      </x:c>
      <x:c r="B2511" s="16" t="str">
        <x:v>Fadhil Bkf</x:v>
      </x:c>
      <x:c r="C2511" s="16" t="str"/>
      <x:c r="D2511" s="16" t="str"/>
      <x:c r="E2511" s="16" t="str">
        <x:v>* myContacts</x:v>
      </x:c>
      <x:c r="F2511" s="16" t="str">
        <x:v>+60126607025</x:v>
      </x:c>
      <x:c r="G2511" s="16" t="str">
        <x:v>+60126607025</x:v>
      </x:c>
      <x:c r="H2511" s="16" t="str">
        <x:v>Excluded</x:v>
      </x:c>
      <x:c r="I2511" s="16" t="str">
        <x:v>Missing email</x:v>
      </x:c>
    </x:row>
    <x:row r="2512">
      <x:c r="A2512" s="16" t="n">
        <x:v>2509</x:v>
      </x:c>
      <x:c r="B2512" s="16" t="str">
        <x:v>Fadhil Ipoh IM</x:v>
      </x:c>
      <x:c r="C2512" s="16" t="str"/>
      <x:c r="D2512" s="16" t="str"/>
      <x:c r="E2512" s="16" t="str">
        <x:v>* myContacts</x:v>
      </x:c>
      <x:c r="F2512" s="16" t="str">
        <x:v>011-2843 2030 | +601128432030</x:v>
      </x:c>
      <x:c r="G2512" s="16" t="str">
        <x:v>+601128432030 | +601128432030</x:v>
      </x:c>
      <x:c r="H2512" s="16" t="str">
        <x:v>Excluded</x:v>
      </x:c>
      <x:c r="I2512" s="16" t="str">
        <x:v>Missing email</x:v>
      </x:c>
    </x:row>
    <x:row r="2513">
      <x:c r="A2513" s="16" t="n">
        <x:v>2510</x:v>
      </x:c>
      <x:c r="B2513" s="16" t="str">
        <x:v>Fadhilah Destiny</x:v>
      </x:c>
      <x:c r="C2513" s="16" t="str"/>
      <x:c r="D2513" s="16" t="str"/>
      <x:c r="E2513" s="16" t="str">
        <x:v>* myContacts</x:v>
      </x:c>
      <x:c r="F2513" s="16" t="str">
        <x:v>+60134044507</x:v>
      </x:c>
      <x:c r="G2513" s="16" t="str">
        <x:v>+60134044507</x:v>
      </x:c>
      <x:c r="H2513" s="16" t="str">
        <x:v>Excluded</x:v>
      </x:c>
      <x:c r="I2513" s="16" t="str">
        <x:v>Missing email</x:v>
      </x:c>
    </x:row>
    <x:row r="2514">
      <x:c r="A2514" s="16" t="n">
        <x:v>2511</x:v>
      </x:c>
      <x:c r="B2514" s="16" t="str">
        <x:v>Fadhli Zawawi</x:v>
      </x:c>
      <x:c r="C2514" s="16" t="str"/>
      <x:c r="D2514" s="16" t="str"/>
      <x:c r="E2514" s="16" t="str">
        <x:v>* myContacts</x:v>
      </x:c>
      <x:c r="F2514" s="16" t="str">
        <x:v>+60172757845</x:v>
      </x:c>
      <x:c r="G2514" s="16" t="str">
        <x:v>+60172757845</x:v>
      </x:c>
      <x:c r="H2514" s="16" t="str">
        <x:v>Excluded</x:v>
      </x:c>
      <x:c r="I2514" s="16" t="str">
        <x:v>Missing email</x:v>
      </x:c>
    </x:row>
    <x:row r="2515">
      <x:c r="A2515" s="16" t="n">
        <x:v>2512</x:v>
      </x:c>
      <x:c r="B2515" s="16" t="str">
        <x:v>Fadiah Student</x:v>
      </x:c>
      <x:c r="C2515" s="16" t="str"/>
      <x:c r="D2515" s="16" t="str"/>
      <x:c r="E2515" s="16" t="str">
        <x:v>* myContacts</x:v>
      </x:c>
      <x:c r="F2515" s="16" t="str">
        <x:v>+60 12-289 5342 | +60122895342</x:v>
      </x:c>
      <x:c r="G2515" s="16" t="str">
        <x:v>+60122895342 | +60122895342</x:v>
      </x:c>
      <x:c r="H2515" s="16" t="str">
        <x:v>Excluded</x:v>
      </x:c>
      <x:c r="I2515" s="16" t="str">
        <x:v>Missing email</x:v>
      </x:c>
    </x:row>
    <x:row r="2516">
      <x:c r="A2516" s="16" t="n">
        <x:v>2513</x:v>
      </x:c>
      <x:c r="B2516" s="16" t="str">
        <x:v>Fadil Syam</x:v>
      </x:c>
      <x:c r="C2516" s="16" t="str"/>
      <x:c r="D2516" s="16" t="str"/>
      <x:c r="E2516" s="16" t="str">
        <x:v>* myContacts</x:v>
      </x:c>
      <x:c r="F2516" s="16" t="str">
        <x:v>+6285351302949</x:v>
      </x:c>
      <x:c r="G2516" s="16" t="str">
        <x:v>+6285351302949</x:v>
      </x:c>
      <x:c r="H2516" s="16" t="str">
        <x:v>Excluded</x:v>
      </x:c>
      <x:c r="I2516" s="16" t="str">
        <x:v>Missing email</x:v>
      </x:c>
    </x:row>
    <x:row r="2517">
      <x:c r="A2517" s="16" t="n">
        <x:v>2514</x:v>
      </x:c>
      <x:c r="B2517" s="16" t="str">
        <x:v>Fadilah Makhtar</x:v>
      </x:c>
      <x:c r="C2517" s="16" t="str"/>
      <x:c r="D2517" s="16" t="str"/>
      <x:c r="E2517" s="16" t="str">
        <x:v>* myContacts</x:v>
      </x:c>
      <x:c r="F2517" s="16" t="str">
        <x:v>+60193982133</x:v>
      </x:c>
      <x:c r="G2517" s="16" t="str">
        <x:v>+60193982133</x:v>
      </x:c>
      <x:c r="H2517" s="16" t="str">
        <x:v>Excluded</x:v>
      </x:c>
      <x:c r="I2517" s="16" t="str">
        <x:v>Missing email</x:v>
      </x:c>
    </x:row>
    <x:row r="2518">
      <x:c r="A2518" s="16" t="n">
        <x:v>2515</x:v>
      </x:c>
      <x:c r="B2518" s="16" t="str">
        <x:v>Fadilah86</x:v>
      </x:c>
      <x:c r="C2518" s="16" t="str"/>
      <x:c r="D2518" s="16" t="str"/>
      <x:c r="E2518" s="16" t="str">
        <x:v>* myContacts</x:v>
      </x:c>
      <x:c r="F2518" s="16" t="str">
        <x:v>+60 19-990 8932 | +60199908932</x:v>
      </x:c>
      <x:c r="G2518" s="16" t="str">
        <x:v>+60199908932 | +60199908932</x:v>
      </x:c>
      <x:c r="H2518" s="16" t="str">
        <x:v>Excluded</x:v>
      </x:c>
      <x:c r="I2518" s="16" t="str">
        <x:v>Missing email</x:v>
      </x:c>
    </x:row>
    <x:row r="2519">
      <x:c r="A2519" s="16" t="n">
        <x:v>2516</x:v>
      </x:c>
      <x:c r="B2519" s="16" t="str">
        <x:v>fadli TEKUN</x:v>
      </x:c>
      <x:c r="C2519" s="16" t="str"/>
      <x:c r="D2519" s="16" t="str"/>
      <x:c r="E2519" s="16" t="str">
        <x:v>* myContacts</x:v>
      </x:c>
      <x:c r="F2519" s="16" t="str">
        <x:v>+60173959773</x:v>
      </x:c>
      <x:c r="G2519" s="16" t="str">
        <x:v>+60173959773</x:v>
      </x:c>
      <x:c r="H2519" s="16" t="str">
        <x:v>Excluded</x:v>
      </x:c>
      <x:c r="I2519" s="16" t="str">
        <x:v>Missing email</x:v>
      </x:c>
    </x:row>
    <x:row r="2520">
      <x:c r="A2520" s="16" t="n">
        <x:v>2517</x:v>
      </x:c>
      <x:c r="B2520" s="16" t="str">
        <x:v>Fadly Coway</x:v>
      </x:c>
      <x:c r="C2520" s="16" t="str"/>
      <x:c r="D2520" s="16" t="str"/>
      <x:c r="E2520" s="16" t="str">
        <x:v>* myContacts</x:v>
      </x:c>
      <x:c r="F2520" s="16" t="str">
        <x:v>+60189123956</x:v>
      </x:c>
      <x:c r="G2520" s="16" t="str">
        <x:v>+60189123956</x:v>
      </x:c>
      <x:c r="H2520" s="16" t="str">
        <x:v>Excluded</x:v>
      </x:c>
      <x:c r="I2520" s="16" t="str">
        <x:v>Missing email</x:v>
      </x:c>
    </x:row>
    <x:row r="2521">
      <x:c r="A2521" s="16" t="n">
        <x:v>2518</x:v>
      </x:c>
      <x:c r="B2521" s="16" t="str">
        <x:v>Fadly Elimina Shah Alam</x:v>
      </x:c>
      <x:c r="C2521" s="16" t="str"/>
      <x:c r="D2521" s="16" t="str"/>
      <x:c r="E2521" s="16" t="str">
        <x:v>* myContacts</x:v>
      </x:c>
      <x:c r="F2521" s="16" t="str">
        <x:v>0197738545 | +60197738545</x:v>
      </x:c>
      <x:c r="G2521" s="16" t="str">
        <x:v>+60197738545 | +60197738545</x:v>
      </x:c>
      <x:c r="H2521" s="16" t="str">
        <x:v>Excluded</x:v>
      </x:c>
      <x:c r="I2521" s="16" t="str">
        <x:v>Missing email</x:v>
      </x:c>
    </x:row>
    <x:row r="2522">
      <x:c r="A2522" s="16" t="n">
        <x:v>2519</x:v>
      </x:c>
      <x:c r="B2522" s="16" t="str">
        <x:v>Fadly letme store8</x:v>
      </x:c>
      <x:c r="C2522" s="16" t="str"/>
      <x:c r="D2522" s="16" t="str"/>
      <x:c r="E2522" s="16" t="str">
        <x:v>* myContacts</x:v>
      </x:c>
      <x:c r="F2522" s="16" t="str">
        <x:v>0163239281 | +60163239281</x:v>
      </x:c>
      <x:c r="G2522" s="16" t="str">
        <x:v>+60163239281 | +60163239281</x:v>
      </x:c>
      <x:c r="H2522" s="16" t="str">
        <x:v>Excluded</x:v>
      </x:c>
      <x:c r="I2522" s="16" t="str">
        <x:v>Missing email</x:v>
      </x:c>
    </x:row>
    <x:row r="2523">
      <x:c r="A2523" s="16" t="n">
        <x:v>2520</x:v>
      </x:c>
      <x:c r="B2523" s="16" t="str">
        <x:v>Fadzil RJB</x:v>
      </x:c>
      <x:c r="C2523" s="16" t="str"/>
      <x:c r="D2523" s="16" t="str"/>
      <x:c r="E2523" s="16" t="str">
        <x:v>* myContacts</x:v>
      </x:c>
      <x:c r="F2523" s="16" t="str">
        <x:v>+60 19-939 4142 | +60199394142</x:v>
      </x:c>
      <x:c r="G2523" s="16" t="str">
        <x:v>+60199394142 | +60199394142</x:v>
      </x:c>
      <x:c r="H2523" s="16" t="str">
        <x:v>Excluded</x:v>
      </x:c>
      <x:c r="I2523" s="16" t="str">
        <x:v>Missing email</x:v>
      </x:c>
    </x:row>
    <x:row r="2524">
      <x:c r="A2524" s="16" t="n">
        <x:v>2521</x:v>
      </x:c>
      <x:c r="B2524" s="16" t="str">
        <x:v>Fadzli B Sabran</x:v>
      </x:c>
      <x:c r="C2524" s="16" t="str"/>
      <x:c r="D2524" s="16" t="str"/>
      <x:c r="E2524" s="16" t="str">
        <x:v>* myContacts</x:v>
      </x:c>
      <x:c r="F2524" s="16" t="str">
        <x:v>+60175624302</x:v>
      </x:c>
      <x:c r="G2524" s="16" t="str">
        <x:v>+60175624302</x:v>
      </x:c>
      <x:c r="H2524" s="16" t="str">
        <x:v>Excluded</x:v>
      </x:c>
      <x:c r="I2524" s="16" t="str">
        <x:v>Missing email</x:v>
      </x:c>
    </x:row>
    <x:row r="2525">
      <x:c r="A2525" s="16" t="n">
        <x:v>2522</x:v>
      </x:c>
      <x:c r="B2525" s="16" t="str">
        <x:v>Fadzliza Collections</x:v>
      </x:c>
      <x:c r="C2525" s="16" t="str"/>
      <x:c r="D2525" s="16" t="str"/>
      <x:c r="E2525" s="16" t="str">
        <x:v>* myContacts</x:v>
      </x:c>
      <x:c r="F2525" s="16" t="str">
        <x:v>+601118843130</x:v>
      </x:c>
      <x:c r="G2525" s="16" t="str">
        <x:v>+601118843130</x:v>
      </x:c>
      <x:c r="H2525" s="16" t="str">
        <x:v>Excluded</x:v>
      </x:c>
      <x:c r="I2525" s="16" t="str">
        <x:v>Missing email</x:v>
      </x:c>
    </x:row>
    <x:row r="2526">
      <x:c r="A2526" s="16" t="n">
        <x:v>2523</x:v>
      </x:c>
      <x:c r="B2526" s="16" t="str">
        <x:v>Fadzura Ismail</x:v>
      </x:c>
      <x:c r="C2526" s="16" t="str"/>
      <x:c r="D2526" s="16" t="str"/>
      <x:c r="E2526" s="16" t="str">
        <x:v>* myContacts</x:v>
      </x:c>
      <x:c r="F2526" s="16" t="str">
        <x:v>+60126590181</x:v>
      </x:c>
      <x:c r="G2526" s="16" t="str">
        <x:v>+60126590181</x:v>
      </x:c>
      <x:c r="H2526" s="16" t="str">
        <x:v>Excluded</x:v>
      </x:c>
      <x:c r="I2526" s="16" t="str">
        <x:v>Missing email</x:v>
      </x:c>
    </x:row>
    <x:row r="2527">
      <x:c r="A2527" s="16" t="n">
        <x:v>2524</x:v>
      </x:c>
      <x:c r="B2527" s="16" t="str">
        <x:v>Faez Marop</x:v>
      </x:c>
      <x:c r="C2527" s="16" t="str"/>
      <x:c r="D2527" s="16" t="str"/>
      <x:c r="E2527" s="16" t="str">
        <x:v>* myContacts</x:v>
      </x:c>
      <x:c r="F2527" s="16" t="str">
        <x:v>+601116231178</x:v>
      </x:c>
      <x:c r="G2527" s="16" t="str">
        <x:v>+601116231178</x:v>
      </x:c>
      <x:c r="H2527" s="16" t="str">
        <x:v>Excluded</x:v>
      </x:c>
      <x:c r="I2527" s="16" t="str">
        <x:v>Missing email</x:v>
      </x:c>
    </x:row>
    <x:row r="2528">
      <x:c r="A2528" s="16" t="n">
        <x:v>2525</x:v>
      </x:c>
      <x:c r="B2528" s="16" t="str">
        <x:v>Faezah Daros</x:v>
      </x:c>
      <x:c r="C2528" s="16" t="str"/>
      <x:c r="D2528" s="16" t="str"/>
      <x:c r="E2528" s="16" t="str">
        <x:v>* myContacts</x:v>
      </x:c>
      <x:c r="F2528" s="16" t="str">
        <x:v>+60128436308</x:v>
      </x:c>
      <x:c r="G2528" s="16" t="str">
        <x:v>+60128436308</x:v>
      </x:c>
      <x:c r="H2528" s="16" t="str">
        <x:v>Excluded</x:v>
      </x:c>
      <x:c r="I2528" s="16" t="str">
        <x:v>Missing email</x:v>
      </x:c>
    </x:row>
    <x:row r="2529">
      <x:c r="A2529" s="16" t="n">
        <x:v>2526</x:v>
      </x:c>
      <x:c r="B2529" s="16" t="str">
        <x:v>Fah Suphasai</x:v>
      </x:c>
      <x:c r="C2529" s="16" t="str"/>
      <x:c r="D2529" s="16" t="str"/>
      <x:c r="E2529" s="16" t="str">
        <x:v>* myContacts</x:v>
      </x:c>
      <x:c r="F2529" s="16" t="str">
        <x:v>+60192569988</x:v>
      </x:c>
      <x:c r="G2529" s="16" t="str">
        <x:v>+60192569988</x:v>
      </x:c>
      <x:c r="H2529" s="16" t="str">
        <x:v>Excluded</x:v>
      </x:c>
      <x:c r="I2529" s="16" t="str">
        <x:v>Missing email</x:v>
      </x:c>
    </x:row>
    <x:row r="2530">
      <x:c r="A2530" s="16" t="n">
        <x:v>2527</x:v>
      </x:c>
      <x:c r="B2530" s="16" t="str">
        <x:v>Fahana Bhisham</x:v>
      </x:c>
      <x:c r="C2530" s="16" t="str"/>
      <x:c r="D2530" s="16" t="str"/>
      <x:c r="E2530" s="16" t="str">
        <x:v>* myContacts</x:v>
      </x:c>
      <x:c r="F2530" s="16" t="str">
        <x:v>+60104214060</x:v>
      </x:c>
      <x:c r="G2530" s="16" t="str">
        <x:v>+60104214060</x:v>
      </x:c>
      <x:c r="H2530" s="16" t="str">
        <x:v>Excluded</x:v>
      </x:c>
      <x:c r="I2530" s="16" t="str">
        <x:v>Missing email</x:v>
      </x:c>
    </x:row>
    <x:row r="2531">
      <x:c r="A2531" s="16" t="n">
        <x:v>2528</x:v>
      </x:c>
      <x:c r="B2531" s="16" t="str">
        <x:v>Fahida Sabaruddin</x:v>
      </x:c>
      <x:c r="C2531" s="16" t="str"/>
      <x:c r="D2531" s="16" t="str"/>
      <x:c r="E2531" s="16" t="str">
        <x:v>* myContacts</x:v>
      </x:c>
      <x:c r="F2531" s="16" t="str">
        <x:v>+601137414434</x:v>
      </x:c>
      <x:c r="G2531" s="16" t="str">
        <x:v>+601137414434</x:v>
      </x:c>
      <x:c r="H2531" s="16" t="str">
        <x:v>Excluded</x:v>
      </x:c>
      <x:c r="I2531" s="16" t="str">
        <x:v>Missing email</x:v>
      </x:c>
    </x:row>
    <x:row r="2532">
      <x:c r="A2532" s="16" t="n">
        <x:v>2529</x:v>
      </x:c>
      <x:c r="B2532" s="16" t="str">
        <x:v>Fahmi FINAS</x:v>
      </x:c>
      <x:c r="C2532" s="16" t="str"/>
      <x:c r="D2532" s="16" t="str"/>
      <x:c r="E2532" s="16" t="str">
        <x:v>* myContacts</x:v>
      </x:c>
      <x:c r="F2532" s="16" t="str">
        <x:v>0104581101 | +60104581101</x:v>
      </x:c>
      <x:c r="G2532" s="16" t="str">
        <x:v>+60104581101 | +60104581101</x:v>
      </x:c>
      <x:c r="H2532" s="16" t="str">
        <x:v>Excluded</x:v>
      </x:c>
      <x:c r="I2532" s="16" t="str">
        <x:v>Missing email</x:v>
      </x:c>
    </x:row>
    <x:row r="2533">
      <x:c r="A2533" s="16" t="n">
        <x:v>2530</x:v>
      </x:c>
      <x:c r="B2533" s="16" t="str">
        <x:v>Fahmi Yahya</x:v>
      </x:c>
      <x:c r="C2533" s="16" t="str"/>
      <x:c r="D2533" s="16" t="str"/>
      <x:c r="E2533" s="16" t="str">
        <x:v>* myContacts</x:v>
      </x:c>
      <x:c r="F2533" s="16" t="str">
        <x:v>+60192452536</x:v>
      </x:c>
      <x:c r="G2533" s="16" t="str">
        <x:v>+60192452536</x:v>
      </x:c>
      <x:c r="H2533" s="16" t="str">
        <x:v>Excluded</x:v>
      </x:c>
      <x:c r="I2533" s="16" t="str">
        <x:v>Missing email</x:v>
      </x:c>
    </x:row>
    <x:row r="2534">
      <x:c r="A2534" s="16" t="n">
        <x:v>2531</x:v>
      </x:c>
      <x:c r="B2534" s="16" t="str">
        <x:v>Fahmi Zakaria</x:v>
      </x:c>
      <x:c r="C2534" s="16" t="str"/>
      <x:c r="D2534" s="16" t="str"/>
      <x:c r="E2534" s="16" t="str">
        <x:v>* myContacts</x:v>
      </x:c>
      <x:c r="F2534" s="16" t="str">
        <x:v>+60148175497</x:v>
      </x:c>
      <x:c r="G2534" s="16" t="str">
        <x:v>+60148175497</x:v>
      </x:c>
      <x:c r="H2534" s="16" t="str">
        <x:v>Excluded</x:v>
      </x:c>
      <x:c r="I2534" s="16" t="str">
        <x:v>Missing email</x:v>
      </x:c>
    </x:row>
    <x:row r="2535">
      <x:c r="A2535" s="16" t="n">
        <x:v>2532</x:v>
      </x:c>
      <x:c r="B2535" s="16" t="str">
        <x:v>Fahrurrazi Sa'ad</x:v>
      </x:c>
      <x:c r="C2535" s="16" t="str"/>
      <x:c r="D2535" s="16" t="str"/>
      <x:c r="E2535" s="16" t="str">
        <x:v>* myContacts</x:v>
      </x:c>
      <x:c r="F2535" s="16" t="str">
        <x:v>+60196030853</x:v>
      </x:c>
      <x:c r="G2535" s="16" t="str">
        <x:v>+60196030853</x:v>
      </x:c>
      <x:c r="H2535" s="16" t="str">
        <x:v>Excluded</x:v>
      </x:c>
      <x:c r="I2535" s="16" t="str">
        <x:v>Missing email</x:v>
      </x:c>
    </x:row>
    <x:row r="2536">
      <x:c r="A2536" s="16" t="n">
        <x:v>2533</x:v>
      </x:c>
      <x:c r="B2536" s="16" t="str">
        <x:v>Fahtir</x:v>
      </x:c>
      <x:c r="C2536" s="16" t="str"/>
      <x:c r="D2536" s="16" t="str"/>
      <x:c r="E2536" s="16" t="str">
        <x:v>* myContacts</x:v>
      </x:c>
      <x:c r="F2536" s="16" t="str">
        <x:v>+6287866720722</x:v>
      </x:c>
      <x:c r="G2536" s="16" t="str">
        <x:v>+6287866720722</x:v>
      </x:c>
      <x:c r="H2536" s="16" t="str">
        <x:v>Excluded</x:v>
      </x:c>
      <x:c r="I2536" s="16" t="str">
        <x:v>Missing email</x:v>
      </x:c>
    </x:row>
    <x:row r="2537">
      <x:c r="A2537" s="16" t="n">
        <x:v>2534</x:v>
      </x:c>
      <x:c r="B2537" s="16" t="str">
        <x:v>Faidzal Zaid trainer</x:v>
      </x:c>
      <x:c r="C2537" s="16" t="str"/>
      <x:c r="D2537" s="16" t="str"/>
      <x:c r="E2537" s="16" t="str">
        <x:v>Trainer | * myContacts</x:v>
      </x:c>
      <x:c r="F2537" s="16" t="str">
        <x:v>+60 19-237 0823 | +60192370823</x:v>
      </x:c>
      <x:c r="G2537" s="16" t="str">
        <x:v>+60192370823 | +60192370823</x:v>
      </x:c>
      <x:c r="H2537" s="16" t="str">
        <x:v>Excluded</x:v>
      </x:c>
      <x:c r="I2537" s="16" t="str">
        <x:v>Missing email</x:v>
      </x:c>
    </x:row>
    <x:row r="2538">
      <x:c r="A2538" s="16" t="n">
        <x:v>2535</x:v>
      </x:c>
      <x:c r="B2538" s="16" t="str">
        <x:v>Faiq Essen Serum</x:v>
      </x:c>
      <x:c r="C2538" s="16" t="str"/>
      <x:c r="D2538" s="16" t="str"/>
      <x:c r="E2538" s="16" t="str">
        <x:v>* myContacts</x:v>
      </x:c>
      <x:c r="F2538" s="16" t="str">
        <x:v>+60 17-311 7847 | +60173117847</x:v>
      </x:c>
      <x:c r="G2538" s="16" t="str">
        <x:v>+60173117847 | +60173117847</x:v>
      </x:c>
      <x:c r="H2538" s="16" t="str">
        <x:v>Excluded</x:v>
      </x:c>
      <x:c r="I2538" s="16" t="str">
        <x:v>Missing email</x:v>
      </x:c>
    </x:row>
    <x:row r="2539">
      <x:c r="A2539" s="16" t="n">
        <x:v>2536</x:v>
      </x:c>
      <x:c r="B2539" s="16" t="str">
        <x:v>Fairra Irra</x:v>
      </x:c>
      <x:c r="C2539" s="16" t="str"/>
      <x:c r="D2539" s="16" t="str"/>
      <x:c r="E2539" s="16" t="str">
        <x:v>* myContacts</x:v>
      </x:c>
      <x:c r="F2539" s="16" t="str">
        <x:v>+60199171357</x:v>
      </x:c>
      <x:c r="G2539" s="16" t="str">
        <x:v>+60199171357</x:v>
      </x:c>
      <x:c r="H2539" s="16" t="str">
        <x:v>Excluded</x:v>
      </x:c>
      <x:c r="I2539" s="16" t="str">
        <x:v>Missing email</x:v>
      </x:c>
    </x:row>
    <x:row r="2540">
      <x:c r="A2540" s="16" t="n">
        <x:v>2537</x:v>
      </x:c>
      <x:c r="B2540" s="16" t="str">
        <x:v>fairus bank</x:v>
      </x:c>
      <x:c r="C2540" s="16" t="str"/>
      <x:c r="D2540" s="16" t="str"/>
      <x:c r="E2540" s="16" t="str">
        <x:v>* myContacts</x:v>
      </x:c>
      <x:c r="F2540" s="16" t="str"/>
      <x:c r="G2540" s="16" t="str"/>
      <x:c r="H2540" s="16" t="str">
        <x:v>Excluded</x:v>
      </x:c>
      <x:c r="I2540" s="16" t="str">
        <x:v>Missing email</x:v>
      </x:c>
    </x:row>
    <x:row r="2541">
      <x:c r="A2541" s="16" t="n">
        <x:v>2538</x:v>
      </x:c>
      <x:c r="B2541" s="16" t="str">
        <x:v>Fairus Fieraisya</x:v>
      </x:c>
      <x:c r="C2541" s="16" t="str"/>
      <x:c r="D2541" s="16" t="str"/>
      <x:c r="E2541" s="16" t="str">
        <x:v>* myContacts</x:v>
      </x:c>
      <x:c r="F2541" s="16" t="str">
        <x:v>+60 13-398 5359 | +60133985359</x:v>
      </x:c>
      <x:c r="G2541" s="16" t="str">
        <x:v>+60133985359 | +60133985359</x:v>
      </x:c>
      <x:c r="H2541" s="16" t="str">
        <x:v>Excluded</x:v>
      </x:c>
      <x:c r="I2541" s="16" t="str">
        <x:v>Missing email</x:v>
      </x:c>
    </x:row>
    <x:row r="2542">
      <x:c r="A2542" s="16" t="n">
        <x:v>2539</x:v>
      </x:c>
      <x:c r="B2542" s="16" t="str">
        <x:v>Fairus Mohd Tabiee</x:v>
      </x:c>
      <x:c r="C2542" s="16" t="str"/>
      <x:c r="D2542" s="16" t="str"/>
      <x:c r="E2542" s="16" t="str">
        <x:v>* myContacts</x:v>
      </x:c>
      <x:c r="F2542" s="16" t="str">
        <x:v>+60123272920</x:v>
      </x:c>
      <x:c r="G2542" s="16" t="str">
        <x:v>+60123272920</x:v>
      </x:c>
      <x:c r="H2542" s="16" t="str">
        <x:v>Excluded</x:v>
      </x:c>
      <x:c r="I2542" s="16" t="str">
        <x:v>Missing email</x:v>
      </x:c>
    </x:row>
    <x:row r="2543">
      <x:c r="A2543" s="16" t="n">
        <x:v>2540</x:v>
      </x:c>
      <x:c r="B2543" s="16" t="str">
        <x:v>Fairuz</x:v>
      </x:c>
      <x:c r="C2543" s="16" t="str"/>
      <x:c r="D2543" s="16" t="str"/>
      <x:c r="E2543" s="16" t="str">
        <x:v>* myContacts</x:v>
      </x:c>
      <x:c r="F2543" s="16" t="str">
        <x:v>0123272920 | +60123272920</x:v>
      </x:c>
      <x:c r="G2543" s="16" t="str">
        <x:v>+60123272920 | +60123272920</x:v>
      </x:c>
      <x:c r="H2543" s="16" t="str">
        <x:v>Excluded</x:v>
      </x:c>
      <x:c r="I2543" s="16" t="str">
        <x:v>Missing email</x:v>
      </x:c>
    </x:row>
    <x:row r="2544">
      <x:c r="A2544" s="16" t="n">
        <x:v>2541</x:v>
      </x:c>
      <x:c r="B2544" s="16" t="str">
        <x:v>Fairuz bank marketing material</x:v>
      </x:c>
      <x:c r="C2544" s="16" t="str"/>
      <x:c r="D2544" s="16" t="str"/>
      <x:c r="E2544" s="16" t="str">
        <x:v>* myContacts</x:v>
      </x:c>
      <x:c r="F2544" s="16" t="str">
        <x:v>+60 13-353 3269 | +60133533269</x:v>
      </x:c>
      <x:c r="G2544" s="16" t="str">
        <x:v>+60133533269 | +60133533269</x:v>
      </x:c>
      <x:c r="H2544" s="16" t="str">
        <x:v>Excluded</x:v>
      </x:c>
      <x:c r="I2544" s="16" t="str">
        <x:v>Missing email</x:v>
      </x:c>
    </x:row>
    <x:row r="2545">
      <x:c r="A2545" s="16" t="n">
        <x:v>2542</x:v>
      </x:c>
      <x:c r="B2545" s="16" t="str">
        <x:v>Fairuz Fx</x:v>
      </x:c>
      <x:c r="C2545" s="16" t="str"/>
      <x:c r="D2545" s="16" t="str"/>
      <x:c r="E2545" s="16" t="str">
        <x:v>* myContacts</x:v>
      </x:c>
      <x:c r="F2545" s="16" t="str">
        <x:v>+60 19-450 5454 | +60194505454</x:v>
      </x:c>
      <x:c r="G2545" s="16" t="str">
        <x:v>+60194505454 | +60194505454</x:v>
      </x:c>
      <x:c r="H2545" s="16" t="str">
        <x:v>Excluded</x:v>
      </x:c>
      <x:c r="I2545" s="16" t="str">
        <x:v>Missing email</x:v>
      </x:c>
    </x:row>
    <x:row r="2546">
      <x:c r="A2546" s="16" t="n">
        <x:v>2543</x:v>
      </x:c>
      <x:c r="B2546" s="16" t="str">
        <x:v>Fairuz Perodua Dmm</x:v>
      </x:c>
      <x:c r="C2546" s="16" t="str"/>
      <x:c r="D2546" s="16" t="str"/>
      <x:c r="E2546" s="16" t="str">
        <x:v>* myContacts</x:v>
      </x:c>
      <x:c r="F2546" s="16" t="str">
        <x:v>+60162640646</x:v>
      </x:c>
      <x:c r="G2546" s="16" t="str">
        <x:v>+60162640646</x:v>
      </x:c>
      <x:c r="H2546" s="16" t="str">
        <x:v>Excluded</x:v>
      </x:c>
      <x:c r="I2546" s="16" t="str">
        <x:v>Missing email</x:v>
      </x:c>
    </x:row>
    <x:row r="2547">
      <x:c r="A2547" s="16" t="n">
        <x:v>2544</x:v>
      </x:c>
      <x:c r="B2547" s="16" t="str">
        <x:v>Fairuz ROBOZ BOSS</x:v>
      </x:c>
      <x:c r="C2547" s="16" t="str"/>
      <x:c r="D2547" s="16" t="str"/>
      <x:c r="E2547" s="16" t="str">
        <x:v>* myContacts</x:v>
      </x:c>
      <x:c r="F2547" s="16" t="str">
        <x:v>0189109474 | +60189109474</x:v>
      </x:c>
      <x:c r="G2547" s="16" t="str">
        <x:v>+60189109474 | +60189109474</x:v>
      </x:c>
      <x:c r="H2547" s="16" t="str">
        <x:v>Excluded</x:v>
      </x:c>
      <x:c r="I2547" s="16" t="str">
        <x:v>Missing email</x:v>
      </x:c>
    </x:row>
    <x:row r="2548">
      <x:c r="A2548" s="16" t="n">
        <x:v>2545</x:v>
      </x:c>
      <x:c r="B2548" s="16" t="str">
        <x:v>Fairuza Alias</x:v>
      </x:c>
      <x:c r="C2548" s="16" t="str"/>
      <x:c r="D2548" s="16" t="str"/>
      <x:c r="E2548" s="16" t="str">
        <x:v>* myContacts</x:v>
      </x:c>
      <x:c r="F2548" s="16" t="str">
        <x:v>+601126611870</x:v>
      </x:c>
      <x:c r="G2548" s="16" t="str">
        <x:v>+601126611870</x:v>
      </x:c>
      <x:c r="H2548" s="16" t="str">
        <x:v>Excluded</x:v>
      </x:c>
      <x:c r="I2548" s="16" t="str">
        <x:v>Missing email</x:v>
      </x:c>
    </x:row>
    <x:row r="2549">
      <x:c r="A2549" s="16" t="n">
        <x:v>2546</x:v>
      </x:c>
      <x:c r="B2549" s="16" t="str">
        <x:v>Fais Insken Coach Coordinator</x:v>
      </x:c>
      <x:c r="C2549" s="16" t="str"/>
      <x:c r="D2549" s="16" t="str"/>
      <x:c r="E2549" s="16" t="str">
        <x:v>Alumni INSKEN | Trainer | * myContacts</x:v>
      </x:c>
      <x:c r="F2549" s="16" t="str">
        <x:v>+60 19-221 1209 | +60192211209</x:v>
      </x:c>
      <x:c r="G2549" s="16" t="str">
        <x:v>+60192211209 | +60192211209</x:v>
      </x:c>
      <x:c r="H2549" s="16" t="str">
        <x:v>Excluded</x:v>
      </x:c>
      <x:c r="I2549" s="16" t="str">
        <x:v>Missing email</x:v>
      </x:c>
    </x:row>
    <x:row r="2550">
      <x:c r="A2550" s="16" t="n">
        <x:v>2547</x:v>
      </x:c>
      <x:c r="B2550" s="16" t="str">
        <x:v>Fais Suhaimi</x:v>
      </x:c>
      <x:c r="C2550" s="16" t="str"/>
      <x:c r="D2550" s="16" t="str"/>
      <x:c r="E2550" s="16" t="str">
        <x:v>* myContacts</x:v>
      </x:c>
      <x:c r="F2550" s="16" t="str">
        <x:v>+60172431778</x:v>
      </x:c>
      <x:c r="G2550" s="16" t="str">
        <x:v>+60172431778</x:v>
      </x:c>
      <x:c r="H2550" s="16" t="str">
        <x:v>Excluded</x:v>
      </x:c>
      <x:c r="I2550" s="16" t="str">
        <x:v>Missing email</x:v>
      </x:c>
    </x:row>
    <x:row r="2551">
      <x:c r="A2551" s="16" t="n">
        <x:v>2548</x:v>
      </x:c>
      <x:c r="B2551" s="16" t="str">
        <x:v>Faisal Abdullah STP</x:v>
      </x:c>
      <x:c r="C2551" s="16" t="str"/>
      <x:c r="D2551" s="16" t="str"/>
      <x:c r="E2551" s="16" t="str">
        <x:v>* myContacts</x:v>
      </x:c>
      <x:c r="F2551" s="16" t="str">
        <x:v>+60197907974</x:v>
      </x:c>
      <x:c r="G2551" s="16" t="str">
        <x:v>+60197907974</x:v>
      </x:c>
      <x:c r="H2551" s="16" t="str">
        <x:v>Excluded</x:v>
      </x:c>
      <x:c r="I2551" s="16" t="str">
        <x:v>Missing email</x:v>
      </x:c>
    </x:row>
    <x:row r="2552">
      <x:c r="A2552" s="16" t="n">
        <x:v>2549</x:v>
      </x:c>
      <x:c r="B2552" s="16" t="str">
        <x:v>Faisal Bos Tanamera</x:v>
      </x:c>
      <x:c r="C2552" s="16" t="str"/>
      <x:c r="D2552" s="16" t="str"/>
      <x:c r="E2552" s="16" t="str">
        <x:v>* myContacts</x:v>
      </x:c>
      <x:c r="F2552" s="16" t="str">
        <x:v>+60 12-294 6439 | +60122946439</x:v>
      </x:c>
      <x:c r="G2552" s="16" t="str">
        <x:v>+60122946439 | +60122946439</x:v>
      </x:c>
      <x:c r="H2552" s="16" t="str">
        <x:v>Excluded</x:v>
      </x:c>
      <x:c r="I2552" s="16" t="str">
        <x:v>Missing email</x:v>
      </x:c>
    </x:row>
    <x:row r="2553">
      <x:c r="A2553" s="16" t="n">
        <x:v>2550</x:v>
      </x:c>
      <x:c r="B2553" s="16" t="str">
        <x:v>Faisal Reza Rahman Webmaster</x:v>
      </x:c>
      <x:c r="C2553" s="16" t="str"/>
      <x:c r="D2553" s="16" t="str"/>
      <x:c r="E2553" s="16" t="str">
        <x:v>* myContacts</x:v>
      </x:c>
      <x:c r="F2553" s="16" t="str">
        <x:v>+60104204144</x:v>
      </x:c>
      <x:c r="G2553" s="16" t="str">
        <x:v>+60104204144</x:v>
      </x:c>
      <x:c r="H2553" s="16" t="str">
        <x:v>Excluded</x:v>
      </x:c>
      <x:c r="I2553" s="16" t="str">
        <x:v>Missing email</x:v>
      </x:c>
    </x:row>
    <x:row r="2554">
      <x:c r="A2554" s="16" t="n">
        <x:v>2551</x:v>
      </x:c>
      <x:c r="B2554" s="16" t="str">
        <x:v>Faisol Let Me Store</x:v>
      </x:c>
      <x:c r="C2554" s="16" t="str"/>
      <x:c r="D2554" s="16" t="str"/>
      <x:c r="E2554" s="16" t="str">
        <x:v>* myContacts</x:v>
      </x:c>
      <x:c r="F2554" s="16" t="str">
        <x:v>+60192601928</x:v>
      </x:c>
      <x:c r="G2554" s="16" t="str">
        <x:v>+60192601928</x:v>
      </x:c>
      <x:c r="H2554" s="16" t="str">
        <x:v>Excluded</x:v>
      </x:c>
      <x:c r="I2554" s="16" t="str">
        <x:v>Missing email</x:v>
      </x:c>
    </x:row>
    <x:row r="2555">
      <x:c r="A2555" s="16" t="n">
        <x:v>2552</x:v>
      </x:c>
      <x:c r="B2555" s="16" t="str">
        <x:v>Faith Haji Jamaludin</x:v>
      </x:c>
      <x:c r="C2555" s="16" t="str"/>
      <x:c r="D2555" s="16" t="str"/>
      <x:c r="E2555" s="16" t="str">
        <x:v>* myContacts</x:v>
      </x:c>
      <x:c r="F2555" s="16" t="str">
        <x:v>+601112923692</x:v>
      </x:c>
      <x:c r="G2555" s="16" t="str">
        <x:v>+601112923692</x:v>
      </x:c>
      <x:c r="H2555" s="16" t="str">
        <x:v>Excluded</x:v>
      </x:c>
      <x:c r="I2555" s="16" t="str">
        <x:v>Missing email</x:v>
      </x:c>
    </x:row>
    <x:row r="2556">
      <x:c r="A2556" s="16" t="n">
        <x:v>2553</x:v>
      </x:c>
      <x:c r="B2556" s="16" t="str">
        <x:v>Faiz</x:v>
      </x:c>
      <x:c r="C2556" s="16" t="str"/>
      <x:c r="D2556" s="16" t="str"/>
      <x:c r="E2556" s="16" t="str">
        <x:v>* myContacts</x:v>
      </x:c>
      <x:c r="F2556" s="16" t="str">
        <x:v>+60 11-3683 9610 | +601136839610</x:v>
      </x:c>
      <x:c r="G2556" s="16" t="str">
        <x:v>+601136839610 | +601136839610</x:v>
      </x:c>
      <x:c r="H2556" s="16" t="str">
        <x:v>Excluded</x:v>
      </x:c>
      <x:c r="I2556" s="16" t="str">
        <x:v>Missing email</x:v>
      </x:c>
    </x:row>
    <x:row r="2557">
      <x:c r="A2557" s="16" t="n">
        <x:v>2554</x:v>
      </x:c>
      <x:c r="B2557" s="16" t="str">
        <x:v>Faiz Arif</x:v>
      </x:c>
      <x:c r="C2557" s="16" t="str"/>
      <x:c r="D2557" s="16" t="str"/>
      <x:c r="E2557" s="16" t="str">
        <x:v>* myContacts</x:v>
      </x:c>
      <x:c r="F2557" s="16" t="str">
        <x:v>+60134324713</x:v>
      </x:c>
      <x:c r="G2557" s="16" t="str">
        <x:v>+60134324713</x:v>
      </x:c>
      <x:c r="H2557" s="16" t="str">
        <x:v>Excluded</x:v>
      </x:c>
      <x:c r="I2557" s="16" t="str">
        <x:v>Missing email</x:v>
      </x:c>
    </x:row>
    <x:row r="2558">
      <x:c r="A2558" s="16" t="n">
        <x:v>2555</x:v>
      </x:c>
      <x:c r="B2558" s="16" t="str">
        <x:v>Faiz Brunei Guide</x:v>
      </x:c>
      <x:c r="C2558" s="16" t="str"/>
      <x:c r="D2558" s="16" t="str"/>
      <x:c r="E2558" s="16" t="str">
        <x:v>* myContacts</x:v>
      </x:c>
      <x:c r="F2558" s="16" t="str">
        <x:v>+6738247911</x:v>
      </x:c>
      <x:c r="G2558" s="16" t="str">
        <x:v>+6738247911</x:v>
      </x:c>
      <x:c r="H2558" s="16" t="str">
        <x:v>Excluded</x:v>
      </x:c>
      <x:c r="I2558" s="16" t="str">
        <x:v>Missing email</x:v>
      </x:c>
    </x:row>
    <x:row r="2559">
      <x:c r="A2559" s="16" t="n">
        <x:v>2556</x:v>
      </x:c>
      <x:c r="B2559" s="16" t="str">
        <x:v>faiz champion trs</x:v>
      </x:c>
      <x:c r="C2559" s="16" t="str"/>
      <x:c r="D2559" s="16" t="str"/>
      <x:c r="E2559" s="16" t="str">
        <x:v>* myContacts</x:v>
      </x:c>
      <x:c r="F2559" s="16" t="str">
        <x:v>017-794 3757 | +60177943757</x:v>
      </x:c>
      <x:c r="G2559" s="16" t="str">
        <x:v>+60177943757 | +60177943757</x:v>
      </x:c>
      <x:c r="H2559" s="16" t="str">
        <x:v>Excluded</x:v>
      </x:c>
      <x:c r="I2559" s="16" t="str">
        <x:v>Missing email</x:v>
      </x:c>
    </x:row>
    <x:row r="2560">
      <x:c r="A2560" s="16" t="n">
        <x:v>2557</x:v>
      </x:c>
      <x:c r="B2560" s="16" t="str">
        <x:v>Faiz Jom Pitch</x:v>
      </x:c>
      <x:c r="C2560" s="16" t="str"/>
      <x:c r="D2560" s="16" t="str"/>
      <x:c r="E2560" s="16" t="str">
        <x:v>* myContacts</x:v>
      </x:c>
      <x:c r="F2560" s="16" t="str">
        <x:v>+60 17-305 0633 | +60173050633</x:v>
      </x:c>
      <x:c r="G2560" s="16" t="str">
        <x:v>+60173050633 | +60173050633</x:v>
      </x:c>
      <x:c r="H2560" s="16" t="str">
        <x:v>Excluded</x:v>
      </x:c>
      <x:c r="I2560" s="16" t="str">
        <x:v>Missing email</x:v>
      </x:c>
    </x:row>
    <x:row r="2561">
      <x:c r="A2561" s="16" t="n">
        <x:v>2558</x:v>
      </x:c>
      <x:c r="B2561" s="16" t="str">
        <x:v>Faiz Kadir TI</x:v>
      </x:c>
      <x:c r="C2561" s="16" t="str"/>
      <x:c r="D2561" s="16" t="str"/>
      <x:c r="E2561" s="16" t="str">
        <x:v>* myContacts</x:v>
      </x:c>
      <x:c r="F2561" s="16" t="str">
        <x:v>+60 12-230 9536 | +60122309536</x:v>
      </x:c>
      <x:c r="G2561" s="16" t="str">
        <x:v>+60122309536 | +60122309536</x:v>
      </x:c>
      <x:c r="H2561" s="16" t="str">
        <x:v>Excluded</x:v>
      </x:c>
      <x:c r="I2561" s="16" t="str">
        <x:v>Missing email</x:v>
      </x:c>
    </x:row>
    <x:row r="2562">
      <x:c r="A2562" s="16" t="n">
        <x:v>2559</x:v>
      </x:c>
      <x:c r="B2562" s="16" t="str">
        <x:v>Faiz Marketing Officer Toyyibpay</x:v>
      </x:c>
      <x:c r="C2562" s="16" t="str"/>
      <x:c r="D2562" s="16" t="str"/>
      <x:c r="E2562" s="16" t="str">
        <x:v>* myContacts</x:v>
      </x:c>
      <x:c r="F2562" s="16" t="str">
        <x:v>+60 16-708 3041 | +60167083041</x:v>
      </x:c>
      <x:c r="G2562" s="16" t="str">
        <x:v>+60167083041 | +60167083041</x:v>
      </x:c>
      <x:c r="H2562" s="16" t="str">
        <x:v>Excluded</x:v>
      </x:c>
      <x:c r="I2562" s="16" t="str">
        <x:v>Missing email</x:v>
      </x:c>
    </x:row>
    <x:row r="2563">
      <x:c r="A2563" s="16" t="n">
        <x:v>2560</x:v>
      </x:c>
      <x:c r="B2563" s="16" t="str">
        <x:v>faiz meatech</x:v>
      </x:c>
      <x:c r="C2563" s="16" t="str"/>
      <x:c r="D2563" s="16" t="str"/>
      <x:c r="E2563" s="16" t="str">
        <x:v>* myContacts</x:v>
      </x:c>
      <x:c r="F2563" s="16" t="str">
        <x:v>01161622347 | +601161622347</x:v>
      </x:c>
      <x:c r="G2563" s="16" t="str">
        <x:v>+601161622347 | +601161622347</x:v>
      </x:c>
      <x:c r="H2563" s="16" t="str">
        <x:v>Excluded</x:v>
      </x:c>
      <x:c r="I2563" s="16" t="str">
        <x:v>Missing email</x:v>
      </x:c>
    </x:row>
    <x:row r="2564">
      <x:c r="A2564" s="16" t="n">
        <x:v>2561</x:v>
      </x:c>
      <x:c r="B2564" s="16" t="str">
        <x:v>Faiz Mohd Eusahawan Siswa</x:v>
      </x:c>
      <x:c r="C2564" s="16" t="str"/>
      <x:c r="D2564" s="16" t="str"/>
      <x:c r="E2564" s="16" t="str">
        <x:v>* myContacts</x:v>
      </x:c>
      <x:c r="F2564" s="16" t="str">
        <x:v>+60 17-345 8116 | +60173458116</x:v>
      </x:c>
      <x:c r="G2564" s="16" t="str">
        <x:v>+60173458116 | +60173458116</x:v>
      </x:c>
      <x:c r="H2564" s="16" t="str">
        <x:v>Excluded</x:v>
      </x:c>
      <x:c r="I2564" s="16" t="str">
        <x:v>Missing email</x:v>
      </x:c>
    </x:row>
    <x:row r="2565">
      <x:c r="A2565" s="16" t="n">
        <x:v>2562</x:v>
      </x:c>
      <x:c r="B2565" s="16" t="str">
        <x:v>Faiz Nor MD Salleh</x:v>
      </x:c>
      <x:c r="C2565" s="16" t="str"/>
      <x:c r="D2565" s="16" t="str"/>
      <x:c r="E2565" s="16" t="str">
        <x:v>* myContacts</x:v>
      </x:c>
      <x:c r="F2565" s="16" t="str">
        <x:v>+6074333851</x:v>
      </x:c>
      <x:c r="G2565" s="16" t="str">
        <x:v>+6074333851</x:v>
      </x:c>
      <x:c r="H2565" s="16" t="str">
        <x:v>Excluded</x:v>
      </x:c>
      <x:c r="I2565" s="16" t="str">
        <x:v>Missing email</x:v>
      </x:c>
    </x:row>
    <x:row r="2566">
      <x:c r="A2566" s="16" t="n">
        <x:v>2563</x:v>
      </x:c>
      <x:c r="B2566" s="16" t="str">
        <x:v>Faiz Origenal</x:v>
      </x:c>
      <x:c r="C2566" s="16" t="str"/>
      <x:c r="D2566" s="16" t="str"/>
      <x:c r="E2566" s="16" t="str">
        <x:v>* myContacts</x:v>
      </x:c>
      <x:c r="F2566" s="16" t="str">
        <x:v>+60179093531</x:v>
      </x:c>
      <x:c r="G2566" s="16" t="str">
        <x:v>+60179093531</x:v>
      </x:c>
      <x:c r="H2566" s="16" t="str">
        <x:v>Excluded</x:v>
      </x:c>
      <x:c r="I2566" s="16" t="str">
        <x:v>Missing email</x:v>
      </x:c>
    </x:row>
    <x:row r="2567">
      <x:c r="A2567" s="16" t="n">
        <x:v>2564</x:v>
      </x:c>
      <x:c r="B2567" s="16" t="str">
        <x:v>Faiz Saad</x:v>
      </x:c>
      <x:c r="C2567" s="16" t="str"/>
      <x:c r="D2567" s="16" t="str"/>
      <x:c r="E2567" s="16" t="str">
        <x:v>* myContacts</x:v>
      </x:c>
      <x:c r="F2567" s="16" t="str">
        <x:v>+60163621149</x:v>
      </x:c>
      <x:c r="G2567" s="16" t="str">
        <x:v>+60163621149</x:v>
      </x:c>
      <x:c r="H2567" s="16" t="str">
        <x:v>Excluded</x:v>
      </x:c>
      <x:c r="I2567" s="16" t="str">
        <x:v>Missing email</x:v>
      </x:c>
    </x:row>
    <x:row r="2568">
      <x:c r="A2568" s="16" t="n">
        <x:v>2565</x:v>
      </x:c>
      <x:c r="B2568" s="16" t="str">
        <x:v>Faizah Hanim</x:v>
      </x:c>
      <x:c r="C2568" s="16" t="str"/>
      <x:c r="D2568" s="16" t="str"/>
      <x:c r="E2568" s="16" t="str">
        <x:v>* myContacts</x:v>
      </x:c>
      <x:c r="F2568" s="16" t="str">
        <x:v>+60177094148</x:v>
      </x:c>
      <x:c r="G2568" s="16" t="str">
        <x:v>+60177094148</x:v>
      </x:c>
      <x:c r="H2568" s="16" t="str">
        <x:v>Excluded</x:v>
      </x:c>
      <x:c r="I2568" s="16" t="str">
        <x:v>Missing email</x:v>
      </x:c>
    </x:row>
    <x:row r="2569">
      <x:c r="A2569" s="16" t="n">
        <x:v>2566</x:v>
      </x:c>
      <x:c r="B2569" s="16" t="str">
        <x:v>Faizah PEDI IJOK</x:v>
      </x:c>
      <x:c r="C2569" s="16" t="str"/>
      <x:c r="D2569" s="16" t="str"/>
      <x:c r="E2569" s="16" t="str">
        <x:v>* myContacts</x:v>
      </x:c>
      <x:c r="F2569" s="16" t="str">
        <x:v>0133571607 | +60133571607</x:v>
      </x:c>
      <x:c r="G2569" s="16" t="str">
        <x:v>+60133571607 | +60133571607</x:v>
      </x:c>
      <x:c r="H2569" s="16" t="str">
        <x:v>Excluded</x:v>
      </x:c>
      <x:c r="I2569" s="16" t="str">
        <x:v>Missing email</x:v>
      </x:c>
    </x:row>
    <x:row r="2570">
      <x:c r="A2570" s="16" t="n">
        <x:v>2567</x:v>
      </x:c>
      <x:c r="B2570" s="16" t="str">
        <x:v>Faizal Abg Besi</x:v>
      </x:c>
      <x:c r="C2570" s="16" t="str"/>
      <x:c r="D2570" s="16" t="str"/>
      <x:c r="E2570" s="16" t="str">
        <x:v>* myContacts</x:v>
      </x:c>
      <x:c r="F2570" s="16" t="str">
        <x:v>+60 10-234 9563 | +60102349563</x:v>
      </x:c>
      <x:c r="G2570" s="16" t="str">
        <x:v>+60102349563 | +60102349563</x:v>
      </x:c>
      <x:c r="H2570" s="16" t="str">
        <x:v>Excluded</x:v>
      </x:c>
      <x:c r="I2570" s="16" t="str">
        <x:v>Missing email</x:v>
      </x:c>
    </x:row>
    <x:row r="2571">
      <x:c r="A2571" s="16" t="n">
        <x:v>2568</x:v>
      </x:c>
      <x:c r="B2571" s="16" t="str">
        <x:v>Faizal Ahamad</x:v>
      </x:c>
      <x:c r="C2571" s="16" t="str"/>
      <x:c r="D2571" s="16" t="str"/>
      <x:c r="E2571" s="16" t="str">
        <x:v>* myContacts</x:v>
      </x:c>
      <x:c r="F2571" s="16" t="str">
        <x:v>+601121310096</x:v>
      </x:c>
      <x:c r="G2571" s="16" t="str">
        <x:v>+601121310096</x:v>
      </x:c>
      <x:c r="H2571" s="16" t="str">
        <x:v>Excluded</x:v>
      </x:c>
      <x:c r="I2571" s="16" t="str">
        <x:v>Missing email</x:v>
      </x:c>
    </x:row>
    <x:row r="2572">
      <x:c r="A2572" s="16" t="n">
        <x:v>2569</x:v>
      </x:c>
      <x:c r="B2572" s="16" t="str">
        <x:v>Faizal Alauddin Fisioterapi</x:v>
      </x:c>
      <x:c r="C2572" s="16" t="str"/>
      <x:c r="D2572" s="16" t="str"/>
      <x:c r="E2572" s="16" t="str">
        <x:v>* myContacts</x:v>
      </x:c>
      <x:c r="F2572" s="16" t="str">
        <x:v>+60 19-504 5017 | +60195045017</x:v>
      </x:c>
      <x:c r="G2572" s="16" t="str">
        <x:v>+60195045017 | +60195045017</x:v>
      </x:c>
      <x:c r="H2572" s="16" t="str">
        <x:v>Excluded</x:v>
      </x:c>
      <x:c r="I2572" s="16" t="str">
        <x:v>Missing email</x:v>
      </x:c>
    </x:row>
    <x:row r="2573">
      <x:c r="A2573" s="16" t="n">
        <x:v>2570</x:v>
      </x:c>
      <x:c r="B2573" s="16" t="str">
        <x:v>Faizal badry fb expert</x:v>
      </x:c>
      <x:c r="C2573" s="16" t="str"/>
      <x:c r="D2573" s="16" t="str"/>
      <x:c r="E2573" s="16" t="str">
        <x:v>* myContacts</x:v>
      </x:c>
      <x:c r="F2573" s="16" t="str">
        <x:v>+60 12-590 4842 | +60125904842</x:v>
      </x:c>
      <x:c r="G2573" s="16" t="str">
        <x:v>+60125904842 | +60125904842</x:v>
      </x:c>
      <x:c r="H2573" s="16" t="str">
        <x:v>Excluded</x:v>
      </x:c>
      <x:c r="I2573" s="16" t="str">
        <x:v>Missing email</x:v>
      </x:c>
    </x:row>
    <x:row r="2574">
      <x:c r="A2574" s="16" t="n">
        <x:v>2571</x:v>
      </x:c>
      <x:c r="B2574" s="16" t="str">
        <x:v>Faizal Bin Mohamad Hassan Mukhtar</x:v>
      </x:c>
      <x:c r="C2574" s="16" t="str">
        <x:v>faizal.mhassan@gmail.com</x:v>
      </x:c>
      <x:c r="D2574" s="16" t="str">
        <x:v>faizal.mhassan@gmail.com</x:v>
      </x:c>
      <x:c r="E2574" s="16" t="str">
        <x:v>* myContacts</x:v>
      </x:c>
      <x:c r="F2574" s="16" t="str">
        <x:v>+60361402911 | 0361516095 | 0133883966 | 086151805</x:v>
      </x:c>
      <x:c r="G2574" s="16" t="str">
        <x:v>+60361402911 | +60361516095 | +60133883966 | +6086151805</x:v>
      </x:c>
      <x:c r="H2574" s="16" t="str">
        <x:v>Eligible</x:v>
      </x:c>
      <x:c r="I2574" s="16" t="str"/>
    </x:row>
    <x:row r="2575">
      <x:c r="A2575" s="16" t="n">
        <x:v>2572</x:v>
      </x:c>
      <x:c r="B2575" s="16" t="str">
        <x:v>Faizal Bin Mohamad Hassan Mukhtar</x:v>
      </x:c>
      <x:c r="C2575" s="16" t="str">
        <x:v>faizal.mhassan@gmail.com | nuradventureservices@gmail.com</x:v>
      </x:c>
      <x:c r="D2575" s="16" t="str">
        <x:v>faizal.mhassan@gmail.com | nuradventureservices@gmail.com</x:v>
      </x:c>
      <x:c r="E2575" s="16" t="str">
        <x:v>* myContacts</x:v>
      </x:c>
      <x:c r="F2575" s="16" t="str">
        <x:v>0361402911 | 0361516095 | 0133883966 | 086151805</x:v>
      </x:c>
      <x:c r="G2575" s="16" t="str">
        <x:v>+60361402911 | +60361516095 | +60133883966 | +6086151805</x:v>
      </x:c>
      <x:c r="H2575" s="16" t="str">
        <x:v>Eligible</x:v>
      </x:c>
      <x:c r="I2575" s="16" t="str"/>
    </x:row>
    <x:row r="2576">
      <x:c r="A2576" s="16" t="n">
        <x:v>2573</x:v>
      </x:c>
      <x:c r="B2576" s="16" t="str">
        <x:v>Faizal BMC</x:v>
      </x:c>
      <x:c r="C2576" s="16" t="str"/>
      <x:c r="D2576" s="16" t="str"/>
      <x:c r="E2576" s="16" t="str">
        <x:v>* myContacts</x:v>
      </x:c>
      <x:c r="F2576" s="16" t="str">
        <x:v>+60 19-571 5085 | +60195715085</x:v>
      </x:c>
      <x:c r="G2576" s="16" t="str">
        <x:v>+60195715085 | +60195715085</x:v>
      </x:c>
      <x:c r="H2576" s="16" t="str">
        <x:v>Excluded</x:v>
      </x:c>
      <x:c r="I2576" s="16" t="str">
        <x:v>Missing email</x:v>
      </x:c>
    </x:row>
    <x:row r="2577">
      <x:c r="A2577" s="16" t="n">
        <x:v>2574</x:v>
      </x:c>
      <x:c r="B2577" s="16" t="str">
        <x:v>Faizal Ebay Expert</x:v>
      </x:c>
      <x:c r="C2577" s="16" t="str"/>
      <x:c r="D2577" s="16" t="str"/>
      <x:c r="E2577" s="16" t="str">
        <x:v>* myContacts</x:v>
      </x:c>
      <x:c r="F2577" s="16" t="str">
        <x:v>+60 12-476 3737 | +60124763737</x:v>
      </x:c>
      <x:c r="G2577" s="16" t="str">
        <x:v>+60124763737 | +60124763737</x:v>
      </x:c>
      <x:c r="H2577" s="16" t="str">
        <x:v>Excluded</x:v>
      </x:c>
      <x:c r="I2577" s="16" t="str">
        <x:v>Missing email</x:v>
      </x:c>
    </x:row>
    <x:row r="2578">
      <x:c r="A2578" s="16" t="n">
        <x:v>2575</x:v>
      </x:c>
      <x:c r="B2578" s="16" t="str">
        <x:v>Faizal Etech Pasir Mas</x:v>
      </x:c>
      <x:c r="C2578" s="16" t="str"/>
      <x:c r="D2578" s="16" t="str"/>
      <x:c r="E2578" s="16" t="str">
        <x:v>* myContacts</x:v>
      </x:c>
      <x:c r="F2578" s="16" t="str">
        <x:v>+60 11-1133 3214 | +601111333214</x:v>
      </x:c>
      <x:c r="G2578" s="16" t="str">
        <x:v>+601111333214 | +601111333214</x:v>
      </x:c>
      <x:c r="H2578" s="16" t="str">
        <x:v>Excluded</x:v>
      </x:c>
      <x:c r="I2578" s="16" t="str">
        <x:v>Missing email</x:v>
      </x:c>
    </x:row>
    <x:row r="2579">
      <x:c r="A2579" s="16" t="n">
        <x:v>2576</x:v>
      </x:c>
      <x:c r="B2579" s="16" t="str">
        <x:v>Faizal Faizal</x:v>
      </x:c>
      <x:c r="C2579" s="16" t="str"/>
      <x:c r="D2579" s="16" t="str"/>
      <x:c r="E2579" s="16" t="str">
        <x:v>* myContacts</x:v>
      </x:c>
      <x:c r="F2579" s="16" t="str">
        <x:v>+601132454208</x:v>
      </x:c>
      <x:c r="G2579" s="16" t="str">
        <x:v>+601132454208</x:v>
      </x:c>
      <x:c r="H2579" s="16" t="str">
        <x:v>Excluded</x:v>
      </x:c>
      <x:c r="I2579" s="16" t="str">
        <x:v>Missing email</x:v>
      </x:c>
    </x:row>
    <x:row r="2580">
      <x:c r="A2580" s="16" t="n">
        <x:v>2577</x:v>
      </x:c>
      <x:c r="B2580" s="16" t="str">
        <x:v>Faizal Hassan</x:v>
      </x:c>
      <x:c r="C2580" s="16" t="str"/>
      <x:c r="D2580" s="16" t="str"/>
      <x:c r="E2580" s="16" t="str">
        <x:v>* myContacts</x:v>
      </x:c>
      <x:c r="F2580" s="16" t="str">
        <x:v>+60179377393</x:v>
      </x:c>
      <x:c r="G2580" s="16" t="str">
        <x:v>+60179377393</x:v>
      </x:c>
      <x:c r="H2580" s="16" t="str">
        <x:v>Excluded</x:v>
      </x:c>
      <x:c r="I2580" s="16" t="str">
        <x:v>Missing email</x:v>
      </x:c>
    </x:row>
    <x:row r="2581">
      <x:c r="A2581" s="16" t="n">
        <x:v>2578</x:v>
      </x:c>
      <x:c r="B2581" s="16" t="str">
        <x:v>Faizal Hassan Student</x:v>
      </x:c>
      <x:c r="C2581" s="16" t="str">
        <x:v>faizal.mhassan@gmail.com</x:v>
      </x:c>
      <x:c r="D2581" s="16" t="str">
        <x:v>faizal.mhassan@gmail.com</x:v>
      </x:c>
      <x:c r="E2581" s="16" t="str">
        <x:v>* myContacts</x:v>
      </x:c>
      <x:c r="F2581" s="16" t="str">
        <x:v>0133883966 | +60133883966</x:v>
      </x:c>
      <x:c r="G2581" s="16" t="str">
        <x:v>+60133883966 | +60133883966</x:v>
      </x:c>
      <x:c r="H2581" s="16" t="str">
        <x:v>Eligible</x:v>
      </x:c>
      <x:c r="I2581" s="16" t="str"/>
    </x:row>
    <x:row r="2582">
      <x:c r="A2582" s="16" t="n">
        <x:v>2579</x:v>
      </x:c>
      <x:c r="B2582" s="16" t="str">
        <x:v>Faizal Latiff</x:v>
      </x:c>
      <x:c r="C2582" s="16" t="str"/>
      <x:c r="D2582" s="16" t="str"/>
      <x:c r="E2582" s="16" t="str">
        <x:v>* myContacts</x:v>
      </x:c>
      <x:c r="F2582" s="16" t="str">
        <x:v>+60189099792</x:v>
      </x:c>
      <x:c r="G2582" s="16" t="str">
        <x:v>+60189099792</x:v>
      </x:c>
      <x:c r="H2582" s="16" t="str">
        <x:v>Excluded</x:v>
      </x:c>
      <x:c r="I2582" s="16" t="str">
        <x:v>Missing email</x:v>
      </x:c>
    </x:row>
    <x:row r="2583">
      <x:c r="A2583" s="16" t="n">
        <x:v>2580</x:v>
      </x:c>
      <x:c r="B2583" s="16" t="str">
        <x:v>Faizal Musa</x:v>
      </x:c>
      <x:c r="C2583" s="16" t="str"/>
      <x:c r="D2583" s="16" t="str"/>
      <x:c r="E2583" s="16" t="str">
        <x:v>* myContacts</x:v>
      </x:c>
      <x:c r="F2583" s="16" t="str">
        <x:v>+601119922549</x:v>
      </x:c>
      <x:c r="G2583" s="16" t="str">
        <x:v>+601119922549</x:v>
      </x:c>
      <x:c r="H2583" s="16" t="str">
        <x:v>Excluded</x:v>
      </x:c>
      <x:c r="I2583" s="16" t="str">
        <x:v>Missing email</x:v>
      </x:c>
    </x:row>
    <x:row r="2584">
      <x:c r="A2584" s="16" t="n">
        <x:v>2581</x:v>
      </x:c>
      <x:c r="B2584" s="16" t="str">
        <x:v>Faizal Peja</x:v>
      </x:c>
      <x:c r="C2584" s="16" t="str"/>
      <x:c r="D2584" s="16" t="str"/>
      <x:c r="E2584" s="16" t="str">
        <x:v>* myContacts</x:v>
      </x:c>
      <x:c r="F2584" s="16" t="str">
        <x:v>+60147940353</x:v>
      </x:c>
      <x:c r="G2584" s="16" t="str">
        <x:v>+60147940353</x:v>
      </x:c>
      <x:c r="H2584" s="16" t="str">
        <x:v>Excluded</x:v>
      </x:c>
      <x:c r="I2584" s="16" t="str">
        <x:v>Missing email</x:v>
      </x:c>
    </x:row>
    <x:row r="2585">
      <x:c r="A2585" s="16" t="n">
        <x:v>2582</x:v>
      </x:c>
      <x:c r="B2585" s="16" t="str">
        <x:v>Faizal sulaiman AGP</x:v>
      </x:c>
      <x:c r="C2585" s="16" t="str"/>
      <x:c r="D2585" s="16" t="str"/>
      <x:c r="E2585" s="16" t="str">
        <x:v>* myContacts</x:v>
      </x:c>
      <x:c r="F2585" s="16" t="str">
        <x:v>+60 12-840 8610 | +60128408610</x:v>
      </x:c>
      <x:c r="G2585" s="16" t="str">
        <x:v>+60128408610 | +60128408610</x:v>
      </x:c>
      <x:c r="H2585" s="16" t="str">
        <x:v>Excluded</x:v>
      </x:c>
      <x:c r="I2585" s="16" t="str">
        <x:v>Missing email</x:v>
      </x:c>
    </x:row>
    <x:row r="2586">
      <x:c r="A2586" s="16" t="n">
        <x:v>2583</x:v>
      </x:c>
      <x:c r="B2586" s="16" t="str">
        <x:v>Faizal Sultan Kelapa</x:v>
      </x:c>
      <x:c r="C2586" s="16" t="str">
        <x:v>faizalsultan66@gmail.com</x:v>
      </x:c>
      <x:c r="D2586" s="16" t="str">
        <x:v>faizalsultan66@gmail.com</x:v>
      </x:c>
      <x:c r="E2586" s="16" t="str">
        <x:v>* myContacts</x:v>
      </x:c>
      <x:c r="F2586" s="16" t="str">
        <x:v>0166664766 | +60166664766</x:v>
      </x:c>
      <x:c r="G2586" s="16" t="str">
        <x:v>+60166664766 | +60166664766</x:v>
      </x:c>
      <x:c r="H2586" s="16" t="str">
        <x:v>Eligible</x:v>
      </x:c>
      <x:c r="I2586" s="16" t="str"/>
    </x:row>
    <x:row r="2587">
      <x:c r="A2587" s="16" t="n">
        <x:v>2584</x:v>
      </x:c>
      <x:c r="B2587" s="16" t="str">
        <x:v>Faizal Website Expert</x:v>
      </x:c>
      <x:c r="C2587" s="16" t="str"/>
      <x:c r="D2587" s="16" t="str"/>
      <x:c r="E2587" s="16" t="str">
        <x:v>* myContacts</x:v>
      </x:c>
      <x:c r="F2587" s="16" t="str">
        <x:v>+60 13-232 3081 | +60132323081</x:v>
      </x:c>
      <x:c r="G2587" s="16" t="str">
        <x:v>+60132323081 | +60132323081</x:v>
      </x:c>
      <x:c r="H2587" s="16" t="str">
        <x:v>Excluded</x:v>
      </x:c>
      <x:c r="I2587" s="16" t="str">
        <x:v>Missing email</x:v>
      </x:c>
    </x:row>
    <x:row r="2588">
      <x:c r="A2588" s="16" t="n">
        <x:v>2585</x:v>
      </x:c>
      <x:c r="B2588" s="16" t="str">
        <x:v>Faizan G'jan</x:v>
      </x:c>
      <x:c r="C2588" s="16" t="str"/>
      <x:c r="D2588" s="16" t="str"/>
      <x:c r="E2588" s="16" t="str">
        <x:v>* myContacts</x:v>
      </x:c>
      <x:c r="F2588" s="16" t="str">
        <x:v>+60103655370</x:v>
      </x:c>
      <x:c r="G2588" s="16" t="str">
        <x:v>+60103655370</x:v>
      </x:c>
      <x:c r="H2588" s="16" t="str">
        <x:v>Excluded</x:v>
      </x:c>
      <x:c r="I2588" s="16" t="str">
        <x:v>Missing email</x:v>
      </x:c>
    </x:row>
    <x:row r="2589">
      <x:c r="A2589" s="16" t="n">
        <x:v>2586</x:v>
      </x:c>
      <x:c r="B2589" s="16" t="str">
        <x:v>Faizul Hafiz Saadudin</x:v>
      </x:c>
      <x:c r="C2589" s="16" t="str"/>
      <x:c r="D2589" s="16" t="str"/>
      <x:c r="E2589" s="16" t="str">
        <x:v>* myContacts</x:v>
      </x:c>
      <x:c r="F2589" s="16" t="str">
        <x:v>+60143493751</x:v>
      </x:c>
      <x:c r="G2589" s="16" t="str">
        <x:v>+60143493751</x:v>
      </x:c>
      <x:c r="H2589" s="16" t="str">
        <x:v>Excluded</x:v>
      </x:c>
      <x:c r="I2589" s="16" t="str">
        <x:v>Missing email</x:v>
      </x:c>
    </x:row>
    <x:row r="2590">
      <x:c r="A2590" s="16" t="n">
        <x:v>2587</x:v>
      </x:c>
      <x:c r="B2590" s="16" t="str">
        <x:v>Faizul Haziem</x:v>
      </x:c>
      <x:c r="C2590" s="16" t="str"/>
      <x:c r="D2590" s="16" t="str"/>
      <x:c r="E2590" s="16" t="str">
        <x:v>* myContacts</x:v>
      </x:c>
      <x:c r="F2590" s="16" t="str">
        <x:v>+601116886234</x:v>
      </x:c>
      <x:c r="G2590" s="16" t="str">
        <x:v>+601116886234</x:v>
      </x:c>
      <x:c r="H2590" s="16" t="str">
        <x:v>Excluded</x:v>
      </x:c>
      <x:c r="I2590" s="16" t="str">
        <x:v>Missing email</x:v>
      </x:c>
    </x:row>
    <x:row r="2591">
      <x:c r="A2591" s="16" t="n">
        <x:v>2588</x:v>
      </x:c>
      <x:c r="B2591" s="16" t="str">
        <x:v>Faizul IT RichWorks</x:v>
      </x:c>
      <x:c r="C2591" s="16" t="str"/>
      <x:c r="D2591" s="16" t="str"/>
      <x:c r="E2591" s="16" t="str">
        <x:v>* myContacts</x:v>
      </x:c>
      <x:c r="F2591" s="16" t="str">
        <x:v>+60 16-959 9435 | +60169599435</x:v>
      </x:c>
      <x:c r="G2591" s="16" t="str">
        <x:v>+60169599435 | +60169599435</x:v>
      </x:c>
      <x:c r="H2591" s="16" t="str">
        <x:v>Excluded</x:v>
      </x:c>
      <x:c r="I2591" s="16" t="str">
        <x:v>Missing email</x:v>
      </x:c>
    </x:row>
    <x:row r="2592">
      <x:c r="A2592" s="16" t="n">
        <x:v>2589</x:v>
      </x:c>
      <x:c r="B2592" s="16" t="str">
        <x:v>Faizurah Ansarudin VOE Eu2023</x:v>
      </x:c>
      <x:c r="C2592" s="16" t="str"/>
      <x:c r="D2592" s="16" t="str"/>
      <x:c r="E2592" s="16" t="str">
        <x:v>* myContacts</x:v>
      </x:c>
      <x:c r="F2592" s="16" t="str">
        <x:v>+60 12-652 4362 | +60126524362</x:v>
      </x:c>
      <x:c r="G2592" s="16" t="str">
        <x:v>+60126524362 | +60126524362</x:v>
      </x:c>
      <x:c r="H2592" s="16" t="str">
        <x:v>Excluded</x:v>
      </x:c>
      <x:c r="I2592" s="16" t="str">
        <x:v>Missing email</x:v>
      </x:c>
    </x:row>
    <x:row r="2593">
      <x:c r="A2593" s="16" t="n">
        <x:v>2590</x:v>
      </x:c>
      <x:c r="B2593" s="16" t="str">
        <x:v>Faizurah PEDAS</x:v>
      </x:c>
      <x:c r="C2593" s="16" t="str"/>
      <x:c r="D2593" s="16" t="str"/>
      <x:c r="E2593" s="16" t="str">
        <x:v>* myContacts</x:v>
      </x:c>
      <x:c r="F2593" s="16" t="str">
        <x:v>+60 12-680 3180 | +60126803180</x:v>
      </x:c>
      <x:c r="G2593" s="16" t="str">
        <x:v>+60126803180 | +60126803180</x:v>
      </x:c>
      <x:c r="H2593" s="16" t="str">
        <x:v>Excluded</x:v>
      </x:c>
      <x:c r="I2593" s="16" t="str">
        <x:v>Missing email</x:v>
      </x:c>
    </x:row>
    <x:row r="2594">
      <x:c r="A2594" s="16" t="n">
        <x:v>2591</x:v>
      </x:c>
      <x:c r="B2594" s="16" t="str">
        <x:v>Faizzuddin Hamzah</x:v>
      </x:c>
      <x:c r="C2594" s="16" t="str"/>
      <x:c r="D2594" s="16" t="str"/>
      <x:c r="E2594" s="16" t="str">
        <x:v>* myContacts</x:v>
      </x:c>
      <x:c r="F2594" s="16" t="str">
        <x:v>+60195548400</x:v>
      </x:c>
      <x:c r="G2594" s="16" t="str">
        <x:v>+60195548400</x:v>
      </x:c>
      <x:c r="H2594" s="16" t="str">
        <x:v>Excluded</x:v>
      </x:c>
      <x:c r="I2594" s="16" t="str">
        <x:v>Missing email</x:v>
      </x:c>
    </x:row>
    <x:row r="2595">
      <x:c r="A2595" s="16" t="n">
        <x:v>2592</x:v>
      </x:c>
      <x:c r="B2595" s="16" t="str">
        <x:v>Fajar Antonil</x:v>
      </x:c>
      <x:c r="C2595" s="16" t="str"/>
      <x:c r="D2595" s="16" t="str"/>
      <x:c r="E2595" s="16" t="str">
        <x:v>* myContacts</x:v>
      </x:c>
      <x:c r="F2595" s="16" t="str">
        <x:v>+6287754181086</x:v>
      </x:c>
      <x:c r="G2595" s="16" t="str">
        <x:v>+6287754181086</x:v>
      </x:c>
      <x:c r="H2595" s="16" t="str">
        <x:v>Excluded</x:v>
      </x:c>
      <x:c r="I2595" s="16" t="str">
        <x:v>Missing email</x:v>
      </x:c>
    </x:row>
    <x:row r="2596">
      <x:c r="A2596" s="16" t="n">
        <x:v>2593</x:v>
      </x:c>
      <x:c r="B2596" s="16" t="str">
        <x:v>Fakhrul Ikhwan</x:v>
      </x:c>
      <x:c r="C2596" s="16" t="str"/>
      <x:c r="D2596" s="16" t="str"/>
      <x:c r="E2596" s="16" t="str">
        <x:v>* myContacts</x:v>
      </x:c>
      <x:c r="F2596" s="16" t="str">
        <x:v>+60176519403</x:v>
      </x:c>
      <x:c r="G2596" s="16" t="str">
        <x:v>+60176519403</x:v>
      </x:c>
      <x:c r="H2596" s="16" t="str">
        <x:v>Excluded</x:v>
      </x:c>
      <x:c r="I2596" s="16" t="str">
        <x:v>Missing email</x:v>
      </x:c>
    </x:row>
    <x:row r="2597">
      <x:c r="A2597" s="16" t="n">
        <x:v>2594</x:v>
      </x:c>
      <x:c r="B2597" s="16" t="str">
        <x:v>Fakhrul Mizam</x:v>
      </x:c>
      <x:c r="C2597" s="16" t="str"/>
      <x:c r="D2597" s="16" t="str"/>
      <x:c r="E2597" s="16" t="str">
        <x:v>* myContacts</x:v>
      </x:c>
      <x:c r="F2597" s="16" t="str">
        <x:v>+60176955609</x:v>
      </x:c>
      <x:c r="G2597" s="16" t="str">
        <x:v>+60176955609</x:v>
      </x:c>
      <x:c r="H2597" s="16" t="str">
        <x:v>Excluded</x:v>
      </x:c>
      <x:c r="I2597" s="16" t="str">
        <x:v>Missing email</x:v>
      </x:c>
    </x:row>
    <x:row r="2598">
      <x:c r="A2598" s="16" t="n">
        <x:v>2595</x:v>
      </x:c>
      <x:c r="B2598" s="16" t="str">
        <x:v>Faliza Ariffin New</x:v>
      </x:c>
      <x:c r="C2598" s="16" t="str"/>
      <x:c r="D2598" s="16" t="str"/>
      <x:c r="E2598" s="16" t="str">
        <x:v>* myContacts</x:v>
      </x:c>
      <x:c r="F2598" s="16" t="str">
        <x:v>+60182874237</x:v>
      </x:c>
      <x:c r="G2598" s="16" t="str">
        <x:v>+60182874237</x:v>
      </x:c>
      <x:c r="H2598" s="16" t="str">
        <x:v>Excluded</x:v>
      </x:c>
      <x:c r="I2598" s="16" t="str">
        <x:v>Missing email</x:v>
      </x:c>
    </x:row>
    <x:row r="2599">
      <x:c r="A2599" s="16" t="n">
        <x:v>2596</x:v>
      </x:c>
      <x:c r="B2599" s="16" t="str">
        <x:v>FalLing InTo PLace</x:v>
      </x:c>
      <x:c r="C2599" s="16" t="str"/>
      <x:c r="D2599" s="16" t="str"/>
      <x:c r="E2599" s="16" t="str">
        <x:v>* myContacts</x:v>
      </x:c>
      <x:c r="F2599" s="16" t="str">
        <x:v>+639479494405</x:v>
      </x:c>
      <x:c r="G2599" s="16" t="str">
        <x:v>+639479494405</x:v>
      </x:c>
      <x:c r="H2599" s="16" t="str">
        <x:v>Excluded</x:v>
      </x:c>
      <x:c r="I2599" s="16" t="str">
        <x:v>Missing email</x:v>
      </x:c>
    </x:row>
    <x:row r="2600">
      <x:c r="A2600" s="16" t="n">
        <x:v>2597</x:v>
      </x:c>
      <x:c r="B2600" s="16" t="str">
        <x:v>Fama Firdaus Pembangunan usahawanan</x:v>
      </x:c>
      <x:c r="C2600" s="16" t="str"/>
      <x:c r="D2600" s="16" t="str"/>
      <x:c r="E2600" s="16" t="str">
        <x:v>* myContacts</x:v>
      </x:c>
      <x:c r="F2600" s="16" t="str">
        <x:v>+60 19-900 0196 | +60199000196</x:v>
      </x:c>
      <x:c r="G2600" s="16" t="str">
        <x:v>+60199000196 | +60199000196</x:v>
      </x:c>
      <x:c r="H2600" s="16" t="str">
        <x:v>Excluded</x:v>
      </x:c>
      <x:c r="I2600" s="16" t="str">
        <x:v>Missing email</x:v>
      </x:c>
    </x:row>
    <x:row r="2601">
      <x:c r="A2601" s="16" t="n">
        <x:v>2598</x:v>
      </x:c>
      <x:c r="B2601" s="16" t="str">
        <x:v>Fany Tria</x:v>
      </x:c>
      <x:c r="C2601" s="16" t="str"/>
      <x:c r="D2601" s="16" t="str"/>
      <x:c r="E2601" s="16" t="str">
        <x:v>* myContacts</x:v>
      </x:c>
      <x:c r="F2601" s="16" t="str">
        <x:v>+62254777121</x:v>
      </x:c>
      <x:c r="G2601" s="16" t="str">
        <x:v>+62254777121</x:v>
      </x:c>
      <x:c r="H2601" s="16" t="str">
        <x:v>Excluded</x:v>
      </x:c>
      <x:c r="I2601" s="16" t="str">
        <x:v>Missing email</x:v>
      </x:c>
    </x:row>
    <x:row r="2602">
      <x:c r="A2602" s="16" t="n">
        <x:v>2599</x:v>
      </x:c>
      <x:c r="B2602" s="16" t="str">
        <x:v>Fara Lin Tukang Buat Examption HRD Corp</x:v>
      </x:c>
      <x:c r="C2602" s="16" t="str"/>
      <x:c r="D2602" s="16" t="str"/>
      <x:c r="E2602" s="16" t="str">
        <x:v>* myContacts</x:v>
      </x:c>
      <x:c r="F2602" s="16" t="str">
        <x:v>+60 14-931 2400 | +60149312400</x:v>
      </x:c>
      <x:c r="G2602" s="16" t="str">
        <x:v>+60149312400 | +60149312400</x:v>
      </x:c>
      <x:c r="H2602" s="16" t="str">
        <x:v>Excluded</x:v>
      </x:c>
      <x:c r="I2602" s="16" t="str">
        <x:v>Missing email</x:v>
      </x:c>
    </x:row>
    <x:row r="2603">
      <x:c r="A2603" s="16" t="n">
        <x:v>2600</x:v>
      </x:c>
      <x:c r="B2603" s="16" t="str">
        <x:v>Fara Sofia</x:v>
      </x:c>
      <x:c r="C2603" s="16" t="str"/>
      <x:c r="D2603" s="16" t="str"/>
      <x:c r="E2603" s="16" t="str">
        <x:v>* myContacts</x:v>
      </x:c>
      <x:c r="F2603" s="16" t="str">
        <x:v>+601123439356</x:v>
      </x:c>
      <x:c r="G2603" s="16" t="str">
        <x:v>+601123439356</x:v>
      </x:c>
      <x:c r="H2603" s="16" t="str">
        <x:v>Excluded</x:v>
      </x:c>
      <x:c r="I2603" s="16" t="str">
        <x:v>Missing email</x:v>
      </x:c>
    </x:row>
    <x:row r="2604">
      <x:c r="A2604" s="16" t="n">
        <x:v>2601</x:v>
      </x:c>
      <x:c r="B2604" s="16" t="str">
        <x:v>Faraa Vengers</x:v>
      </x:c>
      <x:c r="C2604" s="16" t="str"/>
      <x:c r="D2604" s="16" t="str"/>
      <x:c r="E2604" s="16" t="str">
        <x:v>* myContacts</x:v>
      </x:c>
      <x:c r="F2604" s="16" t="str">
        <x:v>+60145316522</x:v>
      </x:c>
      <x:c r="G2604" s="16" t="str">
        <x:v>+60145316522</x:v>
      </x:c>
      <x:c r="H2604" s="16" t="str">
        <x:v>Excluded</x:v>
      </x:c>
      <x:c r="I2604" s="16" t="str">
        <x:v>Missing email</x:v>
      </x:c>
    </x:row>
    <x:row r="2605">
      <x:c r="A2605" s="16" t="n">
        <x:v>2602</x:v>
      </x:c>
      <x:c r="B2605" s="16" t="str">
        <x:v>Farabi IM</x:v>
      </x:c>
      <x:c r="C2605" s="16" t="str"/>
      <x:c r="D2605" s="16" t="str"/>
      <x:c r="E2605" s="16" t="str">
        <x:v>* myContacts</x:v>
      </x:c>
      <x:c r="F2605" s="16" t="str">
        <x:v>019-440 8852 | +60194408852</x:v>
      </x:c>
      <x:c r="G2605" s="16" t="str">
        <x:v>+60194408852 | +60194408852</x:v>
      </x:c>
      <x:c r="H2605" s="16" t="str">
        <x:v>Excluded</x:v>
      </x:c>
      <x:c r="I2605" s="16" t="str">
        <x:v>Missing email</x:v>
      </x:c>
    </x:row>
    <x:row r="2606">
      <x:c r="A2606" s="16" t="n">
        <x:v>2603</x:v>
      </x:c>
      <x:c r="B2606" s="16" t="str">
        <x:v>Faraby BDA</x:v>
      </x:c>
      <x:c r="C2606" s="16" t="str"/>
      <x:c r="D2606" s="16" t="str"/>
      <x:c r="E2606" s="16" t="str">
        <x:v>* myContacts</x:v>
      </x:c>
      <x:c r="F2606" s="16" t="str">
        <x:v>0176075885 | +60176075885</x:v>
      </x:c>
      <x:c r="G2606" s="16" t="str">
        <x:v>+60176075885 | +60176075885</x:v>
      </x:c>
      <x:c r="H2606" s="16" t="str">
        <x:v>Excluded</x:v>
      </x:c>
      <x:c r="I2606" s="16" t="str">
        <x:v>Missing email</x:v>
      </x:c>
    </x:row>
    <x:row r="2607">
      <x:c r="A2607" s="16" t="n">
        <x:v>2604</x:v>
      </x:c>
      <x:c r="B2607" s="16" t="str">
        <x:v>Faradyba Azman</x:v>
      </x:c>
      <x:c r="C2607" s="16" t="str"/>
      <x:c r="D2607" s="16" t="str"/>
      <x:c r="E2607" s="16" t="str">
        <x:v>* myContacts</x:v>
      </x:c>
      <x:c r="F2607" s="16" t="str">
        <x:v>+60179760931</x:v>
      </x:c>
      <x:c r="G2607" s="16" t="str">
        <x:v>+60179760931</x:v>
      </x:c>
      <x:c r="H2607" s="16" t="str">
        <x:v>Excluded</x:v>
      </x:c>
      <x:c r="I2607" s="16" t="str">
        <x:v>Missing email</x:v>
      </x:c>
    </x:row>
    <x:row r="2608">
      <x:c r="A2608" s="16" t="n">
        <x:v>2605</x:v>
      </x:c>
      <x:c r="B2608" s="16" t="str">
        <x:v>Farah Aqilah Mahad</x:v>
      </x:c>
      <x:c r="C2608" s="16" t="str"/>
      <x:c r="D2608" s="16" t="str"/>
      <x:c r="E2608" s="16" t="str">
        <x:v>* myContacts</x:v>
      </x:c>
      <x:c r="F2608" s="16" t="str">
        <x:v>+60136458384</x:v>
      </x:c>
      <x:c r="G2608" s="16" t="str">
        <x:v>+60136458384</x:v>
      </x:c>
      <x:c r="H2608" s="16" t="str">
        <x:v>Excluded</x:v>
      </x:c>
      <x:c r="I2608" s="16" t="str">
        <x:v>Missing email</x:v>
      </x:c>
    </x:row>
    <x:row r="2609">
      <x:c r="A2609" s="16" t="n">
        <x:v>2606</x:v>
      </x:c>
      <x:c r="B2609" s="16" t="str">
        <x:v>Farah Dina Azizan</x:v>
      </x:c>
      <x:c r="C2609" s="16" t="str"/>
      <x:c r="D2609" s="16" t="str"/>
      <x:c r="E2609" s="16" t="str">
        <x:v>* myContacts</x:v>
      </x:c>
      <x:c r="F2609" s="16" t="str">
        <x:v>+601125577327</x:v>
      </x:c>
      <x:c r="G2609" s="16" t="str">
        <x:v>+601125577327</x:v>
      </x:c>
      <x:c r="H2609" s="16" t="str">
        <x:v>Excluded</x:v>
      </x:c>
      <x:c r="I2609" s="16" t="str">
        <x:v>Missing email</x:v>
      </x:c>
    </x:row>
    <x:row r="2610">
      <x:c r="A2610" s="16" t="n">
        <x:v>2607</x:v>
      </x:c>
      <x:c r="B2610" s="16" t="str">
        <x:v>Farah Dyxy</x:v>
      </x:c>
      <x:c r="C2610" s="16" t="str"/>
      <x:c r="D2610" s="16" t="str"/>
      <x:c r="E2610" s="16" t="str">
        <x:v>* myContacts</x:v>
      </x:c>
      <x:c r="F2610" s="16" t="str">
        <x:v>+60133281908</x:v>
      </x:c>
      <x:c r="G2610" s="16" t="str">
        <x:v>+60133281908</x:v>
      </x:c>
      <x:c r="H2610" s="16" t="str">
        <x:v>Excluded</x:v>
      </x:c>
      <x:c r="I2610" s="16" t="str">
        <x:v>Missing email</x:v>
      </x:c>
    </x:row>
    <x:row r="2611">
      <x:c r="A2611" s="16" t="n">
        <x:v>2608</x:v>
      </x:c>
      <x:c r="B2611" s="16" t="str">
        <x:v>Farah Ilyana Ahmad Mansur</x:v>
      </x:c>
      <x:c r="C2611" s="16" t="str"/>
      <x:c r="D2611" s="16" t="str"/>
      <x:c r="E2611" s="16" t="str">
        <x:v>* myContacts</x:v>
      </x:c>
      <x:c r="F2611" s="16" t="str">
        <x:v>+60134844279</x:v>
      </x:c>
      <x:c r="G2611" s="16" t="str">
        <x:v>+60134844279</x:v>
      </x:c>
      <x:c r="H2611" s="16" t="str">
        <x:v>Excluded</x:v>
      </x:c>
      <x:c r="I2611" s="16" t="str">
        <x:v>Missing email</x:v>
      </x:c>
    </x:row>
    <x:row r="2612">
      <x:c r="A2612" s="16" t="n">
        <x:v>2609</x:v>
      </x:c>
      <x:c r="B2612" s="16" t="str">
        <x:v>Farah Mohamad</x:v>
      </x:c>
      <x:c r="C2612" s="16" t="str"/>
      <x:c r="D2612" s="16" t="str"/>
      <x:c r="E2612" s="16" t="str">
        <x:v>* myContacts</x:v>
      </x:c>
      <x:c r="F2612" s="16" t="str">
        <x:v>+60193058385</x:v>
      </x:c>
      <x:c r="G2612" s="16" t="str">
        <x:v>+60193058385</x:v>
      </x:c>
      <x:c r="H2612" s="16" t="str">
        <x:v>Excluded</x:v>
      </x:c>
      <x:c r="I2612" s="16" t="str">
        <x:v>Missing email</x:v>
      </x:c>
    </x:row>
    <x:row r="2613">
      <x:c r="A2613" s="16" t="n">
        <x:v>2610</x:v>
      </x:c>
      <x:c r="B2613" s="16" t="str">
        <x:v>Farah Nadirah Zamri</x:v>
      </x:c>
      <x:c r="C2613" s="16" t="str"/>
      <x:c r="D2613" s="16" t="str"/>
      <x:c r="E2613" s="16" t="str">
        <x:v>* myContacts</x:v>
      </x:c>
      <x:c r="F2613" s="16" t="str">
        <x:v>+60106696165</x:v>
      </x:c>
      <x:c r="G2613" s="16" t="str">
        <x:v>+60106696165</x:v>
      </x:c>
      <x:c r="H2613" s="16" t="str">
        <x:v>Excluded</x:v>
      </x:c>
      <x:c r="I2613" s="16" t="str">
        <x:v>Missing email</x:v>
      </x:c>
    </x:row>
    <x:row r="2614">
      <x:c r="A2614" s="16" t="n">
        <x:v>2611</x:v>
      </x:c>
      <x:c r="B2614" s="16" t="str">
        <x:v>Farah Najla Farm Fresh Puncak Alam</x:v>
      </x:c>
      <x:c r="C2614" s="16" t="str"/>
      <x:c r="D2614" s="16" t="str"/>
      <x:c r="E2614" s="16" t="str">
        <x:v>* myContacts</x:v>
      </x:c>
      <x:c r="F2614" s="16" t="str">
        <x:v>+60 16-337 3265 | +60163373265</x:v>
      </x:c>
      <x:c r="G2614" s="16" t="str">
        <x:v>+60163373265 | +60163373265</x:v>
      </x:c>
      <x:c r="H2614" s="16" t="str">
        <x:v>Excluded</x:v>
      </x:c>
      <x:c r="I2614" s="16" t="str">
        <x:v>Missing email</x:v>
      </x:c>
    </x:row>
    <x:row r="2615">
      <x:c r="A2615" s="16" t="n">
        <x:v>2612</x:v>
      </x:c>
      <x:c r="B2615" s="16" t="str">
        <x:v>Farah Najwa II</x:v>
      </x:c>
      <x:c r="C2615" s="16" t="str"/>
      <x:c r="D2615" s="16" t="str"/>
      <x:c r="E2615" s="16" t="str">
        <x:v>* myContacts</x:v>
      </x:c>
      <x:c r="F2615" s="16" t="str">
        <x:v>+60184054954</x:v>
      </x:c>
      <x:c r="G2615" s="16" t="str">
        <x:v>+60184054954</x:v>
      </x:c>
      <x:c r="H2615" s="16" t="str">
        <x:v>Excluded</x:v>
      </x:c>
      <x:c r="I2615" s="16" t="str">
        <x:v>Missing email</x:v>
      </x:c>
    </x:row>
    <x:row r="2616">
      <x:c r="A2616" s="16" t="n">
        <x:v>2613</x:v>
      </x:c>
      <x:c r="B2616" s="16" t="str">
        <x:v>Farah Nur Adela</x:v>
      </x:c>
      <x:c r="C2616" s="16" t="str"/>
      <x:c r="D2616" s="16" t="str"/>
      <x:c r="E2616" s="16" t="str">
        <x:v>* myContacts</x:v>
      </x:c>
      <x:c r="F2616" s="16" t="str">
        <x:v>+601114777202</x:v>
      </x:c>
      <x:c r="G2616" s="16" t="str">
        <x:v>+601114777202</x:v>
      </x:c>
      <x:c r="H2616" s="16" t="str">
        <x:v>Excluded</x:v>
      </x:c>
      <x:c r="I2616" s="16" t="str">
        <x:v>Missing email</x:v>
      </x:c>
    </x:row>
    <x:row r="2617">
      <x:c r="A2617" s="16" t="n">
        <x:v>2614</x:v>
      </x:c>
      <x:c r="B2617" s="16" t="str">
        <x:v>Farah Pitching Centre</x:v>
      </x:c>
      <x:c r="C2617" s="16" t="str"/>
      <x:c r="D2617" s="16" t="str"/>
      <x:c r="E2617" s="16" t="str">
        <x:v>* myContacts</x:v>
      </x:c>
      <x:c r="F2617" s="16" t="str">
        <x:v>03-2725 9190 | +60327259190 | 03-2725 9191</x:v>
      </x:c>
      <x:c r="G2617" s="16" t="str">
        <x:v>+60327259190 | +60327259190 | +60327259191</x:v>
      </x:c>
      <x:c r="H2617" s="16" t="str">
        <x:v>Excluded</x:v>
      </x:c>
      <x:c r="I2617" s="16" t="str">
        <x:v>Missing email</x:v>
      </x:c>
    </x:row>
    <x:row r="2618">
      <x:c r="A2618" s="16" t="n">
        <x:v>2615</x:v>
      </x:c>
      <x:c r="B2618" s="16" t="str">
        <x:v>Farah Quenn</x:v>
      </x:c>
      <x:c r="C2618" s="16" t="str"/>
      <x:c r="D2618" s="16" t="str"/>
      <x:c r="E2618" s="16" t="str">
        <x:v>* myContacts</x:v>
      </x:c>
      <x:c r="F2618" s="16" t="str">
        <x:v>+60189010305</x:v>
      </x:c>
      <x:c r="G2618" s="16" t="str">
        <x:v>+60189010305</x:v>
      </x:c>
      <x:c r="H2618" s="16" t="str">
        <x:v>Excluded</x:v>
      </x:c>
      <x:c r="I2618" s="16" t="str">
        <x:v>Missing email</x:v>
      </x:c>
    </x:row>
    <x:row r="2619">
      <x:c r="A2619" s="16" t="n">
        <x:v>2616</x:v>
      </x:c>
      <x:c r="B2619" s="16" t="str">
        <x:v>Farah Qurratun</x:v>
      </x:c>
      <x:c r="C2619" s="16" t="str"/>
      <x:c r="D2619" s="16" t="str"/>
      <x:c r="E2619" s="16" t="str">
        <x:v>* myContacts</x:v>
      </x:c>
      <x:c r="F2619" s="16" t="str">
        <x:v>+60164140985</x:v>
      </x:c>
      <x:c r="G2619" s="16" t="str">
        <x:v>+60164140985</x:v>
      </x:c>
      <x:c r="H2619" s="16" t="str">
        <x:v>Excluded</x:v>
      </x:c>
      <x:c r="I2619" s="16" t="str">
        <x:v>Missing email</x:v>
      </x:c>
    </x:row>
    <x:row r="2620">
      <x:c r="A2620" s="16" t="n">
        <x:v>2617</x:v>
      </x:c>
      <x:c r="B2620" s="16" t="str">
        <x:v>Farah Tudung &amp; Adhwa'</x:v>
      </x:c>
      <x:c r="C2620" s="16" t="str">
        <x:v>azmierafarah@gmail.com</x:v>
      </x:c>
      <x:c r="D2620" s="16" t="str">
        <x:v>azmierafarah@gmail.com</x:v>
      </x:c>
      <x:c r="E2620" s="16" t="str">
        <x:v>* myContacts</x:v>
      </x:c>
      <x:c r="F2620" s="16" t="str">
        <x:v>+60 13-977 4801 | +60139774801</x:v>
      </x:c>
      <x:c r="G2620" s="16" t="str">
        <x:v>+60139774801 | +60139774801</x:v>
      </x:c>
      <x:c r="H2620" s="16" t="str">
        <x:v>Eligible</x:v>
      </x:c>
      <x:c r="I2620" s="16" t="str"/>
    </x:row>
    <x:row r="2621">
      <x:c r="A2621" s="16" t="n">
        <x:v>2618</x:v>
      </x:c>
      <x:c r="B2621" s="16" t="str">
        <x:v>Farah Wahida Abu Supian Strategic Alliance</x:v>
      </x:c>
      <x:c r="C2621" s="16" t="str"/>
      <x:c r="D2621" s="16" t="str"/>
      <x:c r="E2621" s="16" t="str">
        <x:v>* myContacts</x:v>
      </x:c>
      <x:c r="F2621" s="16" t="str">
        <x:v>+60 14-808 1372 | +60148081372</x:v>
      </x:c>
      <x:c r="G2621" s="16" t="str">
        <x:v>+60148081372 | +60148081372</x:v>
      </x:c>
      <x:c r="H2621" s="16" t="str">
        <x:v>Excluded</x:v>
      </x:c>
      <x:c r="I2621" s="16" t="str">
        <x:v>Missing email</x:v>
      </x:c>
    </x:row>
    <x:row r="2622">
      <x:c r="A2622" s="16" t="n">
        <x:v>2619</x:v>
      </x:c>
      <x:c r="B2622" s="16" t="str">
        <x:v>Farah Zakaria</x:v>
      </x:c>
      <x:c r="C2622" s="16" t="str"/>
      <x:c r="D2622" s="16" t="str"/>
      <x:c r="E2622" s="16" t="str">
        <x:v>* myContacts</x:v>
      </x:c>
      <x:c r="F2622" s="16" t="str">
        <x:v>+601129258585</x:v>
      </x:c>
      <x:c r="G2622" s="16" t="str">
        <x:v>+601129258585</x:v>
      </x:c>
      <x:c r="H2622" s="16" t="str">
        <x:v>Excluded</x:v>
      </x:c>
      <x:c r="I2622" s="16" t="str">
        <x:v>Missing email</x:v>
      </x:c>
    </x:row>
    <x:row r="2623">
      <x:c r="A2623" s="16" t="n">
        <x:v>2620</x:v>
      </x:c>
      <x:c r="B2623" s="16" t="str">
        <x:v>Farah. CEDAR</x:v>
      </x:c>
      <x:c r="C2623" s="16" t="str"/>
      <x:c r="D2623" s="16" t="str"/>
      <x:c r="E2623" s="16" t="str">
        <x:v>* myContacts</x:v>
      </x:c>
      <x:c r="F2623" s="16" t="str">
        <x:v>+60176162908</x:v>
      </x:c>
      <x:c r="G2623" s="16" t="str">
        <x:v>+60176162908</x:v>
      </x:c>
      <x:c r="H2623" s="16" t="str">
        <x:v>Excluded</x:v>
      </x:c>
      <x:c r="I2623" s="16" t="str">
        <x:v>Missing email</x:v>
      </x:c>
    </x:row>
    <x:row r="2624">
      <x:c r="A2624" s="16" t="n">
        <x:v>2621</x:v>
      </x:c>
      <x:c r="B2624" s="16" t="str">
        <x:v>Farahain Juhari</x:v>
      </x:c>
      <x:c r="C2624" s="16" t="str"/>
      <x:c r="D2624" s="16" t="str"/>
      <x:c r="E2624" s="16" t="str">
        <x:v>* myContacts</x:v>
      </x:c>
      <x:c r="F2624" s="16" t="str">
        <x:v>+60133317134</x:v>
      </x:c>
      <x:c r="G2624" s="16" t="str">
        <x:v>+60133317134</x:v>
      </x:c>
      <x:c r="H2624" s="16" t="str">
        <x:v>Excluded</x:v>
      </x:c>
      <x:c r="I2624" s="16" t="str">
        <x:v>Missing email</x:v>
      </x:c>
    </x:row>
    <x:row r="2625">
      <x:c r="A2625" s="16" t="n">
        <x:v>2622</x:v>
      </x:c>
      <x:c r="B2625" s="16" t="str">
        <x:v>Farahana Nazri</x:v>
      </x:c>
      <x:c r="C2625" s="16" t="str"/>
      <x:c r="D2625" s="16" t="str"/>
      <x:c r="E2625" s="16" t="str">
        <x:v>* myContacts</x:v>
      </x:c>
      <x:c r="F2625" s="16" t="str">
        <x:v>+60129792068</x:v>
      </x:c>
      <x:c r="G2625" s="16" t="str">
        <x:v>+60129792068</x:v>
      </x:c>
      <x:c r="H2625" s="16" t="str">
        <x:v>Excluded</x:v>
      </x:c>
      <x:c r="I2625" s="16" t="str">
        <x:v>Missing email</x:v>
      </x:c>
    </x:row>
    <x:row r="2626">
      <x:c r="A2626" s="16" t="n">
        <x:v>2623</x:v>
      </x:c>
      <x:c r="B2626" s="16" t="str">
        <x:v>Farahhin Natasha Buhary</x:v>
      </x:c>
      <x:c r="C2626" s="16" t="str"/>
      <x:c r="D2626" s="16" t="str"/>
      <x:c r="E2626" s="16" t="str">
        <x:v>* myContacts</x:v>
      </x:c>
      <x:c r="F2626" s="16" t="str">
        <x:v>+60184016889</x:v>
      </x:c>
      <x:c r="G2626" s="16" t="str">
        <x:v>+60184016889</x:v>
      </x:c>
      <x:c r="H2626" s="16" t="str">
        <x:v>Excluded</x:v>
      </x:c>
      <x:c r="I2626" s="16" t="str">
        <x:v>Missing email</x:v>
      </x:c>
    </x:row>
    <x:row r="2627">
      <x:c r="A2627" s="16" t="n">
        <x:v>2624</x:v>
      </x:c>
      <x:c r="B2627" s="16" t="str">
        <x:v>Farahin Noor</x:v>
      </x:c>
      <x:c r="C2627" s="16" t="str"/>
      <x:c r="D2627" s="16" t="str"/>
      <x:c r="E2627" s="16" t="str">
        <x:v>* myContacts</x:v>
      </x:c>
      <x:c r="F2627" s="16" t="str">
        <x:v>+60104674620</x:v>
      </x:c>
      <x:c r="G2627" s="16" t="str">
        <x:v>+60104674620</x:v>
      </x:c>
      <x:c r="H2627" s="16" t="str">
        <x:v>Excluded</x:v>
      </x:c>
      <x:c r="I2627" s="16" t="str">
        <x:v>Missing email</x:v>
      </x:c>
    </x:row>
    <x:row r="2628">
      <x:c r="A2628" s="16" t="n">
        <x:v>2625</x:v>
      </x:c>
      <x:c r="B2628" s="16" t="str">
        <x:v>Farahiyah Farapink Taib</x:v>
      </x:c>
      <x:c r="C2628" s="16" t="str"/>
      <x:c r="D2628" s="16" t="str"/>
      <x:c r="E2628" s="16" t="str">
        <x:v>* myContacts</x:v>
      </x:c>
      <x:c r="F2628" s="16" t="str">
        <x:v>+60166421354</x:v>
      </x:c>
      <x:c r="G2628" s="16" t="str">
        <x:v>+60166421354</x:v>
      </x:c>
      <x:c r="H2628" s="16" t="str">
        <x:v>Excluded</x:v>
      </x:c>
      <x:c r="I2628" s="16" t="str">
        <x:v>Missing email</x:v>
      </x:c>
    </x:row>
    <x:row r="2629">
      <x:c r="A2629" s="16" t="n">
        <x:v>2626</x:v>
      </x:c>
      <x:c r="B2629" s="16" t="str">
        <x:v>Faraness Tiktok Officer</x:v>
      </x:c>
      <x:c r="C2629" s="16" t="str"/>
      <x:c r="D2629" s="16" t="str"/>
      <x:c r="E2629" s="16" t="str">
        <x:v>* myContacts</x:v>
      </x:c>
      <x:c r="F2629" s="16" t="str">
        <x:v>+60 13-373 0012 | +60133730012</x:v>
      </x:c>
      <x:c r="G2629" s="16" t="str">
        <x:v>+60133730012 | +60133730012</x:v>
      </x:c>
      <x:c r="H2629" s="16" t="str">
        <x:v>Excluded</x:v>
      </x:c>
      <x:c r="I2629" s="16" t="str">
        <x:v>Missing email</x:v>
      </x:c>
    </x:row>
    <x:row r="2630">
      <x:c r="A2630" s="16" t="n">
        <x:v>2627</x:v>
      </x:c>
      <x:c r="B2630" s="16" t="str">
        <x:v>Fareed mdec Trainer</x:v>
      </x:c>
      <x:c r="C2630" s="16" t="str"/>
      <x:c r="D2630" s="16" t="str"/>
      <x:c r="E2630" s="16" t="str">
        <x:v>Trainer | * myContacts</x:v>
      </x:c>
      <x:c r="F2630" s="16" t="str">
        <x:v>+60133912670</x:v>
      </x:c>
      <x:c r="G2630" s="16" t="str">
        <x:v>+60133912670</x:v>
      </x:c>
      <x:c r="H2630" s="16" t="str">
        <x:v>Excluded</x:v>
      </x:c>
      <x:c r="I2630" s="16" t="str">
        <x:v>Missing email</x:v>
      </x:c>
    </x:row>
    <x:row r="2631">
      <x:c r="A2631" s="16" t="n">
        <x:v>2628</x:v>
      </x:c>
      <x:c r="B2631" s="16" t="str">
        <x:v>Fareehan Mukhtar</x:v>
      </x:c>
      <x:c r="C2631" s="16" t="str"/>
      <x:c r="D2631" s="16" t="str"/>
      <x:c r="E2631" s="16" t="str">
        <x:v>* myContacts</x:v>
      </x:c>
      <x:c r="F2631" s="16" t="str">
        <x:v>+60145385582</x:v>
      </x:c>
      <x:c r="G2631" s="16" t="str">
        <x:v>+60145385582</x:v>
      </x:c>
      <x:c r="H2631" s="16" t="str">
        <x:v>Excluded</x:v>
      </x:c>
      <x:c r="I2631" s="16" t="str">
        <x:v>Missing email</x:v>
      </x:c>
    </x:row>
    <x:row r="2632">
      <x:c r="A2632" s="16" t="n">
        <x:v>2629</x:v>
      </x:c>
      <x:c r="B2632" s="16" t="str">
        <x:v>Farez Azhar</x:v>
      </x:c>
      <x:c r="C2632" s="16" t="str"/>
      <x:c r="D2632" s="16" t="str"/>
      <x:c r="E2632" s="16" t="str">
        <x:v>* myContacts</x:v>
      </x:c>
      <x:c r="F2632" s="16" t="str">
        <x:v>+60195469601</x:v>
      </x:c>
      <x:c r="G2632" s="16" t="str">
        <x:v>+60195469601</x:v>
      </x:c>
      <x:c r="H2632" s="16" t="str">
        <x:v>Excluded</x:v>
      </x:c>
      <x:c r="I2632" s="16" t="str">
        <x:v>Missing email</x:v>
      </x:c>
    </x:row>
    <x:row r="2633">
      <x:c r="A2633" s="16" t="n">
        <x:v>2630</x:v>
      </x:c>
      <x:c r="B2633" s="16" t="str">
        <x:v>Farez Cece</x:v>
      </x:c>
      <x:c r="C2633" s="16" t="str"/>
      <x:c r="D2633" s="16" t="str"/>
      <x:c r="E2633" s="16" t="str">
        <x:v>* myContacts</x:v>
      </x:c>
      <x:c r="F2633" s="16" t="str">
        <x:v>+60 11-5627 1839</x:v>
      </x:c>
      <x:c r="G2633" s="16" t="str">
        <x:v>+601156271839</x:v>
      </x:c>
      <x:c r="H2633" s="16" t="str">
        <x:v>Excluded</x:v>
      </x:c>
      <x:c r="I2633" s="16" t="str">
        <x:v>Missing email</x:v>
      </x:c>
    </x:row>
    <x:row r="2634">
      <x:c r="A2634" s="16" t="n">
        <x:v>2631</x:v>
      </x:c>
      <x:c r="B2634" s="16" t="str">
        <x:v>Farhah Amirah</x:v>
      </x:c>
      <x:c r="C2634" s="16" t="str"/>
      <x:c r="D2634" s="16" t="str"/>
      <x:c r="E2634" s="16" t="str">
        <x:v>* myContacts</x:v>
      </x:c>
      <x:c r="F2634" s="16" t="str">
        <x:v>+60129478477</x:v>
      </x:c>
      <x:c r="G2634" s="16" t="str">
        <x:v>+60129478477</x:v>
      </x:c>
      <x:c r="H2634" s="16" t="str">
        <x:v>Excluded</x:v>
      </x:c>
      <x:c r="I2634" s="16" t="str">
        <x:v>Missing email</x:v>
      </x:c>
    </x:row>
    <x:row r="2635">
      <x:c r="A2635" s="16" t="n">
        <x:v>2632</x:v>
      </x:c>
      <x:c r="B2635" s="16" t="str">
        <x:v>Farhah Asnadi</x:v>
      </x:c>
      <x:c r="C2635" s="16" t="str"/>
      <x:c r="D2635" s="16" t="str"/>
      <x:c r="E2635" s="16" t="str">
        <x:v>* myContacts</x:v>
      </x:c>
      <x:c r="F2635" s="16" t="str">
        <x:v>+60182982834</x:v>
      </x:c>
      <x:c r="G2635" s="16" t="str">
        <x:v>+60182982834</x:v>
      </x:c>
      <x:c r="H2635" s="16" t="str">
        <x:v>Excluded</x:v>
      </x:c>
      <x:c r="I2635" s="16" t="str">
        <x:v>Missing email</x:v>
      </x:c>
    </x:row>
    <x:row r="2636">
      <x:c r="A2636" s="16" t="n">
        <x:v>2633</x:v>
      </x:c>
      <x:c r="B2636" s="16" t="str">
        <x:v>Farhan Paan</x:v>
      </x:c>
      <x:c r="C2636" s="16" t="str"/>
      <x:c r="D2636" s="16" t="str"/>
      <x:c r="E2636" s="16" t="str">
        <x:v>* myContacts</x:v>
      </x:c>
      <x:c r="F2636" s="16" t="str">
        <x:v>+60177497289</x:v>
      </x:c>
      <x:c r="G2636" s="16" t="str">
        <x:v>+60177497289</x:v>
      </x:c>
      <x:c r="H2636" s="16" t="str">
        <x:v>Excluded</x:v>
      </x:c>
      <x:c r="I2636" s="16" t="str">
        <x:v>Missing email</x:v>
      </x:c>
    </x:row>
    <x:row r="2637">
      <x:c r="A2637" s="16" t="n">
        <x:v>2634</x:v>
      </x:c>
      <x:c r="B2637" s="16" t="str">
        <x:v>Farhan Pandei Sarawak State Library</x:v>
      </x:c>
      <x:c r="C2637" s="16" t="str"/>
      <x:c r="D2637" s="16" t="str"/>
      <x:c r="E2637" s="16" t="str">
        <x:v>* myContacts</x:v>
      </x:c>
      <x:c r="F2637" s="16" t="str">
        <x:v>+60 13-561 7863 | +60135617863</x:v>
      </x:c>
      <x:c r="G2637" s="16" t="str">
        <x:v>+60135617863 | +60135617863</x:v>
      </x:c>
      <x:c r="H2637" s="16" t="str">
        <x:v>Excluded</x:v>
      </x:c>
      <x:c r="I2637" s="16" t="str">
        <x:v>Missing email</x:v>
      </x:c>
    </x:row>
    <x:row r="2638">
      <x:c r="A2638" s="16" t="n">
        <x:v>2635</x:v>
      </x:c>
      <x:c r="B2638" s="16" t="str">
        <x:v>Farhan Rexton</x:v>
      </x:c>
      <x:c r="C2638" s="16" t="str"/>
      <x:c r="D2638" s="16" t="str"/>
      <x:c r="E2638" s="16" t="str">
        <x:v>* myContacts</x:v>
      </x:c>
      <x:c r="F2638" s="16" t="str">
        <x:v>+60 19-666 7385 | +60196667385</x:v>
      </x:c>
      <x:c r="G2638" s="16" t="str">
        <x:v>+60196667385 | +60196667385</x:v>
      </x:c>
      <x:c r="H2638" s="16" t="str">
        <x:v>Excluded</x:v>
      </x:c>
      <x:c r="I2638" s="16" t="str">
        <x:v>Missing email</x:v>
      </x:c>
    </x:row>
    <x:row r="2639">
      <x:c r="A2639" s="16" t="n">
        <x:v>2636</x:v>
      </x:c>
      <x:c r="B2639" s="16" t="str">
        <x:v>Farhan Sifu Copywriting</x:v>
      </x:c>
      <x:c r="C2639" s="16" t="str"/>
      <x:c r="D2639" s="16" t="str"/>
      <x:c r="E2639" s="16" t="str">
        <x:v>Trainer | * myContacts</x:v>
      </x:c>
      <x:c r="F2639" s="16" t="str">
        <x:v>+60 11-5890 4409 | +601158904409</x:v>
      </x:c>
      <x:c r="G2639" s="16" t="str">
        <x:v>+601158904409 | +601158904409</x:v>
      </x:c>
      <x:c r="H2639" s="16" t="str">
        <x:v>Excluded</x:v>
      </x:c>
      <x:c r="I2639" s="16" t="str">
        <x:v>Missing email</x:v>
      </x:c>
    </x:row>
    <x:row r="2640">
      <x:c r="A2640" s="16" t="n">
        <x:v>2637</x:v>
      </x:c>
      <x:c r="B2640" s="16" t="str">
        <x:v>Farhana Atikah</x:v>
      </x:c>
      <x:c r="C2640" s="16" t="str"/>
      <x:c r="D2640" s="16" t="str"/>
      <x:c r="E2640" s="16" t="str">
        <x:v>* myContacts</x:v>
      </x:c>
      <x:c r="F2640" s="16" t="str">
        <x:v>+601118583327</x:v>
      </x:c>
      <x:c r="G2640" s="16" t="str">
        <x:v>+601118583327</x:v>
      </x:c>
      <x:c r="H2640" s="16" t="str">
        <x:v>Excluded</x:v>
      </x:c>
      <x:c r="I2640" s="16" t="str">
        <x:v>Missing email</x:v>
      </x:c>
    </x:row>
    <x:row r="2641">
      <x:c r="A2641" s="16" t="n">
        <x:v>2638</x:v>
      </x:c>
      <x:c r="B2641" s="16" t="str">
        <x:v>Farhana Auni</x:v>
      </x:c>
      <x:c r="C2641" s="16" t="str"/>
      <x:c r="D2641" s="16" t="str"/>
      <x:c r="E2641" s="16" t="str">
        <x:v>* myContacts</x:v>
      </x:c>
      <x:c r="F2641" s="16" t="str">
        <x:v>+60174760969</x:v>
      </x:c>
      <x:c r="G2641" s="16" t="str">
        <x:v>+60174760969</x:v>
      </x:c>
      <x:c r="H2641" s="16" t="str">
        <x:v>Excluded</x:v>
      </x:c>
      <x:c r="I2641" s="16" t="str">
        <x:v>Missing email</x:v>
      </x:c>
    </x:row>
    <x:row r="2642">
      <x:c r="A2642" s="16" t="n">
        <x:v>2639</x:v>
      </x:c>
      <x:c r="B2642" s="16" t="str">
        <x:v>Farhanah Cikdin</x:v>
      </x:c>
      <x:c r="C2642" s="16" t="str"/>
      <x:c r="D2642" s="16" t="str"/>
      <x:c r="E2642" s="16" t="str">
        <x:v>* myContacts</x:v>
      </x:c>
      <x:c r="F2642" s="16" t="str">
        <x:v>+60145334885</x:v>
      </x:c>
      <x:c r="G2642" s="16" t="str">
        <x:v>+60145334885</x:v>
      </x:c>
      <x:c r="H2642" s="16" t="str">
        <x:v>Excluded</x:v>
      </x:c>
      <x:c r="I2642" s="16" t="str">
        <x:v>Missing email</x:v>
      </x:c>
    </x:row>
    <x:row r="2643">
      <x:c r="A2643" s="16" t="n">
        <x:v>2640</x:v>
      </x:c>
      <x:c r="B2643" s="16" t="str">
        <x:v>Farid</x:v>
      </x:c>
      <x:c r="C2643" s="16" t="str"/>
      <x:c r="D2643" s="16" t="str"/>
      <x:c r="E2643" s="16" t="str">
        <x:v>* myContacts</x:v>
      </x:c>
      <x:c r="F2643" s="16" t="str">
        <x:v>+601116244220</x:v>
      </x:c>
      <x:c r="G2643" s="16" t="str">
        <x:v>+601116244220</x:v>
      </x:c>
      <x:c r="H2643" s="16" t="str">
        <x:v>Excluded</x:v>
      </x:c>
      <x:c r="I2643" s="16" t="str">
        <x:v>Missing email</x:v>
      </x:c>
    </x:row>
    <x:row r="2644">
      <x:c r="A2644" s="16" t="n">
        <x:v>2641</x:v>
      </x:c>
      <x:c r="B2644" s="16" t="str">
        <x:v>Farid Ariffin</x:v>
      </x:c>
      <x:c r="C2644" s="16" t="str"/>
      <x:c r="D2644" s="16" t="str"/>
      <x:c r="E2644" s="16" t="str">
        <x:v>* myContacts</x:v>
      </x:c>
      <x:c r="F2644" s="16" t="str">
        <x:v>+60183595529</x:v>
      </x:c>
      <x:c r="G2644" s="16" t="str">
        <x:v>+60183595529</x:v>
      </x:c>
      <x:c r="H2644" s="16" t="str">
        <x:v>Excluded</x:v>
      </x:c>
      <x:c r="I2644" s="16" t="str">
        <x:v>Missing email</x:v>
      </x:c>
    </x:row>
    <x:row r="2645">
      <x:c r="A2645" s="16" t="n">
        <x:v>2642</x:v>
      </x:c>
      <x:c r="B2645" s="16" t="str">
        <x:v>Farid Farid</x:v>
      </x:c>
      <x:c r="C2645" s="16" t="str"/>
      <x:c r="D2645" s="16" t="str"/>
      <x:c r="E2645" s="16" t="str">
        <x:v>* myContacts</x:v>
      </x:c>
      <x:c r="F2645" s="16" t="str">
        <x:v>+601123325021</x:v>
      </x:c>
      <x:c r="G2645" s="16" t="str">
        <x:v>+601123325021</x:v>
      </x:c>
      <x:c r="H2645" s="16" t="str">
        <x:v>Excluded</x:v>
      </x:c>
      <x:c r="I2645" s="16" t="str">
        <x:v>Missing email</x:v>
      </x:c>
    </x:row>
    <x:row r="2646">
      <x:c r="A2646" s="16" t="n">
        <x:v>2643</x:v>
      </x:c>
      <x:c r="B2646" s="16" t="str">
        <x:v>Farid Gatestailor</x:v>
      </x:c>
      <x:c r="C2646" s="16" t="str"/>
      <x:c r="D2646" s="16" t="str"/>
      <x:c r="E2646" s="16" t="str">
        <x:v>* myContacts</x:v>
      </x:c>
      <x:c r="F2646" s="16" t="str">
        <x:v>+60342576068</x:v>
      </x:c>
      <x:c r="G2646" s="16" t="str">
        <x:v>+60342576068</x:v>
      </x:c>
      <x:c r="H2646" s="16" t="str">
        <x:v>Excluded</x:v>
      </x:c>
      <x:c r="I2646" s="16" t="str">
        <x:v>Missing email</x:v>
      </x:c>
    </x:row>
    <x:row r="2647">
      <x:c r="A2647" s="16" t="n">
        <x:v>2644</x:v>
      </x:c>
      <x:c r="B2647" s="16" t="str">
        <x:v>Farid Izani Tanamera</x:v>
      </x:c>
      <x:c r="C2647" s="16" t="str">
        <x:v>Farid5izani@gmail.com</x:v>
      </x:c>
      <x:c r="D2647" s="16" t="str">
        <x:v>farid5izani@gmail.com</x:v>
      </x:c>
      <x:c r="E2647" s="16" t="str">
        <x:v>* myContacts</x:v>
      </x:c>
      <x:c r="F2647" s="16" t="str">
        <x:v>+60128003404</x:v>
      </x:c>
      <x:c r="G2647" s="16" t="str">
        <x:v>+60128003404</x:v>
      </x:c>
      <x:c r="H2647" s="16" t="str">
        <x:v>Eligible</x:v>
      </x:c>
      <x:c r="I2647" s="16" t="str"/>
    </x:row>
    <x:row r="2648">
      <x:c r="A2648" s="16" t="n">
        <x:v>2645</x:v>
      </x:c>
      <x:c r="B2648" s="16" t="str">
        <x:v>Farid Siraj</x:v>
      </x:c>
      <x:c r="C2648" s="16" t="str"/>
      <x:c r="D2648" s="16" t="str"/>
      <x:c r="E2648" s="16" t="str">
        <x:v>* myContacts</x:v>
      </x:c>
      <x:c r="F2648" s="16" t="str">
        <x:v>+60193481301</x:v>
      </x:c>
      <x:c r="G2648" s="16" t="str">
        <x:v>+60193481301</x:v>
      </x:c>
      <x:c r="H2648" s="16" t="str">
        <x:v>Excluded</x:v>
      </x:c>
      <x:c r="I2648" s="16" t="str">
        <x:v>Missing email</x:v>
      </x:c>
    </x:row>
    <x:row r="2649">
      <x:c r="A2649" s="16" t="n">
        <x:v>2646</x:v>
      </x:c>
      <x:c r="B2649" s="16" t="str">
        <x:v>Faridah BDA</x:v>
      </x:c>
      <x:c r="C2649" s="16" t="str">
        <x:v>faridah@jomtraining.com.my</x:v>
      </x:c>
      <x:c r="D2649" s="16" t="str">
        <x:v>faridah@jomtraining.com.my</x:v>
      </x:c>
      <x:c r="E2649" s="16" t="str">
        <x:v>* myContacts</x:v>
      </x:c>
      <x:c r="F2649" s="16" t="str">
        <x:v>0162636101 | +60162636101</x:v>
      </x:c>
      <x:c r="G2649" s="16" t="str">
        <x:v>+60162636101 | +60162636101</x:v>
      </x:c>
      <x:c r="H2649" s="16" t="str">
        <x:v>Eligible</x:v>
      </x:c>
      <x:c r="I2649" s="16" t="str"/>
    </x:row>
    <x:row r="2650">
      <x:c r="A2650" s="16" t="n">
        <x:v>2647</x:v>
      </x:c>
      <x:c r="B2650" s="16" t="str">
        <x:v>Faridah IM</x:v>
      </x:c>
      <x:c r="C2650" s="16" t="str"/>
      <x:c r="D2650" s="16" t="str"/>
      <x:c r="E2650" s="16" t="str">
        <x:v>* myContacts</x:v>
      </x:c>
      <x:c r="F2650" s="16" t="str">
        <x:v>0163707374 | +60163707374</x:v>
      </x:c>
      <x:c r="G2650" s="16" t="str">
        <x:v>+60163707374 | +60163707374</x:v>
      </x:c>
      <x:c r="H2650" s="16" t="str">
        <x:v>Excluded</x:v>
      </x:c>
      <x:c r="I2650" s="16" t="str">
        <x:v>Missing email</x:v>
      </x:c>
    </x:row>
    <x:row r="2651">
      <x:c r="A2651" s="16" t="n">
        <x:v>2648</x:v>
      </x:c>
      <x:c r="B2651" s="16" t="str">
        <x:v>Faridah Kbbc Agent</x:v>
      </x:c>
      <x:c r="C2651" s="16" t="str"/>
      <x:c r="D2651" s="16" t="str"/>
      <x:c r="E2651" s="16" t="str">
        <x:v>* myContacts</x:v>
      </x:c>
      <x:c r="F2651" s="16" t="str">
        <x:v>012-973 9467 | +60129739467</x:v>
      </x:c>
      <x:c r="G2651" s="16" t="str">
        <x:v>+60129739467 | +60129739467</x:v>
      </x:c>
      <x:c r="H2651" s="16" t="str">
        <x:v>Excluded</x:v>
      </x:c>
      <x:c r="I2651" s="16" t="str">
        <x:v>Missing email</x:v>
      </x:c>
    </x:row>
    <x:row r="2652">
      <x:c r="A2652" s="16" t="n">
        <x:v>2649</x:v>
      </x:c>
      <x:c r="B2652" s="16" t="str">
        <x:v>Faridah Salmi Mohd Mokhtar MIDA</x:v>
      </x:c>
      <x:c r="C2652" s="16" t="str">
        <x:v>salmi@mida.gov.my</x:v>
      </x:c>
      <x:c r="D2652" s="16" t="str">
        <x:v>salmi@mida.gov.my</x:v>
      </x:c>
      <x:c r="E2652" s="16" t="str">
        <x:v>* myContacts</x:v>
      </x:c>
      <x:c r="F2652" s="16" t="str">
        <x:v>+60 16-218 6955 | +60162186955 | +60 3-2263 2430 | +60 3-2273 4211</x:v>
      </x:c>
      <x:c r="G2652" s="16" t="str">
        <x:v>+60162186955 | +60162186955 | +60322632430 | +60322734211</x:v>
      </x:c>
      <x:c r="H2652" s="16" t="str">
        <x:v>Eligible</x:v>
      </x:c>
      <x:c r="I2652" s="16" t="str"/>
    </x:row>
    <x:row r="2653">
      <x:c r="A2653" s="16" t="n">
        <x:v>2650</x:v>
      </x:c>
      <x:c r="B2653" s="16" t="str">
        <x:v>Farina Idayu Ahmad Hafif</x:v>
      </x:c>
      <x:c r="C2653" s="16" t="str"/>
      <x:c r="D2653" s="16" t="str"/>
      <x:c r="E2653" s="16" t="str">
        <x:v>* myContacts</x:v>
      </x:c>
      <x:c r="F2653" s="16" t="str">
        <x:v>+60124294036</x:v>
      </x:c>
      <x:c r="G2653" s="16" t="str">
        <x:v>+60124294036</x:v>
      </x:c>
      <x:c r="H2653" s="16" t="str">
        <x:v>Excluded</x:v>
      </x:c>
      <x:c r="I2653" s="16" t="str">
        <x:v>Missing email</x:v>
      </x:c>
    </x:row>
    <x:row r="2654">
      <x:c r="A2654" s="16" t="n">
        <x:v>2651</x:v>
      </x:c>
      <x:c r="B2654" s="16" t="str">
        <x:v>Fariq Zainal Tauke</x:v>
      </x:c>
      <x:c r="C2654" s="16" t="str"/>
      <x:c r="D2654" s="16" t="str"/>
      <x:c r="E2654" s="16" t="str">
        <x:v>* myContacts</x:v>
      </x:c>
      <x:c r="F2654" s="16" t="str">
        <x:v>0135256876 | +60135256876 | 0195563036</x:v>
      </x:c>
      <x:c r="G2654" s="16" t="str">
        <x:v>+60135256876 | +60135256876 | +60195563036</x:v>
      </x:c>
      <x:c r="H2654" s="16" t="str">
        <x:v>Excluded</x:v>
      </x:c>
      <x:c r="I2654" s="16" t="str">
        <x:v>Missing email</x:v>
      </x:c>
    </x:row>
    <x:row r="2655">
      <x:c r="A2655" s="16" t="n">
        <x:v>2652</x:v>
      </x:c>
      <x:c r="B2655" s="16" t="str">
        <x:v>Faris Azizi</x:v>
      </x:c>
      <x:c r="C2655" s="16" t="str"/>
      <x:c r="D2655" s="16" t="str"/>
      <x:c r="E2655" s="16" t="str">
        <x:v>* myContacts</x:v>
      </x:c>
      <x:c r="F2655" s="16" t="str">
        <x:v>+60174224731</x:v>
      </x:c>
      <x:c r="G2655" s="16" t="str">
        <x:v>+60174224731</x:v>
      </x:c>
      <x:c r="H2655" s="16" t="str">
        <x:v>Excluded</x:v>
      </x:c>
      <x:c r="I2655" s="16" t="str">
        <x:v>Missing email</x:v>
      </x:c>
    </x:row>
    <x:row r="2656">
      <x:c r="A2656" s="16" t="n">
        <x:v>2653</x:v>
      </x:c>
      <x:c r="B2656" s="16" t="str">
        <x:v>Faris Eddy</x:v>
      </x:c>
      <x:c r="C2656" s="16" t="str"/>
      <x:c r="D2656" s="16" t="str"/>
      <x:c r="E2656" s="16" t="str">
        <x:v>* myContacts</x:v>
      </x:c>
      <x:c r="F2656" s="16" t="str">
        <x:v>+60179569394</x:v>
      </x:c>
      <x:c r="G2656" s="16" t="str">
        <x:v>+60179569394</x:v>
      </x:c>
      <x:c r="H2656" s="16" t="str">
        <x:v>Excluded</x:v>
      </x:c>
      <x:c r="I2656" s="16" t="str">
        <x:v>Missing email</x:v>
      </x:c>
    </x:row>
    <x:row r="2657">
      <x:c r="A2657" s="16" t="n">
        <x:v>2654</x:v>
      </x:c>
      <x:c r="B2657" s="16" t="str">
        <x:v>Faris IM</x:v>
      </x:c>
      <x:c r="C2657" s="16" t="str"/>
      <x:c r="D2657" s="16" t="str"/>
      <x:c r="E2657" s="16" t="str">
        <x:v>* myContacts</x:v>
      </x:c>
      <x:c r="F2657" s="16" t="str">
        <x:v>+60 17-673 7462 | +60 12-739 1451 | +60176737462 | +60127391451</x:v>
      </x:c>
      <x:c r="G2657" s="16" t="str">
        <x:v>+60176737462 | +60127391451 | +60176737462 | +60127391451</x:v>
      </x:c>
      <x:c r="H2657" s="16" t="str">
        <x:v>Excluded</x:v>
      </x:c>
      <x:c r="I2657" s="16" t="str">
        <x:v>Missing email</x:v>
      </x:c>
    </x:row>
    <x:row r="2658">
      <x:c r="A2658" s="16" t="n">
        <x:v>2655</x:v>
      </x:c>
      <x:c r="B2658" s="16" t="str">
        <x:v>Farisovich Mohd</x:v>
      </x:c>
      <x:c r="C2658" s="16" t="str"/>
      <x:c r="D2658" s="16" t="str"/>
      <x:c r="E2658" s="16" t="str">
        <x:v>* myContacts</x:v>
      </x:c>
      <x:c r="F2658" s="16" t="str">
        <x:v>+60196444305</x:v>
      </x:c>
      <x:c r="G2658" s="16" t="str">
        <x:v>+60196444305</x:v>
      </x:c>
      <x:c r="H2658" s="16" t="str">
        <x:v>Excluded</x:v>
      </x:c>
      <x:c r="I2658" s="16" t="str">
        <x:v>Missing email</x:v>
      </x:c>
    </x:row>
    <x:row r="2659">
      <x:c r="A2659" s="16" t="n">
        <x:v>2656</x:v>
      </x:c>
      <x:c r="B2659" s="16" t="str">
        <x:v>Fariz FGM</x:v>
      </x:c>
      <x:c r="C2659" s="16" t="str"/>
      <x:c r="D2659" s="16" t="str"/>
      <x:c r="E2659" s="16" t="str">
        <x:v>* myContacts</x:v>
      </x:c>
      <x:c r="F2659" s="16" t="str">
        <x:v>0137135936 | +60137135936</x:v>
      </x:c>
      <x:c r="G2659" s="16" t="str">
        <x:v>+60137135936 | +60137135936</x:v>
      </x:c>
      <x:c r="H2659" s="16" t="str">
        <x:v>Excluded</x:v>
      </x:c>
      <x:c r="I2659" s="16" t="str">
        <x:v>Missing email</x:v>
      </x:c>
    </x:row>
    <x:row r="2660">
      <x:c r="A2660" s="16" t="n">
        <x:v>2657</x:v>
      </x:c>
      <x:c r="B2660" s="16" t="str">
        <x:v>Fariz Hazwan IM</x:v>
      </x:c>
      <x:c r="C2660" s="16" t="str"/>
      <x:c r="D2660" s="16" t="str"/>
      <x:c r="E2660" s="16" t="str">
        <x:v>* myContacts</x:v>
      </x:c>
      <x:c r="F2660" s="16" t="str">
        <x:v>0182014797 | +60182014797</x:v>
      </x:c>
      <x:c r="G2660" s="16" t="str">
        <x:v>+60182014797 | +60182014797</x:v>
      </x:c>
      <x:c r="H2660" s="16" t="str">
        <x:v>Excluded</x:v>
      </x:c>
      <x:c r="I2660" s="16" t="str">
        <x:v>Missing email</x:v>
      </x:c>
    </x:row>
    <x:row r="2661">
      <x:c r="A2661" s="16" t="n">
        <x:v>2658</x:v>
      </x:c>
      <x:c r="B2661" s="16" t="str">
        <x:v>fariz im</x:v>
      </x:c>
      <x:c r="C2661" s="16" t="str"/>
      <x:c r="D2661" s="16" t="str"/>
      <x:c r="E2661" s="16" t="str">
        <x:v>* myContacts</x:v>
      </x:c>
      <x:c r="F2661" s="16" t="str">
        <x:v>+60 11-5651 0665 | 0127468657 | +601156510665 | 0127468657</x:v>
      </x:c>
      <x:c r="G2661" s="16" t="str">
        <x:v>+601156510665 | +60127468657 | +601156510665 | +60127468657</x:v>
      </x:c>
      <x:c r="H2661" s="16" t="str">
        <x:v>Excluded</x:v>
      </x:c>
      <x:c r="I2661" s="16" t="str">
        <x:v>Missing email</x:v>
      </x:c>
    </x:row>
    <x:row r="2662">
      <x:c r="A2662" s="16" t="n">
        <x:v>2659</x:v>
      </x:c>
      <x:c r="B2662" s="16" t="str">
        <x:v>Fariz Jamil TE</x:v>
      </x:c>
      <x:c r="C2662" s="16" t="str"/>
      <x:c r="D2662" s="16" t="str"/>
      <x:c r="E2662" s="16" t="str">
        <x:v>* myContacts</x:v>
      </x:c>
      <x:c r="F2662" s="16" t="str">
        <x:v>+60126496221</x:v>
      </x:c>
      <x:c r="G2662" s="16" t="str">
        <x:v>+60126496221</x:v>
      </x:c>
      <x:c r="H2662" s="16" t="str">
        <x:v>Excluded</x:v>
      </x:c>
      <x:c r="I2662" s="16" t="str">
        <x:v>Missing email</x:v>
      </x:c>
    </x:row>
    <x:row r="2663">
      <x:c r="A2663" s="16" t="n">
        <x:v>2660</x:v>
      </x:c>
      <x:c r="B2663" s="16" t="str">
        <x:v>Fariz Kbbc Agent</x:v>
      </x:c>
      <x:c r="C2663" s="16" t="str"/>
      <x:c r="D2663" s="16" t="str"/>
      <x:c r="E2663" s="16" t="str">
        <x:v>* myContacts</x:v>
      </x:c>
      <x:c r="F2663" s="16" t="str">
        <x:v>013-664 7145 | +60136647145</x:v>
      </x:c>
      <x:c r="G2663" s="16" t="str">
        <x:v>+60136647145 | +60136647145</x:v>
      </x:c>
      <x:c r="H2663" s="16" t="str">
        <x:v>Excluded</x:v>
      </x:c>
      <x:c r="I2663" s="16" t="str">
        <x:v>Missing email</x:v>
      </x:c>
    </x:row>
    <x:row r="2664">
      <x:c r="A2664" s="16" t="n">
        <x:v>2661</x:v>
      </x:c>
      <x:c r="B2664" s="16" t="str">
        <x:v>Fariz Rahman</x:v>
      </x:c>
      <x:c r="C2664" s="16" t="str"/>
      <x:c r="D2664" s="16" t="str"/>
      <x:c r="E2664" s="16" t="str">
        <x:v>* myContacts</x:v>
      </x:c>
      <x:c r="F2664" s="16" t="str">
        <x:v>018-390 4656 | +60183904656</x:v>
      </x:c>
      <x:c r="G2664" s="16" t="str">
        <x:v>+60183904656 | +60183904656</x:v>
      </x:c>
      <x:c r="H2664" s="16" t="str">
        <x:v>Excluded</x:v>
      </x:c>
      <x:c r="I2664" s="16" t="str">
        <x:v>Missing email</x:v>
      </x:c>
    </x:row>
    <x:row r="2665">
      <x:c r="A2665" s="16" t="n">
        <x:v>2662</x:v>
      </x:c>
      <x:c r="B2665" s="16" t="str">
        <x:v>Fariz Sound Engineer</x:v>
      </x:c>
      <x:c r="C2665" s="16" t="str"/>
      <x:c r="D2665" s="16" t="str"/>
      <x:c r="E2665" s="16" t="str">
        <x:v>* myContacts</x:v>
      </x:c>
      <x:c r="F2665" s="16" t="str">
        <x:v>0165545497 | +60165545497</x:v>
      </x:c>
      <x:c r="G2665" s="16" t="str">
        <x:v>+60165545497 | +60165545497</x:v>
      </x:c>
      <x:c r="H2665" s="16" t="str">
        <x:v>Excluded</x:v>
      </x:c>
      <x:c r="I2665" s="16" t="str">
        <x:v>Missing email</x:v>
      </x:c>
    </x:row>
    <x:row r="2666">
      <x:c r="A2666" s="16" t="n">
        <x:v>2663</x:v>
      </x:c>
      <x:c r="B2666" s="16" t="str">
        <x:v>Fariz Utm Kawan Universiti</x:v>
      </x:c>
      <x:c r="C2666" s="16" t="str"/>
      <x:c r="D2666" s="16" t="str"/>
      <x:c r="E2666" s="16" t="str">
        <x:v>* myContacts</x:v>
      </x:c>
      <x:c r="F2666" s="16" t="str">
        <x:v>+60 16-278 0252 | +60162780252</x:v>
      </x:c>
      <x:c r="G2666" s="16" t="str">
        <x:v>+60162780252 | +60162780252</x:v>
      </x:c>
      <x:c r="H2666" s="16" t="str">
        <x:v>Excluded</x:v>
      </x:c>
      <x:c r="I2666" s="16" t="str">
        <x:v>Missing email</x:v>
      </x:c>
    </x:row>
    <x:row r="2667">
      <x:c r="A2667" s="16" t="n">
        <x:v>2664</x:v>
      </x:c>
      <x:c r="B2667" s="16" t="str">
        <x:v>Fariz Wan</x:v>
      </x:c>
      <x:c r="C2667" s="16" t="str"/>
      <x:c r="D2667" s="16" t="str"/>
      <x:c r="E2667" s="16" t="str">
        <x:v>* myContacts</x:v>
      </x:c>
      <x:c r="F2667" s="16" t="str">
        <x:v>+60142598258</x:v>
      </x:c>
      <x:c r="G2667" s="16" t="str">
        <x:v>+60142598258</x:v>
      </x:c>
      <x:c r="H2667" s="16" t="str">
        <x:v>Excluded</x:v>
      </x:c>
      <x:c r="I2667" s="16" t="str">
        <x:v>Missing email</x:v>
      </x:c>
    </x:row>
    <x:row r="2668">
      <x:c r="A2668" s="16" t="n">
        <x:v>2665</x:v>
      </x:c>
      <x:c r="B2668" s="16" t="str">
        <x:v>Fariza Farok</x:v>
      </x:c>
      <x:c r="C2668" s="16" t="str"/>
      <x:c r="D2668" s="16" t="str"/>
      <x:c r="E2668" s="16" t="str">
        <x:v>* myContacts</x:v>
      </x:c>
      <x:c r="F2668" s="16" t="str">
        <x:v>+60173048482</x:v>
      </x:c>
      <x:c r="G2668" s="16" t="str">
        <x:v>+60173048482</x:v>
      </x:c>
      <x:c r="H2668" s="16" t="str">
        <x:v>Excluded</x:v>
      </x:c>
      <x:c r="I2668" s="16" t="str">
        <x:v>Missing email</x:v>
      </x:c>
    </x:row>
    <x:row r="2669">
      <x:c r="A2669" s="16" t="n">
        <x:v>2666</x:v>
      </x:c>
      <x:c r="B2669" s="16" t="str">
        <x:v>Fariza Samsuri</x:v>
      </x:c>
      <x:c r="C2669" s="16" t="str"/>
      <x:c r="D2669" s="16" t="str"/>
      <x:c r="E2669" s="16" t="str">
        <x:v>* myContacts</x:v>
      </x:c>
      <x:c r="F2669" s="16" t="str">
        <x:v>+60173396576</x:v>
      </x:c>
      <x:c r="G2669" s="16" t="str">
        <x:v>+60173396576</x:v>
      </x:c>
      <x:c r="H2669" s="16" t="str">
        <x:v>Excluded</x:v>
      </x:c>
      <x:c r="I2669" s="16" t="str">
        <x:v>Missing email</x:v>
      </x:c>
    </x:row>
    <x:row r="2670">
      <x:c r="A2670" s="16" t="n">
        <x:v>2667</x:v>
      </x:c>
      <x:c r="B2670" s="16" t="str">
        <x:v>Farizal AlAnsar Biz Point</x:v>
      </x:c>
      <x:c r="C2670" s="16" t="str"/>
      <x:c r="D2670" s="16" t="str"/>
      <x:c r="E2670" s="16" t="str">
        <x:v>* myContacts</x:v>
      </x:c>
      <x:c r="F2670" s="16" t="str">
        <x:v>0197623960 | +60197623960</x:v>
      </x:c>
      <x:c r="G2670" s="16" t="str">
        <x:v>+60197623960 | +60197623960</x:v>
      </x:c>
      <x:c r="H2670" s="16" t="str">
        <x:v>Excluded</x:v>
      </x:c>
      <x:c r="I2670" s="16" t="str">
        <x:v>Missing email</x:v>
      </x:c>
    </x:row>
    <x:row r="2671">
      <x:c r="A2671" s="16" t="n">
        <x:v>2668</x:v>
      </x:c>
      <x:c r="B2671" s="16" t="str">
        <x:v>Farizal Hamidon</x:v>
      </x:c>
      <x:c r="C2671" s="16" t="str"/>
      <x:c r="D2671" s="16" t="str"/>
      <x:c r="E2671" s="16" t="str">
        <x:v>* myContacts</x:v>
      </x:c>
      <x:c r="F2671" s="16" t="str">
        <x:v>+60135084696</x:v>
      </x:c>
      <x:c r="G2671" s="16" t="str">
        <x:v>+60135084696</x:v>
      </x:c>
      <x:c r="H2671" s="16" t="str">
        <x:v>Excluded</x:v>
      </x:c>
      <x:c r="I2671" s="16" t="str">
        <x:v>Missing email</x:v>
      </x:c>
    </x:row>
    <x:row r="2672">
      <x:c r="A2672" s="16" t="n">
        <x:v>2669</x:v>
      </x:c>
      <x:c r="B2672" s="16" t="str">
        <x:v>Farizzul Azizi</x:v>
      </x:c>
      <x:c r="C2672" s="16" t="str"/>
      <x:c r="D2672" s="16" t="str"/>
      <x:c r="E2672" s="16" t="str">
        <x:v>* myContacts</x:v>
      </x:c>
      <x:c r="F2672" s="16" t="str">
        <x:v>+60122929597</x:v>
      </x:c>
      <x:c r="G2672" s="16" t="str">
        <x:v>+60122929597</x:v>
      </x:c>
      <x:c r="H2672" s="16" t="str">
        <x:v>Excluded</x:v>
      </x:c>
      <x:c r="I2672" s="16" t="str">
        <x:v>Missing email</x:v>
      </x:c>
    </x:row>
    <x:row r="2673">
      <x:c r="A2673" s="16" t="n">
        <x:v>2670</x:v>
      </x:c>
      <x:c r="B2673" s="16" t="str">
        <x:v>Farly Burhan Sifu Website</x:v>
      </x:c>
      <x:c r="C2673" s="16" t="str"/>
      <x:c r="D2673" s="16" t="str"/>
      <x:c r="E2673" s="16" t="str">
        <x:v>Trainer | * myContacts</x:v>
      </x:c>
      <x:c r="F2673" s="16" t="str">
        <x:v>+60 12-620 7906 | +60126207906</x:v>
      </x:c>
      <x:c r="G2673" s="16" t="str">
        <x:v>+60126207906 | +60126207906</x:v>
      </x:c>
      <x:c r="H2673" s="16" t="str">
        <x:v>Excluded</x:v>
      </x:c>
      <x:c r="I2673" s="16" t="str">
        <x:v>Missing email</x:v>
      </x:c>
    </x:row>
    <x:row r="2674">
      <x:c r="A2674" s="16" t="n">
        <x:v>2671</x:v>
      </x:c>
      <x:c r="B2674" s="16" t="str">
        <x:v>Farouk Firdaus</x:v>
      </x:c>
      <x:c r="C2674" s="16" t="str"/>
      <x:c r="D2674" s="16" t="str"/>
      <x:c r="E2674" s="16" t="str">
        <x:v>* myContacts</x:v>
      </x:c>
      <x:c r="F2674" s="16" t="str">
        <x:v>+60196684843</x:v>
      </x:c>
      <x:c r="G2674" s="16" t="str">
        <x:v>+60196684843</x:v>
      </x:c>
      <x:c r="H2674" s="16" t="str">
        <x:v>Excluded</x:v>
      </x:c>
      <x:c r="I2674" s="16" t="str">
        <x:v>Missing email</x:v>
      </x:c>
    </x:row>
    <x:row r="2675">
      <x:c r="A2675" s="16" t="n">
        <x:v>2672</x:v>
      </x:c>
      <x:c r="B2675" s="16" t="str">
        <x:v>Farouq Izzuan</x:v>
      </x:c>
      <x:c r="C2675" s="16" t="str"/>
      <x:c r="D2675" s="16" t="str"/>
      <x:c r="E2675" s="16" t="str">
        <x:v>* myContacts</x:v>
      </x:c>
      <x:c r="F2675" s="16" t="str">
        <x:v>+60174595830</x:v>
      </x:c>
      <x:c r="G2675" s="16" t="str">
        <x:v>+60174595830</x:v>
      </x:c>
      <x:c r="H2675" s="16" t="str">
        <x:v>Excluded</x:v>
      </x:c>
      <x:c r="I2675" s="16" t="str">
        <x:v>Missing email</x:v>
      </x:c>
    </x:row>
    <x:row r="2676">
      <x:c r="A2676" s="16" t="n">
        <x:v>2673</x:v>
      </x:c>
      <x:c r="B2676" s="16" t="str">
        <x:v>Farouq Jnj</x:v>
      </x:c>
      <x:c r="C2676" s="16" t="str"/>
      <x:c r="D2676" s="16" t="str"/>
      <x:c r="E2676" s="16" t="str">
        <x:v>* myContacts</x:v>
      </x:c>
      <x:c r="F2676" s="16" t="str">
        <x:v>0162052458 | +60162052458</x:v>
      </x:c>
      <x:c r="G2676" s="16" t="str">
        <x:v>+60162052458 | +60162052458</x:v>
      </x:c>
      <x:c r="H2676" s="16" t="str">
        <x:v>Excluded</x:v>
      </x:c>
      <x:c r="I2676" s="16" t="str">
        <x:v>Missing email</x:v>
      </x:c>
    </x:row>
    <x:row r="2677">
      <x:c r="A2677" s="16" t="n">
        <x:v>2674</x:v>
      </x:c>
      <x:c r="B2677" s="16" t="str">
        <x:v>Farra RA8</x:v>
      </x:c>
      <x:c r="C2677" s="16" t="str"/>
      <x:c r="D2677" s="16" t="str"/>
      <x:c r="E2677" s="16" t="str">
        <x:v>* myContacts</x:v>
      </x:c>
      <x:c r="F2677" s="16" t="str">
        <x:v>+60 12-321 5406 | +60123215406</x:v>
      </x:c>
      <x:c r="G2677" s="16" t="str">
        <x:v>+60123215406 | +60123215406</x:v>
      </x:c>
      <x:c r="H2677" s="16" t="str">
        <x:v>Excluded</x:v>
      </x:c>
      <x:c r="I2677" s="16" t="str">
        <x:v>Missing email</x:v>
      </x:c>
    </x:row>
    <x:row r="2678">
      <x:c r="A2678" s="16" t="n">
        <x:v>2675</x:v>
      </x:c>
      <x:c r="B2678" s="16" t="str">
        <x:v>Farrahdina Sudin</x:v>
      </x:c>
      <x:c r="C2678" s="16" t="str"/>
      <x:c r="D2678" s="16" t="str"/>
      <x:c r="E2678" s="16" t="str">
        <x:v>* myContacts</x:v>
      </x:c>
      <x:c r="F2678" s="16" t="str">
        <x:v>+60163486810</x:v>
      </x:c>
      <x:c r="G2678" s="16" t="str">
        <x:v>+60163486810</x:v>
      </x:c>
      <x:c r="H2678" s="16" t="str">
        <x:v>Excluded</x:v>
      </x:c>
      <x:c r="I2678" s="16" t="str">
        <x:v>Missing email</x:v>
      </x:c>
    </x:row>
    <x:row r="2679">
      <x:c r="A2679" s="16" t="n">
        <x:v>2676</x:v>
      </x:c>
      <x:c r="B2679" s="16" t="str">
        <x:v>Farsuriati Yasid</x:v>
      </x:c>
      <x:c r="C2679" s="16" t="str"/>
      <x:c r="D2679" s="16" t="str"/>
      <x:c r="E2679" s="16" t="str">
        <x:v>* myContacts</x:v>
      </x:c>
      <x:c r="F2679" s="16" t="str">
        <x:v>+60107855363</x:v>
      </x:c>
      <x:c r="G2679" s="16" t="str">
        <x:v>+60107855363</x:v>
      </x:c>
      <x:c r="H2679" s="16" t="str">
        <x:v>Excluded</x:v>
      </x:c>
      <x:c r="I2679" s="16" t="str">
        <x:v>Missing email</x:v>
      </x:c>
    </x:row>
    <x:row r="2680">
      <x:c r="A2680" s="16" t="n">
        <x:v>2677</x:v>
      </x:c>
      <x:c r="B2680" s="16" t="str">
        <x:v>Faruq Ayman</x:v>
      </x:c>
      <x:c r="C2680" s="16" t="str"/>
      <x:c r="D2680" s="16" t="str"/>
      <x:c r="E2680" s="16" t="str">
        <x:v>* myContacts</x:v>
      </x:c>
      <x:c r="F2680" s="16" t="str">
        <x:v>+60165368834</x:v>
      </x:c>
      <x:c r="G2680" s="16" t="str">
        <x:v>+60165368834</x:v>
      </x:c>
      <x:c r="H2680" s="16" t="str">
        <x:v>Excluded</x:v>
      </x:c>
      <x:c r="I2680" s="16" t="str">
        <x:v>Missing email</x:v>
      </x:c>
    </x:row>
    <x:row r="2681">
      <x:c r="A2681" s="16" t="n">
        <x:v>2678</x:v>
      </x:c>
      <x:c r="B2681" s="16" t="str">
        <x:v>Farzianna Khairuddin</x:v>
      </x:c>
      <x:c r="C2681" s="16" t="str"/>
      <x:c r="D2681" s="16" t="str"/>
      <x:c r="E2681" s="16" t="str">
        <x:v>* myContacts</x:v>
      </x:c>
      <x:c r="F2681" s="16" t="str">
        <x:v>+60123680574</x:v>
      </x:c>
      <x:c r="G2681" s="16" t="str">
        <x:v>+60123680574</x:v>
      </x:c>
      <x:c r="H2681" s="16" t="str">
        <x:v>Excluded</x:v>
      </x:c>
      <x:c r="I2681" s="16" t="str">
        <x:v>Missing email</x:v>
      </x:c>
    </x:row>
    <x:row r="2682">
      <x:c r="A2682" s="16" t="n">
        <x:v>2679</x:v>
      </x:c>
      <x:c r="B2682" s="16" t="str">
        <x:v>Fasha Farisya</x:v>
      </x:c>
      <x:c r="C2682" s="16" t="str"/>
      <x:c r="D2682" s="16" t="str"/>
      <x:c r="E2682" s="16" t="str">
        <x:v>* myContacts</x:v>
      </x:c>
      <x:c r="F2682" s="16" t="str">
        <x:v>+601125599915</x:v>
      </x:c>
      <x:c r="G2682" s="16" t="str">
        <x:v>+601125599915</x:v>
      </x:c>
      <x:c r="H2682" s="16" t="str">
        <x:v>Excluded</x:v>
      </x:c>
      <x:c r="I2682" s="16" t="str">
        <x:v>Missing email</x:v>
      </x:c>
    </x:row>
    <x:row r="2683">
      <x:c r="A2683" s="16" t="n">
        <x:v>2680</x:v>
      </x:c>
      <x:c r="B2683" s="16" t="str">
        <x:v>Fasyeera Charms N Starglow</x:v>
      </x:c>
      <x:c r="C2683" s="16" t="str"/>
      <x:c r="D2683" s="16" t="str"/>
      <x:c r="E2683" s="16" t="str">
        <x:v>* myContacts</x:v>
      </x:c>
      <x:c r="F2683" s="16" t="str">
        <x:v>+60133135096</x:v>
      </x:c>
      <x:c r="G2683" s="16" t="str">
        <x:v>+60133135096</x:v>
      </x:c>
      <x:c r="H2683" s="16" t="str">
        <x:v>Excluded</x:v>
      </x:c>
      <x:c r="I2683" s="16" t="str">
        <x:v>Missing email</x:v>
      </x:c>
    </x:row>
    <x:row r="2684">
      <x:c r="A2684" s="16" t="n">
        <x:v>2681</x:v>
      </x:c>
      <x:c r="B2684" s="16" t="str">
        <x:v>Fasyihah Mohamad</x:v>
      </x:c>
      <x:c r="C2684" s="16" t="str"/>
      <x:c r="D2684" s="16" t="str"/>
      <x:c r="E2684" s="16" t="str">
        <x:v>* myContacts</x:v>
      </x:c>
      <x:c r="F2684" s="16" t="str">
        <x:v>+60179746691</x:v>
      </x:c>
      <x:c r="G2684" s="16" t="str">
        <x:v>+60179746691</x:v>
      </x:c>
      <x:c r="H2684" s="16" t="str">
        <x:v>Excluded</x:v>
      </x:c>
      <x:c r="I2684" s="16" t="str">
        <x:v>Missing email</x:v>
      </x:c>
    </x:row>
    <x:row r="2685">
      <x:c r="A2685" s="16" t="n">
        <x:v>2682</x:v>
      </x:c>
      <x:c r="B2685" s="16" t="str">
        <x:v>Fasyirah Beuty HQ</x:v>
      </x:c>
      <x:c r="C2685" s="16" t="str"/>
      <x:c r="D2685" s="16" t="str"/>
      <x:c r="E2685" s="16" t="str">
        <x:v>* myContacts</x:v>
      </x:c>
      <x:c r="F2685" s="16" t="str">
        <x:v>+60133262592</x:v>
      </x:c>
      <x:c r="G2685" s="16" t="str">
        <x:v>+60133262592</x:v>
      </x:c>
      <x:c r="H2685" s="16" t="str">
        <x:v>Excluded</x:v>
      </x:c>
      <x:c r="I2685" s="16" t="str">
        <x:v>Missing email</x:v>
      </x:c>
    </x:row>
    <x:row r="2686">
      <x:c r="A2686" s="16" t="n">
        <x:v>2683</x:v>
      </x:c>
      <x:c r="B2686" s="16" t="str">
        <x:v>Fatah member lama</x:v>
      </x:c>
      <x:c r="C2686" s="16" t="str"/>
      <x:c r="D2686" s="16" t="str"/>
      <x:c r="E2686" s="16" t="str">
        <x:v>* myContacts</x:v>
      </x:c>
      <x:c r="F2686" s="16" t="str">
        <x:v>+60 14-400 4418 | +60144004418</x:v>
      </x:c>
      <x:c r="G2686" s="16" t="str">
        <x:v>+60144004418 | +60144004418</x:v>
      </x:c>
      <x:c r="H2686" s="16" t="str">
        <x:v>Excluded</x:v>
      </x:c>
      <x:c r="I2686" s="16" t="str">
        <x:v>Missing email</x:v>
      </x:c>
    </x:row>
    <x:row r="2687">
      <x:c r="A2687" s="16" t="n">
        <x:v>2684</x:v>
      </x:c>
      <x:c r="B2687" s="16" t="str">
        <x:v>Faten Flori</x:v>
      </x:c>
      <x:c r="C2687" s="16" t="str"/>
      <x:c r="D2687" s="16" t="str"/>
      <x:c r="E2687" s="16" t="str">
        <x:v>* myContacts</x:v>
      </x:c>
      <x:c r="F2687" s="16" t="str">
        <x:v>+60194105480</x:v>
      </x:c>
      <x:c r="G2687" s="16" t="str">
        <x:v>+60194105480</x:v>
      </x:c>
      <x:c r="H2687" s="16" t="str">
        <x:v>Excluded</x:v>
      </x:c>
      <x:c r="I2687" s="16" t="str">
        <x:v>Missing email</x:v>
      </x:c>
    </x:row>
    <x:row r="2688">
      <x:c r="A2688" s="16" t="n">
        <x:v>2685</x:v>
      </x:c>
      <x:c r="B2688" s="16" t="str">
        <x:v>Faten Inuya</x:v>
      </x:c>
      <x:c r="C2688" s="16" t="str"/>
      <x:c r="D2688" s="16" t="str"/>
      <x:c r="E2688" s="16" t="str">
        <x:v>* myContacts</x:v>
      </x:c>
      <x:c r="F2688" s="16" t="str">
        <x:v>+60183763171</x:v>
      </x:c>
      <x:c r="G2688" s="16" t="str">
        <x:v>+60183763171</x:v>
      </x:c>
      <x:c r="H2688" s="16" t="str">
        <x:v>Excluded</x:v>
      </x:c>
      <x:c r="I2688" s="16" t="str">
        <x:v>Missing email</x:v>
      </x:c>
    </x:row>
    <x:row r="2689">
      <x:c r="A2689" s="16" t="n">
        <x:v>2686</x:v>
      </x:c>
      <x:c r="B2689" s="16" t="str">
        <x:v>Fatheyah Ismail</x:v>
      </x:c>
      <x:c r="C2689" s="16" t="str"/>
      <x:c r="D2689" s="16" t="str"/>
      <x:c r="E2689" s="16" t="str">
        <x:v>* myContacts</x:v>
      </x:c>
      <x:c r="F2689" s="16" t="str">
        <x:v>+60137011786</x:v>
      </x:c>
      <x:c r="G2689" s="16" t="str">
        <x:v>+60137011786</x:v>
      </x:c>
      <x:c r="H2689" s="16" t="str">
        <x:v>Excluded</x:v>
      </x:c>
      <x:c r="I2689" s="16" t="str">
        <x:v>Missing email</x:v>
      </x:c>
    </x:row>
    <x:row r="2690">
      <x:c r="A2690" s="16" t="n">
        <x:v>2687</x:v>
      </x:c>
      <x:c r="B2690" s="16" t="str">
        <x:v>Fathiha Nurul</x:v>
      </x:c>
      <x:c r="C2690" s="16" t="str"/>
      <x:c r="D2690" s="16" t="str"/>
      <x:c r="E2690" s="16" t="str">
        <x:v>* myContacts</x:v>
      </x:c>
      <x:c r="F2690" s="16" t="str">
        <x:v>+60102274765</x:v>
      </x:c>
      <x:c r="G2690" s="16" t="str">
        <x:v>+60102274765</x:v>
      </x:c>
      <x:c r="H2690" s="16" t="str">
        <x:v>Excluded</x:v>
      </x:c>
      <x:c r="I2690" s="16" t="str">
        <x:v>Missing email</x:v>
      </x:c>
    </x:row>
    <x:row r="2691">
      <x:c r="A2691" s="16" t="n">
        <x:v>2688</x:v>
      </x:c>
      <x:c r="B2691" s="16" t="str">
        <x:v>Fathin Naemah</x:v>
      </x:c>
      <x:c r="C2691" s="16" t="str"/>
      <x:c r="D2691" s="16" t="str"/>
      <x:c r="E2691" s="16" t="str">
        <x:v>* myContacts</x:v>
      </x:c>
      <x:c r="F2691" s="16" t="str">
        <x:v>+60166289330</x:v>
      </x:c>
      <x:c r="G2691" s="16" t="str">
        <x:v>+60166289330</x:v>
      </x:c>
      <x:c r="H2691" s="16" t="str">
        <x:v>Excluded</x:v>
      </x:c>
      <x:c r="I2691" s="16" t="str">
        <x:v>Missing email</x:v>
      </x:c>
    </x:row>
    <x:row r="2692">
      <x:c r="A2692" s="16" t="n">
        <x:v>2689</x:v>
      </x:c>
      <x:c r="B2692" s="16" t="str">
        <x:v>Fathin Nur Ismadi</x:v>
      </x:c>
      <x:c r="C2692" s="16" t="str"/>
      <x:c r="D2692" s="16" t="str"/>
      <x:c r="E2692" s="16" t="str">
        <x:v>* myContacts</x:v>
      </x:c>
      <x:c r="F2692" s="16" t="str">
        <x:v>+60136607351</x:v>
      </x:c>
      <x:c r="G2692" s="16" t="str">
        <x:v>+60136607351</x:v>
      </x:c>
      <x:c r="H2692" s="16" t="str">
        <x:v>Excluded</x:v>
      </x:c>
      <x:c r="I2692" s="16" t="str">
        <x:v>Missing email</x:v>
      </x:c>
    </x:row>
    <x:row r="2693">
      <x:c r="A2693" s="16" t="n">
        <x:v>2690</x:v>
      </x:c>
      <x:c r="B2693" s="16" t="str">
        <x:v>Fathiyah Printing</x:v>
      </x:c>
      <x:c r="C2693" s="16" t="str"/>
      <x:c r="D2693" s="16" t="str"/>
      <x:c r="E2693" s="16" t="str">
        <x:v>* myContacts</x:v>
      </x:c>
      <x:c r="F2693" s="16" t="str">
        <x:v>+60195545922</x:v>
      </x:c>
      <x:c r="G2693" s="16" t="str">
        <x:v>+60195545922</x:v>
      </x:c>
      <x:c r="H2693" s="16" t="str">
        <x:v>Excluded</x:v>
      </x:c>
      <x:c r="I2693" s="16" t="str">
        <x:v>Missing email</x:v>
      </x:c>
    </x:row>
    <x:row r="2694">
      <x:c r="A2694" s="16" t="n">
        <x:v>2691</x:v>
      </x:c>
      <x:c r="B2694" s="16" t="str">
        <x:v>Fatiemah Abdulrahman</x:v>
      </x:c>
      <x:c r="C2694" s="16" t="str"/>
      <x:c r="D2694" s="16" t="str"/>
      <x:c r="E2694" s="16" t="str">
        <x:v>* myContacts</x:v>
      </x:c>
      <x:c r="F2694" s="16" t="str">
        <x:v>+60142487230</x:v>
      </x:c>
      <x:c r="G2694" s="16" t="str">
        <x:v>+60142487230</x:v>
      </x:c>
      <x:c r="H2694" s="16" t="str">
        <x:v>Excluded</x:v>
      </x:c>
      <x:c r="I2694" s="16" t="str">
        <x:v>Missing email</x:v>
      </x:c>
    </x:row>
    <x:row r="2695">
      <x:c r="A2695" s="16" t="n">
        <x:v>2692</x:v>
      </x:c>
      <x:c r="B2695" s="16" t="str">
        <x:v>Fatihah iFlawless 1MMF</x:v>
      </x:c>
      <x:c r="C2695" s="16" t="str"/>
      <x:c r="D2695" s="16" t="str"/>
      <x:c r="E2695" s="16" t="str">
        <x:v>* myContacts</x:v>
      </x:c>
      <x:c r="F2695" s="16" t="str">
        <x:v>+60 17-524 4956 | +60175244956</x:v>
      </x:c>
      <x:c r="G2695" s="16" t="str">
        <x:v>+60175244956 | +60175244956</x:v>
      </x:c>
      <x:c r="H2695" s="16" t="str">
        <x:v>Excluded</x:v>
      </x:c>
      <x:c r="I2695" s="16" t="str">
        <x:v>Missing email</x:v>
      </x:c>
    </x:row>
    <x:row r="2696">
      <x:c r="A2696" s="16" t="n">
        <x:v>2693</x:v>
      </x:c>
      <x:c r="B2696" s="16" t="str">
        <x:v>Fatihah Now Asia</x:v>
      </x:c>
      <x:c r="C2696" s="16" t="str"/>
      <x:c r="D2696" s="16" t="str"/>
      <x:c r="E2696" s="16" t="str">
        <x:v>* myContacts</x:v>
      </x:c>
      <x:c r="F2696" s="16" t="str">
        <x:v>+60 19-920 4601 | +60199204601</x:v>
      </x:c>
      <x:c r="G2696" s="16" t="str">
        <x:v>+60199204601 | +60199204601</x:v>
      </x:c>
      <x:c r="H2696" s="16" t="str">
        <x:v>Excluded</x:v>
      </x:c>
      <x:c r="I2696" s="16" t="str">
        <x:v>Missing email</x:v>
      </x:c>
    </x:row>
    <x:row r="2697">
      <x:c r="A2697" s="16" t="n">
        <x:v>2694</x:v>
      </x:c>
      <x:c r="B2697" s="16" t="str">
        <x:v>Fatihah Student AIM</x:v>
      </x:c>
      <x:c r="C2697" s="16" t="str"/>
      <x:c r="D2697" s="16" t="str"/>
      <x:c r="E2697" s="16" t="str">
        <x:v>* myContacts</x:v>
      </x:c>
      <x:c r="F2697" s="16" t="str">
        <x:v>+60 11-5503 1979 | +601155031979</x:v>
      </x:c>
      <x:c r="G2697" s="16" t="str">
        <x:v>+601155031979 | +601155031979</x:v>
      </x:c>
      <x:c r="H2697" s="16" t="str">
        <x:v>Excluded</x:v>
      </x:c>
      <x:c r="I2697" s="16" t="str">
        <x:v>Missing email</x:v>
      </x:c>
    </x:row>
    <x:row r="2698">
      <x:c r="A2698" s="16" t="n">
        <x:v>2695</x:v>
      </x:c>
      <x:c r="B2698" s="16" t="str">
        <x:v>Fatihah Zabri</x:v>
      </x:c>
      <x:c r="C2698" s="16" t="str"/>
      <x:c r="D2698" s="16" t="str"/>
      <x:c r="E2698" s="16" t="str">
        <x:v>* myContacts</x:v>
      </x:c>
      <x:c r="F2698" s="16" t="str">
        <x:v>+60195865567</x:v>
      </x:c>
      <x:c r="G2698" s="16" t="str">
        <x:v>+60195865567</x:v>
      </x:c>
      <x:c r="H2698" s="16" t="str">
        <x:v>Excluded</x:v>
      </x:c>
      <x:c r="I2698" s="16" t="str">
        <x:v>Missing email</x:v>
      </x:c>
    </x:row>
    <x:row r="2699">
      <x:c r="A2699" s="16" t="n">
        <x:v>2696</x:v>
      </x:c>
      <x:c r="B2699" s="16" t="str">
        <x:v>Fatihah Zamri Officer INSKEN</x:v>
      </x:c>
      <x:c r="C2699" s="16" t="str"/>
      <x:c r="D2699" s="16" t="str"/>
      <x:c r="E2699" s="16" t="str">
        <x:v>Alumni INSKEN | * myContacts</x:v>
      </x:c>
      <x:c r="F2699" s="16" t="str">
        <x:v>+60 13-227 9773 | +60132279773</x:v>
      </x:c>
      <x:c r="G2699" s="16" t="str">
        <x:v>+60132279773 | +60132279773</x:v>
      </x:c>
      <x:c r="H2699" s="16" t="str">
        <x:v>Excluded</x:v>
      </x:c>
      <x:c r="I2699" s="16" t="str">
        <x:v>Missing email</x:v>
      </x:c>
    </x:row>
    <x:row r="2700">
      <x:c r="A2700" s="16" t="n">
        <x:v>2697</x:v>
      </x:c>
      <x:c r="B2700" s="16" t="str">
        <x:v>Fatima Fatt Tulisman Muajb</x:v>
      </x:c>
      <x:c r="C2700" s="16" t="str"/>
      <x:c r="D2700" s="16" t="str"/>
      <x:c r="E2700" s="16" t="str">
        <x:v>* myContacts</x:v>
      </x:c>
      <x:c r="F2700" s="16" t="str">
        <x:v>+60187848513</x:v>
      </x:c>
      <x:c r="G2700" s="16" t="str">
        <x:v>+60187848513</x:v>
      </x:c>
      <x:c r="H2700" s="16" t="str">
        <x:v>Excluded</x:v>
      </x:c>
      <x:c r="I2700" s="16" t="str">
        <x:v>Missing email</x:v>
      </x:c>
    </x:row>
    <x:row r="2701">
      <x:c r="A2701" s="16" t="n">
        <x:v>2698</x:v>
      </x:c>
      <x:c r="B2701" s="16" t="str">
        <x:v>Fatima Hazes</x:v>
      </x:c>
      <x:c r="C2701" s="16" t="str"/>
      <x:c r="D2701" s="16" t="str"/>
      <x:c r="E2701" s="16" t="str">
        <x:v>* myContacts</x:v>
      </x:c>
      <x:c r="F2701" s="16" t="str">
        <x:v>+60197061014</x:v>
      </x:c>
      <x:c r="G2701" s="16" t="str">
        <x:v>+60197061014</x:v>
      </x:c>
      <x:c r="H2701" s="16" t="str">
        <x:v>Excluded</x:v>
      </x:c>
      <x:c r="I2701" s="16" t="str">
        <x:v>Missing email</x:v>
      </x:c>
    </x:row>
    <x:row r="2702">
      <x:c r="A2702" s="16" t="n">
        <x:v>2699</x:v>
      </x:c>
      <x:c r="B2702" s="16" t="str">
        <x:v>Fatimah Fety</x:v>
      </x:c>
      <x:c r="C2702" s="16" t="str"/>
      <x:c r="D2702" s="16" t="str"/>
      <x:c r="E2702" s="16" t="str">
        <x:v>* myContacts</x:v>
      </x:c>
      <x:c r="F2702" s="16" t="str">
        <x:v>+601117575196</x:v>
      </x:c>
      <x:c r="G2702" s="16" t="str">
        <x:v>+601117575196</x:v>
      </x:c>
      <x:c r="H2702" s="16" t="str">
        <x:v>Excluded</x:v>
      </x:c>
      <x:c r="I2702" s="16" t="str">
        <x:v>Missing email</x:v>
      </x:c>
    </x:row>
    <x:row r="2703">
      <x:c r="A2703" s="16" t="n">
        <x:v>2700</x:v>
      </x:c>
      <x:c r="B2703" s="16" t="str">
        <x:v>Fatimah Hassan</x:v>
      </x:c>
      <x:c r="C2703" s="16" t="str"/>
      <x:c r="D2703" s="16" t="str"/>
      <x:c r="E2703" s="16" t="str">
        <x:v>* myContacts</x:v>
      </x:c>
      <x:c r="F2703" s="16" t="str">
        <x:v>+601136534708</x:v>
      </x:c>
      <x:c r="G2703" s="16" t="str">
        <x:v>+601136534708</x:v>
      </x:c>
      <x:c r="H2703" s="16" t="str">
        <x:v>Excluded</x:v>
      </x:c>
      <x:c r="I2703" s="16" t="str">
        <x:v>Missing email</x:v>
      </x:c>
    </x:row>
    <x:row r="2704">
      <x:c r="A2704" s="16" t="n">
        <x:v>2701</x:v>
      </x:c>
      <x:c r="B2704" s="16" t="str">
        <x:v>Fatimah Ismail AGP</x:v>
      </x:c>
      <x:c r="C2704" s="16" t="str"/>
      <x:c r="D2704" s="16" t="str"/>
      <x:c r="E2704" s="16" t="str">
        <x:v>* myContacts</x:v>
      </x:c>
      <x:c r="F2704" s="16" t="str">
        <x:v>+60 12-933 8687 | +60129338687</x:v>
      </x:c>
      <x:c r="G2704" s="16" t="str">
        <x:v>+60129338687 | +60129338687</x:v>
      </x:c>
      <x:c r="H2704" s="16" t="str">
        <x:v>Excluded</x:v>
      </x:c>
      <x:c r="I2704" s="16" t="str">
        <x:v>Missing email</x:v>
      </x:c>
    </x:row>
    <x:row r="2705">
      <x:c r="A2705" s="16" t="n">
        <x:v>2702</x:v>
      </x:c>
      <x:c r="B2705" s="16" t="str">
        <x:v>FATIN ADEK BERADEK ABG ABU</x:v>
      </x:c>
      <x:c r="C2705" s="16" t="str"/>
      <x:c r="D2705" s="16" t="str"/>
      <x:c r="E2705" s="16" t="str">
        <x:v>* myContacts</x:v>
      </x:c>
      <x:c r="F2705" s="16" t="str">
        <x:v>+60 17-775 9879 | +60177759879</x:v>
      </x:c>
      <x:c r="G2705" s="16" t="str">
        <x:v>+60177759879 | +60177759879</x:v>
      </x:c>
      <x:c r="H2705" s="16" t="str">
        <x:v>Excluded</x:v>
      </x:c>
      <x:c r="I2705" s="16" t="str">
        <x:v>Missing email</x:v>
      </x:c>
    </x:row>
    <x:row r="2706">
      <x:c r="A2706" s="16" t="n">
        <x:v>2703</x:v>
      </x:c>
      <x:c r="B2706" s="16" t="str">
        <x:v>Fatin Aniqah</x:v>
      </x:c>
      <x:c r="C2706" s="16" t="str"/>
      <x:c r="D2706" s="16" t="str"/>
      <x:c r="E2706" s="16" t="str">
        <x:v>* myContacts</x:v>
      </x:c>
      <x:c r="F2706" s="16" t="str">
        <x:v>+60172340838</x:v>
      </x:c>
      <x:c r="G2706" s="16" t="str">
        <x:v>+60172340838</x:v>
      </x:c>
      <x:c r="H2706" s="16" t="str">
        <x:v>Excluded</x:v>
      </x:c>
      <x:c r="I2706" s="16" t="str">
        <x:v>Missing email</x:v>
      </x:c>
    </x:row>
    <x:row r="2707">
      <x:c r="A2707" s="16" t="n">
        <x:v>2704</x:v>
      </x:c>
      <x:c r="B2707" s="16" t="str">
        <x:v>Fatin Hijrah Selangor</x:v>
      </x:c>
      <x:c r="C2707" s="16" t="str"/>
      <x:c r="D2707" s="16" t="str"/>
      <x:c r="E2707" s="16" t="str">
        <x:v>* myContacts</x:v>
      </x:c>
      <x:c r="F2707" s="16" t="str">
        <x:v>+60 12-993 7120 | +60129937120</x:v>
      </x:c>
      <x:c r="G2707" s="16" t="str">
        <x:v>+60129937120 | +60129937120</x:v>
      </x:c>
      <x:c r="H2707" s="16" t="str">
        <x:v>Excluded</x:v>
      </x:c>
      <x:c r="I2707" s="16" t="str">
        <x:v>Missing email</x:v>
      </x:c>
    </x:row>
    <x:row r="2708">
      <x:c r="A2708" s="16" t="n">
        <x:v>2705</x:v>
      </x:c>
      <x:c r="B2708" s="16" t="str">
        <x:v>Fatin Nabilah</x:v>
      </x:c>
      <x:c r="C2708" s="16" t="str"/>
      <x:c r="D2708" s="16" t="str"/>
      <x:c r="E2708" s="16" t="str">
        <x:v>* myContacts</x:v>
      </x:c>
      <x:c r="F2708" s="16" t="str">
        <x:v>+601111384803</x:v>
      </x:c>
      <x:c r="G2708" s="16" t="str">
        <x:v>+601111384803</x:v>
      </x:c>
      <x:c r="H2708" s="16" t="str">
        <x:v>Excluded</x:v>
      </x:c>
      <x:c r="I2708" s="16" t="str">
        <x:v>Missing email</x:v>
      </x:c>
    </x:row>
    <x:row r="2709">
      <x:c r="A2709" s="16" t="n">
        <x:v>2706</x:v>
      </x:c>
      <x:c r="B2709" s="16" t="str">
        <x:v>Fatin NurLiyana</x:v>
      </x:c>
      <x:c r="C2709" s="16" t="str"/>
      <x:c r="D2709" s="16" t="str"/>
      <x:c r="E2709" s="16" t="str">
        <x:v>* myContacts</x:v>
      </x:c>
      <x:c r="F2709" s="16" t="str">
        <x:v>+60129046411</x:v>
      </x:c>
      <x:c r="G2709" s="16" t="str">
        <x:v>+60129046411</x:v>
      </x:c>
      <x:c r="H2709" s="16" t="str">
        <x:v>Excluded</x:v>
      </x:c>
      <x:c r="I2709" s="16" t="str">
        <x:v>Missing email</x:v>
      </x:c>
    </x:row>
    <x:row r="2710">
      <x:c r="A2710" s="16" t="n">
        <x:v>2707</x:v>
      </x:c>
      <x:c r="B2710" s="16" t="str">
        <x:v>Fatin Sales Essens</x:v>
      </x:c>
      <x:c r="C2710" s="16" t="str"/>
      <x:c r="D2710" s="16" t="str"/>
      <x:c r="E2710" s="16" t="str">
        <x:v>* myContacts</x:v>
      </x:c>
      <x:c r="F2710" s="16" t="str">
        <x:v>+60 13-504 2163 | +60135042163</x:v>
      </x:c>
      <x:c r="G2710" s="16" t="str">
        <x:v>+60135042163 | +60135042163</x:v>
      </x:c>
      <x:c r="H2710" s="16" t="str">
        <x:v>Excluded</x:v>
      </x:c>
      <x:c r="I2710" s="16" t="str">
        <x:v>Missing email</x:v>
      </x:c>
    </x:row>
    <x:row r="2711">
      <x:c r="A2711" s="16" t="n">
        <x:v>2708</x:v>
      </x:c>
      <x:c r="B2711" s="16" t="str">
        <x:v>Fatin Syamimi</x:v>
      </x:c>
      <x:c r="C2711" s="16" t="str"/>
      <x:c r="D2711" s="16" t="str"/>
      <x:c r="E2711" s="16" t="str">
        <x:v>* myContacts</x:v>
      </x:c>
      <x:c r="F2711" s="16" t="str">
        <x:v>+60109122376</x:v>
      </x:c>
      <x:c r="G2711" s="16" t="str">
        <x:v>+60109122376</x:v>
      </x:c>
      <x:c r="H2711" s="16" t="str">
        <x:v>Excluded</x:v>
      </x:c>
      <x:c r="I2711" s="16" t="str">
        <x:v>Missing email</x:v>
      </x:c>
    </x:row>
    <x:row r="2712">
      <x:c r="A2712" s="16" t="n">
        <x:v>2709</x:v>
      </x:c>
      <x:c r="B2712" s="16" t="str">
        <x:v>Fatma Faqim</x:v>
      </x:c>
      <x:c r="C2712" s="16" t="str"/>
      <x:c r="D2712" s="16" t="str"/>
      <x:c r="E2712" s="16" t="str">
        <x:v>* myContacts</x:v>
      </x:c>
      <x:c r="F2712" s="16" t="str">
        <x:v>+60133114935</x:v>
      </x:c>
      <x:c r="G2712" s="16" t="str">
        <x:v>+60133114935</x:v>
      </x:c>
      <x:c r="H2712" s="16" t="str">
        <x:v>Excluded</x:v>
      </x:c>
      <x:c r="I2712" s="16" t="str">
        <x:v>Missing email</x:v>
      </x:c>
    </x:row>
    <x:row r="2713">
      <x:c r="A2713" s="16" t="n">
        <x:v>2710</x:v>
      </x:c>
      <x:c r="B2713" s="16" t="str">
        <x:v>Fatmawati Fatah</x:v>
      </x:c>
      <x:c r="C2713" s="16" t="str"/>
      <x:c r="D2713" s="16" t="str"/>
      <x:c r="E2713" s="16" t="str">
        <x:v>* myContacts</x:v>
      </x:c>
      <x:c r="F2713" s="16" t="str">
        <x:v>+601128810160</x:v>
      </x:c>
      <x:c r="G2713" s="16" t="str">
        <x:v>+601128810160</x:v>
      </x:c>
      <x:c r="H2713" s="16" t="str">
        <x:v>Excluded</x:v>
      </x:c>
      <x:c r="I2713" s="16" t="str">
        <x:v>Missing email</x:v>
      </x:c>
    </x:row>
    <x:row r="2714">
      <x:c r="A2714" s="16" t="n">
        <x:v>2711</x:v>
      </x:c>
      <x:c r="B2714" s="16" t="str">
        <x:v>Fattah Mansor WB</x:v>
      </x:c>
      <x:c r="C2714" s="16" t="str"/>
      <x:c r="D2714" s="16" t="str"/>
      <x:c r="E2714" s="16" t="str">
        <x:v>* myContacts</x:v>
      </x:c>
      <x:c r="F2714" s="16" t="str">
        <x:v>+60139921465</x:v>
      </x:c>
      <x:c r="G2714" s="16" t="str">
        <x:v>+60139921465</x:v>
      </x:c>
      <x:c r="H2714" s="16" t="str">
        <x:v>Excluded</x:v>
      </x:c>
      <x:c r="I2714" s="16" t="str">
        <x:v>Missing email</x:v>
      </x:c>
    </x:row>
    <x:row r="2715">
      <x:c r="A2715" s="16" t="n">
        <x:v>2712</x:v>
      </x:c>
      <x:c r="B2715" s="16" t="str">
        <x:v>Fattah Ruslan</x:v>
      </x:c>
      <x:c r="C2715" s="16" t="str"/>
      <x:c r="D2715" s="16" t="str"/>
      <x:c r="E2715" s="16" t="str">
        <x:v>* myContacts</x:v>
      </x:c>
      <x:c r="F2715" s="16" t="str">
        <x:v>+60126928698</x:v>
      </x:c>
      <x:c r="G2715" s="16" t="str">
        <x:v>+60126928698</x:v>
      </x:c>
      <x:c r="H2715" s="16" t="str">
        <x:v>Excluded</x:v>
      </x:c>
      <x:c r="I2715" s="16" t="str">
        <x:v>Missing email</x:v>
      </x:c>
    </x:row>
    <x:row r="2716">
      <x:c r="A2716" s="16" t="n">
        <x:v>2713</x:v>
      </x:c>
      <x:c r="B2716" s="16" t="str">
        <x:v>Fauzah Ismail</x:v>
      </x:c>
      <x:c r="C2716" s="16" t="str"/>
      <x:c r="D2716" s="16" t="str"/>
      <x:c r="E2716" s="16" t="str">
        <x:v>* myContacts</x:v>
      </x:c>
      <x:c r="F2716" s="16" t="str">
        <x:v>+60179684664</x:v>
      </x:c>
      <x:c r="G2716" s="16" t="str">
        <x:v>+60179684664</x:v>
      </x:c>
      <x:c r="H2716" s="16" t="str">
        <x:v>Excluded</x:v>
      </x:c>
      <x:c r="I2716" s="16" t="str">
        <x:v>Missing email</x:v>
      </x:c>
    </x:row>
    <x:row r="2717">
      <x:c r="A2717" s="16" t="n">
        <x:v>2714</x:v>
      </x:c>
      <x:c r="B2717" s="16" t="str">
        <x:v>Fauzan Afifi</x:v>
      </x:c>
      <x:c r="C2717" s="16" t="str"/>
      <x:c r="D2717" s="16" t="str"/>
      <x:c r="E2717" s="16" t="str">
        <x:v>* myContacts</x:v>
      </x:c>
      <x:c r="F2717" s="16" t="str">
        <x:v>+60148032624</x:v>
      </x:c>
      <x:c r="G2717" s="16" t="str">
        <x:v>+60148032624</x:v>
      </x:c>
      <x:c r="H2717" s="16" t="str">
        <x:v>Excluded</x:v>
      </x:c>
      <x:c r="I2717" s="16" t="str">
        <x:v>Missing email</x:v>
      </x:c>
    </x:row>
    <x:row r="2718">
      <x:c r="A2718" s="16" t="n">
        <x:v>2715</x:v>
      </x:c>
      <x:c r="B2718" s="16" t="str">
        <x:v>Fauzi Ahamad</x:v>
      </x:c>
      <x:c r="C2718" s="16" t="str"/>
      <x:c r="D2718" s="16" t="str"/>
      <x:c r="E2718" s="16" t="str">
        <x:v>* myContacts</x:v>
      </x:c>
      <x:c r="F2718" s="16" t="str">
        <x:v>+60127449852</x:v>
      </x:c>
      <x:c r="G2718" s="16" t="str">
        <x:v>+60127449852</x:v>
      </x:c>
      <x:c r="H2718" s="16" t="str">
        <x:v>Excluded</x:v>
      </x:c>
      <x:c r="I2718" s="16" t="str">
        <x:v>Missing email</x:v>
      </x:c>
    </x:row>
    <x:row r="2719">
      <x:c r="A2719" s="16" t="n">
        <x:v>2716</x:v>
      </x:c>
      <x:c r="B2719" s="16" t="str">
        <x:v>Fauzi Ahmad</x:v>
      </x:c>
      <x:c r="C2719" s="16" t="str"/>
      <x:c r="D2719" s="16" t="str"/>
      <x:c r="E2719" s="16" t="str">
        <x:v>* myContacts</x:v>
      </x:c>
      <x:c r="F2719" s="16" t="str">
        <x:v>+60179279001</x:v>
      </x:c>
      <x:c r="G2719" s="16" t="str">
        <x:v>+60179279001</x:v>
      </x:c>
      <x:c r="H2719" s="16" t="str">
        <x:v>Excluded</x:v>
      </x:c>
      <x:c r="I2719" s="16" t="str">
        <x:v>Missing email</x:v>
      </x:c>
    </x:row>
    <x:row r="2720">
      <x:c r="A2720" s="16" t="n">
        <x:v>2717</x:v>
      </x:c>
      <x:c r="B2720" s="16" t="str">
        <x:v>Fauzi Ali</x:v>
      </x:c>
      <x:c r="C2720" s="16" t="str"/>
      <x:c r="D2720" s="16" t="str"/>
      <x:c r="E2720" s="16" t="str">
        <x:v>* myContacts</x:v>
      </x:c>
      <x:c r="F2720" s="16" t="str">
        <x:v>+60199572059</x:v>
      </x:c>
      <x:c r="G2720" s="16" t="str">
        <x:v>+60199572059</x:v>
      </x:c>
      <x:c r="H2720" s="16" t="str">
        <x:v>Excluded</x:v>
      </x:c>
      <x:c r="I2720" s="16" t="str">
        <x:v>Missing email</x:v>
      </x:c>
    </x:row>
    <x:row r="2721">
      <x:c r="A2721" s="16" t="n">
        <x:v>2718</x:v>
      </x:c>
      <x:c r="B2721" s="16" t="str">
        <x:v>Fauzi BDA</x:v>
      </x:c>
      <x:c r="C2721" s="16" t="str"/>
      <x:c r="D2721" s="16" t="str"/>
      <x:c r="E2721" s="16" t="str">
        <x:v>* myContacts</x:v>
      </x:c>
      <x:c r="F2721" s="16" t="str">
        <x:v>+60 13-397 2453 | +60133972453</x:v>
      </x:c>
      <x:c r="G2721" s="16" t="str">
        <x:v>+60133972453 | +60133972453</x:v>
      </x:c>
      <x:c r="H2721" s="16" t="str">
        <x:v>Excluded</x:v>
      </x:c>
      <x:c r="I2721" s="16" t="str">
        <x:v>Missing email</x:v>
      </x:c>
    </x:row>
    <x:row r="2722">
      <x:c r="A2722" s="16" t="n">
        <x:v>2719</x:v>
      </x:c>
      <x:c r="B2722" s="16" t="str">
        <x:v>Fauzi Farmasi DPIM PERAK</x:v>
      </x:c>
      <x:c r="C2722" s="16" t="str"/>
      <x:c r="D2722" s="16" t="str"/>
      <x:c r="E2722" s="16" t="str">
        <x:v>* myContacts</x:v>
      </x:c>
      <x:c r="F2722" s="16" t="str">
        <x:v>019-568 7031 | +60195687031</x:v>
      </x:c>
      <x:c r="G2722" s="16" t="str">
        <x:v>+60195687031 | +60195687031</x:v>
      </x:c>
      <x:c r="H2722" s="16" t="str">
        <x:v>Excluded</x:v>
      </x:c>
      <x:c r="I2722" s="16" t="str">
        <x:v>Missing email</x:v>
      </x:c>
    </x:row>
    <x:row r="2723">
      <x:c r="A2723" s="16" t="n">
        <x:v>2720</x:v>
      </x:c>
      <x:c r="B2723" s="16" t="str">
        <x:v>Fauzi Gie</x:v>
      </x:c>
      <x:c r="C2723" s="16" t="str"/>
      <x:c r="D2723" s="16" t="str"/>
      <x:c r="E2723" s="16" t="str">
        <x:v>* myContacts</x:v>
      </x:c>
      <x:c r="F2723" s="16" t="str">
        <x:v>+601124009672</x:v>
      </x:c>
      <x:c r="G2723" s="16" t="str">
        <x:v>+601124009672</x:v>
      </x:c>
      <x:c r="H2723" s="16" t="str">
        <x:v>Excluded</x:v>
      </x:c>
      <x:c r="I2723" s="16" t="str">
        <x:v>Missing email</x:v>
      </x:c>
    </x:row>
    <x:row r="2724">
      <x:c r="A2724" s="16" t="n">
        <x:v>2721</x:v>
      </x:c>
      <x:c r="B2724" s="16" t="str">
        <x:v>Fauzi Salleh</x:v>
      </x:c>
      <x:c r="C2724" s="16" t="str"/>
      <x:c r="D2724" s="16" t="str"/>
      <x:c r="E2724" s="16" t="str">
        <x:v>* myContacts</x:v>
      </x:c>
      <x:c r="F2724" s="16" t="str">
        <x:v>+60179898384</x:v>
      </x:c>
      <x:c r="G2724" s="16" t="str">
        <x:v>+60179898384</x:v>
      </x:c>
      <x:c r="H2724" s="16" t="str">
        <x:v>Excluded</x:v>
      </x:c>
      <x:c r="I2724" s="16" t="str">
        <x:v>Missing email</x:v>
      </x:c>
    </x:row>
    <x:row r="2725">
      <x:c r="A2725" s="16" t="n">
        <x:v>2722</x:v>
      </x:c>
      <x:c r="B2725" s="16" t="str">
        <x:v>Fauzi STP</x:v>
      </x:c>
      <x:c r="C2725" s="16" t="str"/>
      <x:c r="D2725" s="16" t="str"/>
      <x:c r="E2725" s="16" t="str">
        <x:v>* myContacts</x:v>
      </x:c>
      <x:c r="F2725" s="16" t="str">
        <x:v>+60124937374</x:v>
      </x:c>
      <x:c r="G2725" s="16" t="str">
        <x:v>+60124937374</x:v>
      </x:c>
      <x:c r="H2725" s="16" t="str">
        <x:v>Excluded</x:v>
      </x:c>
      <x:c r="I2725" s="16" t="str">
        <x:v>Missing email</x:v>
      </x:c>
    </x:row>
    <x:row r="2726">
      <x:c r="A2726" s="16" t="n">
        <x:v>2723</x:v>
      </x:c>
      <x:c r="B2726" s="16" t="str">
        <x:v>Fauziah Halim</x:v>
      </x:c>
      <x:c r="C2726" s="16" t="str"/>
      <x:c r="D2726" s="16" t="str"/>
      <x:c r="E2726" s="16" t="str">
        <x:v>* myContacts</x:v>
      </x:c>
      <x:c r="F2726" s="16" t="str">
        <x:v>+60139781048</x:v>
      </x:c>
      <x:c r="G2726" s="16" t="str">
        <x:v>+60139781048</x:v>
      </x:c>
      <x:c r="H2726" s="16" t="str">
        <x:v>Excluded</x:v>
      </x:c>
      <x:c r="I2726" s="16" t="str">
        <x:v>Missing email</x:v>
      </x:c>
    </x:row>
    <x:row r="2727">
      <x:c r="A2727" s="16" t="n">
        <x:v>2724</x:v>
      </x:c>
      <x:c r="B2727" s="16" t="str">
        <x:v>Fauziah MDEC IM</x:v>
      </x:c>
      <x:c r="C2727" s="16" t="str"/>
      <x:c r="D2727" s="16" t="str"/>
      <x:c r="E2727" s="16" t="str">
        <x:v>* myContacts</x:v>
      </x:c>
      <x:c r="F2727" s="16" t="str">
        <x:v>+60126965253</x:v>
      </x:c>
      <x:c r="G2727" s="16" t="str">
        <x:v>+60126965253</x:v>
      </x:c>
      <x:c r="H2727" s="16" t="str">
        <x:v>Excluded</x:v>
      </x:c>
      <x:c r="I2727" s="16" t="str">
        <x:v>Missing email</x:v>
      </x:c>
    </x:row>
    <x:row r="2728">
      <x:c r="A2728" s="16" t="n">
        <x:v>2725</x:v>
      </x:c>
      <x:c r="B2728" s="16" t="str">
        <x:v>Fauziah Mohamadzin</x:v>
      </x:c>
      <x:c r="C2728" s="16" t="str"/>
      <x:c r="D2728" s="16" t="str"/>
      <x:c r="E2728" s="16" t="str">
        <x:v>* myContacts</x:v>
      </x:c>
      <x:c r="F2728" s="16" t="str">
        <x:v>+601121268328</x:v>
      </x:c>
      <x:c r="G2728" s="16" t="str">
        <x:v>+601121268328</x:v>
      </x:c>
      <x:c r="H2728" s="16" t="str">
        <x:v>Excluded</x:v>
      </x:c>
      <x:c r="I2728" s="16" t="str">
        <x:v>Missing email</x:v>
      </x:c>
    </x:row>
    <x:row r="2729">
      <x:c r="A2729" s="16" t="n">
        <x:v>2726</x:v>
      </x:c>
      <x:c r="B2729" s="16" t="str">
        <x:v>Fawany Nazimi</x:v>
      </x:c>
      <x:c r="C2729" s="16" t="str"/>
      <x:c r="D2729" s="16" t="str"/>
      <x:c r="E2729" s="16" t="str">
        <x:v>* myContacts</x:v>
      </x:c>
      <x:c r="F2729" s="16" t="str">
        <x:v>+60173295047</x:v>
      </x:c>
      <x:c r="G2729" s="16" t="str">
        <x:v>+60173295047</x:v>
      </x:c>
      <x:c r="H2729" s="16" t="str">
        <x:v>Excluded</x:v>
      </x:c>
      <x:c r="I2729" s="16" t="str">
        <x:v>Missing email</x:v>
      </x:c>
    </x:row>
    <x:row r="2730">
      <x:c r="A2730" s="16" t="n">
        <x:v>2727</x:v>
      </x:c>
      <x:c r="B2730" s="16" t="str">
        <x:v>Faz Lie</x:v>
      </x:c>
      <x:c r="C2730" s="16" t="str"/>
      <x:c r="D2730" s="16" t="str"/>
      <x:c r="E2730" s="16" t="str">
        <x:v>* myContacts</x:v>
      </x:c>
      <x:c r="F2730" s="16" t="str">
        <x:v>+60122345678</x:v>
      </x:c>
      <x:c r="G2730" s="16" t="str">
        <x:v>+60122345678</x:v>
      </x:c>
      <x:c r="H2730" s="16" t="str">
        <x:v>Excluded</x:v>
      </x:c>
      <x:c r="I2730" s="16" t="str">
        <x:v>Missing email</x:v>
      </x:c>
    </x:row>
    <x:row r="2731">
      <x:c r="A2731" s="16" t="n">
        <x:v>2728</x:v>
      </x:c>
      <x:c r="B2731" s="16" t="str">
        <x:v>Faza Faza</x:v>
      </x:c>
      <x:c r="C2731" s="16" t="str"/>
      <x:c r="D2731" s="16" t="str"/>
      <x:c r="E2731" s="16" t="str">
        <x:v>* myContacts</x:v>
      </x:c>
      <x:c r="F2731" s="16" t="str">
        <x:v>+601128068413</x:v>
      </x:c>
      <x:c r="G2731" s="16" t="str">
        <x:v>+601128068413</x:v>
      </x:c>
      <x:c r="H2731" s="16" t="str">
        <x:v>Excluded</x:v>
      </x:c>
      <x:c r="I2731" s="16" t="str">
        <x:v>Missing email</x:v>
      </x:c>
    </x:row>
    <x:row r="2732">
      <x:c r="A2732" s="16" t="n">
        <x:v>2729</x:v>
      </x:c>
      <x:c r="B2732" s="16" t="str">
        <x:v>Fazariah Nordin</x:v>
      </x:c>
      <x:c r="C2732" s="16" t="str"/>
      <x:c r="D2732" s="16" t="str"/>
      <x:c r="E2732" s="16" t="str">
        <x:v>* myContacts</x:v>
      </x:c>
      <x:c r="F2732" s="16" t="str">
        <x:v>+60198188385</x:v>
      </x:c>
      <x:c r="G2732" s="16" t="str">
        <x:v>+60198188385</x:v>
      </x:c>
      <x:c r="H2732" s="16" t="str">
        <x:v>Excluded</x:v>
      </x:c>
      <x:c r="I2732" s="16" t="str">
        <x:v>Missing email</x:v>
      </x:c>
    </x:row>
    <x:row r="2733">
      <x:c r="A2733" s="16" t="n">
        <x:v>2730</x:v>
      </x:c>
      <x:c r="B2733" s="16" t="str">
        <x:v>Fazatul Azren</x:v>
      </x:c>
      <x:c r="C2733" s="16" t="str"/>
      <x:c r="D2733" s="16" t="str"/>
      <x:c r="E2733" s="16" t="str">
        <x:v>* myContacts</x:v>
      </x:c>
      <x:c r="F2733" s="16" t="str">
        <x:v>+60176762763</x:v>
      </x:c>
      <x:c r="G2733" s="16" t="str">
        <x:v>+60176762763</x:v>
      </x:c>
      <x:c r="H2733" s="16" t="str">
        <x:v>Excluded</x:v>
      </x:c>
      <x:c r="I2733" s="16" t="str">
        <x:v>Missing email</x:v>
      </x:c>
    </x:row>
    <x:row r="2734">
      <x:c r="A2734" s="16" t="n">
        <x:v>2731</x:v>
      </x:c>
      <x:c r="B2734" s="16" t="str">
        <x:v>Fazel Cikgu Caregiver</x:v>
      </x:c>
      <x:c r="C2734" s="16" t="str"/>
      <x:c r="D2734" s="16" t="str"/>
      <x:c r="E2734" s="16" t="str">
        <x:v>* myContacts</x:v>
      </x:c>
      <x:c r="F2734" s="16" t="str">
        <x:v>+60134469951</x:v>
      </x:c>
      <x:c r="G2734" s="16" t="str">
        <x:v>+60134469951</x:v>
      </x:c>
      <x:c r="H2734" s="16" t="str">
        <x:v>Excluded</x:v>
      </x:c>
      <x:c r="I2734" s="16" t="str">
        <x:v>Missing email</x:v>
      </x:c>
    </x:row>
    <x:row r="2735">
      <x:c r="A2735" s="16" t="n">
        <x:v>2732</x:v>
      </x:c>
      <x:c r="B2735" s="16" t="str">
        <x:v>Fazidin Shopee</x:v>
      </x:c>
      <x:c r="C2735" s="16" t="str"/>
      <x:c r="D2735" s="16" t="str"/>
      <x:c r="E2735" s="16" t="str">
        <x:v>* myContacts</x:v>
      </x:c>
      <x:c r="F2735" s="16" t="str">
        <x:v>+60132134415</x:v>
      </x:c>
      <x:c r="G2735" s="16" t="str">
        <x:v>+60132134415</x:v>
      </x:c>
      <x:c r="H2735" s="16" t="str">
        <x:v>Excluded</x:v>
      </x:c>
      <x:c r="I2735" s="16" t="str">
        <x:v>Missing email</x:v>
      </x:c>
    </x:row>
    <x:row r="2736">
      <x:c r="A2736" s="16" t="n">
        <x:v>2733</x:v>
      </x:c>
      <x:c r="B2736" s="16" t="str">
        <x:v>Fazila Ishak</x:v>
      </x:c>
      <x:c r="C2736" s="16" t="str"/>
      <x:c r="D2736" s="16" t="str"/>
      <x:c r="E2736" s="16" t="str">
        <x:v>* myContacts</x:v>
      </x:c>
      <x:c r="F2736" s="16" t="str">
        <x:v>+601127656514</x:v>
      </x:c>
      <x:c r="G2736" s="16" t="str">
        <x:v>+601127656514</x:v>
      </x:c>
      <x:c r="H2736" s="16" t="str">
        <x:v>Excluded</x:v>
      </x:c>
      <x:c r="I2736" s="16" t="str">
        <x:v>Missing email</x:v>
      </x:c>
    </x:row>
    <x:row r="2737">
      <x:c r="A2737" s="16" t="n">
        <x:v>2734</x:v>
      </x:c>
      <x:c r="B2737" s="16" t="str">
        <x:v>Fazila Rosilan</x:v>
      </x:c>
      <x:c r="C2737" s="16" t="str"/>
      <x:c r="D2737" s="16" t="str"/>
      <x:c r="E2737" s="16" t="str">
        <x:v>* myContacts</x:v>
      </x:c>
      <x:c r="F2737" s="16" t="str">
        <x:v>+60132952142</x:v>
      </x:c>
      <x:c r="G2737" s="16" t="str">
        <x:v>+60132952142</x:v>
      </x:c>
      <x:c r="H2737" s="16" t="str">
        <x:v>Excluded</x:v>
      </x:c>
      <x:c r="I2737" s="16" t="str">
        <x:v>Missing email</x:v>
      </x:c>
    </x:row>
    <x:row r="2738">
      <x:c r="A2738" s="16" t="n">
        <x:v>2735</x:v>
      </x:c>
      <x:c r="B2738" s="16" t="str">
        <x:v>Fazilah Sulaiman</x:v>
      </x:c>
      <x:c r="C2738" s="16" t="str"/>
      <x:c r="D2738" s="16" t="str"/>
      <x:c r="E2738" s="16" t="str">
        <x:v>* myContacts</x:v>
      </x:c>
      <x:c r="F2738" s="16" t="str">
        <x:v>+60193683420</x:v>
      </x:c>
      <x:c r="G2738" s="16" t="str">
        <x:v>+60193683420</x:v>
      </x:c>
      <x:c r="H2738" s="16" t="str">
        <x:v>Excluded</x:v>
      </x:c>
      <x:c r="I2738" s="16" t="str">
        <x:v>Missing email</x:v>
      </x:c>
    </x:row>
    <x:row r="2739">
      <x:c r="A2739" s="16" t="n">
        <x:v>2736</x:v>
      </x:c>
      <x:c r="B2739" s="16" t="str">
        <x:v>Fazilahwati Pauzi</x:v>
      </x:c>
      <x:c r="C2739" s="16" t="str"/>
      <x:c r="D2739" s="16" t="str"/>
      <x:c r="E2739" s="16" t="str">
        <x:v>* myContacts</x:v>
      </x:c>
      <x:c r="F2739" s="16" t="str">
        <x:v>+60134403101</x:v>
      </x:c>
      <x:c r="G2739" s="16" t="str">
        <x:v>+60134403101</x:v>
      </x:c>
      <x:c r="H2739" s="16" t="str">
        <x:v>Excluded</x:v>
      </x:c>
      <x:c r="I2739" s="16" t="str">
        <x:v>Missing email</x:v>
      </x:c>
    </x:row>
    <x:row r="2740">
      <x:c r="A2740" s="16" t="n">
        <x:v>2737</x:v>
      </x:c>
      <x:c r="B2740" s="16" t="str">
        <x:v>Fazlu Trainer</x:v>
      </x:c>
      <x:c r="C2740" s="16" t="str"/>
      <x:c r="D2740" s="16" t="str"/>
      <x:c r="E2740" s="16" t="str">
        <x:v>Trainer | * myContacts</x:v>
      </x:c>
      <x:c r="F2740" s="16" t="str">
        <x:v>+60 16-423 6116 | +60164236116</x:v>
      </x:c>
      <x:c r="G2740" s="16" t="str">
        <x:v>+60164236116 | +60164236116</x:v>
      </x:c>
      <x:c r="H2740" s="16" t="str">
        <x:v>Excluded</x:v>
      </x:c>
      <x:c r="I2740" s="16" t="str">
        <x:v>Missing email</x:v>
      </x:c>
    </x:row>
    <x:row r="2741">
      <x:c r="A2741" s="16" t="n">
        <x:v>2738</x:v>
      </x:c>
      <x:c r="B2741" s="16" t="str">
        <x:v>Fazly Lee</x:v>
      </x:c>
      <x:c r="C2741" s="16" t="str"/>
      <x:c r="D2741" s="16" t="str"/>
      <x:c r="E2741" s="16" t="str">
        <x:v>* myContacts</x:v>
      </x:c>
      <x:c r="F2741" s="16" t="str">
        <x:v>+6738882172</x:v>
      </x:c>
      <x:c r="G2741" s="16" t="str">
        <x:v>+6738882172</x:v>
      </x:c>
      <x:c r="H2741" s="16" t="str">
        <x:v>Excluded</x:v>
      </x:c>
      <x:c r="I2741" s="16" t="str">
        <x:v>Missing email</x:v>
      </x:c>
    </x:row>
    <x:row r="2742">
      <x:c r="A2742" s="16" t="n">
        <x:v>2739</x:v>
      </x:c>
      <x:c r="B2742" s="16" t="str">
        <x:v>Fazly Zamri</x:v>
      </x:c>
      <x:c r="C2742" s="16" t="str"/>
      <x:c r="D2742" s="16" t="str"/>
      <x:c r="E2742" s="16" t="str">
        <x:v>* myContacts</x:v>
      </x:c>
      <x:c r="F2742" s="16" t="str">
        <x:v>+60186602426</x:v>
      </x:c>
      <x:c r="G2742" s="16" t="str">
        <x:v>+60186602426</x:v>
      </x:c>
      <x:c r="H2742" s="16" t="str">
        <x:v>Excluded</x:v>
      </x:c>
      <x:c r="I2742" s="16" t="str">
        <x:v>Missing email</x:v>
      </x:c>
    </x:row>
    <x:row r="2743">
      <x:c r="A2743" s="16" t="n">
        <x:v>2740</x:v>
      </x:c>
      <x:c r="B2743" s="16" t="str">
        <x:v>Fazreen MDEC</x:v>
      </x:c>
      <x:c r="C2743" s="16" t="str"/>
      <x:c r="D2743" s="16" t="str"/>
      <x:c r="E2743" s="16" t="str">
        <x:v>* myContacts</x:v>
      </x:c>
      <x:c r="F2743" s="16" t="str">
        <x:v>+60 11-1168 8665 | +601111688665</x:v>
      </x:c>
      <x:c r="G2743" s="16" t="str">
        <x:v>+601111688665 | +601111688665</x:v>
      </x:c>
      <x:c r="H2743" s="16" t="str">
        <x:v>Excluded</x:v>
      </x:c>
      <x:c r="I2743" s="16" t="str">
        <x:v>Missing email</x:v>
      </x:c>
    </x:row>
    <x:row r="2744">
      <x:c r="A2744" s="16" t="n">
        <x:v>2741</x:v>
      </x:c>
      <x:c r="B2744" s="16" t="str">
        <x:v>Fazrul Tauke Tshirt Ipoh</x:v>
      </x:c>
      <x:c r="C2744" s="16" t="str"/>
      <x:c r="D2744" s="16" t="str"/>
      <x:c r="E2744" s="16" t="str">
        <x:v>* myContacts</x:v>
      </x:c>
      <x:c r="F2744" s="16" t="str">
        <x:v>0176350023 | +60176350023</x:v>
      </x:c>
      <x:c r="G2744" s="16" t="str">
        <x:v>+60176350023 | +60176350023</x:v>
      </x:c>
      <x:c r="H2744" s="16" t="str">
        <x:v>Excluded</x:v>
      </x:c>
      <x:c r="I2744" s="16" t="str">
        <x:v>Missing email</x:v>
      </x:c>
    </x:row>
    <x:row r="2745">
      <x:c r="A2745" s="16" t="n">
        <x:v>2742</x:v>
      </x:c>
      <x:c r="B2745" s="16" t="str">
        <x:v>Fbt Talib</x:v>
      </x:c>
      <x:c r="C2745" s="16" t="str"/>
      <x:c r="D2745" s="16" t="str"/>
      <x:c r="E2745" s="16" t="str">
        <x:v>* myContacts</x:v>
      </x:c>
      <x:c r="F2745" s="16" t="str">
        <x:v>+601127550656</x:v>
      </x:c>
      <x:c r="G2745" s="16" t="str">
        <x:v>+601127550656</x:v>
      </x:c>
      <x:c r="H2745" s="16" t="str">
        <x:v>Excluded</x:v>
      </x:c>
      <x:c r="I2745" s="16" t="str">
        <x:v>Missing email</x:v>
      </x:c>
    </x:row>
    <x:row r="2746">
      <x:c r="A2746" s="16" t="n">
        <x:v>2743</x:v>
      </x:c>
      <x:c r="B2746" s="16" t="str">
        <x:v>Fdaus Hzaini</x:v>
      </x:c>
      <x:c r="C2746" s="16" t="str"/>
      <x:c r="D2746" s="16" t="str"/>
      <x:c r="E2746" s="16" t="str">
        <x:v>* myContacts</x:v>
      </x:c>
      <x:c r="F2746" s="16" t="str">
        <x:v>+601114923085</x:v>
      </x:c>
      <x:c r="G2746" s="16" t="str">
        <x:v>+601114923085</x:v>
      </x:c>
      <x:c r="H2746" s="16" t="str">
        <x:v>Excluded</x:v>
      </x:c>
      <x:c r="I2746" s="16" t="str">
        <x:v>Missing email</x:v>
      </x:c>
    </x:row>
    <x:row r="2747">
      <x:c r="A2747" s="16" t="n">
        <x:v>2744</x:v>
      </x:c>
      <x:c r="B2747" s="16" t="str">
        <x:v>Febian Senabong</x:v>
      </x:c>
      <x:c r="C2747" s="16" t="str"/>
      <x:c r="D2747" s="16" t="str"/>
      <x:c r="E2747" s="16" t="str">
        <x:v>* myContacts</x:v>
      </x:c>
      <x:c r="F2747" s="16" t="str">
        <x:v>+60198674915</x:v>
      </x:c>
      <x:c r="G2747" s="16" t="str">
        <x:v>+60198674915</x:v>
      </x:c>
      <x:c r="H2747" s="16" t="str">
        <x:v>Excluded</x:v>
      </x:c>
      <x:c r="I2747" s="16" t="str">
        <x:v>Missing email</x:v>
      </x:c>
    </x:row>
    <x:row r="2748">
      <x:c r="A2748" s="16" t="n">
        <x:v>2745</x:v>
      </x:c>
      <x:c r="B2748" s="16" t="str">
        <x:v>Fedrick Ding</x:v>
      </x:c>
      <x:c r="C2748" s="16" t="str"/>
      <x:c r="D2748" s="16" t="str"/>
      <x:c r="E2748" s="16" t="str">
        <x:v>* myContacts</x:v>
      </x:c>
      <x:c r="F2748" s="16" t="str">
        <x:v>+60198597074</x:v>
      </x:c>
      <x:c r="G2748" s="16" t="str">
        <x:v>+60198597074</x:v>
      </x:c>
      <x:c r="H2748" s="16" t="str">
        <x:v>Excluded</x:v>
      </x:c>
      <x:c r="I2748" s="16" t="str">
        <x:v>Missing email</x:v>
      </x:c>
    </x:row>
    <x:row r="2749">
      <x:c r="A2749" s="16" t="n">
        <x:v>2746</x:v>
      </x:c>
      <x:c r="B2749" s="16" t="str">
        <x:v>Fendi Eushawan Trainer IM</x:v>
      </x:c>
      <x:c r="C2749" s="16" t="str"/>
      <x:c r="D2749" s="16" t="str"/>
      <x:c r="E2749" s="16" t="str">
        <x:v>* myContacts</x:v>
      </x:c>
      <x:c r="F2749" s="16" t="str">
        <x:v>0122804819 | +60122804819</x:v>
      </x:c>
      <x:c r="G2749" s="16" t="str">
        <x:v>+60122804819 | +60122804819</x:v>
      </x:c>
      <x:c r="H2749" s="16" t="str">
        <x:v>Excluded</x:v>
      </x:c>
      <x:c r="I2749" s="16" t="str">
        <x:v>Missing email</x:v>
      </x:c>
    </x:row>
    <x:row r="2750">
      <x:c r="A2750" s="16" t="n">
        <x:v>2747</x:v>
      </x:c>
      <x:c r="B2750" s="16" t="str">
        <x:v>Fendi Lekir</x:v>
      </x:c>
      <x:c r="C2750" s="16" t="str"/>
      <x:c r="D2750" s="16" t="str"/>
      <x:c r="E2750" s="16" t="str">
        <x:v>* myContacts</x:v>
      </x:c>
      <x:c r="F2750" s="16" t="str">
        <x:v>+60183883024</x:v>
      </x:c>
      <x:c r="G2750" s="16" t="str">
        <x:v>+60183883024</x:v>
      </x:c>
      <x:c r="H2750" s="16" t="str">
        <x:v>Excluded</x:v>
      </x:c>
      <x:c r="I2750" s="16" t="str">
        <x:v>Missing email</x:v>
      </x:c>
    </x:row>
    <x:row r="2751">
      <x:c r="A2751" s="16" t="n">
        <x:v>2748</x:v>
      </x:c>
      <x:c r="B2751" s="16" t="str">
        <x:v>Fendy Danial</x:v>
      </x:c>
      <x:c r="C2751" s="16" t="str"/>
      <x:c r="D2751" s="16" t="str"/>
      <x:c r="E2751" s="16" t="str">
        <x:v>* myContacts</x:v>
      </x:c>
      <x:c r="F2751" s="16" t="str">
        <x:v>+60172241805</x:v>
      </x:c>
      <x:c r="G2751" s="16" t="str">
        <x:v>+60172241805</x:v>
      </x:c>
      <x:c r="H2751" s="16" t="str">
        <x:v>Excluded</x:v>
      </x:c>
      <x:c r="I2751" s="16" t="str">
        <x:v>Missing email</x:v>
      </x:c>
    </x:row>
    <x:row r="2752">
      <x:c r="A2752" s="16" t="n">
        <x:v>2749</x:v>
      </x:c>
      <x:c r="B2752" s="16" t="str">
        <x:v>Fendy Shafie</x:v>
      </x:c>
      <x:c r="C2752" s="16" t="str"/>
      <x:c r="D2752" s="16" t="str"/>
      <x:c r="E2752" s="16" t="str">
        <x:v>* myContacts</x:v>
      </x:c>
      <x:c r="F2752" s="16" t="str">
        <x:v>+601110780052</x:v>
      </x:c>
      <x:c r="G2752" s="16" t="str">
        <x:v>+601110780052</x:v>
      </x:c>
      <x:c r="H2752" s="16" t="str">
        <x:v>Excluded</x:v>
      </x:c>
      <x:c r="I2752" s="16" t="str">
        <x:v>Missing email</x:v>
      </x:c>
    </x:row>
    <x:row r="2753">
      <x:c r="A2753" s="16" t="n">
        <x:v>2750</x:v>
      </x:c>
      <x:c r="B2753" s="16" t="str">
        <x:v>Ferawati</x:v>
      </x:c>
      <x:c r="C2753" s="16" t="str"/>
      <x:c r="D2753" s="16" t="str"/>
      <x:c r="E2753" s="16" t="str">
        <x:v>* myContacts</x:v>
      </x:c>
      <x:c r="F2753" s="16" t="str">
        <x:v>+60196297228</x:v>
      </x:c>
      <x:c r="G2753" s="16" t="str">
        <x:v>+60196297228</x:v>
      </x:c>
      <x:c r="H2753" s="16" t="str">
        <x:v>Excluded</x:v>
      </x:c>
      <x:c r="I2753" s="16" t="str">
        <x:v>Missing email</x:v>
      </x:c>
    </x:row>
    <x:row r="2754">
      <x:c r="A2754" s="16" t="n">
        <x:v>2751</x:v>
      </x:c>
      <x:c r="B2754" s="16" t="str">
        <x:v>Feris Don</x:v>
      </x:c>
      <x:c r="C2754" s="16" t="str"/>
      <x:c r="D2754" s="16" t="str"/>
      <x:c r="E2754" s="16" t="str">
        <x:v>* myContacts</x:v>
      </x:c>
      <x:c r="F2754" s="16" t="str">
        <x:v>+60196439336</x:v>
      </x:c>
      <x:c r="G2754" s="16" t="str">
        <x:v>+60196439336</x:v>
      </x:c>
      <x:c r="H2754" s="16" t="str">
        <x:v>Excluded</x:v>
      </x:c>
      <x:c r="I2754" s="16" t="str">
        <x:v>Missing email</x:v>
      </x:c>
    </x:row>
    <x:row r="2755">
      <x:c r="A2755" s="16" t="n">
        <x:v>2752</x:v>
      </x:c>
      <x:c r="B2755" s="16" t="str">
        <x:v>Ferry Fitria</x:v>
      </x:c>
      <x:c r="C2755" s="16" t="str"/>
      <x:c r="D2755" s="16" t="str"/>
      <x:c r="E2755" s="16" t="str">
        <x:v>* myContacts</x:v>
      </x:c>
      <x:c r="F2755" s="16" t="str">
        <x:v>+601127071068</x:v>
      </x:c>
      <x:c r="G2755" s="16" t="str">
        <x:v>+601127071068</x:v>
      </x:c>
      <x:c r="H2755" s="16" t="str">
        <x:v>Excluded</x:v>
      </x:c>
      <x:c r="I2755" s="16" t="str">
        <x:v>Missing email</x:v>
      </x:c>
    </x:row>
    <x:row r="2756">
      <x:c r="A2756" s="16" t="n">
        <x:v>2753</x:v>
      </x:c>
      <x:c r="B2756" s="16" t="str">
        <x:v>Fesyen Kasmiza</x:v>
      </x:c>
      <x:c r="C2756" s="16" t="str"/>
      <x:c r="D2756" s="16" t="str"/>
      <x:c r="E2756" s="16" t="str">
        <x:v>* myContacts</x:v>
      </x:c>
      <x:c r="F2756" s="16" t="str">
        <x:v>+60173999347</x:v>
      </x:c>
      <x:c r="G2756" s="16" t="str">
        <x:v>+60173999347</x:v>
      </x:c>
      <x:c r="H2756" s="16" t="str">
        <x:v>Excluded</x:v>
      </x:c>
      <x:c r="I2756" s="16" t="str">
        <x:v>Missing email</x:v>
      </x:c>
    </x:row>
    <x:row r="2757">
      <x:c r="A2757" s="16" t="n">
        <x:v>2754</x:v>
      </x:c>
      <x:c r="B2757" s="16" t="str">
        <x:v>Fesyen Stesen Sdn Bhd</x:v>
      </x:c>
      <x:c r="C2757" s="16" t="str"/>
      <x:c r="D2757" s="16" t="str"/>
      <x:c r="E2757" s="16" t="str">
        <x:v>* myContacts</x:v>
      </x:c>
      <x:c r="F2757" s="16" t="str">
        <x:v>+60326021065</x:v>
      </x:c>
      <x:c r="G2757" s="16" t="str">
        <x:v>+60326021065</x:v>
      </x:c>
      <x:c r="H2757" s="16" t="str">
        <x:v>Excluded</x:v>
      </x:c>
      <x:c r="I2757" s="16" t="str">
        <x:v>Missing email</x:v>
      </x:c>
    </x:row>
    <x:row r="2758">
      <x:c r="A2758" s="16" t="n">
        <x:v>2755</x:v>
      </x:c>
      <x:c r="B2758" s="16" t="str">
        <x:v>Fety Salwany Mat Isa</x:v>
      </x:c>
      <x:c r="C2758" s="16" t="str"/>
      <x:c r="D2758" s="16" t="str"/>
      <x:c r="E2758" s="16" t="str">
        <x:v>* myContacts</x:v>
      </x:c>
      <x:c r="F2758" s="16" t="str">
        <x:v>+60192731837</x:v>
      </x:c>
      <x:c r="G2758" s="16" t="str">
        <x:v>+60192731837</x:v>
      </x:c>
      <x:c r="H2758" s="16" t="str">
        <x:v>Excluded</x:v>
      </x:c>
      <x:c r="I2758" s="16" t="str">
        <x:v>Missing email</x:v>
      </x:c>
    </x:row>
    <x:row r="2759">
      <x:c r="A2759" s="16" t="n">
        <x:v>2756</x:v>
      </x:c>
      <x:c r="B2759" s="16" t="str">
        <x:v>Fhareel Lee Concepcion Vinsmoke</x:v>
      </x:c>
      <x:c r="C2759" s="16" t="str"/>
      <x:c r="D2759" s="16" t="str"/>
      <x:c r="E2759" s="16" t="str">
        <x:v>* myContacts</x:v>
      </x:c>
      <x:c r="F2759" s="16" t="str">
        <x:v>+60183680516</x:v>
      </x:c>
      <x:c r="G2759" s="16" t="str">
        <x:v>+60183680516</x:v>
      </x:c>
      <x:c r="H2759" s="16" t="str">
        <x:v>Excluded</x:v>
      </x:c>
      <x:c r="I2759" s="16" t="str">
        <x:v>Missing email</x:v>
      </x:c>
    </x:row>
    <x:row r="2760">
      <x:c r="A2760" s="16" t="n">
        <x:v>2757</x:v>
      </x:c>
      <x:c r="B2760" s="16" t="str">
        <x:v>FIDA ADEK BERADEK ABG ABU</x:v>
      </x:c>
      <x:c r="C2760" s="16" t="str"/>
      <x:c r="D2760" s="16" t="str"/>
      <x:c r="E2760" s="16" t="str">
        <x:v>* myContacts</x:v>
      </x:c>
      <x:c r="F2760" s="16" t="str">
        <x:v>+60 11-2199 8938 | +601121998938</x:v>
      </x:c>
      <x:c r="G2760" s="16" t="str">
        <x:v>+601121998938 | +601121998938</x:v>
      </x:c>
      <x:c r="H2760" s="16" t="str">
        <x:v>Excluded</x:v>
      </x:c>
      <x:c r="I2760" s="16" t="str">
        <x:v>Missing email</x:v>
      </x:c>
    </x:row>
    <x:row r="2761">
      <x:c r="A2761" s="16" t="n">
        <x:v>2758</x:v>
      </x:c>
      <x:c r="B2761" s="16" t="str">
        <x:v>Fie Ien</x:v>
      </x:c>
      <x:c r="C2761" s="16" t="str"/>
      <x:c r="D2761" s="16" t="str"/>
      <x:c r="E2761" s="16" t="str">
        <x:v>* myContacts</x:v>
      </x:c>
      <x:c r="F2761" s="16" t="str">
        <x:v>+601112924671</x:v>
      </x:c>
      <x:c r="G2761" s="16" t="str">
        <x:v>+601112924671</x:v>
      </x:c>
      <x:c r="H2761" s="16" t="str">
        <x:v>Excluded</x:v>
      </x:c>
      <x:c r="I2761" s="16" t="str">
        <x:v>Missing email</x:v>
      </x:c>
    </x:row>
    <x:row r="2762">
      <x:c r="A2762" s="16" t="n">
        <x:v>2759</x:v>
      </x:c>
      <x:c r="B2762" s="16" t="str">
        <x:v>Fieda Zariel</x:v>
      </x:c>
      <x:c r="C2762" s="16" t="str"/>
      <x:c r="D2762" s="16" t="str"/>
      <x:c r="E2762" s="16" t="str">
        <x:v>* myContacts</x:v>
      </x:c>
      <x:c r="F2762" s="16" t="str">
        <x:v>+60122512297</x:v>
      </x:c>
      <x:c r="G2762" s="16" t="str">
        <x:v>+60122512297</x:v>
      </x:c>
      <x:c r="H2762" s="16" t="str">
        <x:v>Excluded</x:v>
      </x:c>
      <x:c r="I2762" s="16" t="str">
        <x:v>Missing email</x:v>
      </x:c>
    </x:row>
    <x:row r="2763">
      <x:c r="A2763" s="16" t="n">
        <x:v>2760</x:v>
      </x:c>
      <x:c r="B2763" s="16" t="str">
        <x:v>Fiedya Netz</x:v>
      </x:c>
      <x:c r="C2763" s="16" t="str"/>
      <x:c r="D2763" s="16" t="str"/>
      <x:c r="E2763" s="16" t="str">
        <x:v>* myContacts</x:v>
      </x:c>
      <x:c r="F2763" s="16" t="str">
        <x:v>+601115891743</x:v>
      </x:c>
      <x:c r="G2763" s="16" t="str">
        <x:v>+601115891743</x:v>
      </x:c>
      <x:c r="H2763" s="16" t="str">
        <x:v>Excluded</x:v>
      </x:c>
      <x:c r="I2763" s="16" t="str">
        <x:v>Missing email</x:v>
      </x:c>
    </x:row>
    <x:row r="2764">
      <x:c r="A2764" s="16" t="n">
        <x:v>2761</x:v>
      </x:c>
      <x:c r="B2764" s="16" t="str">
        <x:v>Fieqah Raffar</x:v>
      </x:c>
      <x:c r="C2764" s="16" t="str"/>
      <x:c r="D2764" s="16" t="str"/>
      <x:c r="E2764" s="16" t="str">
        <x:v>* myContacts</x:v>
      </x:c>
      <x:c r="F2764" s="16" t="str">
        <x:v>+60179348160</x:v>
      </x:c>
      <x:c r="G2764" s="16" t="str">
        <x:v>+60179348160</x:v>
      </x:c>
      <x:c r="H2764" s="16" t="str">
        <x:v>Excluded</x:v>
      </x:c>
      <x:c r="I2764" s="16" t="str">
        <x:v>Missing email</x:v>
      </x:c>
    </x:row>
    <x:row r="2765">
      <x:c r="A2765" s="16" t="n">
        <x:v>2762</x:v>
      </x:c>
      <x:c r="B2765" s="16" t="str">
        <x:v>Fieyaa Beauty's</x:v>
      </x:c>
      <x:c r="C2765" s="16" t="str"/>
      <x:c r="D2765" s="16" t="str"/>
      <x:c r="E2765" s="16" t="str">
        <x:v>* myContacts</x:v>
      </x:c>
      <x:c r="F2765" s="16" t="str">
        <x:v>+60125551044</x:v>
      </x:c>
      <x:c r="G2765" s="16" t="str">
        <x:v>+60125551044</x:v>
      </x:c>
      <x:c r="H2765" s="16" t="str">
        <x:v>Excluded</x:v>
      </x:c>
      <x:c r="I2765" s="16" t="str">
        <x:v>Missing email</x:v>
      </x:c>
    </x:row>
    <x:row r="2766">
      <x:c r="A2766" s="16" t="n">
        <x:v>2763</x:v>
      </x:c>
      <x:c r="B2766" s="16" t="str">
        <x:v>Fieyda Dot Dot</x:v>
      </x:c>
      <x:c r="C2766" s="16" t="str"/>
      <x:c r="D2766" s="16" t="str"/>
      <x:c r="E2766" s="16" t="str">
        <x:v>* myContacts</x:v>
      </x:c>
      <x:c r="F2766" s="16" t="str">
        <x:v>+601126478077</x:v>
      </x:c>
      <x:c r="G2766" s="16" t="str">
        <x:v>+601126478077</x:v>
      </x:c>
      <x:c r="H2766" s="16" t="str">
        <x:v>Excluded</x:v>
      </x:c>
      <x:c r="I2766" s="16" t="str">
        <x:v>Missing email</x:v>
      </x:c>
    </x:row>
    <x:row r="2767">
      <x:c r="A2767" s="16" t="n">
        <x:v>2764</x:v>
      </x:c>
      <x:c r="B2767" s="16" t="str">
        <x:v>Fifi Kilang Ensu Life</x:v>
      </x:c>
      <x:c r="C2767" s="16" t="str"/>
      <x:c r="D2767" s="16" t="str"/>
      <x:c r="E2767" s="16" t="str">
        <x:v>* myContacts</x:v>
      </x:c>
      <x:c r="F2767" s="16" t="str">
        <x:v>0172605160 | +60172605160</x:v>
      </x:c>
      <x:c r="G2767" s="16" t="str">
        <x:v>+60172605160 | +60172605160</x:v>
      </x:c>
      <x:c r="H2767" s="16" t="str">
        <x:v>Excluded</x:v>
      </x:c>
      <x:c r="I2767" s="16" t="str">
        <x:v>Missing email</x:v>
      </x:c>
    </x:row>
    <x:row r="2768">
      <x:c r="A2768" s="16" t="n">
        <x:v>2765</x:v>
      </x:c>
      <x:c r="B2768" s="16" t="str">
        <x:v>Fifina Pasha</x:v>
      </x:c>
      <x:c r="C2768" s="16" t="str"/>
      <x:c r="D2768" s="16" t="str"/>
      <x:c r="E2768" s="16" t="str">
        <x:v>* myContacts</x:v>
      </x:c>
      <x:c r="F2768" s="16" t="str">
        <x:v>+60102077084</x:v>
      </x:c>
      <x:c r="G2768" s="16" t="str">
        <x:v>+60102077084</x:v>
      </x:c>
      <x:c r="H2768" s="16" t="str">
        <x:v>Excluded</x:v>
      </x:c>
      <x:c r="I2768" s="16" t="str">
        <x:v>Missing email</x:v>
      </x:c>
    </x:row>
    <x:row r="2769">
      <x:c r="A2769" s="16" t="n">
        <x:v>2766</x:v>
      </x:c>
      <x:c r="B2769" s="16" t="str">
        <x:v>Fifty Fern Resort Janda Baik</x:v>
      </x:c>
      <x:c r="C2769" s="16" t="str"/>
      <x:c r="D2769" s="16" t="str"/>
      <x:c r="E2769" s="16" t="str">
        <x:v>* myContacts</x:v>
      </x:c>
      <x:c r="F2769" s="16" t="str">
        <x:v>0193883454 | +60193883454</x:v>
      </x:c>
      <x:c r="G2769" s="16" t="str">
        <x:v>+60193883454 | +60193883454</x:v>
      </x:c>
      <x:c r="H2769" s="16" t="str">
        <x:v>Excluded</x:v>
      </x:c>
      <x:c r="I2769" s="16" t="str">
        <x:v>Missing email</x:v>
      </x:c>
    </x:row>
    <x:row r="2770">
      <x:c r="A2770" s="16" t="n">
        <x:v>2767</x:v>
      </x:c>
      <x:c r="B2770" s="16" t="str">
        <x:v>Fiha Fariha</x:v>
      </x:c>
      <x:c r="C2770" s="16" t="str"/>
      <x:c r="D2770" s="16" t="str"/>
      <x:c r="E2770" s="16" t="str">
        <x:v>* myContacts</x:v>
      </x:c>
      <x:c r="F2770" s="16" t="str">
        <x:v>+60193365715</x:v>
      </x:c>
      <x:c r="G2770" s="16" t="str">
        <x:v>+60193365715</x:v>
      </x:c>
      <x:c r="H2770" s="16" t="str">
        <x:v>Excluded</x:v>
      </x:c>
      <x:c r="I2770" s="16" t="str">
        <x:v>Missing email</x:v>
      </x:c>
    </x:row>
    <x:row r="2771">
      <x:c r="A2771" s="16" t="n">
        <x:v>2768</x:v>
      </x:c>
      <x:c r="B2771" s="16" t="str">
        <x:v>Fikreyah Ismail Fik Muhi</x:v>
      </x:c>
      <x:c r="C2771" s="16" t="str"/>
      <x:c r="D2771" s="16" t="str"/>
      <x:c r="E2771" s="16" t="str">
        <x:v>* myContacts</x:v>
      </x:c>
      <x:c r="F2771" s="16" t="str">
        <x:v>+60135333035</x:v>
      </x:c>
      <x:c r="G2771" s="16" t="str">
        <x:v>+60135333035</x:v>
      </x:c>
      <x:c r="H2771" s="16" t="str">
        <x:v>Excluded</x:v>
      </x:c>
      <x:c r="I2771" s="16" t="str">
        <x:v>Missing email</x:v>
      </x:c>
    </x:row>
    <x:row r="2772">
      <x:c r="A2772" s="16" t="n">
        <x:v>2769</x:v>
      </x:c>
      <x:c r="B2772" s="16" t="str">
        <x:v>Fikri Cot Seven</x:v>
      </x:c>
      <x:c r="C2772" s="16" t="str"/>
      <x:c r="D2772" s="16" t="str"/>
      <x:c r="E2772" s="16" t="str">
        <x:v>* myContacts</x:v>
      </x:c>
      <x:c r="F2772" s="16" t="str">
        <x:v>+60173091952</x:v>
      </x:c>
      <x:c r="G2772" s="16" t="str">
        <x:v>+60173091952</x:v>
      </x:c>
      <x:c r="H2772" s="16" t="str">
        <x:v>Excluded</x:v>
      </x:c>
      <x:c r="I2772" s="16" t="str">
        <x:v>Missing email</x:v>
      </x:c>
    </x:row>
    <x:row r="2773">
      <x:c r="A2773" s="16" t="n">
        <x:v>2770</x:v>
      </x:c>
      <x:c r="B2773" s="16" t="str">
        <x:v>Fikri Helmi</x:v>
      </x:c>
      <x:c r="C2773" s="16" t="str"/>
      <x:c r="D2773" s="16" t="str"/>
      <x:c r="E2773" s="16" t="str">
        <x:v>* myContacts</x:v>
      </x:c>
      <x:c r="F2773" s="16" t="str">
        <x:v>+60139918248</x:v>
      </x:c>
      <x:c r="G2773" s="16" t="str">
        <x:v>+60139918248</x:v>
      </x:c>
      <x:c r="H2773" s="16" t="str">
        <x:v>Excluded</x:v>
      </x:c>
      <x:c r="I2773" s="16" t="str">
        <x:v>Missing email</x:v>
      </x:c>
    </x:row>
    <x:row r="2774">
      <x:c r="A2774" s="16" t="n">
        <x:v>2771</x:v>
      </x:c>
      <x:c r="B2774" s="16" t="str">
        <x:v>Fikri Kechik</x:v>
      </x:c>
      <x:c r="C2774" s="16" t="str"/>
      <x:c r="D2774" s="16" t="str"/>
      <x:c r="E2774" s="16" t="str">
        <x:v>* myContacts</x:v>
      </x:c>
      <x:c r="F2774" s="16" t="str">
        <x:v>+60193487535</x:v>
      </x:c>
      <x:c r="G2774" s="16" t="str">
        <x:v>+60193487535</x:v>
      </x:c>
      <x:c r="H2774" s="16" t="str">
        <x:v>Excluded</x:v>
      </x:c>
      <x:c r="I2774" s="16" t="str">
        <x:v>Missing email</x:v>
      </x:c>
    </x:row>
    <x:row r="2775">
      <x:c r="A2775" s="16" t="n">
        <x:v>2772</x:v>
      </x:c>
      <x:c r="B2775" s="16" t="str">
        <x:v>Fikri Unistorage fullfillment</x:v>
      </x:c>
      <x:c r="C2775" s="16" t="str"/>
      <x:c r="D2775" s="16" t="str"/>
      <x:c r="E2775" s="16" t="str">
        <x:v>* myContacts</x:v>
      </x:c>
      <x:c r="F2775" s="16" t="str">
        <x:v>011-1127 9605 | +601111279605</x:v>
      </x:c>
      <x:c r="G2775" s="16" t="str">
        <x:v>+601111279605 | +601111279605</x:v>
      </x:c>
      <x:c r="H2775" s="16" t="str">
        <x:v>Excluded</x:v>
      </x:c>
      <x:c r="I2775" s="16" t="str">
        <x:v>Missing email</x:v>
      </x:c>
    </x:row>
    <x:row r="2776">
      <x:c r="A2776" s="16" t="n">
        <x:v>2773</x:v>
      </x:c>
      <x:c r="B2776" s="16" t="str">
        <x:v>Fini RichWorks</x:v>
      </x:c>
      <x:c r="C2776" s="16" t="str"/>
      <x:c r="D2776" s="16" t="str"/>
      <x:c r="E2776" s="16" t="str">
        <x:v>* myContacts</x:v>
      </x:c>
      <x:c r="F2776" s="16" t="str">
        <x:v>+60 16-437 3450 | +60164373450</x:v>
      </x:c>
      <x:c r="G2776" s="16" t="str">
        <x:v>+60164373450 | +60164373450</x:v>
      </x:c>
      <x:c r="H2776" s="16" t="str">
        <x:v>Excluded</x:v>
      </x:c>
      <x:c r="I2776" s="16" t="str">
        <x:v>Missing email</x:v>
      </x:c>
    </x:row>
    <x:row r="2777">
      <x:c r="A2777" s="16" t="n">
        <x:v>2774</x:v>
      </x:c>
      <x:c r="B2777" s="16" t="str">
        <x:v>Fiq Saifuddin</x:v>
      </x:c>
      <x:c r="C2777" s="16" t="str"/>
      <x:c r="D2777" s="16" t="str"/>
      <x:c r="E2777" s="16" t="str">
        <x:v>* myContacts</x:v>
      </x:c>
      <x:c r="F2777" s="16" t="str">
        <x:v>+601133737185</x:v>
      </x:c>
      <x:c r="G2777" s="16" t="str">
        <x:v>+601133737185</x:v>
      </x:c>
      <x:c r="H2777" s="16" t="str">
        <x:v>Excluded</x:v>
      </x:c>
      <x:c r="I2777" s="16" t="str">
        <x:v>Missing email</x:v>
      </x:c>
    </x:row>
    <x:row r="2778">
      <x:c r="A2778" s="16" t="n">
        <x:v>2775</x:v>
      </x:c>
      <x:c r="B2778" s="16" t="str">
        <x:v>Fiq Yunus</x:v>
      </x:c>
      <x:c r="C2778" s="16" t="str"/>
      <x:c r="D2778" s="16" t="str"/>
      <x:c r="E2778" s="16" t="str">
        <x:v>* myContacts</x:v>
      </x:c>
      <x:c r="F2778" s="16" t="str">
        <x:v>+60187888138</x:v>
      </x:c>
      <x:c r="G2778" s="16" t="str">
        <x:v>+60187888138</x:v>
      </x:c>
      <x:c r="H2778" s="16" t="str">
        <x:v>Excluded</x:v>
      </x:c>
      <x:c r="I2778" s="16" t="str">
        <x:v>Missing email</x:v>
      </x:c>
    </x:row>
    <x:row r="2779">
      <x:c r="A2779" s="16" t="n">
        <x:v>2776</x:v>
      </x:c>
      <x:c r="B2779" s="16" t="str">
        <x:v>Fiq's Gordons</x:v>
      </x:c>
      <x:c r="C2779" s="16" t="str"/>
      <x:c r="D2779" s="16" t="str"/>
      <x:c r="E2779" s="16" t="str">
        <x:v>* myContacts</x:v>
      </x:c>
      <x:c r="F2779" s="16" t="str">
        <x:v>+601155202036</x:v>
      </x:c>
      <x:c r="G2779" s="16" t="str">
        <x:v>+601155202036</x:v>
      </x:c>
      <x:c r="H2779" s="16" t="str">
        <x:v>Excluded</x:v>
      </x:c>
      <x:c r="I2779" s="16" t="str">
        <x:v>Missing email</x:v>
      </x:c>
    </x:row>
    <x:row r="2780">
      <x:c r="A2780" s="16" t="n">
        <x:v>2777</x:v>
      </x:c>
      <x:c r="B2780" s="16" t="str">
        <x:v>Fiqah Ieqa</x:v>
      </x:c>
      <x:c r="C2780" s="16" t="str"/>
      <x:c r="D2780" s="16" t="str"/>
      <x:c r="E2780" s="16" t="str">
        <x:v>* myContacts</x:v>
      </x:c>
      <x:c r="F2780" s="16" t="str">
        <x:v>+60146449763</x:v>
      </x:c>
      <x:c r="G2780" s="16" t="str">
        <x:v>+60146449763</x:v>
      </x:c>
      <x:c r="H2780" s="16" t="str">
        <x:v>Excluded</x:v>
      </x:c>
      <x:c r="I2780" s="16" t="str">
        <x:v>Missing email</x:v>
      </x:c>
    </x:row>
    <x:row r="2781">
      <x:c r="A2781" s="16" t="n">
        <x:v>2778</x:v>
      </x:c>
      <x:c r="B2781" s="16" t="str">
        <x:v>Firadaus Jonie VOE Eu2023</x:v>
      </x:c>
      <x:c r="C2781" s="16" t="str"/>
      <x:c r="D2781" s="16" t="str"/>
      <x:c r="E2781" s="16" t="str">
        <x:v>* myContacts</x:v>
      </x:c>
      <x:c r="F2781" s="16" t="str">
        <x:v>+60 13-602 1083 | +60136021083</x:v>
      </x:c>
      <x:c r="G2781" s="16" t="str">
        <x:v>+60136021083 | +60136021083</x:v>
      </x:c>
      <x:c r="H2781" s="16" t="str">
        <x:v>Excluded</x:v>
      </x:c>
      <x:c r="I2781" s="16" t="str">
        <x:v>Missing email</x:v>
      </x:c>
    </x:row>
    <x:row r="2782">
      <x:c r="A2782" s="16" t="n">
        <x:v>2779</x:v>
      </x:c>
      <x:c r="B2782" s="16" t="str">
        <x:v>Firdaiesya Doorgift Tasbih Yassin</x:v>
      </x:c>
      <x:c r="C2782" s="16" t="str"/>
      <x:c r="D2782" s="16" t="str"/>
      <x:c r="E2782" s="16" t="str">
        <x:v>* myContacts</x:v>
      </x:c>
      <x:c r="F2782" s="16" t="str">
        <x:v>+601114950055</x:v>
      </x:c>
      <x:c r="G2782" s="16" t="str">
        <x:v>+601114950055</x:v>
      </x:c>
      <x:c r="H2782" s="16" t="str">
        <x:v>Excluded</x:v>
      </x:c>
      <x:c r="I2782" s="16" t="str">
        <x:v>Missing email</x:v>
      </x:c>
    </x:row>
    <x:row r="2783">
      <x:c r="A2783" s="16" t="n">
        <x:v>2780</x:v>
      </x:c>
      <x:c r="B2783" s="16" t="str">
        <x:v>Firdaus AGP</x:v>
      </x:c>
      <x:c r="C2783" s="16" t="str"/>
      <x:c r="D2783" s="16" t="str"/>
      <x:c r="E2783" s="16" t="str">
        <x:v>* myContacts</x:v>
      </x:c>
      <x:c r="F2783" s="16" t="str">
        <x:v>+60 13-237 4682 | +60132374682</x:v>
      </x:c>
      <x:c r="G2783" s="16" t="str">
        <x:v>+60132374682 | +60132374682</x:v>
      </x:c>
      <x:c r="H2783" s="16" t="str">
        <x:v>Excluded</x:v>
      </x:c>
      <x:c r="I2783" s="16" t="str">
        <x:v>Missing email</x:v>
      </x:c>
    </x:row>
    <x:row r="2784">
      <x:c r="A2784" s="16" t="n">
        <x:v>2781</x:v>
      </x:c>
      <x:c r="B2784" s="16" t="str">
        <x:v>Firdaus Ahmad</x:v>
      </x:c>
      <x:c r="C2784" s="16" t="str"/>
      <x:c r="D2784" s="16" t="str"/>
      <x:c r="E2784" s="16" t="str">
        <x:v>* myContacts</x:v>
      </x:c>
      <x:c r="F2784" s="16" t="str">
        <x:v>+60107773259</x:v>
      </x:c>
      <x:c r="G2784" s="16" t="str">
        <x:v>+60107773259</x:v>
      </x:c>
      <x:c r="H2784" s="16" t="str">
        <x:v>Excluded</x:v>
      </x:c>
      <x:c r="I2784" s="16" t="str">
        <x:v>Missing email</x:v>
      </x:c>
    </x:row>
    <x:row r="2785">
      <x:c r="A2785" s="16" t="n">
        <x:v>2782</x:v>
      </x:c>
      <x:c r="B2785" s="16" t="str">
        <x:v>Firdaus Azharuddin Big Boss Insken</x:v>
      </x:c>
      <x:c r="C2785" s="16" t="str"/>
      <x:c r="D2785" s="16" t="str"/>
      <x:c r="E2785" s="16" t="str">
        <x:v>Alumni INSKEN | * myContacts</x:v>
      </x:c>
      <x:c r="F2785" s="16" t="str">
        <x:v>+60 19-382 0080 | +60193820080</x:v>
      </x:c>
      <x:c r="G2785" s="16" t="str">
        <x:v>+60193820080 | +60193820080</x:v>
      </x:c>
      <x:c r="H2785" s="16" t="str">
        <x:v>Excluded</x:v>
      </x:c>
      <x:c r="I2785" s="16" t="str">
        <x:v>Missing email</x:v>
      </x:c>
    </x:row>
    <x:row r="2786">
      <x:c r="A2786" s="16" t="n">
        <x:v>2783</x:v>
      </x:c>
      <x:c r="B2786" s="16" t="str">
        <x:v>Firdaus Azizi Sifu Fb</x:v>
      </x:c>
      <x:c r="C2786" s="16" t="str"/>
      <x:c r="D2786" s="16" t="str"/>
      <x:c r="E2786" s="16" t="str">
        <x:v>* myContacts</x:v>
      </x:c>
      <x:c r="F2786" s="16" t="str">
        <x:v>011 1948 1730 | 0196953307</x:v>
      </x:c>
      <x:c r="G2786" s="16" t="str">
        <x:v>+601119481730 | +60196953307</x:v>
      </x:c>
      <x:c r="H2786" s="16" t="str">
        <x:v>Excluded</x:v>
      </x:c>
      <x:c r="I2786" s="16" t="str">
        <x:v>Missing email</x:v>
      </x:c>
    </x:row>
    <x:row r="2787">
      <x:c r="A2787" s="16" t="n">
        <x:v>2784</x:v>
      </x:c>
      <x:c r="B2787" s="16" t="str">
        <x:v>Firdaus Azizi Sifu Fb</x:v>
      </x:c>
      <x:c r="C2787" s="16" t="str"/>
      <x:c r="D2787" s="16" t="str"/>
      <x:c r="E2787" s="16" t="str">
        <x:v>* myContacts</x:v>
      </x:c>
      <x:c r="F2787" s="16" t="str">
        <x:v>+601119481730 | 0196953307</x:v>
      </x:c>
      <x:c r="G2787" s="16" t="str">
        <x:v>+601119481730 | +60196953307</x:v>
      </x:c>
      <x:c r="H2787" s="16" t="str">
        <x:v>Excluded</x:v>
      </x:c>
      <x:c r="I2787" s="16" t="str">
        <x:v>Missing email</x:v>
      </x:c>
    </x:row>
    <x:row r="2788">
      <x:c r="A2788" s="16" t="n">
        <x:v>2785</x:v>
      </x:c>
      <x:c r="B2788" s="16" t="str">
        <x:v>Firdaus Che Ross</x:v>
      </x:c>
      <x:c r="C2788" s="16" t="str"/>
      <x:c r="D2788" s="16" t="str"/>
      <x:c r="E2788" s="16" t="str">
        <x:v>* myContacts</x:v>
      </x:c>
      <x:c r="F2788" s="16" t="str">
        <x:v>+60103206331</x:v>
      </x:c>
      <x:c r="G2788" s="16" t="str">
        <x:v>+60103206331</x:v>
      </x:c>
      <x:c r="H2788" s="16" t="str">
        <x:v>Excluded</x:v>
      </x:c>
      <x:c r="I2788" s="16" t="str">
        <x:v>Missing email</x:v>
      </x:c>
    </x:row>
    <x:row r="2789">
      <x:c r="A2789" s="16" t="n">
        <x:v>2786</x:v>
      </x:c>
      <x:c r="B2789" s="16" t="str">
        <x:v>Firdaus DPIM SELANGOR</x:v>
      </x:c>
      <x:c r="C2789" s="16" t="str"/>
      <x:c r="D2789" s="16" t="str"/>
      <x:c r="E2789" s="16" t="str">
        <x:v>* myContacts</x:v>
      </x:c>
      <x:c r="F2789" s="16" t="str">
        <x:v>+60 18-961 0478 | +60189610478</x:v>
      </x:c>
      <x:c r="G2789" s="16" t="str">
        <x:v>+60189610478 | +60189610478</x:v>
      </x:c>
      <x:c r="H2789" s="16" t="str">
        <x:v>Excluded</x:v>
      </x:c>
      <x:c r="I2789" s="16" t="str">
        <x:v>Missing email</x:v>
      </x:c>
    </x:row>
    <x:row r="2790">
      <x:c r="A2790" s="16" t="n">
        <x:v>2787</x:v>
      </x:c>
      <x:c r="B2790" s="16" t="str">
        <x:v>Firdaus IM</x:v>
      </x:c>
      <x:c r="C2790" s="16" t="str"/>
      <x:c r="D2790" s="16" t="str"/>
      <x:c r="E2790" s="16" t="str">
        <x:v>* myContacts</x:v>
      </x:c>
      <x:c r="F2790" s="16" t="str">
        <x:v>+60127367216</x:v>
      </x:c>
      <x:c r="G2790" s="16" t="str">
        <x:v>+60127367216</x:v>
      </x:c>
      <x:c r="H2790" s="16" t="str">
        <x:v>Excluded</x:v>
      </x:c>
      <x:c r="I2790" s="16" t="str">
        <x:v>Missing email</x:v>
      </x:c>
    </x:row>
    <x:row r="2791">
      <x:c r="A2791" s="16" t="n">
        <x:v>2788</x:v>
      </x:c>
      <x:c r="B2791" s="16" t="str">
        <x:v>Firdaus Ismail</x:v>
      </x:c>
      <x:c r="C2791" s="16" t="str"/>
      <x:c r="D2791" s="16" t="str"/>
      <x:c r="E2791" s="16" t="str">
        <x:v>* myContacts</x:v>
      </x:c>
      <x:c r="F2791" s="16" t="str">
        <x:v>+60164452237</x:v>
      </x:c>
      <x:c r="G2791" s="16" t="str">
        <x:v>+60164452237</x:v>
      </x:c>
      <x:c r="H2791" s="16" t="str">
        <x:v>Excluded</x:v>
      </x:c>
      <x:c r="I2791" s="16" t="str">
        <x:v>Missing email</x:v>
      </x:c>
    </x:row>
    <x:row r="2792">
      <x:c r="A2792" s="16" t="n">
        <x:v>2789</x:v>
      </x:c>
      <x:c r="B2792" s="16" t="str">
        <x:v>Firdaus Isnan</x:v>
      </x:c>
      <x:c r="C2792" s="16" t="str"/>
      <x:c r="D2792" s="16" t="str"/>
      <x:c r="E2792" s="16" t="str">
        <x:v>* myContacts</x:v>
      </x:c>
      <x:c r="F2792" s="16" t="str">
        <x:v>+60199088722</x:v>
      </x:c>
      <x:c r="G2792" s="16" t="str">
        <x:v>+60199088722</x:v>
      </x:c>
      <x:c r="H2792" s="16" t="str">
        <x:v>Excluded</x:v>
      </x:c>
      <x:c r="I2792" s="16" t="str">
        <x:v>Missing email</x:v>
      </x:c>
    </x:row>
    <x:row r="2793">
      <x:c r="A2793" s="16" t="n">
        <x:v>2790</x:v>
      </x:c>
      <x:c r="B2793" s="16" t="str">
        <x:v>Firdaus Jamaica</x:v>
      </x:c>
      <x:c r="C2793" s="16" t="str"/>
      <x:c r="D2793" s="16" t="str"/>
      <x:c r="E2793" s="16" t="str">
        <x:v>* myContacts</x:v>
      </x:c>
      <x:c r="F2793" s="16" t="str">
        <x:v>0187701617 | +60187701617</x:v>
      </x:c>
      <x:c r="G2793" s="16" t="str">
        <x:v>+60187701617 | +60187701617</x:v>
      </x:c>
      <x:c r="H2793" s="16" t="str">
        <x:v>Excluded</x:v>
      </x:c>
      <x:c r="I2793" s="16" t="str">
        <x:v>Missing email</x:v>
      </x:c>
    </x:row>
    <x:row r="2794">
      <x:c r="A2794" s="16" t="n">
        <x:v>2791</x:v>
      </x:c>
      <x:c r="B2794" s="16" t="str">
        <x:v>Firdaus Koperasi Orang Melayu Kerajanan Sdn Bhd</x:v>
      </x:c>
      <x:c r="C2794" s="16" t="str"/>
      <x:c r="D2794" s="16" t="str"/>
      <x:c r="E2794" s="16" t="str">
        <x:v>* myContacts</x:v>
      </x:c>
      <x:c r="F2794" s="16" t="str">
        <x:v>013-204 1005 | +60132041005</x:v>
      </x:c>
      <x:c r="G2794" s="16" t="str">
        <x:v>+60132041005 | +60132041005</x:v>
      </x:c>
      <x:c r="H2794" s="16" t="str">
        <x:v>Excluded</x:v>
      </x:c>
      <x:c r="I2794" s="16" t="str">
        <x:v>Missing email</x:v>
      </x:c>
    </x:row>
    <x:row r="2795">
      <x:c r="A2795" s="16" t="n">
        <x:v>2792</x:v>
      </x:c>
      <x:c r="B2795" s="16" t="str">
        <x:v>Firdaus Mdec IM</x:v>
      </x:c>
      <x:c r="C2795" s="16" t="str"/>
      <x:c r="D2795" s="16" t="str"/>
      <x:c r="E2795" s="16" t="str">
        <x:v>* myContacts</x:v>
      </x:c>
      <x:c r="F2795" s="16" t="str">
        <x:v>+60 11-2202 2069 | +601122022069</x:v>
      </x:c>
      <x:c r="G2795" s="16" t="str">
        <x:v>+601122022069 | +601122022069</x:v>
      </x:c>
      <x:c r="H2795" s="16" t="str">
        <x:v>Excluded</x:v>
      </x:c>
      <x:c r="I2795" s="16" t="str">
        <x:v>Missing email</x:v>
      </x:c>
    </x:row>
    <x:row r="2796">
      <x:c r="A2796" s="16" t="n">
        <x:v>2793</x:v>
      </x:c>
      <x:c r="B2796" s="16" t="str">
        <x:v>Firdaus Mynic</x:v>
      </x:c>
      <x:c r="C2796" s="16" t="str"/>
      <x:c r="D2796" s="16" t="str"/>
      <x:c r="E2796" s="16" t="str">
        <x:v>* myContacts</x:v>
      </x:c>
      <x:c r="F2796" s="16" t="str">
        <x:v>+60 10-627 4229 | +60106274229</x:v>
      </x:c>
      <x:c r="G2796" s="16" t="str">
        <x:v>+60106274229 | +60106274229</x:v>
      </x:c>
      <x:c r="H2796" s="16" t="str">
        <x:v>Excluded</x:v>
      </x:c>
      <x:c r="I2796" s="16" t="str">
        <x:v>Missing email</x:v>
      </x:c>
    </x:row>
    <x:row r="2797">
      <x:c r="A2797" s="16" t="n">
        <x:v>2794</x:v>
      </x:c>
      <x:c r="B2797" s="16" t="str">
        <x:v>Firdaus Onpay</x:v>
      </x:c>
      <x:c r="C2797" s="16" t="str"/>
      <x:c r="D2797" s="16" t="str"/>
      <x:c r="E2797" s="16" t="str">
        <x:v>* myContacts</x:v>
      </x:c>
      <x:c r="F2797" s="16" t="str">
        <x:v>03-4141 9556 | +60341419556 | 012-655 5446</x:v>
      </x:c>
      <x:c r="G2797" s="16" t="str">
        <x:v>+60341419556 | +60341419556 | +60126555446</x:v>
      </x:c>
      <x:c r="H2797" s="16" t="str">
        <x:v>Excluded</x:v>
      </x:c>
      <x:c r="I2797" s="16" t="str">
        <x:v>Missing email</x:v>
      </x:c>
    </x:row>
    <x:row r="2798">
      <x:c r="A2798" s="16" t="n">
        <x:v>2795</x:v>
      </x:c>
      <x:c r="B2798" s="16" t="str">
        <x:v>Firdaus Pkp</x:v>
      </x:c>
      <x:c r="C2798" s="16" t="str"/>
      <x:c r="D2798" s="16" t="str"/>
      <x:c r="E2798" s="16" t="str">
        <x:v>* myContacts</x:v>
      </x:c>
      <x:c r="F2798" s="16" t="str">
        <x:v>+601137896080</x:v>
      </x:c>
      <x:c r="G2798" s="16" t="str">
        <x:v>+601137896080</x:v>
      </x:c>
      <x:c r="H2798" s="16" t="str">
        <x:v>Excluded</x:v>
      </x:c>
      <x:c r="I2798" s="16" t="str">
        <x:v>Missing email</x:v>
      </x:c>
    </x:row>
    <x:row r="2799">
      <x:c r="A2799" s="16" t="n">
        <x:v>2796</x:v>
      </x:c>
      <x:c r="B2799" s="16" t="str">
        <x:v>Firdaus Rafingi</x:v>
      </x:c>
      <x:c r="C2799" s="16" t="str"/>
      <x:c r="D2799" s="16" t="str"/>
      <x:c r="E2799" s="16" t="str">
        <x:v>* myContacts</x:v>
      </x:c>
      <x:c r="F2799" s="16" t="str">
        <x:v>+60173761614</x:v>
      </x:c>
      <x:c r="G2799" s="16" t="str">
        <x:v>+60173761614</x:v>
      </x:c>
      <x:c r="H2799" s="16" t="str">
        <x:v>Excluded</x:v>
      </x:c>
      <x:c r="I2799" s="16" t="str">
        <x:v>Missing email</x:v>
      </x:c>
    </x:row>
    <x:row r="2800">
      <x:c r="A2800" s="16" t="n">
        <x:v>2797</x:v>
      </x:c>
      <x:c r="B2800" s="16" t="str">
        <x:v>Firdaus Rich</x:v>
      </x:c>
      <x:c r="C2800" s="16" t="str"/>
      <x:c r="D2800" s="16" t="str"/>
      <x:c r="E2800" s="16" t="str">
        <x:v>* myContacts</x:v>
      </x:c>
      <x:c r="F2800" s="16" t="str">
        <x:v>+60179702239</x:v>
      </x:c>
      <x:c r="G2800" s="16" t="str">
        <x:v>+60179702239</x:v>
      </x:c>
      <x:c r="H2800" s="16" t="str">
        <x:v>Excluded</x:v>
      </x:c>
      <x:c r="I2800" s="16" t="str">
        <x:v>Missing email</x:v>
      </x:c>
    </x:row>
    <x:row r="2801">
      <x:c r="A2801" s="16" t="n">
        <x:v>2798</x:v>
      </x:c>
      <x:c r="B2801" s="16" t="str">
        <x:v>FIRDAUS RJB</x:v>
      </x:c>
      <x:c r="C2801" s="16" t="str"/>
      <x:c r="D2801" s="16" t="str"/>
      <x:c r="E2801" s="16" t="str">
        <x:v>* myContacts</x:v>
      </x:c>
      <x:c r="F2801" s="16" t="str">
        <x:v>+60 17-361 0198 | +60173610198</x:v>
      </x:c>
      <x:c r="G2801" s="16" t="str">
        <x:v>+60173610198 | +60173610198</x:v>
      </x:c>
      <x:c r="H2801" s="16" t="str">
        <x:v>Excluded</x:v>
      </x:c>
      <x:c r="I2801" s="16" t="str">
        <x:v>Missing email</x:v>
      </x:c>
    </x:row>
    <x:row r="2802">
      <x:c r="A2802" s="16" t="n">
        <x:v>2799</x:v>
      </x:c>
      <x:c r="B2802" s="16" t="str">
        <x:v>Firdaus Scentastic</x:v>
      </x:c>
      <x:c r="C2802" s="16" t="str"/>
      <x:c r="D2802" s="16" t="str"/>
      <x:c r="E2802" s="16" t="str">
        <x:v>* myContacts</x:v>
      </x:c>
      <x:c r="F2802" s="16" t="str">
        <x:v>019-332 3598 | +60193323598</x:v>
      </x:c>
      <x:c r="G2802" s="16" t="str">
        <x:v>+60193323598 | +60193323598</x:v>
      </x:c>
      <x:c r="H2802" s="16" t="str">
        <x:v>Excluded</x:v>
      </x:c>
      <x:c r="I2802" s="16" t="str">
        <x:v>Missing email</x:v>
      </x:c>
    </x:row>
    <x:row r="2803">
      <x:c r="A2803" s="16" t="n">
        <x:v>2800</x:v>
      </x:c>
      <x:c r="B2803" s="16" t="str">
        <x:v>Firdaus Spencer Sham</x:v>
      </x:c>
      <x:c r="C2803" s="16" t="str"/>
      <x:c r="D2803" s="16" t="str"/>
      <x:c r="E2803" s="16" t="str">
        <x:v>* myContacts</x:v>
      </x:c>
      <x:c r="F2803" s="16" t="str">
        <x:v>+60178156132</x:v>
      </x:c>
      <x:c r="G2803" s="16" t="str">
        <x:v>+60178156132</x:v>
      </x:c>
      <x:c r="H2803" s="16" t="str">
        <x:v>Excluded</x:v>
      </x:c>
      <x:c r="I2803" s="16" t="str">
        <x:v>Missing email</x:v>
      </x:c>
    </x:row>
    <x:row r="2804">
      <x:c r="A2804" s="16" t="n">
        <x:v>2801</x:v>
      </x:c>
      <x:c r="B2804" s="16" t="str">
        <x:v>Firdaus SUE DPIM</x:v>
      </x:c>
      <x:c r="C2804" s="16" t="str"/>
      <x:c r="D2804" s="16" t="str"/>
      <x:c r="E2804" s="16" t="str">
        <x:v>* myContacts</x:v>
      </x:c>
      <x:c r="F2804" s="16" t="str">
        <x:v>+60 17-242 6093 | +60172426093</x:v>
      </x:c>
      <x:c r="G2804" s="16" t="str">
        <x:v>+60172426093 | +60172426093</x:v>
      </x:c>
      <x:c r="H2804" s="16" t="str">
        <x:v>Excluded</x:v>
      </x:c>
      <x:c r="I2804" s="16" t="str">
        <x:v>Missing email</x:v>
      </x:c>
    </x:row>
    <x:row r="2805">
      <x:c r="A2805" s="16" t="n">
        <x:v>2802</x:v>
      </x:c>
      <x:c r="B2805" s="16" t="str">
        <x:v>Firdaus Tam Manager Al-Maliki Malaysia Turkey</x:v>
      </x:c>
      <x:c r="C2805" s="16" t="str"/>
      <x:c r="D2805" s="16" t="str"/>
      <x:c r="E2805" s="16" t="str">
        <x:v>* myContacts</x:v>
      </x:c>
      <x:c r="F2805" s="16" t="str">
        <x:v>+966 56 637 8673 | +966566378673</x:v>
      </x:c>
      <x:c r="G2805" s="16" t="str">
        <x:v>+966566378673 | +966566378673</x:v>
      </x:c>
      <x:c r="H2805" s="16" t="str">
        <x:v>Excluded</x:v>
      </x:c>
      <x:c r="I2805" s="16" t="str">
        <x:v>Missing email</x:v>
      </x:c>
    </x:row>
    <x:row r="2806">
      <x:c r="A2806" s="16" t="n">
        <x:v>2803</x:v>
      </x:c>
      <x:c r="B2806" s="16" t="str">
        <x:v>Firdaus Titan</x:v>
      </x:c>
      <x:c r="C2806" s="16" t="str"/>
      <x:c r="D2806" s="16" t="str"/>
      <x:c r="E2806" s="16" t="str">
        <x:v>* myContacts</x:v>
      </x:c>
      <x:c r="F2806" s="16" t="str">
        <x:v>016-331 8680 | +60163318680</x:v>
      </x:c>
      <x:c r="G2806" s="16" t="str">
        <x:v>+60163318680 | +60163318680</x:v>
      </x:c>
      <x:c r="H2806" s="16" t="str">
        <x:v>Excluded</x:v>
      </x:c>
      <x:c r="I2806" s="16" t="str">
        <x:v>Missing email</x:v>
      </x:c>
    </x:row>
    <x:row r="2807">
      <x:c r="A2807" s="16" t="n">
        <x:v>2804</x:v>
      </x:c>
      <x:c r="B2807" s="16" t="str">
        <x:v>Firdaus Trainer Goverment</x:v>
      </x:c>
      <x:c r="C2807" s="16" t="str"/>
      <x:c r="D2807" s="16" t="str"/>
      <x:c r="E2807" s="16" t="str">
        <x:v>Trainer | * myContacts</x:v>
      </x:c>
      <x:c r="F2807" s="16" t="str">
        <x:v>+60 17-264 8101 | +60172648101</x:v>
      </x:c>
      <x:c r="G2807" s="16" t="str">
        <x:v>+60172648101 | +60172648101</x:v>
      </x:c>
      <x:c r="H2807" s="16" t="str">
        <x:v>Excluded</x:v>
      </x:c>
      <x:c r="I2807" s="16" t="str">
        <x:v>Missing email</x:v>
      </x:c>
    </x:row>
    <x:row r="2808">
      <x:c r="A2808" s="16" t="n">
        <x:v>2805</x:v>
      </x:c>
      <x:c r="B2808" s="16" t="str">
        <x:v>Firdaus Yahya</x:v>
      </x:c>
      <x:c r="C2808" s="16" t="str"/>
      <x:c r="D2808" s="16" t="str"/>
      <x:c r="E2808" s="16" t="str">
        <x:v>* myContacts</x:v>
      </x:c>
      <x:c r="F2808" s="16" t="str">
        <x:v>+60163529712</x:v>
      </x:c>
      <x:c r="G2808" s="16" t="str">
        <x:v>+60163529712</x:v>
      </x:c>
      <x:c r="H2808" s="16" t="str">
        <x:v>Excluded</x:v>
      </x:c>
      <x:c r="I2808" s="16" t="str">
        <x:v>Missing email</x:v>
      </x:c>
    </x:row>
    <x:row r="2809">
      <x:c r="A2809" s="16" t="n">
        <x:v>2806</x:v>
      </x:c>
      <x:c r="B2809" s="16" t="str">
        <x:v>Firdaus Zulkiflee</x:v>
      </x:c>
      <x:c r="C2809" s="16" t="str"/>
      <x:c r="D2809" s="16" t="str"/>
      <x:c r="E2809" s="16" t="str">
        <x:v>* myContacts</x:v>
      </x:c>
      <x:c r="F2809" s="16" t="str">
        <x:v>+60175363022</x:v>
      </x:c>
      <x:c r="G2809" s="16" t="str">
        <x:v>+60175363022</x:v>
      </x:c>
      <x:c r="H2809" s="16" t="str">
        <x:v>Excluded</x:v>
      </x:c>
      <x:c r="I2809" s="16" t="str">
        <x:v>Missing email</x:v>
      </x:c>
    </x:row>
    <x:row r="2810">
      <x:c r="A2810" s="16" t="n">
        <x:v>2807</x:v>
      </x:c>
      <x:c r="B2810" s="16" t="str">
        <x:v>Firdous Adenan</x:v>
      </x:c>
      <x:c r="C2810" s="16" t="str"/>
      <x:c r="D2810" s="16" t="str"/>
      <x:c r="E2810" s="16" t="str">
        <x:v>* myContacts</x:v>
      </x:c>
      <x:c r="F2810" s="16" t="str">
        <x:v>+60193864293</x:v>
      </x:c>
      <x:c r="G2810" s="16" t="str">
        <x:v>+60193864293</x:v>
      </x:c>
      <x:c r="H2810" s="16" t="str">
        <x:v>Excluded</x:v>
      </x:c>
      <x:c r="I2810" s="16" t="str">
        <x:v>Missing email</x:v>
      </x:c>
    </x:row>
    <x:row r="2811">
      <x:c r="A2811" s="16" t="n">
        <x:v>2808</x:v>
      </x:c>
      <x:c r="B2811" s="16" t="str">
        <x:v>Firdz Amer</x:v>
      </x:c>
      <x:c r="C2811" s="16" t="str"/>
      <x:c r="D2811" s="16" t="str"/>
      <x:c r="E2811" s="16" t="str">
        <x:v>* myContacts</x:v>
      </x:c>
      <x:c r="F2811" s="16" t="str">
        <x:v>+60192202396</x:v>
      </x:c>
      <x:c r="G2811" s="16" t="str">
        <x:v>+60192202396</x:v>
      </x:c>
      <x:c r="H2811" s="16" t="str">
        <x:v>Excluded</x:v>
      </x:c>
      <x:c r="I2811" s="16" t="str">
        <x:v>Missing email</x:v>
      </x:c>
    </x:row>
    <x:row r="2812">
      <x:c r="A2812" s="16" t="n">
        <x:v>2809</x:v>
      </x:c>
      <x:c r="B2812" s="16" t="str">
        <x:v>Firziey Couture</x:v>
      </x:c>
      <x:c r="C2812" s="16" t="str"/>
      <x:c r="D2812" s="16" t="str"/>
      <x:c r="E2812" s="16" t="str">
        <x:v>* myContacts</x:v>
      </x:c>
      <x:c r="F2812" s="16" t="str">
        <x:v>+60179453298</x:v>
      </x:c>
      <x:c r="G2812" s="16" t="str">
        <x:v>+60179453298</x:v>
      </x:c>
      <x:c r="H2812" s="16" t="str">
        <x:v>Excluded</x:v>
      </x:c>
      <x:c r="I2812" s="16" t="str">
        <x:v>Missing email</x:v>
      </x:c>
    </x:row>
    <x:row r="2813">
      <x:c r="A2813" s="16" t="n">
        <x:v>2810</x:v>
      </x:c>
      <x:c r="B2813" s="16" t="str">
        <x:v>Fiscell Prodaction</x:v>
      </x:c>
      <x:c r="C2813" s="16" t="str"/>
      <x:c r="D2813" s="16" t="str"/>
      <x:c r="E2813" s="16" t="str">
        <x:v>* myContacts</x:v>
      </x:c>
      <x:c r="F2813" s="16" t="str">
        <x:v>+628966892812</x:v>
      </x:c>
      <x:c r="G2813" s="16" t="str">
        <x:v>+628966892812</x:v>
      </x:c>
      <x:c r="H2813" s="16" t="str">
        <x:v>Excluded</x:v>
      </x:c>
      <x:c r="I2813" s="16" t="str">
        <x:v>Missing email</x:v>
      </x:c>
    </x:row>
    <x:row r="2814">
      <x:c r="A2814" s="16" t="n">
        <x:v>2811</x:v>
      </x:c>
      <x:c r="B2814" s="16" t="str">
        <x:v>Fisol BDA</x:v>
      </x:c>
      <x:c r="C2814" s="16" t="str"/>
      <x:c r="D2814" s="16" t="str"/>
      <x:c r="E2814" s="16" t="str">
        <x:v>* myContacts</x:v>
      </x:c>
      <x:c r="F2814" s="16" t="str">
        <x:v>0133637217 | ‪+60 18-404 5659‬ | +60133637217 | ‪+60184045659‬</x:v>
      </x:c>
      <x:c r="G2814" s="16" t="str">
        <x:v>+60133637217 | +60184045659 | +60133637217 | +60184045659</x:v>
      </x:c>
      <x:c r="H2814" s="16" t="str">
        <x:v>Excluded</x:v>
      </x:c>
      <x:c r="I2814" s="16" t="str">
        <x:v>Missing email</x:v>
      </x:c>
    </x:row>
    <x:row r="2815">
      <x:c r="A2815" s="16" t="n">
        <x:v>2812</x:v>
      </x:c>
      <x:c r="B2815" s="16" t="str">
        <x:v>Fitri Bin Muhamad</x:v>
      </x:c>
      <x:c r="C2815" s="16" t="str"/>
      <x:c r="D2815" s="16" t="str"/>
      <x:c r="E2815" s="16" t="str">
        <x:v>* myContacts</x:v>
      </x:c>
      <x:c r="F2815" s="16" t="str">
        <x:v>+60167826437</x:v>
      </x:c>
      <x:c r="G2815" s="16" t="str">
        <x:v>+60167826437</x:v>
      </x:c>
      <x:c r="H2815" s="16" t="str">
        <x:v>Excluded</x:v>
      </x:c>
      <x:c r="I2815" s="16" t="str">
        <x:v>Missing email</x:v>
      </x:c>
    </x:row>
    <x:row r="2816">
      <x:c r="A2816" s="16" t="n">
        <x:v>2813</x:v>
      </x:c>
      <x:c r="B2816" s="16" t="str">
        <x:v>Fitri Farhan</x:v>
      </x:c>
      <x:c r="C2816" s="16" t="str"/>
      <x:c r="D2816" s="16" t="str"/>
      <x:c r="E2816" s="16" t="str">
        <x:v>* myContacts</x:v>
      </x:c>
      <x:c r="F2816" s="16" t="str">
        <x:v>+60174831773</x:v>
      </x:c>
      <x:c r="G2816" s="16" t="str">
        <x:v>+60174831773</x:v>
      </x:c>
      <x:c r="H2816" s="16" t="str">
        <x:v>Excluded</x:v>
      </x:c>
      <x:c r="I2816" s="16" t="str">
        <x:v>Missing email</x:v>
      </x:c>
    </x:row>
    <x:row r="2817">
      <x:c r="A2817" s="16" t="n">
        <x:v>2814</x:v>
      </x:c>
      <x:c r="B2817" s="16" t="str">
        <x:v>Fitri Ito</x:v>
      </x:c>
      <x:c r="C2817" s="16" t="str"/>
      <x:c r="D2817" s="16" t="str"/>
      <x:c r="E2817" s="16" t="str">
        <x:v>* myContacts</x:v>
      </x:c>
      <x:c r="F2817" s="16" t="str">
        <x:v>+601140042000</x:v>
      </x:c>
      <x:c r="G2817" s="16" t="str">
        <x:v>+601140042000</x:v>
      </x:c>
      <x:c r="H2817" s="16" t="str">
        <x:v>Excluded</x:v>
      </x:c>
      <x:c r="I2817" s="16" t="str">
        <x:v>Missing email</x:v>
      </x:c>
    </x:row>
    <x:row r="2818">
      <x:c r="A2818" s="16" t="n">
        <x:v>2815</x:v>
      </x:c>
      <x:c r="B2818" s="16" t="str">
        <x:v>Fitri Mahbil</x:v>
      </x:c>
      <x:c r="C2818" s="16" t="str"/>
      <x:c r="D2818" s="16" t="str"/>
      <x:c r="E2818" s="16" t="str">
        <x:v>* myContacts</x:v>
      </x:c>
      <x:c r="F2818" s="16" t="str">
        <x:v>+601112335097</x:v>
      </x:c>
      <x:c r="G2818" s="16" t="str">
        <x:v>+601112335097</x:v>
      </x:c>
      <x:c r="H2818" s="16" t="str">
        <x:v>Excluded</x:v>
      </x:c>
      <x:c r="I2818" s="16" t="str">
        <x:v>Missing email</x:v>
      </x:c>
    </x:row>
    <x:row r="2819">
      <x:c r="A2819" s="16" t="n">
        <x:v>2816</x:v>
      </x:c>
      <x:c r="B2819" s="16" t="str">
        <x:v>Fitri Nasarauddin</x:v>
      </x:c>
      <x:c r="C2819" s="16" t="str"/>
      <x:c r="D2819" s="16" t="str"/>
      <x:c r="E2819" s="16" t="str">
        <x:v>* myContacts</x:v>
      </x:c>
      <x:c r="F2819" s="16" t="str">
        <x:v>+60176338011</x:v>
      </x:c>
      <x:c r="G2819" s="16" t="str">
        <x:v>+60176338011</x:v>
      </x:c>
      <x:c r="H2819" s="16" t="str">
        <x:v>Excluded</x:v>
      </x:c>
      <x:c r="I2819" s="16" t="str">
        <x:v>Missing email</x:v>
      </x:c>
    </x:row>
    <x:row r="2820">
      <x:c r="A2820" s="16" t="n">
        <x:v>2817</x:v>
      </x:c>
      <x:c r="B2820" s="16" t="str">
        <x:v>Fitri Rozaini Kasmoi</x:v>
      </x:c>
      <x:c r="C2820" s="16" t="str"/>
      <x:c r="D2820" s="16" t="str"/>
      <x:c r="E2820" s="16" t="str">
        <x:v>* myContacts</x:v>
      </x:c>
      <x:c r="F2820" s="16" t="str">
        <x:v>+60123468705</x:v>
      </x:c>
      <x:c r="G2820" s="16" t="str">
        <x:v>+60123468705</x:v>
      </x:c>
      <x:c r="H2820" s="16" t="str">
        <x:v>Excluded</x:v>
      </x:c>
      <x:c r="I2820" s="16" t="str">
        <x:v>Missing email</x:v>
      </x:c>
    </x:row>
    <x:row r="2821">
      <x:c r="A2821" s="16" t="n">
        <x:v>2818</x:v>
      </x:c>
      <x:c r="B2821" s="16" t="str">
        <x:v>Fitri Samlan</x:v>
      </x:c>
      <x:c r="C2821" s="16" t="str">
        <x:v>pino.design@yahoo.com</x:v>
      </x:c>
      <x:c r="D2821" s="16" t="str">
        <x:v>pino.design@yahoo.com</x:v>
      </x:c>
      <x:c r="E2821" s="16" t="str">
        <x:v>* myContacts</x:v>
      </x:c>
      <x:c r="F2821" s="16" t="str">
        <x:v>0123843023 | +60123843023</x:v>
      </x:c>
      <x:c r="G2821" s="16" t="str">
        <x:v>+60123843023 | +60123843023</x:v>
      </x:c>
      <x:c r="H2821" s="16" t="str">
        <x:v>Eligible</x:v>
      </x:c>
      <x:c r="I2821" s="16" t="str"/>
    </x:row>
    <x:row r="2822">
      <x:c r="A2822" s="16" t="n">
        <x:v>2819</x:v>
      </x:c>
      <x:c r="B2822" s="16" t="str">
        <x:v>Fitri Zaquan</x:v>
      </x:c>
      <x:c r="C2822" s="16" t="str"/>
      <x:c r="D2822" s="16" t="str"/>
      <x:c r="E2822" s="16" t="str">
        <x:v>* myContacts</x:v>
      </x:c>
      <x:c r="F2822" s="16" t="str">
        <x:v>+60137858601</x:v>
      </x:c>
      <x:c r="G2822" s="16" t="str">
        <x:v>+60137858601</x:v>
      </x:c>
      <x:c r="H2822" s="16" t="str">
        <x:v>Excluded</x:v>
      </x:c>
      <x:c r="I2822" s="16" t="str">
        <x:v>Missing email</x:v>
      </x:c>
    </x:row>
    <x:row r="2823">
      <x:c r="A2823" s="16" t="n">
        <x:v>2820</x:v>
      </x:c>
      <x:c r="B2823" s="16" t="str">
        <x:v>Fitriany Simpel</x:v>
      </x:c>
      <x:c r="C2823" s="16" t="str"/>
      <x:c r="D2823" s="16" t="str"/>
      <x:c r="E2823" s="16" t="str">
        <x:v>* myContacts</x:v>
      </x:c>
      <x:c r="F2823" s="16" t="str">
        <x:v>+60138809221</x:v>
      </x:c>
      <x:c r="G2823" s="16" t="str">
        <x:v>+60138809221</x:v>
      </x:c>
      <x:c r="H2823" s="16" t="str">
        <x:v>Excluded</x:v>
      </x:c>
      <x:c r="I2823" s="16" t="str">
        <x:v>Missing email</x:v>
      </x:c>
    </x:row>
    <x:row r="2824">
      <x:c r="A2824" s="16" t="n">
        <x:v>2821</x:v>
      </x:c>
      <x:c r="B2824" s="16" t="str">
        <x:v>Fitsiamang</x:v>
      </x:c>
      <x:c r="C2824" s="16" t="str"/>
      <x:c r="D2824" s="16" t="str"/>
      <x:c r="E2824" s="16" t="str">
        <x:v>* myContacts</x:v>
      </x:c>
      <x:c r="F2824" s="16" t="str">
        <x:v>+60182730704</x:v>
      </x:c>
      <x:c r="G2824" s="16" t="str">
        <x:v>+60182730704</x:v>
      </x:c>
      <x:c r="H2824" s="16" t="str">
        <x:v>Excluded</x:v>
      </x:c>
      <x:c r="I2824" s="16" t="str">
        <x:v>Missing email</x:v>
      </x:c>
    </x:row>
    <x:row r="2825">
      <x:c r="A2825" s="16" t="n">
        <x:v>2822</x:v>
      </x:c>
      <x:c r="B2825" s="16" t="str">
        <x:v>Fiza AB Mak Andam</x:v>
      </x:c>
      <x:c r="C2825" s="16" t="str"/>
      <x:c r="D2825" s="16" t="str"/>
      <x:c r="E2825" s="16" t="str">
        <x:v>* myContacts</x:v>
      </x:c>
      <x:c r="F2825" s="16" t="str">
        <x:v>+60192487824</x:v>
      </x:c>
      <x:c r="G2825" s="16" t="str">
        <x:v>+60192487824</x:v>
      </x:c>
      <x:c r="H2825" s="16" t="str">
        <x:v>Excluded</x:v>
      </x:c>
      <x:c r="I2825" s="16" t="str">
        <x:v>Missing email</x:v>
      </x:c>
    </x:row>
    <x:row r="2826">
      <x:c r="A2826" s="16" t="n">
        <x:v>2823</x:v>
      </x:c>
      <x:c r="B2826" s="16" t="str">
        <x:v>Fiza Mama Ideastore</x:v>
      </x:c>
      <x:c r="C2826" s="16" t="str"/>
      <x:c r="D2826" s="16" t="str"/>
      <x:c r="E2826" s="16" t="str">
        <x:v>* myContacts</x:v>
      </x:c>
      <x:c r="F2826" s="16" t="str">
        <x:v>+60126521926</x:v>
      </x:c>
      <x:c r="G2826" s="16" t="str">
        <x:v>+60126521926</x:v>
      </x:c>
      <x:c r="H2826" s="16" t="str">
        <x:v>Excluded</x:v>
      </x:c>
      <x:c r="I2826" s="16" t="str">
        <x:v>Missing email</x:v>
      </x:c>
    </x:row>
    <x:row r="2827">
      <x:c r="A2827" s="16" t="n">
        <x:v>2824</x:v>
      </x:c>
      <x:c r="B2827" s="16" t="str">
        <x:v>Fiza Zainal</x:v>
      </x:c>
      <x:c r="C2827" s="16" t="str"/>
      <x:c r="D2827" s="16" t="str"/>
      <x:c r="E2827" s="16" t="str">
        <x:v>* myContacts</x:v>
      </x:c>
      <x:c r="F2827" s="16" t="str">
        <x:v>+60123653775</x:v>
      </x:c>
      <x:c r="G2827" s="16" t="str">
        <x:v>+60123653775</x:v>
      </x:c>
      <x:c r="H2827" s="16" t="str">
        <x:v>Excluded</x:v>
      </x:c>
      <x:c r="I2827" s="16" t="str">
        <x:v>Missing email</x:v>
      </x:c>
    </x:row>
    <x:row r="2828">
      <x:c r="A2828" s="16" t="n">
        <x:v>2825</x:v>
      </x:c>
      <x:c r="B2828" s="16" t="str">
        <x:v>Fizah Johani</x:v>
      </x:c>
      <x:c r="C2828" s="16" t="str"/>
      <x:c r="D2828" s="16" t="str"/>
      <x:c r="E2828" s="16" t="str">
        <x:v>* myContacts</x:v>
      </x:c>
      <x:c r="F2828" s="16" t="str">
        <x:v>+601119293379</x:v>
      </x:c>
      <x:c r="G2828" s="16" t="str">
        <x:v>+601119293379</x:v>
      </x:c>
      <x:c r="H2828" s="16" t="str">
        <x:v>Excluded</x:v>
      </x:c>
      <x:c r="I2828" s="16" t="str">
        <x:v>Missing email</x:v>
      </x:c>
    </x:row>
    <x:row r="2829">
      <x:c r="A2829" s="16" t="n">
        <x:v>2826</x:v>
      </x:c>
      <x:c r="B2829" s="16" t="str">
        <x:v>Fizal</x:v>
      </x:c>
      <x:c r="C2829" s="16" t="str">
        <x:v>eat.it.halal@gmail.com</x:v>
      </x:c>
      <x:c r="D2829" s="16" t="str">
        <x:v>eat.it.halal@gmail.com</x:v>
      </x:c>
      <x:c r="E2829" s="16" t="str">
        <x:v>* myContacts</x:v>
      </x:c>
      <x:c r="F2829" s="16" t="str">
        <x:v>0161141469 | +60161141469</x:v>
      </x:c>
      <x:c r="G2829" s="16" t="str">
        <x:v>+60161141469 | +60161141469</x:v>
      </x:c>
      <x:c r="H2829" s="16" t="str">
        <x:v>Eligible</x:v>
      </x:c>
      <x:c r="I2829" s="16" t="str"/>
    </x:row>
    <x:row r="2830">
      <x:c r="A2830" s="16" t="n">
        <x:v>2827</x:v>
      </x:c>
      <x:c r="B2830" s="16" t="str">
        <x:v>Fizi Pju Hijrah</x:v>
      </x:c>
      <x:c r="C2830" s="16" t="str"/>
      <x:c r="D2830" s="16" t="str"/>
      <x:c r="E2830" s="16" t="str">
        <x:v>Alumni eUsahawan | * myContacts</x:v>
      </x:c>
      <x:c r="F2830" s="16" t="str">
        <x:v>+60 19-520 4636 | +60195204636</x:v>
      </x:c>
      <x:c r="G2830" s="16" t="str">
        <x:v>+60195204636 | +60195204636</x:v>
      </x:c>
      <x:c r="H2830" s="16" t="str">
        <x:v>Excluded</x:v>
      </x:c>
      <x:c r="I2830" s="16" t="str">
        <x:v>Missing email</x:v>
      </x:c>
    </x:row>
    <x:row r="2831">
      <x:c r="A2831" s="16" t="n">
        <x:v>2828</x:v>
      </x:c>
      <x:c r="B2831" s="16" t="str">
        <x:v>Fizow Idris</x:v>
      </x:c>
      <x:c r="C2831" s="16" t="str"/>
      <x:c r="D2831" s="16" t="str"/>
      <x:c r="E2831" s="16" t="str">
        <x:v>* myContacts</x:v>
      </x:c>
      <x:c r="F2831" s="16" t="str">
        <x:v>+60145332769</x:v>
      </x:c>
      <x:c r="G2831" s="16" t="str">
        <x:v>+60145332769</x:v>
      </x:c>
      <x:c r="H2831" s="16" t="str">
        <x:v>Excluded</x:v>
      </x:c>
      <x:c r="I2831" s="16" t="str">
        <x:v>Missing email</x:v>
      </x:c>
    </x:row>
    <x:row r="2832">
      <x:c r="A2832" s="16" t="n">
        <x:v>2829</x:v>
      </x:c>
      <x:c r="B2832" s="16" t="str">
        <x:v>Fizrun Hakim Staff</x:v>
      </x:c>
      <x:c r="C2832" s="16" t="str"/>
      <x:c r="D2832" s="16" t="str"/>
      <x:c r="E2832" s="16" t="str">
        <x:v>* myContacts</x:v>
      </x:c>
      <x:c r="F2832" s="16" t="str">
        <x:v>+60 19-222 4170 | +60192224170</x:v>
      </x:c>
      <x:c r="G2832" s="16" t="str">
        <x:v>+60192224170 | +60192224170</x:v>
      </x:c>
      <x:c r="H2832" s="16" t="str">
        <x:v>Excluded</x:v>
      </x:c>
      <x:c r="I2832" s="16" t="str">
        <x:v>Missing email</x:v>
      </x:c>
    </x:row>
    <x:row r="2833">
      <x:c r="A2833" s="16" t="n">
        <x:v>2830</x:v>
      </x:c>
      <x:c r="B2833" s="16" t="str">
        <x:v>Fizza Arshad</x:v>
      </x:c>
      <x:c r="C2833" s="16" t="str"/>
      <x:c r="D2833" s="16" t="str"/>
      <x:c r="E2833" s="16" t="str">
        <x:v>* myContacts</x:v>
      </x:c>
      <x:c r="F2833" s="16" t="str">
        <x:v>+60174923876</x:v>
      </x:c>
      <x:c r="G2833" s="16" t="str">
        <x:v>+60174923876</x:v>
      </x:c>
      <x:c r="H2833" s="16" t="str">
        <x:v>Excluded</x:v>
      </x:c>
      <x:c r="I2833" s="16" t="str">
        <x:v>Missing email</x:v>
      </x:c>
    </x:row>
    <x:row r="2834">
      <x:c r="A2834" s="16" t="n">
        <x:v>2831</x:v>
      </x:c>
      <x:c r="B2834" s="16" t="str">
        <x:v>Fjb Rumah Seken Batam</x:v>
      </x:c>
      <x:c r="C2834" s="16" t="str"/>
      <x:c r="D2834" s="16" t="str"/>
      <x:c r="E2834" s="16" t="str">
        <x:v>* myContacts</x:v>
      </x:c>
      <x:c r="F2834" s="16" t="str">
        <x:v>+6285772287779</x:v>
      </x:c>
      <x:c r="G2834" s="16" t="str">
        <x:v>+6285772287779</x:v>
      </x:c>
      <x:c r="H2834" s="16" t="str">
        <x:v>Excluded</x:v>
      </x:c>
      <x:c r="I2834" s="16" t="str">
        <x:v>Missing email</x:v>
      </x:c>
    </x:row>
    <x:row r="2835">
      <x:c r="A2835" s="16" t="n">
        <x:v>2832</x:v>
      </x:c>
      <x:c r="B2835" s="16" t="str">
        <x:v>Flutherapy Johor</x:v>
      </x:c>
      <x:c r="C2835" s="16" t="str"/>
      <x:c r="D2835" s="16" t="str"/>
      <x:c r="E2835" s="16" t="str">
        <x:v>* myContacts</x:v>
      </x:c>
      <x:c r="F2835" s="16" t="str">
        <x:v>+60137816042</x:v>
      </x:c>
      <x:c r="G2835" s="16" t="str">
        <x:v>+60137816042</x:v>
      </x:c>
      <x:c r="H2835" s="16" t="str">
        <x:v>Excluded</x:v>
      </x:c>
      <x:c r="I2835" s="16" t="str">
        <x:v>Missing email</x:v>
      </x:c>
    </x:row>
    <x:row r="2836">
      <x:c r="A2836" s="16" t="n">
        <x:v>2833</x:v>
      </x:c>
      <x:c r="B2836" s="16" t="str">
        <x:v>FM Akmal Agrosis</x:v>
      </x:c>
      <x:c r="C2836" s="16" t="str"/>
      <x:c r="D2836" s="16" t="str"/>
      <x:c r="E2836" s="16" t="str">
        <x:v>* myContacts</x:v>
      </x:c>
      <x:c r="F2836" s="16" t="str">
        <x:v>+60 17-620 7203 | +60176207203</x:v>
      </x:c>
      <x:c r="G2836" s="16" t="str">
        <x:v>+60176207203 | +60176207203</x:v>
      </x:c>
      <x:c r="H2836" s="16" t="str">
        <x:v>Excluded</x:v>
      </x:c>
      <x:c r="I2836" s="16" t="str">
        <x:v>Missing email</x:v>
      </x:c>
    </x:row>
    <x:row r="2837">
      <x:c r="A2837" s="16" t="n">
        <x:v>2834</x:v>
      </x:c>
      <x:c r="B2837" s="16" t="str">
        <x:v>Fm ellessa _nwi Sarawak</x:v>
      </x:c>
      <x:c r="C2837" s="16" t="str"/>
      <x:c r="D2837" s="16" t="str"/>
      <x:c r="E2837" s="16" t="str">
        <x:v>* myContacts</x:v>
      </x:c>
      <x:c r="F2837" s="16" t="str">
        <x:v>+60 13-801 9849 | +60138019849</x:v>
      </x:c>
      <x:c r="G2837" s="16" t="str">
        <x:v>+60138019849 | +60138019849</x:v>
      </x:c>
      <x:c r="H2837" s="16" t="str">
        <x:v>Excluded</x:v>
      </x:c>
      <x:c r="I2837" s="16" t="str">
        <x:v>Missing email</x:v>
      </x:c>
    </x:row>
    <x:row r="2838">
      <x:c r="A2838" s="16" t="n">
        <x:v>2835</x:v>
      </x:c>
      <x:c r="B2838" s="16" t="str">
        <x:v>Folirin Rin Mayang</x:v>
      </x:c>
      <x:c r="C2838" s="16" t="str"/>
      <x:c r="D2838" s="16" t="str"/>
      <x:c r="E2838" s="16" t="str">
        <x:v>* myContacts</x:v>
      </x:c>
      <x:c r="F2838" s="16" t="str">
        <x:v>+60165876618</x:v>
      </x:c>
      <x:c r="G2838" s="16" t="str">
        <x:v>+60165876618</x:v>
      </x:c>
      <x:c r="H2838" s="16" t="str">
        <x:v>Excluded</x:v>
      </x:c>
      <x:c r="I2838" s="16" t="str">
        <x:v>Missing email</x:v>
      </x:c>
    </x:row>
    <x:row r="2839">
      <x:c r="A2839" s="16" t="n">
        <x:v>2836</x:v>
      </x:c>
      <x:c r="B2839" s="16" t="str">
        <x:v>Fong Yc Scarletz Apartment</x:v>
      </x:c>
      <x:c r="C2839" s="16" t="str"/>
      <x:c r="D2839" s="16" t="str"/>
      <x:c r="E2839" s="16" t="str">
        <x:v>* myContacts</x:v>
      </x:c>
      <x:c r="F2839" s="16" t="str">
        <x:v>+60125853385</x:v>
      </x:c>
      <x:c r="G2839" s="16" t="str">
        <x:v>+60125853385</x:v>
      </x:c>
      <x:c r="H2839" s="16" t="str">
        <x:v>Excluded</x:v>
      </x:c>
      <x:c r="I2839" s="16" t="str">
        <x:v>Missing email</x:v>
      </x:c>
    </x:row>
    <x:row r="2840">
      <x:c r="A2840" s="16" t="n">
        <x:v>2837</x:v>
      </x:c>
      <x:c r="B2840" s="16" t="str">
        <x:v>Footlink Terengganu</x:v>
      </x:c>
      <x:c r="C2840" s="16" t="str"/>
      <x:c r="D2840" s="16" t="str"/>
      <x:c r="E2840" s="16" t="str">
        <x:v>* myContacts</x:v>
      </x:c>
      <x:c r="F2840" s="16" t="str">
        <x:v>+60193406692</x:v>
      </x:c>
      <x:c r="G2840" s="16" t="str">
        <x:v>+60193406692</x:v>
      </x:c>
      <x:c r="H2840" s="16" t="str">
        <x:v>Excluded</x:v>
      </x:c>
      <x:c r="I2840" s="16" t="str">
        <x:v>Missing email</x:v>
      </x:c>
    </x:row>
    <x:row r="2841">
      <x:c r="A2841" s="16" t="n">
        <x:v>2838</x:v>
      </x:c>
      <x:c r="B2841" s="16" t="str">
        <x:v>FotoDria Greentown Square Ipoh</x:v>
      </x:c>
      <x:c r="C2841" s="16" t="str"/>
      <x:c r="D2841" s="16" t="str"/>
      <x:c r="E2841" s="16" t="str">
        <x:v>* myContacts</x:v>
      </x:c>
      <x:c r="F2841" s="16" t="str">
        <x:v>+60102823965</x:v>
      </x:c>
      <x:c r="G2841" s="16" t="str">
        <x:v>+60102823965</x:v>
      </x:c>
      <x:c r="H2841" s="16" t="str">
        <x:v>Excluded</x:v>
      </x:c>
      <x:c r="I2841" s="16" t="str">
        <x:v>Missing email</x:v>
      </x:c>
    </x:row>
    <x:row r="2842">
      <x:c r="A2842" s="16" t="n">
        <x:v>2839</x:v>
      </x:c>
      <x:c r="B2842" s="16" t="str">
        <x:v>Founder Tuan Farid Yusoff Sasabell Beauty HQ</x:v>
      </x:c>
      <x:c r="C2842" s="16" t="str"/>
      <x:c r="D2842" s="16" t="str"/>
      <x:c r="E2842" s="16" t="str">
        <x:v>* myContacts</x:v>
      </x:c>
      <x:c r="F2842" s="16" t="str">
        <x:v>+60 13-768 2579 | +60137682579</x:v>
      </x:c>
      <x:c r="G2842" s="16" t="str">
        <x:v>+60137682579 | +60137682579</x:v>
      </x:c>
      <x:c r="H2842" s="16" t="str">
        <x:v>Excluded</x:v>
      </x:c>
      <x:c r="I2842" s="16" t="str">
        <x:v>Missing email</x:v>
      </x:c>
    </x:row>
    <x:row r="2843">
      <x:c r="A2843" s="16" t="n">
        <x:v>2840</x:v>
      </x:c>
      <x:c r="B2843" s="16" t="str">
        <x:v>FRANCIS LUI</x:v>
      </x:c>
      <x:c r="C2843" s="16" t="str">
        <x:v>francis@nexusmedlaworks.corri</x:v>
      </x:c>
      <x:c r="D2843" s="16" t="str">
        <x:v>francis@nexusmedlaworks.corri</x:v>
      </x:c>
      <x:c r="E2843" s="16" t="str">
        <x:v>* myContacts</x:v>
      </x:c>
      <x:c r="F2843" s="16" t="str">
        <x:v>164212023086 | 460380790918 | 60380700392</x:v>
      </x:c>
      <x:c r="G2843" s="16" t="str">
        <x:v>+60380700392</x:v>
      </x:c>
      <x:c r="H2843" s="16" t="str">
        <x:v>Eligible</x:v>
      </x:c>
      <x:c r="I2843" s="16" t="str"/>
    </x:row>
    <x:row r="2844">
      <x:c r="A2844" s="16" t="n">
        <x:v>2841</x:v>
      </x:c>
      <x:c r="B2844" s="16" t="str">
        <x:v>Franklin Meshak</x:v>
      </x:c>
      <x:c r="C2844" s="16" t="str"/>
      <x:c r="D2844" s="16" t="str"/>
      <x:c r="E2844" s="16" t="str">
        <x:v>* myContacts</x:v>
      </x:c>
      <x:c r="F2844" s="16" t="str">
        <x:v>+917845639832</x:v>
      </x:c>
      <x:c r="G2844" s="16" t="str">
        <x:v>+917845639832</x:v>
      </x:c>
      <x:c r="H2844" s="16" t="str">
        <x:v>Excluded</x:v>
      </x:c>
      <x:c r="I2844" s="16" t="str">
        <x:v>Missing email</x:v>
      </x:c>
    </x:row>
    <x:row r="2845">
      <x:c r="A2845" s="16" t="n">
        <x:v>2842</x:v>
      </x:c>
      <x:c r="B2845" s="16" t="str">
        <x:v>Frederica Asher Matthew</x:v>
      </x:c>
      <x:c r="C2845" s="16" t="str"/>
      <x:c r="D2845" s="16" t="str"/>
      <x:c r="E2845" s="16" t="str">
        <x:v>* myContacts</x:v>
      </x:c>
      <x:c r="F2845" s="16" t="str">
        <x:v>+60178617851</x:v>
      </x:c>
      <x:c r="G2845" s="16" t="str">
        <x:v>+60178617851</x:v>
      </x:c>
      <x:c r="H2845" s="16" t="str">
        <x:v>Excluded</x:v>
      </x:c>
      <x:c r="I2845" s="16" t="str">
        <x:v>Missing email</x:v>
      </x:c>
    </x:row>
    <x:row r="2846">
      <x:c r="A2846" s="16" t="n">
        <x:v>2843</x:v>
      </x:c>
      <x:c r="B2846" s="16" t="str">
        <x:v>Frendy Gy Rush</x:v>
      </x:c>
      <x:c r="C2846" s="16" t="str"/>
      <x:c r="D2846" s="16" t="str"/>
      <x:c r="E2846" s="16" t="str">
        <x:v>* myContacts</x:v>
      </x:c>
      <x:c r="F2846" s="16" t="str">
        <x:v>+601129938992</x:v>
      </x:c>
      <x:c r="G2846" s="16" t="str">
        <x:v>+601129938992</x:v>
      </x:c>
      <x:c r="H2846" s="16" t="str">
        <x:v>Excluded</x:v>
      </x:c>
      <x:c r="I2846" s="16" t="str">
        <x:v>Missing email</x:v>
      </x:c>
    </x:row>
    <x:row r="2847">
      <x:c r="A2847" s="16" t="n">
        <x:v>2844</x:v>
      </x:c>
      <x:c r="B2847" s="16" t="str">
        <x:v>Frisca Adela Ria Febrianti</x:v>
      </x:c>
      <x:c r="C2847" s="16" t="str"/>
      <x:c r="D2847" s="16" t="str"/>
      <x:c r="E2847" s="16" t="str">
        <x:v>* myContacts</x:v>
      </x:c>
      <x:c r="F2847" s="16" t="str">
        <x:v>+6281266458430</x:v>
      </x:c>
      <x:c r="G2847" s="16" t="str">
        <x:v>+6281266458430</x:v>
      </x:c>
      <x:c r="H2847" s="16" t="str">
        <x:v>Excluded</x:v>
      </x:c>
      <x:c r="I2847" s="16" t="str">
        <x:v>Missing email</x:v>
      </x:c>
    </x:row>
    <x:row r="2848">
      <x:c r="A2848" s="16" t="n">
        <x:v>2845</x:v>
      </x:c>
      <x:c r="B2848" s="16" t="str">
        <x:v>Friska Hartati Pasaribu</x:v>
      </x:c>
      <x:c r="C2848" s="16" t="str"/>
      <x:c r="D2848" s="16" t="str"/>
      <x:c r="E2848" s="16" t="str">
        <x:v>* myContacts</x:v>
      </x:c>
      <x:c r="F2848" s="16" t="str">
        <x:v>+6281261899323</x:v>
      </x:c>
      <x:c r="G2848" s="16" t="str">
        <x:v>+6281261899323</x:v>
      </x:c>
      <x:c r="H2848" s="16" t="str">
        <x:v>Excluded</x:v>
      </x:c>
      <x:c r="I2848" s="16" t="str">
        <x:v>Missing email</x:v>
      </x:c>
    </x:row>
    <x:row r="2849">
      <x:c r="A2849" s="16" t="n">
        <x:v>2846</x:v>
      </x:c>
      <x:c r="B2849" s="16" t="str">
        <x:v>Fuad Boss Postmore</x:v>
      </x:c>
      <x:c r="C2849" s="16" t="str"/>
      <x:c r="D2849" s="16" t="str"/>
      <x:c r="E2849" s="16" t="str">
        <x:v>* myContacts</x:v>
      </x:c>
      <x:c r="F2849" s="16" t="str">
        <x:v>+60183769907</x:v>
      </x:c>
      <x:c r="G2849" s="16" t="str">
        <x:v>+60183769907</x:v>
      </x:c>
      <x:c r="H2849" s="16" t="str">
        <x:v>Excluded</x:v>
      </x:c>
      <x:c r="I2849" s="16" t="str">
        <x:v>Missing email</x:v>
      </x:c>
    </x:row>
    <x:row r="2850">
      <x:c r="A2850" s="16" t="n">
        <x:v>2847</x:v>
      </x:c>
      <x:c r="B2850" s="16" t="str">
        <x:v>Fuad Faitullah</x:v>
      </x:c>
      <x:c r="C2850" s="16" t="str"/>
      <x:c r="D2850" s="16" t="str"/>
      <x:c r="E2850" s="16" t="str">
        <x:v>* myContacts</x:v>
      </x:c>
      <x:c r="F2850" s="16" t="str">
        <x:v>+60138208683</x:v>
      </x:c>
      <x:c r="G2850" s="16" t="str">
        <x:v>+60138208683</x:v>
      </x:c>
      <x:c r="H2850" s="16" t="str">
        <x:v>Excluded</x:v>
      </x:c>
      <x:c r="I2850" s="16" t="str">
        <x:v>Missing email</x:v>
      </x:c>
    </x:row>
    <x:row r="2851">
      <x:c r="A2851" s="16" t="n">
        <x:v>2848</x:v>
      </x:c>
      <x:c r="B2851" s="16" t="str">
        <x:v>Fuad Mahadi</x:v>
      </x:c>
      <x:c r="C2851" s="16" t="str"/>
      <x:c r="D2851" s="16" t="str"/>
      <x:c r="E2851" s="16" t="str">
        <x:v>* myContacts</x:v>
      </x:c>
      <x:c r="F2851" s="16" t="str">
        <x:v>+60187654846</x:v>
      </x:c>
      <x:c r="G2851" s="16" t="str">
        <x:v>+60187654846</x:v>
      </x:c>
      <x:c r="H2851" s="16" t="str">
        <x:v>Excluded</x:v>
      </x:c>
      <x:c r="I2851" s="16" t="str">
        <x:v>Missing email</x:v>
      </x:c>
    </x:row>
    <x:row r="2852">
      <x:c r="A2852" s="16" t="n">
        <x:v>2849</x:v>
      </x:c>
      <x:c r="B2852" s="16" t="str">
        <x:v>Fuad Suami Nabillah Alang</x:v>
      </x:c>
      <x:c r="C2852" s="16" t="str"/>
      <x:c r="D2852" s="16" t="str"/>
      <x:c r="E2852" s="16" t="str">
        <x:v>* myContacts</x:v>
      </x:c>
      <x:c r="F2852" s="16" t="str">
        <x:v>+60 12-932 9394 | +60129329394</x:v>
      </x:c>
      <x:c r="G2852" s="16" t="str">
        <x:v>+60129329394 | +60129329394</x:v>
      </x:c>
      <x:c r="H2852" s="16" t="str">
        <x:v>Excluded</x:v>
      </x:c>
      <x:c r="I2852" s="16" t="str">
        <x:v>Missing email</x:v>
      </x:c>
    </x:row>
    <x:row r="2853">
      <x:c r="A2853" s="16" t="n">
        <x:v>2850</x:v>
      </x:c>
      <x:c r="B2853" s="16" t="str">
        <x:v>Fudhail Rahmat</x:v>
      </x:c>
      <x:c r="C2853" s="16" t="str"/>
      <x:c r="D2853" s="16" t="str"/>
      <x:c r="E2853" s="16" t="str">
        <x:v>* myContacts</x:v>
      </x:c>
      <x:c r="F2853" s="16" t="str">
        <x:v>+6077138596</x:v>
      </x:c>
      <x:c r="G2853" s="16" t="str">
        <x:v>+6077138596</x:v>
      </x:c>
      <x:c r="H2853" s="16" t="str">
        <x:v>Excluded</x:v>
      </x:c>
      <x:c r="I2853" s="16" t="str">
        <x:v>Missing email</x:v>
      </x:c>
    </x:row>
    <x:row r="2854">
      <x:c r="A2854" s="16" t="n">
        <x:v>2851</x:v>
      </x:c>
      <x:c r="B2854" s="16" t="str">
        <x:v>Fung Ka Ket</x:v>
      </x:c>
      <x:c r="C2854" s="16" t="str"/>
      <x:c r="D2854" s="16" t="str"/>
      <x:c r="E2854" s="16" t="str">
        <x:v>* myContacts</x:v>
      </x:c>
      <x:c r="F2854" s="16" t="str">
        <x:v>+60107870789</x:v>
      </x:c>
      <x:c r="G2854" s="16" t="str">
        <x:v>+60107870789</x:v>
      </x:c>
      <x:c r="H2854" s="16" t="str">
        <x:v>Excluded</x:v>
      </x:c>
      <x:c r="I2854" s="16" t="str">
        <x:v>Missing email</x:v>
      </x:c>
    </x:row>
    <x:row r="2855">
      <x:c r="A2855" s="16" t="n">
        <x:v>2852</x:v>
      </x:c>
      <x:c r="B2855" s="16" t="str">
        <x:v>Fyraa Chiem</x:v>
      </x:c>
      <x:c r="C2855" s="16" t="str"/>
      <x:c r="D2855" s="16" t="str"/>
      <x:c r="E2855" s="16" t="str">
        <x:v>* myContacts</x:v>
      </x:c>
      <x:c r="F2855" s="16" t="str">
        <x:v>+60123638496</x:v>
      </x:c>
      <x:c r="G2855" s="16" t="str">
        <x:v>+60123638496</x:v>
      </x:c>
      <x:c r="H2855" s="16" t="str">
        <x:v>Excluded</x:v>
      </x:c>
      <x:c r="I2855" s="16" t="str">
        <x:v>Missing email</x:v>
      </x:c>
    </x:row>
    <x:row r="2856">
      <x:c r="A2856" s="16" t="n">
        <x:v>2853</x:v>
      </x:c>
      <x:c r="B2856" s="16" t="str">
        <x:v>Fyza Eija</x:v>
      </x:c>
      <x:c r="C2856" s="16" t="str"/>
      <x:c r="D2856" s="16" t="str"/>
      <x:c r="E2856" s="16" t="str">
        <x:v>* myContacts</x:v>
      </x:c>
      <x:c r="F2856" s="16" t="str">
        <x:v>+601116473002</x:v>
      </x:c>
      <x:c r="G2856" s="16" t="str">
        <x:v>+601116473002</x:v>
      </x:c>
      <x:c r="H2856" s="16" t="str">
        <x:v>Excluded</x:v>
      </x:c>
      <x:c r="I2856" s="16" t="str">
        <x:v>Missing email</x:v>
      </x:c>
    </x:row>
    <x:row r="2857">
      <x:c r="A2857" s="16" t="n">
        <x:v>2854</x:v>
      </x:c>
      <x:c r="B2857" s="16" t="str">
        <x:v>Fyza Khairi</x:v>
      </x:c>
      <x:c r="C2857" s="16" t="str"/>
      <x:c r="D2857" s="16" t="str"/>
      <x:c r="E2857" s="16" t="str">
        <x:v>* myContacts</x:v>
      </x:c>
      <x:c r="F2857" s="16" t="str">
        <x:v>+60143428931</x:v>
      </x:c>
      <x:c r="G2857" s="16" t="str">
        <x:v>+60143428931</x:v>
      </x:c>
      <x:c r="H2857" s="16" t="str">
        <x:v>Excluded</x:v>
      </x:c>
      <x:c r="I2857" s="16" t="str">
        <x:v>Missing email</x:v>
      </x:c>
    </x:row>
    <x:row r="2858">
      <x:c r="A2858" s="16" t="n">
        <x:v>2855</x:v>
      </x:c>
      <x:c r="B2858" s="16" t="str">
        <x:v>Fyzan Fynna</x:v>
      </x:c>
      <x:c r="C2858" s="16" t="str"/>
      <x:c r="D2858" s="16" t="str"/>
      <x:c r="E2858" s="16" t="str">
        <x:v>* myContacts</x:v>
      </x:c>
      <x:c r="F2858" s="16" t="str">
        <x:v>+60143575160</x:v>
      </x:c>
      <x:c r="G2858" s="16" t="str">
        <x:v>+60143575160</x:v>
      </x:c>
      <x:c r="H2858" s="16" t="str">
        <x:v>Excluded</x:v>
      </x:c>
      <x:c r="I2858" s="16" t="str">
        <x:v>Missing email</x:v>
      </x:c>
    </x:row>
    <x:row r="2859">
      <x:c r="A2859" s="16" t="n">
        <x:v>2856</x:v>
      </x:c>
      <x:c r="B2859" s="16" t="str">
        <x:v>G Shock Copy Ori</x:v>
      </x:c>
      <x:c r="C2859" s="16" t="str"/>
      <x:c r="D2859" s="16" t="str"/>
      <x:c r="E2859" s="16" t="str">
        <x:v>* myContacts</x:v>
      </x:c>
      <x:c r="F2859" s="16" t="str">
        <x:v>+60199913996</x:v>
      </x:c>
      <x:c r="G2859" s="16" t="str">
        <x:v>+60199913996</x:v>
      </x:c>
      <x:c r="H2859" s="16" t="str">
        <x:v>Excluded</x:v>
      </x:c>
      <x:c r="I2859" s="16" t="str">
        <x:v>Missing email</x:v>
      </x:c>
    </x:row>
    <x:row r="2860">
      <x:c r="A2860" s="16" t="n">
        <x:v>2857</x:v>
      </x:c>
      <x:c r="B2860" s="16" t="str">
        <x:v>G. i. E'zan</x:v>
      </x:c>
      <x:c r="C2860" s="16" t="str"/>
      <x:c r="D2860" s="16" t="str"/>
      <x:c r="E2860" s="16" t="str">
        <x:v>* myContacts</x:v>
      </x:c>
      <x:c r="F2860" s="16" t="str">
        <x:v>+60174562205</x:v>
      </x:c>
      <x:c r="G2860" s="16" t="str">
        <x:v>+60174562205</x:v>
      </x:c>
      <x:c r="H2860" s="16" t="str">
        <x:v>Excluded</x:v>
      </x:c>
      <x:c r="I2860" s="16" t="str">
        <x:v>Missing email</x:v>
      </x:c>
    </x:row>
    <x:row r="2861">
      <x:c r="A2861" s="16" t="n">
        <x:v>2858</x:v>
      </x:c>
      <x:c r="B2861" s="16" t="str">
        <x:v>G'me Dok Dok</x:v>
      </x:c>
      <x:c r="C2861" s="16" t="str"/>
      <x:c r="D2861" s="16" t="str"/>
      <x:c r="E2861" s="16" t="str">
        <x:v>* myContacts</x:v>
      </x:c>
      <x:c r="F2861" s="16" t="str">
        <x:v>+60168271194</x:v>
      </x:c>
      <x:c r="G2861" s="16" t="str">
        <x:v>+60168271194</x:v>
      </x:c>
      <x:c r="H2861" s="16" t="str">
        <x:v>Excluded</x:v>
      </x:c>
      <x:c r="I2861" s="16" t="str">
        <x:v>Missing email</x:v>
      </x:c>
    </x:row>
    <x:row r="2862">
      <x:c r="A2862" s="16" t="n">
        <x:v>2859</x:v>
      </x:c>
      <x:c r="B2862" s="16" t="str">
        <x:v>g1</x:v>
      </x:c>
      <x:c r="C2862" s="16" t="str"/>
      <x:c r="D2862" s="16" t="str"/>
      <x:c r="E2862" s="16" t="str">
        <x:v>* myContacts</x:v>
      </x:c>
      <x:c r="F2862" s="16" t="str">
        <x:v>+60 14-647 9684 | +60146479684</x:v>
      </x:c>
      <x:c r="G2862" s="16" t="str">
        <x:v>+60146479684 | +60146479684</x:v>
      </x:c>
      <x:c r="H2862" s="16" t="str">
        <x:v>Excluded</x:v>
      </x:c>
      <x:c r="I2862" s="16" t="str">
        <x:v>Missing email</x:v>
      </x:c>
    </x:row>
    <x:row r="2863">
      <x:c r="A2863" s="16" t="n">
        <x:v>2860</x:v>
      </x:c>
      <x:c r="B2863" s="16" t="str">
        <x:v>Gadget Kecik</x:v>
      </x:c>
      <x:c r="C2863" s="16" t="str"/>
      <x:c r="D2863" s="16" t="str"/>
      <x:c r="E2863" s="16" t="str">
        <x:v>* myContacts</x:v>
      </x:c>
      <x:c r="F2863" s="16" t="str">
        <x:v>+601122133888</x:v>
      </x:c>
      <x:c r="G2863" s="16" t="str">
        <x:v>+601122133888</x:v>
      </x:c>
      <x:c r="H2863" s="16" t="str">
        <x:v>Excluded</x:v>
      </x:c>
      <x:c r="I2863" s="16" t="str">
        <x:v>Missing email</x:v>
      </x:c>
    </x:row>
    <x:row r="2864">
      <x:c r="A2864" s="16" t="n">
        <x:v>2861</x:v>
      </x:c>
      <x:c r="B2864" s="16" t="str">
        <x:v>Gae Mkting</x:v>
      </x:c>
      <x:c r="C2864" s="16" t="str"/>
      <x:c r="D2864" s="16" t="str"/>
      <x:c r="E2864" s="16" t="str">
        <x:v>* myContacts</x:v>
      </x:c>
      <x:c r="F2864" s="16" t="str">
        <x:v>+6738609562</x:v>
      </x:c>
      <x:c r="G2864" s="16" t="str">
        <x:v>+6738609562</x:v>
      </x:c>
      <x:c r="H2864" s="16" t="str">
        <x:v>Excluded</x:v>
      </x:c>
      <x:c r="I2864" s="16" t="str">
        <x:v>Missing email</x:v>
      </x:c>
    </x:row>
    <x:row r="2865">
      <x:c r="A2865" s="16" t="n">
        <x:v>2862</x:v>
      </x:c>
      <x:c r="B2865" s="16" t="str">
        <x:v>Gai Jin</x:v>
      </x:c>
      <x:c r="C2865" s="16" t="str"/>
      <x:c r="D2865" s="16" t="str"/>
      <x:c r="E2865" s="16" t="str">
        <x:v>* myContacts</x:v>
      </x:c>
      <x:c r="F2865" s="16" t="str">
        <x:v>+60146130919</x:v>
      </x:c>
      <x:c r="G2865" s="16" t="str">
        <x:v>+60146130919</x:v>
      </x:c>
      <x:c r="H2865" s="16" t="str">
        <x:v>Excluded</x:v>
      </x:c>
      <x:c r="I2865" s="16" t="str">
        <x:v>Missing email</x:v>
      </x:c>
    </x:row>
    <x:row r="2866">
      <x:c r="A2866" s="16" t="n">
        <x:v>2863</x:v>
      </x:c>
      <x:c r="B2866" s="16" t="str">
        <x:v>Galeri Cosmetick</x:v>
      </x:c>
      <x:c r="C2866" s="16" t="str"/>
      <x:c r="D2866" s="16" t="str"/>
      <x:c r="E2866" s="16" t="str">
        <x:v>* myContacts</x:v>
      </x:c>
      <x:c r="F2866" s="16" t="str">
        <x:v>+60136772477</x:v>
      </x:c>
      <x:c r="G2866" s="16" t="str">
        <x:v>+60136772477</x:v>
      </x:c>
      <x:c r="H2866" s="16" t="str">
        <x:v>Excluded</x:v>
      </x:c>
      <x:c r="I2866" s="16" t="str">
        <x:v>Missing email</x:v>
      </x:c>
    </x:row>
    <x:row r="2867">
      <x:c r="A2867" s="16" t="n">
        <x:v>2864</x:v>
      </x:c>
      <x:c r="B2867" s="16" t="str">
        <x:v>Galeri Muslimah</x:v>
      </x:c>
      <x:c r="C2867" s="16" t="str"/>
      <x:c r="D2867" s="16" t="str"/>
      <x:c r="E2867" s="16" t="str">
        <x:v>* myContacts</x:v>
      </x:c>
      <x:c r="F2867" s="16" t="str">
        <x:v>+60129784110</x:v>
      </x:c>
      <x:c r="G2867" s="16" t="str">
        <x:v>+60129784110</x:v>
      </x:c>
      <x:c r="H2867" s="16" t="str">
        <x:v>Excluded</x:v>
      </x:c>
      <x:c r="I2867" s="16" t="str">
        <x:v>Missing email</x:v>
      </x:c>
    </x:row>
    <x:row r="2868">
      <x:c r="A2868" s="16" t="n">
        <x:v>2865</x:v>
      </x:c>
      <x:c r="B2868" s="16" t="str">
        <x:v>GAM AMPANG Khairul CWA</x:v>
      </x:c>
      <x:c r="C2868" s="16" t="str"/>
      <x:c r="D2868" s="16" t="str"/>
      <x:c r="E2868" s="16" t="str">
        <x:v>* myContacts</x:v>
      </x:c>
      <x:c r="F2868" s="16" t="str">
        <x:v>+60197901120</x:v>
      </x:c>
      <x:c r="G2868" s="16" t="str">
        <x:v>+60197901120</x:v>
      </x:c>
      <x:c r="H2868" s="16" t="str">
        <x:v>Excluded</x:v>
      </x:c>
      <x:c r="I2868" s="16" t="str">
        <x:v>Missing email</x:v>
      </x:c>
    </x:row>
    <x:row r="2869">
      <x:c r="A2869" s="16" t="n">
        <x:v>2866</x:v>
      </x:c>
      <x:c r="B2869" s="16" t="str">
        <x:v>Ganugass Norre</x:v>
      </x:c>
      <x:c r="C2869" s="16" t="str"/>
      <x:c r="D2869" s="16" t="str"/>
      <x:c r="E2869" s="16" t="str">
        <x:v>* myContacts</x:v>
      </x:c>
      <x:c r="F2869" s="16" t="str">
        <x:v>+60196856496</x:v>
      </x:c>
      <x:c r="G2869" s="16" t="str">
        <x:v>+60196856496</x:v>
      </x:c>
      <x:c r="H2869" s="16" t="str">
        <x:v>Excluded</x:v>
      </x:c>
      <x:c r="I2869" s="16" t="str">
        <x:v>Missing email</x:v>
      </x:c>
    </x:row>
    <x:row r="2870">
      <x:c r="A2870" s="16" t="n">
        <x:v>2867</x:v>
      </x:c>
      <x:c r="B2870" s="16" t="str">
        <x:v>Garmin Distributor</x:v>
      </x:c>
      <x:c r="C2870" s="16" t="str"/>
      <x:c r="D2870" s="16" t="str"/>
      <x:c r="E2870" s="16" t="str">
        <x:v>* myContacts</x:v>
      </x:c>
      <x:c r="F2870" s="16" t="str">
        <x:v>+60 16-227 8062 | +60162278062</x:v>
      </x:c>
      <x:c r="G2870" s="16" t="str">
        <x:v>+60162278062 | +60162278062</x:v>
      </x:c>
      <x:c r="H2870" s="16" t="str">
        <x:v>Excluded</x:v>
      </x:c>
      <x:c r="I2870" s="16" t="str">
        <x:v>Missing email</x:v>
      </x:c>
    </x:row>
    <x:row r="2871">
      <x:c r="A2871" s="16" t="n">
        <x:v>2868</x:v>
      </x:c>
      <x:c r="B2871" s="16" t="str">
        <x:v>Gary Yeo</x:v>
      </x:c>
      <x:c r="C2871" s="16" t="str"/>
      <x:c r="D2871" s="16" t="str"/>
      <x:c r="E2871" s="16" t="str">
        <x:v>* myContacts</x:v>
      </x:c>
      <x:c r="F2871" s="16" t="str">
        <x:v>+60162228340</x:v>
      </x:c>
      <x:c r="G2871" s="16" t="str">
        <x:v>+60162228340</x:v>
      </x:c>
      <x:c r="H2871" s="16" t="str">
        <x:v>Excluded</x:v>
      </x:c>
      <x:c r="I2871" s="16" t="str">
        <x:v>Missing email</x:v>
      </x:c>
    </x:row>
    <x:row r="2872">
      <x:c r="A2872" s="16" t="n">
        <x:v>2869</x:v>
      </x:c>
      <x:c r="B2872" s="16" t="str">
        <x:v>Gaya Closet</x:v>
      </x:c>
      <x:c r="C2872" s="16" t="str"/>
      <x:c r="D2872" s="16" t="str"/>
      <x:c r="E2872" s="16" t="str">
        <x:v>* myContacts</x:v>
      </x:c>
      <x:c r="F2872" s="16" t="str">
        <x:v>+60129003541</x:v>
      </x:c>
      <x:c r="G2872" s="16" t="str">
        <x:v>+60129003541</x:v>
      </x:c>
      <x:c r="H2872" s="16" t="str">
        <x:v>Excluded</x:v>
      </x:c>
      <x:c r="I2872" s="16" t="str">
        <x:v>Missing email</x:v>
      </x:c>
    </x:row>
    <x:row r="2873">
      <x:c r="A2873" s="16" t="n">
        <x:v>2870</x:v>
      </x:c>
      <x:c r="B2873" s="16" t="str">
        <x:v>GDEX SALES OFFICER</x:v>
      </x:c>
      <x:c r="C2873" s="16" t="str"/>
      <x:c r="D2873" s="16" t="str"/>
      <x:c r="E2873" s="16" t="str">
        <x:v>* myContacts</x:v>
      </x:c>
      <x:c r="F2873" s="16" t="str">
        <x:v>+60 14-621 7326 | +60146217326</x:v>
      </x:c>
      <x:c r="G2873" s="16" t="str">
        <x:v>+60146217326 | +60146217326</x:v>
      </x:c>
      <x:c r="H2873" s="16" t="str">
        <x:v>Excluded</x:v>
      </x:c>
      <x:c r="I2873" s="16" t="str">
        <x:v>Missing email</x:v>
      </x:c>
    </x:row>
    <x:row r="2874">
      <x:c r="A2874" s="16" t="n">
        <x:v>2871</x:v>
      </x:c>
      <x:c r="B2874" s="16" t="str">
        <x:v>GE Kota Bharu Emas</x:v>
      </x:c>
      <x:c r="C2874" s="16" t="str"/>
      <x:c r="D2874" s="16" t="str"/>
      <x:c r="E2874" s="16" t="str">
        <x:v>* myContacts</x:v>
      </x:c>
      <x:c r="F2874" s="16" t="str">
        <x:v>+60179103580</x:v>
      </x:c>
      <x:c r="G2874" s="16" t="str">
        <x:v>+60179103580</x:v>
      </x:c>
      <x:c r="H2874" s="16" t="str">
        <x:v>Excluded</x:v>
      </x:c>
      <x:c r="I2874" s="16" t="str">
        <x:v>Missing email</x:v>
      </x:c>
    </x:row>
    <x:row r="2875">
      <x:c r="A2875" s="16" t="n">
        <x:v>2872</x:v>
      </x:c>
      <x:c r="B2875" s="16" t="str">
        <x:v>Geomatika Collage Sabah</x:v>
      </x:c>
      <x:c r="C2875" s="16" t="str"/>
      <x:c r="D2875" s="16" t="str"/>
      <x:c r="E2875" s="16" t="str">
        <x:v>* myContacts</x:v>
      </x:c>
      <x:c r="F2875" s="16" t="str">
        <x:v>+6087338099</x:v>
      </x:c>
      <x:c r="G2875" s="16" t="str">
        <x:v>+6087338099</x:v>
      </x:c>
      <x:c r="H2875" s="16" t="str">
        <x:v>Excluded</x:v>
      </x:c>
      <x:c r="I2875" s="16" t="str">
        <x:v>Missing email</x:v>
      </x:c>
    </x:row>
    <x:row r="2876">
      <x:c r="A2876" s="16" t="n">
        <x:v>2873</x:v>
      </x:c>
      <x:c r="B2876" s="16" t="str">
        <x:v>Getvippass com</x:v>
      </x:c>
      <x:c r="C2876" s="16" t="str"/>
      <x:c r="D2876" s="16" t="str"/>
      <x:c r="E2876" s="16" t="str">
        <x:v>* myContacts</x:v>
      </x:c>
      <x:c r="F2876" s="16" t="str">
        <x:v>+60 12-691 7851 | +60126917851</x:v>
      </x:c>
      <x:c r="G2876" s="16" t="str">
        <x:v>+60126917851 | +60126917851</x:v>
      </x:c>
      <x:c r="H2876" s="16" t="str">
        <x:v>Excluded</x:v>
      </x:c>
      <x:c r="I2876" s="16" t="str">
        <x:v>Missing email</x:v>
      </x:c>
    </x:row>
    <x:row r="2877">
      <x:c r="A2877" s="16" t="n">
        <x:v>2874</x:v>
      </x:c>
      <x:c r="B2877" s="16" t="str">
        <x:v>gfbn prospect</x:v>
      </x:c>
      <x:c r="C2877" s="16" t="str"/>
      <x:c r="D2877" s="16" t="str"/>
      <x:c r="E2877" s="16" t="str">
        <x:v>* myContacts</x:v>
      </x:c>
      <x:c r="F2877" s="16" t="str">
        <x:v>01115744042 | +601115744042</x:v>
      </x:c>
      <x:c r="G2877" s="16" t="str">
        <x:v>+601115744042 | +601115744042</x:v>
      </x:c>
      <x:c r="H2877" s="16" t="str">
        <x:v>Excluded</x:v>
      </x:c>
      <x:c r="I2877" s="16" t="str">
        <x:v>Missing email</x:v>
      </x:c>
    </x:row>
    <x:row r="2878">
      <x:c r="A2878" s="16" t="n">
        <x:v>2875</x:v>
      </x:c>
      <x:c r="B2878" s="16" t="str">
        <x:v>Ghaz Siraj</x:v>
      </x:c>
      <x:c r="C2878" s="16" t="str"/>
      <x:c r="D2878" s="16" t="str"/>
      <x:c r="E2878" s="16" t="str">
        <x:v>* myContacts</x:v>
      </x:c>
      <x:c r="F2878" s="16" t="str">
        <x:v>+60177779978</x:v>
      </x:c>
      <x:c r="G2878" s="16" t="str">
        <x:v>+60177779978</x:v>
      </x:c>
      <x:c r="H2878" s="16" t="str">
        <x:v>Excluded</x:v>
      </x:c>
      <x:c r="I2878" s="16" t="str">
        <x:v>Missing email</x:v>
      </x:c>
    </x:row>
    <x:row r="2879">
      <x:c r="A2879" s="16" t="n">
        <x:v>2876</x:v>
      </x:c>
      <x:c r="B2879" s="16" t="str">
        <x:v>Gianfranco Zary</x:v>
      </x:c>
      <x:c r="C2879" s="16" t="str"/>
      <x:c r="D2879" s="16" t="str"/>
      <x:c r="E2879" s="16" t="str">
        <x:v>* myContacts</x:v>
      </x:c>
      <x:c r="F2879" s="16" t="str">
        <x:v>+601126252465</x:v>
      </x:c>
      <x:c r="G2879" s="16" t="str">
        <x:v>+601126252465</x:v>
      </x:c>
      <x:c r="H2879" s="16" t="str">
        <x:v>Excluded</x:v>
      </x:c>
      <x:c r="I2879" s="16" t="str">
        <x:v>Missing email</x:v>
      </x:c>
    </x:row>
    <x:row r="2880">
      <x:c r="A2880" s="16" t="n">
        <x:v>2877</x:v>
      </x:c>
      <x:c r="B2880" s="16" t="str">
        <x:v>Gibs Rk</x:v>
      </x:c>
      <x:c r="C2880" s="16" t="str"/>
      <x:c r="D2880" s="16" t="str"/>
      <x:c r="E2880" s="16" t="str">
        <x:v>* myContacts</x:v>
      </x:c>
      <x:c r="F2880" s="16" t="str">
        <x:v>+60194477286</x:v>
      </x:c>
      <x:c r="G2880" s="16" t="str">
        <x:v>+60194477286</x:v>
      </x:c>
      <x:c r="H2880" s="16" t="str">
        <x:v>Excluded</x:v>
      </x:c>
      <x:c r="I2880" s="16" t="str">
        <x:v>Missing email</x:v>
      </x:c>
    </x:row>
    <x:row r="2881">
      <x:c r="A2881" s="16" t="n">
        <x:v>2878</x:v>
      </x:c>
      <x:c r="B2881" s="16" t="str">
        <x:v>Gigi Tour Guide</x:v>
      </x:c>
      <x:c r="C2881" s="16" t="str"/>
      <x:c r="D2881" s="16" t="str"/>
      <x:c r="E2881" s="16" t="str">
        <x:v>* myContacts</x:v>
      </x:c>
      <x:c r="F2881" s="16" t="str">
        <x:v>+821033447840</x:v>
      </x:c>
      <x:c r="G2881" s="16" t="str">
        <x:v>+821033447840</x:v>
      </x:c>
      <x:c r="H2881" s="16" t="str">
        <x:v>Excluded</x:v>
      </x:c>
      <x:c r="I2881" s="16" t="str">
        <x:v>Missing email</x:v>
      </x:c>
    </x:row>
    <x:row r="2882">
      <x:c r="A2882" s="16" t="n">
        <x:v>2879</x:v>
      </x:c>
      <x:c r="B2882" s="16" t="str">
        <x:v>Gila-gila Remaja Pakkasollang</x:v>
      </x:c>
      <x:c r="C2882" s="16" t="str"/>
      <x:c r="D2882" s="16" t="str"/>
      <x:c r="E2882" s="16" t="str">
        <x:v>* myContacts</x:v>
      </x:c>
      <x:c r="F2882" s="16" t="str">
        <x:v>+60128232933</x:v>
      </x:c>
      <x:c r="G2882" s="16" t="str">
        <x:v>+60128232933</x:v>
      </x:c>
      <x:c r="H2882" s="16" t="str">
        <x:v>Excluded</x:v>
      </x:c>
      <x:c r="I2882" s="16" t="str">
        <x:v>Missing email</x:v>
      </x:c>
    </x:row>
    <x:row r="2883">
      <x:c r="A2883" s="16" t="n">
        <x:v>2880</x:v>
      </x:c>
      <x:c r="B2883" s="16" t="str">
        <x:v>Gim Azizi</x:v>
      </x:c>
      <x:c r="C2883" s="16" t="str"/>
      <x:c r="D2883" s="16" t="str"/>
      <x:c r="E2883" s="16" t="str">
        <x:v>* myContacts</x:v>
      </x:c>
      <x:c r="F2883" s="16" t="str">
        <x:v>+60107682478</x:v>
      </x:c>
      <x:c r="G2883" s="16" t="str">
        <x:v>+60107682478</x:v>
      </x:c>
      <x:c r="H2883" s="16" t="str">
        <x:v>Excluded</x:v>
      </x:c>
      <x:c r="I2883" s="16" t="str">
        <x:v>Missing email</x:v>
      </x:c>
    </x:row>
    <x:row r="2884">
      <x:c r="A2884" s="16" t="n">
        <x:v>2881</x:v>
      </x:c>
      <x:c r="B2884" s="16" t="str">
        <x:v>Glanny Dewin</x:v>
      </x:c>
      <x:c r="C2884" s="16" t="str"/>
      <x:c r="D2884" s="16" t="str"/>
      <x:c r="E2884" s="16" t="str">
        <x:v>* myContacts</x:v>
      </x:c>
      <x:c r="F2884" s="16" t="str">
        <x:v>+601151107882</x:v>
      </x:c>
      <x:c r="G2884" s="16" t="str">
        <x:v>+601151107882</x:v>
      </x:c>
      <x:c r="H2884" s="16" t="str">
        <x:v>Excluded</x:v>
      </x:c>
      <x:c r="I2884" s="16" t="str">
        <x:v>Missing email</x:v>
      </x:c>
    </x:row>
    <x:row r="2885">
      <x:c r="A2885" s="16" t="n">
        <x:v>2882</x:v>
      </x:c>
      <x:c r="B2885" s="16" t="str">
        <x:v>Go Kelas Admin</x:v>
      </x:c>
      <x:c r="C2885" s="16" t="str"/>
      <x:c r="D2885" s="16" t="str"/>
      <x:c r="E2885" s="16" t="str">
        <x:v>* myContacts</x:v>
      </x:c>
      <x:c r="F2885" s="16" t="str">
        <x:v>+60 12-620 0409 | +60126200409</x:v>
      </x:c>
      <x:c r="G2885" s="16" t="str">
        <x:v>+60126200409 | +60126200409</x:v>
      </x:c>
      <x:c r="H2885" s="16" t="str">
        <x:v>Excluded</x:v>
      </x:c>
      <x:c r="I2885" s="16" t="str">
        <x:v>Missing email</x:v>
      </x:c>
    </x:row>
    <x:row r="2886">
      <x:c r="A2886" s="16" t="n">
        <x:v>2883</x:v>
      </x:c>
      <x:c r="B2886" s="16" t="str">
        <x:v>Gobinath Gobin</x:v>
      </x:c>
      <x:c r="C2886" s="16" t="str"/>
      <x:c r="D2886" s="16" t="str"/>
      <x:c r="E2886" s="16" t="str">
        <x:v>* myContacts</x:v>
      </x:c>
      <x:c r="F2886" s="16" t="str">
        <x:v>+60165199059</x:v>
      </x:c>
      <x:c r="G2886" s="16" t="str">
        <x:v>+60165199059</x:v>
      </x:c>
      <x:c r="H2886" s="16" t="str">
        <x:v>Excluded</x:v>
      </x:c>
      <x:c r="I2886" s="16" t="str">
        <x:v>Missing email</x:v>
      </x:c>
    </x:row>
    <x:row r="2887">
      <x:c r="A2887" s="16" t="n">
        <x:v>2884</x:v>
      </x:c>
      <x:c r="B2887" s="16" t="str">
        <x:v>Gono Ctiey</x:v>
      </x:c>
      <x:c r="C2887" s="16" t="str"/>
      <x:c r="D2887" s="16" t="str"/>
      <x:c r="E2887" s="16" t="str">
        <x:v>* myContacts</x:v>
      </x:c>
      <x:c r="F2887" s="16" t="str">
        <x:v>+601120817393</x:v>
      </x:c>
      <x:c r="G2887" s="16" t="str">
        <x:v>+601120817393</x:v>
      </x:c>
      <x:c r="H2887" s="16" t="str">
        <x:v>Excluded</x:v>
      </x:c>
      <x:c r="I2887" s="16" t="str">
        <x:v>Missing email</x:v>
      </x:c>
    </x:row>
    <x:row r="2888">
      <x:c r="A2888" s="16" t="n">
        <x:v>2885</x:v>
      </x:c>
      <x:c r="B2888" s="16" t="str">
        <x:v>Google Ads Support</x:v>
      </x:c>
      <x:c r="C2888" s="16" t="str"/>
      <x:c r="D2888" s="16" t="str"/>
      <x:c r="E2888" s="16" t="str">
        <x:v>* myContacts</x:v>
      </x:c>
      <x:c r="F2888" s="16" t="str">
        <x:v>1800815872 | 03-2058 5318</x:v>
      </x:c>
      <x:c r="G2888" s="16" t="str">
        <x:v>+60320585318</x:v>
      </x:c>
      <x:c r="H2888" s="16" t="str">
        <x:v>Excluded</x:v>
      </x:c>
      <x:c r="I2888" s="16" t="str">
        <x:v>Missing email</x:v>
      </x:c>
    </x:row>
    <x:row r="2889">
      <x:c r="A2889" s="16" t="n">
        <x:v>2886</x:v>
      </x:c>
      <x:c r="B2889" s="16" t="str">
        <x:v>Grace 7 Habits of Highly Effective People</x:v>
      </x:c>
      <x:c r="C2889" s="16" t="str"/>
      <x:c r="D2889" s="16" t="str"/>
      <x:c r="E2889" s="16" t="str">
        <x:v>* myContacts</x:v>
      </x:c>
      <x:c r="F2889" s="16" t="str">
        <x:v>+60 16-635 8289 | +60166358289</x:v>
      </x:c>
      <x:c r="G2889" s="16" t="str">
        <x:v>+60166358289 | +60166358289</x:v>
      </x:c>
      <x:c r="H2889" s="16" t="str">
        <x:v>Excluded</x:v>
      </x:c>
      <x:c r="I2889" s="16" t="str">
        <x:v>Missing email</x:v>
      </x:c>
    </x:row>
    <x:row r="2890">
      <x:c r="A2890" s="16" t="n">
        <x:v>2887</x:v>
      </x:c>
      <x:c r="B2890" s="16" t="str">
        <x:v>Grory MacCoy</x:v>
      </x:c>
      <x:c r="C2890" s="16" t="str"/>
      <x:c r="D2890" s="16" t="str"/>
      <x:c r="E2890" s="16" t="str">
        <x:v>* myContacts</x:v>
      </x:c>
      <x:c r="F2890" s="16" t="str">
        <x:v>+60168081775</x:v>
      </x:c>
      <x:c r="G2890" s="16" t="str">
        <x:v>+60168081775</x:v>
      </x:c>
      <x:c r="H2890" s="16" t="str">
        <x:v>Excluded</x:v>
      </x:c>
      <x:c r="I2890" s="16" t="str">
        <x:v>Missing email</x:v>
      </x:c>
    </x:row>
    <x:row r="2891">
      <x:c r="A2891" s="16" t="n">
        <x:v>2888</x:v>
      </x:c>
      <x:c r="B2891" s="16" t="str">
        <x:v>Growfeed Aiman</x:v>
      </x:c>
      <x:c r="C2891" s="16" t="str"/>
      <x:c r="D2891" s="16" t="str"/>
      <x:c r="E2891" s="16" t="str">
        <x:v>* myContacts</x:v>
      </x:c>
      <x:c r="F2891" s="16" t="str">
        <x:v>+601118855980</x:v>
      </x:c>
      <x:c r="G2891" s="16" t="str">
        <x:v>+601118855980</x:v>
      </x:c>
      <x:c r="H2891" s="16" t="str">
        <x:v>Excluded</x:v>
      </x:c>
      <x:c r="I2891" s="16" t="str">
        <x:v>Missing email</x:v>
      </x:c>
    </x:row>
    <x:row r="2892">
      <x:c r="A2892" s="16" t="n">
        <x:v>2889</x:v>
      </x:c>
      <x:c r="B2892" s="16" t="str">
        <x:v>Gurraj Dhillon</x:v>
      </x:c>
      <x:c r="C2892" s="16" t="str"/>
      <x:c r="D2892" s="16" t="str"/>
      <x:c r="E2892" s="16" t="str">
        <x:v>* myContacts</x:v>
      </x:c>
      <x:c r="F2892" s="16" t="str">
        <x:v>+919815074720</x:v>
      </x:c>
      <x:c r="G2892" s="16" t="str">
        <x:v>+919815074720</x:v>
      </x:c>
      <x:c r="H2892" s="16" t="str">
        <x:v>Excluded</x:v>
      </x:c>
      <x:c r="I2892" s="16" t="str">
        <x:v>Missing email</x:v>
      </x:c>
    </x:row>
    <x:row r="2893">
      <x:c r="A2893" s="16" t="n">
        <x:v>2890</x:v>
      </x:c>
      <x:c r="B2893" s="16" t="str">
        <x:v>GvTha Gvbeibeyh</x:v>
      </x:c>
      <x:c r="C2893" s="16" t="str"/>
      <x:c r="D2893" s="16" t="str"/>
      <x:c r="E2893" s="16" t="str">
        <x:v>* myContacts</x:v>
      </x:c>
      <x:c r="F2893" s="16" t="str">
        <x:v>+60144431404 | +60144431404</x:v>
      </x:c>
      <x:c r="G2893" s="16" t="str">
        <x:v>+60144431404 | +60144431404</x:v>
      </x:c>
      <x:c r="H2893" s="16" t="str">
        <x:v>Excluded</x:v>
      </x:c>
      <x:c r="I2893" s="16" t="str">
        <x:v>Missing email</x:v>
      </x:c>
    </x:row>
    <x:row r="2894">
      <x:c r="A2894" s="16" t="n">
        <x:v>2891</x:v>
      </x:c>
      <x:c r="B2894" s="16" t="str">
        <x:v>Gwen Ching Tiktok Manager Singapore</x:v>
      </x:c>
      <x:c r="C2894" s="16" t="str"/>
      <x:c r="D2894" s="16" t="str"/>
      <x:c r="E2894" s="16" t="str">
        <x:v>* myContacts</x:v>
      </x:c>
      <x:c r="F2894" s="16" t="str">
        <x:v>+65 8488 1731 | +6584881731</x:v>
      </x:c>
      <x:c r="G2894" s="16" t="str">
        <x:v>+6584881731 | +6584881731</x:v>
      </x:c>
      <x:c r="H2894" s="16" t="str">
        <x:v>Excluded</x:v>
      </x:c>
      <x:c r="I2894" s="16" t="str">
        <x:v>Missing email</x:v>
      </x:c>
    </x:row>
    <x:row r="2895">
      <x:c r="A2895" s="16" t="n">
        <x:v>2892</x:v>
      </x:c>
      <x:c r="B2895" s="16" t="str">
        <x:v>H⃟ A⃟ R⃟ I⃟ T⃟H</x:v>
      </x:c>
      <x:c r="C2895" s="16" t="str"/>
      <x:c r="D2895" s="16" t="str"/>
      <x:c r="E2895" s="16" t="str">
        <x:v>* myContacts</x:v>
      </x:c>
      <x:c r="F2895" s="16" t="str">
        <x:v>+60183133252</x:v>
      </x:c>
      <x:c r="G2895" s="16" t="str">
        <x:v>+60183133252</x:v>
      </x:c>
      <x:c r="H2895" s="16" t="str">
        <x:v>Excluded</x:v>
      </x:c>
      <x:c r="I2895" s="16" t="str">
        <x:v>Missing email</x:v>
      </x:c>
    </x:row>
    <x:row r="2896">
      <x:c r="A2896" s="16" t="n">
        <x:v>2893</x:v>
      </x:c>
      <x:c r="B2896" s="16" t="str">
        <x:v>Habibah Abd Hamid</x:v>
      </x:c>
      <x:c r="C2896" s="16" t="str"/>
      <x:c r="D2896" s="16" t="str"/>
      <x:c r="E2896" s="16" t="str">
        <x:v>* myContacts</x:v>
      </x:c>
      <x:c r="F2896" s="16" t="str">
        <x:v>+60195037499</x:v>
      </x:c>
      <x:c r="G2896" s="16" t="str">
        <x:v>+60195037499</x:v>
      </x:c>
      <x:c r="H2896" s="16" t="str">
        <x:v>Excluded</x:v>
      </x:c>
      <x:c r="I2896" s="16" t="str">
        <x:v>Missing email</x:v>
      </x:c>
    </x:row>
    <x:row r="2897">
      <x:c r="A2897" s="16" t="n">
        <x:v>2894</x:v>
      </x:c>
      <x:c r="B2897" s="16" t="str">
        <x:v>Habibah Yusoff</x:v>
      </x:c>
      <x:c r="C2897" s="16" t="str"/>
      <x:c r="D2897" s="16" t="str"/>
      <x:c r="E2897" s="16" t="str">
        <x:v>* myContacts</x:v>
      </x:c>
      <x:c r="F2897" s="16" t="str">
        <x:v>+601140222910</x:v>
      </x:c>
      <x:c r="G2897" s="16" t="str">
        <x:v>+601140222910</x:v>
      </x:c>
      <x:c r="H2897" s="16" t="str">
        <x:v>Excluded</x:v>
      </x:c>
      <x:c r="I2897" s="16" t="str">
        <x:v>Missing email</x:v>
      </x:c>
    </x:row>
    <x:row r="2898">
      <x:c r="A2898" s="16" t="n">
        <x:v>2895</x:v>
      </x:c>
      <x:c r="B2898" s="16" t="str">
        <x:v>Hadi Akmal</x:v>
      </x:c>
      <x:c r="C2898" s="16" t="str"/>
      <x:c r="D2898" s="16" t="str"/>
      <x:c r="E2898" s="16" t="str">
        <x:v>* myContacts</x:v>
      </x:c>
      <x:c r="F2898" s="16" t="str">
        <x:v>+60124543696</x:v>
      </x:c>
      <x:c r="G2898" s="16" t="str">
        <x:v>+60124543696</x:v>
      </x:c>
      <x:c r="H2898" s="16" t="str">
        <x:v>Excluded</x:v>
      </x:c>
      <x:c r="I2898" s="16" t="str">
        <x:v>Missing email</x:v>
      </x:c>
    </x:row>
    <x:row r="2899">
      <x:c r="A2899" s="16" t="n">
        <x:v>2896</x:v>
      </x:c>
      <x:c r="B2899" s="16" t="str">
        <x:v>Hadi Haizil IM</x:v>
      </x:c>
      <x:c r="C2899" s="16" t="str"/>
      <x:c r="D2899" s="16" t="str"/>
      <x:c r="E2899" s="16" t="str">
        <x:v>* myContacts</x:v>
      </x:c>
      <x:c r="F2899" s="16" t="str">
        <x:v>+60 13-639 0005 | +60136390005</x:v>
      </x:c>
      <x:c r="G2899" s="16" t="str">
        <x:v>+60136390005 | +60136390005</x:v>
      </x:c>
      <x:c r="H2899" s="16" t="str">
        <x:v>Excluded</x:v>
      </x:c>
      <x:c r="I2899" s="16" t="str">
        <x:v>Missing email</x:v>
      </x:c>
    </x:row>
    <x:row r="2900">
      <x:c r="A2900" s="16" t="n">
        <x:v>2897</x:v>
      </x:c>
      <x:c r="B2900" s="16" t="str">
        <x:v>Hadi Juhari</x:v>
      </x:c>
      <x:c r="C2900" s="16" t="str"/>
      <x:c r="D2900" s="16" t="str"/>
      <x:c r="E2900" s="16" t="str">
        <x:v>* myContacts</x:v>
      </x:c>
      <x:c r="F2900" s="16" t="str">
        <x:v>+60139467125</x:v>
      </x:c>
      <x:c r="G2900" s="16" t="str">
        <x:v>+60139467125</x:v>
      </x:c>
      <x:c r="H2900" s="16" t="str">
        <x:v>Excluded</x:v>
      </x:c>
      <x:c r="I2900" s="16" t="str">
        <x:v>Missing email</x:v>
      </x:c>
    </x:row>
    <x:row r="2901">
      <x:c r="A2901" s="16" t="n">
        <x:v>2898</x:v>
      </x:c>
      <x:c r="B2901" s="16" t="str">
        <x:v>Hadi Juhari IX</x:v>
      </x:c>
      <x:c r="C2901" s="16" t="str"/>
      <x:c r="D2901" s="16" t="str"/>
      <x:c r="E2901" s="16" t="str">
        <x:v>* myContacts</x:v>
      </x:c>
      <x:c r="F2901" s="16" t="str">
        <x:v>+60139467125</x:v>
      </x:c>
      <x:c r="G2901" s="16" t="str">
        <x:v>+60139467125</x:v>
      </x:c>
      <x:c r="H2901" s="16" t="str">
        <x:v>Excluded</x:v>
      </x:c>
      <x:c r="I2901" s="16" t="str">
        <x:v>Missing email</x:v>
      </x:c>
    </x:row>
    <x:row r="2902">
      <x:c r="A2902" s="16" t="n">
        <x:v>2899</x:v>
      </x:c>
      <x:c r="B2902" s="16" t="str">
        <x:v>Hadi Pilus DPIM</x:v>
      </x:c>
      <x:c r="C2902" s="16" t="str"/>
      <x:c r="D2902" s="16" t="str"/>
      <x:c r="E2902" s="16" t="str">
        <x:v>* myContacts</x:v>
      </x:c>
      <x:c r="F2902" s="16" t="str">
        <x:v>+60 17-224 8222 | +60172248222</x:v>
      </x:c>
      <x:c r="G2902" s="16" t="str">
        <x:v>+60172248222 | +60172248222</x:v>
      </x:c>
      <x:c r="H2902" s="16" t="str">
        <x:v>Excluded</x:v>
      </x:c>
      <x:c r="I2902" s="16" t="str">
        <x:v>Missing email</x:v>
      </x:c>
    </x:row>
    <x:row r="2903">
      <x:c r="A2903" s="16" t="n">
        <x:v>2900</x:v>
      </x:c>
      <x:c r="B2903" s="16" t="str">
        <x:v>Hadi RJB</x:v>
      </x:c>
      <x:c r="C2903" s="16" t="str"/>
      <x:c r="D2903" s="16" t="str"/>
      <x:c r="E2903" s="16" t="str">
        <x:v>* myContacts</x:v>
      </x:c>
      <x:c r="F2903" s="16" t="str">
        <x:v>+60 16-414 4182 | +60164144182</x:v>
      </x:c>
      <x:c r="G2903" s="16" t="str">
        <x:v>+60164144182 | +60164144182</x:v>
      </x:c>
      <x:c r="H2903" s="16" t="str">
        <x:v>Excluded</x:v>
      </x:c>
      <x:c r="I2903" s="16" t="str">
        <x:v>Missing email</x:v>
      </x:c>
    </x:row>
    <x:row r="2904">
      <x:c r="A2904" s="16" t="n">
        <x:v>2901</x:v>
      </x:c>
      <x:c r="B2904" s="16" t="str">
        <x:v>Hadi Rumah Niaga temerloh</x:v>
      </x:c>
      <x:c r="C2904" s="16" t="str"/>
      <x:c r="D2904" s="16" t="str"/>
      <x:c r="E2904" s="16" t="str">
        <x:v>* myContacts</x:v>
      </x:c>
      <x:c r="F2904" s="16" t="str">
        <x:v>0193704199 | +60193704199</x:v>
      </x:c>
      <x:c r="G2904" s="16" t="str">
        <x:v>+60193704199 | +60193704199</x:v>
      </x:c>
      <x:c r="H2904" s="16" t="str">
        <x:v>Excluded</x:v>
      </x:c>
      <x:c r="I2904" s="16" t="str">
        <x:v>Missing email</x:v>
      </x:c>
    </x:row>
    <x:row r="2905">
      <x:c r="A2905" s="16" t="n">
        <x:v>2902</x:v>
      </x:c>
      <x:c r="B2905" s="16" t="str">
        <x:v>Hadi Salleh Trainer MDEC</x:v>
      </x:c>
      <x:c r="C2905" s="16" t="str"/>
      <x:c r="D2905" s="16" t="str"/>
      <x:c r="E2905" s="16" t="str">
        <x:v>* myContacts</x:v>
      </x:c>
      <x:c r="F2905" s="16" t="str">
        <x:v>+60 11-2106 6769 | +601121066769</x:v>
      </x:c>
      <x:c r="G2905" s="16" t="str">
        <x:v>+601121066769 | +601121066769</x:v>
      </x:c>
      <x:c r="H2905" s="16" t="str">
        <x:v>Excluded</x:v>
      </x:c>
      <x:c r="I2905" s="16" t="str">
        <x:v>Missing email</x:v>
      </x:c>
    </x:row>
    <x:row r="2906">
      <x:c r="A2906" s="16" t="n">
        <x:v>2903</x:v>
      </x:c>
      <x:c r="B2906" s="16" t="str">
        <x:v>Hadi skybox</x:v>
      </x:c>
      <x:c r="C2906" s="16" t="str"/>
      <x:c r="D2906" s="16" t="str"/>
      <x:c r="E2906" s="16" t="str">
        <x:v>* myContacts</x:v>
      </x:c>
      <x:c r="F2906" s="16" t="str">
        <x:v>012-625 6471 | +60126256471</x:v>
      </x:c>
      <x:c r="G2906" s="16" t="str">
        <x:v>+60126256471 | +60126256471</x:v>
      </x:c>
      <x:c r="H2906" s="16" t="str">
        <x:v>Excluded</x:v>
      </x:c>
      <x:c r="I2906" s="16" t="str">
        <x:v>Missing email</x:v>
      </x:c>
    </x:row>
    <x:row r="2907">
      <x:c r="A2907" s="16" t="n">
        <x:v>2904</x:v>
      </x:c>
      <x:c r="B2907" s="16" t="str">
        <x:v>Hadzrin Gaban</x:v>
      </x:c>
      <x:c r="C2907" s="16" t="str"/>
      <x:c r="D2907" s="16" t="str"/>
      <x:c r="E2907" s="16" t="str">
        <x:v>* myContacts</x:v>
      </x:c>
      <x:c r="F2907" s="16" t="str">
        <x:v>+60 12-396 9746 | +60123969746</x:v>
      </x:c>
      <x:c r="G2907" s="16" t="str">
        <x:v>+60123969746 | +60123969746</x:v>
      </x:c>
      <x:c r="H2907" s="16" t="str">
        <x:v>Excluded</x:v>
      </x:c>
      <x:c r="I2907" s="16" t="str">
        <x:v>Missing email</x:v>
      </x:c>
    </x:row>
    <x:row r="2908">
      <x:c r="A2908" s="16" t="n">
        <x:v>2905</x:v>
      </x:c>
      <x:c r="B2908" s="16" t="str">
        <x:v>Hafawati Johari</x:v>
      </x:c>
      <x:c r="C2908" s="16" t="str"/>
      <x:c r="D2908" s="16" t="str"/>
      <x:c r="E2908" s="16" t="str">
        <x:v>* myContacts</x:v>
      </x:c>
      <x:c r="F2908" s="16" t="str">
        <x:v>+60122612359</x:v>
      </x:c>
      <x:c r="G2908" s="16" t="str">
        <x:v>+60122612359</x:v>
      </x:c>
      <x:c r="H2908" s="16" t="str">
        <x:v>Excluded</x:v>
      </x:c>
      <x:c r="I2908" s="16" t="str">
        <x:v>Missing email</x:v>
      </x:c>
    </x:row>
    <x:row r="2909">
      <x:c r="A2909" s="16" t="n">
        <x:v>2906</x:v>
      </x:c>
      <x:c r="B2909" s="16" t="str">
        <x:v>Hafeez Celcom Shah Alam</x:v>
      </x:c>
      <x:c r="C2909" s="16" t="str"/>
      <x:c r="D2909" s="16" t="str"/>
      <x:c r="E2909" s="16" t="str">
        <x:v>* myContacts</x:v>
      </x:c>
      <x:c r="F2909" s="16" t="str">
        <x:v>+60193721572</x:v>
      </x:c>
      <x:c r="G2909" s="16" t="str">
        <x:v>+60193721572</x:v>
      </x:c>
      <x:c r="H2909" s="16" t="str">
        <x:v>Excluded</x:v>
      </x:c>
      <x:c r="I2909" s="16" t="str">
        <x:v>Missing email</x:v>
      </x:c>
    </x:row>
    <x:row r="2910">
      <x:c r="A2910" s="16" t="n">
        <x:v>2907</x:v>
      </x:c>
      <x:c r="B2910" s="16" t="str">
        <x:v>Hafez Effandy WasaPower</x:v>
      </x:c>
      <x:c r="C2910" s="16" t="str"/>
      <x:c r="D2910" s="16" t="str"/>
      <x:c r="E2910" s="16" t="str">
        <x:v>* myContacts</x:v>
      </x:c>
      <x:c r="F2910" s="16" t="str">
        <x:v>+60 18-322 2838 | +60183222838</x:v>
      </x:c>
      <x:c r="G2910" s="16" t="str">
        <x:v>+60183222838 | +60183222838</x:v>
      </x:c>
      <x:c r="H2910" s="16" t="str">
        <x:v>Excluded</x:v>
      </x:c>
      <x:c r="I2910" s="16" t="str">
        <x:v>Missing email</x:v>
      </x:c>
    </x:row>
    <x:row r="2911">
      <x:c r="A2911" s="16" t="n">
        <x:v>2908</x:v>
      </x:c>
      <x:c r="B2911" s="16" t="str">
        <x:v>Haffizat Gb Otai WP</x:v>
      </x:c>
      <x:c r="C2911" s="16" t="str"/>
      <x:c r="D2911" s="16" t="str"/>
      <x:c r="E2911" s="16" t="str">
        <x:v>* myContacts</x:v>
      </x:c>
      <x:c r="F2911" s="16" t="str">
        <x:v>0133336510 | +60133336510</x:v>
      </x:c>
      <x:c r="G2911" s="16" t="str">
        <x:v>+60133336510 | +60133336510</x:v>
      </x:c>
      <x:c r="H2911" s="16" t="str">
        <x:v>Excluded</x:v>
      </x:c>
      <x:c r="I2911" s="16" t="str">
        <x:v>Missing email</x:v>
      </x:c>
    </x:row>
    <x:row r="2912">
      <x:c r="A2912" s="16" t="n">
        <x:v>2909</x:v>
      </x:c>
      <x:c r="B2912" s="16" t="str">
        <x:v>Hafidah FAMA</x:v>
      </x:c>
      <x:c r="C2912" s="16" t="str"/>
      <x:c r="D2912" s="16" t="str"/>
      <x:c r="E2912" s="16" t="str">
        <x:v>* myContacts</x:v>
      </x:c>
      <x:c r="F2912" s="16" t="str">
        <x:v>+60 11-1313 6123 | +601113136123</x:v>
      </x:c>
      <x:c r="G2912" s="16" t="str">
        <x:v>+601113136123 | +601113136123</x:v>
      </x:c>
      <x:c r="H2912" s="16" t="str">
        <x:v>Excluded</x:v>
      </x:c>
      <x:c r="I2912" s="16" t="str">
        <x:v>Missing email</x:v>
      </x:c>
    </x:row>
    <x:row r="2913">
      <x:c r="A2913" s="16" t="n">
        <x:v>2910</x:v>
      </x:c>
      <x:c r="B2913" s="16" t="str">
        <x:v>Hafidz BDA</x:v>
      </x:c>
      <x:c r="C2913" s="16" t="str"/>
      <x:c r="D2913" s="16" t="str"/>
      <x:c r="E2913" s="16" t="str">
        <x:v>* myContacts</x:v>
      </x:c>
      <x:c r="F2913" s="16" t="str">
        <x:v>+60 12-399 0620 | +60123990620</x:v>
      </x:c>
      <x:c r="G2913" s="16" t="str">
        <x:v>+60123990620 | +60123990620</x:v>
      </x:c>
      <x:c r="H2913" s="16" t="str">
        <x:v>Excluded</x:v>
      </x:c>
      <x:c r="I2913" s="16" t="str">
        <x:v>Missing email</x:v>
      </x:c>
    </x:row>
    <x:row r="2914">
      <x:c r="A2914" s="16" t="n">
        <x:v>2911</x:v>
      </x:c>
      <x:c r="B2914" s="16" t="str">
        <x:v>Hafidz Kosmetik Jemaima</x:v>
      </x:c>
      <x:c r="C2914" s="16" t="str"/>
      <x:c r="D2914" s="16" t="str"/>
      <x:c r="E2914" s="16" t="str">
        <x:v>* myContacts</x:v>
      </x:c>
      <x:c r="F2914" s="16" t="str">
        <x:v>01110645225 | +601110645225</x:v>
      </x:c>
      <x:c r="G2914" s="16" t="str">
        <x:v>+601110645225 | +601110645225</x:v>
      </x:c>
      <x:c r="H2914" s="16" t="str">
        <x:v>Excluded</x:v>
      </x:c>
      <x:c r="I2914" s="16" t="str">
        <x:v>Missing email</x:v>
      </x:c>
    </x:row>
    <x:row r="2915">
      <x:c r="A2915" s="16" t="n">
        <x:v>2912</x:v>
      </x:c>
      <x:c r="B2915" s="16" t="str">
        <x:v>Hafidz ULTRA</x:v>
      </x:c>
      <x:c r="C2915" s="16" t="str"/>
      <x:c r="D2915" s="16" t="str"/>
      <x:c r="E2915" s="16" t="str">
        <x:v>* myContacts</x:v>
      </x:c>
      <x:c r="F2915" s="16" t="str">
        <x:v>+60123886762</x:v>
      </x:c>
      <x:c r="G2915" s="16" t="str">
        <x:v>+60123886762</x:v>
      </x:c>
      <x:c r="H2915" s="16" t="str">
        <x:v>Excluded</x:v>
      </x:c>
      <x:c r="I2915" s="16" t="str">
        <x:v>Missing email</x:v>
      </x:c>
    </x:row>
    <x:row r="2916">
      <x:c r="A2916" s="16" t="n">
        <x:v>2913</x:v>
      </x:c>
      <x:c r="B2916" s="16" t="str">
        <x:v>Hafidz Zulkhairi</x:v>
      </x:c>
      <x:c r="C2916" s="16" t="str"/>
      <x:c r="D2916" s="16" t="str"/>
      <x:c r="E2916" s="16" t="str">
        <x:v>* myContacts</x:v>
      </x:c>
      <x:c r="F2916" s="16" t="str">
        <x:v>+60182021997</x:v>
      </x:c>
      <x:c r="G2916" s="16" t="str">
        <x:v>+60182021997</x:v>
      </x:c>
      <x:c r="H2916" s="16" t="str">
        <x:v>Excluded</x:v>
      </x:c>
      <x:c r="I2916" s="16" t="str">
        <x:v>Missing email</x:v>
      </x:c>
    </x:row>
    <x:row r="2917">
      <x:c r="A2917" s="16" t="n">
        <x:v>2914</x:v>
      </x:c>
      <x:c r="B2917" s="16" t="str">
        <x:v>Hafis A Rahman</x:v>
      </x:c>
      <x:c r="C2917" s="16" t="str"/>
      <x:c r="D2917" s="16" t="str"/>
      <x:c r="E2917" s="16" t="str">
        <x:v>* myContacts</x:v>
      </x:c>
      <x:c r="F2917" s="16" t="str">
        <x:v>+60163110653</x:v>
      </x:c>
      <x:c r="G2917" s="16" t="str">
        <x:v>+60163110653</x:v>
      </x:c>
      <x:c r="H2917" s="16" t="str">
        <x:v>Excluded</x:v>
      </x:c>
      <x:c r="I2917" s="16" t="str">
        <x:v>Missing email</x:v>
      </x:c>
    </x:row>
    <x:row r="2918">
      <x:c r="A2918" s="16" t="n">
        <x:v>2915</x:v>
      </x:c>
      <x:c r="B2918" s="16" t="str">
        <x:v>Hafis Hatim</x:v>
      </x:c>
      <x:c r="C2918" s="16" t="str"/>
      <x:c r="D2918" s="16" t="str"/>
      <x:c r="E2918" s="16" t="str">
        <x:v>* myContacts</x:v>
      </x:c>
      <x:c r="F2918" s="16" t="str">
        <x:v>+60129901690</x:v>
      </x:c>
      <x:c r="G2918" s="16" t="str">
        <x:v>+60129901690</x:v>
      </x:c>
      <x:c r="H2918" s="16" t="str">
        <x:v>Excluded</x:v>
      </x:c>
      <x:c r="I2918" s="16" t="str">
        <x:v>Missing email</x:v>
      </x:c>
    </x:row>
    <x:row r="2919">
      <x:c r="A2919" s="16" t="n">
        <x:v>2916</x:v>
      </x:c>
      <x:c r="B2919" s="16" t="str">
        <x:v>Hafiz Al Husen</x:v>
      </x:c>
      <x:c r="C2919" s="16" t="str"/>
      <x:c r="D2919" s="16" t="str"/>
      <x:c r="E2919" s="16" t="str">
        <x:v>* myContacts</x:v>
      </x:c>
      <x:c r="F2919" s="16" t="str">
        <x:v>+60199303615</x:v>
      </x:c>
      <x:c r="G2919" s="16" t="str">
        <x:v>+60199303615</x:v>
      </x:c>
      <x:c r="H2919" s="16" t="str">
        <x:v>Excluded</x:v>
      </x:c>
      <x:c r="I2919" s="16" t="str">
        <x:v>Missing email</x:v>
      </x:c>
    </x:row>
    <x:row r="2920">
      <x:c r="A2920" s="16" t="n">
        <x:v>2917</x:v>
      </x:c>
      <x:c r="B2920" s="16" t="str">
        <x:v>Hafiz Camel Unta</x:v>
      </x:c>
      <x:c r="C2920" s="16" t="str"/>
      <x:c r="D2920" s="16" t="str"/>
      <x:c r="E2920" s="16" t="str">
        <x:v>* myContacts</x:v>
      </x:c>
      <x:c r="F2920" s="16" t="str">
        <x:v>+60193208422</x:v>
      </x:c>
      <x:c r="G2920" s="16" t="str">
        <x:v>+60193208422</x:v>
      </x:c>
      <x:c r="H2920" s="16" t="str">
        <x:v>Excluded</x:v>
      </x:c>
      <x:c r="I2920" s="16" t="str">
        <x:v>Missing email</x:v>
      </x:c>
    </x:row>
    <x:row r="2921">
      <x:c r="A2921" s="16" t="n">
        <x:v>2918</x:v>
      </x:c>
      <x:c r="B2921" s="16" t="str">
        <x:v>Hafiz Jazz Mdec Trainer</x:v>
      </x:c>
      <x:c r="C2921" s="16" t="str"/>
      <x:c r="D2921" s="16" t="str"/>
      <x:c r="E2921" s="16" t="str">
        <x:v>Trainer | * myContacts</x:v>
      </x:c>
      <x:c r="F2921" s="16" t="str">
        <x:v>+60 10-226 6077 | +60102266077</x:v>
      </x:c>
      <x:c r="G2921" s="16" t="str">
        <x:v>+60102266077 | +60102266077</x:v>
      </x:c>
      <x:c r="H2921" s="16" t="str">
        <x:v>Excluded</x:v>
      </x:c>
      <x:c r="I2921" s="16" t="str">
        <x:v>Missing email</x:v>
      </x:c>
    </x:row>
    <x:row r="2922">
      <x:c r="A2922" s="16" t="n">
        <x:v>2919</x:v>
      </x:c>
      <x:c r="B2922" s="16" t="str">
        <x:v>hafiz kindness</x:v>
      </x:c>
      <x:c r="C2922" s="16" t="str"/>
      <x:c r="D2922" s="16" t="str"/>
      <x:c r="E2922" s="16" t="str">
        <x:v>* myContacts</x:v>
      </x:c>
      <x:c r="F2922" s="16" t="str">
        <x:v>0135175022 | +60135175022</x:v>
      </x:c>
      <x:c r="G2922" s="16" t="str">
        <x:v>+60135175022 | +60135175022</x:v>
      </x:c>
      <x:c r="H2922" s="16" t="str">
        <x:v>Excluded</x:v>
      </x:c>
      <x:c r="I2922" s="16" t="str">
        <x:v>Missing email</x:v>
      </x:c>
    </x:row>
    <x:row r="2923">
      <x:c r="A2923" s="16" t="n">
        <x:v>2920</x:v>
      </x:c>
      <x:c r="B2923" s="16" t="str">
        <x:v>Hafiz Manap HK</x:v>
      </x:c>
      <x:c r="C2923" s="16" t="str"/>
      <x:c r="D2923" s="16" t="str"/>
      <x:c r="E2923" s="16" t="str">
        <x:v>* myContacts</x:v>
      </x:c>
      <x:c r="F2923" s="16" t="str">
        <x:v>+60173551235</x:v>
      </x:c>
      <x:c r="G2923" s="16" t="str">
        <x:v>+60173551235</x:v>
      </x:c>
      <x:c r="H2923" s="16" t="str">
        <x:v>Excluded</x:v>
      </x:c>
      <x:c r="I2923" s="16" t="str">
        <x:v>Missing email</x:v>
      </x:c>
    </x:row>
    <x:row r="2924">
      <x:c r="A2924" s="16" t="n">
        <x:v>2921</x:v>
      </x:c>
      <x:c r="B2924" s="16" t="str">
        <x:v>Hafiz Masiat IM</x:v>
      </x:c>
      <x:c r="C2924" s="16" t="str"/>
      <x:c r="D2924" s="16" t="str"/>
      <x:c r="E2924" s="16" t="str">
        <x:v>* myContacts</x:v>
      </x:c>
      <x:c r="F2924" s="16" t="str">
        <x:v>+60 19-629 1669 | +60196291669</x:v>
      </x:c>
      <x:c r="G2924" s="16" t="str">
        <x:v>+60196291669 | +60196291669</x:v>
      </x:c>
      <x:c r="H2924" s="16" t="str">
        <x:v>Excluded</x:v>
      </x:c>
      <x:c r="I2924" s="16" t="str">
        <x:v>Missing email</x:v>
      </x:c>
    </x:row>
    <x:row r="2925">
      <x:c r="A2925" s="16" t="n">
        <x:v>2922</x:v>
      </x:c>
      <x:c r="B2925" s="16" t="str">
        <x:v>Hafiz Muttalib Leo Leon</x:v>
      </x:c>
      <x:c r="C2925" s="16" t="str"/>
      <x:c r="D2925" s="16" t="str"/>
      <x:c r="E2925" s="16" t="str">
        <x:v>* myContacts</x:v>
      </x:c>
      <x:c r="F2925" s="16" t="str">
        <x:v>+4960123456789 | +4960123456789</x:v>
      </x:c>
      <x:c r="G2925" s="16" t="str">
        <x:v>+4960123456789 | +4960123456789</x:v>
      </x:c>
      <x:c r="H2925" s="16" t="str">
        <x:v>Excluded</x:v>
      </x:c>
      <x:c r="I2925" s="16" t="str">
        <x:v>Missing email</x:v>
      </x:c>
    </x:row>
    <x:row r="2926">
      <x:c r="A2926" s="16" t="n">
        <x:v>2923</x:v>
      </x:c>
      <x:c r="B2926" s="16" t="str">
        <x:v>Hafiz NLP</x:v>
      </x:c>
      <x:c r="C2926" s="16" t="str"/>
      <x:c r="D2926" s="16" t="str"/>
      <x:c r="E2926" s="16" t="str">
        <x:v>* myContacts</x:v>
      </x:c>
      <x:c r="F2926" s="16" t="str">
        <x:v>+60137375183</x:v>
      </x:c>
      <x:c r="G2926" s="16" t="str">
        <x:v>+60137375183</x:v>
      </x:c>
      <x:c r="H2926" s="16" t="str">
        <x:v>Excluded</x:v>
      </x:c>
      <x:c r="I2926" s="16" t="str">
        <x:v>Missing email</x:v>
      </x:c>
    </x:row>
    <x:row r="2927">
      <x:c r="A2927" s="16" t="n">
        <x:v>2924</x:v>
      </x:c>
      <x:c r="B2927" s="16" t="str">
        <x:v>Hafiz NLP Im</x:v>
      </x:c>
      <x:c r="C2927" s="16" t="str"/>
      <x:c r="D2927" s="16" t="str"/>
      <x:c r="E2927" s="16" t="str">
        <x:v>* myContacts</x:v>
      </x:c>
      <x:c r="F2927" s="16" t="str">
        <x:v>+60 12-537 7693 | +60125377693</x:v>
      </x:c>
      <x:c r="G2927" s="16" t="str">
        <x:v>+60125377693 | +60125377693</x:v>
      </x:c>
      <x:c r="H2927" s="16" t="str">
        <x:v>Excluded</x:v>
      </x:c>
      <x:c r="I2927" s="16" t="str">
        <x:v>Missing email</x:v>
      </x:c>
    </x:row>
    <x:row r="2928">
      <x:c r="A2928" s="16" t="n">
        <x:v>2925</x:v>
      </x:c>
      <x:c r="B2928" s="16" t="str">
        <x:v>Hafiz Ns Viral</x:v>
      </x:c>
      <x:c r="C2928" s="16" t="str"/>
      <x:c r="D2928" s="16" t="str"/>
      <x:c r="E2928" s="16" t="str">
        <x:v>* myContacts</x:v>
      </x:c>
      <x:c r="F2928" s="16" t="str">
        <x:v>016-265 1365 | +60162651365</x:v>
      </x:c>
      <x:c r="G2928" s="16" t="str">
        <x:v>+60162651365 | +60162651365</x:v>
      </x:c>
      <x:c r="H2928" s="16" t="str">
        <x:v>Excluded</x:v>
      </x:c>
      <x:c r="I2928" s="16" t="str">
        <x:v>Missing email</x:v>
      </x:c>
    </x:row>
    <x:row r="2929">
      <x:c r="A2929" s="16" t="n">
        <x:v>2926</x:v>
      </x:c>
      <x:c r="B2929" s="16" t="str">
        <x:v>Hafiz nusantara</x:v>
      </x:c>
      <x:c r="C2929" s="16" t="str"/>
      <x:c r="D2929" s="16" t="str"/>
      <x:c r="E2929" s="16" t="str">
        <x:v>* myContacts</x:v>
      </x:c>
      <x:c r="F2929" s="16" t="str">
        <x:v>+60 16-217 3422 | +60162173422</x:v>
      </x:c>
      <x:c r="G2929" s="16" t="str">
        <x:v>+60162173422 | +60162173422</x:v>
      </x:c>
      <x:c r="H2929" s="16" t="str">
        <x:v>Excluded</x:v>
      </x:c>
      <x:c r="I2929" s="16" t="str">
        <x:v>Missing email</x:v>
      </x:c>
    </x:row>
    <x:row r="2930">
      <x:c r="A2930" s="16" t="n">
        <x:v>2927</x:v>
      </x:c>
      <x:c r="B2930" s="16" t="str">
        <x:v>Hafiz Osman</x:v>
      </x:c>
      <x:c r="C2930" s="16" t="str"/>
      <x:c r="D2930" s="16" t="str"/>
      <x:c r="E2930" s="16" t="str">
        <x:v>* myContacts</x:v>
      </x:c>
      <x:c r="F2930" s="16" t="str">
        <x:v>+60107737955</x:v>
      </x:c>
      <x:c r="G2930" s="16" t="str">
        <x:v>+60107737955</x:v>
      </x:c>
      <x:c r="H2930" s="16" t="str">
        <x:v>Excluded</x:v>
      </x:c>
      <x:c r="I2930" s="16" t="str">
        <x:v>Missing email</x:v>
      </x:c>
    </x:row>
    <x:row r="2931">
      <x:c r="A2931" s="16" t="n">
        <x:v>2928</x:v>
      </x:c>
      <x:c r="B2931" s="16" t="str">
        <x:v>Hafiz Peugot</x:v>
      </x:c>
      <x:c r="C2931" s="16" t="str"/>
      <x:c r="D2931" s="16" t="str"/>
      <x:c r="E2931" s="16" t="str">
        <x:v>* myContacts</x:v>
      </x:c>
      <x:c r="F2931" s="16" t="str">
        <x:v>+60 19-205 5697 | +60192055697</x:v>
      </x:c>
      <x:c r="G2931" s="16" t="str">
        <x:v>+60192055697 | +60192055697</x:v>
      </x:c>
      <x:c r="H2931" s="16" t="str">
        <x:v>Excluded</x:v>
      </x:c>
      <x:c r="I2931" s="16" t="str">
        <x:v>Missing email</x:v>
      </x:c>
    </x:row>
    <x:row r="2932">
      <x:c r="A2932" s="16" t="n">
        <x:v>2929</x:v>
      </x:c>
      <x:c r="B2932" s="16" t="str">
        <x:v>Hafiz PPMM</x:v>
      </x:c>
      <x:c r="C2932" s="16" t="str"/>
      <x:c r="D2932" s="16" t="str"/>
      <x:c r="E2932" s="16" t="str">
        <x:v>* myContacts</x:v>
      </x:c>
      <x:c r="F2932" s="16" t="str">
        <x:v>+60 11-1163 7210 | +601111637210</x:v>
      </x:c>
      <x:c r="G2932" s="16" t="str">
        <x:v>+601111637210 | +601111637210</x:v>
      </x:c>
      <x:c r="H2932" s="16" t="str">
        <x:v>Excluded</x:v>
      </x:c>
      <x:c r="I2932" s="16" t="str">
        <x:v>Missing email</x:v>
      </x:c>
    </x:row>
    <x:row r="2933">
      <x:c r="A2933" s="16" t="n">
        <x:v>2930</x:v>
      </x:c>
      <x:c r="B2933" s="16" t="str">
        <x:v>Hafiz Solahuddin Associate</x:v>
      </x:c>
      <x:c r="C2933" s="16" t="str">
        <x:v>hafizadam.saa@gmail.com</x:v>
      </x:c>
      <x:c r="D2933" s="16" t="str">
        <x:v>hafizadam.saa@gmail.com</x:v>
      </x:c>
      <x:c r="E2933" s="16" t="str">
        <x:v>* myContacts</x:v>
      </x:c>
      <x:c r="F2933" s="16" t="str">
        <x:v>0142789784 | +60142789784 | +60 3-5511 2613</x:v>
      </x:c>
      <x:c r="G2933" s="16" t="str">
        <x:v>+60142789784 | +60142789784 | +60355112613</x:v>
      </x:c>
      <x:c r="H2933" s="16" t="str">
        <x:v>Eligible</x:v>
      </x:c>
      <x:c r="I2933" s="16" t="str"/>
    </x:row>
    <x:row r="2934">
      <x:c r="A2934" s="16" t="n">
        <x:v>2931</x:v>
      </x:c>
      <x:c r="B2934" s="16" t="str">
        <x:v>Hafiz Soqad Potera</x:v>
      </x:c>
      <x:c r="C2934" s="16" t="str"/>
      <x:c r="D2934" s="16" t="str"/>
      <x:c r="E2934" s="16" t="str">
        <x:v>* myContacts</x:v>
      </x:c>
      <x:c r="F2934" s="16" t="str">
        <x:v>+60138502600</x:v>
      </x:c>
      <x:c r="G2934" s="16" t="str">
        <x:v>+60138502600</x:v>
      </x:c>
      <x:c r="H2934" s="16" t="str">
        <x:v>Excluded</x:v>
      </x:c>
      <x:c r="I2934" s="16" t="str">
        <x:v>Missing email</x:v>
      </x:c>
    </x:row>
    <x:row r="2935">
      <x:c r="A2935" s="16" t="n">
        <x:v>2932</x:v>
      </x:c>
      <x:c r="B2935" s="16" t="str">
        <x:v>Hafiz Spire IP Consultant</x:v>
      </x:c>
      <x:c r="C2935" s="16" t="str"/>
      <x:c r="D2935" s="16" t="str"/>
      <x:c r="E2935" s="16" t="str">
        <x:v>* myContacts</x:v>
      </x:c>
      <x:c r="F2935" s="16" t="str">
        <x:v>+60 17-917 7355 | +60179177355</x:v>
      </x:c>
      <x:c r="G2935" s="16" t="str">
        <x:v>+60179177355 | +60179177355</x:v>
      </x:c>
      <x:c r="H2935" s="16" t="str">
        <x:v>Excluded</x:v>
      </x:c>
      <x:c r="I2935" s="16" t="str">
        <x:v>Missing email</x:v>
      </x:c>
    </x:row>
    <x:row r="2936">
      <x:c r="A2936" s="16" t="n">
        <x:v>2933</x:v>
      </x:c>
      <x:c r="B2936" s="16" t="str">
        <x:v>Hafiz Suhaimi Web Programming</x:v>
      </x:c>
      <x:c r="C2936" s="16" t="str"/>
      <x:c r="D2936" s="16" t="str"/>
      <x:c r="E2936" s="16" t="str">
        <x:v>* myContacts</x:v>
      </x:c>
      <x:c r="F2936" s="16" t="str">
        <x:v>0179371071 | +60179371071</x:v>
      </x:c>
      <x:c r="G2936" s="16" t="str">
        <x:v>+60179371071 | +60179371071</x:v>
      </x:c>
      <x:c r="H2936" s="16" t="str">
        <x:v>Excluded</x:v>
      </x:c>
      <x:c r="I2936" s="16" t="str">
        <x:v>Missing email</x:v>
      </x:c>
    </x:row>
    <x:row r="2937">
      <x:c r="A2937" s="16" t="n">
        <x:v>2934</x:v>
      </x:c>
      <x:c r="B2937" s="16" t="str">
        <x:v>Hafizah Kasdom</x:v>
      </x:c>
      <x:c r="C2937" s="16" t="str"/>
      <x:c r="D2937" s="16" t="str"/>
      <x:c r="E2937" s="16" t="str">
        <x:v>* myContacts</x:v>
      </x:c>
      <x:c r="F2937" s="16" t="str">
        <x:v>+60127113551</x:v>
      </x:c>
      <x:c r="G2937" s="16" t="str">
        <x:v>+60127113551</x:v>
      </x:c>
      <x:c r="H2937" s="16" t="str">
        <x:v>Excluded</x:v>
      </x:c>
      <x:c r="I2937" s="16" t="str">
        <x:v>Missing email</x:v>
      </x:c>
    </x:row>
    <x:row r="2938">
      <x:c r="A2938" s="16" t="n">
        <x:v>2935</x:v>
      </x:c>
      <x:c r="B2938" s="16" t="str">
        <x:v>Hafizah Rahim</x:v>
      </x:c>
      <x:c r="C2938" s="16" t="str"/>
      <x:c r="D2938" s="16" t="str"/>
      <x:c r="E2938" s="16" t="str">
        <x:v>* myContacts</x:v>
      </x:c>
      <x:c r="F2938" s="16" t="str">
        <x:v>+60122542966</x:v>
      </x:c>
      <x:c r="G2938" s="16" t="str">
        <x:v>+60122542966</x:v>
      </x:c>
      <x:c r="H2938" s="16" t="str">
        <x:v>Excluded</x:v>
      </x:c>
      <x:c r="I2938" s="16" t="str">
        <x:v>Missing email</x:v>
      </x:c>
    </x:row>
    <x:row r="2939">
      <x:c r="A2939" s="16" t="n">
        <x:v>2936</x:v>
      </x:c>
      <x:c r="B2939" s="16" t="str">
        <x:v>Hafizah Satarudin</x:v>
      </x:c>
      <x:c r="C2939" s="16" t="str"/>
      <x:c r="D2939" s="16" t="str"/>
      <x:c r="E2939" s="16" t="str">
        <x:v>* myContacts</x:v>
      </x:c>
      <x:c r="F2939" s="16" t="str">
        <x:v>+60189484163</x:v>
      </x:c>
      <x:c r="G2939" s="16" t="str">
        <x:v>+60189484163</x:v>
      </x:c>
      <x:c r="H2939" s="16" t="str">
        <x:v>Excluded</x:v>
      </x:c>
      <x:c r="I2939" s="16" t="str">
        <x:v>Missing email</x:v>
      </x:c>
    </x:row>
    <x:row r="2940">
      <x:c r="A2940" s="16" t="n">
        <x:v>2937</x:v>
      </x:c>
      <x:c r="B2940" s="16" t="str">
        <x:v>Hafizal Design Power</x:v>
      </x:c>
      <x:c r="C2940" s="16" t="str"/>
      <x:c r="D2940" s="16" t="str"/>
      <x:c r="E2940" s="16" t="str">
        <x:v>* myContacts</x:v>
      </x:c>
      <x:c r="F2940" s="16" t="str">
        <x:v>0176734294 | +60176734294</x:v>
      </x:c>
      <x:c r="G2940" s="16" t="str">
        <x:v>+60176734294 | +60176734294</x:v>
      </x:c>
      <x:c r="H2940" s="16" t="str">
        <x:v>Excluded</x:v>
      </x:c>
      <x:c r="I2940" s="16" t="str">
        <x:v>Missing email</x:v>
      </x:c>
    </x:row>
    <x:row r="2941">
      <x:c r="A2941" s="16" t="n">
        <x:v>2938</x:v>
      </x:c>
      <x:c r="B2941" s="16" t="str">
        <x:v>Hafizal Johari Ai Expert</x:v>
      </x:c>
      <x:c r="C2941" s="16" t="str"/>
      <x:c r="D2941" s="16" t="str"/>
      <x:c r="E2941" s="16" t="str">
        <x:v>* myContacts</x:v>
      </x:c>
      <x:c r="F2941" s="16" t="str">
        <x:v>+60 18-764 1741 | +60187641741</x:v>
      </x:c>
      <x:c r="G2941" s="16" t="str">
        <x:v>+60187641741 | +60187641741</x:v>
      </x:c>
      <x:c r="H2941" s="16" t="str">
        <x:v>Excluded</x:v>
      </x:c>
      <x:c r="I2941" s="16" t="str">
        <x:v>Missing email</x:v>
      </x:c>
    </x:row>
    <x:row r="2942">
      <x:c r="A2942" s="16" t="n">
        <x:v>2939</x:v>
      </x:c>
      <x:c r="B2942" s="16" t="str">
        <x:v>Hafizan Aadk</x:v>
      </x:c>
      <x:c r="C2942" s="16" t="str"/>
      <x:c r="D2942" s="16" t="str"/>
      <x:c r="E2942" s="16" t="str">
        <x:v>* myContacts</x:v>
      </x:c>
      <x:c r="F2942" s="16" t="str">
        <x:v>+60 10-220 6242 | +60102206242</x:v>
      </x:c>
      <x:c r="G2942" s="16" t="str">
        <x:v>+60102206242 | +60102206242</x:v>
      </x:c>
      <x:c r="H2942" s="16" t="str">
        <x:v>Excluded</x:v>
      </x:c>
      <x:c r="I2942" s="16" t="str">
        <x:v>Missing email</x:v>
      </x:c>
    </x:row>
    <x:row r="2943">
      <x:c r="A2943" s="16" t="n">
        <x:v>2940</x:v>
      </x:c>
      <x:c r="B2943" s="16" t="str">
        <x:v>Hafizan Bin Mohd Noor</x:v>
      </x:c>
      <x:c r="C2943" s="16" t="str"/>
      <x:c r="D2943" s="16" t="str"/>
      <x:c r="E2943" s="16" t="str">
        <x:v>* myContacts</x:v>
      </x:c>
      <x:c r="F2943" s="16" t="str">
        <x:v>+60175035764</x:v>
      </x:c>
      <x:c r="G2943" s="16" t="str">
        <x:v>+60175035764</x:v>
      </x:c>
      <x:c r="H2943" s="16" t="str">
        <x:v>Excluded</x:v>
      </x:c>
      <x:c r="I2943" s="16" t="str">
        <x:v>Missing email</x:v>
      </x:c>
    </x:row>
    <x:row r="2944">
      <x:c r="A2944" s="16" t="n">
        <x:v>2941</x:v>
      </x:c>
      <x:c r="B2944" s="16" t="str">
        <x:v>Hafizi Utm</x:v>
      </x:c>
      <x:c r="C2944" s="16" t="str"/>
      <x:c r="D2944" s="16" t="str"/>
      <x:c r="E2944" s="16" t="str">
        <x:v>* myContacts</x:v>
      </x:c>
      <x:c r="F2944" s="16" t="str">
        <x:v>+60 11-6490 9493 | +601164909493</x:v>
      </x:c>
      <x:c r="G2944" s="16" t="str">
        <x:v>+601164909493 | +601164909493</x:v>
      </x:c>
      <x:c r="H2944" s="16" t="str">
        <x:v>Excluded</x:v>
      </x:c>
      <x:c r="I2944" s="16" t="str">
        <x:v>Missing email</x:v>
      </x:c>
    </x:row>
    <x:row r="2945">
      <x:c r="A2945" s="16" t="n">
        <x:v>2942</x:v>
      </x:c>
      <x:c r="B2945" s="16" t="str">
        <x:v>Hafizin</x:v>
      </x:c>
      <x:c r="C2945" s="16" t="str"/>
      <x:c r="D2945" s="16" t="str"/>
      <x:c r="E2945" s="16" t="str">
        <x:v>* myContacts</x:v>
      </x:c>
      <x:c r="F2945" s="16" t="str">
        <x:v>+60 19-347 3147 | +60193473147</x:v>
      </x:c>
      <x:c r="G2945" s="16" t="str">
        <x:v>+60193473147 | +60193473147</x:v>
      </x:c>
      <x:c r="H2945" s="16" t="str">
        <x:v>Excluded</x:v>
      </x:c>
      <x:c r="I2945" s="16" t="str">
        <x:v>Missing email</x:v>
      </x:c>
    </x:row>
    <x:row r="2946">
      <x:c r="A2946" s="16" t="n">
        <x:v>2943</x:v>
      </x:c>
      <x:c r="B2946" s="16" t="str">
        <x:v>Hafizuddin Bin Othman</x:v>
      </x:c>
      <x:c r="C2946" s="16" t="str"/>
      <x:c r="D2946" s="16" t="str"/>
      <x:c r="E2946" s="16" t="str">
        <x:v>* myContacts</x:v>
      </x:c>
      <x:c r="F2946" s="16" t="str">
        <x:v>+60105081990</x:v>
      </x:c>
      <x:c r="G2946" s="16" t="str">
        <x:v>+60105081990</x:v>
      </x:c>
      <x:c r="H2946" s="16" t="str">
        <x:v>Excluded</x:v>
      </x:c>
      <x:c r="I2946" s="16" t="str">
        <x:v>Missing email</x:v>
      </x:c>
    </x:row>
    <x:row r="2947">
      <x:c r="A2947" s="16" t="n">
        <x:v>2944</x:v>
      </x:c>
      <x:c r="B2947" s="16" t="str">
        <x:v>Hafizul Azli</x:v>
      </x:c>
      <x:c r="C2947" s="16" t="str"/>
      <x:c r="D2947" s="16" t="str"/>
      <x:c r="E2947" s="16" t="str">
        <x:v>* myContacts</x:v>
      </x:c>
      <x:c r="F2947" s="16" t="str">
        <x:v>+821048671771</x:v>
      </x:c>
      <x:c r="G2947" s="16" t="str">
        <x:v>+821048671771</x:v>
      </x:c>
      <x:c r="H2947" s="16" t="str">
        <x:v>Excluded</x:v>
      </x:c>
      <x:c r="I2947" s="16" t="str">
        <x:v>Missing email</x:v>
      </x:c>
    </x:row>
    <x:row r="2948">
      <x:c r="A2948" s="16" t="n">
        <x:v>2945</x:v>
      </x:c>
      <x:c r="B2948" s="16" t="str">
        <x:v>Hafizul Baharuddin</x:v>
      </x:c>
      <x:c r="C2948" s="16" t="str"/>
      <x:c r="D2948" s="16" t="str"/>
      <x:c r="E2948" s="16" t="str">
        <x:v>* myContacts</x:v>
      </x:c>
      <x:c r="F2948" s="16" t="str">
        <x:v>+60179357014</x:v>
      </x:c>
      <x:c r="G2948" s="16" t="str">
        <x:v>+60179357014</x:v>
      </x:c>
      <x:c r="H2948" s="16" t="str">
        <x:v>Excluded</x:v>
      </x:c>
      <x:c r="I2948" s="16" t="str">
        <x:v>Missing email</x:v>
      </x:c>
    </x:row>
    <x:row r="2949">
      <x:c r="A2949" s="16" t="n">
        <x:v>2946</x:v>
      </x:c>
      <x:c r="B2949" s="16" t="str">
        <x:v>Hafizzy Shubari</x:v>
      </x:c>
      <x:c r="C2949" s="16" t="str">
        <x:v>hafizzy.shubari@digitalroute.com</x:v>
      </x:c>
      <x:c r="D2949" s="16" t="str">
        <x:v>hafizzy.shubari@digitalroute.com</x:v>
      </x:c>
      <x:c r="E2949" s="16" t="str">
        <x:v>* myContacts</x:v>
      </x:c>
      <x:c r="F2949" s="16" t="str">
        <x:v>+60122079782 | +60378871118</x:v>
      </x:c>
      <x:c r="G2949" s="16" t="str">
        <x:v>+60122079782 | +60378871118</x:v>
      </x:c>
      <x:c r="H2949" s="16" t="str">
        <x:v>Eligible</x:v>
      </x:c>
      <x:c r="I2949" s="16" t="str"/>
    </x:row>
    <x:row r="2950">
      <x:c r="A2950" s="16" t="n">
        <x:v>2947</x:v>
      </x:c>
      <x:c r="B2950" s="16" t="str">
        <x:v>Hafsah Ahmad</x:v>
      </x:c>
      <x:c r="C2950" s="16" t="str"/>
      <x:c r="D2950" s="16" t="str"/>
      <x:c r="E2950" s="16" t="str">
        <x:v>* myContacts</x:v>
      </x:c>
      <x:c r="F2950" s="16" t="str">
        <x:v>+601135352189</x:v>
      </x:c>
      <x:c r="G2950" s="16" t="str">
        <x:v>+601135352189</x:v>
      </x:c>
      <x:c r="H2950" s="16" t="str">
        <x:v>Excluded</x:v>
      </x:c>
      <x:c r="I2950" s="16" t="str">
        <x:v>Missing email</x:v>
      </x:c>
    </x:row>
    <x:row r="2951">
      <x:c r="A2951" s="16" t="n">
        <x:v>2948</x:v>
      </x:c>
      <x:c r="B2951" s="16" t="str">
        <x:v>Hafshah Mohamad</x:v>
      </x:c>
      <x:c r="C2951" s="16" t="str"/>
      <x:c r="D2951" s="16" t="str"/>
      <x:c r="E2951" s="16" t="str">
        <x:v>* myContacts</x:v>
      </x:c>
      <x:c r="F2951" s="16" t="str">
        <x:v>+601125697347</x:v>
      </x:c>
      <x:c r="G2951" s="16" t="str">
        <x:v>+601125697347</x:v>
      </x:c>
      <x:c r="H2951" s="16" t="str">
        <x:v>Excluded</x:v>
      </x:c>
      <x:c r="I2951" s="16" t="str">
        <x:v>Missing email</x:v>
      </x:c>
    </x:row>
    <x:row r="2952">
      <x:c r="A2952" s="16" t="n">
        <x:v>2949</x:v>
      </x:c>
      <x:c r="B2952" s="16" t="str">
        <x:v>Hafsham Mohd Sharif</x:v>
      </x:c>
      <x:c r="C2952" s="16" t="str"/>
      <x:c r="D2952" s="16" t="str"/>
      <x:c r="E2952" s="16" t="str">
        <x:v>* myContacts</x:v>
      </x:c>
      <x:c r="F2952" s="16" t="str">
        <x:v>+60143130627</x:v>
      </x:c>
      <x:c r="G2952" s="16" t="str">
        <x:v>+60143130627</x:v>
      </x:c>
      <x:c r="H2952" s="16" t="str">
        <x:v>Excluded</x:v>
      </x:c>
      <x:c r="I2952" s="16" t="str">
        <x:v>Missing email</x:v>
      </x:c>
    </x:row>
    <x:row r="2953">
      <x:c r="A2953" s="16" t="n">
        <x:v>2950</x:v>
      </x:c>
      <x:c r="B2953" s="16" t="str">
        <x:v>Haidi Didiey Walid</x:v>
      </x:c>
      <x:c r="C2953" s="16" t="str"/>
      <x:c r="D2953" s="16" t="str"/>
      <x:c r="E2953" s="16" t="str">
        <x:v>* myContacts</x:v>
      </x:c>
      <x:c r="F2953" s="16" t="str">
        <x:v>+60127392093</x:v>
      </x:c>
      <x:c r="G2953" s="16" t="str">
        <x:v>+60127392093</x:v>
      </x:c>
      <x:c r="H2953" s="16" t="str">
        <x:v>Excluded</x:v>
      </x:c>
      <x:c r="I2953" s="16" t="str">
        <x:v>Missing email</x:v>
      </x:c>
    </x:row>
    <x:row r="2954">
      <x:c r="A2954" s="16" t="n">
        <x:v>2951</x:v>
      </x:c>
      <x:c r="B2954" s="16" t="str">
        <x:v>Haikal Abibumi</x:v>
      </x:c>
      <x:c r="C2954" s="16" t="str"/>
      <x:c r="D2954" s="16" t="str"/>
      <x:c r="E2954" s="16" t="str">
        <x:v>* myContacts</x:v>
      </x:c>
      <x:c r="F2954" s="16" t="str">
        <x:v>+601131989400</x:v>
      </x:c>
      <x:c r="G2954" s="16" t="str">
        <x:v>+601131989400</x:v>
      </x:c>
      <x:c r="H2954" s="16" t="str">
        <x:v>Excluded</x:v>
      </x:c>
      <x:c r="I2954" s="16" t="str">
        <x:v>Missing email</x:v>
      </x:c>
    </x:row>
    <x:row r="2955">
      <x:c r="A2955" s="16" t="n">
        <x:v>2952</x:v>
      </x:c>
      <x:c r="B2955" s="16" t="str">
        <x:v>Haikal Mdec IM</x:v>
      </x:c>
      <x:c r="C2955" s="16" t="str"/>
      <x:c r="D2955" s="16" t="str"/>
      <x:c r="E2955" s="16" t="str">
        <x:v>* myContacts</x:v>
      </x:c>
      <x:c r="F2955" s="16" t="str">
        <x:v>0192717192 | +60192717192</x:v>
      </x:c>
      <x:c r="G2955" s="16" t="str">
        <x:v>+60192717192 | +60192717192</x:v>
      </x:c>
      <x:c r="H2955" s="16" t="str">
        <x:v>Excluded</x:v>
      </x:c>
      <x:c r="I2955" s="16" t="str">
        <x:v>Missing email</x:v>
      </x:c>
    </x:row>
    <x:row r="2956">
      <x:c r="A2956" s="16" t="n">
        <x:v>2953</x:v>
      </x:c>
      <x:c r="B2956" s="16" t="str">
        <x:v>Haikel Yusry Kru</x:v>
      </x:c>
      <x:c r="C2956" s="16" t="str"/>
      <x:c r="D2956" s="16" t="str"/>
      <x:c r="E2956" s="16" t="str">
        <x:v>* myContacts</x:v>
      </x:c>
      <x:c r="F2956" s="16" t="str">
        <x:v>+81194256374</x:v>
      </x:c>
      <x:c r="G2956" s="16" t="str">
        <x:v>+81194256374</x:v>
      </x:c>
      <x:c r="H2956" s="16" t="str">
        <x:v>Excluded</x:v>
      </x:c>
      <x:c r="I2956" s="16" t="str">
        <x:v>Missing email</x:v>
      </x:c>
    </x:row>
    <x:row r="2957">
      <x:c r="A2957" s="16" t="n">
        <x:v>2954</x:v>
      </x:c>
      <x:c r="B2957" s="16" t="str">
        <x:v>Hairil Hashim</x:v>
      </x:c>
      <x:c r="C2957" s="16" t="str"/>
      <x:c r="D2957" s="16" t="str"/>
      <x:c r="E2957" s="16" t="str">
        <x:v>* myContacts</x:v>
      </x:c>
      <x:c r="F2957" s="16" t="str">
        <x:v>+60192153579</x:v>
      </x:c>
      <x:c r="G2957" s="16" t="str">
        <x:v>+60192153579</x:v>
      </x:c>
      <x:c r="H2957" s="16" t="str">
        <x:v>Excluded</x:v>
      </x:c>
      <x:c r="I2957" s="16" t="str">
        <x:v>Missing email</x:v>
      </x:c>
    </x:row>
    <x:row r="2958">
      <x:c r="A2958" s="16" t="n">
        <x:v>2955</x:v>
      </x:c>
      <x:c r="B2958" s="16" t="str">
        <x:v>Hairul Anuar</x:v>
      </x:c>
      <x:c r="C2958" s="16" t="str"/>
      <x:c r="D2958" s="16" t="str"/>
      <x:c r="E2958" s="16" t="str">
        <x:v>* myContacts</x:v>
      </x:c>
      <x:c r="F2958" s="16" t="str">
        <x:v>+60142206506</x:v>
      </x:c>
      <x:c r="G2958" s="16" t="str">
        <x:v>+60142206506</x:v>
      </x:c>
      <x:c r="H2958" s="16" t="str">
        <x:v>Excluded</x:v>
      </x:c>
      <x:c r="I2958" s="16" t="str">
        <x:v>Missing email</x:v>
      </x:c>
    </x:row>
    <x:row r="2959">
      <x:c r="A2959" s="16" t="n">
        <x:v>2956</x:v>
      </x:c>
      <x:c r="B2959" s="16" t="str">
        <x:v>Hairul Biadara lab</x:v>
      </x:c>
      <x:c r="C2959" s="16" t="str"/>
      <x:c r="D2959" s="16" t="str"/>
      <x:c r="E2959" s="16" t="str">
        <x:v>* myContacts</x:v>
      </x:c>
      <x:c r="F2959" s="16" t="str">
        <x:v>+60 19-666 6291 | +60196666291</x:v>
      </x:c>
      <x:c r="G2959" s="16" t="str">
        <x:v>+60196666291 | +60196666291</x:v>
      </x:c>
      <x:c r="H2959" s="16" t="str">
        <x:v>Excluded</x:v>
      </x:c>
      <x:c r="I2959" s="16" t="str">
        <x:v>Missing email</x:v>
      </x:c>
    </x:row>
    <x:row r="2960">
      <x:c r="A2960" s="16" t="n">
        <x:v>2957</x:v>
      </x:c>
      <x:c r="B2960" s="16" t="str">
        <x:v>Hairulnizam AGP</x:v>
      </x:c>
      <x:c r="C2960" s="16" t="str"/>
      <x:c r="D2960" s="16" t="str"/>
      <x:c r="E2960" s="16" t="str">
        <x:v>* myContacts</x:v>
      </x:c>
      <x:c r="F2960" s="16" t="str">
        <x:v>+60 13-740 0030 | +60137400030</x:v>
      </x:c>
      <x:c r="G2960" s="16" t="str">
        <x:v>+60137400030 | +60137400030</x:v>
      </x:c>
      <x:c r="H2960" s="16" t="str">
        <x:v>Excluded</x:v>
      </x:c>
      <x:c r="I2960" s="16" t="str">
        <x:v>Missing email</x:v>
      </x:c>
    </x:row>
    <x:row r="2961">
      <x:c r="A2961" s="16" t="n">
        <x:v>2958</x:v>
      </x:c>
      <x:c r="B2961" s="16" t="str">
        <x:v>Haizul Yahaya</x:v>
      </x:c>
      <x:c r="C2961" s="16" t="str"/>
      <x:c r="D2961" s="16" t="str"/>
      <x:c r="E2961" s="16" t="str">
        <x:v>* myContacts</x:v>
      </x:c>
      <x:c r="F2961" s="16" t="str">
        <x:v>+60125589831</x:v>
      </x:c>
      <x:c r="G2961" s="16" t="str">
        <x:v>+60125589831</x:v>
      </x:c>
      <x:c r="H2961" s="16" t="str">
        <x:v>Excluded</x:v>
      </x:c>
      <x:c r="I2961" s="16" t="str">
        <x:v>Missing email</x:v>
      </x:c>
    </x:row>
    <x:row r="2962">
      <x:c r="A2962" s="16" t="n">
        <x:v>2959</x:v>
      </x:c>
      <x:c r="B2962" s="16" t="str">
        <x:v>Hajah BB Trainer</x:v>
      </x:c>
      <x:c r="C2962" s="16" t="str"/>
      <x:c r="D2962" s="16" t="str"/>
      <x:c r="E2962" s="16" t="str">
        <x:v>Trainer | * myContacts</x:v>
      </x:c>
      <x:c r="F2962" s="16" t="str">
        <x:v>+60109370870</x:v>
      </x:c>
      <x:c r="G2962" s="16" t="str">
        <x:v>+60109370870</x:v>
      </x:c>
      <x:c r="H2962" s="16" t="str">
        <x:v>Excluded</x:v>
      </x:c>
      <x:c r="I2962" s="16" t="str">
        <x:v>Missing email</x:v>
      </x:c>
    </x:row>
    <x:row r="2963">
      <x:c r="A2963" s="16" t="n">
        <x:v>2960</x:v>
      </x:c>
      <x:c r="B2963" s="16" t="str">
        <x:v>Hajah Siti Student</x:v>
      </x:c>
      <x:c r="C2963" s="16" t="str"/>
      <x:c r="D2963" s="16" t="str"/>
      <x:c r="E2963" s="16" t="str">
        <x:v>* myContacts</x:v>
      </x:c>
      <x:c r="F2963" s="16" t="str">
        <x:v>0193684465 | +60193684465</x:v>
      </x:c>
      <x:c r="G2963" s="16" t="str">
        <x:v>+60193684465 | +60193684465</x:v>
      </x:c>
      <x:c r="H2963" s="16" t="str">
        <x:v>Excluded</x:v>
      </x:c>
      <x:c r="I2963" s="16" t="str">
        <x:v>Missing email</x:v>
      </x:c>
    </x:row>
    <x:row r="2964">
      <x:c r="A2964" s="16" t="n">
        <x:v>2961</x:v>
      </x:c>
      <x:c r="B2964" s="16" t="str">
        <x:v>Hajar Merong Freight</x:v>
      </x:c>
      <x:c r="C2964" s="16" t="str"/>
      <x:c r="D2964" s="16" t="str"/>
      <x:c r="E2964" s="16" t="str">
        <x:v>* myContacts</x:v>
      </x:c>
      <x:c r="F2964" s="16" t="str">
        <x:v>+60 11-3231 1922 | +601132311922</x:v>
      </x:c>
      <x:c r="G2964" s="16" t="str">
        <x:v>+601132311922 | +601132311922</x:v>
      </x:c>
      <x:c r="H2964" s="16" t="str">
        <x:v>Excluded</x:v>
      </x:c>
      <x:c r="I2964" s="16" t="str">
        <x:v>Missing email</x:v>
      </x:c>
    </x:row>
    <x:row r="2965">
      <x:c r="A2965" s="16" t="n">
        <x:v>2962</x:v>
      </x:c>
      <x:c r="B2965" s="16" t="str">
        <x:v>haji azizi</x:v>
      </x:c>
      <x:c r="C2965" s="16" t="str"/>
      <x:c r="D2965" s="16" t="str"/>
      <x:c r="E2965" s="16" t="str">
        <x:v>* myContacts</x:v>
      </x:c>
      <x:c r="F2965" s="16" t="str">
        <x:v>0122349671 | +60122349671</x:v>
      </x:c>
      <x:c r="G2965" s="16" t="str">
        <x:v>+60122349671 | +60122349671</x:v>
      </x:c>
      <x:c r="H2965" s="16" t="str">
        <x:v>Excluded</x:v>
      </x:c>
      <x:c r="I2965" s="16" t="str">
        <x:v>Missing email</x:v>
      </x:c>
    </x:row>
    <x:row r="2966">
      <x:c r="A2966" s="16" t="n">
        <x:v>2963</x:v>
      </x:c>
      <x:c r="B2966" s="16" t="str">
        <x:v>Haji Rahman Consultant Network A Star</x:v>
      </x:c>
      <x:c r="C2966" s="16" t="str"/>
      <x:c r="D2966" s="16" t="str"/>
      <x:c r="E2966" s="16" t="str">
        <x:v>* myContacts</x:v>
      </x:c>
      <x:c r="F2966" s="16" t="str">
        <x:v>+60 19-398 2986 | +60193982986</x:v>
      </x:c>
      <x:c r="G2966" s="16" t="str">
        <x:v>+60193982986 | +60193982986</x:v>
      </x:c>
      <x:c r="H2966" s="16" t="str">
        <x:v>Excluded</x:v>
      </x:c>
      <x:c r="I2966" s="16" t="str">
        <x:v>Missing email</x:v>
      </x:c>
    </x:row>
    <x:row r="2967">
      <x:c r="A2967" s="16" t="n">
        <x:v>2964</x:v>
      </x:c>
      <x:c r="B2967" s="16" t="str">
        <x:v>Haji Rosli Toyyibpay. com</x:v>
      </x:c>
      <x:c r="C2967" s="16" t="str"/>
      <x:c r="D2967" s="16" t="str"/>
      <x:c r="E2967" s="16" t="str">
        <x:v>* myContacts</x:v>
      </x:c>
      <x:c r="F2967" s="16" t="str">
        <x:v>+60 13-340 1968 | +60133401968</x:v>
      </x:c>
      <x:c r="G2967" s="16" t="str">
        <x:v>+60133401968 | +60133401968</x:v>
      </x:c>
      <x:c r="H2967" s="16" t="str">
        <x:v>Excluded</x:v>
      </x:c>
      <x:c r="I2967" s="16" t="str">
        <x:v>Missing email</x:v>
      </x:c>
    </x:row>
    <x:row r="2968">
      <x:c r="A2968" s="16" t="n">
        <x:v>2965</x:v>
      </x:c>
      <x:c r="B2968" s="16" t="str">
        <x:v>Haji Shamsuddin Kmma Carpet Samsudin</x:v>
      </x:c>
      <x:c r="C2968" s="16" t="str"/>
      <x:c r="D2968" s="16" t="str"/>
      <x:c r="E2968" s="16" t="str">
        <x:v>* myContacts</x:v>
      </x:c>
      <x:c r="F2968" s="16" t="str">
        <x:v>+60199840630</x:v>
      </x:c>
      <x:c r="G2968" s="16" t="str">
        <x:v>+60199840630</x:v>
      </x:c>
      <x:c r="H2968" s="16" t="str">
        <x:v>Excluded</x:v>
      </x:c>
      <x:c r="I2968" s="16" t="str">
        <x:v>Missing email</x:v>
      </x:c>
    </x:row>
    <x:row r="2969">
      <x:c r="A2969" s="16" t="n">
        <x:v>2966</x:v>
      </x:c>
      <x:c r="B2969" s="16" t="str">
        <x:v>Haji Subri</x:v>
      </x:c>
      <x:c r="C2969" s="16" t="str"/>
      <x:c r="D2969" s="16" t="str"/>
      <x:c r="E2969" s="16" t="str">
        <x:v>* myContacts</x:v>
      </x:c>
      <x:c r="F2969" s="16" t="str">
        <x:v>+60 12-699 7448 | +60126997448</x:v>
      </x:c>
      <x:c r="G2969" s="16" t="str">
        <x:v>+60126997448 | +60126997448</x:v>
      </x:c>
      <x:c r="H2969" s="16" t="str">
        <x:v>Excluded</x:v>
      </x:c>
      <x:c r="I2969" s="16" t="str">
        <x:v>Missing email</x:v>
      </x:c>
    </x:row>
    <x:row r="2970">
      <x:c r="A2970" s="16" t="n">
        <x:v>2967</x:v>
      </x:c>
      <x:c r="B2970" s="16" t="str">
        <x:v>Haji Sulaiman AGP</x:v>
      </x:c>
      <x:c r="C2970" s="16" t="str"/>
      <x:c r="D2970" s="16" t="str"/>
      <x:c r="E2970" s="16" t="str">
        <x:v>* myContacts</x:v>
      </x:c>
      <x:c r="F2970" s="16" t="str">
        <x:v>+60 17-303 0639 | +60173030639</x:v>
      </x:c>
      <x:c r="G2970" s="16" t="str">
        <x:v>+60173030639 | +60173030639</x:v>
      </x:c>
      <x:c r="H2970" s="16" t="str">
        <x:v>Excluded</x:v>
      </x:c>
      <x:c r="I2970" s="16" t="str">
        <x:v>Missing email</x:v>
      </x:c>
    </x:row>
    <x:row r="2971">
      <x:c r="A2971" s="16" t="n">
        <x:v>2968</x:v>
      </x:c>
      <x:c r="B2971" s="16" t="str">
        <x:v>Haji Zahar Trainet I TEKAD dari Bank Muamalat</x:v>
      </x:c>
      <x:c r="C2971" s="16" t="str"/>
      <x:c r="D2971" s="16" t="str"/>
      <x:c r="E2971" s="16" t="str">
        <x:v>* myContacts</x:v>
      </x:c>
      <x:c r="F2971" s="16" t="str">
        <x:v>0122871573 | +60122871573</x:v>
      </x:c>
      <x:c r="G2971" s="16" t="str">
        <x:v>+60122871573 | +60122871573</x:v>
      </x:c>
      <x:c r="H2971" s="16" t="str">
        <x:v>Excluded</x:v>
      </x:c>
      <x:c r="I2971" s="16" t="str">
        <x:v>Missing email</x:v>
      </x:c>
    </x:row>
    <x:row r="2972">
      <x:c r="A2972" s="16" t="n">
        <x:v>2969</x:v>
      </x:c>
      <x:c r="B2972" s="16" t="str">
        <x:v>Dr Hakim DPIM Pusrawi</x:v>
      </x:c>
      <x:c r="C2972" s="16" t="str"/>
      <x:c r="D2972" s="16" t="str"/>
      <x:c r="E2972" s="16" t="str">
        <x:v>* myContacts</x:v>
      </x:c>
      <x:c r="F2972" s="16" t="str">
        <x:v>+60 19-667 8666</x:v>
      </x:c>
      <x:c r="G2972" s="16" t="str">
        <x:v>+60196678666</x:v>
      </x:c>
      <x:c r="H2972" s="16" t="str">
        <x:v>Excluded</x:v>
      </x:c>
      <x:c r="I2972" s="16" t="str">
        <x:v>Missing email</x:v>
      </x:c>
    </x:row>
    <x:row r="2973">
      <x:c r="A2973" s="16" t="n">
        <x:v>2970</x:v>
      </x:c>
      <x:c r="B2973" s="16" t="str">
        <x:v>Hakim Ismail</x:v>
      </x:c>
      <x:c r="C2973" s="16" t="str"/>
      <x:c r="D2973" s="16" t="str"/>
      <x:c r="E2973" s="16" t="str">
        <x:v>* myContacts</x:v>
      </x:c>
      <x:c r="F2973" s="16" t="str">
        <x:v>+60126869757</x:v>
      </x:c>
      <x:c r="G2973" s="16" t="str">
        <x:v>+60126869757</x:v>
      </x:c>
      <x:c r="H2973" s="16" t="str">
        <x:v>Excluded</x:v>
      </x:c>
      <x:c r="I2973" s="16" t="str">
        <x:v>Missing email</x:v>
      </x:c>
    </x:row>
    <x:row r="2974">
      <x:c r="A2974" s="16" t="n">
        <x:v>2971</x:v>
      </x:c>
      <x:c r="B2974" s="16" t="str">
        <x:v>Hakim Norhalim</x:v>
      </x:c>
      <x:c r="C2974" s="16" t="str"/>
      <x:c r="D2974" s="16" t="str"/>
      <x:c r="E2974" s="16" t="str">
        <x:v>* myContacts</x:v>
      </x:c>
      <x:c r="F2974" s="16" t="str">
        <x:v>+60176843748</x:v>
      </x:c>
      <x:c r="G2974" s="16" t="str">
        <x:v>+60176843748</x:v>
      </x:c>
      <x:c r="H2974" s="16" t="str">
        <x:v>Excluded</x:v>
      </x:c>
      <x:c r="I2974" s="16" t="str">
        <x:v>Missing email</x:v>
      </x:c>
    </x:row>
    <x:row r="2975">
      <x:c r="A2975" s="16" t="n">
        <x:v>2972</x:v>
      </x:c>
      <x:c r="B2975" s="16" t="str">
        <x:v>Hakimi Jnj</x:v>
      </x:c>
      <x:c r="C2975" s="16" t="str"/>
      <x:c r="D2975" s="16" t="str"/>
      <x:c r="E2975" s="16" t="str">
        <x:v>* myContacts</x:v>
      </x:c>
      <x:c r="F2975" s="16" t="str">
        <x:v>+60 18-235 2460 | +60182352460</x:v>
      </x:c>
      <x:c r="G2975" s="16" t="str">
        <x:v>+60182352460 | +60182352460</x:v>
      </x:c>
      <x:c r="H2975" s="16" t="str">
        <x:v>Excluded</x:v>
      </x:c>
      <x:c r="I2975" s="16" t="str">
        <x:v>Missing email</x:v>
      </x:c>
    </x:row>
    <x:row r="2976">
      <x:c r="A2976" s="16" t="n">
        <x:v>2973</x:v>
      </x:c>
      <x:c r="B2976" s="16" t="str">
        <x:v>Hakimi  Kuda</x:v>
      </x:c>
      <x:c r="C2976" s="16" t="str"/>
      <x:c r="D2976" s="16" t="str"/>
      <x:c r="E2976" s="16" t="str">
        <x:v>* myContacts</x:v>
      </x:c>
      <x:c r="F2976" s="16" t="str">
        <x:v>013-388 5381 | +60133885381</x:v>
      </x:c>
      <x:c r="G2976" s="16" t="str">
        <x:v>+60133885381 | +60133885381</x:v>
      </x:c>
      <x:c r="H2976" s="16" t="str">
        <x:v>Excluded</x:v>
      </x:c>
      <x:c r="I2976" s="16" t="str">
        <x:v>Missing email</x:v>
      </x:c>
    </x:row>
    <x:row r="2977">
      <x:c r="A2977" s="16" t="n">
        <x:v>2974</x:v>
      </x:c>
      <x:c r="B2977" s="16" t="str">
        <x:v>hakimi perabot terpakai</x:v>
      </x:c>
      <x:c r="C2977" s="16" t="str"/>
      <x:c r="D2977" s="16" t="str"/>
      <x:c r="E2977" s="16" t="str">
        <x:v>* myContacts</x:v>
      </x:c>
      <x:c r="F2977" s="16" t="str">
        <x:v>0195586681 | +60195586681</x:v>
      </x:c>
      <x:c r="G2977" s="16" t="str">
        <x:v>+60195586681 | +60195586681</x:v>
      </x:c>
      <x:c r="H2977" s="16" t="str">
        <x:v>Excluded</x:v>
      </x:c>
      <x:c r="I2977" s="16" t="str">
        <x:v>Missing email</x:v>
      </x:c>
    </x:row>
    <x:row r="2978">
      <x:c r="A2978" s="16" t="n">
        <x:v>2975</x:v>
      </x:c>
      <x:c r="B2978" s="16" t="str">
        <x:v>Hakmal Rabaah UTM</x:v>
      </x:c>
      <x:c r="C2978" s="16" t="str"/>
      <x:c r="D2978" s="16" t="str"/>
      <x:c r="E2978" s="16" t="str">
        <x:v>* myContacts</x:v>
      </x:c>
      <x:c r="F2978" s="16" t="str">
        <x:v>+60 14-226 9277 | +60142269277</x:v>
      </x:c>
      <x:c r="G2978" s="16" t="str">
        <x:v>+60142269277 | +60142269277</x:v>
      </x:c>
      <x:c r="H2978" s="16" t="str">
        <x:v>Excluded</x:v>
      </x:c>
      <x:c r="I2978" s="16" t="str">
        <x:v>Missing email</x:v>
      </x:c>
    </x:row>
    <x:row r="2979">
      <x:c r="A2979" s="16" t="n">
        <x:v>2976</x:v>
      </x:c>
      <x:c r="B2979" s="16" t="str">
        <x:v>halif im</x:v>
      </x:c>
      <x:c r="C2979" s="16" t="str"/>
      <x:c r="D2979" s="16" t="str"/>
      <x:c r="E2979" s="16" t="str">
        <x:v>* myContacts</x:v>
      </x:c>
      <x:c r="F2979" s="16" t="str">
        <x:v>0192395139 | +60192395139</x:v>
      </x:c>
      <x:c r="G2979" s="16" t="str">
        <x:v>+60192395139 | +60192395139</x:v>
      </x:c>
      <x:c r="H2979" s="16" t="str">
        <x:v>Excluded</x:v>
      </x:c>
      <x:c r="I2979" s="16" t="str">
        <x:v>Missing email</x:v>
      </x:c>
    </x:row>
    <x:row r="2980">
      <x:c r="A2980" s="16" t="n">
        <x:v>2977</x:v>
      </x:c>
      <x:c r="B2980" s="16" t="str">
        <x:v>Halifah AbdulWahab Yong Seri</x:v>
      </x:c>
      <x:c r="C2980" s="16" t="str"/>
      <x:c r="D2980" s="16" t="str"/>
      <x:c r="E2980" s="16" t="str">
        <x:v>* myContacts</x:v>
      </x:c>
      <x:c r="F2980" s="16" t="str">
        <x:v>+60176571487</x:v>
      </x:c>
      <x:c r="G2980" s="16" t="str">
        <x:v>+60176571487</x:v>
      </x:c>
      <x:c r="H2980" s="16" t="str">
        <x:v>Excluded</x:v>
      </x:c>
      <x:c r="I2980" s="16" t="str">
        <x:v>Missing email</x:v>
      </x:c>
    </x:row>
    <x:row r="2981">
      <x:c r="A2981" s="16" t="n">
        <x:v>2978</x:v>
      </x:c>
      <x:c r="B2981" s="16" t="str">
        <x:v>Halim Ghani</x:v>
      </x:c>
      <x:c r="C2981" s="16" t="str"/>
      <x:c r="D2981" s="16" t="str"/>
      <x:c r="E2981" s="16" t="str">
        <x:v>* myContacts</x:v>
      </x:c>
      <x:c r="F2981" s="16" t="str">
        <x:v>+60193255650</x:v>
      </x:c>
      <x:c r="G2981" s="16" t="str">
        <x:v>+60193255650</x:v>
      </x:c>
      <x:c r="H2981" s="16" t="str">
        <x:v>Excluded</x:v>
      </x:c>
      <x:c r="I2981" s="16" t="str">
        <x:v>Missing email</x:v>
      </x:c>
    </x:row>
    <x:row r="2982">
      <x:c r="A2982" s="16" t="n">
        <x:v>2979</x:v>
      </x:c>
      <x:c r="B2982" s="16" t="str">
        <x:v>Halimah Emma</x:v>
      </x:c>
      <x:c r="C2982" s="16" t="str"/>
      <x:c r="D2982" s="16" t="str"/>
      <x:c r="E2982" s="16" t="str">
        <x:v>* myContacts</x:v>
      </x:c>
      <x:c r="F2982" s="16" t="str">
        <x:v>+60128230676</x:v>
      </x:c>
      <x:c r="G2982" s="16" t="str">
        <x:v>+60128230676</x:v>
      </x:c>
      <x:c r="H2982" s="16" t="str">
        <x:v>Excluded</x:v>
      </x:c>
      <x:c r="I2982" s="16" t="str">
        <x:v>Missing email</x:v>
      </x:c>
    </x:row>
    <x:row r="2983">
      <x:c r="A2983" s="16" t="n">
        <x:v>2980</x:v>
      </x:c>
      <x:c r="B2983" s="16" t="str">
        <x:v>Halimah Syr</x:v>
      </x:c>
      <x:c r="C2983" s="16" t="str"/>
      <x:c r="D2983" s="16" t="str"/>
      <x:c r="E2983" s="16" t="str">
        <x:v>* myContacts</x:v>
      </x:c>
      <x:c r="F2983" s="16" t="str">
        <x:v>+6289690284300</x:v>
      </x:c>
      <x:c r="G2983" s="16" t="str">
        <x:v>+6289690284300</x:v>
      </x:c>
      <x:c r="H2983" s="16" t="str">
        <x:v>Excluded</x:v>
      </x:c>
      <x:c r="I2983" s="16" t="str">
        <x:v>Missing email</x:v>
      </x:c>
    </x:row>
    <x:row r="2984">
      <x:c r="A2984" s="16" t="n">
        <x:v>2981</x:v>
      </x:c>
      <x:c r="B2984" s="16" t="str">
        <x:v>Halimatul Asrah Bujang</x:v>
      </x:c>
      <x:c r="C2984" s="16" t="str"/>
      <x:c r="D2984" s="16" t="str"/>
      <x:c r="E2984" s="16" t="str">
        <x:v>* myContacts</x:v>
      </x:c>
      <x:c r="F2984" s="16" t="str">
        <x:v>+60173019236</x:v>
      </x:c>
      <x:c r="G2984" s="16" t="str">
        <x:v>+60173019236</x:v>
      </x:c>
      <x:c r="H2984" s="16" t="str">
        <x:v>Excluded</x:v>
      </x:c>
      <x:c r="I2984" s="16" t="str">
        <x:v>Missing email</x:v>
      </x:c>
    </x:row>
    <x:row r="2985">
      <x:c r="A2985" s="16" t="n">
        <x:v>2982</x:v>
      </x:c>
      <x:c r="B2985" s="16" t="str">
        <x:v>Haliza Saad</x:v>
      </x:c>
      <x:c r="C2985" s="16" t="str"/>
      <x:c r="D2985" s="16" t="str"/>
      <x:c r="E2985" s="16" t="str">
        <x:v>* myContacts</x:v>
      </x:c>
      <x:c r="F2985" s="16" t="str">
        <x:v>+60124597921</x:v>
      </x:c>
      <x:c r="G2985" s="16" t="str">
        <x:v>+60124597921</x:v>
      </x:c>
      <x:c r="H2985" s="16" t="str">
        <x:v>Excluded</x:v>
      </x:c>
      <x:c r="I2985" s="16" t="str">
        <x:v>Missing email</x:v>
      </x:c>
    </x:row>
    <x:row r="2986">
      <x:c r="A2986" s="16" t="n">
        <x:v>2983</x:v>
      </x:c>
      <x:c r="B2986" s="16" t="str">
        <x:v>Hamalat Al Arsy</x:v>
      </x:c>
      <x:c r="C2986" s="16" t="str"/>
      <x:c r="D2986" s="16" t="str"/>
      <x:c r="E2986" s="16" t="str">
        <x:v>* myContacts</x:v>
      </x:c>
      <x:c r="F2986" s="16" t="str">
        <x:v>+60138702528</x:v>
      </x:c>
      <x:c r="G2986" s="16" t="str">
        <x:v>+60138702528</x:v>
      </x:c>
      <x:c r="H2986" s="16" t="str">
        <x:v>Excluded</x:v>
      </x:c>
      <x:c r="I2986" s="16" t="str">
        <x:v>Missing email</x:v>
      </x:c>
    </x:row>
    <x:row r="2987">
      <x:c r="A2987" s="16" t="n">
        <x:v>2984</x:v>
      </x:c>
      <x:c r="B2987" s="16" t="str">
        <x:v>Hamdan AGP</x:v>
      </x:c>
      <x:c r="C2987" s="16" t="str"/>
      <x:c r="D2987" s="16" t="str"/>
      <x:c r="E2987" s="16" t="str">
        <x:v>* myContacts</x:v>
      </x:c>
      <x:c r="F2987" s="16" t="str">
        <x:v>+60 19-660 7414 | +60196607414</x:v>
      </x:c>
      <x:c r="G2987" s="16" t="str">
        <x:v>+60196607414 | +60196607414</x:v>
      </x:c>
      <x:c r="H2987" s="16" t="str">
        <x:v>Excluded</x:v>
      </x:c>
      <x:c r="I2987" s="16" t="str">
        <x:v>Missing email</x:v>
      </x:c>
    </x:row>
    <x:row r="2988">
      <x:c r="A2988" s="16" t="n">
        <x:v>2985</x:v>
      </x:c>
      <x:c r="B2988" s="16" t="str">
        <x:v>Hamdan Airtrek</x:v>
      </x:c>
      <x:c r="C2988" s="16" t="str"/>
      <x:c r="D2988" s="16" t="str"/>
      <x:c r="E2988" s="16" t="str">
        <x:v>* myContacts</x:v>
      </x:c>
      <x:c r="F2988" s="16" t="str">
        <x:v>+60192300335</x:v>
      </x:c>
      <x:c r="G2988" s="16" t="str">
        <x:v>+60192300335</x:v>
      </x:c>
      <x:c r="H2988" s="16" t="str">
        <x:v>Excluded</x:v>
      </x:c>
      <x:c r="I2988" s="16" t="str">
        <x:v>Missing email</x:v>
      </x:c>
    </x:row>
    <x:row r="2989">
      <x:c r="A2989" s="16" t="n">
        <x:v>2986</x:v>
      </x:c>
      <x:c r="B2989" s="16" t="str">
        <x:v>Hamdan Hussain</x:v>
      </x:c>
      <x:c r="C2989" s="16" t="str"/>
      <x:c r="D2989" s="16" t="str"/>
      <x:c r="E2989" s="16" t="str">
        <x:v>* myContacts</x:v>
      </x:c>
      <x:c r="F2989" s="16" t="str">
        <x:v>+60194611123</x:v>
      </x:c>
      <x:c r="G2989" s="16" t="str">
        <x:v>+60194611123</x:v>
      </x:c>
      <x:c r="H2989" s="16" t="str">
        <x:v>Excluded</x:v>
      </x:c>
      <x:c r="I2989" s="16" t="str">
        <x:v>Missing email</x:v>
      </x:c>
    </x:row>
    <x:row r="2990">
      <x:c r="A2990" s="16" t="n">
        <x:v>2987</x:v>
      </x:c>
      <x:c r="B2990" s="16" t="str">
        <x:v>HAMDAN ISA</x:v>
      </x:c>
      <x:c r="C2990" s="16" t="str">
        <x:v>safamarwa2u@gmail.com</x:v>
      </x:c>
      <x:c r="D2990" s="16" t="str">
        <x:v>safamarwa2u@gmail.com</x:v>
      </x:c>
      <x:c r="E2990" s="16" t="str">
        <x:v>* myContacts</x:v>
      </x:c>
      <x:c r="F2990" s="16" t="str">
        <x:v>+60179533262</x:v>
      </x:c>
      <x:c r="G2990" s="16" t="str">
        <x:v>+60179533262</x:v>
      </x:c>
      <x:c r="H2990" s="16" t="str">
        <x:v>Eligible</x:v>
      </x:c>
      <x:c r="I2990" s="16" t="str"/>
    </x:row>
    <x:row r="2991">
      <x:c r="A2991" s="16" t="n">
        <x:v>2988</x:v>
      </x:c>
      <x:c r="B2991" s="16" t="str">
        <x:v>Hamdan Sme Bank Vice President</x:v>
      </x:c>
      <x:c r="C2991" s="16" t="str"/>
      <x:c r="D2991" s="16" t="str"/>
      <x:c r="E2991" s="16" t="str">
        <x:v>* myContacts</x:v>
      </x:c>
      <x:c r="F2991" s="16" t="str">
        <x:v>+60 19-669 6227 | +60196696227</x:v>
      </x:c>
      <x:c r="G2991" s="16" t="str">
        <x:v>+60196696227 | +60196696227</x:v>
      </x:c>
      <x:c r="H2991" s="16" t="str">
        <x:v>Excluded</x:v>
      </x:c>
      <x:c r="I2991" s="16" t="str">
        <x:v>Missing email</x:v>
      </x:c>
    </x:row>
    <x:row r="2992">
      <x:c r="A2992" s="16" t="n">
        <x:v>2989</x:v>
      </x:c>
      <x:c r="B2992" s="16" t="str">
        <x:v>Hamdan Wan Ab Rahman</x:v>
      </x:c>
      <x:c r="C2992" s="16" t="str"/>
      <x:c r="D2992" s="16" t="str"/>
      <x:c r="E2992" s="16" t="str">
        <x:v>* myContacts</x:v>
      </x:c>
      <x:c r="F2992" s="16" t="str">
        <x:v>+60136683702</x:v>
      </x:c>
      <x:c r="G2992" s="16" t="str">
        <x:v>+60136683702</x:v>
      </x:c>
      <x:c r="H2992" s="16" t="str">
        <x:v>Excluded</x:v>
      </x:c>
      <x:c r="I2992" s="16" t="str">
        <x:v>Missing email</x:v>
      </x:c>
    </x:row>
    <x:row r="2993">
      <x:c r="A2993" s="16" t="n">
        <x:v>2990</x:v>
      </x:c>
      <x:c r="B2993" s="16" t="str">
        <x:v>Hamid Aspuri</x:v>
      </x:c>
      <x:c r="C2993" s="16" t="str"/>
      <x:c r="D2993" s="16" t="str"/>
      <x:c r="E2993" s="16" t="str">
        <x:v>* myContacts</x:v>
      </x:c>
      <x:c r="F2993" s="16" t="str">
        <x:v>+60194239984</x:v>
      </x:c>
      <x:c r="G2993" s="16" t="str">
        <x:v>+60194239984</x:v>
      </x:c>
      <x:c r="H2993" s="16" t="str">
        <x:v>Excluded</x:v>
      </x:c>
      <x:c r="I2993" s="16" t="str">
        <x:v>Missing email</x:v>
      </x:c>
    </x:row>
    <x:row r="2994">
      <x:c r="A2994" s="16" t="n">
        <x:v>2991</x:v>
      </x:c>
      <x:c r="B2994" s="16" t="str">
        <x:v>Hamidfamily Coop</x:v>
      </x:c>
      <x:c r="C2994" s="16" t="str"/>
      <x:c r="D2994" s="16" t="str"/>
      <x:c r="E2994" s="16" t="str">
        <x:v>* myContacts</x:v>
      </x:c>
      <x:c r="F2994" s="16" t="str">
        <x:v>+60138373834</x:v>
      </x:c>
      <x:c r="G2994" s="16" t="str">
        <x:v>+60138373834</x:v>
      </x:c>
      <x:c r="H2994" s="16" t="str">
        <x:v>Excluded</x:v>
      </x:c>
      <x:c r="I2994" s="16" t="str">
        <x:v>Missing email</x:v>
      </x:c>
    </x:row>
    <x:row r="2995">
      <x:c r="A2995" s="16" t="n">
        <x:v>2992</x:v>
      </x:c>
      <x:c r="B2995" s="16" t="str">
        <x:v>Hamim Abmama</x:v>
      </x:c>
      <x:c r="C2995" s="16" t="str"/>
      <x:c r="D2995" s="16" t="str"/>
      <x:c r="E2995" s="16" t="str">
        <x:v>* myContacts</x:v>
      </x:c>
      <x:c r="F2995" s="16" t="str">
        <x:v>+60126655643</x:v>
      </x:c>
      <x:c r="G2995" s="16" t="str">
        <x:v>+60126655643</x:v>
      </x:c>
      <x:c r="H2995" s="16" t="str">
        <x:v>Excluded</x:v>
      </x:c>
      <x:c r="I2995" s="16" t="str">
        <x:v>Missing email</x:v>
      </x:c>
    </x:row>
    <x:row r="2996">
      <x:c r="A2996" s="16" t="n">
        <x:v>2993</x:v>
      </x:c>
      <x:c r="B2996" s="16" t="str">
        <x:v>Hamizah Kumoten Support</x:v>
      </x:c>
      <x:c r="C2996" s="16" t="str"/>
      <x:c r="D2996" s="16" t="str"/>
      <x:c r="E2996" s="16" t="str">
        <x:v>* myContacts</x:v>
      </x:c>
      <x:c r="F2996" s="16" t="str">
        <x:v>03-8066 1391 | +60380661391</x:v>
      </x:c>
      <x:c r="G2996" s="16" t="str">
        <x:v>+60380661391 | +60380661391</x:v>
      </x:c>
      <x:c r="H2996" s="16" t="str">
        <x:v>Excluded</x:v>
      </x:c>
      <x:c r="I2996" s="16" t="str">
        <x:v>Missing email</x:v>
      </x:c>
    </x:row>
    <x:row r="2997">
      <x:c r="A2997" s="16" t="n">
        <x:v>2994</x:v>
      </x:c>
      <x:c r="B2997" s="16" t="str">
        <x:v>Hamna Eve Ramos</x:v>
      </x:c>
      <x:c r="C2997" s="16" t="str"/>
      <x:c r="D2997" s="16" t="str"/>
      <x:c r="E2997" s="16" t="str">
        <x:v>* myContacts</x:v>
      </x:c>
      <x:c r="F2997" s="16" t="str">
        <x:v>+60163677783</x:v>
      </x:c>
      <x:c r="G2997" s="16" t="str">
        <x:v>+60163677783</x:v>
      </x:c>
      <x:c r="H2997" s="16" t="str">
        <x:v>Excluded</x:v>
      </x:c>
      <x:c r="I2997" s="16" t="str">
        <x:v>Missing email</x:v>
      </x:c>
    </x:row>
    <x:row r="2998">
      <x:c r="A2998" s="16" t="n">
        <x:v>2995</x:v>
      </x:c>
      <x:c r="B2998" s="16" t="str">
        <x:v>Hams Wahab</x:v>
      </x:c>
      <x:c r="C2998" s="16" t="str"/>
      <x:c r="D2998" s="16" t="str"/>
      <x:c r="E2998" s="16" t="str">
        <x:v>* myContacts</x:v>
      </x:c>
      <x:c r="F2998" s="16" t="str">
        <x:v>+60175324390</x:v>
      </x:c>
      <x:c r="G2998" s="16" t="str">
        <x:v>+60175324390</x:v>
      </x:c>
      <x:c r="H2998" s="16" t="str">
        <x:v>Excluded</x:v>
      </x:c>
      <x:c r="I2998" s="16" t="str">
        <x:v>Missing email</x:v>
      </x:c>
    </x:row>
    <x:row r="2999">
      <x:c r="A2999" s="16" t="n">
        <x:v>2996</x:v>
      </x:c>
      <x:c r="B2999" s="16" t="str">
        <x:v>Hamsani Bendahari Masjid</x:v>
      </x:c>
      <x:c r="C2999" s="16" t="str"/>
      <x:c r="D2999" s="16" t="str"/>
      <x:c r="E2999" s="16" t="str">
        <x:v>* myContacts</x:v>
      </x:c>
      <x:c r="F2999" s="16" t="str">
        <x:v>+60 12-689 0371 | +60126890371</x:v>
      </x:c>
      <x:c r="G2999" s="16" t="str">
        <x:v>+60126890371 | +60126890371</x:v>
      </x:c>
      <x:c r="H2999" s="16" t="str">
        <x:v>Excluded</x:v>
      </x:c>
      <x:c r="I2999" s="16" t="str">
        <x:v>Missing email</x:v>
      </x:c>
    </x:row>
    <x:row r="3000">
      <x:c r="A3000" s="16" t="n">
        <x:v>2997</x:v>
      </x:c>
      <x:c r="B3000" s="16" t="str">
        <x:v>Hamzah bin Suboh AGP</x:v>
      </x:c>
      <x:c r="C3000" s="16" t="str"/>
      <x:c r="D3000" s="16" t="str"/>
      <x:c r="E3000" s="16" t="str">
        <x:v>* myContacts</x:v>
      </x:c>
      <x:c r="F3000" s="16" t="str">
        <x:v>+60 12-662 4702 | +60126624702</x:v>
      </x:c>
      <x:c r="G3000" s="16" t="str">
        <x:v>+60126624702 | +60126624702</x:v>
      </x:c>
      <x:c r="H3000" s="16" t="str">
        <x:v>Excluded</x:v>
      </x:c>
      <x:c r="I3000" s="16" t="str">
        <x:v>Missing email</x:v>
      </x:c>
    </x:row>
    <x:row r="3001">
      <x:c r="A3001" s="16" t="n">
        <x:v>2998</x:v>
      </x:c>
      <x:c r="B3001" s="16" t="str">
        <x:v>Hamzah Omar</x:v>
      </x:c>
      <x:c r="C3001" s="16" t="str"/>
      <x:c r="D3001" s="16" t="str"/>
      <x:c r="E3001" s="16" t="str">
        <x:v>* myContacts</x:v>
      </x:c>
      <x:c r="F3001" s="16" t="str">
        <x:v>+60177259240</x:v>
      </x:c>
      <x:c r="G3001" s="16" t="str">
        <x:v>+60177259240</x:v>
      </x:c>
      <x:c r="H3001" s="16" t="str">
        <x:v>Excluded</x:v>
      </x:c>
      <x:c r="I3001" s="16" t="str">
        <x:v>Missing email</x:v>
      </x:c>
    </x:row>
    <x:row r="3002">
      <x:c r="A3002" s="16" t="n">
        <x:v>2999</x:v>
      </x:c>
      <x:c r="B3002" s="16" t="str">
        <x:v>Hamzah Sapee</x:v>
      </x:c>
      <x:c r="C3002" s="16" t="str"/>
      <x:c r="D3002" s="16" t="str"/>
      <x:c r="E3002" s="16" t="str">
        <x:v>* myContacts</x:v>
      </x:c>
      <x:c r="F3002" s="16" t="str">
        <x:v>+60139361303</x:v>
      </x:c>
      <x:c r="G3002" s="16" t="str">
        <x:v>+60139361303</x:v>
      </x:c>
      <x:c r="H3002" s="16" t="str">
        <x:v>Excluded</x:v>
      </x:c>
      <x:c r="I3002" s="16" t="str">
        <x:v>Missing email</x:v>
      </x:c>
    </x:row>
    <x:row r="3003">
      <x:c r="A3003" s="16" t="n">
        <x:v>3000</x:v>
      </x:c>
      <x:c r="B3003" s="16" t="str">
        <x:v>Hamzah Sudin HG</x:v>
      </x:c>
      <x:c r="C3003" s="16" t="str"/>
      <x:c r="D3003" s="16" t="str"/>
      <x:c r="E3003" s="16" t="str">
        <x:v>* myContacts</x:v>
      </x:c>
      <x:c r="F3003" s="16" t="str">
        <x:v>+60 10-955 2850 | +60109552850</x:v>
      </x:c>
      <x:c r="G3003" s="16" t="str">
        <x:v>+60109552850 | +60109552850</x:v>
      </x:c>
      <x:c r="H3003" s="16" t="str">
        <x:v>Excluded</x:v>
      </x:c>
      <x:c r="I3003" s="16" t="str">
        <x:v>Missing email</x:v>
      </x:c>
    </x:row>
    <x:row r="3004">
      <x:c r="A3004" s="16" t="n">
        <x:v>3001</x:v>
      </x:c>
      <x:c r="B3004" s="16" t="str">
        <x:v>Han Othman</x:v>
      </x:c>
      <x:c r="C3004" s="16" t="str"/>
      <x:c r="D3004" s="16" t="str"/>
      <x:c r="E3004" s="16" t="str">
        <x:v>* myContacts</x:v>
      </x:c>
      <x:c r="F3004" s="16" t="str">
        <x:v>+60 18-968 6070 | +60189686070</x:v>
      </x:c>
      <x:c r="G3004" s="16" t="str">
        <x:v>+60189686070 | +60189686070</x:v>
      </x:c>
      <x:c r="H3004" s="16" t="str">
        <x:v>Excluded</x:v>
      </x:c>
      <x:c r="I3004" s="16" t="str">
        <x:v>Missing email</x:v>
      </x:c>
    </x:row>
    <x:row r="3005">
      <x:c r="A3005" s="16" t="n">
        <x:v>3002</x:v>
      </x:c>
      <x:c r="B3005" s="16" t="str">
        <x:v>Han Zeck</x:v>
      </x:c>
      <x:c r="C3005" s="16" t="str"/>
      <x:c r="D3005" s="16" t="str"/>
      <x:c r="E3005" s="16" t="str">
        <x:v>* myContacts</x:v>
      </x:c>
      <x:c r="F3005" s="16" t="str">
        <x:v>+60165834084</x:v>
      </x:c>
      <x:c r="G3005" s="16" t="str">
        <x:v>+60165834084</x:v>
      </x:c>
      <x:c r="H3005" s="16" t="str">
        <x:v>Excluded</x:v>
      </x:c>
      <x:c r="I3005" s="16" t="str">
        <x:v>Missing email</x:v>
      </x:c>
    </x:row>
    <x:row r="3006">
      <x:c r="A3006" s="16" t="n">
        <x:v>3003</x:v>
      </x:c>
      <x:c r="B3006" s="16" t="str">
        <x:v>Hana Deqna</x:v>
      </x:c>
      <x:c r="C3006" s="16" t="str"/>
      <x:c r="D3006" s="16" t="str"/>
      <x:c r="E3006" s="16" t="str">
        <x:v>* myContacts</x:v>
      </x:c>
      <x:c r="F3006" s="16" t="str">
        <x:v>+60195434395</x:v>
      </x:c>
      <x:c r="G3006" s="16" t="str">
        <x:v>+60195434395</x:v>
      </x:c>
      <x:c r="H3006" s="16" t="str">
        <x:v>Excluded</x:v>
      </x:c>
      <x:c r="I3006" s="16" t="str">
        <x:v>Missing email</x:v>
      </x:c>
    </x:row>
    <x:row r="3007">
      <x:c r="A3007" s="16" t="n">
        <x:v>3004</x:v>
      </x:c>
      <x:c r="B3007" s="16" t="str">
        <x:v>Hana Dzahin's</x:v>
      </x:c>
      <x:c r="C3007" s="16" t="str"/>
      <x:c r="D3007" s="16" t="str"/>
      <x:c r="E3007" s="16" t="str">
        <x:v>* myContacts</x:v>
      </x:c>
      <x:c r="F3007" s="16" t="str">
        <x:v>+60193990793</x:v>
      </x:c>
      <x:c r="G3007" s="16" t="str">
        <x:v>+60193990793</x:v>
      </x:c>
      <x:c r="H3007" s="16" t="str">
        <x:v>Excluded</x:v>
      </x:c>
      <x:c r="I3007" s="16" t="str">
        <x:v>Missing email</x:v>
      </x:c>
    </x:row>
    <x:row r="3008">
      <x:c r="A3008" s="16" t="n">
        <x:v>3005</x:v>
      </x:c>
      <x:c r="B3008" s="16" t="str">
        <x:v>Hana Ramlan</x:v>
      </x:c>
      <x:c r="C3008" s="16" t="str"/>
      <x:c r="D3008" s="16" t="str"/>
      <x:c r="E3008" s="16" t="str">
        <x:v>* myContacts</x:v>
      </x:c>
      <x:c r="F3008" s="16" t="str">
        <x:v>+60197653969</x:v>
      </x:c>
      <x:c r="G3008" s="16" t="str">
        <x:v>+60197653969</x:v>
      </x:c>
      <x:c r="H3008" s="16" t="str">
        <x:v>Excluded</x:v>
      </x:c>
      <x:c r="I3008" s="16" t="str">
        <x:v>Missing email</x:v>
      </x:c>
    </x:row>
    <x:row r="3009">
      <x:c r="A3009" s="16" t="n">
        <x:v>3006</x:v>
      </x:c>
      <x:c r="B3009" s="16" t="str">
        <x:v>Hanafi Galian Perak</x:v>
      </x:c>
      <x:c r="C3009" s="16" t="str"/>
      <x:c r="D3009" s="16" t="str"/>
      <x:c r="E3009" s="16" t="str">
        <x:v>* myContacts</x:v>
      </x:c>
      <x:c r="F3009" s="16" t="str">
        <x:v>012-434 4168 | +60124344168</x:v>
      </x:c>
      <x:c r="G3009" s="16" t="str">
        <x:v>+60124344168 | +60124344168</x:v>
      </x:c>
      <x:c r="H3009" s="16" t="str">
        <x:v>Excluded</x:v>
      </x:c>
      <x:c r="I3009" s="16" t="str">
        <x:v>Missing email</x:v>
      </x:c>
    </x:row>
    <x:row r="3010">
      <x:c r="A3010" s="16" t="n">
        <x:v>3007</x:v>
      </x:c>
      <x:c r="B3010" s="16" t="str">
        <x:v>Hanafi Zainal</x:v>
      </x:c>
      <x:c r="C3010" s="16" t="str"/>
      <x:c r="D3010" s="16" t="str"/>
      <x:c r="E3010" s="16" t="str">
        <x:v>* myContacts</x:v>
      </x:c>
      <x:c r="F3010" s="16" t="str">
        <x:v>+60105386207</x:v>
      </x:c>
      <x:c r="G3010" s="16" t="str">
        <x:v>+60105386207</x:v>
      </x:c>
      <x:c r="H3010" s="16" t="str">
        <x:v>Excluded</x:v>
      </x:c>
      <x:c r="I3010" s="16" t="str">
        <x:v>Missing email</x:v>
      </x:c>
    </x:row>
    <x:row r="3011">
      <x:c r="A3011" s="16" t="n">
        <x:v>3008</x:v>
      </x:c>
      <x:c r="B3011" s="16" t="str">
        <x:v>Haneeah Kamal</x:v>
      </x:c>
      <x:c r="C3011" s="16" t="str"/>
      <x:c r="D3011" s="16" t="str"/>
      <x:c r="E3011" s="16" t="str">
        <x:v>* myContacts</x:v>
      </x:c>
      <x:c r="F3011" s="16" t="str">
        <x:v>+6062616122</x:v>
      </x:c>
      <x:c r="G3011" s="16" t="str">
        <x:v>+6062616122</x:v>
      </x:c>
      <x:c r="H3011" s="16" t="str">
        <x:v>Excluded</x:v>
      </x:c>
      <x:c r="I3011" s="16" t="str">
        <x:v>Missing email</x:v>
      </x:c>
    </x:row>
    <x:row r="3012">
      <x:c r="A3012" s="16" t="n">
        <x:v>3009</x:v>
      </x:c>
      <x:c r="B3012" s="16" t="str">
        <x:v>Hani Adila</x:v>
      </x:c>
      <x:c r="C3012" s="16" t="str"/>
      <x:c r="D3012" s="16" t="str"/>
      <x:c r="E3012" s="16" t="str">
        <x:v>* myContacts</x:v>
      </x:c>
      <x:c r="F3012" s="16" t="str">
        <x:v>+60199436874</x:v>
      </x:c>
      <x:c r="G3012" s="16" t="str">
        <x:v>+60199436874</x:v>
      </x:c>
      <x:c r="H3012" s="16" t="str">
        <x:v>Excluded</x:v>
      </x:c>
      <x:c r="I3012" s="16" t="str">
        <x:v>Missing email</x:v>
      </x:c>
    </x:row>
    <x:row r="3013">
      <x:c r="A3013" s="16" t="n">
        <x:v>3010</x:v>
      </x:c>
      <x:c r="B3013" s="16" t="str">
        <x:v>Hani Syafiqah</x:v>
      </x:c>
      <x:c r="C3013" s="16" t="str"/>
      <x:c r="D3013" s="16" t="str"/>
      <x:c r="E3013" s="16" t="str">
        <x:v>* myContacts</x:v>
      </x:c>
      <x:c r="F3013" s="16" t="str">
        <x:v>+60174708411</x:v>
      </x:c>
      <x:c r="G3013" s="16" t="str">
        <x:v>+60174708411</x:v>
      </x:c>
      <x:c r="H3013" s="16" t="str">
        <x:v>Excluded</x:v>
      </x:c>
      <x:c r="I3013" s="16" t="str">
        <x:v>Missing email</x:v>
      </x:c>
    </x:row>
    <x:row r="3014">
      <x:c r="A3014" s="16" t="n">
        <x:v>3011</x:v>
      </x:c>
      <x:c r="B3014" s="16" t="str">
        <x:v>Haniey Amirul</x:v>
      </x:c>
      <x:c r="C3014" s="16" t="str"/>
      <x:c r="D3014" s="16" t="str"/>
      <x:c r="E3014" s="16" t="str">
        <x:v>* myContacts</x:v>
      </x:c>
      <x:c r="F3014" s="16" t="str">
        <x:v>+60179430898</x:v>
      </x:c>
      <x:c r="G3014" s="16" t="str">
        <x:v>+60179430898</x:v>
      </x:c>
      <x:c r="H3014" s="16" t="str">
        <x:v>Excluded</x:v>
      </x:c>
      <x:c r="I3014" s="16" t="str">
        <x:v>Missing email</x:v>
      </x:c>
    </x:row>
    <x:row r="3015">
      <x:c r="A3015" s="16" t="n">
        <x:v>3012</x:v>
      </x:c>
      <x:c r="B3015" s="16" t="str">
        <x:v>Hanif Affendy</x:v>
      </x:c>
      <x:c r="C3015" s="16" t="str"/>
      <x:c r="D3015" s="16" t="str"/>
      <x:c r="E3015" s="16" t="str">
        <x:v>* myContacts</x:v>
      </x:c>
      <x:c r="F3015" s="16" t="str">
        <x:v>+60136780452</x:v>
      </x:c>
      <x:c r="G3015" s="16" t="str">
        <x:v>+60136780452</x:v>
      </x:c>
      <x:c r="H3015" s="16" t="str">
        <x:v>Excluded</x:v>
      </x:c>
      <x:c r="I3015" s="16" t="str">
        <x:v>Missing email</x:v>
      </x:c>
    </x:row>
    <x:row r="3016">
      <x:c r="A3016" s="16" t="n">
        <x:v>3013</x:v>
      </x:c>
      <x:c r="B3016" s="16" t="str">
        <x:v>Hanif Chepauzi</x:v>
      </x:c>
      <x:c r="C3016" s="16" t="str"/>
      <x:c r="D3016" s="16" t="str"/>
      <x:c r="E3016" s="16" t="str">
        <x:v>* myContacts</x:v>
      </x:c>
      <x:c r="F3016" s="16" t="str">
        <x:v>+601119997606</x:v>
      </x:c>
      <x:c r="G3016" s="16" t="str">
        <x:v>+601119997606</x:v>
      </x:c>
      <x:c r="H3016" s="16" t="str">
        <x:v>Excluded</x:v>
      </x:c>
      <x:c r="I3016" s="16" t="str">
        <x:v>Missing email</x:v>
      </x:c>
    </x:row>
    <x:row r="3017">
      <x:c r="A3017" s="16" t="n">
        <x:v>3014</x:v>
      </x:c>
      <x:c r="B3017" s="16" t="str">
        <x:v>Hanif Motivator</x:v>
      </x:c>
      <x:c r="C3017" s="16" t="str"/>
      <x:c r="D3017" s="16" t="str"/>
      <x:c r="E3017" s="16" t="str">
        <x:v>* myContacts</x:v>
      </x:c>
      <x:c r="F3017" s="16" t="str">
        <x:v>012-408 5724 | +60124085724</x:v>
      </x:c>
      <x:c r="G3017" s="16" t="str">
        <x:v>+60124085724 | +60124085724</x:v>
      </x:c>
      <x:c r="H3017" s="16" t="str">
        <x:v>Excluded</x:v>
      </x:c>
      <x:c r="I3017" s="16" t="str">
        <x:v>Missing email</x:v>
      </x:c>
    </x:row>
    <x:row r="3018">
      <x:c r="A3018" s="16" t="n">
        <x:v>3015</x:v>
      </x:c>
      <x:c r="B3018" s="16" t="str">
        <x:v>Hanii Yayasan Yakek</x:v>
      </x:c>
      <x:c r="C3018" s="16" t="str"/>
      <x:c r="D3018" s="16" t="str"/>
      <x:c r="E3018" s="16" t="str">
        <x:v>* myContacts</x:v>
      </x:c>
      <x:c r="F3018" s="16" t="str">
        <x:v>0123463770 | +60123463770</x:v>
      </x:c>
      <x:c r="G3018" s="16" t="str">
        <x:v>+60123463770 | +60123463770</x:v>
      </x:c>
      <x:c r="H3018" s="16" t="str">
        <x:v>Excluded</x:v>
      </x:c>
      <x:c r="I3018" s="16" t="str">
        <x:v>Missing email</x:v>
      </x:c>
    </x:row>
    <x:row r="3019">
      <x:c r="A3019" s="16" t="n">
        <x:v>3016</x:v>
      </x:c>
      <x:c r="B3019" s="16" t="str">
        <x:v>Hanim Idris</x:v>
      </x:c>
      <x:c r="C3019" s="16" t="str"/>
      <x:c r="D3019" s="16" t="str"/>
      <x:c r="E3019" s="16" t="str">
        <x:v>* myContacts</x:v>
      </x:c>
      <x:c r="F3019" s="16" t="str">
        <x:v>+60164114764</x:v>
      </x:c>
      <x:c r="G3019" s="16" t="str">
        <x:v>+60164114764</x:v>
      </x:c>
      <x:c r="H3019" s="16" t="str">
        <x:v>Excluded</x:v>
      </x:c>
      <x:c r="I3019" s="16" t="str">
        <x:v>Missing email</x:v>
      </x:c>
    </x:row>
    <x:row r="3020">
      <x:c r="A3020" s="16" t="n">
        <x:v>3017</x:v>
      </x:c>
      <x:c r="B3020" s="16" t="str">
        <x:v>Hanis Aizat Hisham</x:v>
      </x:c>
      <x:c r="C3020" s="16" t="str"/>
      <x:c r="D3020" s="16" t="str"/>
      <x:c r="E3020" s="16" t="str">
        <x:v>* myContacts</x:v>
      </x:c>
      <x:c r="F3020" s="16" t="str">
        <x:v>+601126558510</x:v>
      </x:c>
      <x:c r="G3020" s="16" t="str">
        <x:v>+601126558510</x:v>
      </x:c>
      <x:c r="H3020" s="16" t="str">
        <x:v>Excluded</x:v>
      </x:c>
      <x:c r="I3020" s="16" t="str">
        <x:v>Missing email</x:v>
      </x:c>
    </x:row>
    <x:row r="3021">
      <x:c r="A3021" s="16" t="n">
        <x:v>3018</x:v>
      </x:c>
      <x:c r="B3021" s="16" t="str">
        <x:v>Hanis Essens Taiping</x:v>
      </x:c>
      <x:c r="C3021" s="16" t="str"/>
      <x:c r="D3021" s="16" t="str"/>
      <x:c r="E3021" s="16" t="str">
        <x:v>* myContacts</x:v>
      </x:c>
      <x:c r="F3021" s="16" t="str">
        <x:v>+601115442711</x:v>
      </x:c>
      <x:c r="G3021" s="16" t="str">
        <x:v>+601115442711</x:v>
      </x:c>
      <x:c r="H3021" s="16" t="str">
        <x:v>Excluded</x:v>
      </x:c>
      <x:c r="I3021" s="16" t="str">
        <x:v>Missing email</x:v>
      </x:c>
    </x:row>
    <x:row r="3022">
      <x:c r="A3022" s="16" t="n">
        <x:v>3019</x:v>
      </x:c>
      <x:c r="B3022" s="16" t="str">
        <x:v>Hanis MDEC</x:v>
      </x:c>
      <x:c r="C3022" s="16" t="str"/>
      <x:c r="D3022" s="16" t="str"/>
      <x:c r="E3022" s="16" t="str">
        <x:v>* myContacts</x:v>
      </x:c>
      <x:c r="F3022" s="16" t="str">
        <x:v>+60 10-232 4161</x:v>
      </x:c>
      <x:c r="G3022" s="16" t="str">
        <x:v>+60102324161</x:v>
      </x:c>
      <x:c r="H3022" s="16" t="str">
        <x:v>Excluded</x:v>
      </x:c>
      <x:c r="I3022" s="16" t="str">
        <x:v>Missing email</x:v>
      </x:c>
    </x:row>
    <x:row r="3023">
      <x:c r="A3023" s="16" t="n">
        <x:v>3020</x:v>
      </x:c>
      <x:c r="B3023" s="16" t="str">
        <x:v>Hanis Nadiah Binti Padli</x:v>
      </x:c>
      <x:c r="C3023" s="16" t="str">
        <x:v>hanis.padli@mdec.com.my</x:v>
      </x:c>
      <x:c r="D3023" s="16" t="str">
        <x:v>hanis.padli@mdec.com.my</x:v>
      </x:c>
      <x:c r="E3023" s="16" t="str">
        <x:v>* myContacts</x:v>
      </x:c>
      <x:c r="F3023" s="16" t="str"/>
      <x:c r="G3023" s="16" t="str"/>
      <x:c r="H3023" s="16" t="str">
        <x:v>Eligible</x:v>
      </x:c>
      <x:c r="I3023" s="16" t="str"/>
    </x:row>
    <x:row r="3024">
      <x:c r="A3024" s="16" t="n">
        <x:v>3021</x:v>
      </x:c>
      <x:c r="B3024" s="16" t="str">
        <x:v>Hanisa Krepek</x:v>
      </x:c>
      <x:c r="C3024" s="16" t="str"/>
      <x:c r="D3024" s="16" t="str"/>
      <x:c r="E3024" s="16" t="str">
        <x:v>* myContacts</x:v>
      </x:c>
      <x:c r="F3024" s="16" t="str">
        <x:v>016-306 0726 | +60163060726</x:v>
      </x:c>
      <x:c r="G3024" s="16" t="str">
        <x:v>+60163060726 | +60163060726</x:v>
      </x:c>
      <x:c r="H3024" s="16" t="str">
        <x:v>Excluded</x:v>
      </x:c>
      <x:c r="I3024" s="16" t="str">
        <x:v>Missing email</x:v>
      </x:c>
    </x:row>
    <x:row r="3025">
      <x:c r="A3025" s="16" t="n">
        <x:v>3022</x:v>
      </x:c>
      <x:c r="B3025" s="16" t="str">
        <x:v>Hanisah Mohd Shariff</x:v>
      </x:c>
      <x:c r="C3025" s="16" t="str"/>
      <x:c r="D3025" s="16" t="str"/>
      <x:c r="E3025" s="16" t="str">
        <x:v>* myContacts</x:v>
      </x:c>
      <x:c r="F3025" s="16" t="str">
        <x:v>0192171010 | +60192171010</x:v>
      </x:c>
      <x:c r="G3025" s="16" t="str">
        <x:v>+60192171010 | +60192171010</x:v>
      </x:c>
      <x:c r="H3025" s="16" t="str">
        <x:v>Excluded</x:v>
      </x:c>
      <x:c r="I3025" s="16" t="str">
        <x:v>Missing email</x:v>
      </x:c>
    </x:row>
    <x:row r="3026">
      <x:c r="A3026" s="16" t="n">
        <x:v>3023</x:v>
      </x:c>
      <x:c r="B3026" s="16" t="str">
        <x:v>Hanisah Nuranis</x:v>
      </x:c>
      <x:c r="C3026" s="16" t="str"/>
      <x:c r="D3026" s="16" t="str"/>
      <x:c r="E3026" s="16" t="str">
        <x:v>* myContacts</x:v>
      </x:c>
      <x:c r="F3026" s="16" t="str">
        <x:v>+601137723686</x:v>
      </x:c>
      <x:c r="G3026" s="16" t="str">
        <x:v>+601137723686</x:v>
      </x:c>
      <x:c r="H3026" s="16" t="str">
        <x:v>Excluded</x:v>
      </x:c>
      <x:c r="I3026" s="16" t="str">
        <x:v>Missing email</x:v>
      </x:c>
    </x:row>
    <x:row r="3027">
      <x:c r="A3027" s="16" t="n">
        <x:v>3024</x:v>
      </x:c>
      <x:c r="B3027" s="16" t="str">
        <x:v>Hanita Halip</x:v>
      </x:c>
      <x:c r="C3027" s="16" t="str"/>
      <x:c r="D3027" s="16" t="str"/>
      <x:c r="E3027" s="16" t="str">
        <x:v>* myContacts</x:v>
      </x:c>
      <x:c r="F3027" s="16" t="str">
        <x:v>+60108930077</x:v>
      </x:c>
      <x:c r="G3027" s="16" t="str">
        <x:v>+60108930077</x:v>
      </x:c>
      <x:c r="H3027" s="16" t="str">
        <x:v>Excluded</x:v>
      </x:c>
      <x:c r="I3027" s="16" t="str">
        <x:v>Missing email</x:v>
      </x:c>
    </x:row>
    <x:row r="3028">
      <x:c r="A3028" s="16" t="n">
        <x:v>3025</x:v>
      </x:c>
      <x:c r="B3028" s="16" t="str">
        <x:v>Hanita Sayuti</x:v>
      </x:c>
      <x:c r="C3028" s="16" t="str"/>
      <x:c r="D3028" s="16" t="str"/>
      <x:c r="E3028" s="16" t="str">
        <x:v>* myContacts</x:v>
      </x:c>
      <x:c r="F3028" s="16" t="str">
        <x:v>+60125245541</x:v>
      </x:c>
      <x:c r="G3028" s="16" t="str">
        <x:v>+60125245541</x:v>
      </x:c>
      <x:c r="H3028" s="16" t="str">
        <x:v>Excluded</x:v>
      </x:c>
      <x:c r="I3028" s="16" t="str">
        <x:v>Missing email</x:v>
      </x:c>
    </x:row>
    <x:row r="3029">
      <x:c r="A3029" s="16" t="n">
        <x:v>3026</x:v>
      </x:c>
      <x:c r="B3029" s="16" t="str">
        <x:v>Hanizam Auditor</x:v>
      </x:c>
      <x:c r="C3029" s="16" t="str">
        <x:v>enquiry@syamnco.com</x:v>
      </x:c>
      <x:c r="D3029" s="16" t="str">
        <x:v>enquiry@syamnco.com</x:v>
      </x:c>
      <x:c r="E3029" s="16" t="str">
        <x:v>* myContacts</x:v>
      </x:c>
      <x:c r="F3029" s="16" t="str">
        <x:v>0194445000 | +60194445000</x:v>
      </x:c>
      <x:c r="G3029" s="16" t="str">
        <x:v>+60194445000 | +60194445000</x:v>
      </x:c>
      <x:c r="H3029" s="16" t="str">
        <x:v>Eligible</x:v>
      </x:c>
      <x:c r="I3029" s="16" t="str"/>
    </x:row>
    <x:row r="3030">
      <x:c r="A3030" s="16" t="n">
        <x:v>3027</x:v>
      </x:c>
      <x:c r="B3030" s="16" t="str">
        <x:v>Hanna Hasliana</x:v>
      </x:c>
      <x:c r="C3030" s="16" t="str"/>
      <x:c r="D3030" s="16" t="str"/>
      <x:c r="E3030" s="16" t="str">
        <x:v>* myContacts</x:v>
      </x:c>
      <x:c r="F3030" s="16" t="str">
        <x:v>+60177552203</x:v>
      </x:c>
      <x:c r="G3030" s="16" t="str">
        <x:v>+60177552203</x:v>
      </x:c>
      <x:c r="H3030" s="16" t="str">
        <x:v>Excluded</x:v>
      </x:c>
      <x:c r="I3030" s="16" t="str">
        <x:v>Missing email</x:v>
      </x:c>
    </x:row>
    <x:row r="3031">
      <x:c r="A3031" s="16" t="n">
        <x:v>3028</x:v>
      </x:c>
      <x:c r="B3031" s="16" t="str">
        <x:v>Hanna ZaqiSyam</x:v>
      </x:c>
      <x:c r="C3031" s="16" t="str"/>
      <x:c r="D3031" s="16" t="str"/>
      <x:c r="E3031" s="16" t="str">
        <x:v>* myContacts</x:v>
      </x:c>
      <x:c r="F3031" s="16" t="str">
        <x:v>+60173041786</x:v>
      </x:c>
      <x:c r="G3031" s="16" t="str">
        <x:v>+60173041786</x:v>
      </x:c>
      <x:c r="H3031" s="16" t="str">
        <x:v>Excluded</x:v>
      </x:c>
      <x:c r="I3031" s="16" t="str">
        <x:v>Missing email</x:v>
      </x:c>
    </x:row>
    <x:row r="3032">
      <x:c r="A3032" s="16" t="n">
        <x:v>3029</x:v>
      </x:c>
      <x:c r="B3032" s="16" t="str">
        <x:v>HannahKosmetikKT</x:v>
      </x:c>
      <x:c r="C3032" s="16" t="str"/>
      <x:c r="D3032" s="16" t="str"/>
      <x:c r="E3032" s="16" t="str">
        <x:v>* myContacts</x:v>
      </x:c>
      <x:c r="F3032" s="16" t="str">
        <x:v>+60 13-399 5235 | +60133995235</x:v>
      </x:c>
      <x:c r="G3032" s="16" t="str">
        <x:v>+60133995235 | +60133995235</x:v>
      </x:c>
      <x:c r="H3032" s="16" t="str">
        <x:v>Excluded</x:v>
      </x:c>
      <x:c r="I3032" s="16" t="str">
        <x:v>Missing email</x:v>
      </x:c>
    </x:row>
    <x:row r="3033">
      <x:c r="A3033" s="16" t="n">
        <x:v>3030</x:v>
      </x:c>
      <x:c r="B3033" s="16" t="str">
        <x:v>Hannani Ruwaidiyah Mustafar</x:v>
      </x:c>
      <x:c r="C3033" s="16" t="str"/>
      <x:c r="D3033" s="16" t="str"/>
      <x:c r="E3033" s="16" t="str">
        <x:v>* myContacts</x:v>
      </x:c>
      <x:c r="F3033" s="16" t="str">
        <x:v>+60162177529</x:v>
      </x:c>
      <x:c r="G3033" s="16" t="str">
        <x:v>+60162177529</x:v>
      </x:c>
      <x:c r="H3033" s="16" t="str">
        <x:v>Excluded</x:v>
      </x:c>
      <x:c r="I3033" s="16" t="str">
        <x:v>Missing email</x:v>
      </x:c>
    </x:row>
    <x:row r="3034">
      <x:c r="A3034" s="16" t="n">
        <x:v>3031</x:v>
      </x:c>
      <x:c r="B3034" s="16" t="str">
        <x:v>Hanny Roslan</x:v>
      </x:c>
      <x:c r="C3034" s="16" t="str"/>
      <x:c r="D3034" s="16" t="str"/>
      <x:c r="E3034" s="16" t="str">
        <x:v>* myContacts</x:v>
      </x:c>
      <x:c r="F3034" s="16" t="str">
        <x:v>+60104609634</x:v>
      </x:c>
      <x:c r="G3034" s="16" t="str">
        <x:v>+60104609634</x:v>
      </x:c>
      <x:c r="H3034" s="16" t="str">
        <x:v>Excluded</x:v>
      </x:c>
      <x:c r="I3034" s="16" t="str">
        <x:v>Missing email</x:v>
      </x:c>
    </x:row>
    <x:row r="3035">
      <x:c r="A3035" s="16" t="n">
        <x:v>3032</x:v>
      </x:c>
      <x:c r="B3035" s="16" t="str">
        <x:v>Hans Denji Denji</x:v>
      </x:c>
      <x:c r="C3035" s="16" t="str"/>
      <x:c r="D3035" s="16" t="str"/>
      <x:c r="E3035" s="16" t="str">
        <x:v>* myContacts</x:v>
      </x:c>
      <x:c r="F3035" s="16" t="str">
        <x:v>+60183213598</x:v>
      </x:c>
      <x:c r="G3035" s="16" t="str">
        <x:v>+60183213598</x:v>
      </x:c>
      <x:c r="H3035" s="16" t="str">
        <x:v>Excluded</x:v>
      </x:c>
      <x:c r="I3035" s="16" t="str">
        <x:v>Missing email</x:v>
      </x:c>
    </x:row>
    <x:row r="3036">
      <x:c r="A3036" s="16" t="n">
        <x:v>3033</x:v>
      </x:c>
      <x:c r="B3036" s="16" t="str">
        <x:v>Hanun Haniff Sulong</x:v>
      </x:c>
      <x:c r="C3036" s="16" t="str"/>
      <x:c r="D3036" s="16" t="str"/>
      <x:c r="E3036" s="16" t="str">
        <x:v>* myContacts</x:v>
      </x:c>
      <x:c r="F3036" s="16" t="str">
        <x:v>+60105706073</x:v>
      </x:c>
      <x:c r="G3036" s="16" t="str">
        <x:v>+60105706073</x:v>
      </x:c>
      <x:c r="H3036" s="16" t="str">
        <x:v>Excluded</x:v>
      </x:c>
      <x:c r="I3036" s="16" t="str">
        <x:v>Missing email</x:v>
      </x:c>
    </x:row>
    <x:row r="3037">
      <x:c r="A3037" s="16" t="n">
        <x:v>3034</x:v>
      </x:c>
      <x:c r="B3037" s="16" t="str">
        <x:v>Hanuur Jain Jawahir</x:v>
      </x:c>
      <x:c r="C3037" s="16" t="str"/>
      <x:c r="D3037" s="16" t="str"/>
      <x:c r="E3037" s="16" t="str">
        <x:v>* myContacts</x:v>
      </x:c>
      <x:c r="F3037" s="16" t="str">
        <x:v>+60176974965</x:v>
      </x:c>
      <x:c r="G3037" s="16" t="str">
        <x:v>+60176974965</x:v>
      </x:c>
      <x:c r="H3037" s="16" t="str">
        <x:v>Excluded</x:v>
      </x:c>
      <x:c r="I3037" s="16" t="str">
        <x:v>Missing email</x:v>
      </x:c>
    </x:row>
    <x:row r="3038">
      <x:c r="A3038" s="16" t="n">
        <x:v>3035</x:v>
      </x:c>
      <x:c r="B3038" s="16" t="str">
        <x:v>Hanya Padamu</x:v>
      </x:c>
      <x:c r="C3038" s="16" t="str"/>
      <x:c r="D3038" s="16" t="str"/>
      <x:c r="E3038" s="16" t="str">
        <x:v>* myContacts</x:v>
      </x:c>
      <x:c r="F3038" s="16" t="str">
        <x:v>+60142519836</x:v>
      </x:c>
      <x:c r="G3038" s="16" t="str">
        <x:v>+60142519836</x:v>
      </x:c>
      <x:c r="H3038" s="16" t="str">
        <x:v>Excluded</x:v>
      </x:c>
      <x:c r="I3038" s="16" t="str">
        <x:v>Missing email</x:v>
      </x:c>
    </x:row>
    <x:row r="3039">
      <x:c r="A3039" s="16" t="n">
        <x:v>3036</x:v>
      </x:c>
      <x:c r="B3039" s="16" t="str">
        <x:v>Hanya Rina</x:v>
      </x:c>
      <x:c r="C3039" s="16" t="str"/>
      <x:c r="D3039" s="16" t="str"/>
      <x:c r="E3039" s="16" t="str">
        <x:v>* myContacts</x:v>
      </x:c>
      <x:c r="F3039" s="16" t="str">
        <x:v>+60122618455</x:v>
      </x:c>
      <x:c r="G3039" s="16" t="str">
        <x:v>+60122618455</x:v>
      </x:c>
      <x:c r="H3039" s="16" t="str">
        <x:v>Excluded</x:v>
      </x:c>
      <x:c r="I3039" s="16" t="str">
        <x:v>Missing email</x:v>
      </x:c>
    </x:row>
    <x:row r="3040">
      <x:c r="A3040" s="16" t="n">
        <x:v>3037</x:v>
      </x:c>
      <x:c r="B3040" s="16" t="str">
        <x:v>Hao Pooi</x:v>
      </x:c>
      <x:c r="C3040" s="16" t="str"/>
      <x:c r="D3040" s="16" t="str"/>
      <x:c r="E3040" s="16" t="str">
        <x:v>* myContacts</x:v>
      </x:c>
      <x:c r="F3040" s="16" t="str">
        <x:v>+60125383303</x:v>
      </x:c>
      <x:c r="G3040" s="16" t="str">
        <x:v>+60125383303</x:v>
      </x:c>
      <x:c r="H3040" s="16" t="str">
        <x:v>Excluded</x:v>
      </x:c>
      <x:c r="I3040" s="16" t="str">
        <x:v>Missing email</x:v>
      </x:c>
    </x:row>
    <x:row r="3041">
      <x:c r="A3041" s="16" t="n">
        <x:v>3038</x:v>
      </x:c>
      <x:c r="B3041" s="16" t="str">
        <x:v>Hapisah Daruis</x:v>
      </x:c>
      <x:c r="C3041" s="16" t="str"/>
      <x:c r="D3041" s="16" t="str"/>
      <x:c r="E3041" s="16" t="str">
        <x:v>* myContacts</x:v>
      </x:c>
      <x:c r="F3041" s="16" t="str">
        <x:v>+66869607496</x:v>
      </x:c>
      <x:c r="G3041" s="16" t="str">
        <x:v>+66869607496</x:v>
      </x:c>
      <x:c r="H3041" s="16" t="str">
        <x:v>Excluded</x:v>
      </x:c>
      <x:c r="I3041" s="16" t="str">
        <x:v>Missing email</x:v>
      </x:c>
    </x:row>
    <x:row r="3042">
      <x:c r="A3042" s="16" t="n">
        <x:v>3039</x:v>
      </x:c>
      <x:c r="B3042" s="16" t="str">
        <x:v>Happyshop Mymom</x:v>
      </x:c>
      <x:c r="C3042" s="16" t="str"/>
      <x:c r="D3042" s="16" t="str"/>
      <x:c r="E3042" s="16" t="str">
        <x:v>* myContacts</x:v>
      </x:c>
      <x:c r="F3042" s="16" t="str">
        <x:v>+601116752393</x:v>
      </x:c>
      <x:c r="G3042" s="16" t="str">
        <x:v>+601116752393</x:v>
      </x:c>
      <x:c r="H3042" s="16" t="str">
        <x:v>Excluded</x:v>
      </x:c>
      <x:c r="I3042" s="16" t="str">
        <x:v>Missing email</x:v>
      </x:c>
    </x:row>
    <x:row r="3043">
      <x:c r="A3043" s="16" t="n">
        <x:v>3040</x:v>
      </x:c>
      <x:c r="B3043" s="16" t="str">
        <x:v>Haris IM</x:v>
      </x:c>
      <x:c r="C3043" s="16" t="str"/>
      <x:c r="D3043" s="16" t="str"/>
      <x:c r="E3043" s="16" t="str">
        <x:v>* myContacts</x:v>
      </x:c>
      <x:c r="F3043" s="16" t="str">
        <x:v>013-310 6800</x:v>
      </x:c>
      <x:c r="G3043" s="16" t="str">
        <x:v>+60133106800</x:v>
      </x:c>
      <x:c r="H3043" s="16" t="str">
        <x:v>Excluded</x:v>
      </x:c>
      <x:c r="I3043" s="16" t="str">
        <x:v>Missing email</x:v>
      </x:c>
    </x:row>
    <x:row r="3044">
      <x:c r="A3044" s="16" t="n">
        <x:v>3041</x:v>
      </x:c>
      <x:c r="B3044" s="16" t="str">
        <x:v>Harisa Imr</x:v>
      </x:c>
      <x:c r="C3044" s="16" t="str"/>
      <x:c r="D3044" s="16" t="str"/>
      <x:c r="E3044" s="16" t="str">
        <x:v>* myContacts</x:v>
      </x:c>
      <x:c r="F3044" s="16" t="str">
        <x:v>+60199268493</x:v>
      </x:c>
      <x:c r="G3044" s="16" t="str">
        <x:v>+60199268493</x:v>
      </x:c>
      <x:c r="H3044" s="16" t="str">
        <x:v>Excluded</x:v>
      </x:c>
      <x:c r="I3044" s="16" t="str">
        <x:v>Missing email</x:v>
      </x:c>
    </x:row>
    <x:row r="3045">
      <x:c r="A3045" s="16" t="n">
        <x:v>3042</x:v>
      </x:c>
      <x:c r="B3045" s="16" t="str">
        <x:v>Harith Hotel</x:v>
      </x:c>
      <x:c r="C3045" s="16" t="str"/>
      <x:c r="D3045" s="16" t="str"/>
      <x:c r="E3045" s="16" t="str">
        <x:v>* myContacts</x:v>
      </x:c>
      <x:c r="F3045" s="16" t="str">
        <x:v>+60 19-245 2345 | +60192452345</x:v>
      </x:c>
      <x:c r="G3045" s="16" t="str">
        <x:v>+60192452345 | +60192452345</x:v>
      </x:c>
      <x:c r="H3045" s="16" t="str">
        <x:v>Excluded</x:v>
      </x:c>
      <x:c r="I3045" s="16" t="str">
        <x:v>Missing email</x:v>
      </x:c>
    </x:row>
    <x:row r="3046">
      <x:c r="A3046" s="16" t="n">
        <x:v>3043</x:v>
      </x:c>
      <x:c r="B3046" s="16" t="str">
        <x:v>harith shah beban sniper</x:v>
      </x:c>
      <x:c r="C3046" s="16" t="str"/>
      <x:c r="D3046" s="16" t="str"/>
      <x:c r="E3046" s="16" t="str">
        <x:v>* myContacts</x:v>
      </x:c>
      <x:c r="F3046" s="16" t="str">
        <x:v>+60179654295</x:v>
      </x:c>
      <x:c r="G3046" s="16" t="str">
        <x:v>+60179654295</x:v>
      </x:c>
      <x:c r="H3046" s="16" t="str">
        <x:v>Excluded</x:v>
      </x:c>
      <x:c r="I3046" s="16" t="str">
        <x:v>Missing email</x:v>
      </x:c>
    </x:row>
    <x:row r="3047">
      <x:c r="A3047" s="16" t="n">
        <x:v>3044</x:v>
      </x:c>
      <x:c r="B3047" s="16" t="str">
        <x:v>Harith Soleh</x:v>
      </x:c>
      <x:c r="C3047" s="16" t="str"/>
      <x:c r="D3047" s="16" t="str"/>
      <x:c r="E3047" s="16" t="str">
        <x:v>* myContacts</x:v>
      </x:c>
      <x:c r="F3047" s="16" t="str">
        <x:v>+60133106800</x:v>
      </x:c>
      <x:c r="G3047" s="16" t="str">
        <x:v>+60133106800</x:v>
      </x:c>
      <x:c r="H3047" s="16" t="str">
        <x:v>Excluded</x:v>
      </x:c>
      <x:c r="I3047" s="16" t="str">
        <x:v>Missing email</x:v>
      </x:c>
    </x:row>
    <x:row r="3048">
      <x:c r="A3048" s="16" t="n">
        <x:v>3045</x:v>
      </x:c>
      <x:c r="B3048" s="16" t="str">
        <x:v>Hariz Blogger</x:v>
      </x:c>
      <x:c r="C3048" s="16" t="str"/>
      <x:c r="D3048" s="16" t="str"/>
      <x:c r="E3048" s="16" t="str">
        <x:v>* myContacts</x:v>
      </x:c>
      <x:c r="F3048" s="16" t="str">
        <x:v>+60125336713</x:v>
      </x:c>
      <x:c r="G3048" s="16" t="str">
        <x:v>+60125336713</x:v>
      </x:c>
      <x:c r="H3048" s="16" t="str">
        <x:v>Excluded</x:v>
      </x:c>
      <x:c r="I3048" s="16" t="str">
        <x:v>Missing email</x:v>
      </x:c>
    </x:row>
    <x:row r="3049">
      <x:c r="A3049" s="16" t="n">
        <x:v>3046</x:v>
      </x:c>
      <x:c r="B3049" s="16" t="str">
        <x:v>Prof Hariz Blogger</x:v>
      </x:c>
      <x:c r="C3049" s="16" t="str"/>
      <x:c r="D3049" s="16" t="str"/>
      <x:c r="E3049" s="16" t="str">
        <x:v>* myContacts</x:v>
      </x:c>
      <x:c r="F3049" s="16" t="str">
        <x:v>+60 12-533 6713</x:v>
      </x:c>
      <x:c r="G3049" s="16" t="str">
        <x:v>+60125336713</x:v>
      </x:c>
      <x:c r="H3049" s="16" t="str">
        <x:v>Excluded</x:v>
      </x:c>
      <x:c r="I3049" s="16" t="str">
        <x:v>Missing email</x:v>
      </x:c>
    </x:row>
    <x:row r="3050">
      <x:c r="A3050" s="16" t="n">
        <x:v>3047</x:v>
      </x:c>
      <x:c r="B3050" s="16" t="str">
        <x:v>Hariz eU Trainer</x:v>
      </x:c>
      <x:c r="C3050" s="16" t="str"/>
      <x:c r="D3050" s="16" t="str"/>
      <x:c r="E3050" s="16" t="str">
        <x:v>Trainer | * myContacts</x:v>
      </x:c>
      <x:c r="F3050" s="16" t="str">
        <x:v>+60 17-431 1215 | +60174311215</x:v>
      </x:c>
      <x:c r="G3050" s="16" t="str">
        <x:v>+60174311215 | +60174311215</x:v>
      </x:c>
      <x:c r="H3050" s="16" t="str">
        <x:v>Excluded</x:v>
      </x:c>
      <x:c r="I3050" s="16" t="str">
        <x:v>Missing email</x:v>
      </x:c>
    </x:row>
    <x:row r="3051">
      <x:c r="A3051" s="16" t="n">
        <x:v>3048</x:v>
      </x:c>
      <x:c r="B3051" s="16" t="str">
        <x:v>Hariz home nursing</x:v>
      </x:c>
      <x:c r="C3051" s="16" t="str"/>
      <x:c r="D3051" s="16" t="str"/>
      <x:c r="E3051" s="16" t="str">
        <x:v>* myContacts</x:v>
      </x:c>
      <x:c r="F3051" s="16" t="str">
        <x:v>+60 17-561 9890 | +60175619890</x:v>
      </x:c>
      <x:c r="G3051" s="16" t="str">
        <x:v>+60175619890 | +60175619890</x:v>
      </x:c>
      <x:c r="H3051" s="16" t="str">
        <x:v>Excluded</x:v>
      </x:c>
      <x:c r="I3051" s="16" t="str">
        <x:v>Missing email</x:v>
      </x:c>
    </x:row>
    <x:row r="3052">
      <x:c r="A3052" s="16" t="n">
        <x:v>3049</x:v>
      </x:c>
      <x:c r="B3052" s="16" t="str">
        <x:v>hariz im</x:v>
      </x:c>
      <x:c r="C3052" s="16" t="str"/>
      <x:c r="D3052" s="16" t="str"/>
      <x:c r="E3052" s="16" t="str">
        <x:v>* myContacts</x:v>
      </x:c>
      <x:c r="F3052" s="16" t="str">
        <x:v>0176321327 | +60176321327</x:v>
      </x:c>
      <x:c r="G3052" s="16" t="str">
        <x:v>+60176321327 | +60176321327</x:v>
      </x:c>
      <x:c r="H3052" s="16" t="str">
        <x:v>Excluded</x:v>
      </x:c>
      <x:c r="I3052" s="16" t="str">
        <x:v>Missing email</x:v>
      </x:c>
    </x:row>
    <x:row r="3053">
      <x:c r="A3053" s="16" t="n">
        <x:v>3050</x:v>
      </x:c>
      <x:c r="B3053" s="16" t="str">
        <x:v>Dr hariz Mdec Trainer</x:v>
      </x:c>
      <x:c r="C3053" s="16" t="str"/>
      <x:c r="D3053" s="16" t="str"/>
      <x:c r="E3053" s="16" t="str">
        <x:v>* myContacts</x:v>
      </x:c>
      <x:c r="F3053" s="16" t="str">
        <x:v>+60 17-431 1215</x:v>
      </x:c>
      <x:c r="G3053" s="16" t="str">
        <x:v>+60174311215</x:v>
      </x:c>
      <x:c r="H3053" s="16" t="str">
        <x:v>Excluded</x:v>
      </x:c>
      <x:c r="I3053" s="16" t="str">
        <x:v>Missing email</x:v>
      </x:c>
    </x:row>
    <x:row r="3054">
      <x:c r="A3054" s="16" t="n">
        <x:v>3051</x:v>
      </x:c>
      <x:c r="B3054" s="16" t="str">
        <x:v>Hariz Mohd</x:v>
      </x:c>
      <x:c r="C3054" s="16" t="str"/>
      <x:c r="D3054" s="16" t="str"/>
      <x:c r="E3054" s="16" t="str">
        <x:v>* myContacts</x:v>
      </x:c>
      <x:c r="F3054" s="16" t="str">
        <x:v>+60126212228</x:v>
      </x:c>
      <x:c r="G3054" s="16" t="str">
        <x:v>+60126212228</x:v>
      </x:c>
      <x:c r="H3054" s="16" t="str">
        <x:v>Excluded</x:v>
      </x:c>
      <x:c r="I3054" s="16" t="str">
        <x:v>Missing email</x:v>
      </x:c>
    </x:row>
    <x:row r="3055">
      <x:c r="A3055" s="16" t="n">
        <x:v>3052</x:v>
      </x:c>
      <x:c r="B3055" s="16" t="str">
        <x:v>Harry HD Sport</x:v>
      </x:c>
      <x:c r="C3055" s="16" t="str"/>
      <x:c r="D3055" s="16" t="str"/>
      <x:c r="E3055" s="16" t="str">
        <x:v>* myContacts</x:v>
      </x:c>
      <x:c r="F3055" s="16" t="str">
        <x:v>+60177475797</x:v>
      </x:c>
      <x:c r="G3055" s="16" t="str">
        <x:v>+60177475797</x:v>
      </x:c>
      <x:c r="H3055" s="16" t="str">
        <x:v>Excluded</x:v>
      </x:c>
      <x:c r="I3055" s="16" t="str">
        <x:v>Missing email</x:v>
      </x:c>
    </x:row>
    <x:row r="3056">
      <x:c r="A3056" s="16" t="n">
        <x:v>3053</x:v>
      </x:c>
      <x:c r="B3056" s="16" t="str">
        <x:v>Harrys Harry</x:v>
      </x:c>
      <x:c r="C3056" s="16" t="str"/>
      <x:c r="D3056" s="16" t="str"/>
      <x:c r="E3056" s="16" t="str">
        <x:v>* myContacts</x:v>
      </x:c>
      <x:c r="F3056" s="16" t="str">
        <x:v>+601111788213</x:v>
      </x:c>
      <x:c r="G3056" s="16" t="str">
        <x:v>+601111788213</x:v>
      </x:c>
      <x:c r="H3056" s="16" t="str">
        <x:v>Excluded</x:v>
      </x:c>
      <x:c r="I3056" s="16" t="str">
        <x:v>Missing email</x:v>
      </x:c>
    </x:row>
    <x:row r="3057">
      <x:c r="A3057" s="16" t="n">
        <x:v>3054</x:v>
      </x:c>
      <x:c r="B3057" s="16" t="str">
        <x:v>Hartanah Johor</x:v>
      </x:c>
      <x:c r="C3057" s="16" t="str"/>
      <x:c r="D3057" s="16" t="str"/>
      <x:c r="E3057" s="16" t="str">
        <x:v>* myContacts</x:v>
      </x:c>
      <x:c r="F3057" s="16" t="str">
        <x:v>+60127635321</x:v>
      </x:c>
      <x:c r="G3057" s="16" t="str">
        <x:v>+60127635321</x:v>
      </x:c>
      <x:c r="H3057" s="16" t="str">
        <x:v>Excluded</x:v>
      </x:c>
      <x:c r="I3057" s="16" t="str">
        <x:v>Missing email</x:v>
      </x:c>
    </x:row>
    <x:row r="3058">
      <x:c r="A3058" s="16" t="n">
        <x:v>3055</x:v>
      </x:c>
      <x:c r="B3058" s="16" t="str">
        <x:v>Harun Yusuf</x:v>
      </x:c>
      <x:c r="C3058" s="16" t="str"/>
      <x:c r="D3058" s="16" t="str"/>
      <x:c r="E3058" s="16" t="str">
        <x:v>* myContacts</x:v>
      </x:c>
      <x:c r="F3058" s="16" t="str">
        <x:v>+601115335707</x:v>
      </x:c>
      <x:c r="G3058" s="16" t="str">
        <x:v>+601115335707</x:v>
      </x:c>
      <x:c r="H3058" s="16" t="str">
        <x:v>Excluded</x:v>
      </x:c>
      <x:c r="I3058" s="16" t="str">
        <x:v>Missing email</x:v>
      </x:c>
    </x:row>
    <x:row r="3059">
      <x:c r="A3059" s="16" t="n">
        <x:v>3056</x:v>
      </x:c>
      <x:c r="B3059" s="16" t="str">
        <x:v>Haryani AGP</x:v>
      </x:c>
      <x:c r="C3059" s="16" t="str"/>
      <x:c r="D3059" s="16" t="str"/>
      <x:c r="E3059" s="16" t="str">
        <x:v>* myContacts</x:v>
      </x:c>
      <x:c r="F3059" s="16" t="str">
        <x:v>0122010424 | +60122010424</x:v>
      </x:c>
      <x:c r="G3059" s="16" t="str">
        <x:v>+60122010424 | +60122010424</x:v>
      </x:c>
      <x:c r="H3059" s="16" t="str">
        <x:v>Excluded</x:v>
      </x:c>
      <x:c r="I3059" s="16" t="str">
        <x:v>Missing email</x:v>
      </x:c>
    </x:row>
    <x:row r="3060">
      <x:c r="A3060" s="16" t="n">
        <x:v>3057</x:v>
      </x:c>
      <x:c r="B3060" s="16" t="str">
        <x:v>Haryati Mansor</x:v>
      </x:c>
      <x:c r="C3060" s="16" t="str"/>
      <x:c r="D3060" s="16" t="str"/>
      <x:c r="E3060" s="16" t="str">
        <x:v>* myContacts</x:v>
      </x:c>
      <x:c r="F3060" s="16" t="str">
        <x:v>+60196903421</x:v>
      </x:c>
      <x:c r="G3060" s="16" t="str">
        <x:v>+60196903421</x:v>
      </x:c>
      <x:c r="H3060" s="16" t="str">
        <x:v>Excluded</x:v>
      </x:c>
      <x:c r="I3060" s="16" t="str">
        <x:v>Missing email</x:v>
      </x:c>
    </x:row>
    <x:row r="3061">
      <x:c r="A3061" s="16" t="n">
        <x:v>3058</x:v>
      </x:c>
      <x:c r="B3061" s="16" t="str">
        <x:v>Has Linda</x:v>
      </x:c>
      <x:c r="C3061" s="16" t="str"/>
      <x:c r="D3061" s="16" t="str"/>
      <x:c r="E3061" s="16" t="str">
        <x:v>* myContacts</x:v>
      </x:c>
      <x:c r="F3061" s="16" t="str">
        <x:v>+60174366710</x:v>
      </x:c>
      <x:c r="G3061" s="16" t="str">
        <x:v>+60174366710</x:v>
      </x:c>
      <x:c r="H3061" s="16" t="str">
        <x:v>Excluded</x:v>
      </x:c>
      <x:c r="I3061" s="16" t="str">
        <x:v>Missing email</x:v>
      </x:c>
    </x:row>
    <x:row r="3062">
      <x:c r="A3062" s="16" t="n">
        <x:v>3059</x:v>
      </x:c>
      <x:c r="B3062" s="16" t="str">
        <x:v>Has Yati</x:v>
      </x:c>
      <x:c r="C3062" s="16" t="str"/>
      <x:c r="D3062" s="16" t="str"/>
      <x:c r="E3062" s="16" t="str">
        <x:v>* myContacts</x:v>
      </x:c>
      <x:c r="F3062" s="16" t="str">
        <x:v>+60149843451</x:v>
      </x:c>
      <x:c r="G3062" s="16" t="str">
        <x:v>+60149843451</x:v>
      </x:c>
      <x:c r="H3062" s="16" t="str">
        <x:v>Excluded</x:v>
      </x:c>
      <x:c r="I3062" s="16" t="str">
        <x:v>Missing email</x:v>
      </x:c>
    </x:row>
    <x:row r="3063">
      <x:c r="A3063" s="16" t="n">
        <x:v>3060</x:v>
      </x:c>
      <x:c r="B3063" s="16" t="str">
        <x:v>Hasan Daud</x:v>
      </x:c>
      <x:c r="C3063" s="16" t="str"/>
      <x:c r="D3063" s="16" t="str"/>
      <x:c r="E3063" s="16" t="str">
        <x:v>* myContacts</x:v>
      </x:c>
      <x:c r="F3063" s="16" t="str">
        <x:v>+60176727333</x:v>
      </x:c>
      <x:c r="G3063" s="16" t="str">
        <x:v>+60176727333</x:v>
      </x:c>
      <x:c r="H3063" s="16" t="str">
        <x:v>Excluded</x:v>
      </x:c>
      <x:c r="I3063" s="16" t="str">
        <x:v>Missing email</x:v>
      </x:c>
    </x:row>
    <x:row r="3064">
      <x:c r="A3064" s="16" t="n">
        <x:v>3061</x:v>
      </x:c>
      <x:c r="B3064" s="16" t="str">
        <x:v>Hasan El-way</x:v>
      </x:c>
      <x:c r="C3064" s="16" t="str"/>
      <x:c r="D3064" s="16" t="str"/>
      <x:c r="E3064" s="16" t="str">
        <x:v>* myContacts</x:v>
      </x:c>
      <x:c r="F3064" s="16" t="str">
        <x:v>+6283113385553</x:v>
      </x:c>
      <x:c r="G3064" s="16" t="str">
        <x:v>+6283113385553</x:v>
      </x:c>
      <x:c r="H3064" s="16" t="str">
        <x:v>Excluded</x:v>
      </x:c>
      <x:c r="I3064" s="16" t="str">
        <x:v>Missing email</x:v>
      </x:c>
    </x:row>
    <x:row r="3065">
      <x:c r="A3065" s="16" t="n">
        <x:v>3062</x:v>
      </x:c>
      <x:c r="B3065" s="16" t="str">
        <x:v>Hasanatul Fariha</x:v>
      </x:c>
      <x:c r="C3065" s="16" t="str"/>
      <x:c r="D3065" s="16" t="str"/>
      <x:c r="E3065" s="16" t="str">
        <x:v>* myContacts</x:v>
      </x:c>
      <x:c r="F3065" s="16" t="str">
        <x:v>+60175905730</x:v>
      </x:c>
      <x:c r="G3065" s="16" t="str">
        <x:v>+60175905730</x:v>
      </x:c>
      <x:c r="H3065" s="16" t="str">
        <x:v>Excluded</x:v>
      </x:c>
      <x:c r="I3065" s="16" t="str">
        <x:v>Missing email</x:v>
      </x:c>
    </x:row>
    <x:row r="3066">
      <x:c r="A3066" s="16" t="n">
        <x:v>3063</x:v>
      </x:c>
      <x:c r="B3066" s="16" t="str">
        <x:v>Hasbillah Funnel Evo</x:v>
      </x:c>
      <x:c r="C3066" s="16" t="str"/>
      <x:c r="D3066" s="16" t="str"/>
      <x:c r="E3066" s="16" t="str">
        <x:v>* myContacts</x:v>
      </x:c>
      <x:c r="F3066" s="16" t="str">
        <x:v>+60 18-906 4390 | +60189064390</x:v>
      </x:c>
      <x:c r="G3066" s="16" t="str">
        <x:v>+60189064390 | +60189064390</x:v>
      </x:c>
      <x:c r="H3066" s="16" t="str">
        <x:v>Excluded</x:v>
      </x:c>
      <x:c r="I3066" s="16" t="str">
        <x:v>Missing email</x:v>
      </x:c>
    </x:row>
    <x:row r="3067">
      <x:c r="A3067" s="16" t="n">
        <x:v>3064</x:v>
      </x:c>
      <x:c r="B3067" s="16" t="str">
        <x:v>HASBUL ' ARIFF</x:v>
      </x:c>
      <x:c r="C3067" s="16" t="str">
        <x:v>iariff@majalahnlaga.com</x:v>
      </x:c>
      <x:c r="D3067" s="16" t="str">
        <x:v>iariff@majalahnlaga.com</x:v>
      </x:c>
      <x:c r="E3067" s="16" t="str">
        <x:v>* myContacts</x:v>
      </x:c>
      <x:c r="F3067" s="16" t="str">
        <x:v>0193837794 | +60193837794</x:v>
      </x:c>
      <x:c r="G3067" s="16" t="str">
        <x:v>+60193837794 | +60193837794</x:v>
      </x:c>
      <x:c r="H3067" s="16" t="str">
        <x:v>Eligible</x:v>
      </x:c>
      <x:c r="I3067" s="16" t="str"/>
    </x:row>
    <x:row r="3068">
      <x:c r="A3068" s="16" t="n">
        <x:v>3065</x:v>
      </x:c>
      <x:c r="B3068" s="16" t="str">
        <x:v>hasbul arif</x:v>
      </x:c>
      <x:c r="C3068" s="16" t="str"/>
      <x:c r="D3068" s="16" t="str"/>
      <x:c r="E3068" s="16" t="str">
        <x:v>* myContacts</x:v>
      </x:c>
      <x:c r="F3068" s="16" t="str">
        <x:v>014-208 0933 | +60142080933</x:v>
      </x:c>
      <x:c r="G3068" s="16" t="str">
        <x:v>+60142080933 | +60142080933</x:v>
      </x:c>
      <x:c r="H3068" s="16" t="str">
        <x:v>Excluded</x:v>
      </x:c>
      <x:c r="I3068" s="16" t="str">
        <x:v>Missing email</x:v>
      </x:c>
    </x:row>
    <x:row r="3069">
      <x:c r="A3069" s="16" t="n">
        <x:v>3066</x:v>
      </x:c>
      <x:c r="B3069" s="16" t="str">
        <x:v>Hasbullah Aboy</x:v>
      </x:c>
      <x:c r="C3069" s="16" t="str"/>
      <x:c r="D3069" s="16" t="str"/>
      <x:c r="E3069" s="16" t="str">
        <x:v>* myContacts</x:v>
      </x:c>
      <x:c r="F3069" s="16" t="str">
        <x:v>+601140154373</x:v>
      </x:c>
      <x:c r="G3069" s="16" t="str">
        <x:v>+601140154373</x:v>
      </x:c>
      <x:c r="H3069" s="16" t="str">
        <x:v>Excluded</x:v>
      </x:c>
      <x:c r="I3069" s="16" t="str">
        <x:v>Missing email</x:v>
      </x:c>
    </x:row>
    <x:row r="3070">
      <x:c r="A3070" s="16" t="n">
        <x:v>3067</x:v>
      </x:c>
      <x:c r="B3070" s="16" t="str">
        <x:v>Hasbullah Azura</x:v>
      </x:c>
      <x:c r="C3070" s="16" t="str"/>
      <x:c r="D3070" s="16" t="str"/>
      <x:c r="E3070" s="16" t="str">
        <x:v>* myContacts</x:v>
      </x:c>
      <x:c r="F3070" s="16" t="str">
        <x:v>+601127803758</x:v>
      </x:c>
      <x:c r="G3070" s="16" t="str">
        <x:v>+601127803758</x:v>
      </x:c>
      <x:c r="H3070" s="16" t="str">
        <x:v>Excluded</x:v>
      </x:c>
      <x:c r="I3070" s="16" t="str">
        <x:v>Missing email</x:v>
      </x:c>
    </x:row>
    <x:row r="3071">
      <x:c r="A3071" s="16" t="n">
        <x:v>3068</x:v>
      </x:c>
      <x:c r="B3071" s="16" t="str">
        <x:v>Hasbullah Hamzah</x:v>
      </x:c>
      <x:c r="C3071" s="16" t="str"/>
      <x:c r="D3071" s="16" t="str"/>
      <x:c r="E3071" s="16" t="str">
        <x:v>* myContacts</x:v>
      </x:c>
      <x:c r="F3071" s="16" t="str">
        <x:v>+60 19-292 1157 | +60192921157</x:v>
      </x:c>
      <x:c r="G3071" s="16" t="str">
        <x:v>+60192921157 | +60192921157</x:v>
      </x:c>
      <x:c r="H3071" s="16" t="str">
        <x:v>Excluded</x:v>
      </x:c>
      <x:c r="I3071" s="16" t="str">
        <x:v>Missing email</x:v>
      </x:c>
    </x:row>
    <x:row r="3072">
      <x:c r="A3072" s="16" t="n">
        <x:v>3069</x:v>
      </x:c>
      <x:c r="B3072" s="16" t="str">
        <x:v>Hasbullah IM</x:v>
      </x:c>
      <x:c r="C3072" s="16" t="str"/>
      <x:c r="D3072" s="16" t="str"/>
      <x:c r="E3072" s="16" t="str">
        <x:v>* myContacts</x:v>
      </x:c>
      <x:c r="F3072" s="16" t="str">
        <x:v>0163307974 | +60163307974</x:v>
      </x:c>
      <x:c r="G3072" s="16" t="str">
        <x:v>+60163307974 | +60163307974</x:v>
      </x:c>
      <x:c r="H3072" s="16" t="str">
        <x:v>Excluded</x:v>
      </x:c>
      <x:c r="I3072" s="16" t="str">
        <x:v>Missing email</x:v>
      </x:c>
    </x:row>
    <x:row r="3073">
      <x:c r="A3073" s="16" t="n">
        <x:v>3070</x:v>
      </x:c>
      <x:c r="B3073" s="16" t="str">
        <x:v>Hasbullah Kamal Romli II</x:v>
      </x:c>
      <x:c r="C3073" s="16" t="str"/>
      <x:c r="D3073" s="16" t="str"/>
      <x:c r="E3073" s="16" t="str">
        <x:v>* myContacts</x:v>
      </x:c>
      <x:c r="F3073" s="16" t="str">
        <x:v>+601131130229</x:v>
      </x:c>
      <x:c r="G3073" s="16" t="str">
        <x:v>+601131130229</x:v>
      </x:c>
      <x:c r="H3073" s="16" t="str">
        <x:v>Excluded</x:v>
      </x:c>
      <x:c r="I3073" s="16" t="str">
        <x:v>Missing email</x:v>
      </x:c>
    </x:row>
    <x:row r="3074">
      <x:c r="A3074" s="16" t="n">
        <x:v>3071</x:v>
      </x:c>
      <x:c r="B3074" s="16" t="str">
        <x:v>Hasdhia Ahmad</x:v>
      </x:c>
      <x:c r="C3074" s="16" t="str"/>
      <x:c r="D3074" s="16" t="str"/>
      <x:c r="E3074" s="16" t="str">
        <x:v>* myContacts</x:v>
      </x:c>
      <x:c r="F3074" s="16" t="str">
        <x:v>+60167763690</x:v>
      </x:c>
      <x:c r="G3074" s="16" t="str">
        <x:v>+60167763690</x:v>
      </x:c>
      <x:c r="H3074" s="16" t="str">
        <x:v>Excluded</x:v>
      </x:c>
      <x:c r="I3074" s="16" t="str">
        <x:v>Missing email</x:v>
      </x:c>
    </x:row>
    <x:row r="3075">
      <x:c r="A3075" s="16" t="n">
        <x:v>3072</x:v>
      </x:c>
      <x:c r="B3075" s="16" t="str">
        <x:v>Haseli AGP</x:v>
      </x:c>
      <x:c r="C3075" s="16" t="str"/>
      <x:c r="D3075" s="16" t="str"/>
      <x:c r="E3075" s="16" t="str">
        <x:v>* myContacts</x:v>
      </x:c>
      <x:c r="F3075" s="16" t="str">
        <x:v>+60 11-1271 9452 | +601112719452</x:v>
      </x:c>
      <x:c r="G3075" s="16" t="str">
        <x:v>+601112719452 | +601112719452</x:v>
      </x:c>
      <x:c r="H3075" s="16" t="str">
        <x:v>Excluded</x:v>
      </x:c>
      <x:c r="I3075" s="16" t="str">
        <x:v>Missing email</x:v>
      </x:c>
    </x:row>
    <x:row r="3076">
      <x:c r="A3076" s="16" t="n">
        <x:v>3073</x:v>
      </x:c>
      <x:c r="B3076" s="16" t="str">
        <x:v>Hash Bridal House</x:v>
      </x:c>
      <x:c r="C3076" s="16" t="str"/>
      <x:c r="D3076" s="16" t="str"/>
      <x:c r="E3076" s="16" t="str">
        <x:v>* myContacts</x:v>
      </x:c>
      <x:c r="F3076" s="16" t="str">
        <x:v>+60127326096</x:v>
      </x:c>
      <x:c r="G3076" s="16" t="str">
        <x:v>+60127326096</x:v>
      </x:c>
      <x:c r="H3076" s="16" t="str">
        <x:v>Excluded</x:v>
      </x:c>
      <x:c r="I3076" s="16" t="str">
        <x:v>Missing email</x:v>
      </x:c>
    </x:row>
    <x:row r="3077">
      <x:c r="A3077" s="16" t="n">
        <x:v>3074</x:v>
      </x:c>
      <x:c r="B3077" s="16" t="str">
        <x:v>Hashimi Ibrahim</x:v>
      </x:c>
      <x:c r="C3077" s="16" t="str"/>
      <x:c r="D3077" s="16" t="str"/>
      <x:c r="E3077" s="16" t="str">
        <x:v>* myContacts</x:v>
      </x:c>
      <x:c r="F3077" s="16" t="str">
        <x:v>+60143460967</x:v>
      </x:c>
      <x:c r="G3077" s="16" t="str">
        <x:v>+60143460967</x:v>
      </x:c>
      <x:c r="H3077" s="16" t="str">
        <x:v>Excluded</x:v>
      </x:c>
      <x:c r="I3077" s="16" t="str">
        <x:v>Missing email</x:v>
      </x:c>
    </x:row>
    <x:row r="3078">
      <x:c r="A3078" s="16" t="n">
        <x:v>3075</x:v>
      </x:c>
      <x:c r="B3078" s="16" t="str">
        <x:v>Hashtags Cust Srvc</x:v>
      </x:c>
      <x:c r="C3078" s="16" t="str"/>
      <x:c r="D3078" s="16" t="str"/>
      <x:c r="E3078" s="16" t="str">
        <x:v>* myContacts</x:v>
      </x:c>
      <x:c r="F3078" s="16" t="str">
        <x:v>+60166377789</x:v>
      </x:c>
      <x:c r="G3078" s="16" t="str">
        <x:v>+60166377789</x:v>
      </x:c>
      <x:c r="H3078" s="16" t="str">
        <x:v>Excluded</x:v>
      </x:c>
      <x:c r="I3078" s="16" t="str">
        <x:v>Missing email</x:v>
      </x:c>
    </x:row>
    <x:row r="3079">
      <x:c r="A3079" s="16" t="n">
        <x:v>3076</x:v>
      </x:c>
      <x:c r="B3079" s="16" t="str">
        <x:v>Hasib Azahari IM</x:v>
      </x:c>
      <x:c r="C3079" s="16" t="str"/>
      <x:c r="D3079" s="16" t="str"/>
      <x:c r="E3079" s="16" t="str">
        <x:v>* myContacts</x:v>
      </x:c>
      <x:c r="F3079" s="16" t="str">
        <x:v>+60 18-287 5338 | +60182875338</x:v>
      </x:c>
      <x:c r="G3079" s="16" t="str">
        <x:v>+60182875338 | +60182875338</x:v>
      </x:c>
      <x:c r="H3079" s="16" t="str">
        <x:v>Excluded</x:v>
      </x:c>
      <x:c r="I3079" s="16" t="str">
        <x:v>Missing email</x:v>
      </x:c>
    </x:row>
    <x:row r="3080">
      <x:c r="A3080" s="16" t="n">
        <x:v>3077</x:v>
      </x:c>
      <x:c r="B3080" s="16" t="str">
        <x:v>Hasimah Zain</x:v>
      </x:c>
      <x:c r="C3080" s="16" t="str"/>
      <x:c r="D3080" s="16" t="str"/>
      <x:c r="E3080" s="16" t="str">
        <x:v>* myContacts</x:v>
      </x:c>
      <x:c r="F3080" s="16" t="str">
        <x:v>+60179698695</x:v>
      </x:c>
      <x:c r="G3080" s="16" t="str">
        <x:v>+60179698695</x:v>
      </x:c>
      <x:c r="H3080" s="16" t="str">
        <x:v>Excluded</x:v>
      </x:c>
      <x:c r="I3080" s="16" t="str">
        <x:v>Missing email</x:v>
      </x:c>
    </x:row>
    <x:row r="3081">
      <x:c r="A3081" s="16" t="n">
        <x:v>3078</x:v>
      </x:c>
      <x:c r="B3081" s="16" t="str">
        <x:v>Hasinah Cataleya White</x:v>
      </x:c>
      <x:c r="C3081" s="16" t="str"/>
      <x:c r="D3081" s="16" t="str"/>
      <x:c r="E3081" s="16" t="str">
        <x:v>* myContacts</x:v>
      </x:c>
      <x:c r="F3081" s="16" t="str">
        <x:v>+601115362650</x:v>
      </x:c>
      <x:c r="G3081" s="16" t="str">
        <x:v>+601115362650</x:v>
      </x:c>
      <x:c r="H3081" s="16" t="str">
        <x:v>Excluded</x:v>
      </x:c>
      <x:c r="I3081" s="16" t="str">
        <x:v>Missing email</x:v>
      </x:c>
    </x:row>
    <x:row r="3082">
      <x:c r="A3082" s="16" t="n">
        <x:v>3079</x:v>
      </x:c>
      <x:c r="B3082" s="16" t="str">
        <x:v>Haslina Binti Hassan</x:v>
      </x:c>
      <x:c r="C3082" s="16" t="str"/>
      <x:c r="D3082" s="16" t="str"/>
      <x:c r="E3082" s="16" t="str">
        <x:v>* myContacts</x:v>
      </x:c>
      <x:c r="F3082" s="16" t="str">
        <x:v>+60194337088</x:v>
      </x:c>
      <x:c r="G3082" s="16" t="str">
        <x:v>+60194337088</x:v>
      </x:c>
      <x:c r="H3082" s="16" t="str">
        <x:v>Excluded</x:v>
      </x:c>
      <x:c r="I3082" s="16" t="str">
        <x:v>Missing email</x:v>
      </x:c>
    </x:row>
    <x:row r="3083">
      <x:c r="A3083" s="16" t="n">
        <x:v>3080</x:v>
      </x:c>
      <x:c r="B3083" s="16" t="str">
        <x:v>Haslina Mazlan</x:v>
      </x:c>
      <x:c r="C3083" s="16" t="str"/>
      <x:c r="D3083" s="16" t="str"/>
      <x:c r="E3083" s="16" t="str">
        <x:v>* myContacts</x:v>
      </x:c>
      <x:c r="F3083" s="16" t="str">
        <x:v>+601116104340</x:v>
      </x:c>
      <x:c r="G3083" s="16" t="str">
        <x:v>+601116104340</x:v>
      </x:c>
      <x:c r="H3083" s="16" t="str">
        <x:v>Excluded</x:v>
      </x:c>
      <x:c r="I3083" s="16" t="str">
        <x:v>Missing email</x:v>
      </x:c>
    </x:row>
    <x:row r="3084">
      <x:c r="A3084" s="16" t="n">
        <x:v>3081</x:v>
      </x:c>
      <x:c r="B3084" s="16" t="str">
        <x:v>Haslinda Ismail</x:v>
      </x:c>
      <x:c r="C3084" s="16" t="str"/>
      <x:c r="D3084" s="16" t="str"/>
      <x:c r="E3084" s="16" t="str">
        <x:v>* myContacts</x:v>
      </x:c>
      <x:c r="F3084" s="16" t="str">
        <x:v>+60165375476</x:v>
      </x:c>
      <x:c r="G3084" s="16" t="str">
        <x:v>+60165375476</x:v>
      </x:c>
      <x:c r="H3084" s="16" t="str">
        <x:v>Excluded</x:v>
      </x:c>
      <x:c r="I3084" s="16" t="str">
        <x:v>Missing email</x:v>
      </x:c>
    </x:row>
    <x:row r="3085">
      <x:c r="A3085" s="16" t="n">
        <x:v>3082</x:v>
      </x:c>
      <x:c r="B3085" s="16" t="str">
        <x:v>Haslini Student PPKK</x:v>
      </x:c>
      <x:c r="C3085" s="16" t="str"/>
      <x:c r="D3085" s="16" t="str"/>
      <x:c r="E3085" s="16" t="str">
        <x:v>* myContacts</x:v>
      </x:c>
      <x:c r="F3085" s="16" t="str">
        <x:v>011-2765 6205 | +601127656205</x:v>
      </x:c>
      <x:c r="G3085" s="16" t="str">
        <x:v>+601127656205 | +601127656205</x:v>
      </x:c>
      <x:c r="H3085" s="16" t="str">
        <x:v>Excluded</x:v>
      </x:c>
      <x:c r="I3085" s="16" t="str">
        <x:v>Missing email</x:v>
      </x:c>
    </x:row>
    <x:row r="3086">
      <x:c r="A3086" s="16" t="n">
        <x:v>3083</x:v>
      </x:c>
      <x:c r="B3086" s="16" t="str">
        <x:v>Hasmadi Takaful</x:v>
      </x:c>
      <x:c r="C3086" s="16" t="str"/>
      <x:c r="D3086" s="16" t="str"/>
      <x:c r="E3086" s="16" t="str">
        <x:v>* myContacts</x:v>
      </x:c>
      <x:c r="F3086" s="16" t="str">
        <x:v>+60132013525</x:v>
      </x:c>
      <x:c r="G3086" s="16" t="str">
        <x:v>+60132013525</x:v>
      </x:c>
      <x:c r="H3086" s="16" t="str">
        <x:v>Excluded</x:v>
      </x:c>
      <x:c r="I3086" s="16" t="str">
        <x:v>Missing email</x:v>
      </x:c>
    </x:row>
    <x:row r="3087">
      <x:c r="A3087" s="16" t="n">
        <x:v>3084</x:v>
      </x:c>
      <x:c r="B3087" s="16" t="str">
        <x:v>Hasmidar Midai</x:v>
      </x:c>
      <x:c r="C3087" s="16" t="str"/>
      <x:c r="D3087" s="16" t="str"/>
      <x:c r="E3087" s="16" t="str">
        <x:v>* myContacts</x:v>
      </x:c>
      <x:c r="F3087" s="16" t="str">
        <x:v>+60143050784</x:v>
      </x:c>
      <x:c r="G3087" s="16" t="str">
        <x:v>+60143050784</x:v>
      </x:c>
      <x:c r="H3087" s="16" t="str">
        <x:v>Excluded</x:v>
      </x:c>
      <x:c r="I3087" s="16" t="str">
        <x:v>Missing email</x:v>
      </x:c>
    </x:row>
    <x:row r="3088">
      <x:c r="A3088" s="16" t="n">
        <x:v>3085</x:v>
      </x:c>
      <x:c r="B3088" s="16" t="str">
        <x:v>Hasmirol Amat Printing</x:v>
      </x:c>
      <x:c r="C3088" s="16" t="str"/>
      <x:c r="D3088" s="16" t="str"/>
      <x:c r="E3088" s="16" t="str">
        <x:v>* myContacts</x:v>
      </x:c>
      <x:c r="F3088" s="16" t="str">
        <x:v>018-228 9492 | +60182289492</x:v>
      </x:c>
      <x:c r="G3088" s="16" t="str">
        <x:v>+60182289492 | +60182289492</x:v>
      </x:c>
      <x:c r="H3088" s="16" t="str">
        <x:v>Excluded</x:v>
      </x:c>
      <x:c r="I3088" s="16" t="str">
        <x:v>Missing email</x:v>
      </x:c>
    </x:row>
    <x:row r="3089">
      <x:c r="A3089" s="16" t="n">
        <x:v>3086</x:v>
      </x:c>
      <x:c r="B3089" s="16" t="str">
        <x:v>Hasmizan Hasan</x:v>
      </x:c>
      <x:c r="C3089" s="16" t="str"/>
      <x:c r="D3089" s="16" t="str"/>
      <x:c r="E3089" s="16" t="str">
        <x:v>* myContacts</x:v>
      </x:c>
      <x:c r="F3089" s="16" t="str">
        <x:v>+60179288387</x:v>
      </x:c>
      <x:c r="G3089" s="16" t="str">
        <x:v>+60179288387</x:v>
      </x:c>
      <x:c r="H3089" s="16" t="str">
        <x:v>Excluded</x:v>
      </x:c>
      <x:c r="I3089" s="16" t="str">
        <x:v>Missing email</x:v>
      </x:c>
    </x:row>
    <x:row r="3090">
      <x:c r="A3090" s="16" t="n">
        <x:v>3087</x:v>
      </x:c>
      <x:c r="B3090" s="16" t="str">
        <x:v>Hasmizi Kamis</x:v>
      </x:c>
      <x:c r="C3090" s="16" t="str"/>
      <x:c r="D3090" s="16" t="str"/>
      <x:c r="E3090" s="16" t="str">
        <x:v>* myContacts</x:v>
      </x:c>
      <x:c r="F3090" s="16" t="str">
        <x:v>+60192065801</x:v>
      </x:c>
      <x:c r="G3090" s="16" t="str">
        <x:v>+60192065801</x:v>
      </x:c>
      <x:c r="H3090" s="16" t="str">
        <x:v>Excluded</x:v>
      </x:c>
      <x:c r="I3090" s="16" t="str">
        <x:v>Missing email</x:v>
      </x:c>
    </x:row>
    <x:row r="3091">
      <x:c r="A3091" s="16" t="n">
        <x:v>3088</x:v>
      </x:c>
      <x:c r="B3091" s="16" t="str">
        <x:v>Hasmulisa Lisa Lisa</x:v>
      </x:c>
      <x:c r="C3091" s="16" t="str"/>
      <x:c r="D3091" s="16" t="str"/>
      <x:c r="E3091" s="16" t="str">
        <x:v>* myContacts</x:v>
      </x:c>
      <x:c r="F3091" s="16" t="str">
        <x:v>+60193241089</x:v>
      </x:c>
      <x:c r="G3091" s="16" t="str">
        <x:v>+60193241089</x:v>
      </x:c>
      <x:c r="H3091" s="16" t="str">
        <x:v>Excluded</x:v>
      </x:c>
      <x:c r="I3091" s="16" t="str">
        <x:v>Missing email</x:v>
      </x:c>
    </x:row>
    <x:row r="3092">
      <x:c r="A3092" s="16" t="n">
        <x:v>3089</x:v>
      </x:c>
      <x:c r="B3092" s="16" t="str">
        <x:v>Hasnida Idayu Abdullah</x:v>
      </x:c>
      <x:c r="C3092" s="16" t="str"/>
      <x:c r="D3092" s="16" t="str"/>
      <x:c r="E3092" s="16" t="str">
        <x:v>* myContacts</x:v>
      </x:c>
      <x:c r="F3092" s="16" t="str">
        <x:v>+601116943496</x:v>
      </x:c>
      <x:c r="G3092" s="16" t="str">
        <x:v>+601116943496</x:v>
      </x:c>
      <x:c r="H3092" s="16" t="str">
        <x:v>Excluded</x:v>
      </x:c>
      <x:c r="I3092" s="16" t="str">
        <x:v>Missing email</x:v>
      </x:c>
    </x:row>
    <x:row r="3093">
      <x:c r="A3093" s="16" t="n">
        <x:v>3090</x:v>
      </x:c>
      <x:c r="B3093" s="16" t="str">
        <x:v>Hasnida Tg Nik Ibrahim</x:v>
      </x:c>
      <x:c r="C3093" s="16" t="str"/>
      <x:c r="D3093" s="16" t="str"/>
      <x:c r="E3093" s="16" t="str">
        <x:v>* myContacts</x:v>
      </x:c>
      <x:c r="F3093" s="16" t="str">
        <x:v>+60179213949</x:v>
      </x:c>
      <x:c r="G3093" s="16" t="str">
        <x:v>+60179213949</x:v>
      </x:c>
      <x:c r="H3093" s="16" t="str">
        <x:v>Excluded</x:v>
      </x:c>
      <x:c r="I3093" s="16" t="str">
        <x:v>Missing email</x:v>
      </x:c>
    </x:row>
    <x:row r="3094">
      <x:c r="A3094" s="16" t="n">
        <x:v>3091</x:v>
      </x:c>
      <x:c r="B3094" s="16" t="str">
        <x:v>Hasnita Husain</x:v>
      </x:c>
      <x:c r="C3094" s="16" t="str"/>
      <x:c r="D3094" s="16" t="str"/>
      <x:c r="E3094" s="16" t="str">
        <x:v>* myContacts</x:v>
      </x:c>
      <x:c r="F3094" s="16" t="str">
        <x:v>+60177541080</x:v>
      </x:c>
      <x:c r="G3094" s="16" t="str">
        <x:v>+60177541080</x:v>
      </x:c>
      <x:c r="H3094" s="16" t="str">
        <x:v>Excluded</x:v>
      </x:c>
      <x:c r="I3094" s="16" t="str">
        <x:v>Missing email</x:v>
      </x:c>
    </x:row>
    <x:row r="3095">
      <x:c r="A3095" s="16" t="n">
        <x:v>3092</x:v>
      </x:c>
      <x:c r="B3095" s="16" t="str">
        <x:v>Hasniza Abdullah</x:v>
      </x:c>
      <x:c r="C3095" s="16" t="str"/>
      <x:c r="D3095" s="16" t="str"/>
      <x:c r="E3095" s="16" t="str">
        <x:v>* myContacts</x:v>
      </x:c>
      <x:c r="F3095" s="16" t="str">
        <x:v>+60139835054</x:v>
      </x:c>
      <x:c r="G3095" s="16" t="str">
        <x:v>+60139835054</x:v>
      </x:c>
      <x:c r="H3095" s="16" t="str">
        <x:v>Excluded</x:v>
      </x:c>
      <x:c r="I3095" s="16" t="str">
        <x:v>Missing email</x:v>
      </x:c>
    </x:row>
    <x:row r="3096">
      <x:c r="A3096" s="16" t="n">
        <x:v>3093</x:v>
      </x:c>
      <x:c r="B3096" s="16" t="str">
        <x:v>Hasnolmizam Hashim Bizzapp</x:v>
      </x:c>
      <x:c r="C3096" s="16" t="str"/>
      <x:c r="D3096" s="16" t="str"/>
      <x:c r="E3096" s="16" t="str">
        <x:v>* myContacts</x:v>
      </x:c>
      <x:c r="F3096" s="16" t="str">
        <x:v>+60192105032</x:v>
      </x:c>
      <x:c r="G3096" s="16" t="str">
        <x:v>+60192105032</x:v>
      </x:c>
      <x:c r="H3096" s="16" t="str">
        <x:v>Excluded</x:v>
      </x:c>
      <x:c r="I3096" s="16" t="str">
        <x:v>Missing email</x:v>
      </x:c>
    </x:row>
    <x:row r="3097">
      <x:c r="A3097" s="16" t="n">
        <x:v>3094</x:v>
      </x:c>
      <x:c r="B3097" s="16" t="str">
        <x:v>Hasnorizal Salih</x:v>
      </x:c>
      <x:c r="C3097" s="16" t="str"/>
      <x:c r="D3097" s="16" t="str"/>
      <x:c r="E3097" s="16" t="str">
        <x:v>* myContacts</x:v>
      </x:c>
      <x:c r="F3097" s="16" t="str">
        <x:v>+60 12-903 3766 | +60129033766</x:v>
      </x:c>
      <x:c r="G3097" s="16" t="str">
        <x:v>+60129033766 | +60129033766</x:v>
      </x:c>
      <x:c r="H3097" s="16" t="str">
        <x:v>Excluded</x:v>
      </x:c>
      <x:c r="I3097" s="16" t="str">
        <x:v>Missing email</x:v>
      </x:c>
    </x:row>
    <x:row r="3098">
      <x:c r="A3098" s="16" t="n">
        <x:v>3095</x:v>
      </x:c>
      <x:c r="B3098" s="16" t="str">
        <x:v>Hasrizal Businessmen</x:v>
      </x:c>
      <x:c r="C3098" s="16" t="str"/>
      <x:c r="D3098" s="16" t="str"/>
      <x:c r="E3098" s="16" t="str">
        <x:v>* myContacts</x:v>
      </x:c>
      <x:c r="F3098" s="16" t="str">
        <x:v>+60196936886 | 0173355818 | +60196936886 | 017-335 5818</x:v>
      </x:c>
      <x:c r="G3098" s="16" t="str">
        <x:v>+60196936886 | +60173355818 | +60196936886 | +60173355818</x:v>
      </x:c>
      <x:c r="H3098" s="16" t="str">
        <x:v>Excluded</x:v>
      </x:c>
      <x:c r="I3098" s="16" t="str">
        <x:v>Missing email</x:v>
      </x:c>
    </x:row>
    <x:row r="3099">
      <x:c r="A3099" s="16" t="n">
        <x:v>3096</x:v>
      </x:c>
      <x:c r="B3099" s="16" t="str">
        <x:v>Hasrizan Trainer</x:v>
      </x:c>
      <x:c r="C3099" s="16" t="str"/>
      <x:c r="D3099" s="16" t="str"/>
      <x:c r="E3099" s="16" t="str">
        <x:v>Trainer | * myContacts</x:v>
      </x:c>
      <x:c r="F3099" s="16" t="str">
        <x:v>+60 17-777 2613 | +60177772613</x:v>
      </x:c>
      <x:c r="G3099" s="16" t="str">
        <x:v>+60177772613 | +60177772613</x:v>
      </x:c>
      <x:c r="H3099" s="16" t="str">
        <x:v>Excluded</x:v>
      </x:c>
      <x:c r="I3099" s="16" t="str">
        <x:v>Missing email</x:v>
      </x:c>
    </x:row>
    <x:row r="3100">
      <x:c r="A3100" s="16" t="n">
        <x:v>3097</x:v>
      </x:c>
      <x:c r="B3100" s="16" t="str">
        <x:v>Hasry Mangrove</x:v>
      </x:c>
      <x:c r="C3100" s="16" t="str"/>
      <x:c r="D3100" s="16" t="str"/>
      <x:c r="E3100" s="16" t="str">
        <x:v>* myContacts</x:v>
      </x:c>
      <x:c r="F3100" s="16" t="str">
        <x:v>+60 13-603 3535 | +60136033535</x:v>
      </x:c>
      <x:c r="G3100" s="16" t="str">
        <x:v>+60136033535 | +60136033535</x:v>
      </x:c>
      <x:c r="H3100" s="16" t="str">
        <x:v>Excluded</x:v>
      </x:c>
      <x:c r="I3100" s="16" t="str">
        <x:v>Missing email</x:v>
      </x:c>
    </x:row>
    <x:row r="3101">
      <x:c r="A3101" s="16" t="n">
        <x:v>3098</x:v>
      </x:c>
      <x:c r="B3101" s="16" t="str">
        <x:v>Hasrylya Penanghill</x:v>
      </x:c>
      <x:c r="C3101" s="16" t="str"/>
      <x:c r="D3101" s="16" t="str"/>
      <x:c r="E3101" s="16" t="str">
        <x:v>* myContacts</x:v>
      </x:c>
      <x:c r="F3101" s="16" t="str">
        <x:v>+60124562296</x:v>
      </x:c>
      <x:c r="G3101" s="16" t="str">
        <x:v>+60124562296</x:v>
      </x:c>
      <x:c r="H3101" s="16" t="str">
        <x:v>Excluded</x:v>
      </x:c>
      <x:c r="I3101" s="16" t="str">
        <x:v>Missing email</x:v>
      </x:c>
    </x:row>
    <x:row r="3102">
      <x:c r="A3102" s="16" t="n">
        <x:v>3099</x:v>
      </x:c>
      <x:c r="B3102" s="16" t="str">
        <x:v>Hassan Ismail</x:v>
      </x:c>
      <x:c r="C3102" s="16" t="str"/>
      <x:c r="D3102" s="16" t="str"/>
      <x:c r="E3102" s="16" t="str">
        <x:v>* myContacts</x:v>
      </x:c>
      <x:c r="F3102" s="16" t="str">
        <x:v>+6281215330750</x:v>
      </x:c>
      <x:c r="G3102" s="16" t="str">
        <x:v>+6281215330750</x:v>
      </x:c>
      <x:c r="H3102" s="16" t="str">
        <x:v>Excluded</x:v>
      </x:c>
      <x:c r="I3102" s="16" t="str">
        <x:v>Missing email</x:v>
      </x:c>
    </x:row>
    <x:row r="3103">
      <x:c r="A3103" s="16" t="n">
        <x:v>3100</x:v>
      </x:c>
      <x:c r="B3103" s="16" t="str">
        <x:v>Hassan Rahman IM</x:v>
      </x:c>
      <x:c r="C3103" s="16" t="str"/>
      <x:c r="D3103" s="16" t="str"/>
      <x:c r="E3103" s="16" t="str">
        <x:v>* myContacts</x:v>
      </x:c>
      <x:c r="F3103" s="16" t="str">
        <x:v>017-391 7741 | +60173917741</x:v>
      </x:c>
      <x:c r="G3103" s="16" t="str">
        <x:v>+60173917741 | +60173917741</x:v>
      </x:c>
      <x:c r="H3103" s="16" t="str">
        <x:v>Excluded</x:v>
      </x:c>
      <x:c r="I3103" s="16" t="str">
        <x:v>Missing email</x:v>
      </x:c>
    </x:row>
    <x:row r="3104">
      <x:c r="A3104" s="16" t="n">
        <x:v>3101</x:v>
      </x:c>
      <x:c r="B3104" s="16" t="str">
        <x:v>Hassanurasyid Saudagar Printing</x:v>
      </x:c>
      <x:c r="C3104" s="16" t="str"/>
      <x:c r="D3104" s="16" t="str"/>
      <x:c r="E3104" s="16" t="str">
        <x:v>* myContacts</x:v>
      </x:c>
      <x:c r="F3104" s="16" t="str">
        <x:v>+60192544415</x:v>
      </x:c>
      <x:c r="G3104" s="16" t="str">
        <x:v>+60192544415</x:v>
      </x:c>
      <x:c r="H3104" s="16" t="str">
        <x:v>Excluded</x:v>
      </x:c>
      <x:c r="I3104" s="16" t="str">
        <x:v>Missing email</x:v>
      </x:c>
    </x:row>
    <x:row r="3105">
      <x:c r="A3105" s="16" t="n">
        <x:v>3102</x:v>
      </x:c>
      <x:c r="B3105" s="16" t="str">
        <x:v>Hassim Stylo</x:v>
      </x:c>
      <x:c r="C3105" s="16" t="str"/>
      <x:c r="D3105" s="16" t="str"/>
      <x:c r="E3105" s="16" t="str">
        <x:v>* myContacts</x:v>
      </x:c>
      <x:c r="F3105" s="16" t="str">
        <x:v>+60177701822</x:v>
      </x:c>
      <x:c r="G3105" s="16" t="str">
        <x:v>+60177701822</x:v>
      </x:c>
      <x:c r="H3105" s="16" t="str">
        <x:v>Excluded</x:v>
      </x:c>
      <x:c r="I3105" s="16" t="str">
        <x:v>Missing email</x:v>
      </x:c>
    </x:row>
    <x:row r="3106">
      <x:c r="A3106" s="16" t="n">
        <x:v>3103</x:v>
      </x:c>
      <x:c r="B3106" s="16" t="str">
        <x:v>Hati Terluka</x:v>
      </x:c>
      <x:c r="C3106" s="16" t="str"/>
      <x:c r="D3106" s="16" t="str"/>
      <x:c r="E3106" s="16" t="str">
        <x:v>* myContacts</x:v>
      </x:c>
      <x:c r="F3106" s="16" t="str">
        <x:v>+60173733876</x:v>
      </x:c>
      <x:c r="G3106" s="16" t="str">
        <x:v>+60173733876</x:v>
      </x:c>
      <x:c r="H3106" s="16" t="str">
        <x:v>Excluded</x:v>
      </x:c>
      <x:c r="I3106" s="16" t="str">
        <x:v>Missing email</x:v>
      </x:c>
    </x:row>
    <x:row r="3107">
      <x:c r="A3107" s="16" t="n">
        <x:v>3104</x:v>
      </x:c>
      <x:c r="B3107" s="16" t="str">
        <x:v>Hawari Sulaiman UTM</x:v>
      </x:c>
      <x:c r="C3107" s="16" t="str"/>
      <x:c r="D3107" s="16" t="str"/>
      <x:c r="E3107" s="16" t="str">
        <x:v>* myContacts</x:v>
      </x:c>
      <x:c r="F3107" s="16" t="str">
        <x:v>+60 12-726 7479 | +60127267479</x:v>
      </x:c>
      <x:c r="G3107" s="16" t="str">
        <x:v>+60127267479 | +60127267479</x:v>
      </x:c>
      <x:c r="H3107" s="16" t="str">
        <x:v>Excluded</x:v>
      </x:c>
      <x:c r="I3107" s="16" t="str">
        <x:v>Missing email</x:v>
      </x:c>
    </x:row>
    <x:row r="3108">
      <x:c r="A3108" s="16" t="n">
        <x:v>3105</x:v>
      </x:c>
      <x:c r="B3108" s="16" t="str">
        <x:v>Hawati Craft</x:v>
      </x:c>
      <x:c r="C3108" s="16" t="str"/>
      <x:c r="D3108" s="16" t="str"/>
      <x:c r="E3108" s="16" t="str">
        <x:v>* myContacts</x:v>
      </x:c>
      <x:c r="F3108" s="16" t="str">
        <x:v>+60173453480</x:v>
      </x:c>
      <x:c r="G3108" s="16" t="str">
        <x:v>+60173453480</x:v>
      </x:c>
      <x:c r="H3108" s="16" t="str">
        <x:v>Excluded</x:v>
      </x:c>
      <x:c r="I3108" s="16" t="str">
        <x:v>Missing email</x:v>
      </x:c>
    </x:row>
    <x:row r="3109">
      <x:c r="A3109" s="16" t="n">
        <x:v>3106</x:v>
      </x:c>
      <x:c r="B3109" s="16" t="str">
        <x:v>Hayashin Jani Dmo</x:v>
      </x:c>
      <x:c r="C3109" s="16" t="str"/>
      <x:c r="D3109" s="16" t="str"/>
      <x:c r="E3109" s="16" t="str">
        <x:v>* myContacts</x:v>
      </x:c>
      <x:c r="F3109" s="16" t="str">
        <x:v>+6281221144931</x:v>
      </x:c>
      <x:c r="G3109" s="16" t="str">
        <x:v>+6281221144931</x:v>
      </x:c>
      <x:c r="H3109" s="16" t="str">
        <x:v>Excluded</x:v>
      </x:c>
      <x:c r="I3109" s="16" t="str">
        <x:v>Missing email</x:v>
      </x:c>
    </x:row>
    <x:row r="3110">
      <x:c r="A3110" s="16" t="n">
        <x:v>3107</x:v>
      </x:c>
      <x:c r="B3110" s="16" t="str">
        <x:v>Hayat Yasirul</x:v>
      </x:c>
      <x:c r="C3110" s="16" t="str"/>
      <x:c r="D3110" s="16" t="str"/>
      <x:c r="E3110" s="16" t="str">
        <x:v>* myContacts</x:v>
      </x:c>
      <x:c r="F3110" s="16" t="str">
        <x:v>+60125674055</x:v>
      </x:c>
      <x:c r="G3110" s="16" t="str">
        <x:v>+60125674055</x:v>
      </x:c>
      <x:c r="H3110" s="16" t="str">
        <x:v>Excluded</x:v>
      </x:c>
      <x:c r="I3110" s="16" t="str">
        <x:v>Missing email</x:v>
      </x:c>
    </x:row>
    <x:row r="3111">
      <x:c r="A3111" s="16" t="n">
        <x:v>3108</x:v>
      </x:c>
      <x:c r="B3111" s="16" t="str">
        <x:v>Hayati Tremendous Mind Training</x:v>
      </x:c>
      <x:c r="C3111" s="16" t="str"/>
      <x:c r="D3111" s="16" t="str"/>
      <x:c r="E3111" s="16" t="str">
        <x:v>* myContacts</x:v>
      </x:c>
      <x:c r="F3111" s="16" t="str">
        <x:v>+60 16-259 3327 | +60162593327</x:v>
      </x:c>
      <x:c r="G3111" s="16" t="str">
        <x:v>+60162593327 | +60162593327</x:v>
      </x:c>
      <x:c r="H3111" s="16" t="str">
        <x:v>Excluded</x:v>
      </x:c>
      <x:c r="I3111" s="16" t="str">
        <x:v>Missing email</x:v>
      </x:c>
    </x:row>
    <x:row r="3112">
      <x:c r="A3112" s="16" t="n">
        <x:v>3109</x:v>
      </x:c>
      <x:c r="B3112" s="16" t="str">
        <x:v>Hayatie Ameerra</x:v>
      </x:c>
      <x:c r="C3112" s="16" t="str"/>
      <x:c r="D3112" s="16" t="str"/>
      <x:c r="E3112" s="16" t="str">
        <x:v>* myContacts</x:v>
      </x:c>
      <x:c r="F3112" s="16" t="str">
        <x:v>+60184081828</x:v>
      </x:c>
      <x:c r="G3112" s="16" t="str">
        <x:v>+60184081828</x:v>
      </x:c>
      <x:c r="H3112" s="16" t="str">
        <x:v>Excluded</x:v>
      </x:c>
      <x:c r="I3112" s="16" t="str">
        <x:v>Missing email</x:v>
      </x:c>
    </x:row>
    <x:row r="3113">
      <x:c r="A3113" s="16" t="n">
        <x:v>3110</x:v>
      </x:c>
      <x:c r="B3113" s="16" t="str">
        <x:v>Hazel Hub Klang</x:v>
      </x:c>
      <x:c r="C3113" s="16" t="str"/>
      <x:c r="D3113" s="16" t="str"/>
      <x:c r="E3113" s="16" t="str">
        <x:v>* myContacts</x:v>
      </x:c>
      <x:c r="F3113" s="16" t="str">
        <x:v>+60 17-345 2542 | +60173452542</x:v>
      </x:c>
      <x:c r="G3113" s="16" t="str">
        <x:v>+60173452542 | +60173452542</x:v>
      </x:c>
      <x:c r="H3113" s="16" t="str">
        <x:v>Excluded</x:v>
      </x:c>
      <x:c r="I3113" s="16" t="str">
        <x:v>Missing email</x:v>
      </x:c>
    </x:row>
    <x:row r="3114">
      <x:c r="A3114" s="16" t="n">
        <x:v>3111</x:v>
      </x:c>
      <x:c r="B3114" s="16" t="str">
        <x:v>Hazim Afifi</x:v>
      </x:c>
      <x:c r="C3114" s="16" t="str"/>
      <x:c r="D3114" s="16" t="str"/>
      <x:c r="E3114" s="16" t="str">
        <x:v>* myContacts</x:v>
      </x:c>
      <x:c r="F3114" s="16" t="str">
        <x:v>+60129490486</x:v>
      </x:c>
      <x:c r="G3114" s="16" t="str">
        <x:v>+60129490486</x:v>
      </x:c>
      <x:c r="H3114" s="16" t="str">
        <x:v>Excluded</x:v>
      </x:c>
      <x:c r="I3114" s="16" t="str">
        <x:v>Missing email</x:v>
      </x:c>
    </x:row>
    <x:row r="3115">
      <x:c r="A3115" s="16" t="n">
        <x:v>3112</x:v>
      </x:c>
      <x:c r="B3115" s="16" t="str">
        <x:v>Hazim Bst</x:v>
      </x:c>
      <x:c r="C3115" s="16" t="str"/>
      <x:c r="D3115" s="16" t="str"/>
      <x:c r="E3115" s="16" t="str">
        <x:v>* myContacts</x:v>
      </x:c>
      <x:c r="F3115" s="16" t="str">
        <x:v>+60139449030</x:v>
      </x:c>
      <x:c r="G3115" s="16" t="str">
        <x:v>+60139449030</x:v>
      </x:c>
      <x:c r="H3115" s="16" t="str">
        <x:v>Excluded</x:v>
      </x:c>
      <x:c r="I3115" s="16" t="str">
        <x:v>Missing email</x:v>
      </x:c>
    </x:row>
    <x:row r="3116">
      <x:c r="A3116" s="16" t="n">
        <x:v>3113</x:v>
      </x:c>
      <x:c r="B3116" s="16" t="str">
        <x:v>Hazim Khairuddin</x:v>
      </x:c>
      <x:c r="C3116" s="16" t="str"/>
      <x:c r="D3116" s="16" t="str"/>
      <x:c r="E3116" s="16" t="str">
        <x:v>* myContacts</x:v>
      </x:c>
      <x:c r="F3116" s="16" t="str">
        <x:v>+60122204541</x:v>
      </x:c>
      <x:c r="G3116" s="16" t="str">
        <x:v>+60122204541</x:v>
      </x:c>
      <x:c r="H3116" s="16" t="str">
        <x:v>Excluded</x:v>
      </x:c>
      <x:c r="I3116" s="16" t="str">
        <x:v>Missing email</x:v>
      </x:c>
    </x:row>
    <x:row r="3117">
      <x:c r="A3117" s="16" t="n">
        <x:v>3114</x:v>
      </x:c>
      <x:c r="B3117" s="16" t="str">
        <x:v>Hazim Marzuki</x:v>
      </x:c>
      <x:c r="C3117" s="16" t="str"/>
      <x:c r="D3117" s="16" t="str"/>
      <x:c r="E3117" s="16" t="str">
        <x:v>* myContacts</x:v>
      </x:c>
      <x:c r="F3117" s="16" t="str">
        <x:v>+60139869388</x:v>
      </x:c>
      <x:c r="G3117" s="16" t="str">
        <x:v>+60139869388</x:v>
      </x:c>
      <x:c r="H3117" s="16" t="str">
        <x:v>Excluded</x:v>
      </x:c>
      <x:c r="I3117" s="16" t="str">
        <x:v>Missing email</x:v>
      </x:c>
    </x:row>
    <x:row r="3118">
      <x:c r="A3118" s="16" t="n">
        <x:v>3115</x:v>
      </x:c>
      <x:c r="B3118" s="16" t="str">
        <x:v>Hazim Rahman</x:v>
      </x:c>
      <x:c r="C3118" s="16" t="str"/>
      <x:c r="D3118" s="16" t="str"/>
      <x:c r="E3118" s="16" t="str">
        <x:v>* myContacts</x:v>
      </x:c>
      <x:c r="F3118" s="16" t="str">
        <x:v>+60129050053</x:v>
      </x:c>
      <x:c r="G3118" s="16" t="str">
        <x:v>+60129050053</x:v>
      </x:c>
      <x:c r="H3118" s="16" t="str">
        <x:v>Excluded</x:v>
      </x:c>
      <x:c r="I3118" s="16" t="str">
        <x:v>Missing email</x:v>
      </x:c>
    </x:row>
    <x:row r="3119">
      <x:c r="A3119" s="16" t="n">
        <x:v>3116</x:v>
      </x:c>
      <x:c r="B3119" s="16" t="str">
        <x:v>Haziq Asyraf</x:v>
      </x:c>
      <x:c r="C3119" s="16" t="str"/>
      <x:c r="D3119" s="16" t="str"/>
      <x:c r="E3119" s="16" t="str">
        <x:v>* myContacts</x:v>
      </x:c>
      <x:c r="F3119" s="16" t="str">
        <x:v>+60145009185</x:v>
      </x:c>
      <x:c r="G3119" s="16" t="str">
        <x:v>+60145009185</x:v>
      </x:c>
      <x:c r="H3119" s="16" t="str">
        <x:v>Excluded</x:v>
      </x:c>
      <x:c r="I3119" s="16" t="str">
        <x:v>Missing email</x:v>
      </x:c>
    </x:row>
    <x:row r="3120">
      <x:c r="A3120" s="16" t="n">
        <x:v>3117</x:v>
      </x:c>
      <x:c r="B3120" s="16" t="str">
        <x:v>Haziq Azi</x:v>
      </x:c>
      <x:c r="C3120" s="16" t="str"/>
      <x:c r="D3120" s="16" t="str"/>
      <x:c r="E3120" s="16" t="str">
        <x:v>* myContacts</x:v>
      </x:c>
      <x:c r="F3120" s="16" t="str">
        <x:v>+6281275592920</x:v>
      </x:c>
      <x:c r="G3120" s="16" t="str">
        <x:v>+6281275592920</x:v>
      </x:c>
      <x:c r="H3120" s="16" t="str">
        <x:v>Excluded</x:v>
      </x:c>
      <x:c r="I3120" s="16" t="str">
        <x:v>Missing email</x:v>
      </x:c>
    </x:row>
    <x:row r="3121">
      <x:c r="A3121" s="16" t="n">
        <x:v>3118</x:v>
      </x:c>
      <x:c r="B3121" s="16" t="str">
        <x:v>Haziq Emilyown</x:v>
      </x:c>
      <x:c r="C3121" s="16" t="str"/>
      <x:c r="D3121" s="16" t="str"/>
      <x:c r="E3121" s="16" t="str">
        <x:v>* myContacts</x:v>
      </x:c>
      <x:c r="F3121" s="16" t="str">
        <x:v>+60137650523</x:v>
      </x:c>
      <x:c r="G3121" s="16" t="str">
        <x:v>+60137650523</x:v>
      </x:c>
      <x:c r="H3121" s="16" t="str">
        <x:v>Excluded</x:v>
      </x:c>
      <x:c r="I3121" s="16" t="str">
        <x:v>Missing email</x:v>
      </x:c>
    </x:row>
    <x:row r="3122">
      <x:c r="A3122" s="16" t="n">
        <x:v>3119</x:v>
      </x:c>
      <x:c r="B3122" s="16" t="str">
        <x:v>Haziq Home Nursing Ipoh</x:v>
      </x:c>
      <x:c r="C3122" s="16" t="str"/>
      <x:c r="D3122" s="16" t="str"/>
      <x:c r="E3122" s="16" t="str">
        <x:v>* myContacts</x:v>
      </x:c>
      <x:c r="F3122" s="16" t="str">
        <x:v>60195054458 | +60195054458</x:v>
      </x:c>
      <x:c r="G3122" s="16" t="str">
        <x:v>+60195054458 | +60195054458</x:v>
      </x:c>
      <x:c r="H3122" s="16" t="str">
        <x:v>Excluded</x:v>
      </x:c>
      <x:c r="I3122" s="16" t="str">
        <x:v>Missing email</x:v>
      </x:c>
    </x:row>
    <x:row r="3123">
      <x:c r="A3123" s="16" t="n">
        <x:v>3120</x:v>
      </x:c>
      <x:c r="B3123" s="16" t="str">
        <x:v>Haziq IM</x:v>
      </x:c>
      <x:c r="C3123" s="16" t="str"/>
      <x:c r="D3123" s="16" t="str"/>
      <x:c r="E3123" s="16" t="str">
        <x:v>* myContacts</x:v>
      </x:c>
      <x:c r="F3123" s="16" t="str">
        <x:v>+60134643436</x:v>
      </x:c>
      <x:c r="G3123" s="16" t="str">
        <x:v>+60134643436</x:v>
      </x:c>
      <x:c r="H3123" s="16" t="str">
        <x:v>Excluded</x:v>
      </x:c>
      <x:c r="I3123" s="16" t="str">
        <x:v>Missing email</x:v>
      </x:c>
    </x:row>
    <x:row r="3124">
      <x:c r="A3124" s="16" t="n">
        <x:v>3121</x:v>
      </x:c>
      <x:c r="B3124" s="16" t="str">
        <x:v>Haziq Nazari</x:v>
      </x:c>
      <x:c r="C3124" s="16" t="str"/>
      <x:c r="D3124" s="16" t="str"/>
      <x:c r="E3124" s="16" t="str">
        <x:v>* myContacts</x:v>
      </x:c>
      <x:c r="F3124" s="16" t="str">
        <x:v>+60192925377</x:v>
      </x:c>
      <x:c r="G3124" s="16" t="str">
        <x:v>+60192925377</x:v>
      </x:c>
      <x:c r="H3124" s="16" t="str">
        <x:v>Excluded</x:v>
      </x:c>
      <x:c r="I3124" s="16" t="str">
        <x:v>Missing email</x:v>
      </x:c>
    </x:row>
    <x:row r="3125">
      <x:c r="A3125" s="16" t="n">
        <x:v>3122</x:v>
      </x:c>
      <x:c r="B3125" s="16" t="str">
        <x:v>Haziq teratak riverview ulu bernam</x:v>
      </x:c>
      <x:c r="C3125" s="16" t="str"/>
      <x:c r="D3125" s="16" t="str"/>
      <x:c r="E3125" s="16" t="str">
        <x:v>* myContacts</x:v>
      </x:c>
      <x:c r="F3125" s="16" t="str">
        <x:v>017-3431346 | +60173431346</x:v>
      </x:c>
      <x:c r="G3125" s="16" t="str">
        <x:v>+60173431346 | +60173431346</x:v>
      </x:c>
      <x:c r="H3125" s="16" t="str">
        <x:v>Excluded</x:v>
      </x:c>
      <x:c r="I3125" s="16" t="str">
        <x:v>Missing email</x:v>
      </x:c>
    </x:row>
    <x:row r="3126">
      <x:c r="A3126" s="16" t="n">
        <x:v>3123</x:v>
      </x:c>
      <x:c r="B3126" s="16" t="str">
        <x:v>Hazira Qifa Marsyella</x:v>
      </x:c>
      <x:c r="C3126" s="16" t="str"/>
      <x:c r="D3126" s="16" t="str"/>
      <x:c r="E3126" s="16" t="str">
        <x:v>* myContacts</x:v>
      </x:c>
      <x:c r="F3126" s="16" t="str">
        <x:v>+60138004012</x:v>
      </x:c>
      <x:c r="G3126" s="16" t="str">
        <x:v>+60138004012</x:v>
      </x:c>
      <x:c r="H3126" s="16" t="str">
        <x:v>Excluded</x:v>
      </x:c>
      <x:c r="I3126" s="16" t="str">
        <x:v>Missing email</x:v>
      </x:c>
    </x:row>
    <x:row r="3127">
      <x:c r="A3127" s="16" t="n">
        <x:v>3124</x:v>
      </x:c>
      <x:c r="B3127" s="16" t="str">
        <x:v>Hazlili Hasan</x:v>
      </x:c>
      <x:c r="C3127" s="16" t="str"/>
      <x:c r="D3127" s="16" t="str"/>
      <x:c r="E3127" s="16" t="str">
        <x:v>* myContacts</x:v>
      </x:c>
      <x:c r="F3127" s="16" t="str">
        <x:v>+60199538964</x:v>
      </x:c>
      <x:c r="G3127" s="16" t="str">
        <x:v>+60199538964</x:v>
      </x:c>
      <x:c r="H3127" s="16" t="str">
        <x:v>Excluded</x:v>
      </x:c>
      <x:c r="I3127" s="16" t="str">
        <x:v>Missing email</x:v>
      </x:c>
    </x:row>
    <x:row r="3128">
      <x:c r="A3128" s="16" t="n">
        <x:v>3125</x:v>
      </x:c>
      <x:c r="B3128" s="16" t="str">
        <x:v>Hazman Malik</x:v>
      </x:c>
      <x:c r="C3128" s="16" t="str"/>
      <x:c r="D3128" s="16" t="str"/>
      <x:c r="E3128" s="16" t="str">
        <x:v>* myContacts</x:v>
      </x:c>
      <x:c r="F3128" s="16" t="str">
        <x:v>+60176517426</x:v>
      </x:c>
      <x:c r="G3128" s="16" t="str">
        <x:v>+60176517426</x:v>
      </x:c>
      <x:c r="H3128" s="16" t="str">
        <x:v>Excluded</x:v>
      </x:c>
      <x:c r="I3128" s="16" t="str">
        <x:v>Missing email</x:v>
      </x:c>
    </x:row>
    <x:row r="3129">
      <x:c r="A3129" s="16" t="n">
        <x:v>3126</x:v>
      </x:c>
      <x:c r="B3129" s="16" t="str">
        <x:v>Hazree Geng Desa Minang</x:v>
      </x:c>
      <x:c r="C3129" s="16" t="str"/>
      <x:c r="D3129" s="16" t="str"/>
      <x:c r="E3129" s="16" t="str">
        <x:v>* myContacts</x:v>
      </x:c>
      <x:c r="F3129" s="16" t="str">
        <x:v>012-905 5492 | +60129055492</x:v>
      </x:c>
      <x:c r="G3129" s="16" t="str">
        <x:v>+60129055492 | +60129055492</x:v>
      </x:c>
      <x:c r="H3129" s="16" t="str">
        <x:v>Excluded</x:v>
      </x:c>
      <x:c r="I3129" s="16" t="str">
        <x:v>Missing email</x:v>
      </x:c>
    </x:row>
    <x:row r="3130">
      <x:c r="A3130" s="16" t="n">
        <x:v>3127</x:v>
      </x:c>
      <x:c r="B3130" s="16" t="str">
        <x:v>HAZRIL HAFIZ Website Developer</x:v>
      </x:c>
      <x:c r="C3130" s="16" t="str"/>
      <x:c r="D3130" s="16" t="str"/>
      <x:c r="E3130" s="16" t="str">
        <x:v>* myContacts</x:v>
      </x:c>
      <x:c r="F3130" s="16" t="str">
        <x:v>+60 19-457 4157 | +60194574157</x:v>
      </x:c>
      <x:c r="G3130" s="16" t="str">
        <x:v>+60194574157 | +60194574157</x:v>
      </x:c>
      <x:c r="H3130" s="16" t="str">
        <x:v>Excluded</x:v>
      </x:c>
      <x:c r="I3130" s="16" t="str">
        <x:v>Missing email</x:v>
      </x:c>
    </x:row>
    <x:row r="3131">
      <x:c r="A3131" s="16" t="n">
        <x:v>3128</x:v>
      </x:c>
      <x:c r="B3131" s="16" t="str">
        <x:v>Hazrita Sawal</x:v>
      </x:c>
      <x:c r="C3131" s="16" t="str"/>
      <x:c r="D3131" s="16" t="str"/>
      <x:c r="E3131" s="16" t="str">
        <x:v>* myContacts</x:v>
      </x:c>
      <x:c r="F3131" s="16" t="str">
        <x:v>+60105315316</x:v>
      </x:c>
      <x:c r="G3131" s="16" t="str">
        <x:v>+60105315316</x:v>
      </x:c>
      <x:c r="H3131" s="16" t="str">
        <x:v>Excluded</x:v>
      </x:c>
      <x:c r="I3131" s="16" t="str">
        <x:v>Missing email</x:v>
      </x:c>
    </x:row>
    <x:row r="3132">
      <x:c r="A3132" s="16" t="n">
        <x:v>3129</x:v>
      </x:c>
      <x:c r="B3132" s="16" t="str">
        <x:v>Hazrril Sayuthi</x:v>
      </x:c>
      <x:c r="C3132" s="16" t="str"/>
      <x:c r="D3132" s="16" t="str"/>
      <x:c r="E3132" s="16" t="str">
        <x:v>* myContacts</x:v>
      </x:c>
      <x:c r="F3132" s="16" t="str">
        <x:v>+601136066806</x:v>
      </x:c>
      <x:c r="G3132" s="16" t="str">
        <x:v>+601136066806</x:v>
      </x:c>
      <x:c r="H3132" s="16" t="str">
        <x:v>Excluded</x:v>
      </x:c>
      <x:c r="I3132" s="16" t="str">
        <x:v>Missing email</x:v>
      </x:c>
    </x:row>
    <x:row r="3133">
      <x:c r="A3133" s="16" t="n">
        <x:v>3130</x:v>
      </x:c>
      <x:c r="B3133" s="16" t="str">
        <x:v>Hazwanni Hazman</x:v>
      </x:c>
      <x:c r="C3133" s="16" t="str"/>
      <x:c r="D3133" s="16" t="str"/>
      <x:c r="E3133" s="16" t="str">
        <x:v>* myContacts</x:v>
      </x:c>
      <x:c r="F3133" s="16" t="str">
        <x:v>+60197879096</x:v>
      </x:c>
      <x:c r="G3133" s="16" t="str">
        <x:v>+60197879096</x:v>
      </x:c>
      <x:c r="H3133" s="16" t="str">
        <x:v>Excluded</x:v>
      </x:c>
      <x:c r="I3133" s="16" t="str">
        <x:v>Missing email</x:v>
      </x:c>
    </x:row>
    <x:row r="3134">
      <x:c r="A3134" s="16" t="n">
        <x:v>3131</x:v>
      </x:c>
      <x:c r="B3134" s="16" t="str">
        <x:v>HD Nasim Khan Joy</x:v>
      </x:c>
      <x:c r="C3134" s="16" t="str"/>
      <x:c r="D3134" s="16" t="str"/>
      <x:c r="E3134" s="16" t="str">
        <x:v>* myContacts</x:v>
      </x:c>
      <x:c r="F3134" s="16" t="str">
        <x:v>+8801798913549</x:v>
      </x:c>
      <x:c r="G3134" s="16" t="str">
        <x:v>+8801798913549</x:v>
      </x:c>
      <x:c r="H3134" s="16" t="str">
        <x:v>Excluded</x:v>
      </x:c>
      <x:c r="I3134" s="16" t="str">
        <x:v>Missing email</x:v>
      </x:c>
    </x:row>
    <x:row r="3135">
      <x:c r="A3135" s="16" t="n">
        <x:v>3132</x:v>
      </x:c>
      <x:c r="B3135" s="16" t="str">
        <x:v>Helen Pungga</x:v>
      </x:c>
      <x:c r="C3135" s="16" t="str"/>
      <x:c r="D3135" s="16" t="str"/>
      <x:c r="E3135" s="16" t="str">
        <x:v>* myContacts</x:v>
      </x:c>
      <x:c r="F3135" s="16" t="str">
        <x:v>+60128795292</x:v>
      </x:c>
      <x:c r="G3135" s="16" t="str">
        <x:v>+60128795292</x:v>
      </x:c>
      <x:c r="H3135" s="16" t="str">
        <x:v>Excluded</x:v>
      </x:c>
      <x:c r="I3135" s="16" t="str">
        <x:v>Missing email</x:v>
      </x:c>
    </x:row>
    <x:row r="3136">
      <x:c r="A3136" s="16" t="n">
        <x:v>3133</x:v>
      </x:c>
      <x:c r="B3136" s="16" t="str">
        <x:v>Helmi CGC Nazari</x:v>
      </x:c>
      <x:c r="C3136" s="16" t="str"/>
      <x:c r="D3136" s="16" t="str"/>
      <x:c r="E3136" s="16" t="str">
        <x:v>* myContacts</x:v>
      </x:c>
      <x:c r="F3136" s="16" t="str">
        <x:v>+60176270276</x:v>
      </x:c>
      <x:c r="G3136" s="16" t="str">
        <x:v>+60176270276</x:v>
      </x:c>
      <x:c r="H3136" s="16" t="str">
        <x:v>Excluded</x:v>
      </x:c>
      <x:c r="I3136" s="16" t="str">
        <x:v>Missing email</x:v>
      </x:c>
    </x:row>
    <x:row r="3137">
      <x:c r="A3137" s="16" t="n">
        <x:v>3134</x:v>
      </x:c>
      <x:c r="B3137" s="16" t="str">
        <x:v>Helmi Gimik</x:v>
      </x:c>
      <x:c r="C3137" s="16" t="str"/>
      <x:c r="D3137" s="16" t="str"/>
      <x:c r="E3137" s="16" t="str">
        <x:v>* myContacts</x:v>
      </x:c>
      <x:c r="F3137" s="16" t="str">
        <x:v>+60 17-676 9897 | +60176769897</x:v>
      </x:c>
      <x:c r="G3137" s="16" t="str">
        <x:v>+60176769897 | +60176769897</x:v>
      </x:c>
      <x:c r="H3137" s="16" t="str">
        <x:v>Excluded</x:v>
      </x:c>
      <x:c r="I3137" s="16" t="str">
        <x:v>Missing email</x:v>
      </x:c>
    </x:row>
    <x:row r="3138">
      <x:c r="A3138" s="16" t="n">
        <x:v>3135</x:v>
      </x:c>
      <x:c r="B3138" s="16" t="str">
        <x:v>Helmi Hamid</x:v>
      </x:c>
      <x:c r="C3138" s="16" t="str"/>
      <x:c r="D3138" s="16" t="str"/>
      <x:c r="E3138" s="16" t="str">
        <x:v>* myContacts</x:v>
      </x:c>
      <x:c r="F3138" s="16" t="str">
        <x:v>+60162254062</x:v>
      </x:c>
      <x:c r="G3138" s="16" t="str">
        <x:v>+60162254062</x:v>
      </x:c>
      <x:c r="H3138" s="16" t="str">
        <x:v>Excluded</x:v>
      </x:c>
      <x:c r="I3138" s="16" t="str">
        <x:v>Missing email</x:v>
      </x:c>
    </x:row>
    <x:row r="3139">
      <x:c r="A3139" s="16" t="n">
        <x:v>3136</x:v>
      </x:c>
      <x:c r="B3139" s="16" t="str">
        <x:v>Helmi SALES PROTON</x:v>
      </x:c>
      <x:c r="C3139" s="16" t="str"/>
      <x:c r="D3139" s="16" t="str"/>
      <x:c r="E3139" s="16" t="str">
        <x:v>* myContacts</x:v>
      </x:c>
      <x:c r="F3139" s="16" t="str">
        <x:v>+60192667558</x:v>
      </x:c>
      <x:c r="G3139" s="16" t="str">
        <x:v>+60192667558</x:v>
      </x:c>
      <x:c r="H3139" s="16" t="str">
        <x:v>Excluded</x:v>
      </x:c>
      <x:c r="I3139" s="16" t="str">
        <x:v>Missing email</x:v>
      </x:c>
    </x:row>
    <x:row r="3140">
      <x:c r="A3140" s="16" t="n">
        <x:v>3137</x:v>
      </x:c>
      <x:c r="B3140" s="16" t="str">
        <x:v>Helmy Bin Haron</x:v>
      </x:c>
      <x:c r="C3140" s="16" t="str"/>
      <x:c r="D3140" s="16" t="str"/>
      <x:c r="E3140" s="16" t="str">
        <x:v>* myContacts</x:v>
      </x:c>
      <x:c r="F3140" s="16" t="str">
        <x:v>+60137037278</x:v>
      </x:c>
      <x:c r="G3140" s="16" t="str">
        <x:v>+60137037278</x:v>
      </x:c>
      <x:c r="H3140" s="16" t="str">
        <x:v>Excluded</x:v>
      </x:c>
      <x:c r="I3140" s="16" t="str">
        <x:v>Missing email</x:v>
      </x:c>
    </x:row>
    <x:row r="3141">
      <x:c r="A3141" s="16" t="n">
        <x:v>3138</x:v>
      </x:c>
      <x:c r="B3141" s="16" t="str">
        <x:v>Hembusan Bayu Pantai</x:v>
      </x:c>
      <x:c r="C3141" s="16" t="str"/>
      <x:c r="D3141" s="16" t="str"/>
      <x:c r="E3141" s="16" t="str">
        <x:v>* myContacts</x:v>
      </x:c>
      <x:c r="F3141" s="16" t="str">
        <x:v>+60145070368</x:v>
      </x:c>
      <x:c r="G3141" s="16" t="str">
        <x:v>+60145070368</x:v>
      </x:c>
      <x:c r="H3141" s="16" t="str">
        <x:v>Excluded</x:v>
      </x:c>
      <x:c r="I3141" s="16" t="str">
        <x:v>Missing email</x:v>
      </x:c>
    </x:row>
    <x:row r="3142">
      <x:c r="A3142" s="16" t="n">
        <x:v>3139</x:v>
      </x:c>
      <x:c r="B3142" s="16" t="str">
        <x:v>HEMMY UTM</x:v>
      </x:c>
      <x:c r="C3142" s="16" t="str"/>
      <x:c r="D3142" s="16" t="str"/>
      <x:c r="E3142" s="16" t="str">
        <x:v>* myContacts</x:v>
      </x:c>
      <x:c r="F3142" s="16" t="str">
        <x:v>+60 19-796 5796 | +60197965796</x:v>
      </x:c>
      <x:c r="G3142" s="16" t="str">
        <x:v>+60197965796 | +60197965796</x:v>
      </x:c>
      <x:c r="H3142" s="16" t="str">
        <x:v>Excluded</x:v>
      </x:c>
      <x:c r="I3142" s="16" t="str">
        <x:v>Missing email</x:v>
      </x:c>
    </x:row>
    <x:row r="3143">
      <x:c r="A3143" s="16" t="n">
        <x:v>3140</x:v>
      </x:c>
      <x:c r="B3143" s="16" t="str">
        <x:v>Hen's Medan</x:v>
      </x:c>
      <x:c r="C3143" s="16" t="str"/>
      <x:c r="D3143" s="16" t="str"/>
      <x:c r="E3143" s="16" t="str">
        <x:v>* myContacts</x:v>
      </x:c>
      <x:c r="F3143" s="16" t="str">
        <x:v>+6281333333313</x:v>
      </x:c>
      <x:c r="G3143" s="16" t="str">
        <x:v>+6281333333313</x:v>
      </x:c>
      <x:c r="H3143" s="16" t="str">
        <x:v>Excluded</x:v>
      </x:c>
      <x:c r="I3143" s="16" t="str">
        <x:v>Missing email</x:v>
      </x:c>
    </x:row>
    <x:row r="3144">
      <x:c r="A3144" s="16" t="n">
        <x:v>3141</x:v>
      </x:c>
      <x:c r="B3144" s="16" t="str">
        <x:v>Heng Kok Ful</x:v>
      </x:c>
      <x:c r="C3144" s="16" t="str"/>
      <x:c r="D3144" s="16" t="str"/>
      <x:c r="E3144" s="16" t="str">
        <x:v>* myContacts</x:v>
      </x:c>
      <x:c r="F3144" s="16" t="str">
        <x:v>+60392865282</x:v>
      </x:c>
      <x:c r="G3144" s="16" t="str">
        <x:v>+60392865282</x:v>
      </x:c>
      <x:c r="H3144" s="16" t="str">
        <x:v>Excluded</x:v>
      </x:c>
      <x:c r="I3144" s="16" t="str">
        <x:v>Missing email</x:v>
      </x:c>
    </x:row>
    <x:row r="3145">
      <x:c r="A3145" s="16" t="n">
        <x:v>3142</x:v>
      </x:c>
      <x:c r="B3145" s="16" t="str">
        <x:v>Hengky Ahmad</x:v>
      </x:c>
      <x:c r="C3145" s="16" t="str"/>
      <x:c r="D3145" s="16" t="str"/>
      <x:c r="E3145" s="16" t="str">
        <x:v>* myContacts</x:v>
      </x:c>
      <x:c r="F3145" s="16" t="str">
        <x:v>+6281365332426</x:v>
      </x:c>
      <x:c r="G3145" s="16" t="str">
        <x:v>+6281365332426</x:v>
      </x:c>
      <x:c r="H3145" s="16" t="str">
        <x:v>Excluded</x:v>
      </x:c>
      <x:c r="I3145" s="16" t="str">
        <x:v>Missing email</x:v>
      </x:c>
    </x:row>
    <x:row r="3146">
      <x:c r="A3146" s="16" t="n">
        <x:v>3143</x:v>
      </x:c>
      <x:c r="B3146" s="16" t="str">
        <x:v>Heraya Jamal</x:v>
      </x:c>
      <x:c r="C3146" s="16" t="str"/>
      <x:c r="D3146" s="16" t="str"/>
      <x:c r="E3146" s="16" t="str">
        <x:v>* myContacts</x:v>
      </x:c>
      <x:c r="F3146" s="16" t="str">
        <x:v>+60197384479</x:v>
      </x:c>
      <x:c r="G3146" s="16" t="str">
        <x:v>+60197384479</x:v>
      </x:c>
      <x:c r="H3146" s="16" t="str">
        <x:v>Excluded</x:v>
      </x:c>
      <x:c r="I3146" s="16" t="str">
        <x:v>Missing email</x:v>
      </x:c>
    </x:row>
    <x:row r="3147">
      <x:c r="A3147" s="16" t="n">
        <x:v>3144</x:v>
      </x:c>
      <x:c r="B3147" s="16" t="str">
        <x:v>Heri Maulana</x:v>
      </x:c>
      <x:c r="C3147" s="16" t="str"/>
      <x:c r="D3147" s="16" t="str"/>
      <x:c r="E3147" s="16" t="str">
        <x:v>* myContacts</x:v>
      </x:c>
      <x:c r="F3147" s="16" t="str">
        <x:v>+601119389681</x:v>
      </x:c>
      <x:c r="G3147" s="16" t="str">
        <x:v>+601119389681</x:v>
      </x:c>
      <x:c r="H3147" s="16" t="str">
        <x:v>Excluded</x:v>
      </x:c>
      <x:c r="I3147" s="16" t="str">
        <x:v>Missing email</x:v>
      </x:c>
    </x:row>
    <x:row r="3148">
      <x:c r="A3148" s="16" t="n">
        <x:v>3145</x:v>
      </x:c>
      <x:c r="B3148" s="16" t="str">
        <x:v>Herman Diyeng</x:v>
      </x:c>
      <x:c r="C3148" s="16" t="str"/>
      <x:c r="D3148" s="16" t="str"/>
      <x:c r="E3148" s="16" t="str">
        <x:v>* myContacts</x:v>
      </x:c>
      <x:c r="F3148" s="16" t="str">
        <x:v>+60146880232</x:v>
      </x:c>
      <x:c r="G3148" s="16" t="str">
        <x:v>+60146880232</x:v>
      </x:c>
      <x:c r="H3148" s="16" t="str">
        <x:v>Excluded</x:v>
      </x:c>
      <x:c r="I3148" s="16" t="str">
        <x:v>Missing email</x:v>
      </x:c>
    </x:row>
    <x:row r="3149">
      <x:c r="A3149" s="16" t="n">
        <x:v>3146</x:v>
      </x:c>
      <x:c r="B3149" s="16" t="str">
        <x:v>Herman Senin</x:v>
      </x:c>
      <x:c r="C3149" s="16" t="str"/>
      <x:c r="D3149" s="16" t="str"/>
      <x:c r="E3149" s="16" t="str">
        <x:v>* myContacts</x:v>
      </x:c>
      <x:c r="F3149" s="16" t="str">
        <x:v>+60129780105</x:v>
      </x:c>
      <x:c r="G3149" s="16" t="str">
        <x:v>+60129780105</x:v>
      </x:c>
      <x:c r="H3149" s="16" t="str">
        <x:v>Excluded</x:v>
      </x:c>
      <x:c r="I3149" s="16" t="str">
        <x:v>Missing email</x:v>
      </x:c>
    </x:row>
    <x:row r="3150">
      <x:c r="A3150" s="16" t="n">
        <x:v>3147</x:v>
      </x:c>
      <x:c r="B3150" s="16" t="str">
        <x:v>Heru Anggara Saragih Garingging</x:v>
      </x:c>
      <x:c r="C3150" s="16" t="str"/>
      <x:c r="D3150" s="16" t="str"/>
      <x:c r="E3150" s="16" t="str">
        <x:v>* myContacts</x:v>
      </x:c>
      <x:c r="F3150" s="16" t="str">
        <x:v>+6281263412610</x:v>
      </x:c>
      <x:c r="G3150" s="16" t="str">
        <x:v>+6281263412610</x:v>
      </x:c>
      <x:c r="H3150" s="16" t="str">
        <x:v>Excluded</x:v>
      </x:c>
      <x:c r="I3150" s="16" t="str">
        <x:v>Missing email</x:v>
      </x:c>
    </x:row>
    <x:row r="3151">
      <x:c r="A3151" s="16" t="n">
        <x:v>3148</x:v>
      </x:c>
      <x:c r="B3151" s="16" t="str">
        <x:v>Heru Lotenk</x:v>
      </x:c>
      <x:c r="C3151" s="16" t="str"/>
      <x:c r="D3151" s="16" t="str"/>
      <x:c r="E3151" s="16" t="str">
        <x:v>* myContacts</x:v>
      </x:c>
      <x:c r="F3151" s="16" t="str">
        <x:v>+601123443230</x:v>
      </x:c>
      <x:c r="G3151" s="16" t="str">
        <x:v>+601123443230</x:v>
      </x:c>
      <x:c r="H3151" s="16" t="str">
        <x:v>Excluded</x:v>
      </x:c>
      <x:c r="I3151" s="16" t="str">
        <x:v>Missing email</x:v>
      </x:c>
    </x:row>
    <x:row r="3152">
      <x:c r="A3152" s="16" t="n">
        <x:v>3149</x:v>
      </x:c>
      <x:c r="B3152" s="16" t="str">
        <x:v>Heze Zamri</x:v>
      </x:c>
      <x:c r="C3152" s="16" t="str"/>
      <x:c r="D3152" s="16" t="str"/>
      <x:c r="E3152" s="16" t="str">
        <x:v>* myContacts</x:v>
      </x:c>
      <x:c r="F3152" s="16" t="str">
        <x:v>+60192148860</x:v>
      </x:c>
      <x:c r="G3152" s="16" t="str">
        <x:v>+60192148860</x:v>
      </x:c>
      <x:c r="H3152" s="16" t="str">
        <x:v>Excluded</x:v>
      </x:c>
      <x:c r="I3152" s="16" t="str">
        <x:v>Missing email</x:v>
      </x:c>
    </x:row>
    <x:row r="3153">
      <x:c r="A3153" s="16" t="n">
        <x:v>3150</x:v>
      </x:c>
      <x:c r="B3153" s="16" t="str">
        <x:v>Hiasan Dalaman Casa Anggun</x:v>
      </x:c>
      <x:c r="C3153" s="16" t="str"/>
      <x:c r="D3153" s="16" t="str"/>
      <x:c r="E3153" s="16" t="str">
        <x:v>* myContacts</x:v>
      </x:c>
      <x:c r="F3153" s="16" t="str">
        <x:v>+60164416300</x:v>
      </x:c>
      <x:c r="G3153" s="16" t="str">
        <x:v>+60164416300</x:v>
      </x:c>
      <x:c r="H3153" s="16" t="str">
        <x:v>Excluded</x:v>
      </x:c>
      <x:c r="I3153" s="16" t="str">
        <x:v>Missing email</x:v>
      </x:c>
    </x:row>
    <x:row r="3154">
      <x:c r="A3154" s="16" t="n">
        <x:v>3151</x:v>
      </x:c>
      <x:c r="B3154" s="16" t="str">
        <x:v>Hidayah Hamdan</x:v>
      </x:c>
      <x:c r="C3154" s="16" t="str"/>
      <x:c r="D3154" s="16" t="str"/>
      <x:c r="E3154" s="16" t="str">
        <x:v>* myContacts</x:v>
      </x:c>
      <x:c r="F3154" s="16" t="str">
        <x:v>+60195994181</x:v>
      </x:c>
      <x:c r="G3154" s="16" t="str">
        <x:v>+60195994181</x:v>
      </x:c>
      <x:c r="H3154" s="16" t="str">
        <x:v>Excluded</x:v>
      </x:c>
      <x:c r="I3154" s="16" t="str">
        <x:v>Missing email</x:v>
      </x:c>
    </x:row>
    <x:row r="3155">
      <x:c r="A3155" s="16" t="n">
        <x:v>3152</x:v>
      </x:c>
      <x:c r="B3155" s="16" t="str">
        <x:v>Hidayah Hassan</x:v>
      </x:c>
      <x:c r="C3155" s="16" t="str"/>
      <x:c r="D3155" s="16" t="str"/>
      <x:c r="E3155" s="16" t="str">
        <x:v>* myContacts</x:v>
      </x:c>
      <x:c r="F3155" s="16" t="str">
        <x:v>+60173587114</x:v>
      </x:c>
      <x:c r="G3155" s="16" t="str">
        <x:v>+60173587114</x:v>
      </x:c>
      <x:c r="H3155" s="16" t="str">
        <x:v>Excluded</x:v>
      </x:c>
      <x:c r="I3155" s="16" t="str">
        <x:v>Missing email</x:v>
      </x:c>
    </x:row>
    <x:row r="3156">
      <x:c r="A3156" s="16" t="n">
        <x:v>3153</x:v>
      </x:c>
      <x:c r="B3156" s="16" t="str">
        <x:v>Hidayah PEDAS Tanjung Malim</x:v>
      </x:c>
      <x:c r="C3156" s="16" t="str"/>
      <x:c r="D3156" s="16" t="str"/>
      <x:c r="E3156" s="16" t="str">
        <x:v>* myContacts</x:v>
      </x:c>
      <x:c r="F3156" s="16" t="str">
        <x:v>+60 13-341 7323 | +60133417323</x:v>
      </x:c>
      <x:c r="G3156" s="16" t="str">
        <x:v>+60133417323 | +60133417323</x:v>
      </x:c>
      <x:c r="H3156" s="16" t="str">
        <x:v>Excluded</x:v>
      </x:c>
      <x:c r="I3156" s="16" t="str">
        <x:v>Missing email</x:v>
      </x:c>
    </x:row>
    <x:row r="3157">
      <x:c r="A3157" s="16" t="n">
        <x:v>3154</x:v>
      </x:c>
      <x:c r="B3157" s="16" t="str">
        <x:v>Hidayah Zahirah</x:v>
      </x:c>
      <x:c r="C3157" s="16" t="str"/>
      <x:c r="D3157" s="16" t="str"/>
      <x:c r="E3157" s="16" t="str">
        <x:v>* myContacts</x:v>
      </x:c>
      <x:c r="F3157" s="16" t="str">
        <x:v>+601110106325</x:v>
      </x:c>
      <x:c r="G3157" s="16" t="str">
        <x:v>+601110106325</x:v>
      </x:c>
      <x:c r="H3157" s="16" t="str">
        <x:v>Excluded</x:v>
      </x:c>
      <x:c r="I3157" s="16" t="str">
        <x:v>Missing email</x:v>
      </x:c>
    </x:row>
    <x:row r="3158">
      <x:c r="A3158" s="16" t="n">
        <x:v>3155</x:v>
      </x:c>
      <x:c r="B3158" s="16" t="str">
        <x:v>hidayat bapaku punya tv</x:v>
      </x:c>
      <x:c r="C3158" s="16" t="str"/>
      <x:c r="D3158" s="16" t="str"/>
      <x:c r="E3158" s="16" t="str">
        <x:v>* myContacts</x:v>
      </x:c>
      <x:c r="F3158" s="16" t="str">
        <x:v>016-458 8711 | +60164588711</x:v>
      </x:c>
      <x:c r="G3158" s="16" t="str">
        <x:v>+60164588711 | +60164588711</x:v>
      </x:c>
      <x:c r="H3158" s="16" t="str">
        <x:v>Excluded</x:v>
      </x:c>
      <x:c r="I3158" s="16" t="str">
        <x:v>Missing email</x:v>
      </x:c>
    </x:row>
    <x:row r="3159">
      <x:c r="A3159" s="16" t="n">
        <x:v>3156</x:v>
      </x:c>
      <x:c r="B3159" s="16" t="str">
        <x:v>Hidayat Coach</x:v>
      </x:c>
      <x:c r="C3159" s="16" t="str"/>
      <x:c r="D3159" s="16" t="str"/>
      <x:c r="E3159" s="16" t="str">
        <x:v>Trainer | * myContacts</x:v>
      </x:c>
      <x:c r="F3159" s="16" t="str">
        <x:v>+60 16-223 7082 | +60162237082</x:v>
      </x:c>
      <x:c r="G3159" s="16" t="str">
        <x:v>+60162237082 | +60162237082</x:v>
      </x:c>
      <x:c r="H3159" s="16" t="str">
        <x:v>Excluded</x:v>
      </x:c>
      <x:c r="I3159" s="16" t="str">
        <x:v>Missing email</x:v>
      </x:c>
    </x:row>
    <x:row r="3160">
      <x:c r="A3160" s="16" t="n">
        <x:v>3157</x:v>
      </x:c>
      <x:c r="B3160" s="16" t="str">
        <x:v>Hidayat Yat</x:v>
      </x:c>
      <x:c r="C3160" s="16" t="str"/>
      <x:c r="D3160" s="16" t="str"/>
      <x:c r="E3160" s="16" t="str">
        <x:v>* myContacts</x:v>
      </x:c>
      <x:c r="F3160" s="16" t="str">
        <x:v>+601129474094</x:v>
      </x:c>
      <x:c r="G3160" s="16" t="str">
        <x:v>+601129474094</x:v>
      </x:c>
      <x:c r="H3160" s="16" t="str">
        <x:v>Excluded</x:v>
      </x:c>
      <x:c r="I3160" s="16" t="str">
        <x:v>Missing email</x:v>
      </x:c>
    </x:row>
    <x:row r="3161">
      <x:c r="A3161" s="16" t="n">
        <x:v>3158</x:v>
      </x:c>
      <x:c r="B3161" s="16" t="str">
        <x:v>Hiery Ferdinan Sinaga</x:v>
      </x:c>
      <x:c r="C3161" s="16" t="str"/>
      <x:c r="D3161" s="16" t="str"/>
      <x:c r="E3161" s="16" t="str">
        <x:v>* myContacts</x:v>
      </x:c>
      <x:c r="F3161" s="16" t="str">
        <x:v>+6285758238111</x:v>
      </x:c>
      <x:c r="G3161" s="16" t="str">
        <x:v>+6285758238111</x:v>
      </x:c>
      <x:c r="H3161" s="16" t="str">
        <x:v>Excluded</x:v>
      </x:c>
      <x:c r="I3161" s="16" t="str">
        <x:v>Missing email</x:v>
      </x:c>
    </x:row>
    <x:row r="3162">
      <x:c r="A3162" s="16" t="n">
        <x:v>3159</x:v>
      </x:c>
      <x:c r="B3162" s="16" t="str">
        <x:v>Hijab Yuqui Craft</x:v>
      </x:c>
      <x:c r="C3162" s="16" t="str"/>
      <x:c r="D3162" s="16" t="str"/>
      <x:c r="E3162" s="16" t="str">
        <x:v>* myContacts</x:v>
      </x:c>
      <x:c r="F3162" s="16" t="str">
        <x:v>+6285265462667</x:v>
      </x:c>
      <x:c r="G3162" s="16" t="str">
        <x:v>+6285265462667</x:v>
      </x:c>
      <x:c r="H3162" s="16" t="str">
        <x:v>Excluded</x:v>
      </x:c>
      <x:c r="I3162" s="16" t="str">
        <x:v>Missing email</x:v>
      </x:c>
    </x:row>
    <x:row r="3163">
      <x:c r="A3163" s="16" t="n">
        <x:v>3160</x:v>
      </x:c>
      <x:c r="B3163" s="16" t="str">
        <x:v>Hijrah Fakri Wahidah Kuala Kubu Baru</x:v>
      </x:c>
      <x:c r="C3163" s="16" t="str"/>
      <x:c r="D3163" s="16" t="str"/>
      <x:c r="E3163" s="16" t="str">
        <x:v>Alumni eUsahawan | * myContacts</x:v>
      </x:c>
      <x:c r="F3163" s="16" t="str">
        <x:v>+60173939078</x:v>
      </x:c>
      <x:c r="G3163" s="16" t="str">
        <x:v>+60173939078</x:v>
      </x:c>
      <x:c r="H3163" s="16" t="str">
        <x:v>Excluded</x:v>
      </x:c>
      <x:c r="I3163" s="16" t="str">
        <x:v>Missing email</x:v>
      </x:c>
    </x:row>
    <x:row r="3164">
      <x:c r="A3164" s="16" t="n">
        <x:v>3161</x:v>
      </x:c>
      <x:c r="B3164" s="16" t="str">
        <x:v>Hilman Iman</x:v>
      </x:c>
      <x:c r="C3164" s="16" t="str"/>
      <x:c r="D3164" s="16" t="str"/>
      <x:c r="E3164" s="16" t="str">
        <x:v>* myContacts</x:v>
      </x:c>
      <x:c r="F3164" s="16" t="str">
        <x:v>+6283871556577</x:v>
      </x:c>
      <x:c r="G3164" s="16" t="str">
        <x:v>+6283871556577</x:v>
      </x:c>
      <x:c r="H3164" s="16" t="str">
        <x:v>Excluded</x:v>
      </x:c>
      <x:c r="I3164" s="16" t="str">
        <x:v>Missing email</x:v>
      </x:c>
    </x:row>
    <x:row r="3165">
      <x:c r="A3165" s="16" t="n">
        <x:v>3162</x:v>
      </x:c>
      <x:c r="B3165" s="16" t="str">
        <x:v>Hirfan Hairie</x:v>
      </x:c>
      <x:c r="C3165" s="16" t="str"/>
      <x:c r="D3165" s="16" t="str"/>
      <x:c r="E3165" s="16" t="str">
        <x:v>* myContacts</x:v>
      </x:c>
      <x:c r="F3165" s="16" t="str">
        <x:v>+6585493917</x:v>
      </x:c>
      <x:c r="G3165" s="16" t="str">
        <x:v>+6585493917</x:v>
      </x:c>
      <x:c r="H3165" s="16" t="str">
        <x:v>Excluded</x:v>
      </x:c>
      <x:c r="I3165" s="16" t="str">
        <x:v>Missing email</x:v>
      </x:c>
    </x:row>
    <x:row r="3166">
      <x:c r="A3166" s="16" t="n">
        <x:v>3163</x:v>
      </x:c>
      <x:c r="B3166" s="16" t="str">
        <x:v>Hirma Abd Bala</x:v>
      </x:c>
      <x:c r="C3166" s="16" t="str"/>
      <x:c r="D3166" s="16" t="str"/>
      <x:c r="E3166" s="16" t="str">
        <x:v>* myContacts</x:v>
      </x:c>
      <x:c r="F3166" s="16" t="str">
        <x:v>+60198326455</x:v>
      </x:c>
      <x:c r="G3166" s="16" t="str">
        <x:v>+60198326455</x:v>
      </x:c>
      <x:c r="H3166" s="16" t="str">
        <x:v>Excluded</x:v>
      </x:c>
      <x:c r="I3166" s="16" t="str">
        <x:v>Missing email</x:v>
      </x:c>
    </x:row>
    <x:row r="3167">
      <x:c r="A3167" s="16" t="n">
        <x:v>3164</x:v>
      </x:c>
      <x:c r="B3167" s="16" t="str">
        <x:v>Hirman Noah VideoMan</x:v>
      </x:c>
      <x:c r="C3167" s="16" t="str"/>
      <x:c r="D3167" s="16" t="str"/>
      <x:c r="E3167" s="16" t="str">
        <x:v>* myContacts</x:v>
      </x:c>
      <x:c r="F3167" s="16" t="str">
        <x:v>+60182108082</x:v>
      </x:c>
      <x:c r="G3167" s="16" t="str">
        <x:v>+60182108082</x:v>
      </x:c>
      <x:c r="H3167" s="16" t="str">
        <x:v>Excluded</x:v>
      </x:c>
      <x:c r="I3167" s="16" t="str">
        <x:v>Missing email</x:v>
      </x:c>
    </x:row>
    <x:row r="3168">
      <x:c r="A3168" s="16" t="n">
        <x:v>3165</x:v>
      </x:c>
      <x:c r="B3168" s="16" t="str">
        <x:v>Hirman Razali Geng Ultra</x:v>
      </x:c>
      <x:c r="C3168" s="16" t="str"/>
      <x:c r="D3168" s="16" t="str"/>
      <x:c r="E3168" s="16" t="str">
        <x:v>* myContacts</x:v>
      </x:c>
      <x:c r="F3168" s="16" t="str">
        <x:v>+60 17-209 9330</x:v>
      </x:c>
      <x:c r="G3168" s="16" t="str">
        <x:v>+60172099330</x:v>
      </x:c>
      <x:c r="H3168" s="16" t="str">
        <x:v>Excluded</x:v>
      </x:c>
      <x:c r="I3168" s="16" t="str">
        <x:v>Missing email</x:v>
      </x:c>
    </x:row>
    <x:row r="3169">
      <x:c r="A3169" s="16" t="n">
        <x:v>3166</x:v>
      </x:c>
      <x:c r="B3169" s="16" t="str">
        <x:v>Hirwan Halim</x:v>
      </x:c>
      <x:c r="C3169" s="16" t="str"/>
      <x:c r="D3169" s="16" t="str"/>
      <x:c r="E3169" s="16" t="str">
        <x:v>* myContacts</x:v>
      </x:c>
      <x:c r="F3169" s="16" t="str">
        <x:v>+60134869862</x:v>
      </x:c>
      <x:c r="G3169" s="16" t="str">
        <x:v>+60134869862</x:v>
      </x:c>
      <x:c r="H3169" s="16" t="str">
        <x:v>Excluded</x:v>
      </x:c>
      <x:c r="I3169" s="16" t="str">
        <x:v>Missing email</x:v>
      </x:c>
    </x:row>
    <x:row r="3170">
      <x:c r="A3170" s="16" t="n">
        <x:v>3167</x:v>
      </x:c>
      <x:c r="B3170" s="16" t="str">
        <x:v>Hisham CWA</x:v>
      </x:c>
      <x:c r="C3170" s="16" t="str"/>
      <x:c r="D3170" s="16" t="str"/>
      <x:c r="E3170" s="16" t="str">
        <x:v>* myContacts</x:v>
      </x:c>
      <x:c r="F3170" s="16" t="str">
        <x:v>+60 13-670 9539 | +60136709539</x:v>
      </x:c>
      <x:c r="G3170" s="16" t="str">
        <x:v>+60136709539 | +60136709539</x:v>
      </x:c>
      <x:c r="H3170" s="16" t="str">
        <x:v>Excluded</x:v>
      </x:c>
      <x:c r="I3170" s="16" t="str">
        <x:v>Missing email</x:v>
      </x:c>
    </x:row>
    <x:row r="3171">
      <x:c r="A3171" s="16" t="n">
        <x:v>3168</x:v>
      </x:c>
      <x:c r="B3171" s="16" t="str">
        <x:v>Hisham Daud</x:v>
      </x:c>
      <x:c r="C3171" s="16" t="str"/>
      <x:c r="D3171" s="16" t="str"/>
      <x:c r="E3171" s="16" t="str">
        <x:v>* myContacts</x:v>
      </x:c>
      <x:c r="F3171" s="16" t="str">
        <x:v>+60103887388</x:v>
      </x:c>
      <x:c r="G3171" s="16" t="str">
        <x:v>+60103887388</x:v>
      </x:c>
      <x:c r="H3171" s="16" t="str">
        <x:v>Excluded</x:v>
      </x:c>
      <x:c r="I3171" s="16" t="str">
        <x:v>Missing email</x:v>
      </x:c>
    </x:row>
    <x:row r="3172">
      <x:c r="A3172" s="16" t="n">
        <x:v>3169</x:v>
      </x:c>
      <x:c r="B3172" s="16" t="str">
        <x:v>Hisham Fw1 wax kereta</x:v>
      </x:c>
      <x:c r="C3172" s="16" t="str"/>
      <x:c r="D3172" s="16" t="str"/>
      <x:c r="E3172" s="16" t="str">
        <x:v>* myContacts</x:v>
      </x:c>
      <x:c r="F3172" s="16" t="str">
        <x:v>+601119448117</x:v>
      </x:c>
      <x:c r="G3172" s="16" t="str">
        <x:v>+601119448117</x:v>
      </x:c>
      <x:c r="H3172" s="16" t="str">
        <x:v>Excluded</x:v>
      </x:c>
      <x:c r="I3172" s="16" t="str">
        <x:v>Missing email</x:v>
      </x:c>
    </x:row>
    <x:row r="3173">
      <x:c r="A3173" s="16" t="n">
        <x:v>3170</x:v>
      </x:c>
      <x:c r="B3173" s="16" t="str">
        <x:v>Hisham Gerrard</x:v>
      </x:c>
      <x:c r="C3173" s="16" t="str"/>
      <x:c r="D3173" s="16" t="str"/>
      <x:c r="E3173" s="16" t="str">
        <x:v>* myContacts</x:v>
      </x:c>
      <x:c r="F3173" s="16" t="str">
        <x:v>+60127326694</x:v>
      </x:c>
      <x:c r="G3173" s="16" t="str">
        <x:v>+60127326694</x:v>
      </x:c>
      <x:c r="H3173" s="16" t="str">
        <x:v>Excluded</x:v>
      </x:c>
      <x:c r="I3173" s="16" t="str">
        <x:v>Missing email</x:v>
      </x:c>
    </x:row>
    <x:row r="3174">
      <x:c r="A3174" s="16" t="n">
        <x:v>3171</x:v>
      </x:c>
      <x:c r="B3174" s="16" t="str">
        <x:v>Hisham Hamzah</x:v>
      </x:c>
      <x:c r="C3174" s="16" t="str"/>
      <x:c r="D3174" s="16" t="str"/>
      <x:c r="E3174" s="16" t="str">
        <x:v>* myContacts</x:v>
      </x:c>
      <x:c r="F3174" s="16" t="str">
        <x:v>+60122353570</x:v>
      </x:c>
      <x:c r="G3174" s="16" t="str">
        <x:v>+60122353570</x:v>
      </x:c>
      <x:c r="H3174" s="16" t="str">
        <x:v>Excluded</x:v>
      </x:c>
      <x:c r="I3174" s="16" t="str">
        <x:v>Missing email</x:v>
      </x:c>
    </x:row>
    <x:row r="3175">
      <x:c r="A3175" s="16" t="n">
        <x:v>3172</x:v>
      </x:c>
      <x:c r="B3175" s="16" t="str">
        <x:v>Hisham Kdeb WM</x:v>
      </x:c>
      <x:c r="C3175" s="16" t="str"/>
      <x:c r="D3175" s="16" t="str"/>
      <x:c r="E3175" s="16" t="str">
        <x:v>* myContacts</x:v>
      </x:c>
      <x:c r="F3175" s="16" t="str">
        <x:v>0123591030 | +60123591030</x:v>
      </x:c>
      <x:c r="G3175" s="16" t="str">
        <x:v>+60123591030 | +60123591030</x:v>
      </x:c>
      <x:c r="H3175" s="16" t="str">
        <x:v>Excluded</x:v>
      </x:c>
      <x:c r="I3175" s="16" t="str">
        <x:v>Missing email</x:v>
      </x:c>
    </x:row>
    <x:row r="3176">
      <x:c r="A3176" s="16" t="n">
        <x:v>3173</x:v>
      </x:c>
      <x:c r="B3176" s="16" t="str">
        <x:v>hisham mdec trainer kuching</x:v>
      </x:c>
      <x:c r="C3176" s="16" t="str"/>
      <x:c r="D3176" s="16" t="str"/>
      <x:c r="E3176" s="16" t="str">
        <x:v>* myContacts</x:v>
      </x:c>
      <x:c r="F3176" s="16" t="str">
        <x:v>+60128585335</x:v>
      </x:c>
      <x:c r="G3176" s="16" t="str">
        <x:v>+60128585335</x:v>
      </x:c>
      <x:c r="H3176" s="16" t="str">
        <x:v>Excluded</x:v>
      </x:c>
      <x:c r="I3176" s="16" t="str">
        <x:v>Missing email</x:v>
      </x:c>
    </x:row>
    <x:row r="3177">
      <x:c r="A3177" s="16" t="n">
        <x:v>3174</x:v>
      </x:c>
      <x:c r="B3177" s="16" t="str">
        <x:v>Hisham Upscale Trainer</x:v>
      </x:c>
      <x:c r="C3177" s="16" t="str"/>
      <x:c r="D3177" s="16" t="str"/>
      <x:c r="E3177" s="16" t="str">
        <x:v>Trainer | * myContacts</x:v>
      </x:c>
      <x:c r="F3177" s="16" t="str">
        <x:v>+60172974380</x:v>
      </x:c>
      <x:c r="G3177" s="16" t="str">
        <x:v>+60172974380</x:v>
      </x:c>
      <x:c r="H3177" s="16" t="str">
        <x:v>Excluded</x:v>
      </x:c>
      <x:c r="I3177" s="16" t="str">
        <x:v>Missing email</x:v>
      </x:c>
    </x:row>
    <x:row r="3178">
      <x:c r="A3178" s="16" t="n">
        <x:v>3175</x:v>
      </x:c>
      <x:c r="B3178" s="16" t="str">
        <x:v>HISMAN</x:v>
      </x:c>
      <x:c r="C3178" s="16" t="str"/>
      <x:c r="D3178" s="16" t="str"/>
      <x:c r="E3178" s="16" t="str">
        <x:v>* myContacts</x:v>
      </x:c>
      <x:c r="F3178" s="16" t="str">
        <x:v>+601123348795</x:v>
      </x:c>
      <x:c r="G3178" s="16" t="str">
        <x:v>+601123348795</x:v>
      </x:c>
      <x:c r="H3178" s="16" t="str">
        <x:v>Excluded</x:v>
      </x:c>
      <x:c r="I3178" s="16" t="str">
        <x:v>Missing email</x:v>
      </x:c>
    </x:row>
    <x:row r="3179">
      <x:c r="A3179" s="16" t="n">
        <x:v>3176</x:v>
      </x:c>
      <x:c r="B3179" s="16" t="str">
        <x:v>Hizatul Hassan</x:v>
      </x:c>
      <x:c r="C3179" s="16" t="str"/>
      <x:c r="D3179" s="16" t="str"/>
      <x:c r="E3179" s="16" t="str">
        <x:v>* myContacts</x:v>
      </x:c>
      <x:c r="F3179" s="16" t="str">
        <x:v>+60196133027</x:v>
      </x:c>
      <x:c r="G3179" s="16" t="str">
        <x:v>+60196133027</x:v>
      </x:c>
      <x:c r="H3179" s="16" t="str">
        <x:v>Excluded</x:v>
      </x:c>
      <x:c r="I3179" s="16" t="str">
        <x:v>Missing email</x:v>
      </x:c>
    </x:row>
    <x:row r="3180">
      <x:c r="A3180" s="16" t="n">
        <x:v>3177</x:v>
      </x:c>
      <x:c r="B3180" s="16" t="str">
        <x:v>HJ ABDUL HAKIM JAAFAR</x:v>
      </x:c>
      <x:c r="C3180" s="16" t="str">
        <x:v>drabdullhakim@innohear.com</x:v>
      </x:c>
      <x:c r="D3180" s="16" t="str">
        <x:v>drabdullhakim@innohear.com</x:v>
      </x:c>
      <x:c r="E3180" s="16" t="str">
        <x:v>* myContacts</x:v>
      </x:c>
      <x:c r="F3180" s="16" t="str">
        <x:v>0340412663 | +60100678066 | 0176387247 | +60340412663 | +60100678066 | 0176387247 | 0340416591</x:v>
      </x:c>
      <x:c r="G3180" s="16" t="str">
        <x:v>+60340412663 | +60100678066 | +60176387247 | +60340412663 | +60100678066 | +60176387247 | +60340416591</x:v>
      </x:c>
      <x:c r="H3180" s="16" t="str">
        <x:v>Eligible</x:v>
      </x:c>
      <x:c r="I3180" s="16" t="str"/>
    </x:row>
    <x:row r="3181">
      <x:c r="A3181" s="16" t="n">
        <x:v>3178</x:v>
      </x:c>
      <x:c r="B3181" s="16" t="str">
        <x:v>Hj Abdullah HG</x:v>
      </x:c>
      <x:c r="C3181" s="16" t="str"/>
      <x:c r="D3181" s="16" t="str"/>
      <x:c r="E3181" s="16" t="str">
        <x:v>* myContacts</x:v>
      </x:c>
      <x:c r="F3181" s="16" t="str">
        <x:v>+60 13-806 8007 | +60138068007</x:v>
      </x:c>
      <x:c r="G3181" s="16" t="str">
        <x:v>+60138068007 | +60138068007</x:v>
      </x:c>
      <x:c r="H3181" s="16" t="str">
        <x:v>Excluded</x:v>
      </x:c>
      <x:c r="I3181" s="16" t="str">
        <x:v>Missing email</x:v>
      </x:c>
    </x:row>
    <x:row r="3182">
      <x:c r="A3182" s="16" t="n">
        <x:v>3179</x:v>
      </x:c>
      <x:c r="B3182" s="16" t="str">
        <x:v>Hj Badrul Jpph</x:v>
      </x:c>
      <x:c r="C3182" s="16" t="str"/>
      <x:c r="D3182" s="16" t="str"/>
      <x:c r="E3182" s="16" t="str">
        <x:v>* myContacts</x:v>
      </x:c>
      <x:c r="F3182" s="16" t="str">
        <x:v>+60 19-620 0250 | +60196200250</x:v>
      </x:c>
      <x:c r="G3182" s="16" t="str">
        <x:v>+60196200250 | +60196200250</x:v>
      </x:c>
      <x:c r="H3182" s="16" t="str">
        <x:v>Excluded</x:v>
      </x:c>
      <x:c r="I3182" s="16" t="str">
        <x:v>Missing email</x:v>
      </x:c>
    </x:row>
    <x:row r="3183">
      <x:c r="A3183" s="16" t="n">
        <x:v>3180</x:v>
      </x:c>
      <x:c r="B3183" s="16" t="str">
        <x:v>HJ HAFIZZ JAZZ MDEC</x:v>
      </x:c>
      <x:c r="C3183" s="16" t="str"/>
      <x:c r="D3183" s="16" t="str"/>
      <x:c r="E3183" s="16" t="str">
        <x:v>* myContacts</x:v>
      </x:c>
      <x:c r="F3183" s="16" t="str">
        <x:v>011-5793 5903 | +601157935903</x:v>
      </x:c>
      <x:c r="G3183" s="16" t="str">
        <x:v>+601157935903 | +601157935903</x:v>
      </x:c>
      <x:c r="H3183" s="16" t="str">
        <x:v>Excluded</x:v>
      </x:c>
      <x:c r="I3183" s="16" t="str">
        <x:v>Missing email</x:v>
      </x:c>
    </x:row>
    <x:row r="3184">
      <x:c r="A3184" s="16" t="n">
        <x:v>3181</x:v>
      </x:c>
      <x:c r="B3184" s="16" t="str">
        <x:v>HJ Isa Safa Marwa</x:v>
      </x:c>
      <x:c r="C3184" s="16" t="str"/>
      <x:c r="D3184" s="16" t="str"/>
      <x:c r="E3184" s="16" t="str">
        <x:v>* myContacts</x:v>
      </x:c>
      <x:c r="F3184" s="16" t="str">
        <x:v>0173186233 | +60173186233</x:v>
      </x:c>
      <x:c r="G3184" s="16" t="str">
        <x:v>+60173186233 | +60173186233</x:v>
      </x:c>
      <x:c r="H3184" s="16" t="str">
        <x:v>Excluded</x:v>
      </x:c>
      <x:c r="I3184" s="16" t="str">
        <x:v>Missing email</x:v>
      </x:c>
    </x:row>
    <x:row r="3185">
      <x:c r="A3185" s="16" t="n">
        <x:v>3182</x:v>
      </x:c>
      <x:c r="B3185" s="16" t="str">
        <x:v>hj kamaruzaman</x:v>
      </x:c>
      <x:c r="C3185" s="16" t="str"/>
      <x:c r="D3185" s="16" t="str"/>
      <x:c r="E3185" s="16" t="str">
        <x:v>* myContacts</x:v>
      </x:c>
      <x:c r="F3185" s="16" t="str">
        <x:v>+60193198287</x:v>
      </x:c>
      <x:c r="G3185" s="16" t="str">
        <x:v>+60193198287</x:v>
      </x:c>
      <x:c r="H3185" s="16" t="str">
        <x:v>Excluded</x:v>
      </x:c>
      <x:c r="I3185" s="16" t="str">
        <x:v>Missing email</x:v>
      </x:c>
    </x:row>
    <x:row r="3186">
      <x:c r="A3186" s="16" t="n">
        <x:v>3183</x:v>
      </x:c>
      <x:c r="B3186" s="16" t="str">
        <x:v>hj mohd masajaya</x:v>
      </x:c>
      <x:c r="C3186" s="16" t="str"/>
      <x:c r="D3186" s="16" t="str"/>
      <x:c r="E3186" s="16" t="str">
        <x:v>* myContacts</x:v>
      </x:c>
      <x:c r="F3186" s="16" t="str">
        <x:v>016-361 2553 | +60163612553</x:v>
      </x:c>
      <x:c r="G3186" s="16" t="str">
        <x:v>+60163612553 | +60163612553</x:v>
      </x:c>
      <x:c r="H3186" s="16" t="str">
        <x:v>Excluded</x:v>
      </x:c>
      <x:c r="I3186" s="16" t="str">
        <x:v>Missing email</x:v>
      </x:c>
    </x:row>
    <x:row r="3187">
      <x:c r="A3187" s="16" t="n">
        <x:v>3184</x:v>
      </x:c>
      <x:c r="B3187" s="16" t="str">
        <x:v>HJ MUS COACH</x:v>
      </x:c>
      <x:c r="C3187" s="16" t="str"/>
      <x:c r="D3187" s="16" t="str"/>
      <x:c r="E3187" s="16" t="str">
        <x:v>Trainer | * myContacts</x:v>
      </x:c>
      <x:c r="F3187" s="16" t="str">
        <x:v>+60 12-340 0133 | +60123400133</x:v>
      </x:c>
      <x:c r="G3187" s="16" t="str">
        <x:v>+60123400133 | +60123400133</x:v>
      </x:c>
      <x:c r="H3187" s="16" t="str">
        <x:v>Excluded</x:v>
      </x:c>
      <x:c r="I3187" s="16" t="str">
        <x:v>Missing email</x:v>
      </x:c>
    </x:row>
    <x:row r="3188">
      <x:c r="A3188" s="16" t="n">
        <x:v>3185</x:v>
      </x:c>
      <x:c r="B3188" s="16" t="str">
        <x:v>Hj Othman Mohd Bendahari Masjid</x:v>
      </x:c>
      <x:c r="C3188" s="16" t="str"/>
      <x:c r="D3188" s="16" t="str"/>
      <x:c r="E3188" s="16" t="str">
        <x:v>* myContacts</x:v>
      </x:c>
      <x:c r="F3188" s="16" t="str">
        <x:v>+60 17-396 8744 | +60173968744</x:v>
      </x:c>
      <x:c r="G3188" s="16" t="str">
        <x:v>+60173968744 | +60173968744</x:v>
      </x:c>
      <x:c r="H3188" s="16" t="str">
        <x:v>Excluded</x:v>
      </x:c>
      <x:c r="I3188" s="16" t="str">
        <x:v>Missing email</x:v>
      </x:c>
    </x:row>
    <x:row r="3189">
      <x:c r="A3189" s="16" t="n">
        <x:v>3186</x:v>
      </x:c>
      <x:c r="B3189" s="16" t="str">
        <x:v>Hj shahrin</x:v>
      </x:c>
      <x:c r="C3189" s="16" t="str"/>
      <x:c r="D3189" s="16" t="str"/>
      <x:c r="E3189" s="16" t="str">
        <x:v>* myContacts</x:v>
      </x:c>
      <x:c r="F3189" s="16" t="str">
        <x:v>0129086425 | +60129086425</x:v>
      </x:c>
      <x:c r="G3189" s="16" t="str">
        <x:v>+60129086425 | +60129086425</x:v>
      </x:c>
      <x:c r="H3189" s="16" t="str">
        <x:v>Excluded</x:v>
      </x:c>
      <x:c r="I3189" s="16" t="str">
        <x:v>Missing email</x:v>
      </x:c>
    </x:row>
    <x:row r="3190">
      <x:c r="A3190" s="16" t="n">
        <x:v>3187</x:v>
      </x:c>
      <x:c r="B3190" s="16" t="str">
        <x:v>Hj Sifu Roslan Bekam</x:v>
      </x:c>
      <x:c r="C3190" s="16" t="str"/>
      <x:c r="D3190" s="16" t="str"/>
      <x:c r="E3190" s="16" t="str">
        <x:v>Trainer | * myContacts</x:v>
      </x:c>
      <x:c r="F3190" s="16" t="str">
        <x:v>+60164436797</x:v>
      </x:c>
      <x:c r="G3190" s="16" t="str">
        <x:v>+60164436797</x:v>
      </x:c>
      <x:c r="H3190" s="16" t="str">
        <x:v>Excluded</x:v>
      </x:c>
      <x:c r="I3190" s="16" t="str">
        <x:v>Missing email</x:v>
      </x:c>
    </x:row>
    <x:row r="3191">
      <x:c r="A3191" s="16" t="n">
        <x:v>3188</x:v>
      </x:c>
      <x:c r="B3191" s="16" t="str">
        <x:v>Hj Sulaiman Bin Hassan AGP</x:v>
      </x:c>
      <x:c r="C3191" s="16" t="str"/>
      <x:c r="D3191" s="16" t="str"/>
      <x:c r="E3191" s="16" t="str">
        <x:v>* myContacts</x:v>
      </x:c>
      <x:c r="F3191" s="16" t="str">
        <x:v>+60 11-3325 8367 | +601133258367</x:v>
      </x:c>
      <x:c r="G3191" s="16" t="str">
        <x:v>+601133258367 | +601133258367</x:v>
      </x:c>
      <x:c r="H3191" s="16" t="str">
        <x:v>Excluded</x:v>
      </x:c>
      <x:c r="I3191" s="16" t="str">
        <x:v>Missing email</x:v>
      </x:c>
    </x:row>
    <x:row r="3192">
      <x:c r="A3192" s="16" t="n">
        <x:v>3189</x:v>
      </x:c>
      <x:c r="B3192" s="16" t="str">
        <x:v>Hj Zawal</x:v>
      </x:c>
      <x:c r="C3192" s="16" t="str"/>
      <x:c r="D3192" s="16" t="str"/>
      <x:c r="E3192" s="16" t="str">
        <x:v>* myContacts</x:v>
      </x:c>
      <x:c r="F3192" s="16" t="str">
        <x:v>0102318581 | +60102318581 | 0173128581</x:v>
      </x:c>
      <x:c r="G3192" s="16" t="str">
        <x:v>+60102318581 | +60102318581 | +60173128581</x:v>
      </x:c>
      <x:c r="H3192" s="16" t="str">
        <x:v>Excluded</x:v>
      </x:c>
      <x:c r="I3192" s="16" t="str">
        <x:v>Missing email</x:v>
      </x:c>
    </x:row>
    <x:row r="3193">
      <x:c r="A3193" s="16" t="n">
        <x:v>3190</x:v>
      </x:c>
      <x:c r="B3193" s="16" t="str">
        <x:v>Hja Zainab Hakim</x:v>
      </x:c>
      <x:c r="C3193" s="16" t="str"/>
      <x:c r="D3193" s="16" t="str"/>
      <x:c r="E3193" s="16" t="str">
        <x:v>* myContacts</x:v>
      </x:c>
      <x:c r="F3193" s="16" t="str">
        <x:v>+601123093944</x:v>
      </x:c>
      <x:c r="G3193" s="16" t="str">
        <x:v>+601123093944</x:v>
      </x:c>
      <x:c r="H3193" s="16" t="str">
        <x:v>Excluded</x:v>
      </x:c>
      <x:c r="I3193" s="16" t="str">
        <x:v>Missing email</x:v>
      </x:c>
    </x:row>
    <x:row r="3194">
      <x:c r="A3194" s="16" t="n">
        <x:v>3191</x:v>
      </x:c>
      <x:c r="B3194" s="16" t="str">
        <x:v>Hock Guan Teoh</x:v>
      </x:c>
      <x:c r="C3194" s="16" t="str"/>
      <x:c r="D3194" s="16" t="str"/>
      <x:c r="E3194" s="16" t="str">
        <x:v>* myContacts</x:v>
      </x:c>
      <x:c r="F3194" s="16" t="str">
        <x:v>+60133333165</x:v>
      </x:c>
      <x:c r="G3194" s="16" t="str">
        <x:v>+60133333165</x:v>
      </x:c>
      <x:c r="H3194" s="16" t="str">
        <x:v>Excluded</x:v>
      </x:c>
      <x:c r="I3194" s="16" t="str">
        <x:v>Missing email</x:v>
      </x:c>
    </x:row>
    <x:row r="3195">
      <x:c r="A3195" s="16" t="n">
        <x:v>3192</x:v>
      </x:c>
      <x:c r="B3195" s="16" t="str">
        <x:v>Homemate Hq</x:v>
      </x:c>
      <x:c r="C3195" s="16" t="str"/>
      <x:c r="D3195" s="16" t="str"/>
      <x:c r="E3195" s="16" t="str">
        <x:v>* myContacts</x:v>
      </x:c>
      <x:c r="F3195" s="16" t="str">
        <x:v>+60 19-474 2120 | +60194742120</x:v>
      </x:c>
      <x:c r="G3195" s="16" t="str">
        <x:v>+60194742120 | +60194742120</x:v>
      </x:c>
      <x:c r="H3195" s="16" t="str">
        <x:v>Excluded</x:v>
      </x:c>
      <x:c r="I3195" s="16" t="str">
        <x:v>Missing email</x:v>
      </x:c>
    </x:row>
    <x:row r="3196">
      <x:c r="A3196" s="16" t="n">
        <x:v>3193</x:v>
      </x:c>
      <x:c r="B3196" s="16" t="str">
        <x:v>homestay ijok</x:v>
      </x:c>
      <x:c r="C3196" s="16" t="str"/>
      <x:c r="D3196" s="16" t="str"/>
      <x:c r="E3196" s="16" t="str">
        <x:v>* myContacts</x:v>
      </x:c>
      <x:c r="F3196" s="16" t="str">
        <x:v>0136284885 | +60136284885</x:v>
      </x:c>
      <x:c r="G3196" s="16" t="str">
        <x:v>+60136284885 | +60136284885</x:v>
      </x:c>
      <x:c r="H3196" s="16" t="str">
        <x:v>Excluded</x:v>
      </x:c>
      <x:c r="I3196" s="16" t="str">
        <x:v>Missing email</x:v>
      </x:c>
    </x:row>
    <x:row r="3197">
      <x:c r="A3197" s="16" t="n">
        <x:v>3194</x:v>
      </x:c>
      <x:c r="B3197" s="16" t="str">
        <x:v>HomestayAj Palace Pasir Mas</x:v>
      </x:c>
      <x:c r="C3197" s="16" t="str"/>
      <x:c r="D3197" s="16" t="str"/>
      <x:c r="E3197" s="16" t="str">
        <x:v>* myContacts</x:v>
      </x:c>
      <x:c r="F3197" s="16" t="str">
        <x:v>+60199059597</x:v>
      </x:c>
      <x:c r="G3197" s="16" t="str">
        <x:v>+60199059597</x:v>
      </x:c>
      <x:c r="H3197" s="16" t="str">
        <x:v>Excluded</x:v>
      </x:c>
      <x:c r="I3197" s="16" t="str">
        <x:v>Missing email</x:v>
      </x:c>
    </x:row>
    <x:row r="3198">
      <x:c r="A3198" s="16" t="n">
        <x:v>3195</x:v>
      </x:c>
      <x:c r="B3198" s="16" t="str">
        <x:v>Hos Getah Hos Getah</x:v>
      </x:c>
      <x:c r="C3198" s="16" t="str"/>
      <x:c r="D3198" s="16" t="str"/>
      <x:c r="E3198" s="16" t="str">
        <x:v>* myContacts</x:v>
      </x:c>
      <x:c r="F3198" s="16" t="str">
        <x:v>+601129206584</x:v>
      </x:c>
      <x:c r="G3198" s="16" t="str">
        <x:v>+601129206584</x:v>
      </x:c>
      <x:c r="H3198" s="16" t="str">
        <x:v>Excluded</x:v>
      </x:c>
      <x:c r="I3198" s="16" t="str">
        <x:v>Missing email</x:v>
      </x:c>
    </x:row>
    <x:row r="3199">
      <x:c r="A3199" s="16" t="n">
        <x:v>3196</x:v>
      </x:c>
      <x:c r="B3199" s="16" t="str">
        <x:v>Hotel Atlantis Customer Service</x:v>
      </x:c>
      <x:c r="C3199" s="16" t="str"/>
      <x:c r="D3199" s="16" t="str"/>
      <x:c r="E3199" s="16" t="str">
        <x:v>* myContacts</x:v>
      </x:c>
      <x:c r="F3199" s="16" t="str">
        <x:v>+601133022261</x:v>
      </x:c>
      <x:c r="G3199" s="16" t="str">
        <x:v>+601133022261</x:v>
      </x:c>
      <x:c r="H3199" s="16" t="str">
        <x:v>Excluded</x:v>
      </x:c>
      <x:c r="I3199" s="16" t="str">
        <x:v>Missing email</x:v>
      </x:c>
    </x:row>
    <x:row r="3200">
      <x:c r="A3200" s="16" t="n">
        <x:v>3197</x:v>
      </x:c>
      <x:c r="B3200" s="16" t="str">
        <x:v>Hp Abg Rahimi Gombak Geng Solvy</x:v>
      </x:c>
      <x:c r="C3200" s="16" t="str"/>
      <x:c r="D3200" s="16" t="str"/>
      <x:c r="E3200" s="16" t="str">
        <x:v>* myContacts</x:v>
      </x:c>
      <x:c r="F3200" s="16" t="str">
        <x:v>+601111415769</x:v>
      </x:c>
      <x:c r="G3200" s="16" t="str">
        <x:v>+601111415769</x:v>
      </x:c>
      <x:c r="H3200" s="16" t="str">
        <x:v>Excluded</x:v>
      </x:c>
      <x:c r="I3200" s="16" t="str">
        <x:v>Missing email</x:v>
      </x:c>
    </x:row>
    <x:row r="3201">
      <x:c r="A3201" s="16" t="n">
        <x:v>3198</x:v>
      </x:c>
      <x:c r="B3201" s="16" t="str">
        <x:v>HR Faiz Unisel</x:v>
      </x:c>
      <x:c r="C3201" s="16" t="str"/>
      <x:c r="D3201" s="16" t="str"/>
      <x:c r="E3201" s="16" t="str">
        <x:v>* myContacts</x:v>
      </x:c>
      <x:c r="F3201" s="16" t="str">
        <x:v>+60 17-313 8477 | +60173138477</x:v>
      </x:c>
      <x:c r="G3201" s="16" t="str">
        <x:v>+60173138477 | +60173138477</x:v>
      </x:c>
      <x:c r="H3201" s="16" t="str">
        <x:v>Excluded</x:v>
      </x:c>
      <x:c r="I3201" s="16" t="str">
        <x:v>Missing email</x:v>
      </x:c>
    </x:row>
    <x:row r="3202">
      <x:c r="A3202" s="16" t="n">
        <x:v>3199</x:v>
      </x:c>
      <x:c r="B3202" s="16" t="str">
        <x:v>HR Qc Group Sdn Bhd</x:v>
      </x:c>
      <x:c r="C3202" s="16" t="str"/>
      <x:c r="D3202" s="16" t="str"/>
      <x:c r="E3202" s="16" t="str">
        <x:v>* myContacts</x:v>
      </x:c>
      <x:c r="F3202" s="16" t="str">
        <x:v>+601111340110</x:v>
      </x:c>
      <x:c r="G3202" s="16" t="str">
        <x:v>+601111340110</x:v>
      </x:c>
      <x:c r="H3202" s="16" t="str">
        <x:v>Excluded</x:v>
      </x:c>
      <x:c r="I3202" s="16" t="str">
        <x:v>Missing email</x:v>
      </x:c>
    </x:row>
    <x:row r="3203">
      <x:c r="A3203" s="16" t="n">
        <x:v>3200</x:v>
      </x:c>
      <x:c r="B3203" s="16" t="str">
        <x:v>Hrdf Farah</x:v>
      </x:c>
      <x:c r="C3203" s="16" t="str"/>
      <x:c r="D3203" s="16" t="str"/>
      <x:c r="E3203" s="16" t="str">
        <x:v>* myContacts</x:v>
      </x:c>
      <x:c r="F3203" s="16" t="str">
        <x:v>+60 17-331 2536 | +60173312536</x:v>
      </x:c>
      <x:c r="G3203" s="16" t="str">
        <x:v>+60173312536 | +60173312536</x:v>
      </x:c>
      <x:c r="H3203" s="16" t="str">
        <x:v>Excluded</x:v>
      </x:c>
      <x:c r="I3203" s="16" t="str">
        <x:v>Missing email</x:v>
      </x:c>
    </x:row>
    <x:row r="3204">
      <x:c r="A3204" s="16" t="n">
        <x:v>3201</x:v>
      </x:c>
      <x:c r="B3204" s="16" t="str">
        <x:v>HS Jamilah Srwk</x:v>
      </x:c>
      <x:c r="C3204" s="16" t="str"/>
      <x:c r="D3204" s="16" t="str"/>
      <x:c r="E3204" s="16" t="str">
        <x:v>* myContacts</x:v>
      </x:c>
      <x:c r="F3204" s="16" t="str">
        <x:v>+60 19-887 9495 | +60198879495</x:v>
      </x:c>
      <x:c r="G3204" s="16" t="str">
        <x:v>+60198879495 | +60198879495</x:v>
      </x:c>
      <x:c r="H3204" s="16" t="str">
        <x:v>Excluded</x:v>
      </x:c>
      <x:c r="I3204" s="16" t="str">
        <x:v>Missing email</x:v>
      </x:c>
    </x:row>
    <x:row r="3205">
      <x:c r="A3205" s="16" t="n">
        <x:v>3202</x:v>
      </x:c>
      <x:c r="B3205" s="16" t="str">
        <x:v>Huari Classmate TI</x:v>
      </x:c>
      <x:c r="C3205" s="16" t="str"/>
      <x:c r="D3205" s="16" t="str"/>
      <x:c r="E3205" s="16" t="str">
        <x:v>* myContacts</x:v>
      </x:c>
      <x:c r="F3205" s="16" t="str">
        <x:v>+60 12-559 1910 | +60125591910</x:v>
      </x:c>
      <x:c r="G3205" s="16" t="str">
        <x:v>+60125591910 | +60125591910</x:v>
      </x:c>
      <x:c r="H3205" s="16" t="str">
        <x:v>Excluded</x:v>
      </x:c>
      <x:c r="I3205" s="16" t="str">
        <x:v>Missing email</x:v>
      </x:c>
    </x:row>
    <x:row r="3206">
      <x:c r="A3206" s="16" t="n">
        <x:v>3203</x:v>
      </x:c>
      <x:c r="B3206" s="16" t="str">
        <x:v>Huda Binti Alias</x:v>
      </x:c>
      <x:c r="C3206" s="16" t="str"/>
      <x:c r="D3206" s="16" t="str"/>
      <x:c r="E3206" s="16" t="str">
        <x:v>* myContacts</x:v>
      </x:c>
      <x:c r="F3206" s="16" t="str">
        <x:v>+60179863963</x:v>
      </x:c>
      <x:c r="G3206" s="16" t="str">
        <x:v>+60179863963</x:v>
      </x:c>
      <x:c r="H3206" s="16" t="str">
        <x:v>Excluded</x:v>
      </x:c>
      <x:c r="I3206" s="16" t="str">
        <x:v>Missing email</x:v>
      </x:c>
    </x:row>
    <x:row r="3207">
      <x:c r="A3207" s="16" t="n">
        <x:v>3204</x:v>
      </x:c>
      <x:c r="B3207" s="16" t="str">
        <x:v>Huda Said</x:v>
      </x:c>
      <x:c r="C3207" s="16" t="str"/>
      <x:c r="D3207" s="16" t="str"/>
      <x:c r="E3207" s="16" t="str">
        <x:v>* myContacts</x:v>
      </x:c>
      <x:c r="F3207" s="16" t="str">
        <x:v>+60124220474</x:v>
      </x:c>
      <x:c r="G3207" s="16" t="str">
        <x:v>+60124220474</x:v>
      </x:c>
      <x:c r="H3207" s="16" t="str">
        <x:v>Excluded</x:v>
      </x:c>
      <x:c r="I3207" s="16" t="str">
        <x:v>Missing email</x:v>
      </x:c>
    </x:row>
    <x:row r="3208">
      <x:c r="A3208" s="16" t="n">
        <x:v>3205</x:v>
      </x:c>
      <x:c r="B3208" s="16" t="str">
        <x:v>Hufaidah Abu Samah</x:v>
      </x:c>
      <x:c r="C3208" s="16" t="str"/>
      <x:c r="D3208" s="16" t="str"/>
      <x:c r="E3208" s="16" t="str">
        <x:v>* myContacts</x:v>
      </x:c>
      <x:c r="F3208" s="16" t="str">
        <x:v>+601132513804</x:v>
      </x:c>
      <x:c r="G3208" s="16" t="str">
        <x:v>+601132513804</x:v>
      </x:c>
      <x:c r="H3208" s="16" t="str">
        <x:v>Excluded</x:v>
      </x:c>
      <x:c r="I3208" s="16" t="str">
        <x:v>Missing email</x:v>
      </x:c>
    </x:row>
    <x:row r="3209">
      <x:c r="A3209" s="16" t="n">
        <x:v>3206</x:v>
      </x:c>
      <x:c r="B3209" s="16" t="str">
        <x:v>Husaini Hartanahperundingkewangan</x:v>
      </x:c>
      <x:c r="C3209" s="16" t="str"/>
      <x:c r="D3209" s="16" t="str"/>
      <x:c r="E3209" s="16" t="str">
        <x:v>* myContacts</x:v>
      </x:c>
      <x:c r="F3209" s="16" t="str">
        <x:v>+60189498182</x:v>
      </x:c>
      <x:c r="G3209" s="16" t="str">
        <x:v>+60189498182</x:v>
      </x:c>
      <x:c r="H3209" s="16" t="str">
        <x:v>Excluded</x:v>
      </x:c>
      <x:c r="I3209" s="16" t="str">
        <x:v>Missing email</x:v>
      </x:c>
    </x:row>
    <x:row r="3210">
      <x:c r="A3210" s="16" t="n">
        <x:v>3207</x:v>
      </x:c>
      <x:c r="B3210" s="16" t="str">
        <x:v>Husainy</x:v>
      </x:c>
      <x:c r="C3210" s="16" t="str"/>
      <x:c r="D3210" s="16" t="str"/>
      <x:c r="E3210" s="16" t="str">
        <x:v>* myContacts</x:v>
      </x:c>
      <x:c r="F3210" s="16" t="str">
        <x:v>+60 12-216 0744 | +60122160744</x:v>
      </x:c>
      <x:c r="G3210" s="16" t="str">
        <x:v>+60122160744 | +60122160744</x:v>
      </x:c>
      <x:c r="H3210" s="16" t="str">
        <x:v>Excluded</x:v>
      </x:c>
      <x:c r="I3210" s="16" t="str">
        <x:v>Missing email</x:v>
      </x:c>
    </x:row>
    <x:row r="3211">
      <x:c r="A3211" s="16" t="n">
        <x:v>3208</x:v>
      </x:c>
      <x:c r="B3211" s="16" t="str">
        <x:v>Husairi Bin Adam</x:v>
      </x:c>
      <x:c r="C3211" s="16" t="str"/>
      <x:c r="D3211" s="16" t="str"/>
      <x:c r="E3211" s="16" t="str">
        <x:v>* myContacts</x:v>
      </x:c>
      <x:c r="F3211" s="16" t="str">
        <x:v>+60173971007</x:v>
      </x:c>
      <x:c r="G3211" s="16" t="str">
        <x:v>+60173971007</x:v>
      </x:c>
      <x:c r="H3211" s="16" t="str">
        <x:v>Excluded</x:v>
      </x:c>
      <x:c r="I3211" s="16" t="str">
        <x:v>Missing email</x:v>
      </x:c>
    </x:row>
    <x:row r="3212">
      <x:c r="A3212" s="16" t="n">
        <x:v>3209</x:v>
      </x:c>
      <x:c r="B3212" s="16" t="str">
        <x:v>Husband Sazli Che Pah</x:v>
      </x:c>
      <x:c r="C3212" s="16" t="str"/>
      <x:c r="D3212" s="16" t="str"/>
      <x:c r="E3212" s="16" t="str">
        <x:v>* myContacts</x:v>
      </x:c>
      <x:c r="F3212" s="16" t="str">
        <x:v>+64 210 217 9745 | +642102179745</x:v>
      </x:c>
      <x:c r="G3212" s="16" t="str">
        <x:v>+642102179745 | +642102179745</x:v>
      </x:c>
      <x:c r="H3212" s="16" t="str">
        <x:v>Excluded</x:v>
      </x:c>
      <x:c r="I3212" s="16" t="str">
        <x:v>Missing email</x:v>
      </x:c>
    </x:row>
    <x:row r="3213">
      <x:c r="A3213" s="16" t="n">
        <x:v>3210</x:v>
      </x:c>
      <x:c r="B3213" s="16" t="str">
        <x:v>Husna Azizan</x:v>
      </x:c>
      <x:c r="C3213" s="16" t="str"/>
      <x:c r="D3213" s="16" t="str"/>
      <x:c r="E3213" s="16" t="str">
        <x:v>* myContacts</x:v>
      </x:c>
      <x:c r="F3213" s="16" t="str">
        <x:v>+60136324477</x:v>
      </x:c>
      <x:c r="G3213" s="16" t="str">
        <x:v>+60136324477</x:v>
      </x:c>
      <x:c r="H3213" s="16" t="str">
        <x:v>Excluded</x:v>
      </x:c>
      <x:c r="I3213" s="16" t="str">
        <x:v>Missing email</x:v>
      </x:c>
    </x:row>
    <x:row r="3214">
      <x:c r="A3214" s="16" t="n">
        <x:v>3211</x:v>
      </x:c>
      <x:c r="B3214" s="16" t="str">
        <x:v>Husna Baju &amp; Serum Wowskin</x:v>
      </x:c>
      <x:c r="C3214" s="16" t="str"/>
      <x:c r="D3214" s="16" t="str"/>
      <x:c r="E3214" s="16" t="str">
        <x:v>* myContacts</x:v>
      </x:c>
      <x:c r="F3214" s="16" t="str">
        <x:v>+60 19-654 4702 | +60196544702</x:v>
      </x:c>
      <x:c r="G3214" s="16" t="str">
        <x:v>+60196544702 | +60196544702</x:v>
      </x:c>
      <x:c r="H3214" s="16" t="str">
        <x:v>Excluded</x:v>
      </x:c>
      <x:c r="I3214" s="16" t="str">
        <x:v>Missing email</x:v>
      </x:c>
    </x:row>
    <x:row r="3215">
      <x:c r="A3215" s="16" t="n">
        <x:v>3212</x:v>
      </x:c>
      <x:c r="B3215" s="16" t="str">
        <x:v>Husna Hanafi Amoura</x:v>
      </x:c>
      <x:c r="C3215" s="16" t="str">
        <x:v>husnaazri@gmail.com</x:v>
      </x:c>
      <x:c r="D3215" s="16" t="str">
        <x:v>husnaazri@gmail.com</x:v>
      </x:c>
      <x:c r="E3215" s="16" t="str">
        <x:v>* myContacts</x:v>
      </x:c>
      <x:c r="F3215" s="16" t="str">
        <x:v>+601114934084</x:v>
      </x:c>
      <x:c r="G3215" s="16" t="str">
        <x:v>+601114934084</x:v>
      </x:c>
      <x:c r="H3215" s="16" t="str">
        <x:v>Eligible</x:v>
      </x:c>
      <x:c r="I3215" s="16" t="str"/>
    </x:row>
    <x:row r="3216">
      <x:c r="A3216" s="16" t="n">
        <x:v>3213</x:v>
      </x:c>
      <x:c r="B3216" s="16" t="str">
        <x:v>Husna Lee</x:v>
      </x:c>
      <x:c r="C3216" s="16" t="str"/>
      <x:c r="D3216" s="16" t="str"/>
      <x:c r="E3216" s="16" t="str">
        <x:v>* myContacts</x:v>
      </x:c>
      <x:c r="F3216" s="16" t="str">
        <x:v>+601136051890</x:v>
      </x:c>
      <x:c r="G3216" s="16" t="str">
        <x:v>+601136051890</x:v>
      </x:c>
      <x:c r="H3216" s="16" t="str">
        <x:v>Excluded</x:v>
      </x:c>
      <x:c r="I3216" s="16" t="str">
        <x:v>Missing email</x:v>
      </x:c>
    </x:row>
    <x:row r="3217">
      <x:c r="A3217" s="16" t="n">
        <x:v>3214</x:v>
      </x:c>
      <x:c r="B3217" s="16" t="str">
        <x:v>Husna Sabran</x:v>
      </x:c>
      <x:c r="C3217" s="16" t="str"/>
      <x:c r="D3217" s="16" t="str"/>
      <x:c r="E3217" s="16" t="str">
        <x:v>* myContacts</x:v>
      </x:c>
      <x:c r="F3217" s="16" t="str">
        <x:v>+601111353858</x:v>
      </x:c>
      <x:c r="G3217" s="16" t="str">
        <x:v>+601111353858</x:v>
      </x:c>
      <x:c r="H3217" s="16" t="str">
        <x:v>Excluded</x:v>
      </x:c>
      <x:c r="I3217" s="16" t="str">
        <x:v>Missing email</x:v>
      </x:c>
    </x:row>
    <x:row r="3218">
      <x:c r="A3218" s="16" t="n">
        <x:v>3215</x:v>
      </x:c>
      <x:c r="B3218" s="16" t="str">
        <x:v>Husni Amran</x:v>
      </x:c>
      <x:c r="C3218" s="16" t="str"/>
      <x:c r="D3218" s="16" t="str"/>
      <x:c r="E3218" s="16" t="str">
        <x:v>* myContacts</x:v>
      </x:c>
      <x:c r="F3218" s="16" t="str">
        <x:v>+60178922321</x:v>
      </x:c>
      <x:c r="G3218" s="16" t="str">
        <x:v>+60178922321</x:v>
      </x:c>
      <x:c r="H3218" s="16" t="str">
        <x:v>Excluded</x:v>
      </x:c>
      <x:c r="I3218" s="16" t="str">
        <x:v>Missing email</x:v>
      </x:c>
    </x:row>
    <x:row r="3219">
      <x:c r="A3219" s="16" t="n">
        <x:v>3216</x:v>
      </x:c>
      <x:c r="B3219" s="16" t="str">
        <x:v>Husni Etrade Avana</x:v>
      </x:c>
      <x:c r="C3219" s="16" t="str"/>
      <x:c r="D3219" s="16" t="str"/>
      <x:c r="E3219" s="16" t="str">
        <x:v>* myContacts</x:v>
      </x:c>
      <x:c r="F3219" s="16" t="str">
        <x:v>0362077547 | +60362077547</x:v>
      </x:c>
      <x:c r="G3219" s="16" t="str">
        <x:v>+60362077547 | +60362077547</x:v>
      </x:c>
      <x:c r="H3219" s="16" t="str">
        <x:v>Excluded</x:v>
      </x:c>
      <x:c r="I3219" s="16" t="str">
        <x:v>Missing email</x:v>
      </x:c>
    </x:row>
    <x:row r="3220">
      <x:c r="A3220" s="16" t="n">
        <x:v>3217</x:v>
      </x:c>
      <x:c r="B3220" s="16" t="str">
        <x:v>Husni Hamzah</x:v>
      </x:c>
      <x:c r="C3220" s="16" t="str"/>
      <x:c r="D3220" s="16" t="str"/>
      <x:c r="E3220" s="16" t="str">
        <x:v>* myContacts</x:v>
      </x:c>
      <x:c r="F3220" s="16" t="str">
        <x:v>+60 16-205 7981 | +60162057981 | 01115314440</x:v>
      </x:c>
      <x:c r="G3220" s="16" t="str">
        <x:v>+60162057981 | +60162057981 | +601115314440</x:v>
      </x:c>
      <x:c r="H3220" s="16" t="str">
        <x:v>Excluded</x:v>
      </x:c>
      <x:c r="I3220" s="16" t="str">
        <x:v>Missing email</x:v>
      </x:c>
    </x:row>
    <x:row r="3221">
      <x:c r="A3221" s="16" t="n">
        <x:v>3218</x:v>
      </x:c>
      <x:c r="B3221" s="16" t="str">
        <x:v>Hussain Karim</x:v>
      </x:c>
      <x:c r="C3221" s="16" t="str"/>
      <x:c r="D3221" s="16" t="str"/>
      <x:c r="E3221" s="16" t="str">
        <x:v>* myContacts</x:v>
      </x:c>
      <x:c r="F3221" s="16" t="str">
        <x:v>+60138962716</x:v>
      </x:c>
      <x:c r="G3221" s="16" t="str">
        <x:v>+60138962716</x:v>
      </x:c>
      <x:c r="H3221" s="16" t="str">
        <x:v>Excluded</x:v>
      </x:c>
      <x:c r="I3221" s="16" t="str">
        <x:v>Missing email</x:v>
      </x:c>
    </x:row>
    <x:row r="3222">
      <x:c r="A3222" s="16" t="n">
        <x:v>3219</x:v>
      </x:c>
      <x:c r="B3222" s="16" t="str">
        <x:v>Hussin Bin Ayub AGP</x:v>
      </x:c>
      <x:c r="C3222" s="16" t="str"/>
      <x:c r="D3222" s="16" t="str"/>
      <x:c r="E3222" s="16" t="str">
        <x:v>* myContacts</x:v>
      </x:c>
      <x:c r="F3222" s="16" t="str">
        <x:v>+60178518800</x:v>
      </x:c>
      <x:c r="G3222" s="16" t="str">
        <x:v>+60178518800</x:v>
      </x:c>
      <x:c r="H3222" s="16" t="str">
        <x:v>Excluded</x:v>
      </x:c>
      <x:c r="I3222" s="16" t="str">
        <x:v>Missing email</x:v>
      </x:c>
    </x:row>
    <x:row r="3223">
      <x:c r="A3223" s="16" t="n">
        <x:v>3220</x:v>
      </x:c>
      <x:c r="B3223" s="16" t="str">
        <x:v>HuYuga HiNata</x:v>
      </x:c>
      <x:c r="C3223" s="16" t="str"/>
      <x:c r="D3223" s="16" t="str"/>
      <x:c r="E3223" s="16" t="str">
        <x:v>* myContacts</x:v>
      </x:c>
      <x:c r="F3223" s="16" t="str">
        <x:v>+60177464859</x:v>
      </x:c>
      <x:c r="G3223" s="16" t="str">
        <x:v>+60177464859</x:v>
      </x:c>
      <x:c r="H3223" s="16" t="str">
        <x:v>Excluded</x:v>
      </x:c>
      <x:c r="I3223" s="16" t="str">
        <x:v>Missing email</x:v>
      </x:c>
    </x:row>
    <x:row r="3224">
      <x:c r="A3224" s="16" t="n">
        <x:v>3221</x:v>
      </x:c>
      <x:c r="B3224" s="16" t="str">
        <x:v>Huzaifah IM</x:v>
      </x:c>
      <x:c r="C3224" s="16" t="str"/>
      <x:c r="D3224" s="16" t="str"/>
      <x:c r="E3224" s="16" t="str">
        <x:v>* myContacts</x:v>
      </x:c>
      <x:c r="F3224" s="16" t="str">
        <x:v>016-203 9243 | +60162039243</x:v>
      </x:c>
      <x:c r="G3224" s="16" t="str">
        <x:v>+60162039243 | +60162039243</x:v>
      </x:c>
      <x:c r="H3224" s="16" t="str">
        <x:v>Excluded</x:v>
      </x:c>
      <x:c r="I3224" s="16" t="str">
        <x:v>Missing email</x:v>
      </x:c>
    </x:row>
    <x:row r="3225">
      <x:c r="A3225" s="16" t="n">
        <x:v>3222</x:v>
      </x:c>
      <x:c r="B3225" s="16" t="str">
        <x:v>Huzaimah Pptem</x:v>
      </x:c>
      <x:c r="C3225" s="16" t="str"/>
      <x:c r="D3225" s="16" t="str"/>
      <x:c r="E3225" s="16" t="str">
        <x:v>* myContacts</x:v>
      </x:c>
      <x:c r="F3225" s="16" t="str">
        <x:v>60123630045 | +60123630045</x:v>
      </x:c>
      <x:c r="G3225" s="16" t="str">
        <x:v>+60123630045 | +60123630045</x:v>
      </x:c>
      <x:c r="H3225" s="16" t="str">
        <x:v>Excluded</x:v>
      </x:c>
      <x:c r="I3225" s="16" t="str">
        <x:v>Missing email</x:v>
      </x:c>
    </x:row>
    <x:row r="3226">
      <x:c r="A3226" s="16" t="n">
        <x:v>3223</x:v>
      </x:c>
      <x:c r="B3226" s="16" t="str">
        <x:v>HUZAIREEN BIN HASSAN ASRI</x:v>
      </x:c>
      <x:c r="C3226" s="16" t="str">
        <x:v>huzaireen@ikmas.edu.my | reenstrp@yahoo.com</x:v>
      </x:c>
      <x:c r="D3226" s="16" t="str">
        <x:v>huzaireen@ikmas.edu.my | reenstrp@yahoo.com</x:v>
      </x:c>
      <x:c r="E3226" s="16" t="str">
        <x:v>* myContacts</x:v>
      </x:c>
      <x:c r="F3226" s="16" t="str">
        <x:v>047729940 | 7716152 | +6047729940 | 7716152 | 0194889801 | 047724340</x:v>
      </x:c>
      <x:c r="G3226" s="16" t="str">
        <x:v>+6047729940 | +6047729940 | +60194889801 | +6047724340</x:v>
      </x:c>
      <x:c r="H3226" s="16" t="str">
        <x:v>Eligible</x:v>
      </x:c>
      <x:c r="I3226" s="16" t="str"/>
    </x:row>
    <x:row r="3227">
      <x:c r="A3227" s="16" t="n">
        <x:v>3224</x:v>
      </x:c>
      <x:c r="B3227" s="16" t="str">
        <x:v>Huzefa Asaad</x:v>
      </x:c>
      <x:c r="C3227" s="16" t="str"/>
      <x:c r="D3227" s="16" t="str"/>
      <x:c r="E3227" s="16" t="str">
        <x:v>* myContacts</x:v>
      </x:c>
      <x:c r="F3227" s="16" t="str">
        <x:v>+60149197006</x:v>
      </x:c>
      <x:c r="G3227" s="16" t="str">
        <x:v>+60149197006</x:v>
      </x:c>
      <x:c r="H3227" s="16" t="str">
        <x:v>Excluded</x:v>
      </x:c>
      <x:c r="I3227" s="16" t="str">
        <x:v>Missing email</x:v>
      </x:c>
    </x:row>
    <x:row r="3228">
      <x:c r="A3228" s="16" t="n">
        <x:v>3225</x:v>
      </x:c>
      <x:c r="B3228" s="16" t="str">
        <x:v>Hye Mand</x:v>
      </x:c>
      <x:c r="C3228" s="16" t="str"/>
      <x:c r="D3228" s="16" t="str"/>
      <x:c r="E3228" s="16" t="str">
        <x:v>* myContacts</x:v>
      </x:c>
      <x:c r="F3228" s="16" t="str">
        <x:v>+60193028296</x:v>
      </x:c>
      <x:c r="G3228" s="16" t="str">
        <x:v>+60193028296</x:v>
      </x:c>
      <x:c r="H3228" s="16" t="str">
        <x:v>Excluded</x:v>
      </x:c>
      <x:c r="I3228" s="16" t="str">
        <x:v>Missing email</x:v>
      </x:c>
    </x:row>
    <x:row r="3229">
      <x:c r="A3229" s="16" t="n">
        <x:v>3226</x:v>
      </x:c>
      <x:c r="B3229" s="16" t="str">
        <x:v>I-den La</x:v>
      </x:c>
      <x:c r="C3229" s="16" t="str"/>
      <x:c r="D3229" s="16" t="str"/>
      <x:c r="E3229" s="16" t="str">
        <x:v>* myContacts</x:v>
      </x:c>
      <x:c r="F3229" s="16" t="str">
        <x:v>+60129715030</x:v>
      </x:c>
      <x:c r="G3229" s="16" t="str">
        <x:v>+60129715030</x:v>
      </x:c>
      <x:c r="H3229" s="16" t="str">
        <x:v>Excluded</x:v>
      </x:c>
      <x:c r="I3229" s="16" t="str">
        <x:v>Missing email</x:v>
      </x:c>
    </x:row>
    <x:row r="3230">
      <x:c r="A3230" s="16" t="n">
        <x:v>3227</x:v>
      </x:c>
      <x:c r="B3230" s="16" t="str">
        <x:v>I'zue Nubli</x:v>
      </x:c>
      <x:c r="C3230" s="16" t="str"/>
      <x:c r="D3230" s="16" t="str"/>
      <x:c r="E3230" s="16" t="str">
        <x:v>* myContacts</x:v>
      </x:c>
      <x:c r="F3230" s="16" t="str">
        <x:v>+60135202149</x:v>
      </x:c>
      <x:c r="G3230" s="16" t="str">
        <x:v>+60135202149</x:v>
      </x:c>
      <x:c r="H3230" s="16" t="str">
        <x:v>Excluded</x:v>
      </x:c>
      <x:c r="I3230" s="16" t="str">
        <x:v>Missing email</x:v>
      </x:c>
    </x:row>
    <x:row r="3231">
      <x:c r="A3231" s="16" t="n">
        <x:v>3228</x:v>
      </x:c>
      <x:c r="B3231" s="16" t="str">
        <x:v>Ibahriah Iba</x:v>
      </x:c>
      <x:c r="C3231" s="16" t="str"/>
      <x:c r="D3231" s="16" t="str"/>
      <x:c r="E3231" s="16" t="str">
        <x:v>* myContacts</x:v>
      </x:c>
      <x:c r="F3231" s="16" t="str">
        <x:v>+601136528076</x:v>
      </x:c>
      <x:c r="G3231" s="16" t="str">
        <x:v>+601136528076</x:v>
      </x:c>
      <x:c r="H3231" s="16" t="str">
        <x:v>Excluded</x:v>
      </x:c>
      <x:c r="I3231" s="16" t="str">
        <x:v>Missing email</x:v>
      </x:c>
    </x:row>
    <x:row r="3232">
      <x:c r="A3232" s="16" t="n">
        <x:v>3229</x:v>
      </x:c>
      <x:c r="B3232" s="16" t="str">
        <x:v>ibat IM</x:v>
      </x:c>
      <x:c r="C3232" s="16" t="str"/>
      <x:c r="D3232" s="16" t="str"/>
      <x:c r="E3232" s="16" t="str">
        <x:v>* myContacts</x:v>
      </x:c>
      <x:c r="F3232" s="16" t="str">
        <x:v>018-392 9414 | +60183929414</x:v>
      </x:c>
      <x:c r="G3232" s="16" t="str">
        <x:v>+60183929414 | +60183929414</x:v>
      </x:c>
      <x:c r="H3232" s="16" t="str">
        <x:v>Excluded</x:v>
      </x:c>
      <x:c r="I3232" s="16" t="str">
        <x:v>Missing email</x:v>
      </x:c>
    </x:row>
    <x:row r="3233">
      <x:c r="A3233" s="16" t="n">
        <x:v>3230</x:v>
      </x:c>
      <x:c r="B3233" s="16" t="str">
        <x:v>IBawal Careline</x:v>
      </x:c>
      <x:c r="C3233" s="16" t="str"/>
      <x:c r="D3233" s="16" t="str"/>
      <x:c r="E3233" s="16" t="str">
        <x:v>* myContacts</x:v>
      </x:c>
      <x:c r="F3233" s="16" t="str">
        <x:v>+60173199311</x:v>
      </x:c>
      <x:c r="G3233" s="16" t="str">
        <x:v>+60173199311</x:v>
      </x:c>
      <x:c r="H3233" s="16" t="str">
        <x:v>Excluded</x:v>
      </x:c>
      <x:c r="I3233" s="16" t="str">
        <x:v>Missing email</x:v>
      </x:c>
    </x:row>
    <x:row r="3234">
      <x:c r="A3234" s="16" t="n">
        <x:v>3231</x:v>
      </x:c>
      <x:c r="B3234" s="16" t="str">
        <x:v>Ibnu SiPutraaslii NaganRaya</x:v>
      </x:c>
      <x:c r="C3234" s="16" t="str"/>
      <x:c r="D3234" s="16" t="str"/>
      <x:c r="E3234" s="16" t="str">
        <x:v>* myContacts</x:v>
      </x:c>
      <x:c r="F3234" s="16" t="str">
        <x:v>+6282236063603</x:v>
      </x:c>
      <x:c r="G3234" s="16" t="str">
        <x:v>+6282236063603</x:v>
      </x:c>
      <x:c r="H3234" s="16" t="str">
        <x:v>Excluded</x:v>
      </x:c>
      <x:c r="I3234" s="16" t="str">
        <x:v>Missing email</x:v>
      </x:c>
    </x:row>
    <x:row r="3235">
      <x:c r="A3235" s="16" t="n">
        <x:v>3232</x:v>
      </x:c>
      <x:c r="B3235" s="16" t="str">
        <x:v>Ibnu Zam</x:v>
      </x:c>
      <x:c r="C3235" s="16" t="str"/>
      <x:c r="D3235" s="16" t="str"/>
      <x:c r="E3235" s="16" t="str">
        <x:v>* myContacts</x:v>
      </x:c>
      <x:c r="F3235" s="16" t="str">
        <x:v>+60199742695</x:v>
      </x:c>
      <x:c r="G3235" s="16" t="str">
        <x:v>+60199742695</x:v>
      </x:c>
      <x:c r="H3235" s="16" t="str">
        <x:v>Excluded</x:v>
      </x:c>
      <x:c r="I3235" s="16" t="str">
        <x:v>Missing email</x:v>
      </x:c>
    </x:row>
    <x:row r="3236">
      <x:c r="A3236" s="16" t="n">
        <x:v>3233</x:v>
      </x:c>
      <x:c r="B3236" s="16" t="str">
        <x:v>Ibrahim Abdul Jaleel AGP</x:v>
      </x:c>
      <x:c r="C3236" s="16" t="str"/>
      <x:c r="D3236" s="16" t="str"/>
      <x:c r="E3236" s="16" t="str">
        <x:v>* myContacts</x:v>
      </x:c>
      <x:c r="F3236" s="16" t="str">
        <x:v>+60 17-682 8429 | +60176828429</x:v>
      </x:c>
      <x:c r="G3236" s="16" t="str">
        <x:v>+60176828429 | +60176828429</x:v>
      </x:c>
      <x:c r="H3236" s="16" t="str">
        <x:v>Excluded</x:v>
      </x:c>
      <x:c r="I3236" s="16" t="str">
        <x:v>Missing email</x:v>
      </x:c>
    </x:row>
    <x:row r="3237">
      <x:c r="A3237" s="16" t="n">
        <x:v>3234</x:v>
      </x:c>
      <x:c r="B3237" s="16" t="str">
        <x:v>Ibrahim Bin Ashri</x:v>
      </x:c>
      <x:c r="C3237" s="16" t="str"/>
      <x:c r="D3237" s="16" t="str"/>
      <x:c r="E3237" s="16" t="str">
        <x:v>* myContacts</x:v>
      </x:c>
      <x:c r="F3237" s="16" t="str">
        <x:v>+60126995547</x:v>
      </x:c>
      <x:c r="G3237" s="16" t="str">
        <x:v>+60126995547</x:v>
      </x:c>
      <x:c r="H3237" s="16" t="str">
        <x:v>Excluded</x:v>
      </x:c>
      <x:c r="I3237" s="16" t="str">
        <x:v>Missing email</x:v>
      </x:c>
    </x:row>
    <x:row r="3238">
      <x:c r="A3238" s="16" t="n">
        <x:v>3235</x:v>
      </x:c>
      <x:c r="B3238" s="16" t="str">
        <x:v>Ibrahim Fatty Crab</x:v>
      </x:c>
      <x:c r="C3238" s="16" t="str"/>
      <x:c r="D3238" s="16" t="str"/>
      <x:c r="E3238" s="16" t="str">
        <x:v>* myContacts</x:v>
      </x:c>
      <x:c r="F3238" s="16" t="str">
        <x:v>01111444131 | +601111444131</x:v>
      </x:c>
      <x:c r="G3238" s="16" t="str">
        <x:v>+601111444131 | +601111444131</x:v>
      </x:c>
      <x:c r="H3238" s="16" t="str">
        <x:v>Excluded</x:v>
      </x:c>
      <x:c r="I3238" s="16" t="str">
        <x:v>Missing email</x:v>
      </x:c>
    </x:row>
    <x:row r="3239">
      <x:c r="A3239" s="16" t="n">
        <x:v>3236</x:v>
      </x:c>
      <x:c r="B3239" s="16" t="str">
        <x:v>Ibrahim Jalil AGP</x:v>
      </x:c>
      <x:c r="C3239" s="16" t="str"/>
      <x:c r="D3239" s="16" t="str"/>
      <x:c r="E3239" s="16" t="str">
        <x:v>* myContacts</x:v>
      </x:c>
      <x:c r="F3239" s="16" t="str">
        <x:v>+60 19-225 5271 | +60192255271</x:v>
      </x:c>
      <x:c r="G3239" s="16" t="str">
        <x:v>+60192255271 | +60192255271</x:v>
      </x:c>
      <x:c r="H3239" s="16" t="str">
        <x:v>Excluded</x:v>
      </x:c>
      <x:c r="I3239" s="16" t="str">
        <x:v>Missing email</x:v>
      </x:c>
    </x:row>
    <x:row r="3240">
      <x:c r="A3240" s="16" t="n">
        <x:v>3237</x:v>
      </x:c>
      <x:c r="B3240" s="16" t="str">
        <x:v>Ibrahim Omar HG</x:v>
      </x:c>
      <x:c r="C3240" s="16" t="str"/>
      <x:c r="D3240" s="16" t="str"/>
      <x:c r="E3240" s="16" t="str">
        <x:v>* myContacts</x:v>
      </x:c>
      <x:c r="F3240" s="16" t="str">
        <x:v>+60 16-585 8869 | +60165858869</x:v>
      </x:c>
      <x:c r="G3240" s="16" t="str">
        <x:v>+60165858869 | +60165858869</x:v>
      </x:c>
      <x:c r="H3240" s="16" t="str">
        <x:v>Excluded</x:v>
      </x:c>
      <x:c r="I3240" s="16" t="str">
        <x:v>Missing email</x:v>
      </x:c>
    </x:row>
    <x:row r="3241">
      <x:c r="A3241" s="16" t="n">
        <x:v>3238</x:v>
      </x:c>
      <x:c r="B3241" s="16" t="str">
        <x:v>Ibrahim Sales Funnel</x:v>
      </x:c>
      <x:c r="C3241" s="16" t="str"/>
      <x:c r="D3241" s="16" t="str"/>
      <x:c r="E3241" s="16" t="str">
        <x:v>* myContacts</x:v>
      </x:c>
      <x:c r="F3241" s="16" t="str">
        <x:v>0192177021 | +60192177021</x:v>
      </x:c>
      <x:c r="G3241" s="16" t="str">
        <x:v>+60192177021 | +60192177021</x:v>
      </x:c>
      <x:c r="H3241" s="16" t="str">
        <x:v>Excluded</x:v>
      </x:c>
      <x:c r="I3241" s="16" t="str">
        <x:v>Missing email</x:v>
      </x:c>
    </x:row>
    <x:row r="3242">
      <x:c r="A3242" s="16" t="n">
        <x:v>3239</x:v>
      </x:c>
      <x:c r="B3242" s="16" t="str">
        <x:v>Icha Algadry</x:v>
      </x:c>
      <x:c r="C3242" s="16" t="str"/>
      <x:c r="D3242" s="16" t="str"/>
      <x:c r="E3242" s="16" t="str">
        <x:v>* myContacts</x:v>
      </x:c>
      <x:c r="F3242" s="16" t="str">
        <x:v>+6281917163141</x:v>
      </x:c>
      <x:c r="G3242" s="16" t="str">
        <x:v>+6281917163141</x:v>
      </x:c>
      <x:c r="H3242" s="16" t="str">
        <x:v>Excluded</x:v>
      </x:c>
      <x:c r="I3242" s="16" t="str">
        <x:v>Missing email</x:v>
      </x:c>
    </x:row>
    <x:row r="3243">
      <x:c r="A3243" s="16" t="n">
        <x:v>3240</x:v>
      </x:c>
      <x:c r="B3243" s="16" t="str">
        <x:v>Icha Edhy Slamax</x:v>
      </x:c>
      <x:c r="C3243" s="16" t="str"/>
      <x:c r="D3243" s="16" t="str"/>
      <x:c r="E3243" s="16" t="str">
        <x:v>* myContacts</x:v>
      </x:c>
      <x:c r="F3243" s="16" t="str">
        <x:v>+6285320376942</x:v>
      </x:c>
      <x:c r="G3243" s="16" t="str">
        <x:v>+6285320376942</x:v>
      </x:c>
      <x:c r="H3243" s="16" t="str">
        <x:v>Excluded</x:v>
      </x:c>
      <x:c r="I3243" s="16" t="str">
        <x:v>Missing email</x:v>
      </x:c>
    </x:row>
    <x:row r="3244">
      <x:c r="A3244" s="16" t="n">
        <x:v>3241</x:v>
      </x:c>
      <x:c r="B3244" s="16" t="str">
        <x:v>Icha Handayani</x:v>
      </x:c>
      <x:c r="C3244" s="16" t="str"/>
      <x:c r="D3244" s="16" t="str"/>
      <x:c r="E3244" s="16" t="str">
        <x:v>* myContacts</x:v>
      </x:c>
      <x:c r="F3244" s="16" t="str">
        <x:v>+60107014901</x:v>
      </x:c>
      <x:c r="G3244" s="16" t="str">
        <x:v>+60107014901</x:v>
      </x:c>
      <x:c r="H3244" s="16" t="str">
        <x:v>Excluded</x:v>
      </x:c>
      <x:c r="I3244" s="16" t="str">
        <x:v>Missing email</x:v>
      </x:c>
    </x:row>
    <x:row r="3245">
      <x:c r="A3245" s="16" t="n">
        <x:v>3242</x:v>
      </x:c>
      <x:c r="B3245" s="16" t="str">
        <x:v>Icha Tone Plus</x:v>
      </x:c>
      <x:c r="C3245" s="16" t="str"/>
      <x:c r="D3245" s="16" t="str"/>
      <x:c r="E3245" s="16" t="str">
        <x:v>* myContacts</x:v>
      </x:c>
      <x:c r="F3245" s="16" t="str">
        <x:v>+60148639109</x:v>
      </x:c>
      <x:c r="G3245" s="16" t="str">
        <x:v>+60148639109</x:v>
      </x:c>
      <x:c r="H3245" s="16" t="str">
        <x:v>Excluded</x:v>
      </x:c>
      <x:c r="I3245" s="16" t="str">
        <x:v>Missing email</x:v>
      </x:c>
    </x:row>
    <x:row r="3246">
      <x:c r="A3246" s="16" t="n">
        <x:v>3243</x:v>
      </x:c>
      <x:c r="B3246" s="16" t="str">
        <x:v>Iclear Penawar Mata Anda</x:v>
      </x:c>
      <x:c r="C3246" s="16" t="str"/>
      <x:c r="D3246" s="16" t="str"/>
      <x:c r="E3246" s="16" t="str">
        <x:v>* myContacts</x:v>
      </x:c>
      <x:c r="F3246" s="16" t="str">
        <x:v>+601596292714</x:v>
      </x:c>
      <x:c r="G3246" s="16" t="str">
        <x:v>+601596292714</x:v>
      </x:c>
      <x:c r="H3246" s="16" t="str">
        <x:v>Excluded</x:v>
      </x:c>
      <x:c r="I3246" s="16" t="str">
        <x:v>Missing email</x:v>
      </x:c>
    </x:row>
    <x:row r="3247">
      <x:c r="A3247" s="16" t="n">
        <x:v>3244</x:v>
      </x:c>
      <x:c r="B3247" s="16" t="str">
        <x:v>Ida Norizad</x:v>
      </x:c>
      <x:c r="C3247" s="16" t="str"/>
      <x:c r="D3247" s="16" t="str"/>
      <x:c r="E3247" s="16" t="str">
        <x:v>* myContacts</x:v>
      </x:c>
      <x:c r="F3247" s="16" t="str">
        <x:v>+60176797358</x:v>
      </x:c>
      <x:c r="G3247" s="16" t="str">
        <x:v>+60176797358</x:v>
      </x:c>
      <x:c r="H3247" s="16" t="str">
        <x:v>Excluded</x:v>
      </x:c>
      <x:c r="I3247" s="16" t="str">
        <x:v>Missing email</x:v>
      </x:c>
    </x:row>
    <x:row r="3248">
      <x:c r="A3248" s="16" t="n">
        <x:v>3245</x:v>
      </x:c>
      <x:c r="B3248" s="16" t="str">
        <x:v>Ida Umbai</x:v>
      </x:c>
      <x:c r="C3248" s="16" t="str"/>
      <x:c r="D3248" s="16" t="str"/>
      <x:c r="E3248" s="16" t="str">
        <x:v>* myContacts</x:v>
      </x:c>
      <x:c r="F3248" s="16" t="str">
        <x:v>+60176363135</x:v>
      </x:c>
      <x:c r="G3248" s="16" t="str">
        <x:v>+60176363135</x:v>
      </x:c>
      <x:c r="H3248" s="16" t="str">
        <x:v>Excluded</x:v>
      </x:c>
      <x:c r="I3248" s="16" t="str">
        <x:v>Missing email</x:v>
      </x:c>
    </x:row>
    <x:row r="3249">
      <x:c r="A3249" s="16" t="n">
        <x:v>3246</x:v>
      </x:c>
      <x:c r="B3249" s="16" t="str">
        <x:v>Ida Uyop</x:v>
      </x:c>
      <x:c r="C3249" s="16" t="str"/>
      <x:c r="D3249" s="16" t="str"/>
      <x:c r="E3249" s="16" t="str">
        <x:v>* myContacts</x:v>
      </x:c>
      <x:c r="F3249" s="16" t="str">
        <x:v>+60136620109</x:v>
      </x:c>
      <x:c r="G3249" s="16" t="str">
        <x:v>+60136620109</x:v>
      </x:c>
      <x:c r="H3249" s="16" t="str">
        <x:v>Excluded</x:v>
      </x:c>
      <x:c r="I3249" s="16" t="str">
        <x:v>Missing email</x:v>
      </x:c>
    </x:row>
    <x:row r="3250">
      <x:c r="A3250" s="16" t="n">
        <x:v>3247</x:v>
      </x:c>
      <x:c r="B3250" s="16" t="str">
        <x:v>Ida Zainal</x:v>
      </x:c>
      <x:c r="C3250" s="16" t="str"/>
      <x:c r="D3250" s="16" t="str"/>
      <x:c r="E3250" s="16" t="str">
        <x:v>* myContacts</x:v>
      </x:c>
      <x:c r="F3250" s="16" t="str">
        <x:v>+601126212035</x:v>
      </x:c>
      <x:c r="G3250" s="16" t="str">
        <x:v>+601126212035</x:v>
      </x:c>
      <x:c r="H3250" s="16" t="str">
        <x:v>Excluded</x:v>
      </x:c>
      <x:c r="I3250" s="16" t="str">
        <x:v>Missing email</x:v>
      </x:c>
    </x:row>
    <x:row r="3251">
      <x:c r="A3251" s="16" t="n">
        <x:v>3248</x:v>
      </x:c>
      <x:c r="B3251" s="16" t="str">
        <x:v>Idan Shahir</x:v>
      </x:c>
      <x:c r="C3251" s="16" t="str"/>
      <x:c r="D3251" s="16" t="str"/>
      <x:c r="E3251" s="16" t="str">
        <x:v>* myContacts</x:v>
      </x:c>
      <x:c r="F3251" s="16" t="str">
        <x:v>+60126507471</x:v>
      </x:c>
      <x:c r="G3251" s="16" t="str">
        <x:v>+60126507471</x:v>
      </x:c>
      <x:c r="H3251" s="16" t="str">
        <x:v>Excluded</x:v>
      </x:c>
      <x:c r="I3251" s="16" t="str">
        <x:v>Missing email</x:v>
      </x:c>
    </x:row>
    <x:row r="3252">
      <x:c r="A3252" s="16" t="n">
        <x:v>3249</x:v>
      </x:c>
      <x:c r="B3252" s="16" t="str">
        <x:v>IdawatyDaud AspaSiri</x:v>
      </x:c>
      <x:c r="C3252" s="16" t="str"/>
      <x:c r="D3252" s="16" t="str"/>
      <x:c r="E3252" s="16" t="str">
        <x:v>* myContacts</x:v>
      </x:c>
      <x:c r="F3252" s="16" t="str">
        <x:v>+60135400771</x:v>
      </x:c>
      <x:c r="G3252" s="16" t="str">
        <x:v>+60135400771</x:v>
      </x:c>
      <x:c r="H3252" s="16" t="str">
        <x:v>Excluded</x:v>
      </x:c>
      <x:c r="I3252" s="16" t="str">
        <x:v>Missing email</x:v>
      </x:c>
    </x:row>
    <x:row r="3253">
      <x:c r="A3253" s="16" t="n">
        <x:v>3250</x:v>
      </x:c>
      <x:c r="B3253" s="16" t="str">
        <x:v>Idayu Latiff</x:v>
      </x:c>
      <x:c r="C3253" s="16" t="str"/>
      <x:c r="D3253" s="16" t="str"/>
      <x:c r="E3253" s="16" t="str">
        <x:v>* myContacts</x:v>
      </x:c>
      <x:c r="F3253" s="16" t="str">
        <x:v>+60135919939</x:v>
      </x:c>
      <x:c r="G3253" s="16" t="str">
        <x:v>+60135919939</x:v>
      </x:c>
      <x:c r="H3253" s="16" t="str">
        <x:v>Excluded</x:v>
      </x:c>
      <x:c r="I3253" s="16" t="str">
        <x:v>Missing email</x:v>
      </x:c>
    </x:row>
    <x:row r="3254">
      <x:c r="A3254" s="16" t="n">
        <x:v>3251</x:v>
      </x:c>
      <x:c r="B3254" s="16" t="str">
        <x:v>Idham Bin Mohamad</x:v>
      </x:c>
      <x:c r="C3254" s="16" t="str"/>
      <x:c r="D3254" s="16" t="str"/>
      <x:c r="E3254" s="16" t="str">
        <x:v>* myContacts</x:v>
      </x:c>
      <x:c r="F3254" s="16" t="str">
        <x:v>+60104363906</x:v>
      </x:c>
      <x:c r="G3254" s="16" t="str">
        <x:v>+60104363906</x:v>
      </x:c>
      <x:c r="H3254" s="16" t="str">
        <x:v>Excluded</x:v>
      </x:c>
      <x:c r="I3254" s="16" t="str">
        <x:v>Missing email</x:v>
      </x:c>
    </x:row>
    <x:row r="3255">
      <x:c r="A3255" s="16" t="n">
        <x:v>3252</x:v>
      </x:c>
      <x:c r="B3255" s="16" t="str">
        <x:v>Idham Distributor Johor</x:v>
      </x:c>
      <x:c r="C3255" s="16" t="str"/>
      <x:c r="D3255" s="16" t="str"/>
      <x:c r="E3255" s="16" t="str">
        <x:v>* myContacts</x:v>
      </x:c>
      <x:c r="F3255" s="16" t="str">
        <x:v>01132000295 | +601132000295</x:v>
      </x:c>
      <x:c r="G3255" s="16" t="str">
        <x:v>+601132000295 | +601132000295</x:v>
      </x:c>
      <x:c r="H3255" s="16" t="str">
        <x:v>Excluded</x:v>
      </x:c>
      <x:c r="I3255" s="16" t="str">
        <x:v>Missing email</x:v>
      </x:c>
    </x:row>
    <x:row r="3256">
      <x:c r="A3256" s="16" t="n">
        <x:v>3253</x:v>
      </x:c>
      <x:c r="B3256" s="16" t="str">
        <x:v>Idham Zahimi</x:v>
      </x:c>
      <x:c r="C3256" s="16" t="str"/>
      <x:c r="D3256" s="16" t="str"/>
      <x:c r="E3256" s="16" t="str">
        <x:v>* myContacts</x:v>
      </x:c>
      <x:c r="F3256" s="16" t="str">
        <x:v>+60194727586</x:v>
      </x:c>
      <x:c r="G3256" s="16" t="str">
        <x:v>+60194727586</x:v>
      </x:c>
      <x:c r="H3256" s="16" t="str">
        <x:v>Excluded</x:v>
      </x:c>
      <x:c r="I3256" s="16" t="str">
        <x:v>Missing email</x:v>
      </x:c>
    </x:row>
    <x:row r="3257">
      <x:c r="A3257" s="16" t="n">
        <x:v>3254</x:v>
      </x:c>
      <x:c r="B3257" s="16" t="str">
        <x:v>Idora Qatrunnada</x:v>
      </x:c>
      <x:c r="C3257" s="16" t="str"/>
      <x:c r="D3257" s="16" t="str"/>
      <x:c r="E3257" s="16" t="str">
        <x:v>* myContacts</x:v>
      </x:c>
      <x:c r="F3257" s="16" t="str">
        <x:v>+60 12-614 0940 | +60126140940</x:v>
      </x:c>
      <x:c r="G3257" s="16" t="str">
        <x:v>+60126140940 | +60126140940</x:v>
      </x:c>
      <x:c r="H3257" s="16" t="str">
        <x:v>Excluded</x:v>
      </x:c>
      <x:c r="I3257" s="16" t="str">
        <x:v>Missing email</x:v>
      </x:c>
    </x:row>
    <x:row r="3258">
      <x:c r="A3258" s="16" t="n">
        <x:v>3255</x:v>
      </x:c>
      <x:c r="B3258" s="16" t="str">
        <x:v>Idris Ishak Aris</x:v>
      </x:c>
      <x:c r="C3258" s="16" t="str"/>
      <x:c r="D3258" s="16" t="str"/>
      <x:c r="E3258" s="16" t="str">
        <x:v>* myContacts</x:v>
      </x:c>
      <x:c r="F3258" s="16" t="str">
        <x:v>+60107857156</x:v>
      </x:c>
      <x:c r="G3258" s="16" t="str">
        <x:v>+60107857156</x:v>
      </x:c>
      <x:c r="H3258" s="16" t="str">
        <x:v>Excluded</x:v>
      </x:c>
      <x:c r="I3258" s="16" t="str">
        <x:v>Missing email</x:v>
      </x:c>
    </x:row>
    <x:row r="3259">
      <x:c r="A3259" s="16" t="n">
        <x:v>3256</x:v>
      </x:c>
      <x:c r="B3259" s="16" t="str">
        <x:v>Idris Saidon</x:v>
      </x:c>
      <x:c r="C3259" s="16" t="str"/>
      <x:c r="D3259" s="16" t="str"/>
      <x:c r="E3259" s="16" t="str">
        <x:v>* myContacts</x:v>
      </x:c>
      <x:c r="F3259" s="16" t="str">
        <x:v>+60179538938</x:v>
      </x:c>
      <x:c r="G3259" s="16" t="str">
        <x:v>+60179538938</x:v>
      </x:c>
      <x:c r="H3259" s="16" t="str">
        <x:v>Excluded</x:v>
      </x:c>
      <x:c r="I3259" s="16" t="str">
        <x:v>Missing email</x:v>
      </x:c>
    </x:row>
    <x:row r="3260">
      <x:c r="A3260" s="16" t="n">
        <x:v>3257</x:v>
      </x:c>
      <x:c r="B3260" s="16" t="str">
        <x:v>Idzma Sharif</x:v>
      </x:c>
      <x:c r="C3260" s="16" t="str"/>
      <x:c r="D3260" s="16" t="str"/>
      <x:c r="E3260" s="16" t="str">
        <x:v>* myContacts</x:v>
      </x:c>
      <x:c r="F3260" s="16" t="str">
        <x:v>+60195290006</x:v>
      </x:c>
      <x:c r="G3260" s="16" t="str">
        <x:v>+60195290006</x:v>
      </x:c>
      <x:c r="H3260" s="16" t="str">
        <x:v>Excluded</x:v>
      </x:c>
      <x:c r="I3260" s="16" t="str">
        <x:v>Missing email</x:v>
      </x:c>
    </x:row>
    <x:row r="3261">
      <x:c r="A3261" s="16" t="n">
        <x:v>3258</x:v>
      </x:c>
      <x:c r="B3261" s="16" t="str">
        <x:v>Ieda Ariana</x:v>
      </x:c>
      <x:c r="C3261" s="16" t="str"/>
      <x:c r="D3261" s="16" t="str"/>
      <x:c r="E3261" s="16" t="str">
        <x:v>* myContacts</x:v>
      </x:c>
      <x:c r="F3261" s="16" t="str">
        <x:v>+601125407618</x:v>
      </x:c>
      <x:c r="G3261" s="16" t="str">
        <x:v>+601125407618</x:v>
      </x:c>
      <x:c r="H3261" s="16" t="str">
        <x:v>Excluded</x:v>
      </x:c>
      <x:c r="I3261" s="16" t="str">
        <x:v>Missing email</x:v>
      </x:c>
    </x:row>
    <x:row r="3262">
      <x:c r="A3262" s="16" t="n">
        <x:v>3259</x:v>
      </x:c>
      <x:c r="B3262" s="16" t="str">
        <x:v>Ieda Kieyda</x:v>
      </x:c>
      <x:c r="C3262" s="16" t="str"/>
      <x:c r="D3262" s="16" t="str"/>
      <x:c r="E3262" s="16" t="str">
        <x:v>* myContacts</x:v>
      </x:c>
      <x:c r="F3262" s="16" t="str">
        <x:v>+60177240471</x:v>
      </x:c>
      <x:c r="G3262" s="16" t="str">
        <x:v>+60177240471</x:v>
      </x:c>
      <x:c r="H3262" s="16" t="str">
        <x:v>Excluded</x:v>
      </x:c>
      <x:c r="I3262" s="16" t="str">
        <x:v>Missing email</x:v>
      </x:c>
    </x:row>
    <x:row r="3263">
      <x:c r="A3263" s="16" t="n">
        <x:v>3260</x:v>
      </x:c>
      <x:c r="B3263" s="16" t="str">
        <x:v>Ieda Watie</x:v>
      </x:c>
      <x:c r="C3263" s="16" t="str"/>
      <x:c r="D3263" s="16" t="str"/>
      <x:c r="E3263" s="16" t="str">
        <x:v>* myContacts</x:v>
      </x:c>
      <x:c r="F3263" s="16" t="str">
        <x:v>+601126263991</x:v>
      </x:c>
      <x:c r="G3263" s="16" t="str">
        <x:v>+601126263991</x:v>
      </x:c>
      <x:c r="H3263" s="16" t="str">
        <x:v>Excluded</x:v>
      </x:c>
      <x:c r="I3263" s="16" t="str">
        <x:v>Missing email</x:v>
      </x:c>
    </x:row>
    <x:row r="3264">
      <x:c r="A3264" s="16" t="n">
        <x:v>3261</x:v>
      </x:c>
      <x:c r="B3264" s="16" t="str">
        <x:v>Iela Saziela</x:v>
      </x:c>
      <x:c r="C3264" s="16" t="str"/>
      <x:c r="D3264" s="16" t="str"/>
      <x:c r="E3264" s="16" t="str">
        <x:v>* myContacts</x:v>
      </x:c>
      <x:c r="F3264" s="16" t="str">
        <x:v>+60192462203</x:v>
      </x:c>
      <x:c r="G3264" s="16" t="str">
        <x:v>+60192462203</x:v>
      </x:c>
      <x:c r="H3264" s="16" t="str">
        <x:v>Excluded</x:v>
      </x:c>
      <x:c r="I3264" s="16" t="str">
        <x:v>Missing email</x:v>
      </x:c>
    </x:row>
    <x:row r="3265">
      <x:c r="A3265" s="16" t="n">
        <x:v>3262</x:v>
      </x:c>
      <x:c r="B3265" s="16" t="str">
        <x:v>Iera Fathihah</x:v>
      </x:c>
      <x:c r="C3265" s="16" t="str"/>
      <x:c r="D3265" s="16" t="str"/>
      <x:c r="E3265" s="16" t="str">
        <x:v>* myContacts</x:v>
      </x:c>
      <x:c r="F3265" s="16" t="str">
        <x:v>+60194486572</x:v>
      </x:c>
      <x:c r="G3265" s="16" t="str">
        <x:v>+60194486572</x:v>
      </x:c>
      <x:c r="H3265" s="16" t="str">
        <x:v>Excluded</x:v>
      </x:c>
      <x:c r="I3265" s="16" t="str">
        <x:v>Missing email</x:v>
      </x:c>
    </x:row>
    <x:row r="3266">
      <x:c r="A3266" s="16" t="n">
        <x:v>3263</x:v>
      </x:c>
      <x:c r="B3266" s="16" t="str">
        <x:v>Iera KK Kok Lanas</x:v>
      </x:c>
      <x:c r="C3266" s="16" t="str"/>
      <x:c r="D3266" s="16" t="str"/>
      <x:c r="E3266" s="16" t="str">
        <x:v>* myContacts</x:v>
      </x:c>
      <x:c r="F3266" s="16" t="str"/>
      <x:c r="G3266" s="16" t="str"/>
      <x:c r="H3266" s="16" t="str">
        <x:v>Excluded</x:v>
      </x:c>
      <x:c r="I3266" s="16" t="str">
        <x:v>Missing email</x:v>
      </x:c>
    </x:row>
    <x:row r="3267">
      <x:c r="A3267" s="16" t="n">
        <x:v>3264</x:v>
      </x:c>
      <x:c r="B3267" s="16" t="str">
        <x:v>IeRah Lisha</x:v>
      </x:c>
      <x:c r="C3267" s="16" t="str"/>
      <x:c r="D3267" s="16" t="str"/>
      <x:c r="E3267" s="16" t="str">
        <x:v>* myContacts</x:v>
      </x:c>
      <x:c r="F3267" s="16" t="str">
        <x:v>+60132277723</x:v>
      </x:c>
      <x:c r="G3267" s="16" t="str">
        <x:v>+60132277723</x:v>
      </x:c>
      <x:c r="H3267" s="16" t="str">
        <x:v>Excluded</x:v>
      </x:c>
      <x:c r="I3267" s="16" t="str">
        <x:v>Missing email</x:v>
      </x:c>
    </x:row>
    <x:row r="3268">
      <x:c r="A3268" s="16" t="n">
        <x:v>3265</x:v>
      </x:c>
      <x:c r="B3268" s="16" t="str">
        <x:v>Iexpress Dpulze Printing Cyberjaya</x:v>
      </x:c>
      <x:c r="C3268" s="16" t="str"/>
      <x:c r="D3268" s="16" t="str"/>
      <x:c r="E3268" s="16" t="str">
        <x:v>* myContacts</x:v>
      </x:c>
      <x:c r="F3268" s="16" t="str">
        <x:v>+60128352088</x:v>
      </x:c>
      <x:c r="G3268" s="16" t="str">
        <x:v>+60128352088</x:v>
      </x:c>
      <x:c r="H3268" s="16" t="str">
        <x:v>Excluded</x:v>
      </x:c>
      <x:c r="I3268" s="16" t="str">
        <x:v>Missing email</x:v>
      </x:c>
    </x:row>
    <x:row r="3269">
      <x:c r="A3269" s="16" t="n">
        <x:v>3266</x:v>
      </x:c>
      <x:c r="B3269" s="16" t="str">
        <x:v>Ieyfa Abdullah</x:v>
      </x:c>
      <x:c r="C3269" s="16" t="str"/>
      <x:c r="D3269" s="16" t="str"/>
      <x:c r="E3269" s="16" t="str">
        <x:v>* myContacts</x:v>
      </x:c>
      <x:c r="F3269" s="16" t="str">
        <x:v>+6097126491</x:v>
      </x:c>
      <x:c r="G3269" s="16" t="str">
        <x:v>+6097126491</x:v>
      </x:c>
      <x:c r="H3269" s="16" t="str">
        <x:v>Excluded</x:v>
      </x:c>
      <x:c r="I3269" s="16" t="str">
        <x:v>Missing email</x:v>
      </x:c>
    </x:row>
    <x:row r="3270">
      <x:c r="A3270" s="16" t="n">
        <x:v>3267</x:v>
      </x:c>
      <x:c r="B3270" s="16" t="str">
        <x:v>Ieyla De'image</x:v>
      </x:c>
      <x:c r="C3270" s="16" t="str"/>
      <x:c r="D3270" s="16" t="str"/>
      <x:c r="E3270" s="16" t="str">
        <x:v>* myContacts</x:v>
      </x:c>
      <x:c r="F3270" s="16" t="str">
        <x:v>+60139167395</x:v>
      </x:c>
      <x:c r="G3270" s="16" t="str">
        <x:v>+60139167395</x:v>
      </x:c>
      <x:c r="H3270" s="16" t="str">
        <x:v>Excluded</x:v>
      </x:c>
      <x:c r="I3270" s="16" t="str">
        <x:v>Missing email</x:v>
      </x:c>
    </x:row>
    <x:row r="3271">
      <x:c r="A3271" s="16" t="n">
        <x:v>3268</x:v>
      </x:c>
      <x:c r="B3271" s="16" t="str">
        <x:v>Ieynah Akma</x:v>
      </x:c>
      <x:c r="C3271" s="16" t="str"/>
      <x:c r="D3271" s="16" t="str"/>
      <x:c r="E3271" s="16" t="str">
        <x:v>* myContacts</x:v>
      </x:c>
      <x:c r="F3271" s="16" t="str">
        <x:v>+60173204986</x:v>
      </x:c>
      <x:c r="G3271" s="16" t="str">
        <x:v>+60173204986</x:v>
      </x:c>
      <x:c r="H3271" s="16" t="str">
        <x:v>Excluded</x:v>
      </x:c>
      <x:c r="I3271" s="16" t="str">
        <x:v>Missing email</x:v>
      </x:c>
    </x:row>
    <x:row r="3272">
      <x:c r="A3272" s="16" t="n">
        <x:v>3269</x:v>
      </x:c>
      <x:c r="B3272" s="16" t="str">
        <x:v>iffat sallleh mailevo</x:v>
      </x:c>
      <x:c r="C3272" s="16" t="str"/>
      <x:c r="D3272" s="16" t="str"/>
      <x:c r="E3272" s="16" t="str">
        <x:v>* myContacts</x:v>
      </x:c>
      <x:c r="F3272" s="16" t="str">
        <x:v>+60 13-441 7042 | +60134417042</x:v>
      </x:c>
      <x:c r="G3272" s="16" t="str">
        <x:v>+60134417042 | +60134417042</x:v>
      </x:c>
      <x:c r="H3272" s="16" t="str">
        <x:v>Excluded</x:v>
      </x:c>
      <x:c r="I3272" s="16" t="str">
        <x:v>Missing email</x:v>
      </x:c>
    </x:row>
    <x:row r="3273">
      <x:c r="A3273" s="16" t="n">
        <x:v>3270</x:v>
      </x:c>
      <x:c r="B3273" s="16" t="str">
        <x:v>Igb - Muhyiddin Drivers Student Eusahawan</x:v>
      </x:c>
      <x:c r="C3273" s="16" t="str"/>
      <x:c r="D3273" s="16" t="str"/>
      <x:c r="E3273" s="16" t="str">
        <x:v>Alumni eUsahawan | * myContacts</x:v>
      </x:c>
      <x:c r="F3273" s="16" t="str">
        <x:v>+601128807422</x:v>
      </x:c>
      <x:c r="G3273" s="16" t="str">
        <x:v>+601128807422</x:v>
      </x:c>
      <x:c r="H3273" s="16" t="str">
        <x:v>Excluded</x:v>
      </x:c>
      <x:c r="I3273" s="16" t="str">
        <x:v>Missing email</x:v>
      </x:c>
    </x:row>
    <x:row r="3274">
      <x:c r="A3274" s="16" t="n">
        <x:v>3271</x:v>
      </x:c>
      <x:c r="B3274" s="16" t="str">
        <x:v>ihsan Prudential</x:v>
      </x:c>
      <x:c r="C3274" s="16" t="str"/>
      <x:c r="D3274" s="16" t="str"/>
      <x:c r="E3274" s="16" t="str">
        <x:v>* myContacts</x:v>
      </x:c>
      <x:c r="F3274" s="16" t="str">
        <x:v>+60 13-992 2444 | +60139922444</x:v>
      </x:c>
      <x:c r="G3274" s="16" t="str">
        <x:v>+60139922444 | +60139922444</x:v>
      </x:c>
      <x:c r="H3274" s="16" t="str">
        <x:v>Excluded</x:v>
      </x:c>
      <x:c r="I3274" s="16" t="str">
        <x:v>Missing email</x:v>
      </x:c>
    </x:row>
    <x:row r="3275">
      <x:c r="A3275" s="16" t="n">
        <x:v>3272</x:v>
      </x:c>
      <x:c r="B3275" s="16" t="str">
        <x:v>Iis Hariyani</x:v>
      </x:c>
      <x:c r="C3275" s="16" t="str"/>
      <x:c r="D3275" s="16" t="str"/>
      <x:c r="E3275" s="16" t="str">
        <x:v>* myContacts</x:v>
      </x:c>
      <x:c r="F3275" s="16" t="str">
        <x:v>+6283863528147</x:v>
      </x:c>
      <x:c r="G3275" s="16" t="str">
        <x:v>+6283863528147</x:v>
      </x:c>
      <x:c r="H3275" s="16" t="str">
        <x:v>Excluded</x:v>
      </x:c>
      <x:c r="I3275" s="16" t="str">
        <x:v>Missing email</x:v>
      </x:c>
    </x:row>
    <x:row r="3276">
      <x:c r="A3276" s="16" t="n">
        <x:v>3273</x:v>
      </x:c>
      <x:c r="B3276" s="16" t="str">
        <x:v>Ijad Onexox</x:v>
      </x:c>
      <x:c r="C3276" s="16" t="str"/>
      <x:c r="D3276" s="16" t="str"/>
      <x:c r="E3276" s="16" t="str">
        <x:v>* myContacts</x:v>
      </x:c>
      <x:c r="F3276" s="16" t="str">
        <x:v>+601123861651</x:v>
      </x:c>
      <x:c r="G3276" s="16" t="str">
        <x:v>+601123861651</x:v>
      </x:c>
      <x:c r="H3276" s="16" t="str">
        <x:v>Excluded</x:v>
      </x:c>
      <x:c r="I3276" s="16" t="str">
        <x:v>Missing email</x:v>
      </x:c>
    </x:row>
    <x:row r="3277">
      <x:c r="A3277" s="16" t="n">
        <x:v>3274</x:v>
      </x:c>
      <x:c r="B3277" s="16" t="str">
        <x:v>Ijam Bonet</x:v>
      </x:c>
      <x:c r="C3277" s="16" t="str"/>
      <x:c r="D3277" s="16" t="str"/>
      <x:c r="E3277" s="16" t="str">
        <x:v>* myContacts</x:v>
      </x:c>
      <x:c r="F3277" s="16" t="str">
        <x:v>+60105356484</x:v>
      </x:c>
      <x:c r="G3277" s="16" t="str">
        <x:v>+60105356484</x:v>
      </x:c>
      <x:c r="H3277" s="16" t="str">
        <x:v>Excluded</x:v>
      </x:c>
      <x:c r="I3277" s="16" t="str">
        <x:v>Missing email</x:v>
      </x:c>
    </x:row>
    <x:row r="3278">
      <x:c r="A3278" s="16" t="n">
        <x:v>3275</x:v>
      </x:c>
      <x:c r="B3278" s="16" t="str">
        <x:v>Ijan -LEC -Designer</x:v>
      </x:c>
      <x:c r="C3278" s="16" t="str"/>
      <x:c r="D3278" s="16" t="str"/>
      <x:c r="E3278" s="16" t="str">
        <x:v>* myContacts</x:v>
      </x:c>
      <x:c r="F3278" s="16" t="str">
        <x:v>+60 17-209 2501 | +60172092501</x:v>
      </x:c>
      <x:c r="G3278" s="16" t="str">
        <x:v>+60172092501 | +60172092501</x:v>
      </x:c>
      <x:c r="H3278" s="16" t="str">
        <x:v>Excluded</x:v>
      </x:c>
      <x:c r="I3278" s="16" t="str">
        <x:v>Missing email</x:v>
      </x:c>
    </x:row>
    <x:row r="3279">
      <x:c r="A3279" s="16" t="n">
        <x:v>3276</x:v>
      </x:c>
      <x:c r="B3279" s="16" t="str">
        <x:v>Ijat Sabri</x:v>
      </x:c>
      <x:c r="C3279" s="16" t="str"/>
      <x:c r="D3279" s="16" t="str"/>
      <x:c r="E3279" s="16" t="str">
        <x:v>* myContacts</x:v>
      </x:c>
      <x:c r="F3279" s="16" t="str">
        <x:v>+60173452776</x:v>
      </x:c>
      <x:c r="G3279" s="16" t="str">
        <x:v>+60173452776</x:v>
      </x:c>
      <x:c r="H3279" s="16" t="str">
        <x:v>Excluded</x:v>
      </x:c>
      <x:c r="I3279" s="16" t="str">
        <x:v>Missing email</x:v>
      </x:c>
    </x:row>
    <x:row r="3280">
      <x:c r="A3280" s="16" t="n">
        <x:v>3277</x:v>
      </x:c>
      <x:c r="B3280" s="16" t="str">
        <x:v>Ijat Telekom Technician</x:v>
      </x:c>
      <x:c r="C3280" s="16" t="str"/>
      <x:c r="D3280" s="16" t="str"/>
      <x:c r="E3280" s="16" t="str">
        <x:v>* myContacts</x:v>
      </x:c>
      <x:c r="F3280" s="16" t="str">
        <x:v>01123123928 | +601123123928 | 0172107550</x:v>
      </x:c>
      <x:c r="G3280" s="16" t="str">
        <x:v>+601123123928 | +601123123928 | +60172107550</x:v>
      </x:c>
      <x:c r="H3280" s="16" t="str">
        <x:v>Excluded</x:v>
      </x:c>
      <x:c r="I3280" s="16" t="str">
        <x:v>Missing email</x:v>
      </x:c>
    </x:row>
    <x:row r="3281">
      <x:c r="A3281" s="16" t="n">
        <x:v>3278</x:v>
      </x:c>
      <x:c r="B3281" s="16" t="str">
        <x:v>Ika Amira</x:v>
      </x:c>
      <x:c r="C3281" s="16" t="str"/>
      <x:c r="D3281" s="16" t="str"/>
      <x:c r="E3281" s="16" t="str">
        <x:v>* myContacts</x:v>
      </x:c>
      <x:c r="F3281" s="16" t="str">
        <x:v>+60149920114</x:v>
      </x:c>
      <x:c r="G3281" s="16" t="str">
        <x:v>+60149920114</x:v>
      </x:c>
      <x:c r="H3281" s="16" t="str">
        <x:v>Excluded</x:v>
      </x:c>
      <x:c r="I3281" s="16" t="str">
        <x:v>Missing email</x:v>
      </x:c>
    </x:row>
    <x:row r="3282">
      <x:c r="A3282" s="16" t="n">
        <x:v>3279</x:v>
      </x:c>
      <x:c r="B3282" s="16" t="str">
        <x:v>Ika Care Leader</x:v>
      </x:c>
      <x:c r="C3282" s="16" t="str"/>
      <x:c r="D3282" s="16" t="str"/>
      <x:c r="E3282" s="16" t="str">
        <x:v>* myContacts</x:v>
      </x:c>
      <x:c r="F3282" s="16" t="str">
        <x:v>01169503450 | +601169503450</x:v>
      </x:c>
      <x:c r="G3282" s="16" t="str">
        <x:v>+601169503450 | +601169503450</x:v>
      </x:c>
      <x:c r="H3282" s="16" t="str">
        <x:v>Excluded</x:v>
      </x:c>
      <x:c r="I3282" s="16" t="str">
        <x:v>Missing email</x:v>
      </x:c>
    </x:row>
    <x:row r="3283">
      <x:c r="A3283" s="16" t="n">
        <x:v>3280</x:v>
      </x:c>
      <x:c r="B3283" s="16" t="str">
        <x:v>ika mdec</x:v>
      </x:c>
      <x:c r="C3283" s="16" t="str"/>
      <x:c r="D3283" s="16" t="str"/>
      <x:c r="E3283" s="16" t="str">
        <x:v>* myContacts</x:v>
      </x:c>
      <x:c r="F3283" s="16" t="str">
        <x:v>014-669 2089 | +601139178776 | +60146692089 | +601139178776</x:v>
      </x:c>
      <x:c r="G3283" s="16" t="str">
        <x:v>+60146692089 | +601139178776 | +60146692089 | +601139178776</x:v>
      </x:c>
      <x:c r="H3283" s="16" t="str">
        <x:v>Excluded</x:v>
      </x:c>
      <x:c r="I3283" s="16" t="str">
        <x:v>Missing email</x:v>
      </x:c>
    </x:row>
    <x:row r="3284">
      <x:c r="A3284" s="16" t="n">
        <x:v>3281</x:v>
      </x:c>
      <x:c r="B3284" s="16" t="str">
        <x:v>Ika Zaim</x:v>
      </x:c>
      <x:c r="C3284" s="16" t="str"/>
      <x:c r="D3284" s="16" t="str"/>
      <x:c r="E3284" s="16" t="str">
        <x:v>* myContacts</x:v>
      </x:c>
      <x:c r="F3284" s="16" t="str">
        <x:v>+60175877849</x:v>
      </x:c>
      <x:c r="G3284" s="16" t="str">
        <x:v>+60175877849</x:v>
      </x:c>
      <x:c r="H3284" s="16" t="str">
        <x:v>Excluded</x:v>
      </x:c>
      <x:c r="I3284" s="16" t="str">
        <x:v>Missing email</x:v>
      </x:c>
    </x:row>
    <x:row r="3285">
      <x:c r="A3285" s="16" t="n">
        <x:v>3282</x:v>
      </x:c>
      <x:c r="B3285" s="16" t="str">
        <x:v>Ikha Henna Artist</x:v>
      </x:c>
      <x:c r="C3285" s="16" t="str"/>
      <x:c r="D3285" s="16" t="str"/>
      <x:c r="E3285" s="16" t="str">
        <x:v>* myContacts</x:v>
      </x:c>
      <x:c r="F3285" s="16" t="str">
        <x:v>+60173119395</x:v>
      </x:c>
      <x:c r="G3285" s="16" t="str">
        <x:v>+60173119395</x:v>
      </x:c>
      <x:c r="H3285" s="16" t="str">
        <x:v>Excluded</x:v>
      </x:c>
      <x:c r="I3285" s="16" t="str">
        <x:v>Missing email</x:v>
      </x:c>
    </x:row>
    <x:row r="3286">
      <x:c r="A3286" s="16" t="n">
        <x:v>3283</x:v>
      </x:c>
      <x:c r="B3286" s="16" t="str">
        <x:v>Ikhsan Jemain</x:v>
      </x:c>
      <x:c r="C3286" s="16" t="str"/>
      <x:c r="D3286" s="16" t="str"/>
      <x:c r="E3286" s="16" t="str">
        <x:v>* myContacts</x:v>
      </x:c>
      <x:c r="F3286" s="16" t="str">
        <x:v>+60132034198</x:v>
      </x:c>
      <x:c r="G3286" s="16" t="str">
        <x:v>+60132034198</x:v>
      </x:c>
      <x:c r="H3286" s="16" t="str">
        <x:v>Excluded</x:v>
      </x:c>
      <x:c r="I3286" s="16" t="str">
        <x:v>Missing email</x:v>
      </x:c>
    </x:row>
    <x:row r="3287">
      <x:c r="A3287" s="16" t="n">
        <x:v>3284</x:v>
      </x:c>
      <x:c r="B3287" s="16" t="str">
        <x:v>Ikhtiar Tmim</x:v>
      </x:c>
      <x:c r="C3287" s="16" t="str"/>
      <x:c r="D3287" s="16" t="str"/>
      <x:c r="E3287" s="16" t="str">
        <x:v>* myContacts</x:v>
      </x:c>
      <x:c r="F3287" s="16" t="str">
        <x:v>0173134876</x:v>
      </x:c>
      <x:c r="G3287" s="16" t="str">
        <x:v>+60173134876</x:v>
      </x:c>
      <x:c r="H3287" s="16" t="str">
        <x:v>Excluded</x:v>
      </x:c>
      <x:c r="I3287" s="16" t="str">
        <x:v>Missing email</x:v>
      </x:c>
    </x:row>
    <x:row r="3288">
      <x:c r="A3288" s="16" t="n">
        <x:v>3285</x:v>
      </x:c>
      <x:c r="B3288" s="16" t="str">
        <x:v>Ikhwan Azif</x:v>
      </x:c>
      <x:c r="C3288" s="16" t="str"/>
      <x:c r="D3288" s="16" t="str"/>
      <x:c r="E3288" s="16" t="str">
        <x:v>* myContacts</x:v>
      </x:c>
      <x:c r="F3288" s="16" t="str">
        <x:v>+60145150257</x:v>
      </x:c>
      <x:c r="G3288" s="16" t="str">
        <x:v>+60145150257</x:v>
      </x:c>
      <x:c r="H3288" s="16" t="str">
        <x:v>Excluded</x:v>
      </x:c>
      <x:c r="I3288" s="16" t="str">
        <x:v>Missing email</x:v>
      </x:c>
    </x:row>
    <x:row r="3289">
      <x:c r="A3289" s="16" t="n">
        <x:v>3286</x:v>
      </x:c>
      <x:c r="B3289" s="16" t="str">
        <x:v>Ikhwan Iwan</x:v>
      </x:c>
      <x:c r="C3289" s="16" t="str"/>
      <x:c r="D3289" s="16" t="str"/>
      <x:c r="E3289" s="16" t="str">
        <x:v>* myContacts</x:v>
      </x:c>
      <x:c r="F3289" s="16" t="str">
        <x:v>+60194136492</x:v>
      </x:c>
      <x:c r="G3289" s="16" t="str">
        <x:v>+60194136492</x:v>
      </x:c>
      <x:c r="H3289" s="16" t="str">
        <x:v>Excluded</x:v>
      </x:c>
      <x:c r="I3289" s="16" t="str">
        <x:v>Missing email</x:v>
      </x:c>
    </x:row>
    <x:row r="3290">
      <x:c r="A3290" s="16" t="n">
        <x:v>3287</x:v>
      </x:c>
      <x:c r="B3290" s="16" t="str">
        <x:v>Ikhwan Utm</x:v>
      </x:c>
      <x:c r="C3290" s="16" t="str"/>
      <x:c r="D3290" s="16" t="str"/>
      <x:c r="E3290" s="16" t="str">
        <x:v>* myContacts</x:v>
      </x:c>
      <x:c r="F3290" s="16" t="str">
        <x:v>+60 12-638 1908 | +60126381908</x:v>
      </x:c>
      <x:c r="G3290" s="16" t="str">
        <x:v>+60126381908 | +60126381908</x:v>
      </x:c>
      <x:c r="H3290" s="16" t="str">
        <x:v>Excluded</x:v>
      </x:c>
      <x:c r="I3290" s="16" t="str">
        <x:v>Missing email</x:v>
      </x:c>
    </x:row>
    <x:row r="3291">
      <x:c r="A3291" s="16" t="n">
        <x:v>3288</x:v>
      </x:c>
      <x:c r="B3291" s="16" t="str">
        <x:v>Iklan Adwords</x:v>
      </x:c>
      <x:c r="C3291" s="16" t="str"/>
      <x:c r="D3291" s="16" t="str"/>
      <x:c r="E3291" s="16" t="str">
        <x:v>* myContacts</x:v>
      </x:c>
      <x:c r="F3291" s="16" t="str">
        <x:v>+60 17-612 2792 | +60176122792</x:v>
      </x:c>
      <x:c r="G3291" s="16" t="str">
        <x:v>+60176122792 | +60176122792</x:v>
      </x:c>
      <x:c r="H3291" s="16" t="str">
        <x:v>Excluded</x:v>
      </x:c>
      <x:c r="I3291" s="16" t="str">
        <x:v>Missing email</x:v>
      </x:c>
    </x:row>
    <x:row r="3292">
      <x:c r="A3292" s="16" t="n">
        <x:v>3289</x:v>
      </x:c>
      <x:c r="B3292" s="16" t="str">
        <x:v>Ikmal Hisyam</x:v>
      </x:c>
      <x:c r="C3292" s="16" t="str"/>
      <x:c r="D3292" s="16" t="str"/>
      <x:c r="E3292" s="16" t="str">
        <x:v>* myContacts</x:v>
      </x:c>
      <x:c r="F3292" s="16" t="str">
        <x:v>+60167774056</x:v>
      </x:c>
      <x:c r="G3292" s="16" t="str">
        <x:v>+60167774056</x:v>
      </x:c>
      <x:c r="H3292" s="16" t="str">
        <x:v>Excluded</x:v>
      </x:c>
      <x:c r="I3292" s="16" t="str">
        <x:v>Missing email</x:v>
      </x:c>
    </x:row>
    <x:row r="3293">
      <x:c r="A3293" s="16" t="n">
        <x:v>3290</x:v>
      </x:c>
      <x:c r="B3293" s="16" t="str">
        <x:v>Ikmal Kreatif Malaya</x:v>
      </x:c>
      <x:c r="C3293" s="16" t="str"/>
      <x:c r="D3293" s="16" t="str"/>
      <x:c r="E3293" s="16" t="str">
        <x:v>* myContacts</x:v>
      </x:c>
      <x:c r="F3293" s="16" t="str">
        <x:v>+60 11-5627 1839 | +601156271839</x:v>
      </x:c>
      <x:c r="G3293" s="16" t="str">
        <x:v>+601156271839 | +601156271839</x:v>
      </x:c>
      <x:c r="H3293" s="16" t="str">
        <x:v>Excluded</x:v>
      </x:c>
      <x:c r="I3293" s="16" t="str">
        <x:v>Missing email</x:v>
      </x:c>
    </x:row>
    <x:row r="3294">
      <x:c r="A3294" s="16" t="n">
        <x:v>3291</x:v>
      </x:c>
      <x:c r="B3294" s="16" t="str">
        <x:v>Ikram Computer Expert</x:v>
      </x:c>
      <x:c r="C3294" s="16" t="str"/>
      <x:c r="D3294" s="16" t="str"/>
      <x:c r="E3294" s="16" t="str">
        <x:v>* myContacts</x:v>
      </x:c>
      <x:c r="F3294" s="16" t="str">
        <x:v>013-278 1787 | +60132781787</x:v>
      </x:c>
      <x:c r="G3294" s="16" t="str">
        <x:v>+60132781787 | +60132781787</x:v>
      </x:c>
      <x:c r="H3294" s="16" t="str">
        <x:v>Excluded</x:v>
      </x:c>
      <x:c r="I3294" s="16" t="str">
        <x:v>Missing email</x:v>
      </x:c>
    </x:row>
    <x:row r="3295">
      <x:c r="A3295" s="16" t="n">
        <x:v>3292</x:v>
      </x:c>
      <x:c r="B3295" s="16" t="str">
        <x:v>Ikram Ishak</x:v>
      </x:c>
      <x:c r="C3295" s="16" t="str"/>
      <x:c r="D3295" s="16" t="str"/>
      <x:c r="E3295" s="16" t="str">
        <x:v>* myContacts</x:v>
      </x:c>
      <x:c r="F3295" s="16" t="str">
        <x:v>+601139358060</x:v>
      </x:c>
      <x:c r="G3295" s="16" t="str">
        <x:v>+601139358060</x:v>
      </x:c>
      <x:c r="H3295" s="16" t="str">
        <x:v>Excluded</x:v>
      </x:c>
      <x:c r="I3295" s="16" t="str">
        <x:v>Missing email</x:v>
      </x:c>
    </x:row>
    <x:row r="3296">
      <x:c r="A3296" s="16" t="n">
        <x:v>3293</x:v>
      </x:c>
      <x:c r="B3296" s="16" t="str">
        <x:v>Ikram Kecik Dina</x:v>
      </x:c>
      <x:c r="C3296" s="16" t="str"/>
      <x:c r="D3296" s="16" t="str"/>
      <x:c r="E3296" s="16" t="str">
        <x:v>* myContacts</x:v>
      </x:c>
      <x:c r="F3296" s="16" t="str">
        <x:v>+60173121419</x:v>
      </x:c>
      <x:c r="G3296" s="16" t="str">
        <x:v>+60173121419</x:v>
      </x:c>
      <x:c r="H3296" s="16" t="str">
        <x:v>Excluded</x:v>
      </x:c>
      <x:c r="I3296" s="16" t="str">
        <x:v>Missing email</x:v>
      </x:c>
    </x:row>
    <x:row r="3297">
      <x:c r="A3297" s="16" t="n">
        <x:v>3294</x:v>
      </x:c>
      <x:c r="B3297" s="16" t="str">
        <x:v>Ila Fahmie</x:v>
      </x:c>
      <x:c r="C3297" s="16" t="str"/>
      <x:c r="D3297" s="16" t="str"/>
      <x:c r="E3297" s="16" t="str">
        <x:v>* myContacts</x:v>
      </x:c>
      <x:c r="F3297" s="16" t="str">
        <x:v>+601112729893</x:v>
      </x:c>
      <x:c r="G3297" s="16" t="str">
        <x:v>+601112729893</x:v>
      </x:c>
      <x:c r="H3297" s="16" t="str">
        <x:v>Excluded</x:v>
      </x:c>
      <x:c r="I3297" s="16" t="str">
        <x:v>Missing email</x:v>
      </x:c>
    </x:row>
    <x:row r="3298">
      <x:c r="A3298" s="16" t="n">
        <x:v>3295</x:v>
      </x:c>
      <x:c r="B3298" s="16" t="str">
        <x:v>Ila Fazilah</x:v>
      </x:c>
      <x:c r="C3298" s="16" t="str"/>
      <x:c r="D3298" s="16" t="str"/>
      <x:c r="E3298" s="16" t="str">
        <x:v>* myContacts</x:v>
      </x:c>
      <x:c r="F3298" s="16" t="str">
        <x:v>+60148328332</x:v>
      </x:c>
      <x:c r="G3298" s="16" t="str">
        <x:v>+60148328332</x:v>
      </x:c>
      <x:c r="H3298" s="16" t="str">
        <x:v>Excluded</x:v>
      </x:c>
      <x:c r="I3298" s="16" t="str">
        <x:v>Missing email</x:v>
      </x:c>
    </x:row>
    <x:row r="3299">
      <x:c r="A3299" s="16" t="n">
        <x:v>3296</x:v>
      </x:c>
      <x:c r="B3299" s="16" t="str">
        <x:v>Ila Jaafar</x:v>
      </x:c>
      <x:c r="C3299" s="16" t="str"/>
      <x:c r="D3299" s="16" t="str"/>
      <x:c r="E3299" s="16" t="str">
        <x:v>* myContacts</x:v>
      </x:c>
      <x:c r="F3299" s="16" t="str">
        <x:v>+60125937678</x:v>
      </x:c>
      <x:c r="G3299" s="16" t="str">
        <x:v>+60125937678</x:v>
      </x:c>
      <x:c r="H3299" s="16" t="str">
        <x:v>Excluded</x:v>
      </x:c>
      <x:c r="I3299" s="16" t="str">
        <x:v>Missing email</x:v>
      </x:c>
    </x:row>
    <x:row r="3300">
      <x:c r="A3300" s="16" t="n">
        <x:v>3297</x:v>
      </x:c>
      <x:c r="B3300" s="16" t="str">
        <x:v>Ila Taha Rosilawati Nor</x:v>
      </x:c>
      <x:c r="C3300" s="16" t="str"/>
      <x:c r="D3300" s="16" t="str"/>
      <x:c r="E3300" s="16" t="str">
        <x:v>* myContacts</x:v>
      </x:c>
      <x:c r="F3300" s="16" t="str">
        <x:v>+60197379617</x:v>
      </x:c>
      <x:c r="G3300" s="16" t="str">
        <x:v>+60197379617</x:v>
      </x:c>
      <x:c r="H3300" s="16" t="str">
        <x:v>Excluded</x:v>
      </x:c>
      <x:c r="I3300" s="16" t="str">
        <x:v>Missing email</x:v>
      </x:c>
    </x:row>
    <x:row r="3301">
      <x:c r="A3301" s="16" t="n">
        <x:v>3298</x:v>
      </x:c>
      <x:c r="B3301" s="16" t="str">
        <x:v>Ilham Munah</x:v>
      </x:c>
      <x:c r="C3301" s="16" t="str"/>
      <x:c r="D3301" s="16" t="str"/>
      <x:c r="E3301" s="16" t="str">
        <x:v>* myContacts</x:v>
      </x:c>
      <x:c r="F3301" s="16" t="str">
        <x:v>+60182435263</x:v>
      </x:c>
      <x:c r="G3301" s="16" t="str">
        <x:v>+60182435263</x:v>
      </x:c>
      <x:c r="H3301" s="16" t="str">
        <x:v>Excluded</x:v>
      </x:c>
      <x:c r="I3301" s="16" t="str">
        <x:v>Missing email</x:v>
      </x:c>
    </x:row>
    <x:row r="3302">
      <x:c r="A3302" s="16" t="n">
        <x:v>3299</x:v>
      </x:c>
      <x:c r="B3302" s="16" t="str">
        <x:v>Illa Manja</x:v>
      </x:c>
      <x:c r="C3302" s="16" t="str"/>
      <x:c r="D3302" s="16" t="str"/>
      <x:c r="E3302" s="16" t="str">
        <x:v>* myContacts</x:v>
      </x:c>
      <x:c r="F3302" s="16" t="str">
        <x:v>+60124221522</x:v>
      </x:c>
      <x:c r="G3302" s="16" t="str">
        <x:v>+60124221522</x:v>
      </x:c>
      <x:c r="H3302" s="16" t="str">
        <x:v>Excluded</x:v>
      </x:c>
      <x:c r="I3302" s="16" t="str">
        <x:v>Missing email</x:v>
      </x:c>
    </x:row>
    <x:row r="3303">
      <x:c r="A3303" s="16" t="n">
        <x:v>3300</x:v>
      </x:c>
      <x:c r="B3303" s="16" t="str">
        <x:v>illlyana AGP</x:v>
      </x:c>
      <x:c r="C3303" s="16" t="str"/>
      <x:c r="D3303" s="16" t="str"/>
      <x:c r="E3303" s="16" t="str">
        <x:v>* myContacts</x:v>
      </x:c>
      <x:c r="F3303" s="16" t="str">
        <x:v>+60129361977</x:v>
      </x:c>
      <x:c r="G3303" s="16" t="str">
        <x:v>+60129361977</x:v>
      </x:c>
      <x:c r="H3303" s="16" t="str">
        <x:v>Excluded</x:v>
      </x:c>
      <x:c r="I3303" s="16" t="str">
        <x:v>Missing email</x:v>
      </x:c>
    </x:row>
    <x:row r="3304">
      <x:c r="A3304" s="16" t="n">
        <x:v>3301</x:v>
      </x:c>
      <x:c r="B3304" s="16" t="str">
        <x:v>ilyas Haluan</x:v>
      </x:c>
      <x:c r="C3304" s="16" t="str"/>
      <x:c r="D3304" s="16" t="str"/>
      <x:c r="E3304" s="16" t="str">
        <x:v>* myContacts</x:v>
      </x:c>
      <x:c r="F3304" s="16" t="str">
        <x:v>+60 16-311 5137 | +60163115137</x:v>
      </x:c>
      <x:c r="G3304" s="16" t="str">
        <x:v>+60163115137 | +60163115137</x:v>
      </x:c>
      <x:c r="H3304" s="16" t="str">
        <x:v>Excluded</x:v>
      </x:c>
      <x:c r="I3304" s="16" t="str">
        <x:v>Missing email</x:v>
      </x:c>
    </x:row>
    <x:row r="3305">
      <x:c r="A3305" s="16" t="n">
        <x:v>3302</x:v>
      </x:c>
      <x:c r="B3305" s="16" t="str">
        <x:v>Ilyas Muhamad</x:v>
      </x:c>
      <x:c r="C3305" s="16" t="str"/>
      <x:c r="D3305" s="16" t="str"/>
      <x:c r="E3305" s="16" t="str">
        <x:v>* myContacts</x:v>
      </x:c>
      <x:c r="F3305" s="16" t="str">
        <x:v>+60176322636</x:v>
      </x:c>
      <x:c r="G3305" s="16" t="str">
        <x:v>+60176322636</x:v>
      </x:c>
      <x:c r="H3305" s="16" t="str">
        <x:v>Excluded</x:v>
      </x:c>
      <x:c r="I3305" s="16" t="str">
        <x:v>Missing email</x:v>
      </x:c>
    </x:row>
    <x:row r="3306">
      <x:c r="A3306" s="16" t="n">
        <x:v>3303</x:v>
      </x:c>
      <x:c r="B3306" s="16" t="str">
        <x:v>Ima Mango Street {Jus Mangga Susu}</x:v>
      </x:c>
      <x:c r="C3306" s="16" t="str"/>
      <x:c r="D3306" s="16" t="str"/>
      <x:c r="E3306" s="16" t="str">
        <x:v>* myContacts</x:v>
      </x:c>
      <x:c r="F3306" s="16" t="str">
        <x:v>+60 12-702 4772 | +60127024772</x:v>
      </x:c>
      <x:c r="G3306" s="16" t="str">
        <x:v>+60127024772 | +60127024772</x:v>
      </x:c>
      <x:c r="H3306" s="16" t="str">
        <x:v>Excluded</x:v>
      </x:c>
      <x:c r="I3306" s="16" t="str">
        <x:v>Missing email</x:v>
      </x:c>
    </x:row>
    <x:row r="3307">
      <x:c r="A3307" s="16" t="n">
        <x:v>3304</x:v>
      </x:c>
      <x:c r="B3307" s="16" t="str">
        <x:v>Imah Nazifa</x:v>
      </x:c>
      <x:c r="C3307" s="16" t="str"/>
      <x:c r="D3307" s="16" t="str"/>
      <x:c r="E3307" s="16" t="str">
        <x:v>* myContacts</x:v>
      </x:c>
      <x:c r="F3307" s="16" t="str">
        <x:v>+60169562644</x:v>
      </x:c>
      <x:c r="G3307" s="16" t="str">
        <x:v>+60169562644</x:v>
      </x:c>
      <x:c r="H3307" s="16" t="str">
        <x:v>Excluded</x:v>
      </x:c>
      <x:c r="I3307" s="16" t="str">
        <x:v>Missing email</x:v>
      </x:c>
    </x:row>
    <x:row r="3308">
      <x:c r="A3308" s="16" t="n">
        <x:v>3305</x:v>
      </x:c>
      <x:c r="B3308" s="16" t="str">
        <x:v>Imam Yamin</x:v>
      </x:c>
      <x:c r="C3308" s="16" t="str"/>
      <x:c r="D3308" s="16" t="str"/>
      <x:c r="E3308" s="16" t="str">
        <x:v>* myContacts</x:v>
      </x:c>
      <x:c r="F3308" s="16" t="str">
        <x:v>+60139241179</x:v>
      </x:c>
      <x:c r="G3308" s="16" t="str">
        <x:v>+60139241179</x:v>
      </x:c>
      <x:c r="H3308" s="16" t="str">
        <x:v>Excluded</x:v>
      </x:c>
      <x:c r="I3308" s="16" t="str">
        <x:v>Missing email</x:v>
      </x:c>
    </x:row>
    <x:row r="3309">
      <x:c r="A3309" s="16" t="n">
        <x:v>3306</x:v>
      </x:c>
      <x:c r="B3309" s="16" t="str">
        <x:v>Iman Cekal Mutiara</x:v>
      </x:c>
      <x:c r="C3309" s="16" t="str"/>
      <x:c r="D3309" s="16" t="str"/>
      <x:c r="E3309" s="16" t="str">
        <x:v>* myContacts</x:v>
      </x:c>
      <x:c r="F3309" s="16" t="str">
        <x:v>+60172324438</x:v>
      </x:c>
      <x:c r="G3309" s="16" t="str">
        <x:v>+60172324438</x:v>
      </x:c>
      <x:c r="H3309" s="16" t="str">
        <x:v>Excluded</x:v>
      </x:c>
      <x:c r="I3309" s="16" t="str">
        <x:v>Missing email</x:v>
      </x:c>
    </x:row>
    <x:row r="3310">
      <x:c r="A3310" s="16" t="n">
        <x:v>3307</x:v>
      </x:c>
      <x:c r="B3310" s="16" t="str">
        <x:v>Iman Karim Astro Go Shop</x:v>
      </x:c>
      <x:c r="C3310" s="16" t="str"/>
      <x:c r="D3310" s="16" t="str"/>
      <x:c r="E3310" s="16" t="str">
        <x:v>* myContacts</x:v>
      </x:c>
      <x:c r="F3310" s="16" t="str">
        <x:v>+60 16-675 6266 | +60166756266</x:v>
      </x:c>
      <x:c r="G3310" s="16" t="str">
        <x:v>+60166756266 | +60166756266</x:v>
      </x:c>
      <x:c r="H3310" s="16" t="str">
        <x:v>Excluded</x:v>
      </x:c>
      <x:c r="I3310" s="16" t="str">
        <x:v>Missing email</x:v>
      </x:c>
    </x:row>
    <x:row r="3311">
      <x:c r="A3311" s="16" t="n">
        <x:v>3308</x:v>
      </x:c>
      <x:c r="B3311" s="16" t="str">
        <x:v>Imran Anak Achik Asmah</x:v>
      </x:c>
      <x:c r="C3311" s="16" t="str"/>
      <x:c r="D3311" s="16" t="str"/>
      <x:c r="E3311" s="16" t="str">
        <x:v>* myContacts</x:v>
      </x:c>
      <x:c r="F3311" s="16" t="str">
        <x:v>+60 11-2361 0349 | +601123610349</x:v>
      </x:c>
      <x:c r="G3311" s="16" t="str">
        <x:v>+601123610349 | +601123610349</x:v>
      </x:c>
      <x:c r="H3311" s="16" t="str">
        <x:v>Excluded</x:v>
      </x:c>
      <x:c r="I3311" s="16" t="str">
        <x:v>Missing email</x:v>
      </x:c>
    </x:row>
    <x:row r="3312">
      <x:c r="A3312" s="16" t="n">
        <x:v>3309</x:v>
      </x:c>
      <x:c r="B3312" s="16" t="str">
        <x:v>Imran Huzaina</x:v>
      </x:c>
      <x:c r="C3312" s="16" t="str"/>
      <x:c r="D3312" s="16" t="str"/>
      <x:c r="E3312" s="16" t="str">
        <x:v>* myContacts</x:v>
      </x:c>
      <x:c r="F3312" s="16" t="str">
        <x:v>+60194788073</x:v>
      </x:c>
      <x:c r="G3312" s="16" t="str">
        <x:v>+60194788073</x:v>
      </x:c>
      <x:c r="H3312" s="16" t="str">
        <x:v>Excluded</x:v>
      </x:c>
      <x:c r="I3312" s="16" t="str">
        <x:v>Missing email</x:v>
      </x:c>
    </x:row>
    <x:row r="3313">
      <x:c r="A3313" s="16" t="n">
        <x:v>3310</x:v>
      </x:c>
      <x:c r="B3313" s="16" t="str">
        <x:v>Ina Aaun</x:v>
      </x:c>
      <x:c r="C3313" s="16" t="str"/>
      <x:c r="D3313" s="16" t="str"/>
      <x:c r="E3313" s="16" t="str">
        <x:v>* myContacts</x:v>
      </x:c>
      <x:c r="F3313" s="16" t="str">
        <x:v>+60175572579</x:v>
      </x:c>
      <x:c r="G3313" s="16" t="str">
        <x:v>+60175572579</x:v>
      </x:c>
      <x:c r="H3313" s="16" t="str">
        <x:v>Excluded</x:v>
      </x:c>
      <x:c r="I3313" s="16" t="str">
        <x:v>Missing email</x:v>
      </x:c>
    </x:row>
    <x:row r="3314">
      <x:c r="A3314" s="16" t="n">
        <x:v>3311</x:v>
      </x:c>
      <x:c r="B3314" s="16" t="str">
        <x:v>Ina Aiman Adam</x:v>
      </x:c>
      <x:c r="C3314" s="16" t="str"/>
      <x:c r="D3314" s="16" t="str"/>
      <x:c r="E3314" s="16" t="str">
        <x:v>* myContacts</x:v>
      </x:c>
      <x:c r="F3314" s="16" t="str">
        <x:v>+60177501424</x:v>
      </x:c>
      <x:c r="G3314" s="16" t="str">
        <x:v>+60177501424</x:v>
      </x:c>
      <x:c r="H3314" s="16" t="str">
        <x:v>Excluded</x:v>
      </x:c>
      <x:c r="I3314" s="16" t="str">
        <x:v>Missing email</x:v>
      </x:c>
    </x:row>
    <x:row r="3315">
      <x:c r="A3315" s="16" t="n">
        <x:v>3312</x:v>
      </x:c>
      <x:c r="B3315" s="16" t="str">
        <x:v>Inawan Achiang</x:v>
      </x:c>
      <x:c r="C3315" s="16" t="str"/>
      <x:c r="D3315" s="16" t="str"/>
      <x:c r="E3315" s="16" t="str">
        <x:v>* myContacts</x:v>
      </x:c>
      <x:c r="F3315" s="16" t="str">
        <x:v>+6285765249988</x:v>
      </x:c>
      <x:c r="G3315" s="16" t="str">
        <x:v>+6285765249988</x:v>
      </x:c>
      <x:c r="H3315" s="16" t="str">
        <x:v>Excluded</x:v>
      </x:c>
      <x:c r="I3315" s="16" t="str">
        <x:v>Missing email</x:v>
      </x:c>
    </x:row>
    <x:row r="3316">
      <x:c r="A3316" s="16" t="n">
        <x:v>3313</x:v>
      </x:c>
      <x:c r="B3316" s="16" t="str">
        <x:v>Incik Boss</x:v>
      </x:c>
      <x:c r="C3316" s="16" t="str"/>
      <x:c r="D3316" s="16" t="str"/>
      <x:c r="E3316" s="16" t="str">
        <x:v>* myContacts</x:v>
      </x:c>
      <x:c r="F3316" s="16" t="str">
        <x:v>+60177013536</x:v>
      </x:c>
      <x:c r="G3316" s="16" t="str">
        <x:v>+60177013536</x:v>
      </x:c>
      <x:c r="H3316" s="16" t="str">
        <x:v>Excluded</x:v>
      </x:c>
      <x:c r="I3316" s="16" t="str">
        <x:v>Missing email</x:v>
      </x:c>
    </x:row>
    <x:row r="3317">
      <x:c r="A3317" s="16" t="n">
        <x:v>3314</x:v>
      </x:c>
      <x:c r="B3317" s="16" t="str">
        <x:v>Incik Eborg Ghazali</x:v>
      </x:c>
      <x:c r="C3317" s="16" t="str"/>
      <x:c r="D3317" s="16" t="str"/>
      <x:c r="E3317" s="16" t="str">
        <x:v>* myContacts</x:v>
      </x:c>
      <x:c r="F3317" s="16" t="str">
        <x:v>+60126370638</x:v>
      </x:c>
      <x:c r="G3317" s="16" t="str">
        <x:v>+60126370638</x:v>
      </x:c>
      <x:c r="H3317" s="16" t="str">
        <x:v>Excluded</x:v>
      </x:c>
      <x:c r="I3317" s="16" t="str">
        <x:v>Missing email</x:v>
      </x:c>
    </x:row>
    <x:row r="3318">
      <x:c r="A3318" s="16" t="n">
        <x:v>3315</x:v>
      </x:c>
      <x:c r="B3318" s="16" t="str">
        <x:v>Indah Lestari</x:v>
      </x:c>
      <x:c r="C3318" s="16" t="str"/>
      <x:c r="D3318" s="16" t="str"/>
      <x:c r="E3318" s="16" t="str">
        <x:v>* myContacts</x:v>
      </x:c>
      <x:c r="F3318" s="16" t="str">
        <x:v>+60188734083</x:v>
      </x:c>
      <x:c r="G3318" s="16" t="str">
        <x:v>+60188734083</x:v>
      </x:c>
      <x:c r="H3318" s="16" t="str">
        <x:v>Excluded</x:v>
      </x:c>
      <x:c r="I3318" s="16" t="str">
        <x:v>Missing email</x:v>
      </x:c>
    </x:row>
    <x:row r="3319">
      <x:c r="A3319" s="16" t="n">
        <x:v>3316</x:v>
      </x:c>
      <x:c r="B3319" s="16" t="str">
        <x:v>Indera Zahi</x:v>
      </x:c>
      <x:c r="C3319" s="16" t="str"/>
      <x:c r="D3319" s="16" t="str"/>
      <x:c r="E3319" s="16" t="str">
        <x:v>* myContacts</x:v>
      </x:c>
      <x:c r="F3319" s="16" t="str">
        <x:v>+601126571229</x:v>
      </x:c>
      <x:c r="G3319" s="16" t="str">
        <x:v>+601126571229</x:v>
      </x:c>
      <x:c r="H3319" s="16" t="str">
        <x:v>Excluded</x:v>
      </x:c>
      <x:c r="I3319" s="16" t="str">
        <x:v>Missing email</x:v>
      </x:c>
    </x:row>
    <x:row r="3320">
      <x:c r="A3320" s="16" t="n">
        <x:v>3317</x:v>
      </x:c>
      <x:c r="B3320" s="16" t="str">
        <x:v>Indok Faridah</x:v>
      </x:c>
      <x:c r="C3320" s="16" t="str"/>
      <x:c r="D3320" s="16" t="str"/>
      <x:c r="E3320" s="16" t="str">
        <x:v>* myContacts</x:v>
      </x:c>
      <x:c r="F3320" s="16" t="str">
        <x:v>+601110644634</x:v>
      </x:c>
      <x:c r="G3320" s="16" t="str">
        <x:v>+601110644634</x:v>
      </x:c>
      <x:c r="H3320" s="16" t="str">
        <x:v>Excluded</x:v>
      </x:c>
      <x:c r="I3320" s="16" t="str">
        <x:v>Missing email</x:v>
      </x:c>
    </x:row>
    <x:row r="3321">
      <x:c r="A3321" s="16" t="n">
        <x:v>3318</x:v>
      </x:c>
      <x:c r="B3321" s="16" t="str">
        <x:v>Indra Indrana</x:v>
      </x:c>
      <x:c r="C3321" s="16" t="str"/>
      <x:c r="D3321" s="16" t="str"/>
      <x:c r="E3321" s="16" t="str">
        <x:v>* myContacts</x:v>
      </x:c>
      <x:c r="F3321" s="16" t="str">
        <x:v>+60134029845</x:v>
      </x:c>
      <x:c r="G3321" s="16" t="str">
        <x:v>+60134029845</x:v>
      </x:c>
      <x:c r="H3321" s="16" t="str">
        <x:v>Excluded</x:v>
      </x:c>
      <x:c r="I3321" s="16" t="str">
        <x:v>Missing email</x:v>
      </x:c>
    </x:row>
    <x:row r="3322">
      <x:c r="A3322" s="16" t="n">
        <x:v>3319</x:v>
      </x:c>
      <x:c r="B3322" s="16" t="str">
        <x:v>Indra instaweb programmer</x:v>
      </x:c>
      <x:c r="C3322" s="16" t="str"/>
      <x:c r="D3322" s="16" t="str"/>
      <x:c r="E3322" s="16" t="str">
        <x:v>* myContacts</x:v>
      </x:c>
      <x:c r="F3322" s="16" t="str">
        <x:v>+60163770888</x:v>
      </x:c>
      <x:c r="G3322" s="16" t="str">
        <x:v>+60163770888</x:v>
      </x:c>
      <x:c r="H3322" s="16" t="str">
        <x:v>Excluded</x:v>
      </x:c>
      <x:c r="I3322" s="16" t="str">
        <x:v>Missing email</x:v>
      </x:c>
    </x:row>
    <x:row r="3323">
      <x:c r="A3323" s="16" t="n">
        <x:v>3320</x:v>
      </x:c>
      <x:c r="B3323" s="16" t="str">
        <x:v>INGIA AK JAKONG HG</x:v>
      </x:c>
      <x:c r="C3323" s="16" t="str"/>
      <x:c r="D3323" s="16" t="str"/>
      <x:c r="E3323" s="16" t="str">
        <x:v>* myContacts</x:v>
      </x:c>
      <x:c r="F3323" s="16" t="str">
        <x:v>+60 13-576 5955 | +60135765955</x:v>
      </x:c>
      <x:c r="G3323" s="16" t="str">
        <x:v>+60135765955 | +60135765955</x:v>
      </x:c>
      <x:c r="H3323" s="16" t="str">
        <x:v>Excluded</x:v>
      </x:c>
      <x:c r="I3323" s="16" t="str">
        <x:v>Missing email</x:v>
      </x:c>
    </x:row>
    <x:row r="3324">
      <x:c r="A3324" s="16" t="n">
        <x:v>3321</x:v>
      </x:c>
      <x:c r="B3324" s="16" t="str">
        <x:v>Insan Lemah</x:v>
      </x:c>
      <x:c r="C3324" s="16" t="str"/>
      <x:c r="D3324" s="16" t="str"/>
      <x:c r="E3324" s="16" t="str">
        <x:v>* myContacts</x:v>
      </x:c>
      <x:c r="F3324" s="16" t="str">
        <x:v>+60199934590</x:v>
      </x:c>
      <x:c r="G3324" s="16" t="str">
        <x:v>+60199934590</x:v>
      </x:c>
      <x:c r="H3324" s="16" t="str">
        <x:v>Excluded</x:v>
      </x:c>
      <x:c r="I3324" s="16" t="str">
        <x:v>Missing email</x:v>
      </x:c>
    </x:row>
    <x:row r="3325">
      <x:c r="A3325" s="16" t="n">
        <x:v>3322</x:v>
      </x:c>
      <x:c r="B3325" s="16" t="str">
        <x:v>Insken - Pn Nora</x:v>
      </x:c>
      <x:c r="C3325" s="16" t="str"/>
      <x:c r="D3325" s="16" t="str"/>
      <x:c r="E3325" s="16" t="str">
        <x:v>Alumni INSKEN | * myContacts</x:v>
      </x:c>
      <x:c r="F3325" s="16" t="str">
        <x:v>+60 19-359 5900 | +60193595900</x:v>
      </x:c>
      <x:c r="G3325" s="16" t="str">
        <x:v>+60193595900 | +60193595900</x:v>
      </x:c>
      <x:c r="H3325" s="16" t="str">
        <x:v>Excluded</x:v>
      </x:c>
      <x:c r="I3325" s="16" t="str">
        <x:v>Missing email</x:v>
      </x:c>
    </x:row>
    <x:row r="3326">
      <x:c r="A3326" s="16" t="n">
        <x:v>3323</x:v>
      </x:c>
      <x:c r="B3326" s="16" t="str">
        <x:v>INSKEN Azeem</x:v>
      </x:c>
      <x:c r="C3326" s="16" t="str"/>
      <x:c r="D3326" s="16" t="str"/>
      <x:c r="E3326" s="16" t="str">
        <x:v>Alumni INSKEN | * myContacts</x:v>
      </x:c>
      <x:c r="F3326" s="16" t="str">
        <x:v>+60 12-635 4705 | +60126354705</x:v>
      </x:c>
      <x:c r="G3326" s="16" t="str">
        <x:v>+60126354705 | +60126354705</x:v>
      </x:c>
      <x:c r="H3326" s="16" t="str">
        <x:v>Excluded</x:v>
      </x:c>
      <x:c r="I3326" s="16" t="str">
        <x:v>Missing email</x:v>
      </x:c>
    </x:row>
    <x:row r="3327">
      <x:c r="A3327" s="16" t="n">
        <x:v>3324</x:v>
      </x:c>
      <x:c r="B3327" s="16" t="str">
        <x:v>insken shopee tan chor keng</x:v>
      </x:c>
      <x:c r="C3327" s="16" t="str"/>
      <x:c r="D3327" s="16" t="str"/>
      <x:c r="E3327" s="16" t="str">
        <x:v>Alumni INSKEN | * myContacts</x:v>
      </x:c>
      <x:c r="F3327" s="16" t="str">
        <x:v>0176600326 | +60176600326</x:v>
      </x:c>
      <x:c r="G3327" s="16" t="str">
        <x:v>+60176600326 | +60176600326</x:v>
      </x:c>
      <x:c r="H3327" s="16" t="str">
        <x:v>Excluded</x:v>
      </x:c>
      <x:c r="I3327" s="16" t="str">
        <x:v>Missing email</x:v>
      </x:c>
    </x:row>
    <x:row r="3328">
      <x:c r="A3328" s="16" t="n">
        <x:v>3325</x:v>
      </x:c>
      <x:c r="B3328" s="16" t="str">
        <x:v>Instagram Followers</x:v>
      </x:c>
      <x:c r="C3328" s="16" t="str"/>
      <x:c r="D3328" s="16" t="str"/>
      <x:c r="E3328" s="16" t="str">
        <x:v>* myContacts</x:v>
      </x:c>
      <x:c r="F3328" s="16" t="str">
        <x:v>+60 18-785 6832 | +60187856832</x:v>
      </x:c>
      <x:c r="G3328" s="16" t="str">
        <x:v>+60187856832 | +60187856832</x:v>
      </x:c>
      <x:c r="H3328" s="16" t="str">
        <x:v>Excluded</x:v>
      </x:c>
      <x:c r="I3328" s="16" t="str">
        <x:v>Missing email</x:v>
      </x:c>
    </x:row>
    <x:row r="3329">
      <x:c r="A3329" s="16" t="n">
        <x:v>3326</x:v>
      </x:c>
      <x:c r="B3329" s="16" t="str">
        <x:v>Intan Farhan Abdullah</x:v>
      </x:c>
      <x:c r="C3329" s="16" t="str"/>
      <x:c r="D3329" s="16" t="str"/>
      <x:c r="E3329" s="16" t="str">
        <x:v>* myContacts</x:v>
      </x:c>
      <x:c r="F3329" s="16" t="str">
        <x:v>+60164546072</x:v>
      </x:c>
      <x:c r="G3329" s="16" t="str">
        <x:v>+60164546072</x:v>
      </x:c>
      <x:c r="H3329" s="16" t="str">
        <x:v>Excluded</x:v>
      </x:c>
      <x:c r="I3329" s="16" t="str">
        <x:v>Missing email</x:v>
      </x:c>
    </x:row>
    <x:row r="3330">
      <x:c r="A3330" s="16" t="n">
        <x:v>3327</x:v>
      </x:c>
      <x:c r="B3330" s="16" t="str">
        <x:v>Intan MOQ 100</x:v>
      </x:c>
      <x:c r="C3330" s="16" t="str"/>
      <x:c r="D3330" s="16" t="str"/>
      <x:c r="E3330" s="16" t="str">
        <x:v>* myContacts</x:v>
      </x:c>
      <x:c r="F3330" s="16" t="str">
        <x:v>0132659716 | +60132659716</x:v>
      </x:c>
      <x:c r="G3330" s="16" t="str">
        <x:v>+60132659716 | +60132659716</x:v>
      </x:c>
      <x:c r="H3330" s="16" t="str">
        <x:v>Excluded</x:v>
      </x:c>
      <x:c r="I3330" s="16" t="str">
        <x:v>Missing email</x:v>
      </x:c>
    </x:row>
    <x:row r="3331">
      <x:c r="A3331" s="16" t="n">
        <x:v>3328</x:v>
      </x:c>
      <x:c r="B3331" s="16" t="str">
        <x:v>Intan Suhana</x:v>
      </x:c>
      <x:c r="C3331" s="16" t="str"/>
      <x:c r="D3331" s="16" t="str"/>
      <x:c r="E3331" s="16" t="str">
        <x:v>* myContacts</x:v>
      </x:c>
      <x:c r="F3331" s="16" t="str">
        <x:v>+601136549661</x:v>
      </x:c>
      <x:c r="G3331" s="16" t="str">
        <x:v>+601136549661</x:v>
      </x:c>
      <x:c r="H3331" s="16" t="str">
        <x:v>Excluded</x:v>
      </x:c>
      <x:c r="I3331" s="16" t="str">
        <x:v>Missing email</x:v>
      </x:c>
    </x:row>
    <x:row r="3332">
      <x:c r="A3332" s="16" t="n">
        <x:v>3329</x:v>
      </x:c>
      <x:c r="B3332" s="16" t="str">
        <x:v>Intan Suhana II</x:v>
      </x:c>
      <x:c r="C3332" s="16" t="str"/>
      <x:c r="D3332" s="16" t="str"/>
      <x:c r="E3332" s="16" t="str">
        <x:v>* myContacts</x:v>
      </x:c>
      <x:c r="F3332" s="16" t="str">
        <x:v>+601136549661</x:v>
      </x:c>
      <x:c r="G3332" s="16" t="str">
        <x:v>+601136549661</x:v>
      </x:c>
      <x:c r="H3332" s="16" t="str">
        <x:v>Excluded</x:v>
      </x:c>
      <x:c r="I3332" s="16" t="str">
        <x:v>Missing email</x:v>
      </x:c>
    </x:row>
    <x:row r="3333">
      <x:c r="A3333" s="16" t="n">
        <x:v>3330</x:v>
      </x:c>
      <x:c r="B3333" s="16" t="str">
        <x:v>Intan Suriana</x:v>
      </x:c>
      <x:c r="C3333" s="16" t="str"/>
      <x:c r="D3333" s="16" t="str"/>
      <x:c r="E3333" s="16" t="str">
        <x:v>* myContacts</x:v>
      </x:c>
      <x:c r="F3333" s="16" t="str">
        <x:v>+60129265708</x:v>
      </x:c>
      <x:c r="G3333" s="16" t="str">
        <x:v>+60129265708</x:v>
      </x:c>
      <x:c r="H3333" s="16" t="str">
        <x:v>Excluded</x:v>
      </x:c>
      <x:c r="I3333" s="16" t="str">
        <x:v>Missing email</x:v>
      </x:c>
    </x:row>
    <x:row r="3334">
      <x:c r="A3334" s="16" t="n">
        <x:v>3331</x:v>
      </x:c>
      <x:c r="B3334" s="16" t="str">
        <x:v>Intan Syafienaz Bakhid</x:v>
      </x:c>
      <x:c r="C3334" s="16" t="str"/>
      <x:c r="D3334" s="16" t="str"/>
      <x:c r="E3334" s="16" t="str">
        <x:v>* myContacts</x:v>
      </x:c>
      <x:c r="F3334" s="16" t="str">
        <x:v>+60102904651</x:v>
      </x:c>
      <x:c r="G3334" s="16" t="str">
        <x:v>+60102904651</x:v>
      </x:c>
      <x:c r="H3334" s="16" t="str">
        <x:v>Excluded</x:v>
      </x:c>
      <x:c r="I3334" s="16" t="str">
        <x:v>Missing email</x:v>
      </x:c>
    </x:row>
    <x:row r="3335">
      <x:c r="A3335" s="16" t="n">
        <x:v>3332</x:v>
      </x:c>
      <x:c r="B3335" s="16" t="str">
        <x:v>Intan Syahbinar Shuib</x:v>
      </x:c>
      <x:c r="C3335" s="16" t="str"/>
      <x:c r="D3335" s="16" t="str"/>
      <x:c r="E3335" s="16" t="str">
        <x:v>* myContacts</x:v>
      </x:c>
      <x:c r="F3335" s="16" t="str">
        <x:v>+60164168892</x:v>
      </x:c>
      <x:c r="G3335" s="16" t="str">
        <x:v>+60164168892</x:v>
      </x:c>
      <x:c r="H3335" s="16" t="str">
        <x:v>Excluded</x:v>
      </x:c>
      <x:c r="I3335" s="16" t="str">
        <x:v>Missing email</x:v>
      </x:c>
    </x:row>
    <x:row r="3336">
      <x:c r="A3336" s="16" t="n">
        <x:v>3333</x:v>
      </x:c>
      <x:c r="B3336" s="16" t="str">
        <x:v>Intrinsic Drive</x:v>
      </x:c>
      <x:c r="C3336" s="16" t="str"/>
      <x:c r="D3336" s="16" t="str"/>
      <x:c r="E3336" s="16" t="str">
        <x:v>* myContacts</x:v>
      </x:c>
      <x:c r="F3336" s="16" t="str">
        <x:v>+60173788089</x:v>
      </x:c>
      <x:c r="G3336" s="16" t="str">
        <x:v>+60173788089</x:v>
      </x:c>
      <x:c r="H3336" s="16" t="str">
        <x:v>Excluded</x:v>
      </x:c>
      <x:c r="I3336" s="16" t="str">
        <x:v>Missing email</x:v>
      </x:c>
    </x:row>
    <x:row r="3337">
      <x:c r="A3337" s="16" t="n">
        <x:v>3334</x:v>
      </x:c>
      <x:c r="B3337" s="16" t="str">
        <x:v>Ipeh Atam</x:v>
      </x:c>
      <x:c r="C3337" s="16" t="str"/>
      <x:c r="D3337" s="16" t="str"/>
      <x:c r="E3337" s="16" t="str">
        <x:v>* myContacts</x:v>
      </x:c>
      <x:c r="F3337" s="16" t="str">
        <x:v>+601112331895</x:v>
      </x:c>
      <x:c r="G3337" s="16" t="str">
        <x:v>+601112331895</x:v>
      </x:c>
      <x:c r="H3337" s="16" t="str">
        <x:v>Excluded</x:v>
      </x:c>
      <x:c r="I3337" s="16" t="str">
        <x:v>Missing email</x:v>
      </x:c>
    </x:row>
    <x:row r="3338">
      <x:c r="A3338" s="16" t="n">
        <x:v>3335</x:v>
      </x:c>
      <x:c r="B3338" s="16" t="str">
        <x:v>IPPTAR</x:v>
      </x:c>
      <x:c r="C3338" s="16" t="str"/>
      <x:c r="D3338" s="16" t="str"/>
      <x:c r="E3338" s="16" t="str">
        <x:v>* myContacts</x:v>
      </x:c>
      <x:c r="F3338" s="16" t="str">
        <x:v>0322957555 | +60322957555</x:v>
      </x:c>
      <x:c r="G3338" s="16" t="str">
        <x:v>+60322957555 | +60322957555</x:v>
      </x:c>
      <x:c r="H3338" s="16" t="str">
        <x:v>Excluded</x:v>
      </x:c>
      <x:c r="I3338" s="16" t="str">
        <x:v>Missing email</x:v>
      </x:c>
    </x:row>
    <x:row r="3339">
      <x:c r="A3339" s="16" t="n">
        <x:v>3336</x:v>
      </x:c>
      <x:c r="B3339" s="16" t="str">
        <x:v>ir malique</x:v>
      </x:c>
      <x:c r="C3339" s="16" t="str"/>
      <x:c r="D3339" s="16" t="str"/>
      <x:c r="E3339" s="16" t="str">
        <x:v>* myContacts</x:v>
      </x:c>
      <x:c r="F3339" s="16" t="str">
        <x:v>012-235 6620 | +60122356620</x:v>
      </x:c>
      <x:c r="G3339" s="16" t="str">
        <x:v>+60122356620 | +60122356620</x:v>
      </x:c>
      <x:c r="H3339" s="16" t="str">
        <x:v>Excluded</x:v>
      </x:c>
      <x:c r="I3339" s="16" t="str">
        <x:v>Missing email</x:v>
      </x:c>
    </x:row>
    <x:row r="3340">
      <x:c r="A3340" s="16" t="n">
        <x:v>3337</x:v>
      </x:c>
      <x:c r="B3340" s="16" t="str">
        <x:v>Ir Mohammad Hassan</x:v>
      </x:c>
      <x:c r="C3340" s="16" t="str"/>
      <x:c r="D3340" s="16" t="str"/>
      <x:c r="E3340" s="16" t="str">
        <x:v>* myContacts</x:v>
      </x:c>
      <x:c r="F3340" s="16" t="str">
        <x:v>0192815171 | +60192815171</x:v>
      </x:c>
      <x:c r="G3340" s="16" t="str">
        <x:v>+60192815171 | +60192815171</x:v>
      </x:c>
      <x:c r="H3340" s="16" t="str">
        <x:v>Excluded</x:v>
      </x:c>
      <x:c r="I3340" s="16" t="str">
        <x:v>Missing email</x:v>
      </x:c>
    </x:row>
    <x:row r="3341">
      <x:c r="A3341" s="16" t="n">
        <x:v>3338</x:v>
      </x:c>
      <x:c r="B3341" s="16" t="str">
        <x:v>Ir Sofian</x:v>
      </x:c>
      <x:c r="C3341" s="16" t="str">
        <x:v>irsofiankezo@gmail.com</x:v>
      </x:c>
      <x:c r="D3341" s="16" t="str">
        <x:v>irsofiankezo@gmail.com</x:v>
      </x:c>
      <x:c r="E3341" s="16" t="str">
        <x:v>* myContacts</x:v>
      </x:c>
      <x:c r="F3341" s="16" t="str">
        <x:v>+60192696368</x:v>
      </x:c>
      <x:c r="G3341" s="16" t="str">
        <x:v>+60192696368</x:v>
      </x:c>
      <x:c r="H3341" s="16" t="str">
        <x:v>Eligible</x:v>
      </x:c>
      <x:c r="I3341" s="16" t="str"/>
    </x:row>
    <x:row r="3342">
      <x:c r="A3342" s="16" t="n">
        <x:v>3339</x:v>
      </x:c>
      <x:c r="B3342" s="16" t="str">
        <x:v>Ira Aura</x:v>
      </x:c>
      <x:c r="C3342" s="16" t="str"/>
      <x:c r="D3342" s="16" t="str"/>
      <x:c r="E3342" s="16" t="str">
        <x:v>* myContacts</x:v>
      </x:c>
      <x:c r="F3342" s="16" t="str">
        <x:v>+60183927140</x:v>
      </x:c>
      <x:c r="G3342" s="16" t="str">
        <x:v>+60183927140</x:v>
      </x:c>
      <x:c r="H3342" s="16" t="str">
        <x:v>Excluded</x:v>
      </x:c>
      <x:c r="I3342" s="16" t="str">
        <x:v>Missing email</x:v>
      </x:c>
    </x:row>
    <x:row r="3343">
      <x:c r="A3343" s="16" t="n">
        <x:v>3340</x:v>
      </x:c>
      <x:c r="B3343" s="16" t="str">
        <x:v>Ira Bisvaganza</x:v>
      </x:c>
      <x:c r="C3343" s="16" t="str"/>
      <x:c r="D3343" s="16" t="str"/>
      <x:c r="E3343" s="16" t="str">
        <x:v>* myContacts</x:v>
      </x:c>
      <x:c r="F3343" s="16" t="str">
        <x:v>+60173729840</x:v>
      </x:c>
      <x:c r="G3343" s="16" t="str">
        <x:v>+60173729840</x:v>
      </x:c>
      <x:c r="H3343" s="16" t="str">
        <x:v>Excluded</x:v>
      </x:c>
      <x:c r="I3343" s="16" t="str">
        <x:v>Missing email</x:v>
      </x:c>
    </x:row>
    <x:row r="3344">
      <x:c r="A3344" s="16" t="n">
        <x:v>3341</x:v>
      </x:c>
      <x:c r="B3344" s="16" t="str">
        <x:v>Ira griffin</x:v>
      </x:c>
      <x:c r="C3344" s="16" t="str"/>
      <x:c r="D3344" s="16" t="str"/>
      <x:c r="E3344" s="16" t="str">
        <x:v>* myContacts</x:v>
      </x:c>
      <x:c r="F3344" s="16" t="str">
        <x:v>+60 11-6404 5205 | +601164045205</x:v>
      </x:c>
      <x:c r="G3344" s="16" t="str">
        <x:v>+601164045205 | +601164045205</x:v>
      </x:c>
      <x:c r="H3344" s="16" t="str">
        <x:v>Excluded</x:v>
      </x:c>
      <x:c r="I3344" s="16" t="str">
        <x:v>Missing email</x:v>
      </x:c>
    </x:row>
    <x:row r="3345">
      <x:c r="A3345" s="16" t="n">
        <x:v>3342</x:v>
      </x:c>
      <x:c r="B3345" s="16" t="str">
        <x:v>Ira Rara Rara</x:v>
      </x:c>
      <x:c r="C3345" s="16" t="str"/>
      <x:c r="D3345" s="16" t="str"/>
      <x:c r="E3345" s="16" t="str">
        <x:v>* myContacts</x:v>
      </x:c>
      <x:c r="F3345" s="16" t="str">
        <x:v>+601123179347</x:v>
      </x:c>
      <x:c r="G3345" s="16" t="str">
        <x:v>+601123179347</x:v>
      </x:c>
      <x:c r="H3345" s="16" t="str">
        <x:v>Excluded</x:v>
      </x:c>
      <x:c r="I3345" s="16" t="str">
        <x:v>Missing email</x:v>
      </x:c>
    </x:row>
    <x:row r="3346">
      <x:c r="A3346" s="16" t="n">
        <x:v>3343</x:v>
      </x:c>
      <x:c r="B3346" s="16" t="str">
        <x:v>Ira Shahira</x:v>
      </x:c>
      <x:c r="C3346" s="16" t="str"/>
      <x:c r="D3346" s="16" t="str"/>
      <x:c r="E3346" s="16" t="str">
        <x:v>* myContacts</x:v>
      </x:c>
      <x:c r="F3346" s="16" t="str">
        <x:v>+60173754868</x:v>
      </x:c>
      <x:c r="G3346" s="16" t="str">
        <x:v>+60173754868</x:v>
      </x:c>
      <x:c r="H3346" s="16" t="str">
        <x:v>Excluded</x:v>
      </x:c>
      <x:c r="I3346" s="16" t="str">
        <x:v>Missing email</x:v>
      </x:c>
    </x:row>
    <x:row r="3347">
      <x:c r="A3347" s="16" t="n">
        <x:v>3344</x:v>
      </x:c>
      <x:c r="B3347" s="16" t="str">
        <x:v>Iradatullah Zahari</x:v>
      </x:c>
      <x:c r="C3347" s="16" t="str"/>
      <x:c r="D3347" s="16" t="str"/>
      <x:c r="E3347" s="16" t="str">
        <x:v>* myContacts</x:v>
      </x:c>
      <x:c r="F3347" s="16" t="str">
        <x:v>+60194476324</x:v>
      </x:c>
      <x:c r="G3347" s="16" t="str">
        <x:v>+60194476324</x:v>
      </x:c>
      <x:c r="H3347" s="16" t="str">
        <x:v>Excluded</x:v>
      </x:c>
      <x:c r="I3347" s="16" t="str">
        <x:v>Missing email</x:v>
      </x:c>
    </x:row>
    <x:row r="3348">
      <x:c r="A3348" s="16" t="n">
        <x:v>3345</x:v>
      </x:c>
      <x:c r="B3348" s="16" t="str">
        <x:v>Irah Alyanabalqis</x:v>
      </x:c>
      <x:c r="C3348" s="16" t="str"/>
      <x:c r="D3348" s="16" t="str"/>
      <x:c r="E3348" s="16" t="str">
        <x:v>* myContacts</x:v>
      </x:c>
      <x:c r="F3348" s="16" t="str">
        <x:v>+60146065093</x:v>
      </x:c>
      <x:c r="G3348" s="16" t="str">
        <x:v>+60146065093</x:v>
      </x:c>
      <x:c r="H3348" s="16" t="str">
        <x:v>Excluded</x:v>
      </x:c>
      <x:c r="I3348" s="16" t="str">
        <x:v>Missing email</x:v>
      </x:c>
    </x:row>
    <x:row r="3349">
      <x:c r="A3349" s="16" t="n">
        <x:v>3346</x:v>
      </x:c>
      <x:c r="B3349" s="16" t="str">
        <x:v>Irahza Anayrah</x:v>
      </x:c>
      <x:c r="C3349" s="16" t="str"/>
      <x:c r="D3349" s="16" t="str"/>
      <x:c r="E3349" s="16" t="str">
        <x:v>* myContacts</x:v>
      </x:c>
      <x:c r="F3349" s="16" t="str">
        <x:v>+601113141422</x:v>
      </x:c>
      <x:c r="G3349" s="16" t="str">
        <x:v>+601113141422</x:v>
      </x:c>
      <x:c r="H3349" s="16" t="str">
        <x:v>Excluded</x:v>
      </x:c>
      <x:c r="I3349" s="16" t="str">
        <x:v>Missing email</x:v>
      </x:c>
    </x:row>
    <x:row r="3350">
      <x:c r="A3350" s="16" t="n">
        <x:v>3347</x:v>
      </x:c>
      <x:c r="B3350" s="16" t="str">
        <x:v>Irene Property Agent</x:v>
      </x:c>
      <x:c r="C3350" s="16" t="str"/>
      <x:c r="D3350" s="16" t="str"/>
      <x:c r="E3350" s="16" t="str">
        <x:v>* myContacts</x:v>
      </x:c>
      <x:c r="F3350" s="16" t="str">
        <x:v>+60138307337</x:v>
      </x:c>
      <x:c r="G3350" s="16" t="str">
        <x:v>+60138307337</x:v>
      </x:c>
      <x:c r="H3350" s="16" t="str">
        <x:v>Excluded</x:v>
      </x:c>
      <x:c r="I3350" s="16" t="str">
        <x:v>Missing email</x:v>
      </x:c>
    </x:row>
    <x:row r="3351">
      <x:c r="A3351" s="16" t="n">
        <x:v>3348</x:v>
      </x:c>
      <x:c r="B3351" s="16" t="str">
        <x:v>Irfan Ahmad</x:v>
      </x:c>
      <x:c r="C3351" s="16" t="str"/>
      <x:c r="D3351" s="16" t="str"/>
      <x:c r="E3351" s="16" t="str">
        <x:v>* myContacts</x:v>
      </x:c>
      <x:c r="F3351" s="16" t="str">
        <x:v>+60133173346</x:v>
      </x:c>
      <x:c r="G3351" s="16" t="str">
        <x:v>+60133173346</x:v>
      </x:c>
      <x:c r="H3351" s="16" t="str">
        <x:v>Excluded</x:v>
      </x:c>
      <x:c r="I3351" s="16" t="str">
        <x:v>Missing email</x:v>
      </x:c>
    </x:row>
    <x:row r="3352">
      <x:c r="A3352" s="16" t="n">
        <x:v>3349</x:v>
      </x:c>
      <x:c r="B3352" s="16" t="str">
        <x:v>Irfan IQPS</x:v>
      </x:c>
      <x:c r="C3352" s="16" t="str"/>
      <x:c r="D3352" s="16" t="str"/>
      <x:c r="E3352" s="16" t="str">
        <x:v>* myContacts</x:v>
      </x:c>
      <x:c r="F3352" s="16" t="str">
        <x:v>+60 10-655 3323 | +60106553323</x:v>
      </x:c>
      <x:c r="G3352" s="16" t="str">
        <x:v>+60106553323 | +60106553323</x:v>
      </x:c>
      <x:c r="H3352" s="16" t="str">
        <x:v>Excluded</x:v>
      </x:c>
      <x:c r="I3352" s="16" t="str">
        <x:v>Missing email</x:v>
      </x:c>
    </x:row>
    <x:row r="3353">
      <x:c r="A3353" s="16" t="n">
        <x:v>3350</x:v>
      </x:c>
      <x:c r="B3353" s="16" t="str">
        <x:v>Irfan pa coach zul</x:v>
      </x:c>
      <x:c r="C3353" s="16" t="str"/>
      <x:c r="D3353" s="16" t="str"/>
      <x:c r="E3353" s="16" t="str">
        <x:v>* myContacts</x:v>
      </x:c>
      <x:c r="F3353" s="16" t="str">
        <x:v>01121235593 | +601121235593</x:v>
      </x:c>
      <x:c r="G3353" s="16" t="str">
        <x:v>+601121235593 | +601121235593</x:v>
      </x:c>
      <x:c r="H3353" s="16" t="str">
        <x:v>Excluded</x:v>
      </x:c>
      <x:c r="I3353" s="16" t="str">
        <x:v>Missing email</x:v>
      </x:c>
    </x:row>
    <x:row r="3354">
      <x:c r="A3354" s="16" t="n">
        <x:v>3351</x:v>
      </x:c>
      <x:c r="B3354" s="16" t="str">
        <x:v>Irman jnj</x:v>
      </x:c>
      <x:c r="C3354" s="16" t="str"/>
      <x:c r="D3354" s="16" t="str"/>
      <x:c r="E3354" s="16" t="str">
        <x:v>* myContacts</x:v>
      </x:c>
      <x:c r="F3354" s="16" t="str">
        <x:v>+60 12-269 3914 | +60122693914</x:v>
      </x:c>
      <x:c r="G3354" s="16" t="str">
        <x:v>+60122693914 | +60122693914</x:v>
      </x:c>
      <x:c r="H3354" s="16" t="str">
        <x:v>Excluded</x:v>
      </x:c>
      <x:c r="I3354" s="16" t="str">
        <x:v>Missing email</x:v>
      </x:c>
    </x:row>
    <x:row r="3355">
      <x:c r="A3355" s="16" t="n">
        <x:v>3352</x:v>
      </x:c>
      <x:c r="B3355" s="16" t="str">
        <x:v>Irna Spear</x:v>
      </x:c>
      <x:c r="C3355" s="16" t="str"/>
      <x:c r="D3355" s="16" t="str"/>
      <x:c r="E3355" s="16" t="str">
        <x:v>* myContacts</x:v>
      </x:c>
      <x:c r="F3355" s="16" t="str">
        <x:v>+6282389991817</x:v>
      </x:c>
      <x:c r="G3355" s="16" t="str">
        <x:v>+6282389991817</x:v>
      </x:c>
      <x:c r="H3355" s="16" t="str">
        <x:v>Excluded</x:v>
      </x:c>
      <x:c r="I3355" s="16" t="str">
        <x:v>Missing email</x:v>
      </x:c>
    </x:row>
    <x:row r="3356">
      <x:c r="A3356" s="16" t="n">
        <x:v>3353</x:v>
      </x:c>
      <x:c r="B3356" s="16" t="str">
        <x:v>Irnie Ibarahim</x:v>
      </x:c>
      <x:c r="C3356" s="16" t="str"/>
      <x:c r="D3356" s="16" t="str"/>
      <x:c r="E3356" s="16" t="str">
        <x:v>* myContacts</x:v>
      </x:c>
      <x:c r="F3356" s="16" t="str">
        <x:v>+60109391216</x:v>
      </x:c>
      <x:c r="G3356" s="16" t="str">
        <x:v>+60109391216</x:v>
      </x:c>
      <x:c r="H3356" s="16" t="str">
        <x:v>Excluded</x:v>
      </x:c>
      <x:c r="I3356" s="16" t="str">
        <x:v>Missing email</x:v>
      </x:c>
    </x:row>
    <x:row r="3357">
      <x:c r="A3357" s="16" t="n">
        <x:v>3354</x:v>
      </x:c>
      <x:c r="B3357" s="16" t="str">
        <x:v>Irsha Danish</x:v>
      </x:c>
      <x:c r="C3357" s="16" t="str"/>
      <x:c r="D3357" s="16" t="str"/>
      <x:c r="E3357" s="16" t="str">
        <x:v>* myContacts</x:v>
      </x:c>
      <x:c r="F3357" s="16" t="str">
        <x:v>+60179354935</x:v>
      </x:c>
      <x:c r="G3357" s="16" t="str">
        <x:v>+60179354935</x:v>
      </x:c>
      <x:c r="H3357" s="16" t="str">
        <x:v>Excluded</x:v>
      </x:c>
      <x:c r="I3357" s="16" t="str">
        <x:v>Missing email</x:v>
      </x:c>
    </x:row>
    <x:row r="3358">
      <x:c r="A3358" s="16" t="n">
        <x:v>3355</x:v>
      </x:c>
      <x:c r="B3358" s="16" t="str">
        <x:v>Irvan Berly</x:v>
      </x:c>
      <x:c r="C3358" s="16" t="str"/>
      <x:c r="D3358" s="16" t="str"/>
      <x:c r="E3358" s="16" t="str">
        <x:v>* myContacts</x:v>
      </x:c>
      <x:c r="F3358" s="16" t="str">
        <x:v>+628562082352</x:v>
      </x:c>
      <x:c r="G3358" s="16" t="str">
        <x:v>+628562082352</x:v>
      </x:c>
      <x:c r="H3358" s="16" t="str">
        <x:v>Excluded</x:v>
      </x:c>
      <x:c r="I3358" s="16" t="str">
        <x:v>Missing email</x:v>
      </x:c>
    </x:row>
    <x:row r="3359">
      <x:c r="A3359" s="16" t="n">
        <x:v>3356</x:v>
      </x:c>
      <x:c r="B3359" s="16" t="str">
        <x:v>Irwan Babay</x:v>
      </x:c>
      <x:c r="C3359" s="16" t="str"/>
      <x:c r="D3359" s="16" t="str"/>
      <x:c r="E3359" s="16" t="str">
        <x:v>* myContacts</x:v>
      </x:c>
      <x:c r="F3359" s="16" t="str">
        <x:v>+60128625952</x:v>
      </x:c>
      <x:c r="G3359" s="16" t="str">
        <x:v>+60128625952</x:v>
      </x:c>
      <x:c r="H3359" s="16" t="str">
        <x:v>Excluded</x:v>
      </x:c>
      <x:c r="I3359" s="16" t="str">
        <x:v>Missing email</x:v>
      </x:c>
    </x:row>
    <x:row r="3360">
      <x:c r="A3360" s="16" t="n">
        <x:v>3357</x:v>
      </x:c>
      <x:c r="B3360" s="16" t="str">
        <x:v>irwan kamarudin</x:v>
      </x:c>
      <x:c r="C3360" s="16" t="str"/>
      <x:c r="D3360" s="16" t="str"/>
      <x:c r="E3360" s="16" t="str">
        <x:v>* myContacts</x:v>
      </x:c>
      <x:c r="F3360" s="16" t="str">
        <x:v>+60127161120</x:v>
      </x:c>
      <x:c r="G3360" s="16" t="str">
        <x:v>+60127161120</x:v>
      </x:c>
      <x:c r="H3360" s="16" t="str">
        <x:v>Excluded</x:v>
      </x:c>
      <x:c r="I3360" s="16" t="str">
        <x:v>Missing email</x:v>
      </x:c>
    </x:row>
    <x:row r="3361">
      <x:c r="A3361" s="16" t="n">
        <x:v>3358</x:v>
      </x:c>
      <x:c r="B3361" s="16" t="str">
        <x:v>Irwana Butik Faiqah</x:v>
      </x:c>
      <x:c r="C3361" s="16" t="str"/>
      <x:c r="D3361" s="16" t="str"/>
      <x:c r="E3361" s="16" t="str">
        <x:v>* myContacts</x:v>
      </x:c>
      <x:c r="F3361" s="16" t="str">
        <x:v>+6285240420006</x:v>
      </x:c>
      <x:c r="G3361" s="16" t="str">
        <x:v>+6285240420006</x:v>
      </x:c>
      <x:c r="H3361" s="16" t="str">
        <x:v>Excluded</x:v>
      </x:c>
      <x:c r="I3361" s="16" t="str">
        <x:v>Missing email</x:v>
      </x:c>
    </x:row>
    <x:row r="3362">
      <x:c r="A3362" s="16" t="n">
        <x:v>3359</x:v>
      </x:c>
      <x:c r="B3362" s="16" t="str">
        <x:v>Isa Johari Tauke</x:v>
      </x:c>
      <x:c r="C3362" s="16" t="str"/>
      <x:c r="D3362" s="16" t="str"/>
      <x:c r="E3362" s="16" t="str">
        <x:v>* myContacts</x:v>
      </x:c>
      <x:c r="F3362" s="16" t="str">
        <x:v>+60 13-286 4748 | +60132864748</x:v>
      </x:c>
      <x:c r="G3362" s="16" t="str">
        <x:v>+60132864748 | +60132864748</x:v>
      </x:c>
      <x:c r="H3362" s="16" t="str">
        <x:v>Excluded</x:v>
      </x:c>
      <x:c r="I3362" s="16" t="str">
        <x:v>Missing email</x:v>
      </x:c>
    </x:row>
    <x:row r="3363">
      <x:c r="A3363" s="16" t="n">
        <x:v>3360</x:v>
      </x:c>
      <x:c r="B3363" s="16" t="str">
        <x:v>Ise Muse</x:v>
      </x:c>
      <x:c r="C3363" s="16" t="str"/>
      <x:c r="D3363" s="16" t="str"/>
      <x:c r="E3363" s="16" t="str">
        <x:v>* myContacts</x:v>
      </x:c>
      <x:c r="F3363" s="16" t="str">
        <x:v>+60148116433</x:v>
      </x:c>
      <x:c r="G3363" s="16" t="str">
        <x:v>+60148116433</x:v>
      </x:c>
      <x:c r="H3363" s="16" t="str">
        <x:v>Excluded</x:v>
      </x:c>
      <x:c r="I3363" s="16" t="str">
        <x:v>Missing email</x:v>
      </x:c>
    </x:row>
    <x:row r="3364">
      <x:c r="A3364" s="16" t="n">
        <x:v>3361</x:v>
      </x:c>
      <x:c r="B3364" s="16" t="str">
        <x:v>Isha Faisha</x:v>
      </x:c>
      <x:c r="C3364" s="16" t="str"/>
      <x:c r="D3364" s="16" t="str"/>
      <x:c r="E3364" s="16" t="str">
        <x:v>* myContacts</x:v>
      </x:c>
      <x:c r="F3364" s="16" t="str">
        <x:v>+60199259465</x:v>
      </x:c>
      <x:c r="G3364" s="16" t="str">
        <x:v>+60199259465</x:v>
      </x:c>
      <x:c r="H3364" s="16" t="str">
        <x:v>Excluded</x:v>
      </x:c>
      <x:c r="I3364" s="16" t="str">
        <x:v>Missing email</x:v>
      </x:c>
    </x:row>
    <x:row r="3365">
      <x:c r="A3365" s="16" t="n">
        <x:v>3362</x:v>
      </x:c>
      <x:c r="B3365" s="16" t="str">
        <x:v>ishak blograsa</x:v>
      </x:c>
      <x:c r="C3365" s="16" t="str"/>
      <x:c r="D3365" s="16" t="str"/>
      <x:c r="E3365" s="16" t="str">
        <x:v>* myContacts</x:v>
      </x:c>
      <x:c r="F3365" s="16" t="str">
        <x:v>013-999 7755 | +60139997755</x:v>
      </x:c>
      <x:c r="G3365" s="16" t="str">
        <x:v>+60139997755 | +60139997755</x:v>
      </x:c>
      <x:c r="H3365" s="16" t="str">
        <x:v>Excluded</x:v>
      </x:c>
      <x:c r="I3365" s="16" t="str">
        <x:v>Missing email</x:v>
      </x:c>
    </x:row>
    <x:row r="3366">
      <x:c r="A3366" s="16" t="n">
        <x:v>3363</x:v>
      </x:c>
      <x:c r="B3366" s="16" t="str">
        <x:v>ishar insurance</x:v>
      </x:c>
      <x:c r="C3366" s="16" t="str"/>
      <x:c r="D3366" s="16" t="str"/>
      <x:c r="E3366" s="16" t="str">
        <x:v>* myContacts</x:v>
      </x:c>
      <x:c r="F3366" s="16" t="str">
        <x:v>0133649664 | +60133649664</x:v>
      </x:c>
      <x:c r="G3366" s="16" t="str">
        <x:v>+60133649664 | +60133649664</x:v>
      </x:c>
      <x:c r="H3366" s="16" t="str">
        <x:v>Excluded</x:v>
      </x:c>
      <x:c r="I3366" s="16" t="str">
        <x:v>Missing email</x:v>
      </x:c>
    </x:row>
    <x:row r="3367">
      <x:c r="A3367" s="16" t="n">
        <x:v>3364</x:v>
      </x:c>
      <x:c r="B3367" s="16" t="str">
        <x:v>Ishirokonokojb Jb</x:v>
      </x:c>
      <x:c r="C3367" s="16" t="str"/>
      <x:c r="D3367" s="16" t="str"/>
      <x:c r="E3367" s="16" t="str">
        <x:v>* myContacts</x:v>
      </x:c>
      <x:c r="F3367" s="16" t="str">
        <x:v>+60177728743</x:v>
      </x:c>
      <x:c r="G3367" s="16" t="str">
        <x:v>+60177728743</x:v>
      </x:c>
      <x:c r="H3367" s="16" t="str">
        <x:v>Excluded</x:v>
      </x:c>
      <x:c r="I3367" s="16" t="str">
        <x:v>Missing email</x:v>
      </x:c>
    </x:row>
    <x:row r="3368">
      <x:c r="A3368" s="16" t="n">
        <x:v>3365</x:v>
      </x:c>
      <x:c r="B3368" s="16" t="str">
        <x:v>Isk Andar</x:v>
      </x:c>
      <x:c r="C3368" s="16" t="str"/>
      <x:c r="D3368" s="16" t="str"/>
      <x:c r="E3368" s="16" t="str">
        <x:v>* myContacts</x:v>
      </x:c>
      <x:c r="F3368" s="16" t="str">
        <x:v>+60193655633</x:v>
      </x:c>
      <x:c r="G3368" s="16" t="str">
        <x:v>+60193655633</x:v>
      </x:c>
      <x:c r="H3368" s="16" t="str">
        <x:v>Excluded</x:v>
      </x:c>
      <x:c r="I3368" s="16" t="str">
        <x:v>Missing email</x:v>
      </x:c>
    </x:row>
    <x:row r="3369">
      <x:c r="A3369" s="16" t="n">
        <x:v>3366</x:v>
      </x:c>
      <x:c r="B3369" s="16" t="str">
        <x:v>Iskandar Abdul Hannan</x:v>
      </x:c>
      <x:c r="C3369" s="16" t="str"/>
      <x:c r="D3369" s="16" t="str"/>
      <x:c r="E3369" s="16" t="str">
        <x:v>* myContacts</x:v>
      </x:c>
      <x:c r="F3369" s="16" t="str">
        <x:v>+60193477726</x:v>
      </x:c>
      <x:c r="G3369" s="16" t="str">
        <x:v>+60193477726</x:v>
      </x:c>
      <x:c r="H3369" s="16" t="str">
        <x:v>Excluded</x:v>
      </x:c>
      <x:c r="I3369" s="16" t="str">
        <x:v>Missing email</x:v>
      </x:c>
    </x:row>
    <x:row r="3370">
      <x:c r="A3370" s="16" t="n">
        <x:v>3367</x:v>
      </x:c>
      <x:c r="B3370" s="16" t="str">
        <x:v>Iskandar Ibrahim</x:v>
      </x:c>
      <x:c r="C3370" s="16" t="str"/>
      <x:c r="D3370" s="16" t="str"/>
      <x:c r="E3370" s="16" t="str">
        <x:v>* myContacts</x:v>
      </x:c>
      <x:c r="F3370" s="16" t="str">
        <x:v>+6590370760</x:v>
      </x:c>
      <x:c r="G3370" s="16" t="str">
        <x:v>+6590370760</x:v>
      </x:c>
      <x:c r="H3370" s="16" t="str">
        <x:v>Excluded</x:v>
      </x:c>
      <x:c r="I3370" s="16" t="str">
        <x:v>Missing email</x:v>
      </x:c>
    </x:row>
    <x:row r="3371">
      <x:c r="A3371" s="16" t="n">
        <x:v>3368</x:v>
      </x:c>
      <x:c r="B3371" s="16" t="str">
        <x:v>Iskandar Jbs Irfan</x:v>
      </x:c>
      <x:c r="C3371" s="16" t="str"/>
      <x:c r="D3371" s="16" t="str"/>
      <x:c r="E3371" s="16" t="str">
        <x:v>* myContacts</x:v>
      </x:c>
      <x:c r="F3371" s="16" t="str">
        <x:v>+60137633167</x:v>
      </x:c>
      <x:c r="G3371" s="16" t="str">
        <x:v>+60137633167</x:v>
      </x:c>
      <x:c r="H3371" s="16" t="str">
        <x:v>Excluded</x:v>
      </x:c>
      <x:c r="I3371" s="16" t="str">
        <x:v>Missing email</x:v>
      </x:c>
    </x:row>
    <x:row r="3372">
      <x:c r="A3372" s="16" t="n">
        <x:v>3369</x:v>
      </x:c>
      <x:c r="B3372" s="16" t="str">
        <x:v>Iskandar Syah</x:v>
      </x:c>
      <x:c r="C3372" s="16" t="str"/>
      <x:c r="D3372" s="16" t="str"/>
      <x:c r="E3372" s="16" t="str">
        <x:v>* myContacts</x:v>
      </x:c>
      <x:c r="F3372" s="16" t="str">
        <x:v>+601111187189</x:v>
      </x:c>
      <x:c r="G3372" s="16" t="str">
        <x:v>+601111187189</x:v>
      </x:c>
      <x:c r="H3372" s="16" t="str">
        <x:v>Excluded</x:v>
      </x:c>
      <x:c r="I3372" s="16" t="str">
        <x:v>Missing email</x:v>
      </x:c>
    </x:row>
    <x:row r="3373">
      <x:c r="A3373" s="16" t="n">
        <x:v>3370</x:v>
      </x:c>
      <x:c r="B3373" s="16" t="str">
        <x:v>Iskandar Work KUMONTEN</x:v>
      </x:c>
      <x:c r="C3373" s="16" t="str"/>
      <x:c r="D3373" s="16" t="str"/>
      <x:c r="E3373" s="16" t="str">
        <x:v>* myContacts</x:v>
      </x:c>
      <x:c r="F3373" s="16" t="str">
        <x:v>+60 19-281 1196 | +60192811196</x:v>
      </x:c>
      <x:c r="G3373" s="16" t="str">
        <x:v>+60192811196 | +60192811196</x:v>
      </x:c>
      <x:c r="H3373" s="16" t="str">
        <x:v>Excluded</x:v>
      </x:c>
      <x:c r="I3373" s="16" t="str">
        <x:v>Missing email</x:v>
      </x:c>
    </x:row>
    <x:row r="3374">
      <x:c r="A3374" s="16" t="n">
        <x:v>3371</x:v>
      </x:c>
      <x:c r="B3374" s="16" t="str">
        <x:v>Isla Issyazza</x:v>
      </x:c>
      <x:c r="C3374" s="16" t="str"/>
      <x:c r="D3374" s="16" t="str"/>
      <x:c r="E3374" s="16" t="str">
        <x:v>* myContacts</x:v>
      </x:c>
      <x:c r="F3374" s="16" t="str">
        <x:v>+60197674614</x:v>
      </x:c>
      <x:c r="G3374" s="16" t="str">
        <x:v>+60197674614</x:v>
      </x:c>
      <x:c r="H3374" s="16" t="str">
        <x:v>Excluded</x:v>
      </x:c>
      <x:c r="I3374" s="16" t="str">
        <x:v>Missing email</x:v>
      </x:c>
    </x:row>
    <x:row r="3375">
      <x:c r="A3375" s="16" t="n">
        <x:v>3372</x:v>
      </x:c>
      <x:c r="B3375" s="16" t="str">
        <x:v>Islah Agent AGP Tier 1</x:v>
      </x:c>
      <x:c r="C3375" s="16" t="str"/>
      <x:c r="D3375" s="16" t="str"/>
      <x:c r="E3375" s="16" t="str">
        <x:v>* myContacts</x:v>
      </x:c>
      <x:c r="F3375" s="16" t="str">
        <x:v>‪+60 14-528 1490‬ | ‪+60145281490‬</x:v>
      </x:c>
      <x:c r="G3375" s="16" t="str">
        <x:v>+60145281490 | +60145281490</x:v>
      </x:c>
      <x:c r="H3375" s="16" t="str">
        <x:v>Excluded</x:v>
      </x:c>
      <x:c r="I3375" s="16" t="str">
        <x:v>Missing email</x:v>
      </x:c>
    </x:row>
    <x:row r="3376">
      <x:c r="A3376" s="16" t="n">
        <x:v>3373</x:v>
      </x:c>
      <x:c r="B3376" s="16" t="str">
        <x:v>islah ceo iksb</x:v>
      </x:c>
      <x:c r="C3376" s="16" t="str"/>
      <x:c r="D3376" s="16" t="str"/>
      <x:c r="E3376" s="16" t="str">
        <x:v>* myContacts</x:v>
      </x:c>
      <x:c r="F3376" s="16" t="str">
        <x:v>0127715002 | +60127715002</x:v>
      </x:c>
      <x:c r="G3376" s="16" t="str">
        <x:v>+60127715002 | +60127715002</x:v>
      </x:c>
      <x:c r="H3376" s="16" t="str">
        <x:v>Excluded</x:v>
      </x:c>
      <x:c r="I3376" s="16" t="str">
        <x:v>Missing email</x:v>
      </x:c>
    </x:row>
    <x:row r="3377">
      <x:c r="A3377" s="16" t="n">
        <x:v>3374</x:v>
      </x:c>
      <x:c r="B3377" s="16" t="str">
        <x:v>IsMa IZz</x:v>
      </x:c>
      <x:c r="C3377" s="16" t="str"/>
      <x:c r="D3377" s="16" t="str"/>
      <x:c r="E3377" s="16" t="str">
        <x:v>* myContacts</x:v>
      </x:c>
      <x:c r="F3377" s="16" t="str">
        <x:v>+60146715007</x:v>
      </x:c>
      <x:c r="G3377" s="16" t="str">
        <x:v>+60146715007</x:v>
      </x:c>
      <x:c r="H3377" s="16" t="str">
        <x:v>Excluded</x:v>
      </x:c>
      <x:c r="I3377" s="16" t="str">
        <x:v>Missing email</x:v>
      </x:c>
    </x:row>
    <x:row r="3378">
      <x:c r="A3378" s="16" t="n">
        <x:v>3375</x:v>
      </x:c>
      <x:c r="B3378" s="16" t="str">
        <x:v>Isma Zaidi Trainer Tvet</x:v>
      </x:c>
      <x:c r="C3378" s="16" t="str"/>
      <x:c r="D3378" s="16" t="str"/>
      <x:c r="E3378" s="16" t="str">
        <x:v>Trainer | * myContacts</x:v>
      </x:c>
      <x:c r="F3378" s="16" t="str">
        <x:v>019-429 4734 | +60194294734</x:v>
      </x:c>
      <x:c r="G3378" s="16" t="str">
        <x:v>+60194294734 | +60194294734</x:v>
      </x:c>
      <x:c r="H3378" s="16" t="str">
        <x:v>Excluded</x:v>
      </x:c>
      <x:c r="I3378" s="16" t="str">
        <x:v>Missing email</x:v>
      </x:c>
    </x:row>
    <x:row r="3379">
      <x:c r="A3379" s="16" t="n">
        <x:v>3376</x:v>
      </x:c>
      <x:c r="B3379" s="16" t="str">
        <x:v>Ismail</x:v>
      </x:c>
      <x:c r="C3379" s="16" t="str"/>
      <x:c r="D3379" s="16" t="str"/>
      <x:c r="E3379" s="16" t="str">
        <x:v>* myContacts</x:v>
      </x:c>
      <x:c r="F3379" s="16" t="str">
        <x:v>+60199152265</x:v>
      </x:c>
      <x:c r="G3379" s="16" t="str">
        <x:v>+60199152265</x:v>
      </x:c>
      <x:c r="H3379" s="16" t="str">
        <x:v>Excluded</x:v>
      </x:c>
      <x:c r="I3379" s="16" t="str">
        <x:v>Missing email</x:v>
      </x:c>
    </x:row>
    <x:row r="3380">
      <x:c r="A3380" s="16" t="n">
        <x:v>3377</x:v>
      </x:c>
      <x:c r="B3380" s="16" t="str">
        <x:v>*Prospect Ismail</x:v>
      </x:c>
      <x:c r="C3380" s="16" t="str"/>
      <x:c r="D3380" s="16" t="str"/>
      <x:c r="E3380" s="16" t="str">
        <x:v>* myContacts</x:v>
      </x:c>
      <x:c r="F3380" s="16" t="str">
        <x:v>0199152265</x:v>
      </x:c>
      <x:c r="G3380" s="16" t="str">
        <x:v>+60199152265</x:v>
      </x:c>
      <x:c r="H3380" s="16" t="str">
        <x:v>Excluded</x:v>
      </x:c>
      <x:c r="I3380" s="16" t="str">
        <x:v>Missing email</x:v>
      </x:c>
    </x:row>
    <x:row r="3381">
      <x:c r="A3381" s="16" t="n">
        <x:v>3378</x:v>
      </x:c>
      <x:c r="B3381" s="16" t="str">
        <x:v>Ismail Al-Faruqi TE</x:v>
      </x:c>
      <x:c r="C3381" s="16" t="str"/>
      <x:c r="D3381" s="16" t="str"/>
      <x:c r="E3381" s="16" t="str">
        <x:v>* myContacts</x:v>
      </x:c>
      <x:c r="F3381" s="16" t="str">
        <x:v>+60105162915</x:v>
      </x:c>
      <x:c r="G3381" s="16" t="str">
        <x:v>+60105162915</x:v>
      </x:c>
      <x:c r="H3381" s="16" t="str">
        <x:v>Excluded</x:v>
      </x:c>
      <x:c r="I3381" s="16" t="str">
        <x:v>Missing email</x:v>
      </x:c>
    </x:row>
    <x:row r="3382">
      <x:c r="A3382" s="16" t="n">
        <x:v>3379</x:v>
      </x:c>
      <x:c r="B3382" s="16" t="str">
        <x:v>Ismail Faruqi Pedas</x:v>
      </x:c>
      <x:c r="C3382" s="16" t="str"/>
      <x:c r="D3382" s="16" t="str"/>
      <x:c r="E3382" s="16" t="str">
        <x:v>* myContacts</x:v>
      </x:c>
      <x:c r="F3382" s="16" t="str">
        <x:v>+60 14-871 1474 | +60148711474</x:v>
      </x:c>
      <x:c r="G3382" s="16" t="str">
        <x:v>+60148711474 | +60148711474</x:v>
      </x:c>
      <x:c r="H3382" s="16" t="str">
        <x:v>Excluded</x:v>
      </x:c>
      <x:c r="I3382" s="16" t="str">
        <x:v>Missing email</x:v>
      </x:c>
    </x:row>
    <x:row r="3383">
      <x:c r="A3383" s="16" t="n">
        <x:v>3380</x:v>
      </x:c>
      <x:c r="B3383" s="16" t="str">
        <x:v>ismail shukri musak</x:v>
      </x:c>
      <x:c r="C3383" s="16" t="str">
        <x:v>isma.sucre@gmail.com</x:v>
      </x:c>
      <x:c r="D3383" s="16" t="str">
        <x:v>isma.sucre@gmail.com</x:v>
      </x:c>
      <x:c r="E3383" s="16" t="str">
        <x:v>* myContacts</x:v>
      </x:c>
      <x:c r="F3383" s="16" t="str">
        <x:v>+60162100025</x:v>
      </x:c>
      <x:c r="G3383" s="16" t="str">
        <x:v>+60162100025</x:v>
      </x:c>
      <x:c r="H3383" s="16" t="str">
        <x:v>Eligible</x:v>
      </x:c>
      <x:c r="I3383" s="16" t="str"/>
    </x:row>
    <x:row r="3384">
      <x:c r="A3384" s="16" t="n">
        <x:v>3381</x:v>
      </x:c>
      <x:c r="B3384" s="16" t="str">
        <x:v>Ismail Zahin Ibrahim</x:v>
      </x:c>
      <x:c r="C3384" s="16" t="str"/>
      <x:c r="D3384" s="16" t="str"/>
      <x:c r="E3384" s="16" t="str">
        <x:v>* myContacts</x:v>
      </x:c>
      <x:c r="F3384" s="16" t="str">
        <x:v>+60127215435</x:v>
      </x:c>
      <x:c r="G3384" s="16" t="str">
        <x:v>+60127215435</x:v>
      </x:c>
      <x:c r="H3384" s="16" t="str">
        <x:v>Excluded</x:v>
      </x:c>
      <x:c r="I3384" s="16" t="str">
        <x:v>Missing email</x:v>
      </x:c>
    </x:row>
    <x:row r="3385">
      <x:c r="A3385" s="16" t="n">
        <x:v>3382</x:v>
      </x:c>
      <x:c r="B3385" s="16" t="str">
        <x:v>Ismee Suhana</x:v>
      </x:c>
      <x:c r="C3385" s="16" t="str"/>
      <x:c r="D3385" s="16" t="str"/>
      <x:c r="E3385" s="16" t="str">
        <x:v>* myContacts</x:v>
      </x:c>
      <x:c r="F3385" s="16" t="str">
        <x:v>+60109296488</x:v>
      </x:c>
      <x:c r="G3385" s="16" t="str">
        <x:v>+60109296488</x:v>
      </x:c>
      <x:c r="H3385" s="16" t="str">
        <x:v>Excluded</x:v>
      </x:c>
      <x:c r="I3385" s="16" t="str">
        <x:v>Missing email</x:v>
      </x:c>
    </x:row>
    <x:row r="3386">
      <x:c r="A3386" s="16" t="n">
        <x:v>3383</x:v>
      </x:c>
      <x:c r="B3386" s="16" t="str">
        <x:v>Ismi Huda</x:v>
      </x:c>
      <x:c r="C3386" s="16" t="str"/>
      <x:c r="D3386" s="16" t="str"/>
      <x:c r="E3386" s="16" t="str">
        <x:v>* myContacts</x:v>
      </x:c>
      <x:c r="F3386" s="16" t="str">
        <x:v>+60145102429</x:v>
      </x:c>
      <x:c r="G3386" s="16" t="str">
        <x:v>+60145102429</x:v>
      </x:c>
      <x:c r="H3386" s="16" t="str">
        <x:v>Excluded</x:v>
      </x:c>
      <x:c r="I3386" s="16" t="str">
        <x:v>Missing email</x:v>
      </x:c>
    </x:row>
    <x:row r="3387">
      <x:c r="A3387" s="16" t="n">
        <x:v>3384</x:v>
      </x:c>
      <x:c r="B3387" s="16" t="str">
        <x:v>Isnaruddin AGP</x:v>
      </x:c>
      <x:c r="C3387" s="16" t="str"/>
      <x:c r="D3387" s="16" t="str"/>
      <x:c r="E3387" s="16" t="str">
        <x:v>* myContacts</x:v>
      </x:c>
      <x:c r="F3387" s="16" t="str">
        <x:v>+60 13-931 6989 | +60139316989</x:v>
      </x:c>
      <x:c r="G3387" s="16" t="str">
        <x:v>+60139316989 | +60139316989</x:v>
      </x:c>
      <x:c r="H3387" s="16" t="str">
        <x:v>Excluded</x:v>
      </x:c>
      <x:c r="I3387" s="16" t="str">
        <x:v>Missing email</x:v>
      </x:c>
    </x:row>
    <x:row r="3388">
      <x:c r="A3388" s="16" t="n">
        <x:v>3385</x:v>
      </x:c>
      <x:c r="B3388" s="16" t="str">
        <x:v>Isranshah AGP</x:v>
      </x:c>
      <x:c r="C3388" s="16" t="str"/>
      <x:c r="D3388" s="16" t="str"/>
      <x:c r="E3388" s="16" t="str">
        <x:v>* myContacts</x:v>
      </x:c>
      <x:c r="F3388" s="16" t="str">
        <x:v>+60 11-1207 4087 | +601112074087</x:v>
      </x:c>
      <x:c r="G3388" s="16" t="str">
        <x:v>+601112074087 | +601112074087</x:v>
      </x:c>
      <x:c r="H3388" s="16" t="str">
        <x:v>Excluded</x:v>
      </x:c>
      <x:c r="I3388" s="16" t="str">
        <x:v>Missing email</x:v>
      </x:c>
    </x:row>
    <x:row r="3389">
      <x:c r="A3389" s="16" t="n">
        <x:v>3386</x:v>
      </x:c>
      <x:c r="B3389" s="16" t="str">
        <x:v>Issac boss kumoten</x:v>
      </x:c>
      <x:c r="C3389" s="16" t="str"/>
      <x:c r="D3389" s="16" t="str"/>
      <x:c r="E3389" s="16" t="str">
        <x:v>* myContacts</x:v>
      </x:c>
      <x:c r="F3389" s="16" t="str">
        <x:v>+60 19-390 1313 | +60193901313</x:v>
      </x:c>
      <x:c r="G3389" s="16" t="str">
        <x:v>+60193901313 | +60193901313</x:v>
      </x:c>
      <x:c r="H3389" s="16" t="str">
        <x:v>Excluded</x:v>
      </x:c>
      <x:c r="I3389" s="16" t="str">
        <x:v>Missing email</x:v>
      </x:c>
    </x:row>
    <x:row r="3390">
      <x:c r="A3390" s="16" t="n">
        <x:v>3387</x:v>
      </x:c>
      <x:c r="B3390" s="16" t="str">
        <x:v>Issani instaweb</x:v>
      </x:c>
      <x:c r="C3390" s="16" t="str"/>
      <x:c r="D3390" s="16" t="str"/>
      <x:c r="E3390" s="16" t="str">
        <x:v>* myContacts</x:v>
      </x:c>
      <x:c r="F3390" s="16" t="str">
        <x:v>0182587768 | +60182587768</x:v>
      </x:c>
      <x:c r="G3390" s="16" t="str">
        <x:v>+60182587768 | +60182587768</x:v>
      </x:c>
      <x:c r="H3390" s="16" t="str">
        <x:v>Excluded</x:v>
      </x:c>
      <x:c r="I3390" s="16" t="str">
        <x:v>Missing email</x:v>
      </x:c>
    </x:row>
    <x:row r="3391">
      <x:c r="A3391" s="16" t="n">
        <x:v>3388</x:v>
      </x:c>
      <x:c r="B3391" s="16" t="str">
        <x:v>Isteri ayie jual umpan</x:v>
      </x:c>
      <x:c r="C3391" s="16" t="str"/>
      <x:c r="D3391" s="16" t="str"/>
      <x:c r="E3391" s="16" t="str">
        <x:v>* myContacts</x:v>
      </x:c>
      <x:c r="F3391" s="16" t="str">
        <x:v>+60 12-378 9693 | +60123789693</x:v>
      </x:c>
      <x:c r="G3391" s="16" t="str">
        <x:v>+60123789693 | +60123789693</x:v>
      </x:c>
      <x:c r="H3391" s="16" t="str">
        <x:v>Excluded</x:v>
      </x:c>
      <x:c r="I3391" s="16" t="str">
        <x:v>Missing email</x:v>
      </x:c>
    </x:row>
    <x:row r="3392">
      <x:c r="A3392" s="16" t="n">
        <x:v>3389</x:v>
      </x:c>
      <x:c r="B3392" s="16" t="str">
        <x:v>Istikomah Rosidi</x:v>
      </x:c>
      <x:c r="C3392" s="16" t="str"/>
      <x:c r="D3392" s="16" t="str"/>
      <x:c r="E3392" s="16" t="str">
        <x:v>* myContacts</x:v>
      </x:c>
      <x:c r="F3392" s="16" t="str">
        <x:v>+60183641421</x:v>
      </x:c>
      <x:c r="G3392" s="16" t="str">
        <x:v>+60183641421</x:v>
      </x:c>
      <x:c r="H3392" s="16" t="str">
        <x:v>Excluded</x:v>
      </x:c>
      <x:c r="I3392" s="16" t="str">
        <x:v>Missing email</x:v>
      </x:c>
    </x:row>
    <x:row r="3393">
      <x:c r="A3393" s="16" t="n">
        <x:v>3390</x:v>
      </x:c>
      <x:c r="B3393" s="16" t="str">
        <x:v>Isya Rahmy</x:v>
      </x:c>
      <x:c r="C3393" s="16" t="str"/>
      <x:c r="D3393" s="16" t="str"/>
      <x:c r="E3393" s="16" t="str">
        <x:v>* myContacts</x:v>
      </x:c>
      <x:c r="F3393" s="16" t="str">
        <x:v>+60129225726</x:v>
      </x:c>
      <x:c r="G3393" s="16" t="str">
        <x:v>+60129225726</x:v>
      </x:c>
      <x:c r="H3393" s="16" t="str">
        <x:v>Excluded</x:v>
      </x:c>
      <x:c r="I3393" s="16" t="str">
        <x:v>Missing email</x:v>
      </x:c>
    </x:row>
    <x:row r="3394">
      <x:c r="A3394" s="16" t="n">
        <x:v>3391</x:v>
      </x:c>
      <x:c r="B3394" s="16" t="str">
        <x:v>Isz kanaz marketing</x:v>
      </x:c>
      <x:c r="C3394" s="16" t="str"/>
      <x:c r="D3394" s="16" t="str"/>
      <x:c r="E3394" s="16" t="str">
        <x:v>* myContacts</x:v>
      </x:c>
      <x:c r="F3394" s="16" t="str">
        <x:v>+60 14-967 5459 | +60149675459</x:v>
      </x:c>
      <x:c r="G3394" s="16" t="str">
        <x:v>+60149675459 | +60149675459</x:v>
      </x:c>
      <x:c r="H3394" s="16" t="str">
        <x:v>Excluded</x:v>
      </x:c>
      <x:c r="I3394" s="16" t="str">
        <x:v>Missing email</x:v>
      </x:c>
    </x:row>
    <x:row r="3395">
      <x:c r="A3395" s="16" t="n">
        <x:v>3392</x:v>
      </x:c>
      <x:c r="B3395" s="16" t="str">
        <x:v>Ita Juwita</x:v>
      </x:c>
      <x:c r="C3395" s="16" t="str"/>
      <x:c r="D3395" s="16" t="str"/>
      <x:c r="E3395" s="16" t="str">
        <x:v>* myContacts</x:v>
      </x:c>
      <x:c r="F3395" s="16" t="str">
        <x:v>+60132987571</x:v>
      </x:c>
      <x:c r="G3395" s="16" t="str">
        <x:v>+60132987571</x:v>
      </x:c>
      <x:c r="H3395" s="16" t="str">
        <x:v>Excluded</x:v>
      </x:c>
      <x:c r="I3395" s="16" t="str">
        <x:v>Missing email</x:v>
      </x:c>
    </x:row>
    <x:row r="3396">
      <x:c r="A3396" s="16" t="n">
        <x:v>3393</x:v>
      </x:c>
      <x:c r="B3396" s="16" t="str">
        <x:v>Ita Tamierisha</x:v>
      </x:c>
      <x:c r="C3396" s="16" t="str"/>
      <x:c r="D3396" s="16" t="str"/>
      <x:c r="E3396" s="16" t="str">
        <x:v>* myContacts</x:v>
      </x:c>
      <x:c r="F3396" s="16" t="str">
        <x:v>+60165130626</x:v>
      </x:c>
      <x:c r="G3396" s="16" t="str">
        <x:v>+60165130626</x:v>
      </x:c>
      <x:c r="H3396" s="16" t="str">
        <x:v>Excluded</x:v>
      </x:c>
      <x:c r="I3396" s="16" t="str">
        <x:v>Missing email</x:v>
      </x:c>
    </x:row>
    <x:row r="3397">
      <x:c r="A3397" s="16" t="n">
        <x:v>3394</x:v>
      </x:c>
      <x:c r="B3397" s="16" t="str">
        <x:v>Its Kalin</x:v>
      </x:c>
      <x:c r="C3397" s="16" t="str">
        <x:v>bizkalin@gmail.com</x:v>
      </x:c>
      <x:c r="D3397" s="16" t="str">
        <x:v>bizkalin@gmail.com</x:v>
      </x:c>
      <x:c r="E3397" s="16" t="str">
        <x:v>* myContacts</x:v>
      </x:c>
      <x:c r="F3397" s="16" t="str">
        <x:v>+60 11 1321 8291 | +601113218291</x:v>
      </x:c>
      <x:c r="G3397" s="16" t="str">
        <x:v>+601113218291 | +601113218291</x:v>
      </x:c>
      <x:c r="H3397" s="16" t="str">
        <x:v>Eligible</x:v>
      </x:c>
      <x:c r="I3397" s="16" t="str"/>
    </x:row>
    <x:row r="3398">
      <x:c r="A3398" s="16" t="n">
        <x:v>3395</x:v>
      </x:c>
      <x:c r="B3398" s="16" t="str">
        <x:v>Ivm Selangor</x:v>
      </x:c>
      <x:c r="C3398" s="16" t="str"/>
      <x:c r="D3398" s="16" t="str"/>
      <x:c r="E3398" s="16" t="str">
        <x:v>* myContacts</x:v>
      </x:c>
      <x:c r="F3398" s="16" t="str">
        <x:v>+601155423266</x:v>
      </x:c>
      <x:c r="G3398" s="16" t="str">
        <x:v>+601155423266</x:v>
      </x:c>
      <x:c r="H3398" s="16" t="str">
        <x:v>Excluded</x:v>
      </x:c>
      <x:c r="I3398" s="16" t="str">
        <x:v>Missing email</x:v>
      </x:c>
    </x:row>
    <x:row r="3399">
      <x:c r="A3399" s="16" t="n">
        <x:v>3396</x:v>
      </x:c>
      <x:c r="B3399" s="16" t="str">
        <x:v>Ivy Erra</x:v>
      </x:c>
      <x:c r="C3399" s="16" t="str"/>
      <x:c r="D3399" s="16" t="str"/>
      <x:c r="E3399" s="16" t="str">
        <x:v>* myContacts</x:v>
      </x:c>
      <x:c r="F3399" s="16" t="str">
        <x:v>+60135260426</x:v>
      </x:c>
      <x:c r="G3399" s="16" t="str">
        <x:v>+60135260426</x:v>
      </x:c>
      <x:c r="H3399" s="16" t="str">
        <x:v>Excluded</x:v>
      </x:c>
      <x:c r="I3399" s="16" t="str">
        <x:v>Missing email</x:v>
      </x:c>
    </x:row>
    <x:row r="3400">
      <x:c r="A3400" s="16" t="n">
        <x:v>3397</x:v>
      </x:c>
      <x:c r="B3400" s="16" t="str">
        <x:v>Iwan Adiman</x:v>
      </x:c>
      <x:c r="C3400" s="16" t="str"/>
      <x:c r="D3400" s="16" t="str"/>
      <x:c r="E3400" s="16" t="str">
        <x:v>* myContacts</x:v>
      </x:c>
      <x:c r="F3400" s="16" t="str">
        <x:v>+60187844929</x:v>
      </x:c>
      <x:c r="G3400" s="16" t="str">
        <x:v>+60187844929</x:v>
      </x:c>
      <x:c r="H3400" s="16" t="str">
        <x:v>Excluded</x:v>
      </x:c>
      <x:c r="I3400" s="16" t="str">
        <x:v>Missing email</x:v>
      </x:c>
    </x:row>
    <x:row r="3401">
      <x:c r="A3401" s="16" t="n">
        <x:v>3398</x:v>
      </x:c>
      <x:c r="B3401" s="16" t="str">
        <x:v>Iwan Evans</x:v>
      </x:c>
      <x:c r="C3401" s="16" t="str"/>
      <x:c r="D3401" s="16" t="str"/>
      <x:c r="E3401" s="16" t="str">
        <x:v>* myContacts</x:v>
      </x:c>
      <x:c r="F3401" s="16" t="str">
        <x:v>+60173864496</x:v>
      </x:c>
      <x:c r="G3401" s="16" t="str">
        <x:v>+60173864496</x:v>
      </x:c>
      <x:c r="H3401" s="16" t="str">
        <x:v>Excluded</x:v>
      </x:c>
      <x:c r="I3401" s="16" t="str">
        <x:v>Missing email</x:v>
      </x:c>
    </x:row>
    <x:row r="3402">
      <x:c r="A3402" s="16" t="n">
        <x:v>3399</x:v>
      </x:c>
      <x:c r="B3402" s="16" t="str">
        <x:v>Iwan IM</x:v>
      </x:c>
      <x:c r="C3402" s="16" t="str"/>
      <x:c r="D3402" s="16" t="str"/>
      <x:c r="E3402" s="16" t="str">
        <x:v>* myContacts</x:v>
      </x:c>
      <x:c r="F3402" s="16" t="str">
        <x:v>012-981 7875 | +60129817875</x:v>
      </x:c>
      <x:c r="G3402" s="16" t="str">
        <x:v>+60129817875 | +60129817875</x:v>
      </x:c>
      <x:c r="H3402" s="16" t="str">
        <x:v>Excluded</x:v>
      </x:c>
      <x:c r="I3402" s="16" t="str">
        <x:v>Missing email</x:v>
      </x:c>
    </x:row>
    <x:row r="3403">
      <x:c r="A3403" s="16" t="n">
        <x:v>3400</x:v>
      </x:c>
      <x:c r="B3403" s="16" t="str">
        <x:v>Iz Faezz</x:v>
      </x:c>
      <x:c r="C3403" s="16" t="str"/>
      <x:c r="D3403" s="16" t="str"/>
      <x:c r="E3403" s="16" t="str">
        <x:v>* myContacts</x:v>
      </x:c>
      <x:c r="F3403" s="16" t="str">
        <x:v>+60129847392</x:v>
      </x:c>
      <x:c r="G3403" s="16" t="str">
        <x:v>+60129847392</x:v>
      </x:c>
      <x:c r="H3403" s="16" t="str">
        <x:v>Excluded</x:v>
      </x:c>
      <x:c r="I3403" s="16" t="str">
        <x:v>Missing email</x:v>
      </x:c>
    </x:row>
    <x:row r="3404">
      <x:c r="A3404" s="16" t="n">
        <x:v>3401</x:v>
      </x:c>
      <x:c r="B3404" s="16" t="str">
        <x:v>IZ Soraya Maya</x:v>
      </x:c>
      <x:c r="C3404" s="16" t="str"/>
      <x:c r="D3404" s="16" t="str"/>
      <x:c r="E3404" s="16" t="str">
        <x:v>* myContacts</x:v>
      </x:c>
      <x:c r="F3404" s="16" t="str">
        <x:v>+601121519389</x:v>
      </x:c>
      <x:c r="G3404" s="16" t="str">
        <x:v>+601121519389</x:v>
      </x:c>
      <x:c r="H3404" s="16" t="str">
        <x:v>Excluded</x:v>
      </x:c>
      <x:c r="I3404" s="16" t="str">
        <x:v>Missing email</x:v>
      </x:c>
    </x:row>
    <x:row r="3405">
      <x:c r="A3405" s="16" t="n">
        <x:v>3402</x:v>
      </x:c>
      <x:c r="B3405" s="16" t="str">
        <x:v>Iza Farida</x:v>
      </x:c>
      <x:c r="C3405" s="16" t="str"/>
      <x:c r="D3405" s="16" t="str"/>
      <x:c r="E3405" s="16" t="str">
        <x:v>* myContacts</x:v>
      </x:c>
      <x:c r="F3405" s="16" t="str">
        <x:v>+60177505814</x:v>
      </x:c>
      <x:c r="G3405" s="16" t="str">
        <x:v>+60177505814</x:v>
      </x:c>
      <x:c r="H3405" s="16" t="str">
        <x:v>Excluded</x:v>
      </x:c>
      <x:c r="I3405" s="16" t="str">
        <x:v>Missing email</x:v>
      </x:c>
    </x:row>
    <x:row r="3406">
      <x:c r="A3406" s="16" t="n">
        <x:v>3403</x:v>
      </x:c>
      <x:c r="B3406" s="16" t="str">
        <x:v>Izad Rhazali</x:v>
      </x:c>
      <x:c r="C3406" s="16" t="str"/>
      <x:c r="D3406" s="16" t="str"/>
      <x:c r="E3406" s="16" t="str">
        <x:v>* myContacts</x:v>
      </x:c>
      <x:c r="F3406" s="16" t="str">
        <x:v>+60199871925</x:v>
      </x:c>
      <x:c r="G3406" s="16" t="str">
        <x:v>+60199871925</x:v>
      </x:c>
      <x:c r="H3406" s="16" t="str">
        <x:v>Excluded</x:v>
      </x:c>
      <x:c r="I3406" s="16" t="str">
        <x:v>Missing email</x:v>
      </x:c>
    </x:row>
    <x:row r="3407">
      <x:c r="A3407" s="16" t="n">
        <x:v>3404</x:v>
      </x:c>
      <x:c r="B3407" s="16" t="str">
        <x:v>Izah Cool</x:v>
      </x:c>
      <x:c r="C3407" s="16" t="str"/>
      <x:c r="D3407" s="16" t="str"/>
      <x:c r="E3407" s="16" t="str">
        <x:v>* myContacts</x:v>
      </x:c>
      <x:c r="F3407" s="16" t="str">
        <x:v>+60189577657</x:v>
      </x:c>
      <x:c r="G3407" s="16" t="str">
        <x:v>+60189577657</x:v>
      </x:c>
      <x:c r="H3407" s="16" t="str">
        <x:v>Excluded</x:v>
      </x:c>
      <x:c r="I3407" s="16" t="str">
        <x:v>Missing email</x:v>
      </x:c>
    </x:row>
    <x:row r="3408">
      <x:c r="A3408" s="16" t="n">
        <x:v>3405</x:v>
      </x:c>
      <x:c r="B3408" s="16" t="str">
        <x:v>Izaily Ibrahim AGP</x:v>
      </x:c>
      <x:c r="C3408" s="16" t="str"/>
      <x:c r="D3408" s="16" t="str"/>
      <x:c r="E3408" s="16" t="str">
        <x:v>* myContacts</x:v>
      </x:c>
      <x:c r="F3408" s="16" t="str">
        <x:v>+60 12-981 8071 | +60129818071</x:v>
      </x:c>
      <x:c r="G3408" s="16" t="str">
        <x:v>+60129818071 | +60129818071</x:v>
      </x:c>
      <x:c r="H3408" s="16" t="str">
        <x:v>Excluded</x:v>
      </x:c>
      <x:c r="I3408" s="16" t="str">
        <x:v>Missing email</x:v>
      </x:c>
    </x:row>
    <x:row r="3409">
      <x:c r="A3409" s="16" t="n">
        <x:v>3406</x:v>
      </x:c>
      <x:c r="B3409" s="16" t="str">
        <x:v>Izaki Nur</x:v>
      </x:c>
      <x:c r="C3409" s="16" t="str"/>
      <x:c r="D3409" s="16" t="str"/>
      <x:c r="E3409" s="16" t="str">
        <x:v>* myContacts</x:v>
      </x:c>
      <x:c r="F3409" s="16" t="str">
        <x:v>+60137207954</x:v>
      </x:c>
      <x:c r="G3409" s="16" t="str">
        <x:v>+60137207954</x:v>
      </x:c>
      <x:c r="H3409" s="16" t="str">
        <x:v>Excluded</x:v>
      </x:c>
      <x:c r="I3409" s="16" t="str">
        <x:v>Missing email</x:v>
      </x:c>
    </x:row>
    <x:row r="3410">
      <x:c r="A3410" s="16" t="n">
        <x:v>3407</x:v>
      </x:c>
      <x:c r="B3410" s="16" t="str">
        <x:v>Izan Hasim</x:v>
      </x:c>
      <x:c r="C3410" s="16" t="str"/>
      <x:c r="D3410" s="16" t="str"/>
      <x:c r="E3410" s="16" t="str">
        <x:v>* myContacts</x:v>
      </x:c>
      <x:c r="F3410" s="16" t="str">
        <x:v>+60163966946</x:v>
      </x:c>
      <x:c r="G3410" s="16" t="str">
        <x:v>+60163966946</x:v>
      </x:c>
      <x:c r="H3410" s="16" t="str">
        <x:v>Excluded</x:v>
      </x:c>
      <x:c r="I3410" s="16" t="str">
        <x:v>Missing email</x:v>
      </x:c>
    </x:row>
    <x:row r="3411">
      <x:c r="A3411" s="16" t="n">
        <x:v>3408</x:v>
      </x:c>
      <x:c r="B3411" s="16" t="str">
        <x:v>Izan Success</x:v>
      </x:c>
      <x:c r="C3411" s="16" t="str"/>
      <x:c r="D3411" s="16" t="str"/>
      <x:c r="E3411" s="16" t="str">
        <x:v>* myContacts</x:v>
      </x:c>
      <x:c r="F3411" s="16" t="str">
        <x:v>+60132671236</x:v>
      </x:c>
      <x:c r="G3411" s="16" t="str">
        <x:v>+60132671236</x:v>
      </x:c>
      <x:c r="H3411" s="16" t="str">
        <x:v>Excluded</x:v>
      </x:c>
      <x:c r="I3411" s="16" t="str">
        <x:v>Missing email</x:v>
      </x:c>
    </x:row>
    <x:row r="3412">
      <x:c r="A3412" s="16" t="n">
        <x:v>3409</x:v>
      </x:c>
      <x:c r="B3412" s="16" t="str">
        <x:v>Izan's Izan</x:v>
      </x:c>
      <x:c r="C3412" s="16" t="str"/>
      <x:c r="D3412" s="16" t="str"/>
      <x:c r="E3412" s="16" t="str">
        <x:v>* myContacts</x:v>
      </x:c>
      <x:c r="F3412" s="16" t="str">
        <x:v>+60166976553</x:v>
      </x:c>
      <x:c r="G3412" s="16" t="str">
        <x:v>+60166976553</x:v>
      </x:c>
      <x:c r="H3412" s="16" t="str">
        <x:v>Excluded</x:v>
      </x:c>
      <x:c r="I3412" s="16" t="str">
        <x:v>Missing email</x:v>
      </x:c>
    </x:row>
    <x:row r="3413">
      <x:c r="A3413" s="16" t="n">
        <x:v>3410</x:v>
      </x:c>
      <x:c r="B3413" s="16" t="str">
        <x:v>izani mdec</x:v>
      </x:c>
      <x:c r="C3413" s="16" t="str"/>
      <x:c r="D3413" s="16" t="str"/>
      <x:c r="E3413" s="16" t="str">
        <x:v>* myContacts</x:v>
      </x:c>
      <x:c r="F3413" s="16" t="str">
        <x:v>016-321 6131 | +60163216131 | 012-291 7106</x:v>
      </x:c>
      <x:c r="G3413" s="16" t="str">
        <x:v>+60163216131 | +60163216131 | +60122917106</x:v>
      </x:c>
      <x:c r="H3413" s="16" t="str">
        <x:v>Excluded</x:v>
      </x:c>
      <x:c r="I3413" s="16" t="str">
        <x:v>Missing email</x:v>
      </x:c>
    </x:row>
    <x:row r="3414">
      <x:c r="A3414" s="16" t="n">
        <x:v>3411</x:v>
      </x:c>
      <x:c r="B3414" s="16" t="str">
        <x:v>izat Uitm</x:v>
      </x:c>
      <x:c r="C3414" s="16" t="str">
        <x:v>ijotazzi95@gmail.com</x:v>
      </x:c>
      <x:c r="D3414" s="16" t="str">
        <x:v>ijotazzi95@gmail.com</x:v>
      </x:c>
      <x:c r="E3414" s="16" t="str">
        <x:v>* myContacts</x:v>
      </x:c>
      <x:c r="F3414" s="16" t="str">
        <x:v>01125213941 | +601125213941</x:v>
      </x:c>
      <x:c r="G3414" s="16" t="str">
        <x:v>+601125213941 | +601125213941</x:v>
      </x:c>
      <x:c r="H3414" s="16" t="str">
        <x:v>Eligible</x:v>
      </x:c>
      <x:c r="I3414" s="16" t="str"/>
    </x:row>
    <x:row r="3415">
      <x:c r="A3415" s="16" t="n">
        <x:v>3412</x:v>
      </x:c>
      <x:c r="B3415" s="16" t="str">
        <x:v>Izfareshal👨‍👩‍👧 Adjuster Zurich</x:v>
      </x:c>
      <x:c r="C3415" s="16" t="str"/>
      <x:c r="D3415" s="16" t="str"/>
      <x:c r="E3415" s="16" t="str">
        <x:v>* myContacts</x:v>
      </x:c>
      <x:c r="F3415" s="16" t="str">
        <x:v>+60 13-311 5613 | +60133115613</x:v>
      </x:c>
      <x:c r="G3415" s="16" t="str">
        <x:v>+60133115613 | +60133115613</x:v>
      </x:c>
      <x:c r="H3415" s="16" t="str">
        <x:v>Excluded</x:v>
      </x:c>
      <x:c r="I3415" s="16" t="str">
        <x:v>Missing email</x:v>
      </x:c>
    </x:row>
    <x:row r="3416">
      <x:c r="A3416" s="16" t="n">
        <x:v>3413</x:v>
      </x:c>
      <x:c r="B3416" s="16" t="str">
        <x:v>Dr Izham Shah INSKEN</x:v>
      </x:c>
      <x:c r="C3416" s="16" t="str"/>
      <x:c r="D3416" s="16" t="str"/>
      <x:c r="E3416" s="16" t="str">
        <x:v>Alumni INSKEN | * myContacts</x:v>
      </x:c>
      <x:c r="F3416" s="16" t="str">
        <x:v>+60 11-1875 4168</x:v>
      </x:c>
      <x:c r="G3416" s="16" t="str">
        <x:v>+601118754168</x:v>
      </x:c>
      <x:c r="H3416" s="16" t="str">
        <x:v>Excluded</x:v>
      </x:c>
      <x:c r="I3416" s="16" t="str">
        <x:v>Missing email</x:v>
      </x:c>
    </x:row>
    <x:row r="3417">
      <x:c r="A3417" s="16" t="n">
        <x:v>3414</x:v>
      </x:c>
      <x:c r="B3417" s="16" t="str">
        <x:v>Izhar Nazari</x:v>
      </x:c>
      <x:c r="C3417" s="16" t="str"/>
      <x:c r="D3417" s="16" t="str"/>
      <x:c r="E3417" s="16" t="str">
        <x:v>* myContacts</x:v>
      </x:c>
      <x:c r="F3417" s="16" t="str">
        <x:v>+60147468136</x:v>
      </x:c>
      <x:c r="G3417" s="16" t="str">
        <x:v>+60147468136</x:v>
      </x:c>
      <x:c r="H3417" s="16" t="str">
        <x:v>Excluded</x:v>
      </x:c>
      <x:c r="I3417" s="16" t="str">
        <x:v>Missing email</x:v>
      </x:c>
    </x:row>
    <x:row r="3418">
      <x:c r="A3418" s="16" t="n">
        <x:v>3415</x:v>
      </x:c>
      <x:c r="B3418" s="16" t="str">
        <x:v>Izhar Travel Andalusia</x:v>
      </x:c>
      <x:c r="C3418" s="16" t="str"/>
      <x:c r="D3418" s="16" t="str"/>
      <x:c r="E3418" s="16" t="str">
        <x:v>* myContacts</x:v>
      </x:c>
      <x:c r="F3418" s="16" t="str">
        <x:v>013-259 9383 | +60132599383</x:v>
      </x:c>
      <x:c r="G3418" s="16" t="str">
        <x:v>+60132599383 | +60132599383</x:v>
      </x:c>
      <x:c r="H3418" s="16" t="str">
        <x:v>Excluded</x:v>
      </x:c>
      <x:c r="I3418" s="16" t="str">
        <x:v>Missing email</x:v>
      </x:c>
    </x:row>
    <x:row r="3419">
      <x:c r="A3419" s="16" t="n">
        <x:v>3416</x:v>
      </x:c>
      <x:c r="B3419" s="16" t="str">
        <x:v>Izraff Ashraff</x:v>
      </x:c>
      <x:c r="C3419" s="16" t="str"/>
      <x:c r="D3419" s="16" t="str"/>
      <x:c r="E3419" s="16" t="str">
        <x:v>* myContacts</x:v>
      </x:c>
      <x:c r="F3419" s="16" t="str">
        <x:v>+60139488553</x:v>
      </x:c>
      <x:c r="G3419" s="16" t="str">
        <x:v>+60139488553</x:v>
      </x:c>
      <x:c r="H3419" s="16" t="str">
        <x:v>Excluded</x:v>
      </x:c>
      <x:c r="I3419" s="16" t="str">
        <x:v>Missing email</x:v>
      </x:c>
    </x:row>
    <x:row r="3420">
      <x:c r="A3420" s="16" t="n">
        <x:v>3417</x:v>
      </x:c>
      <x:c r="B3420" s="16" t="str">
        <x:v>Izral Roslan</x:v>
      </x:c>
      <x:c r="C3420" s="16" t="str"/>
      <x:c r="D3420" s="16" t="str"/>
      <x:c r="E3420" s="16" t="str">
        <x:v>* myContacts</x:v>
      </x:c>
      <x:c r="F3420" s="16" t="str">
        <x:v>+60194569475</x:v>
      </x:c>
      <x:c r="G3420" s="16" t="str">
        <x:v>+60194569475</x:v>
      </x:c>
      <x:c r="H3420" s="16" t="str">
        <x:v>Excluded</x:v>
      </x:c>
      <x:c r="I3420" s="16" t="str">
        <x:v>Missing email</x:v>
      </x:c>
    </x:row>
    <x:row r="3421">
      <x:c r="A3421" s="16" t="n">
        <x:v>3418</x:v>
      </x:c>
      <x:c r="B3421" s="16" t="str">
        <x:v>Izreen Ainaa Atiqah</x:v>
      </x:c>
      <x:c r="C3421" s="16" t="str"/>
      <x:c r="D3421" s="16" t="str"/>
      <x:c r="E3421" s="16" t="str">
        <x:v>* myContacts</x:v>
      </x:c>
      <x:c r="F3421" s="16" t="str">
        <x:v>+60122210364</x:v>
      </x:c>
      <x:c r="G3421" s="16" t="str">
        <x:v>+60122210364</x:v>
      </x:c>
      <x:c r="H3421" s="16" t="str">
        <x:v>Excluded</x:v>
      </x:c>
      <x:c r="I3421" s="16" t="str">
        <x:v>Missing email</x:v>
      </x:c>
    </x:row>
    <x:row r="3422">
      <x:c r="A3422" s="16" t="n">
        <x:v>3419</x:v>
      </x:c>
      <x:c r="B3422" s="16" t="str">
        <x:v>Izuan Bakar</x:v>
      </x:c>
      <x:c r="C3422" s="16" t="str"/>
      <x:c r="D3422" s="16" t="str"/>
      <x:c r="E3422" s="16" t="str">
        <x:v>* myContacts</x:v>
      </x:c>
      <x:c r="F3422" s="16" t="str">
        <x:v>+60 12-796 4080 | +60127964080</x:v>
      </x:c>
      <x:c r="G3422" s="16" t="str">
        <x:v>+60127964080 | +60127964080</x:v>
      </x:c>
      <x:c r="H3422" s="16" t="str">
        <x:v>Excluded</x:v>
      </x:c>
      <x:c r="I3422" s="16" t="str">
        <x:v>Missing email</x:v>
      </x:c>
    </x:row>
    <x:row r="3423">
      <x:c r="A3423" s="16" t="n">
        <x:v>3420</x:v>
      </x:c>
      <x:c r="B3423" s="16" t="str">
        <x:v>Izwan Abdul Rahman</x:v>
      </x:c>
      <x:c r="C3423" s="16" t="str"/>
      <x:c r="D3423" s="16" t="str"/>
      <x:c r="E3423" s="16" t="str">
        <x:v>* myContacts</x:v>
      </x:c>
      <x:c r="F3423" s="16" t="str">
        <x:v>+60182425089</x:v>
      </x:c>
      <x:c r="G3423" s="16" t="str">
        <x:v>+60182425089</x:v>
      </x:c>
      <x:c r="H3423" s="16" t="str">
        <x:v>Excluded</x:v>
      </x:c>
      <x:c r="I3423" s="16" t="str">
        <x:v>Missing email</x:v>
      </x:c>
    </x:row>
    <x:row r="3424">
      <x:c r="A3424" s="16" t="n">
        <x:v>3421</x:v>
      </x:c>
      <x:c r="B3424" s="16" t="str">
        <x:v>Izwan Azmi</x:v>
      </x:c>
      <x:c r="C3424" s="16" t="str"/>
      <x:c r="D3424" s="16" t="str"/>
      <x:c r="E3424" s="16" t="str">
        <x:v>* myContacts</x:v>
      </x:c>
      <x:c r="F3424" s="16" t="str">
        <x:v>+60128595936</x:v>
      </x:c>
      <x:c r="G3424" s="16" t="str">
        <x:v>+60128595936</x:v>
      </x:c>
      <x:c r="H3424" s="16" t="str">
        <x:v>Excluded</x:v>
      </x:c>
      <x:c r="I3424" s="16" t="str">
        <x:v>Missing email</x:v>
      </x:c>
    </x:row>
    <x:row r="3425">
      <x:c r="A3425" s="16" t="n">
        <x:v>3422</x:v>
      </x:c>
      <x:c r="B3425" s="16" t="str">
        <x:v>Izwan Hamzi</x:v>
      </x:c>
      <x:c r="C3425" s="16" t="str"/>
      <x:c r="D3425" s="16" t="str"/>
      <x:c r="E3425" s="16" t="str">
        <x:v>* myContacts</x:v>
      </x:c>
      <x:c r="F3425" s="16" t="str">
        <x:v>+60169399636</x:v>
      </x:c>
      <x:c r="G3425" s="16" t="str">
        <x:v>+60169399636</x:v>
      </x:c>
      <x:c r="H3425" s="16" t="str">
        <x:v>Excluded</x:v>
      </x:c>
      <x:c r="I3425" s="16" t="str">
        <x:v>Missing email</x:v>
      </x:c>
    </x:row>
    <x:row r="3426">
      <x:c r="A3426" s="16" t="n">
        <x:v>3423</x:v>
      </x:c>
      <x:c r="B3426" s="16" t="str">
        <x:v>Izwan Programmer BDA</x:v>
      </x:c>
      <x:c r="C3426" s="16" t="str"/>
      <x:c r="D3426" s="16" t="str"/>
      <x:c r="E3426" s="16" t="str">
        <x:v>* myContacts</x:v>
      </x:c>
      <x:c r="F3426" s="16" t="str">
        <x:v>011-1578 4070 | +601115784070 | 0192436092</x:v>
      </x:c>
      <x:c r="G3426" s="16" t="str">
        <x:v>+601115784070 | +601115784070 | +60192436092</x:v>
      </x:c>
      <x:c r="H3426" s="16" t="str">
        <x:v>Excluded</x:v>
      </x:c>
      <x:c r="I3426" s="16" t="str">
        <x:v>Missing email</x:v>
      </x:c>
    </x:row>
    <x:row r="3427">
      <x:c r="A3427" s="16" t="n">
        <x:v>3424</x:v>
      </x:c>
      <x:c r="B3427" s="16" t="str">
        <x:v>Izwan Trainer Mdec</x:v>
      </x:c>
      <x:c r="C3427" s="16" t="str"/>
      <x:c r="D3427" s="16" t="str"/>
      <x:c r="E3427" s="16" t="str">
        <x:v>* myContacts</x:v>
      </x:c>
      <x:c r="F3427" s="16" t="str">
        <x:v>+60 11-1034 3110 | +601110343110</x:v>
      </x:c>
      <x:c r="G3427" s="16" t="str">
        <x:v>+601110343110 | +601110343110</x:v>
      </x:c>
      <x:c r="H3427" s="16" t="str">
        <x:v>Excluded</x:v>
      </x:c>
      <x:c r="I3427" s="16" t="str">
        <x:v>Missing email</x:v>
      </x:c>
    </x:row>
    <x:row r="3428">
      <x:c r="A3428" s="16" t="n">
        <x:v>3425</x:v>
      </x:c>
      <x:c r="B3428" s="16" t="str">
        <x:v>Izwan UTM</x:v>
      </x:c>
      <x:c r="C3428" s="16" t="str"/>
      <x:c r="D3428" s="16" t="str"/>
      <x:c r="E3428" s="16" t="str">
        <x:v>* myContacts</x:v>
      </x:c>
      <x:c r="F3428" s="16" t="str">
        <x:v>+60 16-209 9969 | +60162099969</x:v>
      </x:c>
      <x:c r="G3428" s="16" t="str">
        <x:v>+60162099969 | +60162099969</x:v>
      </x:c>
      <x:c r="H3428" s="16" t="str">
        <x:v>Excluded</x:v>
      </x:c>
      <x:c r="I3428" s="16" t="str">
        <x:v>Missing email</x:v>
      </x:c>
    </x:row>
    <x:row r="3429">
      <x:c r="A3429" s="16" t="n">
        <x:v>3426</x:v>
      </x:c>
      <x:c r="B3429" s="16" t="str">
        <x:v>Izyan Sulaiman</x:v>
      </x:c>
      <x:c r="C3429" s="16" t="str"/>
      <x:c r="D3429" s="16" t="str"/>
      <x:c r="E3429" s="16" t="str">
        <x:v>* myContacts</x:v>
      </x:c>
      <x:c r="F3429" s="16" t="str">
        <x:v>+60109888168</x:v>
      </x:c>
      <x:c r="G3429" s="16" t="str">
        <x:v>+60109888168</x:v>
      </x:c>
      <x:c r="H3429" s="16" t="str">
        <x:v>Excluded</x:v>
      </x:c>
      <x:c r="I3429" s="16" t="str">
        <x:v>Missing email</x:v>
      </x:c>
    </x:row>
    <x:row r="3430">
      <x:c r="A3430" s="16" t="n">
        <x:v>3427</x:v>
      </x:c>
      <x:c r="B3430" s="16" t="str">
        <x:v>Izyan Zetty</x:v>
      </x:c>
      <x:c r="C3430" s="16" t="str"/>
      <x:c r="D3430" s="16" t="str"/>
      <x:c r="E3430" s="16" t="str">
        <x:v>* myContacts</x:v>
      </x:c>
      <x:c r="F3430" s="16" t="str">
        <x:v>+601137404793</x:v>
      </x:c>
      <x:c r="G3430" s="16" t="str">
        <x:v>+601137404793</x:v>
      </x:c>
      <x:c r="H3430" s="16" t="str">
        <x:v>Excluded</x:v>
      </x:c>
      <x:c r="I3430" s="16" t="str">
        <x:v>Missing email</x:v>
      </x:c>
    </x:row>
    <x:row r="3431">
      <x:c r="A3431" s="16" t="n">
        <x:v>3428</x:v>
      </x:c>
      <x:c r="B3431" s="16" t="str">
        <x:v>Izz Ayden</x:v>
      </x:c>
      <x:c r="C3431" s="16" t="str"/>
      <x:c r="D3431" s="16" t="str"/>
      <x:c r="E3431" s="16" t="str">
        <x:v>* myContacts</x:v>
      </x:c>
      <x:c r="F3431" s="16" t="str">
        <x:v>+60145145164</x:v>
      </x:c>
      <x:c r="G3431" s="16" t="str">
        <x:v>+60145145164</x:v>
      </x:c>
      <x:c r="H3431" s="16" t="str">
        <x:v>Excluded</x:v>
      </x:c>
      <x:c r="I3431" s="16" t="str">
        <x:v>Missing email</x:v>
      </x:c>
    </x:row>
    <x:row r="3432">
      <x:c r="A3432" s="16" t="n">
        <x:v>3429</x:v>
      </x:c>
      <x:c r="B3432" s="16" t="str">
        <x:v>Izza Illa</x:v>
      </x:c>
      <x:c r="C3432" s="16" t="str"/>
      <x:c r="D3432" s="16" t="str"/>
      <x:c r="E3432" s="16" t="str">
        <x:v>* myContacts</x:v>
      </x:c>
      <x:c r="F3432" s="16" t="str">
        <x:v>+60145326538</x:v>
      </x:c>
      <x:c r="G3432" s="16" t="str">
        <x:v>+60145326538</x:v>
      </x:c>
      <x:c r="H3432" s="16" t="str">
        <x:v>Excluded</x:v>
      </x:c>
      <x:c r="I3432" s="16" t="str">
        <x:v>Missing email</x:v>
      </x:c>
    </x:row>
    <x:row r="3433">
      <x:c r="A3433" s="16" t="n">
        <x:v>3430</x:v>
      </x:c>
      <x:c r="B3433" s="16" t="str">
        <x:v>Izzat bos abaata</x:v>
      </x:c>
      <x:c r="C3433" s="16" t="str"/>
      <x:c r="D3433" s="16" t="str"/>
      <x:c r="E3433" s="16" t="str">
        <x:v>* myContacts</x:v>
      </x:c>
      <x:c r="F3433" s="16" t="str">
        <x:v>60124111125</x:v>
      </x:c>
      <x:c r="G3433" s="16" t="str">
        <x:v>+60124111125</x:v>
      </x:c>
      <x:c r="H3433" s="16" t="str">
        <x:v>Excluded</x:v>
      </x:c>
      <x:c r="I3433" s="16" t="str">
        <x:v>Missing email</x:v>
      </x:c>
    </x:row>
    <x:row r="3434">
      <x:c r="A3434" s="16" t="n">
        <x:v>3431</x:v>
      </x:c>
      <x:c r="B3434" s="16" t="str">
        <x:v>Izzat Bosss Emarketplace Helpy</x:v>
      </x:c>
      <x:c r="C3434" s="16" t="str"/>
      <x:c r="D3434" s="16" t="str"/>
      <x:c r="E3434" s="16" t="str">
        <x:v>* myContacts</x:v>
      </x:c>
      <x:c r="F3434" s="16" t="str">
        <x:v>+60 18-944 2262 | +60189442262</x:v>
      </x:c>
      <x:c r="G3434" s="16" t="str">
        <x:v>+60189442262 | +60189442262</x:v>
      </x:c>
      <x:c r="H3434" s="16" t="str">
        <x:v>Excluded</x:v>
      </x:c>
      <x:c r="I3434" s="16" t="str">
        <x:v>Missing email</x:v>
      </x:c>
    </x:row>
    <x:row r="3435">
      <x:c r="A3435" s="16" t="n">
        <x:v>3432</x:v>
      </x:c>
      <x:c r="B3435" s="16" t="str">
        <x:v>Izzat Jdt</x:v>
      </x:c>
      <x:c r="C3435" s="16" t="str"/>
      <x:c r="D3435" s="16" t="str"/>
      <x:c r="E3435" s="16" t="str">
        <x:v>* myContacts</x:v>
      </x:c>
      <x:c r="F3435" s="16" t="str">
        <x:v>+60103086399</x:v>
      </x:c>
      <x:c r="G3435" s="16" t="str">
        <x:v>+60103086399</x:v>
      </x:c>
      <x:c r="H3435" s="16" t="str">
        <x:v>Excluded</x:v>
      </x:c>
      <x:c r="I3435" s="16" t="str">
        <x:v>Missing email</x:v>
      </x:c>
    </x:row>
    <x:row r="3436">
      <x:c r="A3436" s="16" t="n">
        <x:v>3433</x:v>
      </x:c>
      <x:c r="B3436" s="16" t="str">
        <x:v>Izzati Pakar Korea</x:v>
      </x:c>
      <x:c r="C3436" s="16" t="str"/>
      <x:c r="D3436" s="16" t="str"/>
      <x:c r="E3436" s="16" t="str">
        <x:v>* myContacts</x:v>
      </x:c>
      <x:c r="F3436" s="16" t="str">
        <x:v>01115789400 | +601115789400</x:v>
      </x:c>
      <x:c r="G3436" s="16" t="str">
        <x:v>+601115789400 | +601115789400</x:v>
      </x:c>
      <x:c r="H3436" s="16" t="str">
        <x:v>Excluded</x:v>
      </x:c>
      <x:c r="I3436" s="16" t="str">
        <x:v>Missing email</x:v>
      </x:c>
    </x:row>
    <x:row r="3437">
      <x:c r="A3437" s="16" t="n">
        <x:v>3434</x:v>
      </x:c>
      <x:c r="B3437" s="16" t="str">
        <x:v>Izzaty Aziz</x:v>
      </x:c>
      <x:c r="C3437" s="16" t="str"/>
      <x:c r="D3437" s="16" t="str"/>
      <x:c r="E3437" s="16" t="str">
        <x:v>* myContacts</x:v>
      </x:c>
      <x:c r="F3437" s="16" t="str">
        <x:v>+60139707795</x:v>
      </x:c>
      <x:c r="G3437" s="16" t="str">
        <x:v>+60139707795</x:v>
      </x:c>
      <x:c r="H3437" s="16" t="str">
        <x:v>Excluded</x:v>
      </x:c>
      <x:c r="I3437" s="16" t="str">
        <x:v>Missing email</x:v>
      </x:c>
    </x:row>
    <x:row r="3438">
      <x:c r="A3438" s="16" t="n">
        <x:v>3435</x:v>
      </x:c>
      <x:c r="B3438" s="16" t="str">
        <x:v>Izzaty Mdec Eusahawan Staff</x:v>
      </x:c>
      <x:c r="C3438" s="16" t="str"/>
      <x:c r="D3438" s="16" t="str"/>
      <x:c r="E3438" s="16" t="str">
        <x:v>* myContacts</x:v>
      </x:c>
      <x:c r="F3438" s="16" t="str">
        <x:v>+60 10-980 5710 | +60109805710</x:v>
      </x:c>
      <x:c r="G3438" s="16" t="str">
        <x:v>+60109805710 | +60109805710</x:v>
      </x:c>
      <x:c r="H3438" s="16" t="str">
        <x:v>Excluded</x:v>
      </x:c>
      <x:c r="I3438" s="16" t="str">
        <x:v>Missing email</x:v>
      </x:c>
    </x:row>
    <x:row r="3439">
      <x:c r="A3439" s="16" t="n">
        <x:v>3436</x:v>
      </x:c>
      <x:c r="B3439" s="16" t="str">
        <x:v>Izzuddin TheKing</x:v>
      </x:c>
      <x:c r="C3439" s="16" t="str"/>
      <x:c r="D3439" s="16" t="str"/>
      <x:c r="E3439" s="16" t="str">
        <x:v>* myContacts</x:v>
      </x:c>
      <x:c r="F3439" s="16" t="str">
        <x:v>+60197511278</x:v>
      </x:c>
      <x:c r="G3439" s="16" t="str">
        <x:v>+60197511278</x:v>
      </x:c>
      <x:c r="H3439" s="16" t="str">
        <x:v>Excluded</x:v>
      </x:c>
      <x:c r="I3439" s="16" t="str">
        <x:v>Missing email</x:v>
      </x:c>
    </x:row>
    <x:row r="3440">
      <x:c r="A3440" s="16" t="n">
        <x:v>3437</x:v>
      </x:c>
      <x:c r="B3440" s="16" t="str">
        <x:v>Izzul Syazani Saas Expert</x:v>
      </x:c>
      <x:c r="C3440" s="16" t="str"/>
      <x:c r="D3440" s="16" t="str"/>
      <x:c r="E3440" s="16" t="str">
        <x:v>* myContacts</x:v>
      </x:c>
      <x:c r="F3440" s="16" t="str">
        <x:v>+60 12-740 0421 | +60127400421</x:v>
      </x:c>
      <x:c r="G3440" s="16" t="str">
        <x:v>+60127400421 | +60127400421</x:v>
      </x:c>
      <x:c r="H3440" s="16" t="str">
        <x:v>Excluded</x:v>
      </x:c>
      <x:c r="I3440" s="16" t="str">
        <x:v>Missing email</x:v>
      </x:c>
    </x:row>
    <x:row r="3441">
      <x:c r="A3441" s="16" t="n">
        <x:v>3438</x:v>
      </x:c>
      <x:c r="B3441" s="16" t="str">
        <x:v>Dr J Akaunting Expert</x:v>
      </x:c>
      <x:c r="C3441" s="16" t="str"/>
      <x:c r="D3441" s="16" t="str"/>
      <x:c r="E3441" s="16" t="str">
        <x:v>* myContacts</x:v>
      </x:c>
      <x:c r="F3441" s="16" t="str">
        <x:v>+60182318305</x:v>
      </x:c>
      <x:c r="G3441" s="16" t="str">
        <x:v>+60182318305</x:v>
      </x:c>
      <x:c r="H3441" s="16" t="str">
        <x:v>Excluded</x:v>
      </x:c>
      <x:c r="I3441" s="16" t="str">
        <x:v>Missing email</x:v>
      </x:c>
    </x:row>
    <x:row r="3442">
      <x:c r="A3442" s="16" t="n">
        <x:v>3439</x:v>
      </x:c>
      <x:c r="B3442" s="16" t="str">
        <x:v>Ja Pok Loh</x:v>
      </x:c>
      <x:c r="C3442" s="16" t="str"/>
      <x:c r="D3442" s="16" t="str"/>
      <x:c r="E3442" s="16" t="str">
        <x:v>* myContacts</x:v>
      </x:c>
      <x:c r="F3442" s="16" t="str">
        <x:v>+60199348524</x:v>
      </x:c>
      <x:c r="G3442" s="16" t="str">
        <x:v>+60199348524</x:v>
      </x:c>
      <x:c r="H3442" s="16" t="str">
        <x:v>Excluded</x:v>
      </x:c>
      <x:c r="I3442" s="16" t="str">
        <x:v>Missing email</x:v>
      </x:c>
    </x:row>
    <x:row r="3443">
      <x:c r="A3443" s="16" t="n">
        <x:v>3440</x:v>
      </x:c>
      <x:c r="B3443" s="16" t="str">
        <x:v>Jaafar Hearing Aid</x:v>
      </x:c>
      <x:c r="C3443" s="16" t="str"/>
      <x:c r="D3443" s="16" t="str"/>
      <x:c r="E3443" s="16" t="str">
        <x:v>* myContacts</x:v>
      </x:c>
      <x:c r="F3443" s="16" t="str">
        <x:v>0193291732 | +60193291732</x:v>
      </x:c>
      <x:c r="G3443" s="16" t="str">
        <x:v>+60193291732 | +60193291732</x:v>
      </x:c>
      <x:c r="H3443" s="16" t="str">
        <x:v>Excluded</x:v>
      </x:c>
      <x:c r="I3443" s="16" t="str">
        <x:v>Missing email</x:v>
      </x:c>
    </x:row>
    <x:row r="3444">
      <x:c r="A3444" s="16" t="n">
        <x:v>3441</x:v>
      </x:c>
      <x:c r="B3444" s="16" t="str">
        <x:v>Jaafar kanaz marketing</x:v>
      </x:c>
      <x:c r="C3444" s="16" t="str"/>
      <x:c r="D3444" s="16" t="str"/>
      <x:c r="E3444" s="16" t="str">
        <x:v>* myContacts</x:v>
      </x:c>
      <x:c r="F3444" s="16" t="str">
        <x:v>+60 18-298 0256 | +60182980256</x:v>
      </x:c>
      <x:c r="G3444" s="16" t="str">
        <x:v>+60182980256 | +60182980256</x:v>
      </x:c>
      <x:c r="H3444" s="16" t="str">
        <x:v>Excluded</x:v>
      </x:c>
      <x:c r="I3444" s="16" t="str">
        <x:v>Missing email</x:v>
      </x:c>
    </x:row>
    <x:row r="3445">
      <x:c r="A3445" s="16" t="n">
        <x:v>3442</x:v>
      </x:c>
      <x:c r="B3445" s="16" t="str">
        <x:v>Jabir Doing</x:v>
      </x:c>
      <x:c r="C3445" s="16" t="str"/>
      <x:c r="D3445" s="16" t="str"/>
      <x:c r="E3445" s="16" t="str">
        <x:v>* myContacts</x:v>
      </x:c>
      <x:c r="F3445" s="16" t="str">
        <x:v>+60145640658</x:v>
      </x:c>
      <x:c r="G3445" s="16" t="str">
        <x:v>+60145640658</x:v>
      </x:c>
      <x:c r="H3445" s="16" t="str">
        <x:v>Excluded</x:v>
      </x:c>
      <x:c r="I3445" s="16" t="str">
        <x:v>Missing email</x:v>
      </x:c>
    </x:row>
    <x:row r="3446">
      <x:c r="A3446" s="16" t="n">
        <x:v>3443</x:v>
      </x:c>
      <x:c r="B3446" s="16" t="str">
        <x:v>Jacey@tiktok</x:v>
      </x:c>
      <x:c r="C3446" s="16" t="str"/>
      <x:c r="D3446" s="16" t="str"/>
      <x:c r="E3446" s="16" t="str">
        <x:v>* myContacts</x:v>
      </x:c>
      <x:c r="F3446" s="16" t="str">
        <x:v>+6591466758</x:v>
      </x:c>
      <x:c r="G3446" s="16" t="str">
        <x:v>+6591466758</x:v>
      </x:c>
      <x:c r="H3446" s="16" t="str">
        <x:v>Excluded</x:v>
      </x:c>
      <x:c r="I3446" s="16" t="str">
        <x:v>Missing email</x:v>
      </x:c>
    </x:row>
    <x:row r="3447">
      <x:c r="A3447" s="16" t="n">
        <x:v>3444</x:v>
      </x:c>
      <x:c r="B3447" s="16" t="str">
        <x:v>jack</x:v>
      </x:c>
      <x:c r="C3447" s="16" t="str"/>
      <x:c r="D3447" s="16" t="str"/>
      <x:c r="E3447" s="16" t="str">
        <x:v>* myContacts</x:v>
      </x:c>
      <x:c r="F3447" s="16" t="str">
        <x:v>012 944 1711 | +60129441711 | 016 955 0505</x:v>
      </x:c>
      <x:c r="G3447" s="16" t="str">
        <x:v>+60129441711 | +60129441711 | +60169550505</x:v>
      </x:c>
      <x:c r="H3447" s="16" t="str">
        <x:v>Excluded</x:v>
      </x:c>
      <x:c r="I3447" s="16" t="str">
        <x:v>Missing email</x:v>
      </x:c>
    </x:row>
    <x:row r="3448">
      <x:c r="A3448" s="16" t="n">
        <x:v>3445</x:v>
      </x:c>
      <x:c r="B3448" s="16" t="str">
        <x:v>Jacky Tay</x:v>
      </x:c>
      <x:c r="C3448" s="16" t="str"/>
      <x:c r="D3448" s="16" t="str"/>
      <x:c r="E3448" s="16" t="str">
        <x:v>* myContacts</x:v>
      </x:c>
      <x:c r="F3448" s="16" t="str">
        <x:v>+60138395588</x:v>
      </x:c>
      <x:c r="G3448" s="16" t="str">
        <x:v>+60138395588</x:v>
      </x:c>
      <x:c r="H3448" s="16" t="str">
        <x:v>Excluded</x:v>
      </x:c>
      <x:c r="I3448" s="16" t="str">
        <x:v>Missing email</x:v>
      </x:c>
    </x:row>
    <x:row r="3449">
      <x:c r="A3449" s="16" t="n">
        <x:v>3446</x:v>
      </x:c>
      <x:c r="B3449" s="16" t="str">
        <x:v>Jafri Bakar AGP</x:v>
      </x:c>
      <x:c r="C3449" s="16" t="str"/>
      <x:c r="D3449" s="16" t="str"/>
      <x:c r="E3449" s="16" t="str">
        <x:v>* myContacts</x:v>
      </x:c>
      <x:c r="F3449" s="16" t="str">
        <x:v>+60 12-751 2034 | +60127512034</x:v>
      </x:c>
      <x:c r="G3449" s="16" t="str">
        <x:v>+60127512034 | +60127512034</x:v>
      </x:c>
      <x:c r="H3449" s="16" t="str">
        <x:v>Excluded</x:v>
      </x:c>
      <x:c r="I3449" s="16" t="str">
        <x:v>Missing email</x:v>
      </x:c>
    </x:row>
    <x:row r="3450">
      <x:c r="A3450" s="16" t="n">
        <x:v>3447</x:v>
      </x:c>
      <x:c r="B3450" s="16" t="str">
        <x:v>Jafrydin Bin Abdul Jalil</x:v>
      </x:c>
      <x:c r="C3450" s="16" t="str"/>
      <x:c r="D3450" s="16" t="str"/>
      <x:c r="E3450" s="16" t="str">
        <x:v>* myContacts</x:v>
      </x:c>
      <x:c r="F3450" s="16" t="str">
        <x:v>+60199888669</x:v>
      </x:c>
      <x:c r="G3450" s="16" t="str">
        <x:v>+60199888669</x:v>
      </x:c>
      <x:c r="H3450" s="16" t="str">
        <x:v>Excluded</x:v>
      </x:c>
      <x:c r="I3450" s="16" t="str">
        <x:v>Missing email</x:v>
      </x:c>
    </x:row>
    <x:row r="3451">
      <x:c r="A3451" s="16" t="n">
        <x:v>3448</x:v>
      </x:c>
      <x:c r="B3451" s="16" t="str">
        <x:v>Client Jafrydin Bin Abdul Jalil</x:v>
      </x:c>
      <x:c r="C3451" s="16" t="str"/>
      <x:c r="D3451" s="16" t="str"/>
      <x:c r="E3451" s="16" t="str">
        <x:v>* myContacts</x:v>
      </x:c>
      <x:c r="F3451" s="16" t="str">
        <x:v>0199888669</x:v>
      </x:c>
      <x:c r="G3451" s="16" t="str">
        <x:v>+60199888669</x:v>
      </x:c>
      <x:c r="H3451" s="16" t="str">
        <x:v>Excluded</x:v>
      </x:c>
      <x:c r="I3451" s="16" t="str">
        <x:v>Missing email</x:v>
      </x:c>
    </x:row>
    <x:row r="3452">
      <x:c r="A3452" s="16" t="n">
        <x:v>3449</x:v>
      </x:c>
      <x:c r="B3452" s="16" t="str">
        <x:v>Jahaludin BDA</x:v>
      </x:c>
      <x:c r="C3452" s="16" t="str"/>
      <x:c r="D3452" s="16" t="str"/>
      <x:c r="E3452" s="16" t="str">
        <x:v>* myContacts</x:v>
      </x:c>
      <x:c r="F3452" s="16" t="str">
        <x:v>0192111717 | +60192111717</x:v>
      </x:c>
      <x:c r="G3452" s="16" t="str">
        <x:v>+60192111717 | +60192111717</x:v>
      </x:c>
      <x:c r="H3452" s="16" t="str">
        <x:v>Excluded</x:v>
      </x:c>
      <x:c r="I3452" s="16" t="str">
        <x:v>Missing email</x:v>
      </x:c>
    </x:row>
    <x:row r="3453">
      <x:c r="A3453" s="16" t="n">
        <x:v>3450</x:v>
      </x:c>
      <x:c r="B3453" s="16" t="str">
        <x:v>Jaharudin Mat Ron</x:v>
      </x:c>
      <x:c r="C3453" s="16" t="str">
        <x:v>jazatech2016@gmail.com</x:v>
      </x:c>
      <x:c r="D3453" s="16" t="str">
        <x:v>jazatech2016@gmail.com</x:v>
      </x:c>
      <x:c r="E3453" s="16" t="str">
        <x:v>* myContacts</x:v>
      </x:c>
      <x:c r="F3453" s="16" t="str">
        <x:v>+60192146995 | +60 10-630 9938</x:v>
      </x:c>
      <x:c r="G3453" s="16" t="str">
        <x:v>+60192146995 | +60106309938</x:v>
      </x:c>
      <x:c r="H3453" s="16" t="str">
        <x:v>Eligible</x:v>
      </x:c>
      <x:c r="I3453" s="16" t="str"/>
    </x:row>
    <x:row r="3454">
      <x:c r="A3454" s="16" t="n">
        <x:v>3451</x:v>
      </x:c>
      <x:c r="B3454" s="16" t="str">
        <x:v>Jai Al Ansar</x:v>
      </x:c>
      <x:c r="C3454" s="16" t="str"/>
      <x:c r="D3454" s="16" t="str"/>
      <x:c r="E3454" s="16" t="str">
        <x:v>* myContacts</x:v>
      </x:c>
      <x:c r="F3454" s="16" t="str">
        <x:v>+60 16-342 2067 | +60163422067</x:v>
      </x:c>
      <x:c r="G3454" s="16" t="str">
        <x:v>+60163422067 | +60163422067</x:v>
      </x:c>
      <x:c r="H3454" s="16" t="str">
        <x:v>Excluded</x:v>
      </x:c>
      <x:c r="I3454" s="16" t="str">
        <x:v>Missing email</x:v>
      </x:c>
    </x:row>
    <x:row r="3455">
      <x:c r="A3455" s="16" t="n">
        <x:v>3452</x:v>
      </x:c>
      <x:c r="B3455" s="16" t="str">
        <x:v>Jai Buat Rumah</x:v>
      </x:c>
      <x:c r="C3455" s="16" t="str"/>
      <x:c r="D3455" s="16" t="str"/>
      <x:c r="E3455" s="16" t="str">
        <x:v>* myContacts</x:v>
      </x:c>
      <x:c r="F3455" s="16" t="str">
        <x:v>01123298245 | +601123298245</x:v>
      </x:c>
      <x:c r="G3455" s="16" t="str">
        <x:v>+601123298245 | +601123298245</x:v>
      </x:c>
      <x:c r="H3455" s="16" t="str">
        <x:v>Excluded</x:v>
      </x:c>
      <x:c r="I3455" s="16" t="str">
        <x:v>Missing email</x:v>
      </x:c>
    </x:row>
    <x:row r="3456">
      <x:c r="A3456" s="16" t="n">
        <x:v>3453</x:v>
      </x:c>
      <x:c r="B3456" s="16" t="str">
        <x:v>Jai Ipoh</x:v>
      </x:c>
      <x:c r="C3456" s="16" t="str"/>
      <x:c r="D3456" s="16" t="str"/>
      <x:c r="E3456" s="16" t="str">
        <x:v>* myContacts</x:v>
      </x:c>
      <x:c r="F3456" s="16" t="str">
        <x:v>0195945452 | +60195945452</x:v>
      </x:c>
      <x:c r="G3456" s="16" t="str">
        <x:v>+60195945452 | +60195945452</x:v>
      </x:c>
      <x:c r="H3456" s="16" t="str">
        <x:v>Excluded</x:v>
      </x:c>
      <x:c r="I3456" s="16" t="str">
        <x:v>Missing email</x:v>
      </x:c>
    </x:row>
    <x:row r="3457">
      <x:c r="A3457" s="16" t="n">
        <x:v>3454</x:v>
      </x:c>
      <x:c r="B3457" s="16" t="str">
        <x:v>Jai Mohd JB</x:v>
      </x:c>
      <x:c r="C3457" s="16" t="str"/>
      <x:c r="D3457" s="16" t="str"/>
      <x:c r="E3457" s="16" t="str">
        <x:v>* myContacts</x:v>
      </x:c>
      <x:c r="F3457" s="16" t="str">
        <x:v>+60107752575</x:v>
      </x:c>
      <x:c r="G3457" s="16" t="str">
        <x:v>+60107752575</x:v>
      </x:c>
      <x:c r="H3457" s="16" t="str">
        <x:v>Excluded</x:v>
      </x:c>
      <x:c r="I3457" s="16" t="str">
        <x:v>Missing email</x:v>
      </x:c>
    </x:row>
    <x:row r="3458">
      <x:c r="A3458" s="16" t="n">
        <x:v>3455</x:v>
      </x:c>
      <x:c r="B3458" s="16" t="str">
        <x:v>Jainah Goo Ongubing</x:v>
      </x:c>
      <x:c r="C3458" s="16" t="str"/>
      <x:c r="D3458" s="16" t="str"/>
      <x:c r="E3458" s="16" t="str">
        <x:v>* myContacts</x:v>
      </x:c>
      <x:c r="F3458" s="16" t="str">
        <x:v>+60138583624</x:v>
      </x:c>
      <x:c r="G3458" s="16" t="str">
        <x:v>+60138583624</x:v>
      </x:c>
      <x:c r="H3458" s="16" t="str">
        <x:v>Excluded</x:v>
      </x:c>
      <x:c r="I3458" s="16" t="str">
        <x:v>Missing email</x:v>
      </x:c>
    </x:row>
    <x:row r="3459">
      <x:c r="A3459" s="16" t="n">
        <x:v>3456</x:v>
      </x:c>
      <x:c r="B3459" s="16" t="str">
        <x:v>JAk MenJet</x:v>
      </x:c>
      <x:c r="C3459" s="16" t="str"/>
      <x:c r="D3459" s="16" t="str"/>
      <x:c r="E3459" s="16" t="str">
        <x:v>* myContacts</x:v>
      </x:c>
      <x:c r="F3459" s="16" t="str">
        <x:v>+60139966133</x:v>
      </x:c>
      <x:c r="G3459" s="16" t="str">
        <x:v>+60139966133</x:v>
      </x:c>
      <x:c r="H3459" s="16" t="str">
        <x:v>Excluded</x:v>
      </x:c>
      <x:c r="I3459" s="16" t="str">
        <x:v>Missing email</x:v>
      </x:c>
    </x:row>
    <x:row r="3460">
      <x:c r="A3460" s="16" t="n">
        <x:v>3457</x:v>
      </x:c>
      <x:c r="B3460" s="16" t="str">
        <x:v>Jalal Yusof</x:v>
      </x:c>
      <x:c r="C3460" s="16" t="str"/>
      <x:c r="D3460" s="16" t="str"/>
      <x:c r="E3460" s="16" t="str">
        <x:v>* myContacts</x:v>
      </x:c>
      <x:c r="F3460" s="16" t="str">
        <x:v>+60192094969</x:v>
      </x:c>
      <x:c r="G3460" s="16" t="str">
        <x:v>+60192094969</x:v>
      </x:c>
      <x:c r="H3460" s="16" t="str">
        <x:v>Excluded</x:v>
      </x:c>
      <x:c r="I3460" s="16" t="str">
        <x:v>Missing email</x:v>
      </x:c>
    </x:row>
    <x:row r="3461">
      <x:c r="A3461" s="16" t="n">
        <x:v>3458</x:v>
      </x:c>
      <x:c r="B3461" s="16" t="str">
        <x:v>Jals Kal-el</x:v>
      </x:c>
      <x:c r="C3461" s="16" t="str"/>
      <x:c r="D3461" s="16" t="str"/>
      <x:c r="E3461" s="16" t="str">
        <x:v>* myContacts</x:v>
      </x:c>
      <x:c r="F3461" s="16" t="str">
        <x:v>+601116269201</x:v>
      </x:c>
      <x:c r="G3461" s="16" t="str">
        <x:v>+601116269201</x:v>
      </x:c>
      <x:c r="H3461" s="16" t="str">
        <x:v>Excluded</x:v>
      </x:c>
      <x:c r="I3461" s="16" t="str">
        <x:v>Missing email</x:v>
      </x:c>
    </x:row>
    <x:row r="3462">
      <x:c r="A3462" s="16" t="n">
        <x:v>3459</x:v>
      </x:c>
      <x:c r="B3462" s="16" t="str">
        <x:v>Jamaliah Jamli</x:v>
      </x:c>
      <x:c r="C3462" s="16" t="str"/>
      <x:c r="D3462" s="16" t="str"/>
      <x:c r="E3462" s="16" t="str">
        <x:v>* myContacts</x:v>
      </x:c>
      <x:c r="F3462" s="16" t="str">
        <x:v>+60135401814</x:v>
      </x:c>
      <x:c r="G3462" s="16" t="str">
        <x:v>+60135401814</x:v>
      </x:c>
      <x:c r="H3462" s="16" t="str">
        <x:v>Excluded</x:v>
      </x:c>
      <x:c r="I3462" s="16" t="str">
        <x:v>Missing email</x:v>
      </x:c>
    </x:row>
    <x:row r="3463">
      <x:c r="A3463" s="16" t="n">
        <x:v>3460</x:v>
      </x:c>
      <x:c r="B3463" s="16" t="str">
        <x:v>Jamaludin Salleh Mashitah Ismail</x:v>
      </x:c>
      <x:c r="C3463" s="16" t="str"/>
      <x:c r="D3463" s="16" t="str"/>
      <x:c r="E3463" s="16" t="str">
        <x:v>* myContacts</x:v>
      </x:c>
      <x:c r="F3463" s="16" t="str">
        <x:v>+60194224052</x:v>
      </x:c>
      <x:c r="G3463" s="16" t="str">
        <x:v>+60194224052</x:v>
      </x:c>
      <x:c r="H3463" s="16" t="str">
        <x:v>Excluded</x:v>
      </x:c>
      <x:c r="I3463" s="16" t="str">
        <x:v>Missing email</x:v>
      </x:c>
    </x:row>
    <x:row r="3464">
      <x:c r="A3464" s="16" t="n">
        <x:v>3461</x:v>
      </x:c>
      <x:c r="B3464" s="16" t="str">
        <x:v>Jamel Kuin</x:v>
      </x:c>
      <x:c r="C3464" s="16" t="str"/>
      <x:c r="D3464" s="16" t="str"/>
      <x:c r="E3464" s="16" t="str">
        <x:v>* myContacts</x:v>
      </x:c>
      <x:c r="F3464" s="16" t="str">
        <x:v>+60105223162</x:v>
      </x:c>
      <x:c r="G3464" s="16" t="str">
        <x:v>+60105223162</x:v>
      </x:c>
      <x:c r="H3464" s="16" t="str">
        <x:v>Excluded</x:v>
      </x:c>
      <x:c r="I3464" s="16" t="str">
        <x:v>Missing email</x:v>
      </x:c>
    </x:row>
    <x:row r="3465">
      <x:c r="A3465" s="16" t="n">
        <x:v>3462</x:v>
      </x:c>
      <x:c r="B3465" s="16" t="str">
        <x:v>James Bagah Student</x:v>
      </x:c>
      <x:c r="C3465" s="16" t="str">
        <x:v>sabahcaps@guard.com</x:v>
      </x:c>
      <x:c r="D3465" s="16" t="str">
        <x:v>sabahcaps@guard.com</x:v>
      </x:c>
      <x:c r="E3465" s="16" t="str">
        <x:v>* myContacts</x:v>
      </x:c>
      <x:c r="F3465" s="16" t="str">
        <x:v>0143734343 | +60143734343</x:v>
      </x:c>
      <x:c r="G3465" s="16" t="str">
        <x:v>+60143734343 | +60143734343</x:v>
      </x:c>
      <x:c r="H3465" s="16" t="str">
        <x:v>Eligible</x:v>
      </x:c>
      <x:c r="I3465" s="16" t="str"/>
    </x:row>
    <x:row r="3466">
      <x:c r="A3466" s="16" t="n">
        <x:v>3463</x:v>
      </x:c>
      <x:c r="B3466" s="16" t="str">
        <x:v>James Wong Kt</x:v>
      </x:c>
      <x:c r="C3466" s="16" t="str"/>
      <x:c r="D3466" s="16" t="str"/>
      <x:c r="E3466" s="16" t="str">
        <x:v>* myContacts</x:v>
      </x:c>
      <x:c r="F3466" s="16" t="str">
        <x:v>+60127877872</x:v>
      </x:c>
      <x:c r="G3466" s="16" t="str">
        <x:v>+60127877872</x:v>
      </x:c>
      <x:c r="H3466" s="16" t="str">
        <x:v>Excluded</x:v>
      </x:c>
      <x:c r="I3466" s="16" t="str">
        <x:v>Missing email</x:v>
      </x:c>
    </x:row>
    <x:row r="3467">
      <x:c r="A3467" s="16" t="n">
        <x:v>3464</x:v>
      </x:c>
      <x:c r="B3467" s="16" t="str">
        <x:v>Jamie Micicu</x:v>
      </x:c>
      <x:c r="C3467" s="16" t="str"/>
      <x:c r="D3467" s="16" t="str"/>
      <x:c r="E3467" s="16" t="str">
        <x:v>* myContacts</x:v>
      </x:c>
      <x:c r="F3467" s="16" t="str">
        <x:v>+60351031154</x:v>
      </x:c>
      <x:c r="G3467" s="16" t="str">
        <x:v>+60351031154</x:v>
      </x:c>
      <x:c r="H3467" s="16" t="str">
        <x:v>Excluded</x:v>
      </x:c>
      <x:c r="I3467" s="16" t="str">
        <x:v>Missing email</x:v>
      </x:c>
    </x:row>
    <x:row r="3468">
      <x:c r="A3468" s="16" t="n">
        <x:v>3465</x:v>
      </x:c>
      <x:c r="B3468" s="16" t="str">
        <x:v>Jamil Asari</x:v>
      </x:c>
      <x:c r="C3468" s="16" t="str"/>
      <x:c r="D3468" s="16" t="str"/>
      <x:c r="E3468" s="16" t="str">
        <x:v>* myContacts</x:v>
      </x:c>
      <x:c r="F3468" s="16" t="str">
        <x:v>+601113048735</x:v>
      </x:c>
      <x:c r="G3468" s="16" t="str">
        <x:v>+601113048735</x:v>
      </x:c>
      <x:c r="H3468" s="16" t="str">
        <x:v>Excluded</x:v>
      </x:c>
      <x:c r="I3468" s="16" t="str">
        <x:v>Missing email</x:v>
      </x:c>
    </x:row>
    <x:row r="3469">
      <x:c r="A3469" s="16" t="n">
        <x:v>3466</x:v>
      </x:c>
      <x:c r="B3469" s="16" t="str">
        <x:v>Jamil Ismail Paklang</x:v>
      </x:c>
      <x:c r="C3469" s="16" t="str"/>
      <x:c r="D3469" s="16" t="str"/>
      <x:c r="E3469" s="16" t="str">
        <x:v>* myContacts</x:v>
      </x:c>
      <x:c r="F3469" s="16" t="str">
        <x:v>+60177112646</x:v>
      </x:c>
      <x:c r="G3469" s="16" t="str">
        <x:v>+60177112646</x:v>
      </x:c>
      <x:c r="H3469" s="16" t="str">
        <x:v>Excluded</x:v>
      </x:c>
      <x:c r="I3469" s="16" t="str">
        <x:v>Missing email</x:v>
      </x:c>
    </x:row>
    <x:row r="3470">
      <x:c r="A3470" s="16" t="n">
        <x:v>3467</x:v>
      </x:c>
      <x:c r="B3470" s="16" t="str">
        <x:v>Jamil Tabliqh</x:v>
      </x:c>
      <x:c r="C3470" s="16" t="str"/>
      <x:c r="D3470" s="16" t="str"/>
      <x:c r="E3470" s="16" t="str">
        <x:v>* myContacts</x:v>
      </x:c>
      <x:c r="F3470" s="16" t="str">
        <x:v>+60186660756</x:v>
      </x:c>
      <x:c r="G3470" s="16" t="str">
        <x:v>+60186660756</x:v>
      </x:c>
      <x:c r="H3470" s="16" t="str">
        <x:v>Excluded</x:v>
      </x:c>
      <x:c r="I3470" s="16" t="str">
        <x:v>Missing email</x:v>
      </x:c>
    </x:row>
    <x:row r="3471">
      <x:c r="A3471" s="16" t="n">
        <x:v>3468</x:v>
      </x:c>
      <x:c r="B3471" s="16" t="str">
        <x:v>Jamilah Shukri</x:v>
      </x:c>
      <x:c r="C3471" s="16" t="str"/>
      <x:c r="D3471" s="16" t="str"/>
      <x:c r="E3471" s="16" t="str">
        <x:v>* myContacts</x:v>
      </x:c>
      <x:c r="F3471" s="16" t="str">
        <x:v>+60134630346</x:v>
      </x:c>
      <x:c r="G3471" s="16" t="str">
        <x:v>+60134630346</x:v>
      </x:c>
      <x:c r="H3471" s="16" t="str">
        <x:v>Excluded</x:v>
      </x:c>
      <x:c r="I3471" s="16" t="str">
        <x:v>Missing email</x:v>
      </x:c>
    </x:row>
    <x:row r="3472">
      <x:c r="A3472" s="16" t="n">
        <x:v>3469</x:v>
      </x:c>
      <x:c r="B3472" s="16" t="str">
        <x:v>Jamu Bidan Nilai</x:v>
      </x:c>
      <x:c r="C3472" s="16" t="str"/>
      <x:c r="D3472" s="16" t="str"/>
      <x:c r="E3472" s="16" t="str">
        <x:v>* myContacts</x:v>
      </x:c>
      <x:c r="F3472" s="16" t="str">
        <x:v>+601132457506</x:v>
      </x:c>
      <x:c r="G3472" s="16" t="str">
        <x:v>+601132457506</x:v>
      </x:c>
      <x:c r="H3472" s="16" t="str">
        <x:v>Excluded</x:v>
      </x:c>
      <x:c r="I3472" s="16" t="str">
        <x:v>Missing email</x:v>
      </x:c>
    </x:row>
    <x:row r="3473">
      <x:c r="A3473" s="16" t="n">
        <x:v>3470</x:v>
      </x:c>
      <x:c r="B3473" s="16" t="str">
        <x:v>Jamuyounggold HQ Staff</x:v>
      </x:c>
      <x:c r="C3473" s="16" t="str"/>
      <x:c r="D3473" s="16" t="str"/>
      <x:c r="E3473" s="16" t="str">
        <x:v>* myContacts</x:v>
      </x:c>
      <x:c r="F3473" s="16" t="str">
        <x:v>+601136778030</x:v>
      </x:c>
      <x:c r="G3473" s="16" t="str">
        <x:v>+601136778030</x:v>
      </x:c>
      <x:c r="H3473" s="16" t="str">
        <x:v>Excluded</x:v>
      </x:c>
      <x:c r="I3473" s="16" t="str">
        <x:v>Missing email</x:v>
      </x:c>
    </x:row>
    <x:row r="3474">
      <x:c r="A3474" s="16" t="n">
        <x:v>3471</x:v>
      </x:c>
      <x:c r="B3474" s="16" t="str">
        <x:v>Jane Putri Maharani Kaban</x:v>
      </x:c>
      <x:c r="C3474" s="16" t="str"/>
      <x:c r="D3474" s="16" t="str"/>
      <x:c r="E3474" s="16" t="str">
        <x:v>* myContacts</x:v>
      </x:c>
      <x:c r="F3474" s="16" t="str">
        <x:v>+6281371700254</x:v>
      </x:c>
      <x:c r="G3474" s="16" t="str">
        <x:v>+6281371700254</x:v>
      </x:c>
      <x:c r="H3474" s="16" t="str">
        <x:v>Excluded</x:v>
      </x:c>
      <x:c r="I3474" s="16" t="str">
        <x:v>Missing email</x:v>
      </x:c>
    </x:row>
    <x:row r="3475">
      <x:c r="A3475" s="16" t="n">
        <x:v>3472</x:v>
      </x:c>
      <x:c r="B3475" s="16" t="str">
        <x:v>Janet Perin Janet</x:v>
      </x:c>
      <x:c r="C3475" s="16" t="str"/>
      <x:c r="D3475" s="16" t="str"/>
      <x:c r="E3475" s="16" t="str">
        <x:v>* myContacts</x:v>
      </x:c>
      <x:c r="F3475" s="16" t="str">
        <x:v>+60198019452</x:v>
      </x:c>
      <x:c r="G3475" s="16" t="str">
        <x:v>+60198019452</x:v>
      </x:c>
      <x:c r="H3475" s="16" t="str">
        <x:v>Excluded</x:v>
      </x:c>
      <x:c r="I3475" s="16" t="str">
        <x:v>Missing email</x:v>
      </x:c>
    </x:row>
    <x:row r="3476">
      <x:c r="A3476" s="16" t="n">
        <x:v>3473</x:v>
      </x:c>
      <x:c r="B3476" s="16" t="str">
        <x:v>Jannah Meatech College</x:v>
      </x:c>
      <x:c r="C3476" s="16" t="str"/>
      <x:c r="D3476" s="16" t="str"/>
      <x:c r="E3476" s="16" t="str">
        <x:v>* myContacts</x:v>
      </x:c>
      <x:c r="F3476" s="16" t="str">
        <x:v>+60189140408</x:v>
      </x:c>
      <x:c r="G3476" s="16" t="str">
        <x:v>+60189140408</x:v>
      </x:c>
      <x:c r="H3476" s="16" t="str">
        <x:v>Excluded</x:v>
      </x:c>
      <x:c r="I3476" s="16" t="str">
        <x:v>Missing email</x:v>
      </x:c>
    </x:row>
    <x:row r="3477">
      <x:c r="A3477" s="16" t="n">
        <x:v>3474</x:v>
      </x:c>
      <x:c r="B3477" s="16" t="str">
        <x:v>Jannaty Heru Risweda</x:v>
      </x:c>
      <x:c r="C3477" s="16" t="str"/>
      <x:c r="D3477" s="16" t="str"/>
      <x:c r="E3477" s="16" t="str">
        <x:v>* myContacts</x:v>
      </x:c>
      <x:c r="F3477" s="16" t="str">
        <x:v>+6289509785838</x:v>
      </x:c>
      <x:c r="G3477" s="16" t="str">
        <x:v>+6289509785838</x:v>
      </x:c>
      <x:c r="H3477" s="16" t="str">
        <x:v>Excluded</x:v>
      </x:c>
      <x:c r="I3477" s="16" t="str">
        <x:v>Missing email</x:v>
      </x:c>
    </x:row>
    <x:row r="3478">
      <x:c r="A3478" s="16" t="n">
        <x:v>3475</x:v>
      </x:c>
      <x:c r="B3478" s="16" t="str">
        <x:v>JApps Buat Duit</x:v>
      </x:c>
      <x:c r="C3478" s="16" t="str"/>
      <x:c r="D3478" s="16" t="str"/>
      <x:c r="E3478" s="16" t="str">
        <x:v>* myContacts</x:v>
      </x:c>
      <x:c r="F3478" s="16" t="str">
        <x:v>+60183171420</x:v>
      </x:c>
      <x:c r="G3478" s="16" t="str">
        <x:v>+60183171420</x:v>
      </x:c>
      <x:c r="H3478" s="16" t="str">
        <x:v>Excluded</x:v>
      </x:c>
      <x:c r="I3478" s="16" t="str">
        <x:v>Missing email</x:v>
      </x:c>
    </x:row>
    <x:row r="3479">
      <x:c r="A3479" s="16" t="n">
        <x:v>3476</x:v>
      </x:c>
      <x:c r="B3479" s="16" t="str">
        <x:v>Jaslie Samad</x:v>
      </x:c>
      <x:c r="C3479" s="16" t="str"/>
      <x:c r="D3479" s="16" t="str"/>
      <x:c r="E3479" s="16" t="str">
        <x:v>* myContacts</x:v>
      </x:c>
      <x:c r="F3479" s="16" t="str">
        <x:v>+601121116605</x:v>
      </x:c>
      <x:c r="G3479" s="16" t="str">
        <x:v>+601121116605</x:v>
      </x:c>
      <x:c r="H3479" s="16" t="str">
        <x:v>Excluded</x:v>
      </x:c>
      <x:c r="I3479" s="16" t="str">
        <x:v>Missing email</x:v>
      </x:c>
    </x:row>
    <x:row r="3480">
      <x:c r="A3480" s="16" t="n">
        <x:v>3477</x:v>
      </x:c>
      <x:c r="B3480" s="16" t="str">
        <x:v>Jaslizawaty Junaidi</x:v>
      </x:c>
      <x:c r="C3480" s="16" t="str"/>
      <x:c r="D3480" s="16" t="str"/>
      <x:c r="E3480" s="16" t="str">
        <x:v>* myContacts</x:v>
      </x:c>
      <x:c r="F3480" s="16" t="str">
        <x:v>+60122474721</x:v>
      </x:c>
      <x:c r="G3480" s="16" t="str">
        <x:v>+60122474721</x:v>
      </x:c>
      <x:c r="H3480" s="16" t="str">
        <x:v>Excluded</x:v>
      </x:c>
      <x:c r="I3480" s="16" t="str">
        <x:v>Missing email</x:v>
      </x:c>
    </x:row>
    <x:row r="3481">
      <x:c r="A3481" s="16" t="n">
        <x:v>3478</x:v>
      </x:c>
      <x:c r="B3481" s="16" t="str">
        <x:v>Jasmin Ally</x:v>
      </x:c>
      <x:c r="C3481" s="16" t="str"/>
      <x:c r="D3481" s="16" t="str"/>
      <x:c r="E3481" s="16" t="str">
        <x:v>* myContacts</x:v>
      </x:c>
      <x:c r="F3481" s="16" t="str">
        <x:v>+60122453718</x:v>
      </x:c>
      <x:c r="G3481" s="16" t="str">
        <x:v>+60122453718</x:v>
      </x:c>
      <x:c r="H3481" s="16" t="str">
        <x:v>Excluded</x:v>
      </x:c>
      <x:c r="I3481" s="16" t="str">
        <x:v>Missing email</x:v>
      </x:c>
    </x:row>
    <x:row r="3482">
      <x:c r="A3482" s="16" t="n">
        <x:v>3479</x:v>
      </x:c>
      <x:c r="B3482" s="16" t="str">
        <x:v>Jasmine Alias</x:v>
      </x:c>
      <x:c r="C3482" s="16" t="str"/>
      <x:c r="D3482" s="16" t="str"/>
      <x:c r="E3482" s="16" t="str">
        <x:v>* myContacts</x:v>
      </x:c>
      <x:c r="F3482" s="16" t="str">
        <x:v>+60182800122</x:v>
      </x:c>
      <x:c r="G3482" s="16" t="str">
        <x:v>+60182800122</x:v>
      </x:c>
      <x:c r="H3482" s="16" t="str">
        <x:v>Excluded</x:v>
      </x:c>
      <x:c r="I3482" s="16" t="str">
        <x:v>Missing email</x:v>
      </x:c>
    </x:row>
    <x:row r="3483">
      <x:c r="A3483" s="16" t="n">
        <x:v>3480</x:v>
      </x:c>
      <x:c r="B3483" s="16" t="str">
        <x:v>Jason Coway Kuching</x:v>
      </x:c>
      <x:c r="C3483" s="16" t="str"/>
      <x:c r="D3483" s="16" t="str"/>
      <x:c r="E3483" s="16" t="str">
        <x:v>* myContacts</x:v>
      </x:c>
      <x:c r="F3483" s="16" t="str">
        <x:v>+60109726588</x:v>
      </x:c>
      <x:c r="G3483" s="16" t="str">
        <x:v>+60109726588</x:v>
      </x:c>
      <x:c r="H3483" s="16" t="str">
        <x:v>Excluded</x:v>
      </x:c>
      <x:c r="I3483" s="16" t="str">
        <x:v>Missing email</x:v>
      </x:c>
    </x:row>
    <x:row r="3484">
      <x:c r="A3484" s="16" t="n">
        <x:v>3481</x:v>
      </x:c>
      <x:c r="B3484" s="16" t="str">
        <x:v>Jason innovative</x:v>
      </x:c>
      <x:c r="C3484" s="16" t="str">
        <x:v>lailianglong@gmail.com</x:v>
      </x:c>
      <x:c r="D3484" s="16" t="str">
        <x:v>lailianglong@gmail.com</x:v>
      </x:c>
      <x:c r="E3484" s="16" t="str">
        <x:v>* myContacts</x:v>
      </x:c>
      <x:c r="F3484" s="16" t="str">
        <x:v>+60 16-266 4083 | +60162664083</x:v>
      </x:c>
      <x:c r="G3484" s="16" t="str">
        <x:v>+60162664083 | +60162664083</x:v>
      </x:c>
      <x:c r="H3484" s="16" t="str">
        <x:v>Eligible</x:v>
      </x:c>
      <x:c r="I3484" s="16" t="str"/>
    </x:row>
    <x:row r="3485">
      <x:c r="A3485" s="16" t="n">
        <x:v>3482</x:v>
      </x:c>
      <x:c r="B3485" s="16" t="str">
        <x:v>Jason Tmb Management</x:v>
      </x:c>
      <x:c r="C3485" s="16" t="str"/>
      <x:c r="D3485" s="16" t="str"/>
      <x:c r="E3485" s="16" t="str">
        <x:v>* myContacts</x:v>
      </x:c>
      <x:c r="F3485" s="16" t="str">
        <x:v>+60 16-559 5799 | +60165595799</x:v>
      </x:c>
      <x:c r="G3485" s="16" t="str">
        <x:v>+60165595799 | +60165595799</x:v>
      </x:c>
      <x:c r="H3485" s="16" t="str">
        <x:v>Excluded</x:v>
      </x:c>
      <x:c r="I3485" s="16" t="str">
        <x:v>Missing email</x:v>
      </x:c>
    </x:row>
    <x:row r="3486">
      <x:c r="A3486" s="16" t="n">
        <x:v>3483</x:v>
      </x:c>
      <x:c r="B3486" s="16" t="str">
        <x:v>Jay English Course Advisor</x:v>
      </x:c>
      <x:c r="C3486" s="16" t="str"/>
      <x:c r="D3486" s="16" t="str"/>
      <x:c r="E3486" s="16" t="str">
        <x:v>* myContacts</x:v>
      </x:c>
      <x:c r="F3486" s="16" t="str">
        <x:v>+60 16-320 8335 | +60163208335</x:v>
      </x:c>
      <x:c r="G3486" s="16" t="str">
        <x:v>+60163208335 | +60163208335</x:v>
      </x:c>
      <x:c r="H3486" s="16" t="str">
        <x:v>Excluded</x:v>
      </x:c>
      <x:c r="I3486" s="16" t="str">
        <x:v>Missing email</x:v>
      </x:c>
    </x:row>
    <x:row r="3487">
      <x:c r="A3487" s="16" t="n">
        <x:v>3484</x:v>
      </x:c>
      <x:c r="B3487" s="16" t="str">
        <x:v>Jay PPMM</x:v>
      </x:c>
      <x:c r="C3487" s="16" t="str"/>
      <x:c r="D3487" s="16" t="str"/>
      <x:c r="E3487" s="16" t="str">
        <x:v>* myContacts</x:v>
      </x:c>
      <x:c r="F3487" s="16" t="str">
        <x:v>601-836-33855 | +60183633855</x:v>
      </x:c>
      <x:c r="G3487" s="16" t="str">
        <x:v>+60183633855 | +60183633855</x:v>
      </x:c>
      <x:c r="H3487" s="16" t="str">
        <x:v>Excluded</x:v>
      </x:c>
      <x:c r="I3487" s="16" t="str">
        <x:v>Missing email</x:v>
      </x:c>
    </x:row>
    <x:row r="3488">
      <x:c r="A3488" s="16" t="n">
        <x:v>3485</x:v>
      </x:c>
      <x:c r="B3488" s="16" t="str">
        <x:v>Jay Trainer Mdec Sabah</x:v>
      </x:c>
      <x:c r="C3488" s="16" t="str"/>
      <x:c r="D3488" s="16" t="str"/>
      <x:c r="E3488" s="16" t="str">
        <x:v>Trainer | * myContacts</x:v>
      </x:c>
      <x:c r="F3488" s="16" t="str">
        <x:v>+60165879397</x:v>
      </x:c>
      <x:c r="G3488" s="16" t="str">
        <x:v>+60165879397</x:v>
      </x:c>
      <x:c r="H3488" s="16" t="str">
        <x:v>Excluded</x:v>
      </x:c>
      <x:c r="I3488" s="16" t="str">
        <x:v>Missing email</x:v>
      </x:c>
    </x:row>
    <x:row r="3489">
      <x:c r="A3489" s="16" t="n">
        <x:v>3486</x:v>
      </x:c>
      <x:c r="B3489" s="16" t="str">
        <x:v>Je Mey</x:v>
      </x:c>
      <x:c r="C3489" s="16" t="str"/>
      <x:c r="D3489" s="16" t="str"/>
      <x:c r="E3489" s="16" t="str">
        <x:v>* myContacts</x:v>
      </x:c>
      <x:c r="F3489" s="16" t="str">
        <x:v>+60142314584</x:v>
      </x:c>
      <x:c r="G3489" s="16" t="str">
        <x:v>+60142314584</x:v>
      </x:c>
      <x:c r="H3489" s="16" t="str">
        <x:v>Excluded</x:v>
      </x:c>
      <x:c r="I3489" s="16" t="str">
        <x:v>Missing email</x:v>
      </x:c>
    </x:row>
    <x:row r="3490">
      <x:c r="A3490" s="16" t="n">
        <x:v>3487</x:v>
      </x:c>
      <x:c r="B3490" s="16" t="str">
        <x:v>Jebat Derhaka</x:v>
      </x:c>
      <x:c r="C3490" s="16" t="str"/>
      <x:c r="D3490" s="16" t="str"/>
      <x:c r="E3490" s="16" t="str">
        <x:v>* myContacts</x:v>
      </x:c>
      <x:c r="F3490" s="16" t="str">
        <x:v>+97433363425</x:v>
      </x:c>
      <x:c r="G3490" s="16" t="str">
        <x:v>+97433363425</x:v>
      </x:c>
      <x:c r="H3490" s="16" t="str">
        <x:v>Excluded</x:v>
      </x:c>
      <x:c r="I3490" s="16" t="str">
        <x:v>Missing email</x:v>
      </x:c>
    </x:row>
    <x:row r="3491">
      <x:c r="A3491" s="16" t="n">
        <x:v>3488</x:v>
      </x:c>
      <x:c r="B3491" s="16" t="str">
        <x:v>Jebat Durhaka</x:v>
      </x:c>
      <x:c r="C3491" s="16" t="str"/>
      <x:c r="D3491" s="16" t="str"/>
      <x:c r="E3491" s="16" t="str">
        <x:v>* myContacts</x:v>
      </x:c>
      <x:c r="F3491" s="16" t="str">
        <x:v>+601137711491</x:v>
      </x:c>
      <x:c r="G3491" s="16" t="str">
        <x:v>+601137711491</x:v>
      </x:c>
      <x:c r="H3491" s="16" t="str">
        <x:v>Excluded</x:v>
      </x:c>
      <x:c r="I3491" s="16" t="str">
        <x:v>Missing email</x:v>
      </x:c>
    </x:row>
    <x:row r="3492">
      <x:c r="A3492" s="16" t="n">
        <x:v>3489</x:v>
      </x:c>
      <x:c r="B3492" s="16" t="str">
        <x:v>jebat idol</x:v>
      </x:c>
      <x:c r="C3492" s="16" t="str"/>
      <x:c r="D3492" s="16" t="str"/>
      <x:c r="E3492" s="16" t="str">
        <x:v>* myContacts</x:v>
      </x:c>
      <x:c r="F3492" s="16" t="str">
        <x:v>012-300 3924 | +60123003924</x:v>
      </x:c>
      <x:c r="G3492" s="16" t="str">
        <x:v>+60123003924 | +60123003924</x:v>
      </x:c>
      <x:c r="H3492" s="16" t="str">
        <x:v>Excluded</x:v>
      </x:c>
      <x:c r="I3492" s="16" t="str">
        <x:v>Missing email</x:v>
      </x:c>
    </x:row>
    <x:row r="3493">
      <x:c r="A3493" s="16" t="n">
        <x:v>3490</x:v>
      </x:c>
      <x:c r="B3493" s="16" t="str">
        <x:v>Jebat Jawe</x:v>
      </x:c>
      <x:c r="C3493" s="16" t="str"/>
      <x:c r="D3493" s="16" t="str"/>
      <x:c r="E3493" s="16" t="str">
        <x:v>* myContacts</x:v>
      </x:c>
      <x:c r="F3493" s="16" t="str">
        <x:v>+60126187630</x:v>
      </x:c>
      <x:c r="G3493" s="16" t="str">
        <x:v>+60126187630</x:v>
      </x:c>
      <x:c r="H3493" s="16" t="str">
        <x:v>Excluded</x:v>
      </x:c>
      <x:c r="I3493" s="16" t="str">
        <x:v>Missing email</x:v>
      </x:c>
    </x:row>
    <x:row r="3494">
      <x:c r="A3494" s="16" t="n">
        <x:v>3491</x:v>
      </x:c>
      <x:c r="B3494" s="16" t="str">
        <x:v>Jebatt Durhaka</x:v>
      </x:c>
      <x:c r="C3494" s="16" t="str"/>
      <x:c r="D3494" s="16" t="str"/>
      <x:c r="E3494" s="16" t="str">
        <x:v>* myContacts</x:v>
      </x:c>
      <x:c r="F3494" s="16" t="str">
        <x:v>+60173500859</x:v>
      </x:c>
      <x:c r="G3494" s="16" t="str">
        <x:v>+60173500859</x:v>
      </x:c>
      <x:c r="H3494" s="16" t="str">
        <x:v>Excluded</x:v>
      </x:c>
      <x:c r="I3494" s="16" t="str">
        <x:v>Missing email</x:v>
      </x:c>
    </x:row>
    <x:row r="3495">
      <x:c r="A3495" s="16" t="n">
        <x:v>3492</x:v>
      </x:c>
      <x:c r="B3495" s="16" t="str">
        <x:v>Jeeb Abrim</x:v>
      </x:c>
      <x:c r="C3495" s="16" t="str"/>
      <x:c r="D3495" s="16" t="str"/>
      <x:c r="E3495" s="16" t="str">
        <x:v>* myContacts</x:v>
      </x:c>
      <x:c r="F3495" s="16" t="str">
        <x:v>0126363413 | +60126363413</x:v>
      </x:c>
      <x:c r="G3495" s="16" t="str">
        <x:v>+60126363413 | +60126363413</x:v>
      </x:c>
      <x:c r="H3495" s="16" t="str">
        <x:v>Excluded</x:v>
      </x:c>
      <x:c r="I3495" s="16" t="str">
        <x:v>Missing email</x:v>
      </x:c>
    </x:row>
    <x:row r="3496">
      <x:c r="A3496" s="16" t="n">
        <x:v>3493</x:v>
      </x:c>
      <x:c r="B3496" s="16" t="str">
        <x:v>Jeff Samad</x:v>
      </x:c>
      <x:c r="C3496" s="16" t="str"/>
      <x:c r="D3496" s="16" t="str"/>
      <x:c r="E3496" s="16" t="str">
        <x:v>* myContacts</x:v>
      </x:c>
      <x:c r="F3496" s="16" t="str">
        <x:v>+60192050529</x:v>
      </x:c>
      <x:c r="G3496" s="16" t="str">
        <x:v>+60192050529</x:v>
      </x:c>
      <x:c r="H3496" s="16" t="str">
        <x:v>Excluded</x:v>
      </x:c>
      <x:c r="I3496" s="16" t="str">
        <x:v>Missing email</x:v>
      </x:c>
    </x:row>
    <x:row r="3497">
      <x:c r="A3497" s="16" t="n">
        <x:v>3494</x:v>
      </x:c>
      <x:c r="B3497" s="16" t="str">
        <x:v>Jefreel Alfian</x:v>
      </x:c>
      <x:c r="C3497" s="16" t="str"/>
      <x:c r="D3497" s="16" t="str"/>
      <x:c r="E3497" s="16" t="str">
        <x:v>* myContacts</x:v>
      </x:c>
      <x:c r="F3497" s="16" t="str">
        <x:v>+60167797939</x:v>
      </x:c>
      <x:c r="G3497" s="16" t="str">
        <x:v>+60167797939</x:v>
      </x:c>
      <x:c r="H3497" s="16" t="str">
        <x:v>Excluded</x:v>
      </x:c>
      <x:c r="I3497" s="16" t="str">
        <x:v>Missing email</x:v>
      </x:c>
    </x:row>
    <x:row r="3498">
      <x:c r="A3498" s="16" t="n">
        <x:v>3495</x:v>
      </x:c>
      <x:c r="B3498" s="16" t="str">
        <x:v>Jefri Ali</x:v>
      </x:c>
      <x:c r="C3498" s="16" t="str"/>
      <x:c r="D3498" s="16" t="str"/>
      <x:c r="E3498" s="16" t="str">
        <x:v>* myContacts</x:v>
      </x:c>
      <x:c r="F3498" s="16" t="str">
        <x:v>+60128294648</x:v>
      </x:c>
      <x:c r="G3498" s="16" t="str">
        <x:v>+60128294648</x:v>
      </x:c>
      <x:c r="H3498" s="16" t="str">
        <x:v>Excluded</x:v>
      </x:c>
      <x:c r="I3498" s="16" t="str">
        <x:v>Missing email</x:v>
      </x:c>
    </x:row>
    <x:row r="3499">
      <x:c r="A3499" s="16" t="n">
        <x:v>3496</x:v>
      </x:c>
      <x:c r="B3499" s="16" t="str">
        <x:v>Jefri Yo</x:v>
      </x:c>
      <x:c r="C3499" s="16" t="str"/>
      <x:c r="D3499" s="16" t="str"/>
      <x:c r="E3499" s="16" t="str">
        <x:v>* myContacts</x:v>
      </x:c>
      <x:c r="F3499" s="16" t="str">
        <x:v>+601137297049</x:v>
      </x:c>
      <x:c r="G3499" s="16" t="str">
        <x:v>+601137297049</x:v>
      </x:c>
      <x:c r="H3499" s="16" t="str">
        <x:v>Excluded</x:v>
      </x:c>
      <x:c r="I3499" s="16" t="str">
        <x:v>Missing email</x:v>
      </x:c>
    </x:row>
    <x:row r="3500">
      <x:c r="A3500" s="16" t="n">
        <x:v>3497</x:v>
      </x:c>
      <x:c r="B3500" s="16" t="str">
        <x:v>Jefriandy Jamaluddin</x:v>
      </x:c>
      <x:c r="C3500" s="16" t="str"/>
      <x:c r="D3500" s="16" t="str"/>
      <x:c r="E3500" s="16" t="str">
        <x:v>* myContacts</x:v>
      </x:c>
      <x:c r="F3500" s="16" t="str">
        <x:v>+60165564392</x:v>
      </x:c>
      <x:c r="G3500" s="16" t="str">
        <x:v>+60165564392</x:v>
      </x:c>
      <x:c r="H3500" s="16" t="str">
        <x:v>Excluded</x:v>
      </x:c>
      <x:c r="I3500" s="16" t="str">
        <x:v>Missing email</x:v>
      </x:c>
    </x:row>
    <x:row r="3501">
      <x:c r="A3501" s="16" t="n">
        <x:v>3498</x:v>
      </x:c>
      <x:c r="B3501" s="16" t="str">
        <x:v>Jegan Vintech Fast Prints &amp; Advertising</x:v>
      </x:c>
      <x:c r="C3501" s="16" t="str">
        <x:v>1vsprints@gmail.com</x:v>
      </x:c>
      <x:c r="D3501" s="16" t="str">
        <x:v>1vsprints@gmail.com</x:v>
      </x:c>
      <x:c r="E3501" s="16" t="str">
        <x:v>* myContacts</x:v>
      </x:c>
      <x:c r="F3501" s="16" t="str">
        <x:v>016-386 7715 | 0332717745 | +60163867715 | 0332717745</x:v>
      </x:c>
      <x:c r="G3501" s="16" t="str">
        <x:v>+60163867715 | +60332717745 | +60163867715 | +60332717745</x:v>
      </x:c>
      <x:c r="H3501" s="16" t="str">
        <x:v>Eligible</x:v>
      </x:c>
      <x:c r="I3501" s="16" t="str"/>
    </x:row>
    <x:row r="3502">
      <x:c r="A3502" s="16" t="n">
        <x:v>3499</x:v>
      </x:c>
      <x:c r="B3502" s="16" t="str">
        <x:v>Jehan Amat</x:v>
      </x:c>
      <x:c r="C3502" s="16" t="str"/>
      <x:c r="D3502" s="16" t="str"/>
      <x:c r="E3502" s="16" t="str">
        <x:v>* myContacts</x:v>
      </x:c>
      <x:c r="F3502" s="16" t="str">
        <x:v>+60127527013</x:v>
      </x:c>
      <x:c r="G3502" s="16" t="str">
        <x:v>+60127527013</x:v>
      </x:c>
      <x:c r="H3502" s="16" t="str">
        <x:v>Excluded</x:v>
      </x:c>
      <x:c r="I3502" s="16" t="str">
        <x:v>Missing email</x:v>
      </x:c>
    </x:row>
    <x:row r="3503">
      <x:c r="A3503" s="16" t="n">
        <x:v>3500</x:v>
      </x:c>
      <x:c r="B3503" s="16" t="str">
        <x:v>Jejak Pulau</x:v>
      </x:c>
      <x:c r="C3503" s="16" t="str"/>
      <x:c r="D3503" s="16" t="str"/>
      <x:c r="E3503" s="16" t="str">
        <x:v>* myContacts</x:v>
      </x:c>
      <x:c r="F3503" s="16" t="str">
        <x:v>+60139265862</x:v>
      </x:c>
      <x:c r="G3503" s="16" t="str">
        <x:v>+60139265862</x:v>
      </x:c>
      <x:c r="H3503" s="16" t="str">
        <x:v>Excluded</x:v>
      </x:c>
      <x:c r="I3503" s="16" t="str">
        <x:v>Missing email</x:v>
      </x:c>
    </x:row>
    <x:row r="3504">
      <x:c r="A3504" s="16" t="n">
        <x:v>3501</x:v>
      </x:c>
      <x:c r="B3504" s="16" t="str">
        <x:v>Jelita JusmahJelita</x:v>
      </x:c>
      <x:c r="C3504" s="16" t="str"/>
      <x:c r="D3504" s="16" t="str"/>
      <x:c r="E3504" s="16" t="str">
        <x:v>* myContacts</x:v>
      </x:c>
      <x:c r="F3504" s="16" t="str">
        <x:v>+60133260254</x:v>
      </x:c>
      <x:c r="G3504" s="16" t="str">
        <x:v>+60133260254</x:v>
      </x:c>
      <x:c r="H3504" s="16" t="str">
        <x:v>Excluded</x:v>
      </x:c>
      <x:c r="I3504" s="16" t="str">
        <x:v>Missing email</x:v>
      </x:c>
    </x:row>
    <x:row r="3505">
      <x:c r="A3505" s="16" t="n">
        <x:v>3502</x:v>
      </x:c>
      <x:c r="B3505" s="16" t="str">
        <x:v>Jem MDEC IM</x:v>
      </x:c>
      <x:c r="C3505" s="16" t="str"/>
      <x:c r="D3505" s="16" t="str"/>
      <x:c r="E3505" s="16" t="str">
        <x:v>* myContacts</x:v>
      </x:c>
      <x:c r="F3505" s="16" t="str">
        <x:v>+60168367036</x:v>
      </x:c>
      <x:c r="G3505" s="16" t="str">
        <x:v>+60168367036</x:v>
      </x:c>
      <x:c r="H3505" s="16" t="str">
        <x:v>Excluded</x:v>
      </x:c>
      <x:c r="I3505" s="16" t="str">
        <x:v>Missing email</x:v>
      </x:c>
    </x:row>
    <x:row r="3506">
      <x:c r="A3506" s="16" t="n">
        <x:v>3503</x:v>
      </x:c>
      <x:c r="B3506" s="16" t="str">
        <x:v>Jeman Skyjuice Jeman</x:v>
      </x:c>
      <x:c r="C3506" s="16" t="str"/>
      <x:c r="D3506" s="16" t="str"/>
      <x:c r="E3506" s="16" t="str">
        <x:v>* myContacts</x:v>
      </x:c>
      <x:c r="F3506" s="16" t="str">
        <x:v>+60129644540</x:v>
      </x:c>
      <x:c r="G3506" s="16" t="str">
        <x:v>+60129644540</x:v>
      </x:c>
      <x:c r="H3506" s="16" t="str">
        <x:v>Excluded</x:v>
      </x:c>
      <x:c r="I3506" s="16" t="str">
        <x:v>Missing email</x:v>
      </x:c>
    </x:row>
    <x:row r="3507">
      <x:c r="A3507" s="16" t="n">
        <x:v>3504</x:v>
      </x:c>
      <x:c r="B3507" s="16" t="str">
        <x:v>Jen Zeini</x:v>
      </x:c>
      <x:c r="C3507" s="16" t="str"/>
      <x:c r="D3507" s="16" t="str"/>
      <x:c r="E3507" s="16" t="str">
        <x:v>* myContacts</x:v>
      </x:c>
      <x:c r="F3507" s="16" t="str">
        <x:v>+601133516263</x:v>
      </x:c>
      <x:c r="G3507" s="16" t="str">
        <x:v>+601133516263</x:v>
      </x:c>
      <x:c r="H3507" s="16" t="str">
        <x:v>Excluded</x:v>
      </x:c>
      <x:c r="I3507" s="16" t="str">
        <x:v>Missing email</x:v>
      </x:c>
    </x:row>
    <x:row r="3508">
      <x:c r="A3508" s="16" t="n">
        <x:v>3505</x:v>
      </x:c>
      <x:c r="B3508" s="16" t="str">
        <x:v>Jeneral Yuri</x:v>
      </x:c>
      <x:c r="C3508" s="16" t="str"/>
      <x:c r="D3508" s="16" t="str"/>
      <x:c r="E3508" s="16" t="str">
        <x:v>* myContacts</x:v>
      </x:c>
      <x:c r="F3508" s="16" t="str">
        <x:v>+60136107846</x:v>
      </x:c>
      <x:c r="G3508" s="16" t="str">
        <x:v>+60136107846</x:v>
      </x:c>
      <x:c r="H3508" s="16" t="str">
        <x:v>Excluded</x:v>
      </x:c>
      <x:c r="I3508" s="16" t="str">
        <x:v>Missing email</x:v>
      </x:c>
    </x:row>
    <x:row r="3509">
      <x:c r="A3509" s="16" t="n">
        <x:v>3506</x:v>
      </x:c>
      <x:c r="B3509" s="16" t="str">
        <x:v>Jenny Joechim Sigo</x:v>
      </x:c>
      <x:c r="C3509" s="16" t="str"/>
      <x:c r="D3509" s="16" t="str"/>
      <x:c r="E3509" s="16" t="str">
        <x:v>* myContacts</x:v>
      </x:c>
      <x:c r="F3509" s="16" t="str">
        <x:v>+60166377467</x:v>
      </x:c>
      <x:c r="G3509" s="16" t="str">
        <x:v>+60166377467</x:v>
      </x:c>
      <x:c r="H3509" s="16" t="str">
        <x:v>Excluded</x:v>
      </x:c>
      <x:c r="I3509" s="16" t="str">
        <x:v>Missing email</x:v>
      </x:c>
    </x:row>
    <x:row r="3510">
      <x:c r="A3510" s="16" t="n">
        <x:v>3507</x:v>
      </x:c>
      <x:c r="B3510" s="16" t="str">
        <x:v>Jepa Pajepa</x:v>
      </x:c>
      <x:c r="C3510" s="16" t="str"/>
      <x:c r="D3510" s="16" t="str"/>
      <x:c r="E3510" s="16" t="str">
        <x:v>* myContacts</x:v>
      </x:c>
      <x:c r="F3510" s="16" t="str">
        <x:v>+60139010209</x:v>
      </x:c>
      <x:c r="G3510" s="16" t="str">
        <x:v>+60139010209</x:v>
      </x:c>
      <x:c r="H3510" s="16" t="str">
        <x:v>Excluded</x:v>
      </x:c>
      <x:c r="I3510" s="16" t="str">
        <x:v>Missing email</x:v>
      </x:c>
    </x:row>
    <x:row r="3511">
      <x:c r="A3511" s="16" t="n">
        <x:v>3508</x:v>
      </x:c>
      <x:c r="B3511" s="16" t="str">
        <x:v>Jeslynda Jaffri Francis</x:v>
      </x:c>
      <x:c r="C3511" s="16" t="str"/>
      <x:c r="D3511" s="16" t="str"/>
      <x:c r="E3511" s="16" t="str">
        <x:v>* myContacts</x:v>
      </x:c>
      <x:c r="F3511" s="16" t="str">
        <x:v>+60162759436</x:v>
      </x:c>
      <x:c r="G3511" s="16" t="str">
        <x:v>+60162759436</x:v>
      </x:c>
      <x:c r="H3511" s="16" t="str">
        <x:v>Excluded</x:v>
      </x:c>
      <x:c r="I3511" s="16" t="str">
        <x:v>Missing email</x:v>
      </x:c>
    </x:row>
    <x:row r="3512">
      <x:c r="A3512" s="16" t="n">
        <x:v>3509</x:v>
      </x:c>
      <x:c r="B3512" s="16" t="str">
        <x:v>Jesmax Rwr</x:v>
      </x:c>
      <x:c r="C3512" s="16" t="str"/>
      <x:c r="D3512" s="16" t="str"/>
      <x:c r="E3512" s="16" t="str">
        <x:v>* myContacts</x:v>
      </x:c>
      <x:c r="F3512" s="16" t="str">
        <x:v>+60108019165</x:v>
      </x:c>
      <x:c r="G3512" s="16" t="str">
        <x:v>+60108019165</x:v>
      </x:c>
      <x:c r="H3512" s="16" t="str">
        <x:v>Excluded</x:v>
      </x:c>
      <x:c r="I3512" s="16" t="str">
        <x:v>Missing email</x:v>
      </x:c>
    </x:row>
    <x:row r="3513">
      <x:c r="A3513" s="16" t="n">
        <x:v>3510</x:v>
      </x:c>
      <x:c r="B3513" s="16" t="str">
        <x:v>Jessica Asok</x:v>
      </x:c>
      <x:c r="C3513" s="16" t="str"/>
      <x:c r="D3513" s="16" t="str"/>
      <x:c r="E3513" s="16" t="str">
        <x:v>* myContacts</x:v>
      </x:c>
      <x:c r="F3513" s="16" t="str">
        <x:v>+447826035478</x:v>
      </x:c>
      <x:c r="G3513" s="16" t="str">
        <x:v>+447826035478</x:v>
      </x:c>
      <x:c r="H3513" s="16" t="str">
        <x:v>Excluded</x:v>
      </x:c>
      <x:c r="I3513" s="16" t="str">
        <x:v>Missing email</x:v>
      </x:c>
    </x:row>
    <x:row r="3514">
      <x:c r="A3514" s="16" t="n">
        <x:v>3511</x:v>
      </x:c>
      <x:c r="B3514" s="16" t="str">
        <x:v>Jessie Leng</x:v>
      </x:c>
      <x:c r="C3514" s="16" t="str"/>
      <x:c r="D3514" s="16" t="str"/>
      <x:c r="E3514" s="16" t="str">
        <x:v>* myContacts</x:v>
      </x:c>
      <x:c r="F3514" s="16" t="str">
        <x:v>0162256977 | +60162256977 | 0376510136</x:v>
      </x:c>
      <x:c r="G3514" s="16" t="str">
        <x:v>+60162256977 | +60162256977 | +60376510136</x:v>
      </x:c>
      <x:c r="H3514" s="16" t="str">
        <x:v>Excluded</x:v>
      </x:c>
      <x:c r="I3514" s="16" t="str">
        <x:v>Missing email</x:v>
      </x:c>
    </x:row>
    <x:row r="3515">
      <x:c r="A3515" s="16" t="n">
        <x:v>3512</x:v>
      </x:c>
      <x:c r="B3515" s="16" t="str">
        <x:v>Jessy Virgo</x:v>
      </x:c>
      <x:c r="C3515" s="16" t="str"/>
      <x:c r="D3515" s="16" t="str"/>
      <x:c r="E3515" s="16" t="str">
        <x:v>* myContacts</x:v>
      </x:c>
      <x:c r="F3515" s="16" t="str">
        <x:v>+60177376451</x:v>
      </x:c>
      <x:c r="G3515" s="16" t="str">
        <x:v>+60177376451</x:v>
      </x:c>
      <x:c r="H3515" s="16" t="str">
        <x:v>Excluded</x:v>
      </x:c>
      <x:c r="I3515" s="16" t="str">
        <x:v>Missing email</x:v>
      </x:c>
    </x:row>
    <x:row r="3516">
      <x:c r="A3516" s="16" t="n">
        <x:v>3513</x:v>
      </x:c>
      <x:c r="B3516" s="16" t="str">
        <x:v>Jet'aime Fida</x:v>
      </x:c>
      <x:c r="C3516" s="16" t="str"/>
      <x:c r="D3516" s="16" t="str"/>
      <x:c r="E3516" s="16" t="str">
        <x:v>* myContacts</x:v>
      </x:c>
      <x:c r="F3516" s="16" t="str">
        <x:v>+60174949207</x:v>
      </x:c>
      <x:c r="G3516" s="16" t="str">
        <x:v>+60174949207</x:v>
      </x:c>
      <x:c r="H3516" s="16" t="str">
        <x:v>Excluded</x:v>
      </x:c>
      <x:c r="I3516" s="16" t="str">
        <x:v>Missing email</x:v>
      </x:c>
    </x:row>
    <x:row r="3517">
      <x:c r="A3517" s="16" t="n">
        <x:v>3514</x:v>
      </x:c>
      <x:c r="B3517" s="16" t="str">
        <x:v>Jibril Amin</x:v>
      </x:c>
      <x:c r="C3517" s="16" t="str"/>
      <x:c r="D3517" s="16" t="str"/>
      <x:c r="E3517" s="16" t="str">
        <x:v>* myContacts</x:v>
      </x:c>
      <x:c r="F3517" s="16" t="str">
        <x:v>+60145299851</x:v>
      </x:c>
      <x:c r="G3517" s="16" t="str">
        <x:v>+60145299851</x:v>
      </x:c>
      <x:c r="H3517" s="16" t="str">
        <x:v>Excluded</x:v>
      </x:c>
      <x:c r="I3517" s="16" t="str">
        <x:v>Missing email</x:v>
      </x:c>
    </x:row>
    <x:row r="3518">
      <x:c r="A3518" s="16" t="n">
        <x:v>3515</x:v>
      </x:c>
      <x:c r="B3518" s="16" t="str">
        <x:v>Jihen</x:v>
      </x:c>
      <x:c r="C3518" s="16" t="str"/>
      <x:c r="D3518" s="16" t="str"/>
      <x:c r="E3518" s="16" t="str">
        <x:v>* myContacts</x:v>
      </x:c>
      <x:c r="F3518" s="16" t="str">
        <x:v>+6282331868718</x:v>
      </x:c>
      <x:c r="G3518" s="16" t="str">
        <x:v>+6282331868718</x:v>
      </x:c>
      <x:c r="H3518" s="16" t="str">
        <x:v>Excluded</x:v>
      </x:c>
      <x:c r="I3518" s="16" t="str">
        <x:v>Missing email</x:v>
      </x:c>
    </x:row>
    <x:row r="3519">
      <x:c r="A3519" s="16" t="n">
        <x:v>3516</x:v>
      </x:c>
      <x:c r="B3519" s="16" t="str">
        <x:v>Jiji Azizi</x:v>
      </x:c>
      <x:c r="C3519" s="16" t="str"/>
      <x:c r="D3519" s="16" t="str"/>
      <x:c r="E3519" s="16" t="str">
        <x:v>* myContacts</x:v>
      </x:c>
      <x:c r="F3519" s="16" t="str">
        <x:v>+601110662855</x:v>
      </x:c>
      <x:c r="G3519" s="16" t="str">
        <x:v>+601110662855</x:v>
      </x:c>
      <x:c r="H3519" s="16" t="str">
        <x:v>Excluded</x:v>
      </x:c>
      <x:c r="I3519" s="16" t="str">
        <x:v>Missing email</x:v>
      </x:c>
    </x:row>
    <x:row r="3520">
      <x:c r="A3520" s="16" t="n">
        <x:v>3517</x:v>
      </x:c>
      <x:c r="B3520" s="16" t="str">
        <x:v>Jimboy Balindrez</x:v>
      </x:c>
      <x:c r="C3520" s="16" t="str"/>
      <x:c r="D3520" s="16" t="str"/>
      <x:c r="E3520" s="16" t="str">
        <x:v>* myContacts</x:v>
      </x:c>
      <x:c r="F3520" s="16" t="str">
        <x:v>+601114105728</x:v>
      </x:c>
      <x:c r="G3520" s="16" t="str">
        <x:v>+601114105728</x:v>
      </x:c>
      <x:c r="H3520" s="16" t="str">
        <x:v>Excluded</x:v>
      </x:c>
      <x:c r="I3520" s="16" t="str">
        <x:v>Missing email</x:v>
      </x:c>
    </x:row>
    <x:row r="3521">
      <x:c r="A3521" s="16" t="n">
        <x:v>3518</x:v>
      </x:c>
      <x:c r="B3521" s="16" t="str">
        <x:v>Jiwa Kacau</x:v>
      </x:c>
      <x:c r="C3521" s="16" t="str"/>
      <x:c r="D3521" s="16" t="str"/>
      <x:c r="E3521" s="16" t="str">
        <x:v>* myContacts</x:v>
      </x:c>
      <x:c r="F3521" s="16" t="str">
        <x:v>+601127879611</x:v>
      </x:c>
      <x:c r="G3521" s="16" t="str">
        <x:v>+601127879611</x:v>
      </x:c>
      <x:c r="H3521" s="16" t="str">
        <x:v>Excluded</x:v>
      </x:c>
      <x:c r="I3521" s="16" t="str">
        <x:v>Missing email</x:v>
      </x:c>
    </x:row>
    <x:row r="3522">
      <x:c r="A3522" s="16" t="n">
        <x:v>3519</x:v>
      </x:c>
      <x:c r="B3522" s="16" t="str">
        <x:v>Jiwq Jiwq Rockers</x:v>
      </x:c>
      <x:c r="C3522" s="16" t="str"/>
      <x:c r="D3522" s="16" t="str"/>
      <x:c r="E3522" s="16" t="str">
        <x:v>* myContacts</x:v>
      </x:c>
      <x:c r="F3522" s="16" t="str">
        <x:v>+60142201370</x:v>
      </x:c>
      <x:c r="G3522" s="16" t="str">
        <x:v>+60142201370</x:v>
      </x:c>
      <x:c r="H3522" s="16" t="str">
        <x:v>Excluded</x:v>
      </x:c>
      <x:c r="I3522" s="16" t="str">
        <x:v>Missing email</x:v>
      </x:c>
    </x:row>
    <x:row r="3523">
      <x:c r="A3523" s="16" t="n">
        <x:v>3520</x:v>
      </x:c>
      <x:c r="B3523" s="16" t="str">
        <x:v>JJ ROIBOST TEA</x:v>
      </x:c>
      <x:c r="C3523" s="16" t="str"/>
      <x:c r="D3523" s="16" t="str"/>
      <x:c r="E3523" s="16" t="str">
        <x:v>* myContacts</x:v>
      </x:c>
      <x:c r="F3523" s="16" t="str">
        <x:v>+601157551158</x:v>
      </x:c>
      <x:c r="G3523" s="16" t="str">
        <x:v>+601157551158</x:v>
      </x:c>
      <x:c r="H3523" s="16" t="str">
        <x:v>Excluded</x:v>
      </x:c>
      <x:c r="I3523" s="16" t="str">
        <x:v>Missing email</x:v>
      </x:c>
    </x:row>
    <x:row r="3524">
      <x:c r="A3524" s="16" t="n">
        <x:v>3521</x:v>
      </x:c>
      <x:c r="B3524" s="16" t="str">
        <x:v>Jkk kecil kolej mawar</x:v>
      </x:c>
      <x:c r="C3524" s="16" t="str"/>
      <x:c r="D3524" s="16" t="str"/>
      <x:c r="E3524" s="16" t="str">
        <x:v>* myContacts</x:v>
      </x:c>
      <x:c r="F3524" s="16" t="str">
        <x:v>+60 19-203 3447 | +60192033447</x:v>
      </x:c>
      <x:c r="G3524" s="16" t="str">
        <x:v>+60192033447 | +60192033447</x:v>
      </x:c>
      <x:c r="H3524" s="16" t="str">
        <x:v>Excluded</x:v>
      </x:c>
      <x:c r="I3524" s="16" t="str">
        <x:v>Missing email</x:v>
      </x:c>
    </x:row>
    <x:row r="3525">
      <x:c r="A3525" s="16" t="n">
        <x:v>3522</x:v>
      </x:c>
      <x:c r="B3525" s="16" t="str">
        <x:v>Jm Chan JETTOUR CAR SALESMEN</x:v>
      </x:c>
      <x:c r="C3525" s="16" t="str"/>
      <x:c r="D3525" s="16" t="str"/>
      <x:c r="E3525" s="16" t="str">
        <x:v>* myContacts</x:v>
      </x:c>
      <x:c r="F3525" s="16" t="str">
        <x:v>+60168622933</x:v>
      </x:c>
      <x:c r="G3525" s="16" t="str">
        <x:v>+60168622933</x:v>
      </x:c>
      <x:c r="H3525" s="16" t="str">
        <x:v>Excluded</x:v>
      </x:c>
      <x:c r="I3525" s="16" t="str">
        <x:v>Missing email</x:v>
      </x:c>
    </x:row>
    <x:row r="3526">
      <x:c r="A3526" s="16" t="n">
        <x:v>3523</x:v>
      </x:c>
      <x:c r="B3526" s="16" t="str">
        <x:v>Jnj Management Consultants</x:v>
      </x:c>
      <x:c r="C3526" s="16" t="str"/>
      <x:c r="D3526" s="16" t="str"/>
      <x:c r="E3526" s="16" t="str">
        <x:v>* myContacts</x:v>
      </x:c>
      <x:c r="F3526" s="16" t="str">
        <x:v>+60361407333</x:v>
      </x:c>
      <x:c r="G3526" s="16" t="str">
        <x:v>+60361407333</x:v>
      </x:c>
      <x:c r="H3526" s="16" t="str">
        <x:v>Excluded</x:v>
      </x:c>
      <x:c r="I3526" s="16" t="str">
        <x:v>Missing email</x:v>
      </x:c>
    </x:row>
    <x:row r="3527">
      <x:c r="A3527" s="16" t="n">
        <x:v>3524</x:v>
      </x:c>
      <x:c r="B3527" s="16" t="str">
        <x:v>Joe Gto</x:v>
      </x:c>
      <x:c r="C3527" s="16" t="str"/>
      <x:c r="D3527" s="16" t="str"/>
      <x:c r="E3527" s="16" t="str">
        <x:v>* myContacts</x:v>
      </x:c>
      <x:c r="F3527" s="16" t="str">
        <x:v>+60172075984</x:v>
      </x:c>
      <x:c r="G3527" s="16" t="str">
        <x:v>+60172075984</x:v>
      </x:c>
      <x:c r="H3527" s="16" t="str">
        <x:v>Excluded</x:v>
      </x:c>
      <x:c r="I3527" s="16" t="str">
        <x:v>Missing email</x:v>
      </x:c>
    </x:row>
    <x:row r="3528">
      <x:c r="A3528" s="16" t="n">
        <x:v>3525</x:v>
      </x:c>
      <x:c r="B3528" s="16" t="str">
        <x:v>Joe Joe</x:v>
      </x:c>
      <x:c r="C3528" s="16" t="str"/>
      <x:c r="D3528" s="16" t="str"/>
      <x:c r="E3528" s="16" t="str">
        <x:v>* myContacts</x:v>
      </x:c>
      <x:c r="F3528" s="16" t="str">
        <x:v>+60148307027</x:v>
      </x:c>
      <x:c r="G3528" s="16" t="str">
        <x:v>+60148307027</x:v>
      </x:c>
      <x:c r="H3528" s="16" t="str">
        <x:v>Excluded</x:v>
      </x:c>
      <x:c r="I3528" s="16" t="str">
        <x:v>Missing email</x:v>
      </x:c>
    </x:row>
    <x:row r="3529">
      <x:c r="A3529" s="16" t="n">
        <x:v>3526</x:v>
      </x:c>
      <x:c r="B3529" s="16" t="str">
        <x:v>JOehoed</x:v>
      </x:c>
      <x:c r="C3529" s="16" t="str"/>
      <x:c r="D3529" s="16" t="str"/>
      <x:c r="E3529" s="16" t="str">
        <x:v>* myContacts</x:v>
      </x:c>
      <x:c r="F3529" s="16" t="str">
        <x:v>+6283878993135</x:v>
      </x:c>
      <x:c r="G3529" s="16" t="str">
        <x:v>+6283878993135</x:v>
      </x:c>
      <x:c r="H3529" s="16" t="str">
        <x:v>Excluded</x:v>
      </x:c>
      <x:c r="I3529" s="16" t="str">
        <x:v>Missing email</x:v>
      </x:c>
    </x:row>
    <x:row r="3530">
      <x:c r="A3530" s="16" t="n">
        <x:v>3527</x:v>
      </x:c>
      <x:c r="B3530" s="16" t="str">
        <x:v>Joey Buyo</x:v>
      </x:c>
      <x:c r="C3530" s="16" t="str"/>
      <x:c r="D3530" s="16" t="str"/>
      <x:c r="E3530" s="16" t="str">
        <x:v>* myContacts</x:v>
      </x:c>
      <x:c r="F3530" s="16" t="str">
        <x:v>+60189786361</x:v>
      </x:c>
      <x:c r="G3530" s="16" t="str">
        <x:v>+60189786361</x:v>
      </x:c>
      <x:c r="H3530" s="16" t="str">
        <x:v>Excluded</x:v>
      </x:c>
      <x:c r="I3530" s="16" t="str">
        <x:v>Missing email</x:v>
      </x:c>
    </x:row>
    <x:row r="3531">
      <x:c r="A3531" s="16" t="n">
        <x:v>3528</x:v>
      </x:c>
      <x:c r="B3531" s="16" t="str">
        <x:v>Joey Kamikazie</x:v>
      </x:c>
      <x:c r="C3531" s="16" t="str"/>
      <x:c r="D3531" s="16" t="str"/>
      <x:c r="E3531" s="16" t="str">
        <x:v>* myContacts</x:v>
      </x:c>
      <x:c r="F3531" s="16" t="str">
        <x:v>+601137303589</x:v>
      </x:c>
      <x:c r="G3531" s="16" t="str">
        <x:v>+601137303589</x:v>
      </x:c>
      <x:c r="H3531" s="16" t="str">
        <x:v>Excluded</x:v>
      </x:c>
      <x:c r="I3531" s="16" t="str">
        <x:v>Missing email</x:v>
      </x:c>
    </x:row>
    <x:row r="3532">
      <x:c r="A3532" s="16" t="n">
        <x:v>3529</x:v>
      </x:c>
      <x:c r="B3532" s="16" t="str">
        <x:v>John Kurt</x:v>
      </x:c>
      <x:c r="C3532" s="16" t="str"/>
      <x:c r="D3532" s="16" t="str"/>
      <x:c r="E3532" s="16" t="str">
        <x:v>* myContacts</x:v>
      </x:c>
      <x:c r="F3532" s="16" t="str">
        <x:v>+60134189196</x:v>
      </x:c>
      <x:c r="G3532" s="16" t="str">
        <x:v>+60134189196</x:v>
      </x:c>
      <x:c r="H3532" s="16" t="str">
        <x:v>Excluded</x:v>
      </x:c>
      <x:c r="I3532" s="16" t="str">
        <x:v>Missing email</x:v>
      </x:c>
    </x:row>
    <x:row r="3533">
      <x:c r="A3533" s="16" t="n">
        <x:v>3530</x:v>
      </x:c>
      <x:c r="B3533" s="16" t="str">
        <x:v>John Shin</x:v>
      </x:c>
      <x:c r="C3533" s="16" t="str"/>
      <x:c r="D3533" s="16" t="str"/>
      <x:c r="E3533" s="16" t="str">
        <x:v>* myContacts</x:v>
      </x:c>
      <x:c r="F3533" s="16" t="str">
        <x:v>+60109340739</x:v>
      </x:c>
      <x:c r="G3533" s="16" t="str">
        <x:v>+60109340739</x:v>
      </x:c>
      <x:c r="H3533" s="16" t="str">
        <x:v>Excluded</x:v>
      </x:c>
      <x:c r="I3533" s="16" t="str">
        <x:v>Missing email</x:v>
      </x:c>
    </x:row>
    <x:row r="3534">
      <x:c r="A3534" s="16" t="n">
        <x:v>3531</x:v>
      </x:c>
      <x:c r="B3534" s="16" t="str">
        <x:v>Johnny Chong</x:v>
      </x:c>
      <x:c r="C3534" s="16" t="str"/>
      <x:c r="D3534" s="16" t="str"/>
      <x:c r="E3534" s="16" t="str">
        <x:v>* myContacts</x:v>
      </x:c>
      <x:c r="F3534" s="16" t="str">
        <x:v>+60109402222</x:v>
      </x:c>
      <x:c r="G3534" s="16" t="str">
        <x:v>+60109402222</x:v>
      </x:c>
      <x:c r="H3534" s="16" t="str">
        <x:v>Excluded</x:v>
      </x:c>
      <x:c r="I3534" s="16" t="str">
        <x:v>Missing email</x:v>
      </x:c>
    </x:row>
    <x:row r="3535">
      <x:c r="A3535" s="16" t="n">
        <x:v>3532</x:v>
      </x:c>
      <x:c r="B3535" s="16" t="str">
        <x:v>Jojo Teacher</x:v>
      </x:c>
      <x:c r="C3535" s="16" t="str"/>
      <x:c r="D3535" s="16" t="str"/>
      <x:c r="E3535" s="16" t="str">
        <x:v>* myContacts</x:v>
      </x:c>
      <x:c r="F3535" s="16" t="str">
        <x:v>+06309066269260</x:v>
      </x:c>
      <x:c r="G3535" s="16" t="str">
        <x:v>+06309066269260</x:v>
      </x:c>
      <x:c r="H3535" s="16" t="str">
        <x:v>Excluded</x:v>
      </x:c>
      <x:c r="I3535" s="16" t="str">
        <x:v>Missing email</x:v>
      </x:c>
    </x:row>
    <x:row r="3536">
      <x:c r="A3536" s="16" t="n">
        <x:v>3533</x:v>
      </x:c>
      <x:c r="B3536" s="16" t="str">
        <x:v>Joko Kiswoyo</x:v>
      </x:c>
      <x:c r="C3536" s="16" t="str"/>
      <x:c r="D3536" s="16" t="str"/>
      <x:c r="E3536" s="16" t="str">
        <x:v>* myContacts</x:v>
      </x:c>
      <x:c r="F3536" s="16" t="str">
        <x:v>+62821329744177</x:v>
      </x:c>
      <x:c r="G3536" s="16" t="str">
        <x:v>+62821329744177</x:v>
      </x:c>
      <x:c r="H3536" s="16" t="str">
        <x:v>Excluded</x:v>
      </x:c>
      <x:c r="I3536" s="16" t="str">
        <x:v>Missing email</x:v>
      </x:c>
    </x:row>
    <x:row r="3537">
      <x:c r="A3537" s="16" t="n">
        <x:v>3534</x:v>
      </x:c>
      <x:c r="B3537" s="16" t="str">
        <x:v>Jolly sim AGP</x:v>
      </x:c>
      <x:c r="C3537" s="16" t="str"/>
      <x:c r="D3537" s="16" t="str"/>
      <x:c r="E3537" s="16" t="str">
        <x:v>* myContacts</x:v>
      </x:c>
      <x:c r="F3537" s="16" t="str">
        <x:v>+60 16-577 0810 | +60165770810</x:v>
      </x:c>
      <x:c r="G3537" s="16" t="str">
        <x:v>+60165770810 | +60165770810</x:v>
      </x:c>
      <x:c r="H3537" s="16" t="str">
        <x:v>Excluded</x:v>
      </x:c>
      <x:c r="I3537" s="16" t="str">
        <x:v>Missing email</x:v>
      </x:c>
    </x:row>
    <x:row r="3538">
      <x:c r="A3538" s="16" t="n">
        <x:v>3535</x:v>
      </x:c>
      <x:c r="B3538" s="16" t="str">
        <x:v>JON STP</x:v>
      </x:c>
      <x:c r="C3538" s="16" t="str"/>
      <x:c r="D3538" s="16" t="str"/>
      <x:c r="E3538" s="16" t="str">
        <x:v>* myContacts</x:v>
      </x:c>
      <x:c r="F3538" s="16" t="str">
        <x:v>0172923716 | +60172923716</x:v>
      </x:c>
      <x:c r="G3538" s="16" t="str">
        <x:v>+60172923716 | +60172923716</x:v>
      </x:c>
      <x:c r="H3538" s="16" t="str">
        <x:v>Excluded</x:v>
      </x:c>
      <x:c r="I3538" s="16" t="str">
        <x:v>Missing email</x:v>
      </x:c>
    </x:row>
    <x:row r="3539">
      <x:c r="A3539" s="16" t="n">
        <x:v>3536</x:v>
      </x:c>
      <x:c r="B3539" s="16" t="str">
        <x:v>Jootawan Office</x:v>
      </x:c>
      <x:c r="C3539" s="16" t="str"/>
      <x:c r="D3539" s="16" t="str"/>
      <x:c r="E3539" s="16" t="str">
        <x:v>* myContacts</x:v>
      </x:c>
      <x:c r="F3539" s="16" t="str">
        <x:v>0389456220 | +60389456220</x:v>
      </x:c>
      <x:c r="G3539" s="16" t="str">
        <x:v>+60389456220 | +60389456220</x:v>
      </x:c>
      <x:c r="H3539" s="16" t="str">
        <x:v>Excluded</x:v>
      </x:c>
      <x:c r="I3539" s="16" t="str">
        <x:v>Missing email</x:v>
      </x:c>
    </x:row>
    <x:row r="3540">
      <x:c r="A3540" s="16" t="n">
        <x:v>3537</x:v>
      </x:c>
      <x:c r="B3540" s="16" t="str">
        <x:v>Jorji PIXLR</x:v>
      </x:c>
      <x:c r="C3540" s="16" t="str"/>
      <x:c r="D3540" s="16" t="str"/>
      <x:c r="E3540" s="16" t="str">
        <x:v>* myContacts</x:v>
      </x:c>
      <x:c r="F3540" s="16" t="str">
        <x:v>+60 17-747 3838 | +60177473838</x:v>
      </x:c>
      <x:c r="G3540" s="16" t="str">
        <x:v>+60177473838 | +60177473838</x:v>
      </x:c>
      <x:c r="H3540" s="16" t="str">
        <x:v>Excluded</x:v>
      </x:c>
      <x:c r="I3540" s="16" t="str">
        <x:v>Missing email</x:v>
      </x:c>
    </x:row>
    <x:row r="3541">
      <x:c r="A3541" s="16" t="n">
        <x:v>3538</x:v>
      </x:c>
      <x:c r="B3541" s="16" t="str">
        <x:v>Joseph Frankie</x:v>
      </x:c>
      <x:c r="C3541" s="16" t="str"/>
      <x:c r="D3541" s="16" t="str"/>
      <x:c r="E3541" s="16" t="str">
        <x:v>* myContacts</x:v>
      </x:c>
      <x:c r="F3541" s="16" t="str">
        <x:v>+60142164100</x:v>
      </x:c>
      <x:c r="G3541" s="16" t="str">
        <x:v>+60142164100</x:v>
      </x:c>
      <x:c r="H3541" s="16" t="str">
        <x:v>Excluded</x:v>
      </x:c>
      <x:c r="I3541" s="16" t="str">
        <x:v>Missing email</x:v>
      </x:c>
    </x:row>
    <x:row r="3542">
      <x:c r="A3542" s="16" t="n">
        <x:v>3539</x:v>
      </x:c>
      <x:c r="B3542" s="16" t="str">
        <x:v>Josh website guru</x:v>
      </x:c>
      <x:c r="C3542" s="16" t="str"/>
      <x:c r="D3542" s="16" t="str"/>
      <x:c r="E3542" s="16" t="str">
        <x:v>* myContacts</x:v>
      </x:c>
      <x:c r="F3542" s="16" t="str">
        <x:v>0172385505 | +60172385505</x:v>
      </x:c>
      <x:c r="G3542" s="16" t="str">
        <x:v>+60172385505 | +60172385505</x:v>
      </x:c>
      <x:c r="H3542" s="16" t="str">
        <x:v>Excluded</x:v>
      </x:c>
      <x:c r="I3542" s="16" t="str">
        <x:v>Missing email</x:v>
      </x:c>
    </x:row>
    <x:row r="3543">
      <x:c r="A3543" s="16" t="n">
        <x:v>3540</x:v>
      </x:c>
      <x:c r="B3543" s="16" t="str">
        <x:v>Jovi Andreas</x:v>
      </x:c>
      <x:c r="C3543" s="16" t="str"/>
      <x:c r="D3543" s="16" t="str"/>
      <x:c r="E3543" s="16" t="str">
        <x:v>* myContacts</x:v>
      </x:c>
      <x:c r="F3543" s="16" t="str">
        <x:v>+60184086862</x:v>
      </x:c>
      <x:c r="G3543" s="16" t="str">
        <x:v>+60184086862</x:v>
      </x:c>
      <x:c r="H3543" s="16" t="str">
        <x:v>Excluded</x:v>
      </x:c>
      <x:c r="I3543" s="16" t="str">
        <x:v>Missing email</x:v>
      </x:c>
    </x:row>
    <x:row r="3544">
      <x:c r="A3544" s="16" t="n">
        <x:v>3541</x:v>
      </x:c>
      <x:c r="B3544" s="16" t="str">
        <x:v>Js Motor Sport</x:v>
      </x:c>
      <x:c r="C3544" s="16" t="str"/>
      <x:c r="D3544" s="16" t="str"/>
      <x:c r="E3544" s="16" t="str">
        <x:v>* myContacts</x:v>
      </x:c>
      <x:c r="F3544" s="16" t="str">
        <x:v>+601116246614</x:v>
      </x:c>
      <x:c r="G3544" s="16" t="str">
        <x:v>+601116246614</x:v>
      </x:c>
      <x:c r="H3544" s="16" t="str">
        <x:v>Excluded</x:v>
      </x:c>
      <x:c r="I3544" s="16" t="str">
        <x:v>Missing email</x:v>
      </x:c>
    </x:row>
    <x:row r="3545">
      <x:c r="A3545" s="16" t="n">
        <x:v>3542</x:v>
      </x:c>
      <x:c r="B3545" s="16" t="str">
        <x:v>Jtwo Autopart Jtwoautopart</x:v>
      </x:c>
      <x:c r="C3545" s="16" t="str"/>
      <x:c r="D3545" s="16" t="str"/>
      <x:c r="E3545" s="16" t="str">
        <x:v>* myContacts</x:v>
      </x:c>
      <x:c r="F3545" s="16" t="str">
        <x:v>+60192060626</x:v>
      </x:c>
      <x:c r="G3545" s="16" t="str">
        <x:v>+60192060626</x:v>
      </x:c>
      <x:c r="H3545" s="16" t="str">
        <x:v>Excluded</x:v>
      </x:c>
      <x:c r="I3545" s="16" t="str">
        <x:v>Missing email</x:v>
      </x:c>
    </x:row>
    <x:row r="3546">
      <x:c r="A3546" s="16" t="n">
        <x:v>3543</x:v>
      </x:c>
      <x:c r="B3546" s="16" t="str">
        <x:v>Juan Jutawan</x:v>
      </x:c>
      <x:c r="C3546" s="16" t="str"/>
      <x:c r="D3546" s="16" t="str"/>
      <x:c r="E3546" s="16" t="str">
        <x:v>* myContacts</x:v>
      </x:c>
      <x:c r="F3546" s="16" t="str">
        <x:v>+60172338408</x:v>
      </x:c>
      <x:c r="G3546" s="16" t="str">
        <x:v>+60172338408</x:v>
      </x:c>
      <x:c r="H3546" s="16" t="str">
        <x:v>Excluded</x:v>
      </x:c>
      <x:c r="I3546" s="16" t="str">
        <x:v>Missing email</x:v>
      </x:c>
    </x:row>
    <x:row r="3547">
      <x:c r="A3547" s="16" t="n">
        <x:v>3544</x:v>
      </x:c>
      <x:c r="B3547" s="16" t="str">
        <x:v>Jude Jerry</x:v>
      </x:c>
      <x:c r="C3547" s="16" t="str"/>
      <x:c r="D3547" s="16" t="str"/>
      <x:c r="E3547" s="16" t="str">
        <x:v>* myContacts</x:v>
      </x:c>
      <x:c r="F3547" s="16" t="str">
        <x:v>+60182444959</x:v>
      </x:c>
      <x:c r="G3547" s="16" t="str">
        <x:v>+60182444959</x:v>
      </x:c>
      <x:c r="H3547" s="16" t="str">
        <x:v>Excluded</x:v>
      </x:c>
      <x:c r="I3547" s="16" t="str">
        <x:v>Missing email</x:v>
      </x:c>
    </x:row>
    <x:row r="3548">
      <x:c r="A3548" s="16" t="n">
        <x:v>3545</x:v>
      </x:c>
      <x:c r="B3548" s="16" t="str">
        <x:v>Jue Griffin Training Centre</x:v>
      </x:c>
      <x:c r="C3548" s="16" t="str"/>
      <x:c r="D3548" s="16" t="str"/>
      <x:c r="E3548" s="16" t="str">
        <x:v>* myContacts</x:v>
      </x:c>
      <x:c r="F3548" s="16" t="str">
        <x:v>+60 18-472 0311 | +60184720311</x:v>
      </x:c>
      <x:c r="G3548" s="16" t="str">
        <x:v>+60184720311 | +60184720311</x:v>
      </x:c>
      <x:c r="H3548" s="16" t="str">
        <x:v>Excluded</x:v>
      </x:c>
      <x:c r="I3548" s="16" t="str">
        <x:v>Missing email</x:v>
      </x:c>
    </x:row>
    <x:row r="3549">
      <x:c r="A3549" s="16" t="n">
        <x:v>3546</x:v>
      </x:c>
      <x:c r="B3549" s="16" t="str">
        <x:v>Jue Kuak</x:v>
      </x:c>
      <x:c r="C3549" s="16" t="str"/>
      <x:c r="D3549" s="16" t="str"/>
      <x:c r="E3549" s="16" t="str">
        <x:v>* myContacts</x:v>
      </x:c>
      <x:c r="F3549" s="16" t="str">
        <x:v>+60109401776</x:v>
      </x:c>
      <x:c r="G3549" s="16" t="str">
        <x:v>+60109401776</x:v>
      </x:c>
      <x:c r="H3549" s="16" t="str">
        <x:v>Excluded</x:v>
      </x:c>
      <x:c r="I3549" s="16" t="str">
        <x:v>Missing email</x:v>
      </x:c>
    </x:row>
    <x:row r="3550">
      <x:c r="A3550" s="16" t="n">
        <x:v>3547</x:v>
      </x:c>
      <x:c r="B3550" s="16" t="str">
        <x:v>Jue Rie</x:v>
      </x:c>
      <x:c r="C3550" s="16" t="str"/>
      <x:c r="D3550" s="16" t="str"/>
      <x:c r="E3550" s="16" t="str">
        <x:v>* myContacts</x:v>
      </x:c>
      <x:c r="F3550" s="16" t="str">
        <x:v>+60199910496</x:v>
      </x:c>
      <x:c r="G3550" s="16" t="str">
        <x:v>+60199910496</x:v>
      </x:c>
      <x:c r="H3550" s="16" t="str">
        <x:v>Excluded</x:v>
      </x:c>
      <x:c r="I3550" s="16" t="str">
        <x:v>Missing email</x:v>
      </x:c>
    </x:row>
    <x:row r="3551">
      <x:c r="A3551" s="16" t="n">
        <x:v>3548</x:v>
      </x:c>
      <x:c r="B3551" s="16" t="str">
        <x:v>Juita AGP</x:v>
      </x:c>
      <x:c r="C3551" s="16" t="str"/>
      <x:c r="D3551" s="16" t="str"/>
      <x:c r="E3551" s="16" t="str">
        <x:v>* myContacts</x:v>
      </x:c>
      <x:c r="F3551" s="16" t="str">
        <x:v>+60 14-565 9308 | +60145659308</x:v>
      </x:c>
      <x:c r="G3551" s="16" t="str">
        <x:v>+60145659308 | +60145659308</x:v>
      </x:c>
      <x:c r="H3551" s="16" t="str">
        <x:v>Excluded</x:v>
      </x:c>
      <x:c r="I3551" s="16" t="str">
        <x:v>Missing email</x:v>
      </x:c>
    </x:row>
    <x:row r="3552">
      <x:c r="A3552" s="16" t="n">
        <x:v>3549</x:v>
      </x:c>
      <x:c r="B3552" s="16" t="str">
        <x:v>Juka Jnj</x:v>
      </x:c>
      <x:c r="C3552" s="16" t="str"/>
      <x:c r="D3552" s="16" t="str"/>
      <x:c r="E3552" s="16" t="str">
        <x:v>* myContacts</x:v>
      </x:c>
      <x:c r="F3552" s="16" t="str">
        <x:v>0175141418 | +60175141418</x:v>
      </x:c>
      <x:c r="G3552" s="16" t="str">
        <x:v>+60175141418 | +60175141418</x:v>
      </x:c>
      <x:c r="H3552" s="16" t="str">
        <x:v>Excluded</x:v>
      </x:c>
      <x:c r="I3552" s="16" t="str">
        <x:v>Missing email</x:v>
      </x:c>
    </x:row>
    <x:row r="3553">
      <x:c r="A3553" s="16" t="n">
        <x:v>3550</x:v>
      </x:c>
      <x:c r="B3553" s="16" t="str">
        <x:v>Julaifah AGP</x:v>
      </x:c>
      <x:c r="C3553" s="16" t="str"/>
      <x:c r="D3553" s="16" t="str"/>
      <x:c r="E3553" s="16" t="str">
        <x:v>* myContacts</x:v>
      </x:c>
      <x:c r="F3553" s="16" t="str">
        <x:v>+60 19-809 7157 | +60198097157</x:v>
      </x:c>
      <x:c r="G3553" s="16" t="str">
        <x:v>+60198097157 | +60198097157</x:v>
      </x:c>
      <x:c r="H3553" s="16" t="str">
        <x:v>Excluded</x:v>
      </x:c>
      <x:c r="I3553" s="16" t="str">
        <x:v>Missing email</x:v>
      </x:c>
    </x:row>
    <x:row r="3554">
      <x:c r="A3554" s="16" t="n">
        <x:v>3551</x:v>
      </x:c>
      <x:c r="B3554" s="16" t="str">
        <x:v>Julaizah Harun</x:v>
      </x:c>
      <x:c r="C3554" s="16" t="str"/>
      <x:c r="D3554" s="16" t="str"/>
      <x:c r="E3554" s="16" t="str">
        <x:v>* myContacts</x:v>
      </x:c>
      <x:c r="F3554" s="16" t="str">
        <x:v>+60179291087</x:v>
      </x:c>
      <x:c r="G3554" s="16" t="str">
        <x:v>+60179291087</x:v>
      </x:c>
      <x:c r="H3554" s="16" t="str">
        <x:v>Excluded</x:v>
      </x:c>
      <x:c r="I3554" s="16" t="str">
        <x:v>Missing email</x:v>
      </x:c>
    </x:row>
    <x:row r="3555">
      <x:c r="A3555" s="16" t="n">
        <x:v>3552</x:v>
      </x:c>
      <x:c r="B3555" s="16" t="str">
        <x:v>Julfaizal Faizal Haribi</x:v>
      </x:c>
      <x:c r="C3555" s="16" t="str"/>
      <x:c r="D3555" s="16" t="str"/>
      <x:c r="E3555" s="16" t="str">
        <x:v>* myContacts</x:v>
      </x:c>
      <x:c r="F3555" s="16" t="str">
        <x:v>+601159312344</x:v>
      </x:c>
      <x:c r="G3555" s="16" t="str">
        <x:v>+601159312344</x:v>
      </x:c>
      <x:c r="H3555" s="16" t="str">
        <x:v>Excluded</x:v>
      </x:c>
      <x:c r="I3555" s="16" t="str">
        <x:v>Missing email</x:v>
      </x:c>
    </x:row>
    <x:row r="3556">
      <x:c r="A3556" s="16" t="n">
        <x:v>3553</x:v>
      </x:c>
      <x:c r="B3556" s="16" t="str">
        <x:v>Julia Pinnacle Financial Officer</x:v>
      </x:c>
      <x:c r="C3556" s="16" t="str"/>
      <x:c r="D3556" s="16" t="str"/>
      <x:c r="E3556" s="16" t="str">
        <x:v>* myContacts</x:v>
      </x:c>
      <x:c r="F3556" s="16" t="str">
        <x:v>0123430027 | +60123430027</x:v>
      </x:c>
      <x:c r="G3556" s="16" t="str">
        <x:v>+60123430027 | +60123430027</x:v>
      </x:c>
      <x:c r="H3556" s="16" t="str">
        <x:v>Excluded</x:v>
      </x:c>
      <x:c r="I3556" s="16" t="str">
        <x:v>Missing email</x:v>
      </x:c>
    </x:row>
    <x:row r="3557">
      <x:c r="A3557" s="16" t="n">
        <x:v>3554</x:v>
      </x:c>
      <x:c r="B3557" s="16" t="str">
        <x:v>Juliana Mohdhasney</x:v>
      </x:c>
      <x:c r="C3557" s="16" t="str"/>
      <x:c r="D3557" s="16" t="str"/>
      <x:c r="E3557" s="16" t="str">
        <x:v>* myContacts</x:v>
      </x:c>
      <x:c r="F3557" s="16" t="str">
        <x:v>+60169246398</x:v>
      </x:c>
      <x:c r="G3557" s="16" t="str">
        <x:v>+60169246398</x:v>
      </x:c>
      <x:c r="H3557" s="16" t="str">
        <x:v>Excluded</x:v>
      </x:c>
      <x:c r="I3557" s="16" t="str">
        <x:v>Missing email</x:v>
      </x:c>
    </x:row>
    <x:row r="3558">
      <x:c r="A3558" s="16" t="n">
        <x:v>3555</x:v>
      </x:c>
      <x:c r="B3558" s="16" t="str">
        <x:v>𝒥𝓊𝓁𝒾𝑒 𝑀𝑜𝓏𝒾𝒶𝓃𝒹𝒶 💜</x:v>
      </x:c>
      <x:c r="C3558" s="16" t="str"/>
      <x:c r="D3558" s="16" t="str"/>
      <x:c r="E3558" s="16" t="str">
        <x:v>* myContacts</x:v>
      </x:c>
      <x:c r="F3558" s="16" t="str">
        <x:v>+60 19-665 4452 | +60196654452</x:v>
      </x:c>
      <x:c r="G3558" s="16" t="str">
        <x:v>+60196654452 | +60196654452</x:v>
      </x:c>
      <x:c r="H3558" s="16" t="str">
        <x:v>Excluded</x:v>
      </x:c>
      <x:c r="I3558" s="16" t="str">
        <x:v>Missing email</x:v>
      </x:c>
    </x:row>
    <x:row r="3559">
      <x:c r="A3559" s="16" t="n">
        <x:v>3556</x:v>
      </x:c>
      <x:c r="B3559" s="16" t="str">
        <x:v>Julie Trainer Sabah IM</x:v>
      </x:c>
      <x:c r="C3559" s="16" t="str"/>
      <x:c r="D3559" s="16" t="str"/>
      <x:c r="E3559" s="16" t="str">
        <x:v>Trainer | * myContacts</x:v>
      </x:c>
      <x:c r="F3559" s="16" t="str">
        <x:v>+60198937839</x:v>
      </x:c>
      <x:c r="G3559" s="16" t="str">
        <x:v>+60198937839</x:v>
      </x:c>
      <x:c r="H3559" s="16" t="str">
        <x:v>Excluded</x:v>
      </x:c>
      <x:c r="I3559" s="16" t="str">
        <x:v>Missing email</x:v>
      </x:c>
    </x:row>
    <x:row r="3560">
      <x:c r="A3560" s="16" t="n">
        <x:v>3557</x:v>
      </x:c>
      <x:c r="B3560" s="16" t="str">
        <x:v>Julie Yana</x:v>
      </x:c>
      <x:c r="C3560" s="16" t="str"/>
      <x:c r="D3560" s="16" t="str"/>
      <x:c r="E3560" s="16" t="str">
        <x:v>* myContacts</x:v>
      </x:c>
      <x:c r="F3560" s="16" t="str">
        <x:v>+60179690461</x:v>
      </x:c>
      <x:c r="G3560" s="16" t="str">
        <x:v>+60179690461</x:v>
      </x:c>
      <x:c r="H3560" s="16" t="str">
        <x:v>Excluded</x:v>
      </x:c>
      <x:c r="I3560" s="16" t="str">
        <x:v>Missing email</x:v>
      </x:c>
    </x:row>
    <x:row r="3561">
      <x:c r="A3561" s="16" t="n">
        <x:v>3558</x:v>
      </x:c>
      <x:c r="B3561" s="16" t="str">
        <x:v>Julisazila Juma'in</x:v>
      </x:c>
      <x:c r="C3561" s="16" t="str"/>
      <x:c r="D3561" s="16" t="str"/>
      <x:c r="E3561" s="16" t="str">
        <x:v>* myContacts</x:v>
      </x:c>
      <x:c r="F3561" s="16" t="str">
        <x:v>+60137011984</x:v>
      </x:c>
      <x:c r="G3561" s="16" t="str">
        <x:v>+60137011984</x:v>
      </x:c>
      <x:c r="H3561" s="16" t="str">
        <x:v>Excluded</x:v>
      </x:c>
      <x:c r="I3561" s="16" t="str">
        <x:v>Missing email</x:v>
      </x:c>
    </x:row>
    <x:row r="3562">
      <x:c r="A3562" s="16" t="n">
        <x:v>3559</x:v>
      </x:c>
      <x:c r="B3562" s="16" t="str">
        <x:v>Juliyana Abdul Rahim</x:v>
      </x:c>
      <x:c r="C3562" s="16" t="str"/>
      <x:c r="D3562" s="16" t="str"/>
      <x:c r="E3562" s="16" t="str">
        <x:v>* myContacts</x:v>
      </x:c>
      <x:c r="F3562" s="16" t="str">
        <x:v>+60179698429</x:v>
      </x:c>
      <x:c r="G3562" s="16" t="str">
        <x:v>+60179698429</x:v>
      </x:c>
      <x:c r="H3562" s="16" t="str">
        <x:v>Excluded</x:v>
      </x:c>
      <x:c r="I3562" s="16" t="str">
        <x:v>Missing email</x:v>
      </x:c>
    </x:row>
    <x:row r="3563">
      <x:c r="A3563" s="16" t="n">
        <x:v>3560</x:v>
      </x:c>
      <x:c r="B3563" s="16" t="str">
        <x:v>Jumalisa Hanafi</x:v>
      </x:c>
      <x:c r="C3563" s="16" t="str"/>
      <x:c r="D3563" s="16" t="str"/>
      <x:c r="E3563" s="16" t="str">
        <x:v>* myContacts</x:v>
      </x:c>
      <x:c r="F3563" s="16" t="str">
        <x:v>+60133334973</x:v>
      </x:c>
      <x:c r="G3563" s="16" t="str">
        <x:v>+60133334973</x:v>
      </x:c>
      <x:c r="H3563" s="16" t="str">
        <x:v>Excluded</x:v>
      </x:c>
      <x:c r="I3563" s="16" t="str">
        <x:v>Missing email</x:v>
      </x:c>
    </x:row>
    <x:row r="3564">
      <x:c r="A3564" s="16" t="n">
        <x:v>3561</x:v>
      </x:c>
      <x:c r="B3564" s="16" t="str">
        <x:v>Jumatulfariza AGP</x:v>
      </x:c>
      <x:c r="C3564" s="16" t="str"/>
      <x:c r="D3564" s="16" t="str"/>
      <x:c r="E3564" s="16" t="str">
        <x:v>* myContacts</x:v>
      </x:c>
      <x:c r="F3564" s="16" t="str">
        <x:v>+60 12-762 9999 | +60127629999</x:v>
      </x:c>
      <x:c r="G3564" s="16" t="str">
        <x:v>+60127629999 | +60127629999</x:v>
      </x:c>
      <x:c r="H3564" s="16" t="str">
        <x:v>Excluded</x:v>
      </x:c>
      <x:c r="I3564" s="16" t="str">
        <x:v>Missing email</x:v>
      </x:c>
    </x:row>
    <x:row r="3565">
      <x:c r="A3565" s="16" t="n">
        <x:v>3562</x:v>
      </x:c>
      <x:c r="B3565" s="16" t="str">
        <x:v>Junaidah Hashim</x:v>
      </x:c>
      <x:c r="C3565" s="16" t="str"/>
      <x:c r="D3565" s="16" t="str"/>
      <x:c r="E3565" s="16" t="str">
        <x:v>* myContacts</x:v>
      </x:c>
      <x:c r="F3565" s="16" t="str">
        <x:v>+60122656282</x:v>
      </x:c>
      <x:c r="G3565" s="16" t="str">
        <x:v>+60122656282</x:v>
      </x:c>
      <x:c r="H3565" s="16" t="str">
        <x:v>Excluded</x:v>
      </x:c>
      <x:c r="I3565" s="16" t="str">
        <x:v>Missing email</x:v>
      </x:c>
    </x:row>
    <x:row r="3566">
      <x:c r="A3566" s="16" t="n">
        <x:v>3563</x:v>
      </x:c>
      <x:c r="B3566" s="16" t="str">
        <x:v>Junaidi Ejun Juon</x:v>
      </x:c>
      <x:c r="C3566" s="16" t="str"/>
      <x:c r="D3566" s="16" t="str"/>
      <x:c r="E3566" s="16" t="str">
        <x:v>* myContacts</x:v>
      </x:c>
      <x:c r="F3566" s="16" t="str">
        <x:v>+60146185712</x:v>
      </x:c>
      <x:c r="G3566" s="16" t="str">
        <x:v>+60146185712</x:v>
      </x:c>
      <x:c r="H3566" s="16" t="str">
        <x:v>Excluded</x:v>
      </x:c>
      <x:c r="I3566" s="16" t="str">
        <x:v>Missing email</x:v>
      </x:c>
    </x:row>
    <x:row r="3567">
      <x:c r="A3567" s="16" t="n">
        <x:v>3564</x:v>
      </x:c>
      <x:c r="B3567" s="16" t="str">
        <x:v>Junaidi Singapore Traveler</x:v>
      </x:c>
      <x:c r="C3567" s="16" t="str"/>
      <x:c r="D3567" s="16" t="str"/>
      <x:c r="E3567" s="16" t="str">
        <x:v>* myContacts</x:v>
      </x:c>
      <x:c r="F3567" s="16" t="str">
        <x:v>+83821451</x:v>
      </x:c>
      <x:c r="G3567" s="16" t="str">
        <x:v>+83821451</x:v>
      </x:c>
      <x:c r="H3567" s="16" t="str">
        <x:v>Excluded</x:v>
      </x:c>
      <x:c r="I3567" s="16" t="str">
        <x:v>Missing email</x:v>
      </x:c>
    </x:row>
    <x:row r="3568">
      <x:c r="A3568" s="16" t="n">
        <x:v>3565</x:v>
      </x:c>
      <x:c r="B3568" s="16" t="str">
        <x:v>Junaina Ahmad Tbarani</x:v>
      </x:c>
      <x:c r="C3568" s="16" t="str"/>
      <x:c r="D3568" s="16" t="str"/>
      <x:c r="E3568" s="16" t="str">
        <x:v>* myContacts</x:v>
      </x:c>
      <x:c r="F3568" s="16" t="str">
        <x:v>+60122172269</x:v>
      </x:c>
      <x:c r="G3568" s="16" t="str">
        <x:v>+60122172269</x:v>
      </x:c>
      <x:c r="H3568" s="16" t="str">
        <x:v>Excluded</x:v>
      </x:c>
      <x:c r="I3568" s="16" t="str">
        <x:v>Missing email</x:v>
      </x:c>
    </x:row>
    <x:row r="3569">
      <x:c r="A3569" s="16" t="n">
        <x:v>3566</x:v>
      </x:c>
      <x:c r="B3569" s="16" t="str">
        <x:v>Junaizam Mohamed</x:v>
      </x:c>
      <x:c r="C3569" s="16" t="str"/>
      <x:c r="D3569" s="16" t="str"/>
      <x:c r="E3569" s="16" t="str">
        <x:v>* myContacts</x:v>
      </x:c>
      <x:c r="F3569" s="16" t="str">
        <x:v>+60109251449</x:v>
      </x:c>
      <x:c r="G3569" s="16" t="str">
        <x:v>+60109251449</x:v>
      </x:c>
      <x:c r="H3569" s="16" t="str">
        <x:v>Excluded</x:v>
      </x:c>
      <x:c r="I3569" s="16" t="str">
        <x:v>Missing email</x:v>
      </x:c>
    </x:row>
    <x:row r="3570">
      <x:c r="A3570" s="16" t="n">
        <x:v>3567</x:v>
      </x:c>
      <x:c r="B3570" s="16" t="str">
        <x:v>June Ammara</x:v>
      </x:c>
      <x:c r="C3570" s="16" t="str"/>
      <x:c r="D3570" s="16" t="str"/>
      <x:c r="E3570" s="16" t="str">
        <x:v>* myContacts</x:v>
      </x:c>
      <x:c r="F3570" s="16" t="str">
        <x:v>+60174463327</x:v>
      </x:c>
      <x:c r="G3570" s="16" t="str">
        <x:v>+60174463327</x:v>
      </x:c>
      <x:c r="H3570" s="16" t="str">
        <x:v>Excluded</x:v>
      </x:c>
      <x:c r="I3570" s="16" t="str">
        <x:v>Missing email</x:v>
      </x:c>
    </x:row>
    <x:row r="3571">
      <x:c r="A3571" s="16" t="n">
        <x:v>3568</x:v>
      </x:c>
      <x:c r="B3571" s="16" t="str">
        <x:v>Juned Bromolink</x:v>
      </x:c>
      <x:c r="C3571" s="16" t="str"/>
      <x:c r="D3571" s="16" t="str"/>
      <x:c r="E3571" s="16" t="str">
        <x:v>* myContacts</x:v>
      </x:c>
      <x:c r="F3571" s="16" t="str">
        <x:v>+6281230484199</x:v>
      </x:c>
      <x:c r="G3571" s="16" t="str">
        <x:v>+6281230484199</x:v>
      </x:c>
      <x:c r="H3571" s="16" t="str">
        <x:v>Excluded</x:v>
      </x:c>
      <x:c r="I3571" s="16" t="str">
        <x:v>Missing email</x:v>
      </x:c>
    </x:row>
    <x:row r="3572">
      <x:c r="A3572" s="16" t="n">
        <x:v>3569</x:v>
      </x:c>
      <x:c r="B3572" s="16" t="str">
        <x:v>Juriekar Riza Hazaha</x:v>
      </x:c>
      <x:c r="C3572" s="16" t="str"/>
      <x:c r="D3572" s="16" t="str"/>
      <x:c r="E3572" s="16" t="str">
        <x:v>* myContacts</x:v>
      </x:c>
      <x:c r="F3572" s="16" t="str">
        <x:v>+60167678812</x:v>
      </x:c>
      <x:c r="G3572" s="16" t="str">
        <x:v>+60167678812</x:v>
      </x:c>
      <x:c r="H3572" s="16" t="str">
        <x:v>Excluded</x:v>
      </x:c>
      <x:c r="I3572" s="16" t="str">
        <x:v>Missing email</x:v>
      </x:c>
    </x:row>
    <x:row r="3573">
      <x:c r="A3573" s="16" t="n">
        <x:v>3570</x:v>
      </x:c>
      <x:c r="B3573" s="16" t="str">
        <x:v>Jus Minda Qidz SecretPalace</x:v>
      </x:c>
      <x:c r="C3573" s="16" t="str"/>
      <x:c r="D3573" s="16" t="str"/>
      <x:c r="E3573" s="16" t="str">
        <x:v>* myContacts</x:v>
      </x:c>
      <x:c r="F3573" s="16" t="str">
        <x:v>+60389574349</x:v>
      </x:c>
      <x:c r="G3573" s="16" t="str">
        <x:v>+60389574349</x:v>
      </x:c>
      <x:c r="H3573" s="16" t="str">
        <x:v>Excluded</x:v>
      </x:c>
      <x:c r="I3573" s="16" t="str">
        <x:v>Missing email</x:v>
      </x:c>
    </x:row>
    <x:row r="3574">
      <x:c r="A3574" s="16" t="n">
        <x:v>3571</x:v>
      </x:c>
      <x:c r="B3574" s="16" t="str">
        <x:v>Juslina Mohd Noor</x:v>
      </x:c>
      <x:c r="C3574" s="16" t="str"/>
      <x:c r="D3574" s="16" t="str"/>
      <x:c r="E3574" s="16" t="str">
        <x:v>* myContacts</x:v>
      </x:c>
      <x:c r="F3574" s="16" t="str">
        <x:v>+60172449323</x:v>
      </x:c>
      <x:c r="G3574" s="16" t="str">
        <x:v>+60172449323</x:v>
      </x:c>
      <x:c r="H3574" s="16" t="str">
        <x:v>Excluded</x:v>
      </x:c>
      <x:c r="I3574" s="16" t="str">
        <x:v>Missing email</x:v>
      </x:c>
    </x:row>
    <x:row r="3575">
      <x:c r="A3575" s="16" t="n">
        <x:v>3572</x:v>
      </x:c>
      <x:c r="B3575" s="16" t="str">
        <x:v>Jusni blogger hartanah</x:v>
      </x:c>
      <x:c r="C3575" s="16" t="str"/>
      <x:c r="D3575" s="16" t="str"/>
      <x:c r="E3575" s="16" t="str">
        <x:v>* myContacts</x:v>
      </x:c>
      <x:c r="F3575" s="16" t="str">
        <x:v>+60 12-268 3384 | +60122683384</x:v>
      </x:c>
      <x:c r="G3575" s="16" t="str">
        <x:v>+60122683384 | +60122683384</x:v>
      </x:c>
      <x:c r="H3575" s="16" t="str">
        <x:v>Excluded</x:v>
      </x:c>
      <x:c r="I3575" s="16" t="str">
        <x:v>Missing email</x:v>
      </x:c>
    </x:row>
    <x:row r="3576">
      <x:c r="A3576" s="16" t="n">
        <x:v>3573</x:v>
      </x:c>
      <x:c r="B3576" s="16" t="str">
        <x:v>Jutawan TopEvent</x:v>
      </x:c>
      <x:c r="C3576" s="16" t="str"/>
      <x:c r="D3576" s="16" t="str"/>
      <x:c r="E3576" s="16" t="str">
        <x:v>* myContacts</x:v>
      </x:c>
      <x:c r="F3576" s="16" t="str">
        <x:v>+601138083663</x:v>
      </x:c>
      <x:c r="G3576" s="16" t="str">
        <x:v>+601138083663</x:v>
      </x:c>
      <x:c r="H3576" s="16" t="str">
        <x:v>Excluded</x:v>
      </x:c>
      <x:c r="I3576" s="16" t="str">
        <x:v>Missing email</x:v>
      </x:c>
    </x:row>
    <x:row r="3577">
      <x:c r="A3577" s="16" t="n">
        <x:v>3574</x:v>
      </x:c>
      <x:c r="B3577" s="16" t="str">
        <x:v>Juwita Jb</x:v>
      </x:c>
      <x:c r="C3577" s="16" t="str"/>
      <x:c r="D3577" s="16" t="str"/>
      <x:c r="E3577" s="16" t="str">
        <x:v>* myContacts</x:v>
      </x:c>
      <x:c r="F3577" s="16" t="str">
        <x:v>+60127029014</x:v>
      </x:c>
      <x:c r="G3577" s="16" t="str">
        <x:v>+60127029014</x:v>
      </x:c>
      <x:c r="H3577" s="16" t="str">
        <x:v>Excluded</x:v>
      </x:c>
      <x:c r="I3577" s="16" t="str">
        <x:v>Missing email</x:v>
      </x:c>
    </x:row>
    <x:row r="3578">
      <x:c r="A3578" s="16" t="n">
        <x:v>3575</x:v>
      </x:c>
      <x:c r="B3578" s="16" t="str">
        <x:v>K Hakim Idris</x:v>
      </x:c>
      <x:c r="C3578" s="16" t="str"/>
      <x:c r="D3578" s="16" t="str"/>
      <x:c r="E3578" s="16" t="str">
        <x:v>* myContacts</x:v>
      </x:c>
      <x:c r="F3578" s="16" t="str">
        <x:v>+60165216264</x:v>
      </x:c>
      <x:c r="G3578" s="16" t="str">
        <x:v>+60165216264</x:v>
      </x:c>
      <x:c r="H3578" s="16" t="str">
        <x:v>Excluded</x:v>
      </x:c>
      <x:c r="I3578" s="16" t="str">
        <x:v>Missing email</x:v>
      </x:c>
    </x:row>
    <x:row r="3579">
      <x:c r="A3579" s="16" t="n">
        <x:v>3576</x:v>
      </x:c>
      <x:c r="B3579" s="16" t="str">
        <x:v>K T Tan Electric</x:v>
      </x:c>
      <x:c r="C3579" s="16" t="str"/>
      <x:c r="D3579" s="16" t="str"/>
      <x:c r="E3579" s="16" t="str">
        <x:v>* myContacts</x:v>
      </x:c>
      <x:c r="F3579" s="16" t="str">
        <x:v>+60123565141</x:v>
      </x:c>
      <x:c r="G3579" s="16" t="str">
        <x:v>+60123565141</x:v>
      </x:c>
      <x:c r="H3579" s="16" t="str">
        <x:v>Excluded</x:v>
      </x:c>
      <x:c r="I3579" s="16" t="str">
        <x:v>Missing email</x:v>
      </x:c>
    </x:row>
    <x:row r="3580">
      <x:c r="A3580" s="16" t="n">
        <x:v>3577</x:v>
      </x:c>
      <x:c r="B3580" s="16" t="str">
        <x:v>Ka</x:v>
      </x:c>
      <x:c r="C3580" s="16" t="str"/>
      <x:c r="D3580" s="16" t="str"/>
      <x:c r="E3580" s="16" t="str">
        <x:v>* myContacts</x:v>
      </x:c>
      <x:c r="F3580" s="16" t="str"/>
      <x:c r="G3580" s="16" t="str"/>
      <x:c r="H3580" s="16" t="str">
        <x:v>Excluded</x:v>
      </x:c>
      <x:c r="I3580" s="16" t="str">
        <x:v>Missing email</x:v>
      </x:c>
    </x:row>
    <x:row r="3581">
      <x:c r="A3581" s="16" t="n">
        <x:v>3578</x:v>
      </x:c>
      <x:c r="B3581" s="16" t="str">
        <x:v>Kabul Entepreneur</x:v>
      </x:c>
      <x:c r="C3581" s="16" t="str"/>
      <x:c r="D3581" s="16" t="str"/>
      <x:c r="E3581" s="16" t="str">
        <x:v>* myContacts</x:v>
      </x:c>
      <x:c r="F3581" s="16" t="str">
        <x:v>0133407676 | +60133407676</x:v>
      </x:c>
      <x:c r="G3581" s="16" t="str">
        <x:v>+60133407676 | +60133407676</x:v>
      </x:c>
      <x:c r="H3581" s="16" t="str">
        <x:v>Excluded</x:v>
      </x:c>
      <x:c r="I3581" s="16" t="str">
        <x:v>Missing email</x:v>
      </x:c>
    </x:row>
    <x:row r="3582">
      <x:c r="A3582" s="16" t="n">
        <x:v>3579</x:v>
      </x:c>
      <x:c r="B3582" s="16" t="str">
        <x:v>Kad Kahwin BulardNoor</x:v>
      </x:c>
      <x:c r="C3582" s="16" t="str"/>
      <x:c r="D3582" s="16" t="str"/>
      <x:c r="E3582" s="16" t="str">
        <x:v>* myContacts</x:v>
      </x:c>
      <x:c r="F3582" s="16" t="str">
        <x:v>+60192294753</x:v>
      </x:c>
      <x:c r="G3582" s="16" t="str">
        <x:v>+60192294753</x:v>
      </x:c>
      <x:c r="H3582" s="16" t="str">
        <x:v>Excluded</x:v>
      </x:c>
      <x:c r="I3582" s="16" t="str">
        <x:v>Missing email</x:v>
      </x:c>
    </x:row>
    <x:row r="3583">
      <x:c r="A3583" s="16" t="n">
        <x:v>3580</x:v>
      </x:c>
      <x:c r="B3583" s="16" t="str">
        <x:v>Kaer Superhighway Wang</x:v>
      </x:c>
      <x:c r="C3583" s="16" t="str"/>
      <x:c r="D3583" s="16" t="str"/>
      <x:c r="E3583" s="16" t="str">
        <x:v>* myContacts</x:v>
      </x:c>
      <x:c r="F3583" s="16" t="str">
        <x:v>0133969863 | +60133969863</x:v>
      </x:c>
      <x:c r="G3583" s="16" t="str">
        <x:v>+60133969863 | +60133969863</x:v>
      </x:c>
      <x:c r="H3583" s="16" t="str">
        <x:v>Excluded</x:v>
      </x:c>
      <x:c r="I3583" s="16" t="str">
        <x:v>Missing email</x:v>
      </x:c>
    </x:row>
    <x:row r="3584">
      <x:c r="A3584" s="16" t="n">
        <x:v>3581</x:v>
      </x:c>
      <x:c r="B3584" s="16" t="str">
        <x:v>Kafe D'Manggis</x:v>
      </x:c>
      <x:c r="C3584" s="16" t="str"/>
      <x:c r="D3584" s="16" t="str"/>
      <x:c r="E3584" s="16" t="str">
        <x:v>* myContacts</x:v>
      </x:c>
      <x:c r="F3584" s="16" t="str">
        <x:v>+60360386844</x:v>
      </x:c>
      <x:c r="G3584" s="16" t="str">
        <x:v>+60360386844</x:v>
      </x:c>
      <x:c r="H3584" s="16" t="str">
        <x:v>Excluded</x:v>
      </x:c>
      <x:c r="I3584" s="16" t="str">
        <x:v>Missing email</x:v>
      </x:c>
    </x:row>
    <x:row r="3585">
      <x:c r="A3585" s="16" t="n">
        <x:v>3582</x:v>
      </x:c>
      <x:c r="B3585" s="16" t="str">
        <x:v>Kah Sing Kedai Phone Petama Complex</x:v>
      </x:c>
      <x:c r="C3585" s="16" t="str"/>
      <x:c r="D3585" s="16" t="str"/>
      <x:c r="E3585" s="16" t="str">
        <x:v>* myContacts</x:v>
      </x:c>
      <x:c r="F3585" s="16" t="str">
        <x:v>+60 16-224 2229 | +60162242229</x:v>
      </x:c>
      <x:c r="G3585" s="16" t="str">
        <x:v>+60162242229 | +60162242229</x:v>
      </x:c>
      <x:c r="H3585" s="16" t="str">
        <x:v>Excluded</x:v>
      </x:c>
      <x:c r="I3585" s="16" t="str">
        <x:v>Missing email</x:v>
      </x:c>
    </x:row>
    <x:row r="3586">
      <x:c r="A3586" s="16" t="n">
        <x:v>3583</x:v>
      </x:c>
      <x:c r="B3586" s="16" t="str">
        <x:v>Kain Pasang</x:v>
      </x:c>
      <x:c r="C3586" s="16" t="str"/>
      <x:c r="D3586" s="16" t="str"/>
      <x:c r="E3586" s="16" t="str">
        <x:v>* myContacts</x:v>
      </x:c>
      <x:c r="F3586" s="16" t="str">
        <x:v>+60326947636</x:v>
      </x:c>
      <x:c r="G3586" s="16" t="str">
        <x:v>+60326947636</x:v>
      </x:c>
      <x:c r="H3586" s="16" t="str">
        <x:v>Excluded</x:v>
      </x:c>
      <x:c r="I3586" s="16" t="str">
        <x:v>Missing email</x:v>
      </x:c>
    </x:row>
    <x:row r="3587">
      <x:c r="A3587" s="16" t="n">
        <x:v>3584</x:v>
      </x:c>
      <x:c r="B3587" s="16" t="str">
        <x:v>Kak Aisyah Agent AGP</x:v>
      </x:c>
      <x:c r="C3587" s="16" t="str"/>
      <x:c r="D3587" s="16" t="str"/>
      <x:c r="E3587" s="16" t="str">
        <x:v>* myContacts</x:v>
      </x:c>
      <x:c r="F3587" s="16" t="str">
        <x:v>+601112545729</x:v>
      </x:c>
      <x:c r="G3587" s="16" t="str">
        <x:v>+601112545729</x:v>
      </x:c>
      <x:c r="H3587" s="16" t="str">
        <x:v>Excluded</x:v>
      </x:c>
      <x:c r="I3587" s="16" t="str">
        <x:v>Missing email</x:v>
      </x:c>
    </x:row>
    <x:row r="3588">
      <x:c r="A3588" s="16" t="n">
        <x:v>3585</x:v>
      </x:c>
      <x:c r="B3588" s="16" t="str">
        <x:v>Kak Ana Media Public Public Relationship</x:v>
      </x:c>
      <x:c r="C3588" s="16" t="str"/>
      <x:c r="D3588" s="16" t="str"/>
      <x:c r="E3588" s="16" t="str">
        <x:v>* myContacts</x:v>
      </x:c>
      <x:c r="F3588" s="16" t="str">
        <x:v>+60122813848</x:v>
      </x:c>
      <x:c r="G3588" s="16" t="str">
        <x:v>+60122813848</x:v>
      </x:c>
      <x:c r="H3588" s="16" t="str">
        <x:v>Excluded</x:v>
      </x:c>
      <x:c r="I3588" s="16" t="str">
        <x:v>Missing email</x:v>
      </x:c>
    </x:row>
    <x:row r="3589">
      <x:c r="A3589" s="16" t="n">
        <x:v>3586</x:v>
      </x:c>
      <x:c r="B3589" s="16" t="str">
        <x:v>Kak Anita House</x:v>
      </x:c>
      <x:c r="C3589" s="16" t="str"/>
      <x:c r="D3589" s="16" t="str"/>
      <x:c r="E3589" s="16" t="str">
        <x:v>* myContacts</x:v>
      </x:c>
      <x:c r="F3589" s="16" t="str">
        <x:v>+60 11-3662 9169 | +601136629169</x:v>
      </x:c>
      <x:c r="G3589" s="16" t="str">
        <x:v>+601136629169 | +601136629169</x:v>
      </x:c>
      <x:c r="H3589" s="16" t="str">
        <x:v>Excluded</x:v>
      </x:c>
      <x:c r="I3589" s="16" t="str">
        <x:v>Missing email</x:v>
      </x:c>
    </x:row>
    <x:row r="3590">
      <x:c r="A3590" s="16" t="n">
        <x:v>3587</x:v>
      </x:c>
      <x:c r="B3590" s="16" t="str">
        <x:v>Kak Anja RJB</x:v>
      </x:c>
      <x:c r="C3590" s="16" t="str"/>
      <x:c r="D3590" s="16" t="str"/>
      <x:c r="E3590" s="16" t="str">
        <x:v>* myContacts</x:v>
      </x:c>
      <x:c r="F3590" s="16" t="str">
        <x:v>+60 12-351 3393 | +60123513393</x:v>
      </x:c>
      <x:c r="G3590" s="16" t="str">
        <x:v>+60123513393 | +60123513393</x:v>
      </x:c>
      <x:c r="H3590" s="16" t="str">
        <x:v>Excluded</x:v>
      </x:c>
      <x:c r="I3590" s="16" t="str">
        <x:v>Missing email</x:v>
      </x:c>
    </x:row>
    <x:row r="3591">
      <x:c r="A3591" s="16" t="n">
        <x:v>3588</x:v>
      </x:c>
      <x:c r="B3591" s="16" t="str">
        <x:v>Kak Anne PPMM</x:v>
      </x:c>
      <x:c r="C3591" s="16" t="str"/>
      <x:c r="D3591" s="16" t="str"/>
      <x:c r="E3591" s="16" t="str">
        <x:v>* myContacts</x:v>
      </x:c>
      <x:c r="F3591" s="16" t="str">
        <x:v>+60 19-653 6512 | +60196536512</x:v>
      </x:c>
      <x:c r="G3591" s="16" t="str">
        <x:v>+60196536512 | +60196536512</x:v>
      </x:c>
      <x:c r="H3591" s="16" t="str">
        <x:v>Excluded</x:v>
      </x:c>
      <x:c r="I3591" s="16" t="str">
        <x:v>Missing email</x:v>
      </x:c>
    </x:row>
    <x:row r="3592">
      <x:c r="A3592" s="16" t="n">
        <x:v>3589</x:v>
      </x:c>
      <x:c r="B3592" s="16" t="str">
        <x:v>Kak Azrina Copywriting</x:v>
      </x:c>
      <x:c r="C3592" s="16" t="str"/>
      <x:c r="D3592" s="16" t="str"/>
      <x:c r="E3592" s="16" t="str">
        <x:v>* myContacts</x:v>
      </x:c>
      <x:c r="F3592" s="16" t="str">
        <x:v>0183141711 | +60183141711</x:v>
      </x:c>
      <x:c r="G3592" s="16" t="str">
        <x:v>+60183141711 | +60183141711</x:v>
      </x:c>
      <x:c r="H3592" s="16" t="str">
        <x:v>Excluded</x:v>
      </x:c>
      <x:c r="I3592" s="16" t="str">
        <x:v>Missing email</x:v>
      </x:c>
    </x:row>
    <x:row r="3593">
      <x:c r="A3593" s="16" t="n">
        <x:v>3590</x:v>
      </x:c>
      <x:c r="B3593" s="16" t="str">
        <x:v>Kak Bib Admin Abg Abu</x:v>
      </x:c>
      <x:c r="C3593" s="16" t="str"/>
      <x:c r="D3593" s="16" t="str"/>
      <x:c r="E3593" s="16" t="str">
        <x:v>* myContacts</x:v>
      </x:c>
      <x:c r="F3593" s="16" t="str">
        <x:v>+60 18-246 9453 | +60182469453</x:v>
      </x:c>
      <x:c r="G3593" s="16" t="str">
        <x:v>+60182469453 | +60182469453</x:v>
      </x:c>
      <x:c r="H3593" s="16" t="str">
        <x:v>Excluded</x:v>
      </x:c>
      <x:c r="I3593" s="16" t="str">
        <x:v>Missing email</x:v>
      </x:c>
    </x:row>
    <x:row r="3594">
      <x:c r="A3594" s="16" t="n">
        <x:v>3591</x:v>
      </x:c>
      <x:c r="B3594" s="16" t="str">
        <x:v>Kak Chik</x:v>
      </x:c>
      <x:c r="C3594" s="16" t="str"/>
      <x:c r="D3594" s="16" t="str"/>
      <x:c r="E3594" s="16" t="str">
        <x:v>* myContacts</x:v>
      </x:c>
      <x:c r="F3594" s="16" t="str">
        <x:v>+601126666325</x:v>
      </x:c>
      <x:c r="G3594" s="16" t="str">
        <x:v>+601126666325</x:v>
      </x:c>
      <x:c r="H3594" s="16" t="str">
        <x:v>Excluded</x:v>
      </x:c>
      <x:c r="I3594" s="16" t="str">
        <x:v>Missing email</x:v>
      </x:c>
    </x:row>
    <x:row r="3595">
      <x:c r="A3595" s="16" t="n">
        <x:v>3592</x:v>
      </x:c>
      <x:c r="B3595" s="16" t="str">
        <x:v>Kak Darma Agent KBBC</x:v>
      </x:c>
      <x:c r="C3595" s="16" t="str"/>
      <x:c r="D3595" s="16" t="str"/>
      <x:c r="E3595" s="16" t="str">
        <x:v>* myContacts</x:v>
      </x:c>
      <x:c r="F3595" s="16" t="str">
        <x:v>+60 16-691 2062 | +60166912062</x:v>
      </x:c>
      <x:c r="G3595" s="16" t="str">
        <x:v>+60166912062 | +60166912062</x:v>
      </x:c>
      <x:c r="H3595" s="16" t="str">
        <x:v>Excluded</x:v>
      </x:c>
      <x:c r="I3595" s="16" t="str">
        <x:v>Missing email</x:v>
      </x:c>
    </x:row>
    <x:row r="3596">
      <x:c r="A3596" s="16" t="n">
        <x:v>3593</x:v>
      </x:c>
      <x:c r="B3596" s="16" t="str">
        <x:v>Kak Dila DPIM Johor</x:v>
      </x:c>
      <x:c r="C3596" s="16" t="str"/>
      <x:c r="D3596" s="16" t="str"/>
      <x:c r="E3596" s="16" t="str">
        <x:v>* myContacts</x:v>
      </x:c>
      <x:c r="F3596" s="16" t="str">
        <x:v>016-716 1375 | +60167161375</x:v>
      </x:c>
      <x:c r="G3596" s="16" t="str">
        <x:v>+60167161375 | +60167161375</x:v>
      </x:c>
      <x:c r="H3596" s="16" t="str">
        <x:v>Excluded</x:v>
      </x:c>
      <x:c r="I3596" s="16" t="str">
        <x:v>Missing email</x:v>
      </x:c>
    </x:row>
    <x:row r="3597">
      <x:c r="A3597" s="16" t="n">
        <x:v>3594</x:v>
      </x:c>
      <x:c r="B3597" s="16" t="str">
        <x:v>Kak eida blue mcqueen</x:v>
      </x:c>
      <x:c r="C3597" s="16" t="str"/>
      <x:c r="D3597" s="16" t="str"/>
      <x:c r="E3597" s="16" t="str">
        <x:v>* myContacts</x:v>
      </x:c>
      <x:c r="F3597" s="16" t="str">
        <x:v>+60 13-599 9202 | +60135999202</x:v>
      </x:c>
      <x:c r="G3597" s="16" t="str">
        <x:v>+60135999202 | +60135999202</x:v>
      </x:c>
      <x:c r="H3597" s="16" t="str">
        <x:v>Excluded</x:v>
      </x:c>
      <x:c r="I3597" s="16" t="str">
        <x:v>Missing email</x:v>
      </x:c>
    </x:row>
    <x:row r="3598">
      <x:c r="A3598" s="16" t="n">
        <x:v>3595</x:v>
      </x:c>
      <x:c r="B3598" s="16" t="str">
        <x:v>Kak Ema Fid</x:v>
      </x:c>
      <x:c r="C3598" s="16" t="str"/>
      <x:c r="D3598" s="16" t="str"/>
      <x:c r="E3598" s="16" t="str">
        <x:v>* myContacts</x:v>
      </x:c>
      <x:c r="F3598" s="16" t="str">
        <x:v>+60197654076</x:v>
      </x:c>
      <x:c r="G3598" s="16" t="str">
        <x:v>+60197654076</x:v>
      </x:c>
      <x:c r="H3598" s="16" t="str">
        <x:v>Excluded</x:v>
      </x:c>
      <x:c r="I3598" s="16" t="str">
        <x:v>Missing email</x:v>
      </x:c>
    </x:row>
    <x:row r="3599">
      <x:c r="A3599" s="16" t="n">
        <x:v>3596</x:v>
      </x:c>
      <x:c r="B3599" s="16" t="str">
        <x:v>Kak Ema IM</x:v>
      </x:c>
      <x:c r="C3599" s="16" t="str"/>
      <x:c r="D3599" s="16" t="str"/>
      <x:c r="E3599" s="16" t="str">
        <x:v>* myContacts</x:v>
      </x:c>
      <x:c r="F3599" s="16" t="str">
        <x:v>+60 19-818 4628 | +60198184628</x:v>
      </x:c>
      <x:c r="G3599" s="16" t="str">
        <x:v>+60198184628 | +60198184628</x:v>
      </x:c>
      <x:c r="H3599" s="16" t="str">
        <x:v>Excluded</x:v>
      </x:c>
      <x:c r="I3599" s="16" t="str">
        <x:v>Missing email</x:v>
      </x:c>
    </x:row>
    <x:row r="3600">
      <x:c r="A3600" s="16" t="n">
        <x:v>3597</x:v>
      </x:c>
      <x:c r="B3600" s="16" t="str">
        <x:v>Kak Fauziah Agent AGP</x:v>
      </x:c>
      <x:c r="C3600" s="16" t="str"/>
      <x:c r="D3600" s="16" t="str"/>
      <x:c r="E3600" s="16" t="str">
        <x:v>* myContacts</x:v>
      </x:c>
      <x:c r="F3600" s="16" t="str">
        <x:v>+60 18-873 4920 | +60188734920</x:v>
      </x:c>
      <x:c r="G3600" s="16" t="str">
        <x:v>+60188734920 | +60188734920</x:v>
      </x:c>
      <x:c r="H3600" s="16" t="str">
        <x:v>Excluded</x:v>
      </x:c>
      <x:c r="I3600" s="16" t="str">
        <x:v>Missing email</x:v>
      </x:c>
    </x:row>
    <x:row r="3601">
      <x:c r="A3601" s="16" t="n">
        <x:v>3598</x:v>
      </x:c>
      <x:c r="B3601" s="16" t="str">
        <x:v>Kak Ferry Sabun Badang</x:v>
      </x:c>
      <x:c r="C3601" s="16" t="str"/>
      <x:c r="D3601" s="16" t="str"/>
      <x:c r="E3601" s="16" t="str">
        <x:v>* myContacts</x:v>
      </x:c>
      <x:c r="F3601" s="16" t="str">
        <x:v>+60 14-337 6046 | +60143376046</x:v>
      </x:c>
      <x:c r="G3601" s="16" t="str">
        <x:v>+60143376046 | +60143376046</x:v>
      </x:c>
      <x:c r="H3601" s="16" t="str">
        <x:v>Excluded</x:v>
      </x:c>
      <x:c r="I3601" s="16" t="str">
        <x:v>Missing email</x:v>
      </x:c>
    </x:row>
    <x:row r="3602">
      <x:c r="A3602" s="16" t="n">
        <x:v>3599</x:v>
      </x:c>
      <x:c r="B3602" s="16" t="str">
        <x:v>Kak FG</x:v>
      </x:c>
      <x:c r="C3602" s="16" t="str"/>
      <x:c r="D3602" s="16" t="str"/>
      <x:c r="E3602" s="16" t="str">
        <x:v>* myContacts</x:v>
      </x:c>
      <x:c r="F3602" s="16" t="str">
        <x:v>+60 13-886 4973 | +60138864973</x:v>
      </x:c>
      <x:c r="G3602" s="16" t="str">
        <x:v>+60138864973 | +60138864973</x:v>
      </x:c>
      <x:c r="H3602" s="16" t="str">
        <x:v>Excluded</x:v>
      </x:c>
      <x:c r="I3602" s="16" t="str">
        <x:v>Missing email</x:v>
      </x:c>
    </x:row>
    <x:row r="3603">
      <x:c r="A3603" s="16" t="n">
        <x:v>3600</x:v>
      </x:c>
      <x:c r="B3603" s="16" t="str">
        <x:v>Kak Fiona CWA</x:v>
      </x:c>
      <x:c r="C3603" s="16" t="str"/>
      <x:c r="D3603" s="16" t="str"/>
      <x:c r="E3603" s="16" t="str">
        <x:v>* myContacts</x:v>
      </x:c>
      <x:c r="F3603" s="16" t="str">
        <x:v>+60123168494 | ‪+60123163474‬</x:v>
      </x:c>
      <x:c r="G3603" s="16" t="str">
        <x:v>+60123168494 | +60123163474</x:v>
      </x:c>
      <x:c r="H3603" s="16" t="str">
        <x:v>Excluded</x:v>
      </x:c>
      <x:c r="I3603" s="16" t="str">
        <x:v>Missing email</x:v>
      </x:c>
    </x:row>
    <x:row r="3604">
      <x:c r="A3604" s="16" t="n">
        <x:v>3601</x:v>
      </x:c>
      <x:c r="B3604" s="16" t="str">
        <x:v>Kak Fiona CWA</x:v>
      </x:c>
      <x:c r="C3604" s="16" t="str"/>
      <x:c r="D3604" s="16" t="str"/>
      <x:c r="E3604" s="16" t="str">
        <x:v>* myContacts</x:v>
      </x:c>
      <x:c r="F3604" s="16" t="str">
        <x:v>+60 12-316 8494 | ‪+60 12-316 3474‬</x:v>
      </x:c>
      <x:c r="G3604" s="16" t="str">
        <x:v>+60123168494 | +60123163474</x:v>
      </x:c>
      <x:c r="H3604" s="16" t="str">
        <x:v>Excluded</x:v>
      </x:c>
      <x:c r="I3604" s="16" t="str">
        <x:v>Missing email</x:v>
      </x:c>
    </x:row>
    <x:row r="3605">
      <x:c r="A3605" s="16" t="n">
        <x:v>3602</x:v>
      </x:c>
      <x:c r="B3605" s="16" t="str">
        <x:v>Kak Hawa Resort Owner</x:v>
      </x:c>
      <x:c r="C3605" s="16" t="str"/>
      <x:c r="D3605" s="16" t="str"/>
      <x:c r="E3605" s="16" t="str">
        <x:v>* myContacts</x:v>
      </x:c>
      <x:c r="F3605" s="16" t="str">
        <x:v>017-985 9600 | +60179859600</x:v>
      </x:c>
      <x:c r="G3605" s="16" t="str">
        <x:v>+60179859600 | +60179859600</x:v>
      </x:c>
      <x:c r="H3605" s="16" t="str">
        <x:v>Excluded</x:v>
      </x:c>
      <x:c r="I3605" s="16" t="str">
        <x:v>Missing email</x:v>
      </x:c>
    </x:row>
    <x:row r="3606">
      <x:c r="A3606" s="16" t="n">
        <x:v>3603</x:v>
      </x:c>
      <x:c r="B3606" s="16" t="str">
        <x:v>kak iera yusoff ghost writer</x:v>
      </x:c>
      <x:c r="C3606" s="16" t="str"/>
      <x:c r="D3606" s="16" t="str"/>
      <x:c r="E3606" s="16" t="str">
        <x:v>* myContacts</x:v>
      </x:c>
      <x:c r="F3606" s="16" t="str">
        <x:v>012-267 1342 | +60122671342</x:v>
      </x:c>
      <x:c r="G3606" s="16" t="str">
        <x:v>+60122671342 | +60122671342</x:v>
      </x:c>
      <x:c r="H3606" s="16" t="str">
        <x:v>Excluded</x:v>
      </x:c>
      <x:c r="I3606" s="16" t="str">
        <x:v>Missing email</x:v>
      </x:c>
    </x:row>
    <x:row r="3607">
      <x:c r="A3607" s="16" t="n">
        <x:v>3604</x:v>
      </x:c>
      <x:c r="B3607" s="16" t="str">
        <x:v>Kak Ija Pid balik pulau</x:v>
      </x:c>
      <x:c r="C3607" s="16" t="str"/>
      <x:c r="D3607" s="16" t="str"/>
      <x:c r="E3607" s="16" t="str">
        <x:v>* myContacts</x:v>
      </x:c>
      <x:c r="F3607" s="16" t="str">
        <x:v>+60 17-490 0656 | +60174900656</x:v>
      </x:c>
      <x:c r="G3607" s="16" t="str">
        <x:v>+60174900656 | +60174900656</x:v>
      </x:c>
      <x:c r="H3607" s="16" t="str">
        <x:v>Excluded</x:v>
      </x:c>
      <x:c r="I3607" s="16" t="str">
        <x:v>Missing email</x:v>
      </x:c>
    </x:row>
    <x:row r="3608">
      <x:c r="A3608" s="16" t="n">
        <x:v>3605</x:v>
      </x:c>
      <x:c r="B3608" s="16" t="str">
        <x:v>kak ika tudung bangi</x:v>
      </x:c>
      <x:c r="C3608" s="16" t="str"/>
      <x:c r="D3608" s="16" t="str"/>
      <x:c r="E3608" s="16" t="str">
        <x:v>* myContacts</x:v>
      </x:c>
      <x:c r="F3608" s="16" t="str">
        <x:v>012-350 8610 | +60123508610</x:v>
      </x:c>
      <x:c r="G3608" s="16" t="str">
        <x:v>+60123508610 | +60123508610</x:v>
      </x:c>
      <x:c r="H3608" s="16" t="str">
        <x:v>Excluded</x:v>
      </x:c>
      <x:c r="I3608" s="16" t="str">
        <x:v>Missing email</x:v>
      </x:c>
    </x:row>
    <x:row r="3609">
      <x:c r="A3609" s="16" t="n">
        <x:v>3606</x:v>
      </x:c>
      <x:c r="B3609" s="16" t="str">
        <x:v>Kak Imah IM</x:v>
      </x:c>
      <x:c r="C3609" s="16" t="str"/>
      <x:c r="D3609" s="16" t="str"/>
      <x:c r="E3609" s="16" t="str">
        <x:v>* myContacts</x:v>
      </x:c>
      <x:c r="F3609" s="16" t="str">
        <x:v>+60192624682</x:v>
      </x:c>
      <x:c r="G3609" s="16" t="str">
        <x:v>+60192624682</x:v>
      </x:c>
      <x:c r="H3609" s="16" t="str">
        <x:v>Excluded</x:v>
      </x:c>
      <x:c r="I3609" s="16" t="str">
        <x:v>Missing email</x:v>
      </x:c>
    </x:row>
    <x:row r="3610">
      <x:c r="A3610" s="16" t="n">
        <x:v>3607</x:v>
      </x:c>
      <x:c r="B3610" s="16" t="str">
        <x:v>kak inaz rjb</x:v>
      </x:c>
      <x:c r="C3610" s="16" t="str">
        <x:v>safinaznasrakin@yahoo.com</x:v>
      </x:c>
      <x:c r="D3610" s="16" t="str">
        <x:v>safinaznasrakin@yahoo.com</x:v>
      </x:c>
      <x:c r="E3610" s="16" t="str">
        <x:v>* myContacts</x:v>
      </x:c>
      <x:c r="F3610" s="16" t="str">
        <x:v>019-278 2672 | +60192782672</x:v>
      </x:c>
      <x:c r="G3610" s="16" t="str">
        <x:v>+60192782672 | +60192782672</x:v>
      </x:c>
      <x:c r="H3610" s="16" t="str">
        <x:v>Eligible</x:v>
      </x:c>
      <x:c r="I3610" s="16" t="str"/>
    </x:row>
    <x:row r="3611">
      <x:c r="A3611" s="16" t="n">
        <x:v>3608</x:v>
      </x:c>
      <x:c r="B3611" s="16" t="str">
        <x:v>Kak Jett PPMM</x:v>
      </x:c>
      <x:c r="C3611" s="16" t="str"/>
      <x:c r="D3611" s="16" t="str"/>
      <x:c r="E3611" s="16" t="str">
        <x:v>* myContacts</x:v>
      </x:c>
      <x:c r="F3611" s="16" t="str">
        <x:v>+60 19-313 7333 | 0193210333 | +60193137333 | 0193210333</x:v>
      </x:c>
      <x:c r="G3611" s="16" t="str">
        <x:v>+60193137333 | +60193210333 | +60193137333 | +60193210333</x:v>
      </x:c>
      <x:c r="H3611" s="16" t="str">
        <x:v>Excluded</x:v>
      </x:c>
      <x:c r="I3611" s="16" t="str">
        <x:v>Missing email</x:v>
      </x:c>
    </x:row>
    <x:row r="3612">
      <x:c r="A3612" s="16" t="n">
        <x:v>3609</x:v>
      </x:c>
      <x:c r="B3612" s="16" t="str">
        <x:v>Kak Jue Cleaner Latar</x:v>
      </x:c>
      <x:c r="C3612" s="16" t="str"/>
      <x:c r="D3612" s="16" t="str"/>
      <x:c r="E3612" s="16" t="str">
        <x:v>* myContacts</x:v>
      </x:c>
      <x:c r="F3612" s="16" t="str">
        <x:v>+60182221574</x:v>
      </x:c>
      <x:c r="G3612" s="16" t="str">
        <x:v>+60182221574</x:v>
      </x:c>
      <x:c r="H3612" s="16" t="str">
        <x:v>Excluded</x:v>
      </x:c>
      <x:c r="I3612" s="16" t="str">
        <x:v>Missing email</x:v>
      </x:c>
    </x:row>
    <x:row r="3613">
      <x:c r="A3613" s="16" t="n">
        <x:v>3610</x:v>
      </x:c>
      <x:c r="B3613" s="16" t="str">
        <x:v>kak june Unit Trust</x:v>
      </x:c>
      <x:c r="C3613" s="16" t="str"/>
      <x:c r="D3613" s="16" t="str"/>
      <x:c r="E3613" s="16" t="str">
        <x:v>* myContacts</x:v>
      </x:c>
      <x:c r="F3613" s="16" t="str">
        <x:v>0192713269 | +60192713269</x:v>
      </x:c>
      <x:c r="G3613" s="16" t="str">
        <x:v>+60192713269 | +60192713269</x:v>
      </x:c>
      <x:c r="H3613" s="16" t="str">
        <x:v>Excluded</x:v>
      </x:c>
      <x:c r="I3613" s="16" t="str">
        <x:v>Missing email</x:v>
      </x:c>
    </x:row>
    <x:row r="3614">
      <x:c r="A3614" s="16" t="n">
        <x:v>3611</x:v>
      </x:c>
      <x:c r="B3614" s="16" t="str">
        <x:v>Kak Kas PID Sungai Koyan</x:v>
      </x:c>
      <x:c r="C3614" s="16" t="str"/>
      <x:c r="D3614" s="16" t="str"/>
      <x:c r="E3614" s="16" t="str">
        <x:v>* myContacts</x:v>
      </x:c>
      <x:c r="F3614" s="16" t="str">
        <x:v>+60 17-926 4820 | +60179264820</x:v>
      </x:c>
      <x:c r="G3614" s="16" t="str">
        <x:v>+60179264820 | +60179264820</x:v>
      </x:c>
      <x:c r="H3614" s="16" t="str">
        <x:v>Excluded</x:v>
      </x:c>
      <x:c r="I3614" s="16" t="str">
        <x:v>Missing email</x:v>
      </x:c>
    </x:row>
    <x:row r="3615">
      <x:c r="A3615" s="16" t="n">
        <x:v>3612</x:v>
      </x:c>
      <x:c r="B3615" s="16" t="str">
        <x:v>Kak kathy cimb</x:v>
      </x:c>
      <x:c r="C3615" s="16" t="str"/>
      <x:c r="D3615" s="16" t="str"/>
      <x:c r="E3615" s="16" t="str">
        <x:v>* myContacts</x:v>
      </x:c>
      <x:c r="F3615" s="16" t="str">
        <x:v>+60 19-260 0300 | +60192600300</x:v>
      </x:c>
      <x:c r="G3615" s="16" t="str">
        <x:v>+60192600300 | +60192600300</x:v>
      </x:c>
      <x:c r="H3615" s="16" t="str">
        <x:v>Excluded</x:v>
      </x:c>
      <x:c r="I3615" s="16" t="str">
        <x:v>Missing email</x:v>
      </x:c>
    </x:row>
    <x:row r="3616">
      <x:c r="A3616" s="16" t="n">
        <x:v>3613</x:v>
      </x:c>
      <x:c r="B3616" s="16" t="str">
        <x:v>Kak Liana Supertot</x:v>
      </x:c>
      <x:c r="C3616" s="16" t="str"/>
      <x:c r="D3616" s="16" t="str"/>
      <x:c r="E3616" s="16" t="str">
        <x:v>* myContacts</x:v>
      </x:c>
      <x:c r="F3616" s="16" t="str">
        <x:v>+60126788167</x:v>
      </x:c>
      <x:c r="G3616" s="16" t="str">
        <x:v>+60126788167</x:v>
      </x:c>
      <x:c r="H3616" s="16" t="str">
        <x:v>Excluded</x:v>
      </x:c>
      <x:c r="I3616" s="16" t="str">
        <x:v>Missing email</x:v>
      </x:c>
    </x:row>
    <x:row r="3617">
      <x:c r="A3617" s="16" t="n">
        <x:v>3614</x:v>
      </x:c>
      <x:c r="B3617" s="16" t="str">
        <x:v>Kak Lin Kbbc Agent</x:v>
      </x:c>
      <x:c r="C3617" s="16" t="str"/>
      <x:c r="D3617" s="16" t="str"/>
      <x:c r="E3617" s="16" t="str">
        <x:v>* myContacts</x:v>
      </x:c>
      <x:c r="F3617" s="16" t="str">
        <x:v>+60 12-683 3048 | +60126833048</x:v>
      </x:c>
      <x:c r="G3617" s="16" t="str">
        <x:v>+60126833048 | +60126833048</x:v>
      </x:c>
      <x:c r="H3617" s="16" t="str">
        <x:v>Excluded</x:v>
      </x:c>
      <x:c r="I3617" s="16" t="str">
        <x:v>Missing email</x:v>
      </x:c>
    </x:row>
    <x:row r="3618">
      <x:c r="A3618" s="16" t="n">
        <x:v>3615</x:v>
      </x:c>
      <x:c r="B3618" s="16" t="str">
        <x:v>Kak Liza Akaunting</x:v>
      </x:c>
      <x:c r="C3618" s="16" t="str"/>
      <x:c r="D3618" s="16" t="str"/>
      <x:c r="E3618" s="16" t="str">
        <x:v>* myContacts</x:v>
      </x:c>
      <x:c r="F3618" s="16" t="str">
        <x:v>60193117901 | +60193117901</x:v>
      </x:c>
      <x:c r="G3618" s="16" t="str">
        <x:v>+60193117901 | +60193117901</x:v>
      </x:c>
      <x:c r="H3618" s="16" t="str">
        <x:v>Excluded</x:v>
      </x:c>
      <x:c r="I3618" s="16" t="str">
        <x:v>Missing email</x:v>
      </x:c>
    </x:row>
    <x:row r="3619">
      <x:c r="A3619" s="16" t="n">
        <x:v>3616</x:v>
      </x:c>
      <x:c r="B3619" s="16" t="str">
        <x:v>kak long ppmm</x:v>
      </x:c>
      <x:c r="C3619" s="16" t="str"/>
      <x:c r="D3619" s="16" t="str"/>
      <x:c r="E3619" s="16" t="str">
        <x:v>* myContacts</x:v>
      </x:c>
      <x:c r="F3619" s="16" t="str">
        <x:v>+60 12-393 8328 | +60123938328</x:v>
      </x:c>
      <x:c r="G3619" s="16" t="str">
        <x:v>+60123938328 | +60123938328</x:v>
      </x:c>
      <x:c r="H3619" s="16" t="str">
        <x:v>Excluded</x:v>
      </x:c>
      <x:c r="I3619" s="16" t="str">
        <x:v>Missing email</x:v>
      </x:c>
    </x:row>
    <x:row r="3620">
      <x:c r="A3620" s="16" t="n">
        <x:v>3617</x:v>
      </x:c>
      <x:c r="B3620" s="16" t="str">
        <x:v>Kak Lynn Faz4</x:v>
      </x:c>
      <x:c r="C3620" s="16" t="str"/>
      <x:c r="D3620" s="16" t="str"/>
      <x:c r="E3620" s="16" t="str">
        <x:v>* myContacts</x:v>
      </x:c>
      <x:c r="F3620" s="16" t="str">
        <x:v>+60 11-1440 7866 | +601114407866</x:v>
      </x:c>
      <x:c r="G3620" s="16" t="str">
        <x:v>+601114407866 | +601114407866</x:v>
      </x:c>
      <x:c r="H3620" s="16" t="str">
        <x:v>Excluded</x:v>
      </x:c>
      <x:c r="I3620" s="16" t="str">
        <x:v>Missing email</x:v>
      </x:c>
    </x:row>
    <x:row r="3621">
      <x:c r="A3621" s="16" t="n">
        <x:v>3618</x:v>
      </x:c>
      <x:c r="B3621" s="16" t="str">
        <x:v>Kak Mas Sapian Isteri Coach Razak</x:v>
      </x:c>
      <x:c r="C3621" s="16" t="str"/>
      <x:c r="D3621" s="16" t="str"/>
      <x:c r="E3621" s="16" t="str">
        <x:v>Trainer | * myContacts</x:v>
      </x:c>
      <x:c r="F3621" s="16" t="str">
        <x:v>+60 19-572 0054 | +60195720054</x:v>
      </x:c>
      <x:c r="G3621" s="16" t="str">
        <x:v>+60195720054 | +60195720054</x:v>
      </x:c>
      <x:c r="H3621" s="16" t="str">
        <x:v>Excluded</x:v>
      </x:c>
      <x:c r="I3621" s="16" t="str">
        <x:v>Missing email</x:v>
      </x:c>
    </x:row>
    <x:row r="3622">
      <x:c r="A3622" s="16" t="n">
        <x:v>3619</x:v>
      </x:c>
      <x:c r="B3622" s="16" t="str">
        <x:v>Kak Masliza Mdec</x:v>
      </x:c>
      <x:c r="C3622" s="16" t="str"/>
      <x:c r="D3622" s="16" t="str"/>
      <x:c r="E3622" s="16" t="str">
        <x:v>* myContacts</x:v>
      </x:c>
      <x:c r="F3622" s="16" t="str">
        <x:v>+60 19-288 6742 | +60192886742</x:v>
      </x:c>
      <x:c r="G3622" s="16" t="str">
        <x:v>+60192886742 | +60192886742</x:v>
      </x:c>
      <x:c r="H3622" s="16" t="str">
        <x:v>Excluded</x:v>
      </x:c>
      <x:c r="I3622" s="16" t="str">
        <x:v>Missing email</x:v>
      </x:c>
    </x:row>
    <x:row r="3623">
      <x:c r="A3623" s="16" t="n">
        <x:v>3620</x:v>
      </x:c>
      <x:c r="B3623" s="16" t="str">
        <x:v>Kak Maya TAMAN PERMATA Katering</x:v>
      </x:c>
      <x:c r="C3623" s="16" t="str"/>
      <x:c r="D3623" s="16" t="str"/>
      <x:c r="E3623" s="16" t="str">
        <x:v>* myContacts</x:v>
      </x:c>
      <x:c r="F3623" s="16" t="str">
        <x:v>+60 10-273 9694 | +60102739694</x:v>
      </x:c>
      <x:c r="G3623" s="16" t="str">
        <x:v>+60102739694 | +60102739694</x:v>
      </x:c>
      <x:c r="H3623" s="16" t="str">
        <x:v>Excluded</x:v>
      </x:c>
      <x:c r="I3623" s="16" t="str">
        <x:v>Missing email</x:v>
      </x:c>
    </x:row>
    <x:row r="3624">
      <x:c r="A3624" s="16" t="n">
        <x:v>3621</x:v>
      </x:c>
      <x:c r="B3624" s="16" t="str">
        <x:v>Kak Mazlina student</x:v>
      </x:c>
      <x:c r="C3624" s="16" t="str"/>
      <x:c r="D3624" s="16" t="str"/>
      <x:c r="E3624" s="16" t="str">
        <x:v>* myContacts</x:v>
      </x:c>
      <x:c r="F3624" s="16" t="str">
        <x:v>0132636738 | +60132636738</x:v>
      </x:c>
      <x:c r="G3624" s="16" t="str">
        <x:v>+60132636738 | +60132636738</x:v>
      </x:c>
      <x:c r="H3624" s="16" t="str">
        <x:v>Excluded</x:v>
      </x:c>
      <x:c r="I3624" s="16" t="str">
        <x:v>Missing email</x:v>
      </x:c>
    </x:row>
    <x:row r="3625">
      <x:c r="A3625" s="16" t="n">
        <x:v>3622</x:v>
      </x:c>
      <x:c r="B3625" s="16" t="str">
        <x:v>Kak Mell student</x:v>
      </x:c>
      <x:c r="C3625" s="16" t="str"/>
      <x:c r="D3625" s="16" t="str"/>
      <x:c r="E3625" s="16" t="str">
        <x:v>* myContacts</x:v>
      </x:c>
      <x:c r="F3625" s="16" t="str">
        <x:v>+60 17-254 7316 | +60172547316</x:v>
      </x:c>
      <x:c r="G3625" s="16" t="str">
        <x:v>+60172547316 | +60172547316</x:v>
      </x:c>
      <x:c r="H3625" s="16" t="str">
        <x:v>Excluded</x:v>
      </x:c>
      <x:c r="I3625" s="16" t="str">
        <x:v>Missing email</x:v>
      </x:c>
    </x:row>
    <x:row r="3626">
      <x:c r="A3626" s="16" t="n">
        <x:v>3623</x:v>
      </x:c>
      <x:c r="B3626" s="16" t="str">
        <x:v>kak mira akupuntur</x:v>
      </x:c>
      <x:c r="C3626" s="16" t="str"/>
      <x:c r="D3626" s="16" t="str"/>
      <x:c r="E3626" s="16" t="str">
        <x:v>* myContacts</x:v>
      </x:c>
      <x:c r="F3626" s="16" t="str">
        <x:v>0103678073 | +60103678073</x:v>
      </x:c>
      <x:c r="G3626" s="16" t="str">
        <x:v>+60103678073 | +60103678073</x:v>
      </x:c>
      <x:c r="H3626" s="16" t="str">
        <x:v>Excluded</x:v>
      </x:c>
      <x:c r="I3626" s="16" t="str">
        <x:v>Missing email</x:v>
      </x:c>
    </x:row>
    <x:row r="3627">
      <x:c r="A3627" s="16" t="n">
        <x:v>3624</x:v>
      </x:c>
      <x:c r="B3627" s="16" t="str">
        <x:v>Kak nabila tauke produk</x:v>
      </x:c>
      <x:c r="C3627" s="16" t="str"/>
      <x:c r="D3627" s="16" t="str"/>
      <x:c r="E3627" s="16" t="str">
        <x:v>* myContacts</x:v>
      </x:c>
      <x:c r="F3627" s="16" t="str">
        <x:v>+60 11-1072 1725 | +601110721725</x:v>
      </x:c>
      <x:c r="G3627" s="16" t="str">
        <x:v>+601110721725 | +601110721725</x:v>
      </x:c>
      <x:c r="H3627" s="16" t="str">
        <x:v>Excluded</x:v>
      </x:c>
      <x:c r="I3627" s="16" t="str">
        <x:v>Missing email</x:v>
      </x:c>
    </x:row>
    <x:row r="3628">
      <x:c r="A3628" s="16" t="n">
        <x:v>3625</x:v>
      </x:c>
      <x:c r="B3628" s="16" t="str">
        <x:v>Kak Ngah</x:v>
      </x:c>
      <x:c r="C3628" s="16" t="str"/>
      <x:c r="D3628" s="16" t="str"/>
      <x:c r="E3628" s="16" t="str">
        <x:v>* myContacts</x:v>
      </x:c>
      <x:c r="F3628" s="16" t="str">
        <x:v>+60194359064 | +60124009293 | +60194359064 | +60124009293</x:v>
      </x:c>
      <x:c r="G3628" s="16" t="str">
        <x:v>+60194359064 | +60124009293 | +60194359064 | +60124009293</x:v>
      </x:c>
      <x:c r="H3628" s="16" t="str">
        <x:v>Excluded</x:v>
      </x:c>
      <x:c r="I3628" s="16" t="str">
        <x:v>Missing email</x:v>
      </x:c>
    </x:row>
    <x:row r="3629">
      <x:c r="A3629" s="16" t="n">
        <x:v>3626</x:v>
      </x:c>
      <x:c r="B3629" s="16" t="str">
        <x:v>Kak Ngah Nazri</x:v>
      </x:c>
      <x:c r="C3629" s="16" t="str"/>
      <x:c r="D3629" s="16" t="str"/>
      <x:c r="E3629" s="16" t="str">
        <x:v>* myContacts</x:v>
      </x:c>
      <x:c r="F3629" s="16" t="str">
        <x:v>+60133445329</x:v>
      </x:c>
      <x:c r="G3629" s="16" t="str">
        <x:v>+60133445329</x:v>
      </x:c>
      <x:c r="H3629" s="16" t="str">
        <x:v>Excluded</x:v>
      </x:c>
      <x:c r="I3629" s="16" t="str">
        <x:v>Missing email</x:v>
      </x:c>
    </x:row>
    <x:row r="3630">
      <x:c r="A3630" s="16" t="n">
        <x:v>3627</x:v>
      </x:c>
      <x:c r="B3630" s="16" t="str">
        <x:v>Kak Nida 12 purnama</x:v>
      </x:c>
      <x:c r="C3630" s="16" t="str"/>
      <x:c r="D3630" s="16" t="str"/>
      <x:c r="E3630" s="16" t="str">
        <x:v>* myContacts</x:v>
      </x:c>
      <x:c r="F3630" s="16" t="str">
        <x:v>+60 18-380 4463 | +60183804463</x:v>
      </x:c>
      <x:c r="G3630" s="16" t="str">
        <x:v>+60183804463 | +60183804463</x:v>
      </x:c>
      <x:c r="H3630" s="16" t="str">
        <x:v>Excluded</x:v>
      </x:c>
      <x:c r="I3630" s="16" t="str">
        <x:v>Missing email</x:v>
      </x:c>
    </x:row>
    <x:row r="3631">
      <x:c r="A3631" s="16" t="n">
        <x:v>3628</x:v>
      </x:c>
      <x:c r="B3631" s="16" t="str">
        <x:v>Kak Nik Training Provider</x:v>
      </x:c>
      <x:c r="C3631" s="16" t="str"/>
      <x:c r="D3631" s="16" t="str"/>
      <x:c r="E3631" s="16" t="str">
        <x:v>* myContacts</x:v>
      </x:c>
      <x:c r="F3631" s="16" t="str">
        <x:v>+60 10-894 1729 | +60108941729</x:v>
      </x:c>
      <x:c r="G3631" s="16" t="str">
        <x:v>+60108941729 | +60108941729</x:v>
      </x:c>
      <x:c r="H3631" s="16" t="str">
        <x:v>Excluded</x:v>
      </x:c>
      <x:c r="I3631" s="16" t="str">
        <x:v>Missing email</x:v>
      </x:c>
    </x:row>
    <x:row r="3632">
      <x:c r="A3632" s="16" t="n">
        <x:v>3629</x:v>
      </x:c>
      <x:c r="B3632" s="16" t="str">
        <x:v>Kak Nik Training Provider Phone 2</x:v>
      </x:c>
      <x:c r="C3632" s="16" t="str"/>
      <x:c r="D3632" s="16" t="str"/>
      <x:c r="E3632" s="16" t="str">
        <x:v>* myContacts</x:v>
      </x:c>
      <x:c r="F3632" s="16" t="str">
        <x:v>+60 11-5750 1769 | +601157501769</x:v>
      </x:c>
      <x:c r="G3632" s="16" t="str">
        <x:v>+601157501769 | +601157501769</x:v>
      </x:c>
      <x:c r="H3632" s="16" t="str">
        <x:v>Excluded</x:v>
      </x:c>
      <x:c r="I3632" s="16" t="str">
        <x:v>Missing email</x:v>
      </x:c>
    </x:row>
    <x:row r="3633">
      <x:c r="A3633" s="16" t="n">
        <x:v>3630</x:v>
      </x:c>
      <x:c r="B3633" s="16" t="str">
        <x:v>kak noni eusahawan</x:v>
      </x:c>
      <x:c r="C3633" s="16" t="str"/>
      <x:c r="D3633" s="16" t="str"/>
      <x:c r="E3633" s="16" t="str">
        <x:v>Alumni eUsahawan | * myContacts</x:v>
      </x:c>
      <x:c r="F3633" s="16" t="str">
        <x:v>0162235647 | +60162235647</x:v>
      </x:c>
      <x:c r="G3633" s="16" t="str">
        <x:v>+60162235647 | +60162235647</x:v>
      </x:c>
      <x:c r="H3633" s="16" t="str">
        <x:v>Excluded</x:v>
      </x:c>
      <x:c r="I3633" s="16" t="str">
        <x:v>Missing email</x:v>
      </x:c>
    </x:row>
    <x:row r="3634">
      <x:c r="A3634" s="16" t="n">
        <x:v>3631</x:v>
      </x:c>
      <x:c r="B3634" s="16" t="str">
        <x:v>Kak Nora Hampers</x:v>
      </x:c>
      <x:c r="C3634" s="16" t="str"/>
      <x:c r="D3634" s="16" t="str"/>
      <x:c r="E3634" s="16" t="str">
        <x:v>* myContacts</x:v>
      </x:c>
      <x:c r="F3634" s="16" t="str">
        <x:v>+60 19-388 2629 | +60193882629</x:v>
      </x:c>
      <x:c r="G3634" s="16" t="str">
        <x:v>+60193882629 | +60193882629</x:v>
      </x:c>
      <x:c r="H3634" s="16" t="str">
        <x:v>Excluded</x:v>
      </x:c>
      <x:c r="I3634" s="16" t="str">
        <x:v>Missing email</x:v>
      </x:c>
    </x:row>
    <x:row r="3635">
      <x:c r="A3635" s="16" t="n">
        <x:v>3632</x:v>
      </x:c>
      <x:c r="B3635" s="16" t="str">
        <x:v>kak nyah ppmm</x:v>
      </x:c>
      <x:c r="C3635" s="16" t="str"/>
      <x:c r="D3635" s="16" t="str"/>
      <x:c r="E3635" s="16" t="str">
        <x:v>* myContacts</x:v>
      </x:c>
      <x:c r="F3635" s="16" t="str">
        <x:v>+60126206700 | ‪+60 17-394 9019‬</x:v>
      </x:c>
      <x:c r="G3635" s="16" t="str">
        <x:v>+60126206700 | +60173949019</x:v>
      </x:c>
      <x:c r="H3635" s="16" t="str">
        <x:v>Excluded</x:v>
      </x:c>
      <x:c r="I3635" s="16" t="str">
        <x:v>Missing email</x:v>
      </x:c>
    </x:row>
    <x:row r="3636">
      <x:c r="A3636" s="16" t="n">
        <x:v>3633</x:v>
      </x:c>
      <x:c r="B3636" s="16" t="str">
        <x:v>kak roz student eUsahawanMY</x:v>
      </x:c>
      <x:c r="C3636" s="16" t="str"/>
      <x:c r="D3636" s="16" t="str"/>
      <x:c r="E3636" s="16" t="str">
        <x:v>Alumni eUsahawan | * myContacts</x:v>
      </x:c>
      <x:c r="F3636" s="16" t="str">
        <x:v>+60 18-215 4828 | +60182154828</x:v>
      </x:c>
      <x:c r="G3636" s="16" t="str">
        <x:v>+60182154828 | +60182154828</x:v>
      </x:c>
      <x:c r="H3636" s="16" t="str">
        <x:v>Excluded</x:v>
      </x:c>
      <x:c r="I3636" s="16" t="str">
        <x:v>Missing email</x:v>
      </x:c>
    </x:row>
    <x:row r="3637">
      <x:c r="A3637" s="16" t="n">
        <x:v>3634</x:v>
      </x:c>
      <x:c r="B3637" s="16" t="str">
        <x:v>Kak Sab MDeC</x:v>
      </x:c>
      <x:c r="C3637" s="16" t="str"/>
      <x:c r="D3637" s="16" t="str"/>
      <x:c r="E3637" s="16" t="str">
        <x:v>* myContacts</x:v>
      </x:c>
      <x:c r="F3637" s="16" t="str">
        <x:v>+60 19-251 7746 | +60192517746</x:v>
      </x:c>
      <x:c r="G3637" s="16" t="str">
        <x:v>+60192517746 | +60192517746</x:v>
      </x:c>
      <x:c r="H3637" s="16" t="str">
        <x:v>Excluded</x:v>
      </x:c>
      <x:c r="I3637" s="16" t="str">
        <x:v>Missing email</x:v>
      </x:c>
    </x:row>
    <x:row r="3638">
      <x:c r="A3638" s="16" t="n">
        <x:v>3635</x:v>
      </x:c>
      <x:c r="B3638" s="16" t="str">
        <x:v>Kak sal AGP</x:v>
      </x:c>
      <x:c r="C3638" s="16" t="str"/>
      <x:c r="D3638" s="16" t="str"/>
      <x:c r="E3638" s="16" t="str">
        <x:v>* myContacts</x:v>
      </x:c>
      <x:c r="F3638" s="16" t="str">
        <x:v>0102933050 | +60102933050</x:v>
      </x:c>
      <x:c r="G3638" s="16" t="str">
        <x:v>+60102933050 | +60102933050</x:v>
      </x:c>
      <x:c r="H3638" s="16" t="str">
        <x:v>Excluded</x:v>
      </x:c>
      <x:c r="I3638" s="16" t="str">
        <x:v>Missing email</x:v>
      </x:c>
    </x:row>
    <x:row r="3639">
      <x:c r="A3639" s="16" t="n">
        <x:v>3636</x:v>
      </x:c>
      <x:c r="B3639" s="16" t="str">
        <x:v>Kak Sha ILM Officer</x:v>
      </x:c>
      <x:c r="C3639" s="16" t="str"/>
      <x:c r="D3639" s="16" t="str"/>
      <x:c r="E3639" s="16" t="str">
        <x:v>* myContacts</x:v>
      </x:c>
      <x:c r="F3639" s="16" t="str">
        <x:v>+60122095272</x:v>
      </x:c>
      <x:c r="G3639" s="16" t="str">
        <x:v>+60122095272</x:v>
      </x:c>
      <x:c r="H3639" s="16" t="str">
        <x:v>Excluded</x:v>
      </x:c>
      <x:c r="I3639" s="16" t="str">
        <x:v>Missing email</x:v>
      </x:c>
    </x:row>
    <x:row r="3640">
      <x:c r="A3640" s="16" t="n">
        <x:v>3637</x:v>
      </x:c>
      <x:c r="B3640" s="16" t="str">
        <x:v>Kak Som</x:v>
      </x:c>
      <x:c r="C3640" s="16" t="str"/>
      <x:c r="D3640" s="16" t="str"/>
      <x:c r="E3640" s="16" t="str">
        <x:v>* myContacts</x:v>
      </x:c>
      <x:c r="F3640" s="16" t="str">
        <x:v>+60123659005</x:v>
      </x:c>
      <x:c r="G3640" s="16" t="str">
        <x:v>+60123659005</x:v>
      </x:c>
      <x:c r="H3640" s="16" t="str">
        <x:v>Excluded</x:v>
      </x:c>
      <x:c r="I3640" s="16" t="str">
        <x:v>Missing email</x:v>
      </x:c>
    </x:row>
    <x:row r="3641">
      <x:c r="A3641" s="16" t="n">
        <x:v>3638</x:v>
      </x:c>
      <x:c r="B3641" s="16" t="str">
        <x:v>Kak Su</x:v>
      </x:c>
      <x:c r="C3641" s="16" t="str"/>
      <x:c r="D3641" s="16" t="str"/>
      <x:c r="E3641" s="16" t="str">
        <x:v>* myContacts</x:v>
      </x:c>
      <x:c r="F3641" s="16" t="str">
        <x:v>+60145049192</x:v>
      </x:c>
      <x:c r="G3641" s="16" t="str">
        <x:v>+60145049192</x:v>
      </x:c>
      <x:c r="H3641" s="16" t="str">
        <x:v>Excluded</x:v>
      </x:c>
      <x:c r="I3641" s="16" t="str">
        <x:v>Missing email</x:v>
      </x:c>
    </x:row>
    <x:row r="3642">
      <x:c r="A3642" s="16" t="n">
        <x:v>3639</x:v>
      </x:c>
      <x:c r="B3642" s="16" t="str">
        <x:v>Kak Su Public Speaker Guru Norway</x:v>
      </x:c>
      <x:c r="C3642" s="16" t="str"/>
      <x:c r="D3642" s="16" t="str"/>
      <x:c r="E3642" s="16" t="str">
        <x:v>* myContacts</x:v>
      </x:c>
      <x:c r="F3642" s="16" t="str">
        <x:v>+4794895585</x:v>
      </x:c>
      <x:c r="G3642" s="16" t="str">
        <x:v>+4794895585</x:v>
      </x:c>
      <x:c r="H3642" s="16" t="str">
        <x:v>Excluded</x:v>
      </x:c>
      <x:c r="I3642" s="16" t="str">
        <x:v>Missing email</x:v>
      </x:c>
    </x:row>
    <x:row r="3643">
      <x:c r="A3643" s="16" t="n">
        <x:v>3640</x:v>
      </x:c>
      <x:c r="B3643" s="16" t="str">
        <x:v>Kak Syai Story</x:v>
      </x:c>
      <x:c r="C3643" s="16" t="str"/>
      <x:c r="D3643" s="16" t="str"/>
      <x:c r="E3643" s="16" t="str">
        <x:v>* myContacts</x:v>
      </x:c>
      <x:c r="F3643" s="16" t="str">
        <x:v>+60123975295</x:v>
      </x:c>
      <x:c r="G3643" s="16" t="str">
        <x:v>+60123975295</x:v>
      </x:c>
      <x:c r="H3643" s="16" t="str">
        <x:v>Excluded</x:v>
      </x:c>
      <x:c r="I3643" s="16" t="str">
        <x:v>Missing email</x:v>
      </x:c>
    </x:row>
    <x:row r="3644">
      <x:c r="A3644" s="16" t="n">
        <x:v>3641</x:v>
      </x:c>
      <x:c r="B3644" s="16" t="str">
        <x:v>Kak Ton Bunga</x:v>
      </x:c>
      <x:c r="C3644" s="16" t="str"/>
      <x:c r="D3644" s="16" t="str"/>
      <x:c r="E3644" s="16" t="str">
        <x:v>* myContacts</x:v>
      </x:c>
      <x:c r="F3644" s="16" t="str">
        <x:v>+60179313757</x:v>
      </x:c>
      <x:c r="G3644" s="16" t="str">
        <x:v>+60179313757</x:v>
      </x:c>
      <x:c r="H3644" s="16" t="str">
        <x:v>Excluded</x:v>
      </x:c>
      <x:c r="I3644" s="16" t="str">
        <x:v>Missing email</x:v>
      </x:c>
    </x:row>
    <x:row r="3645">
      <x:c r="A3645" s="16" t="n">
        <x:v>3642</x:v>
      </x:c>
      <x:c r="B3645" s="16" t="str">
        <x:v>Kak Ujie</x:v>
      </x:c>
      <x:c r="C3645" s="16" t="str"/>
      <x:c r="D3645" s="16" t="str"/>
      <x:c r="E3645" s="16" t="str">
        <x:v>* myContacts</x:v>
      </x:c>
      <x:c r="F3645" s="16" t="str">
        <x:v>0123812654 | +60123812654</x:v>
      </x:c>
      <x:c r="G3645" s="16" t="str">
        <x:v>+60123812654 | +60123812654</x:v>
      </x:c>
      <x:c r="H3645" s="16" t="str">
        <x:v>Excluded</x:v>
      </x:c>
      <x:c r="I3645" s="16" t="str">
        <x:v>Missing email</x:v>
      </x:c>
    </x:row>
    <x:row r="3646">
      <x:c r="A3646" s="16" t="n">
        <x:v>3643</x:v>
      </x:c>
      <x:c r="B3646" s="16" t="str">
        <x:v>Kak Yah Company Secretary</x:v>
      </x:c>
      <x:c r="C3646" s="16" t="str"/>
      <x:c r="D3646" s="16" t="str"/>
      <x:c r="E3646" s="16" t="str">
        <x:v>* myContacts</x:v>
      </x:c>
      <x:c r="F3646" s="16" t="str">
        <x:v>+60 19-592 9346 | +60195929346</x:v>
      </x:c>
      <x:c r="G3646" s="16" t="str">
        <x:v>+60195929346 | +60195929346</x:v>
      </x:c>
      <x:c r="H3646" s="16" t="str">
        <x:v>Excluded</x:v>
      </x:c>
      <x:c r="I3646" s="16" t="str">
        <x:v>Missing email</x:v>
      </x:c>
    </x:row>
    <x:row r="3647">
      <x:c r="A3647" s="16" t="n">
        <x:v>3644</x:v>
      </x:c>
      <x:c r="B3647" s="16" t="str">
        <x:v>Kak Yan Trainerpreneur</x:v>
      </x:c>
      <x:c r="C3647" s="16" t="str"/>
      <x:c r="D3647" s="16" t="str"/>
      <x:c r="E3647" s="16" t="str">
        <x:v>Trainer | * myContacts</x:v>
      </x:c>
      <x:c r="F3647" s="16" t="str">
        <x:v>+60 14-611 5723 | +60146115723</x:v>
      </x:c>
      <x:c r="G3647" s="16" t="str">
        <x:v>+60146115723 | +60146115723</x:v>
      </x:c>
      <x:c r="H3647" s="16" t="str">
        <x:v>Excluded</x:v>
      </x:c>
      <x:c r="I3647" s="16" t="str">
        <x:v>Missing email</x:v>
      </x:c>
    </x:row>
    <x:row r="3648">
      <x:c r="A3648" s="16" t="n">
        <x:v>3645</x:v>
      </x:c>
      <x:c r="B3648" s="16" t="str">
        <x:v>Kak Yatie Gift</x:v>
      </x:c>
      <x:c r="C3648" s="16" t="str"/>
      <x:c r="D3648" s="16" t="str"/>
      <x:c r="E3648" s="16" t="str">
        <x:v>* myContacts</x:v>
      </x:c>
      <x:c r="F3648" s="16" t="str">
        <x:v>+60 16-211 4921 | +60162114921</x:v>
      </x:c>
      <x:c r="G3648" s="16" t="str">
        <x:v>+60162114921 | +60162114921</x:v>
      </x:c>
      <x:c r="H3648" s="16" t="str">
        <x:v>Excluded</x:v>
      </x:c>
      <x:c r="I3648" s="16" t="str">
        <x:v>Missing email</x:v>
      </x:c>
    </x:row>
    <x:row r="3649">
      <x:c r="A3649" s="16" t="n">
        <x:v>3646</x:v>
      </x:c>
      <x:c r="B3649" s="16" t="str">
        <x:v>kak za student</x:v>
      </x:c>
      <x:c r="C3649" s="16" t="str"/>
      <x:c r="D3649" s="16" t="str"/>
      <x:c r="E3649" s="16" t="str">
        <x:v>* myContacts</x:v>
      </x:c>
      <x:c r="F3649" s="16" t="str">
        <x:v>+60 14-831 9618 | +60148319618</x:v>
      </x:c>
      <x:c r="G3649" s="16" t="str">
        <x:v>+60148319618 | +60148319618</x:v>
      </x:c>
      <x:c r="H3649" s="16" t="str">
        <x:v>Excluded</x:v>
      </x:c>
      <x:c r="I3649" s="16" t="str">
        <x:v>Missing email</x:v>
      </x:c>
    </x:row>
    <x:row r="3650">
      <x:c r="A3650" s="16" t="n">
        <x:v>3647</x:v>
      </x:c>
      <x:c r="B3650" s="16" t="str">
        <x:v>Kak Zaiti kktm</x:v>
      </x:c>
      <x:c r="C3650" s="16" t="str"/>
      <x:c r="D3650" s="16" t="str"/>
      <x:c r="E3650" s="16" t="str">
        <x:v>* myContacts</x:v>
      </x:c>
      <x:c r="F3650" s="16" t="str">
        <x:v>+60 13-922 1854 | +60139221854</x:v>
      </x:c>
      <x:c r="G3650" s="16" t="str">
        <x:v>+60139221854 | +60139221854</x:v>
      </x:c>
      <x:c r="H3650" s="16" t="str">
        <x:v>Excluded</x:v>
      </x:c>
      <x:c r="I3650" s="16" t="str">
        <x:v>Missing email</x:v>
      </x:c>
    </x:row>
    <x:row r="3651">
      <x:c r="A3651" s="16" t="n">
        <x:v>3648</x:v>
      </x:c>
      <x:c r="B3651" s="16" t="str">
        <x:v>Kak Zana Mimbar Hijrah Kapar</x:v>
      </x:c>
      <x:c r="C3651" s="16" t="str"/>
      <x:c r="D3651" s="16" t="str"/>
      <x:c r="E3651" s="16" t="str">
        <x:v>Alumni eUsahawan | * myContacts</x:v>
      </x:c>
      <x:c r="F3651" s="16" t="str">
        <x:v>+60 12-369 9539 | +60123699539</x:v>
      </x:c>
      <x:c r="G3651" s="16" t="str">
        <x:v>+60123699539 | +60123699539</x:v>
      </x:c>
      <x:c r="H3651" s="16" t="str">
        <x:v>Excluded</x:v>
      </x:c>
      <x:c r="I3651" s="16" t="str">
        <x:v>Missing email</x:v>
      </x:c>
    </x:row>
    <x:row r="3652">
      <x:c r="A3652" s="16" t="n">
        <x:v>3649</x:v>
      </x:c>
      <x:c r="B3652" s="16" t="str">
        <x:v>Kak Zarina Poslaju Bestari Jaya</x:v>
      </x:c>
      <x:c r="C3652" s="16" t="str"/>
      <x:c r="D3652" s="16" t="str"/>
      <x:c r="E3652" s="16" t="str">
        <x:v>* myContacts</x:v>
      </x:c>
      <x:c r="F3652" s="16" t="str">
        <x:v>+60 14-230 2056 | +60142302056</x:v>
      </x:c>
      <x:c r="G3652" s="16" t="str">
        <x:v>+60142302056 | +60142302056</x:v>
      </x:c>
      <x:c r="H3652" s="16" t="str">
        <x:v>Excluded</x:v>
      </x:c>
      <x:c r="I3652" s="16" t="str">
        <x:v>Missing email</x:v>
      </x:c>
    </x:row>
    <x:row r="3653">
      <x:c r="A3653" s="16" t="n">
        <x:v>3650</x:v>
      </x:c>
      <x:c r="B3653" s="16" t="str">
        <x:v>Kak zawiyah dpim selangor</x:v>
      </x:c>
      <x:c r="C3653" s="16" t="str">
        <x:v>zackdzario@gmail.com</x:v>
      </x:c>
      <x:c r="D3653" s="16" t="str">
        <x:v>zackdzario@gmail.com</x:v>
      </x:c>
      <x:c r="E3653" s="16" t="str">
        <x:v>* myContacts</x:v>
      </x:c>
      <x:c r="F3653" s="16" t="str">
        <x:v>+60123157358</x:v>
      </x:c>
      <x:c r="G3653" s="16" t="str">
        <x:v>+60123157358</x:v>
      </x:c>
      <x:c r="H3653" s="16" t="str">
        <x:v>Eligible</x:v>
      </x:c>
      <x:c r="I3653" s="16" t="str"/>
    </x:row>
    <x:row r="3654">
      <x:c r="A3654" s="16" t="n">
        <x:v>3651</x:v>
      </x:c>
      <x:c r="B3654" s="16" t="str">
        <x:v>Kak Zya Sudah Sembuh Rheumatiod</x:v>
      </x:c>
      <x:c r="C3654" s="16" t="str"/>
      <x:c r="D3654" s="16" t="str"/>
      <x:c r="E3654" s="16" t="str">
        <x:v>* myContacts</x:v>
      </x:c>
      <x:c r="F3654" s="16" t="str">
        <x:v>+60 13-353 2203 | +60133532203</x:v>
      </x:c>
      <x:c r="G3654" s="16" t="str">
        <x:v>+60133532203 | +60133532203</x:v>
      </x:c>
      <x:c r="H3654" s="16" t="str">
        <x:v>Excluded</x:v>
      </x:c>
      <x:c r="I3654" s="16" t="str">
        <x:v>Missing email</x:v>
      </x:c>
    </x:row>
    <x:row r="3655">
      <x:c r="A3655" s="16" t="n">
        <x:v>3652</x:v>
      </x:c>
      <x:c r="B3655" s="16" t="str">
        <x:v>Kak. Masni</x:v>
      </x:c>
      <x:c r="C3655" s="16" t="str"/>
      <x:c r="D3655" s="16" t="str"/>
      <x:c r="E3655" s="16" t="str">
        <x:v>* myContacts</x:v>
      </x:c>
      <x:c r="F3655" s="16" t="str">
        <x:v>+60 13-288 5654 | +60132885654</x:v>
      </x:c>
      <x:c r="G3655" s="16" t="str">
        <x:v>+60132885654 | +60132885654</x:v>
      </x:c>
      <x:c r="H3655" s="16" t="str">
        <x:v>Excluded</x:v>
      </x:c>
      <x:c r="I3655" s="16" t="str">
        <x:v>Missing email</x:v>
      </x:c>
    </x:row>
    <x:row r="3656">
      <x:c r="A3656" s="16" t="n">
        <x:v>3653</x:v>
      </x:c>
      <x:c r="B3656" s="16" t="str">
        <x:v>Kakak ⛄</x:v>
      </x:c>
      <x:c r="C3656" s="16" t="str"/>
      <x:c r="D3656" s="16" t="str"/>
      <x:c r="E3656" s="16" t="str">
        <x:v>* myContacts</x:v>
      </x:c>
      <x:c r="F3656" s="16" t="str">
        <x:v>+60 16-439 5060 | +60164395060</x:v>
      </x:c>
      <x:c r="G3656" s="16" t="str">
        <x:v>+60164395060 | +60164395060</x:v>
      </x:c>
      <x:c r="H3656" s="16" t="str">
        <x:v>Excluded</x:v>
      </x:c>
      <x:c r="I3656" s="16" t="str">
        <x:v>Missing email</x:v>
      </x:c>
    </x:row>
    <x:row r="3657">
      <x:c r="A3657" s="16" t="n">
        <x:v>3654</x:v>
      </x:c>
      <x:c r="B3657" s="16" t="str">
        <x:v>Kalaiselvan Ganesan</x:v>
      </x:c>
      <x:c r="C3657" s="16" t="str"/>
      <x:c r="D3657" s="16" t="str"/>
      <x:c r="E3657" s="16" t="str">
        <x:v>* myContacts</x:v>
      </x:c>
      <x:c r="F3657" s="16" t="str">
        <x:v>+60126361007</x:v>
      </x:c>
      <x:c r="G3657" s="16" t="str">
        <x:v>+60126361007</x:v>
      </x:c>
      <x:c r="H3657" s="16" t="str">
        <x:v>Excluded</x:v>
      </x:c>
      <x:c r="I3657" s="16" t="str">
        <x:v>Missing email</x:v>
      </x:c>
    </x:row>
    <x:row r="3658">
      <x:c r="A3658" s="16" t="n">
        <x:v>3655</x:v>
      </x:c>
      <x:c r="B3658" s="16" t="str">
        <x:v>Kalodata Support</x:v>
      </x:c>
      <x:c r="C3658" s="16" t="str"/>
      <x:c r="D3658" s="16" t="str"/>
      <x:c r="E3658" s="16" t="str">
        <x:v>* myContacts</x:v>
      </x:c>
      <x:c r="F3658" s="16" t="str">
        <x:v>+60 13-404 8276 | +60134048276</x:v>
      </x:c>
      <x:c r="G3658" s="16" t="str">
        <x:v>+60134048276 | +60134048276</x:v>
      </x:c>
      <x:c r="H3658" s="16" t="str">
        <x:v>Excluded</x:v>
      </x:c>
      <x:c r="I3658" s="16" t="str">
        <x:v>Missing email</x:v>
      </x:c>
    </x:row>
    <x:row r="3659">
      <x:c r="A3659" s="16" t="n">
        <x:v>3656</x:v>
      </x:c>
      <x:c r="B3659" s="16" t="str">
        <x:v>Kaltom Makmur</x:v>
      </x:c>
      <x:c r="C3659" s="16" t="str"/>
      <x:c r="D3659" s="16" t="str"/>
      <x:c r="E3659" s="16" t="str">
        <x:v>* myContacts</x:v>
      </x:c>
      <x:c r="F3659" s="16" t="str">
        <x:v>+60195291742</x:v>
      </x:c>
      <x:c r="G3659" s="16" t="str">
        <x:v>+60195291742</x:v>
      </x:c>
      <x:c r="H3659" s="16" t="str">
        <x:v>Excluded</x:v>
      </x:c>
      <x:c r="I3659" s="16" t="str">
        <x:v>Missing email</x:v>
      </x:c>
    </x:row>
    <x:row r="3660">
      <x:c r="A3660" s="16" t="n">
        <x:v>3657</x:v>
      </x:c>
      <x:c r="B3660" s="16" t="str">
        <x:v>Kalvana Agent</x:v>
      </x:c>
      <x:c r="C3660" s="16" t="str"/>
      <x:c r="D3660" s="16" t="str"/>
      <x:c r="E3660" s="16" t="str">
        <x:v>* myContacts</x:v>
      </x:c>
      <x:c r="F3660" s="16" t="str">
        <x:v>+60 18-277 0020 | +60182770020</x:v>
      </x:c>
      <x:c r="G3660" s="16" t="str">
        <x:v>+60182770020 | +60182770020</x:v>
      </x:c>
      <x:c r="H3660" s="16" t="str">
        <x:v>Excluded</x:v>
      </x:c>
      <x:c r="I3660" s="16" t="str">
        <x:v>Missing email</x:v>
      </x:c>
    </x:row>
    <x:row r="3661">
      <x:c r="A3661" s="16" t="n">
        <x:v>3658</x:v>
      </x:c>
      <x:c r="B3661" s="16" t="str">
        <x:v>Kam Hashim</x:v>
      </x:c>
      <x:c r="C3661" s="16" t="str"/>
      <x:c r="D3661" s="16" t="str"/>
      <x:c r="E3661" s="16" t="str">
        <x:v>* myContacts</x:v>
      </x:c>
      <x:c r="F3661" s="16" t="str">
        <x:v>0166088880 | +60166088880</x:v>
      </x:c>
      <x:c r="G3661" s="16" t="str">
        <x:v>+60166088880 | +60166088880</x:v>
      </x:c>
      <x:c r="H3661" s="16" t="str">
        <x:v>Excluded</x:v>
      </x:c>
      <x:c r="I3661" s="16" t="str">
        <x:v>Missing email</x:v>
      </x:c>
    </x:row>
    <x:row r="3662">
      <x:c r="A3662" s="16" t="n">
        <x:v>3659</x:v>
      </x:c>
      <x:c r="B3662" s="16" t="str">
        <x:v>Kam hashim Trainer</x:v>
      </x:c>
      <x:c r="C3662" s="16" t="str"/>
      <x:c r="D3662" s="16" t="str"/>
      <x:c r="E3662" s="16" t="str">
        <x:v>Trainer | * myContacts</x:v>
      </x:c>
      <x:c r="F3662" s="16" t="str"/>
      <x:c r="G3662" s="16" t="str"/>
      <x:c r="H3662" s="16" t="str">
        <x:v>Excluded</x:v>
      </x:c>
      <x:c r="I3662" s="16" t="str">
        <x:v>Missing email</x:v>
      </x:c>
    </x:row>
    <x:row r="3663">
      <x:c r="A3663" s="16" t="n">
        <x:v>3660</x:v>
      </x:c>
      <x:c r="B3663" s="16" t="str">
        <x:v>Kamahas Sepang</x:v>
      </x:c>
      <x:c r="C3663" s="16" t="str"/>
      <x:c r="D3663" s="16" t="str"/>
      <x:c r="E3663" s="16" t="str">
        <x:v>* myContacts</x:v>
      </x:c>
      <x:c r="F3663" s="16" t="str">
        <x:v>+60126219414</x:v>
      </x:c>
      <x:c r="G3663" s="16" t="str">
        <x:v>+60126219414</x:v>
      </x:c>
      <x:c r="H3663" s="16" t="str">
        <x:v>Excluded</x:v>
      </x:c>
      <x:c r="I3663" s="16" t="str">
        <x:v>Missing email</x:v>
      </x:c>
    </x:row>
    <x:row r="3664">
      <x:c r="A3664" s="16" t="n">
        <x:v>3661</x:v>
      </x:c>
      <x:c r="B3664" s="16" t="str">
        <x:v>Kamal Che Nik VOE EU 2023</x:v>
      </x:c>
      <x:c r="C3664" s="16" t="str"/>
      <x:c r="D3664" s="16" t="str"/>
      <x:c r="E3664" s="16" t="str">
        <x:v>* myContacts</x:v>
      </x:c>
      <x:c r="F3664" s="16" t="str">
        <x:v>01136771130 | +601136771130</x:v>
      </x:c>
      <x:c r="G3664" s="16" t="str">
        <x:v>+601136771130 | +601136771130</x:v>
      </x:c>
      <x:c r="H3664" s="16" t="str">
        <x:v>Excluded</x:v>
      </x:c>
      <x:c r="I3664" s="16" t="str">
        <x:v>Missing email</x:v>
      </x:c>
    </x:row>
    <x:row r="3665">
      <x:c r="A3665" s="16" t="n">
        <x:v>3662</x:v>
      </x:c>
      <x:c r="B3665" s="16" t="str">
        <x:v>Kamal Suhari Kc</x:v>
      </x:c>
      <x:c r="C3665" s="16" t="str"/>
      <x:c r="D3665" s="16" t="str"/>
      <x:c r="E3665" s="16" t="str">
        <x:v>* myContacts</x:v>
      </x:c>
      <x:c r="F3665" s="16" t="str">
        <x:v>+60142314077</x:v>
      </x:c>
      <x:c r="G3665" s="16" t="str">
        <x:v>+60142314077</x:v>
      </x:c>
      <x:c r="H3665" s="16" t="str">
        <x:v>Excluded</x:v>
      </x:c>
      <x:c r="I3665" s="16" t="str">
        <x:v>Missing email</x:v>
      </x:c>
    </x:row>
    <x:row r="3666">
      <x:c r="A3666" s="16" t="n">
        <x:v>3663</x:v>
      </x:c>
      <x:c r="B3666" s="16" t="str">
        <x:v>Kamal Traveller Otai</x:v>
      </x:c>
      <x:c r="C3666" s="16" t="str"/>
      <x:c r="D3666" s="16" t="str"/>
      <x:c r="E3666" s="16" t="str">
        <x:v>* myContacts</x:v>
      </x:c>
      <x:c r="F3666" s="16" t="str">
        <x:v>+60 14-513 5699 | +60145135699</x:v>
      </x:c>
      <x:c r="G3666" s="16" t="str">
        <x:v>+60145135699 | +60145135699</x:v>
      </x:c>
      <x:c r="H3666" s="16" t="str">
        <x:v>Excluded</x:v>
      </x:c>
      <x:c r="I3666" s="16" t="str">
        <x:v>Missing email</x:v>
      </x:c>
    </x:row>
    <x:row r="3667">
      <x:c r="A3667" s="16" t="n">
        <x:v>3664</x:v>
      </x:c>
      <x:c r="B3667" s="16" t="str">
        <x:v>Kamal Utm</x:v>
      </x:c>
      <x:c r="C3667" s="16" t="str"/>
      <x:c r="D3667" s="16" t="str"/>
      <x:c r="E3667" s="16" t="str">
        <x:v>* myContacts</x:v>
      </x:c>
      <x:c r="F3667" s="16" t="str">
        <x:v>+60 12-803 8823 | +60128038823</x:v>
      </x:c>
      <x:c r="G3667" s="16" t="str">
        <x:v>+60128038823 | +60128038823</x:v>
      </x:c>
      <x:c r="H3667" s="16" t="str">
        <x:v>Excluded</x:v>
      </x:c>
      <x:c r="I3667" s="16" t="str">
        <x:v>Missing email</x:v>
      </x:c>
    </x:row>
    <x:row r="3668">
      <x:c r="A3668" s="16" t="n">
        <x:v>3665</x:v>
      </x:c>
      <x:c r="B3668" s="16" t="str">
        <x:v>Kamalia Ali</x:v>
      </x:c>
      <x:c r="C3668" s="16" t="str"/>
      <x:c r="D3668" s="16" t="str"/>
      <x:c r="E3668" s="16" t="str">
        <x:v>* myContacts</x:v>
      </x:c>
      <x:c r="F3668" s="16" t="str">
        <x:v>+60177904486</x:v>
      </x:c>
      <x:c r="G3668" s="16" t="str">
        <x:v>+60177904486</x:v>
      </x:c>
      <x:c r="H3668" s="16" t="str">
        <x:v>Excluded</x:v>
      </x:c>
      <x:c r="I3668" s="16" t="str">
        <x:v>Missing email</x:v>
      </x:c>
    </x:row>
    <x:row r="3669">
      <x:c r="A3669" s="16" t="n">
        <x:v>3666</x:v>
      </x:c>
      <x:c r="B3669" s="16" t="str">
        <x:v>Kamalia Mohd Razalli</x:v>
      </x:c>
      <x:c r="C3669" s="16" t="str"/>
      <x:c r="D3669" s="16" t="str"/>
      <x:c r="E3669" s="16" t="str">
        <x:v>* myContacts</x:v>
      </x:c>
      <x:c r="F3669" s="16" t="str">
        <x:v>+601111248127</x:v>
      </x:c>
      <x:c r="G3669" s="16" t="str">
        <x:v>+601111248127</x:v>
      </x:c>
      <x:c r="H3669" s="16" t="str">
        <x:v>Excluded</x:v>
      </x:c>
      <x:c r="I3669" s="16" t="str">
        <x:v>Missing email</x:v>
      </x:c>
    </x:row>
    <x:row r="3670">
      <x:c r="A3670" s="16" t="n">
        <x:v>3667</x:v>
      </x:c>
      <x:c r="B3670" s="16" t="str">
        <x:v>Kamaliah AGP</x:v>
      </x:c>
      <x:c r="C3670" s="16" t="str"/>
      <x:c r="D3670" s="16" t="str"/>
      <x:c r="E3670" s="16" t="str">
        <x:v>* myContacts</x:v>
      </x:c>
      <x:c r="F3670" s="16" t="str">
        <x:v>+60 13-832 8959 | +60138328959</x:v>
      </x:c>
      <x:c r="G3670" s="16" t="str">
        <x:v>+60138328959 | +60138328959</x:v>
      </x:c>
      <x:c r="H3670" s="16" t="str">
        <x:v>Excluded</x:v>
      </x:c>
      <x:c r="I3670" s="16" t="str">
        <x:v>Missing email</x:v>
      </x:c>
    </x:row>
    <x:row r="3671">
      <x:c r="A3671" s="16" t="n">
        <x:v>3668</x:v>
      </x:c>
      <x:c r="B3671" s="16" t="str">
        <x:v>KamaNorain KamaroZaman</x:v>
      </x:c>
      <x:c r="C3671" s="16" t="str"/>
      <x:c r="D3671" s="16" t="str"/>
      <x:c r="E3671" s="16" t="str">
        <x:v>* myContacts</x:v>
      </x:c>
      <x:c r="F3671" s="16" t="str">
        <x:v>+60165588594</x:v>
      </x:c>
      <x:c r="G3671" s="16" t="str">
        <x:v>+60165588594</x:v>
      </x:c>
      <x:c r="H3671" s="16" t="str">
        <x:v>Excluded</x:v>
      </x:c>
      <x:c r="I3671" s="16" t="str">
        <x:v>Missing email</x:v>
      </x:c>
    </x:row>
    <x:row r="3672">
      <x:c r="A3672" s="16" t="n">
        <x:v>3669</x:v>
      </x:c>
      <x:c r="B3672" s="16" t="str">
        <x:v>Kamaruddin Maamor</x:v>
      </x:c>
      <x:c r="C3672" s="16" t="str"/>
      <x:c r="D3672" s="16" t="str"/>
      <x:c r="E3672" s="16" t="str">
        <x:v>* myContacts</x:v>
      </x:c>
      <x:c r="F3672" s="16" t="str">
        <x:v>+60183829755</x:v>
      </x:c>
      <x:c r="G3672" s="16" t="str">
        <x:v>+60183829755</x:v>
      </x:c>
      <x:c r="H3672" s="16" t="str">
        <x:v>Excluded</x:v>
      </x:c>
      <x:c r="I3672" s="16" t="str">
        <x:v>Missing email</x:v>
      </x:c>
    </x:row>
    <x:row r="3673">
      <x:c r="A3673" s="16" t="n">
        <x:v>3670</x:v>
      </x:c>
      <x:c r="B3673" s="16" t="str">
        <x:v>Kamarudin Hussin</x:v>
      </x:c>
      <x:c r="C3673" s="16" t="str"/>
      <x:c r="D3673" s="16" t="str"/>
      <x:c r="E3673" s="16" t="str">
        <x:v>* myContacts</x:v>
      </x:c>
      <x:c r="F3673" s="16" t="str">
        <x:v>+60193953638</x:v>
      </x:c>
      <x:c r="G3673" s="16" t="str">
        <x:v>+60193953638</x:v>
      </x:c>
      <x:c r="H3673" s="16" t="str">
        <x:v>Excluded</x:v>
      </x:c>
      <x:c r="I3673" s="16" t="str">
        <x:v>Missing email</x:v>
      </x:c>
    </x:row>
    <x:row r="3674">
      <x:c r="A3674" s="16" t="n">
        <x:v>3671</x:v>
      </x:c>
      <x:c r="B3674" s="16" t="str">
        <x:v>Kamarul Ariff</x:v>
      </x:c>
      <x:c r="C3674" s="16" t="str"/>
      <x:c r="D3674" s="16" t="str"/>
      <x:c r="E3674" s="16" t="str">
        <x:v>* myContacts</x:v>
      </x:c>
      <x:c r="F3674" s="16" t="str">
        <x:v>+60125259425</x:v>
      </x:c>
      <x:c r="G3674" s="16" t="str">
        <x:v>+60125259425</x:v>
      </x:c>
      <x:c r="H3674" s="16" t="str">
        <x:v>Excluded</x:v>
      </x:c>
      <x:c r="I3674" s="16" t="str">
        <x:v>Missing email</x:v>
      </x:c>
    </x:row>
    <x:row r="3675">
      <x:c r="A3675" s="16" t="n">
        <x:v>3672</x:v>
      </x:c>
      <x:c r="B3675" s="16" t="str">
        <x:v>Kamarul Ariffin</x:v>
      </x:c>
      <x:c r="C3675" s="16" t="str"/>
      <x:c r="D3675" s="16" t="str"/>
      <x:c r="E3675" s="16" t="str">
        <x:v>* myContacts</x:v>
      </x:c>
      <x:c r="F3675" s="16" t="str">
        <x:v>+60129038904</x:v>
      </x:c>
      <x:c r="G3675" s="16" t="str">
        <x:v>+60129038904</x:v>
      </x:c>
      <x:c r="H3675" s="16" t="str">
        <x:v>Excluded</x:v>
      </x:c>
      <x:c r="I3675" s="16" t="str">
        <x:v>Missing email</x:v>
      </x:c>
    </x:row>
    <x:row r="3676">
      <x:c r="A3676" s="16" t="n">
        <x:v>3673</x:v>
      </x:c>
      <x:c r="B3676" s="16" t="str">
        <x:v>Kamarul Ariffin Atan</x:v>
      </x:c>
      <x:c r="C3676" s="16" t="str"/>
      <x:c r="D3676" s="16" t="str"/>
      <x:c r="E3676" s="16" t="str">
        <x:v>* myContacts</x:v>
      </x:c>
      <x:c r="F3676" s="16" t="str">
        <x:v>013-262 6341 | +60132626341</x:v>
      </x:c>
      <x:c r="G3676" s="16" t="str">
        <x:v>+60132626341 | +60132626341</x:v>
      </x:c>
      <x:c r="H3676" s="16" t="str">
        <x:v>Excluded</x:v>
      </x:c>
      <x:c r="I3676" s="16" t="str">
        <x:v>Missing email</x:v>
      </x:c>
    </x:row>
    <x:row r="3677">
      <x:c r="A3677" s="16" t="n">
        <x:v>3674</x:v>
      </x:c>
      <x:c r="B3677" s="16" t="str">
        <x:v>Dr Kamarul Ariffin</x:v>
      </x:c>
      <x:c r="C3677" s="16" t="str"/>
      <x:c r="D3677" s="16" t="str"/>
      <x:c r="E3677" s="16" t="str">
        <x:v>* myContacts</x:v>
      </x:c>
      <x:c r="F3677" s="16" t="str">
        <x:v>+60129038904</x:v>
      </x:c>
      <x:c r="G3677" s="16" t="str">
        <x:v>+60129038904</x:v>
      </x:c>
      <x:c r="H3677" s="16" t="str">
        <x:v>Excluded</x:v>
      </x:c>
      <x:c r="I3677" s="16" t="str">
        <x:v>Missing email</x:v>
      </x:c>
    </x:row>
    <x:row r="3678">
      <x:c r="A3678" s="16" t="n">
        <x:v>3675</x:v>
      </x:c>
      <x:c r="B3678" s="16" t="str">
        <x:v>Kamarul Azam</x:v>
      </x:c>
      <x:c r="C3678" s="16" t="str"/>
      <x:c r="D3678" s="16" t="str"/>
      <x:c r="E3678" s="16" t="str">
        <x:v>* myContacts</x:v>
      </x:c>
      <x:c r="F3678" s="16" t="str">
        <x:v>+601117746786</x:v>
      </x:c>
      <x:c r="G3678" s="16" t="str">
        <x:v>+601117746786</x:v>
      </x:c>
      <x:c r="H3678" s="16" t="str">
        <x:v>Excluded</x:v>
      </x:c>
      <x:c r="I3678" s="16" t="str">
        <x:v>Missing email</x:v>
      </x:c>
    </x:row>
    <x:row r="3679">
      <x:c r="A3679" s="16" t="n">
        <x:v>3676</x:v>
      </x:c>
      <x:c r="B3679" s="16" t="str">
        <x:v>Kamarul Azman MBPJ Perundangan</x:v>
      </x:c>
      <x:c r="C3679" s="16" t="str"/>
      <x:c r="D3679" s="16" t="str"/>
      <x:c r="E3679" s="16" t="str">
        <x:v>* myContacts</x:v>
      </x:c>
      <x:c r="F3679" s="16" t="str">
        <x:v>0123422319 | +60123422319</x:v>
      </x:c>
      <x:c r="G3679" s="16" t="str">
        <x:v>+60123422319 | +60123422319</x:v>
      </x:c>
      <x:c r="H3679" s="16" t="str">
        <x:v>Excluded</x:v>
      </x:c>
      <x:c r="I3679" s="16" t="str">
        <x:v>Missing email</x:v>
      </x:c>
    </x:row>
    <x:row r="3680">
      <x:c r="A3680" s="16" t="n">
        <x:v>3677</x:v>
      </x:c>
      <x:c r="B3680" s="16" t="str">
        <x:v>Kamarul Bahareen Galaxy A12</x:v>
      </x:c>
      <x:c r="C3680" s="16" t="str"/>
      <x:c r="D3680" s="16" t="str"/>
      <x:c r="E3680" s="16" t="str">
        <x:v>* myContacts</x:v>
      </x:c>
      <x:c r="F3680" s="16" t="str">
        <x:v>01156923262 | +601156923262</x:v>
      </x:c>
      <x:c r="G3680" s="16" t="str">
        <x:v>+601156923262 | +601156923262</x:v>
      </x:c>
      <x:c r="H3680" s="16" t="str">
        <x:v>Excluded</x:v>
      </x:c>
      <x:c r="I3680" s="16" t="str">
        <x:v>Missing email</x:v>
      </x:c>
    </x:row>
    <x:row r="3681">
      <x:c r="A3681" s="16" t="n">
        <x:v>3678</x:v>
      </x:c>
      <x:c r="B3681" s="16" t="str">
        <x:v>Kamarul Bahareen Kamarudin</x:v>
      </x:c>
      <x:c r="C3681" s="16" t="str">
        <x:v>kbcimb@gmail.com | kamarul.kamarudin@mdec.com.my</x:v>
      </x:c>
      <x:c r="D3681" s="16" t="str">
        <x:v>kbcimb@gmail.com | kamarul.kamarudin@mdec.com.my</x:v>
      </x:c>
      <x:c r="E3681" s="16" t="str">
        <x:v>* myContacts</x:v>
      </x:c>
      <x:c r="F3681" s="16" t="str">
        <x:v>+60133815817</x:v>
      </x:c>
      <x:c r="G3681" s="16" t="str">
        <x:v>+60133815817</x:v>
      </x:c>
      <x:c r="H3681" s="16" t="str">
        <x:v>Eligible</x:v>
      </x:c>
      <x:c r="I3681" s="16" t="str"/>
    </x:row>
    <x:row r="3682">
      <x:c r="A3682" s="16" t="n">
        <x:v>3679</x:v>
      </x:c>
      <x:c r="B3682" s="16" t="str">
        <x:v>Kamarul Btc</x:v>
      </x:c>
      <x:c r="C3682" s="16" t="str"/>
      <x:c r="D3682" s="16" t="str"/>
      <x:c r="E3682" s="16" t="str">
        <x:v>* myContacts</x:v>
      </x:c>
      <x:c r="F3682" s="16" t="str">
        <x:v>+60139865623</x:v>
      </x:c>
      <x:c r="G3682" s="16" t="str">
        <x:v>+60139865623</x:v>
      </x:c>
      <x:c r="H3682" s="16" t="str">
        <x:v>Excluded</x:v>
      </x:c>
      <x:c r="I3682" s="16" t="str">
        <x:v>Missing email</x:v>
      </x:c>
    </x:row>
    <x:row r="3683">
      <x:c r="A3683" s="16" t="n">
        <x:v>3680</x:v>
      </x:c>
      <x:c r="B3683" s="16" t="str">
        <x:v>Kamarul JuruUkur</x:v>
      </x:c>
      <x:c r="C3683" s="16" t="str"/>
      <x:c r="D3683" s="16" t="str"/>
      <x:c r="E3683" s="16" t="str">
        <x:v>* myContacts</x:v>
      </x:c>
      <x:c r="F3683" s="16" t="str">
        <x:v>+60 13-311 8090 | +60133118090</x:v>
      </x:c>
      <x:c r="G3683" s="16" t="str">
        <x:v>+60133118090 | +60133118090</x:v>
      </x:c>
      <x:c r="H3683" s="16" t="str">
        <x:v>Excluded</x:v>
      </x:c>
      <x:c r="I3683" s="16" t="str">
        <x:v>Missing email</x:v>
      </x:c>
    </x:row>
    <x:row r="3684">
      <x:c r="A3684" s="16" t="n">
        <x:v>3681</x:v>
      </x:c>
      <x:c r="B3684" s="16" t="str">
        <x:v>Kamarul Pad Perodua</x:v>
      </x:c>
      <x:c r="C3684" s="16" t="str"/>
      <x:c r="D3684" s="16" t="str"/>
      <x:c r="E3684" s="16" t="str">
        <x:v>* myContacts</x:v>
      </x:c>
      <x:c r="F3684" s="16" t="str">
        <x:v>+60132153044</x:v>
      </x:c>
      <x:c r="G3684" s="16" t="str">
        <x:v>+60132153044</x:v>
      </x:c>
      <x:c r="H3684" s="16" t="str">
        <x:v>Excluded</x:v>
      </x:c>
      <x:c r="I3684" s="16" t="str">
        <x:v>Missing email</x:v>
      </x:c>
    </x:row>
    <x:row r="3685">
      <x:c r="A3685" s="16" t="n">
        <x:v>3682</x:v>
      </x:c>
      <x:c r="B3685" s="16" t="str">
        <x:v>Kamaruzaman My</x:v>
      </x:c>
      <x:c r="C3685" s="16" t="str"/>
      <x:c r="D3685" s="16" t="str"/>
      <x:c r="E3685" s="16" t="str">
        <x:v>* myContacts</x:v>
      </x:c>
      <x:c r="F3685" s="16" t="str">
        <x:v>+60193340642</x:v>
      </x:c>
      <x:c r="G3685" s="16" t="str">
        <x:v>+60193340642</x:v>
      </x:c>
      <x:c r="H3685" s="16" t="str">
        <x:v>Excluded</x:v>
      </x:c>
      <x:c r="I3685" s="16" t="str">
        <x:v>Missing email</x:v>
      </x:c>
    </x:row>
    <x:row r="3686">
      <x:c r="A3686" s="16" t="n">
        <x:v>3683</x:v>
      </x:c>
      <x:c r="B3686" s="16" t="str">
        <x:v>Kamat Julia</x:v>
      </x:c>
      <x:c r="C3686" s="16" t="str"/>
      <x:c r="D3686" s="16" t="str"/>
      <x:c r="E3686" s="16" t="str">
        <x:v>* myContacts</x:v>
      </x:c>
      <x:c r="F3686" s="16" t="str">
        <x:v>+60197457233</x:v>
      </x:c>
      <x:c r="G3686" s="16" t="str">
        <x:v>+60197457233</x:v>
      </x:c>
      <x:c r="H3686" s="16" t="str">
        <x:v>Excluded</x:v>
      </x:c>
      <x:c r="I3686" s="16" t="str">
        <x:v>Missing email</x:v>
      </x:c>
    </x:row>
    <x:row r="3687">
      <x:c r="A3687" s="16" t="n">
        <x:v>3684</x:v>
      </x:c>
      <x:c r="B3687" s="16" t="str">
        <x:v>Kambing Golek Johor</x:v>
      </x:c>
      <x:c r="C3687" s="16" t="str"/>
      <x:c r="D3687" s="16" t="str"/>
      <x:c r="E3687" s="16" t="str">
        <x:v>* myContacts</x:v>
      </x:c>
      <x:c r="F3687" s="16" t="str">
        <x:v>+601137735976</x:v>
      </x:c>
      <x:c r="G3687" s="16" t="str">
        <x:v>+601137735976</x:v>
      </x:c>
      <x:c r="H3687" s="16" t="str">
        <x:v>Excluded</x:v>
      </x:c>
      <x:c r="I3687" s="16" t="str">
        <x:v>Missing email</x:v>
      </x:c>
    </x:row>
    <x:row r="3688">
      <x:c r="A3688" s="16" t="n">
        <x:v>3685</x:v>
      </x:c>
      <x:c r="B3688" s="16" t="str">
        <x:v>Kamen Rider</x:v>
      </x:c>
      <x:c r="C3688" s="16" t="str"/>
      <x:c r="D3688" s="16" t="str"/>
      <x:c r="E3688" s="16" t="str">
        <x:v>* myContacts</x:v>
      </x:c>
      <x:c r="F3688" s="16" t="str">
        <x:v>+60102883269</x:v>
      </x:c>
      <x:c r="G3688" s="16" t="str">
        <x:v>+60102883269</x:v>
      </x:c>
      <x:c r="H3688" s="16" t="str">
        <x:v>Excluded</x:v>
      </x:c>
      <x:c r="I3688" s="16" t="str">
        <x:v>Missing email</x:v>
      </x:c>
    </x:row>
    <x:row r="3689">
      <x:c r="A3689" s="16" t="n">
        <x:v>3686</x:v>
      </x:c>
      <x:c r="B3689" s="16" t="str">
        <x:v>Kamil Langkawi</x:v>
      </x:c>
      <x:c r="C3689" s="16" t="str"/>
      <x:c r="D3689" s="16" t="str"/>
      <x:c r="E3689" s="16" t="str">
        <x:v>* myContacts</x:v>
      </x:c>
      <x:c r="F3689" s="16" t="str">
        <x:v>+601126491575</x:v>
      </x:c>
      <x:c r="G3689" s="16" t="str">
        <x:v>+601126491575</x:v>
      </x:c>
      <x:c r="H3689" s="16" t="str">
        <x:v>Excluded</x:v>
      </x:c>
      <x:c r="I3689" s="16" t="str">
        <x:v>Missing email</x:v>
      </x:c>
    </x:row>
    <x:row r="3690">
      <x:c r="A3690" s="16" t="n">
        <x:v>3687</x:v>
      </x:c>
      <x:c r="B3690" s="16" t="str">
        <x:v>Kamil sukabumi resort</x:v>
      </x:c>
      <x:c r="C3690" s="16" t="str"/>
      <x:c r="D3690" s="16" t="str"/>
      <x:c r="E3690" s="16" t="str">
        <x:v>* myContacts</x:v>
      </x:c>
      <x:c r="F3690" s="16" t="str">
        <x:v>0123306808 | +60123306808</x:v>
      </x:c>
      <x:c r="G3690" s="16" t="str">
        <x:v>+60123306808 | +60123306808</x:v>
      </x:c>
      <x:c r="H3690" s="16" t="str">
        <x:v>Excluded</x:v>
      </x:c>
      <x:c r="I3690" s="16" t="str">
        <x:v>Missing email</x:v>
      </x:c>
    </x:row>
    <x:row r="3691">
      <x:c r="A3691" s="16" t="n">
        <x:v>3688</x:v>
      </x:c>
      <x:c r="B3691" s="16" t="str">
        <x:v>Kamisah Moin</x:v>
      </x:c>
      <x:c r="C3691" s="16" t="str"/>
      <x:c r="D3691" s="16" t="str"/>
      <x:c r="E3691" s="16" t="str">
        <x:v>* myContacts</x:v>
      </x:c>
      <x:c r="F3691" s="16" t="str">
        <x:v>+601137365636</x:v>
      </x:c>
      <x:c r="G3691" s="16" t="str">
        <x:v>+601137365636</x:v>
      </x:c>
      <x:c r="H3691" s="16" t="str">
        <x:v>Excluded</x:v>
      </x:c>
      <x:c r="I3691" s="16" t="str">
        <x:v>Missing email</x:v>
      </x:c>
    </x:row>
    <x:row r="3692">
      <x:c r="A3692" s="16" t="n">
        <x:v>3689</x:v>
      </x:c>
      <x:c r="B3692" s="16" t="str">
        <x:v>Kamisah Sabah Trainer Mdec</x:v>
      </x:c>
      <x:c r="C3692" s="16" t="str"/>
      <x:c r="D3692" s="16" t="str"/>
      <x:c r="E3692" s="16" t="str">
        <x:v>* myContacts</x:v>
      </x:c>
      <x:c r="F3692" s="16" t="str">
        <x:v>+60 19-539 8977 | +60195398977</x:v>
      </x:c>
      <x:c r="G3692" s="16" t="str">
        <x:v>+60195398977 | +60195398977</x:v>
      </x:c>
      <x:c r="H3692" s="16" t="str">
        <x:v>Excluded</x:v>
      </x:c>
      <x:c r="I3692" s="16" t="str">
        <x:v>Missing email</x:v>
      </x:c>
    </x:row>
    <x:row r="3693">
      <x:c r="A3693" s="16" t="n">
        <x:v>3690</x:v>
      </x:c>
      <x:c r="B3693" s="16" t="str">
        <x:v>Kamran Computer Saller</x:v>
      </x:c>
      <x:c r="C3693" s="16" t="str"/>
      <x:c r="D3693" s="16" t="str"/>
      <x:c r="E3693" s="16" t="str">
        <x:v>* myContacts</x:v>
      </x:c>
      <x:c r="F3693" s="16" t="str">
        <x:v>011-3684 8669 | +601136848669</x:v>
      </x:c>
      <x:c r="G3693" s="16" t="str">
        <x:v>+601136848669 | +601136848669</x:v>
      </x:c>
      <x:c r="H3693" s="16" t="str">
        <x:v>Excluded</x:v>
      </x:c>
      <x:c r="I3693" s="16" t="str">
        <x:v>Missing email</x:v>
      </x:c>
    </x:row>
    <x:row r="3694">
      <x:c r="A3694" s="16" t="n">
        <x:v>3691</x:v>
      </x:c>
      <x:c r="B3694" s="16" t="str">
        <x:v>Kamrul Kamrul</x:v>
      </x:c>
      <x:c r="C3694" s="16" t="str"/>
      <x:c r="D3694" s="16" t="str"/>
      <x:c r="E3694" s="16" t="str">
        <x:v>* myContacts</x:v>
      </x:c>
      <x:c r="F3694" s="16" t="str">
        <x:v>+601123279516</x:v>
      </x:c>
      <x:c r="G3694" s="16" t="str">
        <x:v>+601123279516</x:v>
      </x:c>
      <x:c r="H3694" s="16" t="str">
        <x:v>Excluded</x:v>
      </x:c>
      <x:c r="I3694" s="16" t="str">
        <x:v>Missing email</x:v>
      </x:c>
    </x:row>
    <x:row r="3695">
      <x:c r="A3695" s="16" t="n">
        <x:v>3692</x:v>
      </x:c>
      <x:c r="B3695" s="16" t="str">
        <x:v>Kamul UTM</x:v>
      </x:c>
      <x:c r="C3695" s="16" t="str"/>
      <x:c r="D3695" s="16" t="str"/>
      <x:c r="E3695" s="16" t="str">
        <x:v>* myContacts</x:v>
      </x:c>
      <x:c r="F3695" s="16" t="str">
        <x:v>+60 17-602 4060 | +60176024060</x:v>
      </x:c>
      <x:c r="G3695" s="16" t="str">
        <x:v>+60176024060 | +60176024060</x:v>
      </x:c>
      <x:c r="H3695" s="16" t="str">
        <x:v>Excluded</x:v>
      </x:c>
      <x:c r="I3695" s="16" t="str">
        <x:v>Missing email</x:v>
      </x:c>
    </x:row>
    <x:row r="3696">
      <x:c r="A3696" s="16" t="n">
        <x:v>3693</x:v>
      </x:c>
      <x:c r="B3696" s="16" t="str">
        <x:v>Kanda Adik Angkat Sarawak</x:v>
      </x:c>
      <x:c r="C3696" s="16" t="str"/>
      <x:c r="D3696" s="16" t="str"/>
      <x:c r="E3696" s="16" t="str">
        <x:v>* myContacts</x:v>
      </x:c>
      <x:c r="F3696" s="16" t="str">
        <x:v>01110019252 | +60198787515</x:v>
      </x:c>
      <x:c r="G3696" s="16" t="str">
        <x:v>+601110019252 | +60198787515</x:v>
      </x:c>
      <x:c r="H3696" s="16" t="str">
        <x:v>Excluded</x:v>
      </x:c>
      <x:c r="I3696" s="16" t="str">
        <x:v>Missing email</x:v>
      </x:c>
    </x:row>
    <x:row r="3697">
      <x:c r="A3697" s="16" t="n">
        <x:v>3694</x:v>
      </x:c>
      <x:c r="B3697" s="16" t="str">
        <x:v>Kanda Adik Angkat Sarawak</x:v>
      </x:c>
      <x:c r="C3697" s="16" t="str"/>
      <x:c r="D3697" s="16" t="str"/>
      <x:c r="E3697" s="16" t="str">
        <x:v>* myContacts</x:v>
      </x:c>
      <x:c r="F3697" s="16" t="str">
        <x:v>+601110019252 | +60198787515</x:v>
      </x:c>
      <x:c r="G3697" s="16" t="str">
        <x:v>+601110019252 | +60198787515</x:v>
      </x:c>
      <x:c r="H3697" s="16" t="str">
        <x:v>Excluded</x:v>
      </x:c>
      <x:c r="I3697" s="16" t="str">
        <x:v>Missing email</x:v>
      </x:c>
    </x:row>
    <x:row r="3698">
      <x:c r="A3698" s="16" t="n">
        <x:v>3695</x:v>
      </x:c>
      <x:c r="B3698" s="16" t="str">
        <x:v>Karim Tudm</x:v>
      </x:c>
      <x:c r="C3698" s="16" t="str"/>
      <x:c r="D3698" s="16" t="str"/>
      <x:c r="E3698" s="16" t="str">
        <x:v>* myContacts</x:v>
      </x:c>
      <x:c r="F3698" s="16" t="str">
        <x:v>+60107964308</x:v>
      </x:c>
      <x:c r="G3698" s="16" t="str">
        <x:v>+60107964308</x:v>
      </x:c>
      <x:c r="H3698" s="16" t="str">
        <x:v>Excluded</x:v>
      </x:c>
      <x:c r="I3698" s="16" t="str">
        <x:v>Missing email</x:v>
      </x:c>
    </x:row>
    <x:row r="3699">
      <x:c r="A3699" s="16" t="n">
        <x:v>3696</x:v>
      </x:c>
      <x:c r="B3699" s="16" t="str">
        <x:v>Karmila Asyura Nrshm</x:v>
      </x:c>
      <x:c r="C3699" s="16" t="str"/>
      <x:c r="D3699" s="16" t="str"/>
      <x:c r="E3699" s="16" t="str">
        <x:v>* myContacts</x:v>
      </x:c>
      <x:c r="F3699" s="16" t="str">
        <x:v>+60142385001</x:v>
      </x:c>
      <x:c r="G3699" s="16" t="str">
        <x:v>+60142385001</x:v>
      </x:c>
      <x:c r="H3699" s="16" t="str">
        <x:v>Excluded</x:v>
      </x:c>
      <x:c r="I3699" s="16" t="str">
        <x:v>Missing email</x:v>
      </x:c>
    </x:row>
    <x:row r="3700">
      <x:c r="A3700" s="16" t="n">
        <x:v>3697</x:v>
      </x:c>
      <x:c r="B3700" s="16" t="str">
        <x:v>Kartini Ibrahim</x:v>
      </x:c>
      <x:c r="C3700" s="16" t="str"/>
      <x:c r="D3700" s="16" t="str"/>
      <x:c r="E3700" s="16" t="str">
        <x:v>* myContacts</x:v>
      </x:c>
      <x:c r="F3700" s="16" t="str">
        <x:v>+60127022948</x:v>
      </x:c>
      <x:c r="G3700" s="16" t="str">
        <x:v>+60127022948</x:v>
      </x:c>
      <x:c r="H3700" s="16" t="str">
        <x:v>Excluded</x:v>
      </x:c>
      <x:c r="I3700" s="16" t="str">
        <x:v>Missing email</x:v>
      </x:c>
    </x:row>
    <x:row r="3701">
      <x:c r="A3701" s="16" t="n">
        <x:v>3698</x:v>
      </x:c>
      <x:c r="B3701" s="16" t="str">
        <x:v>Kartini PPMM</x:v>
      </x:c>
      <x:c r="C3701" s="16" t="str"/>
      <x:c r="D3701" s="16" t="str"/>
      <x:c r="E3701" s="16" t="str">
        <x:v>* myContacts</x:v>
      </x:c>
      <x:c r="F3701" s="16" t="str">
        <x:v>+60 19-646 8571 | +60196468571</x:v>
      </x:c>
      <x:c r="G3701" s="16" t="str">
        <x:v>+60196468571 | +60196468571</x:v>
      </x:c>
      <x:c r="H3701" s="16" t="str">
        <x:v>Excluded</x:v>
      </x:c>
      <x:c r="I3701" s="16" t="str">
        <x:v>Missing email</x:v>
      </x:c>
    </x:row>
    <x:row r="3702">
      <x:c r="A3702" s="16" t="n">
        <x:v>3699</x:v>
      </x:c>
      <x:c r="B3702" s="16" t="str">
        <x:v>Kasanira Resources</x:v>
      </x:c>
      <x:c r="C3702" s="16" t="str"/>
      <x:c r="D3702" s="16" t="str"/>
      <x:c r="E3702" s="16" t="str">
        <x:v>* myContacts</x:v>
      </x:c>
      <x:c r="F3702" s="16" t="str">
        <x:v>+60199008183</x:v>
      </x:c>
      <x:c r="G3702" s="16" t="str">
        <x:v>+60199008183</x:v>
      </x:c>
      <x:c r="H3702" s="16" t="str">
        <x:v>Excluded</x:v>
      </x:c>
      <x:c r="I3702" s="16" t="str">
        <x:v>Missing email</x:v>
      </x:c>
    </x:row>
    <x:row r="3703">
      <x:c r="A3703" s="16" t="n">
        <x:v>3700</x:v>
      </x:c>
      <x:c r="B3703" s="16" t="str">
        <x:v>Kasdilla Kasin</x:v>
      </x:c>
      <x:c r="C3703" s="16" t="str"/>
      <x:c r="D3703" s="16" t="str"/>
      <x:c r="E3703" s="16" t="str">
        <x:v>* myContacts</x:v>
      </x:c>
      <x:c r="F3703" s="16" t="str">
        <x:v>+60173095486</x:v>
      </x:c>
      <x:c r="G3703" s="16" t="str">
        <x:v>+60173095486</x:v>
      </x:c>
      <x:c r="H3703" s="16" t="str">
        <x:v>Excluded</x:v>
      </x:c>
      <x:c r="I3703" s="16" t="str">
        <x:v>Missing email</x:v>
      </x:c>
    </x:row>
    <x:row r="3704">
      <x:c r="A3704" s="16" t="n">
        <x:v>3701</x:v>
      </x:c>
      <x:c r="B3704" s="16" t="str">
        <x:v>Kash Property</x:v>
      </x:c>
      <x:c r="C3704" s="16" t="str"/>
      <x:c r="D3704" s="16" t="str"/>
      <x:c r="E3704" s="16" t="str">
        <x:v>* myContacts</x:v>
      </x:c>
      <x:c r="F3704" s="16" t="str">
        <x:v>+60132338417</x:v>
      </x:c>
      <x:c r="G3704" s="16" t="str">
        <x:v>+60132338417</x:v>
      </x:c>
      <x:c r="H3704" s="16" t="str">
        <x:v>Excluded</x:v>
      </x:c>
      <x:c r="I3704" s="16" t="str">
        <x:v>Missing email</x:v>
      </x:c>
    </x:row>
    <x:row r="3705">
      <x:c r="A3705" s="16" t="n">
        <x:v>3702</x:v>
      </x:c>
      <x:c r="B3705" s="16" t="str">
        <x:v>Kasih Cintaku</x:v>
      </x:c>
      <x:c r="C3705" s="16" t="str"/>
      <x:c r="D3705" s="16" t="str"/>
      <x:c r="E3705" s="16" t="str">
        <x:v>* myContacts</x:v>
      </x:c>
      <x:c r="F3705" s="16" t="str">
        <x:v>+60135417186</x:v>
      </x:c>
      <x:c r="G3705" s="16" t="str">
        <x:v>+60135417186</x:v>
      </x:c>
      <x:c r="H3705" s="16" t="str">
        <x:v>Excluded</x:v>
      </x:c>
      <x:c r="I3705" s="16" t="str">
        <x:v>Missing email</x:v>
      </x:c>
    </x:row>
    <x:row r="3706">
      <x:c r="A3706" s="16" t="n">
        <x:v>3703</x:v>
      </x:c>
      <x:c r="B3706" s="16" t="str">
        <x:v>Kasih Mekar</x:v>
      </x:c>
      <x:c r="C3706" s="16" t="str"/>
      <x:c r="D3706" s="16" t="str"/>
      <x:c r="E3706" s="16" t="str">
        <x:v>* myContacts</x:v>
      </x:c>
      <x:c r="F3706" s="16" t="str">
        <x:v>+60134309110</x:v>
      </x:c>
      <x:c r="G3706" s="16" t="str">
        <x:v>+60134309110</x:v>
      </x:c>
      <x:c r="H3706" s="16" t="str">
        <x:v>Excluded</x:v>
      </x:c>
      <x:c r="I3706" s="16" t="str">
        <x:v>Missing email</x:v>
      </x:c>
    </x:row>
    <x:row r="3707">
      <x:c r="A3707" s="16" t="n">
        <x:v>3704</x:v>
      </x:c>
      <x:c r="B3707" s="16" t="str">
        <x:v>Kasijadi Web Khalid</x:v>
      </x:c>
      <x:c r="C3707" s="16" t="str"/>
      <x:c r="D3707" s="16" t="str"/>
      <x:c r="E3707" s="16" t="str">
        <x:v>* myContacts</x:v>
      </x:c>
      <x:c r="F3707" s="16" t="str">
        <x:v>+60 11-6924 5161 | +601169245161</x:v>
      </x:c>
      <x:c r="G3707" s="16" t="str">
        <x:v>+601169245161 | +601169245161</x:v>
      </x:c>
      <x:c r="H3707" s="16" t="str">
        <x:v>Excluded</x:v>
      </x:c>
      <x:c r="I3707" s="16" t="str">
        <x:v>Missing email</x:v>
      </x:c>
    </x:row>
    <x:row r="3708">
      <x:c r="A3708" s="16" t="n">
        <x:v>3705</x:v>
      </x:c>
      <x:c r="B3708" s="16" t="str">
        <x:v>Kasmah Bustaman</x:v>
      </x:c>
      <x:c r="C3708" s="16" t="str"/>
      <x:c r="D3708" s="16" t="str"/>
      <x:c r="E3708" s="16" t="str">
        <x:v>* myContacts</x:v>
      </x:c>
      <x:c r="F3708" s="16" t="str">
        <x:v>+60126325168</x:v>
      </x:c>
      <x:c r="G3708" s="16" t="str">
        <x:v>+60126325168</x:v>
      </x:c>
      <x:c r="H3708" s="16" t="str">
        <x:v>Excluded</x:v>
      </x:c>
      <x:c r="I3708" s="16" t="str">
        <x:v>Missing email</x:v>
      </x:c>
    </x:row>
    <x:row r="3709">
      <x:c r="A3709" s="16" t="n">
        <x:v>3706</x:v>
      </x:c>
      <x:c r="B3709" s="16" t="str">
        <x:v>Kasmah Mohamad</x:v>
      </x:c>
      <x:c r="C3709" s="16" t="str"/>
      <x:c r="D3709" s="16" t="str"/>
      <x:c r="E3709" s="16" t="str">
        <x:v>* myContacts</x:v>
      </x:c>
      <x:c r="F3709" s="16" t="str">
        <x:v>+60102579624</x:v>
      </x:c>
      <x:c r="G3709" s="16" t="str">
        <x:v>+60102579624</x:v>
      </x:c>
      <x:c r="H3709" s="16" t="str">
        <x:v>Excluded</x:v>
      </x:c>
      <x:c r="I3709" s="16" t="str">
        <x:v>Missing email</x:v>
      </x:c>
    </x:row>
    <x:row r="3710">
      <x:c r="A3710" s="16" t="n">
        <x:v>3707</x:v>
      </x:c>
      <x:c r="B3710" s="16" t="str">
        <x:v>Kassim Abdullah @ Vignes</x:v>
      </x:c>
      <x:c r="C3710" s="16" t="str">
        <x:v>vignes_k@tunjangjaya.com</x:v>
      </x:c>
      <x:c r="D3710" s="16" t="str">
        <x:v>vignes_k@tunjangjaya.com</x:v>
      </x:c>
      <x:c r="E3710" s="16" t="str">
        <x:v>* myContacts</x:v>
      </x:c>
      <x:c r="F3710" s="16" t="str">
        <x:v>+60 19-601 1148 | +60196011148</x:v>
      </x:c>
      <x:c r="G3710" s="16" t="str">
        <x:v>+60196011148 | +60196011148</x:v>
      </x:c>
      <x:c r="H3710" s="16" t="str">
        <x:v>Eligible</x:v>
      </x:c>
      <x:c r="I3710" s="16" t="str"/>
    </x:row>
    <x:row r="3711">
      <x:c r="A3711" s="16" t="n">
        <x:v>3708</x:v>
      </x:c>
      <x:c r="B3711" s="16" t="str">
        <x:v>Kassim PA Razali</x:v>
      </x:c>
      <x:c r="C3711" s="16" t="str"/>
      <x:c r="D3711" s="16" t="str"/>
      <x:c r="E3711" s="16" t="str">
        <x:v>* myContacts</x:v>
      </x:c>
      <x:c r="F3711" s="16" t="str">
        <x:v>+60 17-264 9711 | +60172649711</x:v>
      </x:c>
      <x:c r="G3711" s="16" t="str">
        <x:v>+60172649711 | +60172649711</x:v>
      </x:c>
      <x:c r="H3711" s="16" t="str">
        <x:v>Excluded</x:v>
      </x:c>
      <x:c r="I3711" s="16" t="str">
        <x:v>Missing email</x:v>
      </x:c>
    </x:row>
    <x:row r="3712">
      <x:c r="A3712" s="16" t="n">
        <x:v>3709</x:v>
      </x:c>
      <x:c r="B3712" s="16" t="str">
        <x:v>Katering Elly</x:v>
      </x:c>
      <x:c r="C3712" s="16" t="str"/>
      <x:c r="D3712" s="16" t="str"/>
      <x:c r="E3712" s="16" t="str">
        <x:v>* myContacts</x:v>
      </x:c>
      <x:c r="F3712" s="16" t="str">
        <x:v>+60 11-2850 9854 | +601128509854</x:v>
      </x:c>
      <x:c r="G3712" s="16" t="str">
        <x:v>+601128509854 | +601128509854</x:v>
      </x:c>
      <x:c r="H3712" s="16" t="str">
        <x:v>Excluded</x:v>
      </x:c>
      <x:c r="I3712" s="16" t="str">
        <x:v>Missing email</x:v>
      </x:c>
    </x:row>
    <x:row r="3713">
      <x:c r="A3713" s="16" t="n">
        <x:v>3710</x:v>
      </x:c>
      <x:c r="B3713" s="16" t="str">
        <x:v>Kathrine Site Giant</x:v>
      </x:c>
      <x:c r="C3713" s="16" t="str"/>
      <x:c r="D3713" s="16" t="str"/>
      <x:c r="E3713" s="16" t="str">
        <x:v>* myContacts</x:v>
      </x:c>
      <x:c r="F3713" s="16" t="str">
        <x:v>+60 13-805 0122 | +60138050122</x:v>
      </x:c>
      <x:c r="G3713" s="16" t="str">
        <x:v>+60138050122 | +60138050122</x:v>
      </x:c>
      <x:c r="H3713" s="16" t="str">
        <x:v>Excluded</x:v>
      </x:c>
      <x:c r="I3713" s="16" t="str">
        <x:v>Missing email</x:v>
      </x:c>
    </x:row>
    <x:row r="3714">
      <x:c r="A3714" s="16" t="n">
        <x:v>3711</x:v>
      </x:c>
      <x:c r="B3714" s="16" t="str">
        <x:v>Katrena Batrisya</x:v>
      </x:c>
      <x:c r="C3714" s="16" t="str"/>
      <x:c r="D3714" s="16" t="str"/>
      <x:c r="E3714" s="16" t="str">
        <x:v>* myContacts</x:v>
      </x:c>
      <x:c r="F3714" s="16" t="str">
        <x:v>+60183601612</x:v>
      </x:c>
      <x:c r="G3714" s="16" t="str">
        <x:v>+60183601612</x:v>
      </x:c>
      <x:c r="H3714" s="16" t="str">
        <x:v>Excluded</x:v>
      </x:c>
      <x:c r="I3714" s="16" t="str">
        <x:v>Missing email</x:v>
      </x:c>
    </x:row>
    <x:row r="3715">
      <x:c r="A3715" s="16" t="n">
        <x:v>3712</x:v>
      </x:c>
      <x:c r="B3715" s="16" t="str">
        <x:v>Katryna Watie</x:v>
      </x:c>
      <x:c r="C3715" s="16" t="str"/>
      <x:c r="D3715" s="16" t="str"/>
      <x:c r="E3715" s="16" t="str">
        <x:v>* myContacts</x:v>
      </x:c>
      <x:c r="F3715" s="16" t="str">
        <x:v>+60148589156</x:v>
      </x:c>
      <x:c r="G3715" s="16" t="str">
        <x:v>+60148589156</x:v>
      </x:c>
      <x:c r="H3715" s="16" t="str">
        <x:v>Excluded</x:v>
      </x:c>
      <x:c r="I3715" s="16" t="str">
        <x:v>Missing email</x:v>
      </x:c>
    </x:row>
    <x:row r="3716">
      <x:c r="A3716" s="16" t="n">
        <x:v>3713</x:v>
      </x:c>
      <x:c r="B3716" s="16" t="str">
        <x:v>Kavind IM</x:v>
      </x:c>
      <x:c r="C3716" s="16" t="str"/>
      <x:c r="D3716" s="16" t="str"/>
      <x:c r="E3716" s="16" t="str">
        <x:v>* myContacts</x:v>
      </x:c>
      <x:c r="F3716" s="16" t="str">
        <x:v>+60 13-445 5770 | +60134455770</x:v>
      </x:c>
      <x:c r="G3716" s="16" t="str">
        <x:v>+60134455770 | +60134455770</x:v>
      </x:c>
      <x:c r="H3716" s="16" t="str">
        <x:v>Excluded</x:v>
      </x:c>
      <x:c r="I3716" s="16" t="str">
        <x:v>Missing email</x:v>
      </x:c>
    </x:row>
    <x:row r="3717">
      <x:c r="A3717" s="16" t="n">
        <x:v>3714</x:v>
      </x:c>
      <x:c r="B3717" s="16" t="str">
        <x:v>Kayalah Din</x:v>
      </x:c>
      <x:c r="C3717" s="16" t="str"/>
      <x:c r="D3717" s="16" t="str"/>
      <x:c r="E3717" s="16" t="str">
        <x:v>* myContacts</x:v>
      </x:c>
      <x:c r="F3717" s="16" t="str">
        <x:v>+60147244025</x:v>
      </x:c>
      <x:c r="G3717" s="16" t="str">
        <x:v>+60147244025</x:v>
      </x:c>
      <x:c r="H3717" s="16" t="str">
        <x:v>Excluded</x:v>
      </x:c>
      <x:c r="I3717" s="16" t="str">
        <x:v>Missing email</x:v>
      </x:c>
    </x:row>
    <x:row r="3718">
      <x:c r="A3718" s="16" t="n">
        <x:v>3715</x:v>
      </x:c>
      <x:c r="B3718" s="16" t="str">
        <x:v>Kb Beyond Creative Messenger</x:v>
      </x:c>
      <x:c r="C3718" s="16" t="str"/>
      <x:c r="D3718" s="16" t="str"/>
      <x:c r="E3718" s="16" t="str">
        <x:v>* myContacts</x:v>
      </x:c>
      <x:c r="F3718" s="16" t="str">
        <x:v>+1 (315) 666-8576 | +13156668576</x:v>
      </x:c>
      <x:c r="G3718" s="16" t="str">
        <x:v>+13156668576 | +13156668576</x:v>
      </x:c>
      <x:c r="H3718" s="16" t="str">
        <x:v>Excluded</x:v>
      </x:c>
      <x:c r="I3718" s="16" t="str">
        <x:v>Missing email</x:v>
      </x:c>
    </x:row>
    <x:row r="3719">
      <x:c r="A3719" s="16" t="n">
        <x:v>3716</x:v>
      </x:c>
      <x:c r="B3719" s="16" t="str">
        <x:v>kbbc Abdul Khaaliq Bin Ahmad</x:v>
      </x:c>
      <x:c r="C3719" s="16" t="str"/>
      <x:c r="D3719" s="16" t="str"/>
      <x:c r="E3719" s="16" t="str">
        <x:v>* myContacts</x:v>
      </x:c>
      <x:c r="F3719" s="16" t="str">
        <x:v>60128820404</x:v>
      </x:c>
      <x:c r="G3719" s="16" t="str">
        <x:v>+60128820404</x:v>
      </x:c>
      <x:c r="H3719" s="16" t="str">
        <x:v>Excluded</x:v>
      </x:c>
      <x:c r="I3719" s="16" t="str">
        <x:v>Missing email</x:v>
      </x:c>
    </x:row>
    <x:row r="3720">
      <x:c r="A3720" s="16" t="n">
        <x:v>3717</x:v>
      </x:c>
      <x:c r="B3720" s="16" t="str">
        <x:v>kbbc Abdul Khaaliq Bin Ahmad</x:v>
      </x:c>
      <x:c r="C3720" s="16" t="str"/>
      <x:c r="D3720" s="16" t="str"/>
      <x:c r="E3720" s="16" t="str">
        <x:v>* myContacts</x:v>
      </x:c>
      <x:c r="F3720" s="16" t="str">
        <x:v>+60128820404</x:v>
      </x:c>
      <x:c r="G3720" s="16" t="str">
        <x:v>+60128820404</x:v>
      </x:c>
      <x:c r="H3720" s="16" t="str">
        <x:v>Excluded</x:v>
      </x:c>
      <x:c r="I3720" s="16" t="str">
        <x:v>Missing email</x:v>
      </x:c>
    </x:row>
    <x:row r="3721">
      <x:c r="A3721" s="16" t="n">
        <x:v>3718</x:v>
      </x:c>
      <x:c r="B3721" s="16" t="str">
        <x:v>kbbc Abdul Mutalib Mohamad</x:v>
      </x:c>
      <x:c r="C3721" s="16" t="str"/>
      <x:c r="D3721" s="16" t="str"/>
      <x:c r="E3721" s="16" t="str">
        <x:v>* myContacts</x:v>
      </x:c>
      <x:c r="F3721" s="16" t="str">
        <x:v>60127789989</x:v>
      </x:c>
      <x:c r="G3721" s="16" t="str">
        <x:v>+60127789989</x:v>
      </x:c>
      <x:c r="H3721" s="16" t="str">
        <x:v>Excluded</x:v>
      </x:c>
      <x:c r="I3721" s="16" t="str">
        <x:v>Missing email</x:v>
      </x:c>
    </x:row>
    <x:row r="3722">
      <x:c r="A3722" s="16" t="n">
        <x:v>3719</x:v>
      </x:c>
      <x:c r="B3722" s="16" t="str">
        <x:v>kbbc Abdul Mutalib Mohamad</x:v>
      </x:c>
      <x:c r="C3722" s="16" t="str"/>
      <x:c r="D3722" s="16" t="str"/>
      <x:c r="E3722" s="16" t="str">
        <x:v>* myContacts</x:v>
      </x:c>
      <x:c r="F3722" s="16" t="str">
        <x:v>+60127789989</x:v>
      </x:c>
      <x:c r="G3722" s="16" t="str">
        <x:v>+60127789989</x:v>
      </x:c>
      <x:c r="H3722" s="16" t="str">
        <x:v>Excluded</x:v>
      </x:c>
      <x:c r="I3722" s="16" t="str">
        <x:v>Missing email</x:v>
      </x:c>
    </x:row>
    <x:row r="3723">
      <x:c r="A3723" s="16" t="n">
        <x:v>3720</x:v>
      </x:c>
      <x:c r="B3723" s="16" t="str">
        <x:v>kbbc Abdul Rahman Ali</x:v>
      </x:c>
      <x:c r="C3723" s="16" t="str"/>
      <x:c r="D3723" s="16" t="str"/>
      <x:c r="E3723" s="16" t="str">
        <x:v>* myContacts</x:v>
      </x:c>
      <x:c r="F3723" s="16" t="str">
        <x:v>60197493984</x:v>
      </x:c>
      <x:c r="G3723" s="16" t="str">
        <x:v>+60197493984</x:v>
      </x:c>
      <x:c r="H3723" s="16" t="str">
        <x:v>Excluded</x:v>
      </x:c>
      <x:c r="I3723" s="16" t="str">
        <x:v>Missing email</x:v>
      </x:c>
    </x:row>
    <x:row r="3724">
      <x:c r="A3724" s="16" t="n">
        <x:v>3721</x:v>
      </x:c>
      <x:c r="B3724" s="16" t="str">
        <x:v>kbbc Abdul Rahman Ali</x:v>
      </x:c>
      <x:c r="C3724" s="16" t="str"/>
      <x:c r="D3724" s="16" t="str"/>
      <x:c r="E3724" s="16" t="str">
        <x:v>* myContacts</x:v>
      </x:c>
      <x:c r="F3724" s="16" t="str">
        <x:v>+60197493984</x:v>
      </x:c>
      <x:c r="G3724" s="16" t="str">
        <x:v>+60197493984</x:v>
      </x:c>
      <x:c r="H3724" s="16" t="str">
        <x:v>Excluded</x:v>
      </x:c>
      <x:c r="I3724" s="16" t="str">
        <x:v>Missing email</x:v>
      </x:c>
    </x:row>
    <x:row r="3725">
      <x:c r="A3725" s="16" t="n">
        <x:v>3722</x:v>
      </x:c>
      <x:c r="B3725" s="16" t="str">
        <x:v>kbbc Aellin Jaikul</x:v>
      </x:c>
      <x:c r="C3725" s="16" t="str"/>
      <x:c r="D3725" s="16" t="str"/>
      <x:c r="E3725" s="16" t="str">
        <x:v>* myContacts</x:v>
      </x:c>
      <x:c r="F3725" s="16" t="str">
        <x:v>+60178191724</x:v>
      </x:c>
      <x:c r="G3725" s="16" t="str">
        <x:v>+60178191724</x:v>
      </x:c>
      <x:c r="H3725" s="16" t="str">
        <x:v>Excluded</x:v>
      </x:c>
      <x:c r="I3725" s="16" t="str">
        <x:v>Missing email</x:v>
      </x:c>
    </x:row>
    <x:row r="3726">
      <x:c r="A3726" s="16" t="n">
        <x:v>3723</x:v>
      </x:c>
      <x:c r="B3726" s="16" t="str">
        <x:v>kbbc Afnan Syahmi Bin Mustaheren</x:v>
      </x:c>
      <x:c r="C3726" s="16" t="str"/>
      <x:c r="D3726" s="16" t="str"/>
      <x:c r="E3726" s="16" t="str">
        <x:v>* myContacts</x:v>
      </x:c>
      <x:c r="F3726" s="16" t="str">
        <x:v>+60168449068</x:v>
      </x:c>
      <x:c r="G3726" s="16" t="str">
        <x:v>+60168449068</x:v>
      </x:c>
      <x:c r="H3726" s="16" t="str">
        <x:v>Excluded</x:v>
      </x:c>
      <x:c r="I3726" s="16" t="str">
        <x:v>Missing email</x:v>
      </x:c>
    </x:row>
    <x:row r="3727">
      <x:c r="A3727" s="16" t="n">
        <x:v>3724</x:v>
      </x:c>
      <x:c r="B3727" s="16" t="str">
        <x:v>kbbc Ahmad Fuad</x:v>
      </x:c>
      <x:c r="C3727" s="16" t="str"/>
      <x:c r="D3727" s="16" t="str"/>
      <x:c r="E3727" s="16" t="str">
        <x:v>* myContacts</x:v>
      </x:c>
      <x:c r="F3727" s="16" t="str">
        <x:v>60195400136</x:v>
      </x:c>
      <x:c r="G3727" s="16" t="str">
        <x:v>+60195400136</x:v>
      </x:c>
      <x:c r="H3727" s="16" t="str">
        <x:v>Excluded</x:v>
      </x:c>
      <x:c r="I3727" s="16" t="str">
        <x:v>Missing email</x:v>
      </x:c>
    </x:row>
    <x:row r="3728">
      <x:c r="A3728" s="16" t="n">
        <x:v>3725</x:v>
      </x:c>
      <x:c r="B3728" s="16" t="str">
        <x:v>kbbc Ahmad Fuad</x:v>
      </x:c>
      <x:c r="C3728" s="16" t="str"/>
      <x:c r="D3728" s="16" t="str"/>
      <x:c r="E3728" s="16" t="str">
        <x:v>* myContacts</x:v>
      </x:c>
      <x:c r="F3728" s="16" t="str">
        <x:v>+60195400136</x:v>
      </x:c>
      <x:c r="G3728" s="16" t="str">
        <x:v>+60195400136</x:v>
      </x:c>
      <x:c r="H3728" s="16" t="str">
        <x:v>Excluded</x:v>
      </x:c>
      <x:c r="I3728" s="16" t="str">
        <x:v>Missing email</x:v>
      </x:c>
    </x:row>
    <x:row r="3729">
      <x:c r="A3729" s="16" t="n">
        <x:v>3726</x:v>
      </x:c>
      <x:c r="B3729" s="16" t="str">
        <x:v>kbbc Ahmad Muharam Bin Mohd Ariff</x:v>
      </x:c>
      <x:c r="C3729" s="16" t="str"/>
      <x:c r="D3729" s="16" t="str"/>
      <x:c r="E3729" s="16" t="str">
        <x:v>* myContacts</x:v>
      </x:c>
      <x:c r="F3729" s="16" t="str">
        <x:v>+60173229669</x:v>
      </x:c>
      <x:c r="G3729" s="16" t="str">
        <x:v>+60173229669</x:v>
      </x:c>
      <x:c r="H3729" s="16" t="str">
        <x:v>Excluded</x:v>
      </x:c>
      <x:c r="I3729" s="16" t="str">
        <x:v>Missing email</x:v>
      </x:c>
    </x:row>
    <x:row r="3730">
      <x:c r="A3730" s="16" t="n">
        <x:v>3727</x:v>
      </x:c>
      <x:c r="B3730" s="16" t="str">
        <x:v>kbbc Ahmad Shafarie</x:v>
      </x:c>
      <x:c r="C3730" s="16" t="str"/>
      <x:c r="D3730" s="16" t="str"/>
      <x:c r="E3730" s="16" t="str">
        <x:v>* myContacts</x:v>
      </x:c>
      <x:c r="F3730" s="16" t="str">
        <x:v>+60195941527</x:v>
      </x:c>
      <x:c r="G3730" s="16" t="str">
        <x:v>+60195941527</x:v>
      </x:c>
      <x:c r="H3730" s="16" t="str">
        <x:v>Excluded</x:v>
      </x:c>
      <x:c r="I3730" s="16" t="str">
        <x:v>Missing email</x:v>
      </x:c>
    </x:row>
    <x:row r="3731">
      <x:c r="A3731" s="16" t="n">
        <x:v>3728</x:v>
      </x:c>
      <x:c r="B3731" s="16" t="str">
        <x:v>kbbc Aishah Binti Mohd Soib</x:v>
      </x:c>
      <x:c r="C3731" s="16" t="str"/>
      <x:c r="D3731" s="16" t="str"/>
      <x:c r="E3731" s="16" t="str">
        <x:v>* myContacts</x:v>
      </x:c>
      <x:c r="F3731" s="16" t="str">
        <x:v>+60123678134</x:v>
      </x:c>
      <x:c r="G3731" s="16" t="str">
        <x:v>+60123678134</x:v>
      </x:c>
      <x:c r="H3731" s="16" t="str">
        <x:v>Excluded</x:v>
      </x:c>
      <x:c r="I3731" s="16" t="str">
        <x:v>Missing email</x:v>
      </x:c>
    </x:row>
    <x:row r="3732">
      <x:c r="A3732" s="16" t="n">
        <x:v>3729</x:v>
      </x:c>
      <x:c r="B3732" s="16" t="str">
        <x:v>kbbc Akmal</x:v>
      </x:c>
      <x:c r="C3732" s="16" t="str"/>
      <x:c r="D3732" s="16" t="str"/>
      <x:c r="E3732" s="16" t="str">
        <x:v>* myContacts</x:v>
      </x:c>
      <x:c r="F3732" s="16" t="str">
        <x:v>60133234228</x:v>
      </x:c>
      <x:c r="G3732" s="16" t="str">
        <x:v>+60133234228</x:v>
      </x:c>
      <x:c r="H3732" s="16" t="str">
        <x:v>Excluded</x:v>
      </x:c>
      <x:c r="I3732" s="16" t="str">
        <x:v>Missing email</x:v>
      </x:c>
    </x:row>
    <x:row r="3733">
      <x:c r="A3733" s="16" t="n">
        <x:v>3730</x:v>
      </x:c>
      <x:c r="B3733" s="16" t="str">
        <x:v>kbbc Akmal</x:v>
      </x:c>
      <x:c r="C3733" s="16" t="str"/>
      <x:c r="D3733" s="16" t="str"/>
      <x:c r="E3733" s="16" t="str">
        <x:v>* myContacts</x:v>
      </x:c>
      <x:c r="F3733" s="16" t="str">
        <x:v>+60133234228</x:v>
      </x:c>
      <x:c r="G3733" s="16" t="str">
        <x:v>+60133234228</x:v>
      </x:c>
      <x:c r="H3733" s="16" t="str">
        <x:v>Excluded</x:v>
      </x:c>
      <x:c r="I3733" s="16" t="str">
        <x:v>Missing email</x:v>
      </x:c>
    </x:row>
    <x:row r="3734">
      <x:c r="A3734" s="16" t="n">
        <x:v>3731</x:v>
      </x:c>
      <x:c r="B3734" s="16" t="str">
        <x:v>kbbc Amir Zharfan</x:v>
      </x:c>
      <x:c r="C3734" s="16" t="str"/>
      <x:c r="D3734" s="16" t="str"/>
      <x:c r="E3734" s="16" t="str">
        <x:v>* myContacts</x:v>
      </x:c>
      <x:c r="F3734" s="16" t="str">
        <x:v>+60139690294</x:v>
      </x:c>
      <x:c r="G3734" s="16" t="str">
        <x:v>+60139690294</x:v>
      </x:c>
      <x:c r="H3734" s="16" t="str">
        <x:v>Excluded</x:v>
      </x:c>
      <x:c r="I3734" s="16" t="str">
        <x:v>Missing email</x:v>
      </x:c>
    </x:row>
    <x:row r="3735">
      <x:c r="A3735" s="16" t="n">
        <x:v>3732</x:v>
      </x:c>
      <x:c r="B3735" s="16" t="str">
        <x:v>kbbc Amir Zharfan</x:v>
      </x:c>
      <x:c r="C3735" s="16" t="str"/>
      <x:c r="D3735" s="16" t="str"/>
      <x:c r="E3735" s="16" t="str">
        <x:v>* myContacts</x:v>
      </x:c>
      <x:c r="F3735" s="16" t="str">
        <x:v>60139690294</x:v>
      </x:c>
      <x:c r="G3735" s="16" t="str">
        <x:v>+60139690294</x:v>
      </x:c>
      <x:c r="H3735" s="16" t="str">
        <x:v>Excluded</x:v>
      </x:c>
      <x:c r="I3735" s="16" t="str">
        <x:v>Missing email</x:v>
      </x:c>
    </x:row>
    <x:row r="3736">
      <x:c r="A3736" s="16" t="n">
        <x:v>3733</x:v>
      </x:c>
      <x:c r="B3736" s="16" t="str">
        <x:v>kbbc Amira Balqis</x:v>
      </x:c>
      <x:c r="C3736" s="16" t="str"/>
      <x:c r="D3736" s="16" t="str"/>
      <x:c r="E3736" s="16" t="str">
        <x:v>* myContacts</x:v>
      </x:c>
      <x:c r="F3736" s="16" t="str">
        <x:v>+60195613004</x:v>
      </x:c>
      <x:c r="G3736" s="16" t="str">
        <x:v>+60195613004</x:v>
      </x:c>
      <x:c r="H3736" s="16" t="str">
        <x:v>Excluded</x:v>
      </x:c>
      <x:c r="I3736" s="16" t="str">
        <x:v>Missing email</x:v>
      </x:c>
    </x:row>
    <x:row r="3737">
      <x:c r="A3737" s="16" t="n">
        <x:v>3734</x:v>
      </x:c>
      <x:c r="B3737" s="16" t="str">
        <x:v>kbbc AMRI MOHAMMAD</x:v>
      </x:c>
      <x:c r="C3737" s="16" t="str"/>
      <x:c r="D3737" s="16" t="str"/>
      <x:c r="E3737" s="16" t="str">
        <x:v>* myContacts</x:v>
      </x:c>
      <x:c r="F3737" s="16" t="str">
        <x:v>+60105525459</x:v>
      </x:c>
      <x:c r="G3737" s="16" t="str">
        <x:v>+60105525459</x:v>
      </x:c>
      <x:c r="H3737" s="16" t="str">
        <x:v>Excluded</x:v>
      </x:c>
      <x:c r="I3737" s="16" t="str">
        <x:v>Missing email</x:v>
      </x:c>
    </x:row>
    <x:row r="3738">
      <x:c r="A3738" s="16" t="n">
        <x:v>3735</x:v>
      </x:c>
      <x:c r="B3738" s="16" t="str">
        <x:v>kbbc ANNUAR MOHD REJAB</x:v>
      </x:c>
      <x:c r="C3738" s="16" t="str"/>
      <x:c r="D3738" s="16" t="str"/>
      <x:c r="E3738" s="16" t="str">
        <x:v>* myContacts</x:v>
      </x:c>
      <x:c r="F3738" s="16" t="str">
        <x:v>+60125910558</x:v>
      </x:c>
      <x:c r="G3738" s="16" t="str">
        <x:v>+60125910558</x:v>
      </x:c>
      <x:c r="H3738" s="16" t="str">
        <x:v>Excluded</x:v>
      </x:c>
      <x:c r="I3738" s="16" t="str">
        <x:v>Missing email</x:v>
      </x:c>
    </x:row>
    <x:row r="3739">
      <x:c r="A3739" s="16" t="n">
        <x:v>3736</x:v>
      </x:c>
      <x:c r="B3739" s="16" t="str">
        <x:v>kbbc Arif Abidin</x:v>
      </x:c>
      <x:c r="C3739" s="16" t="str"/>
      <x:c r="D3739" s="16" t="str"/>
      <x:c r="E3739" s="16" t="str">
        <x:v>* myContacts</x:v>
      </x:c>
      <x:c r="F3739" s="16" t="str">
        <x:v>+60139732604</x:v>
      </x:c>
      <x:c r="G3739" s="16" t="str">
        <x:v>+60139732604</x:v>
      </x:c>
      <x:c r="H3739" s="16" t="str">
        <x:v>Excluded</x:v>
      </x:c>
      <x:c r="I3739" s="16" t="str">
        <x:v>Missing email</x:v>
      </x:c>
    </x:row>
    <x:row r="3740">
      <x:c r="A3740" s="16" t="n">
        <x:v>3737</x:v>
      </x:c>
      <x:c r="B3740" s="16" t="str">
        <x:v>kbbc ASIAH BT BAKAR</x:v>
      </x:c>
      <x:c r="C3740" s="16" t="str"/>
      <x:c r="D3740" s="16" t="str"/>
      <x:c r="E3740" s="16" t="str">
        <x:v>* myContacts</x:v>
      </x:c>
      <x:c r="F3740" s="16" t="str">
        <x:v>60193772880</x:v>
      </x:c>
      <x:c r="G3740" s="16" t="str">
        <x:v>+60193772880</x:v>
      </x:c>
      <x:c r="H3740" s="16" t="str">
        <x:v>Excluded</x:v>
      </x:c>
      <x:c r="I3740" s="16" t="str">
        <x:v>Missing email</x:v>
      </x:c>
    </x:row>
    <x:row r="3741">
      <x:c r="A3741" s="16" t="n">
        <x:v>3738</x:v>
      </x:c>
      <x:c r="B3741" s="16" t="str">
        <x:v>kbbc ASIAH BT BAKAR</x:v>
      </x:c>
      <x:c r="C3741" s="16" t="str"/>
      <x:c r="D3741" s="16" t="str"/>
      <x:c r="E3741" s="16" t="str">
        <x:v>* myContacts</x:v>
      </x:c>
      <x:c r="F3741" s="16" t="str">
        <x:v>+60193772880</x:v>
      </x:c>
      <x:c r="G3741" s="16" t="str">
        <x:v>+60193772880</x:v>
      </x:c>
      <x:c r="H3741" s="16" t="str">
        <x:v>Excluded</x:v>
      </x:c>
      <x:c r="I3741" s="16" t="str">
        <x:v>Missing email</x:v>
      </x:c>
    </x:row>
    <x:row r="3742">
      <x:c r="A3742" s="16" t="n">
        <x:v>3739</x:v>
      </x:c>
      <x:c r="B3742" s="16" t="str">
        <x:v>kbbc Athira Zainal</x:v>
      </x:c>
      <x:c r="C3742" s="16" t="str"/>
      <x:c r="D3742" s="16" t="str"/>
      <x:c r="E3742" s="16" t="str">
        <x:v>* myContacts</x:v>
      </x:c>
      <x:c r="F3742" s="16" t="str">
        <x:v>+60183846132</x:v>
      </x:c>
      <x:c r="G3742" s="16" t="str">
        <x:v>+60183846132</x:v>
      </x:c>
      <x:c r="H3742" s="16" t="str">
        <x:v>Excluded</x:v>
      </x:c>
      <x:c r="I3742" s="16" t="str">
        <x:v>Missing email</x:v>
      </x:c>
    </x:row>
    <x:row r="3743">
      <x:c r="A3743" s="16" t="n">
        <x:v>3740</x:v>
      </x:c>
      <x:c r="B3743" s="16" t="str">
        <x:v>kbbc AUDRY ANAK SUP</x:v>
      </x:c>
      <x:c r="C3743" s="16" t="str"/>
      <x:c r="D3743" s="16" t="str"/>
      <x:c r="E3743" s="16" t="str">
        <x:v>* myContacts</x:v>
      </x:c>
      <x:c r="F3743" s="16" t="str">
        <x:v>+60135410137</x:v>
      </x:c>
      <x:c r="G3743" s="16" t="str">
        <x:v>+60135410137</x:v>
      </x:c>
      <x:c r="H3743" s="16" t="str">
        <x:v>Excluded</x:v>
      </x:c>
      <x:c r="I3743" s="16" t="str">
        <x:v>Missing email</x:v>
      </x:c>
    </x:row>
    <x:row r="3744">
      <x:c r="A3744" s="16" t="n">
        <x:v>3741</x:v>
      </x:c>
      <x:c r="B3744" s="16" t="str">
        <x:v>kbbc Azee</x:v>
      </x:c>
      <x:c r="C3744" s="16" t="str"/>
      <x:c r="D3744" s="16" t="str"/>
      <x:c r="E3744" s="16" t="str">
        <x:v>* myContacts</x:v>
      </x:c>
      <x:c r="F3744" s="16" t="str">
        <x:v>+601125217882</x:v>
      </x:c>
      <x:c r="G3744" s="16" t="str">
        <x:v>+601125217882</x:v>
      </x:c>
      <x:c r="H3744" s="16" t="str">
        <x:v>Excluded</x:v>
      </x:c>
      <x:c r="I3744" s="16" t="str">
        <x:v>Missing email</x:v>
      </x:c>
    </x:row>
    <x:row r="3745">
      <x:c r="A3745" s="16" t="n">
        <x:v>3742</x:v>
      </x:c>
      <x:c r="B3745" s="16" t="str">
        <x:v>kbbc Azraf Abdul Rahman</x:v>
      </x:c>
      <x:c r="C3745" s="16" t="str"/>
      <x:c r="D3745" s="16" t="str"/>
      <x:c r="E3745" s="16" t="str">
        <x:v>* myContacts</x:v>
      </x:c>
      <x:c r="F3745" s="16" t="str">
        <x:v>+60172737123</x:v>
      </x:c>
      <x:c r="G3745" s="16" t="str">
        <x:v>+60172737123</x:v>
      </x:c>
      <x:c r="H3745" s="16" t="str">
        <x:v>Excluded</x:v>
      </x:c>
      <x:c r="I3745" s="16" t="str">
        <x:v>Missing email</x:v>
      </x:c>
    </x:row>
    <x:row r="3746">
      <x:c r="A3746" s="16" t="n">
        <x:v>3743</x:v>
      </x:c>
      <x:c r="B3746" s="16" t="str">
        <x:v>kbbc AZRIN ANIQ BIN AZMI</x:v>
      </x:c>
      <x:c r="C3746" s="16" t="str"/>
      <x:c r="D3746" s="16" t="str"/>
      <x:c r="E3746" s="16" t="str">
        <x:v>* myContacts</x:v>
      </x:c>
      <x:c r="F3746" s="16" t="str">
        <x:v>+60104643966</x:v>
      </x:c>
      <x:c r="G3746" s="16" t="str">
        <x:v>+60104643966</x:v>
      </x:c>
      <x:c r="H3746" s="16" t="str">
        <x:v>Excluded</x:v>
      </x:c>
      <x:c r="I3746" s="16" t="str">
        <x:v>Missing email</x:v>
      </x:c>
    </x:row>
    <x:row r="3747">
      <x:c r="A3747" s="16" t="n">
        <x:v>3744</x:v>
      </x:c>
      <x:c r="B3747" s="16" t="str">
        <x:v>kbbc AZRIN ANIQ BIN AZMI</x:v>
      </x:c>
      <x:c r="C3747" s="16" t="str"/>
      <x:c r="D3747" s="16" t="str"/>
      <x:c r="E3747" s="16" t="str">
        <x:v>* myContacts</x:v>
      </x:c>
      <x:c r="F3747" s="16" t="str">
        <x:v>60104643966</x:v>
      </x:c>
      <x:c r="G3747" s="16" t="str">
        <x:v>+60104643966</x:v>
      </x:c>
      <x:c r="H3747" s="16" t="str">
        <x:v>Excluded</x:v>
      </x:c>
      <x:c r="I3747" s="16" t="str">
        <x:v>Missing email</x:v>
      </x:c>
    </x:row>
    <x:row r="3748">
      <x:c r="A3748" s="16" t="n">
        <x:v>3745</x:v>
      </x:c>
      <x:c r="B3748" s="16" t="str">
        <x:v>kbbc Azrul Razlan</x:v>
      </x:c>
      <x:c r="C3748" s="16" t="str"/>
      <x:c r="D3748" s="16" t="str"/>
      <x:c r="E3748" s="16" t="str">
        <x:v>* myContacts</x:v>
      </x:c>
      <x:c r="F3748" s="16" t="str">
        <x:v>+60162206966</x:v>
      </x:c>
      <x:c r="G3748" s="16" t="str">
        <x:v>+60162206966</x:v>
      </x:c>
      <x:c r="H3748" s="16" t="str">
        <x:v>Excluded</x:v>
      </x:c>
      <x:c r="I3748" s="16" t="str">
        <x:v>Missing email</x:v>
      </x:c>
    </x:row>
    <x:row r="3749">
      <x:c r="A3749" s="16" t="n">
        <x:v>3746</x:v>
      </x:c>
      <x:c r="B3749" s="16" t="str">
        <x:v>kbbc Azuin Shahrina Bahari</x:v>
      </x:c>
      <x:c r="C3749" s="16" t="str"/>
      <x:c r="D3749" s="16" t="str"/>
      <x:c r="E3749" s="16" t="str">
        <x:v>* myContacts</x:v>
      </x:c>
      <x:c r="F3749" s="16" t="str">
        <x:v>+601131381772</x:v>
      </x:c>
      <x:c r="G3749" s="16" t="str">
        <x:v>+601131381772</x:v>
      </x:c>
      <x:c r="H3749" s="16" t="str">
        <x:v>Excluded</x:v>
      </x:c>
      <x:c r="I3749" s="16" t="str">
        <x:v>Missing email</x:v>
      </x:c>
    </x:row>
    <x:row r="3750">
      <x:c r="A3750" s="16" t="n">
        <x:v>3747</x:v>
      </x:c>
      <x:c r="B3750" s="16" t="str">
        <x:v>kbbc Azuin Shahrina Bahari</x:v>
      </x:c>
      <x:c r="C3750" s="16" t="str"/>
      <x:c r="D3750" s="16" t="str"/>
      <x:c r="E3750" s="16" t="str">
        <x:v>* myContacts</x:v>
      </x:c>
      <x:c r="F3750" s="16" t="str">
        <x:v>601131381772</x:v>
      </x:c>
      <x:c r="G3750" s="16" t="str">
        <x:v>+601131381772</x:v>
      </x:c>
      <x:c r="H3750" s="16" t="str">
        <x:v>Excluded</x:v>
      </x:c>
      <x:c r="I3750" s="16" t="str">
        <x:v>Missing email</x:v>
      </x:c>
    </x:row>
    <x:row r="3751">
      <x:c r="A3751" s="16" t="n">
        <x:v>3748</x:v>
      </x:c>
      <x:c r="B3751" s="16" t="str">
        <x:v>kbbc Damia</x:v>
      </x:c>
      <x:c r="C3751" s="16" t="str"/>
      <x:c r="D3751" s="16" t="str"/>
      <x:c r="E3751" s="16" t="str">
        <x:v>* myContacts</x:v>
      </x:c>
      <x:c r="F3751" s="16" t="str">
        <x:v>+60177545338</x:v>
      </x:c>
      <x:c r="G3751" s="16" t="str">
        <x:v>+60177545338</x:v>
      </x:c>
      <x:c r="H3751" s="16" t="str">
        <x:v>Excluded</x:v>
      </x:c>
      <x:c r="I3751" s="16" t="str">
        <x:v>Missing email</x:v>
      </x:c>
    </x:row>
    <x:row r="3752">
      <x:c r="A3752" s="16" t="n">
        <x:v>3749</x:v>
      </x:c>
      <x:c r="B3752" s="16" t="str">
        <x:v>kbbc Daud Bin Naimat</x:v>
      </x:c>
      <x:c r="C3752" s="16" t="str"/>
      <x:c r="D3752" s="16" t="str"/>
      <x:c r="E3752" s="16" t="str">
        <x:v>* myContacts</x:v>
      </x:c>
      <x:c r="F3752" s="16" t="str">
        <x:v>+60177770052</x:v>
      </x:c>
      <x:c r="G3752" s="16" t="str">
        <x:v>+60177770052</x:v>
      </x:c>
      <x:c r="H3752" s="16" t="str">
        <x:v>Excluded</x:v>
      </x:c>
      <x:c r="I3752" s="16" t="str">
        <x:v>Missing email</x:v>
      </x:c>
    </x:row>
    <x:row r="3753">
      <x:c r="A3753" s="16" t="n">
        <x:v>3750</x:v>
      </x:c>
      <x:c r="B3753" s="16" t="str">
        <x:v>kbbc Desy Darmayanti</x:v>
      </x:c>
      <x:c r="C3753" s="16" t="str"/>
      <x:c r="D3753" s="16" t="str"/>
      <x:c r="E3753" s="16" t="str">
        <x:v>* myContacts</x:v>
      </x:c>
      <x:c r="F3753" s="16" t="str">
        <x:v>60166912062</x:v>
      </x:c>
      <x:c r="G3753" s="16" t="str">
        <x:v>+60166912062</x:v>
      </x:c>
      <x:c r="H3753" s="16" t="str">
        <x:v>Excluded</x:v>
      </x:c>
      <x:c r="I3753" s="16" t="str">
        <x:v>Missing email</x:v>
      </x:c>
    </x:row>
    <x:row r="3754">
      <x:c r="A3754" s="16" t="n">
        <x:v>3751</x:v>
      </x:c>
      <x:c r="B3754" s="16" t="str">
        <x:v>kbbc Fahmi Izzuddin Bin Rulmi</x:v>
      </x:c>
      <x:c r="C3754" s="16" t="str"/>
      <x:c r="D3754" s="16" t="str"/>
      <x:c r="E3754" s="16" t="str">
        <x:v>* myContacts</x:v>
      </x:c>
      <x:c r="F3754" s="16" t="str">
        <x:v>60197962719</x:v>
      </x:c>
      <x:c r="G3754" s="16" t="str">
        <x:v>+60197962719</x:v>
      </x:c>
      <x:c r="H3754" s="16" t="str">
        <x:v>Excluded</x:v>
      </x:c>
      <x:c r="I3754" s="16" t="str">
        <x:v>Missing email</x:v>
      </x:c>
    </x:row>
    <x:row r="3755">
      <x:c r="A3755" s="16" t="n">
        <x:v>3752</x:v>
      </x:c>
      <x:c r="B3755" s="16" t="str">
        <x:v>kbbc Fahmi Izzuddin Bin Rulmi</x:v>
      </x:c>
      <x:c r="C3755" s="16" t="str"/>
      <x:c r="D3755" s="16" t="str"/>
      <x:c r="E3755" s="16" t="str">
        <x:v>* myContacts</x:v>
      </x:c>
      <x:c r="F3755" s="16" t="str">
        <x:v>+60197962719</x:v>
      </x:c>
      <x:c r="G3755" s="16" t="str">
        <x:v>+60197962719</x:v>
      </x:c>
      <x:c r="H3755" s="16" t="str">
        <x:v>Excluded</x:v>
      </x:c>
      <x:c r="I3755" s="16" t="str">
        <x:v>Missing email</x:v>
      </x:c>
    </x:row>
    <x:row r="3756">
      <x:c r="A3756" s="16" t="n">
        <x:v>3753</x:v>
      </x:c>
      <x:c r="B3756" s="16" t="str">
        <x:v>kbbc Fir</x:v>
      </x:c>
      <x:c r="C3756" s="16" t="str"/>
      <x:c r="D3756" s="16" t="str"/>
      <x:c r="E3756" s="16" t="str">
        <x:v>* myContacts</x:v>
      </x:c>
      <x:c r="F3756" s="16" t="str">
        <x:v>60195779712</x:v>
      </x:c>
      <x:c r="G3756" s="16" t="str">
        <x:v>+60195779712</x:v>
      </x:c>
      <x:c r="H3756" s="16" t="str">
        <x:v>Excluded</x:v>
      </x:c>
      <x:c r="I3756" s="16" t="str">
        <x:v>Missing email</x:v>
      </x:c>
    </x:row>
    <x:row r="3757">
      <x:c r="A3757" s="16" t="n">
        <x:v>3754</x:v>
      </x:c>
      <x:c r="B3757" s="16" t="str">
        <x:v>kbbc Fir</x:v>
      </x:c>
      <x:c r="C3757" s="16" t="str"/>
      <x:c r="D3757" s="16" t="str"/>
      <x:c r="E3757" s="16" t="str">
        <x:v>* myContacts</x:v>
      </x:c>
      <x:c r="F3757" s="16" t="str">
        <x:v>+60195779712</x:v>
      </x:c>
      <x:c r="G3757" s="16" t="str">
        <x:v>+60195779712</x:v>
      </x:c>
      <x:c r="H3757" s="16" t="str">
        <x:v>Excluded</x:v>
      </x:c>
      <x:c r="I3757" s="16" t="str">
        <x:v>Missing email</x:v>
      </x:c>
    </x:row>
    <x:row r="3758">
      <x:c r="A3758" s="16" t="n">
        <x:v>3755</x:v>
      </x:c>
      <x:c r="B3758" s="16" t="str">
        <x:v>kbbc Fredy</x:v>
      </x:c>
      <x:c r="C3758" s="16" t="str"/>
      <x:c r="D3758" s="16" t="str"/>
      <x:c r="E3758" s="16" t="str">
        <x:v>* myContacts</x:v>
      </x:c>
      <x:c r="F3758" s="16" t="str">
        <x:v>60196081973</x:v>
      </x:c>
      <x:c r="G3758" s="16" t="str">
        <x:v>+60196081973</x:v>
      </x:c>
      <x:c r="H3758" s="16" t="str">
        <x:v>Excluded</x:v>
      </x:c>
      <x:c r="I3758" s="16" t="str">
        <x:v>Missing email</x:v>
      </x:c>
    </x:row>
    <x:row r="3759">
      <x:c r="A3759" s="16" t="n">
        <x:v>3756</x:v>
      </x:c>
      <x:c r="B3759" s="16" t="str">
        <x:v>kbbc Fredy</x:v>
      </x:c>
      <x:c r="C3759" s="16" t="str"/>
      <x:c r="D3759" s="16" t="str"/>
      <x:c r="E3759" s="16" t="str">
        <x:v>* myContacts</x:v>
      </x:c>
      <x:c r="F3759" s="16" t="str">
        <x:v>+60196081973</x:v>
      </x:c>
      <x:c r="G3759" s="16" t="str">
        <x:v>+60196081973</x:v>
      </x:c>
      <x:c r="H3759" s="16" t="str">
        <x:v>Excluded</x:v>
      </x:c>
      <x:c r="I3759" s="16" t="str">
        <x:v>Missing email</x:v>
      </x:c>
    </x:row>
    <x:row r="3760">
      <x:c r="A3760" s="16" t="n">
        <x:v>3757</x:v>
      </x:c>
      <x:c r="B3760" s="16" t="str">
        <x:v>kbbc Frencika</x:v>
      </x:c>
      <x:c r="C3760" s="16" t="str"/>
      <x:c r="D3760" s="16" t="str"/>
      <x:c r="E3760" s="16" t="str">
        <x:v>* myContacts</x:v>
      </x:c>
      <x:c r="F3760" s="16" t="str">
        <x:v>+60146841464</x:v>
      </x:c>
      <x:c r="G3760" s="16" t="str">
        <x:v>+60146841464</x:v>
      </x:c>
      <x:c r="H3760" s="16" t="str">
        <x:v>Excluded</x:v>
      </x:c>
      <x:c r="I3760" s="16" t="str">
        <x:v>Missing email</x:v>
      </x:c>
    </x:row>
    <x:row r="3761">
      <x:c r="A3761" s="16" t="n">
        <x:v>3758</x:v>
      </x:c>
      <x:c r="B3761" s="16" t="str">
        <x:v>kbbc Hadi Pilus</x:v>
      </x:c>
      <x:c r="C3761" s="16" t="str"/>
      <x:c r="D3761" s="16" t="str"/>
      <x:c r="E3761" s="16" t="str">
        <x:v>* myContacts</x:v>
      </x:c>
      <x:c r="F3761" s="16" t="str">
        <x:v>60172248222</x:v>
      </x:c>
      <x:c r="G3761" s="16" t="str">
        <x:v>+60172248222</x:v>
      </x:c>
      <x:c r="H3761" s="16" t="str">
        <x:v>Excluded</x:v>
      </x:c>
      <x:c r="I3761" s="16" t="str">
        <x:v>Missing email</x:v>
      </x:c>
    </x:row>
    <x:row r="3762">
      <x:c r="A3762" s="16" t="n">
        <x:v>3759</x:v>
      </x:c>
      <x:c r="B3762" s="16" t="str">
        <x:v>kbbc Haikal</x:v>
      </x:c>
      <x:c r="C3762" s="16" t="str"/>
      <x:c r="D3762" s="16" t="str"/>
      <x:c r="E3762" s="16" t="str">
        <x:v>* myContacts</x:v>
      </x:c>
      <x:c r="F3762" s="16" t="str">
        <x:v>+60192427280</x:v>
      </x:c>
      <x:c r="G3762" s="16" t="str">
        <x:v>+60192427280</x:v>
      </x:c>
      <x:c r="H3762" s="16" t="str">
        <x:v>Excluded</x:v>
      </x:c>
      <x:c r="I3762" s="16" t="str">
        <x:v>Missing email</x:v>
      </x:c>
    </x:row>
    <x:row r="3763">
      <x:c r="A3763" s="16" t="n">
        <x:v>3760</x:v>
      </x:c>
      <x:c r="B3763" s="16" t="str">
        <x:v>kbbc Hasib Azahari</x:v>
      </x:c>
      <x:c r="C3763" s="16" t="str"/>
      <x:c r="D3763" s="16" t="str"/>
      <x:c r="E3763" s="16" t="str">
        <x:v>* myContacts</x:v>
      </x:c>
      <x:c r="F3763" s="16" t="str">
        <x:v>60182875338</x:v>
      </x:c>
      <x:c r="G3763" s="16" t="str">
        <x:v>+60182875338</x:v>
      </x:c>
      <x:c r="H3763" s="16" t="str">
        <x:v>Excluded</x:v>
      </x:c>
      <x:c r="I3763" s="16" t="str">
        <x:v>Missing email</x:v>
      </x:c>
    </x:row>
    <x:row r="3764">
      <x:c r="A3764" s="16" t="n">
        <x:v>3761</x:v>
      </x:c>
      <x:c r="B3764" s="16" t="str">
        <x:v>kbbc Hilary Bin Matawi</x:v>
      </x:c>
      <x:c r="C3764" s="16" t="str"/>
      <x:c r="D3764" s="16" t="str"/>
      <x:c r="E3764" s="16" t="str">
        <x:v>* myContacts</x:v>
      </x:c>
      <x:c r="F3764" s="16" t="str">
        <x:v>+60135742961</x:v>
      </x:c>
      <x:c r="G3764" s="16" t="str">
        <x:v>+60135742961</x:v>
      </x:c>
      <x:c r="H3764" s="16" t="str">
        <x:v>Excluded</x:v>
      </x:c>
      <x:c r="I3764" s="16" t="str">
        <x:v>Missing email</x:v>
      </x:c>
    </x:row>
    <x:row r="3765">
      <x:c r="A3765" s="16" t="n">
        <x:v>3762</x:v>
      </x:c>
      <x:c r="B3765" s="16" t="str">
        <x:v>kbbc Hilary Bin Matawi</x:v>
      </x:c>
      <x:c r="C3765" s="16" t="str"/>
      <x:c r="D3765" s="16" t="str"/>
      <x:c r="E3765" s="16" t="str">
        <x:v>* myContacts</x:v>
      </x:c>
      <x:c r="F3765" s="16" t="str">
        <x:v>60135742961</x:v>
      </x:c>
      <x:c r="G3765" s="16" t="str">
        <x:v>+60135742961</x:v>
      </x:c>
      <x:c r="H3765" s="16" t="str">
        <x:v>Excluded</x:v>
      </x:c>
      <x:c r="I3765" s="16" t="str">
        <x:v>Missing email</x:v>
      </x:c>
    </x:row>
    <x:row r="3766">
      <x:c r="A3766" s="16" t="n">
        <x:v>3763</x:v>
      </x:c>
      <x:c r="B3766" s="16" t="str">
        <x:v>kbbc Hudanajwa</x:v>
      </x:c>
      <x:c r="C3766" s="16" t="str"/>
      <x:c r="D3766" s="16" t="str"/>
      <x:c r="E3766" s="16" t="str">
        <x:v>* myContacts</x:v>
      </x:c>
      <x:c r="F3766" s="16" t="str">
        <x:v>+60195008047</x:v>
      </x:c>
      <x:c r="G3766" s="16" t="str">
        <x:v>+60195008047</x:v>
      </x:c>
      <x:c r="H3766" s="16" t="str">
        <x:v>Excluded</x:v>
      </x:c>
      <x:c r="I3766" s="16" t="str">
        <x:v>Missing email</x:v>
      </x:c>
    </x:row>
    <x:row r="3767">
      <x:c r="A3767" s="16" t="n">
        <x:v>3764</x:v>
      </x:c>
      <x:c r="B3767" s="16" t="str">
        <x:v>kbbc Ibrahim Patera</x:v>
      </x:c>
      <x:c r="C3767" s="16" t="str"/>
      <x:c r="D3767" s="16" t="str"/>
      <x:c r="E3767" s="16" t="str">
        <x:v>* myContacts</x:v>
      </x:c>
      <x:c r="F3767" s="16" t="str">
        <x:v>+601150030727</x:v>
      </x:c>
      <x:c r="G3767" s="16" t="str">
        <x:v>+601150030727</x:v>
      </x:c>
      <x:c r="H3767" s="16" t="str">
        <x:v>Excluded</x:v>
      </x:c>
      <x:c r="I3767" s="16" t="str">
        <x:v>Missing email</x:v>
      </x:c>
    </x:row>
    <x:row r="3768">
      <x:c r="A3768" s="16" t="n">
        <x:v>3765</x:v>
      </x:c>
      <x:c r="B3768" s="16" t="str">
        <x:v>kbbc Iqbar Hakim</x:v>
      </x:c>
      <x:c r="C3768" s="16" t="str"/>
      <x:c r="D3768" s="16" t="str"/>
      <x:c r="E3768" s="16" t="str">
        <x:v>* myContacts</x:v>
      </x:c>
      <x:c r="F3768" s="16" t="str">
        <x:v>+60132339695</x:v>
      </x:c>
      <x:c r="G3768" s="16" t="str">
        <x:v>+60132339695</x:v>
      </x:c>
      <x:c r="H3768" s="16" t="str">
        <x:v>Excluded</x:v>
      </x:c>
      <x:c r="I3768" s="16" t="str">
        <x:v>Missing email</x:v>
      </x:c>
    </x:row>
    <x:row r="3769">
      <x:c r="A3769" s="16" t="n">
        <x:v>3766</x:v>
      </x:c>
      <x:c r="B3769" s="16" t="str">
        <x:v>kbbc Iskandar Ibrahim</x:v>
      </x:c>
      <x:c r="C3769" s="16" t="str"/>
      <x:c r="D3769" s="16" t="str"/>
      <x:c r="E3769" s="16" t="str">
        <x:v>* myContacts</x:v>
      </x:c>
      <x:c r="F3769" s="16" t="str">
        <x:v>+60162295354</x:v>
      </x:c>
      <x:c r="G3769" s="16" t="str">
        <x:v>+60162295354</x:v>
      </x:c>
      <x:c r="H3769" s="16" t="str">
        <x:v>Excluded</x:v>
      </x:c>
      <x:c r="I3769" s="16" t="str">
        <x:v>Missing email</x:v>
      </x:c>
    </x:row>
    <x:row r="3770">
      <x:c r="A3770" s="16" t="n">
        <x:v>3767</x:v>
      </x:c>
      <x:c r="B3770" s="16" t="str">
        <x:v>kbbc Ismail Bin Abdullah</x:v>
      </x:c>
      <x:c r="C3770" s="16" t="str"/>
      <x:c r="D3770" s="16" t="str"/>
      <x:c r="E3770" s="16" t="str">
        <x:v>* myContacts</x:v>
      </x:c>
      <x:c r="F3770" s="16" t="str">
        <x:v>+60135939289</x:v>
      </x:c>
      <x:c r="G3770" s="16" t="str">
        <x:v>+60135939289</x:v>
      </x:c>
      <x:c r="H3770" s="16" t="str">
        <x:v>Excluded</x:v>
      </x:c>
      <x:c r="I3770" s="16" t="str">
        <x:v>Missing email</x:v>
      </x:c>
    </x:row>
    <x:row r="3771">
      <x:c r="A3771" s="16" t="n">
        <x:v>3768</x:v>
      </x:c>
      <x:c r="B3771" s="16" t="str">
        <x:v>kbbc Jannice Anak Ahin</x:v>
      </x:c>
      <x:c r="C3771" s="16" t="str"/>
      <x:c r="D3771" s="16" t="str"/>
      <x:c r="E3771" s="16" t="str">
        <x:v>* myContacts</x:v>
      </x:c>
      <x:c r="F3771" s="16" t="str">
        <x:v>+601135127266</x:v>
      </x:c>
      <x:c r="G3771" s="16" t="str">
        <x:v>+601135127266</x:v>
      </x:c>
      <x:c r="H3771" s="16" t="str">
        <x:v>Excluded</x:v>
      </x:c>
      <x:c r="I3771" s="16" t="str">
        <x:v>Missing email</x:v>
      </x:c>
    </x:row>
    <x:row r="3772">
      <x:c r="A3772" s="16" t="n">
        <x:v>3769</x:v>
      </x:c>
      <x:c r="B3772" s="16" t="str">
        <x:v>kbbc Jasmine</x:v>
      </x:c>
      <x:c r="C3772" s="16" t="str"/>
      <x:c r="D3772" s="16" t="str"/>
      <x:c r="E3772" s="16" t="str">
        <x:v>* myContacts</x:v>
      </x:c>
      <x:c r="F3772" s="16" t="str">
        <x:v>+60142522695</x:v>
      </x:c>
      <x:c r="G3772" s="16" t="str">
        <x:v>+60142522695</x:v>
      </x:c>
      <x:c r="H3772" s="16" t="str">
        <x:v>Excluded</x:v>
      </x:c>
      <x:c r="I3772" s="16" t="str">
        <x:v>Missing email</x:v>
      </x:c>
    </x:row>
    <x:row r="3773">
      <x:c r="A3773" s="16" t="n">
        <x:v>3770</x:v>
      </x:c>
      <x:c r="B3773" s="16" t="str">
        <x:v>kbbc Kamaruzaman</x:v>
      </x:c>
      <x:c r="C3773" s="16" t="str"/>
      <x:c r="D3773" s="16" t="str"/>
      <x:c r="E3773" s="16" t="str">
        <x:v>* myContacts</x:v>
      </x:c>
      <x:c r="F3773" s="16" t="str">
        <x:v>+60199147093</x:v>
      </x:c>
      <x:c r="G3773" s="16" t="str">
        <x:v>+60199147093</x:v>
      </x:c>
      <x:c r="H3773" s="16" t="str">
        <x:v>Excluded</x:v>
      </x:c>
      <x:c r="I3773" s="16" t="str">
        <x:v>Missing email</x:v>
      </x:c>
    </x:row>
    <x:row r="3774">
      <x:c r="A3774" s="16" t="n">
        <x:v>3771</x:v>
      </x:c>
      <x:c r="B3774" s="16" t="str">
        <x:v>kbbc Khairil Azree Ahmad</x:v>
      </x:c>
      <x:c r="C3774" s="16" t="str"/>
      <x:c r="D3774" s="16" t="str"/>
      <x:c r="E3774" s="16" t="str">
        <x:v>* myContacts</x:v>
      </x:c>
      <x:c r="F3774" s="16" t="str">
        <x:v>+60175531970</x:v>
      </x:c>
      <x:c r="G3774" s="16" t="str">
        <x:v>+60175531970</x:v>
      </x:c>
      <x:c r="H3774" s="16" t="str">
        <x:v>Excluded</x:v>
      </x:c>
      <x:c r="I3774" s="16" t="str">
        <x:v>Missing email</x:v>
      </x:c>
    </x:row>
    <x:row r="3775">
      <x:c r="A3775" s="16" t="n">
        <x:v>3772</x:v>
      </x:c>
      <x:c r="B3775" s="16" t="str">
        <x:v>kbbc LOGESVARAN A/L KUMARAN</x:v>
      </x:c>
      <x:c r="C3775" s="16" t="str"/>
      <x:c r="D3775" s="16" t="str"/>
      <x:c r="E3775" s="16" t="str">
        <x:v>* myContacts</x:v>
      </x:c>
      <x:c r="F3775" s="16" t="str">
        <x:v>60184668089</x:v>
      </x:c>
      <x:c r="G3775" s="16" t="str">
        <x:v>+60184668089</x:v>
      </x:c>
      <x:c r="H3775" s="16" t="str">
        <x:v>Excluded</x:v>
      </x:c>
      <x:c r="I3775" s="16" t="str">
        <x:v>Missing email</x:v>
      </x:c>
    </x:row>
    <x:row r="3776">
      <x:c r="A3776" s="16" t="n">
        <x:v>3773</x:v>
      </x:c>
      <x:c r="B3776" s="16" t="str">
        <x:v>kbbc LOGESVARAN A/L KUMARAN</x:v>
      </x:c>
      <x:c r="C3776" s="16" t="str"/>
      <x:c r="D3776" s="16" t="str"/>
      <x:c r="E3776" s="16" t="str">
        <x:v>* myContacts</x:v>
      </x:c>
      <x:c r="F3776" s="16" t="str">
        <x:v>+60184668089</x:v>
      </x:c>
      <x:c r="G3776" s="16" t="str">
        <x:v>+60184668089</x:v>
      </x:c>
      <x:c r="H3776" s="16" t="str">
        <x:v>Excluded</x:v>
      </x:c>
      <x:c r="I3776" s="16" t="str">
        <x:v>Missing email</x:v>
      </x:c>
    </x:row>
    <x:row r="3777">
      <x:c r="A3777" s="16" t="n">
        <x:v>3774</x:v>
      </x:c>
      <x:c r="B3777" s="16" t="str">
        <x:v>kbbc Mimi</x:v>
      </x:c>
      <x:c r="C3777" s="16" t="str"/>
      <x:c r="D3777" s="16" t="str"/>
      <x:c r="E3777" s="16" t="str">
        <x:v>* myContacts</x:v>
      </x:c>
      <x:c r="F3777" s="16" t="str">
        <x:v>+60172918071</x:v>
      </x:c>
      <x:c r="G3777" s="16" t="str">
        <x:v>+60172918071</x:v>
      </x:c>
      <x:c r="H3777" s="16" t="str">
        <x:v>Excluded</x:v>
      </x:c>
      <x:c r="I3777" s="16" t="str">
        <x:v>Missing email</x:v>
      </x:c>
    </x:row>
    <x:row r="3778">
      <x:c r="A3778" s="16" t="n">
        <x:v>3775</x:v>
      </x:c>
      <x:c r="B3778" s="16" t="str">
        <x:v>kbbc Mohamad Hafiz Bin Mohamad Noor</x:v>
      </x:c>
      <x:c r="C3778" s="16" t="str"/>
      <x:c r="D3778" s="16" t="str"/>
      <x:c r="E3778" s="16" t="str">
        <x:v>* myContacts</x:v>
      </x:c>
      <x:c r="F3778" s="16" t="str">
        <x:v>+60179443375</x:v>
      </x:c>
      <x:c r="G3778" s="16" t="str">
        <x:v>+60179443375</x:v>
      </x:c>
      <x:c r="H3778" s="16" t="str">
        <x:v>Excluded</x:v>
      </x:c>
      <x:c r="I3778" s="16" t="str">
        <x:v>Missing email</x:v>
      </x:c>
    </x:row>
    <x:row r="3779">
      <x:c r="A3779" s="16" t="n">
        <x:v>3776</x:v>
      </x:c>
      <x:c r="B3779" s="16" t="str">
        <x:v>kbbc Mohamad Hassif Bin Hassan</x:v>
      </x:c>
      <x:c r="C3779" s="16" t="str"/>
      <x:c r="D3779" s="16" t="str"/>
      <x:c r="E3779" s="16" t="str">
        <x:v>* myContacts</x:v>
      </x:c>
      <x:c r="F3779" s="16" t="str">
        <x:v>+60129639273</x:v>
      </x:c>
      <x:c r="G3779" s="16" t="str">
        <x:v>+60129639273</x:v>
      </x:c>
      <x:c r="H3779" s="16" t="str">
        <x:v>Excluded</x:v>
      </x:c>
      <x:c r="I3779" s="16" t="str">
        <x:v>Missing email</x:v>
      </x:c>
    </x:row>
    <x:row r="3780">
      <x:c r="A3780" s="16" t="n">
        <x:v>3777</x:v>
      </x:c>
      <x:c r="B3780" s="16" t="str">
        <x:v>kbbc Mohamad Hassif Bin Hassan</x:v>
      </x:c>
      <x:c r="C3780" s="16" t="str"/>
      <x:c r="D3780" s="16" t="str"/>
      <x:c r="E3780" s="16" t="str">
        <x:v>* myContacts</x:v>
      </x:c>
      <x:c r="F3780" s="16" t="str">
        <x:v>60129639273</x:v>
      </x:c>
      <x:c r="G3780" s="16" t="str">
        <x:v>+60129639273</x:v>
      </x:c>
      <x:c r="H3780" s="16" t="str">
        <x:v>Excluded</x:v>
      </x:c>
      <x:c r="I3780" s="16" t="str">
        <x:v>Missing email</x:v>
      </x:c>
    </x:row>
    <x:row r="3781">
      <x:c r="A3781" s="16" t="n">
        <x:v>3778</x:v>
      </x:c>
      <x:c r="B3781" s="16" t="str">
        <x:v>kbbc Mohamad Hazril Bin Md Nordin</x:v>
      </x:c>
      <x:c r="C3781" s="16" t="str"/>
      <x:c r="D3781" s="16" t="str"/>
      <x:c r="E3781" s="16" t="str">
        <x:v>* myContacts</x:v>
      </x:c>
      <x:c r="F3781" s="16" t="str">
        <x:v>60183857284</x:v>
      </x:c>
      <x:c r="G3781" s="16" t="str">
        <x:v>+60183857284</x:v>
      </x:c>
      <x:c r="H3781" s="16" t="str">
        <x:v>Excluded</x:v>
      </x:c>
      <x:c r="I3781" s="16" t="str">
        <x:v>Missing email</x:v>
      </x:c>
    </x:row>
    <x:row r="3782">
      <x:c r="A3782" s="16" t="n">
        <x:v>3779</x:v>
      </x:c>
      <x:c r="B3782" s="16" t="str">
        <x:v>kbbc Mohamad Hazril Bin Md Nordin</x:v>
      </x:c>
      <x:c r="C3782" s="16" t="str"/>
      <x:c r="D3782" s="16" t="str"/>
      <x:c r="E3782" s="16" t="str">
        <x:v>* myContacts</x:v>
      </x:c>
      <x:c r="F3782" s="16" t="str">
        <x:v>+60183857284</x:v>
      </x:c>
      <x:c r="G3782" s="16" t="str">
        <x:v>+60183857284</x:v>
      </x:c>
      <x:c r="H3782" s="16" t="str">
        <x:v>Excluded</x:v>
      </x:c>
      <x:c r="I3782" s="16" t="str">
        <x:v>Missing email</x:v>
      </x:c>
    </x:row>
    <x:row r="3783">
      <x:c r="A3783" s="16" t="n">
        <x:v>3780</x:v>
      </x:c>
      <x:c r="B3783" s="16" t="str">
        <x:v>kbbc MOHAMAD NAZRAN BIN BAHARI</x:v>
      </x:c>
      <x:c r="C3783" s="16" t="str"/>
      <x:c r="D3783" s="16" t="str"/>
      <x:c r="E3783" s="16" t="str">
        <x:v>* myContacts</x:v>
      </x:c>
      <x:c r="F3783" s="16" t="str">
        <x:v>601119892149</x:v>
      </x:c>
      <x:c r="G3783" s="16" t="str">
        <x:v>+601119892149</x:v>
      </x:c>
      <x:c r="H3783" s="16" t="str">
        <x:v>Excluded</x:v>
      </x:c>
      <x:c r="I3783" s="16" t="str">
        <x:v>Missing email</x:v>
      </x:c>
    </x:row>
    <x:row r="3784">
      <x:c r="A3784" s="16" t="n">
        <x:v>3781</x:v>
      </x:c>
      <x:c r="B3784" s="16" t="str">
        <x:v>kbbc MOHAMAD NAZRAN BIN BAHARI</x:v>
      </x:c>
      <x:c r="C3784" s="16" t="str"/>
      <x:c r="D3784" s="16" t="str"/>
      <x:c r="E3784" s="16" t="str">
        <x:v>* myContacts</x:v>
      </x:c>
      <x:c r="F3784" s="16" t="str">
        <x:v>+601119892149</x:v>
      </x:c>
      <x:c r="G3784" s="16" t="str">
        <x:v>+601119892149</x:v>
      </x:c>
      <x:c r="H3784" s="16" t="str">
        <x:v>Excluded</x:v>
      </x:c>
      <x:c r="I3784" s="16" t="str">
        <x:v>Missing email</x:v>
      </x:c>
    </x:row>
    <x:row r="3785">
      <x:c r="A3785" s="16" t="n">
        <x:v>3782</x:v>
      </x:c>
      <x:c r="B3785" s="16" t="str">
        <x:v>kbbc Mohammad</x:v>
      </x:c>
      <x:c r="C3785" s="16" t="str"/>
      <x:c r="D3785" s="16" t="str"/>
      <x:c r="E3785" s="16" t="str">
        <x:v>* myContacts</x:v>
      </x:c>
      <x:c r="F3785" s="16" t="str">
        <x:v>+60176709496</x:v>
      </x:c>
      <x:c r="G3785" s="16" t="str">
        <x:v>+60176709496</x:v>
      </x:c>
      <x:c r="H3785" s="16" t="str">
        <x:v>Excluded</x:v>
      </x:c>
      <x:c r="I3785" s="16" t="str">
        <x:v>Missing email</x:v>
      </x:c>
    </x:row>
    <x:row r="3786">
      <x:c r="A3786" s="16" t="n">
        <x:v>3783</x:v>
      </x:c>
      <x:c r="B3786" s="16" t="str">
        <x:v>kbbc Mohammad Azrul Bin Ibrahim</x:v>
      </x:c>
      <x:c r="C3786" s="16" t="str"/>
      <x:c r="D3786" s="16" t="str"/>
      <x:c r="E3786" s="16" t="str">
        <x:v>* myContacts</x:v>
      </x:c>
      <x:c r="F3786" s="16" t="str">
        <x:v>+601111138136</x:v>
      </x:c>
      <x:c r="G3786" s="16" t="str">
        <x:v>+601111138136</x:v>
      </x:c>
      <x:c r="H3786" s="16" t="str">
        <x:v>Excluded</x:v>
      </x:c>
      <x:c r="I3786" s="16" t="str">
        <x:v>Missing email</x:v>
      </x:c>
    </x:row>
    <x:row r="3787">
      <x:c r="A3787" s="16" t="n">
        <x:v>3784</x:v>
      </x:c>
      <x:c r="B3787" s="16" t="str">
        <x:v>kbbc Mohammad Izzat</x:v>
      </x:c>
      <x:c r="C3787" s="16" t="str"/>
      <x:c r="D3787" s="16" t="str"/>
      <x:c r="E3787" s="16" t="str">
        <x:v>* myContacts</x:v>
      </x:c>
      <x:c r="F3787" s="16" t="str">
        <x:v>+60168625059</x:v>
      </x:c>
      <x:c r="G3787" s="16" t="str">
        <x:v>+60168625059</x:v>
      </x:c>
      <x:c r="H3787" s="16" t="str">
        <x:v>Excluded</x:v>
      </x:c>
      <x:c r="I3787" s="16" t="str">
        <x:v>Missing email</x:v>
      </x:c>
    </x:row>
    <x:row r="3788">
      <x:c r="A3788" s="16" t="n">
        <x:v>3785</x:v>
      </x:c>
      <x:c r="B3788" s="16" t="str">
        <x:v>kbbc Mohammed Nur Azam Bin Rahmat</x:v>
      </x:c>
      <x:c r="C3788" s="16" t="str"/>
      <x:c r="D3788" s="16" t="str"/>
      <x:c r="E3788" s="16" t="str">
        <x:v>* myContacts</x:v>
      </x:c>
      <x:c r="F3788" s="16" t="str">
        <x:v>+60143492584</x:v>
      </x:c>
      <x:c r="G3788" s="16" t="str">
        <x:v>+60143492584</x:v>
      </x:c>
      <x:c r="H3788" s="16" t="str">
        <x:v>Excluded</x:v>
      </x:c>
      <x:c r="I3788" s="16" t="str">
        <x:v>Missing email</x:v>
      </x:c>
    </x:row>
    <x:row r="3789">
      <x:c r="A3789" s="16" t="n">
        <x:v>3786</x:v>
      </x:c>
      <x:c r="B3789" s="16" t="str">
        <x:v>kbbc Mohd 'Allamah Bin Mohd Ali</x:v>
      </x:c>
      <x:c r="C3789" s="16" t="str"/>
      <x:c r="D3789" s="16" t="str"/>
      <x:c r="E3789" s="16" t="str">
        <x:v>* myContacts</x:v>
      </x:c>
      <x:c r="F3789" s="16" t="str">
        <x:v>+60132129305</x:v>
      </x:c>
      <x:c r="G3789" s="16" t="str">
        <x:v>+60132129305</x:v>
      </x:c>
      <x:c r="H3789" s="16" t="str">
        <x:v>Excluded</x:v>
      </x:c>
      <x:c r="I3789" s="16" t="str">
        <x:v>Missing email</x:v>
      </x:c>
    </x:row>
    <x:row r="3790">
      <x:c r="A3790" s="16" t="n">
        <x:v>3787</x:v>
      </x:c>
      <x:c r="B3790" s="16" t="str">
        <x:v>kbbc Mohd Ali</x:v>
      </x:c>
      <x:c r="C3790" s="16" t="str"/>
      <x:c r="D3790" s="16" t="str"/>
      <x:c r="E3790" s="16" t="str">
        <x:v>* myContacts</x:v>
      </x:c>
      <x:c r="F3790" s="16" t="str">
        <x:v>+601114118857</x:v>
      </x:c>
      <x:c r="G3790" s="16" t="str">
        <x:v>+601114118857</x:v>
      </x:c>
      <x:c r="H3790" s="16" t="str">
        <x:v>Excluded</x:v>
      </x:c>
      <x:c r="I3790" s="16" t="str">
        <x:v>Missing email</x:v>
      </x:c>
    </x:row>
    <x:row r="3791">
      <x:c r="A3791" s="16" t="n">
        <x:v>3788</x:v>
      </x:c>
      <x:c r="B3791" s="16" t="str">
        <x:v>kbbc MOHD AMIRULL ASYRAF BIN MOHD ASRI</x:v>
      </x:c>
      <x:c r="C3791" s="16" t="str"/>
      <x:c r="D3791" s="16" t="str"/>
      <x:c r="E3791" s="16" t="str">
        <x:v>* myContacts</x:v>
      </x:c>
      <x:c r="F3791" s="16" t="str">
        <x:v>+60132248364</x:v>
      </x:c>
      <x:c r="G3791" s="16" t="str">
        <x:v>+60132248364</x:v>
      </x:c>
      <x:c r="H3791" s="16" t="str">
        <x:v>Excluded</x:v>
      </x:c>
      <x:c r="I3791" s="16" t="str">
        <x:v>Missing email</x:v>
      </x:c>
    </x:row>
    <x:row r="3792">
      <x:c r="A3792" s="16" t="n">
        <x:v>3789</x:v>
      </x:c>
      <x:c r="B3792" s="16" t="str">
        <x:v>kbbc Mohd Shukri Bin Ishak</x:v>
      </x:c>
      <x:c r="C3792" s="16" t="str"/>
      <x:c r="D3792" s="16" t="str"/>
      <x:c r="E3792" s="16" t="str">
        <x:v>* myContacts</x:v>
      </x:c>
      <x:c r="F3792" s="16" t="str">
        <x:v>+60194514592</x:v>
      </x:c>
      <x:c r="G3792" s="16" t="str">
        <x:v>+60194514592</x:v>
      </x:c>
      <x:c r="H3792" s="16" t="str">
        <x:v>Excluded</x:v>
      </x:c>
      <x:c r="I3792" s="16" t="str">
        <x:v>Missing email</x:v>
      </x:c>
    </x:row>
    <x:row r="3793">
      <x:c r="A3793" s="16" t="n">
        <x:v>3790</x:v>
      </x:c>
      <x:c r="B3793" s="16" t="str">
        <x:v>kbbc Mohd Shukri Bin Ishak</x:v>
      </x:c>
      <x:c r="C3793" s="16" t="str"/>
      <x:c r="D3793" s="16" t="str"/>
      <x:c r="E3793" s="16" t="str">
        <x:v>* myContacts</x:v>
      </x:c>
      <x:c r="F3793" s="16" t="str">
        <x:v>60194514592</x:v>
      </x:c>
      <x:c r="G3793" s="16" t="str">
        <x:v>+60194514592</x:v>
      </x:c>
      <x:c r="H3793" s="16" t="str">
        <x:v>Excluded</x:v>
      </x:c>
      <x:c r="I3793" s="16" t="str">
        <x:v>Missing email</x:v>
      </x:c>
    </x:row>
    <x:row r="3794">
      <x:c r="A3794" s="16" t="n">
        <x:v>3791</x:v>
      </x:c>
      <x:c r="B3794" s="16" t="str">
        <x:v>kbbc Mohd Syabani Bin Zainon</x:v>
      </x:c>
      <x:c r="C3794" s="16" t="str"/>
      <x:c r="D3794" s="16" t="str"/>
      <x:c r="E3794" s="16" t="str">
        <x:v>* myContacts</x:v>
      </x:c>
      <x:c r="F3794" s="16" t="str">
        <x:v>+601127127802</x:v>
      </x:c>
      <x:c r="G3794" s="16" t="str">
        <x:v>+601127127802</x:v>
      </x:c>
      <x:c r="H3794" s="16" t="str">
        <x:v>Excluded</x:v>
      </x:c>
      <x:c r="I3794" s="16" t="str">
        <x:v>Missing email</x:v>
      </x:c>
    </x:row>
    <x:row r="3795">
      <x:c r="A3795" s="16" t="n">
        <x:v>3792</x:v>
      </x:c>
      <x:c r="B3795" s="16" t="str">
        <x:v>kbbc Mohd Syahrizal Bin Abdullah</x:v>
      </x:c>
      <x:c r="C3795" s="16" t="str"/>
      <x:c r="D3795" s="16" t="str"/>
      <x:c r="E3795" s="16" t="str">
        <x:v>* myContacts</x:v>
      </x:c>
      <x:c r="F3795" s="16" t="str">
        <x:v>+60199348524</x:v>
      </x:c>
      <x:c r="G3795" s="16" t="str">
        <x:v>+60199348524</x:v>
      </x:c>
      <x:c r="H3795" s="16" t="str">
        <x:v>Excluded</x:v>
      </x:c>
      <x:c r="I3795" s="16" t="str">
        <x:v>Missing email</x:v>
      </x:c>
    </x:row>
    <x:row r="3796">
      <x:c r="A3796" s="16" t="n">
        <x:v>3793</x:v>
      </x:c>
      <x:c r="B3796" s="16" t="str">
        <x:v>kbbc Mohd Taufiq</x:v>
      </x:c>
      <x:c r="C3796" s="16" t="str"/>
      <x:c r="D3796" s="16" t="str"/>
      <x:c r="E3796" s="16" t="str">
        <x:v>* myContacts</x:v>
      </x:c>
      <x:c r="F3796" s="16" t="str">
        <x:v>601111558004</x:v>
      </x:c>
      <x:c r="G3796" s="16" t="str">
        <x:v>+601111558004</x:v>
      </x:c>
      <x:c r="H3796" s="16" t="str">
        <x:v>Excluded</x:v>
      </x:c>
      <x:c r="I3796" s="16" t="str">
        <x:v>Missing email</x:v>
      </x:c>
    </x:row>
    <x:row r="3797">
      <x:c r="A3797" s="16" t="n">
        <x:v>3794</x:v>
      </x:c>
      <x:c r="B3797" s="16" t="str">
        <x:v>kbbc Muhamad Ikhtiaruddin</x:v>
      </x:c>
      <x:c r="C3797" s="16" t="str"/>
      <x:c r="D3797" s="16" t="str"/>
      <x:c r="E3797" s="16" t="str">
        <x:v>* myContacts</x:v>
      </x:c>
      <x:c r="F3797" s="16" t="str">
        <x:v>60173134876</x:v>
      </x:c>
      <x:c r="G3797" s="16" t="str">
        <x:v>+60173134876</x:v>
      </x:c>
      <x:c r="H3797" s="16" t="str">
        <x:v>Excluded</x:v>
      </x:c>
      <x:c r="I3797" s="16" t="str">
        <x:v>Missing email</x:v>
      </x:c>
    </x:row>
    <x:row r="3798">
      <x:c r="A3798" s="16" t="n">
        <x:v>3795</x:v>
      </x:c>
      <x:c r="B3798" s="16" t="str">
        <x:v>kbbc Muhamad Nazrol Hakim Bin Arshad</x:v>
      </x:c>
      <x:c r="C3798" s="16" t="str"/>
      <x:c r="D3798" s="16" t="str"/>
      <x:c r="E3798" s="16" t="str">
        <x:v>* myContacts</x:v>
      </x:c>
      <x:c r="F3798" s="16" t="str">
        <x:v>+60149279241</x:v>
      </x:c>
      <x:c r="G3798" s="16" t="str">
        <x:v>+60149279241</x:v>
      </x:c>
      <x:c r="H3798" s="16" t="str">
        <x:v>Excluded</x:v>
      </x:c>
      <x:c r="I3798" s="16" t="str">
        <x:v>Missing email</x:v>
      </x:c>
    </x:row>
    <x:row r="3799">
      <x:c r="A3799" s="16" t="n">
        <x:v>3796</x:v>
      </x:c>
      <x:c r="B3799" s="16" t="str">
        <x:v>kbbc Muhamad Nazrol Hakim Bin Arshad</x:v>
      </x:c>
      <x:c r="C3799" s="16" t="str"/>
      <x:c r="D3799" s="16" t="str"/>
      <x:c r="E3799" s="16" t="str">
        <x:v>* myContacts</x:v>
      </x:c>
      <x:c r="F3799" s="16" t="str">
        <x:v>60149279241</x:v>
      </x:c>
      <x:c r="G3799" s="16" t="str">
        <x:v>+60149279241</x:v>
      </x:c>
      <x:c r="H3799" s="16" t="str">
        <x:v>Excluded</x:v>
      </x:c>
      <x:c r="I3799" s="16" t="str">
        <x:v>Missing email</x:v>
      </x:c>
    </x:row>
    <x:row r="3800">
      <x:c r="A3800" s="16" t="n">
        <x:v>3797</x:v>
      </x:c>
      <x:c r="B3800" s="16" t="str">
        <x:v>kbbc Muhamad Sofi Bin Hashim</x:v>
      </x:c>
      <x:c r="C3800" s="16" t="str"/>
      <x:c r="D3800" s="16" t="str"/>
      <x:c r="E3800" s="16" t="str">
        <x:v>* myContacts</x:v>
      </x:c>
      <x:c r="F3800" s="16" t="str">
        <x:v>+60134309594</x:v>
      </x:c>
      <x:c r="G3800" s="16" t="str">
        <x:v>+60134309594</x:v>
      </x:c>
      <x:c r="H3800" s="16" t="str">
        <x:v>Excluded</x:v>
      </x:c>
      <x:c r="I3800" s="16" t="str">
        <x:v>Missing email</x:v>
      </x:c>
    </x:row>
    <x:row r="3801">
      <x:c r="A3801" s="16" t="n">
        <x:v>3798</x:v>
      </x:c>
      <x:c r="B3801" s="16" t="str">
        <x:v>kbbc Muhamad Suhaimi Bin Kamaruddin</x:v>
      </x:c>
      <x:c r="C3801" s="16" t="str"/>
      <x:c r="D3801" s="16" t="str"/>
      <x:c r="E3801" s="16" t="str">
        <x:v>* myContacts</x:v>
      </x:c>
      <x:c r="F3801" s="16" t="str">
        <x:v>+60135086893</x:v>
      </x:c>
      <x:c r="G3801" s="16" t="str">
        <x:v>+60135086893</x:v>
      </x:c>
      <x:c r="H3801" s="16" t="str">
        <x:v>Excluded</x:v>
      </x:c>
      <x:c r="I3801" s="16" t="str">
        <x:v>Missing email</x:v>
      </x:c>
    </x:row>
    <x:row r="3802">
      <x:c r="A3802" s="16" t="n">
        <x:v>3799</x:v>
      </x:c>
      <x:c r="B3802" s="16" t="str">
        <x:v>kbbc Muhammad Amirul Bin Juhari</x:v>
      </x:c>
      <x:c r="C3802" s="16" t="str"/>
      <x:c r="D3802" s="16" t="str"/>
      <x:c r="E3802" s="16" t="str">
        <x:v>* myContacts</x:v>
      </x:c>
      <x:c r="F3802" s="16" t="str">
        <x:v>+601121755892</x:v>
      </x:c>
      <x:c r="G3802" s="16" t="str">
        <x:v>+601121755892</x:v>
      </x:c>
      <x:c r="H3802" s="16" t="str">
        <x:v>Excluded</x:v>
      </x:c>
      <x:c r="I3802" s="16" t="str">
        <x:v>Missing email</x:v>
      </x:c>
    </x:row>
    <x:row r="3803">
      <x:c r="A3803" s="16" t="n">
        <x:v>3800</x:v>
      </x:c>
      <x:c r="B3803" s="16" t="str">
        <x:v>kbbc Muhammad Aqil Johan Bin Ranzip</x:v>
      </x:c>
      <x:c r="C3803" s="16" t="str"/>
      <x:c r="D3803" s="16" t="str"/>
      <x:c r="E3803" s="16" t="str">
        <x:v>* myContacts</x:v>
      </x:c>
      <x:c r="F3803" s="16" t="str">
        <x:v>601162385935</x:v>
      </x:c>
      <x:c r="G3803" s="16" t="str">
        <x:v>+601162385935</x:v>
      </x:c>
      <x:c r="H3803" s="16" t="str">
        <x:v>Excluded</x:v>
      </x:c>
      <x:c r="I3803" s="16" t="str">
        <x:v>Missing email</x:v>
      </x:c>
    </x:row>
    <x:row r="3804">
      <x:c r="A3804" s="16" t="n">
        <x:v>3801</x:v>
      </x:c>
      <x:c r="B3804" s="16" t="str">
        <x:v>kbbc Muhammad Aqil Johan Bin Ranzip</x:v>
      </x:c>
      <x:c r="C3804" s="16" t="str"/>
      <x:c r="D3804" s="16" t="str"/>
      <x:c r="E3804" s="16" t="str">
        <x:v>* myContacts</x:v>
      </x:c>
      <x:c r="F3804" s="16" t="str">
        <x:v>+601162385935</x:v>
      </x:c>
      <x:c r="G3804" s="16" t="str">
        <x:v>+601162385935</x:v>
      </x:c>
      <x:c r="H3804" s="16" t="str">
        <x:v>Excluded</x:v>
      </x:c>
      <x:c r="I3804" s="16" t="str">
        <x:v>Missing email</x:v>
      </x:c>
    </x:row>
    <x:row r="3805">
      <x:c r="A3805" s="16" t="n">
        <x:v>3802</x:v>
      </x:c>
      <x:c r="B3805" s="16" t="str">
        <x:v>kbbc Muhammad Hamizan</x:v>
      </x:c>
      <x:c r="C3805" s="16" t="str"/>
      <x:c r="D3805" s="16" t="str"/>
      <x:c r="E3805" s="16" t="str">
        <x:v>* myContacts</x:v>
      </x:c>
      <x:c r="F3805" s="16" t="str">
        <x:v>+601127642578</x:v>
      </x:c>
      <x:c r="G3805" s="16" t="str">
        <x:v>+601127642578</x:v>
      </x:c>
      <x:c r="H3805" s="16" t="str">
        <x:v>Excluded</x:v>
      </x:c>
      <x:c r="I3805" s="16" t="str">
        <x:v>Missing email</x:v>
      </x:c>
    </x:row>
    <x:row r="3806">
      <x:c r="A3806" s="16" t="n">
        <x:v>3803</x:v>
      </x:c>
      <x:c r="B3806" s="16" t="str">
        <x:v>kbbc Muhammad Idham</x:v>
      </x:c>
      <x:c r="C3806" s="16" t="str"/>
      <x:c r="D3806" s="16" t="str"/>
      <x:c r="E3806" s="16" t="str">
        <x:v>* myContacts</x:v>
      </x:c>
      <x:c r="F3806" s="16" t="str">
        <x:v>+60139394720</x:v>
      </x:c>
      <x:c r="G3806" s="16" t="str">
        <x:v>+60139394720</x:v>
      </x:c>
      <x:c r="H3806" s="16" t="str">
        <x:v>Excluded</x:v>
      </x:c>
      <x:c r="I3806" s="16" t="str">
        <x:v>Missing email</x:v>
      </x:c>
    </x:row>
    <x:row r="3807">
      <x:c r="A3807" s="16" t="n">
        <x:v>3804</x:v>
      </x:c>
      <x:c r="B3807" s="16" t="str">
        <x:v>kbbc Muhammad Nasrul Naim</x:v>
      </x:c>
      <x:c r="C3807" s="16" t="str"/>
      <x:c r="D3807" s="16" t="str"/>
      <x:c r="E3807" s="16" t="str">
        <x:v>* myContacts</x:v>
      </x:c>
      <x:c r="F3807" s="16" t="str">
        <x:v>601111405443</x:v>
      </x:c>
      <x:c r="G3807" s="16" t="str">
        <x:v>+601111405443</x:v>
      </x:c>
      <x:c r="H3807" s="16" t="str">
        <x:v>Excluded</x:v>
      </x:c>
      <x:c r="I3807" s="16" t="str">
        <x:v>Missing email</x:v>
      </x:c>
    </x:row>
    <x:row r="3808">
      <x:c r="A3808" s="16" t="n">
        <x:v>3805</x:v>
      </x:c>
      <x:c r="B3808" s="16" t="str">
        <x:v>kbbc Muhammad Rejab</x:v>
      </x:c>
      <x:c r="C3808" s="16" t="str"/>
      <x:c r="D3808" s="16" t="str"/>
      <x:c r="E3808" s="16" t="str">
        <x:v>* myContacts</x:v>
      </x:c>
      <x:c r="F3808" s="16" t="str">
        <x:v>+601127160519</x:v>
      </x:c>
      <x:c r="G3808" s="16" t="str">
        <x:v>+601127160519</x:v>
      </x:c>
      <x:c r="H3808" s="16" t="str">
        <x:v>Excluded</x:v>
      </x:c>
      <x:c r="I3808" s="16" t="str">
        <x:v>Missing email</x:v>
      </x:c>
    </x:row>
    <x:row r="3809">
      <x:c r="A3809" s="16" t="n">
        <x:v>3806</x:v>
      </x:c>
      <x:c r="B3809" s="16" t="str">
        <x:v>kbbc Muhammad Safwan Bin Seth</x:v>
      </x:c>
      <x:c r="C3809" s="16" t="str"/>
      <x:c r="D3809" s="16" t="str"/>
      <x:c r="E3809" s="16" t="str">
        <x:v>* myContacts</x:v>
      </x:c>
      <x:c r="F3809" s="16" t="str">
        <x:v>60169231769</x:v>
      </x:c>
      <x:c r="G3809" s="16" t="str">
        <x:v>+60169231769</x:v>
      </x:c>
      <x:c r="H3809" s="16" t="str">
        <x:v>Excluded</x:v>
      </x:c>
      <x:c r="I3809" s="16" t="str">
        <x:v>Missing email</x:v>
      </x:c>
    </x:row>
    <x:row r="3810">
      <x:c r="A3810" s="16" t="n">
        <x:v>3807</x:v>
      </x:c>
      <x:c r="B3810" s="16" t="str">
        <x:v>kbbc Muhd Iffan Haqimi Bin Shamsor Bahari</x:v>
      </x:c>
      <x:c r="C3810" s="16" t="str"/>
      <x:c r="D3810" s="16" t="str"/>
      <x:c r="E3810" s="16" t="str">
        <x:v>* myContacts</x:v>
      </x:c>
      <x:c r="F3810" s="16" t="str">
        <x:v>+60136069254</x:v>
      </x:c>
      <x:c r="G3810" s="16" t="str">
        <x:v>+60136069254</x:v>
      </x:c>
      <x:c r="H3810" s="16" t="str">
        <x:v>Excluded</x:v>
      </x:c>
      <x:c r="I3810" s="16" t="str">
        <x:v>Missing email</x:v>
      </x:c>
    </x:row>
    <x:row r="3811">
      <x:c r="A3811" s="16" t="n">
        <x:v>3808</x:v>
      </x:c>
      <x:c r="B3811" s="16" t="str">
        <x:v>kbbc Nasrat Taliff</x:v>
      </x:c>
      <x:c r="C3811" s="16" t="str"/>
      <x:c r="D3811" s="16" t="str"/>
      <x:c r="E3811" s="16" t="str">
        <x:v>* myContacts</x:v>
      </x:c>
      <x:c r="F3811" s="16" t="str">
        <x:v>60194760266</x:v>
      </x:c>
      <x:c r="G3811" s="16" t="str">
        <x:v>+60194760266</x:v>
      </x:c>
      <x:c r="H3811" s="16" t="str">
        <x:v>Excluded</x:v>
      </x:c>
      <x:c r="I3811" s="16" t="str">
        <x:v>Missing email</x:v>
      </x:c>
    </x:row>
    <x:row r="3812">
      <x:c r="A3812" s="16" t="n">
        <x:v>3809</x:v>
      </x:c>
      <x:c r="B3812" s="16" t="str">
        <x:v>kbbc Nasrat Taliff</x:v>
      </x:c>
      <x:c r="C3812" s="16" t="str"/>
      <x:c r="D3812" s="16" t="str"/>
      <x:c r="E3812" s="16" t="str">
        <x:v>* myContacts</x:v>
      </x:c>
      <x:c r="F3812" s="16" t="str">
        <x:v>+60194760266</x:v>
      </x:c>
      <x:c r="G3812" s="16" t="str">
        <x:v>+60194760266</x:v>
      </x:c>
      <x:c r="H3812" s="16" t="str">
        <x:v>Excluded</x:v>
      </x:c>
      <x:c r="I3812" s="16" t="str">
        <x:v>Missing email</x:v>
      </x:c>
    </x:row>
    <x:row r="3813">
      <x:c r="A3813" s="16" t="n">
        <x:v>3810</x:v>
      </x:c>
      <x:c r="B3813" s="16" t="str">
        <x:v>kbbc NG JIA JUN</x:v>
      </x:c>
      <x:c r="C3813" s="16" t="str"/>
      <x:c r="D3813" s="16" t="str"/>
      <x:c r="E3813" s="16" t="str">
        <x:v>* myContacts</x:v>
      </x:c>
      <x:c r="F3813" s="16" t="str">
        <x:v>+60165258083</x:v>
      </x:c>
      <x:c r="G3813" s="16" t="str">
        <x:v>+60165258083</x:v>
      </x:c>
      <x:c r="H3813" s="16" t="str">
        <x:v>Excluded</x:v>
      </x:c>
      <x:c r="I3813" s="16" t="str">
        <x:v>Missing email</x:v>
      </x:c>
    </x:row>
    <x:row r="3814">
      <x:c r="A3814" s="16" t="n">
        <x:v>3811</x:v>
      </x:c>
      <x:c r="B3814" s="16" t="str">
        <x:v>kbbc Nik Mohd Syukrie</x:v>
      </x:c>
      <x:c r="C3814" s="16" t="str"/>
      <x:c r="D3814" s="16" t="str"/>
      <x:c r="E3814" s="16" t="str">
        <x:v>* myContacts</x:v>
      </x:c>
      <x:c r="F3814" s="16" t="str">
        <x:v>60139837071</x:v>
      </x:c>
      <x:c r="G3814" s="16" t="str">
        <x:v>+60139837071</x:v>
      </x:c>
      <x:c r="H3814" s="16" t="str">
        <x:v>Excluded</x:v>
      </x:c>
      <x:c r="I3814" s="16" t="str">
        <x:v>Missing email</x:v>
      </x:c>
    </x:row>
    <x:row r="3815">
      <x:c r="A3815" s="16" t="n">
        <x:v>3812</x:v>
      </x:c>
      <x:c r="B3815" s="16" t="str">
        <x:v>Kbbc No 2</x:v>
      </x:c>
      <x:c r="C3815" s="16" t="str"/>
      <x:c r="D3815" s="16" t="str"/>
      <x:c r="E3815" s="16" t="str">
        <x:v>* myContacts</x:v>
      </x:c>
      <x:c r="F3815" s="16" t="str">
        <x:v>+60 17-698 5231 | +60176985231</x:v>
      </x:c>
      <x:c r="G3815" s="16" t="str">
        <x:v>+60176985231 | +60176985231</x:v>
      </x:c>
      <x:c r="H3815" s="16" t="str">
        <x:v>Excluded</x:v>
      </x:c>
      <x:c r="I3815" s="16" t="str">
        <x:v>Missing email</x:v>
      </x:c>
    </x:row>
    <x:row r="3816">
      <x:c r="A3816" s="16" t="n">
        <x:v>3813</x:v>
      </x:c>
      <x:c r="B3816" s="16" t="str">
        <x:v>kbbc Noor Aini Bt Abdul Aziz</x:v>
      </x:c>
      <x:c r="C3816" s="16" t="str"/>
      <x:c r="D3816" s="16" t="str"/>
      <x:c r="E3816" s="16" t="str">
        <x:v>* myContacts</x:v>
      </x:c>
      <x:c r="F3816" s="16" t="str">
        <x:v>60124612176</x:v>
      </x:c>
      <x:c r="G3816" s="16" t="str">
        <x:v>+60124612176</x:v>
      </x:c>
      <x:c r="H3816" s="16" t="str">
        <x:v>Excluded</x:v>
      </x:c>
      <x:c r="I3816" s="16" t="str">
        <x:v>Missing email</x:v>
      </x:c>
    </x:row>
    <x:row r="3817">
      <x:c r="A3817" s="16" t="n">
        <x:v>3814</x:v>
      </x:c>
      <x:c r="B3817" s="16" t="str">
        <x:v>kbbc Noor Aini Bt Abdul Aziz</x:v>
      </x:c>
      <x:c r="C3817" s="16" t="str"/>
      <x:c r="D3817" s="16" t="str"/>
      <x:c r="E3817" s="16" t="str">
        <x:v>* myContacts</x:v>
      </x:c>
      <x:c r="F3817" s="16" t="str">
        <x:v>+60124612176</x:v>
      </x:c>
      <x:c r="G3817" s="16" t="str">
        <x:v>+60124612176</x:v>
      </x:c>
      <x:c r="H3817" s="16" t="str">
        <x:v>Excluded</x:v>
      </x:c>
      <x:c r="I3817" s="16" t="str">
        <x:v>Missing email</x:v>
      </x:c>
    </x:row>
    <x:row r="3818">
      <x:c r="A3818" s="16" t="n">
        <x:v>3815</x:v>
      </x:c>
      <x:c r="B3818" s="16" t="str">
        <x:v>kbbc Noor Farah Bt Fauzi</x:v>
      </x:c>
      <x:c r="C3818" s="16" t="str"/>
      <x:c r="D3818" s="16" t="str"/>
      <x:c r="E3818" s="16" t="str">
        <x:v>* myContacts</x:v>
      </x:c>
      <x:c r="F3818" s="16" t="str">
        <x:v>+60102493405</x:v>
      </x:c>
      <x:c r="G3818" s="16" t="str">
        <x:v>+60102493405</x:v>
      </x:c>
      <x:c r="H3818" s="16" t="str">
        <x:v>Excluded</x:v>
      </x:c>
      <x:c r="I3818" s="16" t="str">
        <x:v>Missing email</x:v>
      </x:c>
    </x:row>
    <x:row r="3819">
      <x:c r="A3819" s="16" t="n">
        <x:v>3816</x:v>
      </x:c>
      <x:c r="B3819" s="16" t="str">
        <x:v>kbbc Noor Rithudden Bin Abdul Rahman</x:v>
      </x:c>
      <x:c r="C3819" s="16" t="str"/>
      <x:c r="D3819" s="16" t="str"/>
      <x:c r="E3819" s="16" t="str">
        <x:v>* myContacts</x:v>
      </x:c>
      <x:c r="F3819" s="16" t="str">
        <x:v>60137443815</x:v>
      </x:c>
      <x:c r="G3819" s="16" t="str">
        <x:v>+60137443815</x:v>
      </x:c>
      <x:c r="H3819" s="16" t="str">
        <x:v>Excluded</x:v>
      </x:c>
      <x:c r="I3819" s="16" t="str">
        <x:v>Missing email</x:v>
      </x:c>
    </x:row>
    <x:row r="3820">
      <x:c r="A3820" s="16" t="n">
        <x:v>3817</x:v>
      </x:c>
      <x:c r="B3820" s="16" t="str">
        <x:v>kbbc Noor Rithudden Bin Abdul Rahman</x:v>
      </x:c>
      <x:c r="C3820" s="16" t="str"/>
      <x:c r="D3820" s="16" t="str"/>
      <x:c r="E3820" s="16" t="str">
        <x:v>* myContacts</x:v>
      </x:c>
      <x:c r="F3820" s="16" t="str">
        <x:v>+60137443815</x:v>
      </x:c>
      <x:c r="G3820" s="16" t="str">
        <x:v>+60137443815</x:v>
      </x:c>
      <x:c r="H3820" s="16" t="str">
        <x:v>Excluded</x:v>
      </x:c>
      <x:c r="I3820" s="16" t="str">
        <x:v>Missing email</x:v>
      </x:c>
    </x:row>
    <x:row r="3821">
      <x:c r="A3821" s="16" t="n">
        <x:v>3818</x:v>
      </x:c>
      <x:c r="B3821" s="16" t="str">
        <x:v>kbbc Nor Aisah</x:v>
      </x:c>
      <x:c r="C3821" s="16" t="str"/>
      <x:c r="D3821" s="16" t="str"/>
      <x:c r="E3821" s="16" t="str">
        <x:v>* myContacts</x:v>
      </x:c>
      <x:c r="F3821" s="16" t="str">
        <x:v>+601151412153</x:v>
      </x:c>
      <x:c r="G3821" s="16" t="str">
        <x:v>+601151412153</x:v>
      </x:c>
      <x:c r="H3821" s="16" t="str">
        <x:v>Excluded</x:v>
      </x:c>
      <x:c r="I3821" s="16" t="str">
        <x:v>Missing email</x:v>
      </x:c>
    </x:row>
    <x:row r="3822">
      <x:c r="A3822" s="16" t="n">
        <x:v>3819</x:v>
      </x:c>
      <x:c r="B3822" s="16" t="str">
        <x:v>kbbc Nor Asma</x:v>
      </x:c>
      <x:c r="C3822" s="16" t="str"/>
      <x:c r="D3822" s="16" t="str"/>
      <x:c r="E3822" s="16" t="str">
        <x:v>* myContacts</x:v>
      </x:c>
      <x:c r="F3822" s="16" t="str">
        <x:v>+60142730373</x:v>
      </x:c>
      <x:c r="G3822" s="16" t="str">
        <x:v>+60142730373</x:v>
      </x:c>
      <x:c r="H3822" s="16" t="str">
        <x:v>Excluded</x:v>
      </x:c>
      <x:c r="I3822" s="16" t="str">
        <x:v>Missing email</x:v>
      </x:c>
    </x:row>
    <x:row r="3823">
      <x:c r="A3823" s="16" t="n">
        <x:v>3820</x:v>
      </x:c>
      <x:c r="B3823" s="16" t="str">
        <x:v>kbbc Norazlina</x:v>
      </x:c>
      <x:c r="C3823" s="16" t="str"/>
      <x:c r="D3823" s="16" t="str"/>
      <x:c r="E3823" s="16" t="str">
        <x:v>* myContacts</x:v>
      </x:c>
      <x:c r="F3823" s="16" t="str">
        <x:v>60136698122</x:v>
      </x:c>
      <x:c r="G3823" s="16" t="str">
        <x:v>+60136698122</x:v>
      </x:c>
      <x:c r="H3823" s="16" t="str">
        <x:v>Excluded</x:v>
      </x:c>
      <x:c r="I3823" s="16" t="str">
        <x:v>Missing email</x:v>
      </x:c>
    </x:row>
    <x:row r="3824">
      <x:c r="A3824" s="16" t="n">
        <x:v>3821</x:v>
      </x:c>
      <x:c r="B3824" s="16" t="str">
        <x:v>kbbc Norazlina</x:v>
      </x:c>
      <x:c r="C3824" s="16" t="str"/>
      <x:c r="D3824" s="16" t="str"/>
      <x:c r="E3824" s="16" t="str">
        <x:v>* myContacts</x:v>
      </x:c>
      <x:c r="F3824" s="16" t="str">
        <x:v>+60136698122</x:v>
      </x:c>
      <x:c r="G3824" s="16" t="str">
        <x:v>+60136698122</x:v>
      </x:c>
      <x:c r="H3824" s="16" t="str">
        <x:v>Excluded</x:v>
      </x:c>
      <x:c r="I3824" s="16" t="str">
        <x:v>Missing email</x:v>
      </x:c>
    </x:row>
    <x:row r="3825">
      <x:c r="A3825" s="16" t="n">
        <x:v>3822</x:v>
      </x:c>
      <x:c r="B3825" s="16" t="str">
        <x:v>kbbc Norfazilah</x:v>
      </x:c>
      <x:c r="C3825" s="16" t="str"/>
      <x:c r="D3825" s="16" t="str"/>
      <x:c r="E3825" s="16" t="str">
        <x:v>* myContacts</x:v>
      </x:c>
      <x:c r="F3825" s="16" t="str">
        <x:v>+60165398479</x:v>
      </x:c>
      <x:c r="G3825" s="16" t="str">
        <x:v>+60165398479</x:v>
      </x:c>
      <x:c r="H3825" s="16" t="str">
        <x:v>Excluded</x:v>
      </x:c>
      <x:c r="I3825" s="16" t="str">
        <x:v>Missing email</x:v>
      </x:c>
    </x:row>
    <x:row r="3826">
      <x:c r="A3826" s="16" t="n">
        <x:v>3823</x:v>
      </x:c>
      <x:c r="B3826" s="16" t="str">
        <x:v>kbbc Norfisah Lazim</x:v>
      </x:c>
      <x:c r="C3826" s="16" t="str"/>
      <x:c r="D3826" s="16" t="str"/>
      <x:c r="E3826" s="16" t="str">
        <x:v>* myContacts</x:v>
      </x:c>
      <x:c r="F3826" s="16" t="str">
        <x:v>60134317709</x:v>
      </x:c>
      <x:c r="G3826" s="16" t="str">
        <x:v>+60134317709</x:v>
      </x:c>
      <x:c r="H3826" s="16" t="str">
        <x:v>Excluded</x:v>
      </x:c>
      <x:c r="I3826" s="16" t="str">
        <x:v>Missing email</x:v>
      </x:c>
    </x:row>
    <x:row r="3827">
      <x:c r="A3827" s="16" t="n">
        <x:v>3824</x:v>
      </x:c>
      <x:c r="B3827" s="16" t="str">
        <x:v>kbbc Norfisah Lazim</x:v>
      </x:c>
      <x:c r="C3827" s="16" t="str"/>
      <x:c r="D3827" s="16" t="str"/>
      <x:c r="E3827" s="16" t="str">
        <x:v>* myContacts</x:v>
      </x:c>
      <x:c r="F3827" s="16" t="str">
        <x:v>+60134317709</x:v>
      </x:c>
      <x:c r="G3827" s="16" t="str">
        <x:v>+60134317709</x:v>
      </x:c>
      <x:c r="H3827" s="16" t="str">
        <x:v>Excluded</x:v>
      </x:c>
      <x:c r="I3827" s="16" t="str">
        <x:v>Missing email</x:v>
      </x:c>
    </x:row>
    <x:row r="3828">
      <x:c r="A3828" s="16" t="n">
        <x:v>3825</x:v>
      </x:c>
      <x:c r="B3828" s="16" t="str">
        <x:v>kbbc Norhamimi Binti Saad</x:v>
      </x:c>
      <x:c r="C3828" s="16" t="str"/>
      <x:c r="D3828" s="16" t="str"/>
      <x:c r="E3828" s="16" t="str">
        <x:v>* myContacts</x:v>
      </x:c>
      <x:c r="F3828" s="16" t="str">
        <x:v>+60174244725</x:v>
      </x:c>
      <x:c r="G3828" s="16" t="str">
        <x:v>+60174244725</x:v>
      </x:c>
      <x:c r="H3828" s="16" t="str">
        <x:v>Excluded</x:v>
      </x:c>
      <x:c r="I3828" s="16" t="str">
        <x:v>Missing email</x:v>
      </x:c>
    </x:row>
    <x:row r="3829">
      <x:c r="A3829" s="16" t="n">
        <x:v>3826</x:v>
      </x:c>
      <x:c r="B3829" s="16" t="str">
        <x:v>kbbc Nur Fadzilah Abd Aziz</x:v>
      </x:c>
      <x:c r="C3829" s="16" t="str"/>
      <x:c r="D3829" s="16" t="str"/>
      <x:c r="E3829" s="16" t="str">
        <x:v>* myContacts</x:v>
      </x:c>
      <x:c r="F3829" s="16" t="str">
        <x:v>+601114754075</x:v>
      </x:c>
      <x:c r="G3829" s="16" t="str">
        <x:v>+601114754075</x:v>
      </x:c>
      <x:c r="H3829" s="16" t="str">
        <x:v>Excluded</x:v>
      </x:c>
      <x:c r="I3829" s="16" t="str">
        <x:v>Missing email</x:v>
      </x:c>
    </x:row>
    <x:row r="3830">
      <x:c r="A3830" s="16" t="n">
        <x:v>3827</x:v>
      </x:c>
      <x:c r="B3830" s="16" t="str">
        <x:v>kbbc Nur Nadiah Syakirah Kamaruddin</x:v>
      </x:c>
      <x:c r="C3830" s="16" t="str"/>
      <x:c r="D3830" s="16" t="str"/>
      <x:c r="E3830" s="16" t="str">
        <x:v>* myContacts</x:v>
      </x:c>
      <x:c r="F3830" s="16" t="str">
        <x:v>+60198089767</x:v>
      </x:c>
      <x:c r="G3830" s="16" t="str">
        <x:v>+60198089767</x:v>
      </x:c>
      <x:c r="H3830" s="16" t="str">
        <x:v>Excluded</x:v>
      </x:c>
      <x:c r="I3830" s="16" t="str">
        <x:v>Missing email</x:v>
      </x:c>
    </x:row>
    <x:row r="3831">
      <x:c r="A3831" s="16" t="n">
        <x:v>3828</x:v>
      </x:c>
      <x:c r="B3831" s="16" t="str">
        <x:v>kbbc Nur Radhi Bin Mat Isa</x:v>
      </x:c>
      <x:c r="C3831" s="16" t="str"/>
      <x:c r="D3831" s="16" t="str"/>
      <x:c r="E3831" s="16" t="str">
        <x:v>* myContacts</x:v>
      </x:c>
      <x:c r="F3831" s="16" t="str">
        <x:v>+60176339462</x:v>
      </x:c>
      <x:c r="G3831" s="16" t="str">
        <x:v>+60176339462</x:v>
      </x:c>
      <x:c r="H3831" s="16" t="str">
        <x:v>Excluded</x:v>
      </x:c>
      <x:c r="I3831" s="16" t="str">
        <x:v>Missing email</x:v>
      </x:c>
    </x:row>
    <x:row r="3832">
      <x:c r="A3832" s="16" t="n">
        <x:v>3829</x:v>
      </x:c>
      <x:c r="B3832" s="16" t="str">
        <x:v>kbbc Nur Rizahan</x:v>
      </x:c>
      <x:c r="C3832" s="16" t="str"/>
      <x:c r="D3832" s="16" t="str"/>
      <x:c r="E3832" s="16" t="str">
        <x:v>* myContacts</x:v>
      </x:c>
      <x:c r="F3832" s="16" t="str">
        <x:v>+60137657857</x:v>
      </x:c>
      <x:c r="G3832" s="16" t="str">
        <x:v>+60137657857</x:v>
      </x:c>
      <x:c r="H3832" s="16" t="str">
        <x:v>Excluded</x:v>
      </x:c>
      <x:c r="I3832" s="16" t="str">
        <x:v>Missing email</x:v>
      </x:c>
    </x:row>
    <x:row r="3833">
      <x:c r="A3833" s="16" t="n">
        <x:v>3830</x:v>
      </x:c>
      <x:c r="B3833" s="16" t="str">
        <x:v>kbbc Nur Shahirah</x:v>
      </x:c>
      <x:c r="C3833" s="16" t="str"/>
      <x:c r="D3833" s="16" t="str"/>
      <x:c r="E3833" s="16" t="str">
        <x:v>* myContacts</x:v>
      </x:c>
      <x:c r="F3833" s="16" t="str">
        <x:v>+601139975638</x:v>
      </x:c>
      <x:c r="G3833" s="16" t="str">
        <x:v>+601139975638</x:v>
      </x:c>
      <x:c r="H3833" s="16" t="str">
        <x:v>Excluded</x:v>
      </x:c>
      <x:c r="I3833" s="16" t="str">
        <x:v>Missing email</x:v>
      </x:c>
    </x:row>
    <x:row r="3834">
      <x:c r="A3834" s="16" t="n">
        <x:v>3831</x:v>
      </x:c>
      <x:c r="B3834" s="16" t="str">
        <x:v>kbbc Nurin Syafika</x:v>
      </x:c>
      <x:c r="C3834" s="16" t="str"/>
      <x:c r="D3834" s="16" t="str"/>
      <x:c r="E3834" s="16" t="str">
        <x:v>* myContacts</x:v>
      </x:c>
      <x:c r="F3834" s="16" t="str">
        <x:v>+60142116002</x:v>
      </x:c>
      <x:c r="G3834" s="16" t="str">
        <x:v>+60142116002</x:v>
      </x:c>
      <x:c r="H3834" s="16" t="str">
        <x:v>Excluded</x:v>
      </x:c>
      <x:c r="I3834" s="16" t="str">
        <x:v>Missing email</x:v>
      </x:c>
    </x:row>
    <x:row r="3835">
      <x:c r="A3835" s="16" t="n">
        <x:v>3832</x:v>
      </x:c>
      <x:c r="B3835" s="16" t="str">
        <x:v>kbbc Nurnabila Bt Azahari</x:v>
      </x:c>
      <x:c r="C3835" s="16" t="str"/>
      <x:c r="D3835" s="16" t="str"/>
      <x:c r="E3835" s="16" t="str">
        <x:v>* myContacts</x:v>
      </x:c>
      <x:c r="F3835" s="16" t="str">
        <x:v>60197206516</x:v>
      </x:c>
      <x:c r="G3835" s="16" t="str">
        <x:v>+60197206516</x:v>
      </x:c>
      <x:c r="H3835" s="16" t="str">
        <x:v>Excluded</x:v>
      </x:c>
      <x:c r="I3835" s="16" t="str">
        <x:v>Missing email</x:v>
      </x:c>
    </x:row>
    <x:row r="3836">
      <x:c r="A3836" s="16" t="n">
        <x:v>3833</x:v>
      </x:c>
      <x:c r="B3836" s="16" t="str">
        <x:v>kbbc Nurnabila Bt Azahari</x:v>
      </x:c>
      <x:c r="C3836" s="16" t="str"/>
      <x:c r="D3836" s="16" t="str"/>
      <x:c r="E3836" s="16" t="str">
        <x:v>* myContacts</x:v>
      </x:c>
      <x:c r="F3836" s="16" t="str">
        <x:v>+60197206516</x:v>
      </x:c>
      <x:c r="G3836" s="16" t="str">
        <x:v>+60197206516</x:v>
      </x:c>
      <x:c r="H3836" s="16" t="str">
        <x:v>Excluded</x:v>
      </x:c>
      <x:c r="I3836" s="16" t="str">
        <x:v>Missing email</x:v>
      </x:c>
    </x:row>
    <x:row r="3837">
      <x:c r="A3837" s="16" t="n">
        <x:v>3834</x:v>
      </x:c>
      <x:c r="B3837" s="16" t="str">
        <x:v>KBBC Office HQ</x:v>
      </x:c>
      <x:c r="C3837" s="16" t="str"/>
      <x:c r="D3837" s="16" t="str"/>
      <x:c r="E3837" s="16" t="str">
        <x:v>* myContacts</x:v>
      </x:c>
      <x:c r="F3837" s="16" t="str">
        <x:v>0332710457 | +60332710457</x:v>
      </x:c>
      <x:c r="G3837" s="16" t="str">
        <x:v>+60332710457 | +60332710457</x:v>
      </x:c>
      <x:c r="H3837" s="16" t="str">
        <x:v>Excluded</x:v>
      </x:c>
      <x:c r="I3837" s="16" t="str">
        <x:v>Missing email</x:v>
      </x:c>
    </x:row>
    <x:row r="3838">
      <x:c r="A3838" s="16" t="n">
        <x:v>3835</x:v>
      </x:c>
      <x:c r="B3838" s="16" t="str">
        <x:v>kbbc Opet Saputra</x:v>
      </x:c>
      <x:c r="C3838" s="16" t="str"/>
      <x:c r="D3838" s="16" t="str"/>
      <x:c r="E3838" s="16" t="str">
        <x:v>* myContacts</x:v>
      </x:c>
      <x:c r="F3838" s="16" t="str">
        <x:v>+601111475878</x:v>
      </x:c>
      <x:c r="G3838" s="16" t="str">
        <x:v>+601111475878</x:v>
      </x:c>
      <x:c r="H3838" s="16" t="str">
        <x:v>Excluded</x:v>
      </x:c>
      <x:c r="I3838" s="16" t="str">
        <x:v>Missing email</x:v>
      </x:c>
    </x:row>
    <x:row r="3839">
      <x:c r="A3839" s="16" t="n">
        <x:v>3836</x:v>
      </x:c>
      <x:c r="B3839" s="16" t="str">
        <x:v>kbbc Qistina</x:v>
      </x:c>
      <x:c r="C3839" s="16" t="str"/>
      <x:c r="D3839" s="16" t="str"/>
      <x:c r="E3839" s="16" t="str">
        <x:v>* myContacts</x:v>
      </x:c>
      <x:c r="F3839" s="16" t="str">
        <x:v>+60174966869</x:v>
      </x:c>
      <x:c r="G3839" s="16" t="str">
        <x:v>+60174966869</x:v>
      </x:c>
      <x:c r="H3839" s="16" t="str">
        <x:v>Excluded</x:v>
      </x:c>
      <x:c r="I3839" s="16" t="str">
        <x:v>Missing email</x:v>
      </x:c>
    </x:row>
    <x:row r="3840">
      <x:c r="A3840" s="16" t="n">
        <x:v>3837</x:v>
      </x:c>
      <x:c r="B3840" s="16" t="str">
        <x:v>kbbc Qurratulain</x:v>
      </x:c>
      <x:c r="C3840" s="16" t="str"/>
      <x:c r="D3840" s="16" t="str"/>
      <x:c r="E3840" s="16" t="str">
        <x:v>* myContacts</x:v>
      </x:c>
      <x:c r="F3840" s="16" t="str">
        <x:v>+60109584837</x:v>
      </x:c>
      <x:c r="G3840" s="16" t="str">
        <x:v>+60109584837</x:v>
      </x:c>
      <x:c r="H3840" s="16" t="str">
        <x:v>Excluded</x:v>
      </x:c>
      <x:c r="I3840" s="16" t="str">
        <x:v>Missing email</x:v>
      </x:c>
    </x:row>
    <x:row r="3841">
      <x:c r="A3841" s="16" t="n">
        <x:v>3838</x:v>
      </x:c>
      <x:c r="B3841" s="16" t="str">
        <x:v>kbbc Rosman B Hamzah</x:v>
      </x:c>
      <x:c r="C3841" s="16" t="str"/>
      <x:c r="D3841" s="16" t="str"/>
      <x:c r="E3841" s="16" t="str">
        <x:v>* myContacts</x:v>
      </x:c>
      <x:c r="F3841" s="16" t="str">
        <x:v>+60133999482</x:v>
      </x:c>
      <x:c r="G3841" s="16" t="str">
        <x:v>+60133999482</x:v>
      </x:c>
      <x:c r="H3841" s="16" t="str">
        <x:v>Excluded</x:v>
      </x:c>
      <x:c r="I3841" s="16" t="str">
        <x:v>Missing email</x:v>
      </x:c>
    </x:row>
    <x:row r="3842">
      <x:c r="A3842" s="16" t="n">
        <x:v>3839</x:v>
      </x:c>
      <x:c r="B3842" s="16" t="str">
        <x:v>kbbc Rudy Sareman</x:v>
      </x:c>
      <x:c r="C3842" s="16" t="str"/>
      <x:c r="D3842" s="16" t="str"/>
      <x:c r="E3842" s="16" t="str">
        <x:v>* myContacts</x:v>
      </x:c>
      <x:c r="F3842" s="16" t="str">
        <x:v>+601111411118</x:v>
      </x:c>
      <x:c r="G3842" s="16" t="str">
        <x:v>+601111411118</x:v>
      </x:c>
      <x:c r="H3842" s="16" t="str">
        <x:v>Excluded</x:v>
      </x:c>
      <x:c r="I3842" s="16" t="str">
        <x:v>Missing email</x:v>
      </x:c>
    </x:row>
    <x:row r="3843">
      <x:c r="A3843" s="16" t="n">
        <x:v>3840</x:v>
      </x:c>
      <x:c r="B3843" s="16" t="str">
        <x:v>kbbc RUZAINI MD ZAMRI</x:v>
      </x:c>
      <x:c r="C3843" s="16" t="str"/>
      <x:c r="D3843" s="16" t="str"/>
      <x:c r="E3843" s="16" t="str">
        <x:v>* myContacts</x:v>
      </x:c>
      <x:c r="F3843" s="16" t="str">
        <x:v>60103376956</x:v>
      </x:c>
      <x:c r="G3843" s="16" t="str">
        <x:v>+60103376956</x:v>
      </x:c>
      <x:c r="H3843" s="16" t="str">
        <x:v>Excluded</x:v>
      </x:c>
      <x:c r="I3843" s="16" t="str">
        <x:v>Missing email</x:v>
      </x:c>
    </x:row>
    <x:row r="3844">
      <x:c r="A3844" s="16" t="n">
        <x:v>3841</x:v>
      </x:c>
      <x:c r="B3844" s="16" t="str">
        <x:v>kbbc Sadzmil Samuel</x:v>
      </x:c>
      <x:c r="C3844" s="16" t="str"/>
      <x:c r="D3844" s="16" t="str"/>
      <x:c r="E3844" s="16" t="str">
        <x:v>* myContacts</x:v>
      </x:c>
      <x:c r="F3844" s="16" t="str">
        <x:v>+601139533273</x:v>
      </x:c>
      <x:c r="G3844" s="16" t="str">
        <x:v>+601139533273</x:v>
      </x:c>
      <x:c r="H3844" s="16" t="str">
        <x:v>Excluded</x:v>
      </x:c>
      <x:c r="I3844" s="16" t="str">
        <x:v>Missing email</x:v>
      </x:c>
    </x:row>
    <x:row r="3845">
      <x:c r="A3845" s="16" t="n">
        <x:v>3842</x:v>
      </x:c>
      <x:c r="B3845" s="16" t="str">
        <x:v>kbbc Sahlan Mohd Saad</x:v>
      </x:c>
      <x:c r="C3845" s="16" t="str"/>
      <x:c r="D3845" s="16" t="str"/>
      <x:c r="E3845" s="16" t="str">
        <x:v>* myContacts</x:v>
      </x:c>
      <x:c r="F3845" s="16" t="str">
        <x:v>+60125343308</x:v>
      </x:c>
      <x:c r="G3845" s="16" t="str">
        <x:v>+60125343308</x:v>
      </x:c>
      <x:c r="H3845" s="16" t="str">
        <x:v>Excluded</x:v>
      </x:c>
      <x:c r="I3845" s="16" t="str">
        <x:v>Missing email</x:v>
      </x:c>
    </x:row>
    <x:row r="3846">
      <x:c r="A3846" s="16" t="n">
        <x:v>3843</x:v>
      </x:c>
      <x:c r="B3846" s="16" t="str">
        <x:v>Kbbc Sale Team 1</x:v>
      </x:c>
      <x:c r="C3846" s="16" t="str"/>
      <x:c r="D3846" s="16" t="str"/>
      <x:c r="E3846" s="16" t="str">
        <x:v>* myContacts</x:v>
      </x:c>
      <x:c r="F3846" s="16" t="str">
        <x:v>+601156935902</x:v>
      </x:c>
      <x:c r="G3846" s="16" t="str">
        <x:v>+601156935902</x:v>
      </x:c>
      <x:c r="H3846" s="16" t="str">
        <x:v>Excluded</x:v>
      </x:c>
      <x:c r="I3846" s="16" t="str">
        <x:v>Missing email</x:v>
      </x:c>
    </x:row>
    <x:row r="3847">
      <x:c r="A3847" s="16" t="n">
        <x:v>3844</x:v>
      </x:c>
      <x:c r="B3847" s="16" t="str">
        <x:v>kbbc Shafiq Rodzun</x:v>
      </x:c>
      <x:c r="C3847" s="16" t="str"/>
      <x:c r="D3847" s="16" t="str"/>
      <x:c r="E3847" s="16" t="str">
        <x:v>* myContacts</x:v>
      </x:c>
      <x:c r="F3847" s="16" t="str">
        <x:v>+60189524769</x:v>
      </x:c>
      <x:c r="G3847" s="16" t="str">
        <x:v>+60189524769</x:v>
      </x:c>
      <x:c r="H3847" s="16" t="str">
        <x:v>Excluded</x:v>
      </x:c>
      <x:c r="I3847" s="16" t="str">
        <x:v>Missing email</x:v>
      </x:c>
    </x:row>
    <x:row r="3848">
      <x:c r="A3848" s="16" t="n">
        <x:v>3845</x:v>
      </x:c>
      <x:c r="B3848" s="16" t="str">
        <x:v>kbbc Siti Humayraa</x:v>
      </x:c>
      <x:c r="C3848" s="16" t="str"/>
      <x:c r="D3848" s="16" t="str"/>
      <x:c r="E3848" s="16" t="str">
        <x:v>* myContacts</x:v>
      </x:c>
      <x:c r="F3848" s="16" t="str">
        <x:v>60105540321</x:v>
      </x:c>
      <x:c r="G3848" s="16" t="str">
        <x:v>+60105540321</x:v>
      </x:c>
      <x:c r="H3848" s="16" t="str">
        <x:v>Excluded</x:v>
      </x:c>
      <x:c r="I3848" s="16" t="str">
        <x:v>Missing email</x:v>
      </x:c>
    </x:row>
    <x:row r="3849">
      <x:c r="A3849" s="16" t="n">
        <x:v>3846</x:v>
      </x:c>
      <x:c r="B3849" s="16" t="str">
        <x:v>kbbc Siti Humayraa</x:v>
      </x:c>
      <x:c r="C3849" s="16" t="str"/>
      <x:c r="D3849" s="16" t="str"/>
      <x:c r="E3849" s="16" t="str">
        <x:v>* myContacts</x:v>
      </x:c>
      <x:c r="F3849" s="16" t="str">
        <x:v>+60105540321</x:v>
      </x:c>
      <x:c r="G3849" s="16" t="str">
        <x:v>+60105540321</x:v>
      </x:c>
      <x:c r="H3849" s="16" t="str">
        <x:v>Excluded</x:v>
      </x:c>
      <x:c r="I3849" s="16" t="str">
        <x:v>Missing email</x:v>
      </x:c>
    </x:row>
    <x:row r="3850">
      <x:c r="A3850" s="16" t="n">
        <x:v>3847</x:v>
      </x:c>
      <x:c r="B3850" s="16" t="str">
        <x:v>kbbc Siti Norhazlina</x:v>
      </x:c>
      <x:c r="C3850" s="16" t="str"/>
      <x:c r="D3850" s="16" t="str"/>
      <x:c r="E3850" s="16" t="str">
        <x:v>* myContacts</x:v>
      </x:c>
      <x:c r="F3850" s="16" t="str">
        <x:v>+60195039335</x:v>
      </x:c>
      <x:c r="G3850" s="16" t="str">
        <x:v>+60195039335</x:v>
      </x:c>
      <x:c r="H3850" s="16" t="str">
        <x:v>Excluded</x:v>
      </x:c>
      <x:c r="I3850" s="16" t="str">
        <x:v>Missing email</x:v>
      </x:c>
    </x:row>
    <x:row r="3851">
      <x:c r="A3851" s="16" t="n">
        <x:v>3848</x:v>
      </x:c>
      <x:c r="B3851" s="16" t="str">
        <x:v>kbbc Suliman</x:v>
      </x:c>
      <x:c r="C3851" s="16" t="str"/>
      <x:c r="D3851" s="16" t="str"/>
      <x:c r="E3851" s="16" t="str">
        <x:v>* myContacts</x:v>
      </x:c>
      <x:c r="F3851" s="16" t="str">
        <x:v>+60183236181</x:v>
      </x:c>
      <x:c r="G3851" s="16" t="str">
        <x:v>+60183236181</x:v>
      </x:c>
      <x:c r="H3851" s="16" t="str">
        <x:v>Excluded</x:v>
      </x:c>
      <x:c r="I3851" s="16" t="str">
        <x:v>Missing email</x:v>
      </x:c>
    </x:row>
    <x:row r="3852">
      <x:c r="A3852" s="16" t="n">
        <x:v>3849</x:v>
      </x:c>
      <x:c r="B3852" s="16" t="str">
        <x:v>kbbc support 1 Staff 001</x:v>
      </x:c>
      <x:c r="C3852" s="16" t="str"/>
      <x:c r="D3852" s="16" t="str"/>
      <x:c r="E3852" s="16" t="str">
        <x:v>* myContacts</x:v>
      </x:c>
      <x:c r="F3852" s="16" t="str">
        <x:v>+60 11-3516 8990 | +601135168990</x:v>
      </x:c>
      <x:c r="G3852" s="16" t="str">
        <x:v>+601135168990 | +601135168990</x:v>
      </x:c>
      <x:c r="H3852" s="16" t="str">
        <x:v>Excluded</x:v>
      </x:c>
      <x:c r="I3852" s="16" t="str">
        <x:v>Missing email</x:v>
      </x:c>
    </x:row>
    <x:row r="3853">
      <x:c r="A3853" s="16" t="n">
        <x:v>3850</x:v>
      </x:c>
      <x:c r="B3853" s="16" t="str">
        <x:v>kbbc Suriani Binti Uda</x:v>
      </x:c>
      <x:c r="C3853" s="16" t="str"/>
      <x:c r="D3853" s="16" t="str"/>
      <x:c r="E3853" s="16" t="str">
        <x:v>* myContacts</x:v>
      </x:c>
      <x:c r="F3853" s="16" t="str">
        <x:v>+60173228663</x:v>
      </x:c>
      <x:c r="G3853" s="16" t="str">
        <x:v>+60173228663</x:v>
      </x:c>
      <x:c r="H3853" s="16" t="str">
        <x:v>Excluded</x:v>
      </x:c>
      <x:c r="I3853" s="16" t="str">
        <x:v>Missing email</x:v>
      </x:c>
    </x:row>
    <x:row r="3854">
      <x:c r="A3854" s="16" t="n">
        <x:v>3851</x:v>
      </x:c>
      <x:c r="B3854" s="16" t="str">
        <x:v>kbbc Thanesganesh</x:v>
      </x:c>
      <x:c r="C3854" s="16" t="str"/>
      <x:c r="D3854" s="16" t="str"/>
      <x:c r="E3854" s="16" t="str">
        <x:v>* myContacts</x:v>
      </x:c>
      <x:c r="F3854" s="16" t="str">
        <x:v>+601111226761</x:v>
      </x:c>
      <x:c r="G3854" s="16" t="str">
        <x:v>+601111226761</x:v>
      </x:c>
      <x:c r="H3854" s="16" t="str">
        <x:v>Excluded</x:v>
      </x:c>
      <x:c r="I3854" s="16" t="str">
        <x:v>Missing email</x:v>
      </x:c>
    </x:row>
    <x:row r="3855">
      <x:c r="A3855" s="16" t="n">
        <x:v>3852</x:v>
      </x:c>
      <x:c r="B3855" s="16" t="str">
        <x:v>Kbbc Third</x:v>
      </x:c>
      <x:c r="C3855" s="16" t="str"/>
      <x:c r="D3855" s="16" t="str"/>
      <x:c r="E3855" s="16" t="str">
        <x:v>* myContacts</x:v>
      </x:c>
      <x:c r="F3855" s="16" t="str">
        <x:v>+601159754435</x:v>
      </x:c>
      <x:c r="G3855" s="16" t="str">
        <x:v>+601159754435</x:v>
      </x:c>
      <x:c r="H3855" s="16" t="str">
        <x:v>Excluded</x:v>
      </x:c>
      <x:c r="I3855" s="16" t="str">
        <x:v>Missing email</x:v>
      </x:c>
    </x:row>
    <x:row r="3856">
      <x:c r="A3856" s="16" t="n">
        <x:v>3853</x:v>
      </x:c>
      <x:c r="B3856" s="16" t="str">
        <x:v>kbbc Wan</x:v>
      </x:c>
      <x:c r="C3856" s="16" t="str"/>
      <x:c r="D3856" s="16" t="str"/>
      <x:c r="E3856" s="16" t="str">
        <x:v>* myContacts</x:v>
      </x:c>
      <x:c r="F3856" s="16" t="str">
        <x:v>+601129426686</x:v>
      </x:c>
      <x:c r="G3856" s="16" t="str">
        <x:v>+601129426686</x:v>
      </x:c>
      <x:c r="H3856" s="16" t="str">
        <x:v>Excluded</x:v>
      </x:c>
      <x:c r="I3856" s="16" t="str">
        <x:v>Missing email</x:v>
      </x:c>
    </x:row>
    <x:row r="3857">
      <x:c r="A3857" s="16" t="n">
        <x:v>3854</x:v>
      </x:c>
      <x:c r="B3857" s="16" t="str">
        <x:v>kbbc Wan Farris</x:v>
      </x:c>
      <x:c r="C3857" s="16" t="str"/>
      <x:c r="D3857" s="16" t="str"/>
      <x:c r="E3857" s="16" t="str">
        <x:v>* myContacts</x:v>
      </x:c>
      <x:c r="F3857" s="16" t="str">
        <x:v>+60199092673</x:v>
      </x:c>
      <x:c r="G3857" s="16" t="str">
        <x:v>+60199092673</x:v>
      </x:c>
      <x:c r="H3857" s="16" t="str">
        <x:v>Excluded</x:v>
      </x:c>
      <x:c r="I3857" s="16" t="str">
        <x:v>Missing email</x:v>
      </x:c>
    </x:row>
    <x:row r="3858">
      <x:c r="A3858" s="16" t="n">
        <x:v>3855</x:v>
      </x:c>
      <x:c r="B3858" s="16" t="str">
        <x:v>kbbc WAN KAMALRUZAMAN BIN MOHD YUSOFF</x:v>
      </x:c>
      <x:c r="C3858" s="16" t="str"/>
      <x:c r="D3858" s="16" t="str"/>
      <x:c r="E3858" s="16" t="str">
        <x:v>* myContacts</x:v>
      </x:c>
      <x:c r="F3858" s="16" t="str">
        <x:v>60195633036</x:v>
      </x:c>
      <x:c r="G3858" s="16" t="str">
        <x:v>+60195633036</x:v>
      </x:c>
      <x:c r="H3858" s="16" t="str">
        <x:v>Excluded</x:v>
      </x:c>
      <x:c r="I3858" s="16" t="str">
        <x:v>Missing email</x:v>
      </x:c>
    </x:row>
    <x:row r="3859">
      <x:c r="A3859" s="16" t="n">
        <x:v>3856</x:v>
      </x:c>
      <x:c r="B3859" s="16" t="str">
        <x:v>kbbc WAN KAMALRUZAMAN BIN MOHD YUSOFF</x:v>
      </x:c>
      <x:c r="C3859" s="16" t="str"/>
      <x:c r="D3859" s="16" t="str"/>
      <x:c r="E3859" s="16" t="str">
        <x:v>* myContacts</x:v>
      </x:c>
      <x:c r="F3859" s="16" t="str">
        <x:v>+60195633036</x:v>
      </x:c>
      <x:c r="G3859" s="16" t="str">
        <x:v>+60195633036</x:v>
      </x:c>
      <x:c r="H3859" s="16" t="str">
        <x:v>Excluded</x:v>
      </x:c>
      <x:c r="I3859" s="16" t="str">
        <x:v>Missing email</x:v>
      </x:c>
    </x:row>
    <x:row r="3860">
      <x:c r="A3860" s="16" t="n">
        <x:v>3857</x:v>
      </x:c>
      <x:c r="B3860" s="16" t="str">
        <x:v>kbbc Wan Mohd Zulhusni</x:v>
      </x:c>
      <x:c r="C3860" s="16" t="str"/>
      <x:c r="D3860" s="16" t="str"/>
      <x:c r="E3860" s="16" t="str">
        <x:v>* myContacts</x:v>
      </x:c>
      <x:c r="F3860" s="16" t="str">
        <x:v>+60192795157</x:v>
      </x:c>
      <x:c r="G3860" s="16" t="str">
        <x:v>+60192795157</x:v>
      </x:c>
      <x:c r="H3860" s="16" t="str">
        <x:v>Excluded</x:v>
      </x:c>
      <x:c r="I3860" s="16" t="str">
        <x:v>Missing email</x:v>
      </x:c>
    </x:row>
    <x:row r="3861">
      <x:c r="A3861" s="16" t="n">
        <x:v>3858</x:v>
      </x:c>
      <x:c r="B3861" s="16" t="str">
        <x:v>kbbc Wan Nooraini Bt Wan Mohd Fouzi</x:v>
      </x:c>
      <x:c r="C3861" s="16" t="str"/>
      <x:c r="D3861" s="16" t="str"/>
      <x:c r="E3861" s="16" t="str">
        <x:v>* myContacts</x:v>
      </x:c>
      <x:c r="F3861" s="16" t="str">
        <x:v>+601135145344</x:v>
      </x:c>
      <x:c r="G3861" s="16" t="str">
        <x:v>+601135145344</x:v>
      </x:c>
      <x:c r="H3861" s="16" t="str">
        <x:v>Excluded</x:v>
      </x:c>
      <x:c r="I3861" s="16" t="str">
        <x:v>Missing email</x:v>
      </x:c>
    </x:row>
    <x:row r="3862">
      <x:c r="A3862" s="16" t="n">
        <x:v>3859</x:v>
      </x:c>
      <x:c r="B3862" s="16" t="str">
        <x:v>kbbc Yan</x:v>
      </x:c>
      <x:c r="C3862" s="16" t="str"/>
      <x:c r="D3862" s="16" t="str"/>
      <x:c r="E3862" s="16" t="str">
        <x:v>* myContacts</x:v>
      </x:c>
      <x:c r="F3862" s="16" t="str">
        <x:v>+60102706501</x:v>
      </x:c>
      <x:c r="G3862" s="16" t="str">
        <x:v>+60102706501</x:v>
      </x:c>
      <x:c r="H3862" s="16" t="str">
        <x:v>Excluded</x:v>
      </x:c>
      <x:c r="I3862" s="16" t="str">
        <x:v>Missing email</x:v>
      </x:c>
    </x:row>
    <x:row r="3863">
      <x:c r="A3863" s="16" t="n">
        <x:v>3860</x:v>
      </x:c>
      <x:c r="B3863" s="16" t="str">
        <x:v>kbbc Yessy Efriany Binti Masri</x:v>
      </x:c>
      <x:c r="C3863" s="16" t="str"/>
      <x:c r="D3863" s="16" t="str"/>
      <x:c r="E3863" s="16" t="str">
        <x:v>* myContacts</x:v>
      </x:c>
      <x:c r="F3863" s="16" t="str">
        <x:v>+60109746438</x:v>
      </x:c>
      <x:c r="G3863" s="16" t="str">
        <x:v>+60109746438</x:v>
      </x:c>
      <x:c r="H3863" s="16" t="str">
        <x:v>Excluded</x:v>
      </x:c>
      <x:c r="I3863" s="16" t="str">
        <x:v>Missing email</x:v>
      </x:c>
    </x:row>
    <x:row r="3864">
      <x:c r="A3864" s="16" t="n">
        <x:v>3861</x:v>
      </x:c>
      <x:c r="B3864" s="16" t="str">
        <x:v>kbbc Yuslizawati Binti Yusup</x:v>
      </x:c>
      <x:c r="C3864" s="16" t="str"/>
      <x:c r="D3864" s="16" t="str"/>
      <x:c r="E3864" s="16" t="str">
        <x:v>* myContacts</x:v>
      </x:c>
      <x:c r="F3864" s="16" t="str">
        <x:v>+60147951731</x:v>
      </x:c>
      <x:c r="G3864" s="16" t="str">
        <x:v>+60147951731</x:v>
      </x:c>
      <x:c r="H3864" s="16" t="str">
        <x:v>Excluded</x:v>
      </x:c>
      <x:c r="I3864" s="16" t="str">
        <x:v>Missing email</x:v>
      </x:c>
    </x:row>
    <x:row r="3865">
      <x:c r="A3865" s="16" t="n">
        <x:v>3862</x:v>
      </x:c>
      <x:c r="B3865" s="16" t="str">
        <x:v>kbbc Yuslizawati Binti Yusup</x:v>
      </x:c>
      <x:c r="C3865" s="16" t="str"/>
      <x:c r="D3865" s="16" t="str"/>
      <x:c r="E3865" s="16" t="str">
        <x:v>* myContacts</x:v>
      </x:c>
      <x:c r="F3865" s="16" t="str">
        <x:v>60147951731</x:v>
      </x:c>
      <x:c r="G3865" s="16" t="str">
        <x:v>+60147951731</x:v>
      </x:c>
      <x:c r="H3865" s="16" t="str">
        <x:v>Excluded</x:v>
      </x:c>
      <x:c r="I3865" s="16" t="str">
        <x:v>Missing email</x:v>
      </x:c>
    </x:row>
    <x:row r="3866">
      <x:c r="A3866" s="16" t="n">
        <x:v>3863</x:v>
      </x:c>
      <x:c r="B3866" s="16" t="str">
        <x:v>kbbc Zaini Shahrol</x:v>
      </x:c>
      <x:c r="C3866" s="16" t="str"/>
      <x:c r="D3866" s="16" t="str"/>
      <x:c r="E3866" s="16" t="str">
        <x:v>* myContacts</x:v>
      </x:c>
      <x:c r="F3866" s="16" t="str">
        <x:v>+60196693235</x:v>
      </x:c>
      <x:c r="G3866" s="16" t="str">
        <x:v>+60196693235</x:v>
      </x:c>
      <x:c r="H3866" s="16" t="str">
        <x:v>Excluded</x:v>
      </x:c>
      <x:c r="I3866" s="16" t="str">
        <x:v>Missing email</x:v>
      </x:c>
    </x:row>
    <x:row r="3867">
      <x:c r="A3867" s="16" t="n">
        <x:v>3864</x:v>
      </x:c>
      <x:c r="B3867" s="16" t="str">
        <x:v>kbbc Zainuddin Bin Abdul Rahman</x:v>
      </x:c>
      <x:c r="C3867" s="16" t="str"/>
      <x:c r="D3867" s="16" t="str"/>
      <x:c r="E3867" s="16" t="str">
        <x:v>* myContacts</x:v>
      </x:c>
      <x:c r="F3867" s="16" t="str">
        <x:v>+60126276121</x:v>
      </x:c>
      <x:c r="G3867" s="16" t="str">
        <x:v>+60126276121</x:v>
      </x:c>
      <x:c r="H3867" s="16" t="str">
        <x:v>Excluded</x:v>
      </x:c>
      <x:c r="I3867" s="16" t="str">
        <x:v>Missing email</x:v>
      </x:c>
    </x:row>
    <x:row r="3868">
      <x:c r="A3868" s="16" t="n">
        <x:v>3865</x:v>
      </x:c>
      <x:c r="B3868" s="16" t="str">
        <x:v>kbbc ZAIRUL AKHMAR</x:v>
      </x:c>
      <x:c r="C3868" s="16" t="str"/>
      <x:c r="D3868" s="16" t="str"/>
      <x:c r="E3868" s="16" t="str">
        <x:v>* myContacts</x:v>
      </x:c>
      <x:c r="F3868" s="16" t="str">
        <x:v>601127146820</x:v>
      </x:c>
      <x:c r="G3868" s="16" t="str">
        <x:v>+601127146820</x:v>
      </x:c>
      <x:c r="H3868" s="16" t="str">
        <x:v>Excluded</x:v>
      </x:c>
      <x:c r="I3868" s="16" t="str">
        <x:v>Missing email</x:v>
      </x:c>
    </x:row>
    <x:row r="3869">
      <x:c r="A3869" s="16" t="n">
        <x:v>3866</x:v>
      </x:c>
      <x:c r="B3869" s="16" t="str">
        <x:v>kbbc ZAIRUL AKHMAR</x:v>
      </x:c>
      <x:c r="C3869" s="16" t="str"/>
      <x:c r="D3869" s="16" t="str"/>
      <x:c r="E3869" s="16" t="str">
        <x:v>* myContacts</x:v>
      </x:c>
      <x:c r="F3869" s="16" t="str">
        <x:v>+601127146820</x:v>
      </x:c>
      <x:c r="G3869" s="16" t="str">
        <x:v>+601127146820</x:v>
      </x:c>
      <x:c r="H3869" s="16" t="str">
        <x:v>Excluded</x:v>
      </x:c>
      <x:c r="I3869" s="16" t="str">
        <x:v>Missing email</x:v>
      </x:c>
    </x:row>
    <x:row r="3870">
      <x:c r="A3870" s="16" t="n">
        <x:v>3867</x:v>
      </x:c>
      <x:c r="B3870" s="16" t="str">
        <x:v>kbbc Zalinah Binti Mat Noh</x:v>
      </x:c>
      <x:c r="C3870" s="16" t="str"/>
      <x:c r="D3870" s="16" t="str"/>
      <x:c r="E3870" s="16" t="str">
        <x:v>* myContacts</x:v>
      </x:c>
      <x:c r="F3870" s="16" t="str">
        <x:v>+60103308217</x:v>
      </x:c>
      <x:c r="G3870" s="16" t="str">
        <x:v>+60103308217</x:v>
      </x:c>
      <x:c r="H3870" s="16" t="str">
        <x:v>Excluded</x:v>
      </x:c>
      <x:c r="I3870" s="16" t="str">
        <x:v>Missing email</x:v>
      </x:c>
    </x:row>
    <x:row r="3871">
      <x:c r="A3871" s="16" t="n">
        <x:v>3868</x:v>
      </x:c>
      <x:c r="B3871" s="16" t="str">
        <x:v>KC Training Provider</x:v>
      </x:c>
      <x:c r="C3871" s="16" t="str"/>
      <x:c r="D3871" s="16" t="str"/>
      <x:c r="E3871" s="16" t="str">
        <x:v>* myContacts</x:v>
      </x:c>
      <x:c r="F3871" s="16" t="str">
        <x:v>+60124776153</x:v>
      </x:c>
      <x:c r="G3871" s="16" t="str">
        <x:v>+60124776153</x:v>
      </x:c>
      <x:c r="H3871" s="16" t="str">
        <x:v>Excluded</x:v>
      </x:c>
      <x:c r="I3871" s="16" t="str">
        <x:v>Missing email</x:v>
      </x:c>
    </x:row>
    <x:row r="3872">
      <x:c r="A3872" s="16" t="n">
        <x:v>3869</x:v>
      </x:c>
      <x:c r="B3872" s="16" t="str">
        <x:v>Kecik Mas</x:v>
      </x:c>
      <x:c r="C3872" s="16" t="str"/>
      <x:c r="D3872" s="16" t="str"/>
      <x:c r="E3872" s="16" t="str">
        <x:v>* myContacts</x:v>
      </x:c>
      <x:c r="F3872" s="16" t="str">
        <x:v>+60123456788</x:v>
      </x:c>
      <x:c r="G3872" s="16" t="str">
        <x:v>+60123456788</x:v>
      </x:c>
      <x:c r="H3872" s="16" t="str">
        <x:v>Excluded</x:v>
      </x:c>
      <x:c r="I3872" s="16" t="str">
        <x:v>Missing email</x:v>
      </x:c>
    </x:row>
    <x:row r="3873">
      <x:c r="A3873" s="16" t="n">
        <x:v>3870</x:v>
      </x:c>
      <x:c r="B3873" s="16" t="str">
        <x:v>Kecik Motoq Motoq</x:v>
      </x:c>
      <x:c r="C3873" s="16" t="str"/>
      <x:c r="D3873" s="16" t="str"/>
      <x:c r="E3873" s="16" t="str">
        <x:v>* myContacts</x:v>
      </x:c>
      <x:c r="F3873" s="16" t="str">
        <x:v>+60164737914</x:v>
      </x:c>
      <x:c r="G3873" s="16" t="str">
        <x:v>+60164737914</x:v>
      </x:c>
      <x:c r="H3873" s="16" t="str">
        <x:v>Excluded</x:v>
      </x:c>
      <x:c r="I3873" s="16" t="str">
        <x:v>Missing email</x:v>
      </x:c>
    </x:row>
    <x:row r="3874">
      <x:c r="A3874" s="16" t="n">
        <x:v>3871</x:v>
      </x:c>
      <x:c r="B3874" s="16" t="str">
        <x:v>Kedai Komputer Dr Kuala Selangor</x:v>
      </x:c>
      <x:c r="C3874" s="16" t="str"/>
      <x:c r="D3874" s="16" t="str"/>
      <x:c r="E3874" s="16" t="str">
        <x:v>* myContacts</x:v>
      </x:c>
      <x:c r="F3874" s="16" t="str">
        <x:v>+60 12-391 2560 | +60123912560</x:v>
      </x:c>
      <x:c r="G3874" s="16" t="str">
        <x:v>+60123912560 | +60123912560</x:v>
      </x:c>
      <x:c r="H3874" s="16" t="str">
        <x:v>Excluded</x:v>
      </x:c>
      <x:c r="I3874" s="16" t="str">
        <x:v>Missing email</x:v>
      </x:c>
    </x:row>
    <x:row r="3875">
      <x:c r="A3875" s="16" t="n">
        <x:v>3872</x:v>
      </x:c>
      <x:c r="B3875" s="16" t="str">
        <x:v>kedai makan batu gajah</x:v>
      </x:c>
      <x:c r="C3875" s="16" t="str"/>
      <x:c r="D3875" s="16" t="str"/>
      <x:c r="E3875" s="16" t="str">
        <x:v>* myContacts</x:v>
      </x:c>
      <x:c r="F3875" s="16" t="str">
        <x:v>+60102136970</x:v>
      </x:c>
      <x:c r="G3875" s="16" t="str">
        <x:v>+60102136970</x:v>
      </x:c>
      <x:c r="H3875" s="16" t="str">
        <x:v>Excluded</x:v>
      </x:c>
      <x:c r="I3875" s="16" t="str">
        <x:v>Missing email</x:v>
      </x:c>
    </x:row>
    <x:row r="3876">
      <x:c r="A3876" s="16" t="n">
        <x:v>3873</x:v>
      </x:c>
      <x:c r="B3876" s="16" t="str">
        <x:v>kedai print pahang</x:v>
      </x:c>
      <x:c r="C3876" s="16" t="str"/>
      <x:c r="D3876" s="16" t="str"/>
      <x:c r="E3876" s="16" t="str">
        <x:v>* myContacts</x:v>
      </x:c>
      <x:c r="F3876" s="16" t="str">
        <x:v>01110176262 | +601110176262</x:v>
      </x:c>
      <x:c r="G3876" s="16" t="str">
        <x:v>+601110176262 | +601110176262</x:v>
      </x:c>
      <x:c r="H3876" s="16" t="str">
        <x:v>Excluded</x:v>
      </x:c>
      <x:c r="I3876" s="16" t="str">
        <x:v>Missing email</x:v>
      </x:c>
    </x:row>
    <x:row r="3877">
      <x:c r="A3877" s="16" t="n">
        <x:v>3874</x:v>
      </x:c>
      <x:c r="B3877" s="16" t="str">
        <x:v>Kedai Qaseh Damia</x:v>
      </x:c>
      <x:c r="C3877" s="16" t="str"/>
      <x:c r="D3877" s="16" t="str"/>
      <x:c r="E3877" s="16" t="str">
        <x:v>* myContacts</x:v>
      </x:c>
      <x:c r="F3877" s="16" t="str">
        <x:v>+60187627308</x:v>
      </x:c>
      <x:c r="G3877" s="16" t="str">
        <x:v>+60187627308</x:v>
      </x:c>
      <x:c r="H3877" s="16" t="str">
        <x:v>Excluded</x:v>
      </x:c>
      <x:c r="I3877" s="16" t="str">
        <x:v>Missing email</x:v>
      </x:c>
    </x:row>
    <x:row r="3878">
      <x:c r="A3878" s="16" t="n">
        <x:v>3875</x:v>
      </x:c>
      <x:c r="B3878" s="16" t="str">
        <x:v>Kedai Remaja Purba</x:v>
      </x:c>
      <x:c r="C3878" s="16" t="str"/>
      <x:c r="D3878" s="16" t="str"/>
      <x:c r="E3878" s="16" t="str">
        <x:v>* myContacts</x:v>
      </x:c>
      <x:c r="F3878" s="16" t="str">
        <x:v>+60124617608</x:v>
      </x:c>
      <x:c r="G3878" s="16" t="str">
        <x:v>+60124617608</x:v>
      </x:c>
      <x:c r="H3878" s="16" t="str">
        <x:v>Excluded</x:v>
      </x:c>
      <x:c r="I3878" s="16" t="str">
        <x:v>Missing email</x:v>
      </x:c>
    </x:row>
    <x:row r="3879">
      <x:c r="A3879" s="16" t="n">
        <x:v>3876</x:v>
      </x:c>
      <x:c r="B3879" s="16" t="str">
        <x:v>Kedai Rokiah</x:v>
      </x:c>
      <x:c r="C3879" s="16" t="str"/>
      <x:c r="D3879" s="16" t="str"/>
      <x:c r="E3879" s="16" t="str">
        <x:v>* myContacts</x:v>
      </x:c>
      <x:c r="F3879" s="16" t="str">
        <x:v>+601135865708</x:v>
      </x:c>
      <x:c r="G3879" s="16" t="str">
        <x:v>+601135865708</x:v>
      </x:c>
      <x:c r="H3879" s="16" t="str">
        <x:v>Excluded</x:v>
      </x:c>
      <x:c r="I3879" s="16" t="str">
        <x:v>Missing email</x:v>
      </x:c>
    </x:row>
    <x:row r="3880">
      <x:c r="A3880" s="16" t="n">
        <x:v>3877</x:v>
      </x:c>
      <x:c r="B3880" s="16" t="str">
        <x:v>Kedai Telefon</x:v>
      </x:c>
      <x:c r="C3880" s="16" t="str"/>
      <x:c r="D3880" s="16" t="str"/>
      <x:c r="E3880" s="16" t="str">
        <x:v>* myContacts</x:v>
      </x:c>
      <x:c r="F3880" s="16" t="str">
        <x:v>+60108748071</x:v>
      </x:c>
      <x:c r="G3880" s="16" t="str">
        <x:v>+60108748071</x:v>
      </x:c>
      <x:c r="H3880" s="16" t="str">
        <x:v>Excluded</x:v>
      </x:c>
      <x:c r="I3880" s="16" t="str">
        <x:v>Missing email</x:v>
      </x:c>
    </x:row>
    <x:row r="3881">
      <x:c r="A3881" s="16" t="n">
        <x:v>3878</x:v>
      </x:c>
      <x:c r="B3881" s="16" t="str">
        <x:v>Kedai Wallee</x:v>
      </x:c>
      <x:c r="C3881" s="16" t="str"/>
      <x:c r="D3881" s="16" t="str"/>
      <x:c r="E3881" s="16" t="str">
        <x:v>* myContacts</x:v>
      </x:c>
      <x:c r="F3881" s="16" t="str">
        <x:v>+601110654882</x:v>
      </x:c>
      <x:c r="G3881" s="16" t="str">
        <x:v>+601110654882</x:v>
      </x:c>
      <x:c r="H3881" s="16" t="str">
        <x:v>Excluded</x:v>
      </x:c>
      <x:c r="I3881" s="16" t="str">
        <x:v>Missing email</x:v>
      </x:c>
    </x:row>
    <x:row r="3882">
      <x:c r="A3882" s="16" t="n">
        <x:v>3879</x:v>
      </x:c>
      <x:c r="B3882" s="16" t="str">
        <x:v>Keith Lee</x:v>
      </x:c>
      <x:c r="C3882" s="16" t="str">
        <x:v>keithlee.fmx@freightmark.com.my</x:v>
      </x:c>
      <x:c r="D3882" s="16" t="str">
        <x:v>keithlee.fmx@freightmark.com.my</x:v>
      </x:c>
      <x:c r="E3882" s="16" t="str">
        <x:v>* myContacts</x:v>
      </x:c>
      <x:c r="F3882" s="16" t="str">
        <x:v>+60164455775 | +60357408488 | 0196001932 | +60357408836</x:v>
      </x:c>
      <x:c r="G3882" s="16" t="str">
        <x:v>+60164455775 | +60357408488 | +60196001932 | +60357408836</x:v>
      </x:c>
      <x:c r="H3882" s="16" t="str">
        <x:v>Eligible</x:v>
      </x:c>
      <x:c r="I3882" s="16" t="str"/>
    </x:row>
    <x:row r="3883">
      <x:c r="A3883" s="16" t="n">
        <x:v>3880</x:v>
      </x:c>
      <x:c r="B3883" s="16" t="str">
        <x:v>Keith Tiktok Fmg</x:v>
      </x:c>
      <x:c r="C3883" s="16" t="str"/>
      <x:c r="D3883" s="16" t="str"/>
      <x:c r="E3883" s="16" t="str">
        <x:v>* myContacts</x:v>
      </x:c>
      <x:c r="F3883" s="16" t="str">
        <x:v>01133370166 | +601133370166</x:v>
      </x:c>
      <x:c r="G3883" s="16" t="str">
        <x:v>+601133370166 | +601133370166</x:v>
      </x:c>
      <x:c r="H3883" s="16" t="str">
        <x:v>Excluded</x:v>
      </x:c>
      <x:c r="I3883" s="16" t="str">
        <x:v>Missing email</x:v>
      </x:c>
    </x:row>
    <x:row r="3884">
      <x:c r="A3884" s="16" t="n">
        <x:v>3881</x:v>
      </x:c>
      <x:c r="B3884" s="16" t="str">
        <x:v>Kelvin Dum Augustine</x:v>
      </x:c>
      <x:c r="C3884" s="16" t="str"/>
      <x:c r="D3884" s="16" t="str"/>
      <x:c r="E3884" s="16" t="str">
        <x:v>* myContacts</x:v>
      </x:c>
      <x:c r="F3884" s="16" t="str">
        <x:v>+60145996552</x:v>
      </x:c>
      <x:c r="G3884" s="16" t="str">
        <x:v>+60145996552</x:v>
      </x:c>
      <x:c r="H3884" s="16" t="str">
        <x:v>Excluded</x:v>
      </x:c>
      <x:c r="I3884" s="16" t="str">
        <x:v>Missing email</x:v>
      </x:c>
    </x:row>
    <x:row r="3885">
      <x:c r="A3885" s="16" t="n">
        <x:v>3882</x:v>
      </x:c>
      <x:c r="B3885" s="16" t="str">
        <x:v>Kema Hasan</x:v>
      </x:c>
      <x:c r="C3885" s="16" t="str"/>
      <x:c r="D3885" s="16" t="str"/>
      <x:c r="E3885" s="16" t="str">
        <x:v>* myContacts</x:v>
      </x:c>
      <x:c r="F3885" s="16" t="str">
        <x:v>+60184095246</x:v>
      </x:c>
      <x:c r="G3885" s="16" t="str">
        <x:v>+60184095246</x:v>
      </x:c>
      <x:c r="H3885" s="16" t="str">
        <x:v>Excluded</x:v>
      </x:c>
      <x:c r="I3885" s="16" t="str">
        <x:v>Missing email</x:v>
      </x:c>
    </x:row>
    <x:row r="3886">
      <x:c r="A3886" s="16" t="n">
        <x:v>3883</x:v>
      </x:c>
      <x:c r="B3886" s="16" t="str">
        <x:v>Ken staff mike Nintendo</x:v>
      </x:c>
      <x:c r="C3886" s="16" t="str"/>
      <x:c r="D3886" s="16" t="str"/>
      <x:c r="E3886" s="16" t="str">
        <x:v>* myContacts</x:v>
      </x:c>
      <x:c r="F3886" s="16" t="str">
        <x:v>0183294799 | +60183294799</x:v>
      </x:c>
      <x:c r="G3886" s="16" t="str">
        <x:v>+60183294799 | +60183294799</x:v>
      </x:c>
      <x:c r="H3886" s="16" t="str">
        <x:v>Excluded</x:v>
      </x:c>
      <x:c r="I3886" s="16" t="str">
        <x:v>Missing email</x:v>
      </x:c>
    </x:row>
    <x:row r="3887">
      <x:c r="A3887" s="16" t="n">
        <x:v>3884</x:v>
      </x:c>
      <x:c r="B3887" s="16" t="str">
        <x:v>Keningau Boy Runner</x:v>
      </x:c>
      <x:c r="C3887" s="16" t="str"/>
      <x:c r="D3887" s="16" t="str"/>
      <x:c r="E3887" s="16" t="str">
        <x:v>* myContacts</x:v>
      </x:c>
      <x:c r="F3887" s="16" t="str">
        <x:v>+60123945697</x:v>
      </x:c>
      <x:c r="G3887" s="16" t="str">
        <x:v>+60123945697</x:v>
      </x:c>
      <x:c r="H3887" s="16" t="str">
        <x:v>Excluded</x:v>
      </x:c>
      <x:c r="I3887" s="16" t="str">
        <x:v>Missing email</x:v>
      </x:c>
    </x:row>
    <x:row r="3888">
      <x:c r="A3888" s="16" t="n">
        <x:v>3885</x:v>
      </x:c>
      <x:c r="B3888" s="16" t="str">
        <x:v>Kenny Ng</x:v>
      </x:c>
      <x:c r="C3888" s="16" t="str"/>
      <x:c r="D3888" s="16" t="str"/>
      <x:c r="E3888" s="16" t="str">
        <x:v>* myContacts</x:v>
      </x:c>
      <x:c r="F3888" s="16" t="str">
        <x:v>+60132222412</x:v>
      </x:c>
      <x:c r="G3888" s="16" t="str">
        <x:v>+60132222412</x:v>
      </x:c>
      <x:c r="H3888" s="16" t="str">
        <x:v>Excluded</x:v>
      </x:c>
      <x:c r="I3888" s="16" t="str">
        <x:v>Missing email</x:v>
      </x:c>
    </x:row>
    <x:row r="3889">
      <x:c r="A3889" s="16" t="n">
        <x:v>3886</x:v>
      </x:c>
      <x:c r="B3889" s="16" t="str">
        <x:v>Kenny Rukaini Anuar</x:v>
      </x:c>
      <x:c r="C3889" s="16" t="str"/>
      <x:c r="D3889" s="16" t="str"/>
      <x:c r="E3889" s="16" t="str">
        <x:v>* myContacts</x:v>
      </x:c>
      <x:c r="F3889" s="16" t="str">
        <x:v>+60 16-222 3024 | +60162223024</x:v>
      </x:c>
      <x:c r="G3889" s="16" t="str">
        <x:v>+60162223024 | +60162223024</x:v>
      </x:c>
      <x:c r="H3889" s="16" t="str">
        <x:v>Excluded</x:v>
      </x:c>
      <x:c r="I3889" s="16" t="str">
        <x:v>Missing email</x:v>
      </x:c>
    </x:row>
    <x:row r="3890">
      <x:c r="A3890" s="16" t="n">
        <x:v>3887</x:v>
      </x:c>
      <x:c r="B3890" s="16" t="str">
        <x:v>Kent Car Accessories</x:v>
      </x:c>
      <x:c r="C3890" s="16" t="str"/>
      <x:c r="D3890" s="16" t="str"/>
      <x:c r="E3890" s="16" t="str">
        <x:v>* myContacts</x:v>
      </x:c>
      <x:c r="F3890" s="16" t="str">
        <x:v>0166165510 | +60166165510</x:v>
      </x:c>
      <x:c r="G3890" s="16" t="str">
        <x:v>+60166165510 | +60166165510</x:v>
      </x:c>
      <x:c r="H3890" s="16" t="str">
        <x:v>Excluded</x:v>
      </x:c>
      <x:c r="I3890" s="16" t="str">
        <x:v>Missing email</x:v>
      </x:c>
    </x:row>
    <x:row r="3891">
      <x:c r="A3891" s="16" t="n">
        <x:v>3888</x:v>
      </x:c>
      <x:c r="B3891" s="16" t="str">
        <x:v>Kereta Eva</x:v>
      </x:c>
      <x:c r="C3891" s="16" t="str"/>
      <x:c r="D3891" s="16" t="str"/>
      <x:c r="E3891" s="16" t="str">
        <x:v>* myContacts</x:v>
      </x:c>
      <x:c r="F3891" s="16" t="str">
        <x:v>+60172958968</x:v>
      </x:c>
      <x:c r="G3891" s="16" t="str">
        <x:v>+60172958968</x:v>
      </x:c>
      <x:c r="H3891" s="16" t="str">
        <x:v>Excluded</x:v>
      </x:c>
      <x:c r="I3891" s="16" t="str">
        <x:v>Missing email</x:v>
      </x:c>
    </x:row>
    <x:row r="3892">
      <x:c r="A3892" s="16" t="n">
        <x:v>3889</x:v>
      </x:c>
      <x:c r="B3892" s="16" t="str">
        <x:v>Kereta Sewa Kota Bharu</x:v>
      </x:c>
      <x:c r="C3892" s="16" t="str"/>
      <x:c r="D3892" s="16" t="str"/>
      <x:c r="E3892" s="16" t="str">
        <x:v>* myContacts</x:v>
      </x:c>
      <x:c r="F3892" s="16" t="str">
        <x:v>+60146090612</x:v>
      </x:c>
      <x:c r="G3892" s="16" t="str">
        <x:v>+60146090612</x:v>
      </x:c>
      <x:c r="H3892" s="16" t="str">
        <x:v>Excluded</x:v>
      </x:c>
      <x:c r="I3892" s="16" t="str">
        <x:v>Missing email</x:v>
      </x:c>
    </x:row>
    <x:row r="3893">
      <x:c r="A3893" s="16" t="n">
        <x:v>3890</x:v>
      </x:c>
      <x:c r="B3893" s="16" t="str">
        <x:v>Kereta Sewa Langkawi</x:v>
      </x:c>
      <x:c r="C3893" s="16" t="str"/>
      <x:c r="D3893" s="16" t="str"/>
      <x:c r="E3893" s="16" t="str">
        <x:v>* myContacts</x:v>
      </x:c>
      <x:c r="F3893" s="16" t="str">
        <x:v>+60198160526</x:v>
      </x:c>
      <x:c r="G3893" s="16" t="str">
        <x:v>+60198160526</x:v>
      </x:c>
      <x:c r="H3893" s="16" t="str">
        <x:v>Excluded</x:v>
      </x:c>
      <x:c r="I3893" s="16" t="str">
        <x:v>Missing email</x:v>
      </x:c>
    </x:row>
    <x:row r="3894">
      <x:c r="A3894" s="16" t="n">
        <x:v>3891</x:v>
      </x:c>
      <x:c r="B3894" s="16" t="str">
        <x:v>Kereta Sewa Semenyih</x:v>
      </x:c>
      <x:c r="C3894" s="16" t="str"/>
      <x:c r="D3894" s="16" t="str"/>
      <x:c r="E3894" s="16" t="str">
        <x:v>* myContacts</x:v>
      </x:c>
      <x:c r="F3894" s="16" t="str">
        <x:v>+60129128331</x:v>
      </x:c>
      <x:c r="G3894" s="16" t="str">
        <x:v>+60129128331</x:v>
      </x:c>
      <x:c r="H3894" s="16" t="str">
        <x:v>Excluded</x:v>
      </x:c>
      <x:c r="I3894" s="16" t="str">
        <x:v>Missing email</x:v>
      </x:c>
    </x:row>
    <x:row r="3895">
      <x:c r="A3895" s="16" t="n">
        <x:v>3892</x:v>
      </x:c>
      <x:c r="B3895" s="16" t="str">
        <x:v>Kereta Terpakai Net Work</x:v>
      </x:c>
      <x:c r="C3895" s="16" t="str"/>
      <x:c r="D3895" s="16" t="str"/>
      <x:c r="E3895" s="16" t="str">
        <x:v>* myContacts</x:v>
      </x:c>
      <x:c r="F3895" s="16" t="str">
        <x:v>+601123560748</x:v>
      </x:c>
      <x:c r="G3895" s="16" t="str">
        <x:v>+601123560748</x:v>
      </x:c>
      <x:c r="H3895" s="16" t="str">
        <x:v>Excluded</x:v>
      </x:c>
      <x:c r="I3895" s="16" t="str">
        <x:v>Missing email</x:v>
      </x:c>
    </x:row>
    <x:row r="3896">
      <x:c r="A3896" s="16" t="n">
        <x:v>3893</x:v>
      </x:c>
      <x:c r="B3896" s="16" t="str">
        <x:v>Keris Bersilang</x:v>
      </x:c>
      <x:c r="C3896" s="16" t="str"/>
      <x:c r="D3896" s="16" t="str"/>
      <x:c r="E3896" s="16" t="str">
        <x:v>* myContacts</x:v>
      </x:c>
      <x:c r="F3896" s="16" t="str">
        <x:v>+60184012314</x:v>
      </x:c>
      <x:c r="G3896" s="16" t="str">
        <x:v>+60184012314</x:v>
      </x:c>
      <x:c r="H3896" s="16" t="str">
        <x:v>Excluded</x:v>
      </x:c>
      <x:c r="I3896" s="16" t="str">
        <x:v>Missing email</x:v>
      </x:c>
    </x:row>
    <x:row r="3897">
      <x:c r="A3897" s="16" t="n">
        <x:v>3894</x:v>
      </x:c>
      <x:c r="B3897" s="16" t="str">
        <x:v>Keris Dinamik</x:v>
      </x:c>
      <x:c r="C3897" s="16" t="str"/>
      <x:c r="D3897" s="16" t="str"/>
      <x:c r="E3897" s="16" t="str">
        <x:v>* myContacts</x:v>
      </x:c>
      <x:c r="F3897" s="16" t="str">
        <x:v>+60165248786</x:v>
      </x:c>
      <x:c r="G3897" s="16" t="str">
        <x:v>+60165248786</x:v>
      </x:c>
      <x:c r="H3897" s="16" t="str">
        <x:v>Excluded</x:v>
      </x:c>
      <x:c r="I3897" s="16" t="str">
        <x:v>Missing email</x:v>
      </x:c>
    </x:row>
    <x:row r="3898">
      <x:c r="A3898" s="16" t="n">
        <x:v>3895</x:v>
      </x:c>
      <x:c r="B3898" s="16" t="str">
        <x:v>Kertina Melody</x:v>
      </x:c>
      <x:c r="C3898" s="16" t="str"/>
      <x:c r="D3898" s="16" t="str"/>
      <x:c r="E3898" s="16" t="str">
        <x:v>* myContacts</x:v>
      </x:c>
      <x:c r="F3898" s="16" t="str">
        <x:v>+60178624799</x:v>
      </x:c>
      <x:c r="G3898" s="16" t="str">
        <x:v>+60178624799</x:v>
      </x:c>
      <x:c r="H3898" s="16" t="str">
        <x:v>Excluded</x:v>
      </x:c>
      <x:c r="I3898" s="16" t="str">
        <x:v>Missing email</x:v>
      </x:c>
    </x:row>
    <x:row r="3899">
      <x:c r="A3899" s="16" t="n">
        <x:v>3896</x:v>
      </x:c>
      <x:c r="B3899" s="16" t="str">
        <x:v>KeyQita Corner</x:v>
      </x:c>
      <x:c r="C3899" s="16" t="str"/>
      <x:c r="D3899" s="16" t="str"/>
      <x:c r="E3899" s="16" t="str">
        <x:v>* myContacts</x:v>
      </x:c>
      <x:c r="F3899" s="16" t="str">
        <x:v>+6282163479014</x:v>
      </x:c>
      <x:c r="G3899" s="16" t="str">
        <x:v>+6282163479014</x:v>
      </x:c>
      <x:c r="H3899" s="16" t="str">
        <x:v>Excluded</x:v>
      </x:c>
      <x:c r="I3899" s="16" t="str">
        <x:v>Missing email</x:v>
      </x:c>
    </x:row>
    <x:row r="3900">
      <x:c r="A3900" s="16" t="n">
        <x:v>3897</x:v>
      </x:c>
      <x:c r="B3900" s="16" t="str">
        <x:v>Keyrol Jaffry</x:v>
      </x:c>
      <x:c r="C3900" s="16" t="str"/>
      <x:c r="D3900" s="16" t="str"/>
      <x:c r="E3900" s="16" t="str">
        <x:v>* myContacts</x:v>
      </x:c>
      <x:c r="F3900" s="16" t="str">
        <x:v>+60177973474</x:v>
      </x:c>
      <x:c r="G3900" s="16" t="str">
        <x:v>+60177973474</x:v>
      </x:c>
      <x:c r="H3900" s="16" t="str">
        <x:v>Excluded</x:v>
      </x:c>
      <x:c r="I3900" s="16" t="str">
        <x:v>Missing email</x:v>
      </x:c>
    </x:row>
    <x:row r="3901">
      <x:c r="A3901" s="16" t="n">
        <x:v>3898</x:v>
      </x:c>
      <x:c r="B3901" s="16" t="str">
        <x:v>Keyrol Naem</x:v>
      </x:c>
      <x:c r="C3901" s="16" t="str"/>
      <x:c r="D3901" s="16" t="str"/>
      <x:c r="E3901" s="16" t="str">
        <x:v>* myContacts</x:v>
      </x:c>
      <x:c r="F3901" s="16" t="str">
        <x:v>+60175048611</x:v>
      </x:c>
      <x:c r="G3901" s="16" t="str">
        <x:v>+60175048611</x:v>
      </x:c>
      <x:c r="H3901" s="16" t="str">
        <x:v>Excluded</x:v>
      </x:c>
      <x:c r="I3901" s="16" t="str">
        <x:v>Missing email</x:v>
      </x:c>
    </x:row>
    <x:row r="3902">
      <x:c r="A3902" s="16" t="n">
        <x:v>3899</x:v>
      </x:c>
      <x:c r="B3902" s="16" t="str">
        <x:v>Khai Azri</x:v>
      </x:c>
      <x:c r="C3902" s="16" t="str"/>
      <x:c r="D3902" s="16" t="str"/>
      <x:c r="E3902" s="16" t="str">
        <x:v>* myContacts</x:v>
      </x:c>
      <x:c r="F3902" s="16" t="str">
        <x:v>+60176656596</x:v>
      </x:c>
      <x:c r="G3902" s="16" t="str">
        <x:v>+60176656596</x:v>
      </x:c>
      <x:c r="H3902" s="16" t="str">
        <x:v>Excluded</x:v>
      </x:c>
      <x:c r="I3902" s="16" t="str">
        <x:v>Missing email</x:v>
      </x:c>
    </x:row>
    <x:row r="3903">
      <x:c r="A3903" s="16" t="n">
        <x:v>3900</x:v>
      </x:c>
      <x:c r="B3903" s="16" t="str">
        <x:v>Khai Rudin</x:v>
      </x:c>
      <x:c r="C3903" s="16" t="str"/>
      <x:c r="D3903" s="16" t="str"/>
      <x:c r="E3903" s="16" t="str">
        <x:v>* myContacts</x:v>
      </x:c>
      <x:c r="F3903" s="16" t="str">
        <x:v>+60192832582</x:v>
      </x:c>
      <x:c r="G3903" s="16" t="str">
        <x:v>+60192832582</x:v>
      </x:c>
      <x:c r="H3903" s="16" t="str">
        <x:v>Excluded</x:v>
      </x:c>
      <x:c r="I3903" s="16" t="str">
        <x:v>Missing email</x:v>
      </x:c>
    </x:row>
    <x:row r="3904">
      <x:c r="A3904" s="16" t="n">
        <x:v>3901</x:v>
      </x:c>
      <x:c r="B3904" s="16" t="str">
        <x:v>Khaidir Khalid</x:v>
      </x:c>
      <x:c r="C3904" s="16" t="str"/>
      <x:c r="D3904" s="16" t="str"/>
      <x:c r="E3904" s="16" t="str">
        <x:v>* myContacts</x:v>
      </x:c>
      <x:c r="F3904" s="16" t="str">
        <x:v>+60193397271</x:v>
      </x:c>
      <x:c r="G3904" s="16" t="str">
        <x:v>+60193397271</x:v>
      </x:c>
      <x:c r="H3904" s="16" t="str">
        <x:v>Excluded</x:v>
      </x:c>
      <x:c r="I3904" s="16" t="str">
        <x:v>Missing email</x:v>
      </x:c>
    </x:row>
    <x:row r="3905">
      <x:c r="A3905" s="16" t="n">
        <x:v>3902</x:v>
      </x:c>
      <x:c r="B3905" s="16" t="str">
        <x:v>Khair Aspan</x:v>
      </x:c>
      <x:c r="C3905" s="16" t="str"/>
      <x:c r="D3905" s="16" t="str"/>
      <x:c r="E3905" s="16" t="str">
        <x:v>* myContacts</x:v>
      </x:c>
      <x:c r="F3905" s="16" t="str">
        <x:v>+60176834586</x:v>
      </x:c>
      <x:c r="G3905" s="16" t="str">
        <x:v>+60176834586</x:v>
      </x:c>
      <x:c r="H3905" s="16" t="str">
        <x:v>Excluded</x:v>
      </x:c>
      <x:c r="I3905" s="16" t="str">
        <x:v>Missing email</x:v>
      </x:c>
    </x:row>
    <x:row r="3906">
      <x:c r="A3906" s="16" t="n">
        <x:v>3903</x:v>
      </x:c>
      <x:c r="B3906" s="16" t="str">
        <x:v>Khairel Kamal</x:v>
      </x:c>
      <x:c r="C3906" s="16" t="str"/>
      <x:c r="D3906" s="16" t="str"/>
      <x:c r="E3906" s="16" t="str">
        <x:v>* myContacts</x:v>
      </x:c>
      <x:c r="F3906" s="16" t="str">
        <x:v>0136775009 | +60136775009 | 0196645009</x:v>
      </x:c>
      <x:c r="G3906" s="16" t="str">
        <x:v>+60136775009 | +60136775009 | +60196645009</x:v>
      </x:c>
      <x:c r="H3906" s="16" t="str">
        <x:v>Excluded</x:v>
      </x:c>
      <x:c r="I3906" s="16" t="str">
        <x:v>Missing email</x:v>
      </x:c>
    </x:row>
    <x:row r="3907">
      <x:c r="A3907" s="16" t="n">
        <x:v>3904</x:v>
      </x:c>
      <x:c r="B3907" s="16" t="str">
        <x:v>Khairi | LikeMethod</x:v>
      </x:c>
      <x:c r="C3907" s="16" t="str">
        <x:v>khairi@likemethod.com | wow@likemethod.com</x:v>
      </x:c>
      <x:c r="D3907" s="16" t="str">
        <x:v>khairi@likemethod.com | wow@likemethod.com</x:v>
      </x:c>
      <x:c r="E3907" s="16" t="str">
        <x:v>* myContacts</x:v>
      </x:c>
      <x:c r="F3907" s="16" t="str"/>
      <x:c r="G3907" s="16" t="str"/>
      <x:c r="H3907" s="16" t="str">
        <x:v>Eligible</x:v>
      </x:c>
      <x:c r="I3907" s="16" t="str"/>
    </x:row>
    <x:row r="3908">
      <x:c r="A3908" s="16" t="n">
        <x:v>3905</x:v>
      </x:c>
      <x:c r="B3908" s="16" t="str">
        <x:v>Khairi Chin REXTON</x:v>
      </x:c>
      <x:c r="C3908" s="16" t="str"/>
      <x:c r="D3908" s="16" t="str"/>
      <x:c r="E3908" s="16" t="str">
        <x:v>* myContacts</x:v>
      </x:c>
      <x:c r="F3908" s="16" t="str">
        <x:v>0132632171 | +60132632171</x:v>
      </x:c>
      <x:c r="G3908" s="16" t="str">
        <x:v>+60132632171 | +60132632171</x:v>
      </x:c>
      <x:c r="H3908" s="16" t="str">
        <x:v>Excluded</x:v>
      </x:c>
      <x:c r="I3908" s="16" t="str">
        <x:v>Missing email</x:v>
      </x:c>
    </x:row>
    <x:row r="3909">
      <x:c r="A3909" s="16" t="n">
        <x:v>3906</x:v>
      </x:c>
      <x:c r="B3909" s="16" t="str">
        <x:v>Khairi Ishak</x:v>
      </x:c>
      <x:c r="C3909" s="16" t="str"/>
      <x:c r="D3909" s="16" t="str"/>
      <x:c r="E3909" s="16" t="str">
        <x:v>* myContacts</x:v>
      </x:c>
      <x:c r="F3909" s="16" t="str">
        <x:v>+60172935548</x:v>
      </x:c>
      <x:c r="G3909" s="16" t="str">
        <x:v>+60172935548</x:v>
      </x:c>
      <x:c r="H3909" s="16" t="str">
        <x:v>Excluded</x:v>
      </x:c>
      <x:c r="I3909" s="16" t="str">
        <x:v>Missing email</x:v>
      </x:c>
    </x:row>
    <x:row r="3910">
      <x:c r="A3910" s="16" t="n">
        <x:v>3907</x:v>
      </x:c>
      <x:c r="B3910" s="16" t="str">
        <x:v>Khairi Rjb</x:v>
      </x:c>
      <x:c r="C3910" s="16" t="str"/>
      <x:c r="D3910" s="16" t="str"/>
      <x:c r="E3910" s="16" t="str">
        <x:v>* myContacts</x:v>
      </x:c>
      <x:c r="F3910" s="16" t="str">
        <x:v>+60 16-217 8494 | +60162178494</x:v>
      </x:c>
      <x:c r="G3910" s="16" t="str">
        <x:v>+60162178494 | +60162178494</x:v>
      </x:c>
      <x:c r="H3910" s="16" t="str">
        <x:v>Excluded</x:v>
      </x:c>
      <x:c r="I3910" s="16" t="str">
        <x:v>Missing email</x:v>
      </x:c>
    </x:row>
    <x:row r="3911">
      <x:c r="A3911" s="16" t="n">
        <x:v>3908</x:v>
      </x:c>
      <x:c r="B3911" s="16" t="str">
        <x:v>Khairiah Jafri</x:v>
      </x:c>
      <x:c r="C3911" s="16" t="str"/>
      <x:c r="D3911" s="16" t="str"/>
      <x:c r="E3911" s="16" t="str">
        <x:v>* myContacts</x:v>
      </x:c>
      <x:c r="F3911" s="16" t="str">
        <x:v>+60179542473</x:v>
      </x:c>
      <x:c r="G3911" s="16" t="str">
        <x:v>+60179542473</x:v>
      </x:c>
      <x:c r="H3911" s="16" t="str">
        <x:v>Excluded</x:v>
      </x:c>
      <x:c r="I3911" s="16" t="str">
        <x:v>Missing email</x:v>
      </x:c>
    </x:row>
    <x:row r="3912">
      <x:c r="A3912" s="16" t="n">
        <x:v>3909</x:v>
      </x:c>
      <x:c r="B3912" s="16" t="str">
        <x:v>Khairil</x:v>
      </x:c>
      <x:c r="C3912" s="16" t="str"/>
      <x:c r="D3912" s="16" t="str"/>
      <x:c r="E3912" s="16" t="str">
        <x:v>* myContacts</x:v>
      </x:c>
      <x:c r="F3912" s="16" t="str">
        <x:v>+60176903799</x:v>
      </x:c>
      <x:c r="G3912" s="16" t="str">
        <x:v>+60176903799</x:v>
      </x:c>
      <x:c r="H3912" s="16" t="str">
        <x:v>Excluded</x:v>
      </x:c>
      <x:c r="I3912" s="16" t="str">
        <x:v>Missing email</x:v>
      </x:c>
    </x:row>
    <x:row r="3913">
      <x:c r="A3913" s="16" t="n">
        <x:v>3910</x:v>
      </x:c>
      <x:c r="B3913" s="16" t="str">
        <x:v>Khairil Anuar</x:v>
      </x:c>
      <x:c r="C3913" s="16" t="str"/>
      <x:c r="D3913" s="16" t="str"/>
      <x:c r="E3913" s="16" t="str">
        <x:v>* myContacts</x:v>
      </x:c>
      <x:c r="F3913" s="16" t="str">
        <x:v>+60104181773</x:v>
      </x:c>
      <x:c r="G3913" s="16" t="str">
        <x:v>+60104181773</x:v>
      </x:c>
      <x:c r="H3913" s="16" t="str">
        <x:v>Excluded</x:v>
      </x:c>
      <x:c r="I3913" s="16" t="str">
        <x:v>Missing email</x:v>
      </x:c>
    </x:row>
    <x:row r="3914">
      <x:c r="A3914" s="16" t="n">
        <x:v>3911</x:v>
      </x:c>
      <x:c r="B3914" s="16" t="str">
        <x:v>Khairil Mat Jan CWA</x:v>
      </x:c>
      <x:c r="C3914" s="16" t="str"/>
      <x:c r="D3914" s="16" t="str"/>
      <x:c r="E3914" s="16" t="str">
        <x:v>* myContacts</x:v>
      </x:c>
      <x:c r="F3914" s="16" t="str">
        <x:v>0124599790 | +60124599790</x:v>
      </x:c>
      <x:c r="G3914" s="16" t="str">
        <x:v>+60124599790 | +60124599790</x:v>
      </x:c>
      <x:c r="H3914" s="16" t="str">
        <x:v>Excluded</x:v>
      </x:c>
      <x:c r="I3914" s="16" t="str">
        <x:v>Missing email</x:v>
      </x:c>
    </x:row>
    <x:row r="3915">
      <x:c r="A3915" s="16" t="n">
        <x:v>3912</x:v>
      </x:c>
      <x:c r="B3915" s="16" t="str">
        <x:v>Khairin Wan Abib</x:v>
      </x:c>
      <x:c r="C3915" s="16" t="str"/>
      <x:c r="D3915" s="16" t="str"/>
      <x:c r="E3915" s="16" t="str">
        <x:v>* myContacts</x:v>
      </x:c>
      <x:c r="F3915" s="16" t="str">
        <x:v>+60168882459</x:v>
      </x:c>
      <x:c r="G3915" s="16" t="str">
        <x:v>+60168882459</x:v>
      </x:c>
      <x:c r="H3915" s="16" t="str">
        <x:v>Excluded</x:v>
      </x:c>
      <x:c r="I3915" s="16" t="str">
        <x:v>Missing email</x:v>
      </x:c>
    </x:row>
    <x:row r="3916">
      <x:c r="A3916" s="16" t="n">
        <x:v>3913</x:v>
      </x:c>
      <x:c r="B3916" s="16" t="str">
        <x:v>Khairol Azli</x:v>
      </x:c>
      <x:c r="C3916" s="16" t="str"/>
      <x:c r="D3916" s="16" t="str"/>
      <x:c r="E3916" s="16" t="str">
        <x:v>* myContacts</x:v>
      </x:c>
      <x:c r="F3916" s="16" t="str">
        <x:v>+60182461426</x:v>
      </x:c>
      <x:c r="G3916" s="16" t="str">
        <x:v>+60182461426</x:v>
      </x:c>
      <x:c r="H3916" s="16" t="str">
        <x:v>Excluded</x:v>
      </x:c>
      <x:c r="I3916" s="16" t="str">
        <x:v>Missing email</x:v>
      </x:c>
    </x:row>
    <x:row r="3917">
      <x:c r="A3917" s="16" t="n">
        <x:v>3914</x:v>
      </x:c>
      <x:c r="B3917" s="16" t="str">
        <x:v>Khairul Adha</x:v>
      </x:c>
      <x:c r="C3917" s="16" t="str"/>
      <x:c r="D3917" s="16" t="str"/>
      <x:c r="E3917" s="16" t="str">
        <x:v>* myContacts</x:v>
      </x:c>
      <x:c r="F3917" s="16" t="str">
        <x:v>+60173866830</x:v>
      </x:c>
      <x:c r="G3917" s="16" t="str">
        <x:v>+60173866830</x:v>
      </x:c>
      <x:c r="H3917" s="16" t="str">
        <x:v>Excluded</x:v>
      </x:c>
      <x:c r="I3917" s="16" t="str">
        <x:v>Missing email</x:v>
      </x:c>
    </x:row>
    <x:row r="3918">
      <x:c r="A3918" s="16" t="n">
        <x:v>3915</x:v>
      </x:c>
      <x:c r="B3918" s="16" t="str">
        <x:v>Khairul Annuar VOE EU2023</x:v>
      </x:c>
      <x:c r="C3918" s="16" t="str"/>
      <x:c r="D3918" s="16" t="str"/>
      <x:c r="E3918" s="16" t="str">
        <x:v>* myContacts</x:v>
      </x:c>
      <x:c r="F3918" s="16" t="str">
        <x:v>+60 19-328 2330 | +60193282330</x:v>
      </x:c>
      <x:c r="G3918" s="16" t="str">
        <x:v>+60193282330 | +60193282330</x:v>
      </x:c>
      <x:c r="H3918" s="16" t="str">
        <x:v>Excluded</x:v>
      </x:c>
      <x:c r="I3918" s="16" t="str">
        <x:v>Missing email</x:v>
      </x:c>
    </x:row>
    <x:row r="3919">
      <x:c r="A3919" s="16" t="n">
        <x:v>3916</x:v>
      </x:c>
      <x:c r="B3919" s="16" t="str">
        <x:v>Khairul Anuar</x:v>
      </x:c>
      <x:c r="C3919" s="16" t="str"/>
      <x:c r="D3919" s="16" t="str"/>
      <x:c r="E3919" s="16" t="str">
        <x:v>* myContacts</x:v>
      </x:c>
      <x:c r="F3919" s="16" t="str">
        <x:v>+60102853797 | +601137878902 | +60102853797 | +601137878902</x:v>
      </x:c>
      <x:c r="G3919" s="16" t="str">
        <x:v>+60102853797 | +601137878902 | +60102853797 | +601137878902</x:v>
      </x:c>
      <x:c r="H3919" s="16" t="str">
        <x:v>Excluded</x:v>
      </x:c>
      <x:c r="I3919" s="16" t="str">
        <x:v>Missing email</x:v>
      </x:c>
    </x:row>
    <x:row r="3920">
      <x:c r="A3920" s="16" t="n">
        <x:v>3917</x:v>
      </x:c>
      <x:c r="B3920" s="16" t="str">
        <x:v>khairul anuar blogger</x:v>
      </x:c>
      <x:c r="C3920" s="16" t="str"/>
      <x:c r="D3920" s="16" t="str"/>
      <x:c r="E3920" s="16" t="str">
        <x:v>* myContacts</x:v>
      </x:c>
      <x:c r="F3920" s="16" t="str">
        <x:v>+60 19-826 1060 | +60198261060</x:v>
      </x:c>
      <x:c r="G3920" s="16" t="str">
        <x:v>+60198261060 | +60198261060</x:v>
      </x:c>
      <x:c r="H3920" s="16" t="str">
        <x:v>Excluded</x:v>
      </x:c>
      <x:c r="I3920" s="16" t="str">
        <x:v>Missing email</x:v>
      </x:c>
    </x:row>
    <x:row r="3921">
      <x:c r="A3921" s="16" t="n">
        <x:v>3918</x:v>
      </x:c>
      <x:c r="B3921" s="16" t="str">
        <x:v>Khairul Anwar</x:v>
      </x:c>
      <x:c r="C3921" s="16" t="str"/>
      <x:c r="D3921" s="16" t="str"/>
      <x:c r="E3921" s="16" t="str">
        <x:v>* myContacts</x:v>
      </x:c>
      <x:c r="F3921" s="16" t="str">
        <x:v>+60162357586</x:v>
      </x:c>
      <x:c r="G3921" s="16" t="str">
        <x:v>+60162357586</x:v>
      </x:c>
      <x:c r="H3921" s="16" t="str">
        <x:v>Excluded</x:v>
      </x:c>
      <x:c r="I3921" s="16" t="str">
        <x:v>Missing email</x:v>
      </x:c>
    </x:row>
    <x:row r="3922">
      <x:c r="A3922" s="16" t="n">
        <x:v>3919</x:v>
      </x:c>
      <x:c r="B3922" s="16" t="str">
        <x:v>Khairul Anwar IMKK</x:v>
      </x:c>
      <x:c r="C3922" s="16" t="str"/>
      <x:c r="D3922" s="16" t="str"/>
      <x:c r="E3922" s="16" t="str">
        <x:v>* myContacts</x:v>
      </x:c>
      <x:c r="F3922" s="16" t="str">
        <x:v>+60 18-392 7441 | +60183927441</x:v>
      </x:c>
      <x:c r="G3922" s="16" t="str">
        <x:v>+60183927441 | +60183927441</x:v>
      </x:c>
      <x:c r="H3922" s="16" t="str">
        <x:v>Excluded</x:v>
      </x:c>
      <x:c r="I3922" s="16" t="str">
        <x:v>Missing email</x:v>
      </x:c>
    </x:row>
    <x:row r="3923">
      <x:c r="A3923" s="16" t="n">
        <x:v>3920</x:v>
      </x:c>
      <x:c r="B3923" s="16" t="str">
        <x:v>Khairul Arifin Mat Jais</x:v>
      </x:c>
      <x:c r="C3923" s="16" t="str"/>
      <x:c r="D3923" s="16" t="str"/>
      <x:c r="E3923" s="16" t="str">
        <x:v>* myContacts</x:v>
      </x:c>
      <x:c r="F3923" s="16" t="str">
        <x:v>+60133640134</x:v>
      </x:c>
      <x:c r="G3923" s="16" t="str">
        <x:v>+60133640134</x:v>
      </x:c>
      <x:c r="H3923" s="16" t="str">
        <x:v>Excluded</x:v>
      </x:c>
      <x:c r="I3923" s="16" t="str">
        <x:v>Missing email</x:v>
      </x:c>
    </x:row>
    <x:row r="3924">
      <x:c r="A3924" s="16" t="n">
        <x:v>3921</x:v>
      </x:c>
      <x:c r="B3924" s="16" t="str">
        <x:v>Khairul Dan Eda</x:v>
      </x:c>
      <x:c r="C3924" s="16" t="str"/>
      <x:c r="D3924" s="16" t="str"/>
      <x:c r="E3924" s="16" t="str">
        <x:v>* myContacts</x:v>
      </x:c>
      <x:c r="F3924" s="16" t="str">
        <x:v>+601119999552</x:v>
      </x:c>
      <x:c r="G3924" s="16" t="str">
        <x:v>+601119999552</x:v>
      </x:c>
      <x:c r="H3924" s="16" t="str">
        <x:v>Excluded</x:v>
      </x:c>
      <x:c r="I3924" s="16" t="str">
        <x:v>Missing email</x:v>
      </x:c>
    </x:row>
    <x:row r="3925">
      <x:c r="A3925" s="16" t="n">
        <x:v>3922</x:v>
      </x:c>
      <x:c r="B3925" s="16" t="str">
        <x:v>Khairul essens</x:v>
      </x:c>
      <x:c r="C3925" s="16" t="str"/>
      <x:c r="D3925" s="16" t="str"/>
      <x:c r="E3925" s="16" t="str">
        <x:v>* myContacts</x:v>
      </x:c>
      <x:c r="F3925" s="16" t="str">
        <x:v>+60124694790</x:v>
      </x:c>
      <x:c r="G3925" s="16" t="str">
        <x:v>+60124694790</x:v>
      </x:c>
      <x:c r="H3925" s="16" t="str">
        <x:v>Excluded</x:v>
      </x:c>
      <x:c r="I3925" s="16" t="str">
        <x:v>Missing email</x:v>
      </x:c>
    </x:row>
    <x:row r="3926">
      <x:c r="A3926" s="16" t="n">
        <x:v>3923</x:v>
      </x:c>
      <x:c r="B3926" s="16" t="str">
        <x:v>Khairul Fahmi</x:v>
      </x:c>
      <x:c r="C3926" s="16" t="str"/>
      <x:c r="D3926" s="16" t="str"/>
      <x:c r="E3926" s="16" t="str">
        <x:v>* myContacts</x:v>
      </x:c>
      <x:c r="F3926" s="16" t="str">
        <x:v>+60177117900</x:v>
      </x:c>
      <x:c r="G3926" s="16" t="str">
        <x:v>+60177117900</x:v>
      </x:c>
      <x:c r="H3926" s="16" t="str">
        <x:v>Excluded</x:v>
      </x:c>
      <x:c r="I3926" s="16" t="str">
        <x:v>Missing email</x:v>
      </x:c>
    </x:row>
    <x:row r="3927">
      <x:c r="A3927" s="16" t="n">
        <x:v>3924</x:v>
      </x:c>
      <x:c r="B3927" s="16" t="str">
        <x:v>Khairul Hamze</x:v>
      </x:c>
      <x:c r="C3927" s="16" t="str"/>
      <x:c r="D3927" s="16" t="str"/>
      <x:c r="E3927" s="16" t="str">
        <x:v>* myContacts</x:v>
      </x:c>
      <x:c r="F3927" s="16" t="str">
        <x:v>+60173838114</x:v>
      </x:c>
      <x:c r="G3927" s="16" t="str">
        <x:v>+60173838114</x:v>
      </x:c>
      <x:c r="H3927" s="16" t="str">
        <x:v>Excluded</x:v>
      </x:c>
      <x:c r="I3927" s="16" t="str">
        <x:v>Missing email</x:v>
      </x:c>
    </x:row>
    <x:row r="3928">
      <x:c r="A3928" s="16" t="n">
        <x:v>3925</x:v>
      </x:c>
      <x:c r="B3928" s="16" t="str">
        <x:v>Khairul Imran Client CWA</x:v>
      </x:c>
      <x:c r="C3928" s="16" t="str"/>
      <x:c r="D3928" s="16" t="str"/>
      <x:c r="E3928" s="16" t="str">
        <x:v>* myContacts</x:v>
      </x:c>
      <x:c r="F3928" s="16" t="str">
        <x:v>0162098244 | +60162098244</x:v>
      </x:c>
      <x:c r="G3928" s="16" t="str">
        <x:v>+60162098244 | +60162098244</x:v>
      </x:c>
      <x:c r="H3928" s="16" t="str">
        <x:v>Excluded</x:v>
      </x:c>
      <x:c r="I3928" s="16" t="str">
        <x:v>Missing email</x:v>
      </x:c>
    </x:row>
    <x:row r="3929">
      <x:c r="A3929" s="16" t="n">
        <x:v>3926</x:v>
      </x:c>
      <x:c r="B3929" s="16" t="str">
        <x:v>Mr Khairul Insurance Expert</x:v>
      </x:c>
      <x:c r="C3929" s="16" t="str"/>
      <x:c r="D3929" s="16" t="str"/>
      <x:c r="E3929" s="16" t="str">
        <x:v>* myContacts</x:v>
      </x:c>
      <x:c r="F3929" s="16" t="str">
        <x:v>+60 19-213 1100</x:v>
      </x:c>
      <x:c r="G3929" s="16" t="str">
        <x:v>+60192131100</x:v>
      </x:c>
      <x:c r="H3929" s="16" t="str">
        <x:v>Excluded</x:v>
      </x:c>
      <x:c r="I3929" s="16" t="str">
        <x:v>Missing email</x:v>
      </x:c>
    </x:row>
    <x:row r="3930">
      <x:c r="A3930" s="16" t="n">
        <x:v>3927</x:v>
      </x:c>
      <x:c r="B3930" s="16" t="str">
        <x:v>Khairul Jihadi Yusof</x:v>
      </x:c>
      <x:c r="C3930" s="16" t="str"/>
      <x:c r="D3930" s="16" t="str"/>
      <x:c r="E3930" s="16" t="str">
        <x:v>* myContacts</x:v>
      </x:c>
      <x:c r="F3930" s="16" t="str">
        <x:v>+60192676416</x:v>
      </x:c>
      <x:c r="G3930" s="16" t="str">
        <x:v>+60192676416</x:v>
      </x:c>
      <x:c r="H3930" s="16" t="str">
        <x:v>Excluded</x:v>
      </x:c>
      <x:c r="I3930" s="16" t="str">
        <x:v>Missing email</x:v>
      </x:c>
    </x:row>
    <x:row r="3931">
      <x:c r="A3931" s="16" t="n">
        <x:v>3928</x:v>
      </x:c>
      <x:c r="B3931" s="16" t="str">
        <x:v>Khairul Jumaiyah Sukran</x:v>
      </x:c>
      <x:c r="C3931" s="16" t="str"/>
      <x:c r="D3931" s="16" t="str"/>
      <x:c r="E3931" s="16" t="str">
        <x:v>* myContacts</x:v>
      </x:c>
      <x:c r="F3931" s="16" t="str">
        <x:v>+601137085059</x:v>
      </x:c>
      <x:c r="G3931" s="16" t="str">
        <x:v>+601137085059</x:v>
      </x:c>
      <x:c r="H3931" s="16" t="str">
        <x:v>Excluded</x:v>
      </x:c>
      <x:c r="I3931" s="16" t="str">
        <x:v>Missing email</x:v>
      </x:c>
    </x:row>
    <x:row r="3932">
      <x:c r="A3932" s="16" t="n">
        <x:v>3929</x:v>
      </x:c>
      <x:c r="B3932" s="16" t="str">
        <x:v>Khairul Naim</x:v>
      </x:c>
      <x:c r="C3932" s="16" t="str"/>
      <x:c r="D3932" s="16" t="str"/>
      <x:c r="E3932" s="16" t="str">
        <x:v>* myContacts</x:v>
      </x:c>
      <x:c r="F3932" s="16" t="str">
        <x:v>+60122983580</x:v>
      </x:c>
      <x:c r="G3932" s="16" t="str">
        <x:v>+60122983580</x:v>
      </x:c>
      <x:c r="H3932" s="16" t="str">
        <x:v>Excluded</x:v>
      </x:c>
      <x:c r="I3932" s="16" t="str">
        <x:v>Missing email</x:v>
      </x:c>
    </x:row>
    <x:row r="3933">
      <x:c r="A3933" s="16" t="n">
        <x:v>3930</x:v>
      </x:c>
      <x:c r="B3933" s="16" t="str">
        <x:v>Khairul Nieshat MOhd SaLeh</x:v>
      </x:c>
      <x:c r="C3933" s="16" t="str"/>
      <x:c r="D3933" s="16" t="str"/>
      <x:c r="E3933" s="16" t="str">
        <x:v>* myContacts</x:v>
      </x:c>
      <x:c r="F3933" s="16" t="str">
        <x:v>+60139036190</x:v>
      </x:c>
      <x:c r="G3933" s="16" t="str">
        <x:v>+60139036190</x:v>
      </x:c>
      <x:c r="H3933" s="16" t="str">
        <x:v>Excluded</x:v>
      </x:c>
      <x:c r="I3933" s="16" t="str">
        <x:v>Missing email</x:v>
      </x:c>
    </x:row>
    <x:row r="3934">
      <x:c r="A3934" s="16" t="n">
        <x:v>3931</x:v>
      </x:c>
      <x:c r="B3934" s="16" t="str">
        <x:v>Khairul Nisaa</x:v>
      </x:c>
      <x:c r="C3934" s="16" t="str"/>
      <x:c r="D3934" s="16" t="str"/>
      <x:c r="E3934" s="16" t="str">
        <x:v>* myContacts</x:v>
      </x:c>
      <x:c r="F3934" s="16" t="str">
        <x:v>+60124504437</x:v>
      </x:c>
      <x:c r="G3934" s="16" t="str">
        <x:v>+60124504437</x:v>
      </x:c>
      <x:c r="H3934" s="16" t="str">
        <x:v>Excluded</x:v>
      </x:c>
      <x:c r="I3934" s="16" t="str">
        <x:v>Missing email</x:v>
      </x:c>
    </x:row>
    <x:row r="3935">
      <x:c r="A3935" s="16" t="n">
        <x:v>3932</x:v>
      </x:c>
      <x:c r="B3935" s="16" t="str">
        <x:v>Khairul Nizam AGP</x:v>
      </x:c>
      <x:c r="C3935" s="16" t="str"/>
      <x:c r="D3935" s="16" t="str"/>
      <x:c r="E3935" s="16" t="str">
        <x:v>* myContacts</x:v>
      </x:c>
      <x:c r="F3935" s="16" t="str">
        <x:v>+60 13-399 6065 | +60133996065</x:v>
      </x:c>
      <x:c r="G3935" s="16" t="str">
        <x:v>+60133996065 | +60133996065</x:v>
      </x:c>
      <x:c r="H3935" s="16" t="str">
        <x:v>Excluded</x:v>
      </x:c>
      <x:c r="I3935" s="16" t="str">
        <x:v>Missing email</x:v>
      </x:c>
    </x:row>
    <x:row r="3936">
      <x:c r="A3936" s="16" t="n">
        <x:v>3933</x:v>
      </x:c>
      <x:c r="B3936" s="16" t="str">
        <x:v>Khairul Post Natal</x:v>
      </x:c>
      <x:c r="C3936" s="16" t="str"/>
      <x:c r="D3936" s="16" t="str"/>
      <x:c r="E3936" s="16" t="str">
        <x:v>* myContacts</x:v>
      </x:c>
      <x:c r="F3936" s="16" t="str">
        <x:v>0123927679 | +60123927679</x:v>
      </x:c>
      <x:c r="G3936" s="16" t="str">
        <x:v>+60123927679 | +60123927679</x:v>
      </x:c>
      <x:c r="H3936" s="16" t="str">
        <x:v>Excluded</x:v>
      </x:c>
      <x:c r="I3936" s="16" t="str">
        <x:v>Missing email</x:v>
      </x:c>
    </x:row>
    <x:row r="3937">
      <x:c r="A3937" s="16" t="n">
        <x:v>3934</x:v>
      </x:c>
      <x:c r="B3937" s="16" t="str">
        <x:v>Khairul Revotech</x:v>
      </x:c>
      <x:c r="C3937" s="16" t="str"/>
      <x:c r="D3937" s="16" t="str"/>
      <x:c r="E3937" s="16" t="str">
        <x:v>* myContacts</x:v>
      </x:c>
      <x:c r="F3937" s="16" t="str">
        <x:v>+60 16-557 3321 | +60165573321</x:v>
      </x:c>
      <x:c r="G3937" s="16" t="str">
        <x:v>+60165573321 | +60165573321</x:v>
      </x:c>
      <x:c r="H3937" s="16" t="str">
        <x:v>Excluded</x:v>
      </x:c>
      <x:c r="I3937" s="16" t="str">
        <x:v>Missing email</x:v>
      </x:c>
    </x:row>
    <x:row r="3938">
      <x:c r="A3938" s="16" t="n">
        <x:v>3935</x:v>
      </x:c>
      <x:c r="B3938" s="16" t="str">
        <x:v>Khairul Suhairy</x:v>
      </x:c>
      <x:c r="C3938" s="16" t="str"/>
      <x:c r="D3938" s="16" t="str"/>
      <x:c r="E3938" s="16" t="str">
        <x:v>* myContacts</x:v>
      </x:c>
      <x:c r="F3938" s="16" t="str">
        <x:v>+60189132872</x:v>
      </x:c>
      <x:c r="G3938" s="16" t="str">
        <x:v>+60189132872</x:v>
      </x:c>
      <x:c r="H3938" s="16" t="str">
        <x:v>Excluded</x:v>
      </x:c>
      <x:c r="I3938" s="16" t="str">
        <x:v>Missing email</x:v>
      </x:c>
    </x:row>
    <x:row r="3939">
      <x:c r="A3939" s="16" t="n">
        <x:v>3936</x:v>
      </x:c>
      <x:c r="B3939" s="16" t="str">
        <x:v>Khairul Ultra Sifu</x:v>
      </x:c>
      <x:c r="C3939" s="16" t="str"/>
      <x:c r="D3939" s="16" t="str"/>
      <x:c r="E3939" s="16" t="str">
        <x:v>Trainer | * myContacts</x:v>
      </x:c>
      <x:c r="F3939" s="16" t="str">
        <x:v>+60193790697</x:v>
      </x:c>
      <x:c r="G3939" s="16" t="str">
        <x:v>+60193790697</x:v>
      </x:c>
      <x:c r="H3939" s="16" t="str">
        <x:v>Excluded</x:v>
      </x:c>
      <x:c r="I3939" s="16" t="str">
        <x:v>Missing email</x:v>
      </x:c>
    </x:row>
    <x:row r="3940">
      <x:c r="A3940" s="16" t="n">
        <x:v>3937</x:v>
      </x:c>
      <x:c r="B3940" s="16" t="str">
        <x:v>Khairulnizam Khairuddin</x:v>
      </x:c>
      <x:c r="C3940" s="16" t="str"/>
      <x:c r="D3940" s="16" t="str"/>
      <x:c r="E3940" s="16" t="str">
        <x:v>* myContacts</x:v>
      </x:c>
      <x:c r="F3940" s="16" t="str">
        <x:v>+60195188313</x:v>
      </x:c>
      <x:c r="G3940" s="16" t="str">
        <x:v>+60195188313</x:v>
      </x:c>
      <x:c r="H3940" s="16" t="str">
        <x:v>Excluded</x:v>
      </x:c>
      <x:c r="I3940" s="16" t="str">
        <x:v>Missing email</x:v>
      </x:c>
    </x:row>
    <x:row r="3941">
      <x:c r="A3941" s="16" t="n">
        <x:v>3938</x:v>
      </x:c>
      <x:c r="B3941" s="16" t="str">
        <x:v>Khairuz Faiz</x:v>
      </x:c>
      <x:c r="C3941" s="16" t="str"/>
      <x:c r="D3941" s="16" t="str"/>
      <x:c r="E3941" s="16" t="str">
        <x:v>* myContacts</x:v>
      </x:c>
      <x:c r="F3941" s="16" t="str">
        <x:v>+601123456789</x:v>
      </x:c>
      <x:c r="G3941" s="16" t="str">
        <x:v>+601123456789</x:v>
      </x:c>
      <x:c r="H3941" s="16" t="str">
        <x:v>Excluded</x:v>
      </x:c>
      <x:c r="I3941" s="16" t="str">
        <x:v>Missing email</x:v>
      </x:c>
    </x:row>
    <x:row r="3942">
      <x:c r="A3942" s="16" t="n">
        <x:v>3939</x:v>
      </x:c>
      <x:c r="B3942" s="16" t="str">
        <x:v>Khairuzzaman Khaeruddin</x:v>
      </x:c>
      <x:c r="C3942" s="16" t="str"/>
      <x:c r="D3942" s="16" t="str"/>
      <x:c r="E3942" s="16" t="str">
        <x:v>* myContacts</x:v>
      </x:c>
      <x:c r="F3942" s="16" t="str">
        <x:v>+60194138621</x:v>
      </x:c>
      <x:c r="G3942" s="16" t="str">
        <x:v>+60194138621</x:v>
      </x:c>
      <x:c r="H3942" s="16" t="str">
        <x:v>Excluded</x:v>
      </x:c>
      <x:c r="I3942" s="16" t="str">
        <x:v>Missing email</x:v>
      </x:c>
    </x:row>
    <x:row r="3943">
      <x:c r="A3943" s="16" t="n">
        <x:v>3940</x:v>
      </x:c>
      <x:c r="B3943" s="16" t="str">
        <x:v>Khalid Bin Kalil</x:v>
      </x:c>
      <x:c r="C3943" s="16" t="str">
        <x:v>mkhalidkhalil@gmail.com</x:v>
      </x:c>
      <x:c r="D3943" s="16" t="str">
        <x:v>mkhalidkhalil@gmail.com</x:v>
      </x:c>
      <x:c r="E3943" s="16" t="str">
        <x:v>* myContacts</x:v>
      </x:c>
      <x:c r="F3943" s="16" t="str">
        <x:v>010-551 2017 | +60105512017</x:v>
      </x:c>
      <x:c r="G3943" s="16" t="str">
        <x:v>+60105512017 | +60105512017</x:v>
      </x:c>
      <x:c r="H3943" s="16" t="str">
        <x:v>Eligible</x:v>
      </x:c>
      <x:c r="I3943" s="16" t="str"/>
    </x:row>
    <x:row r="3944">
      <x:c r="A3944" s="16" t="n">
        <x:v>3941</x:v>
      </x:c>
      <x:c r="B3944" s="16" t="str">
        <x:v>Khalid Shah Perodua</x:v>
      </x:c>
      <x:c r="C3944" s="16" t="str"/>
      <x:c r="D3944" s="16" t="str"/>
      <x:c r="E3944" s="16" t="str">
        <x:v>* myContacts</x:v>
      </x:c>
      <x:c r="F3944" s="16" t="str">
        <x:v>+60164252351</x:v>
      </x:c>
      <x:c r="G3944" s="16" t="str">
        <x:v>+60164252351</x:v>
      </x:c>
      <x:c r="H3944" s="16" t="str">
        <x:v>Excluded</x:v>
      </x:c>
      <x:c r="I3944" s="16" t="str">
        <x:v>Missing email</x:v>
      </x:c>
    </x:row>
    <x:row r="3945">
      <x:c r="A3945" s="16" t="n">
        <x:v>3942</x:v>
      </x:c>
      <x:c r="B3945" s="16" t="str">
        <x:v>Khalifah Kamal</x:v>
      </x:c>
      <x:c r="C3945" s="16" t="str"/>
      <x:c r="D3945" s="16" t="str"/>
      <x:c r="E3945" s="16" t="str">
        <x:v>* myContacts</x:v>
      </x:c>
      <x:c r="F3945" s="16" t="str">
        <x:v>+60134084990</x:v>
      </x:c>
      <x:c r="G3945" s="16" t="str">
        <x:v>+60134084990</x:v>
      </x:c>
      <x:c r="H3945" s="16" t="str">
        <x:v>Excluded</x:v>
      </x:c>
      <x:c r="I3945" s="16" t="str">
        <x:v>Missing email</x:v>
      </x:c>
    </x:row>
    <x:row r="3946">
      <x:c r="A3946" s="16" t="n">
        <x:v>3943</x:v>
      </x:c>
      <x:c r="B3946" s="16" t="str">
        <x:v>Khalis Zalani</x:v>
      </x:c>
      <x:c r="C3946" s="16" t="str"/>
      <x:c r="D3946" s="16" t="str"/>
      <x:c r="E3946" s="16" t="str">
        <x:v>* myContacts</x:v>
      </x:c>
      <x:c r="F3946" s="16" t="str">
        <x:v>+60195409036</x:v>
      </x:c>
      <x:c r="G3946" s="16" t="str">
        <x:v>+60195409036</x:v>
      </x:c>
      <x:c r="H3946" s="16" t="str">
        <x:v>Excluded</x:v>
      </x:c>
      <x:c r="I3946" s="16" t="str">
        <x:v>Missing email</x:v>
      </x:c>
    </x:row>
    <x:row r="3947">
      <x:c r="A3947" s="16" t="n">
        <x:v>3944</x:v>
      </x:c>
      <x:c r="B3947" s="16" t="str">
        <x:v>Khalisyah Umairah Kaseh</x:v>
      </x:c>
      <x:c r="C3947" s="16" t="str"/>
      <x:c r="D3947" s="16" t="str"/>
      <x:c r="E3947" s="16" t="str">
        <x:v>* myContacts</x:v>
      </x:c>
      <x:c r="F3947" s="16" t="str">
        <x:v>+6057163885</x:v>
      </x:c>
      <x:c r="G3947" s="16" t="str">
        <x:v>+6057163885</x:v>
      </x:c>
      <x:c r="H3947" s="16" t="str">
        <x:v>Excluded</x:v>
      </x:c>
      <x:c r="I3947" s="16" t="str">
        <x:v>Missing email</x:v>
      </x:c>
    </x:row>
    <x:row r="3948">
      <x:c r="A3948" s="16" t="n">
        <x:v>3945</x:v>
      </x:c>
      <x:c r="B3948" s="16" t="str">
        <x:v>Khamshah AGP</x:v>
      </x:c>
      <x:c r="C3948" s="16" t="str"/>
      <x:c r="D3948" s="16" t="str"/>
      <x:c r="E3948" s="16" t="str">
        <x:v>* myContacts</x:v>
      </x:c>
      <x:c r="F3948" s="16" t="str">
        <x:v>+60123560220</x:v>
      </x:c>
      <x:c r="G3948" s="16" t="str">
        <x:v>+60123560220</x:v>
      </x:c>
      <x:c r="H3948" s="16" t="str">
        <x:v>Excluded</x:v>
      </x:c>
      <x:c r="I3948" s="16" t="str">
        <x:v>Missing email</x:v>
      </x:c>
    </x:row>
    <x:row r="3949">
      <x:c r="A3949" s="16" t="n">
        <x:v>3946</x:v>
      </x:c>
      <x:c r="B3949" s="16" t="str">
        <x:v>Khan Asif Computer Laptop Sales Expert</x:v>
      </x:c>
      <x:c r="C3949" s="16" t="str"/>
      <x:c r="D3949" s="16" t="str"/>
      <x:c r="E3949" s="16" t="str">
        <x:v>* myContacts</x:v>
      </x:c>
      <x:c r="F3949" s="16" t="str">
        <x:v>0168981106 | +60168981106</x:v>
      </x:c>
      <x:c r="G3949" s="16" t="str">
        <x:v>+60168981106 | +60168981106</x:v>
      </x:c>
      <x:c r="H3949" s="16" t="str">
        <x:v>Excluded</x:v>
      </x:c>
      <x:c r="I3949" s="16" t="str">
        <x:v>Missing email</x:v>
      </x:c>
    </x:row>
    <x:row r="3950">
      <x:c r="A3950" s="16" t="n">
        <x:v>3947</x:v>
      </x:c>
      <x:c r="B3950" s="16" t="str">
        <x:v>Khim COD</x:v>
      </x:c>
      <x:c r="C3950" s="16" t="str"/>
      <x:c r="D3950" s="16" t="str"/>
      <x:c r="E3950" s="16" t="str">
        <x:v>* myContacts</x:v>
      </x:c>
      <x:c r="F3950" s="16" t="str">
        <x:v>+6013-333 8010</x:v>
      </x:c>
      <x:c r="G3950" s="16" t="str">
        <x:v>+60133338010</x:v>
      </x:c>
      <x:c r="H3950" s="16" t="str">
        <x:v>Excluded</x:v>
      </x:c>
      <x:c r="I3950" s="16" t="str">
        <x:v>Missing email</x:v>
      </x:c>
    </x:row>
    <x:row r="3951">
      <x:c r="A3951" s="16" t="n">
        <x:v>3948</x:v>
      </x:c>
      <x:c r="B3951" s="16" t="str">
        <x:v>Khir Saleh AGP</x:v>
      </x:c>
      <x:c r="C3951" s="16" t="str"/>
      <x:c r="D3951" s="16" t="str"/>
      <x:c r="E3951" s="16" t="str">
        <x:v>* myContacts</x:v>
      </x:c>
      <x:c r="F3951" s="16" t="str">
        <x:v>+60 19-215 9554 | 60192159554</x:v>
      </x:c>
      <x:c r="G3951" s="16" t="str">
        <x:v>+60192159554 | +60192159554</x:v>
      </x:c>
      <x:c r="H3951" s="16" t="str">
        <x:v>Excluded</x:v>
      </x:c>
      <x:c r="I3951" s="16" t="str">
        <x:v>Missing email</x:v>
      </x:c>
    </x:row>
    <x:row r="3952">
      <x:c r="A3952" s="16" t="n">
        <x:v>3949</x:v>
      </x:c>
      <x:c r="B3952" s="16" t="str">
        <x:v>Khir Saleh AGP</x:v>
      </x:c>
      <x:c r="C3952" s="16" t="str"/>
      <x:c r="D3952" s="16" t="str"/>
      <x:c r="E3952" s="16" t="str">
        <x:v>* myContacts</x:v>
      </x:c>
      <x:c r="F3952" s="16" t="str">
        <x:v>+60192159554 | 60192159554</x:v>
      </x:c>
      <x:c r="G3952" s="16" t="str">
        <x:v>+60192159554 | +60192159554</x:v>
      </x:c>
      <x:c r="H3952" s="16" t="str">
        <x:v>Excluded</x:v>
      </x:c>
      <x:c r="I3952" s="16" t="str">
        <x:v>Missing email</x:v>
      </x:c>
    </x:row>
    <x:row r="3953">
      <x:c r="A3953" s="16" t="n">
        <x:v>3950</x:v>
      </x:c>
      <x:c r="B3953" s="16" t="str">
        <x:v>KHM Content Admin</x:v>
      </x:c>
      <x:c r="C3953" s="16" t="str"/>
      <x:c r="D3953" s="16" t="str"/>
      <x:c r="E3953" s="16" t="str">
        <x:v>* myContacts</x:v>
      </x:c>
      <x:c r="F3953" s="16" t="str">
        <x:v>+60 13-554 0704 | +60135540704</x:v>
      </x:c>
      <x:c r="G3953" s="16" t="str">
        <x:v>+60135540704 | +60135540704</x:v>
      </x:c>
      <x:c r="H3953" s="16" t="str">
        <x:v>Excluded</x:v>
      </x:c>
      <x:c r="I3953" s="16" t="str">
        <x:v>Missing email</x:v>
      </x:c>
    </x:row>
    <x:row r="3954">
      <x:c r="A3954" s="16" t="n">
        <x:v>3951</x:v>
      </x:c>
      <x:c r="B3954" s="16" t="str">
        <x:v>Kho Repair Rexton Aircond Controller</x:v>
      </x:c>
      <x:c r="C3954" s="16" t="str"/>
      <x:c r="D3954" s="16" t="str"/>
      <x:c r="E3954" s="16" t="str">
        <x:v>* myContacts</x:v>
      </x:c>
      <x:c r="F3954" s="16" t="str">
        <x:v>+60 12-307 4832</x:v>
      </x:c>
      <x:c r="G3954" s="16" t="str">
        <x:v>+60123074832</x:v>
      </x:c>
      <x:c r="H3954" s="16" t="str">
        <x:v>Excluded</x:v>
      </x:c>
      <x:c r="I3954" s="16" t="str">
        <x:v>Missing email</x:v>
      </x:c>
    </x:row>
    <x:row r="3955">
      <x:c r="A3955" s="16" t="n">
        <x:v>3952</x:v>
      </x:c>
      <x:c r="B3955" s="16" t="str">
        <x:v>Kho Repair Rexton Aircond Controller</x:v>
      </x:c>
      <x:c r="C3955" s="16" t="str"/>
      <x:c r="D3955" s="16" t="str"/>
      <x:c r="E3955" s="16" t="str">
        <x:v>* myContacts</x:v>
      </x:c>
      <x:c r="F3955" s="16" t="str">
        <x:v>+60123074832</x:v>
      </x:c>
      <x:c r="G3955" s="16" t="str">
        <x:v>+60123074832</x:v>
      </x:c>
      <x:c r="H3955" s="16" t="str">
        <x:v>Excluded</x:v>
      </x:c>
      <x:c r="I3955" s="16" t="str">
        <x:v>Missing email</x:v>
      </x:c>
    </x:row>
    <x:row r="3956">
      <x:c r="A3956" s="16" t="n">
        <x:v>3953</x:v>
      </x:c>
      <x:c r="B3956" s="16" t="str">
        <x:v>Khuailid Foziah</x:v>
      </x:c>
      <x:c r="C3956" s="16" t="str"/>
      <x:c r="D3956" s="16" t="str"/>
      <x:c r="E3956" s="16" t="str">
        <x:v>* myContacts</x:v>
      </x:c>
      <x:c r="F3956" s="16" t="str">
        <x:v>+60146137893</x:v>
      </x:c>
      <x:c r="G3956" s="16" t="str">
        <x:v>+60146137893</x:v>
      </x:c>
      <x:c r="H3956" s="16" t="str">
        <x:v>Excluded</x:v>
      </x:c>
      <x:c r="I3956" s="16" t="str">
        <x:v>Missing email</x:v>
      </x:c>
    </x:row>
    <x:row r="3957">
      <x:c r="A3957" s="16" t="n">
        <x:v>3954</x:v>
      </x:c>
      <x:c r="B3957" s="16" t="str">
        <x:v>Khuram Abbas</x:v>
      </x:c>
      <x:c r="C3957" s="16" t="str"/>
      <x:c r="D3957" s="16" t="str"/>
      <x:c r="E3957" s="16" t="str">
        <x:v>* myContacts</x:v>
      </x:c>
      <x:c r="F3957" s="16" t="str">
        <x:v>+923426992664</x:v>
      </x:c>
      <x:c r="G3957" s="16" t="str">
        <x:v>+923426992664</x:v>
      </x:c>
      <x:c r="H3957" s="16" t="str">
        <x:v>Excluded</x:v>
      </x:c>
      <x:c r="I3957" s="16" t="str">
        <x:v>Missing email</x:v>
      </x:c>
    </x:row>
    <x:row r="3958">
      <x:c r="A3958" s="16" t="n">
        <x:v>3955</x:v>
      </x:c>
      <x:c r="B3958" s="16" t="str">
        <x:v>Khuzaimah Mohamed</x:v>
      </x:c>
      <x:c r="C3958" s="16" t="str"/>
      <x:c r="D3958" s="16" t="str"/>
      <x:c r="E3958" s="16" t="str">
        <x:v>* myContacts</x:v>
      </x:c>
      <x:c r="F3958" s="16" t="str">
        <x:v>+60199100682</x:v>
      </x:c>
      <x:c r="G3958" s="16" t="str">
        <x:v>+60199100682</x:v>
      </x:c>
      <x:c r="H3958" s="16" t="str">
        <x:v>Excluded</x:v>
      </x:c>
      <x:c r="I3958" s="16" t="str">
        <x:v>Missing email</x:v>
      </x:c>
    </x:row>
    <x:row r="3959">
      <x:c r="A3959" s="16" t="n">
        <x:v>3956</x:v>
      </x:c>
      <x:c r="B3959" s="16" t="str">
        <x:v>Ki Prana Syawal</x:v>
      </x:c>
      <x:c r="C3959" s="16" t="str"/>
      <x:c r="D3959" s="16" t="str"/>
      <x:c r="E3959" s="16" t="str">
        <x:v>* myContacts</x:v>
      </x:c>
      <x:c r="F3959" s="16" t="str">
        <x:v>+60149674731</x:v>
      </x:c>
      <x:c r="G3959" s="16" t="str">
        <x:v>+60149674731</x:v>
      </x:c>
      <x:c r="H3959" s="16" t="str">
        <x:v>Excluded</x:v>
      </x:c>
      <x:c r="I3959" s="16" t="str">
        <x:v>Missing email</x:v>
      </x:c>
    </x:row>
    <x:row r="3960">
      <x:c r="A3960" s="16" t="n">
        <x:v>3957</x:v>
      </x:c>
      <x:c r="B3960" s="16" t="str">
        <x:v>Kiddo KL</x:v>
      </x:c>
      <x:c r="C3960" s="16" t="str"/>
      <x:c r="D3960" s="16" t="str"/>
      <x:c r="E3960" s="16" t="str">
        <x:v>* myContacts</x:v>
      </x:c>
      <x:c r="F3960" s="16" t="str">
        <x:v>+60193256881</x:v>
      </x:c>
      <x:c r="G3960" s="16" t="str">
        <x:v>+60193256881</x:v>
      </x:c>
      <x:c r="H3960" s="16" t="str">
        <x:v>Excluded</x:v>
      </x:c>
      <x:c r="I3960" s="16" t="str">
        <x:v>Missing email</x:v>
      </x:c>
    </x:row>
    <x:row r="3961">
      <x:c r="A3961" s="16" t="n">
        <x:v>3958</x:v>
      </x:c>
      <x:c r="B3961" s="16" t="str">
        <x:v>Kierenjeet Singh Sohal</x:v>
      </x:c>
      <x:c r="C3961" s="16" t="str"/>
      <x:c r="D3961" s="16" t="str"/>
      <x:c r="E3961" s="16" t="str">
        <x:v>* myContacts</x:v>
      </x:c>
      <x:c r="F3961" s="16" t="str">
        <x:v>+60169607479</x:v>
      </x:c>
      <x:c r="G3961" s="16" t="str">
        <x:v>+60169607479</x:v>
      </x:c>
      <x:c r="H3961" s="16" t="str">
        <x:v>Excluded</x:v>
      </x:c>
      <x:c r="I3961" s="16" t="str">
        <x:v>Missing email</x:v>
      </x:c>
    </x:row>
    <x:row r="3962">
      <x:c r="A3962" s="16" t="n">
        <x:v>3959</x:v>
      </x:c>
      <x:c r="B3962" s="16" t="str">
        <x:v>Kifah Mdec Akaun</x:v>
      </x:c>
      <x:c r="C3962" s="16" t="str"/>
      <x:c r="D3962" s="16" t="str"/>
      <x:c r="E3962" s="16" t="str">
        <x:v>* myContacts</x:v>
      </x:c>
      <x:c r="F3962" s="16" t="str">
        <x:v>+60178467552</x:v>
      </x:c>
      <x:c r="G3962" s="16" t="str">
        <x:v>+60178467552</x:v>
      </x:c>
      <x:c r="H3962" s="16" t="str">
        <x:v>Excluded</x:v>
      </x:c>
      <x:c r="I3962" s="16" t="str">
        <x:v>Missing email</x:v>
      </x:c>
    </x:row>
    <x:row r="3963">
      <x:c r="A3963" s="16" t="n">
        <x:v>3960</x:v>
      </x:c>
      <x:c r="B3963" s="16" t="str">
        <x:v>Puan Kifah Mdec Akaun</x:v>
      </x:c>
      <x:c r="C3963" s="16" t="str"/>
      <x:c r="D3963" s="16" t="str"/>
      <x:c r="E3963" s="16" t="str">
        <x:v>* myContacts</x:v>
      </x:c>
      <x:c r="F3963" s="16" t="str">
        <x:v>+60178467552</x:v>
      </x:c>
      <x:c r="G3963" s="16" t="str">
        <x:v>+60178467552</x:v>
      </x:c>
      <x:c r="H3963" s="16" t="str">
        <x:v>Excluded</x:v>
      </x:c>
      <x:c r="I3963" s="16" t="str">
        <x:v>Missing email</x:v>
      </x:c>
    </x:row>
    <x:row r="3964">
      <x:c r="A3964" s="16" t="n">
        <x:v>3961</x:v>
      </x:c>
      <x:c r="B3964" s="16" t="str">
        <x:v>Kilang D SaVon</x:v>
      </x:c>
      <x:c r="C3964" s="16" t="str"/>
      <x:c r="D3964" s="16" t="str"/>
      <x:c r="E3964" s="16" t="str">
        <x:v>* myContacts</x:v>
      </x:c>
      <x:c r="F3964" s="16" t="str">
        <x:v>+601114494482</x:v>
      </x:c>
      <x:c r="G3964" s="16" t="str">
        <x:v>+601114494482</x:v>
      </x:c>
      <x:c r="H3964" s="16" t="str">
        <x:v>Excluded</x:v>
      </x:c>
      <x:c r="I3964" s="16" t="str">
        <x:v>Missing email</x:v>
      </x:c>
    </x:row>
    <x:row r="3965">
      <x:c r="A3965" s="16" t="n">
        <x:v>3962</x:v>
      </x:c>
      <x:c r="B3965" s="16" t="str">
        <x:v>Kilang Sabun</x:v>
      </x:c>
      <x:c r="C3965" s="16" t="str"/>
      <x:c r="D3965" s="16" t="str"/>
      <x:c r="E3965" s="16" t="str">
        <x:v>* myContacts</x:v>
      </x:c>
      <x:c r="F3965" s="16" t="str">
        <x:v>+60360386300</x:v>
      </x:c>
      <x:c r="G3965" s="16" t="str">
        <x:v>+60360386300</x:v>
      </x:c>
      <x:c r="H3965" s="16" t="str">
        <x:v>Excluded</x:v>
      </x:c>
      <x:c r="I3965" s="16" t="str">
        <x:v>Missing email</x:v>
      </x:c>
    </x:row>
    <x:row r="3966">
      <x:c r="A3966" s="16" t="n">
        <x:v>3963</x:v>
      </x:c>
      <x:c r="B3966" s="16" t="str">
        <x:v>Kilul Ambril</x:v>
      </x:c>
      <x:c r="C3966" s="16" t="str"/>
      <x:c r="D3966" s="16" t="str"/>
      <x:c r="E3966" s="16" t="str">
        <x:v>* myContacts</x:v>
      </x:c>
      <x:c r="F3966" s="16" t="str">
        <x:v>+6281262887068</x:v>
      </x:c>
      <x:c r="G3966" s="16" t="str">
        <x:v>+6281262887068</x:v>
      </x:c>
      <x:c r="H3966" s="16" t="str">
        <x:v>Excluded</x:v>
      </x:c>
      <x:c r="I3966" s="16" t="str">
        <x:v>Missing email</x:v>
      </x:c>
    </x:row>
    <x:row r="3967">
      <x:c r="A3967" s="16" t="n">
        <x:v>3964</x:v>
      </x:c>
      <x:c r="B3967" s="16" t="str">
        <x:v>Kim aka Ms Pui</x:v>
      </x:c>
      <x:c r="C3967" s="16" t="str"/>
      <x:c r="D3967" s="16" t="str"/>
      <x:c r="E3967" s="16" t="str">
        <x:v>* myContacts</x:v>
      </x:c>
      <x:c r="F3967" s="16" t="str">
        <x:v>+60129899006</x:v>
      </x:c>
      <x:c r="G3967" s="16" t="str">
        <x:v>+60129899006</x:v>
      </x:c>
      <x:c r="H3967" s="16" t="str">
        <x:v>Excluded</x:v>
      </x:c>
      <x:c r="I3967" s="16" t="str">
        <x:v>Missing email</x:v>
      </x:c>
    </x:row>
    <x:row r="3968">
      <x:c r="A3968" s="16" t="n">
        <x:v>3965</x:v>
      </x:c>
      <x:c r="B3968" s="16" t="str">
        <x:v>King Puple</x:v>
      </x:c>
      <x:c r="C3968" s="16" t="str"/>
      <x:c r="D3968" s="16" t="str"/>
      <x:c r="E3968" s="16" t="str">
        <x:v>* myContacts</x:v>
      </x:c>
      <x:c r="F3968" s="16" t="str">
        <x:v>+60135547685</x:v>
      </x:c>
      <x:c r="G3968" s="16" t="str">
        <x:v>+60135547685</x:v>
      </x:c>
      <x:c r="H3968" s="16" t="str">
        <x:v>Excluded</x:v>
      </x:c>
      <x:c r="I3968" s="16" t="str">
        <x:v>Missing email</x:v>
      </x:c>
    </x:row>
    <x:row r="3969">
      <x:c r="A3969" s="16" t="n">
        <x:v>3966</x:v>
      </x:c>
      <x:c r="B3969" s="16" t="str">
        <x:v>Kionz.C</x:v>
      </x:c>
      <x:c r="C3969" s="16" t="str"/>
      <x:c r="D3969" s="16" t="str"/>
      <x:c r="E3969" s="16" t="str">
        <x:v>* myContacts</x:v>
      </x:c>
      <x:c r="F3969" s="16" t="str">
        <x:v>+60166277088</x:v>
      </x:c>
      <x:c r="G3969" s="16" t="str">
        <x:v>+60166277088</x:v>
      </x:c>
      <x:c r="H3969" s="16" t="str">
        <x:v>Excluded</x:v>
      </x:c>
      <x:c r="I3969" s="16" t="str">
        <x:v>Missing email</x:v>
      </x:c>
    </x:row>
    <x:row r="3970">
      <x:c r="A3970" s="16" t="n">
        <x:v>3967</x:v>
      </x:c>
      <x:c r="B3970" s="16" t="str">
        <x:v>Kiren Kaur</x:v>
      </x:c>
      <x:c r="C3970" s="16" t="str"/>
      <x:c r="D3970" s="16" t="str"/>
      <x:c r="E3970" s="16" t="str">
        <x:v>* myContacts</x:v>
      </x:c>
      <x:c r="F3970" s="16" t="str">
        <x:v>+60 12-257 9498 | +60122579498</x:v>
      </x:c>
      <x:c r="G3970" s="16" t="str">
        <x:v>+60122579498 | +60122579498</x:v>
      </x:c>
      <x:c r="H3970" s="16" t="str">
        <x:v>Excluded</x:v>
      </x:c>
      <x:c r="I3970" s="16" t="str">
        <x:v>Missing email</x:v>
      </x:c>
    </x:row>
    <x:row r="3971">
      <x:c r="A3971" s="16" t="n">
        <x:v>3968</x:v>
      </x:c>
      <x:c r="B3971" s="16" t="str">
        <x:v>Kissz Berapi</x:v>
      </x:c>
      <x:c r="C3971" s="16" t="str"/>
      <x:c r="D3971" s="16" t="str"/>
      <x:c r="E3971" s="16" t="str">
        <x:v>* myContacts</x:v>
      </x:c>
      <x:c r="F3971" s="16" t="str">
        <x:v>+60138074155</x:v>
      </x:c>
      <x:c r="G3971" s="16" t="str">
        <x:v>+60138074155</x:v>
      </x:c>
      <x:c r="H3971" s="16" t="str">
        <x:v>Excluded</x:v>
      </x:c>
      <x:c r="I3971" s="16" t="str">
        <x:v>Missing email</x:v>
      </x:c>
    </x:row>
    <x:row r="3972">
      <x:c r="A3972" s="16" t="n">
        <x:v>3969</x:v>
      </x:c>
      <x:c r="B3972" s="16" t="str">
        <x:v>Kiwa Mudin</x:v>
      </x:c>
      <x:c r="C3972" s="16" t="str"/>
      <x:c r="D3972" s="16" t="str"/>
      <x:c r="E3972" s="16" t="str">
        <x:v>* myContacts</x:v>
      </x:c>
      <x:c r="F3972" s="16" t="str">
        <x:v>+6285264390882</x:v>
      </x:c>
      <x:c r="G3972" s="16" t="str">
        <x:v>+6285264390882</x:v>
      </x:c>
      <x:c r="H3972" s="16" t="str">
        <x:v>Excluded</x:v>
      </x:c>
      <x:c r="I3972" s="16" t="str">
        <x:v>Missing email</x:v>
      </x:c>
    </x:row>
    <x:row r="3973">
      <x:c r="A3973" s="16" t="n">
        <x:v>3970</x:v>
      </x:c>
      <x:c r="B3973" s="16" t="str">
        <x:v>Kizana Hata</x:v>
      </x:c>
      <x:c r="C3973" s="16" t="str"/>
      <x:c r="D3973" s="16" t="str"/>
      <x:c r="E3973" s="16" t="str">
        <x:v>* myContacts</x:v>
      </x:c>
      <x:c r="F3973" s="16" t="str">
        <x:v>+60179992327</x:v>
      </x:c>
      <x:c r="G3973" s="16" t="str">
        <x:v>+60179992327</x:v>
      </x:c>
      <x:c r="H3973" s="16" t="str">
        <x:v>Excluded</x:v>
      </x:c>
      <x:c r="I3973" s="16" t="str">
        <x:v>Missing email</x:v>
      </x:c>
    </x:row>
    <x:row r="3974">
      <x:c r="A3974" s="16" t="n">
        <x:v>3971</x:v>
      </x:c>
      <x:c r="B3974" s="16" t="str">
        <x:v>Kk</x:v>
      </x:c>
      <x:c r="C3974" s="16" t="str"/>
      <x:c r="D3974" s="16" t="str"/>
      <x:c r="E3974" s="16" t="str">
        <x:v>* myContacts</x:v>
      </x:c>
      <x:c r="F3974" s="16" t="str">
        <x:v>+60176102133</x:v>
      </x:c>
      <x:c r="G3974" s="16" t="str">
        <x:v>+60176102133</x:v>
      </x:c>
      <x:c r="H3974" s="16" t="str">
        <x:v>Excluded</x:v>
      </x:c>
      <x:c r="I3974" s="16" t="str">
        <x:v>Missing email</x:v>
      </x:c>
    </x:row>
    <x:row r="3975">
      <x:c r="A3975" s="16" t="n">
        <x:v>3972</x:v>
      </x:c>
      <x:c r="B3975" s="16" t="str">
        <x:v>Mr Kk</x:v>
      </x:c>
      <x:c r="C3975" s="16" t="str"/>
      <x:c r="D3975" s="16" t="str"/>
      <x:c r="E3975" s="16" t="str">
        <x:v>* myContacts</x:v>
      </x:c>
      <x:c r="F3975" s="16" t="str">
        <x:v>0176102133</x:v>
      </x:c>
      <x:c r="G3975" s="16" t="str">
        <x:v>+60176102133</x:v>
      </x:c>
      <x:c r="H3975" s="16" t="str">
        <x:v>Excluded</x:v>
      </x:c>
      <x:c r="I3975" s="16" t="str">
        <x:v>Missing email</x:v>
      </x:c>
    </x:row>
    <x:row r="3976">
      <x:c r="A3976" s="16" t="n">
        <x:v>3973</x:v>
      </x:c>
      <x:c r="B3976" s="16" t="str">
        <x:v>KL BrightSail</x:v>
      </x:c>
      <x:c r="C3976" s="16" t="str"/>
      <x:c r="D3976" s="16" t="str"/>
      <x:c r="E3976" s="16" t="str">
        <x:v>* myContacts</x:v>
      </x:c>
      <x:c r="F3976" s="16" t="str">
        <x:v>+60326930069</x:v>
      </x:c>
      <x:c r="G3976" s="16" t="str">
        <x:v>+60326930069</x:v>
      </x:c>
      <x:c r="H3976" s="16" t="str">
        <x:v>Excluded</x:v>
      </x:c>
      <x:c r="I3976" s="16" t="str">
        <x:v>Missing email</x:v>
      </x:c>
    </x:row>
    <x:row r="3977">
      <x:c r="A3977" s="16" t="n">
        <x:v>3974</x:v>
      </x:c>
      <x:c r="B3977" s="16" t="str">
        <x:v>Klasiksms Sms</x:v>
      </x:c>
      <x:c r="C3977" s="16" t="str"/>
      <x:c r="D3977" s="16" t="str"/>
      <x:c r="E3977" s="16" t="str">
        <x:v>* myContacts</x:v>
      </x:c>
      <x:c r="F3977" s="16" t="str">
        <x:v>+60125082073</x:v>
      </x:c>
      <x:c r="G3977" s="16" t="str">
        <x:v>+60125082073</x:v>
      </x:c>
      <x:c r="H3977" s="16" t="str">
        <x:v>Excluded</x:v>
      </x:c>
      <x:c r="I3977" s="16" t="str">
        <x:v>Missing email</x:v>
      </x:c>
    </x:row>
    <x:row r="3978">
      <x:c r="A3978" s="16" t="n">
        <x:v>3975</x:v>
      </x:c>
      <x:c r="B3978" s="16" t="str">
        <x:v>Klay</x:v>
      </x:c>
      <x:c r="C3978" s="16" t="str"/>
      <x:c r="D3978" s="16" t="str"/>
      <x:c r="E3978" s="16" t="str">
        <x:v>* myContacts</x:v>
      </x:c>
      <x:c r="F3978" s="16" t="str">
        <x:v>+6289517871598</x:v>
      </x:c>
      <x:c r="G3978" s="16" t="str">
        <x:v>+6289517871598</x:v>
      </x:c>
      <x:c r="H3978" s="16" t="str">
        <x:v>Excluded</x:v>
      </x:c>
      <x:c r="I3978" s="16" t="str">
        <x:v>Missing email</x:v>
      </x:c>
    </x:row>
    <x:row r="3979">
      <x:c r="A3979" s="16" t="n">
        <x:v>3976</x:v>
      </x:c>
      <x:c r="B3979" s="16" t="str">
        <x:v>Klinik Surgeri Sedhuram</x:v>
      </x:c>
      <x:c r="C3979" s="16" t="str"/>
      <x:c r="D3979" s="16" t="str"/>
      <x:c r="E3979" s="16" t="str">
        <x:v>* myContacts</x:v>
      </x:c>
      <x:c r="F3979" s="16" t="str">
        <x:v>0194378403 | +60194378403</x:v>
      </x:c>
      <x:c r="G3979" s="16" t="str">
        <x:v>+60194378403 | +60194378403</x:v>
      </x:c>
      <x:c r="H3979" s="16" t="str">
        <x:v>Excluded</x:v>
      </x:c>
      <x:c r="I3979" s="16" t="str">
        <x:v>Missing email</x:v>
      </x:c>
    </x:row>
    <x:row r="3980">
      <x:c r="A3980" s="16" t="n">
        <x:v>3977</x:v>
      </x:c>
      <x:c r="B3980" s="16" t="str">
        <x:v>kml gg</x:v>
      </x:c>
      <x:c r="C3980" s="16" t="str"/>
      <x:c r="D3980" s="16" t="str"/>
      <x:c r="E3980" s="16" t="str">
        <x:v>* myContacts</x:v>
      </x:c>
      <x:c r="F3980" s="16" t="str">
        <x:v>+60 14-808 6301 | +60148086301</x:v>
      </x:c>
      <x:c r="G3980" s="16" t="str">
        <x:v>+60148086301 | +60148086301</x:v>
      </x:c>
      <x:c r="H3980" s="16" t="str">
        <x:v>Excluded</x:v>
      </x:c>
      <x:c r="I3980" s="16" t="str">
        <x:v>Missing email</x:v>
      </x:c>
    </x:row>
    <x:row r="3981">
      <x:c r="A3981" s="16" t="n">
        <x:v>3978</x:v>
      </x:c>
      <x:c r="B3981" s="16" t="str">
        <x:v>Knj YB Stokis Selangor</x:v>
      </x:c>
      <x:c r="C3981" s="16" t="str"/>
      <x:c r="D3981" s="16" t="str"/>
      <x:c r="E3981" s="16" t="str">
        <x:v>* myContacts</x:v>
      </x:c>
      <x:c r="F3981" s="16" t="str">
        <x:v>+60178782809</x:v>
      </x:c>
      <x:c r="G3981" s="16" t="str">
        <x:v>+60178782809</x:v>
      </x:c>
      <x:c r="H3981" s="16" t="str">
        <x:v>Excluded</x:v>
      </x:c>
      <x:c r="I3981" s="16" t="str">
        <x:v>Missing email</x:v>
      </x:c>
    </x:row>
    <x:row r="3982">
      <x:c r="A3982" s="16" t="n">
        <x:v>3979</x:v>
      </x:c>
      <x:c r="B3982" s="16" t="str">
        <x:v>Koboy Sentosa</x:v>
      </x:c>
      <x:c r="C3982" s="16" t="str"/>
      <x:c r="D3982" s="16" t="str"/>
      <x:c r="E3982" s="16" t="str">
        <x:v>* myContacts</x:v>
      </x:c>
      <x:c r="F3982" s="16" t="str">
        <x:v>+60166938695</x:v>
      </x:c>
      <x:c r="G3982" s="16" t="str">
        <x:v>+60166938695</x:v>
      </x:c>
      <x:c r="H3982" s="16" t="str">
        <x:v>Excluded</x:v>
      </x:c>
      <x:c r="I3982" s="16" t="str">
        <x:v>Missing email</x:v>
      </x:c>
    </x:row>
    <x:row r="3983">
      <x:c r="A3983" s="16" t="n">
        <x:v>3980</x:v>
      </x:c>
      <x:c r="B3983" s="16" t="str">
        <x:v>Kochikamie Bsick</x:v>
      </x:c>
      <x:c r="C3983" s="16" t="str"/>
      <x:c r="D3983" s="16" t="str"/>
      <x:c r="E3983" s="16" t="str">
        <x:v>* myContacts</x:v>
      </x:c>
      <x:c r="F3983" s="16" t="str">
        <x:v>+60172723194</x:v>
      </x:c>
      <x:c r="G3983" s="16" t="str">
        <x:v>+60172723194</x:v>
      </x:c>
      <x:c r="H3983" s="16" t="str">
        <x:v>Excluded</x:v>
      </x:c>
      <x:c r="I3983" s="16" t="str">
        <x:v>Missing email</x:v>
      </x:c>
    </x:row>
    <x:row r="3984">
      <x:c r="A3984" s="16" t="n">
        <x:v>3981</x:v>
      </x:c>
      <x:c r="B3984" s="16" t="str">
        <x:v>Kogulan Kogu</x:v>
      </x:c>
      <x:c r="C3984" s="16" t="str"/>
      <x:c r="D3984" s="16" t="str"/>
      <x:c r="E3984" s="16" t="str">
        <x:v>* myContacts</x:v>
      </x:c>
      <x:c r="F3984" s="16" t="str">
        <x:v>+60103871449</x:v>
      </x:c>
      <x:c r="G3984" s="16" t="str">
        <x:v>+60103871449</x:v>
      </x:c>
      <x:c r="H3984" s="16" t="str">
        <x:v>Excluded</x:v>
      </x:c>
      <x:c r="I3984" s="16" t="str">
        <x:v>Missing email</x:v>
      </x:c>
    </x:row>
    <x:row r="3985">
      <x:c r="A3985" s="16" t="n">
        <x:v>3982</x:v>
      </x:c>
      <x:c r="B3985" s="16" t="str">
        <x:v>Koleksi Azra Sibu</x:v>
      </x:c>
      <x:c r="C3985" s="16" t="str"/>
      <x:c r="D3985" s="16" t="str"/>
      <x:c r="E3985" s="16" t="str">
        <x:v>* myContacts</x:v>
      </x:c>
      <x:c r="F3985" s="16" t="str">
        <x:v>+60198857484</x:v>
      </x:c>
      <x:c r="G3985" s="16" t="str">
        <x:v>+60198857484</x:v>
      </x:c>
      <x:c r="H3985" s="16" t="str">
        <x:v>Excluded</x:v>
      </x:c>
      <x:c r="I3985" s="16" t="str">
        <x:v>Missing email</x:v>
      </x:c>
    </x:row>
    <x:row r="3986">
      <x:c r="A3986" s="16" t="n">
        <x:v>3983</x:v>
      </x:c>
      <x:c r="B3986" s="16" t="str">
        <x:v>Koleksi Bayi Dan Kanak-Kanak</x:v>
      </x:c>
      <x:c r="C3986" s="16" t="str"/>
      <x:c r="D3986" s="16" t="str"/>
      <x:c r="E3986" s="16" t="str">
        <x:v>* myContacts</x:v>
      </x:c>
      <x:c r="F3986" s="16" t="str">
        <x:v>+60192492880</x:v>
      </x:c>
      <x:c r="G3986" s="16" t="str">
        <x:v>+60192492880</x:v>
      </x:c>
      <x:c r="H3986" s="16" t="str">
        <x:v>Excluded</x:v>
      </x:c>
      <x:c r="I3986" s="16" t="str">
        <x:v>Missing email</x:v>
      </x:c>
    </x:row>
    <x:row r="3987">
      <x:c r="A3987" s="16" t="n">
        <x:v>3984</x:v>
      </x:c>
      <x:c r="B3987" s="16" t="str">
        <x:v>Koleksi Herziyanti Niaga</x:v>
      </x:c>
      <x:c r="C3987" s="16" t="str"/>
      <x:c r="D3987" s="16" t="str"/>
      <x:c r="E3987" s="16" t="str">
        <x:v>* myContacts</x:v>
      </x:c>
      <x:c r="F3987" s="16" t="str">
        <x:v>+601119967884</x:v>
      </x:c>
      <x:c r="G3987" s="16" t="str">
        <x:v>+601119967884</x:v>
      </x:c>
      <x:c r="H3987" s="16" t="str">
        <x:v>Excluded</x:v>
      </x:c>
      <x:c r="I3987" s="16" t="str">
        <x:v>Missing email</x:v>
      </x:c>
    </x:row>
    <x:row r="3988">
      <x:c r="A3988" s="16" t="n">
        <x:v>3985</x:v>
      </x:c>
      <x:c r="B3988" s="16" t="str">
        <x:v>Koleksi Keluarga Keluarga</x:v>
      </x:c>
      <x:c r="C3988" s="16" t="str"/>
      <x:c r="D3988" s="16" t="str"/>
      <x:c r="E3988" s="16" t="str">
        <x:v>* myContacts</x:v>
      </x:c>
      <x:c r="F3988" s="16" t="str">
        <x:v>+60194026648</x:v>
      </x:c>
      <x:c r="G3988" s="16" t="str">
        <x:v>+60194026648</x:v>
      </x:c>
      <x:c r="H3988" s="16" t="str">
        <x:v>Excluded</x:v>
      </x:c>
      <x:c r="I3988" s="16" t="str">
        <x:v>Missing email</x:v>
      </x:c>
    </x:row>
    <x:row r="3989">
      <x:c r="A3989" s="16" t="n">
        <x:v>3986</x:v>
      </x:c>
      <x:c r="B3989" s="16" t="str">
        <x:v>Dr Komputer</x:v>
      </x:c>
      <x:c r="C3989" s="16" t="str"/>
      <x:c r="D3989" s="16" t="str"/>
      <x:c r="E3989" s="16" t="str">
        <x:v>* myContacts</x:v>
      </x:c>
      <x:c r="F3989" s="16" t="str">
        <x:v>+60123182560</x:v>
      </x:c>
      <x:c r="G3989" s="16" t="str">
        <x:v>+60123182560</x:v>
      </x:c>
      <x:c r="H3989" s="16" t="str">
        <x:v>Excluded</x:v>
      </x:c>
      <x:c r="I3989" s="16" t="str">
        <x:v>Missing email</x:v>
      </x:c>
    </x:row>
    <x:row r="3990">
      <x:c r="A3990" s="16" t="n">
        <x:v>3987</x:v>
      </x:c>
      <x:c r="B3990" s="16" t="str">
        <x:v>Kori Ns</x:v>
      </x:c>
      <x:c r="C3990" s="16" t="str"/>
      <x:c r="D3990" s="16" t="str"/>
      <x:c r="E3990" s="16" t="str">
        <x:v>* myContacts</x:v>
      </x:c>
      <x:c r="F3990" s="16" t="str">
        <x:v>+60109464616</x:v>
      </x:c>
      <x:c r="G3990" s="16" t="str">
        <x:v>+60109464616</x:v>
      </x:c>
      <x:c r="H3990" s="16" t="str">
        <x:v>Excluded</x:v>
      </x:c>
      <x:c r="I3990" s="16" t="str">
        <x:v>Missing email</x:v>
      </x:c>
    </x:row>
    <x:row r="3991">
      <x:c r="A3991" s="16" t="n">
        <x:v>3988</x:v>
      </x:c>
      <x:c r="B3991" s="16" t="str">
        <x:v>Kosmetik Nurraysa</x:v>
      </x:c>
      <x:c r="C3991" s="16" t="str"/>
      <x:c r="D3991" s="16" t="str"/>
      <x:c r="E3991" s="16" t="str">
        <x:v>* myContacts</x:v>
      </x:c>
      <x:c r="F3991" s="16" t="str">
        <x:v>+60145162247</x:v>
      </x:c>
      <x:c r="G3991" s="16" t="str">
        <x:v>+60145162247</x:v>
      </x:c>
      <x:c r="H3991" s="16" t="str">
        <x:v>Excluded</x:v>
      </x:c>
      <x:c r="I3991" s="16" t="str">
        <x:v>Missing email</x:v>
      </x:c>
    </x:row>
    <x:row r="3992">
      <x:c r="A3992" s="16" t="n">
        <x:v>3989</x:v>
      </x:c>
      <x:c r="B3992" s="16" t="str">
        <x:v>Kota Kinabalu Sabah</x:v>
      </x:c>
      <x:c r="C3992" s="16" t="str"/>
      <x:c r="D3992" s="16" t="str"/>
      <x:c r="E3992" s="16" t="str">
        <x:v>* myContacts</x:v>
      </x:c>
      <x:c r="F3992" s="16" t="str">
        <x:v>+60168108974</x:v>
      </x:c>
      <x:c r="G3992" s="16" t="str">
        <x:v>+60168108974</x:v>
      </x:c>
      <x:c r="H3992" s="16" t="str">
        <x:v>Excluded</x:v>
      </x:c>
      <x:c r="I3992" s="16" t="str">
        <x:v>Missing email</x:v>
      </x:c>
    </x:row>
    <x:row r="3993">
      <x:c r="A3993" s="16" t="n">
        <x:v>3990</x:v>
      </x:c>
      <x:c r="B3993" s="16" t="str">
        <x:v>Koxec Messi</x:v>
      </x:c>
      <x:c r="C3993" s="16" t="str"/>
      <x:c r="D3993" s="16" t="str"/>
      <x:c r="E3993" s="16" t="str">
        <x:v>* myContacts</x:v>
      </x:c>
      <x:c r="F3993" s="16" t="str">
        <x:v>+6043409412</x:v>
      </x:c>
      <x:c r="G3993" s="16" t="str">
        <x:v>+6043409412</x:v>
      </x:c>
      <x:c r="H3993" s="16" t="str">
        <x:v>Excluded</x:v>
      </x:c>
      <x:c r="I3993" s="16" t="str">
        <x:v>Missing email</x:v>
      </x:c>
    </x:row>
    <x:row r="3994">
      <x:c r="A3994" s="16" t="n">
        <x:v>3991</x:v>
      </x:c>
      <x:c r="B3994" s="16" t="str">
        <x:v>Kpl mohd nizam</x:v>
      </x:c>
      <x:c r="C3994" s="16" t="str"/>
      <x:c r="D3994" s="16" t="str"/>
      <x:c r="E3994" s="16" t="str">
        <x:v>* myContacts</x:v>
      </x:c>
      <x:c r="F3994" s="16" t="str">
        <x:v>+60 17-521 6344 | +60175216344</x:v>
      </x:c>
      <x:c r="G3994" s="16" t="str">
        <x:v>+60175216344 | +60175216344</x:v>
      </x:c>
      <x:c r="H3994" s="16" t="str">
        <x:v>Excluded</x:v>
      </x:c>
      <x:c r="I3994" s="16" t="str">
        <x:v>Missing email</x:v>
      </x:c>
    </x:row>
    <x:row r="3995">
      <x:c r="A3995" s="16" t="n">
        <x:v>3992</x:v>
      </x:c>
      <x:c r="B3995" s="16" t="str">
        <x:v>KPLB Fadzil</x:v>
      </x:c>
      <x:c r="C3995" s="16" t="str"/>
      <x:c r="D3995" s="16" t="str"/>
      <x:c r="E3995" s="16" t="str">
        <x:v>* myContacts</x:v>
      </x:c>
      <x:c r="F3995" s="16" t="str">
        <x:v>+60 12-513 0020 | +60125130020</x:v>
      </x:c>
      <x:c r="G3995" s="16" t="str">
        <x:v>+60125130020 | +60125130020</x:v>
      </x:c>
      <x:c r="H3995" s="16" t="str">
        <x:v>Excluded</x:v>
      </x:c>
      <x:c r="I3995" s="16" t="str">
        <x:v>Missing email</x:v>
      </x:c>
    </x:row>
    <x:row r="3996">
      <x:c r="A3996" s="16" t="n">
        <x:v>3993</x:v>
      </x:c>
      <x:c r="B3996" s="16" t="str">
        <x:v>Kraf Ezee</x:v>
      </x:c>
      <x:c r="C3996" s="16" t="str"/>
      <x:c r="D3996" s="16" t="str"/>
      <x:c r="E3996" s="16" t="str">
        <x:v>* myContacts</x:v>
      </x:c>
      <x:c r="F3996" s="16" t="str">
        <x:v>+60129289727</x:v>
      </x:c>
      <x:c r="G3996" s="16" t="str">
        <x:v>+60129289727</x:v>
      </x:c>
      <x:c r="H3996" s="16" t="str">
        <x:v>Excluded</x:v>
      </x:c>
      <x:c r="I3996" s="16" t="str">
        <x:v>Missing email</x:v>
      </x:c>
    </x:row>
    <x:row r="3997">
      <x:c r="A3997" s="16" t="n">
        <x:v>3994</x:v>
      </x:c>
      <x:c r="B3997" s="16" t="str">
        <x:v>Ku Zila</x:v>
      </x:c>
      <x:c r="C3997" s="16" t="str"/>
      <x:c r="D3997" s="16" t="str"/>
      <x:c r="E3997" s="16" t="str">
        <x:v>* myContacts</x:v>
      </x:c>
      <x:c r="F3997" s="16" t="str">
        <x:v>+60149118005</x:v>
      </x:c>
      <x:c r="G3997" s="16" t="str">
        <x:v>+60149118005</x:v>
      </x:c>
      <x:c r="H3997" s="16" t="str">
        <x:v>Excluded</x:v>
      </x:c>
      <x:c r="I3997" s="16" t="str">
        <x:v>Missing email</x:v>
      </x:c>
    </x:row>
    <x:row r="3998">
      <x:c r="A3998" s="16" t="n">
        <x:v>3995</x:v>
      </x:c>
      <x:c r="B3998" s="16" t="str">
        <x:v>kuala selangor print</x:v>
      </x:c>
      <x:c r="C3998" s="16" t="str"/>
      <x:c r="D3998" s="16" t="str"/>
      <x:c r="E3998" s="16" t="str">
        <x:v>* myContacts</x:v>
      </x:c>
      <x:c r="F3998" s="16" t="str">
        <x:v>0109202044 | +60109202044</x:v>
      </x:c>
      <x:c r="G3998" s="16" t="str">
        <x:v>+60109202044 | +60109202044</x:v>
      </x:c>
      <x:c r="H3998" s="16" t="str">
        <x:v>Excluded</x:v>
      </x:c>
      <x:c r="I3998" s="16" t="str">
        <x:v>Missing email</x:v>
      </x:c>
    </x:row>
    <x:row r="3999">
      <x:c r="A3999" s="16" t="n">
        <x:v>3996</x:v>
      </x:c>
      <x:c r="B3999" s="16" t="str">
        <x:v>Kueh Koci Soho</x:v>
      </x:c>
      <x:c r="C3999" s="16" t="str"/>
      <x:c r="D3999" s="16" t="str"/>
      <x:c r="E3999" s="16" t="str">
        <x:v>* myContacts</x:v>
      </x:c>
      <x:c r="F3999" s="16" t="str">
        <x:v>+60199723936</x:v>
      </x:c>
      <x:c r="G3999" s="16" t="str">
        <x:v>+60199723936</x:v>
      </x:c>
      <x:c r="H3999" s="16" t="str">
        <x:v>Excluded</x:v>
      </x:c>
      <x:c r="I3999" s="16" t="str">
        <x:v>Missing email</x:v>
      </x:c>
    </x:row>
    <x:row r="4000">
      <x:c r="A4000" s="16" t="n">
        <x:v>3997</x:v>
      </x:c>
      <x:c r="B4000" s="16" t="str">
        <x:v>Kumoten Office</x:v>
      </x:c>
      <x:c r="C4000" s="16" t="str"/>
      <x:c r="D4000" s="16" t="str"/>
      <x:c r="E4000" s="16" t="str">
        <x:v>* myContacts</x:v>
      </x:c>
      <x:c r="F4000" s="16" t="str">
        <x:v>+60380661391</x:v>
      </x:c>
      <x:c r="G4000" s="16" t="str">
        <x:v>+60380661391</x:v>
      </x:c>
      <x:c r="H4000" s="16" t="str">
        <x:v>Excluded</x:v>
      </x:c>
      <x:c r="I4000" s="16" t="str">
        <x:v>Missing email</x:v>
      </x:c>
    </x:row>
    <x:row r="4001">
      <x:c r="A4001" s="16" t="n">
        <x:v>3998</x:v>
      </x:c>
      <x:c r="B4001" s="16" t="str">
        <x:v>Kumoten Support</x:v>
      </x:c>
      <x:c r="C4001" s="16" t="str"/>
      <x:c r="D4001" s="16" t="str"/>
      <x:c r="E4001" s="16" t="str">
        <x:v>* myContacts</x:v>
      </x:c>
      <x:c r="F4001" s="16" t="str">
        <x:v>+60 11-6058 3290 | +601160583290</x:v>
      </x:c>
      <x:c r="G4001" s="16" t="str">
        <x:v>+601160583290 | +601160583290</x:v>
      </x:c>
      <x:c r="H4001" s="16" t="str">
        <x:v>Excluded</x:v>
      </x:c>
      <x:c r="I4001" s="16" t="str">
        <x:v>Missing email</x:v>
      </x:c>
    </x:row>
    <x:row r="4002">
      <x:c r="A4002" s="16" t="n">
        <x:v>3999</x:v>
      </x:c>
      <x:c r="B4002" s="16" t="str">
        <x:v>Kurnia Auto Assist</x:v>
      </x:c>
      <x:c r="C4002" s="16" t="str"/>
      <x:c r="D4002" s="16" t="str"/>
      <x:c r="E4002" s="16" t="str">
        <x:v>* myContacts</x:v>
      </x:c>
      <x:c r="F4002" s="16" t="str">
        <x:v>1800883833</x:v>
      </x:c>
      <x:c r="G4002" s="16" t="str"/>
      <x:c r="H4002" s="16" t="str">
        <x:v>Excluded</x:v>
      </x:c>
      <x:c r="I4002" s="16" t="str">
        <x:v>Missing email</x:v>
      </x:c>
    </x:row>
    <x:row r="4003">
      <x:c r="A4003" s="16" t="n">
        <x:v>4000</x:v>
      </x:c>
      <x:c r="B4003" s="16" t="str">
        <x:v>Kursus Kahwin KL</x:v>
      </x:c>
      <x:c r="C4003" s="16" t="str"/>
      <x:c r="D4003" s="16" t="str"/>
      <x:c r="E4003" s="16" t="str">
        <x:v>* myContacts</x:v>
      </x:c>
      <x:c r="F4003" s="16" t="str">
        <x:v>+60132266190</x:v>
      </x:c>
      <x:c r="G4003" s="16" t="str">
        <x:v>+60132266190</x:v>
      </x:c>
      <x:c r="H4003" s="16" t="str">
        <x:v>Excluded</x:v>
      </x:c>
      <x:c r="I4003" s="16" t="str">
        <x:v>Missing email</x:v>
      </x:c>
    </x:row>
    <x:row r="4004">
      <x:c r="A4004" s="16" t="n">
        <x:v>4001</x:v>
      </x:c>
      <x:c r="B4004" s="16" t="str">
        <x:v>Kusik Ku</x:v>
      </x:c>
      <x:c r="C4004" s="16" t="str"/>
      <x:c r="D4004" s="16" t="str"/>
      <x:c r="E4004" s="16" t="str">
        <x:v>* myContacts</x:v>
      </x:c>
      <x:c r="F4004" s="16" t="str">
        <x:v>+60122620990</x:v>
      </x:c>
      <x:c r="G4004" s="16" t="str">
        <x:v>+60122620990</x:v>
      </x:c>
      <x:c r="H4004" s="16" t="str">
        <x:v>Excluded</x:v>
      </x:c>
      <x:c r="I4004" s="16" t="str">
        <x:v>Missing email</x:v>
      </x:c>
    </x:row>
    <x:row r="4005">
      <x:c r="A4005" s="16" t="n">
        <x:v>4002</x:v>
      </x:c>
      <x:c r="B4005" s="16" t="str">
        <x:v>kutip utang</x:v>
      </x:c>
      <x:c r="C4005" s="16" t="str"/>
      <x:c r="D4005" s="16" t="str"/>
      <x:c r="E4005" s="16" t="str">
        <x:v>* myContacts</x:v>
      </x:c>
      <x:c r="F4005" s="16" t="str">
        <x:v>+60194021653</x:v>
      </x:c>
      <x:c r="G4005" s="16" t="str">
        <x:v>+60194021653</x:v>
      </x:c>
      <x:c r="H4005" s="16" t="str">
        <x:v>Excluded</x:v>
      </x:c>
      <x:c r="I4005" s="16" t="str">
        <x:v>Missing email</x:v>
      </x:c>
    </x:row>
    <x:row r="4006">
      <x:c r="A4006" s="16" t="n">
        <x:v>4003</x:v>
      </x:c>
      <x:c r="B4006" s="16" t="str">
        <x:v>Kwan Hsiong Law</x:v>
      </x:c>
      <x:c r="C4006" s="16" t="str"/>
      <x:c r="D4006" s="16" t="str"/>
      <x:c r="E4006" s="16" t="str">
        <x:v>* myContacts</x:v>
      </x:c>
      <x:c r="F4006" s="16" t="str">
        <x:v>+601124128541</x:v>
      </x:c>
      <x:c r="G4006" s="16" t="str">
        <x:v>+601124128541</x:v>
      </x:c>
      <x:c r="H4006" s="16" t="str">
        <x:v>Excluded</x:v>
      </x:c>
      <x:c r="I4006" s="16" t="str">
        <x:v>Missing email</x:v>
      </x:c>
    </x:row>
    <x:row r="4007">
      <x:c r="A4007" s="16" t="n">
        <x:v>4004</x:v>
      </x:c>
      <x:c r="B4007" s="16" t="str">
        <x:v>KWang Hock Ling</x:v>
      </x:c>
      <x:c r="C4007" s="16" t="str"/>
      <x:c r="D4007" s="16" t="str"/>
      <x:c r="E4007" s="16" t="str">
        <x:v>* myContacts</x:v>
      </x:c>
      <x:c r="F4007" s="16" t="str">
        <x:v>+60128853735</x:v>
      </x:c>
      <x:c r="G4007" s="16" t="str">
        <x:v>+60128853735</x:v>
      </x:c>
      <x:c r="H4007" s="16" t="str">
        <x:v>Excluded</x:v>
      </x:c>
      <x:c r="I4007" s="16" t="str">
        <x:v>Missing email</x:v>
      </x:c>
    </x:row>
    <x:row r="4008">
      <x:c r="A4008" s="16" t="n">
        <x:v>4005</x:v>
      </x:c>
      <x:c r="B4008" s="16" t="str">
        <x:v>Kyle Nash Jr.</x:v>
      </x:c>
      <x:c r="C4008" s="16" t="str"/>
      <x:c r="D4008" s="16" t="str"/>
      <x:c r="E4008" s="16" t="str">
        <x:v>* myContacts</x:v>
      </x:c>
      <x:c r="F4008" s="16" t="str">
        <x:v>+60172579719</x:v>
      </x:c>
      <x:c r="G4008" s="16" t="str">
        <x:v>+60172579719</x:v>
      </x:c>
      <x:c r="H4008" s="16" t="str">
        <x:v>Excluded</x:v>
      </x:c>
      <x:c r="I4008" s="16" t="str">
        <x:v>Missing email</x:v>
      </x:c>
    </x:row>
    <x:row r="4009">
      <x:c r="A4009" s="16" t="n">
        <x:v>4006</x:v>
      </x:c>
      <x:c r="B4009" s="16" t="str">
        <x:v>Kyo Zx</x:v>
      </x:c>
      <x:c r="C4009" s="16" t="str"/>
      <x:c r="D4009" s="16" t="str"/>
      <x:c r="E4009" s="16" t="str">
        <x:v>* myContacts</x:v>
      </x:c>
      <x:c r="F4009" s="16" t="str">
        <x:v>+60169885546</x:v>
      </x:c>
      <x:c r="G4009" s="16" t="str">
        <x:v>+60169885546</x:v>
      </x:c>
      <x:c r="H4009" s="16" t="str">
        <x:v>Excluded</x:v>
      </x:c>
      <x:c r="I4009" s="16" t="str">
        <x:v>Missing email</x:v>
      </x:c>
    </x:row>
    <x:row r="4010">
      <x:c r="A4010" s="16" t="n">
        <x:v>4007</x:v>
      </x:c>
      <x:c r="B4010" s="16" t="str">
        <x:v>Kyrol Nora Elina</x:v>
      </x:c>
      <x:c r="C4010" s="16" t="str"/>
      <x:c r="D4010" s="16" t="str"/>
      <x:c r="E4010" s="16" t="str">
        <x:v>* myContacts</x:v>
      </x:c>
      <x:c r="F4010" s="16" t="str">
        <x:v>+60135120232</x:v>
      </x:c>
      <x:c r="G4010" s="16" t="str">
        <x:v>+60135120232</x:v>
      </x:c>
      <x:c r="H4010" s="16" t="str">
        <x:v>Excluded</x:v>
      </x:c>
      <x:c r="I4010" s="16" t="str">
        <x:v>Missing email</x:v>
      </x:c>
    </x:row>
    <x:row r="4011">
      <x:c r="A4011" s="16" t="n">
        <x:v>4008</x:v>
      </x:c>
      <x:c r="B4011" s="16" t="str">
        <x:v>La</x:v>
      </x:c>
      <x:c r="C4011" s="16" t="str"/>
      <x:c r="D4011" s="16" t="str"/>
      <x:c r="E4011" s="16" t="str">
        <x:v>* myContacts</x:v>
      </x:c>
      <x:c r="F4011" s="16" t="str">
        <x:v>+6281803719888</x:v>
      </x:c>
      <x:c r="G4011" s="16" t="str">
        <x:v>+6281803719888</x:v>
      </x:c>
      <x:c r="H4011" s="16" t="str">
        <x:v>Excluded</x:v>
      </x:c>
      <x:c r="I4011" s="16" t="str">
        <x:v>Missing email</x:v>
      </x:c>
    </x:row>
    <x:row r="4012">
      <x:c r="A4012" s="16" t="n">
        <x:v>4009</x:v>
      </x:c>
      <x:c r="B4012" s="16" t="str">
        <x:v>La Rosa Artistry</x:v>
      </x:c>
      <x:c r="C4012" s="16" t="str"/>
      <x:c r="D4012" s="16" t="str"/>
      <x:c r="E4012" s="16" t="str">
        <x:v>* myContacts</x:v>
      </x:c>
      <x:c r="F4012" s="16" t="str">
        <x:v>+60126050390</x:v>
      </x:c>
      <x:c r="G4012" s="16" t="str">
        <x:v>+60126050390</x:v>
      </x:c>
      <x:c r="H4012" s="16" t="str">
        <x:v>Excluded</x:v>
      </x:c>
      <x:c r="I4012" s="16" t="str">
        <x:v>Missing email</x:v>
      </x:c>
    </x:row>
    <x:row r="4013">
      <x:c r="A4013" s="16" t="n">
        <x:v>4010</x:v>
      </x:c>
      <x:c r="B4013" s="16" t="str">
        <x:v>LÄ"ily ZÃ»raidi</x:v>
      </x:c>
      <x:c r="C4013" s="16" t="str"/>
      <x:c r="D4013" s="16" t="str"/>
      <x:c r="E4013" s="16" t="str">
        <x:v>* myContacts</x:v>
      </x:c>
      <x:c r="F4013" s="16" t="str">
        <x:v>+60139318357</x:v>
      </x:c>
      <x:c r="G4013" s="16" t="str">
        <x:v>+60139318357</x:v>
      </x:c>
      <x:c r="H4013" s="16" t="str">
        <x:v>Excluded</x:v>
      </x:c>
      <x:c r="I4013" s="16" t="str">
        <x:v>Missing email</x:v>
      </x:c>
    </x:row>
    <x:row r="4014">
      <x:c r="A4014" s="16" t="n">
        <x:v>4011</x:v>
      </x:c>
      <x:c r="B4014" s="16" t="str">
        <x:v>Ladyza Cake</x:v>
      </x:c>
      <x:c r="C4014" s="16" t="str"/>
      <x:c r="D4014" s="16" t="str"/>
      <x:c r="E4014" s="16" t="str">
        <x:v>* myContacts</x:v>
      </x:c>
      <x:c r="F4014" s="16" t="str">
        <x:v>+60176537956</x:v>
      </x:c>
      <x:c r="G4014" s="16" t="str">
        <x:v>+60176537956</x:v>
      </x:c>
      <x:c r="H4014" s="16" t="str">
        <x:v>Excluded</x:v>
      </x:c>
      <x:c r="I4014" s="16" t="str">
        <x:v>Missing email</x:v>
      </x:c>
    </x:row>
    <x:row r="4015">
      <x:c r="A4015" s="16" t="n">
        <x:v>4012</x:v>
      </x:c>
      <x:c r="B4015" s="16" t="str">
        <x:v>Laila Annisa</x:v>
      </x:c>
      <x:c r="C4015" s="16" t="str"/>
      <x:c r="D4015" s="16" t="str"/>
      <x:c r="E4015" s="16" t="str">
        <x:v>* myContacts</x:v>
      </x:c>
      <x:c r="F4015" s="16" t="str">
        <x:v>+60172633778</x:v>
      </x:c>
      <x:c r="G4015" s="16" t="str">
        <x:v>+60172633778</x:v>
      </x:c>
      <x:c r="H4015" s="16" t="str">
        <x:v>Excluded</x:v>
      </x:c>
      <x:c r="I4015" s="16" t="str">
        <x:v>Missing email</x:v>
      </x:c>
    </x:row>
    <x:row r="4016">
      <x:c r="A4016" s="16" t="n">
        <x:v>4013</x:v>
      </x:c>
      <x:c r="B4016" s="16" t="str">
        <x:v>Laila Cakes</x:v>
      </x:c>
      <x:c r="C4016" s="16" t="str"/>
      <x:c r="D4016" s="16" t="str"/>
      <x:c r="E4016" s="16" t="str">
        <x:v>* myContacts</x:v>
      </x:c>
      <x:c r="F4016" s="16" t="str">
        <x:v>+601136352960</x:v>
      </x:c>
      <x:c r="G4016" s="16" t="str">
        <x:v>+601136352960</x:v>
      </x:c>
      <x:c r="H4016" s="16" t="str">
        <x:v>Excluded</x:v>
      </x:c>
      <x:c r="I4016" s="16" t="str">
        <x:v>Missing email</x:v>
      </x:c>
    </x:row>
    <x:row r="4017">
      <x:c r="A4017" s="16" t="n">
        <x:v>4014</x:v>
      </x:c>
      <x:c r="B4017" s="16" t="str">
        <x:v>Laila Fazz 4 Media Agency</x:v>
      </x:c>
      <x:c r="C4017" s="16" t="str"/>
      <x:c r="D4017" s="16" t="str"/>
      <x:c r="E4017" s="16" t="str">
        <x:v>* myContacts</x:v>
      </x:c>
      <x:c r="F4017" s="16" t="str">
        <x:v>+60 17-351 7281 | +60173517281</x:v>
      </x:c>
      <x:c r="G4017" s="16" t="str">
        <x:v>+60173517281 | +60173517281</x:v>
      </x:c>
      <x:c r="H4017" s="16" t="str">
        <x:v>Excluded</x:v>
      </x:c>
      <x:c r="I4017" s="16" t="str">
        <x:v>Missing email</x:v>
      </x:c>
    </x:row>
    <x:row r="4018">
      <x:c r="A4018" s="16" t="n">
        <x:v>4015</x:v>
      </x:c>
      <x:c r="B4018" s="16" t="str">
        <x:v>Laila Roslan</x:v>
      </x:c>
      <x:c r="C4018" s="16" t="str"/>
      <x:c r="D4018" s="16" t="str"/>
      <x:c r="E4018" s="16" t="str">
        <x:v>* myContacts</x:v>
      </x:c>
      <x:c r="F4018" s="16" t="str">
        <x:v>+60177135622</x:v>
      </x:c>
      <x:c r="G4018" s="16" t="str">
        <x:v>+60177135622</x:v>
      </x:c>
      <x:c r="H4018" s="16" t="str">
        <x:v>Excluded</x:v>
      </x:c>
      <x:c r="I4018" s="16" t="str">
        <x:v>Missing email</x:v>
      </x:c>
    </x:row>
    <x:row r="4019">
      <x:c r="A4019" s="16" t="n">
        <x:v>4016</x:v>
      </x:c>
      <x:c r="B4019" s="16" t="str">
        <x:v>Lala Huhu Lala</x:v>
      </x:c>
      <x:c r="C4019" s="16" t="str"/>
      <x:c r="D4019" s="16" t="str"/>
      <x:c r="E4019" s="16" t="str">
        <x:v>* myContacts</x:v>
      </x:c>
      <x:c r="F4019" s="16" t="str">
        <x:v>+60162816185</x:v>
      </x:c>
      <x:c r="G4019" s="16" t="str">
        <x:v>+60162816185</x:v>
      </x:c>
      <x:c r="H4019" s="16" t="str">
        <x:v>Excluded</x:v>
      </x:c>
      <x:c r="I4019" s="16" t="str">
        <x:v>Missing email</x:v>
      </x:c>
    </x:row>
    <x:row r="4020">
      <x:c r="A4020" s="16" t="n">
        <x:v>4017</x:v>
      </x:c>
      <x:c r="B4020" s="16" t="str">
        <x:v>Lala Lola</x:v>
      </x:c>
      <x:c r="C4020" s="16" t="str"/>
      <x:c r="D4020" s="16" t="str"/>
      <x:c r="E4020" s="16" t="str">
        <x:v>* myContacts</x:v>
      </x:c>
      <x:c r="F4020" s="16" t="str">
        <x:v>+60105754324</x:v>
      </x:c>
      <x:c r="G4020" s="16" t="str">
        <x:v>+60105754324</x:v>
      </x:c>
      <x:c r="H4020" s="16" t="str">
        <x:v>Excluded</x:v>
      </x:c>
      <x:c r="I4020" s="16" t="str">
        <x:v>Missing email</x:v>
      </x:c>
    </x:row>
    <x:row r="4021">
      <x:c r="A4021" s="16" t="n">
        <x:v>4018</x:v>
      </x:c>
      <x:c r="B4021" s="16" t="str">
        <x:v>Lalan Alan</x:v>
      </x:c>
      <x:c r="C4021" s="16" t="str"/>
      <x:c r="D4021" s="16" t="str"/>
      <x:c r="E4021" s="16" t="str">
        <x:v>* myContacts</x:v>
      </x:c>
      <x:c r="F4021" s="16" t="str">
        <x:v>+60178630494</x:v>
      </x:c>
      <x:c r="G4021" s="16" t="str">
        <x:v>+60178630494</x:v>
      </x:c>
      <x:c r="H4021" s="16" t="str">
        <x:v>Excluded</x:v>
      </x:c>
      <x:c r="I4021" s="16" t="str">
        <x:v>Missing email</x:v>
      </x:c>
    </x:row>
    <x:row r="4022">
      <x:c r="A4022" s="16" t="n">
        <x:v>4019</x:v>
      </x:c>
      <x:c r="B4022" s="16" t="str">
        <x:v>Lalola DollyLens</x:v>
      </x:c>
      <x:c r="C4022" s="16" t="str"/>
      <x:c r="D4022" s="16" t="str"/>
      <x:c r="E4022" s="16" t="str">
        <x:v>* myContacts</x:v>
      </x:c>
      <x:c r="F4022" s="16" t="str">
        <x:v>+60175578123</x:v>
      </x:c>
      <x:c r="G4022" s="16" t="str">
        <x:v>+60175578123</x:v>
      </x:c>
      <x:c r="H4022" s="16" t="str">
        <x:v>Excluded</x:v>
      </x:c>
      <x:c r="I4022" s="16" t="str">
        <x:v>Missing email</x:v>
      </x:c>
    </x:row>
    <x:row r="4023">
      <x:c r="A4023" s="16" t="n">
        <x:v>4020</x:v>
      </x:c>
      <x:c r="B4023" s="16" t="str">
        <x:v>Lamo Maravilla</x:v>
      </x:c>
      <x:c r="C4023" s="16" t="str"/>
      <x:c r="D4023" s="16" t="str"/>
      <x:c r="E4023" s="16" t="str">
        <x:v>* myContacts</x:v>
      </x:c>
      <x:c r="F4023" s="16" t="str">
        <x:v>+60124054055</x:v>
      </x:c>
      <x:c r="G4023" s="16" t="str">
        <x:v>+60124054055</x:v>
      </x:c>
      <x:c r="H4023" s="16" t="str">
        <x:v>Excluded</x:v>
      </x:c>
      <x:c r="I4023" s="16" t="str">
        <x:v>Missing email</x:v>
      </x:c>
    </x:row>
    <x:row r="4024">
      <x:c r="A4024" s="16" t="n">
        <x:v>4021</x:v>
      </x:c>
      <x:c r="B4024" s="16" t="str">
        <x:v>Lan</x:v>
      </x:c>
      <x:c r="C4024" s="16" t="str"/>
      <x:c r="D4024" s="16" t="str"/>
      <x:c r="E4024" s="16" t="str">
        <x:v>* myContacts</x:v>
      </x:c>
      <x:c r="F4024" s="16" t="str">
        <x:v>019-727 2030 | +60197272030</x:v>
      </x:c>
      <x:c r="G4024" s="16" t="str">
        <x:v>+60197272030 | +60197272030</x:v>
      </x:c>
      <x:c r="H4024" s="16" t="str">
        <x:v>Excluded</x:v>
      </x:c>
      <x:c r="I4024" s="16" t="str">
        <x:v>Missing email</x:v>
      </x:c>
    </x:row>
    <x:row r="4025">
      <x:c r="A4025" s="16" t="n">
        <x:v>4022</x:v>
      </x:c>
      <x:c r="B4025" s="16" t="str">
        <x:v>Lan Otai Pancing</x:v>
      </x:c>
      <x:c r="C4025" s="16" t="str"/>
      <x:c r="D4025" s="16" t="str"/>
      <x:c r="E4025" s="16" t="str">
        <x:v>* myContacts</x:v>
      </x:c>
      <x:c r="F4025" s="16" t="str">
        <x:v>01157549892 | +601157549892</x:v>
      </x:c>
      <x:c r="G4025" s="16" t="str">
        <x:v>+601157549892 | +601157549892</x:v>
      </x:c>
      <x:c r="H4025" s="16" t="str">
        <x:v>Excluded</x:v>
      </x:c>
      <x:c r="I4025" s="16" t="str">
        <x:v>Missing email</x:v>
      </x:c>
    </x:row>
    <x:row r="4026">
      <x:c r="A4026" s="16" t="n">
        <x:v>4023</x:v>
      </x:c>
      <x:c r="B4026" s="16" t="str">
        <x:v>Lancer Ex</x:v>
      </x:c>
      <x:c r="C4026" s="16" t="str"/>
      <x:c r="D4026" s="16" t="str"/>
      <x:c r="E4026" s="16" t="str">
        <x:v>* myContacts</x:v>
      </x:c>
      <x:c r="F4026" s="16" t="str">
        <x:v>+60163958336</x:v>
      </x:c>
      <x:c r="G4026" s="16" t="str">
        <x:v>+60163958336</x:v>
      </x:c>
      <x:c r="H4026" s="16" t="str">
        <x:v>Excluded</x:v>
      </x:c>
      <x:c r="I4026" s="16" t="str">
        <x:v>Missing email</x:v>
      </x:c>
    </x:row>
    <x:row r="4027">
      <x:c r="A4027" s="16" t="n">
        <x:v>4024</x:v>
      </x:c>
      <x:c r="B4027" s="16" t="str">
        <x:v>Langkawimilamotel Satu</x:v>
      </x:c>
      <x:c r="C4027" s="16" t="str"/>
      <x:c r="D4027" s="16" t="str"/>
      <x:c r="E4027" s="16" t="str">
        <x:v>* myContacts</x:v>
      </x:c>
      <x:c r="F4027" s="16" t="str">
        <x:v>+60174883842</x:v>
      </x:c>
      <x:c r="G4027" s="16" t="str">
        <x:v>+60174883842</x:v>
      </x:c>
      <x:c r="H4027" s="16" t="str">
        <x:v>Excluded</x:v>
      </x:c>
      <x:c r="I4027" s="16" t="str">
        <x:v>Missing email</x:v>
      </x:c>
    </x:row>
    <x:row r="4028">
      <x:c r="A4028" s="16" t="n">
        <x:v>4025</x:v>
      </x:c>
      <x:c r="B4028" s="16" t="str">
        <x:v>Lanz Khishida</x:v>
      </x:c>
      <x:c r="C4028" s="16" t="str"/>
      <x:c r="D4028" s="16" t="str"/>
      <x:c r="E4028" s="16" t="str">
        <x:v>* myContacts</x:v>
      </x:c>
      <x:c r="F4028" s="16" t="str">
        <x:v>+60194319121</x:v>
      </x:c>
      <x:c r="G4028" s="16" t="str">
        <x:v>+60194319121</x:v>
      </x:c>
      <x:c r="H4028" s="16" t="str">
        <x:v>Excluded</x:v>
      </x:c>
      <x:c r="I4028" s="16" t="str">
        <x:v>Missing email</x:v>
      </x:c>
    </x:row>
    <x:row r="4029">
      <x:c r="A4029" s="16" t="n">
        <x:v>4026</x:v>
      </x:c>
      <x:c r="B4029" s="16" t="str">
        <x:v>Latiff Awang</x:v>
      </x:c>
      <x:c r="C4029" s="16" t="str"/>
      <x:c r="D4029" s="16" t="str"/>
      <x:c r="E4029" s="16" t="str">
        <x:v>* myContacts</x:v>
      </x:c>
      <x:c r="F4029" s="16" t="str">
        <x:v>+60199842744</x:v>
      </x:c>
      <x:c r="G4029" s="16" t="str">
        <x:v>+60199842744</x:v>
      </x:c>
      <x:c r="H4029" s="16" t="str">
        <x:v>Excluded</x:v>
      </x:c>
      <x:c r="I4029" s="16" t="str">
        <x:v>Missing email</x:v>
      </x:c>
    </x:row>
    <x:row r="4030">
      <x:c r="A4030" s="16" t="n">
        <x:v>4027</x:v>
      </x:c>
      <x:c r="B4030" s="16" t="str">
        <x:v>Dr Latiff Awang</x:v>
      </x:c>
      <x:c r="C4030" s="16" t="str"/>
      <x:c r="D4030" s="16" t="str"/>
      <x:c r="E4030" s="16" t="str">
        <x:v>* myContacts</x:v>
      </x:c>
      <x:c r="F4030" s="16" t="str">
        <x:v>+60 19-984 2744</x:v>
      </x:c>
      <x:c r="G4030" s="16" t="str">
        <x:v>+60199842744</x:v>
      </x:c>
      <x:c r="H4030" s="16" t="str">
        <x:v>Excluded</x:v>
      </x:c>
      <x:c r="I4030" s="16" t="str">
        <x:v>Missing email</x:v>
      </x:c>
    </x:row>
    <x:row r="4031">
      <x:c r="A4031" s="16" t="n">
        <x:v>4028</x:v>
      </x:c>
      <x:c r="B4031" s="16" t="str">
        <x:v>Laut D Sana Tenang</x:v>
      </x:c>
      <x:c r="C4031" s="16" t="str"/>
      <x:c r="D4031" s="16" t="str"/>
      <x:c r="E4031" s="16" t="str">
        <x:v>* myContacts</x:v>
      </x:c>
      <x:c r="F4031" s="16" t="str">
        <x:v>+60175099012</x:v>
      </x:c>
      <x:c r="G4031" s="16" t="str">
        <x:v>+60175099012</x:v>
      </x:c>
      <x:c r="H4031" s="16" t="str">
        <x:v>Excluded</x:v>
      </x:c>
      <x:c r="I4031" s="16" t="str">
        <x:v>Missing email</x:v>
      </x:c>
    </x:row>
    <x:row r="4032">
      <x:c r="A4032" s="16" t="n">
        <x:v>4029</x:v>
      </x:c>
      <x:c r="B4032" s="16" t="str">
        <x:v>Lavender Rhea Hana</x:v>
      </x:c>
      <x:c r="C4032" s="16" t="str"/>
      <x:c r="D4032" s="16" t="str"/>
      <x:c r="E4032" s="16" t="str">
        <x:v>* myContacts</x:v>
      </x:c>
      <x:c r="F4032" s="16" t="str">
        <x:v>+60165661241</x:v>
      </x:c>
      <x:c r="G4032" s="16" t="str">
        <x:v>+60165661241</x:v>
      </x:c>
      <x:c r="H4032" s="16" t="str">
        <x:v>Excluded</x:v>
      </x:c>
      <x:c r="I4032" s="16" t="str">
        <x:v>Missing email</x:v>
      </x:c>
    </x:row>
    <x:row r="4033">
      <x:c r="A4033" s="16" t="n">
        <x:v>4030</x:v>
      </x:c>
      <x:c r="B4033" s="16" t="str">
        <x:v>Law Siong Wong</x:v>
      </x:c>
      <x:c r="C4033" s="16" t="str"/>
      <x:c r="D4033" s="16" t="str"/>
      <x:c r="E4033" s="16" t="str">
        <x:v>* myContacts</x:v>
      </x:c>
      <x:c r="F4033" s="16" t="str">
        <x:v>+60138145567</x:v>
      </x:c>
      <x:c r="G4033" s="16" t="str">
        <x:v>+60138145567</x:v>
      </x:c>
      <x:c r="H4033" s="16" t="str">
        <x:v>Excluded</x:v>
      </x:c>
      <x:c r="I4033" s="16" t="str">
        <x:v>Missing email</x:v>
      </x:c>
    </x:row>
    <x:row r="4034">
      <x:c r="A4034" s="16" t="n">
        <x:v>4031</x:v>
      </x:c>
      <x:c r="B4034" s="16" t="str">
        <x:v>Lawrence</x:v>
      </x:c>
      <x:c r="C4034" s="16" t="str"/>
      <x:c r="D4034" s="16" t="str"/>
      <x:c r="E4034" s="16" t="str">
        <x:v>* myContacts</x:v>
      </x:c>
      <x:c r="F4034" s="16" t="str">
        <x:v>+60122870222</x:v>
      </x:c>
      <x:c r="G4034" s="16" t="str">
        <x:v>+60122870222</x:v>
      </x:c>
      <x:c r="H4034" s="16" t="str">
        <x:v>Excluded</x:v>
      </x:c>
      <x:c r="I4034" s="16" t="str">
        <x:v>Missing email</x:v>
      </x:c>
    </x:row>
    <x:row r="4035">
      <x:c r="A4035" s="16" t="n">
        <x:v>4032</x:v>
      </x:c>
      <x:c r="B4035" s="16" t="str">
        <x:v>Dr Lawrence</x:v>
      </x:c>
      <x:c r="C4035" s="16" t="str"/>
      <x:c r="D4035" s="16" t="str"/>
      <x:c r="E4035" s="16" t="str">
        <x:v>* myContacts</x:v>
      </x:c>
      <x:c r="F4035" s="16" t="str">
        <x:v>+60 12-287 0222</x:v>
      </x:c>
      <x:c r="G4035" s="16" t="str">
        <x:v>+60122870222</x:v>
      </x:c>
      <x:c r="H4035" s="16" t="str">
        <x:v>Excluded</x:v>
      </x:c>
      <x:c r="I4035" s="16" t="str">
        <x:v>Missing email</x:v>
      </x:c>
    </x:row>
    <x:row r="4036">
      <x:c r="A4036" s="16" t="n">
        <x:v>4033</x:v>
      </x:c>
      <x:c r="B4036" s="16" t="str">
        <x:v>Lazada</x:v>
      </x:c>
      <x:c r="C4036" s="16" t="str"/>
      <x:c r="D4036" s="16" t="str"/>
      <x:c r="E4036" s="16" t="str">
        <x:v>* myContacts</x:v>
      </x:c>
      <x:c r="F4036" s="16" t="str">
        <x:v>(+60)392128394 | +60392128394</x:v>
      </x:c>
      <x:c r="G4036" s="16" t="str">
        <x:v>+60392128394 | +60392128394</x:v>
      </x:c>
      <x:c r="H4036" s="16" t="str">
        <x:v>Excluded</x:v>
      </x:c>
      <x:c r="I4036" s="16" t="str">
        <x:v>Missing email</x:v>
      </x:c>
    </x:row>
    <x:row r="4037">
      <x:c r="A4037" s="16" t="n">
        <x:v>4034</x:v>
      </x:c>
      <x:c r="B4037" s="16" t="str">
        <x:v>Lazar Lokman Mel-mel</x:v>
      </x:c>
      <x:c r="C4037" s="16" t="str"/>
      <x:c r="D4037" s="16" t="str"/>
      <x:c r="E4037" s="16" t="str">
        <x:v>* myContacts</x:v>
      </x:c>
      <x:c r="F4037" s="16" t="str">
        <x:v>+60124194654</x:v>
      </x:c>
      <x:c r="G4037" s="16" t="str">
        <x:v>+60124194654</x:v>
      </x:c>
      <x:c r="H4037" s="16" t="str">
        <x:v>Excluded</x:v>
      </x:c>
      <x:c r="I4037" s="16" t="str">
        <x:v>Missing email</x:v>
      </x:c>
    </x:row>
    <x:row r="4038">
      <x:c r="A4038" s="16" t="n">
        <x:v>4035</x:v>
      </x:c>
      <x:c r="B4038" s="16" t="str">
        <x:v>Lea Si Patrick Kuning</x:v>
      </x:c>
      <x:c r="C4038" s="16" t="str"/>
      <x:c r="D4038" s="16" t="str"/>
      <x:c r="E4038" s="16" t="str">
        <x:v>* myContacts</x:v>
      </x:c>
      <x:c r="F4038" s="16" t="str">
        <x:v>+60132310117</x:v>
      </x:c>
      <x:c r="G4038" s="16" t="str">
        <x:v>+60132310117</x:v>
      </x:c>
      <x:c r="H4038" s="16" t="str">
        <x:v>Excluded</x:v>
      </x:c>
      <x:c r="I4038" s="16" t="str">
        <x:v>Missing email</x:v>
      </x:c>
    </x:row>
    <x:row r="4039">
      <x:c r="A4039" s="16" t="n">
        <x:v>4036</x:v>
      </x:c>
      <x:c r="B4039" s="16" t="str">
        <x:v>lecturer jayavani unisel</x:v>
      </x:c>
      <x:c r="C4039" s="16" t="str"/>
      <x:c r="D4039" s="16" t="str"/>
      <x:c r="E4039" s="16" t="str">
        <x:v>* myContacts</x:v>
      </x:c>
      <x:c r="F4039" s="16" t="str">
        <x:v>+60 12-733 8232 | +60127338232</x:v>
      </x:c>
      <x:c r="G4039" s="16" t="str">
        <x:v>+60127338232 | +60127338232</x:v>
      </x:c>
      <x:c r="H4039" s="16" t="str">
        <x:v>Excluded</x:v>
      </x:c>
      <x:c r="I4039" s="16" t="str">
        <x:v>Missing email</x:v>
      </x:c>
    </x:row>
    <x:row r="4040">
      <x:c r="A4040" s="16" t="n">
        <x:v>4037</x:v>
      </x:c>
      <x:c r="B4040" s="16" t="str">
        <x:v>Lee Azli</x:v>
      </x:c>
      <x:c r="C4040" s="16" t="str"/>
      <x:c r="D4040" s="16" t="str"/>
      <x:c r="E4040" s="16" t="str">
        <x:v>* myContacts</x:v>
      </x:c>
      <x:c r="F4040" s="16" t="str">
        <x:v>+60164323867</x:v>
      </x:c>
      <x:c r="G4040" s="16" t="str">
        <x:v>+60164323867</x:v>
      </x:c>
      <x:c r="H4040" s="16" t="str">
        <x:v>Excluded</x:v>
      </x:c>
      <x:c r="I4040" s="16" t="str">
        <x:v>Missing email</x:v>
      </x:c>
    </x:row>
    <x:row r="4041">
      <x:c r="A4041" s="16" t="n">
        <x:v>4038</x:v>
      </x:c>
      <x:c r="B4041" s="16" t="str">
        <x:v>Lee Lia Dress</x:v>
      </x:c>
      <x:c r="C4041" s="16" t="str"/>
      <x:c r="D4041" s="16" t="str"/>
      <x:c r="E4041" s="16" t="str">
        <x:v>* myContacts</x:v>
      </x:c>
      <x:c r="F4041" s="16" t="str">
        <x:v>+60179873284</x:v>
      </x:c>
      <x:c r="G4041" s="16" t="str">
        <x:v>+60179873284</x:v>
      </x:c>
      <x:c r="H4041" s="16" t="str">
        <x:v>Excluded</x:v>
      </x:c>
      <x:c r="I4041" s="16" t="str">
        <x:v>Missing email</x:v>
      </x:c>
    </x:row>
    <x:row r="4042">
      <x:c r="A4042" s="16" t="n">
        <x:v>4039</x:v>
      </x:c>
      <x:c r="B4042" s="16" t="str">
        <x:v>Lee Onpay</x:v>
      </x:c>
      <x:c r="C4042" s="16" t="str"/>
      <x:c r="D4042" s="16" t="str"/>
      <x:c r="E4042" s="16" t="str">
        <x:v>* myContacts</x:v>
      </x:c>
      <x:c r="F4042" s="16" t="str">
        <x:v>0176127471 | +60176127471</x:v>
      </x:c>
      <x:c r="G4042" s="16" t="str">
        <x:v>+60176127471 | +60176127471</x:v>
      </x:c>
      <x:c r="H4042" s="16" t="str">
        <x:v>Excluded</x:v>
      </x:c>
      <x:c r="I4042" s="16" t="str">
        <x:v>Missing email</x:v>
      </x:c>
    </x:row>
    <x:row r="4043">
      <x:c r="A4043" s="16" t="n">
        <x:v>4040</x:v>
      </x:c>
      <x:c r="B4043" s="16" t="str">
        <x:v>Leena Ahmad</x:v>
      </x:c>
      <x:c r="C4043" s="16" t="str"/>
      <x:c r="D4043" s="16" t="str"/>
      <x:c r="E4043" s="16" t="str">
        <x:v>* myContacts</x:v>
      </x:c>
      <x:c r="F4043" s="16" t="str">
        <x:v>+60177263723</x:v>
      </x:c>
      <x:c r="G4043" s="16" t="str">
        <x:v>+60177263723</x:v>
      </x:c>
      <x:c r="H4043" s="16" t="str">
        <x:v>Excluded</x:v>
      </x:c>
      <x:c r="I4043" s="16" t="str">
        <x:v>Missing email</x:v>
      </x:c>
    </x:row>
    <x:row r="4044">
      <x:c r="A4044" s="16" t="n">
        <x:v>4041</x:v>
      </x:c>
      <x:c r="B4044" s="16" t="str">
        <x:v>Leeza Shaleeza</x:v>
      </x:c>
      <x:c r="C4044" s="16" t="str"/>
      <x:c r="D4044" s="16" t="str"/>
      <x:c r="E4044" s="16" t="str">
        <x:v>* myContacts</x:v>
      </x:c>
      <x:c r="F4044" s="16" t="str">
        <x:v>+60179351117</x:v>
      </x:c>
      <x:c r="G4044" s="16" t="str">
        <x:v>+60179351117</x:v>
      </x:c>
      <x:c r="H4044" s="16" t="str">
        <x:v>Excluded</x:v>
      </x:c>
      <x:c r="I4044" s="16" t="str">
        <x:v>Missing email</x:v>
      </x:c>
    </x:row>
    <x:row r="4045">
      <x:c r="A4045" s="16" t="n">
        <x:v>4042</x:v>
      </x:c>
      <x:c r="B4045" s="16" t="str">
        <x:v>Legacy Sukirman</x:v>
      </x:c>
      <x:c r="C4045" s="16" t="str"/>
      <x:c r="D4045" s="16" t="str"/>
      <x:c r="E4045" s="16" t="str">
        <x:v>* myContacts</x:v>
      </x:c>
      <x:c r="F4045" s="16" t="str">
        <x:v>+60145635362</x:v>
      </x:c>
      <x:c r="G4045" s="16" t="str">
        <x:v>+60145635362</x:v>
      </x:c>
      <x:c r="H4045" s="16" t="str">
        <x:v>Excluded</x:v>
      </x:c>
      <x:c r="I4045" s="16" t="str">
        <x:v>Missing email</x:v>
      </x:c>
    </x:row>
    <x:row r="4046">
      <x:c r="A4046" s="16" t="n">
        <x:v>4043</x:v>
      </x:c>
      <x:c r="B4046" s="16" t="str">
        <x:v>Lely Nurcahaya C'juntak</x:v>
      </x:c>
      <x:c r="C4046" s="16" t="str"/>
      <x:c r="D4046" s="16" t="str"/>
      <x:c r="E4046" s="16" t="str">
        <x:v>* myContacts</x:v>
      </x:c>
      <x:c r="F4046" s="16" t="str">
        <x:v>+6281362544046</x:v>
      </x:c>
      <x:c r="G4046" s="16" t="str">
        <x:v>+6281362544046</x:v>
      </x:c>
      <x:c r="H4046" s="16" t="str">
        <x:v>Excluded</x:v>
      </x:c>
      <x:c r="I4046" s="16" t="str">
        <x:v>Missing email</x:v>
      </x:c>
    </x:row>
    <x:row r="4047">
      <x:c r="A4047" s="16" t="n">
        <x:v>4044</x:v>
      </x:c>
      <x:c r="B4047" s="16" t="str">
        <x:v>Lemang Panass</x:v>
      </x:c>
      <x:c r="C4047" s="16" t="str"/>
      <x:c r="D4047" s="16" t="str"/>
      <x:c r="E4047" s="16" t="str">
        <x:v>* myContacts</x:v>
      </x:c>
      <x:c r="F4047" s="16" t="str">
        <x:v>+60123361264</x:v>
      </x:c>
      <x:c r="G4047" s="16" t="str">
        <x:v>+60123361264</x:v>
      </x:c>
      <x:c r="H4047" s="16" t="str">
        <x:v>Excluded</x:v>
      </x:c>
      <x:c r="I4047" s="16" t="str">
        <x:v>Missing email</x:v>
      </x:c>
    </x:row>
    <x:row r="4048">
      <x:c r="A4048" s="16" t="n">
        <x:v>4045</x:v>
      </x:c>
      <x:c r="B4048" s="16" t="str">
        <x:v>Lemenim Wan</x:v>
      </x:c>
      <x:c r="C4048" s="16" t="str"/>
      <x:c r="D4048" s="16" t="str"/>
      <x:c r="E4048" s="16" t="str">
        <x:v>* myContacts</x:v>
      </x:c>
      <x:c r="F4048" s="16" t="str">
        <x:v>+6593359751</x:v>
      </x:c>
      <x:c r="G4048" s="16" t="str">
        <x:v>+6593359751</x:v>
      </x:c>
      <x:c r="H4048" s="16" t="str">
        <x:v>Excluded</x:v>
      </x:c>
      <x:c r="I4048" s="16" t="str">
        <x:v>Missing email</x:v>
      </x:c>
    </x:row>
    <x:row r="4049">
      <x:c r="A4049" s="16" t="n">
        <x:v>4046</x:v>
      </x:c>
      <x:c r="B4049" s="16" t="str">
        <x:v>Lenny chiah len fong</x:v>
      </x:c>
      <x:c r="C4049" s="16" t="str">
        <x:v>lenny@sinchew.com.mx</x:v>
      </x:c>
      <x:c r="D4049" s="16" t="str">
        <x:v>lenny@sinchew.com.mx</x:v>
      </x:c>
      <x:c r="E4049" s="16" t="str">
        <x:v>* myContacts</x:v>
      </x:c>
      <x:c r="F4049" s="16" t="str">
        <x:v>60193863880 | +60193863880 | 60379658888 | 60379658810</x:v>
      </x:c>
      <x:c r="G4049" s="16" t="str">
        <x:v>+60193863880 | +60193863880 | +60379658888 | +60379658810</x:v>
      </x:c>
      <x:c r="H4049" s="16" t="str">
        <x:v>Eligible</x:v>
      </x:c>
      <x:c r="I4049" s="16" t="str"/>
    </x:row>
    <x:row r="4050">
      <x:c r="A4050" s="16" t="n">
        <x:v>4047</x:v>
      </x:c>
      <x:c r="B4050" s="16" t="str">
        <x:v>Leo Gadget</x:v>
      </x:c>
      <x:c r="C4050" s="16" t="str"/>
      <x:c r="D4050" s="16" t="str"/>
      <x:c r="E4050" s="16" t="str">
        <x:v>* myContacts</x:v>
      </x:c>
      <x:c r="F4050" s="16" t="str">
        <x:v>+60125585249</x:v>
      </x:c>
      <x:c r="G4050" s="16" t="str">
        <x:v>+60125585249</x:v>
      </x:c>
      <x:c r="H4050" s="16" t="str">
        <x:v>Excluded</x:v>
      </x:c>
      <x:c r="I4050" s="16" t="str">
        <x:v>Missing email</x:v>
      </x:c>
    </x:row>
    <x:row r="4051">
      <x:c r="A4051" s="16" t="n">
        <x:v>4048</x:v>
      </x:c>
      <x:c r="B4051" s="16" t="str">
        <x:v>leo lelong</x:v>
      </x:c>
      <x:c r="C4051" s="16" t="str"/>
      <x:c r="D4051" s="16" t="str"/>
      <x:c r="E4051" s="16" t="str">
        <x:v>* myContacts</x:v>
      </x:c>
      <x:c r="F4051" s="16" t="str">
        <x:v>+60108877763</x:v>
      </x:c>
      <x:c r="G4051" s="16" t="str">
        <x:v>+60108877763</x:v>
      </x:c>
      <x:c r="H4051" s="16" t="str">
        <x:v>Excluded</x:v>
      </x:c>
      <x:c r="I4051" s="16" t="str">
        <x:v>Missing email</x:v>
      </x:c>
    </x:row>
    <x:row r="4052">
      <x:c r="A4052" s="16" t="n">
        <x:v>4049</x:v>
      </x:c>
      <x:c r="B4052" s="16" t="str">
        <x:v>Lerybyz Ding</x:v>
      </x:c>
      <x:c r="C4052" s="16" t="str"/>
      <x:c r="D4052" s="16" t="str"/>
      <x:c r="E4052" s="16" t="str">
        <x:v>* myContacts</x:v>
      </x:c>
      <x:c r="F4052" s="16" t="str">
        <x:v>+60148520259</x:v>
      </x:c>
      <x:c r="G4052" s="16" t="str">
        <x:v>+60148520259</x:v>
      </x:c>
      <x:c r="H4052" s="16" t="str">
        <x:v>Excluded</x:v>
      </x:c>
      <x:c r="I4052" s="16" t="str">
        <x:v>Missing email</x:v>
      </x:c>
    </x:row>
    <x:row r="4053">
      <x:c r="A4053" s="16" t="n">
        <x:v>4050</x:v>
      </x:c>
      <x:c r="B4053" s="16" t="str">
        <x:v>letme store support</x:v>
      </x:c>
      <x:c r="C4053" s="16" t="str"/>
      <x:c r="D4053" s="16" t="str"/>
      <x:c r="E4053" s="16" t="str">
        <x:v>* myContacts</x:v>
      </x:c>
      <x:c r="F4053" s="16" t="str">
        <x:v>+60 18-216 4638 | +60182164638</x:v>
      </x:c>
      <x:c r="G4053" s="16" t="str">
        <x:v>+60182164638 | +60182164638</x:v>
      </x:c>
      <x:c r="H4053" s="16" t="str">
        <x:v>Excluded</x:v>
      </x:c>
      <x:c r="I4053" s="16" t="str">
        <x:v>Missing email</x:v>
      </x:c>
    </x:row>
    <x:row r="4054">
      <x:c r="A4054" s="16" t="n">
        <x:v>4051</x:v>
      </x:c>
      <x:c r="B4054" s="16" t="str">
        <x:v>Lhdn En Jamal Kawan Hisham</x:v>
      </x:c>
      <x:c r="C4054" s="16" t="str"/>
      <x:c r="D4054" s="16" t="str"/>
      <x:c r="E4054" s="16" t="str">
        <x:v>* myContacts</x:v>
      </x:c>
      <x:c r="F4054" s="16" t="str">
        <x:v>+60166034564</x:v>
      </x:c>
      <x:c r="G4054" s="16" t="str">
        <x:v>+60166034564</x:v>
      </x:c>
      <x:c r="H4054" s="16" t="str">
        <x:v>Excluded</x:v>
      </x:c>
      <x:c r="I4054" s="16" t="str">
        <x:v>Missing email</x:v>
      </x:c>
    </x:row>
    <x:row r="4055">
      <x:c r="A4055" s="16" t="n">
        <x:v>4052</x:v>
      </x:c>
      <x:c r="B4055" s="16" t="str">
        <x:v>LiaFendy MY</x:v>
      </x:c>
      <x:c r="C4055" s="16" t="str"/>
      <x:c r="D4055" s="16" t="str"/>
      <x:c r="E4055" s="16" t="str">
        <x:v>* myContacts</x:v>
      </x:c>
      <x:c r="F4055" s="16" t="str">
        <x:v>+60142380456</x:v>
      </x:c>
      <x:c r="G4055" s="16" t="str">
        <x:v>+60142380456</x:v>
      </x:c>
      <x:c r="H4055" s="16" t="str">
        <x:v>Excluded</x:v>
      </x:c>
      <x:c r="I4055" s="16" t="str">
        <x:v>Missing email</x:v>
      </x:c>
    </x:row>
    <x:row r="4056">
      <x:c r="A4056" s="16" t="n">
        <x:v>4053</x:v>
      </x:c>
      <x:c r="B4056" s="16" t="str">
        <x:v>Liah Dimas Nadiah Dien</x:v>
      </x:c>
      <x:c r="C4056" s="16" t="str"/>
      <x:c r="D4056" s="16" t="str"/>
      <x:c r="E4056" s="16" t="str">
        <x:v>* myContacts</x:v>
      </x:c>
      <x:c r="F4056" s="16" t="str">
        <x:v>+60183227285</x:v>
      </x:c>
      <x:c r="G4056" s="16" t="str">
        <x:v>+60183227285</x:v>
      </x:c>
      <x:c r="H4056" s="16" t="str">
        <x:v>Excluded</x:v>
      </x:c>
      <x:c r="I4056" s="16" t="str">
        <x:v>Missing email</x:v>
      </x:c>
    </x:row>
    <x:row r="4057">
      <x:c r="A4057" s="16" t="n">
        <x:v>4054</x:v>
      </x:c>
      <x:c r="B4057" s="16" t="str">
        <x:v>Liana Rodzi</x:v>
      </x:c>
      <x:c r="C4057" s="16" t="str"/>
      <x:c r="D4057" s="16" t="str"/>
      <x:c r="E4057" s="16" t="str">
        <x:v>* myContacts</x:v>
      </x:c>
      <x:c r="F4057" s="16" t="str">
        <x:v>+60148168364</x:v>
      </x:c>
      <x:c r="G4057" s="16" t="str">
        <x:v>+60148168364</x:v>
      </x:c>
      <x:c r="H4057" s="16" t="str">
        <x:v>Excluded</x:v>
      </x:c>
      <x:c r="I4057" s="16" t="str">
        <x:v>Missing email</x:v>
      </x:c>
    </x:row>
    <x:row r="4058">
      <x:c r="A4058" s="16" t="n">
        <x:v>4055</x:v>
      </x:c>
      <x:c r="B4058" s="16" t="str">
        <x:v>Liana Student</x:v>
      </x:c>
      <x:c r="C4058" s="16" t="str"/>
      <x:c r="D4058" s="16" t="str"/>
      <x:c r="E4058" s="16" t="str">
        <x:v>* myContacts</x:v>
      </x:c>
      <x:c r="F4058" s="16" t="str">
        <x:v>+60 11-1525 1809 | +601115251809</x:v>
      </x:c>
      <x:c r="G4058" s="16" t="str">
        <x:v>+601115251809 | +601115251809</x:v>
      </x:c>
      <x:c r="H4058" s="16" t="str">
        <x:v>Excluded</x:v>
      </x:c>
      <x:c r="I4058" s="16" t="str">
        <x:v>Missing email</x:v>
      </x:c>
    </x:row>
    <x:row r="4059">
      <x:c r="A4059" s="16" t="n">
        <x:v>4056</x:v>
      </x:c>
      <x:c r="B4059" s="16" t="str">
        <x:v>Lidwina LiUs</x:v>
      </x:c>
      <x:c r="C4059" s="16" t="str"/>
      <x:c r="D4059" s="16" t="str"/>
      <x:c r="E4059" s="16" t="str">
        <x:v>* myContacts</x:v>
      </x:c>
      <x:c r="F4059" s="16" t="str">
        <x:v>+601114101569</x:v>
      </x:c>
      <x:c r="G4059" s="16" t="str">
        <x:v>+601114101569</x:v>
      </x:c>
      <x:c r="H4059" s="16" t="str">
        <x:v>Excluded</x:v>
      </x:c>
      <x:c r="I4059" s="16" t="str">
        <x:v>Missing email</x:v>
      </x:c>
    </x:row>
    <x:row r="4060">
      <x:c r="A4060" s="16" t="n">
        <x:v>4057</x:v>
      </x:c>
      <x:c r="B4060" s="16" t="str">
        <x:v>Lie Aziz</x:v>
      </x:c>
      <x:c r="C4060" s="16" t="str"/>
      <x:c r="D4060" s="16" t="str"/>
      <x:c r="E4060" s="16" t="str">
        <x:v>* myContacts</x:v>
      </x:c>
      <x:c r="F4060" s="16" t="str">
        <x:v>+60199347669</x:v>
      </x:c>
      <x:c r="G4060" s="16" t="str">
        <x:v>+60199347669</x:v>
      </x:c>
      <x:c r="H4060" s="16" t="str">
        <x:v>Excluded</x:v>
      </x:c>
      <x:c r="I4060" s="16" t="str">
        <x:v>Missing email</x:v>
      </x:c>
    </x:row>
    <x:row r="4061">
      <x:c r="A4061" s="16" t="n">
        <x:v>4058</x:v>
      </x:c>
      <x:c r="B4061" s="16" t="str">
        <x:v>Liesa Prudential Bsn Takaful</x:v>
      </x:c>
      <x:c r="C4061" s="16" t="str"/>
      <x:c r="D4061" s="16" t="str"/>
      <x:c r="E4061" s="16" t="str">
        <x:v>* myContacts</x:v>
      </x:c>
      <x:c r="F4061" s="16" t="str">
        <x:v>+60173807662</x:v>
      </x:c>
      <x:c r="G4061" s="16" t="str">
        <x:v>+60173807662</x:v>
      </x:c>
      <x:c r="H4061" s="16" t="str">
        <x:v>Excluded</x:v>
      </x:c>
      <x:c r="I4061" s="16" t="str">
        <x:v>Missing email</x:v>
      </x:c>
    </x:row>
    <x:row r="4062">
      <x:c r="A4062" s="16" t="n">
        <x:v>4059</x:v>
      </x:c>
      <x:c r="B4062" s="16" t="str">
        <x:v>Lieya Hazliah</x:v>
      </x:c>
      <x:c r="C4062" s="16" t="str"/>
      <x:c r="D4062" s="16" t="str"/>
      <x:c r="E4062" s="16" t="str">
        <x:v>* myContacts</x:v>
      </x:c>
      <x:c r="F4062" s="16" t="str">
        <x:v>+60176242423</x:v>
      </x:c>
      <x:c r="G4062" s="16" t="str">
        <x:v>+60176242423</x:v>
      </x:c>
      <x:c r="H4062" s="16" t="str">
        <x:v>Excluded</x:v>
      </x:c>
      <x:c r="I4062" s="16" t="str">
        <x:v>Missing email</x:v>
      </x:c>
    </x:row>
    <x:row r="4063">
      <x:c r="A4063" s="16" t="n">
        <x:v>4060</x:v>
      </x:c>
      <x:c r="B4063" s="16" t="str">
        <x:v>Lieyana Amity</x:v>
      </x:c>
      <x:c r="C4063" s="16" t="str"/>
      <x:c r="D4063" s="16" t="str"/>
      <x:c r="E4063" s="16" t="str">
        <x:v>* myContacts</x:v>
      </x:c>
      <x:c r="F4063" s="16" t="str">
        <x:v>+60199925606</x:v>
      </x:c>
      <x:c r="G4063" s="16" t="str">
        <x:v>+60199925606</x:v>
      </x:c>
      <x:c r="H4063" s="16" t="str">
        <x:v>Excluded</x:v>
      </x:c>
      <x:c r="I4063" s="16" t="str">
        <x:v>Missing email</x:v>
      </x:c>
    </x:row>
    <x:row r="4064">
      <x:c r="A4064" s="16" t="n">
        <x:v>4061</x:v>
      </x:c>
      <x:c r="B4064" s="16" t="str">
        <x:v>Lieza Pj</x:v>
      </x:c>
      <x:c r="C4064" s="16" t="str"/>
      <x:c r="D4064" s="16" t="str"/>
      <x:c r="E4064" s="16" t="str">
        <x:v>* myContacts</x:v>
      </x:c>
      <x:c r="F4064" s="16" t="str">
        <x:v>+60122864483</x:v>
      </x:c>
      <x:c r="G4064" s="16" t="str">
        <x:v>+60122864483</x:v>
      </x:c>
      <x:c r="H4064" s="16" t="str">
        <x:v>Excluded</x:v>
      </x:c>
      <x:c r="I4064" s="16" t="str">
        <x:v>Missing email</x:v>
      </x:c>
    </x:row>
    <x:row r="4065">
      <x:c r="A4065" s="16" t="n">
        <x:v>4062</x:v>
      </x:c>
      <x:c r="B4065" s="16" t="str">
        <x:v>Lieza Salliza Sallehan</x:v>
      </x:c>
      <x:c r="C4065" s="16" t="str"/>
      <x:c r="D4065" s="16" t="str"/>
      <x:c r="E4065" s="16" t="str">
        <x:v>* myContacts</x:v>
      </x:c>
      <x:c r="F4065" s="16" t="str">
        <x:v>+60129017310</x:v>
      </x:c>
      <x:c r="G4065" s="16" t="str">
        <x:v>+60129017310</x:v>
      </x:c>
      <x:c r="H4065" s="16" t="str">
        <x:v>Excluded</x:v>
      </x:c>
      <x:c r="I4065" s="16" t="str">
        <x:v>Missing email</x:v>
      </x:c>
    </x:row>
    <x:row r="4066">
      <x:c r="A4066" s="16" t="n">
        <x:v>4063</x:v>
      </x:c>
      <x:c r="B4066" s="16" t="str">
        <x:v>Lifera NURUL ( BD 3 )</x:v>
      </x:c>
      <x:c r="C4066" s="16" t="str"/>
      <x:c r="D4066" s="16" t="str"/>
      <x:c r="E4066" s="16" t="str">
        <x:v>* myContacts</x:v>
      </x:c>
      <x:c r="F4066" s="16" t="str">
        <x:v>+60 14-315 5430 | +60143155430</x:v>
      </x:c>
      <x:c r="G4066" s="16" t="str">
        <x:v>+60143155430 | +60143155430</x:v>
      </x:c>
      <x:c r="H4066" s="16" t="str">
        <x:v>Excluded</x:v>
      </x:c>
      <x:c r="I4066" s="16" t="str">
        <x:v>Missing email</x:v>
      </x:c>
    </x:row>
    <x:row r="4067">
      <x:c r="A4067" s="16" t="n">
        <x:v>4064</x:v>
      </x:c>
      <x:c r="B4067" s="16" t="str">
        <x:v>Lilyus Harithumairah</x:v>
      </x:c>
      <x:c r="C4067" s="16" t="str"/>
      <x:c r="D4067" s="16" t="str"/>
      <x:c r="E4067" s="16" t="str">
        <x:v>* myContacts</x:v>
      </x:c>
      <x:c r="F4067" s="16" t="str">
        <x:v>+60197748624</x:v>
      </x:c>
      <x:c r="G4067" s="16" t="str">
        <x:v>+60197748624</x:v>
      </x:c>
      <x:c r="H4067" s="16" t="str">
        <x:v>Excluded</x:v>
      </x:c>
      <x:c r="I4067" s="16" t="str">
        <x:v>Missing email</x:v>
      </x:c>
    </x:row>
    <x:row r="4068">
      <x:c r="A4068" s="16" t="n">
        <x:v>4065</x:v>
      </x:c>
      <x:c r="B4068" s="16" t="str">
        <x:v>Mr Lim Cuckoo Salesman Setia Alam</x:v>
      </x:c>
      <x:c r="C4068" s="16" t="str"/>
      <x:c r="D4068" s="16" t="str"/>
      <x:c r="E4068" s="16" t="str">
        <x:v>* myContacts</x:v>
      </x:c>
      <x:c r="F4068" s="16" t="str">
        <x:v>+60 14-224 0628 | +60142240628</x:v>
      </x:c>
      <x:c r="G4068" s="16" t="str">
        <x:v>+60142240628 | +60142240628</x:v>
      </x:c>
      <x:c r="H4068" s="16" t="str">
        <x:v>Excluded</x:v>
      </x:c>
      <x:c r="I4068" s="16" t="str">
        <x:v>Missing email</x:v>
      </x:c>
    </x:row>
    <x:row r="4069">
      <x:c r="A4069" s="16" t="n">
        <x:v>4066</x:v>
      </x:c>
      <x:c r="B4069" s="16" t="str">
        <x:v>Lim Diy Wedsite</x:v>
      </x:c>
      <x:c r="C4069" s="16" t="str"/>
      <x:c r="D4069" s="16" t="str"/>
      <x:c r="E4069" s="16" t="str">
        <x:v>* myContacts</x:v>
      </x:c>
      <x:c r="F4069" s="16" t="str">
        <x:v>+60164406668</x:v>
      </x:c>
      <x:c r="G4069" s="16" t="str">
        <x:v>+60164406668</x:v>
      </x:c>
      <x:c r="H4069" s="16" t="str">
        <x:v>Excluded</x:v>
      </x:c>
      <x:c r="I4069" s="16" t="str">
        <x:v>Missing email</x:v>
      </x:c>
    </x:row>
    <x:row r="4070">
      <x:c r="A4070" s="16" t="n">
        <x:v>4067</x:v>
      </x:c>
      <x:c r="B4070" s="16" t="str">
        <x:v>Lim Line</x:v>
      </x:c>
      <x:c r="C4070" s="16" t="str"/>
      <x:c r="D4070" s="16" t="str"/>
      <x:c r="E4070" s="16" t="str">
        <x:v>* myContacts</x:v>
      </x:c>
      <x:c r="F4070" s="16" t="str">
        <x:v>+6066315288</x:v>
      </x:c>
      <x:c r="G4070" s="16" t="str">
        <x:v>+6066315288</x:v>
      </x:c>
      <x:c r="H4070" s="16" t="str">
        <x:v>Excluded</x:v>
      </x:c>
      <x:c r="I4070" s="16" t="str">
        <x:v>Missing email</x:v>
      </x:c>
    </x:row>
    <x:row r="4071">
      <x:c r="A4071" s="16" t="n">
        <x:v>4068</x:v>
      </x:c>
      <x:c r="B4071" s="16" t="str">
        <x:v>Limau Kasturi</x:v>
      </x:c>
      <x:c r="C4071" s="16" t="str"/>
      <x:c r="D4071" s="16" t="str"/>
      <x:c r="E4071" s="16" t="str">
        <x:v>* myContacts</x:v>
      </x:c>
      <x:c r="F4071" s="16" t="str">
        <x:v>+60129603156</x:v>
      </x:c>
      <x:c r="G4071" s="16" t="str">
        <x:v>+60129603156</x:v>
      </x:c>
      <x:c r="H4071" s="16" t="str">
        <x:v>Excluded</x:v>
      </x:c>
      <x:c r="I4071" s="16" t="str">
        <x:v>Missing email</x:v>
      </x:c>
    </x:row>
    <x:row r="4072">
      <x:c r="A4072" s="16" t="n">
        <x:v>4069</x:v>
      </x:c>
      <x:c r="B4072" s="16" t="str">
        <x:v>Mr LIN REXTON</x:v>
      </x:c>
      <x:c r="C4072" s="16" t="str"/>
      <x:c r="D4072" s="16" t="str"/>
      <x:c r="E4072" s="16" t="str">
        <x:v>* myContacts</x:v>
      </x:c>
      <x:c r="F4072" s="16" t="str">
        <x:v>+60123960178</x:v>
      </x:c>
      <x:c r="G4072" s="16" t="str">
        <x:v>+60123960178</x:v>
      </x:c>
      <x:c r="H4072" s="16" t="str">
        <x:v>Excluded</x:v>
      </x:c>
      <x:c r="I4072" s="16" t="str">
        <x:v>Missing email</x:v>
      </x:c>
    </x:row>
    <x:row r="4073">
      <x:c r="A4073" s="16" t="n">
        <x:v>4070</x:v>
      </x:c>
      <x:c r="B4073" s="16" t="str">
        <x:v>Lina Lazim</x:v>
      </x:c>
      <x:c r="C4073" s="16" t="str"/>
      <x:c r="D4073" s="16" t="str"/>
      <x:c r="E4073" s="16" t="str">
        <x:v>* myContacts</x:v>
      </x:c>
      <x:c r="F4073" s="16" t="str">
        <x:v>+601114141426</x:v>
      </x:c>
      <x:c r="G4073" s="16" t="str">
        <x:v>+601114141426</x:v>
      </x:c>
      <x:c r="H4073" s="16" t="str">
        <x:v>Excluded</x:v>
      </x:c>
      <x:c r="I4073" s="16" t="str">
        <x:v>Missing email</x:v>
      </x:c>
    </x:row>
    <x:row r="4074">
      <x:c r="A4074" s="16" t="n">
        <x:v>4071</x:v>
      </x:c>
      <x:c r="B4074" s="16" t="str">
        <x:v>Lina Rose</x:v>
      </x:c>
      <x:c r="C4074" s="16" t="str"/>
      <x:c r="D4074" s="16" t="str"/>
      <x:c r="E4074" s="16" t="str">
        <x:v>* myContacts</x:v>
      </x:c>
      <x:c r="F4074" s="16" t="str">
        <x:v>+60124850538</x:v>
      </x:c>
      <x:c r="G4074" s="16" t="str">
        <x:v>+60124850538</x:v>
      </x:c>
      <x:c r="H4074" s="16" t="str">
        <x:v>Excluded</x:v>
      </x:c>
      <x:c r="I4074" s="16" t="str">
        <x:v>Missing email</x:v>
      </x:c>
    </x:row>
    <x:row r="4075">
      <x:c r="A4075" s="16" t="n">
        <x:v>4072</x:v>
      </x:c>
      <x:c r="B4075" s="16" t="str">
        <x:v>Linabeauty Healthcare</x:v>
      </x:c>
      <x:c r="C4075" s="16" t="str"/>
      <x:c r="D4075" s="16" t="str"/>
      <x:c r="E4075" s="16" t="str">
        <x:v>* myContacts</x:v>
      </x:c>
      <x:c r="F4075" s="16" t="str">
        <x:v>+60146279927</x:v>
      </x:c>
      <x:c r="G4075" s="16" t="str">
        <x:v>+60146279927</x:v>
      </x:c>
      <x:c r="H4075" s="16" t="str">
        <x:v>Excluded</x:v>
      </x:c>
      <x:c r="I4075" s="16" t="str">
        <x:v>Missing email</x:v>
      </x:c>
    </x:row>
    <x:row r="4076">
      <x:c r="A4076" s="16" t="n">
        <x:v>4073</x:v>
      </x:c>
      <x:c r="B4076" s="16" t="str">
        <x:v>Linda Chuekk</x:v>
      </x:c>
      <x:c r="C4076" s="16" t="str"/>
      <x:c r="D4076" s="16" t="str"/>
      <x:c r="E4076" s="16" t="str">
        <x:v>* myContacts</x:v>
      </x:c>
      <x:c r="F4076" s="16" t="str">
        <x:v>+60183233417</x:v>
      </x:c>
      <x:c r="G4076" s="16" t="str">
        <x:v>+60183233417</x:v>
      </x:c>
      <x:c r="H4076" s="16" t="str">
        <x:v>Excluded</x:v>
      </x:c>
      <x:c r="I4076" s="16" t="str">
        <x:v>Missing email</x:v>
      </x:c>
    </x:row>
    <x:row r="4077">
      <x:c r="A4077" s="16" t="n">
        <x:v>4074</x:v>
      </x:c>
      <x:c r="B4077" s="16" t="str">
        <x:v>Linda Ismail</x:v>
      </x:c>
      <x:c r="C4077" s="16" t="str"/>
      <x:c r="D4077" s="16" t="str"/>
      <x:c r="E4077" s="16" t="str">
        <x:v>* myContacts</x:v>
      </x:c>
      <x:c r="F4077" s="16" t="str">
        <x:v>+60199398876</x:v>
      </x:c>
      <x:c r="G4077" s="16" t="str">
        <x:v>+60199398876</x:v>
      </x:c>
      <x:c r="H4077" s="16" t="str">
        <x:v>Excluded</x:v>
      </x:c>
      <x:c r="I4077" s="16" t="str">
        <x:v>Missing email</x:v>
      </x:c>
    </x:row>
    <x:row r="4078">
      <x:c r="A4078" s="16" t="n">
        <x:v>4075</x:v>
      </x:c>
      <x:c r="B4078" s="16" t="str">
        <x:v>Linda Kasim</x:v>
      </x:c>
      <x:c r="C4078" s="16" t="str"/>
      <x:c r="D4078" s="16" t="str"/>
      <x:c r="E4078" s="16" t="str">
        <x:v>* myContacts</x:v>
      </x:c>
      <x:c r="F4078" s="16" t="str">
        <x:v>+601123106407</x:v>
      </x:c>
      <x:c r="G4078" s="16" t="str">
        <x:v>+601123106407</x:v>
      </x:c>
      <x:c r="H4078" s="16" t="str">
        <x:v>Excluded</x:v>
      </x:c>
      <x:c r="I4078" s="16" t="str">
        <x:v>Missing email</x:v>
      </x:c>
    </x:row>
    <x:row r="4079">
      <x:c r="A4079" s="16" t="n">
        <x:v>4076</x:v>
      </x:c>
      <x:c r="B4079" s="16" t="str">
        <x:v>Linda⁠ Meatech</x:v>
      </x:c>
      <x:c r="C4079" s="16" t="str"/>
      <x:c r="D4079" s="16" t="str"/>
      <x:c r="E4079" s="16" t="str">
        <x:v>* myContacts</x:v>
      </x:c>
      <x:c r="F4079" s="16" t="str">
        <x:v>+60129037344</x:v>
      </x:c>
      <x:c r="G4079" s="16" t="str">
        <x:v>+60129037344</x:v>
      </x:c>
      <x:c r="H4079" s="16" t="str">
        <x:v>Excluded</x:v>
      </x:c>
      <x:c r="I4079" s="16" t="str">
        <x:v>Missing email</x:v>
      </x:c>
    </x:row>
    <x:row r="4080">
      <x:c r="A4080" s="16" t="n">
        <x:v>4077</x:v>
      </x:c>
      <x:c r="B4080" s="16" t="str">
        <x:v>Linda Nasir</x:v>
      </x:c>
      <x:c r="C4080" s="16" t="str"/>
      <x:c r="D4080" s="16" t="str"/>
      <x:c r="E4080" s="16" t="str">
        <x:v>* myContacts</x:v>
      </x:c>
      <x:c r="F4080" s="16" t="str">
        <x:v>+60196365050</x:v>
      </x:c>
      <x:c r="G4080" s="16" t="str">
        <x:v>+60196365050</x:v>
      </x:c>
      <x:c r="H4080" s="16" t="str">
        <x:v>Excluded</x:v>
      </x:c>
      <x:c r="I4080" s="16" t="str">
        <x:v>Missing email</x:v>
      </x:c>
    </x:row>
    <x:row r="4081">
      <x:c r="A4081" s="16" t="n">
        <x:v>4078</x:v>
      </x:c>
      <x:c r="B4081" s="16" t="str">
        <x:v>Linda Nazry</x:v>
      </x:c>
      <x:c r="C4081" s="16" t="str"/>
      <x:c r="D4081" s="16" t="str"/>
      <x:c r="E4081" s="16" t="str">
        <x:v>* myContacts</x:v>
      </x:c>
      <x:c r="F4081" s="16" t="str">
        <x:v>+60196599308</x:v>
      </x:c>
      <x:c r="G4081" s="16" t="str">
        <x:v>+60196599308</x:v>
      </x:c>
      <x:c r="H4081" s="16" t="str">
        <x:v>Excluded</x:v>
      </x:c>
      <x:c r="I4081" s="16" t="str">
        <x:v>Missing email</x:v>
      </x:c>
    </x:row>
    <x:row r="4082">
      <x:c r="A4082" s="16" t="n">
        <x:v>4079</x:v>
      </x:c>
      <x:c r="B4082" s="16" t="str">
        <x:v>Linda Sme Maybank</x:v>
      </x:c>
      <x:c r="C4082" s="16" t="str"/>
      <x:c r="D4082" s="16" t="str"/>
      <x:c r="E4082" s="16" t="str">
        <x:v>* myContacts</x:v>
      </x:c>
      <x:c r="F4082" s="16" t="str">
        <x:v>+60 12-784 5272 | +60127845272</x:v>
      </x:c>
      <x:c r="G4082" s="16" t="str">
        <x:v>+60127845272 | +60127845272</x:v>
      </x:c>
      <x:c r="H4082" s="16" t="str">
        <x:v>Excluded</x:v>
      </x:c>
      <x:c r="I4082" s="16" t="str">
        <x:v>Missing email</x:v>
      </x:c>
    </x:row>
    <x:row r="4083">
      <x:c r="A4083" s="16" t="n">
        <x:v>4080</x:v>
      </x:c>
      <x:c r="B4083" s="16" t="str">
        <x:v>Lingling Jose</x:v>
      </x:c>
      <x:c r="C4083" s="16" t="str"/>
      <x:c r="D4083" s="16" t="str"/>
      <x:c r="E4083" s="16" t="str">
        <x:v>* myContacts</x:v>
      </x:c>
      <x:c r="F4083" s="16" t="str">
        <x:v>+60107900912</x:v>
      </x:c>
      <x:c r="G4083" s="16" t="str">
        <x:v>+60107900912</x:v>
      </x:c>
      <x:c r="H4083" s="16" t="str">
        <x:v>Excluded</x:v>
      </x:c>
      <x:c r="I4083" s="16" t="str">
        <x:v>Missing email</x:v>
      </x:c>
    </x:row>
    <x:row r="4084">
      <x:c r="A4084" s="16" t="n">
        <x:v>4081</x:v>
      </x:c>
      <x:c r="B4084" s="16" t="str">
        <x:v>Lirang HG</x:v>
      </x:c>
      <x:c r="C4084" s="16" t="str"/>
      <x:c r="D4084" s="16" t="str"/>
      <x:c r="E4084" s="16" t="str">
        <x:v>* myContacts</x:v>
      </x:c>
      <x:c r="F4084" s="16" t="str">
        <x:v>+60 13-839 5947 | +60138395947</x:v>
      </x:c>
      <x:c r="G4084" s="16" t="str">
        <x:v>+60138395947 | +60138395947</x:v>
      </x:c>
      <x:c r="H4084" s="16" t="str">
        <x:v>Excluded</x:v>
      </x:c>
      <x:c r="I4084" s="16" t="str">
        <x:v>Missing email</x:v>
      </x:c>
    </x:row>
    <x:row r="4085">
      <x:c r="A4085" s="16" t="n">
        <x:v>4082</x:v>
      </x:c>
      <x:c r="B4085" s="16" t="str">
        <x:v>Lis Pekerja Lunaworks</x:v>
      </x:c>
      <x:c r="C4085" s="16" t="str"/>
      <x:c r="D4085" s="16" t="str"/>
      <x:c r="E4085" s="16" t="str">
        <x:v>* myContacts</x:v>
      </x:c>
      <x:c r="F4085" s="16" t="str">
        <x:v>+60 10-447 0858 | +60104470858</x:v>
      </x:c>
      <x:c r="G4085" s="16" t="str">
        <x:v>+60104470858 | +60104470858</x:v>
      </x:c>
      <x:c r="H4085" s="16" t="str">
        <x:v>Excluded</x:v>
      </x:c>
      <x:c r="I4085" s="16" t="str">
        <x:v>Missing email</x:v>
      </x:c>
    </x:row>
    <x:row r="4086">
      <x:c r="A4086" s="16" t="n">
        <x:v>4083</x:v>
      </x:c>
      <x:c r="B4086" s="16" t="str">
        <x:v>Lisa Aidi</x:v>
      </x:c>
      <x:c r="C4086" s="16" t="str"/>
      <x:c r="D4086" s="16" t="str"/>
      <x:c r="E4086" s="16" t="str">
        <x:v>* myContacts</x:v>
      </x:c>
      <x:c r="F4086" s="16" t="str">
        <x:v>+601128186206</x:v>
      </x:c>
      <x:c r="G4086" s="16" t="str">
        <x:v>+601128186206</x:v>
      </x:c>
      <x:c r="H4086" s="16" t="str">
        <x:v>Excluded</x:v>
      </x:c>
      <x:c r="I4086" s="16" t="str">
        <x:v>Missing email</x:v>
      </x:c>
    </x:row>
    <x:row r="4087">
      <x:c r="A4087" s="16" t="n">
        <x:v>4084</x:v>
      </x:c>
      <x:c r="B4087" s="16" t="str">
        <x:v>Lisa Cbj</x:v>
      </x:c>
      <x:c r="C4087" s="16" t="str"/>
      <x:c r="D4087" s="16" t="str"/>
      <x:c r="E4087" s="16" t="str">
        <x:v>* myContacts</x:v>
      </x:c>
      <x:c r="F4087" s="16" t="str">
        <x:v>+60145041625</x:v>
      </x:c>
      <x:c r="G4087" s="16" t="str">
        <x:v>+60145041625</x:v>
      </x:c>
      <x:c r="H4087" s="16" t="str">
        <x:v>Excluded</x:v>
      </x:c>
      <x:c r="I4087" s="16" t="str">
        <x:v>Missing email</x:v>
      </x:c>
    </x:row>
    <x:row r="4088">
      <x:c r="A4088" s="16" t="n">
        <x:v>4085</x:v>
      </x:c>
      <x:c r="B4088" s="16" t="str">
        <x:v>Lisa Najiha Halim</x:v>
      </x:c>
      <x:c r="C4088" s="16" t="str"/>
      <x:c r="D4088" s="16" t="str"/>
      <x:c r="E4088" s="16" t="str">
        <x:v>* myContacts</x:v>
      </x:c>
      <x:c r="F4088" s="16" t="str">
        <x:v>+60122195363</x:v>
      </x:c>
      <x:c r="G4088" s="16" t="str">
        <x:v>+60122195363</x:v>
      </x:c>
      <x:c r="H4088" s="16" t="str">
        <x:v>Excluded</x:v>
      </x:c>
      <x:c r="I4088" s="16" t="str">
        <x:v>Missing email</x:v>
      </x:c>
    </x:row>
    <x:row r="4089">
      <x:c r="A4089" s="16" t="n">
        <x:v>4086</x:v>
      </x:c>
      <x:c r="B4089" s="16" t="str">
        <x:v>Lisa Salleh</x:v>
      </x:c>
      <x:c r="C4089" s="16" t="str"/>
      <x:c r="D4089" s="16" t="str"/>
      <x:c r="E4089" s="16" t="str">
        <x:v>* myContacts</x:v>
      </x:c>
      <x:c r="F4089" s="16" t="str">
        <x:v>+601113209047</x:v>
      </x:c>
      <x:c r="G4089" s="16" t="str">
        <x:v>+601113209047</x:v>
      </x:c>
      <x:c r="H4089" s="16" t="str">
        <x:v>Excluded</x:v>
      </x:c>
      <x:c r="I4089" s="16" t="str">
        <x:v>Missing email</x:v>
      </x:c>
    </x:row>
    <x:row r="4090">
      <x:c r="A4090" s="16" t="n">
        <x:v>4087</x:v>
      </x:c>
      <x:c r="B4090" s="16" t="str">
        <x:v>Littlekids Osc</x:v>
      </x:c>
      <x:c r="C4090" s="16" t="str"/>
      <x:c r="D4090" s="16" t="str"/>
      <x:c r="E4090" s="16" t="str">
        <x:v>* myContacts</x:v>
      </x:c>
      <x:c r="F4090" s="16" t="str">
        <x:v>+601113259148</x:v>
      </x:c>
      <x:c r="G4090" s="16" t="str">
        <x:v>+601113259148</x:v>
      </x:c>
      <x:c r="H4090" s="16" t="str">
        <x:v>Excluded</x:v>
      </x:c>
      <x:c r="I4090" s="16" t="str">
        <x:v>Missing email</x:v>
      </x:c>
    </x:row>
    <x:row r="4091">
      <x:c r="A4091" s="16" t="n">
        <x:v>4088</x:v>
      </x:c>
      <x:c r="B4091" s="16" t="str">
        <x:v>Liyas Congo</x:v>
      </x:c>
      <x:c r="C4091" s="16" t="str"/>
      <x:c r="D4091" s="16" t="str"/>
      <x:c r="E4091" s="16" t="str">
        <x:v>* myContacts</x:v>
      </x:c>
      <x:c r="F4091" s="16" t="str">
        <x:v>+60185742681</x:v>
      </x:c>
      <x:c r="G4091" s="16" t="str">
        <x:v>+60185742681</x:v>
      </x:c>
      <x:c r="H4091" s="16" t="str">
        <x:v>Excluded</x:v>
      </x:c>
      <x:c r="I4091" s="16" t="str">
        <x:v>Missing email</x:v>
      </x:c>
    </x:row>
    <x:row r="4092">
      <x:c r="A4092" s="16" t="n">
        <x:v>4089</x:v>
      </x:c>
      <x:c r="B4092" s="16" t="str">
        <x:v>Liz Hair</x:v>
      </x:c>
      <x:c r="C4092" s="16" t="str"/>
      <x:c r="D4092" s="16" t="str"/>
      <x:c r="E4092" s="16" t="str">
        <x:v>* myContacts</x:v>
      </x:c>
      <x:c r="F4092" s="16" t="str">
        <x:v>+60104042454</x:v>
      </x:c>
      <x:c r="G4092" s="16" t="str">
        <x:v>+60104042454</x:v>
      </x:c>
      <x:c r="H4092" s="16" t="str">
        <x:v>Excluded</x:v>
      </x:c>
      <x:c r="I4092" s="16" t="str">
        <x:v>Missing email</x:v>
      </x:c>
    </x:row>
    <x:row r="4093">
      <x:c r="A4093" s="16" t="n">
        <x:v>4090</x:v>
      </x:c>
      <x:c r="B4093" s="16" t="str">
        <x:v>Liz Lizdrichqueen Liz</x:v>
      </x:c>
      <x:c r="C4093" s="16" t="str"/>
      <x:c r="D4093" s="16" t="str"/>
      <x:c r="E4093" s="16" t="str">
        <x:v>* myContacts</x:v>
      </x:c>
      <x:c r="F4093" s="16" t="str">
        <x:v>+60122697437</x:v>
      </x:c>
      <x:c r="G4093" s="16" t="str">
        <x:v>+60122697437</x:v>
      </x:c>
      <x:c r="H4093" s="16" t="str">
        <x:v>Excluded</x:v>
      </x:c>
      <x:c r="I4093" s="16" t="str">
        <x:v>Missing email</x:v>
      </x:c>
    </x:row>
    <x:row r="4094">
      <x:c r="A4094" s="16" t="n">
        <x:v>4091</x:v>
      </x:c>
      <x:c r="B4094" s="16" t="str">
        <x:v>Liz Rjb</x:v>
      </x:c>
      <x:c r="C4094" s="16" t="str"/>
      <x:c r="D4094" s="16" t="str"/>
      <x:c r="E4094" s="16" t="str">
        <x:v>* myContacts</x:v>
      </x:c>
      <x:c r="F4094" s="16" t="str">
        <x:v>+60 11-2825 6104 | +601128256104</x:v>
      </x:c>
      <x:c r="G4094" s="16" t="str">
        <x:v>+601128256104 | +601128256104</x:v>
      </x:c>
      <x:c r="H4094" s="16" t="str">
        <x:v>Excluded</x:v>
      </x:c>
      <x:c r="I4094" s="16" t="str">
        <x:v>Missing email</x:v>
      </x:c>
    </x:row>
    <x:row r="4095">
      <x:c r="A4095" s="16" t="n">
        <x:v>4092</x:v>
      </x:c>
      <x:c r="B4095" s="16" t="str">
        <x:v>Liza Japri</x:v>
      </x:c>
      <x:c r="C4095" s="16" t="str"/>
      <x:c r="D4095" s="16" t="str"/>
      <x:c r="E4095" s="16" t="str">
        <x:v>* myContacts</x:v>
      </x:c>
      <x:c r="F4095" s="16" t="str">
        <x:v>+60107936544</x:v>
      </x:c>
      <x:c r="G4095" s="16" t="str">
        <x:v>+60107936544</x:v>
      </x:c>
      <x:c r="H4095" s="16" t="str">
        <x:v>Excluded</x:v>
      </x:c>
      <x:c r="I4095" s="16" t="str">
        <x:v>Missing email</x:v>
      </x:c>
    </x:row>
    <x:row r="4096">
      <x:c r="A4096" s="16" t="n">
        <x:v>4093</x:v>
      </x:c>
      <x:c r="B4096" s="16" t="str">
        <x:v>Liza Mdec Trainer</x:v>
      </x:c>
      <x:c r="C4096" s="16" t="str"/>
      <x:c r="D4096" s="16" t="str"/>
      <x:c r="E4096" s="16" t="str">
        <x:v>Trainer | * myContacts</x:v>
      </x:c>
      <x:c r="F4096" s="16" t="str">
        <x:v>+60 11-3502 7505 | +601135027505</x:v>
      </x:c>
      <x:c r="G4096" s="16" t="str">
        <x:v>+601135027505 | +601135027505</x:v>
      </x:c>
      <x:c r="H4096" s="16" t="str">
        <x:v>Excluded</x:v>
      </x:c>
      <x:c r="I4096" s="16" t="str">
        <x:v>Missing email</x:v>
      </x:c>
    </x:row>
    <x:row r="4097">
      <x:c r="A4097" s="16" t="n">
        <x:v>4094</x:v>
      </x:c>
      <x:c r="B4097" s="16" t="str">
        <x:v>Liza Mohd</x:v>
      </x:c>
      <x:c r="C4097" s="16" t="str"/>
      <x:c r="D4097" s="16" t="str"/>
      <x:c r="E4097" s="16" t="str">
        <x:v>* myContacts</x:v>
      </x:c>
      <x:c r="F4097" s="16" t="str">
        <x:v>+601115228697</x:v>
      </x:c>
      <x:c r="G4097" s="16" t="str">
        <x:v>+601115228697</x:v>
      </x:c>
      <x:c r="H4097" s="16" t="str">
        <x:v>Excluded</x:v>
      </x:c>
      <x:c r="I4097" s="16" t="str">
        <x:v>Missing email</x:v>
      </x:c>
    </x:row>
    <x:row r="4098">
      <x:c r="A4098" s="16" t="n">
        <x:v>4095</x:v>
      </x:c>
      <x:c r="B4098" s="16" t="str">
        <x:v>Lizas Rimindong</x:v>
      </x:c>
      <x:c r="C4098" s="16" t="str"/>
      <x:c r="D4098" s="16" t="str"/>
      <x:c r="E4098" s="16" t="str">
        <x:v>* myContacts</x:v>
      </x:c>
      <x:c r="F4098" s="16" t="str">
        <x:v>+60138593149</x:v>
      </x:c>
      <x:c r="G4098" s="16" t="str">
        <x:v>+60138593149</x:v>
      </x:c>
      <x:c r="H4098" s="16" t="str">
        <x:v>Excluded</x:v>
      </x:c>
      <x:c r="I4098" s="16" t="str">
        <x:v>Missing email</x:v>
      </x:c>
    </x:row>
    <x:row r="4099">
      <x:c r="A4099" s="16" t="n">
        <x:v>4096</x:v>
      </x:c>
      <x:c r="B4099" s="16" t="str">
        <x:v>Lohit Narwani</x:v>
      </x:c>
      <x:c r="C4099" s="16" t="str"/>
      <x:c r="D4099" s="16" t="str"/>
      <x:c r="E4099" s="16" t="str">
        <x:v>* myContacts</x:v>
      </x:c>
      <x:c r="F4099" s="16" t="str">
        <x:v>+919660455110</x:v>
      </x:c>
      <x:c r="G4099" s="16" t="str">
        <x:v>+919660455110</x:v>
      </x:c>
      <x:c r="H4099" s="16" t="str">
        <x:v>Excluded</x:v>
      </x:c>
      <x:c r="I4099" s="16" t="str">
        <x:v>Missing email</x:v>
      </x:c>
    </x:row>
    <x:row r="4100">
      <x:c r="A4100" s="16" t="n">
        <x:v>4097</x:v>
      </x:c>
      <x:c r="B4100" s="16" t="str">
        <x:v>loi homeliving</x:v>
      </x:c>
      <x:c r="C4100" s="16" t="str"/>
      <x:c r="D4100" s="16" t="str"/>
      <x:c r="E4100" s="16" t="str">
        <x:v>* myContacts</x:v>
      </x:c>
      <x:c r="F4100" s="16" t="str">
        <x:v>+60193287286</x:v>
      </x:c>
      <x:c r="G4100" s="16" t="str">
        <x:v>+60193287286</x:v>
      </x:c>
      <x:c r="H4100" s="16" t="str">
        <x:v>Excluded</x:v>
      </x:c>
      <x:c r="I4100" s="16" t="str">
        <x:v>Missing email</x:v>
      </x:c>
    </x:row>
    <x:row r="4101">
      <x:c r="A4101" s="16" t="n">
        <x:v>4098</x:v>
      </x:c>
      <x:c r="B4101" s="16" t="str">
        <x:v>Mr loi homeliving</x:v>
      </x:c>
      <x:c r="C4101" s="16" t="str"/>
      <x:c r="D4101" s="16" t="str"/>
      <x:c r="E4101" s="16" t="str">
        <x:v>* myContacts</x:v>
      </x:c>
      <x:c r="F4101" s="16" t="str">
        <x:v>0193287286</x:v>
      </x:c>
      <x:c r="G4101" s="16" t="str">
        <x:v>+60193287286</x:v>
      </x:c>
      <x:c r="H4101" s="16" t="str">
        <x:v>Excluded</x:v>
      </x:c>
      <x:c r="I4101" s="16" t="str">
        <x:v>Missing email</x:v>
      </x:c>
    </x:row>
    <x:row r="4102">
      <x:c r="A4102" s="16" t="n">
        <x:v>4099</x:v>
      </x:c>
      <x:c r="B4102" s="16" t="str">
        <x:v>Lokhman Podolski</x:v>
      </x:c>
      <x:c r="C4102" s="16" t="str"/>
      <x:c r="D4102" s="16" t="str"/>
      <x:c r="E4102" s="16" t="str">
        <x:v>* myContacts</x:v>
      </x:c>
      <x:c r="F4102" s="16" t="str">
        <x:v>+601124039716</x:v>
      </x:c>
      <x:c r="G4102" s="16" t="str">
        <x:v>+601124039716</x:v>
      </x:c>
      <x:c r="H4102" s="16" t="str">
        <x:v>Excluded</x:v>
      </x:c>
      <x:c r="I4102" s="16" t="str">
        <x:v>Missing email</x:v>
      </x:c>
    </x:row>
    <x:row r="4103">
      <x:c r="A4103" s="16" t="n">
        <x:v>4100</x:v>
      </x:c>
      <x:c r="B4103" s="16" t="str">
        <x:v>Lokman Hakim</x:v>
      </x:c>
      <x:c r="C4103" s="16" t="str"/>
      <x:c r="D4103" s="16" t="str"/>
      <x:c r="E4103" s="16" t="str">
        <x:v>* myContacts</x:v>
      </x:c>
      <x:c r="F4103" s="16" t="str">
        <x:v>+60122375631 | +60199934236 | +60122375631 | +60199934236</x:v>
      </x:c>
      <x:c r="G4103" s="16" t="str">
        <x:v>+60122375631 | +60199934236 | +60122375631 | +60199934236</x:v>
      </x:c>
      <x:c r="H4103" s="16" t="str">
        <x:v>Excluded</x:v>
      </x:c>
      <x:c r="I4103" s="16" t="str">
        <x:v>Missing email</x:v>
      </x:c>
    </x:row>
    <x:row r="4104">
      <x:c r="A4104" s="16" t="n">
        <x:v>4101</x:v>
      </x:c>
      <x:c r="B4104" s="16" t="str">
        <x:v>Lokman Hakim Akim</x:v>
      </x:c>
      <x:c r="C4104" s="16" t="str"/>
      <x:c r="D4104" s="16" t="str"/>
      <x:c r="E4104" s="16" t="str">
        <x:v>* myContacts</x:v>
      </x:c>
      <x:c r="F4104" s="16" t="str">
        <x:v>+601129427208</x:v>
      </x:c>
      <x:c r="G4104" s="16" t="str">
        <x:v>+601129427208</x:v>
      </x:c>
      <x:c r="H4104" s="16" t="str">
        <x:v>Excluded</x:v>
      </x:c>
      <x:c r="I4104" s="16" t="str">
        <x:v>Missing email</x:v>
      </x:c>
    </x:row>
    <x:row r="4105">
      <x:c r="A4105" s="16" t="n">
        <x:v>4102</x:v>
      </x:c>
      <x:c r="B4105" s="16" t="str">
        <x:v>Lokman IM</x:v>
      </x:c>
      <x:c r="C4105" s="16" t="str"/>
      <x:c r="D4105" s="16" t="str"/>
      <x:c r="E4105" s="16" t="str">
        <x:v>* myContacts</x:v>
      </x:c>
      <x:c r="F4105" s="16" t="str">
        <x:v>013-289 0206 | +60132890206</x:v>
      </x:c>
      <x:c r="G4105" s="16" t="str">
        <x:v>+60132890206 | +60132890206</x:v>
      </x:c>
      <x:c r="H4105" s="16" t="str">
        <x:v>Excluded</x:v>
      </x:c>
      <x:c r="I4105" s="16" t="str">
        <x:v>Missing email</x:v>
      </x:c>
    </x:row>
    <x:row r="4106">
      <x:c r="A4106" s="16" t="n">
        <x:v>4103</x:v>
      </x:c>
      <x:c r="B4106" s="16" t="str">
        <x:v>Lori Hantar Barang Perabot</x:v>
      </x:c>
      <x:c r="C4106" s="16" t="str"/>
      <x:c r="D4106" s="16" t="str"/>
      <x:c r="E4106" s="16" t="str">
        <x:v>* myContacts</x:v>
      </x:c>
      <x:c r="F4106" s="16" t="str">
        <x:v>01128880586 | +601128880586</x:v>
      </x:c>
      <x:c r="G4106" s="16" t="str">
        <x:v>+601128880586 | +601128880586</x:v>
      </x:c>
      <x:c r="H4106" s="16" t="str">
        <x:v>Excluded</x:v>
      </x:c>
      <x:c r="I4106" s="16" t="str">
        <x:v>Missing email</x:v>
      </x:c>
    </x:row>
    <x:row r="4107">
      <x:c r="A4107" s="16" t="n">
        <x:v>4104</x:v>
      </x:c>
      <x:c r="B4107" s="16" t="str">
        <x:v>Lorrytilam</x:v>
      </x:c>
      <x:c r="C4107" s="16" t="str"/>
      <x:c r="D4107" s="16" t="str"/>
      <x:c r="E4107" s="16" t="str">
        <x:v>* myContacts</x:v>
      </x:c>
      <x:c r="F4107" s="16" t="str">
        <x:v>+60 11-2664 5154 | +601126645154</x:v>
      </x:c>
      <x:c r="G4107" s="16" t="str">
        <x:v>+601126645154 | +601126645154</x:v>
      </x:c>
      <x:c r="H4107" s="16" t="str">
        <x:v>Excluded</x:v>
      </x:c>
      <x:c r="I4107" s="16" t="str">
        <x:v>Missing email</x:v>
      </x:c>
    </x:row>
    <x:row r="4108">
      <x:c r="A4108" s="16" t="n">
        <x:v>4105</x:v>
      </x:c>
      <x:c r="B4108" s="16" t="str">
        <x:v>Losta Masta Jb</x:v>
      </x:c>
      <x:c r="C4108" s="16" t="str"/>
      <x:c r="D4108" s="16" t="str"/>
      <x:c r="E4108" s="16" t="str">
        <x:v>* myContacts</x:v>
      </x:c>
      <x:c r="F4108" s="16" t="str">
        <x:v>+60107652669</x:v>
      </x:c>
      <x:c r="G4108" s="16" t="str">
        <x:v>+60107652669</x:v>
      </x:c>
      <x:c r="H4108" s="16" t="str">
        <x:v>Excluded</x:v>
      </x:c>
      <x:c r="I4108" s="16" t="str">
        <x:v>Missing email</x:v>
      </x:c>
    </x:row>
    <x:row r="4109">
      <x:c r="A4109" s="16" t="n">
        <x:v>4106</x:v>
      </x:c>
      <x:c r="B4109" s="16" t="str">
        <x:v>Love MyAinun</x:v>
      </x:c>
      <x:c r="C4109" s="16" t="str"/>
      <x:c r="D4109" s="16" t="str"/>
      <x:c r="E4109" s="16" t="str">
        <x:v>* myContacts</x:v>
      </x:c>
      <x:c r="F4109" s="16" t="str">
        <x:v>+601133860542</x:v>
      </x:c>
      <x:c r="G4109" s="16" t="str">
        <x:v>+601133860542</x:v>
      </x:c>
      <x:c r="H4109" s="16" t="str">
        <x:v>Excluded</x:v>
      </x:c>
      <x:c r="I4109" s="16" t="str">
        <x:v>Missing email</x:v>
      </x:c>
    </x:row>
    <x:row r="4110">
      <x:c r="A4110" s="16" t="n">
        <x:v>4107</x:v>
      </x:c>
      <x:c r="B4110" s="16" t="str">
        <x:v>Lovey DoveyShoppe</x:v>
      </x:c>
      <x:c r="C4110" s="16" t="str"/>
      <x:c r="D4110" s="16" t="str"/>
      <x:c r="E4110" s="16" t="str">
        <x:v>* myContacts</x:v>
      </x:c>
      <x:c r="F4110" s="16" t="str">
        <x:v>+601111305266</x:v>
      </x:c>
      <x:c r="G4110" s="16" t="str">
        <x:v>+601111305266</x:v>
      </x:c>
      <x:c r="H4110" s="16" t="str">
        <x:v>Excluded</x:v>
      </x:c>
      <x:c r="I4110" s="16" t="str">
        <x:v>Missing email</x:v>
      </x:c>
    </x:row>
    <x:row r="4111">
      <x:c r="A4111" s="16" t="n">
        <x:v>4108</x:v>
      </x:c>
      <x:c r="B4111" s="16" t="str">
        <x:v>Low KimHon</x:v>
      </x:c>
      <x:c r="C4111" s="16" t="str"/>
      <x:c r="D4111" s="16" t="str"/>
      <x:c r="E4111" s="16" t="str">
        <x:v>* myContacts</x:v>
      </x:c>
      <x:c r="F4111" s="16" t="str">
        <x:v>+601111521435</x:v>
      </x:c>
      <x:c r="G4111" s="16" t="str">
        <x:v>+601111521435</x:v>
      </x:c>
      <x:c r="H4111" s="16" t="str">
        <x:v>Excluded</x:v>
      </x:c>
      <x:c r="I4111" s="16" t="str">
        <x:v>Missing email</x:v>
      </x:c>
    </x:row>
    <x:row r="4112">
      <x:c r="A4112" s="16" t="n">
        <x:v>4109</x:v>
      </x:c>
      <x:c r="B4112" s="16" t="str">
        <x:v>Mr low rexton</x:v>
      </x:c>
      <x:c r="C4112" s="16" t="str"/>
      <x:c r="D4112" s="16" t="str"/>
      <x:c r="E4112" s="16" t="str">
        <x:v>* myContacts</x:v>
      </x:c>
      <x:c r="F4112" s="16" t="str">
        <x:v>+60147000777</x:v>
      </x:c>
      <x:c r="G4112" s="16" t="str">
        <x:v>+60147000777</x:v>
      </x:c>
      <x:c r="H4112" s="16" t="str">
        <x:v>Excluded</x:v>
      </x:c>
      <x:c r="I4112" s="16" t="str">
        <x:v>Missing email</x:v>
      </x:c>
    </x:row>
    <x:row r="4113">
      <x:c r="A4113" s="16" t="n">
        <x:v>4110</x:v>
      </x:c>
      <x:c r="B4113" s="16" t="str">
        <x:v>Low West</x:v>
      </x:c>
      <x:c r="C4113" s="16" t="str"/>
      <x:c r="D4113" s="16" t="str"/>
      <x:c r="E4113" s="16" t="str">
        <x:v>* myContacts</x:v>
      </x:c>
      <x:c r="F4113" s="16" t="str">
        <x:v>+60168045359</x:v>
      </x:c>
      <x:c r="G4113" s="16" t="str">
        <x:v>+60168045359</x:v>
      </x:c>
      <x:c r="H4113" s="16" t="str">
        <x:v>Excluded</x:v>
      </x:c>
      <x:c r="I4113" s="16" t="str">
        <x:v>Missing email</x:v>
      </x:c>
    </x:row>
    <x:row r="4114">
      <x:c r="A4114" s="16" t="n">
        <x:v>4111</x:v>
      </x:c>
      <x:c r="B4114" s="16" t="str">
        <x:v>Lucky Guy</x:v>
      </x:c>
      <x:c r="C4114" s="16" t="str"/>
      <x:c r="D4114" s="16" t="str"/>
      <x:c r="E4114" s="16" t="str">
        <x:v>* myContacts</x:v>
      </x:c>
      <x:c r="F4114" s="16" t="str">
        <x:v>+601150118299</x:v>
      </x:c>
      <x:c r="G4114" s="16" t="str">
        <x:v>+601150118299</x:v>
      </x:c>
      <x:c r="H4114" s="16" t="str">
        <x:v>Excluded</x:v>
      </x:c>
      <x:c r="I4114" s="16" t="str">
        <x:v>Missing email</x:v>
      </x:c>
    </x:row>
    <x:row r="4115">
      <x:c r="A4115" s="16" t="n">
        <x:v>4112</x:v>
      </x:c>
      <x:c r="B4115" s="16" t="str">
        <x:v>Lukman Agent Essens</x:v>
      </x:c>
      <x:c r="C4115" s="16" t="str"/>
      <x:c r="D4115" s="16" t="str"/>
      <x:c r="E4115" s="16" t="str">
        <x:v>* myContacts</x:v>
      </x:c>
      <x:c r="F4115" s="16" t="str">
        <x:v>+60 10-432 9600 | +60104329600</x:v>
      </x:c>
      <x:c r="G4115" s="16" t="str">
        <x:v>+60104329600 | +60104329600</x:v>
      </x:c>
      <x:c r="H4115" s="16" t="str">
        <x:v>Excluded</x:v>
      </x:c>
      <x:c r="I4115" s="16" t="str">
        <x:v>Missing email</x:v>
      </x:c>
    </x:row>
    <x:row r="4116">
      <x:c r="A4116" s="16" t="n">
        <x:v>4113</x:v>
      </x:c>
      <x:c r="B4116" s="16" t="str">
        <x:v>Lukman Anak Achu</x:v>
      </x:c>
      <x:c r="C4116" s="16" t="str"/>
      <x:c r="D4116" s="16" t="str"/>
      <x:c r="E4116" s="16" t="str">
        <x:v>* myContacts</x:v>
      </x:c>
      <x:c r="F4116" s="16" t="str">
        <x:v>+60 12-228 7646 | +60122287646</x:v>
      </x:c>
      <x:c r="G4116" s="16" t="str">
        <x:v>+60122287646 | +60122287646</x:v>
      </x:c>
      <x:c r="H4116" s="16" t="str">
        <x:v>Excluded</x:v>
      </x:c>
      <x:c r="I4116" s="16" t="str">
        <x:v>Missing email</x:v>
      </x:c>
    </x:row>
    <x:row r="4117">
      <x:c r="A4117" s="16" t="n">
        <x:v>4114</x:v>
      </x:c>
      <x:c r="B4117" s="16" t="str">
        <x:v>lukman C6 Shopee</x:v>
      </x:c>
      <x:c r="C4117" s="16" t="str"/>
      <x:c r="D4117" s="16" t="str"/>
      <x:c r="E4117" s="16" t="str">
        <x:v>* myContacts</x:v>
      </x:c>
      <x:c r="F4117" s="16" t="str">
        <x:v>+60 11-1957 7342 | +601119577342</x:v>
      </x:c>
      <x:c r="G4117" s="16" t="str">
        <x:v>+601119577342 | +601119577342</x:v>
      </x:c>
      <x:c r="H4117" s="16" t="str">
        <x:v>Excluded</x:v>
      </x:c>
      <x:c r="I4117" s="16" t="str">
        <x:v>Missing email</x:v>
      </x:c>
    </x:row>
    <x:row r="4118">
      <x:c r="A4118" s="16" t="n">
        <x:v>4115</x:v>
      </x:c>
      <x:c r="B4118" s="16" t="str">
        <x:v>Lukman Mdec IM</x:v>
      </x:c>
      <x:c r="C4118" s="16" t="str"/>
      <x:c r="D4118" s="16" t="str"/>
      <x:c r="E4118" s="16" t="str">
        <x:v>* myContacts | * starred</x:v>
      </x:c>
      <x:c r="F4118" s="16" t="str">
        <x:v>+60129452050</x:v>
      </x:c>
      <x:c r="G4118" s="16" t="str">
        <x:v>+60129452050</x:v>
      </x:c>
      <x:c r="H4118" s="16" t="str">
        <x:v>Excluded</x:v>
      </x:c>
      <x:c r="I4118" s="16" t="str">
        <x:v>Missing email</x:v>
      </x:c>
    </x:row>
    <x:row r="4119">
      <x:c r="A4119" s="16" t="n">
        <x:v>4116</x:v>
      </x:c>
      <x:c r="B4119" s="16" t="str">
        <x:v>Luqe Fina</x:v>
      </x:c>
      <x:c r="C4119" s="16" t="str"/>
      <x:c r="D4119" s="16" t="str"/>
      <x:c r="E4119" s="16" t="str">
        <x:v>* myContacts</x:v>
      </x:c>
      <x:c r="F4119" s="16" t="str">
        <x:v>+60175174982</x:v>
      </x:c>
      <x:c r="G4119" s="16" t="str">
        <x:v>+60175174982</x:v>
      </x:c>
      <x:c r="H4119" s="16" t="str">
        <x:v>Excluded</x:v>
      </x:c>
      <x:c r="I4119" s="16" t="str">
        <x:v>Missing email</x:v>
      </x:c>
    </x:row>
    <x:row r="4120">
      <x:c r="A4120" s="16" t="n">
        <x:v>4117</x:v>
      </x:c>
      <x:c r="B4120" s="16" t="str">
        <x:v>Luqman Agent Essens</x:v>
      </x:c>
      <x:c r="C4120" s="16" t="str"/>
      <x:c r="D4120" s="16" t="str"/>
      <x:c r="E4120" s="16" t="str">
        <x:v>* myContacts</x:v>
      </x:c>
      <x:c r="F4120" s="16" t="str">
        <x:v>+60 11-3908 3395 | +601139083395</x:v>
      </x:c>
      <x:c r="G4120" s="16" t="str">
        <x:v>+601139083395 | +601139083395</x:v>
      </x:c>
      <x:c r="H4120" s="16" t="str">
        <x:v>Excluded</x:v>
      </x:c>
      <x:c r="I4120" s="16" t="str">
        <x:v>Missing email</x:v>
      </x:c>
    </x:row>
    <x:row r="4121">
      <x:c r="A4121" s="16" t="n">
        <x:v>4118</x:v>
      </x:c>
      <x:c r="B4121" s="16" t="str">
        <x:v>Luqman Avana CEO</x:v>
      </x:c>
      <x:c r="C4121" s="16" t="str"/>
      <x:c r="D4121" s="16" t="str"/>
      <x:c r="E4121" s="16" t="str">
        <x:v>* myContacts</x:v>
      </x:c>
      <x:c r="F4121" s="16" t="str">
        <x:v>0199510102 | +60199510102</x:v>
      </x:c>
      <x:c r="G4121" s="16" t="str">
        <x:v>+60199510102 | +60199510102</x:v>
      </x:c>
      <x:c r="H4121" s="16" t="str">
        <x:v>Excluded</x:v>
      </x:c>
      <x:c r="I4121" s="16" t="str">
        <x:v>Missing email</x:v>
      </x:c>
    </x:row>
    <x:row r="4122">
      <x:c r="A4122" s="16" t="n">
        <x:v>4119</x:v>
      </x:c>
      <x:c r="B4122" s="16" t="str">
        <x:v>Luqman Hakim</x:v>
      </x:c>
      <x:c r="C4122" s="16" t="str"/>
      <x:c r="D4122" s="16" t="str"/>
      <x:c r="E4122" s="16" t="str">
        <x:v>* myContacts</x:v>
      </x:c>
      <x:c r="F4122" s="16" t="str">
        <x:v>+60179094770</x:v>
      </x:c>
      <x:c r="G4122" s="16" t="str">
        <x:v>+60179094770</x:v>
      </x:c>
      <x:c r="H4122" s="16" t="str">
        <x:v>Excluded</x:v>
      </x:c>
      <x:c r="I4122" s="16" t="str">
        <x:v>Missing email</x:v>
      </x:c>
    </x:row>
    <x:row r="4123">
      <x:c r="A4123" s="16" t="n">
        <x:v>4120</x:v>
      </x:c>
      <x:c r="B4123" s="16" t="str">
        <x:v>Luqman PR Mdec</x:v>
      </x:c>
      <x:c r="C4123" s="16" t="str"/>
      <x:c r="D4123" s="16" t="str"/>
      <x:c r="E4123" s="16" t="str">
        <x:v>* myContacts</x:v>
      </x:c>
      <x:c r="F4123" s="16" t="str">
        <x:v>0162384457 | +60162384457</x:v>
      </x:c>
      <x:c r="G4123" s="16" t="str">
        <x:v>+60162384457 | +60162384457</x:v>
      </x:c>
      <x:c r="H4123" s="16" t="str">
        <x:v>Excluded</x:v>
      </x:c>
      <x:c r="I4123" s="16" t="str">
        <x:v>Missing email</x:v>
      </x:c>
    </x:row>
    <x:row r="4124">
      <x:c r="A4124" s="16" t="n">
        <x:v>4121</x:v>
      </x:c>
      <x:c r="B4124" s="16" t="str">
        <x:v>Luqman tikok incubation team</x:v>
      </x:c>
      <x:c r="C4124" s="16" t="str">
        <x:v>loqman.firdauz@bytedance.com</x:v>
      </x:c>
      <x:c r="D4124" s="16" t="str">
        <x:v>loqman.firdauz@bytedance.com</x:v>
      </x:c>
      <x:c r="E4124" s="16" t="str">
        <x:v>* myContacts</x:v>
      </x:c>
      <x:c r="F4124" s="16" t="str">
        <x:v>13-297 0775 | 132970775</x:v>
      </x:c>
      <x:c r="G4124" s="16" t="str"/>
      <x:c r="H4124" s="16" t="str">
        <x:v>Eligible</x:v>
      </x:c>
      <x:c r="I4124" s="16" t="str"/>
    </x:row>
    <x:row r="4125">
      <x:c r="A4125" s="16" t="n">
        <x:v>4122</x:v>
      </x:c>
      <x:c r="B4125" s="16" t="str">
        <x:v>Luqmanulhakim Zahari</x:v>
      </x:c>
      <x:c r="C4125" s="16" t="str"/>
      <x:c r="D4125" s="16" t="str"/>
      <x:c r="E4125" s="16" t="str">
        <x:v>* myContacts</x:v>
      </x:c>
      <x:c r="F4125" s="16" t="str">
        <x:v>+60174780504</x:v>
      </x:c>
      <x:c r="G4125" s="16" t="str">
        <x:v>+60174780504</x:v>
      </x:c>
      <x:c r="H4125" s="16" t="str">
        <x:v>Excluded</x:v>
      </x:c>
      <x:c r="I4125" s="16" t="str">
        <x:v>Missing email</x:v>
      </x:c>
    </x:row>
    <x:row r="4126">
      <x:c r="A4126" s="16" t="n">
        <x:v>4123</x:v>
      </x:c>
      <x:c r="B4126" s="16" t="str">
        <x:v>Lusiin Bte Jipulis HG</x:v>
      </x:c>
      <x:c r="C4126" s="16" t="str"/>
      <x:c r="D4126" s="16" t="str"/>
      <x:c r="E4126" s="16" t="str">
        <x:v>* myContacts</x:v>
      </x:c>
      <x:c r="F4126" s="16" t="str">
        <x:v>+60 10-507 6828 | +60105076828</x:v>
      </x:c>
      <x:c r="G4126" s="16" t="str">
        <x:v>+60105076828 | +60105076828</x:v>
      </x:c>
      <x:c r="H4126" s="16" t="str">
        <x:v>Excluded</x:v>
      </x:c>
      <x:c r="I4126" s="16" t="str">
        <x:v>Missing email</x:v>
      </x:c>
    </x:row>
    <x:row r="4127">
      <x:c r="A4127" s="16" t="n">
        <x:v>4124</x:v>
      </x:c>
      <x:c r="B4127" s="16" t="str">
        <x:v>Lut Bin Kamarudin AGP</x:v>
      </x:c>
      <x:c r="C4127" s="16" t="str"/>
      <x:c r="D4127" s="16" t="str"/>
      <x:c r="E4127" s="16" t="str">
        <x:v>* myContacts</x:v>
      </x:c>
      <x:c r="F4127" s="16" t="str">
        <x:v>+60 13-974 8113 | +60139748113</x:v>
      </x:c>
      <x:c r="G4127" s="16" t="str">
        <x:v>+60139748113 | +60139748113</x:v>
      </x:c>
      <x:c r="H4127" s="16" t="str">
        <x:v>Excluded</x:v>
      </x:c>
      <x:c r="I4127" s="16" t="str">
        <x:v>Missing email</x:v>
      </x:c>
    </x:row>
    <x:row r="4128">
      <x:c r="A4128" s="16" t="n">
        <x:v>4125</x:v>
      </x:c>
      <x:c r="B4128" s="16" t="str">
        <x:v>Lutfi Mahasan</x:v>
      </x:c>
      <x:c r="C4128" s="16" t="str"/>
      <x:c r="D4128" s="16" t="str"/>
      <x:c r="E4128" s="16" t="str">
        <x:v>* myContacts</x:v>
      </x:c>
      <x:c r="F4128" s="16" t="str">
        <x:v>+60123368180</x:v>
      </x:c>
      <x:c r="G4128" s="16" t="str">
        <x:v>+60123368180</x:v>
      </x:c>
      <x:c r="H4128" s="16" t="str">
        <x:v>Excluded</x:v>
      </x:c>
      <x:c r="I4128" s="16" t="str">
        <x:v>Missing email</x:v>
      </x:c>
    </x:row>
    <x:row r="4129">
      <x:c r="A4129" s="16" t="n">
        <x:v>4126</x:v>
      </x:c>
      <x:c r="B4129" s="16" t="str">
        <x:v>Lutfi Perlis</x:v>
      </x:c>
      <x:c r="C4129" s="16" t="str"/>
      <x:c r="D4129" s="16" t="str"/>
      <x:c r="E4129" s="16" t="str">
        <x:v>* myContacts</x:v>
      </x:c>
      <x:c r="F4129" s="16" t="str">
        <x:v>+60 11-5542 8730 | +601155428730</x:v>
      </x:c>
      <x:c r="G4129" s="16" t="str">
        <x:v>+601155428730 | +601155428730</x:v>
      </x:c>
      <x:c r="H4129" s="16" t="str">
        <x:v>Excluded</x:v>
      </x:c>
      <x:c r="I4129" s="16" t="str">
        <x:v>Missing email</x:v>
      </x:c>
    </x:row>
    <x:row r="4130">
      <x:c r="A4130" s="16" t="n">
        <x:v>4127</x:v>
      </x:c>
      <x:c r="B4130" s="16" t="str">
        <x:v>Lutfi Student LAZADA Sarawak</x:v>
      </x:c>
      <x:c r="C4130" s="16" t="str"/>
      <x:c r="D4130" s="16" t="str"/>
      <x:c r="E4130" s="16" t="str">
        <x:v>* myContacts</x:v>
      </x:c>
      <x:c r="F4130" s="16" t="str">
        <x:v>+60 17-772 2367 | +60177722367</x:v>
      </x:c>
      <x:c r="G4130" s="16" t="str">
        <x:v>+60177722367 | +60177722367</x:v>
      </x:c>
      <x:c r="H4130" s="16" t="str">
        <x:v>Excluded</x:v>
      </x:c>
      <x:c r="I4130" s="16" t="str">
        <x:v>Missing email</x:v>
      </x:c>
    </x:row>
    <x:row r="4131">
      <x:c r="A4131" s="16" t="n">
        <x:v>4128</x:v>
      </x:c>
      <x:c r="B4131" s="16" t="str">
        <x:v>LutFie Syawal</x:v>
      </x:c>
      <x:c r="C4131" s="16" t="str"/>
      <x:c r="D4131" s="16" t="str"/>
      <x:c r="E4131" s="16" t="str">
        <x:v>* myContacts</x:v>
      </x:c>
      <x:c r="F4131" s="16" t="str">
        <x:v>+60199767944</x:v>
      </x:c>
      <x:c r="G4131" s="16" t="str">
        <x:v>+60199767944</x:v>
      </x:c>
      <x:c r="H4131" s="16" t="str">
        <x:v>Excluded</x:v>
      </x:c>
      <x:c r="I4131" s="16" t="str">
        <x:v>Missing email</x:v>
      </x:c>
    </x:row>
    <x:row r="4132">
      <x:c r="A4132" s="16" t="n">
        <x:v>4129</x:v>
      </x:c>
      <x:c r="B4132" s="16" t="str">
        <x:v>Lutut Kering</x:v>
      </x:c>
      <x:c r="C4132" s="16" t="str"/>
      <x:c r="D4132" s="16" t="str"/>
      <x:c r="E4132" s="16" t="str">
        <x:v>* myContacts</x:v>
      </x:c>
      <x:c r="F4132" s="16" t="str">
        <x:v>+60133002931</x:v>
      </x:c>
      <x:c r="G4132" s="16" t="str">
        <x:v>+60133002931</x:v>
      </x:c>
      <x:c r="H4132" s="16" t="str">
        <x:v>Excluded</x:v>
      </x:c>
      <x:c r="I4132" s="16" t="str">
        <x:v>Missing email</x:v>
      </x:c>
    </x:row>
    <x:row r="4133">
      <x:c r="A4133" s="16" t="n">
        <x:v>4130</x:v>
      </x:c>
      <x:c r="B4133" s="16" t="str">
        <x:v>Luziza Lursah</x:v>
      </x:c>
      <x:c r="C4133" s="16" t="str"/>
      <x:c r="D4133" s="16" t="str"/>
      <x:c r="E4133" s="16" t="str">
        <x:v>* myContacts</x:v>
      </x:c>
      <x:c r="F4133" s="16" t="str">
        <x:v>+601135635300</x:v>
      </x:c>
      <x:c r="G4133" s="16" t="str">
        <x:v>+601135635300</x:v>
      </x:c>
      <x:c r="H4133" s="16" t="str">
        <x:v>Excluded</x:v>
      </x:c>
      <x:c r="I4133" s="16" t="str">
        <x:v>Missing email</x:v>
      </x:c>
    </x:row>
    <x:row r="4134">
      <x:c r="A4134" s="16" t="n">
        <x:v>4131</x:v>
      </x:c>
      <x:c r="B4134" s="16" t="str">
        <x:v>Lyda Bridal Terengganu Terengganu</x:v>
      </x:c>
      <x:c r="C4134" s="16" t="str"/>
      <x:c r="D4134" s="16" t="str"/>
      <x:c r="E4134" s="16" t="str">
        <x:v>* myContacts</x:v>
      </x:c>
      <x:c r="F4134" s="16" t="str">
        <x:v>+60197932206</x:v>
      </x:c>
      <x:c r="G4134" s="16" t="str">
        <x:v>+60197932206</x:v>
      </x:c>
      <x:c r="H4134" s="16" t="str">
        <x:v>Excluded</x:v>
      </x:c>
      <x:c r="I4134" s="16" t="str">
        <x:v>Missing email</x:v>
      </x:c>
    </x:row>
    <x:row r="4135">
      <x:c r="A4135" s="16" t="n">
        <x:v>4132</x:v>
      </x:c>
      <x:c r="B4135" s="16" t="str">
        <x:v>Lydia Mal</x:v>
      </x:c>
      <x:c r="C4135" s="16" t="str"/>
      <x:c r="D4135" s="16" t="str"/>
      <x:c r="E4135" s="16" t="str">
        <x:v>* myContacts</x:v>
      </x:c>
      <x:c r="F4135" s="16" t="str">
        <x:v>+60179480568</x:v>
      </x:c>
      <x:c r="G4135" s="16" t="str">
        <x:v>+60179480568</x:v>
      </x:c>
      <x:c r="H4135" s="16" t="str">
        <x:v>Excluded</x:v>
      </x:c>
      <x:c r="I4135" s="16" t="str">
        <x:v>Missing email</x:v>
      </x:c>
    </x:row>
    <x:row r="4136">
      <x:c r="A4136" s="16" t="n">
        <x:v>4133</x:v>
      </x:c>
      <x:c r="B4136" s="16" t="str">
        <x:v>Lyna Haslyna</x:v>
      </x:c>
      <x:c r="C4136" s="16" t="str"/>
      <x:c r="D4136" s="16" t="str"/>
      <x:c r="E4136" s="16" t="str">
        <x:v>* myContacts</x:v>
      </x:c>
      <x:c r="F4136" s="16" t="str">
        <x:v>+60182995722</x:v>
      </x:c>
      <x:c r="G4136" s="16" t="str">
        <x:v>+60182995722</x:v>
      </x:c>
      <x:c r="H4136" s="16" t="str">
        <x:v>Excluded</x:v>
      </x:c>
      <x:c r="I4136" s="16" t="str">
        <x:v>Missing email</x:v>
      </x:c>
    </x:row>
    <x:row r="4137">
      <x:c r="A4137" s="16" t="n">
        <x:v>4134</x:v>
      </x:c>
      <x:c r="B4137" s="16" t="str">
        <x:v>Lynn Lysa</x:v>
      </x:c>
      <x:c r="C4137" s="16" t="str"/>
      <x:c r="D4137" s="16" t="str"/>
      <x:c r="E4137" s="16" t="str">
        <x:v>* myContacts</x:v>
      </x:c>
      <x:c r="F4137" s="16" t="str">
        <x:v>+60176022565</x:v>
      </x:c>
      <x:c r="G4137" s="16" t="str">
        <x:v>+60176022565</x:v>
      </x:c>
      <x:c r="H4137" s="16" t="str">
        <x:v>Excluded</x:v>
      </x:c>
      <x:c r="I4137" s="16" t="str">
        <x:v>Missing email</x:v>
      </x:c>
    </x:row>
    <x:row r="4138">
      <x:c r="A4138" s="16" t="n">
        <x:v>4135</x:v>
      </x:c>
      <x:c r="B4138" s="16" t="str">
        <x:v>Lynne George Henry</x:v>
      </x:c>
      <x:c r="C4138" s="16" t="str"/>
      <x:c r="D4138" s="16" t="str"/>
      <x:c r="E4138" s="16" t="str">
        <x:v>* myContacts</x:v>
      </x:c>
      <x:c r="F4138" s="16" t="str">
        <x:v>+60126068902</x:v>
      </x:c>
      <x:c r="G4138" s="16" t="str">
        <x:v>+60126068902</x:v>
      </x:c>
      <x:c r="H4138" s="16" t="str">
        <x:v>Excluded</x:v>
      </x:c>
      <x:c r="I4138" s="16" t="str">
        <x:v>Missing email</x:v>
      </x:c>
    </x:row>
    <x:row r="4139">
      <x:c r="A4139" s="16" t="n">
        <x:v>4136</x:v>
      </x:c>
      <x:c r="B4139" s="16" t="str">
        <x:v>LZ Shopline</x:v>
      </x:c>
      <x:c r="C4139" s="16" t="str"/>
      <x:c r="D4139" s="16" t="str"/>
      <x:c r="E4139" s="16" t="str">
        <x:v>* myContacts</x:v>
      </x:c>
      <x:c r="F4139" s="16" t="str">
        <x:v>+60143589906</x:v>
      </x:c>
      <x:c r="G4139" s="16" t="str">
        <x:v>+60143589906</x:v>
      </x:c>
      <x:c r="H4139" s="16" t="str">
        <x:v>Excluded</x:v>
      </x:c>
      <x:c r="I4139" s="16" t="str">
        <x:v>Missing email</x:v>
      </x:c>
    </x:row>
    <x:row r="4140">
      <x:c r="A4140" s="16" t="n">
        <x:v>4137</x:v>
      </x:c>
      <x:c r="B4140" s="16" t="str">
        <x:v>M Alhafiz Ahmad</x:v>
      </x:c>
      <x:c r="C4140" s="16" t="str"/>
      <x:c r="D4140" s="16" t="str"/>
      <x:c r="E4140" s="16" t="str">
        <x:v>* myContacts</x:v>
      </x:c>
      <x:c r="F4140" s="16" t="str">
        <x:v>+60169870028</x:v>
      </x:c>
      <x:c r="G4140" s="16" t="str">
        <x:v>+60169870028</x:v>
      </x:c>
      <x:c r="H4140" s="16" t="str">
        <x:v>Excluded</x:v>
      </x:c>
      <x:c r="I4140" s="16" t="str">
        <x:v>Missing email</x:v>
      </x:c>
    </x:row>
    <x:row r="4141">
      <x:c r="A4141" s="16" t="n">
        <x:v>4138</x:v>
      </x:c>
      <x:c r="B4141" s="16" t="str">
        <x:v>M Fattah Insken</x:v>
      </x:c>
      <x:c r="C4141" s="16" t="str"/>
      <x:c r="D4141" s="16" t="str"/>
      <x:c r="E4141" s="16" t="str">
        <x:v>Alumni INSKEN | * myContacts</x:v>
      </x:c>
      <x:c r="F4141" s="16" t="str">
        <x:v>+60 11-3296 0272 | +601132960272</x:v>
      </x:c>
      <x:c r="G4141" s="16" t="str">
        <x:v>+601132960272 | +601132960272</x:v>
      </x:c>
      <x:c r="H4141" s="16" t="str">
        <x:v>Excluded</x:v>
      </x:c>
      <x:c r="I4141" s="16" t="str">
        <x:v>Missing email</x:v>
      </x:c>
    </x:row>
    <x:row r="4142">
      <x:c r="A4142" s="16" t="n">
        <x:v>4139</x:v>
      </x:c>
      <x:c r="B4142" s="16" t="str">
        <x:v>M Indah Michiyo Hamid</x:v>
      </x:c>
      <x:c r="C4142" s="16" t="str"/>
      <x:c r="D4142" s="16" t="str"/>
      <x:c r="E4142" s="16" t="str">
        <x:v>* myContacts</x:v>
      </x:c>
      <x:c r="F4142" s="16" t="str">
        <x:v>+60192932083</x:v>
      </x:c>
      <x:c r="G4142" s="16" t="str">
        <x:v>+60192932083</x:v>
      </x:c>
      <x:c r="H4142" s="16" t="str">
        <x:v>Excluded</x:v>
      </x:c>
      <x:c r="I4142" s="16" t="str">
        <x:v>Missing email</x:v>
      </x:c>
    </x:row>
    <x:row r="4143">
      <x:c r="A4143" s="16" t="n">
        <x:v>4140</x:v>
      </x:c>
      <x:c r="B4143" s="16" t="str">
        <x:v>M Mizwan Omar</x:v>
      </x:c>
      <x:c r="C4143" s="16" t="str"/>
      <x:c r="D4143" s="16" t="str"/>
      <x:c r="E4143" s="16" t="str">
        <x:v>* myContacts</x:v>
      </x:c>
      <x:c r="F4143" s="16" t="str">
        <x:v>+60122644921</x:v>
      </x:c>
      <x:c r="G4143" s="16" t="str">
        <x:v>+60122644921</x:v>
      </x:c>
      <x:c r="H4143" s="16" t="str">
        <x:v>Excluded</x:v>
      </x:c>
      <x:c r="I4143" s="16" t="str">
        <x:v>Missing email</x:v>
      </x:c>
    </x:row>
    <x:row r="4144">
      <x:c r="A4144" s="16" t="n">
        <x:v>4141</x:v>
      </x:c>
      <x:c r="B4144" s="16" t="str">
        <x:v>M. Qamarul Q &amp; K Resources</x:v>
      </x:c>
      <x:c r="C4144" s="16" t="str"/>
      <x:c r="D4144" s="16" t="str"/>
      <x:c r="E4144" s="16" t="str">
        <x:v>* myContacts</x:v>
      </x:c>
      <x:c r="F4144" s="16" t="str">
        <x:v>+60 19-312 3535 | +60193123535 | +60 17-310 3140</x:v>
      </x:c>
      <x:c r="G4144" s="16" t="str">
        <x:v>+60193123535 | +60193123535 | +60173103140</x:v>
      </x:c>
      <x:c r="H4144" s="16" t="str">
        <x:v>Excluded</x:v>
      </x:c>
      <x:c r="I4144" s="16" t="str">
        <x:v>Missing email</x:v>
      </x:c>
    </x:row>
    <x:row r="4145">
      <x:c r="A4145" s="16" t="n">
        <x:v>4142</x:v>
      </x:c>
      <x:c r="B4145" s="16" t="str">
        <x:v>M. U Asri Yunus Tahfiz</x:v>
      </x:c>
      <x:c r="C4145" s="16" t="str"/>
      <x:c r="D4145" s="16" t="str"/>
      <x:c r="E4145" s="16" t="str">
        <x:v>* myContacts</x:v>
      </x:c>
      <x:c r="F4145" s="16" t="str">
        <x:v>+60133389137 | +60133889137</x:v>
      </x:c>
      <x:c r="G4145" s="16" t="str">
        <x:v>+60133389137 | +60133889137</x:v>
      </x:c>
      <x:c r="H4145" s="16" t="str">
        <x:v>Excluded</x:v>
      </x:c>
      <x:c r="I4145" s="16" t="str">
        <x:v>Missing email</x:v>
      </x:c>
    </x:row>
    <x:row r="4146">
      <x:c r="A4146" s="16" t="n">
        <x:v>4143</x:v>
      </x:c>
      <x:c r="B4146" s="16" t="str">
        <x:v>M. U Asri Yunus Tahfiz</x:v>
      </x:c>
      <x:c r="C4146" s="16" t="str"/>
      <x:c r="D4146" s="16" t="str"/>
      <x:c r="E4146" s="16" t="str">
        <x:v>* myContacts</x:v>
      </x:c>
      <x:c r="F4146" s="16" t="str">
        <x:v>+60 13-338 9137 | +60 13-388 9137</x:v>
      </x:c>
      <x:c r="G4146" s="16" t="str">
        <x:v>+60133389137 | +60133889137</x:v>
      </x:c>
      <x:c r="H4146" s="16" t="str">
        <x:v>Excluded</x:v>
      </x:c>
      <x:c r="I4146" s="16" t="str">
        <x:v>Missing email</x:v>
      </x:c>
    </x:row>
    <x:row r="4147">
      <x:c r="A4147" s="16" t="n">
        <x:v>4144</x:v>
      </x:c>
      <x:c r="B4147" s="16" t="str">
        <x:v>M'Motel Meru Ipoh</x:v>
      </x:c>
      <x:c r="C4147" s="16" t="str"/>
      <x:c r="D4147" s="16" t="str"/>
      <x:c r="E4147" s="16" t="str">
        <x:v>* myContacts</x:v>
      </x:c>
      <x:c r="F4147" s="16" t="str">
        <x:v>+6096229622</x:v>
      </x:c>
      <x:c r="G4147" s="16" t="str">
        <x:v>+6096229622</x:v>
      </x:c>
      <x:c r="H4147" s="16" t="str">
        <x:v>Excluded</x:v>
      </x:c>
      <x:c r="I4147" s="16" t="str">
        <x:v>Missing email</x:v>
      </x:c>
    </x:row>
    <x:row r="4148">
      <x:c r="A4148" s="16" t="n">
        <x:v>4145</x:v>
      </x:c>
      <x:c r="B4148" s="16" t="str">
        <x:v>MA Rostam Spektra Zahidah Database</x:v>
      </x:c>
      <x:c r="C4148" s="16" t="str"/>
      <x:c r="D4148" s="16" t="str"/>
      <x:c r="E4148" s="16" t="str">
        <x:v>* myContacts</x:v>
      </x:c>
      <x:c r="F4148" s="16" t="str">
        <x:v>+60 13-203 9513 | +60132039513</x:v>
      </x:c>
      <x:c r="G4148" s="16" t="str">
        <x:v>+60132039513 | +60132039513</x:v>
      </x:c>
      <x:c r="H4148" s="16" t="str">
        <x:v>Excluded</x:v>
      </x:c>
      <x:c r="I4148" s="16" t="str">
        <x:v>Missing email</x:v>
      </x:c>
    </x:row>
    <x:row r="4149">
      <x:c r="A4149" s="16" t="n">
        <x:v>4146</x:v>
      </x:c>
      <x:c r="B4149" s="16" t="str">
        <x:v>MA student DPIM</x:v>
      </x:c>
      <x:c r="C4149" s="16" t="str"/>
      <x:c r="D4149" s="16" t="str"/>
      <x:c r="E4149" s="16" t="str">
        <x:v>* myContacts</x:v>
      </x:c>
      <x:c r="F4149" s="16" t="str">
        <x:v>+60 11-2943 1879 | +601129431879</x:v>
      </x:c>
      <x:c r="G4149" s="16" t="str">
        <x:v>+601129431879 | +601129431879</x:v>
      </x:c>
      <x:c r="H4149" s="16" t="str">
        <x:v>Excluded</x:v>
      </x:c>
      <x:c r="I4149" s="16" t="str">
        <x:v>Missing email</x:v>
      </x:c>
    </x:row>
    <x:row r="4150">
      <x:c r="A4150" s="16" t="n">
        <x:v>4147</x:v>
      </x:c>
      <x:c r="B4150" s="16" t="str">
        <x:v>Ma Umairah Zulfan</x:v>
      </x:c>
      <x:c r="C4150" s="16" t="str"/>
      <x:c r="D4150" s="16" t="str"/>
      <x:c r="E4150" s="16" t="str">
        <x:v>* myContacts</x:v>
      </x:c>
      <x:c r="F4150" s="16" t="str">
        <x:v>+60179466492</x:v>
      </x:c>
      <x:c r="G4150" s="16" t="str">
        <x:v>+60179466492</x:v>
      </x:c>
      <x:c r="H4150" s="16" t="str">
        <x:v>Excluded</x:v>
      </x:c>
      <x:c r="I4150" s="16" t="str">
        <x:v>Missing email</x:v>
      </x:c>
    </x:row>
    <x:row r="4151">
      <x:c r="A4151" s="16" t="n">
        <x:v>4148</x:v>
      </x:c>
      <x:c r="B4151" s="16" t="str">
        <x:v>MÅ'hÄ Ã"fÄ Å¾Ã¥Å‚</x:v>
      </x:c>
      <x:c r="C4151" s="16" t="str"/>
      <x:c r="D4151" s="16" t="str"/>
      <x:c r="E4151" s="16" t="str">
        <x:v>* myContacts</x:v>
      </x:c>
      <x:c r="F4151" s="16" t="str">
        <x:v>+60172960373</x:v>
      </x:c>
      <x:c r="G4151" s="16" t="str">
        <x:v>+60172960373</x:v>
      </x:c>
      <x:c r="H4151" s="16" t="str">
        <x:v>Excluded</x:v>
      </x:c>
      <x:c r="I4151" s="16" t="str">
        <x:v>Missing email</x:v>
      </x:c>
    </x:row>
    <x:row r="4152">
      <x:c r="A4152" s="16" t="n">
        <x:v>4149</x:v>
      </x:c>
      <x:c r="B4152" s="16" t="str">
        <x:v>maarof utm</x:v>
      </x:c>
      <x:c r="C4152" s="16" t="str"/>
      <x:c r="D4152" s="16" t="str"/>
      <x:c r="E4152" s="16" t="str">
        <x:v>* myContacts</x:v>
      </x:c>
      <x:c r="F4152" s="16" t="str">
        <x:v>+60 12-591 9015 | +60125919015</x:v>
      </x:c>
      <x:c r="G4152" s="16" t="str">
        <x:v>+60125919015 | +60125919015</x:v>
      </x:c>
      <x:c r="H4152" s="16" t="str">
        <x:v>Excluded</x:v>
      </x:c>
      <x:c r="I4152" s="16" t="str">
        <x:v>Missing email</x:v>
      </x:c>
    </x:row>
    <x:row r="4153">
      <x:c r="A4153" s="16" t="n">
        <x:v>4150</x:v>
      </x:c>
      <x:c r="B4153" s="16" t="str">
        <x:v>Macho Ipoh</x:v>
      </x:c>
      <x:c r="C4153" s="16" t="str"/>
      <x:c r="D4153" s="16" t="str"/>
      <x:c r="E4153" s="16" t="str">
        <x:v>* myContacts</x:v>
      </x:c>
      <x:c r="F4153" s="16" t="str">
        <x:v>+60103890149</x:v>
      </x:c>
      <x:c r="G4153" s="16" t="str">
        <x:v>+60103890149</x:v>
      </x:c>
      <x:c r="H4153" s="16" t="str">
        <x:v>Excluded</x:v>
      </x:c>
      <x:c r="I4153" s="16" t="str">
        <x:v>Missing email</x:v>
      </x:c>
    </x:row>
    <x:row r="4154">
      <x:c r="A4154" s="16" t="n">
        <x:v>4151</x:v>
      </x:c>
      <x:c r="B4154" s="16" t="str">
        <x:v>Mad China</x:v>
      </x:c>
      <x:c r="C4154" s="16" t="str"/>
      <x:c r="D4154" s="16" t="str"/>
      <x:c r="E4154" s="16" t="str">
        <x:v>* myContacts</x:v>
      </x:c>
      <x:c r="F4154" s="16" t="str">
        <x:v>+60194426469</x:v>
      </x:c>
      <x:c r="G4154" s="16" t="str">
        <x:v>+60194426469</x:v>
      </x:c>
      <x:c r="H4154" s="16" t="str">
        <x:v>Excluded</x:v>
      </x:c>
      <x:c r="I4154" s="16" t="str">
        <x:v>Missing email</x:v>
      </x:c>
    </x:row>
    <x:row r="4155">
      <x:c r="A4155" s="16" t="n">
        <x:v>4152</x:v>
      </x:c>
      <x:c r="B4155" s="16" t="str">
        <x:v>Mad Sobah</x:v>
      </x:c>
      <x:c r="C4155" s="16" t="str"/>
      <x:c r="D4155" s="16" t="str"/>
      <x:c r="E4155" s="16" t="str">
        <x:v>* myContacts</x:v>
      </x:c>
      <x:c r="F4155" s="16" t="str">
        <x:v>+60139684341</x:v>
      </x:c>
      <x:c r="G4155" s="16" t="str">
        <x:v>+60139684341</x:v>
      </x:c>
      <x:c r="H4155" s="16" t="str">
        <x:v>Excluded</x:v>
      </x:c>
      <x:c r="I4155" s="16" t="str">
        <x:v>Missing email</x:v>
      </x:c>
    </x:row>
    <x:row r="4156">
      <x:c r="A4156" s="16" t="n">
        <x:v>4153</x:v>
      </x:c>
      <x:c r="B4156" s="16" t="str">
        <x:v>Madam COP CL Law</x:v>
      </x:c>
      <x:c r="C4156" s="16" t="str"/>
      <x:c r="D4156" s="16" t="str"/>
      <x:c r="E4156" s="16" t="str">
        <x:v>* myContacts</x:v>
      </x:c>
      <x:c r="F4156" s="16" t="str">
        <x:v>+60122737991</x:v>
      </x:c>
      <x:c r="G4156" s="16" t="str">
        <x:v>+60122737991</x:v>
      </x:c>
      <x:c r="H4156" s="16" t="str">
        <x:v>Excluded</x:v>
      </x:c>
      <x:c r="I4156" s="16" t="str">
        <x:v>Missing email</x:v>
      </x:c>
    </x:row>
    <x:row r="4157">
      <x:c r="A4157" s="16" t="n">
        <x:v>4154</x:v>
      </x:c>
      <x:c r="B4157" s="16" t="str">
        <x:v>Madam Janne Liew OKI</x:v>
      </x:c>
      <x:c r="C4157" s="16" t="str"/>
      <x:c r="D4157" s="16" t="str"/>
      <x:c r="E4157" s="16" t="str">
        <x:v>* myContacts</x:v>
      </x:c>
      <x:c r="F4157" s="16" t="str">
        <x:v>+60127690338</x:v>
      </x:c>
      <x:c r="G4157" s="16" t="str">
        <x:v>+60127690338</x:v>
      </x:c>
      <x:c r="H4157" s="16" t="str">
        <x:v>Excluded</x:v>
      </x:c>
      <x:c r="I4157" s="16" t="str">
        <x:v>Missing email</x:v>
      </x:c>
    </x:row>
    <x:row r="4158">
      <x:c r="A4158" s="16" t="n">
        <x:v>4155</x:v>
      </x:c>
      <x:c r="B4158" s="16" t="str">
        <x:v>madam lee eusahawan</x:v>
      </x:c>
      <x:c r="C4158" s="16" t="str"/>
      <x:c r="D4158" s="16" t="str"/>
      <x:c r="E4158" s="16" t="str">
        <x:v>Alumni eUsahawan | * myContacts</x:v>
      </x:c>
      <x:c r="F4158" s="16" t="str">
        <x:v>+60 16-648 2295 | +60166482295</x:v>
      </x:c>
      <x:c r="G4158" s="16" t="str">
        <x:v>+60166482295 | +60166482295</x:v>
      </x:c>
      <x:c r="H4158" s="16" t="str">
        <x:v>Excluded</x:v>
      </x:c>
      <x:c r="I4158" s="16" t="str">
        <x:v>Missing email</x:v>
      </x:c>
    </x:row>
    <x:row r="4159">
      <x:c r="A4159" s="16" t="n">
        <x:v>4156</x:v>
      </x:c>
      <x:c r="B4159" s="16" t="str">
        <x:v>Madam Rita Bhardwaj Attiva Founder</x:v>
      </x:c>
      <x:c r="C4159" s="16" t="str"/>
      <x:c r="D4159" s="16" t="str"/>
      <x:c r="E4159" s="16" t="str">
        <x:v>* myContacts</x:v>
      </x:c>
      <x:c r="F4159" s="16" t="str">
        <x:v>+60 12-211 9615 | +60122119615</x:v>
      </x:c>
      <x:c r="G4159" s="16" t="str">
        <x:v>+60122119615 | +60122119615</x:v>
      </x:c>
      <x:c r="H4159" s="16" t="str">
        <x:v>Excluded</x:v>
      </x:c>
      <x:c r="I4159" s="16" t="str">
        <x:v>Missing email</x:v>
      </x:c>
    </x:row>
    <x:row r="4160">
      <x:c r="A4160" s="16" t="n">
        <x:v>4157</x:v>
      </x:c>
      <x:c r="B4160" s="16" t="str">
        <x:v>Madaniah Ali</x:v>
      </x:c>
      <x:c r="C4160" s="16" t="str"/>
      <x:c r="D4160" s="16" t="str"/>
      <x:c r="E4160" s="16" t="str">
        <x:v>* myContacts</x:v>
      </x:c>
      <x:c r="F4160" s="16" t="str">
        <x:v>+601139265273</x:v>
      </x:c>
      <x:c r="G4160" s="16" t="str">
        <x:v>+601139265273</x:v>
      </x:c>
      <x:c r="H4160" s="16" t="str">
        <x:v>Excluded</x:v>
      </x:c>
      <x:c r="I4160" s="16" t="str">
        <x:v>Missing email</x:v>
      </x:c>
    </x:row>
    <x:row r="4161">
      <x:c r="A4161" s="16" t="n">
        <x:v>4158</x:v>
      </x:c>
      <x:c r="B4161" s="16" t="str">
        <x:v>Madarijus Salikin</x:v>
      </x:c>
      <x:c r="C4161" s="16" t="str"/>
      <x:c r="D4161" s="16" t="str"/>
      <x:c r="E4161" s="16" t="str">
        <x:v>* myContacts</x:v>
      </x:c>
      <x:c r="F4161" s="16" t="str">
        <x:v>+60192923400</x:v>
      </x:c>
      <x:c r="G4161" s="16" t="str">
        <x:v>+60192923400</x:v>
      </x:c>
      <x:c r="H4161" s="16" t="str">
        <x:v>Excluded</x:v>
      </x:c>
      <x:c r="I4161" s="16" t="str">
        <x:v>Missing email</x:v>
      </x:c>
    </x:row>
    <x:row r="4162">
      <x:c r="A4162" s="16" t="n">
        <x:v>4159</x:v>
      </x:c>
      <x:c r="B4162" s="16" t="str">
        <x:v>Madi Seven</x:v>
      </x:c>
      <x:c r="C4162" s="16" t="str"/>
      <x:c r="D4162" s="16" t="str"/>
      <x:c r="E4162" s="16" t="str">
        <x:v>* myContacts</x:v>
      </x:c>
      <x:c r="F4162" s="16" t="str">
        <x:v>+60109117783</x:v>
      </x:c>
      <x:c r="G4162" s="16" t="str">
        <x:v>+60109117783</x:v>
      </x:c>
      <x:c r="H4162" s="16" t="str">
        <x:v>Excluded</x:v>
      </x:c>
      <x:c r="I4162" s="16" t="str">
        <x:v>Missing email</x:v>
      </x:c>
    </x:row>
    <x:row r="4163">
      <x:c r="A4163" s="16" t="n">
        <x:v>4160</x:v>
      </x:c>
      <x:c r="B4163" s="16" t="str">
        <x:v>Madia Aizura</x:v>
      </x:c>
      <x:c r="C4163" s="16" t="str"/>
      <x:c r="D4163" s="16" t="str"/>
      <x:c r="E4163" s="16" t="str">
        <x:v>* myContacts</x:v>
      </x:c>
      <x:c r="F4163" s="16" t="str">
        <x:v>+60179330989</x:v>
      </x:c>
      <x:c r="G4163" s="16" t="str">
        <x:v>+60179330989</x:v>
      </x:c>
      <x:c r="H4163" s="16" t="str">
        <x:v>Excluded</x:v>
      </x:c>
      <x:c r="I4163" s="16" t="str">
        <x:v>Missing email</x:v>
      </x:c>
    </x:row>
    <x:row r="4164">
      <x:c r="A4164" s="16" t="n">
        <x:v>4161</x:v>
      </x:c>
      <x:c r="B4164" s="16" t="str">
        <x:v>Madu Kelulut Yan</x:v>
      </x:c>
      <x:c r="C4164" s="16" t="str"/>
      <x:c r="D4164" s="16" t="str"/>
      <x:c r="E4164" s="16" t="str">
        <x:v>* myContacts</x:v>
      </x:c>
      <x:c r="F4164" s="16" t="str">
        <x:v>+60174882090</x:v>
      </x:c>
      <x:c r="G4164" s="16" t="str">
        <x:v>+60174882090</x:v>
      </x:c>
      <x:c r="H4164" s="16" t="str">
        <x:v>Excluded</x:v>
      </x:c>
      <x:c r="I4164" s="16" t="str">
        <x:v>Missing email</x:v>
      </x:c>
    </x:row>
    <x:row r="4165">
      <x:c r="A4165" s="16" t="n">
        <x:v>4162</x:v>
      </x:c>
      <x:c r="B4165" s="16" t="str">
        <x:v>Madu Kelulut Yasmin Segamat</x:v>
      </x:c>
      <x:c r="C4165" s="16" t="str"/>
      <x:c r="D4165" s="16" t="str"/>
      <x:c r="E4165" s="16" t="str">
        <x:v>* myContacts</x:v>
      </x:c>
      <x:c r="F4165" s="16" t="str">
        <x:v>+601127658606</x:v>
      </x:c>
      <x:c r="G4165" s="16" t="str">
        <x:v>+601127658606</x:v>
      </x:c>
      <x:c r="H4165" s="16" t="str">
        <x:v>Excluded</x:v>
      </x:c>
      <x:c r="I4165" s="16" t="str">
        <x:v>Missing email</x:v>
      </x:c>
    </x:row>
    <x:row r="4166">
      <x:c r="A4166" s="16" t="n">
        <x:v>4163</x:v>
      </x:c>
      <x:c r="B4166" s="16" t="str">
        <x:v>Madu Linot Kelulut Hajar</x:v>
      </x:c>
      <x:c r="C4166" s="16" t="str"/>
      <x:c r="D4166" s="16" t="str"/>
      <x:c r="E4166" s="16" t="str">
        <x:v>* myContacts</x:v>
      </x:c>
      <x:c r="F4166" s="16" t="str">
        <x:v>+6285296114458</x:v>
      </x:c>
      <x:c r="G4166" s="16" t="str">
        <x:v>+6285296114458</x:v>
      </x:c>
      <x:c r="H4166" s="16" t="str">
        <x:v>Excluded</x:v>
      </x:c>
      <x:c r="I4166" s="16" t="str">
        <x:v>Missing email</x:v>
      </x:c>
    </x:row>
    <x:row r="4167">
      <x:c r="A4167" s="16" t="n">
        <x:v>4164</x:v>
      </x:c>
      <x:c r="B4167" s="16" t="str">
        <x:v>Mael Fairuz</x:v>
      </x:c>
      <x:c r="C4167" s="16" t="str"/>
      <x:c r="D4167" s="16" t="str"/>
      <x:c r="E4167" s="16" t="str">
        <x:v>* myContacts</x:v>
      </x:c>
      <x:c r="F4167" s="16" t="str">
        <x:v>+60123608884</x:v>
      </x:c>
      <x:c r="G4167" s="16" t="str">
        <x:v>+60123608884</x:v>
      </x:c>
      <x:c r="H4167" s="16" t="str">
        <x:v>Excluded</x:v>
      </x:c>
      <x:c r="I4167" s="16" t="str">
        <x:v>Missing email</x:v>
      </x:c>
    </x:row>
    <x:row r="4168">
      <x:c r="A4168" s="16" t="n">
        <x:v>4165</x:v>
      </x:c>
      <x:c r="B4168" s="16" t="str">
        <x:v>Maell Tamsir</x:v>
      </x:c>
      <x:c r="C4168" s="16" t="str"/>
      <x:c r="D4168" s="16" t="str"/>
      <x:c r="E4168" s="16" t="str">
        <x:v>* myContacts</x:v>
      </x:c>
      <x:c r="F4168" s="16" t="str">
        <x:v>+60123471841</x:v>
      </x:c>
      <x:c r="G4168" s="16" t="str">
        <x:v>+60123471841</x:v>
      </x:c>
      <x:c r="H4168" s="16" t="str">
        <x:v>Excluded</x:v>
      </x:c>
      <x:c r="I4168" s="16" t="str">
        <x:v>Missing email</x:v>
      </x:c>
    </x:row>
    <x:row r="4169">
      <x:c r="A4169" s="16" t="n">
        <x:v>4166</x:v>
      </x:c>
      <x:c r="B4169" s="16" t="str">
        <x:v>Magic Mrsm</x:v>
      </x:c>
      <x:c r="C4169" s="16" t="str"/>
      <x:c r="D4169" s="16" t="str"/>
      <x:c r="E4169" s="16" t="str">
        <x:v>* myContacts</x:v>
      </x:c>
      <x:c r="F4169" s="16" t="str">
        <x:v>+60 11-1302 5024 | +601113025024</x:v>
      </x:c>
      <x:c r="G4169" s="16" t="str">
        <x:v>+601113025024 | +601113025024</x:v>
      </x:c>
      <x:c r="H4169" s="16" t="str">
        <x:v>Excluded</x:v>
      </x:c>
      <x:c r="I4169" s="16" t="str">
        <x:v>Missing email</x:v>
      </x:c>
    </x:row>
    <x:row r="4170">
      <x:c r="A4170" s="16" t="n">
        <x:v>4167</x:v>
      </x:c>
      <x:c r="B4170" s="16" t="str">
        <x:v>Mahadi Baharydin</x:v>
      </x:c>
      <x:c r="C4170" s="16" t="str"/>
      <x:c r="D4170" s="16" t="str"/>
      <x:c r="E4170" s="16" t="str">
        <x:v>* myContacts</x:v>
      </x:c>
      <x:c r="F4170" s="16" t="str">
        <x:v>+60 19-382 1226 | +60193821226</x:v>
      </x:c>
      <x:c r="G4170" s="16" t="str">
        <x:v>+60193821226 | +60193821226</x:v>
      </x:c>
      <x:c r="H4170" s="16" t="str">
        <x:v>Excluded</x:v>
      </x:c>
      <x:c r="I4170" s="16" t="str">
        <x:v>Missing email</x:v>
      </x:c>
    </x:row>
    <x:row r="4171">
      <x:c r="A4171" s="16" t="n">
        <x:v>4168</x:v>
      </x:c>
      <x:c r="B4171" s="16" t="str">
        <x:v>Mahadir Coach</x:v>
      </x:c>
      <x:c r="C4171" s="16" t="str"/>
      <x:c r="D4171" s="16" t="str"/>
      <x:c r="E4171" s="16" t="str">
        <x:v>Trainer | * myContacts</x:v>
      </x:c>
      <x:c r="F4171" s="16" t="str">
        <x:v>+60 19-315 5500 | +60193155500</x:v>
      </x:c>
      <x:c r="G4171" s="16" t="str">
        <x:v>+60193155500 | +60193155500</x:v>
      </x:c>
      <x:c r="H4171" s="16" t="str">
        <x:v>Excluded</x:v>
      </x:c>
      <x:c r="I4171" s="16" t="str">
        <x:v>Missing email</x:v>
      </x:c>
    </x:row>
    <x:row r="4172">
      <x:c r="A4172" s="16" t="n">
        <x:v>4169</x:v>
      </x:c>
      <x:c r="B4172" s="16" t="str">
        <x:v>Mahadzir Azhar AGP</x:v>
      </x:c>
      <x:c r="C4172" s="16" t="str"/>
      <x:c r="D4172" s="16" t="str"/>
      <x:c r="E4172" s="16" t="str">
        <x:v>* myContacts</x:v>
      </x:c>
      <x:c r="F4172" s="16" t="str">
        <x:v>+60 19-743 2850 | +60197432850</x:v>
      </x:c>
      <x:c r="G4172" s="16" t="str">
        <x:v>+60197432850 | +60197432850</x:v>
      </x:c>
      <x:c r="H4172" s="16" t="str">
        <x:v>Excluded</x:v>
      </x:c>
      <x:c r="I4172" s="16" t="str">
        <x:v>Missing email</x:v>
      </x:c>
    </x:row>
    <x:row r="4173">
      <x:c r="A4173" s="16" t="n">
        <x:v>4170</x:v>
      </x:c>
      <x:c r="B4173" s="16" t="str">
        <x:v>Mahaguru Muhamad Abdullah</x:v>
      </x:c>
      <x:c r="C4173" s="16" t="str"/>
      <x:c r="D4173" s="16" t="str"/>
      <x:c r="E4173" s="16" t="str">
        <x:v>* myContacts</x:v>
      </x:c>
      <x:c r="F4173" s="16" t="str">
        <x:v>0182788389 | +60182788389</x:v>
      </x:c>
      <x:c r="G4173" s="16" t="str">
        <x:v>+60182788389 | +60182788389</x:v>
      </x:c>
      <x:c r="H4173" s="16" t="str">
        <x:v>Excluded</x:v>
      </x:c>
      <x:c r="I4173" s="16" t="str">
        <x:v>Missing email</x:v>
      </x:c>
    </x:row>
    <x:row r="4174">
      <x:c r="A4174" s="16" t="n">
        <x:v>4171</x:v>
      </x:c>
      <x:c r="B4174" s="16" t="str">
        <x:v>Mahazer Din</x:v>
      </x:c>
      <x:c r="C4174" s="16" t="str"/>
      <x:c r="D4174" s="16" t="str"/>
      <x:c r="E4174" s="16" t="str">
        <x:v>* myContacts</x:v>
      </x:c>
      <x:c r="F4174" s="16" t="str">
        <x:v>+60129772783</x:v>
      </x:c>
      <x:c r="G4174" s="16" t="str">
        <x:v>+60129772783</x:v>
      </x:c>
      <x:c r="H4174" s="16" t="str">
        <x:v>Excluded</x:v>
      </x:c>
      <x:c r="I4174" s="16" t="str">
        <x:v>Missing email</x:v>
      </x:c>
    </x:row>
    <x:row r="4175">
      <x:c r="A4175" s="16" t="n">
        <x:v>4172</x:v>
      </x:c>
      <x:c r="B4175" s="16" t="str">
        <x:v>Mahfut Sharif</x:v>
      </x:c>
      <x:c r="C4175" s="16" t="str"/>
      <x:c r="D4175" s="16" t="str"/>
      <x:c r="E4175" s="16" t="str">
        <x:v>* myContacts</x:v>
      </x:c>
      <x:c r="F4175" s="16" t="str">
        <x:v>+60147754438</x:v>
      </x:c>
      <x:c r="G4175" s="16" t="str">
        <x:v>+60147754438</x:v>
      </x:c>
      <x:c r="H4175" s="16" t="str">
        <x:v>Excluded</x:v>
      </x:c>
      <x:c r="I4175" s="16" t="str">
        <x:v>Missing email</x:v>
      </x:c>
    </x:row>
    <x:row r="4176">
      <x:c r="A4176" s="16" t="n">
        <x:v>4173</x:v>
      </x:c>
      <x:c r="B4176" s="16" t="str">
        <x:v>Mahkamah Kuala Selangor</x:v>
      </x:c>
      <x:c r="C4176" s="16" t="str"/>
      <x:c r="D4176" s="16" t="str"/>
      <x:c r="E4176" s="16" t="str">
        <x:v>* myContacts</x:v>
      </x:c>
      <x:c r="F4176" s="16" t="str">
        <x:v>+60332891544</x:v>
      </x:c>
      <x:c r="G4176" s="16" t="str">
        <x:v>+60332891544</x:v>
      </x:c>
      <x:c r="H4176" s="16" t="str">
        <x:v>Excluded</x:v>
      </x:c>
      <x:c r="I4176" s="16" t="str">
        <x:v>Missing email</x:v>
      </x:c>
    </x:row>
    <x:row r="4177">
      <x:c r="A4177" s="16" t="n">
        <x:v>4174</x:v>
      </x:c>
      <x:c r="B4177" s="16" t="str">
        <x:v>Mahmud Mirhana</x:v>
      </x:c>
      <x:c r="C4177" s="16" t="str"/>
      <x:c r="D4177" s="16" t="str"/>
      <x:c r="E4177" s="16" t="str">
        <x:v>* myContacts</x:v>
      </x:c>
      <x:c r="F4177" s="16" t="str">
        <x:v>+60143546358</x:v>
      </x:c>
      <x:c r="G4177" s="16" t="str">
        <x:v>+60143546358</x:v>
      </x:c>
      <x:c r="H4177" s="16" t="str">
        <x:v>Excluded</x:v>
      </x:c>
      <x:c r="I4177" s="16" t="str">
        <x:v>Missing email</x:v>
      </x:c>
    </x:row>
    <x:row r="4178">
      <x:c r="A4178" s="16" t="n">
        <x:v>4175</x:v>
      </x:c>
      <x:c r="B4178" s="16" t="str">
        <x:v>Mahyuddin Muhammad</x:v>
      </x:c>
      <x:c r="C4178" s="16" t="str"/>
      <x:c r="D4178" s="16" t="str"/>
      <x:c r="E4178" s="16" t="str">
        <x:v>* myContacts</x:v>
      </x:c>
      <x:c r="F4178" s="16" t="str">
        <x:v>+601140240044</x:v>
      </x:c>
      <x:c r="G4178" s="16" t="str">
        <x:v>+601140240044</x:v>
      </x:c>
      <x:c r="H4178" s="16" t="str">
        <x:v>Excluded</x:v>
      </x:c>
      <x:c r="I4178" s="16" t="str">
        <x:v>Missing email</x:v>
      </x:c>
    </x:row>
    <x:row r="4179">
      <x:c r="A4179" s="16" t="n">
        <x:v>4176</x:v>
      </x:c>
      <x:c r="B4179" s="16" t="str">
        <x:v>Mai Hamzah</x:v>
      </x:c>
      <x:c r="C4179" s="16" t="str"/>
      <x:c r="D4179" s="16" t="str"/>
      <x:c r="E4179" s="16" t="str">
        <x:v>* myContacts</x:v>
      </x:c>
      <x:c r="F4179" s="16" t="str">
        <x:v>+601128207701</x:v>
      </x:c>
      <x:c r="G4179" s="16" t="str">
        <x:v>+601128207701</x:v>
      </x:c>
      <x:c r="H4179" s="16" t="str">
        <x:v>Excluded</x:v>
      </x:c>
      <x:c r="I4179" s="16" t="str">
        <x:v>Missing email</x:v>
      </x:c>
    </x:row>
    <x:row r="4180">
      <x:c r="A4180" s="16" t="n">
        <x:v>4177</x:v>
      </x:c>
      <x:c r="B4180" s="16" t="str">
        <x:v>Mai Zaidi</x:v>
      </x:c>
      <x:c r="C4180" s="16" t="str"/>
      <x:c r="D4180" s="16" t="str"/>
      <x:c r="E4180" s="16" t="str">
        <x:v>* myContacts</x:v>
      </x:c>
      <x:c r="F4180" s="16" t="str">
        <x:v>+60145100898</x:v>
      </x:c>
      <x:c r="G4180" s="16" t="str">
        <x:v>+60145100898</x:v>
      </x:c>
      <x:c r="H4180" s="16" t="str">
        <x:v>Excluded</x:v>
      </x:c>
      <x:c r="I4180" s="16" t="str">
        <x:v>Missing email</x:v>
      </x:c>
    </x:row>
    <x:row r="4181">
      <x:c r="A4181" s="16" t="n">
        <x:v>4178</x:v>
      </x:c>
      <x:c r="B4181" s="16" t="str">
        <x:v>Maiko Caa</x:v>
      </x:c>
      <x:c r="C4181" s="16" t="str"/>
      <x:c r="D4181" s="16" t="str"/>
      <x:c r="E4181" s="16" t="str">
        <x:v>* myContacts</x:v>
      </x:c>
      <x:c r="F4181" s="16" t="str">
        <x:v>+60142104445</x:v>
      </x:c>
      <x:c r="G4181" s="16" t="str">
        <x:v>+60142104445</x:v>
      </x:c>
      <x:c r="H4181" s="16" t="str">
        <x:v>Excluded</x:v>
      </x:c>
      <x:c r="I4181" s="16" t="str">
        <x:v>Missing email</x:v>
      </x:c>
    </x:row>
    <x:row r="4182">
      <x:c r="A4182" s="16" t="n">
        <x:v>4179</x:v>
      </x:c>
      <x:c r="B4182" s="16" t="str">
        <x:v>Maimunah Monna</x:v>
      </x:c>
      <x:c r="C4182" s="16" t="str"/>
      <x:c r="D4182" s="16" t="str"/>
      <x:c r="E4182" s="16" t="str">
        <x:v>* myContacts</x:v>
      </x:c>
      <x:c r="F4182" s="16" t="str">
        <x:v>+60166460250</x:v>
      </x:c>
      <x:c r="G4182" s="16" t="str">
        <x:v>+60166460250</x:v>
      </x:c>
      <x:c r="H4182" s="16" t="str">
        <x:v>Excluded</x:v>
      </x:c>
      <x:c r="I4182" s="16" t="str">
        <x:v>Missing email</x:v>
      </x:c>
    </x:row>
    <x:row r="4183">
      <x:c r="A4183" s="16" t="n">
        <x:v>4180</x:v>
      </x:c>
      <x:c r="B4183" s="16" t="str">
        <x:v>Mainah Makruf</x:v>
      </x:c>
      <x:c r="C4183" s="16" t="str"/>
      <x:c r="D4183" s="16" t="str"/>
      <x:c r="E4183" s="16" t="str">
        <x:v>* myContacts</x:v>
      </x:c>
      <x:c r="F4183" s="16" t="str">
        <x:v>+60163077853</x:v>
      </x:c>
      <x:c r="G4183" s="16" t="str">
        <x:v>+60163077853</x:v>
      </x:c>
      <x:c r="H4183" s="16" t="str">
        <x:v>Excluded</x:v>
      </x:c>
      <x:c r="I4183" s="16" t="str">
        <x:v>Missing email</x:v>
      </x:c>
    </x:row>
    <x:row r="4184">
      <x:c r="A4184" s="16" t="n">
        <x:v>4181</x:v>
      </x:c>
      <x:c r="B4184" s="16" t="str">
        <x:v>Maira NasuHa</x:v>
      </x:c>
      <x:c r="C4184" s="16" t="str"/>
      <x:c r="D4184" s="16" t="str"/>
      <x:c r="E4184" s="16" t="str">
        <x:v>* myContacts</x:v>
      </x:c>
      <x:c r="F4184" s="16" t="str">
        <x:v>+60175964459</x:v>
      </x:c>
      <x:c r="G4184" s="16" t="str">
        <x:v>+60175964459</x:v>
      </x:c>
      <x:c r="H4184" s="16" t="str">
        <x:v>Excluded</x:v>
      </x:c>
      <x:c r="I4184" s="16" t="str">
        <x:v>Missing email</x:v>
      </x:c>
    </x:row>
    <x:row r="4185">
      <x:c r="A4185" s="16" t="n">
        <x:v>4182</x:v>
      </x:c>
      <x:c r="B4185" s="16" t="str">
        <x:v>Maisarah Haji Idris</x:v>
      </x:c>
      <x:c r="C4185" s="16" t="str"/>
      <x:c r="D4185" s="16" t="str"/>
      <x:c r="E4185" s="16" t="str">
        <x:v>* myContacts</x:v>
      </x:c>
      <x:c r="F4185" s="16" t="str">
        <x:v>+60174163449</x:v>
      </x:c>
      <x:c r="G4185" s="16" t="str">
        <x:v>+60174163449</x:v>
      </x:c>
      <x:c r="H4185" s="16" t="str">
        <x:v>Excluded</x:v>
      </x:c>
      <x:c r="I4185" s="16" t="str">
        <x:v>Missing email</x:v>
      </x:c>
    </x:row>
    <x:row r="4186">
      <x:c r="A4186" s="16" t="n">
        <x:v>4183</x:v>
      </x:c>
      <x:c r="B4186" s="16" t="str">
        <x:v>Maisarah Shuhaimee</x:v>
      </x:c>
      <x:c r="C4186" s="16" t="str"/>
      <x:c r="D4186" s="16" t="str"/>
      <x:c r="E4186" s="16" t="str">
        <x:v>* myContacts</x:v>
      </x:c>
      <x:c r="F4186" s="16" t="str">
        <x:v>+60149258701</x:v>
      </x:c>
      <x:c r="G4186" s="16" t="str">
        <x:v>+60149258701</x:v>
      </x:c>
      <x:c r="H4186" s="16" t="str">
        <x:v>Excluded</x:v>
      </x:c>
      <x:c r="I4186" s="16" t="str">
        <x:v>Missing email</x:v>
      </x:c>
    </x:row>
    <x:row r="4187">
      <x:c r="A4187" s="16" t="n">
        <x:v>4184</x:v>
      </x:c>
      <x:c r="B4187" s="16" t="str">
        <x:v>Maiyra Darwisha Asyhiqin</x:v>
      </x:c>
      <x:c r="C4187" s="16" t="str"/>
      <x:c r="D4187" s="16" t="str"/>
      <x:c r="E4187" s="16" t="str">
        <x:v>* myContacts</x:v>
      </x:c>
      <x:c r="F4187" s="16" t="str">
        <x:v>+60134127086</x:v>
      </x:c>
      <x:c r="G4187" s="16" t="str">
        <x:v>+60134127086</x:v>
      </x:c>
      <x:c r="H4187" s="16" t="str">
        <x:v>Excluded</x:v>
      </x:c>
      <x:c r="I4187" s="16" t="str">
        <x:v>Missing email</x:v>
      </x:c>
    </x:row>
    <x:row r="4188">
      <x:c r="A4188" s="16" t="n">
        <x:v>4185</x:v>
      </x:c>
      <x:c r="B4188" s="16" t="str">
        <x:v>Maizatul Akma Mohd Som</x:v>
      </x:c>
      <x:c r="C4188" s="16" t="str"/>
      <x:c r="D4188" s="16" t="str"/>
      <x:c r="E4188" s="16" t="str">
        <x:v>* myContacts</x:v>
      </x:c>
      <x:c r="F4188" s="16" t="str">
        <x:v>+60175322610</x:v>
      </x:c>
      <x:c r="G4188" s="16" t="str">
        <x:v>+60175322610</x:v>
      </x:c>
      <x:c r="H4188" s="16" t="str">
        <x:v>Excluded</x:v>
      </x:c>
      <x:c r="I4188" s="16" t="str">
        <x:v>Missing email</x:v>
      </x:c>
    </x:row>
    <x:row r="4189">
      <x:c r="A4189" s="16" t="n">
        <x:v>4186</x:v>
      </x:c>
      <x:c r="B4189" s="16" t="str">
        <x:v>Maizlin Maizan Ayin</x:v>
      </x:c>
      <x:c r="C4189" s="16" t="str"/>
      <x:c r="D4189" s="16" t="str"/>
      <x:c r="E4189" s="16" t="str">
        <x:v>* myContacts</x:v>
      </x:c>
      <x:c r="F4189" s="16" t="str">
        <x:v>+60177197030</x:v>
      </x:c>
      <x:c r="G4189" s="16" t="str">
        <x:v>+60177197030</x:v>
      </x:c>
      <x:c r="H4189" s="16" t="str">
        <x:v>Excluded</x:v>
      </x:c>
      <x:c r="I4189" s="16" t="str">
        <x:v>Missing email</x:v>
      </x:c>
    </x:row>
    <x:row r="4190">
      <x:c r="A4190" s="16" t="n">
        <x:v>4187</x:v>
      </x:c>
      <x:c r="B4190" s="16" t="str">
        <x:v>Maizul Anita</x:v>
      </x:c>
      <x:c r="C4190" s="16" t="str"/>
      <x:c r="D4190" s="16" t="str"/>
      <x:c r="E4190" s="16" t="str">
        <x:v>* myContacts</x:v>
      </x:c>
      <x:c r="F4190" s="16" t="str">
        <x:v>+60196065222</x:v>
      </x:c>
      <x:c r="G4190" s="16" t="str">
        <x:v>+60196065222</x:v>
      </x:c>
      <x:c r="H4190" s="16" t="str">
        <x:v>Excluded</x:v>
      </x:c>
      <x:c r="I4190" s="16" t="str">
        <x:v>Missing email</x:v>
      </x:c>
    </x:row>
    <x:row r="4191">
      <x:c r="A4191" s="16" t="n">
        <x:v>4188</x:v>
      </x:c>
      <x:c r="B4191" s="16" t="str">
        <x:v>Majidah Jid</x:v>
      </x:c>
      <x:c r="C4191" s="16" t="str"/>
      <x:c r="D4191" s="16" t="str"/>
      <x:c r="E4191" s="16" t="str">
        <x:v>* myContacts</x:v>
      </x:c>
      <x:c r="F4191" s="16" t="str">
        <x:v>+60148594476</x:v>
      </x:c>
      <x:c r="G4191" s="16" t="str">
        <x:v>+60148594476</x:v>
      </x:c>
      <x:c r="H4191" s="16" t="str">
        <x:v>Excluded</x:v>
      </x:c>
      <x:c r="I4191" s="16" t="str">
        <x:v>Missing email</x:v>
      </x:c>
    </x:row>
    <x:row r="4192">
      <x:c r="A4192" s="16" t="n">
        <x:v>4189</x:v>
      </x:c>
      <x:c r="B4192" s="16" t="str">
        <x:v>Mak Anieq</x:v>
      </x:c>
      <x:c r="C4192" s="16" t="str"/>
      <x:c r="D4192" s="16" t="str"/>
      <x:c r="E4192" s="16" t="str">
        <x:v>* myContacts</x:v>
      </x:c>
      <x:c r="F4192" s="16" t="str">
        <x:v>+60123107983</x:v>
      </x:c>
      <x:c r="G4192" s="16" t="str">
        <x:v>+60123107983</x:v>
      </x:c>
      <x:c r="H4192" s="16" t="str">
        <x:v>Excluded</x:v>
      </x:c>
      <x:c r="I4192" s="16" t="str">
        <x:v>Missing email</x:v>
      </x:c>
    </x:row>
    <x:row r="4193">
      <x:c r="A4193" s="16" t="n">
        <x:v>4190</x:v>
      </x:c>
      <x:c r="B4193" s="16" t="str">
        <x:v>Mak nik</x:v>
      </x:c>
      <x:c r="C4193" s="16" t="str"/>
      <x:c r="D4193" s="16" t="str"/>
      <x:c r="E4193" s="16" t="str">
        <x:v>* myContacts</x:v>
      </x:c>
      <x:c r="F4193" s="16" t="str">
        <x:v>+60 16-625 0111 | +60166250111</x:v>
      </x:c>
      <x:c r="G4193" s="16" t="str">
        <x:v>+60166250111 | +60166250111</x:v>
      </x:c>
      <x:c r="H4193" s="16" t="str">
        <x:v>Excluded</x:v>
      </x:c>
      <x:c r="I4193" s="16" t="str">
        <x:v>Missing email</x:v>
      </x:c>
    </x:row>
    <x:row r="4194">
      <x:c r="A4194" s="16" t="n">
        <x:v>4191</x:v>
      </x:c>
      <x:c r="B4194" s="16" t="str">
        <x:v>Mak Nyah Shah Alam</x:v>
      </x:c>
      <x:c r="C4194" s="16" t="str"/>
      <x:c r="D4194" s="16" t="str"/>
      <x:c r="E4194" s="16" t="str">
        <x:v>* myContacts</x:v>
      </x:c>
      <x:c r="F4194" s="16" t="str">
        <x:v>+60 13-265 8548 | +60132658548</x:v>
      </x:c>
      <x:c r="G4194" s="16" t="str">
        <x:v>+60132658548 | +60132658548</x:v>
      </x:c>
      <x:c r="H4194" s="16" t="str">
        <x:v>Excluded</x:v>
      </x:c>
      <x:c r="I4194" s="16" t="str">
        <x:v>Missing email</x:v>
      </x:c>
    </x:row>
    <x:row r="4195">
      <x:c r="A4195" s="16" t="n">
        <x:v>4192</x:v>
      </x:c>
      <x:c r="B4195" s="16" t="str">
        <x:v>makcik latifah AGP</x:v>
      </x:c>
      <x:c r="C4195" s="16" t="str"/>
      <x:c r="D4195" s="16" t="str"/>
      <x:c r="E4195" s="16" t="str">
        <x:v>* myContacts</x:v>
      </x:c>
      <x:c r="F4195" s="16" t="str">
        <x:v>+60 12-412 1243 | +60124121243</x:v>
      </x:c>
      <x:c r="G4195" s="16" t="str">
        <x:v>+60124121243 | +60124121243</x:v>
      </x:c>
      <x:c r="H4195" s="16" t="str">
        <x:v>Excluded</x:v>
      </x:c>
      <x:c r="I4195" s="16" t="str">
        <x:v>Missing email</x:v>
      </x:c>
    </x:row>
    <x:row r="4196">
      <x:c r="A4196" s="16" t="n">
        <x:v>4193</x:v>
      </x:c>
      <x:c r="B4196" s="16" t="str">
        <x:v>Maksu Zurina</x:v>
      </x:c>
      <x:c r="C4196" s="16" t="str"/>
      <x:c r="D4196" s="16" t="str"/>
      <x:c r="E4196" s="16" t="str">
        <x:v>* myContacts</x:v>
      </x:c>
      <x:c r="F4196" s="16" t="str">
        <x:v>+60 11-3219 0163 | +60194043953</x:v>
      </x:c>
      <x:c r="G4196" s="16" t="str">
        <x:v>+601132190163 | +60194043953</x:v>
      </x:c>
      <x:c r="H4196" s="16" t="str">
        <x:v>Excluded</x:v>
      </x:c>
      <x:c r="I4196" s="16" t="str">
        <x:v>Missing email</x:v>
      </x:c>
    </x:row>
    <x:row r="4197">
      <x:c r="A4197" s="16" t="n">
        <x:v>4194</x:v>
      </x:c>
      <x:c r="B4197" s="16" t="str">
        <x:v>Maksu Zurina</x:v>
      </x:c>
      <x:c r="C4197" s="16" t="str"/>
      <x:c r="D4197" s="16" t="str"/>
      <x:c r="E4197" s="16" t="str">
        <x:v>* myContacts</x:v>
      </x:c>
      <x:c r="F4197" s="16" t="str">
        <x:v>+601132190163 | +60194043953</x:v>
      </x:c>
      <x:c r="G4197" s="16" t="str">
        <x:v>+601132190163 | +60194043953</x:v>
      </x:c>
      <x:c r="H4197" s="16" t="str">
        <x:v>Excluded</x:v>
      </x:c>
      <x:c r="I4197" s="16" t="str">
        <x:v>Missing email</x:v>
      </x:c>
    </x:row>
    <x:row r="4198">
      <x:c r="A4198" s="16" t="n">
        <x:v>4195</x:v>
      </x:c>
      <x:c r="B4198" s="16" t="str">
        <x:v>Makwe Sedara</x:v>
      </x:c>
      <x:c r="C4198" s="16" t="str"/>
      <x:c r="D4198" s="16" t="str"/>
      <x:c r="E4198" s="16" t="str">
        <x:v>* myContacts</x:v>
      </x:c>
      <x:c r="F4198" s="16" t="str">
        <x:v>+60 16-709 5541 | +60167095541</x:v>
      </x:c>
      <x:c r="G4198" s="16" t="str">
        <x:v>+60167095541 | +60167095541</x:v>
      </x:c>
      <x:c r="H4198" s="16" t="str">
        <x:v>Excluded</x:v>
      </x:c>
      <x:c r="I4198" s="16" t="str">
        <x:v>Missing email</x:v>
      </x:c>
    </x:row>
    <x:row r="4199">
      <x:c r="A4199" s="16" t="n">
        <x:v>4196</x:v>
      </x:c>
      <x:c r="B4199" s="16" t="str">
        <x:v>Malbisa Desa</x:v>
      </x:c>
      <x:c r="C4199" s="16" t="str"/>
      <x:c r="D4199" s="16" t="str"/>
      <x:c r="E4199" s="16" t="str">
        <x:v>* myContacts</x:v>
      </x:c>
      <x:c r="F4199" s="16" t="str">
        <x:v>+60175576774</x:v>
      </x:c>
      <x:c r="G4199" s="16" t="str">
        <x:v>+60175576774</x:v>
      </x:c>
      <x:c r="H4199" s="16" t="str">
        <x:v>Excluded</x:v>
      </x:c>
      <x:c r="I4199" s="16" t="str">
        <x:v>Missing email</x:v>
      </x:c>
    </x:row>
    <x:row r="4200">
      <x:c r="A4200" s="16" t="n">
        <x:v>4197</x:v>
      </x:c>
      <x:c r="B4200" s="16" t="str">
        <x:v>Malia Emma Lam</x:v>
      </x:c>
      <x:c r="C4200" s="16" t="str"/>
      <x:c r="D4200" s="16" t="str"/>
      <x:c r="E4200" s="16" t="str">
        <x:v>* myContacts</x:v>
      </x:c>
      <x:c r="F4200" s="16" t="str">
        <x:v>+60138584367</x:v>
      </x:c>
      <x:c r="G4200" s="16" t="str">
        <x:v>+60138584367</x:v>
      </x:c>
      <x:c r="H4200" s="16" t="str">
        <x:v>Excluded</x:v>
      </x:c>
      <x:c r="I4200" s="16" t="str">
        <x:v>Missing email</x:v>
      </x:c>
    </x:row>
    <x:row r="4201">
      <x:c r="A4201" s="16" t="n">
        <x:v>4198</x:v>
      </x:c>
      <x:c r="B4201" s="16" t="str">
        <x:v>Malik Trader</x:v>
      </x:c>
      <x:c r="C4201" s="16" t="str">
        <x:v>coach.maliki@gmail.com</x:v>
      </x:c>
      <x:c r="D4201" s="16" t="str">
        <x:v>coach.maliki@gmail.com</x:v>
      </x:c>
      <x:c r="E4201" s="16" t="str">
        <x:v>* myContacts</x:v>
      </x:c>
      <x:c r="F4201" s="16" t="str"/>
      <x:c r="G4201" s="16" t="str"/>
      <x:c r="H4201" s="16" t="str">
        <x:v>Eligible</x:v>
      </x:c>
      <x:c r="I4201" s="16" t="str"/>
    </x:row>
    <x:row r="4202">
      <x:c r="A4202" s="16" t="n">
        <x:v>4199</x:v>
      </x:c>
      <x:c r="B4202" s="16" t="str">
        <x:v>Malik Zain Altaf</x:v>
      </x:c>
      <x:c r="C4202" s="16" t="str"/>
      <x:c r="D4202" s="16" t="str"/>
      <x:c r="E4202" s="16" t="str">
        <x:v>* myContacts</x:v>
      </x:c>
      <x:c r="F4202" s="16" t="str">
        <x:v>+923165512973</x:v>
      </x:c>
      <x:c r="G4202" s="16" t="str">
        <x:v>+923165512973</x:v>
      </x:c>
      <x:c r="H4202" s="16" t="str">
        <x:v>Excluded</x:v>
      </x:c>
      <x:c r="I4202" s="16" t="str">
        <x:v>Missing email</x:v>
      </x:c>
    </x:row>
    <x:row r="4203">
      <x:c r="A4203" s="16" t="n">
        <x:v>4200</x:v>
      </x:c>
      <x:c r="B4203" s="16" t="str">
        <x:v>Malina Gudin</x:v>
      </x:c>
      <x:c r="C4203" s="16" t="str"/>
      <x:c r="D4203" s="16" t="str"/>
      <x:c r="E4203" s="16" t="str">
        <x:v>* myContacts</x:v>
      </x:c>
      <x:c r="F4203" s="16" t="str">
        <x:v>+60195810208</x:v>
      </x:c>
      <x:c r="G4203" s="16" t="str">
        <x:v>+60195810208</x:v>
      </x:c>
      <x:c r="H4203" s="16" t="str">
        <x:v>Excluded</x:v>
      </x:c>
      <x:c r="I4203" s="16" t="str">
        <x:v>Missing email</x:v>
      </x:c>
    </x:row>
    <x:row r="4204">
      <x:c r="A4204" s="16" t="n">
        <x:v>4201</x:v>
      </x:c>
      <x:c r="B4204" s="16" t="str">
        <x:v>Malinda Came</x:v>
      </x:c>
      <x:c r="C4204" s="16" t="str"/>
      <x:c r="D4204" s="16" t="str"/>
      <x:c r="E4204" s="16" t="str">
        <x:v>* myContacts</x:v>
      </x:c>
      <x:c r="F4204" s="16" t="str">
        <x:v>+60123808960</x:v>
      </x:c>
      <x:c r="G4204" s="16" t="str">
        <x:v>+60123808960</x:v>
      </x:c>
      <x:c r="H4204" s="16" t="str">
        <x:v>Excluded</x:v>
      </x:c>
      <x:c r="I4204" s="16" t="str">
        <x:v>Missing email</x:v>
      </x:c>
    </x:row>
    <x:row r="4205">
      <x:c r="A4205" s="16" t="n">
        <x:v>4202</x:v>
      </x:c>
      <x:c r="B4205" s="16" t="str">
        <x:v>Mama</x:v>
      </x:c>
      <x:c r="C4205" s="16" t="str"/>
      <x:c r="D4205" s="16" t="str"/>
      <x:c r="E4205" s="16" t="str">
        <x:v>* myContacts</x:v>
      </x:c>
      <x:c r="F4205" s="16" t="str">
        <x:v>+60122319735</x:v>
      </x:c>
      <x:c r="G4205" s="16" t="str">
        <x:v>+60122319735</x:v>
      </x:c>
      <x:c r="H4205" s="16" t="str">
        <x:v>Excluded</x:v>
      </x:c>
      <x:c r="I4205" s="16" t="str">
        <x:v>Missing email</x:v>
      </x:c>
    </x:row>
    <x:row r="4206">
      <x:c r="A4206" s="16" t="n">
        <x:v>4203</x:v>
      </x:c>
      <x:c r="B4206" s="16" t="str">
        <x:v>Mama Hamimah</x:v>
      </x:c>
      <x:c r="C4206" s="16" t="str"/>
      <x:c r="D4206" s="16" t="str"/>
      <x:c r="E4206" s="16" t="str">
        <x:v>* family | * myContacts</x:v>
      </x:c>
      <x:c r="F4206" s="16" t="str">
        <x:v>014-249 7873 | +60142497873</x:v>
      </x:c>
      <x:c r="G4206" s="16" t="str">
        <x:v>+60142497873 | +60142497873</x:v>
      </x:c>
      <x:c r="H4206" s="16" t="str">
        <x:v>Excluded</x:v>
      </x:c>
      <x:c r="I4206" s="16" t="str">
        <x:v>Missing email</x:v>
      </x:c>
    </x:row>
    <x:row r="4207">
      <x:c r="A4207" s="16" t="n">
        <x:v>4204</x:v>
      </x:c>
      <x:c r="B4207" s="16" t="str">
        <x:v>Mamamika Lien</x:v>
      </x:c>
      <x:c r="C4207" s="16" t="str"/>
      <x:c r="D4207" s="16" t="str"/>
      <x:c r="E4207" s="16" t="str">
        <x:v>* myContacts</x:v>
      </x:c>
      <x:c r="F4207" s="16" t="str">
        <x:v>+60173495984</x:v>
      </x:c>
      <x:c r="G4207" s="16" t="str">
        <x:v>+60173495984</x:v>
      </x:c>
      <x:c r="H4207" s="16" t="str">
        <x:v>Excluded</x:v>
      </x:c>
      <x:c r="I4207" s="16" t="str">
        <x:v>Missing email</x:v>
      </x:c>
    </x:row>
    <x:row r="4208">
      <x:c r="A4208" s="16" t="n">
        <x:v>4205</x:v>
      </x:c>
      <x:c r="B4208" s="16" t="str">
        <x:v>MamaMimi Nasran</x:v>
      </x:c>
      <x:c r="C4208" s="16" t="str"/>
      <x:c r="D4208" s="16" t="str"/>
      <x:c r="E4208" s="16" t="str">
        <x:v>* myContacts</x:v>
      </x:c>
      <x:c r="F4208" s="16" t="str">
        <x:v>+60145852530</x:v>
      </x:c>
      <x:c r="G4208" s="16" t="str">
        <x:v>+60145852530</x:v>
      </x:c>
      <x:c r="H4208" s="16" t="str">
        <x:v>Excluded</x:v>
      </x:c>
      <x:c r="I4208" s="16" t="str">
        <x:v>Missing email</x:v>
      </x:c>
    </x:row>
    <x:row r="4209">
      <x:c r="A4209" s="16" t="n">
        <x:v>4206</x:v>
      </x:c>
      <x:c r="B4209" s="16" t="str">
        <x:v>Mamat Ratarata</x:v>
      </x:c>
      <x:c r="C4209" s="16" t="str"/>
      <x:c r="D4209" s="16" t="str"/>
      <x:c r="E4209" s="16" t="str">
        <x:v>* myContacts</x:v>
      </x:c>
      <x:c r="F4209" s="16" t="str">
        <x:v>+60102049508</x:v>
      </x:c>
      <x:c r="G4209" s="16" t="str">
        <x:v>+60102049508</x:v>
      </x:c>
      <x:c r="H4209" s="16" t="str">
        <x:v>Excluded</x:v>
      </x:c>
      <x:c r="I4209" s="16" t="str">
        <x:v>Missing email</x:v>
      </x:c>
    </x:row>
    <x:row r="4210">
      <x:c r="A4210" s="16" t="n">
        <x:v>4207</x:v>
      </x:c>
      <x:c r="B4210" s="16" t="str">
        <x:v>Mami Erny Mami</x:v>
      </x:c>
      <x:c r="C4210" s="16" t="str"/>
      <x:c r="D4210" s="16" t="str"/>
      <x:c r="E4210" s="16" t="str">
        <x:v>* myContacts</x:v>
      </x:c>
      <x:c r="F4210" s="16" t="str">
        <x:v>+60172683324</x:v>
      </x:c>
      <x:c r="G4210" s="16" t="str">
        <x:v>+60172683324</x:v>
      </x:c>
      <x:c r="H4210" s="16" t="str">
        <x:v>Excluded</x:v>
      </x:c>
      <x:c r="I4210" s="16" t="str">
        <x:v>Missing email</x:v>
      </x:c>
    </x:row>
    <x:row r="4211">
      <x:c r="A4211" s="16" t="n">
        <x:v>4208</x:v>
      </x:c>
      <x:c r="B4211" s="16" t="str">
        <x:v>Man Cat</x:v>
      </x:c>
      <x:c r="C4211" s="16" t="str"/>
      <x:c r="D4211" s="16" t="str"/>
      <x:c r="E4211" s="16" t="str">
        <x:v>* myContacts</x:v>
      </x:c>
      <x:c r="F4211" s="16" t="str">
        <x:v>012-601 1277 | +60126011277</x:v>
      </x:c>
      <x:c r="G4211" s="16" t="str">
        <x:v>+60126011277 | +60126011277</x:v>
      </x:c>
      <x:c r="H4211" s="16" t="str">
        <x:v>Excluded</x:v>
      </x:c>
      <x:c r="I4211" s="16" t="str">
        <x:v>Missing email</x:v>
      </x:c>
    </x:row>
    <x:row r="4212">
      <x:c r="A4212" s="16" t="n">
        <x:v>4209</x:v>
      </x:c>
      <x:c r="B4212" s="16" t="str">
        <x:v>Man Crew</x:v>
      </x:c>
      <x:c r="C4212" s="16" t="str"/>
      <x:c r="D4212" s="16" t="str"/>
      <x:c r="E4212" s="16" t="str">
        <x:v>* myContacts</x:v>
      </x:c>
      <x:c r="F4212" s="16" t="str">
        <x:v>+60173618475</x:v>
      </x:c>
      <x:c r="G4212" s="16" t="str">
        <x:v>+60173618475</x:v>
      </x:c>
      <x:c r="H4212" s="16" t="str">
        <x:v>Excluded</x:v>
      </x:c>
      <x:c r="I4212" s="16" t="str">
        <x:v>Missing email</x:v>
      </x:c>
    </x:row>
    <x:row r="4213">
      <x:c r="A4213" s="16" t="n">
        <x:v>4210</x:v>
      </x:c>
      <x:c r="B4213" s="16" t="str">
        <x:v>Man PS</x:v>
      </x:c>
      <x:c r="C4213" s="16" t="str"/>
      <x:c r="D4213" s="16" t="str"/>
      <x:c r="E4213" s="16" t="str">
        <x:v>* myContacts</x:v>
      </x:c>
      <x:c r="F4213" s="16" t="str">
        <x:v>+60139644111</x:v>
      </x:c>
      <x:c r="G4213" s="16" t="str">
        <x:v>+60139644111</x:v>
      </x:c>
      <x:c r="H4213" s="16" t="str">
        <x:v>Excluded</x:v>
      </x:c>
      <x:c r="I4213" s="16" t="str">
        <x:v>Missing email</x:v>
      </x:c>
    </x:row>
    <x:row r="4214">
      <x:c r="A4214" s="16" t="n">
        <x:v>4211</x:v>
      </x:c>
      <x:c r="B4214" s="16" t="str">
        <x:v>Man Servis</x:v>
      </x:c>
      <x:c r="C4214" s="16" t="str"/>
      <x:c r="D4214" s="16" t="str"/>
      <x:c r="E4214" s="16" t="str">
        <x:v>* myContacts</x:v>
      </x:c>
      <x:c r="F4214" s="16" t="str">
        <x:v>+60193548391</x:v>
      </x:c>
      <x:c r="G4214" s="16" t="str">
        <x:v>+60193548391</x:v>
      </x:c>
      <x:c r="H4214" s="16" t="str">
        <x:v>Excluded</x:v>
      </x:c>
      <x:c r="I4214" s="16" t="str">
        <x:v>Missing email</x:v>
      </x:c>
    </x:row>
    <x:row r="4215">
      <x:c r="A4215" s="16" t="n">
        <x:v>4212</x:v>
      </x:c>
      <x:c r="B4215" s="16" t="str">
        <x:v>Man Tujuhlapan</x:v>
      </x:c>
      <x:c r="C4215" s="16" t="str"/>
      <x:c r="D4215" s="16" t="str"/>
      <x:c r="E4215" s="16" t="str">
        <x:v>* myContacts</x:v>
      </x:c>
      <x:c r="F4215" s="16" t="str">
        <x:v>+60183605807</x:v>
      </x:c>
      <x:c r="G4215" s="16" t="str">
        <x:v>+60183605807</x:v>
      </x:c>
      <x:c r="H4215" s="16" t="str">
        <x:v>Excluded</x:v>
      </x:c>
      <x:c r="I4215" s="16" t="str">
        <x:v>Missing email</x:v>
      </x:c>
    </x:row>
    <x:row r="4216">
      <x:c r="A4216" s="16" t="n">
        <x:v>4213</x:v>
      </x:c>
      <x:c r="B4216" s="16" t="str">
        <x:v>Manager Alan Tan Chong Motor</x:v>
      </x:c>
      <x:c r="C4216" s="16" t="str"/>
      <x:c r="D4216" s="16" t="str"/>
      <x:c r="E4216" s="16" t="str">
        <x:v>* myContacts</x:v>
      </x:c>
      <x:c r="F4216" s="16" t="str">
        <x:v>0195555885 | +60195555885</x:v>
      </x:c>
      <x:c r="G4216" s="16" t="str">
        <x:v>+60195555885 | +60195555885</x:v>
      </x:c>
      <x:c r="H4216" s="16" t="str">
        <x:v>Excluded</x:v>
      </x:c>
      <x:c r="I4216" s="16" t="str">
        <x:v>Missing email</x:v>
      </x:c>
    </x:row>
    <x:row r="4217">
      <x:c r="A4217" s="16" t="n">
        <x:v>4214</x:v>
      </x:c>
      <x:c r="B4217" s="16" t="str">
        <x:v>Manarah Fikri</x:v>
      </x:c>
      <x:c r="C4217" s="16" t="str"/>
      <x:c r="D4217" s="16" t="str"/>
      <x:c r="E4217" s="16" t="str">
        <x:v>* myContacts</x:v>
      </x:c>
      <x:c r="F4217" s="16" t="str">
        <x:v>+601113097076</x:v>
      </x:c>
      <x:c r="G4217" s="16" t="str">
        <x:v>+601113097076</x:v>
      </x:c>
      <x:c r="H4217" s="16" t="str">
        <x:v>Excluded</x:v>
      </x:c>
      <x:c r="I4217" s="16" t="str">
        <x:v>Missing email</x:v>
      </x:c>
    </x:row>
    <x:row r="4218">
      <x:c r="A4218" s="16" t="n">
        <x:v>4215</x:v>
      </x:c>
      <x:c r="B4218" s="16" t="str">
        <x:v>Manda Eyda</x:v>
      </x:c>
      <x:c r="C4218" s="16" t="str"/>
      <x:c r="D4218" s="16" t="str"/>
      <x:c r="E4218" s="16" t="str">
        <x:v>* myContacts</x:v>
      </x:c>
      <x:c r="F4218" s="16" t="str">
        <x:v>+60128043890</x:v>
      </x:c>
      <x:c r="G4218" s="16" t="str">
        <x:v>+60128043890</x:v>
      </x:c>
      <x:c r="H4218" s="16" t="str">
        <x:v>Excluded</x:v>
      </x:c>
      <x:c r="I4218" s="16" t="str">
        <x:v>Missing email</x:v>
      </x:c>
    </x:row>
    <x:row r="4219">
      <x:c r="A4219" s="16" t="n">
        <x:v>4216</x:v>
      </x:c>
      <x:c r="B4219" s="16" t="str">
        <x:v>Manjaku Ainfatiha Iman</x:v>
      </x:c>
      <x:c r="C4219" s="16" t="str"/>
      <x:c r="D4219" s="16" t="str"/>
      <x:c r="E4219" s="16" t="str">
        <x:v>* myContacts</x:v>
      </x:c>
      <x:c r="F4219" s="16" t="str">
        <x:v>+60124358406</x:v>
      </x:c>
      <x:c r="G4219" s="16" t="str">
        <x:v>+60124358406</x:v>
      </x:c>
      <x:c r="H4219" s="16" t="str">
        <x:v>Excluded</x:v>
      </x:c>
      <x:c r="I4219" s="16" t="str">
        <x:v>Missing email</x:v>
      </x:c>
    </x:row>
    <x:row r="4220">
      <x:c r="A4220" s="16" t="n">
        <x:v>4217</x:v>
      </x:c>
      <x:c r="B4220" s="16" t="str">
        <x:v>Mansor BDA</x:v>
      </x:c>
      <x:c r="C4220" s="16" t="str"/>
      <x:c r="D4220" s="16" t="str"/>
      <x:c r="E4220" s="16" t="str">
        <x:v>* myContacts</x:v>
      </x:c>
      <x:c r="F4220" s="16" t="str">
        <x:v>+60 13-307 9787 | +60133079787</x:v>
      </x:c>
      <x:c r="G4220" s="16" t="str">
        <x:v>+60133079787 | +60133079787</x:v>
      </x:c>
      <x:c r="H4220" s="16" t="str">
        <x:v>Excluded</x:v>
      </x:c>
      <x:c r="I4220" s="16" t="str">
        <x:v>Missing email</x:v>
      </x:c>
    </x:row>
    <x:row r="4221">
      <x:c r="A4221" s="16" t="n">
        <x:v>4218</x:v>
      </x:c>
      <x:c r="B4221" s="16" t="str">
        <x:v>Mansor Chirah</x:v>
      </x:c>
      <x:c r="C4221" s="16" t="str"/>
      <x:c r="D4221" s="16" t="str"/>
      <x:c r="E4221" s="16" t="str">
        <x:v>* myContacts</x:v>
      </x:c>
      <x:c r="F4221" s="16" t="str">
        <x:v>+60142338536</x:v>
      </x:c>
      <x:c r="G4221" s="16" t="str">
        <x:v>+60142338536</x:v>
      </x:c>
      <x:c r="H4221" s="16" t="str">
        <x:v>Excluded</x:v>
      </x:c>
      <x:c r="I4221" s="16" t="str">
        <x:v>Missing email</x:v>
      </x:c>
    </x:row>
    <x:row r="4222">
      <x:c r="A4222" s="16" t="n">
        <x:v>4219</x:v>
      </x:c>
      <x:c r="B4222" s="16" t="str">
        <x:v>Manz Hani</x:v>
      </x:c>
      <x:c r="C4222" s="16" t="str"/>
      <x:c r="D4222" s="16" t="str"/>
      <x:c r="E4222" s="16" t="str">
        <x:v>* myContacts</x:v>
      </x:c>
      <x:c r="F4222" s="16" t="str">
        <x:v>+60138719026</x:v>
      </x:c>
      <x:c r="G4222" s="16" t="str">
        <x:v>+60138719026</x:v>
      </x:c>
      <x:c r="H4222" s="16" t="str">
        <x:v>Excluded</x:v>
      </x:c>
      <x:c r="I4222" s="16" t="str">
        <x:v>Missing email</x:v>
      </x:c>
    </x:row>
    <x:row r="4223">
      <x:c r="A4223" s="16" t="n">
        <x:v>4220</x:v>
      </x:c>
      <x:c r="B4223" s="16" t="str">
        <x:v>Mar Cus</x:v>
      </x:c>
      <x:c r="C4223" s="16" t="str"/>
      <x:c r="D4223" s="16" t="str"/>
      <x:c r="E4223" s="16" t="str">
        <x:v>* myContacts</x:v>
      </x:c>
      <x:c r="F4223" s="16" t="str">
        <x:v>+60183156671</x:v>
      </x:c>
      <x:c r="G4223" s="16" t="str">
        <x:v>+60183156671</x:v>
      </x:c>
      <x:c r="H4223" s="16" t="str">
        <x:v>Excluded</x:v>
      </x:c>
      <x:c r="I4223" s="16" t="str">
        <x:v>Missing email</x:v>
      </x:c>
    </x:row>
    <x:row r="4224">
      <x:c r="A4224" s="16" t="n">
        <x:v>4221</x:v>
      </x:c>
      <x:c r="B4224" s="16" t="str">
        <x:v>Mar Madina</x:v>
      </x:c>
      <x:c r="C4224" s="16" t="str"/>
      <x:c r="D4224" s="16" t="str"/>
      <x:c r="E4224" s="16" t="str">
        <x:v>* myContacts</x:v>
      </x:c>
      <x:c r="F4224" s="16" t="str">
        <x:v>+60142496284</x:v>
      </x:c>
      <x:c r="G4224" s="16" t="str">
        <x:v>+60142496284</x:v>
      </x:c>
      <x:c r="H4224" s="16" t="str">
        <x:v>Excluded</x:v>
      </x:c>
      <x:c r="I4224" s="16" t="str">
        <x:v>Missing email</x:v>
      </x:c>
    </x:row>
    <x:row r="4225">
      <x:c r="A4225" s="16" t="n">
        <x:v>4222</x:v>
      </x:c>
      <x:c r="B4225" s="16" t="str">
        <x:v>Mar Shaa</x:v>
      </x:c>
      <x:c r="C4225" s="16" t="str"/>
      <x:c r="D4225" s="16" t="str"/>
      <x:c r="E4225" s="16" t="str">
        <x:v>* myContacts</x:v>
      </x:c>
      <x:c r="F4225" s="16" t="str">
        <x:v>+601129524594</x:v>
      </x:c>
      <x:c r="G4225" s="16" t="str">
        <x:v>+601129524594</x:v>
      </x:c>
      <x:c r="H4225" s="16" t="str">
        <x:v>Excluded</x:v>
      </x:c>
      <x:c r="I4225" s="16" t="str">
        <x:v>Missing email</x:v>
      </x:c>
    </x:row>
    <x:row r="4226">
      <x:c r="A4226" s="16" t="n">
        <x:v>4223</x:v>
      </x:c>
      <x:c r="B4226" s="16" t="str">
        <x:v>Marc Marquez Kfa</x:v>
      </x:c>
      <x:c r="C4226" s="16" t="str"/>
      <x:c r="D4226" s="16" t="str"/>
      <x:c r="E4226" s="16" t="str">
        <x:v>* myContacts</x:v>
      </x:c>
      <x:c r="F4226" s="16" t="str">
        <x:v>+60178808224</x:v>
      </x:c>
      <x:c r="G4226" s="16" t="str">
        <x:v>+60178808224</x:v>
      </x:c>
      <x:c r="H4226" s="16" t="str">
        <x:v>Excluded</x:v>
      </x:c>
      <x:c r="I4226" s="16" t="str">
        <x:v>Missing email</x:v>
      </x:c>
    </x:row>
    <x:row r="4227">
      <x:c r="A4227" s="16" t="n">
        <x:v>4224</x:v>
      </x:c>
      <x:c r="B4227" s="16" t="str">
        <x:v>Marcus TIKTOK</x:v>
      </x:c>
      <x:c r="C4227" s="16" t="str"/>
      <x:c r="D4227" s="16" t="str"/>
      <x:c r="E4227" s="16" t="str">
        <x:v>* myContacts</x:v>
      </x:c>
      <x:c r="F4227" s="16" t="str">
        <x:v>+60 12-611 0758 | +60126110758</x:v>
      </x:c>
      <x:c r="G4227" s="16" t="str">
        <x:v>+60126110758 | +60126110758</x:v>
      </x:c>
      <x:c r="H4227" s="16" t="str">
        <x:v>Excluded</x:v>
      </x:c>
      <x:c r="I4227" s="16" t="str">
        <x:v>Missing email</x:v>
      </x:c>
    </x:row>
    <x:row r="4228">
      <x:c r="A4228" s="16" t="n">
        <x:v>4225</x:v>
      </x:c>
      <x:c r="B4228" s="16" t="str">
        <x:v>Mard Saja</x:v>
      </x:c>
      <x:c r="C4228" s="16" t="str"/>
      <x:c r="D4228" s="16" t="str"/>
      <x:c r="E4228" s="16" t="str">
        <x:v>* myContacts</x:v>
      </x:c>
      <x:c r="F4228" s="16" t="str">
        <x:v>+60165468690</x:v>
      </x:c>
      <x:c r="G4228" s="16" t="str">
        <x:v>+60165468690</x:v>
      </x:c>
      <x:c r="H4228" s="16" t="str">
        <x:v>Excluded</x:v>
      </x:c>
      <x:c r="I4228" s="16" t="str">
        <x:v>Missing email</x:v>
      </x:c>
    </x:row>
    <x:row r="4229">
      <x:c r="A4229" s="16" t="n">
        <x:v>4226</x:v>
      </x:c>
      <x:c r="B4229" s="16" t="str">
        <x:v>Mard Zukie Abdulla</x:v>
      </x:c>
      <x:c r="C4229" s="16" t="str"/>
      <x:c r="D4229" s="16" t="str"/>
      <x:c r="E4229" s="16" t="str">
        <x:v>* myContacts</x:v>
      </x:c>
      <x:c r="F4229" s="16" t="str">
        <x:v>+60177691757</x:v>
      </x:c>
      <x:c r="G4229" s="16" t="str">
        <x:v>+60177691757</x:v>
      </x:c>
      <x:c r="H4229" s="16" t="str">
        <x:v>Excluded</x:v>
      </x:c>
      <x:c r="I4229" s="16" t="str">
        <x:v>Missing email</x:v>
      </x:c>
    </x:row>
    <x:row r="4230">
      <x:c r="A4230" s="16" t="n">
        <x:v>4227</x:v>
      </x:c>
      <x:c r="B4230" s="16" t="str">
        <x:v>Mardi Marijo IM</x:v>
      </x:c>
      <x:c r="C4230" s="16" t="str"/>
      <x:c r="D4230" s="16" t="str"/>
      <x:c r="E4230" s="16" t="str">
        <x:v>* myContacts</x:v>
      </x:c>
      <x:c r="F4230" s="16" t="str">
        <x:v>+60138544533</x:v>
      </x:c>
      <x:c r="G4230" s="16" t="str">
        <x:v>+60138544533</x:v>
      </x:c>
      <x:c r="H4230" s="16" t="str">
        <x:v>Excluded</x:v>
      </x:c>
      <x:c r="I4230" s="16" t="str">
        <x:v>Missing email</x:v>
      </x:c>
    </x:row>
    <x:row r="4231">
      <x:c r="A4231" s="16" t="n">
        <x:v>4228</x:v>
      </x:c>
      <x:c r="B4231" s="16" t="str">
        <x:v>Mardiah Azinan</x:v>
      </x:c>
      <x:c r="C4231" s="16" t="str"/>
      <x:c r="D4231" s="16" t="str"/>
      <x:c r="E4231" s="16" t="str">
        <x:v>* myContacts</x:v>
      </x:c>
      <x:c r="F4231" s="16" t="str">
        <x:v>+60173864451</x:v>
      </x:c>
      <x:c r="G4231" s="16" t="str">
        <x:v>+60173864451</x:v>
      </x:c>
      <x:c r="H4231" s="16" t="str">
        <x:v>Excluded</x:v>
      </x:c>
      <x:c r="I4231" s="16" t="str">
        <x:v>Missing email</x:v>
      </x:c>
    </x:row>
    <x:row r="4232">
      <x:c r="A4232" s="16" t="n">
        <x:v>4229</x:v>
      </x:c>
      <x:c r="B4232" s="16" t="str">
        <x:v>Mardihah Khadzi</x:v>
      </x:c>
      <x:c r="C4232" s="16" t="str"/>
      <x:c r="D4232" s="16" t="str"/>
      <x:c r="E4232" s="16" t="str">
        <x:v>* myContacts</x:v>
      </x:c>
      <x:c r="F4232" s="16" t="str">
        <x:v>+60174602760</x:v>
      </x:c>
      <x:c r="G4232" s="16" t="str">
        <x:v>+60174602760</x:v>
      </x:c>
      <x:c r="H4232" s="16" t="str">
        <x:v>Excluded</x:v>
      </x:c>
      <x:c r="I4232" s="16" t="str">
        <x:v>Missing email</x:v>
      </x:c>
    </x:row>
    <x:row r="4233">
      <x:c r="A4233" s="16" t="n">
        <x:v>4230</x:v>
      </x:c>
      <x:c r="B4233" s="16" t="str">
        <x:v>Mardiyatun Nabila</x:v>
      </x:c>
      <x:c r="C4233" s="16" t="str"/>
      <x:c r="D4233" s="16" t="str"/>
      <x:c r="E4233" s="16" t="str">
        <x:v>* myContacts</x:v>
      </x:c>
      <x:c r="F4233" s="16" t="str">
        <x:v>+60 13-774 1231 | +60137741231</x:v>
      </x:c>
      <x:c r="G4233" s="16" t="str">
        <x:v>+60137741231 | +60137741231</x:v>
      </x:c>
      <x:c r="H4233" s="16" t="str">
        <x:v>Excluded</x:v>
      </x:c>
      <x:c r="I4233" s="16" t="str">
        <x:v>Missing email</x:v>
      </x:c>
    </x:row>
    <x:row r="4234">
      <x:c r="A4234" s="16" t="n">
        <x:v>4231</x:v>
      </x:c>
      <x:c r="B4234" s="16" t="str">
        <x:v>Marhana Juraimi</x:v>
      </x:c>
      <x:c r="C4234" s="16" t="str"/>
      <x:c r="D4234" s="16" t="str"/>
      <x:c r="E4234" s="16" t="str">
        <x:v>* myContacts</x:v>
      </x:c>
      <x:c r="F4234" s="16" t="str">
        <x:v>+60128700729</x:v>
      </x:c>
      <x:c r="G4234" s="16" t="str">
        <x:v>+60128700729</x:v>
      </x:c>
      <x:c r="H4234" s="16" t="str">
        <x:v>Excluded</x:v>
      </x:c>
      <x:c r="I4234" s="16" t="str">
        <x:v>Missing email</x:v>
      </x:c>
    </x:row>
    <x:row r="4235">
      <x:c r="A4235" s="16" t="n">
        <x:v>4232</x:v>
      </x:c>
      <x:c r="B4235" s="16" t="str">
        <x:v>Maria Ablah</x:v>
      </x:c>
      <x:c r="C4235" s="16" t="str"/>
      <x:c r="D4235" s="16" t="str"/>
      <x:c r="E4235" s="16" t="str">
        <x:v>* myContacts</x:v>
      </x:c>
      <x:c r="F4235" s="16" t="str">
        <x:v>+60138196093</x:v>
      </x:c>
      <x:c r="G4235" s="16" t="str">
        <x:v>+60138196093</x:v>
      </x:c>
      <x:c r="H4235" s="16" t="str">
        <x:v>Excluded</x:v>
      </x:c>
      <x:c r="I4235" s="16" t="str">
        <x:v>Missing email</x:v>
      </x:c>
    </x:row>
    <x:row r="4236">
      <x:c r="A4236" s="16" t="n">
        <x:v>4233</x:v>
      </x:c>
      <x:c r="B4236" s="16" t="str">
        <x:v>Maria Diana</x:v>
      </x:c>
      <x:c r="C4236" s="16" t="str"/>
      <x:c r="D4236" s="16" t="str"/>
      <x:c r="E4236" s="16" t="str">
        <x:v>* myContacts</x:v>
      </x:c>
      <x:c r="F4236" s="16" t="str">
        <x:v>+60179423261</x:v>
      </x:c>
      <x:c r="G4236" s="16" t="str">
        <x:v>+60179423261</x:v>
      </x:c>
      <x:c r="H4236" s="16" t="str">
        <x:v>Excluded</x:v>
      </x:c>
      <x:c r="I4236" s="16" t="str">
        <x:v>Missing email</x:v>
      </x:c>
    </x:row>
    <x:row r="4237">
      <x:c r="A4237" s="16" t="n">
        <x:v>4234</x:v>
      </x:c>
      <x:c r="B4237" s="16" t="str">
        <x:v>Maria Gift Souvenir</x:v>
      </x:c>
      <x:c r="C4237" s="16" t="str"/>
      <x:c r="D4237" s="16" t="str"/>
      <x:c r="E4237" s="16" t="str">
        <x:v>* myContacts</x:v>
      </x:c>
      <x:c r="F4237" s="16" t="str">
        <x:v>+60122432377</x:v>
      </x:c>
      <x:c r="G4237" s="16" t="str">
        <x:v>+60122432377</x:v>
      </x:c>
      <x:c r="H4237" s="16" t="str">
        <x:v>Excluded</x:v>
      </x:c>
      <x:c r="I4237" s="16" t="str">
        <x:v>Missing email</x:v>
      </x:c>
    </x:row>
    <x:row r="4238">
      <x:c r="A4238" s="16" t="n">
        <x:v>4235</x:v>
      </x:c>
      <x:c r="B4238" s="16" t="str">
        <x:v>Dr Maria mywin</x:v>
      </x:c>
      <x:c r="C4238" s="16" t="str"/>
      <x:c r="D4238" s="16" t="str"/>
      <x:c r="E4238" s="16" t="str">
        <x:v>* myContacts</x:v>
      </x:c>
      <x:c r="F4238" s="16" t="str">
        <x:v>+60123455073</x:v>
      </x:c>
      <x:c r="G4238" s="16" t="str">
        <x:v>+60123455073</x:v>
      </x:c>
      <x:c r="H4238" s="16" t="str">
        <x:v>Excluded</x:v>
      </x:c>
      <x:c r="I4238" s="16" t="str">
        <x:v>Missing email</x:v>
      </x:c>
    </x:row>
    <x:row r="4239">
      <x:c r="A4239" s="16" t="n">
        <x:v>4236</x:v>
      </x:c>
      <x:c r="B4239" s="16" t="str">
        <x:v>Mariam Ismail</x:v>
      </x:c>
      <x:c r="C4239" s="16" t="str"/>
      <x:c r="D4239" s="16" t="str"/>
      <x:c r="E4239" s="16" t="str">
        <x:v>* myContacts</x:v>
      </x:c>
      <x:c r="F4239" s="16" t="str">
        <x:v>+60124746250</x:v>
      </x:c>
      <x:c r="G4239" s="16" t="str">
        <x:v>+60124746250</x:v>
      </x:c>
      <x:c r="H4239" s="16" t="str">
        <x:v>Excluded</x:v>
      </x:c>
      <x:c r="I4239" s="16" t="str">
        <x:v>Missing email</x:v>
      </x:c>
    </x:row>
    <x:row r="4240">
      <x:c r="A4240" s="16" t="n">
        <x:v>4237</x:v>
      </x:c>
      <x:c r="B4240" s="16" t="str">
        <x:v>Mariani Abu Bakar</x:v>
      </x:c>
      <x:c r="C4240" s="16" t="str"/>
      <x:c r="D4240" s="16" t="str"/>
      <x:c r="E4240" s="16" t="str">
        <x:v>* myContacts</x:v>
      </x:c>
      <x:c r="F4240" s="16" t="str">
        <x:v>+60143748552</x:v>
      </x:c>
      <x:c r="G4240" s="16" t="str">
        <x:v>+60143748552</x:v>
      </x:c>
      <x:c r="H4240" s="16" t="str">
        <x:v>Excluded</x:v>
      </x:c>
      <x:c r="I4240" s="16" t="str">
        <x:v>Missing email</x:v>
      </x:c>
    </x:row>
    <x:row r="4241">
      <x:c r="A4241" s="16" t="n">
        <x:v>4238</x:v>
      </x:c>
      <x:c r="B4241" s="16" t="str">
        <x:v>Mariani Md Isa</x:v>
      </x:c>
      <x:c r="C4241" s="16" t="str"/>
      <x:c r="D4241" s="16" t="str"/>
      <x:c r="E4241" s="16" t="str">
        <x:v>* myContacts</x:v>
      </x:c>
      <x:c r="F4241" s="16" t="str">
        <x:v>+60196972154</x:v>
      </x:c>
      <x:c r="G4241" s="16" t="str">
        <x:v>+60196972154</x:v>
      </x:c>
      <x:c r="H4241" s="16" t="str">
        <x:v>Excluded</x:v>
      </x:c>
      <x:c r="I4241" s="16" t="str">
        <x:v>Missing email</x:v>
      </x:c>
    </x:row>
    <x:row r="4242">
      <x:c r="A4242" s="16" t="n">
        <x:v>4239</x:v>
      </x:c>
      <x:c r="B4242" s="16" t="str">
        <x:v>MarieMar JM</x:v>
      </x:c>
      <x:c r="C4242" s="16" t="str"/>
      <x:c r="D4242" s="16" t="str"/>
      <x:c r="E4242" s="16" t="str">
        <x:v>* myContacts</x:v>
      </x:c>
      <x:c r="F4242" s="16" t="str">
        <x:v>+60188744914</x:v>
      </x:c>
      <x:c r="G4242" s="16" t="str">
        <x:v>+60188744914</x:v>
      </x:c>
      <x:c r="H4242" s="16" t="str">
        <x:v>Excluded</x:v>
      </x:c>
      <x:c r="I4242" s="16" t="str">
        <x:v>Missing email</x:v>
      </x:c>
    </x:row>
    <x:row r="4243">
      <x:c r="A4243" s="16" t="n">
        <x:v>4240</x:v>
      </x:c>
      <x:c r="B4243" s="16" t="str">
        <x:v>Marilyna Lin</x:v>
      </x:c>
      <x:c r="C4243" s="16" t="str"/>
      <x:c r="D4243" s="16" t="str"/>
      <x:c r="E4243" s="16" t="str">
        <x:v>* myContacts</x:v>
      </x:c>
      <x:c r="F4243" s="16" t="str">
        <x:v>+60122290127</x:v>
      </x:c>
      <x:c r="G4243" s="16" t="str">
        <x:v>+60122290127</x:v>
      </x:c>
      <x:c r="H4243" s="16" t="str">
        <x:v>Excluded</x:v>
      </x:c>
      <x:c r="I4243" s="16" t="str">
        <x:v>Missing email</x:v>
      </x:c>
    </x:row>
    <x:row r="4244">
      <x:c r="A4244" s="16" t="n">
        <x:v>4241</x:v>
      </x:c>
      <x:c r="B4244" s="16" t="str">
        <x:v>Marina Bashah</x:v>
      </x:c>
      <x:c r="C4244" s="16" t="str"/>
      <x:c r="D4244" s="16" t="str"/>
      <x:c r="E4244" s="16" t="str">
        <x:v>* myContacts</x:v>
      </x:c>
      <x:c r="F4244" s="16" t="str">
        <x:v>+60195587929</x:v>
      </x:c>
      <x:c r="G4244" s="16" t="str">
        <x:v>+60195587929</x:v>
      </x:c>
      <x:c r="H4244" s="16" t="str">
        <x:v>Excluded</x:v>
      </x:c>
      <x:c r="I4244" s="16" t="str">
        <x:v>Missing email</x:v>
      </x:c>
    </x:row>
    <x:row r="4245">
      <x:c r="A4245" s="16" t="n">
        <x:v>4242</x:v>
      </x:c>
      <x:c r="B4245" s="16" t="str">
        <x:v>Marina Yusop</x:v>
      </x:c>
      <x:c r="C4245" s="16" t="str"/>
      <x:c r="D4245" s="16" t="str"/>
      <x:c r="E4245" s="16" t="str">
        <x:v>* myContacts</x:v>
      </x:c>
      <x:c r="F4245" s="16" t="str">
        <x:v>+60179257153</x:v>
      </x:c>
      <x:c r="G4245" s="16" t="str">
        <x:v>+60179257153</x:v>
      </x:c>
      <x:c r="H4245" s="16" t="str">
        <x:v>Excluded</x:v>
      </x:c>
      <x:c r="I4245" s="16" t="str">
        <x:v>Missing email</x:v>
      </x:c>
    </x:row>
    <x:row r="4246">
      <x:c r="A4246" s="16" t="n">
        <x:v>4243</x:v>
      </x:c>
      <x:c r="B4246" s="16" t="str">
        <x:v>Marisa Marisa Mardhia Online Shop</x:v>
      </x:c>
      <x:c r="C4246" s="16" t="str"/>
      <x:c r="D4246" s="16" t="str"/>
      <x:c r="E4246" s="16" t="str">
        <x:v>* myContacts</x:v>
      </x:c>
      <x:c r="F4246" s="16" t="str">
        <x:v>+60 19-337 4845 | +60193374845</x:v>
      </x:c>
      <x:c r="G4246" s="16" t="str">
        <x:v>+60193374845 | +60193374845</x:v>
      </x:c>
      <x:c r="H4246" s="16" t="str">
        <x:v>Excluded</x:v>
      </x:c>
      <x:c r="I4246" s="16" t="str">
        <x:v>Missing email</x:v>
      </x:c>
    </x:row>
    <x:row r="4247">
      <x:c r="A4247" s="16" t="n">
        <x:v>4244</x:v>
      </x:c>
      <x:c r="B4247" s="16" t="str">
        <x:v>Marjieta Awg</x:v>
      </x:c>
      <x:c r="C4247" s="16" t="str"/>
      <x:c r="D4247" s="16" t="str"/>
      <x:c r="E4247" s="16" t="str">
        <x:v>* myContacts</x:v>
      </x:c>
      <x:c r="F4247" s="16" t="str">
        <x:v>+601110792216</x:v>
      </x:c>
      <x:c r="G4247" s="16" t="str">
        <x:v>+601110792216</x:v>
      </x:c>
      <x:c r="H4247" s="16" t="str">
        <x:v>Excluded</x:v>
      </x:c>
      <x:c r="I4247" s="16" t="str">
        <x:v>Missing email</x:v>
      </x:c>
    </x:row>
    <x:row r="4248">
      <x:c r="A4248" s="16" t="n">
        <x:v>4245</x:v>
      </x:c>
      <x:c r="B4248" s="16" t="str">
        <x:v>Mark Clay Son</x:v>
      </x:c>
      <x:c r="C4248" s="16" t="str"/>
      <x:c r="D4248" s="16" t="str"/>
      <x:c r="E4248" s="16" t="str">
        <x:v>* myContacts</x:v>
      </x:c>
      <x:c r="F4248" s="16" t="str">
        <x:v>+60125769586</x:v>
      </x:c>
      <x:c r="G4248" s="16" t="str">
        <x:v>+60125769586</x:v>
      </x:c>
      <x:c r="H4248" s="16" t="str">
        <x:v>Excluded</x:v>
      </x:c>
      <x:c r="I4248" s="16" t="str">
        <x:v>Missing email</x:v>
      </x:c>
    </x:row>
    <x:row r="4249">
      <x:c r="A4249" s="16" t="n">
        <x:v>4246</x:v>
      </x:c>
      <x:c r="B4249" s="16" t="str">
        <x:v>Mark Leyy</x:v>
      </x:c>
      <x:c r="C4249" s="16" t="str"/>
      <x:c r="D4249" s="16" t="str"/>
      <x:c r="E4249" s="16" t="str">
        <x:v>* myContacts</x:v>
      </x:c>
      <x:c r="F4249" s="16" t="str">
        <x:v>+60124227548</x:v>
      </x:c>
      <x:c r="G4249" s="16" t="str">
        <x:v>+60124227548</x:v>
      </x:c>
      <x:c r="H4249" s="16" t="str">
        <x:v>Excluded</x:v>
      </x:c>
      <x:c r="I4249" s="16" t="str">
        <x:v>Missing email</x:v>
      </x:c>
    </x:row>
    <x:row r="4250">
      <x:c r="A4250" s="16" t="n">
        <x:v>4247</x:v>
      </x:c>
      <x:c r="B4250" s="16" t="str">
        <x:v>MarlinaAsraf Kasih</x:v>
      </x:c>
      <x:c r="C4250" s="16" t="str"/>
      <x:c r="D4250" s="16" t="str"/>
      <x:c r="E4250" s="16" t="str">
        <x:v>* myContacts</x:v>
      </x:c>
      <x:c r="F4250" s="16" t="str">
        <x:v>+60164977823</x:v>
      </x:c>
      <x:c r="G4250" s="16" t="str">
        <x:v>+60164977823</x:v>
      </x:c>
      <x:c r="H4250" s="16" t="str">
        <x:v>Excluded</x:v>
      </x:c>
      <x:c r="I4250" s="16" t="str">
        <x:v>Missing email</x:v>
      </x:c>
    </x:row>
    <x:row r="4251">
      <x:c r="A4251" s="16" t="n">
        <x:v>4248</x:v>
      </x:c>
      <x:c r="B4251" s="16" t="str">
        <x:v>marvan bin kitcha AGP</x:v>
      </x:c>
      <x:c r="C4251" s="16" t="str"/>
      <x:c r="D4251" s="16" t="str"/>
      <x:c r="E4251" s="16" t="str">
        <x:v>* myContacts</x:v>
      </x:c>
      <x:c r="F4251" s="16" t="str">
        <x:v>+60 14-200 4102 | +60142004102</x:v>
      </x:c>
      <x:c r="G4251" s="16" t="str">
        <x:v>+60142004102 | +60142004102</x:v>
      </x:c>
      <x:c r="H4251" s="16" t="str">
        <x:v>Excluded</x:v>
      </x:c>
      <x:c r="I4251" s="16" t="str">
        <x:v>Missing email</x:v>
      </x:c>
    </x:row>
    <x:row r="4252">
      <x:c r="A4252" s="16" t="n">
        <x:v>4249</x:v>
      </x:c>
      <x:c r="B4252" s="16" t="str">
        <x:v>Marwan Hj Beluar</x:v>
      </x:c>
      <x:c r="C4252" s="16" t="str"/>
      <x:c r="D4252" s="16" t="str"/>
      <x:c r="E4252" s="16" t="str">
        <x:v>* myContacts</x:v>
      </x:c>
      <x:c r="F4252" s="16" t="str">
        <x:v>+60138699933</x:v>
      </x:c>
      <x:c r="G4252" s="16" t="str">
        <x:v>+60138699933</x:v>
      </x:c>
      <x:c r="H4252" s="16" t="str">
        <x:v>Excluded</x:v>
      </x:c>
      <x:c r="I4252" s="16" t="str">
        <x:v>Missing email</x:v>
      </x:c>
    </x:row>
    <x:row r="4253">
      <x:c r="A4253" s="16" t="n">
        <x:v>4250</x:v>
      </x:c>
      <x:c r="B4253" s="16" t="str">
        <x:v>Marynna Abd</x:v>
      </x:c>
      <x:c r="C4253" s="16" t="str"/>
      <x:c r="D4253" s="16" t="str"/>
      <x:c r="E4253" s="16" t="str">
        <x:v>* myContacts</x:v>
      </x:c>
      <x:c r="F4253" s="16" t="str">
        <x:v>+60146907175</x:v>
      </x:c>
      <x:c r="G4253" s="16" t="str">
        <x:v>+60146907175</x:v>
      </x:c>
      <x:c r="H4253" s="16" t="str">
        <x:v>Excluded</x:v>
      </x:c>
      <x:c r="I4253" s="16" t="str">
        <x:v>Missing email</x:v>
      </x:c>
    </x:row>
    <x:row r="4254">
      <x:c r="A4254" s="16" t="n">
        <x:v>4251</x:v>
      </x:c>
      <x:c r="B4254" s="16" t="str">
        <x:v>Mas Alinda</x:v>
      </x:c>
      <x:c r="C4254" s="16" t="str"/>
      <x:c r="D4254" s="16" t="str"/>
      <x:c r="E4254" s="16" t="str">
        <x:v>* myContacts</x:v>
      </x:c>
      <x:c r="F4254" s="16" t="str">
        <x:v>+60194264860</x:v>
      </x:c>
      <x:c r="G4254" s="16" t="str">
        <x:v>+60194264860</x:v>
      </x:c>
      <x:c r="H4254" s="16" t="str">
        <x:v>Excluded</x:v>
      </x:c>
      <x:c r="I4254" s="16" t="str">
        <x:v>Missing email</x:v>
      </x:c>
    </x:row>
    <x:row r="4255">
      <x:c r="A4255" s="16" t="n">
        <x:v>4252</x:v>
      </x:c>
      <x:c r="B4255" s="16" t="str">
        <x:v>Mas Ayu Student Eusahawan KL</x:v>
      </x:c>
      <x:c r="C4255" s="16" t="str"/>
      <x:c r="D4255" s="16" t="str"/>
      <x:c r="E4255" s="16" t="str">
        <x:v>* myContacts</x:v>
      </x:c>
      <x:c r="F4255" s="16" t="str">
        <x:v>+60 13-348 2864 | +60133482864</x:v>
      </x:c>
      <x:c r="G4255" s="16" t="str">
        <x:v>+60133482864 | +60133482864</x:v>
      </x:c>
      <x:c r="H4255" s="16" t="str">
        <x:v>Excluded</x:v>
      </x:c>
      <x:c r="I4255" s="16" t="str">
        <x:v>Missing email</x:v>
      </x:c>
    </x:row>
    <x:row r="4256">
      <x:c r="A4256" s="16" t="n">
        <x:v>4253</x:v>
      </x:c>
      <x:c r="B4256" s="16" t="str">
        <x:v>Mas Dini Muzammal</x:v>
      </x:c>
      <x:c r="C4256" s="16" t="str"/>
      <x:c r="D4256" s="16" t="str"/>
      <x:c r="E4256" s="16" t="str">
        <x:v>* myContacts</x:v>
      </x:c>
      <x:c r="F4256" s="16" t="str">
        <x:v>+60164128076</x:v>
      </x:c>
      <x:c r="G4256" s="16" t="str">
        <x:v>+60164128076</x:v>
      </x:c>
      <x:c r="H4256" s="16" t="str">
        <x:v>Excluded</x:v>
      </x:c>
      <x:c r="I4256" s="16" t="str">
        <x:v>Missing email</x:v>
      </x:c>
    </x:row>
    <x:row r="4257">
      <x:c r="A4257" s="16" t="n">
        <x:v>4254</x:v>
      </x:c>
      <x:c r="B4257" s="16" t="str">
        <x:v>Mas Mazuin</x:v>
      </x:c>
      <x:c r="C4257" s="16" t="str"/>
      <x:c r="D4257" s="16" t="str"/>
      <x:c r="E4257" s="16" t="str">
        <x:v>* myContacts</x:v>
      </x:c>
      <x:c r="F4257" s="16" t="str">
        <x:v>+60174197495</x:v>
      </x:c>
      <x:c r="G4257" s="16" t="str">
        <x:v>+60174197495</x:v>
      </x:c>
      <x:c r="H4257" s="16" t="str">
        <x:v>Excluded</x:v>
      </x:c>
      <x:c r="I4257" s="16" t="str">
        <x:v>Missing email</x:v>
      </x:c>
    </x:row>
    <x:row r="4258">
      <x:c r="A4258" s="16" t="n">
        <x:v>4255</x:v>
      </x:c>
      <x:c r="B4258" s="16" t="str">
        <x:v>Mas Tri Kanem</x:v>
      </x:c>
      <x:c r="C4258" s="16" t="str"/>
      <x:c r="D4258" s="16" t="str"/>
      <x:c r="E4258" s="16" t="str">
        <x:v>* myContacts</x:v>
      </x:c>
      <x:c r="F4258" s="16" t="str">
        <x:v>+60183921662</x:v>
      </x:c>
      <x:c r="G4258" s="16" t="str">
        <x:v>+60183921662</x:v>
      </x:c>
      <x:c r="H4258" s="16" t="str">
        <x:v>Excluded</x:v>
      </x:c>
      <x:c r="I4258" s="16" t="str">
        <x:v>Missing email</x:v>
      </x:c>
    </x:row>
    <x:row r="4259">
      <x:c r="A4259" s="16" t="n">
        <x:v>4256</x:v>
      </x:c>
      <x:c r="B4259" s="16" t="str">
        <x:v>Masadnan As-sabaki</x:v>
      </x:c>
      <x:c r="C4259" s="16" t="str"/>
      <x:c r="D4259" s="16" t="str"/>
      <x:c r="E4259" s="16" t="str">
        <x:v>* myContacts</x:v>
      </x:c>
      <x:c r="F4259" s="16" t="str">
        <x:v>+60135500313</x:v>
      </x:c>
      <x:c r="G4259" s="16" t="str">
        <x:v>+60135500313</x:v>
      </x:c>
      <x:c r="H4259" s="16" t="str">
        <x:v>Excluded</x:v>
      </x:c>
      <x:c r="I4259" s="16" t="str">
        <x:v>Missing email</x:v>
      </x:c>
    </x:row>
    <x:row r="4260">
      <x:c r="A4260" s="16" t="n">
        <x:v>4257</x:v>
      </x:c>
      <x:c r="B4260" s="16" t="str">
        <x:v>masanthi kawan SEE MIN</x:v>
      </x:c>
      <x:c r="C4260" s="16" t="str"/>
      <x:c r="D4260" s="16" t="str"/>
      <x:c r="E4260" s="16" t="str">
        <x:v>* myContacts</x:v>
      </x:c>
      <x:c r="F4260" s="16" t="str">
        <x:v>+60167271027</x:v>
      </x:c>
      <x:c r="G4260" s="16" t="str">
        <x:v>+60167271027</x:v>
      </x:c>
      <x:c r="H4260" s="16" t="str">
        <x:v>Excluded</x:v>
      </x:c>
      <x:c r="I4260" s="16" t="str">
        <x:v>Missing email</x:v>
      </x:c>
    </x:row>
    <x:row r="4261">
      <x:c r="A4261" s="16" t="n">
        <x:v>4258</x:v>
      </x:c>
      <x:c r="B4261" s="16" t="str">
        <x:v>Masfarid Ù...Ø§Ø³ Ù Ø±ÙŠØ¯</x:v>
      </x:c>
      <x:c r="C4261" s="16" t="str"/>
      <x:c r="D4261" s="16" t="str"/>
      <x:c r="E4261" s="16" t="str">
        <x:v>* myContacts</x:v>
      </x:c>
      <x:c r="F4261" s="16" t="str">
        <x:v>+60134916222</x:v>
      </x:c>
      <x:c r="G4261" s="16" t="str">
        <x:v>+60134916222</x:v>
      </x:c>
      <x:c r="H4261" s="16" t="str">
        <x:v>Excluded</x:v>
      </x:c>
      <x:c r="I4261" s="16" t="str">
        <x:v>Missing email</x:v>
      </x:c>
    </x:row>
    <x:row r="4262">
      <x:c r="A4262" s="16" t="n">
        <x:v>4259</x:v>
      </x:c>
      <x:c r="B4262" s="16" t="str">
        <x:v>Mashitah Abas</x:v>
      </x:c>
      <x:c r="C4262" s="16" t="str"/>
      <x:c r="D4262" s="16" t="str"/>
      <x:c r="E4262" s="16" t="str">
        <x:v>* myContacts</x:v>
      </x:c>
      <x:c r="F4262" s="16" t="str">
        <x:v>+601112458904</x:v>
      </x:c>
      <x:c r="G4262" s="16" t="str">
        <x:v>+601112458904</x:v>
      </x:c>
      <x:c r="H4262" s="16" t="str">
        <x:v>Excluded</x:v>
      </x:c>
      <x:c r="I4262" s="16" t="str">
        <x:v>Missing email</x:v>
      </x:c>
    </x:row>
    <x:row r="4263">
      <x:c r="A4263" s="16" t="n">
        <x:v>4260</x:v>
      </x:c>
      <x:c r="B4263" s="16" t="str">
        <x:v>Mashitah Muhamad</x:v>
      </x:c>
      <x:c r="C4263" s="16" t="str"/>
      <x:c r="D4263" s="16" t="str"/>
      <x:c r="E4263" s="16" t="str">
        <x:v>* myContacts</x:v>
      </x:c>
      <x:c r="F4263" s="16" t="str">
        <x:v>+60192187754</x:v>
      </x:c>
      <x:c r="G4263" s="16" t="str">
        <x:v>+60192187754</x:v>
      </x:c>
      <x:c r="H4263" s="16" t="str">
        <x:v>Excluded</x:v>
      </x:c>
      <x:c r="I4263" s="16" t="str">
        <x:v>Missing email</x:v>
      </x:c>
    </x:row>
    <x:row r="4264">
      <x:c r="A4264" s="16" t="n">
        <x:v>4261</x:v>
      </x:c>
      <x:c r="B4264" s="16" t="str">
        <x:v>Mashudi Sulaiman</x:v>
      </x:c>
      <x:c r="C4264" s="16" t="str"/>
      <x:c r="D4264" s="16" t="str"/>
      <x:c r="E4264" s="16" t="str">
        <x:v>* myContacts</x:v>
      </x:c>
      <x:c r="F4264" s="16" t="str">
        <x:v>+60128372616</x:v>
      </x:c>
      <x:c r="G4264" s="16" t="str">
        <x:v>+60128372616</x:v>
      </x:c>
      <x:c r="H4264" s="16" t="str">
        <x:v>Excluded</x:v>
      </x:c>
      <x:c r="I4264" s="16" t="str">
        <x:v>Missing email</x:v>
      </x:c>
    </x:row>
    <x:row r="4265">
      <x:c r="A4265" s="16" t="n">
        <x:v>4262</x:v>
      </x:c>
      <x:c r="B4265" s="16" t="str">
        <x:v>Masie Kosim</x:v>
      </x:c>
      <x:c r="C4265" s="16" t="str"/>
      <x:c r="D4265" s="16" t="str"/>
      <x:c r="E4265" s="16" t="str">
        <x:v>* myContacts</x:v>
      </x:c>
      <x:c r="F4265" s="16" t="str">
        <x:v>+60193999499</x:v>
      </x:c>
      <x:c r="G4265" s="16" t="str">
        <x:v>+60193999499</x:v>
      </x:c>
      <x:c r="H4265" s="16" t="str">
        <x:v>Excluded</x:v>
      </x:c>
      <x:c r="I4265" s="16" t="str">
        <x:v>Missing email</x:v>
      </x:c>
    </x:row>
    <x:row r="4266">
      <x:c r="A4266" s="16" t="n">
        <x:v>4263</x:v>
      </x:c>
      <x:c r="B4266" s="16" t="str">
        <x:v>Masieta Mas</x:v>
      </x:c>
      <x:c r="C4266" s="16" t="str"/>
      <x:c r="D4266" s="16" t="str"/>
      <x:c r="E4266" s="16" t="str">
        <x:v>* myContacts</x:v>
      </x:c>
      <x:c r="F4266" s="16" t="str">
        <x:v>+60169872116</x:v>
      </x:c>
      <x:c r="G4266" s="16" t="str">
        <x:v>+60169872116</x:v>
      </x:c>
      <x:c r="H4266" s="16" t="str">
        <x:v>Excluded</x:v>
      </x:c>
      <x:c r="I4266" s="16" t="str">
        <x:v>Missing email</x:v>
      </x:c>
    </x:row>
    <x:row r="4267">
      <x:c r="A4267" s="16" t="n">
        <x:v>4264</x:v>
      </x:c>
      <x:c r="B4267" s="16" t="str">
        <x:v>Masita Abdul Rahaman</x:v>
      </x:c>
      <x:c r="C4267" s="16" t="str"/>
      <x:c r="D4267" s="16" t="str"/>
      <x:c r="E4267" s="16" t="str">
        <x:v>* myContacts</x:v>
      </x:c>
      <x:c r="F4267" s="16" t="str">
        <x:v>+60183118332</x:v>
      </x:c>
      <x:c r="G4267" s="16" t="str">
        <x:v>+60183118332</x:v>
      </x:c>
      <x:c r="H4267" s="16" t="str">
        <x:v>Excluded</x:v>
      </x:c>
      <x:c r="I4267" s="16" t="str">
        <x:v>Missing email</x:v>
      </x:c>
    </x:row>
    <x:row r="4268">
      <x:c r="A4268" s="16" t="n">
        <x:v>4265</x:v>
      </x:c>
      <x:c r="B4268" s="16" t="str">
        <x:v>Masita Basir</x:v>
      </x:c>
      <x:c r="C4268" s="16" t="str"/>
      <x:c r="D4268" s="16" t="str"/>
      <x:c r="E4268" s="16" t="str">
        <x:v>* myContacts</x:v>
      </x:c>
      <x:c r="F4268" s="16" t="str">
        <x:v>+60169470696</x:v>
      </x:c>
      <x:c r="G4268" s="16" t="str">
        <x:v>+60169470696</x:v>
      </x:c>
      <x:c r="H4268" s="16" t="str">
        <x:v>Excluded</x:v>
      </x:c>
      <x:c r="I4268" s="16" t="str">
        <x:v>Missing email</x:v>
      </x:c>
    </x:row>
    <x:row r="4269">
      <x:c r="A4269" s="16" t="n">
        <x:v>4266</x:v>
      </x:c>
      <x:c r="B4269" s="16" t="str">
        <x:v>Masita Mohd Misbani VOE EU 2023</x:v>
      </x:c>
      <x:c r="C4269" s="16" t="str"/>
      <x:c r="D4269" s="16" t="str"/>
      <x:c r="E4269" s="16" t="str">
        <x:v>* myContacts</x:v>
      </x:c>
      <x:c r="F4269" s="16" t="str">
        <x:v>+60 18-343 1834 | +60183431834</x:v>
      </x:c>
      <x:c r="G4269" s="16" t="str">
        <x:v>+60183431834 | +60183431834</x:v>
      </x:c>
      <x:c r="H4269" s="16" t="str">
        <x:v>Excluded</x:v>
      </x:c>
      <x:c r="I4269" s="16" t="str">
        <x:v>Missing email</x:v>
      </x:c>
    </x:row>
    <x:row r="4270">
      <x:c r="A4270" s="16" t="n">
        <x:v>4267</x:v>
      </x:c>
      <x:c r="B4270" s="16" t="str">
        <x:v>Masitah Mansor</x:v>
      </x:c>
      <x:c r="C4270" s="16" t="str"/>
      <x:c r="D4270" s="16" t="str"/>
      <x:c r="E4270" s="16" t="str">
        <x:v>* myContacts</x:v>
      </x:c>
      <x:c r="F4270" s="16" t="str">
        <x:v>+60176884414</x:v>
      </x:c>
      <x:c r="G4270" s="16" t="str">
        <x:v>+60176884414</x:v>
      </x:c>
      <x:c r="H4270" s="16" t="str">
        <x:v>Excluded</x:v>
      </x:c>
      <x:c r="I4270" s="16" t="str">
        <x:v>Missing email</x:v>
      </x:c>
    </x:row>
    <x:row r="4271">
      <x:c r="A4271" s="16" t="n">
        <x:v>4268</x:v>
      </x:c>
      <x:c r="B4271" s="16" t="str">
        <x:v>Maskidah AGP</x:v>
      </x:c>
      <x:c r="C4271" s="16" t="str"/>
      <x:c r="D4271" s="16" t="str"/>
      <x:c r="E4271" s="16" t="str">
        <x:v>* myContacts</x:v>
      </x:c>
      <x:c r="F4271" s="16" t="str">
        <x:v>+60 17-365 7068 | +60173657068</x:v>
      </x:c>
      <x:c r="G4271" s="16" t="str">
        <x:v>+60173657068 | +60173657068</x:v>
      </x:c>
      <x:c r="H4271" s="16" t="str">
        <x:v>Excluded</x:v>
      </x:c>
      <x:c r="I4271" s="16" t="str">
        <x:v>Missing email</x:v>
      </x:c>
    </x:row>
    <x:row r="4272">
      <x:c r="A4272" s="16" t="n">
        <x:v>4269</x:v>
      </x:c>
      <x:c r="B4272" s="16" t="str">
        <x:v>Maslianti Mas Bahrin</x:v>
      </x:c>
      <x:c r="C4272" s="16" t="str"/>
      <x:c r="D4272" s="16" t="str"/>
      <x:c r="E4272" s="16" t="str">
        <x:v>* myContacts</x:v>
      </x:c>
      <x:c r="F4272" s="16" t="str">
        <x:v>+60132013144</x:v>
      </x:c>
      <x:c r="G4272" s="16" t="str">
        <x:v>+60132013144</x:v>
      </x:c>
      <x:c r="H4272" s="16" t="str">
        <x:v>Excluded</x:v>
      </x:c>
      <x:c r="I4272" s="16" t="str">
        <x:v>Missing email</x:v>
      </x:c>
    </x:row>
    <x:row r="4273">
      <x:c r="A4273" s="16" t="n">
        <x:v>4270</x:v>
      </x:c>
      <x:c r="B4273" s="16" t="str">
        <x:v>Masmie Barut Murah</x:v>
      </x:c>
      <x:c r="C4273" s="16" t="str"/>
      <x:c r="D4273" s="16" t="str"/>
      <x:c r="E4273" s="16" t="str">
        <x:v>* myContacts</x:v>
      </x:c>
      <x:c r="F4273" s="16" t="str">
        <x:v>+60183986976</x:v>
      </x:c>
      <x:c r="G4273" s="16" t="str">
        <x:v>+60183986976</x:v>
      </x:c>
      <x:c r="H4273" s="16" t="str">
        <x:v>Excluded</x:v>
      </x:c>
      <x:c r="I4273" s="16" t="str">
        <x:v>Missing email</x:v>
      </x:c>
    </x:row>
    <x:row r="4274">
      <x:c r="A4274" s="16" t="n">
        <x:v>4271</x:v>
      </x:c>
      <x:c r="B4274" s="16" t="str">
        <x:v>Masni Saini</x:v>
      </x:c>
      <x:c r="C4274" s="16" t="str"/>
      <x:c r="D4274" s="16" t="str"/>
      <x:c r="E4274" s="16" t="str">
        <x:v>* myContacts</x:v>
      </x:c>
      <x:c r="F4274" s="16" t="str">
        <x:v>+60135664082</x:v>
      </x:c>
      <x:c r="G4274" s="16" t="str">
        <x:v>+60135664082</x:v>
      </x:c>
      <x:c r="H4274" s="16" t="str">
        <x:v>Excluded</x:v>
      </x:c>
      <x:c r="I4274" s="16" t="str">
        <x:v>Missing email</x:v>
      </x:c>
    </x:row>
    <x:row r="4275">
      <x:c r="A4275" s="16" t="n">
        <x:v>4272</x:v>
      </x:c>
      <x:c r="B4275" s="16" t="str">
        <x:v>Masnizah Naini</x:v>
      </x:c>
      <x:c r="C4275" s="16" t="str"/>
      <x:c r="D4275" s="16" t="str"/>
      <x:c r="E4275" s="16" t="str">
        <x:v>* myContacts</x:v>
      </x:c>
      <x:c r="F4275" s="16" t="str">
        <x:v>+60107017905</x:v>
      </x:c>
      <x:c r="G4275" s="16" t="str">
        <x:v>+60107017905</x:v>
      </x:c>
      <x:c r="H4275" s="16" t="str">
        <x:v>Excluded</x:v>
      </x:c>
      <x:c r="I4275" s="16" t="str">
        <x:v>Missing email</x:v>
      </x:c>
    </x:row>
    <x:row r="4276">
      <x:c r="A4276" s="16" t="n">
        <x:v>4273</x:v>
      </x:c>
      <x:c r="B4276" s="16" t="str">
        <x:v>Masrul MH Gemilang Agent AGP Tier 1</x:v>
      </x:c>
      <x:c r="C4276" s="16" t="str"/>
      <x:c r="D4276" s="16" t="str"/>
      <x:c r="E4276" s="16" t="str">
        <x:v>* myContacts</x:v>
      </x:c>
      <x:c r="F4276" s="16" t="str">
        <x:v>+60 12-764 6102 | +60127646102</x:v>
      </x:c>
      <x:c r="G4276" s="16" t="str">
        <x:v>+60127646102 | +60127646102</x:v>
      </x:c>
      <x:c r="H4276" s="16" t="str">
        <x:v>Excluded</x:v>
      </x:c>
      <x:c r="I4276" s="16" t="str">
        <x:v>Missing email</x:v>
      </x:c>
    </x:row>
    <x:row r="4277">
      <x:c r="A4277" s="16" t="n">
        <x:v>4274</x:v>
      </x:c>
      <x:c r="B4277" s="16" t="str">
        <x:v>Massturah Mass</x:v>
      </x:c>
      <x:c r="C4277" s="16" t="str"/>
      <x:c r="D4277" s="16" t="str"/>
      <x:c r="E4277" s="16" t="str">
        <x:v>* myContacts</x:v>
      </x:c>
      <x:c r="F4277" s="16" t="str">
        <x:v>+60179397942</x:v>
      </x:c>
      <x:c r="G4277" s="16" t="str">
        <x:v>+60179397942</x:v>
      </x:c>
      <x:c r="H4277" s="16" t="str">
        <x:v>Excluded</x:v>
      </x:c>
      <x:c r="I4277" s="16" t="str">
        <x:v>Missing email</x:v>
      </x:c>
    </x:row>
    <x:row r="4278">
      <x:c r="A4278" s="16" t="n">
        <x:v>4275</x:v>
      </x:c>
      <x:c r="B4278" s="16" t="str">
        <x:v>Master Azriel 2</x:v>
      </x:c>
      <x:c r="C4278" s="16" t="str"/>
      <x:c r="D4278" s="16" t="str"/>
      <x:c r="E4278" s="16" t="str">
        <x:v>* myContacts</x:v>
      </x:c>
      <x:c r="F4278" s="16" t="str">
        <x:v>+60 13-767 3438 | +60137673438</x:v>
      </x:c>
      <x:c r="G4278" s="16" t="str">
        <x:v>+60137673438 | +60137673438</x:v>
      </x:c>
      <x:c r="H4278" s="16" t="str">
        <x:v>Excluded</x:v>
      </x:c>
      <x:c r="I4278" s="16" t="str">
        <x:v>Missing email</x:v>
      </x:c>
    </x:row>
    <x:row r="4279">
      <x:c r="A4279" s="16" t="n">
        <x:v>4276</x:v>
      </x:c>
      <x:c r="B4279" s="16" t="str">
        <x:v>Master Azriel Trainer</x:v>
      </x:c>
      <x:c r="C4279" s="16" t="str"/>
      <x:c r="D4279" s="16" t="str"/>
      <x:c r="E4279" s="16" t="str">
        <x:v>Trainer | * myContacts</x:v>
      </x:c>
      <x:c r="F4279" s="16" t="str">
        <x:v>+60133873438</x:v>
      </x:c>
      <x:c r="G4279" s="16" t="str">
        <x:v>+60133873438</x:v>
      </x:c>
      <x:c r="H4279" s="16" t="str">
        <x:v>Excluded</x:v>
      </x:c>
      <x:c r="I4279" s="16" t="str">
        <x:v>Missing email</x:v>
      </x:c>
    </x:row>
    <x:row r="4280">
      <x:c r="A4280" s="16" t="n">
        <x:v>4277</x:v>
      </x:c>
      <x:c r="B4280" s="16" t="str">
        <x:v>Master Gero Azrul</x:v>
      </x:c>
      <x:c r="C4280" s="16" t="str"/>
      <x:c r="D4280" s="16" t="str"/>
      <x:c r="E4280" s="16" t="str">
        <x:v>* myContacts</x:v>
      </x:c>
      <x:c r="F4280" s="16" t="str">
        <x:v>+60 13-320 3000 | +60133203000</x:v>
      </x:c>
      <x:c r="G4280" s="16" t="str">
        <x:v>+60133203000 | +60133203000</x:v>
      </x:c>
      <x:c r="H4280" s="16" t="str">
        <x:v>Excluded</x:v>
      </x:c>
      <x:c r="I4280" s="16" t="str">
        <x:v>Missing email</x:v>
      </x:c>
    </x:row>
    <x:row r="4281">
      <x:c r="A4281" s="16" t="n">
        <x:v>4278</x:v>
      </x:c>
      <x:c r="B4281" s="16" t="str">
        <x:v>Master Hazrnil</x:v>
      </x:c>
      <x:c r="C4281" s="16" t="str"/>
      <x:c r="D4281" s="16" t="str"/>
      <x:c r="E4281" s="16" t="str">
        <x:v>* myContacts</x:v>
      </x:c>
      <x:c r="F4281" s="16" t="str">
        <x:v>017-361 5277 | +60173615277</x:v>
      </x:c>
      <x:c r="G4281" s="16" t="str">
        <x:v>+60173615277 | +60173615277</x:v>
      </x:c>
      <x:c r="H4281" s="16" t="str">
        <x:v>Excluded</x:v>
      </x:c>
      <x:c r="I4281" s="16" t="str">
        <x:v>Missing email</x:v>
      </x:c>
    </x:row>
    <x:row r="4282">
      <x:c r="A4282" s="16" t="n">
        <x:v>4279</x:v>
      </x:c>
      <x:c r="B4282" s="16" t="str">
        <x:v>Master Khairi Ariff like method</x:v>
      </x:c>
      <x:c r="C4282" s="16" t="str"/>
      <x:c r="D4282" s="16" t="str"/>
      <x:c r="E4282" s="16" t="str">
        <x:v>* myContacts</x:v>
      </x:c>
      <x:c r="F4282" s="16" t="str">
        <x:v>0182828983 | +60182828983</x:v>
      </x:c>
      <x:c r="G4282" s="16" t="str">
        <x:v>+60182828983 | +60182828983</x:v>
      </x:c>
      <x:c r="H4282" s="16" t="str">
        <x:v>Excluded</x:v>
      </x:c>
      <x:c r="I4282" s="16" t="str">
        <x:v>Missing email</x:v>
      </x:c>
    </x:row>
    <x:row r="4283">
      <x:c r="A4283" s="16" t="n">
        <x:v>4280</x:v>
      </x:c>
      <x:c r="B4283" s="16" t="str">
        <x:v>master Noorul Mdec IM</x:v>
      </x:c>
      <x:c r="C4283" s="16" t="str"/>
      <x:c r="D4283" s="16" t="str"/>
      <x:c r="E4283" s="16" t="str">
        <x:v>* myContacts</x:v>
      </x:c>
      <x:c r="F4283" s="16" t="str">
        <x:v>+60 10-455 3323 | +60104553323</x:v>
      </x:c>
      <x:c r="G4283" s="16" t="str">
        <x:v>+60104553323 | +60104553323</x:v>
      </x:c>
      <x:c r="H4283" s="16" t="str">
        <x:v>Excluded</x:v>
      </x:c>
      <x:c r="I4283" s="16" t="str">
        <x:v>Missing email</x:v>
      </x:c>
    </x:row>
    <x:row r="4284">
      <x:c r="A4284" s="16" t="n">
        <x:v>4281</x:v>
      </x:c>
      <x:c r="B4284" s="16" t="str">
        <x:v>Master Rozman</x:v>
      </x:c>
      <x:c r="C4284" s="16" t="str"/>
      <x:c r="D4284" s="16" t="str"/>
      <x:c r="E4284" s="16" t="str">
        <x:v>* myContacts</x:v>
      </x:c>
      <x:c r="F4284" s="16" t="str">
        <x:v>+60 18-393 3710 | +60183933710</x:v>
      </x:c>
      <x:c r="G4284" s="16" t="str">
        <x:v>+60183933710 | +60183933710</x:v>
      </x:c>
      <x:c r="H4284" s="16" t="str">
        <x:v>Excluded</x:v>
      </x:c>
      <x:c r="I4284" s="16" t="str">
        <x:v>Missing email</x:v>
      </x:c>
    </x:row>
    <x:row r="4285">
      <x:c r="A4285" s="16" t="n">
        <x:v>4282</x:v>
      </x:c>
      <x:c r="B4285" s="16" t="str">
        <x:v>Master Sifu Zamzuri Abdullah</x:v>
      </x:c>
      <x:c r="C4285" s="16" t="str"/>
      <x:c r="D4285" s="16" t="str"/>
      <x:c r="E4285" s="16" t="str">
        <x:v>Trainer | * myContacts</x:v>
      </x:c>
      <x:c r="F4285" s="16" t="str">
        <x:v>0192614742 | +60192614742</x:v>
      </x:c>
      <x:c r="G4285" s="16" t="str">
        <x:v>+60192614742 | +60192614742</x:v>
      </x:c>
      <x:c r="H4285" s="16" t="str">
        <x:v>Excluded</x:v>
      </x:c>
      <x:c r="I4285" s="16" t="str">
        <x:v>Missing email</x:v>
      </x:c>
    </x:row>
    <x:row r="4286">
      <x:c r="A4286" s="16" t="n">
        <x:v>4283</x:v>
      </x:c>
      <x:c r="B4286" s="16" t="str">
        <x:v>Mastura Kumaldin Dms</x:v>
      </x:c>
      <x:c r="C4286" s="16" t="str"/>
      <x:c r="D4286" s="16" t="str"/>
      <x:c r="E4286" s="16" t="str">
        <x:v>* myContacts</x:v>
      </x:c>
      <x:c r="F4286" s="16" t="str">
        <x:v>+60182907871</x:v>
      </x:c>
      <x:c r="G4286" s="16" t="str">
        <x:v>+60182907871</x:v>
      </x:c>
      <x:c r="H4286" s="16" t="str">
        <x:v>Excluded</x:v>
      </x:c>
      <x:c r="I4286" s="16" t="str">
        <x:v>Missing email</x:v>
      </x:c>
    </x:row>
    <x:row r="4287">
      <x:c r="A4287" s="16" t="n">
        <x:v>4284</x:v>
      </x:c>
      <x:c r="B4287" s="16" t="str">
        <x:v>Mastura Ramli</x:v>
      </x:c>
      <x:c r="C4287" s="16" t="str"/>
      <x:c r="D4287" s="16" t="str"/>
      <x:c r="E4287" s="16" t="str">
        <x:v>* myContacts</x:v>
      </x:c>
      <x:c r="F4287" s="16" t="str">
        <x:v>+60193090210</x:v>
      </x:c>
      <x:c r="G4287" s="16" t="str">
        <x:v>+60193090210</x:v>
      </x:c>
      <x:c r="H4287" s="16" t="str">
        <x:v>Excluded</x:v>
      </x:c>
      <x:c r="I4287" s="16" t="str">
        <x:v>Missing email</x:v>
      </x:c>
    </x:row>
    <x:row r="4288">
      <x:c r="A4288" s="16" t="n">
        <x:v>4285</x:v>
      </x:c>
      <x:c r="B4288" s="16" t="str">
        <x:v>Mastura Shariai</x:v>
      </x:c>
      <x:c r="C4288" s="16" t="str"/>
      <x:c r="D4288" s="16" t="str"/>
      <x:c r="E4288" s="16" t="str">
        <x:v>* myContacts</x:v>
      </x:c>
      <x:c r="F4288" s="16" t="str">
        <x:v>+60173715245</x:v>
      </x:c>
      <x:c r="G4288" s="16" t="str">
        <x:v>+60173715245</x:v>
      </x:c>
      <x:c r="H4288" s="16" t="str">
        <x:v>Excluded</x:v>
      </x:c>
      <x:c r="I4288" s="16" t="str">
        <x:v>Missing email</x:v>
      </x:c>
    </x:row>
    <x:row r="4289">
      <x:c r="A4289" s="16" t="n">
        <x:v>4286</x:v>
      </x:c>
      <x:c r="B4289" s="16" t="str">
        <x:v>Masuk Gua Officer</x:v>
      </x:c>
      <x:c r="C4289" s="16" t="str"/>
      <x:c r="D4289" s="16" t="str"/>
      <x:c r="E4289" s="16" t="str">
        <x:v>* myContacts</x:v>
      </x:c>
      <x:c r="F4289" s="16" t="str">
        <x:v>+60 11-3514 0208 | +601135140208</x:v>
      </x:c>
      <x:c r="G4289" s="16" t="str">
        <x:v>+601135140208 | +601135140208</x:v>
      </x:c>
      <x:c r="H4289" s="16" t="str">
        <x:v>Excluded</x:v>
      </x:c>
      <x:c r="I4289" s="16" t="str">
        <x:v>Missing email</x:v>
      </x:c>
    </x:row>
    <x:row r="4290">
      <x:c r="A4290" s="16" t="n">
        <x:v>4287</x:v>
      </x:c>
      <x:c r="B4290" s="16" t="str">
        <x:v>Masyitah Othman</x:v>
      </x:c>
      <x:c r="C4290" s="16" t="str"/>
      <x:c r="D4290" s="16" t="str"/>
      <x:c r="E4290" s="16" t="str">
        <x:v>* myContacts</x:v>
      </x:c>
      <x:c r="F4290" s="16" t="str">
        <x:v>+60172428601</x:v>
      </x:c>
      <x:c r="G4290" s="16" t="str">
        <x:v>+60172428601</x:v>
      </x:c>
      <x:c r="H4290" s="16" t="str">
        <x:v>Excluded</x:v>
      </x:c>
      <x:c r="I4290" s="16" t="str">
        <x:v>Missing email</x:v>
      </x:c>
    </x:row>
    <x:row r="4291">
      <x:c r="A4291" s="16" t="n">
        <x:v>4288</x:v>
      </x:c>
      <x:c r="B4291" s="16" t="str">
        <x:v>Maszuin Sidek</x:v>
      </x:c>
      <x:c r="C4291" s="16" t="str"/>
      <x:c r="D4291" s="16" t="str"/>
      <x:c r="E4291" s="16" t="str">
        <x:v>* myContacts</x:v>
      </x:c>
      <x:c r="F4291" s="16" t="str">
        <x:v>+60105063641</x:v>
      </x:c>
      <x:c r="G4291" s="16" t="str">
        <x:v>+60105063641</x:v>
      </x:c>
      <x:c r="H4291" s="16" t="str">
        <x:v>Excluded</x:v>
      </x:c>
      <x:c r="I4291" s="16" t="str">
        <x:v>Missing email</x:v>
      </x:c>
    </x:row>
    <x:row r="4292">
      <x:c r="A4292" s="16" t="n">
        <x:v>4289</x:v>
      </x:c>
      <x:c r="B4292" s="16" t="str">
        <x:v>mat designer</x:v>
      </x:c>
      <x:c r="C4292" s="16" t="str"/>
      <x:c r="D4292" s="16" t="str"/>
      <x:c r="E4292" s="16" t="str">
        <x:v>* myContacts</x:v>
      </x:c>
      <x:c r="F4292" s="16" t="str">
        <x:v>013-334 4418 | +60133344418</x:v>
      </x:c>
      <x:c r="G4292" s="16" t="str">
        <x:v>+60133344418 | +60133344418</x:v>
      </x:c>
      <x:c r="H4292" s="16" t="str">
        <x:v>Excluded</x:v>
      </x:c>
      <x:c r="I4292" s="16" t="str">
        <x:v>Missing email</x:v>
      </x:c>
    </x:row>
    <x:row r="4293">
      <x:c r="A4293" s="16" t="n">
        <x:v>4290</x:v>
      </x:c>
      <x:c r="B4293" s="16" t="str">
        <x:v>Mat Pickers</x:v>
      </x:c>
      <x:c r="C4293" s="16" t="str"/>
      <x:c r="D4293" s="16" t="str"/>
      <x:c r="E4293" s="16" t="str">
        <x:v>* myContacts</x:v>
      </x:c>
      <x:c r="F4293" s="16" t="str">
        <x:v>+60135055104</x:v>
      </x:c>
      <x:c r="G4293" s="16" t="str">
        <x:v>+60135055104</x:v>
      </x:c>
      <x:c r="H4293" s="16" t="str">
        <x:v>Excluded</x:v>
      </x:c>
      <x:c r="I4293" s="16" t="str">
        <x:v>Missing email</x:v>
      </x:c>
    </x:row>
    <x:row r="4294">
      <x:c r="A4294" s="16" t="n">
        <x:v>4291</x:v>
      </x:c>
      <x:c r="B4294" s="16" t="str">
        <x:v>Mat Slamber</x:v>
      </x:c>
      <x:c r="C4294" s="16" t="str"/>
      <x:c r="D4294" s="16" t="str"/>
      <x:c r="E4294" s="16" t="str">
        <x:v>* myContacts</x:v>
      </x:c>
      <x:c r="F4294" s="16" t="str">
        <x:v>+60198627101</x:v>
      </x:c>
      <x:c r="G4294" s="16" t="str">
        <x:v>+60198627101</x:v>
      </x:c>
      <x:c r="H4294" s="16" t="str">
        <x:v>Excluded</x:v>
      </x:c>
      <x:c r="I4294" s="16" t="str">
        <x:v>Missing email</x:v>
      </x:c>
    </x:row>
    <x:row r="4295">
      <x:c r="A4295" s="16" t="n">
        <x:v>4292</x:v>
      </x:c>
      <x:c r="B4295" s="16" t="str">
        <x:v>Mat Spura</x:v>
      </x:c>
      <x:c r="C4295" s="16" t="str"/>
      <x:c r="D4295" s="16" t="str"/>
      <x:c r="E4295" s="16" t="str">
        <x:v>* myContacts</x:v>
      </x:c>
      <x:c r="F4295" s="16" t="str">
        <x:v>+6582697006</x:v>
      </x:c>
      <x:c r="G4295" s="16" t="str">
        <x:v>+6582697006</x:v>
      </x:c>
      <x:c r="H4295" s="16" t="str">
        <x:v>Excluded</x:v>
      </x:c>
      <x:c r="I4295" s="16" t="str">
        <x:v>Missing email</x:v>
      </x:c>
    </x:row>
    <x:row r="4296">
      <x:c r="A4296" s="16" t="n">
        <x:v>4293</x:v>
      </x:c>
      <x:c r="B4296" s="16" t="str">
        <x:v>Mat Sufi Tukang Urut</x:v>
      </x:c>
      <x:c r="C4296" s="16" t="str"/>
      <x:c r="D4296" s="16" t="str"/>
      <x:c r="E4296" s="16" t="str">
        <x:v>* myContacts</x:v>
      </x:c>
      <x:c r="F4296" s="16" t="str">
        <x:v>+60 17-566 2750 | +60175662750</x:v>
      </x:c>
      <x:c r="G4296" s="16" t="str">
        <x:v>+60175662750 | +60175662750</x:v>
      </x:c>
      <x:c r="H4296" s="16" t="str">
        <x:v>Excluded</x:v>
      </x:c>
      <x:c r="I4296" s="16" t="str">
        <x:v>Missing email</x:v>
      </x:c>
    </x:row>
    <x:row r="4297">
      <x:c r="A4297" s="16" t="n">
        <x:v>4294</x:v>
      </x:c>
      <x:c r="B4297" s="16" t="str">
        <x:v>Mat Yie</x:v>
      </x:c>
      <x:c r="C4297" s="16" t="str"/>
      <x:c r="D4297" s="16" t="str"/>
      <x:c r="E4297" s="16" t="str">
        <x:v>* myContacts</x:v>
      </x:c>
      <x:c r="F4297" s="16" t="str">
        <x:v>+60199357622</x:v>
      </x:c>
      <x:c r="G4297" s="16" t="str">
        <x:v>+60199357622</x:v>
      </x:c>
      <x:c r="H4297" s="16" t="str">
        <x:v>Excluded</x:v>
      </x:c>
      <x:c r="I4297" s="16" t="str">
        <x:v>Missing email</x:v>
      </x:c>
    </x:row>
    <x:row r="4298">
      <x:c r="A4298" s="16" t="n">
        <x:v>4295</x:v>
      </x:c>
      <x:c r="B4298" s="16" t="str">
        <x:v>Mat Zul</x:v>
      </x:c>
      <x:c r="C4298" s="16" t="str"/>
      <x:c r="D4298" s="16" t="str"/>
      <x:c r="E4298" s="16" t="str">
        <x:v>* myContacts</x:v>
      </x:c>
      <x:c r="F4298" s="16" t="str">
        <x:v>+60129774936</x:v>
      </x:c>
      <x:c r="G4298" s="16" t="str">
        <x:v>+60129774936</x:v>
      </x:c>
      <x:c r="H4298" s="16" t="str">
        <x:v>Excluded</x:v>
      </x:c>
      <x:c r="I4298" s="16" t="str">
        <x:v>Missing email</x:v>
      </x:c>
    </x:row>
    <x:row r="4299">
      <x:c r="A4299" s="16" t="n">
        <x:v>4296</x:v>
      </x:c>
      <x:c r="B4299" s="16" t="str">
        <x:v>Mata King</x:v>
      </x:c>
      <x:c r="C4299" s="16" t="str"/>
      <x:c r="D4299" s="16" t="str"/>
      <x:c r="E4299" s="16" t="str">
        <x:v>* myContacts</x:v>
      </x:c>
      <x:c r="F4299" s="16" t="str">
        <x:v>+60199999019</x:v>
      </x:c>
      <x:c r="G4299" s="16" t="str">
        <x:v>+60199999019</x:v>
      </x:c>
      <x:c r="H4299" s="16" t="str">
        <x:v>Excluded</x:v>
      </x:c>
      <x:c r="I4299" s="16" t="str">
        <x:v>Missing email</x:v>
      </x:c>
    </x:row>
    <x:row r="4300">
      <x:c r="A4300" s="16" t="n">
        <x:v>4297</x:v>
      </x:c>
      <x:c r="B4300" s="16" t="str">
        <x:v>Mataga Lait</x:v>
      </x:c>
      <x:c r="C4300" s="16" t="str"/>
      <x:c r="D4300" s="16" t="str"/>
      <x:c r="E4300" s="16" t="str">
        <x:v>* myContacts</x:v>
      </x:c>
      <x:c r="F4300" s="16" t="str">
        <x:v>+60128181876</x:v>
      </x:c>
      <x:c r="G4300" s="16" t="str">
        <x:v>+60128181876</x:v>
      </x:c>
      <x:c r="H4300" s="16" t="str">
        <x:v>Excluded</x:v>
      </x:c>
      <x:c r="I4300" s="16" t="str">
        <x:v>Missing email</x:v>
      </x:c>
    </x:row>
    <x:row r="4301">
      <x:c r="A4301" s="16" t="n">
        <x:v>4298</x:v>
      </x:c>
      <x:c r="B4301" s="16" t="str">
        <x:v>MatGanu Noor GM</x:v>
      </x:c>
      <x:c r="C4301" s="16" t="str"/>
      <x:c r="D4301" s="16" t="str"/>
      <x:c r="E4301" s="16" t="str">
        <x:v>* myContacts</x:v>
      </x:c>
      <x:c r="F4301" s="16" t="str">
        <x:v>+60164424234</x:v>
      </x:c>
      <x:c r="G4301" s="16" t="str">
        <x:v>+60164424234</x:v>
      </x:c>
      <x:c r="H4301" s="16" t="str">
        <x:v>Excluded</x:v>
      </x:c>
      <x:c r="I4301" s="16" t="str">
        <x:v>Missing email</x:v>
      </x:c>
    </x:row>
    <x:row r="4302">
      <x:c r="A4302" s="16" t="n">
        <x:v>4299</x:v>
      </x:c>
      <x:c r="B4302" s="16" t="str">
        <x:v>Mati Hidup Semula</x:v>
      </x:c>
      <x:c r="C4302" s="16" t="str"/>
      <x:c r="D4302" s="16" t="str"/>
      <x:c r="E4302" s="16" t="str">
        <x:v>* myContacts</x:v>
      </x:c>
      <x:c r="F4302" s="16" t="str">
        <x:v>+60135781215</x:v>
      </x:c>
      <x:c r="G4302" s="16" t="str">
        <x:v>+60135781215</x:v>
      </x:c>
      <x:c r="H4302" s="16" t="str">
        <x:v>Excluded</x:v>
      </x:c>
      <x:c r="I4302" s="16" t="str">
        <x:v>Missing email</x:v>
      </x:c>
    </x:row>
    <x:row r="4303">
      <x:c r="A4303" s="16" t="n">
        <x:v>4300</x:v>
      </x:c>
      <x:c r="B4303" s="16" t="str">
        <x:v>Matjepp Abu Bakar</x:v>
      </x:c>
      <x:c r="C4303" s="16" t="str">
        <x:v>sifubranding@gmail.com | yb@sifubranding.com</x:v>
      </x:c>
      <x:c r="D4303" s="16" t="str">
        <x:v>sifubranding@gmail.com | yb@sifubranding.com</x:v>
      </x:c>
      <x:c r="E4303" s="16" t="str">
        <x:v>* myContacts</x:v>
      </x:c>
      <x:c r="F4303" s="16" t="str">
        <x:v>+60182016431 | +60123809494</x:v>
      </x:c>
      <x:c r="G4303" s="16" t="str">
        <x:v>+60182016431 | +60123809494</x:v>
      </x:c>
      <x:c r="H4303" s="16" t="str">
        <x:v>Eligible</x:v>
      </x:c>
      <x:c r="I4303" s="16" t="str"/>
    </x:row>
    <x:row r="4304">
      <x:c r="A4304" s="16" t="n">
        <x:v>4301</x:v>
      </x:c>
      <x:c r="B4304" s="16" t="str">
        <x:v>Mawar Mawar</x:v>
      </x:c>
      <x:c r="C4304" s="16" t="str"/>
      <x:c r="D4304" s="16" t="str"/>
      <x:c r="E4304" s="16" t="str">
        <x:v>* myContacts</x:v>
      </x:c>
      <x:c r="F4304" s="16" t="str">
        <x:v>+60125965289</x:v>
      </x:c>
      <x:c r="G4304" s="16" t="str">
        <x:v>+60125965289</x:v>
      </x:c>
      <x:c r="H4304" s="16" t="str">
        <x:v>Excluded</x:v>
      </x:c>
      <x:c r="I4304" s="16" t="str">
        <x:v>Missing email</x:v>
      </x:c>
    </x:row>
    <x:row r="4305">
      <x:c r="A4305" s="16" t="n">
        <x:v>4302</x:v>
      </x:c>
      <x:c r="B4305" s="16" t="str">
        <x:v>Mawar Merah</x:v>
      </x:c>
      <x:c r="C4305" s="16" t="str"/>
      <x:c r="D4305" s="16" t="str"/>
      <x:c r="E4305" s="16" t="str">
        <x:v>* myContacts</x:v>
      </x:c>
      <x:c r="F4305" s="16" t="str">
        <x:v>+60199272811</x:v>
      </x:c>
      <x:c r="G4305" s="16" t="str">
        <x:v>+60199272811</x:v>
      </x:c>
      <x:c r="H4305" s="16" t="str">
        <x:v>Excluded</x:v>
      </x:c>
      <x:c r="I4305" s="16" t="str">
        <x:v>Missing email</x:v>
      </x:c>
    </x:row>
    <x:row r="4306">
      <x:c r="A4306" s="16" t="n">
        <x:v>4303</x:v>
      </x:c>
      <x:c r="B4306" s="16" t="str">
        <x:v>Mawar Putih</x:v>
      </x:c>
      <x:c r="C4306" s="16" t="str"/>
      <x:c r="D4306" s="16" t="str"/>
      <x:c r="E4306" s="16" t="str">
        <x:v>* myContacts</x:v>
      </x:c>
      <x:c r="F4306" s="16" t="str">
        <x:v>+601112658397</x:v>
      </x:c>
      <x:c r="G4306" s="16" t="str">
        <x:v>+601112658397</x:v>
      </x:c>
      <x:c r="H4306" s="16" t="str">
        <x:v>Excluded</x:v>
      </x:c>
      <x:c r="I4306" s="16" t="str">
        <x:v>Missing email</x:v>
      </x:c>
    </x:row>
    <x:row r="4307">
      <x:c r="A4307" s="16" t="n">
        <x:v>4304</x:v>
      </x:c>
      <x:c r="B4307" s="16" t="str">
        <x:v>Mawarni AGP</x:v>
      </x:c>
      <x:c r="C4307" s="16" t="str"/>
      <x:c r="D4307" s="16" t="str"/>
      <x:c r="E4307" s="16" t="str">
        <x:v>* myContacts</x:v>
      </x:c>
      <x:c r="F4307" s="16" t="str">
        <x:v>+60147140195</x:v>
      </x:c>
      <x:c r="G4307" s="16" t="str">
        <x:v>+60147140195</x:v>
      </x:c>
      <x:c r="H4307" s="16" t="str">
        <x:v>Excluded</x:v>
      </x:c>
      <x:c r="I4307" s="16" t="str">
        <x:v>Missing email</x:v>
      </x:c>
    </x:row>
    <x:row r="4308">
      <x:c r="A4308" s="16" t="n">
        <x:v>4305</x:v>
      </x:c>
      <x:c r="B4308" s="16" t="str">
        <x:v>Max</x:v>
      </x:c>
      <x:c r="C4308" s="16" t="str"/>
      <x:c r="D4308" s="16" t="str"/>
      <x:c r="E4308" s="16" t="str">
        <x:v>* myContacts</x:v>
      </x:c>
      <x:c r="F4308" s="16" t="str">
        <x:v>+66817000762</x:v>
      </x:c>
      <x:c r="G4308" s="16" t="str">
        <x:v>+66817000762</x:v>
      </x:c>
      <x:c r="H4308" s="16" t="str">
        <x:v>Excluded</x:v>
      </x:c>
      <x:c r="I4308" s="16" t="str">
        <x:v>Missing email</x:v>
      </x:c>
    </x:row>
    <x:row r="4309">
      <x:c r="A4309" s="16" t="n">
        <x:v>4306</x:v>
      </x:c>
      <x:c r="B4309" s="16" t="str">
        <x:v>Mr Max</x:v>
      </x:c>
      <x:c r="C4309" s="16" t="str"/>
      <x:c r="D4309" s="16" t="str"/>
      <x:c r="E4309" s="16" t="str">
        <x:v>* myContacts</x:v>
      </x:c>
      <x:c r="F4309" s="16" t="str">
        <x:v>+66817000762</x:v>
      </x:c>
      <x:c r="G4309" s="16" t="str">
        <x:v>+66817000762</x:v>
      </x:c>
      <x:c r="H4309" s="16" t="str">
        <x:v>Excluded</x:v>
      </x:c>
      <x:c r="I4309" s="16" t="str">
        <x:v>Missing email</x:v>
      </x:c>
    </x:row>
    <x:row r="4310">
      <x:c r="A4310" s="16" t="n">
        <x:v>4307</x:v>
      </x:c>
      <x:c r="B4310" s="16" t="str">
        <x:v>Maya Sari</x:v>
      </x:c>
      <x:c r="C4310" s="16" t="str"/>
      <x:c r="D4310" s="16" t="str"/>
      <x:c r="E4310" s="16" t="str">
        <x:v>* myContacts</x:v>
      </x:c>
      <x:c r="F4310" s="16" t="str">
        <x:v>+60129264995</x:v>
      </x:c>
      <x:c r="G4310" s="16" t="str">
        <x:v>+60129264995</x:v>
      </x:c>
      <x:c r="H4310" s="16" t="str">
        <x:v>Excluded</x:v>
      </x:c>
      <x:c r="I4310" s="16" t="str">
        <x:v>Missing email</x:v>
      </x:c>
    </x:row>
    <x:row r="4311">
      <x:c r="A4311" s="16" t="n">
        <x:v>4308</x:v>
      </x:c>
      <x:c r="B4311" s="16" t="str">
        <x:v>Maybank Achu</x:v>
      </x:c>
      <x:c r="C4311" s="16" t="str"/>
      <x:c r="D4311" s="16" t="str"/>
      <x:c r="E4311" s="16" t="str">
        <x:v>* myContacts</x:v>
      </x:c>
      <x:c r="F4311" s="16" t="str">
        <x:v>+60 114011547887 | +60114011547887</x:v>
      </x:c>
      <x:c r="G4311" s="16" t="str">
        <x:v>+60114011547887 | +60114011547887</x:v>
      </x:c>
      <x:c r="H4311" s="16" t="str">
        <x:v>Excluded</x:v>
      </x:c>
      <x:c r="I4311" s="16" t="str">
        <x:v>Missing email</x:v>
      </x:c>
    </x:row>
    <x:row r="4312">
      <x:c r="A4312" s="16" t="n">
        <x:v>4309</x:v>
      </x:c>
      <x:c r="B4312" s="16" t="str">
        <x:v>Maz Mansor</x:v>
      </x:c>
      <x:c r="C4312" s="16" t="str"/>
      <x:c r="D4312" s="16" t="str"/>
      <x:c r="E4312" s="16" t="str">
        <x:v>* myContacts</x:v>
      </x:c>
      <x:c r="F4312" s="16" t="str">
        <x:v>+601115971937</x:v>
      </x:c>
      <x:c r="G4312" s="16" t="str">
        <x:v>+601115971937</x:v>
      </x:c>
      <x:c r="H4312" s="16" t="str">
        <x:v>Excluded</x:v>
      </x:c>
      <x:c r="I4312" s="16" t="str">
        <x:v>Missing email</x:v>
      </x:c>
    </x:row>
    <x:row r="4313">
      <x:c r="A4313" s="16" t="n">
        <x:v>4310</x:v>
      </x:c>
      <x:c r="B4313" s="16" t="str">
        <x:v>Mazhuan Agent AGP Tier 1</x:v>
      </x:c>
      <x:c r="C4313" s="16" t="str"/>
      <x:c r="D4313" s="16" t="str"/>
      <x:c r="E4313" s="16" t="str">
        <x:v>* myContacts</x:v>
      </x:c>
      <x:c r="F4313" s="16" t="str">
        <x:v>+60 19-520 6910 | +60195206910</x:v>
      </x:c>
      <x:c r="G4313" s="16" t="str">
        <x:v>+60195206910 | +60195206910</x:v>
      </x:c>
      <x:c r="H4313" s="16" t="str">
        <x:v>Excluded</x:v>
      </x:c>
      <x:c r="I4313" s="16" t="str">
        <x:v>Missing email</x:v>
      </x:c>
    </x:row>
    <x:row r="4314">
      <x:c r="A4314" s="16" t="n">
        <x:v>4311</x:v>
      </x:c>
      <x:c r="B4314" s="16" t="str">
        <x:v>Maziah Mat Zin</x:v>
      </x:c>
      <x:c r="C4314" s="16" t="str"/>
      <x:c r="D4314" s="16" t="str"/>
      <x:c r="E4314" s="16" t="str">
        <x:v>* myContacts</x:v>
      </x:c>
      <x:c r="F4314" s="16" t="str">
        <x:v>+60192086355</x:v>
      </x:c>
      <x:c r="G4314" s="16" t="str">
        <x:v>+60192086355</x:v>
      </x:c>
      <x:c r="H4314" s="16" t="str">
        <x:v>Excluded</x:v>
      </x:c>
      <x:c r="I4314" s="16" t="str">
        <x:v>Missing email</x:v>
      </x:c>
    </x:row>
    <x:row r="4315">
      <x:c r="A4315" s="16" t="n">
        <x:v>4312</x:v>
      </x:c>
      <x:c r="B4315" s="16" t="str">
        <x:v>Maziah Morad</x:v>
      </x:c>
      <x:c r="C4315" s="16" t="str"/>
      <x:c r="D4315" s="16" t="str"/>
      <x:c r="E4315" s="16" t="str">
        <x:v>* myContacts</x:v>
      </x:c>
      <x:c r="F4315" s="16" t="str">
        <x:v>+60125451867</x:v>
      </x:c>
      <x:c r="G4315" s="16" t="str">
        <x:v>+60125451867</x:v>
      </x:c>
      <x:c r="H4315" s="16" t="str">
        <x:v>Excluded</x:v>
      </x:c>
      <x:c r="I4315" s="16" t="str">
        <x:v>Missing email</x:v>
      </x:c>
    </x:row>
    <x:row r="4316">
      <x:c r="A4316" s="16" t="n">
        <x:v>4313</x:v>
      </x:c>
      <x:c r="B4316" s="16" t="str">
        <x:v>Mazirah Muhammad Sultan</x:v>
      </x:c>
      <x:c r="C4316" s="16" t="str"/>
      <x:c r="D4316" s="16" t="str"/>
      <x:c r="E4316" s="16" t="str">
        <x:v>* myContacts</x:v>
      </x:c>
      <x:c r="F4316" s="16" t="str">
        <x:v>+60124616425</x:v>
      </x:c>
      <x:c r="G4316" s="16" t="str">
        <x:v>+60124616425</x:v>
      </x:c>
      <x:c r="H4316" s="16" t="str">
        <x:v>Excluded</x:v>
      </x:c>
      <x:c r="I4316" s="16" t="str">
        <x:v>Missing email</x:v>
      </x:c>
    </x:row>
    <x:row r="4317">
      <x:c r="A4317" s="16" t="n">
        <x:v>4314</x:v>
      </x:c>
      <x:c r="B4317" s="16" t="str">
        <x:v>Mazlan Ahmad</x:v>
      </x:c>
      <x:c r="C4317" s="16" t="str"/>
      <x:c r="D4317" s="16" t="str"/>
      <x:c r="E4317" s="16" t="str">
        <x:v>* myContacts</x:v>
      </x:c>
      <x:c r="F4317" s="16" t="str">
        <x:v>+60179941481</x:v>
      </x:c>
      <x:c r="G4317" s="16" t="str">
        <x:v>+60179941481</x:v>
      </x:c>
      <x:c r="H4317" s="16" t="str">
        <x:v>Excluded</x:v>
      </x:c>
      <x:c r="I4317" s="16" t="str">
        <x:v>Missing email</x:v>
      </x:c>
    </x:row>
    <x:row r="4318">
      <x:c r="A4318" s="16" t="n">
        <x:v>4315</x:v>
      </x:c>
      <x:c r="B4318" s="16" t="str">
        <x:v>Mazlan Zonan Traveller</x:v>
      </x:c>
      <x:c r="C4318" s="16" t="str"/>
      <x:c r="D4318" s="16" t="str"/>
      <x:c r="E4318" s="16" t="str">
        <x:v>* myContacts</x:v>
      </x:c>
      <x:c r="F4318" s="16" t="str">
        <x:v>019-449 1674 | +60194491674</x:v>
      </x:c>
      <x:c r="G4318" s="16" t="str">
        <x:v>+60194491674 | +60194491674</x:v>
      </x:c>
      <x:c r="H4318" s="16" t="str">
        <x:v>Excluded</x:v>
      </x:c>
      <x:c r="I4318" s="16" t="str">
        <x:v>Missing email</x:v>
      </x:c>
    </x:row>
    <x:row r="4319">
      <x:c r="A4319" s="16" t="n">
        <x:v>4316</x:v>
      </x:c>
      <x:c r="B4319" s="16" t="str">
        <x:v>Mazlina Int3tree</x:v>
      </x:c>
      <x:c r="C4319" s="16" t="str"/>
      <x:c r="D4319" s="16" t="str"/>
      <x:c r="E4319" s="16" t="str">
        <x:v>* myContacts</x:v>
      </x:c>
      <x:c r="F4319" s="16" t="str">
        <x:v>+60 17-761 7254 | +60177617254</x:v>
      </x:c>
      <x:c r="G4319" s="16" t="str">
        <x:v>+60177617254 | +60177617254</x:v>
      </x:c>
      <x:c r="H4319" s="16" t="str">
        <x:v>Excluded</x:v>
      </x:c>
      <x:c r="I4319" s="16" t="str">
        <x:v>Missing email</x:v>
      </x:c>
    </x:row>
    <x:row r="4320">
      <x:c r="A4320" s="16" t="n">
        <x:v>4317</x:v>
      </x:c>
      <x:c r="B4320" s="16" t="str">
        <x:v>Mazlina Md Padli</x:v>
      </x:c>
      <x:c r="C4320" s="16" t="str"/>
      <x:c r="D4320" s="16" t="str"/>
      <x:c r="E4320" s="16" t="str">
        <x:v>* myContacts</x:v>
      </x:c>
      <x:c r="F4320" s="16" t="str">
        <x:v>+601140797084</x:v>
      </x:c>
      <x:c r="G4320" s="16" t="str">
        <x:v>+601140797084</x:v>
      </x:c>
      <x:c r="H4320" s="16" t="str">
        <x:v>Excluded</x:v>
      </x:c>
      <x:c r="I4320" s="16" t="str">
        <x:v>Missing email</x:v>
      </x:c>
    </x:row>
    <x:row r="4321">
      <x:c r="A4321" s="16" t="n">
        <x:v>4318</x:v>
      </x:c>
      <x:c r="B4321" s="16" t="str">
        <x:v>Maznee Ismail</x:v>
      </x:c>
      <x:c r="C4321" s="16" t="str"/>
      <x:c r="D4321" s="16" t="str"/>
      <x:c r="E4321" s="16" t="str">
        <x:v>* myContacts</x:v>
      </x:c>
      <x:c r="F4321" s="16" t="str">
        <x:v>+60129221934</x:v>
      </x:c>
      <x:c r="G4321" s="16" t="str">
        <x:v>+60129221934</x:v>
      </x:c>
      <x:c r="H4321" s="16" t="str">
        <x:v>Excluded</x:v>
      </x:c>
      <x:c r="I4321" s="16" t="str">
        <x:v>Missing email</x:v>
      </x:c>
    </x:row>
    <x:row r="4322">
      <x:c r="A4322" s="16" t="n">
        <x:v>4319</x:v>
      </x:c>
      <x:c r="B4322" s="16" t="str">
        <x:v>Mazni Kay</x:v>
      </x:c>
      <x:c r="C4322" s="16" t="str"/>
      <x:c r="D4322" s="16" t="str"/>
      <x:c r="E4322" s="16" t="str">
        <x:v>* myContacts</x:v>
      </x:c>
      <x:c r="F4322" s="16" t="str">
        <x:v>+60198011631</x:v>
      </x:c>
      <x:c r="G4322" s="16" t="str">
        <x:v>+60198011631</x:v>
      </x:c>
      <x:c r="H4322" s="16" t="str">
        <x:v>Excluded</x:v>
      </x:c>
      <x:c r="I4322" s="16" t="str">
        <x:v>Missing email</x:v>
      </x:c>
    </x:row>
    <x:row r="4323">
      <x:c r="A4323" s="16" t="n">
        <x:v>4320</x:v>
      </x:c>
      <x:c r="B4323" s="16" t="str">
        <x:v>Mazni Pusat Internet Kubu Gajah</x:v>
      </x:c>
      <x:c r="C4323" s="16" t="str"/>
      <x:c r="D4323" s="16" t="str"/>
      <x:c r="E4323" s="16" t="str">
        <x:v>* myContacts</x:v>
      </x:c>
      <x:c r="F4323" s="16" t="str">
        <x:v>+60 17-942 6112 | +60179426112</x:v>
      </x:c>
      <x:c r="G4323" s="16" t="str">
        <x:v>+60179426112 | +60179426112</x:v>
      </x:c>
      <x:c r="H4323" s="16" t="str">
        <x:v>Excluded</x:v>
      </x:c>
      <x:c r="I4323" s="16" t="str">
        <x:v>Missing email</x:v>
      </x:c>
    </x:row>
    <x:row r="4324">
      <x:c r="A4324" s="16" t="n">
        <x:v>4321</x:v>
      </x:c>
      <x:c r="B4324" s="16" t="str">
        <x:v>Mazni Student Fb Ads</x:v>
      </x:c>
      <x:c r="C4324" s="16" t="str"/>
      <x:c r="D4324" s="16" t="str"/>
      <x:c r="E4324" s="16" t="str">
        <x:v>* myContacts</x:v>
      </x:c>
      <x:c r="F4324" s="16" t="str">
        <x:v>+60 19-282 8076 | +60192828076</x:v>
      </x:c>
      <x:c r="G4324" s="16" t="str">
        <x:v>+60192828076 | +60192828076</x:v>
      </x:c>
      <x:c r="H4324" s="16" t="str">
        <x:v>Excluded</x:v>
      </x:c>
      <x:c r="I4324" s="16" t="str">
        <x:v>Missing email</x:v>
      </x:c>
    </x:row>
    <x:row r="4325">
      <x:c r="A4325" s="16" t="n">
        <x:v>4322</x:v>
      </x:c>
      <x:c r="B4325" s="16" t="str">
        <x:v>Maznie Ahmad</x:v>
      </x:c>
      <x:c r="C4325" s="16" t="str"/>
      <x:c r="D4325" s="16" t="str"/>
      <x:c r="E4325" s="16" t="str">
        <x:v>* myContacts</x:v>
      </x:c>
      <x:c r="F4325" s="16" t="str">
        <x:v>+60132431664</x:v>
      </x:c>
      <x:c r="G4325" s="16" t="str">
        <x:v>+60132431664</x:v>
      </x:c>
      <x:c r="H4325" s="16" t="str">
        <x:v>Excluded</x:v>
      </x:c>
      <x:c r="I4325" s="16" t="str">
        <x:v>Missing email</x:v>
      </x:c>
    </x:row>
    <x:row r="4326">
      <x:c r="A4326" s="16" t="n">
        <x:v>4323</x:v>
      </x:c>
      <x:c r="B4326" s="16" t="str">
        <x:v>Mazuin Mazelan</x:v>
      </x:c>
      <x:c r="C4326" s="16" t="str"/>
      <x:c r="D4326" s="16" t="str"/>
      <x:c r="E4326" s="16" t="str">
        <x:v>* myContacts</x:v>
      </x:c>
      <x:c r="F4326" s="16" t="str">
        <x:v>+60199285000</x:v>
      </x:c>
      <x:c r="G4326" s="16" t="str">
        <x:v>+60199285000</x:v>
      </x:c>
      <x:c r="H4326" s="16" t="str">
        <x:v>Excluded</x:v>
      </x:c>
      <x:c r="I4326" s="16" t="str">
        <x:v>Missing email</x:v>
      </x:c>
    </x:row>
    <x:row r="4327">
      <x:c r="A4327" s="16" t="n">
        <x:v>4324</x:v>
      </x:c>
      <x:c r="B4327" s="16" t="str">
        <x:v>Mc Nazs</x:v>
      </x:c>
      <x:c r="C4327" s="16" t="str"/>
      <x:c r="D4327" s="16" t="str"/>
      <x:c r="E4327" s="16" t="str">
        <x:v>* myContacts</x:v>
      </x:c>
      <x:c r="F4327" s="16" t="str">
        <x:v>+601116662780</x:v>
      </x:c>
      <x:c r="G4327" s="16" t="str">
        <x:v>+601116662780</x:v>
      </x:c>
      <x:c r="H4327" s="16" t="str">
        <x:v>Excluded</x:v>
      </x:c>
      <x:c r="I4327" s="16" t="str">
        <x:v>Missing email</x:v>
      </x:c>
    </x:row>
    <x:row r="4328">
      <x:c r="A4328" s="16" t="n">
        <x:v>4325</x:v>
      </x:c>
      <x:c r="B4328" s="16" t="str">
        <x:v>MC Telly</x:v>
      </x:c>
      <x:c r="C4328" s="16" t="str"/>
      <x:c r="D4328" s="16" t="str"/>
      <x:c r="E4328" s="16" t="str">
        <x:v>* myContacts</x:v>
      </x:c>
      <x:c r="F4328" s="16" t="str">
        <x:v>+60145886526</x:v>
      </x:c>
      <x:c r="G4328" s="16" t="str">
        <x:v>+60145886526</x:v>
      </x:c>
      <x:c r="H4328" s="16" t="str">
        <x:v>Excluded</x:v>
      </x:c>
      <x:c r="I4328" s="16" t="str">
        <x:v>Missing email</x:v>
      </x:c>
    </x:row>
    <x:row r="4329">
      <x:c r="A4329" s="16" t="n">
        <x:v>4326</x:v>
      </x:c>
      <x:c r="B4329" s="16" t="str">
        <x:v>Md Bayzed</x:v>
      </x:c>
      <x:c r="C4329" s="16" t="str"/>
      <x:c r="D4329" s="16" t="str"/>
      <x:c r="E4329" s="16" t="str">
        <x:v>* myContacts</x:v>
      </x:c>
      <x:c r="F4329" s="16" t="str">
        <x:v>+60102682579</x:v>
      </x:c>
      <x:c r="G4329" s="16" t="str">
        <x:v>+60102682579</x:v>
      </x:c>
      <x:c r="H4329" s="16" t="str">
        <x:v>Excluded</x:v>
      </x:c>
      <x:c r="I4329" s="16" t="str">
        <x:v>Missing email</x:v>
      </x:c>
    </x:row>
    <x:row r="4330">
      <x:c r="A4330" s="16" t="n">
        <x:v>4327</x:v>
      </x:c>
      <x:c r="B4330" s="16" t="str">
        <x:v>Md Dom BDA</x:v>
      </x:c>
      <x:c r="C4330" s="16" t="str">
        <x:v>mdomsb@gmail.com</x:v>
      </x:c>
      <x:c r="D4330" s="16" t="str">
        <x:v>mdomsb@gmail.com</x:v>
      </x:c>
      <x:c r="E4330" s="16" t="str">
        <x:v>* myContacts</x:v>
      </x:c>
      <x:c r="F4330" s="16" t="str">
        <x:v>+60166854501</x:v>
      </x:c>
      <x:c r="G4330" s="16" t="str">
        <x:v>+60166854501</x:v>
      </x:c>
      <x:c r="H4330" s="16" t="str">
        <x:v>Eligible</x:v>
      </x:c>
      <x:c r="I4330" s="16" t="str"/>
    </x:row>
    <x:row r="4331">
      <x:c r="A4331" s="16" t="n">
        <x:v>4328</x:v>
      </x:c>
      <x:c r="B4331" s="16" t="str">
        <x:v>MD Faris Amir</x:v>
      </x:c>
      <x:c r="C4331" s="16" t="str"/>
      <x:c r="D4331" s="16" t="str"/>
      <x:c r="E4331" s="16" t="str">
        <x:v>* myContacts</x:v>
      </x:c>
      <x:c r="F4331" s="16" t="str">
        <x:v>+601112912061</x:v>
      </x:c>
      <x:c r="G4331" s="16" t="str">
        <x:v>+601112912061</x:v>
      </x:c>
      <x:c r="H4331" s="16" t="str">
        <x:v>Excluded</x:v>
      </x:c>
      <x:c r="I4331" s="16" t="str">
        <x:v>Missing email</x:v>
      </x:c>
    </x:row>
    <x:row r="4332">
      <x:c r="A4332" s="16" t="n">
        <x:v>4329</x:v>
      </x:c>
      <x:c r="B4332" s="16" t="str">
        <x:v>MD Iron</x:v>
      </x:c>
      <x:c r="C4332" s="16" t="str"/>
      <x:c r="D4332" s="16" t="str"/>
      <x:c r="E4332" s="16" t="str">
        <x:v>* myContacts</x:v>
      </x:c>
      <x:c r="F4332" s="16" t="str">
        <x:v>+60146810618</x:v>
      </x:c>
      <x:c r="G4332" s="16" t="str">
        <x:v>+60146810618</x:v>
      </x:c>
      <x:c r="H4332" s="16" t="str">
        <x:v>Excluded</x:v>
      </x:c>
      <x:c r="I4332" s="16" t="str">
        <x:v>Missing email</x:v>
      </x:c>
    </x:row>
    <x:row r="4333">
      <x:c r="A4333" s="16" t="n">
        <x:v>4330</x:v>
      </x:c>
      <x:c r="B4333" s="16" t="str">
        <x:v>Md Mahafuzur</x:v>
      </x:c>
      <x:c r="C4333" s="16" t="str"/>
      <x:c r="D4333" s="16" t="str"/>
      <x:c r="E4333" s="16" t="str">
        <x:v>* myContacts</x:v>
      </x:c>
      <x:c r="F4333" s="16" t="str">
        <x:v>+601137995806</x:v>
      </x:c>
      <x:c r="G4333" s="16" t="str">
        <x:v>+601137995806</x:v>
      </x:c>
      <x:c r="H4333" s="16" t="str">
        <x:v>Excluded</x:v>
      </x:c>
      <x:c r="I4333" s="16" t="str">
        <x:v>Missing email</x:v>
      </x:c>
    </x:row>
    <x:row r="4334">
      <x:c r="A4334" s="16" t="n">
        <x:v>4331</x:v>
      </x:c>
      <x:c r="B4334" s="16" t="str">
        <x:v>md nazrul shah sunroof</x:v>
      </x:c>
      <x:c r="C4334" s="16" t="str"/>
      <x:c r="D4334" s="16" t="str"/>
      <x:c r="E4334" s="16" t="str">
        <x:v>* myContacts</x:v>
      </x:c>
      <x:c r="F4334" s="16" t="str">
        <x:v>0125105661 | +60125105661</x:v>
      </x:c>
      <x:c r="G4334" s="16" t="str">
        <x:v>+60125105661 | +60125105661</x:v>
      </x:c>
      <x:c r="H4334" s="16" t="str">
        <x:v>Excluded</x:v>
      </x:c>
      <x:c r="I4334" s="16" t="str">
        <x:v>Missing email</x:v>
      </x:c>
    </x:row>
    <x:row r="4335">
      <x:c r="A4335" s="16" t="n">
        <x:v>4332</x:v>
      </x:c>
      <x:c r="B4335" s="16" t="str">
        <x:v>Md Noor Used Car</x:v>
      </x:c>
      <x:c r="C4335" s="16" t="str"/>
      <x:c r="D4335" s="16" t="str"/>
      <x:c r="E4335" s="16" t="str">
        <x:v>* myContacts</x:v>
      </x:c>
      <x:c r="F4335" s="16" t="str">
        <x:v>012-435 3463 | +60124353463</x:v>
      </x:c>
      <x:c r="G4335" s="16" t="str">
        <x:v>+60124353463 | +60124353463</x:v>
      </x:c>
      <x:c r="H4335" s="16" t="str">
        <x:v>Excluded</x:v>
      </x:c>
      <x:c r="I4335" s="16" t="str">
        <x:v>Missing email</x:v>
      </x:c>
    </x:row>
    <x:row r="4336">
      <x:c r="A4336" s="16" t="n">
        <x:v>4333</x:v>
      </x:c>
      <x:c r="B4336" s="16" t="str">
        <x:v>Md Nor Ismail</x:v>
      </x:c>
      <x:c r="C4336" s="16" t="str"/>
      <x:c r="D4336" s="16" t="str"/>
      <x:c r="E4336" s="16" t="str">
        <x:v>* myContacts</x:v>
      </x:c>
      <x:c r="F4336" s="16" t="str">
        <x:v>+60196960699</x:v>
      </x:c>
      <x:c r="G4336" s="16" t="str">
        <x:v>+60196960699</x:v>
      </x:c>
      <x:c r="H4336" s="16" t="str">
        <x:v>Excluded</x:v>
      </x:c>
      <x:c r="I4336" s="16" t="str">
        <x:v>Missing email</x:v>
      </x:c>
    </x:row>
    <x:row r="4337">
      <x:c r="A4337" s="16" t="n">
        <x:v>4334</x:v>
      </x:c>
      <x:c r="B4337" s="16" t="str">
        <x:v>Md Safwann B. Danniel</x:v>
      </x:c>
      <x:c r="C4337" s="16" t="str"/>
      <x:c r="D4337" s="16" t="str"/>
      <x:c r="E4337" s="16" t="str">
        <x:v>* myContacts</x:v>
      </x:c>
      <x:c r="F4337" s="16" t="str">
        <x:v>+60148687738</x:v>
      </x:c>
      <x:c r="G4337" s="16" t="str">
        <x:v>+60148687738</x:v>
      </x:c>
      <x:c r="H4337" s="16" t="str">
        <x:v>Excluded</x:v>
      </x:c>
      <x:c r="I4337" s="16" t="str">
        <x:v>Missing email</x:v>
      </x:c>
    </x:row>
    <x:row r="4338">
      <x:c r="A4338" s="16" t="n">
        <x:v>4335</x:v>
      </x:c>
      <x:c r="B4338" s="16" t="str">
        <x:v>Md Unoz</x:v>
      </x:c>
      <x:c r="C4338" s="16" t="str"/>
      <x:c r="D4338" s="16" t="str"/>
      <x:c r="E4338" s="16" t="str">
        <x:v>* myContacts</x:v>
      </x:c>
      <x:c r="F4338" s="16" t="str">
        <x:v>+60192393631</x:v>
      </x:c>
      <x:c r="G4338" s="16" t="str">
        <x:v>+60192393631</x:v>
      </x:c>
      <x:c r="H4338" s="16" t="str">
        <x:v>Excluded</x:v>
      </x:c>
      <x:c r="I4338" s="16" t="str">
        <x:v>Missing email</x:v>
      </x:c>
    </x:row>
    <x:row r="4339">
      <x:c r="A4339" s="16" t="n">
        <x:v>4336</x:v>
      </x:c>
      <x:c r="B4339" s="16" t="str">
        <x:v>MdÃ±orzi Yus</x:v>
      </x:c>
      <x:c r="C4339" s="16" t="str"/>
      <x:c r="D4339" s="16" t="str"/>
      <x:c r="E4339" s="16" t="str">
        <x:v>* myContacts</x:v>
      </x:c>
      <x:c r="F4339" s="16" t="str">
        <x:v>+60194134368</x:v>
      </x:c>
      <x:c r="G4339" s="16" t="str">
        <x:v>+60194134368</x:v>
      </x:c>
      <x:c r="H4339" s="16" t="str">
        <x:v>Excluded</x:v>
      </x:c>
      <x:c r="I4339" s="16" t="str">
        <x:v>Missing email</x:v>
      </x:c>
    </x:row>
    <x:row r="4340">
      <x:c r="A4340" s="16" t="n">
        <x:v>4337</x:v>
      </x:c>
      <x:c r="B4340" s="16" t="str">
        <x:v>Mdec Anis</x:v>
      </x:c>
      <x:c r="C4340" s="16" t="str"/>
      <x:c r="D4340" s="16" t="str"/>
      <x:c r="E4340" s="16" t="str">
        <x:v>* myContacts</x:v>
      </x:c>
      <x:c r="F4340" s="16" t="str">
        <x:v>+60 10-232 4161 | +60102324161</x:v>
      </x:c>
      <x:c r="G4340" s="16" t="str">
        <x:v>+60102324161 | +60102324161</x:v>
      </x:c>
      <x:c r="H4340" s="16" t="str">
        <x:v>Excluded</x:v>
      </x:c>
      <x:c r="I4340" s="16" t="str">
        <x:v>Missing email</x:v>
      </x:c>
    </x:row>
    <x:row r="4341">
      <x:c r="A4341" s="16" t="n">
        <x:v>4338</x:v>
      </x:c>
      <x:c r="B4341" s="16" t="str">
        <x:v>Me Ng used car dealer</x:v>
      </x:c>
      <x:c r="C4341" s="16" t="str"/>
      <x:c r="D4341" s="16" t="str"/>
      <x:c r="E4341" s="16" t="str">
        <x:v>* myContacts</x:v>
      </x:c>
      <x:c r="F4341" s="16" t="str">
        <x:v>016-531 6542 | +60165316542</x:v>
      </x:c>
      <x:c r="G4341" s="16" t="str">
        <x:v>+60165316542 | +60165316542</x:v>
      </x:c>
      <x:c r="H4341" s="16" t="str">
        <x:v>Excluded</x:v>
      </x:c>
      <x:c r="I4341" s="16" t="str">
        <x:v>Missing email</x:v>
      </x:c>
    </x:row>
    <x:row r="4342">
      <x:c r="A4342" s="16" t="n">
        <x:v>4339</x:v>
      </x:c>
      <x:c r="B4342" s="16" t="str">
        <x:v>Mee Mimi</x:v>
      </x:c>
      <x:c r="C4342" s="16" t="str"/>
      <x:c r="D4342" s="16" t="str"/>
      <x:c r="E4342" s="16" t="str">
        <x:v>* myContacts</x:v>
      </x:c>
      <x:c r="F4342" s="16" t="str">
        <x:v>+60133968989</x:v>
      </x:c>
      <x:c r="G4342" s="16" t="str">
        <x:v>+60133968989</x:v>
      </x:c>
      <x:c r="H4342" s="16" t="str">
        <x:v>Excluded</x:v>
      </x:c>
      <x:c r="I4342" s="16" t="str">
        <x:v>Missing email</x:v>
      </x:c>
    </x:row>
    <x:row r="4343">
      <x:c r="A4343" s="16" t="n">
        <x:v>4340</x:v>
      </x:c>
      <x:c r="B4343" s="16" t="str">
        <x:v>Meeva HG</x:v>
      </x:c>
      <x:c r="C4343" s="16" t="str"/>
      <x:c r="D4343" s="16" t="str"/>
      <x:c r="E4343" s="16" t="str">
        <x:v>* myContacts</x:v>
      </x:c>
      <x:c r="F4343" s="16" t="str">
        <x:v>+60 19-809 8584 | +60198098584</x:v>
      </x:c>
      <x:c r="G4343" s="16" t="str">
        <x:v>+60198098584 | +60198098584</x:v>
      </x:c>
      <x:c r="H4343" s="16" t="str">
        <x:v>Excluded</x:v>
      </x:c>
      <x:c r="I4343" s="16" t="str">
        <x:v>Missing email</x:v>
      </x:c>
    </x:row>
    <x:row r="4344">
      <x:c r="A4344" s="16" t="n">
        <x:v>4341</x:v>
      </x:c>
      <x:c r="B4344" s="16" t="str">
        <x:v>Meganath Thala Rasigan</x:v>
      </x:c>
      <x:c r="C4344" s="16" t="str"/>
      <x:c r="D4344" s="16" t="str"/>
      <x:c r="E4344" s="16" t="str">
        <x:v>* myContacts</x:v>
      </x:c>
      <x:c r="F4344" s="16" t="str">
        <x:v>+918197988835</x:v>
      </x:c>
      <x:c r="G4344" s="16" t="str">
        <x:v>+918197988835</x:v>
      </x:c>
      <x:c r="H4344" s="16" t="str">
        <x:v>Excluded</x:v>
      </x:c>
      <x:c r="I4344" s="16" t="str">
        <x:v>Missing email</x:v>
      </x:c>
    </x:row>
    <x:row r="4345">
      <x:c r="A4345" s="16" t="n">
        <x:v>4342</x:v>
      </x:c>
      <x:c r="B4345" s="16" t="str">
        <x:v>Megat Mohd Hazwan Zamir</x:v>
      </x:c>
      <x:c r="C4345" s="16" t="str"/>
      <x:c r="D4345" s="16" t="str"/>
      <x:c r="E4345" s="16" t="str">
        <x:v>* myContacts</x:v>
      </x:c>
      <x:c r="F4345" s="16" t="str">
        <x:v>+60139779638</x:v>
      </x:c>
      <x:c r="G4345" s="16" t="str">
        <x:v>+60139779638</x:v>
      </x:c>
      <x:c r="H4345" s="16" t="str">
        <x:v>Excluded</x:v>
      </x:c>
      <x:c r="I4345" s="16" t="str">
        <x:v>Missing email</x:v>
      </x:c>
    </x:row>
    <x:row r="4346">
      <x:c r="A4346" s="16" t="n">
        <x:v>4343</x:v>
      </x:c>
      <x:c r="B4346" s="16" t="str">
        <x:v>Megat Taman Desa Minang</x:v>
      </x:c>
      <x:c r="C4346" s="16" t="str"/>
      <x:c r="D4346" s="16" t="str"/>
      <x:c r="E4346" s="16" t="str">
        <x:v>* myContacts</x:v>
      </x:c>
      <x:c r="F4346" s="16" t="str">
        <x:v>+60 19-220 4154 | +60192204154</x:v>
      </x:c>
      <x:c r="G4346" s="16" t="str">
        <x:v>+60192204154 | +60192204154</x:v>
      </x:c>
      <x:c r="H4346" s="16" t="str">
        <x:v>Excluded</x:v>
      </x:c>
      <x:c r="I4346" s="16" t="str">
        <x:v>Missing email</x:v>
      </x:c>
    </x:row>
    <x:row r="4347">
      <x:c r="A4347" s="16" t="n">
        <x:v>4344</x:v>
      </x:c>
      <x:c r="B4347" s="16" t="str">
        <x:v>Mei-yi Mei-yi</x:v>
      </x:c>
      <x:c r="C4347" s="16" t="str"/>
      <x:c r="D4347" s="16" t="str"/>
      <x:c r="E4347" s="16" t="str">
        <x:v>* myContacts</x:v>
      </x:c>
      <x:c r="F4347" s="16" t="str">
        <x:v>+6287882910796</x:v>
      </x:c>
      <x:c r="G4347" s="16" t="str">
        <x:v>+6287882910796</x:v>
      </x:c>
      <x:c r="H4347" s="16" t="str">
        <x:v>Excluded</x:v>
      </x:c>
      <x:c r="I4347" s="16" t="str">
        <x:v>Missing email</x:v>
      </x:c>
    </x:row>
    <x:row r="4348">
      <x:c r="A4348" s="16" t="n">
        <x:v>4345</x:v>
      </x:c>
      <x:c r="B4348" s="16" t="str">
        <x:v>Mejar (K) David Teo</x:v>
      </x:c>
      <x:c r="C4348" s="16" t="str"/>
      <x:c r="D4348" s="16" t="str"/>
      <x:c r="E4348" s="16" t="str">
        <x:v>* myContacts</x:v>
      </x:c>
      <x:c r="F4348" s="16" t="str">
        <x:v>60122155299 | +60122155299</x:v>
      </x:c>
      <x:c r="G4348" s="16" t="str">
        <x:v>+60122155299 | +60122155299</x:v>
      </x:c>
      <x:c r="H4348" s="16" t="str">
        <x:v>Excluded</x:v>
      </x:c>
      <x:c r="I4348" s="16" t="str">
        <x:v>Missing email</x:v>
      </x:c>
    </x:row>
    <x:row r="4349">
      <x:c r="A4349" s="16" t="n">
        <x:v>4346</x:v>
      </x:c>
      <x:c r="B4349" s="16" t="str">
        <x:v>Mejar Qayum</x:v>
      </x:c>
      <x:c r="C4349" s="16" t="str"/>
      <x:c r="D4349" s="16" t="str"/>
      <x:c r="E4349" s="16" t="str">
        <x:v>* myContacts</x:v>
      </x:c>
      <x:c r="F4349" s="16" t="str">
        <x:v>+60 19-271 6478 | +60192716478</x:v>
      </x:c>
      <x:c r="G4349" s="16" t="str">
        <x:v>+60192716478 | +60192716478</x:v>
      </x:c>
      <x:c r="H4349" s="16" t="str">
        <x:v>Excluded</x:v>
      </x:c>
      <x:c r="I4349" s="16" t="str">
        <x:v>Missing email</x:v>
      </x:c>
    </x:row>
    <x:row r="4350">
      <x:c r="A4350" s="16" t="n">
        <x:v>4347</x:v>
      </x:c>
      <x:c r="B4350" s="16" t="str">
        <x:v>Mejar Yusri Latip</x:v>
      </x:c>
      <x:c r="C4350" s="16" t="str"/>
      <x:c r="D4350" s="16" t="str"/>
      <x:c r="E4350" s="16" t="str">
        <x:v>* myContacts</x:v>
      </x:c>
      <x:c r="F4350" s="16" t="str">
        <x:v>+60 17-666 9881 | +60176669881</x:v>
      </x:c>
      <x:c r="G4350" s="16" t="str">
        <x:v>+60176669881 | +60176669881</x:v>
      </x:c>
      <x:c r="H4350" s="16" t="str">
        <x:v>Excluded</x:v>
      </x:c>
      <x:c r="I4350" s="16" t="str">
        <x:v>Missing email</x:v>
      </x:c>
    </x:row>
    <x:row r="4351">
      <x:c r="A4351" s="16" t="n">
        <x:v>4348</x:v>
      </x:c>
      <x:c r="B4351" s="16" t="str">
        <x:v>MekAwe Kitchen</x:v>
      </x:c>
      <x:c r="C4351" s="16" t="str"/>
      <x:c r="D4351" s="16" t="str"/>
      <x:c r="E4351" s="16" t="str">
        <x:v>* myContacts</x:v>
      </x:c>
      <x:c r="F4351" s="16" t="str">
        <x:v>+60108743677</x:v>
      </x:c>
      <x:c r="G4351" s="16" t="str">
        <x:v>+60108743677</x:v>
      </x:c>
      <x:c r="H4351" s="16" t="str">
        <x:v>Excluded</x:v>
      </x:c>
      <x:c r="I4351" s="16" t="str">
        <x:v>Missing email</x:v>
      </x:c>
    </x:row>
    <x:row r="4352">
      <x:c r="A4352" s="16" t="n">
        <x:v>4349</x:v>
      </x:c>
      <x:c r="B4352" s="16" t="str">
        <x:v>Melancong Pakejstudentmurah</x:v>
      </x:c>
      <x:c r="C4352" s="16" t="str"/>
      <x:c r="D4352" s="16" t="str"/>
      <x:c r="E4352" s="16" t="str">
        <x:v>* myContacts</x:v>
      </x:c>
      <x:c r="F4352" s="16" t="str">
        <x:v>+60176549093</x:v>
      </x:c>
      <x:c r="G4352" s="16" t="str">
        <x:v>+60176549093</x:v>
      </x:c>
      <x:c r="H4352" s="16" t="str">
        <x:v>Excluded</x:v>
      </x:c>
      <x:c r="I4352" s="16" t="str">
        <x:v>Missing email</x:v>
      </x:c>
    </x:row>
    <x:row r="4353">
      <x:c r="A4353" s="16" t="n">
        <x:v>4350</x:v>
      </x:c>
      <x:c r="B4353" s="16" t="str">
        <x:v>Melati Sukmayu</x:v>
      </x:c>
      <x:c r="C4353" s="16" t="str"/>
      <x:c r="D4353" s="16" t="str"/>
      <x:c r="E4353" s="16" t="str">
        <x:v>* myContacts</x:v>
      </x:c>
      <x:c r="F4353" s="16" t="str">
        <x:v>+60108345753</x:v>
      </x:c>
      <x:c r="G4353" s="16" t="str">
        <x:v>+60108345753</x:v>
      </x:c>
      <x:c r="H4353" s="16" t="str">
        <x:v>Excluded</x:v>
      </x:c>
      <x:c r="I4353" s="16" t="str">
        <x:v>Missing email</x:v>
      </x:c>
    </x:row>
    <x:row r="4354">
      <x:c r="A4354" s="16" t="n">
        <x:v>4351</x:v>
      </x:c>
      <x:c r="B4354" s="16" t="str">
        <x:v>Melvin Rubin</x:v>
      </x:c>
      <x:c r="C4354" s="16" t="str"/>
      <x:c r="D4354" s="16" t="str"/>
      <x:c r="E4354" s="16" t="str">
        <x:v>* myContacts</x:v>
      </x:c>
      <x:c r="F4354" s="16" t="str">
        <x:v>+60105495001</x:v>
      </x:c>
      <x:c r="G4354" s="16" t="str">
        <x:v>+60105495001</x:v>
      </x:c>
      <x:c r="H4354" s="16" t="str">
        <x:v>Excluded</x:v>
      </x:c>
      <x:c r="I4354" s="16" t="str">
        <x:v>Missing email</x:v>
      </x:c>
    </x:row>
    <x:row r="4355">
      <x:c r="A4355" s="16" t="n">
        <x:v>4352</x:v>
      </x:c>
      <x:c r="B4355" s="16" t="str">
        <x:v>Mentari Pagi</x:v>
      </x:c>
      <x:c r="C4355" s="16" t="str"/>
      <x:c r="D4355" s="16" t="str"/>
      <x:c r="E4355" s="16" t="str">
        <x:v>* myContacts</x:v>
      </x:c>
      <x:c r="F4355" s="16" t="str">
        <x:v>+628562663052</x:v>
      </x:c>
      <x:c r="G4355" s="16" t="str">
        <x:v>+628562663052</x:v>
      </x:c>
      <x:c r="H4355" s="16" t="str">
        <x:v>Excluded</x:v>
      </x:c>
      <x:c r="I4355" s="16" t="str">
        <x:v>Missing email</x:v>
      </x:c>
    </x:row>
    <x:row r="4356">
      <x:c r="A4356" s="16" t="n">
        <x:v>4353</x:v>
      </x:c>
      <x:c r="B4356" s="16" t="str">
        <x:v>Mentor Dato Khalid</x:v>
      </x:c>
      <x:c r="C4356" s="16" t="str"/>
      <x:c r="D4356" s="16" t="str"/>
      <x:c r="E4356" s="16" t="str">
        <x:v>* myContacts</x:v>
      </x:c>
      <x:c r="F4356" s="16" t="str">
        <x:v>018-319 5548 | +60183195548</x:v>
      </x:c>
      <x:c r="G4356" s="16" t="str">
        <x:v>+60183195548 | +60183195548</x:v>
      </x:c>
      <x:c r="H4356" s="16" t="str">
        <x:v>Excluded</x:v>
      </x:c>
      <x:c r="I4356" s="16" t="str">
        <x:v>Missing email</x:v>
      </x:c>
    </x:row>
    <x:row r="4357">
      <x:c r="A4357" s="16" t="n">
        <x:v>4354</x:v>
      </x:c>
      <x:c r="B4357" s="16" t="str">
        <x:v>Mentoring 2023 Herdawaty Zulkiflee</x:v>
      </x:c>
      <x:c r="C4357" s="16" t="str"/>
      <x:c r="D4357" s="16" t="str"/>
      <x:c r="E4357" s="16" t="str">
        <x:v>* myContacts</x:v>
      </x:c>
      <x:c r="F4357" s="16" t="str">
        <x:v>+60 13-735 3615 | +60137353615</x:v>
      </x:c>
      <x:c r="G4357" s="16" t="str">
        <x:v>+60137353615 | +60137353615</x:v>
      </x:c>
      <x:c r="H4357" s="16" t="str">
        <x:v>Excluded</x:v>
      </x:c>
      <x:c r="I4357" s="16" t="str">
        <x:v>Missing email</x:v>
      </x:c>
    </x:row>
    <x:row r="4358">
      <x:c r="A4358" s="16" t="n">
        <x:v>4355</x:v>
      </x:c>
      <x:c r="B4358" s="16" t="str">
        <x:v>Meor Faris</x:v>
      </x:c>
      <x:c r="C4358" s="16" t="str"/>
      <x:c r="D4358" s="16" t="str"/>
      <x:c r="E4358" s="16" t="str">
        <x:v>* myContacts</x:v>
      </x:c>
      <x:c r="F4358" s="16" t="str">
        <x:v>+60173378576</x:v>
      </x:c>
      <x:c r="G4358" s="16" t="str">
        <x:v>+60173378576</x:v>
      </x:c>
      <x:c r="H4358" s="16" t="str">
        <x:v>Excluded</x:v>
      </x:c>
      <x:c r="I4358" s="16" t="str">
        <x:v>Missing email</x:v>
      </x:c>
    </x:row>
    <x:row r="4359">
      <x:c r="A4359" s="16" t="n">
        <x:v>4356</x:v>
      </x:c>
      <x:c r="B4359" s="16" t="str">
        <x:v>Meor Sukri Meor Osman</x:v>
      </x:c>
      <x:c r="C4359" s="16" t="str"/>
      <x:c r="D4359" s="16" t="str"/>
      <x:c r="E4359" s="16" t="str">
        <x:v>* myContacts</x:v>
      </x:c>
      <x:c r="F4359" s="16" t="str">
        <x:v>+601152797956</x:v>
      </x:c>
      <x:c r="G4359" s="16" t="str">
        <x:v>+601152797956</x:v>
      </x:c>
      <x:c r="H4359" s="16" t="str">
        <x:v>Excluded</x:v>
      </x:c>
      <x:c r="I4359" s="16" t="str">
        <x:v>Missing email</x:v>
      </x:c>
    </x:row>
    <x:row r="4360">
      <x:c r="A4360" s="16" t="n">
        <x:v>4357</x:v>
      </x:c>
      <x:c r="B4360" s="16" t="str">
        <x:v>meow creal box</x:v>
      </x:c>
      <x:c r="C4360" s="16" t="str"/>
      <x:c r="D4360" s="16" t="str"/>
      <x:c r="E4360" s="16" t="str">
        <x:v>* myContacts</x:v>
      </x:c>
      <x:c r="F4360" s="16" t="str">
        <x:v>0166607254 | +60166607254</x:v>
      </x:c>
      <x:c r="G4360" s="16" t="str">
        <x:v>+60166607254 | +60166607254</x:v>
      </x:c>
      <x:c r="H4360" s="16" t="str">
        <x:v>Excluded</x:v>
      </x:c>
      <x:c r="I4360" s="16" t="str">
        <x:v>Missing email</x:v>
      </x:c>
    </x:row>
    <x:row r="4361">
      <x:c r="A4361" s="16" t="n">
        <x:v>4358</x:v>
      </x:c>
      <x:c r="B4361" s="16" t="str">
        <x:v>Mer Rah</x:v>
      </x:c>
      <x:c r="C4361" s="16" t="str"/>
      <x:c r="D4361" s="16" t="str"/>
      <x:c r="E4361" s="16" t="str">
        <x:v>* myContacts</x:v>
      </x:c>
      <x:c r="F4361" s="16" t="str">
        <x:v>+601129371830</x:v>
      </x:c>
      <x:c r="G4361" s="16" t="str">
        <x:v>+601129371830</x:v>
      </x:c>
      <x:c r="H4361" s="16" t="str">
        <x:v>Excluded</x:v>
      </x:c>
      <x:c r="I4361" s="16" t="str">
        <x:v>Missing email</x:v>
      </x:c>
    </x:row>
    <x:row r="4362">
      <x:c r="A4362" s="16" t="n">
        <x:v>4359</x:v>
      </x:c>
      <x:c r="B4362" s="16" t="str">
        <x:v>Mereng Achik</x:v>
      </x:c>
      <x:c r="C4362" s="16" t="str"/>
      <x:c r="D4362" s="16" t="str"/>
      <x:c r="E4362" s="16" t="str">
        <x:v>* myContacts</x:v>
      </x:c>
      <x:c r="F4362" s="16" t="str">
        <x:v>+60174476830</x:v>
      </x:c>
      <x:c r="G4362" s="16" t="str">
        <x:v>+60174476830</x:v>
      </x:c>
      <x:c r="H4362" s="16" t="str">
        <x:v>Excluded</x:v>
      </x:c>
      <x:c r="I4362" s="16" t="str">
        <x:v>Missing email</x:v>
      </x:c>
    </x:row>
    <x:row r="4363">
      <x:c r="A4363" s="16" t="n">
        <x:v>4360</x:v>
      </x:c>
      <x:c r="B4363" s="16" t="str">
        <x:v>Mesti Selamba</x:v>
      </x:c>
      <x:c r="C4363" s="16" t="str"/>
      <x:c r="D4363" s="16" t="str"/>
      <x:c r="E4363" s="16" t="str">
        <x:v>* myContacts</x:v>
      </x:c>
      <x:c r="F4363" s="16" t="str">
        <x:v>+60103112600</x:v>
      </x:c>
      <x:c r="G4363" s="16" t="str">
        <x:v>+60103112600</x:v>
      </x:c>
      <x:c r="H4363" s="16" t="str">
        <x:v>Excluded</x:v>
      </x:c>
      <x:c r="I4363" s="16" t="str">
        <x:v>Missing email</x:v>
      </x:c>
    </x:row>
    <x:row r="4364">
      <x:c r="A4364" s="16" t="n">
        <x:v>4361</x:v>
      </x:c>
      <x:c r="B4364" s="16" t="str">
        <x:v>meta hotel staff</x:v>
      </x:c>
      <x:c r="C4364" s="16" t="str"/>
      <x:c r="D4364" s="16" t="str"/>
      <x:c r="E4364" s="16" t="str">
        <x:v>* myContacts</x:v>
      </x:c>
      <x:c r="F4364" s="16" t="str">
        <x:v>60136989985 | 601128487620 | +60136989985 | 601128487620</x:v>
      </x:c>
      <x:c r="G4364" s="16" t="str">
        <x:v>+60136989985 | +601128487620 | +60136989985 | +601128487620</x:v>
      </x:c>
      <x:c r="H4364" s="16" t="str">
        <x:v>Excluded</x:v>
      </x:c>
      <x:c r="I4364" s="16" t="str">
        <x:v>Missing email</x:v>
      </x:c>
    </x:row>
    <x:row r="4365">
      <x:c r="A4365" s="16" t="n">
        <x:v>4362</x:v>
      </x:c>
      <x:c r="B4365" s="16" t="str">
        <x:v>Mex Kak Nurra</x:v>
      </x:c>
      <x:c r="C4365" s="16" t="str"/>
      <x:c r="D4365" s="16" t="str"/>
      <x:c r="E4365" s="16" t="str">
        <x:v>* myContacts</x:v>
      </x:c>
      <x:c r="F4365" s="16" t="str">
        <x:v>+60 13-716 1940 | +60137161940</x:v>
      </x:c>
      <x:c r="G4365" s="16" t="str">
        <x:v>+60137161940 | +60137161940</x:v>
      </x:c>
      <x:c r="H4365" s="16" t="str">
        <x:v>Excluded</x:v>
      </x:c>
      <x:c r="I4365" s="16" t="str">
        <x:v>Missing email</x:v>
      </x:c>
    </x:row>
    <x:row r="4366">
      <x:c r="A4366" s="16" t="n">
        <x:v>4363</x:v>
      </x:c>
      <x:c r="B4366" s="16" t="str">
        <x:v>Meyla Bali Transport</x:v>
      </x:c>
      <x:c r="C4366" s="16" t="str"/>
      <x:c r="D4366" s="16" t="str"/>
      <x:c r="E4366" s="16" t="str">
        <x:v>* myContacts</x:v>
      </x:c>
      <x:c r="F4366" s="16" t="str">
        <x:v>+6285792179191</x:v>
      </x:c>
      <x:c r="G4366" s="16" t="str">
        <x:v>+6285792179191</x:v>
      </x:c>
      <x:c r="H4366" s="16" t="str">
        <x:v>Excluded</x:v>
      </x:c>
      <x:c r="I4366" s="16" t="str">
        <x:v>Missing email</x:v>
      </x:c>
    </x:row>
    <x:row r="4367">
      <x:c r="A4367" s="16" t="n">
        <x:v>4364</x:v>
      </x:c>
      <x:c r="B4367" s="16" t="str">
        <x:v>Mhd Hamidon AGP</x:v>
      </x:c>
      <x:c r="C4367" s="16" t="str"/>
      <x:c r="D4367" s="16" t="str"/>
      <x:c r="E4367" s="16" t="str">
        <x:v>* myContacts</x:v>
      </x:c>
      <x:c r="F4367" s="16" t="str">
        <x:v>+60 14-227 6427 | +60142276427</x:v>
      </x:c>
      <x:c r="G4367" s="16" t="str">
        <x:v>+60142276427 | +60142276427</x:v>
      </x:c>
      <x:c r="H4367" s="16" t="str">
        <x:v>Excluded</x:v>
      </x:c>
      <x:c r="I4367" s="16" t="str">
        <x:v>Missing email</x:v>
      </x:c>
    </x:row>
    <x:row r="4368">
      <x:c r="A4368" s="16" t="n">
        <x:v>4365</x:v>
      </x:c>
      <x:c r="B4368" s="16" t="str">
        <x:v>MI Kha IL</x:v>
      </x:c>
      <x:c r="C4368" s="16" t="str"/>
      <x:c r="D4368" s="16" t="str"/>
      <x:c r="E4368" s="16" t="str">
        <x:v>* myContacts</x:v>
      </x:c>
      <x:c r="F4368" s="16" t="str">
        <x:v>+601156511037</x:v>
      </x:c>
      <x:c r="G4368" s="16" t="str">
        <x:v>+601156511037</x:v>
      </x:c>
      <x:c r="H4368" s="16" t="str">
        <x:v>Excluded</x:v>
      </x:c>
      <x:c r="I4368" s="16" t="str">
        <x:v>Missing email</x:v>
      </x:c>
    </x:row>
    <x:row r="4369">
      <x:c r="A4369" s="16" t="n">
        <x:v>4366</x:v>
      </x:c>
      <x:c r="B4369" s="16" t="str">
        <x:v>Mia Amera</x:v>
      </x:c>
      <x:c r="C4369" s="16" t="str"/>
      <x:c r="D4369" s="16" t="str"/>
      <x:c r="E4369" s="16" t="str">
        <x:v>* myContacts</x:v>
      </x:c>
      <x:c r="F4369" s="16" t="str">
        <x:v>01117592123 | +601117592123</x:v>
      </x:c>
      <x:c r="G4369" s="16" t="str">
        <x:v>+601117592123 | +601117592123</x:v>
      </x:c>
      <x:c r="H4369" s="16" t="str">
        <x:v>Excluded</x:v>
      </x:c>
      <x:c r="I4369" s="16" t="str">
        <x:v>Missing email</x:v>
      </x:c>
    </x:row>
    <x:row r="4370">
      <x:c r="A4370" s="16" t="n">
        <x:v>4367</x:v>
      </x:c>
      <x:c r="B4370" s="16" t="str">
        <x:v>Michelle KPJ Marketing Head</x:v>
      </x:c>
      <x:c r="C4370" s="16" t="str"/>
      <x:c r="D4370" s="16" t="str"/>
      <x:c r="E4370" s="16" t="str">
        <x:v>* myContacts</x:v>
      </x:c>
      <x:c r="F4370" s="16" t="str">
        <x:v>+60123326823</x:v>
      </x:c>
      <x:c r="G4370" s="16" t="str">
        <x:v>+60123326823</x:v>
      </x:c>
      <x:c r="H4370" s="16" t="str">
        <x:v>Excluded</x:v>
      </x:c>
      <x:c r="I4370" s="16" t="str">
        <x:v>Missing email</x:v>
      </x:c>
    </x:row>
    <x:row r="4371">
      <x:c r="A4371" s="16" t="n">
        <x:v>4368</x:v>
      </x:c>
      <x:c r="B4371" s="16" t="str">
        <x:v>mickey</x:v>
      </x:c>
      <x:c r="C4371" s="16" t="str"/>
      <x:c r="D4371" s="16" t="str"/>
      <x:c r="E4371" s="16" t="str">
        <x:v>* myContacts</x:v>
      </x:c>
      <x:c r="F4371" s="16" t="str">
        <x:v>0109262958 | +60109262958</x:v>
      </x:c>
      <x:c r="G4371" s="16" t="str">
        <x:v>+60109262958 | +60109262958</x:v>
      </x:c>
      <x:c r="H4371" s="16" t="str">
        <x:v>Excluded</x:v>
      </x:c>
      <x:c r="I4371" s="16" t="str">
        <x:v>Missing email</x:v>
      </x:c>
    </x:row>
    <x:row r="4372">
      <x:c r="A4372" s="16" t="n">
        <x:v>4369</x:v>
      </x:c>
      <x:c r="B4372" s="16" t="str">
        <x:v>Microsoft Malaysia</x:v>
      </x:c>
      <x:c r="C4372" s="16" t="str"/>
      <x:c r="D4372" s="16" t="str"/>
      <x:c r="E4372" s="16" t="str">
        <x:v>* myContacts</x:v>
      </x:c>
      <x:c r="F4372" s="16" t="str">
        <x:v>1800886295</x:v>
      </x:c>
      <x:c r="G4372" s="16" t="str"/>
      <x:c r="H4372" s="16" t="str">
        <x:v>Excluded</x:v>
      </x:c>
      <x:c r="I4372" s="16" t="str">
        <x:v>Missing email</x:v>
      </x:c>
    </x:row>
    <x:row r="4373">
      <x:c r="A4373" s="16" t="n">
        <x:v>4370</x:v>
      </x:c>
      <x:c r="B4373" s="16" t="str">
        <x:v>Mie Khalid</x:v>
      </x:c>
      <x:c r="C4373" s="16" t="str"/>
      <x:c r="D4373" s="16" t="str"/>
      <x:c r="E4373" s="16" t="str">
        <x:v>* myContacts</x:v>
      </x:c>
      <x:c r="F4373" s="16" t="str">
        <x:v>+601112402049</x:v>
      </x:c>
      <x:c r="G4373" s="16" t="str">
        <x:v>+601112402049</x:v>
      </x:c>
      <x:c r="H4373" s="16" t="str">
        <x:v>Excluded</x:v>
      </x:c>
      <x:c r="I4373" s="16" t="str">
        <x:v>Missing email</x:v>
      </x:c>
    </x:row>
    <x:row r="4374">
      <x:c r="A4374" s="16" t="n">
        <x:v>4371</x:v>
      </x:c>
      <x:c r="B4374" s="16" t="str">
        <x:v>Mie Korea</x:v>
      </x:c>
      <x:c r="C4374" s="16" t="str"/>
      <x:c r="D4374" s="16" t="str"/>
      <x:c r="E4374" s="16" t="str">
        <x:v>* myContacts</x:v>
      </x:c>
      <x:c r="F4374" s="16" t="str">
        <x:v>+60124828784</x:v>
      </x:c>
      <x:c r="G4374" s="16" t="str">
        <x:v>+60124828784</x:v>
      </x:c>
      <x:c r="H4374" s="16" t="str">
        <x:v>Excluded</x:v>
      </x:c>
      <x:c r="I4374" s="16" t="str">
        <x:v>Missing email</x:v>
      </x:c>
    </x:row>
    <x:row r="4375">
      <x:c r="A4375" s="16" t="n">
        <x:v>4372</x:v>
      </x:c>
      <x:c r="B4375" s="16" t="str">
        <x:v>Mie Min</x:v>
      </x:c>
      <x:c r="C4375" s="16" t="str"/>
      <x:c r="D4375" s="16" t="str"/>
      <x:c r="E4375" s="16" t="str">
        <x:v>* myContacts</x:v>
      </x:c>
      <x:c r="F4375" s="16" t="str">
        <x:v>+60179834284</x:v>
      </x:c>
      <x:c r="G4375" s="16" t="str">
        <x:v>+60179834284</x:v>
      </x:c>
      <x:c r="H4375" s="16" t="str">
        <x:v>Excluded</x:v>
      </x:c>
      <x:c r="I4375" s="16" t="str">
        <x:v>Missing email</x:v>
      </x:c>
    </x:row>
    <x:row r="4376">
      <x:c r="A4376" s="16" t="n">
        <x:v>4373</x:v>
      </x:c>
      <x:c r="B4376" s="16" t="str">
        <x:v>Mie Rull</x:v>
      </x:c>
      <x:c r="C4376" s="16" t="str"/>
      <x:c r="D4376" s="16" t="str"/>
      <x:c r="E4376" s="16" t="str">
        <x:v>* myContacts</x:v>
      </x:c>
      <x:c r="F4376" s="16" t="str">
        <x:v>+60147732073</x:v>
      </x:c>
      <x:c r="G4376" s="16" t="str">
        <x:v>+60147732073</x:v>
      </x:c>
      <x:c r="H4376" s="16" t="str">
        <x:v>Excluded</x:v>
      </x:c>
      <x:c r="I4376" s="16" t="str">
        <x:v>Missing email</x:v>
      </x:c>
    </x:row>
    <x:row r="4377">
      <x:c r="A4377" s="16" t="n">
        <x:v>4374</x:v>
      </x:c>
      <x:c r="B4377" s="16" t="str">
        <x:v>Mie Signage Ironwork</x:v>
      </x:c>
      <x:c r="C4377" s="16" t="str"/>
      <x:c r="D4377" s="16" t="str"/>
      <x:c r="E4377" s="16" t="str">
        <x:v>* myContacts</x:v>
      </x:c>
      <x:c r="F4377" s="16" t="str">
        <x:v>+60173453619</x:v>
      </x:c>
      <x:c r="G4377" s="16" t="str">
        <x:v>+60173453619</x:v>
      </x:c>
      <x:c r="H4377" s="16" t="str">
        <x:v>Excluded</x:v>
      </x:c>
      <x:c r="I4377" s="16" t="str">
        <x:v>Missing email</x:v>
      </x:c>
    </x:row>
    <x:row r="4378">
      <x:c r="A4378" s="16" t="n">
        <x:v>4375</x:v>
      </x:c>
      <x:c r="B4378" s="16" t="str">
        <x:v>Mieda Amieda</x:v>
      </x:c>
      <x:c r="C4378" s="16" t="str"/>
      <x:c r="D4378" s="16" t="str"/>
      <x:c r="E4378" s="16" t="str">
        <x:v>* myContacts</x:v>
      </x:c>
      <x:c r="F4378" s="16" t="str">
        <x:v>+601111120377</x:v>
      </x:c>
      <x:c r="G4378" s="16" t="str">
        <x:v>+601111120377</x:v>
      </x:c>
      <x:c r="H4378" s="16" t="str">
        <x:v>Excluded</x:v>
      </x:c>
      <x:c r="I4378" s="16" t="str">
        <x:v>Missing email</x:v>
      </x:c>
    </x:row>
    <x:row r="4379">
      <x:c r="A4379" s="16" t="n">
        <x:v>4376</x:v>
      </x:c>
      <x:c r="B4379" s="16" t="str">
        <x:v>Miera Amylia</x:v>
      </x:c>
      <x:c r="C4379" s="16" t="str"/>
      <x:c r="D4379" s="16" t="str"/>
      <x:c r="E4379" s="16" t="str">
        <x:v>* myContacts</x:v>
      </x:c>
      <x:c r="F4379" s="16" t="str">
        <x:v>+60129617578</x:v>
      </x:c>
      <x:c r="G4379" s="16" t="str">
        <x:v>+60129617578</x:v>
      </x:c>
      <x:c r="H4379" s="16" t="str">
        <x:v>Excluded</x:v>
      </x:c>
      <x:c r="I4379" s="16" t="str">
        <x:v>Missing email</x:v>
      </x:c>
    </x:row>
    <x:row r="4380">
      <x:c r="A4380" s="16" t="n">
        <x:v>4377</x:v>
      </x:c>
      <x:c r="B4380" s="16" t="str">
        <x:v>Miera Rosli</x:v>
      </x:c>
      <x:c r="C4380" s="16" t="str"/>
      <x:c r="D4380" s="16" t="str"/>
      <x:c r="E4380" s="16" t="str">
        <x:v>* myContacts</x:v>
      </x:c>
      <x:c r="F4380" s="16" t="str">
        <x:v>+60197530142</x:v>
      </x:c>
      <x:c r="G4380" s="16" t="str">
        <x:v>+60197530142</x:v>
      </x:c>
      <x:c r="H4380" s="16" t="str">
        <x:v>Excluded</x:v>
      </x:c>
      <x:c r="I4380" s="16" t="str">
        <x:v>Missing email</x:v>
      </x:c>
    </x:row>
    <x:row r="4381">
      <x:c r="A4381" s="16" t="n">
        <x:v>4378</x:v>
      </x:c>
      <x:c r="B4381" s="16" t="str">
        <x:v>Mieza KekCinta Dungun</x:v>
      </x:c>
      <x:c r="C4381" s="16" t="str"/>
      <x:c r="D4381" s="16" t="str"/>
      <x:c r="E4381" s="16" t="str">
        <x:v>* myContacts</x:v>
      </x:c>
      <x:c r="F4381" s="16" t="str">
        <x:v>+60104066112</x:v>
      </x:c>
      <x:c r="G4381" s="16" t="str">
        <x:v>+60104066112</x:v>
      </x:c>
      <x:c r="H4381" s="16" t="str">
        <x:v>Excluded</x:v>
      </x:c>
      <x:c r="I4381" s="16" t="str">
        <x:v>Missing email</x:v>
      </x:c>
    </x:row>
    <x:row r="4382">
      <x:c r="A4382" s="16" t="n">
        <x:v>4379</x:v>
      </x:c>
      <x:c r="B4382" s="16" t="str">
        <x:v>Miezar Hermeyzar</x:v>
      </x:c>
      <x:c r="C4382" s="16" t="str"/>
      <x:c r="D4382" s="16" t="str"/>
      <x:c r="E4382" s="16" t="str">
        <x:v>* myContacts</x:v>
      </x:c>
      <x:c r="F4382" s="16" t="str">
        <x:v>+60139603300</x:v>
      </x:c>
      <x:c r="G4382" s="16" t="str">
        <x:v>+60139603300</x:v>
      </x:c>
      <x:c r="H4382" s="16" t="str">
        <x:v>Excluded</x:v>
      </x:c>
      <x:c r="I4382" s="16" t="str">
        <x:v>Missing email</x:v>
      </x:c>
    </x:row>
    <x:row r="4383">
      <x:c r="A4383" s="16" t="n">
        <x:v>4380</x:v>
      </x:c>
      <x:c r="B4383" s="16" t="str">
        <x:v>MightyGpt</x:v>
      </x:c>
      <x:c r="C4383" s="16" t="str"/>
      <x:c r="D4383" s="16" t="str"/>
      <x:c r="E4383" s="16" t="str">
        <x:v>* myContacts</x:v>
      </x:c>
      <x:c r="F4383" s="16" t="str">
        <x:v>+19478882124</x:v>
      </x:c>
      <x:c r="G4383" s="16" t="str">
        <x:v>+19478882124</x:v>
      </x:c>
      <x:c r="H4383" s="16" t="str">
        <x:v>Excluded</x:v>
      </x:c>
      <x:c r="I4383" s="16" t="str">
        <x:v>Missing email</x:v>
      </x:c>
    </x:row>
    <x:row r="4384">
      <x:c r="A4384" s="16" t="n">
        <x:v>4381</x:v>
      </x:c>
      <x:c r="B4384" s="16" t="str">
        <x:v>Mija Saufi</x:v>
      </x:c>
      <x:c r="C4384" s="16" t="str"/>
      <x:c r="D4384" s="16" t="str"/>
      <x:c r="E4384" s="16" t="str">
        <x:v>* myContacts</x:v>
      </x:c>
      <x:c r="F4384" s="16" t="str">
        <x:v>+60189115568</x:v>
      </x:c>
      <x:c r="G4384" s="16" t="str">
        <x:v>+60189115568</x:v>
      </x:c>
      <x:c r="H4384" s="16" t="str">
        <x:v>Excluded</x:v>
      </x:c>
      <x:c r="I4384" s="16" t="str">
        <x:v>Missing email</x:v>
      </x:c>
    </x:row>
    <x:row r="4385">
      <x:c r="A4385" s="16" t="n">
        <x:v>4382</x:v>
      </x:c>
      <x:c r="B4385" s="16" t="str">
        <x:v>Mika Ahlong</x:v>
      </x:c>
      <x:c r="C4385" s="16" t="str"/>
      <x:c r="D4385" s="16" t="str"/>
      <x:c r="E4385" s="16" t="str">
        <x:v>* myContacts</x:v>
      </x:c>
      <x:c r="F4385" s="16" t="str">
        <x:v>+601112836710</x:v>
      </x:c>
      <x:c r="G4385" s="16" t="str">
        <x:v>+601112836710</x:v>
      </x:c>
      <x:c r="H4385" s="16" t="str">
        <x:v>Excluded</x:v>
      </x:c>
      <x:c r="I4385" s="16" t="str">
        <x:v>Missing email</x:v>
      </x:c>
    </x:row>
    <x:row r="4386">
      <x:c r="A4386" s="16" t="n">
        <x:v>4383</x:v>
      </x:c>
      <x:c r="B4386" s="16" t="str">
        <x:v>Mike Nintendo</x:v>
      </x:c>
      <x:c r="C4386" s="16" t="str"/>
      <x:c r="D4386" s="16" t="str"/>
      <x:c r="E4386" s="16" t="str">
        <x:v>* myContacts</x:v>
      </x:c>
      <x:c r="F4386" s="16" t="str">
        <x:v>018-264 0176 | +60182640176</x:v>
      </x:c>
      <x:c r="G4386" s="16" t="str">
        <x:v>+60182640176 | +60182640176</x:v>
      </x:c>
      <x:c r="H4386" s="16" t="str">
        <x:v>Excluded</x:v>
      </x:c>
      <x:c r="I4386" s="16" t="str">
        <x:v>Missing email</x:v>
      </x:c>
    </x:row>
    <x:row r="4387">
      <x:c r="A4387" s="16" t="n">
        <x:v>4384</x:v>
      </x:c>
      <x:c r="B4387" s="16" t="str">
        <x:v>Miki Student</x:v>
      </x:c>
      <x:c r="C4387" s="16" t="str"/>
      <x:c r="D4387" s="16" t="str"/>
      <x:c r="E4387" s="16" t="str">
        <x:v>* myContacts</x:v>
      </x:c>
      <x:c r="F4387" s="16" t="str">
        <x:v>+60136899697</x:v>
      </x:c>
      <x:c r="G4387" s="16" t="str">
        <x:v>+60136899697</x:v>
      </x:c>
      <x:c r="H4387" s="16" t="str">
        <x:v>Excluded</x:v>
      </x:c>
      <x:c r="I4387" s="16" t="str">
        <x:v>Missing email</x:v>
      </x:c>
    </x:row>
    <x:row r="4388">
      <x:c r="A4388" s="16" t="n">
        <x:v>4385</x:v>
      </x:c>
      <x:c r="B4388" s="16" t="str">
        <x:v>Mima Unggul MUent</x:v>
      </x:c>
      <x:c r="C4388" s="16" t="str"/>
      <x:c r="D4388" s="16" t="str"/>
      <x:c r="E4388" s="16" t="str">
        <x:v>* myContacts</x:v>
      </x:c>
      <x:c r="F4388" s="16" t="str">
        <x:v>+60134778388</x:v>
      </x:c>
      <x:c r="G4388" s="16" t="str">
        <x:v>+60134778388</x:v>
      </x:c>
      <x:c r="H4388" s="16" t="str">
        <x:v>Excluded</x:v>
      </x:c>
      <x:c r="I4388" s="16" t="str">
        <x:v>Missing email</x:v>
      </x:c>
    </x:row>
    <x:row r="4389">
      <x:c r="A4389" s="16" t="n">
        <x:v>4386</x:v>
      </x:c>
      <x:c r="B4389" s="16" t="str">
        <x:v>Mimi Akma</x:v>
      </x:c>
      <x:c r="C4389" s="16" t="str"/>
      <x:c r="D4389" s="16" t="str"/>
      <x:c r="E4389" s="16" t="str">
        <x:v>* myContacts</x:v>
      </x:c>
      <x:c r="F4389" s="16" t="str">
        <x:v>+60193969420</x:v>
      </x:c>
      <x:c r="G4389" s="16" t="str">
        <x:v>+60193969420</x:v>
      </x:c>
      <x:c r="H4389" s="16" t="str">
        <x:v>Excluded</x:v>
      </x:c>
      <x:c r="I4389" s="16" t="str">
        <x:v>Missing email</x:v>
      </x:c>
    </x:row>
    <x:row r="4390">
      <x:c r="A4390" s="16" t="n">
        <x:v>4387</x:v>
      </x:c>
      <x:c r="B4390" s="16" t="str">
        <x:v>Mimi Aseema</x:v>
      </x:c>
      <x:c r="C4390" s="16" t="str"/>
      <x:c r="D4390" s="16" t="str"/>
      <x:c r="E4390" s="16" t="str">
        <x:v>* myContacts</x:v>
      </x:c>
      <x:c r="F4390" s="16" t="str">
        <x:v>+60123093525</x:v>
      </x:c>
      <x:c r="G4390" s="16" t="str">
        <x:v>+60123093525</x:v>
      </x:c>
      <x:c r="H4390" s="16" t="str">
        <x:v>Excluded</x:v>
      </x:c>
      <x:c r="I4390" s="16" t="str">
        <x:v>Missing email</x:v>
      </x:c>
    </x:row>
    <x:row r="4391">
      <x:c r="A4391" s="16" t="n">
        <x:v>4388</x:v>
      </x:c>
      <x:c r="B4391" s="16" t="str">
        <x:v>Mimi Bearbuekk</x:v>
      </x:c>
      <x:c r="C4391" s="16" t="str"/>
      <x:c r="D4391" s="16" t="str"/>
      <x:c r="E4391" s="16" t="str">
        <x:v>* myContacts</x:v>
      </x:c>
      <x:c r="F4391" s="16" t="str">
        <x:v>+601123129515</x:v>
      </x:c>
      <x:c r="G4391" s="16" t="str">
        <x:v>+601123129515</x:v>
      </x:c>
      <x:c r="H4391" s="16" t="str">
        <x:v>Excluded</x:v>
      </x:c>
      <x:c r="I4391" s="16" t="str">
        <x:v>Missing email</x:v>
      </x:c>
    </x:row>
    <x:row r="4392">
      <x:c r="A4392" s="16" t="n">
        <x:v>4389</x:v>
      </x:c>
      <x:c r="B4392" s="16" t="str">
        <x:v>Mimi Nazura</x:v>
      </x:c>
      <x:c r="C4392" s="16" t="str"/>
      <x:c r="D4392" s="16" t="str"/>
      <x:c r="E4392" s="16" t="str">
        <x:v>* myContacts</x:v>
      </x:c>
      <x:c r="F4392" s="16" t="str">
        <x:v>+60177668132</x:v>
      </x:c>
      <x:c r="G4392" s="16" t="str">
        <x:v>+60177668132</x:v>
      </x:c>
      <x:c r="H4392" s="16" t="str">
        <x:v>Excluded</x:v>
      </x:c>
      <x:c r="I4392" s="16" t="str">
        <x:v>Missing email</x:v>
      </x:c>
    </x:row>
    <x:row r="4393">
      <x:c r="A4393" s="16" t="n">
        <x:v>4390</x:v>
      </x:c>
      <x:c r="B4393" s="16" t="str">
        <x:v>Mimi Pedas Coachee</x:v>
      </x:c>
      <x:c r="C4393" s="16" t="str"/>
      <x:c r="D4393" s="16" t="str"/>
      <x:c r="E4393" s="16" t="str">
        <x:v>Trainer | * myContacts</x:v>
      </x:c>
      <x:c r="F4393" s="16" t="str">
        <x:v>+60124040494</x:v>
      </x:c>
      <x:c r="G4393" s="16" t="str">
        <x:v>+60124040494</x:v>
      </x:c>
      <x:c r="H4393" s="16" t="str">
        <x:v>Excluded</x:v>
      </x:c>
      <x:c r="I4393" s="16" t="str">
        <x:v>Missing email</x:v>
      </x:c>
    </x:row>
    <x:row r="4394">
      <x:c r="A4394" s="16" t="n">
        <x:v>4391</x:v>
      </x:c>
      <x:c r="B4394" s="16" t="str">
        <x:v>Dr Mimi Pedas Coachee</x:v>
      </x:c>
      <x:c r="C4394" s="16" t="str"/>
      <x:c r="D4394" s="16" t="str"/>
      <x:c r="E4394" s="16" t="str">
        <x:v>* myContacts</x:v>
      </x:c>
      <x:c r="F4394" s="16" t="str">
        <x:v>0124040494</x:v>
      </x:c>
      <x:c r="G4394" s="16" t="str">
        <x:v>+60124040494</x:v>
      </x:c>
      <x:c r="H4394" s="16" t="str">
        <x:v>Excluded</x:v>
      </x:c>
      <x:c r="I4394" s="16" t="str">
        <x:v>Missing email</x:v>
      </x:c>
    </x:row>
    <x:row r="4395">
      <x:c r="A4395" s="16" t="n">
        <x:v>4392</x:v>
      </x:c>
      <x:c r="B4395" s="16" t="str">
        <x:v>Dr Mimi Pedas Phone 2</x:v>
      </x:c>
      <x:c r="C4395" s="16" t="str"/>
      <x:c r="D4395" s="16" t="str"/>
      <x:c r="E4395" s="16" t="str">
        <x:v>* myContacts</x:v>
      </x:c>
      <x:c r="F4395" s="16" t="str">
        <x:v>+60 10-242 1413</x:v>
      </x:c>
      <x:c r="G4395" s="16" t="str">
        <x:v>+60102421413</x:v>
      </x:c>
      <x:c r="H4395" s="16" t="str">
        <x:v>Excluded</x:v>
      </x:c>
      <x:c r="I4395" s="16" t="str">
        <x:v>Missing email</x:v>
      </x:c>
    </x:row>
    <x:row r="4396">
      <x:c r="A4396" s="16" t="n">
        <x:v>4393</x:v>
      </x:c>
      <x:c r="B4396" s="16" t="str">
        <x:v>Mimi Zahra</x:v>
      </x:c>
      <x:c r="C4396" s="16" t="str"/>
      <x:c r="D4396" s="16" t="str"/>
      <x:c r="E4396" s="16" t="str">
        <x:v>* myContacts</x:v>
      </x:c>
      <x:c r="F4396" s="16" t="str">
        <x:v>+601115008240</x:v>
      </x:c>
      <x:c r="G4396" s="16" t="str">
        <x:v>+601115008240</x:v>
      </x:c>
      <x:c r="H4396" s="16" t="str">
        <x:v>Excluded</x:v>
      </x:c>
      <x:c r="I4396" s="16" t="str">
        <x:v>Missing email</x:v>
      </x:c>
    </x:row>
    <x:row r="4397">
      <x:c r="A4397" s="16" t="n">
        <x:v>4394</x:v>
      </x:c>
      <x:c r="B4397" s="16" t="str">
        <x:v>Mimie Mohd Rahim Lmg</x:v>
      </x:c>
      <x:c r="C4397" s="16" t="str"/>
      <x:c r="D4397" s="16" t="str"/>
      <x:c r="E4397" s="16" t="str">
        <x:v>* myContacts</x:v>
      </x:c>
      <x:c r="F4397" s="16" t="str">
        <x:v>+60176894725</x:v>
      </x:c>
      <x:c r="G4397" s="16" t="str">
        <x:v>+60176894725</x:v>
      </x:c>
      <x:c r="H4397" s="16" t="str">
        <x:v>Excluded</x:v>
      </x:c>
      <x:c r="I4397" s="16" t="str">
        <x:v>Missing email</x:v>
      </x:c>
    </x:row>
    <x:row r="4398">
      <x:c r="A4398" s="16" t="n">
        <x:v>4395</x:v>
      </x:c>
      <x:c r="B4398" s="16" t="str">
        <x:v>Mimie Sopy</x:v>
      </x:c>
      <x:c r="C4398" s="16" t="str"/>
      <x:c r="D4398" s="16" t="str"/>
      <x:c r="E4398" s="16" t="str">
        <x:v>* myContacts</x:v>
      </x:c>
      <x:c r="F4398" s="16" t="str">
        <x:v>+60125590390</x:v>
      </x:c>
      <x:c r="G4398" s="16" t="str">
        <x:v>+60125590390</x:v>
      </x:c>
      <x:c r="H4398" s="16" t="str">
        <x:v>Excluded</x:v>
      </x:c>
      <x:c r="I4398" s="16" t="str">
        <x:v>Missing email</x:v>
      </x:c>
    </x:row>
    <x:row r="4399">
      <x:c r="A4399" s="16" t="n">
        <x:v>4396</x:v>
      </x:c>
      <x:c r="B4399" s="16" t="str">
        <x:v>Min Tamidi</x:v>
      </x:c>
      <x:c r="C4399" s="16" t="str"/>
      <x:c r="D4399" s="16" t="str"/>
      <x:c r="E4399" s="16" t="str">
        <x:v>* myContacts</x:v>
      </x:c>
      <x:c r="F4399" s="16" t="str">
        <x:v>+60176195016</x:v>
      </x:c>
      <x:c r="G4399" s="16" t="str">
        <x:v>+60176195016</x:v>
      </x:c>
      <x:c r="H4399" s="16" t="str">
        <x:v>Excluded</x:v>
      </x:c>
      <x:c r="I4399" s="16" t="str">
        <x:v>Missing email</x:v>
      </x:c>
    </x:row>
    <x:row r="4400">
      <x:c r="A4400" s="16" t="n">
        <x:v>4397</x:v>
      </x:c>
      <x:c r="B4400" s="16" t="str">
        <x:v>Minah Comel</x:v>
      </x:c>
      <x:c r="C4400" s="16" t="str"/>
      <x:c r="D4400" s="16" t="str"/>
      <x:c r="E4400" s="16" t="str">
        <x:v>* myContacts</x:v>
      </x:c>
      <x:c r="F4400" s="16" t="str">
        <x:v>+60127911592</x:v>
      </x:c>
      <x:c r="G4400" s="16" t="str">
        <x:v>+60127911592</x:v>
      </x:c>
      <x:c r="H4400" s="16" t="str">
        <x:v>Excluded</x:v>
      </x:c>
      <x:c r="I4400" s="16" t="str">
        <x:v>Missing email</x:v>
      </x:c>
    </x:row>
    <x:row r="4401">
      <x:c r="A4401" s="16" t="n">
        <x:v>4398</x:v>
      </x:c>
      <x:c r="B4401" s="16" t="str">
        <x:v>Minah Jasmi</x:v>
      </x:c>
      <x:c r="C4401" s="16" t="str"/>
      <x:c r="D4401" s="16" t="str"/>
      <x:c r="E4401" s="16" t="str">
        <x:v>* myContacts</x:v>
      </x:c>
      <x:c r="F4401" s="16" t="str">
        <x:v>+601110604533</x:v>
      </x:c>
      <x:c r="G4401" s="16" t="str">
        <x:v>+601110604533</x:v>
      </x:c>
      <x:c r="H4401" s="16" t="str">
        <x:v>Excluded</x:v>
      </x:c>
      <x:c r="I4401" s="16" t="str">
        <x:v>Missing email</x:v>
      </x:c>
    </x:row>
    <x:row r="4402">
      <x:c r="A4402" s="16" t="n">
        <x:v>4399</x:v>
      </x:c>
      <x:c r="B4402" s="16" t="str">
        <x:v>Minda Aktif Minda Cemerlang</x:v>
      </x:c>
      <x:c r="C4402" s="16" t="str"/>
      <x:c r="D4402" s="16" t="str"/>
      <x:c r="E4402" s="16" t="str">
        <x:v>* myContacts</x:v>
      </x:c>
      <x:c r="F4402" s="16" t="str">
        <x:v>+60109118979</x:v>
      </x:c>
      <x:c r="G4402" s="16" t="str">
        <x:v>+60109118979</x:v>
      </x:c>
      <x:c r="H4402" s="16" t="str">
        <x:v>Excluded</x:v>
      </x:c>
      <x:c r="I4402" s="16" t="str">
        <x:v>Missing email</x:v>
      </x:c>
    </x:row>
    <x:row r="4403">
      <x:c r="A4403" s="16" t="n">
        <x:v>4400</x:v>
      </x:c>
      <x:c r="B4403" s="16" t="str">
        <x:v>Ming Tik Tok</x:v>
      </x:c>
      <x:c r="C4403" s="16" t="str"/>
      <x:c r="D4403" s="16" t="str"/>
      <x:c r="E4403" s="16" t="str">
        <x:v>* myContacts</x:v>
      </x:c>
      <x:c r="F4403" s="16" t="str">
        <x:v>+65 8182 2853 | +6581822853</x:v>
      </x:c>
      <x:c r="G4403" s="16" t="str">
        <x:v>+6581822853 | +6581822853</x:v>
      </x:c>
      <x:c r="H4403" s="16" t="str">
        <x:v>Excluded</x:v>
      </x:c>
      <x:c r="I4403" s="16" t="str">
        <x:v>Missing email</x:v>
      </x:c>
    </x:row>
    <x:row r="4404">
      <x:c r="A4404" s="16" t="n">
        <x:v>4401</x:v>
      </x:c>
      <x:c r="B4404" s="16" t="str">
        <x:v>Puan Khasimah Minyak Afiat</x:v>
      </x:c>
      <x:c r="C4404" s="16" t="str"/>
      <x:c r="D4404" s="16" t="str"/>
      <x:c r="E4404" s="16" t="str">
        <x:v>* myContacts</x:v>
      </x:c>
      <x:c r="F4404" s="16" t="str">
        <x:v>+60125220145</x:v>
      </x:c>
      <x:c r="G4404" s="16" t="str">
        <x:v>+60125220145</x:v>
      </x:c>
      <x:c r="H4404" s="16" t="str">
        <x:v>Excluded</x:v>
      </x:c>
      <x:c r="I4404" s="16" t="str">
        <x:v>Missing email</x:v>
      </x:c>
    </x:row>
    <x:row r="4405">
      <x:c r="A4405" s="16" t="n">
        <x:v>4402</x:v>
      </x:c>
      <x:c r="B4405" s="16" t="str">
        <x:v>Minyak Angin Aromatherapy Freshcare</x:v>
      </x:c>
      <x:c r="C4405" s="16" t="str"/>
      <x:c r="D4405" s="16" t="str"/>
      <x:c r="E4405" s="16" t="str">
        <x:v>* myContacts</x:v>
      </x:c>
      <x:c r="F4405" s="16" t="str">
        <x:v>+60147965895</x:v>
      </x:c>
      <x:c r="G4405" s="16" t="str">
        <x:v>+60147965895</x:v>
      </x:c>
      <x:c r="H4405" s="16" t="str">
        <x:v>Excluded</x:v>
      </x:c>
      <x:c r="I4405" s="16" t="str">
        <x:v>Missing email</x:v>
      </x:c>
    </x:row>
    <x:row r="4406">
      <x:c r="A4406" s="16" t="n">
        <x:v>4403</x:v>
      </x:c>
      <x:c r="B4406" s="16" t="str">
        <x:v>minyak urut bc100</x:v>
      </x:c>
      <x:c r="C4406" s="16" t="str"/>
      <x:c r="D4406" s="16" t="str"/>
      <x:c r="E4406" s="16" t="str">
        <x:v>* myContacts</x:v>
      </x:c>
      <x:c r="F4406" s="16" t="str">
        <x:v>+60 11-1274 2454</x:v>
      </x:c>
      <x:c r="G4406" s="16" t="str">
        <x:v>+601112742454</x:v>
      </x:c>
      <x:c r="H4406" s="16" t="str">
        <x:v>Excluded</x:v>
      </x:c>
      <x:c r="I4406" s="16" t="str">
        <x:v>Missing email</x:v>
      </x:c>
    </x:row>
    <x:row r="4407">
      <x:c r="A4407" s="16" t="n">
        <x:v>4404</x:v>
      </x:c>
      <x:c r="B4407" s="16" t="str">
        <x:v>Mior Azhar</x:v>
      </x:c>
      <x:c r="C4407" s="16" t="str"/>
      <x:c r="D4407" s="16" t="str"/>
      <x:c r="E4407" s="16" t="str">
        <x:v>* myContacts</x:v>
      </x:c>
      <x:c r="F4407" s="16" t="str">
        <x:v>+60133100020</x:v>
      </x:c>
      <x:c r="G4407" s="16" t="str">
        <x:v>+60133100020</x:v>
      </x:c>
      <x:c r="H4407" s="16" t="str">
        <x:v>Excluded</x:v>
      </x:c>
      <x:c r="I4407" s="16" t="str">
        <x:v>Missing email</x:v>
      </x:c>
    </x:row>
    <x:row r="4408">
      <x:c r="A4408" s="16" t="n">
        <x:v>4405</x:v>
      </x:c>
      <x:c r="B4408" s="16" t="str">
        <x:v>Mira Al-yahya</x:v>
      </x:c>
      <x:c r="C4408" s="16" t="str"/>
      <x:c r="D4408" s="16" t="str"/>
      <x:c r="E4408" s="16" t="str">
        <x:v>* myContacts</x:v>
      </x:c>
      <x:c r="F4408" s="16" t="str">
        <x:v>+60145168720</x:v>
      </x:c>
      <x:c r="G4408" s="16" t="str">
        <x:v>+60145168720</x:v>
      </x:c>
      <x:c r="H4408" s="16" t="str">
        <x:v>Excluded</x:v>
      </x:c>
      <x:c r="I4408" s="16" t="str">
        <x:v>Missing email</x:v>
      </x:c>
    </x:row>
    <x:row r="4409">
      <x:c r="A4409" s="16" t="n">
        <x:v>4406</x:v>
      </x:c>
      <x:c r="B4409" s="16" t="str">
        <x:v>Mira Amy</x:v>
      </x:c>
      <x:c r="C4409" s="16" t="str"/>
      <x:c r="D4409" s="16" t="str"/>
      <x:c r="E4409" s="16" t="str">
        <x:v>* myContacts</x:v>
      </x:c>
      <x:c r="F4409" s="16" t="str">
        <x:v>+60176031646</x:v>
      </x:c>
      <x:c r="G4409" s="16" t="str">
        <x:v>+60176031646</x:v>
      </x:c>
      <x:c r="H4409" s="16" t="str">
        <x:v>Excluded</x:v>
      </x:c>
      <x:c r="I4409" s="16" t="str">
        <x:v>Missing email</x:v>
      </x:c>
    </x:row>
    <x:row r="4410">
      <x:c r="A4410" s="16" t="n">
        <x:v>4407</x:v>
      </x:c>
      <x:c r="B4410" s="16" t="str">
        <x:v>Mira Helmi Umair</x:v>
      </x:c>
      <x:c r="C4410" s="16" t="str"/>
      <x:c r="D4410" s="16" t="str"/>
      <x:c r="E4410" s="16" t="str">
        <x:v>* myContacts</x:v>
      </x:c>
      <x:c r="F4410" s="16" t="str">
        <x:v>+60122976485</x:v>
      </x:c>
      <x:c r="G4410" s="16" t="str">
        <x:v>+60122976485</x:v>
      </x:c>
      <x:c r="H4410" s="16" t="str">
        <x:v>Excluded</x:v>
      </x:c>
      <x:c r="I4410" s="16" t="str">
        <x:v>Missing email</x:v>
      </x:c>
    </x:row>
    <x:row r="4411">
      <x:c r="A4411" s="16" t="n">
        <x:v>4408</x:v>
      </x:c>
      <x:c r="B4411" s="16" t="str">
        <x:v>Mira MN</x:v>
      </x:c>
      <x:c r="C4411" s="16" t="str"/>
      <x:c r="D4411" s="16" t="str"/>
      <x:c r="E4411" s="16" t="str">
        <x:v>* myContacts</x:v>
      </x:c>
      <x:c r="F4411" s="16" t="str">
        <x:v>+60142118986</x:v>
      </x:c>
      <x:c r="G4411" s="16" t="str">
        <x:v>+60142118986</x:v>
      </x:c>
      <x:c r="H4411" s="16" t="str">
        <x:v>Excluded</x:v>
      </x:c>
      <x:c r="I4411" s="16" t="str">
        <x:v>Missing email</x:v>
      </x:c>
    </x:row>
    <x:row r="4412">
      <x:c r="A4412" s="16" t="n">
        <x:v>4409</x:v>
      </x:c>
      <x:c r="B4412" s="16" t="str">
        <x:v>Mira Putri Wahida</x:v>
      </x:c>
      <x:c r="C4412" s="16" t="str"/>
      <x:c r="D4412" s="16" t="str"/>
      <x:c r="E4412" s="16" t="str">
        <x:v>* myContacts</x:v>
      </x:c>
      <x:c r="F4412" s="16" t="str">
        <x:v>+601139377242</x:v>
      </x:c>
      <x:c r="G4412" s="16" t="str">
        <x:v>+601139377242</x:v>
      </x:c>
      <x:c r="H4412" s="16" t="str">
        <x:v>Excluded</x:v>
      </x:c>
      <x:c r="I4412" s="16" t="str">
        <x:v>Missing email</x:v>
      </x:c>
    </x:row>
    <x:row r="4413">
      <x:c r="A4413" s="16" t="n">
        <x:v>4410</x:v>
      </x:c>
      <x:c r="B4413" s="16" t="str">
        <x:v>Mira Sanim</x:v>
      </x:c>
      <x:c r="C4413" s="16" t="str"/>
      <x:c r="D4413" s="16" t="str"/>
      <x:c r="E4413" s="16" t="str">
        <x:v>* myContacts</x:v>
      </x:c>
      <x:c r="F4413" s="16" t="str">
        <x:v>+60179643244</x:v>
      </x:c>
      <x:c r="G4413" s="16" t="str">
        <x:v>+60179643244</x:v>
      </x:c>
      <x:c r="H4413" s="16" t="str">
        <x:v>Excluded</x:v>
      </x:c>
      <x:c r="I4413" s="16" t="str">
        <x:v>Missing email</x:v>
      </x:c>
    </x:row>
    <x:row r="4414">
      <x:c r="A4414" s="16" t="n">
        <x:v>4411</x:v>
      </x:c>
      <x:c r="B4414" s="16" t="str">
        <x:v>Mira Staff Story Telling</x:v>
      </x:c>
      <x:c r="C4414" s="16" t="str"/>
      <x:c r="D4414" s="16" t="str"/>
      <x:c r="E4414" s="16" t="str">
        <x:v>* myContacts</x:v>
      </x:c>
      <x:c r="F4414" s="16" t="str">
        <x:v>+60 16-524 7023 | +60165247023</x:v>
      </x:c>
      <x:c r="G4414" s="16" t="str">
        <x:v>+60165247023 | +60165247023</x:v>
      </x:c>
      <x:c r="H4414" s="16" t="str">
        <x:v>Excluded</x:v>
      </x:c>
      <x:c r="I4414" s="16" t="str">
        <x:v>Missing email</x:v>
      </x:c>
    </x:row>
    <x:row r="4415">
      <x:c r="A4415" s="16" t="n">
        <x:v>4412</x:v>
      </x:c>
      <x:c r="B4415" s="16" t="str">
        <x:v>Miratie Azman</x:v>
      </x:c>
      <x:c r="C4415" s="16" t="str"/>
      <x:c r="D4415" s="16" t="str"/>
      <x:c r="E4415" s="16" t="str">
        <x:v>* myContacts</x:v>
      </x:c>
      <x:c r="F4415" s="16" t="str">
        <x:v>+601126774506</x:v>
      </x:c>
      <x:c r="G4415" s="16" t="str">
        <x:v>+601126774506</x:v>
      </x:c>
      <x:c r="H4415" s="16" t="str">
        <x:v>Excluded</x:v>
      </x:c>
      <x:c r="I4415" s="16" t="str">
        <x:v>Missing email</x:v>
      </x:c>
    </x:row>
    <x:row r="4416">
      <x:c r="A4416" s="16" t="n">
        <x:v>4413</x:v>
      </x:c>
      <x:c r="B4416" s="16" t="str">
        <x:v>MirMaju Tan</x:v>
      </x:c>
      <x:c r="C4416" s="16" t="str"/>
      <x:c r="D4416" s="16" t="str"/>
      <x:c r="E4416" s="16" t="str">
        <x:v>* myContacts</x:v>
      </x:c>
      <x:c r="F4416" s="16" t="str">
        <x:v>+60 13-333 8010 | +60133338010</x:v>
      </x:c>
      <x:c r="G4416" s="16" t="str">
        <x:v>+60133338010 | +60133338010</x:v>
      </x:c>
      <x:c r="H4416" s="16" t="str">
        <x:v>Excluded</x:v>
      </x:c>
      <x:c r="I4416" s="16" t="str">
        <x:v>Missing email</x:v>
      </x:c>
    </x:row>
    <x:row r="4417">
      <x:c r="A4417" s="16" t="n">
        <x:v>4414</x:v>
      </x:c>
      <x:c r="B4417" s="16" t="str">
        <x:v>Mirol Kasap</x:v>
      </x:c>
      <x:c r="C4417" s="16" t="str"/>
      <x:c r="D4417" s="16" t="str"/>
      <x:c r="E4417" s="16" t="str">
        <x:v>* myContacts</x:v>
      </x:c>
      <x:c r="F4417" s="16" t="str">
        <x:v>+60177135425</x:v>
      </x:c>
      <x:c r="G4417" s="16" t="str">
        <x:v>+60177135425</x:v>
      </x:c>
      <x:c r="H4417" s="16" t="str">
        <x:v>Excluded</x:v>
      </x:c>
      <x:c r="I4417" s="16" t="str">
        <x:v>Missing email</x:v>
      </x:c>
    </x:row>
    <x:row r="4418">
      <x:c r="A4418" s="16" t="n">
        <x:v>4415</x:v>
      </x:c>
      <x:c r="B4418" s="16" t="str">
        <x:v>Mishlih AGP</x:v>
      </x:c>
      <x:c r="C4418" s="16" t="str"/>
      <x:c r="D4418" s="16" t="str"/>
      <x:c r="E4418" s="16" t="str">
        <x:v>* myContacts</x:v>
      </x:c>
      <x:c r="F4418" s="16" t="str">
        <x:v>+60 19-535 7582 | +60195357582</x:v>
      </x:c>
      <x:c r="G4418" s="16" t="str">
        <x:v>+60195357582 | +60195357582</x:v>
      </x:c>
      <x:c r="H4418" s="16" t="str">
        <x:v>Excluded</x:v>
      </x:c>
      <x:c r="I4418" s="16" t="str">
        <x:v>Missing email</x:v>
      </x:c>
    </x:row>
    <x:row r="4419">
      <x:c r="A4419" s="16" t="n">
        <x:v>4416</x:v>
      </x:c>
      <x:c r="B4419" s="16" t="str">
        <x:v>mishwan agp</x:v>
      </x:c>
      <x:c r="C4419" s="16" t="str"/>
      <x:c r="D4419" s="16" t="str"/>
      <x:c r="E4419" s="16" t="str">
        <x:v>* myContacts</x:v>
      </x:c>
      <x:c r="F4419" s="16" t="str">
        <x:v>+60 19-466 4900 | +60194664900</x:v>
      </x:c>
      <x:c r="G4419" s="16" t="str">
        <x:v>+60194664900 | +60194664900</x:v>
      </x:c>
      <x:c r="H4419" s="16" t="str">
        <x:v>Excluded</x:v>
      </x:c>
      <x:c r="I4419" s="16" t="str">
        <x:v>Missing email</x:v>
      </x:c>
    </x:row>
    <x:row r="4420">
      <x:c r="A4420" s="16" t="n">
        <x:v>4417</x:v>
      </x:c>
      <x:c r="B4420" s="16" t="str">
        <x:v>Misiah Mizzs</x:v>
      </x:c>
      <x:c r="C4420" s="16" t="str"/>
      <x:c r="D4420" s="16" t="str"/>
      <x:c r="E4420" s="16" t="str">
        <x:v>* myContacts</x:v>
      </x:c>
      <x:c r="F4420" s="16" t="str">
        <x:v>+601120711530</x:v>
      </x:c>
      <x:c r="G4420" s="16" t="str">
        <x:v>+601120711530</x:v>
      </x:c>
      <x:c r="H4420" s="16" t="str">
        <x:v>Excluded</x:v>
      </x:c>
      <x:c r="I4420" s="16" t="str">
        <x:v>Missing email</x:v>
      </x:c>
    </x:row>
    <x:row r="4421">
      <x:c r="A4421" s="16" t="n">
        <x:v>4418</x:v>
      </x:c>
      <x:c r="B4421" s="16" t="str">
        <x:v>Miskan Jauari</x:v>
      </x:c>
      <x:c r="C4421" s="16" t="str"/>
      <x:c r="D4421" s="16" t="str"/>
      <x:c r="E4421" s="16" t="str">
        <x:v>* myContacts</x:v>
      </x:c>
      <x:c r="F4421" s="16" t="str">
        <x:v>+60196768091</x:v>
      </x:c>
      <x:c r="G4421" s="16" t="str">
        <x:v>+60196768091</x:v>
      </x:c>
      <x:c r="H4421" s="16" t="str">
        <x:v>Excluded</x:v>
      </x:c>
      <x:c r="I4421" s="16" t="str">
        <x:v>Missing email</x:v>
      </x:c>
    </x:row>
    <x:row r="4422">
      <x:c r="A4422" s="16" t="n">
        <x:v>4419</x:v>
      </x:c>
      <x:c r="B4422" s="16" t="str">
        <x:v>Misri Rumah Homestay</x:v>
      </x:c>
      <x:c r="C4422" s="16" t="str"/>
      <x:c r="D4422" s="16" t="str"/>
      <x:c r="E4422" s="16" t="str">
        <x:v>* myContacts</x:v>
      </x:c>
      <x:c r="F4422" s="16" t="str">
        <x:v>+60 13-492 7531 | +60134927531</x:v>
      </x:c>
      <x:c r="G4422" s="16" t="str">
        <x:v>+60134927531 | +60134927531</x:v>
      </x:c>
      <x:c r="H4422" s="16" t="str">
        <x:v>Excluded</x:v>
      </x:c>
      <x:c r="I4422" s="16" t="str">
        <x:v>Missing email</x:v>
      </x:c>
    </x:row>
    <x:row r="4423">
      <x:c r="A4423" s="16" t="n">
        <x:v>4420</x:v>
      </x:c>
      <x:c r="B4423" s="16" t="str">
        <x:v>Miss Janet (Lawyer Member K Sherry)</x:v>
      </x:c>
      <x:c r="C4423" s="16" t="str"/>
      <x:c r="D4423" s="16" t="str"/>
      <x:c r="E4423" s="16" t="str">
        <x:v>* myContacts</x:v>
      </x:c>
      <x:c r="F4423" s="16" t="str">
        <x:v>+60 12-522 3329 | +60125223329</x:v>
      </x:c>
      <x:c r="G4423" s="16" t="str">
        <x:v>+60125223329 | +60125223329</x:v>
      </x:c>
      <x:c r="H4423" s="16" t="str">
        <x:v>Excluded</x:v>
      </x:c>
      <x:c r="I4423" s="16" t="str">
        <x:v>Missing email</x:v>
      </x:c>
    </x:row>
    <x:row r="4424">
      <x:c r="A4424" s="16" t="n">
        <x:v>4421</x:v>
      </x:c>
      <x:c r="B4424" s="16" t="str">
        <x:v>Misslara Filzah</x:v>
      </x:c>
      <x:c r="C4424" s="16" t="str"/>
      <x:c r="D4424" s="16" t="str"/>
      <x:c r="E4424" s="16" t="str">
        <x:v>* myContacts</x:v>
      </x:c>
      <x:c r="F4424" s="16" t="str">
        <x:v>+60182303981</x:v>
      </x:c>
      <x:c r="G4424" s="16" t="str">
        <x:v>+60182303981</x:v>
      </x:c>
      <x:c r="H4424" s="16" t="str">
        <x:v>Excluded</x:v>
      </x:c>
      <x:c r="I4424" s="16" t="str">
        <x:v>Missing email</x:v>
      </x:c>
    </x:row>
    <x:row r="4425">
      <x:c r="A4425" s="16" t="n">
        <x:v>4422</x:v>
      </x:c>
      <x:c r="B4425" s="16" t="str">
        <x:v>Mitsubishi Sendang Temerloh</x:v>
      </x:c>
      <x:c r="C4425" s="16" t="str"/>
      <x:c r="D4425" s="16" t="str"/>
      <x:c r="E4425" s="16" t="str">
        <x:v>* myContacts</x:v>
      </x:c>
      <x:c r="F4425" s="16" t="str">
        <x:v>+60177692881</x:v>
      </x:c>
      <x:c r="G4425" s="16" t="str">
        <x:v>+60177692881</x:v>
      </x:c>
      <x:c r="H4425" s="16" t="str">
        <x:v>Excluded</x:v>
      </x:c>
      <x:c r="I4425" s="16" t="str">
        <x:v>Missing email</x:v>
      </x:c>
    </x:row>
    <x:row r="4426">
      <x:c r="A4426" s="16" t="n">
        <x:v>4423</x:v>
      </x:c>
      <x:c r="B4426" s="16" t="str">
        <x:v>Miya Amerra Babycrab Chocolovers</x:v>
      </x:c>
      <x:c r="C4426" s="16" t="str"/>
      <x:c r="D4426" s="16" t="str"/>
      <x:c r="E4426" s="16" t="str">
        <x:v>* myContacts</x:v>
      </x:c>
      <x:c r="F4426" s="16" t="str">
        <x:v>+60179224409</x:v>
      </x:c>
      <x:c r="G4426" s="16" t="str">
        <x:v>+60179224409</x:v>
      </x:c>
      <x:c r="H4426" s="16" t="str">
        <x:v>Excluded</x:v>
      </x:c>
      <x:c r="I4426" s="16" t="str">
        <x:v>Missing email</x:v>
      </x:c>
    </x:row>
    <x:row r="4427">
      <x:c r="A4427" s="16" t="n">
        <x:v>4424</x:v>
      </x:c>
      <x:c r="B4427" s="16" t="str">
        <x:v>Miz Khaty</x:v>
      </x:c>
      <x:c r="C4427" s="16" t="str"/>
      <x:c r="D4427" s="16" t="str"/>
      <x:c r="E4427" s="16" t="str">
        <x:v>* myContacts</x:v>
      </x:c>
      <x:c r="F4427" s="16" t="str">
        <x:v>+60194445353</x:v>
      </x:c>
      <x:c r="G4427" s="16" t="str">
        <x:v>+60194445353</x:v>
      </x:c>
      <x:c r="H4427" s="16" t="str">
        <x:v>Excluded</x:v>
      </x:c>
      <x:c r="I4427" s="16" t="str">
        <x:v>Missing email</x:v>
      </x:c>
    </x:row>
    <x:row r="4428">
      <x:c r="A4428" s="16" t="n">
        <x:v>4425</x:v>
      </x:c>
      <x:c r="B4428" s="16" t="str">
        <x:v>Mizan Seutara Keselatan</x:v>
      </x:c>
      <x:c r="C4428" s="16" t="str"/>
      <x:c r="D4428" s="16" t="str"/>
      <x:c r="E4428" s="16" t="str">
        <x:v>* myContacts</x:v>
      </x:c>
      <x:c r="F4428" s="16" t="str">
        <x:v>+60196953689</x:v>
      </x:c>
      <x:c r="G4428" s="16" t="str">
        <x:v>+60196953689</x:v>
      </x:c>
      <x:c r="H4428" s="16" t="str">
        <x:v>Excluded</x:v>
      </x:c>
      <x:c r="I4428" s="16" t="str">
        <x:v>Missing email</x:v>
      </x:c>
    </x:row>
    <x:row r="4429">
      <x:c r="A4429" s="16" t="n">
        <x:v>4426</x:v>
      </x:c>
      <x:c r="B4429" s="16" t="str">
        <x:v>Mizan Trainer</x:v>
      </x:c>
      <x:c r="C4429" s="16" t="str"/>
      <x:c r="D4429" s="16" t="str"/>
      <x:c r="E4429" s="16" t="str">
        <x:v>Trainer | * myContacts</x:v>
      </x:c>
      <x:c r="F4429" s="16" t="str">
        <x:v>+60 12-218 9918 | +60122189918</x:v>
      </x:c>
      <x:c r="G4429" s="16" t="str">
        <x:v>+60122189918 | +60122189918</x:v>
      </x:c>
      <x:c r="H4429" s="16" t="str">
        <x:v>Excluded</x:v>
      </x:c>
      <x:c r="I4429" s="16" t="str">
        <x:v>Missing email</x:v>
      </x:c>
    </x:row>
    <x:row r="4430">
      <x:c r="A4430" s="16" t="n">
        <x:v>4427</x:v>
      </x:c>
      <x:c r="B4430" s="16" t="str">
        <x:v>Mizi UTM</x:v>
      </x:c>
      <x:c r="C4430" s="16" t="str"/>
      <x:c r="D4430" s="16" t="str"/>
      <x:c r="E4430" s="16" t="str">
        <x:v>* myContacts</x:v>
      </x:c>
      <x:c r="F4430" s="16" t="str">
        <x:v>+60132374637</x:v>
      </x:c>
      <x:c r="G4430" s="16" t="str">
        <x:v>+60132374637</x:v>
      </x:c>
      <x:c r="H4430" s="16" t="str">
        <x:v>Excluded</x:v>
      </x:c>
      <x:c r="I4430" s="16" t="str">
        <x:v>Missing email</x:v>
      </x:c>
    </x:row>
    <x:row r="4431">
      <x:c r="A4431" s="16" t="n">
        <x:v>4428</x:v>
      </x:c>
      <x:c r="B4431" s="16" t="str">
        <x:v>MizTa SilentKiller</x:v>
      </x:c>
      <x:c r="C4431" s="16" t="str"/>
      <x:c r="D4431" s="16" t="str"/>
      <x:c r="E4431" s="16" t="str">
        <x:v>* myContacts</x:v>
      </x:c>
      <x:c r="F4431" s="16" t="str">
        <x:v>+601139391454</x:v>
      </x:c>
      <x:c r="G4431" s="16" t="str">
        <x:v>+601139391454</x:v>
      </x:c>
      <x:c r="H4431" s="16" t="str">
        <x:v>Excluded</x:v>
      </x:c>
      <x:c r="I4431" s="16" t="str">
        <x:v>Missing email</x:v>
      </x:c>
    </x:row>
    <x:row r="4432">
      <x:c r="A4432" s="16" t="n">
        <x:v>4429</x:v>
      </x:c>
      <x:c r="B4432" s="16" t="str">
        <x:v>MN AL Falah</x:v>
      </x:c>
      <x:c r="C4432" s="16" t="str"/>
      <x:c r="D4432" s="16" t="str"/>
      <x:c r="E4432" s="16" t="str">
        <x:v>* myContacts</x:v>
      </x:c>
      <x:c r="F4432" s="16" t="str">
        <x:v>+60122526499</x:v>
      </x:c>
      <x:c r="G4432" s="16" t="str">
        <x:v>+60122526499</x:v>
      </x:c>
      <x:c r="H4432" s="16" t="str">
        <x:v>Excluded</x:v>
      </x:c>
      <x:c r="I4432" s="16" t="str">
        <x:v>Missing email</x:v>
      </x:c>
    </x:row>
    <x:row r="4433">
      <x:c r="A4433" s="16" t="n">
        <x:v>4430</x:v>
      </x:c>
      <x:c r="B4433" s="16" t="str">
        <x:v>Mnd Aircond</x:v>
      </x:c>
      <x:c r="C4433" s="16" t="str"/>
      <x:c r="D4433" s="16" t="str"/>
      <x:c r="E4433" s="16" t="str">
        <x:v>* myContacts</x:v>
      </x:c>
      <x:c r="F4433" s="16" t="str">
        <x:v>+60173611442</x:v>
      </x:c>
      <x:c r="G4433" s="16" t="str">
        <x:v>+60173611442</x:v>
      </x:c>
      <x:c r="H4433" s="16" t="str">
        <x:v>Excluded</x:v>
      </x:c>
      <x:c r="I4433" s="16" t="str">
        <x:v>Missing email</x:v>
      </x:c>
    </x:row>
    <x:row r="4434">
      <x:c r="A4434" s="16" t="n">
        <x:v>4431</x:v>
      </x:c>
      <x:c r="B4434" s="16" t="str">
        <x:v>Mnoh Eka</x:v>
      </x:c>
      <x:c r="C4434" s="16" t="str"/>
      <x:c r="D4434" s="16" t="str"/>
      <x:c r="E4434" s="16" t="str">
        <x:v>* myContacts</x:v>
      </x:c>
      <x:c r="F4434" s="16" t="str">
        <x:v>+855963786873</x:v>
      </x:c>
      <x:c r="G4434" s="16" t="str">
        <x:v>+855963786873</x:v>
      </x:c>
      <x:c r="H4434" s="16" t="str">
        <x:v>Excluded</x:v>
      </x:c>
      <x:c r="I4434" s="16" t="str">
        <x:v>Missing email</x:v>
      </x:c>
    </x:row>
    <x:row r="4435">
      <x:c r="A4435" s="16" t="n">
        <x:v>4432</x:v>
      </x:c>
      <x:c r="B4435" s="16" t="str">
        <x:v>Moch Suryo Wicaksono</x:v>
      </x:c>
      <x:c r="C4435" s="16" t="str"/>
      <x:c r="D4435" s="16" t="str"/>
      <x:c r="E4435" s="16" t="str">
        <x:v>* myContacts</x:v>
      </x:c>
      <x:c r="F4435" s="16" t="str">
        <x:v>+81333888888</x:v>
      </x:c>
      <x:c r="G4435" s="16" t="str">
        <x:v>+81333888888</x:v>
      </x:c>
      <x:c r="H4435" s="16" t="str">
        <x:v>Excluded</x:v>
      </x:c>
      <x:c r="I4435" s="16" t="str">
        <x:v>Missing email</x:v>
      </x:c>
    </x:row>
    <x:row r="4436">
      <x:c r="A4436" s="16" t="n">
        <x:v>4433</x:v>
      </x:c>
      <x:c r="B4436" s="16" t="str">
        <x:v>Mocky Dina Full</x:v>
      </x:c>
      <x:c r="C4436" s="16" t="str"/>
      <x:c r="D4436" s="16" t="str"/>
      <x:c r="E4436" s="16" t="str">
        <x:v>* myContacts</x:v>
      </x:c>
      <x:c r="F4436" s="16" t="str">
        <x:v>+60172731858</x:v>
      </x:c>
      <x:c r="G4436" s="16" t="str">
        <x:v>+60172731858</x:v>
      </x:c>
      <x:c r="H4436" s="16" t="str">
        <x:v>Excluded</x:v>
      </x:c>
      <x:c r="I4436" s="16" t="str">
        <x:v>Missing email</x:v>
      </x:c>
    </x:row>
    <x:row r="4437">
      <x:c r="A4437" s="16" t="n">
        <x:v>4434</x:v>
      </x:c>
      <x:c r="B4437" s="16" t="str">
        <x:v>Mohamad Akmal Bin Mohamad Anuar</x:v>
      </x:c>
      <x:c r="C4437" s="16" t="str">
        <x:v>akmalfas92@gmail.com</x:v>
      </x:c>
      <x:c r="D4437" s="16" t="str">
        <x:v>akmalfas92@gmail.com</x:v>
      </x:c>
      <x:c r="E4437" s="16" t="str">
        <x:v>* myContacts</x:v>
      </x:c>
      <x:c r="F4437" s="16" t="str">
        <x:v>0173095773 | +60173095773</x:v>
      </x:c>
      <x:c r="G4437" s="16" t="str">
        <x:v>+60173095773 | +60173095773</x:v>
      </x:c>
      <x:c r="H4437" s="16" t="str">
        <x:v>Eligible</x:v>
      </x:c>
      <x:c r="I4437" s="16" t="str"/>
    </x:row>
    <x:row r="4438">
      <x:c r="A4438" s="16" t="n">
        <x:v>4435</x:v>
      </x:c>
      <x:c r="B4438" s="16" t="str">
        <x:v>Mohamad Alfi DPIM Perak</x:v>
      </x:c>
      <x:c r="C4438" s="16" t="str"/>
      <x:c r="D4438" s="16" t="str"/>
      <x:c r="E4438" s="16" t="str">
        <x:v>* myContacts</x:v>
      </x:c>
      <x:c r="F4438" s="16" t="str">
        <x:v>013-210 0086 | +60132100086</x:v>
      </x:c>
      <x:c r="G4438" s="16" t="str">
        <x:v>+60132100086 | +60132100086</x:v>
      </x:c>
      <x:c r="H4438" s="16" t="str">
        <x:v>Excluded</x:v>
      </x:c>
      <x:c r="I4438" s="16" t="str">
        <x:v>Missing email</x:v>
      </x:c>
    </x:row>
    <x:row r="4439">
      <x:c r="A4439" s="16" t="n">
        <x:v>4436</x:v>
      </x:c>
      <x:c r="B4439" s="16" t="str">
        <x:v>Mohamad Aman Ismail</x:v>
      </x:c>
      <x:c r="C4439" s="16" t="str"/>
      <x:c r="D4439" s="16" t="str"/>
      <x:c r="E4439" s="16" t="str">
        <x:v>* myContacts</x:v>
      </x:c>
      <x:c r="F4439" s="16" t="str">
        <x:v>+60139519435</x:v>
      </x:c>
      <x:c r="G4439" s="16" t="str">
        <x:v>+60139519435</x:v>
      </x:c>
      <x:c r="H4439" s="16" t="str">
        <x:v>Excluded</x:v>
      </x:c>
      <x:c r="I4439" s="16" t="str">
        <x:v>Missing email</x:v>
      </x:c>
    </x:row>
    <x:row r="4440">
      <x:c r="A4440" s="16" t="n">
        <x:v>4437</x:v>
      </x:c>
      <x:c r="B4440" s="16" t="str">
        <x:v>Mohamad Aminuddin</x:v>
      </x:c>
      <x:c r="C4440" s="16" t="str"/>
      <x:c r="D4440" s="16" t="str"/>
      <x:c r="E4440" s="16" t="str">
        <x:v>* myContacts</x:v>
      </x:c>
      <x:c r="F4440" s="16" t="str">
        <x:v>+60179199863</x:v>
      </x:c>
      <x:c r="G4440" s="16" t="str">
        <x:v>+60179199863</x:v>
      </x:c>
      <x:c r="H4440" s="16" t="str">
        <x:v>Excluded</x:v>
      </x:c>
      <x:c r="I4440" s="16" t="str">
        <x:v>Missing email</x:v>
      </x:c>
    </x:row>
    <x:row r="4441">
      <x:c r="A4441" s="16" t="n">
        <x:v>4438</x:v>
      </x:c>
      <x:c r="B4441" s="16" t="str">
        <x:v>Mohamad Ashik</x:v>
      </x:c>
      <x:c r="C4441" s="16" t="str"/>
      <x:c r="D4441" s="16" t="str"/>
      <x:c r="E4441" s="16" t="str">
        <x:v>* myContacts</x:v>
      </x:c>
      <x:c r="F4441" s="16" t="str">
        <x:v>+60174549782</x:v>
      </x:c>
      <x:c r="G4441" s="16" t="str">
        <x:v>+60174549782</x:v>
      </x:c>
      <x:c r="H4441" s="16" t="str">
        <x:v>Excluded</x:v>
      </x:c>
      <x:c r="I4441" s="16" t="str">
        <x:v>Missing email</x:v>
      </x:c>
    </x:row>
    <x:row r="4442">
      <x:c r="A4442" s="16" t="n">
        <x:v>4439</x:v>
      </x:c>
      <x:c r="B4442" s="16" t="str">
        <x:v>Mohamad Asyaraf Bin Rosli Agent Essens</x:v>
      </x:c>
      <x:c r="C4442" s="16" t="str"/>
      <x:c r="D4442" s="16" t="str"/>
      <x:c r="E4442" s="16" t="str">
        <x:v>* myContacts</x:v>
      </x:c>
      <x:c r="F4442" s="16" t="str">
        <x:v>+60 11-1129 0326 | +601111290326</x:v>
      </x:c>
      <x:c r="G4442" s="16" t="str">
        <x:v>+601111290326 | +601111290326</x:v>
      </x:c>
      <x:c r="H4442" s="16" t="str">
        <x:v>Excluded</x:v>
      </x:c>
      <x:c r="I4442" s="16" t="str">
        <x:v>Missing email</x:v>
      </x:c>
    </x:row>
    <x:row r="4443">
      <x:c r="A4443" s="16" t="n">
        <x:v>4440</x:v>
      </x:c>
      <x:c r="B4443" s="16" t="str">
        <x:v>Mohamad Asyuat Carl's</x:v>
      </x:c>
      <x:c r="C4443" s="16" t="str"/>
      <x:c r="D4443" s="16" t="str"/>
      <x:c r="E4443" s="16" t="str">
        <x:v>* myContacts</x:v>
      </x:c>
      <x:c r="F4443" s="16" t="str">
        <x:v>+60166463483</x:v>
      </x:c>
      <x:c r="G4443" s="16" t="str">
        <x:v>+60166463483</x:v>
      </x:c>
      <x:c r="H4443" s="16" t="str">
        <x:v>Excluded</x:v>
      </x:c>
      <x:c r="I4443" s="16" t="str">
        <x:v>Missing email</x:v>
      </x:c>
    </x:row>
    <x:row r="4444">
      <x:c r="A4444" s="16" t="n">
        <x:v>4441</x:v>
      </x:c>
      <x:c r="B4444" s="16" t="str">
        <x:v>Mohamad Azad Ali b. Mohd Wafa</x:v>
      </x:c>
      <x:c r="C4444" s="16" t="str">
        <x:v>azad.ali@ttdiresources.co.cc</x:v>
      </x:c>
      <x:c r="D4444" s="16" t="str">
        <x:v>azad.ali@ttdiresources.co.cc</x:v>
      </x:c>
      <x:c r="E4444" s="16" t="str">
        <x:v>* myContacts</x:v>
      </x:c>
      <x:c r="F4444" s="16" t="str">
        <x:v>+60133097163</x:v>
      </x:c>
      <x:c r="G4444" s="16" t="str">
        <x:v>+60133097163</x:v>
      </x:c>
      <x:c r="H4444" s="16" t="str">
        <x:v>Eligible</x:v>
      </x:c>
      <x:c r="I4444" s="16" t="str"/>
    </x:row>
    <x:row r="4445">
      <x:c r="A4445" s="16" t="n">
        <x:v>4442</x:v>
      </x:c>
      <x:c r="B4445" s="16" t="str">
        <x:v>Mohamad Azha</x:v>
      </x:c>
      <x:c r="C4445" s="16" t="str"/>
      <x:c r="D4445" s="16" t="str"/>
      <x:c r="E4445" s="16" t="str">
        <x:v>* myContacts</x:v>
      </x:c>
      <x:c r="F4445" s="16" t="str">
        <x:v>+601123240852</x:v>
      </x:c>
      <x:c r="G4445" s="16" t="str">
        <x:v>+601123240852</x:v>
      </x:c>
      <x:c r="H4445" s="16" t="str">
        <x:v>Excluded</x:v>
      </x:c>
      <x:c r="I4445" s="16" t="str">
        <x:v>Missing email</x:v>
      </x:c>
    </x:row>
    <x:row r="4446">
      <x:c r="A4446" s="16" t="n">
        <x:v>4443</x:v>
      </x:c>
      <x:c r="B4446" s="16" t="str">
        <x:v>Mohamad Bin Adeni Madboy</x:v>
      </x:c>
      <x:c r="C4446" s="16" t="str"/>
      <x:c r="D4446" s="16" t="str"/>
      <x:c r="E4446" s="16" t="str">
        <x:v>* myContacts</x:v>
      </x:c>
      <x:c r="F4446" s="16" t="str">
        <x:v>+60143923085</x:v>
      </x:c>
      <x:c r="G4446" s="16" t="str">
        <x:v>+60143923085</x:v>
      </x:c>
      <x:c r="H4446" s="16" t="str">
        <x:v>Excluded</x:v>
      </x:c>
      <x:c r="I4446" s="16" t="str">
        <x:v>Missing email</x:v>
      </x:c>
    </x:row>
    <x:row r="4447">
      <x:c r="A4447" s="16" t="n">
        <x:v>4444</x:v>
      </x:c>
      <x:c r="B4447" s="16" t="str">
        <x:v>Mohamad Eizad</x:v>
      </x:c>
      <x:c r="C4447" s="16" t="str"/>
      <x:c r="D4447" s="16" t="str"/>
      <x:c r="E4447" s="16" t="str">
        <x:v>* myContacts</x:v>
      </x:c>
      <x:c r="F4447" s="16" t="str">
        <x:v>+60145125355</x:v>
      </x:c>
      <x:c r="G4447" s="16" t="str">
        <x:v>+60145125355</x:v>
      </x:c>
      <x:c r="H4447" s="16" t="str">
        <x:v>Excluded</x:v>
      </x:c>
      <x:c r="I4447" s="16" t="str">
        <x:v>Missing email</x:v>
      </x:c>
    </x:row>
    <x:row r="4448">
      <x:c r="A4448" s="16" t="n">
        <x:v>4445</x:v>
      </x:c>
      <x:c r="B4448" s="16" t="str">
        <x:v>Mohamad Faez</x:v>
      </x:c>
      <x:c r="C4448" s="16" t="str"/>
      <x:c r="D4448" s="16" t="str"/>
      <x:c r="E4448" s="16" t="str">
        <x:v>* myContacts</x:v>
      </x:c>
      <x:c r="F4448" s="16" t="str">
        <x:v>+60177983324</x:v>
      </x:c>
      <x:c r="G4448" s="16" t="str">
        <x:v>+60177983324</x:v>
      </x:c>
      <x:c r="H4448" s="16" t="str">
        <x:v>Excluded</x:v>
      </x:c>
      <x:c r="I4448" s="16" t="str">
        <x:v>Missing email</x:v>
      </x:c>
    </x:row>
    <x:row r="4449">
      <x:c r="A4449" s="16" t="n">
        <x:v>4446</x:v>
      </x:c>
      <x:c r="B4449" s="16" t="str">
        <x:v>Mohamad Farhan</x:v>
      </x:c>
      <x:c r="C4449" s="16" t="str"/>
      <x:c r="D4449" s="16" t="str"/>
      <x:c r="E4449" s="16" t="str">
        <x:v>* myContacts</x:v>
      </x:c>
      <x:c r="F4449" s="16" t="str">
        <x:v>+60148392011</x:v>
      </x:c>
      <x:c r="G4449" s="16" t="str">
        <x:v>+60148392011</x:v>
      </x:c>
      <x:c r="H4449" s="16" t="str">
        <x:v>Excluded</x:v>
      </x:c>
      <x:c r="I4449" s="16" t="str">
        <x:v>Missing email</x:v>
      </x:c>
    </x:row>
    <x:row r="4450">
      <x:c r="A4450" s="16" t="n">
        <x:v>4447</x:v>
      </x:c>
      <x:c r="B4450" s="16" t="str">
        <x:v>Mohamad Fazlie Jah</x:v>
      </x:c>
      <x:c r="C4450" s="16" t="str"/>
      <x:c r="D4450" s="16" t="str"/>
      <x:c r="E4450" s="16" t="str">
        <x:v>* myContacts</x:v>
      </x:c>
      <x:c r="F4450" s="16" t="str">
        <x:v>+60199994183</x:v>
      </x:c>
      <x:c r="G4450" s="16" t="str">
        <x:v>+60199994183</x:v>
      </x:c>
      <x:c r="H4450" s="16" t="str">
        <x:v>Excluded</x:v>
      </x:c>
      <x:c r="I4450" s="16" t="str">
        <x:v>Missing email</x:v>
      </x:c>
    </x:row>
    <x:row r="4451">
      <x:c r="A4451" s="16" t="n">
        <x:v>4448</x:v>
      </x:c>
      <x:c r="B4451" s="16" t="str">
        <x:v>Mohamad Firdaus</x:v>
      </x:c>
      <x:c r="C4451" s="16" t="str"/>
      <x:c r="D4451" s="16" t="str"/>
      <x:c r="E4451" s="16" t="str">
        <x:v>* myContacts</x:v>
      </x:c>
      <x:c r="F4451" s="16" t="str">
        <x:v>+60136789425</x:v>
      </x:c>
      <x:c r="G4451" s="16" t="str">
        <x:v>+60136789425</x:v>
      </x:c>
      <x:c r="H4451" s="16" t="str">
        <x:v>Excluded</x:v>
      </x:c>
      <x:c r="I4451" s="16" t="str">
        <x:v>Missing email</x:v>
      </x:c>
    </x:row>
    <x:row r="4452">
      <x:c r="A4452" s="16" t="n">
        <x:v>4449</x:v>
      </x:c>
      <x:c r="B4452" s="16" t="str">
        <x:v>Mohamad Firdaus Bin Hairoden</x:v>
      </x:c>
      <x:c r="C4452" s="16" t="str"/>
      <x:c r="D4452" s="16" t="str"/>
      <x:c r="E4452" s="16" t="str">
        <x:v>* myContacts</x:v>
      </x:c>
      <x:c r="F4452" s="16" t="str">
        <x:v>+601112709223</x:v>
      </x:c>
      <x:c r="G4452" s="16" t="str">
        <x:v>+601112709223</x:v>
      </x:c>
      <x:c r="H4452" s="16" t="str">
        <x:v>Excluded</x:v>
      </x:c>
      <x:c r="I4452" s="16" t="str">
        <x:v>Missing email</x:v>
      </x:c>
    </x:row>
    <x:row r="4453">
      <x:c r="A4453" s="16" t="n">
        <x:v>4450</x:v>
      </x:c>
      <x:c r="B4453" s="16" t="str">
        <x:v>Mohamad Hafiz Angah</x:v>
      </x:c>
      <x:c r="C4453" s="16" t="str"/>
      <x:c r="D4453" s="16" t="str"/>
      <x:c r="E4453" s="16" t="str">
        <x:v>* myContacts</x:v>
      </x:c>
      <x:c r="F4453" s="16" t="str">
        <x:v>+60193147935</x:v>
      </x:c>
      <x:c r="G4453" s="16" t="str">
        <x:v>+60193147935</x:v>
      </x:c>
      <x:c r="H4453" s="16" t="str">
        <x:v>Excluded</x:v>
      </x:c>
      <x:c r="I4453" s="16" t="str">
        <x:v>Missing email</x:v>
      </x:c>
    </x:row>
    <x:row r="4454">
      <x:c r="A4454" s="16" t="n">
        <x:v>4451</x:v>
      </x:c>
      <x:c r="B4454" s="16" t="str">
        <x:v>Mohamad Hafizzudin</x:v>
      </x:c>
      <x:c r="C4454" s="16" t="str"/>
      <x:c r="D4454" s="16" t="str"/>
      <x:c r="E4454" s="16" t="str">
        <x:v>* myContacts</x:v>
      </x:c>
      <x:c r="F4454" s="16" t="str">
        <x:v>+601114294886</x:v>
      </x:c>
      <x:c r="G4454" s="16" t="str">
        <x:v>+601114294886</x:v>
      </x:c>
      <x:c r="H4454" s="16" t="str">
        <x:v>Excluded</x:v>
      </x:c>
      <x:c r="I4454" s="16" t="str">
        <x:v>Missing email</x:v>
      </x:c>
    </x:row>
    <x:row r="4455">
      <x:c r="A4455" s="16" t="n">
        <x:v>4452</x:v>
      </x:c>
      <x:c r="B4455" s="16" t="str">
        <x:v>mohamad hairi AGP</x:v>
      </x:c>
      <x:c r="C4455" s="16" t="str"/>
      <x:c r="D4455" s="16" t="str"/>
      <x:c r="E4455" s="16" t="str">
        <x:v>* myContacts</x:v>
      </x:c>
      <x:c r="F4455" s="16" t="str">
        <x:v>+60 17-994 1454 | +60179941454</x:v>
      </x:c>
      <x:c r="G4455" s="16" t="str">
        <x:v>+60179941454 | +60179941454</x:v>
      </x:c>
      <x:c r="H4455" s="16" t="str">
        <x:v>Excluded</x:v>
      </x:c>
      <x:c r="I4455" s="16" t="str">
        <x:v>Missing email</x:v>
      </x:c>
    </x:row>
    <x:row r="4456">
      <x:c r="A4456" s="16" t="n">
        <x:v>4453</x:v>
      </x:c>
      <x:c r="B4456" s="16" t="str">
        <x:v>Mohamad Hasan B Sulaiman</x:v>
      </x:c>
      <x:c r="C4456" s="16" t="str"/>
      <x:c r="D4456" s="16" t="str"/>
      <x:c r="E4456" s="16" t="str">
        <x:v>* myContacts</x:v>
      </x:c>
      <x:c r="F4456" s="16" t="str">
        <x:v>+601123207695</x:v>
      </x:c>
      <x:c r="G4456" s="16" t="str">
        <x:v>+601123207695</x:v>
      </x:c>
      <x:c r="H4456" s="16" t="str">
        <x:v>Excluded</x:v>
      </x:c>
      <x:c r="I4456" s="16" t="str">
        <x:v>Missing email</x:v>
      </x:c>
    </x:row>
    <x:row r="4457">
      <x:c r="A4457" s="16" t="n">
        <x:v>4454</x:v>
      </x:c>
      <x:c r="B4457" s="16" t="str">
        <x:v>Mohamad Hasanni Sani</x:v>
      </x:c>
      <x:c r="C4457" s="16" t="str"/>
      <x:c r="D4457" s="16" t="str"/>
      <x:c r="E4457" s="16" t="str">
        <x:v>* myContacts</x:v>
      </x:c>
      <x:c r="F4457" s="16" t="str">
        <x:v>+601114998698</x:v>
      </x:c>
      <x:c r="G4457" s="16" t="str">
        <x:v>+601114998698</x:v>
      </x:c>
      <x:c r="H4457" s="16" t="str">
        <x:v>Excluded</x:v>
      </x:c>
      <x:c r="I4457" s="16" t="str">
        <x:v>Missing email</x:v>
      </x:c>
    </x:row>
    <x:row r="4458">
      <x:c r="A4458" s="16" t="n">
        <x:v>4455</x:v>
      </x:c>
      <x:c r="B4458" s="16" t="str">
        <x:v>Mohamad Hasnizam</x:v>
      </x:c>
      <x:c r="C4458" s="16" t="str"/>
      <x:c r="D4458" s="16" t="str"/>
      <x:c r="E4458" s="16" t="str">
        <x:v>* myContacts</x:v>
      </x:c>
      <x:c r="F4458" s="16" t="str">
        <x:v>+60189491597</x:v>
      </x:c>
      <x:c r="G4458" s="16" t="str">
        <x:v>+60189491597</x:v>
      </x:c>
      <x:c r="H4458" s="16" t="str">
        <x:v>Excluded</x:v>
      </x:c>
      <x:c r="I4458" s="16" t="str">
        <x:v>Missing email</x:v>
      </x:c>
    </x:row>
    <x:row r="4459">
      <x:c r="A4459" s="16" t="n">
        <x:v>4456</x:v>
      </x:c>
      <x:c r="B4459" s="16" t="str">
        <x:v>Mohamad Hazwan Bin Hamid</x:v>
      </x:c>
      <x:c r="C4459" s="16" t="str"/>
      <x:c r="D4459" s="16" t="str"/>
      <x:c r="E4459" s="16" t="str">
        <x:v>* myContacts</x:v>
      </x:c>
      <x:c r="F4459" s="16" t="str">
        <x:v>+60174129647</x:v>
      </x:c>
      <x:c r="G4459" s="16" t="str">
        <x:v>+60174129647</x:v>
      </x:c>
      <x:c r="H4459" s="16" t="str">
        <x:v>Excluded</x:v>
      </x:c>
      <x:c r="I4459" s="16" t="str">
        <x:v>Missing email</x:v>
      </x:c>
    </x:row>
    <x:row r="4460">
      <x:c r="A4460" s="16" t="n">
        <x:v>4457</x:v>
      </x:c>
      <x:c r="B4460" s="16" t="str">
        <x:v>Mohamad Herlambang</x:v>
      </x:c>
      <x:c r="C4460" s="16" t="str"/>
      <x:c r="D4460" s="16" t="str"/>
      <x:c r="E4460" s="16" t="str">
        <x:v>* myContacts</x:v>
      </x:c>
      <x:c r="F4460" s="16" t="str">
        <x:v>+6285739836122</x:v>
      </x:c>
      <x:c r="G4460" s="16" t="str">
        <x:v>+6285739836122</x:v>
      </x:c>
      <x:c r="H4460" s="16" t="str">
        <x:v>Excluded</x:v>
      </x:c>
      <x:c r="I4460" s="16" t="str">
        <x:v>Missing email</x:v>
      </x:c>
    </x:row>
    <x:row r="4461">
      <x:c r="A4461" s="16" t="n">
        <x:v>4458</x:v>
      </x:c>
      <x:c r="B4461" s="16" t="str">
        <x:v>Mohamad Khairunizar B Misroon</x:v>
      </x:c>
      <x:c r="C4461" s="16" t="str"/>
      <x:c r="D4461" s="16" t="str"/>
      <x:c r="E4461" s="16" t="str">
        <x:v>* myContacts</x:v>
      </x:c>
      <x:c r="F4461" s="16" t="str">
        <x:v>+60123914652</x:v>
      </x:c>
      <x:c r="G4461" s="16" t="str">
        <x:v>+60123914652</x:v>
      </x:c>
      <x:c r="H4461" s="16" t="str">
        <x:v>Excluded</x:v>
      </x:c>
      <x:c r="I4461" s="16" t="str">
        <x:v>Missing email</x:v>
      </x:c>
    </x:row>
    <x:row r="4462">
      <x:c r="A4462" s="16" t="n">
        <x:v>4459</x:v>
      </x:c>
      <x:c r="B4462" s="16" t="str">
        <x:v>Mohamad Mardi</x:v>
      </x:c>
      <x:c r="C4462" s="16" t="str"/>
      <x:c r="D4462" s="16" t="str"/>
      <x:c r="E4462" s="16" t="str">
        <x:v>* myContacts</x:v>
      </x:c>
      <x:c r="F4462" s="16" t="str">
        <x:v>+60128238418</x:v>
      </x:c>
      <x:c r="G4462" s="16" t="str">
        <x:v>+60128238418</x:v>
      </x:c>
      <x:c r="H4462" s="16" t="str">
        <x:v>Excluded</x:v>
      </x:c>
      <x:c r="I4462" s="16" t="str">
        <x:v>Missing email</x:v>
      </x:c>
    </x:row>
    <x:row r="4463">
      <x:c r="A4463" s="16" t="n">
        <x:v>4460</x:v>
      </x:c>
      <x:c r="B4463" s="16" t="str">
        <x:v>Mohamad Nashrul Shadzryl</x:v>
      </x:c>
      <x:c r="C4463" s="16" t="str"/>
      <x:c r="D4463" s="16" t="str"/>
      <x:c r="E4463" s="16" t="str">
        <x:v>* myContacts</x:v>
      </x:c>
      <x:c r="F4463" s="16" t="str">
        <x:v>+601128205932</x:v>
      </x:c>
      <x:c r="G4463" s="16" t="str">
        <x:v>+601128205932</x:v>
      </x:c>
      <x:c r="H4463" s="16" t="str">
        <x:v>Excluded</x:v>
      </x:c>
      <x:c r="I4463" s="16" t="str">
        <x:v>Missing email</x:v>
      </x:c>
    </x:row>
    <x:row r="4464">
      <x:c r="A4464" s="16" t="n">
        <x:v>4461</x:v>
      </x:c>
      <x:c r="B4464" s="16" t="str">
        <x:v>Mohamad Nazrel</x:v>
      </x:c>
      <x:c r="C4464" s="16" t="str"/>
      <x:c r="D4464" s="16" t="str"/>
      <x:c r="E4464" s="16" t="str">
        <x:v>* myContacts</x:v>
      </x:c>
      <x:c r="F4464" s="16" t="str">
        <x:v>+601111714032</x:v>
      </x:c>
      <x:c r="G4464" s="16" t="str">
        <x:v>+601111714032</x:v>
      </x:c>
      <x:c r="H4464" s="16" t="str">
        <x:v>Excluded</x:v>
      </x:c>
      <x:c r="I4464" s="16" t="str">
        <x:v>Missing email</x:v>
      </x:c>
    </x:row>
    <x:row r="4465">
      <x:c r="A4465" s="16" t="n">
        <x:v>4462</x:v>
      </x:c>
      <x:c r="B4465" s="16" t="str">
        <x:v>Mohamad Nazri</x:v>
      </x:c>
      <x:c r="C4465" s="16" t="str"/>
      <x:c r="D4465" s="16" t="str"/>
      <x:c r="E4465" s="16" t="str">
        <x:v>* myContacts</x:v>
      </x:c>
      <x:c r="F4465" s="16" t="str">
        <x:v>+60142280094</x:v>
      </x:c>
      <x:c r="G4465" s="16" t="str">
        <x:v>+60142280094</x:v>
      </x:c>
      <x:c r="H4465" s="16" t="str">
        <x:v>Excluded</x:v>
      </x:c>
      <x:c r="I4465" s="16" t="str">
        <x:v>Missing email</x:v>
      </x:c>
    </x:row>
    <x:row r="4466">
      <x:c r="A4466" s="16" t="n">
        <x:v>4463</x:v>
      </x:c>
      <x:c r="B4466" s="16" t="str">
        <x:v>Mohamad Nazrul - Aloy</x:v>
      </x:c>
      <x:c r="C4466" s="16" t="str"/>
      <x:c r="D4466" s="16" t="str"/>
      <x:c r="E4466" s="16" t="str">
        <x:v>* myContacts</x:v>
      </x:c>
      <x:c r="F4466" s="16" t="str">
        <x:v>+60122290125</x:v>
      </x:c>
      <x:c r="G4466" s="16" t="str">
        <x:v>+60122290125</x:v>
      </x:c>
      <x:c r="H4466" s="16" t="str">
        <x:v>Excluded</x:v>
      </x:c>
      <x:c r="I4466" s="16" t="str">
        <x:v>Missing email</x:v>
      </x:c>
    </x:row>
    <x:row r="4467">
      <x:c r="A4467" s="16" t="n">
        <x:v>4464</x:v>
      </x:c>
      <x:c r="B4467" s="16" t="str">
        <x:v>Mohamad Nurhadi Bin Razali</x:v>
      </x:c>
      <x:c r="C4467" s="16" t="str"/>
      <x:c r="D4467" s="16" t="str"/>
      <x:c r="E4467" s="16" t="str">
        <x:v>* myContacts</x:v>
      </x:c>
      <x:c r="F4467" s="16" t="str">
        <x:v>+6097869766</x:v>
      </x:c>
      <x:c r="G4467" s="16" t="str">
        <x:v>+6097869766</x:v>
      </x:c>
      <x:c r="H4467" s="16" t="str">
        <x:v>Excluded</x:v>
      </x:c>
      <x:c r="I4467" s="16" t="str">
        <x:v>Missing email</x:v>
      </x:c>
    </x:row>
    <x:row r="4468">
      <x:c r="A4468" s="16" t="n">
        <x:v>4465</x:v>
      </x:c>
      <x:c r="B4468" s="16" t="str">
        <x:v>Mohamad Saffiq</x:v>
      </x:c>
      <x:c r="C4468" s="16" t="str"/>
      <x:c r="D4468" s="16" t="str"/>
      <x:c r="E4468" s="16" t="str">
        <x:v>* myContacts</x:v>
      </x:c>
      <x:c r="F4468" s="16" t="str">
        <x:v>+60172345678</x:v>
      </x:c>
      <x:c r="G4468" s="16" t="str">
        <x:v>+60172345678</x:v>
      </x:c>
      <x:c r="H4468" s="16" t="str">
        <x:v>Excluded</x:v>
      </x:c>
      <x:c r="I4468" s="16" t="str">
        <x:v>Missing email</x:v>
      </x:c>
    </x:row>
    <x:row r="4469">
      <x:c r="A4469" s="16" t="n">
        <x:v>4466</x:v>
      </x:c>
      <x:c r="B4469" s="16" t="str">
        <x:v>Mohamad Saiful</x:v>
      </x:c>
      <x:c r="C4469" s="16" t="str"/>
      <x:c r="D4469" s="16" t="str"/>
      <x:c r="E4469" s="16" t="str">
        <x:v>* myContacts</x:v>
      </x:c>
      <x:c r="F4469" s="16" t="str">
        <x:v>+60198228764</x:v>
      </x:c>
      <x:c r="G4469" s="16" t="str">
        <x:v>+60198228764</x:v>
      </x:c>
      <x:c r="H4469" s="16" t="str">
        <x:v>Excluded</x:v>
      </x:c>
      <x:c r="I4469" s="16" t="str">
        <x:v>Missing email</x:v>
      </x:c>
    </x:row>
    <x:row r="4470">
      <x:c r="A4470" s="16" t="n">
        <x:v>4467</x:v>
      </x:c>
      <x:c r="B4470" s="16" t="str">
        <x:v>Mohamad Shafuan Bin Salleh</x:v>
      </x:c>
      <x:c r="C4470" s="16" t="str"/>
      <x:c r="D4470" s="16" t="str"/>
      <x:c r="E4470" s="16" t="str">
        <x:v>* myContacts</x:v>
      </x:c>
      <x:c r="F4470" s="16" t="str">
        <x:v>017-836 7286 | +60178367286</x:v>
      </x:c>
      <x:c r="G4470" s="16" t="str">
        <x:v>+60178367286 | +60178367286</x:v>
      </x:c>
      <x:c r="H4470" s="16" t="str">
        <x:v>Excluded</x:v>
      </x:c>
      <x:c r="I4470" s="16" t="str">
        <x:v>Missing email</x:v>
      </x:c>
    </x:row>
    <x:row r="4471">
      <x:c r="A4471" s="16" t="n">
        <x:v>4468</x:v>
      </x:c>
      <x:c r="B4471" s="16" t="str">
        <x:v>Mohamad Zainie Abdullah</x:v>
      </x:c>
      <x:c r="C4471" s="16" t="str"/>
      <x:c r="D4471" s="16" t="str"/>
      <x:c r="E4471" s="16" t="str">
        <x:v>* myContacts</x:v>
      </x:c>
      <x:c r="F4471" s="16" t="str">
        <x:v>+60108032853</x:v>
      </x:c>
      <x:c r="G4471" s="16" t="str">
        <x:v>+60108032853</x:v>
      </x:c>
      <x:c r="H4471" s="16" t="str">
        <x:v>Excluded</x:v>
      </x:c>
      <x:c r="I4471" s="16" t="str">
        <x:v>Missing email</x:v>
      </x:c>
    </x:row>
    <x:row r="4472">
      <x:c r="A4472" s="16" t="n">
        <x:v>4469</x:v>
      </x:c>
      <x:c r="B4472" s="16" t="str">
        <x:v>Mohamad Zaki Pjk</x:v>
      </x:c>
      <x:c r="C4472" s="16" t="str"/>
      <x:c r="D4472" s="16" t="str"/>
      <x:c r="E4472" s="16" t="str">
        <x:v>* myContacts</x:v>
      </x:c>
      <x:c r="F4472" s="16" t="str">
        <x:v>+60134447761</x:v>
      </x:c>
      <x:c r="G4472" s="16" t="str">
        <x:v>+60134447761</x:v>
      </x:c>
      <x:c r="H4472" s="16" t="str">
        <x:v>Excluded</x:v>
      </x:c>
      <x:c r="I4472" s="16" t="str">
        <x:v>Missing email</x:v>
      </x:c>
    </x:row>
    <x:row r="4473">
      <x:c r="A4473" s="16" t="n">
        <x:v>4470</x:v>
      </x:c>
      <x:c r="B4473" s="16" t="str">
        <x:v>Mohamed Faiz</x:v>
      </x:c>
      <x:c r="C4473" s="16" t="str"/>
      <x:c r="D4473" s="16" t="str"/>
      <x:c r="E4473" s="16" t="str">
        <x:v>* myContacts</x:v>
      </x:c>
      <x:c r="F4473" s="16" t="str">
        <x:v>+60105191974</x:v>
      </x:c>
      <x:c r="G4473" s="16" t="str">
        <x:v>+60105191974</x:v>
      </x:c>
      <x:c r="H4473" s="16" t="str">
        <x:v>Excluded</x:v>
      </x:c>
      <x:c r="I4473" s="16" t="str">
        <x:v>Missing email</x:v>
      </x:c>
    </x:row>
    <x:row r="4474">
      <x:c r="A4474" s="16" t="n">
        <x:v>4471</x:v>
      </x:c>
      <x:c r="B4474" s="16" t="str">
        <x:v>Mohamed Fauzi AGP</x:v>
      </x:c>
      <x:c r="C4474" s="16" t="str"/>
      <x:c r="D4474" s="16" t="str"/>
      <x:c r="E4474" s="16" t="str">
        <x:v>* myContacts</x:v>
      </x:c>
      <x:c r="F4474" s="16" t="str">
        <x:v>+60 12-988 5659 | +60129885659</x:v>
      </x:c>
      <x:c r="G4474" s="16" t="str">
        <x:v>+60129885659 | +60129885659</x:v>
      </x:c>
      <x:c r="H4474" s="16" t="str">
        <x:v>Excluded</x:v>
      </x:c>
      <x:c r="I4474" s="16" t="str">
        <x:v>Missing email</x:v>
      </x:c>
    </x:row>
    <x:row r="4475">
      <x:c r="A4475" s="16" t="n">
        <x:v>4472</x:v>
      </x:c>
      <x:c r="B4475" s="16" t="str">
        <x:v>mohamed fazrul agp</x:v>
      </x:c>
      <x:c r="C4475" s="16" t="str"/>
      <x:c r="D4475" s="16" t="str"/>
      <x:c r="E4475" s="16" t="str">
        <x:v>* myContacts</x:v>
      </x:c>
      <x:c r="F4475" s="16" t="str">
        <x:v>+60 14-542 8938 | +60145428938</x:v>
      </x:c>
      <x:c r="G4475" s="16" t="str">
        <x:v>+60145428938 | +60145428938</x:v>
      </x:c>
      <x:c r="H4475" s="16" t="str">
        <x:v>Excluded</x:v>
      </x:c>
      <x:c r="I4475" s="16" t="str">
        <x:v>Missing email</x:v>
      </x:c>
    </x:row>
    <x:row r="4476">
      <x:c r="A4476" s="16" t="n">
        <x:v>4473</x:v>
      </x:c>
      <x:c r="B4476" s="16" t="str">
        <x:v>Dr Mohamed Nor Azhari Azman</x:v>
      </x:c>
      <x:c r="C4476" s="16" t="str"/>
      <x:c r="D4476" s="16" t="str"/>
      <x:c r="E4476" s="16" t="str">
        <x:v>* myContacts</x:v>
      </x:c>
      <x:c r="F4476" s="16" t="str">
        <x:v>+60 19-441 8241 | +60194418241</x:v>
      </x:c>
      <x:c r="G4476" s="16" t="str">
        <x:v>+60194418241 | +60194418241</x:v>
      </x:c>
      <x:c r="H4476" s="16" t="str">
        <x:v>Excluded</x:v>
      </x:c>
      <x:c r="I4476" s="16" t="str">
        <x:v>Missing email</x:v>
      </x:c>
    </x:row>
    <x:row r="4477">
      <x:c r="A4477" s="16" t="n">
        <x:v>4474</x:v>
      </x:c>
      <x:c r="B4477" s="16" t="str">
        <x:v>Mohammad Affandy</x:v>
      </x:c>
      <x:c r="C4477" s="16" t="str"/>
      <x:c r="D4477" s="16" t="str"/>
      <x:c r="E4477" s="16" t="str">
        <x:v>* myContacts</x:v>
      </x:c>
      <x:c r="F4477" s="16" t="str">
        <x:v>+60192813582</x:v>
      </x:c>
      <x:c r="G4477" s="16" t="str">
        <x:v>+60192813582</x:v>
      </x:c>
      <x:c r="H4477" s="16" t="str">
        <x:v>Excluded</x:v>
      </x:c>
      <x:c r="I4477" s="16" t="str">
        <x:v>Missing email</x:v>
      </x:c>
    </x:row>
    <x:row r="4478">
      <x:c r="A4478" s="16" t="n">
        <x:v>4475</x:v>
      </x:c>
      <x:c r="B4478" s="16" t="str">
        <x:v>Mohammad Al Padel</x:v>
      </x:c>
      <x:c r="C4478" s="16" t="str"/>
      <x:c r="D4478" s="16" t="str"/>
      <x:c r="E4478" s="16" t="str">
        <x:v>* myContacts</x:v>
      </x:c>
      <x:c r="F4478" s="16" t="str">
        <x:v>+60102700964</x:v>
      </x:c>
      <x:c r="G4478" s="16" t="str">
        <x:v>+60102700964</x:v>
      </x:c>
      <x:c r="H4478" s="16" t="str">
        <x:v>Excluded</x:v>
      </x:c>
      <x:c r="I4478" s="16" t="str">
        <x:v>Missing email</x:v>
      </x:c>
    </x:row>
    <x:row r="4479">
      <x:c r="A4479" s="16" t="n">
        <x:v>4476</x:v>
      </x:c>
      <x:c r="B4479" s="16" t="str">
        <x:v>Mohammad Amirul Firdaus</x:v>
      </x:c>
      <x:c r="C4479" s="16" t="str"/>
      <x:c r="D4479" s="16" t="str"/>
      <x:c r="E4479" s="16" t="str">
        <x:v>* myContacts</x:v>
      </x:c>
      <x:c r="F4479" s="16" t="str">
        <x:v>+60145247180</x:v>
      </x:c>
      <x:c r="G4479" s="16" t="str">
        <x:v>+60145247180</x:v>
      </x:c>
      <x:c r="H4479" s="16" t="str">
        <x:v>Excluded</x:v>
      </x:c>
      <x:c r="I4479" s="16" t="str">
        <x:v>Missing email</x:v>
      </x:c>
    </x:row>
    <x:row r="4480">
      <x:c r="A4480" s="16" t="n">
        <x:v>4477</x:v>
      </x:c>
      <x:c r="B4480" s="16" t="str">
        <x:v>Mohammad Azalillah</x:v>
      </x:c>
      <x:c r="C4480" s="16" t="str"/>
      <x:c r="D4480" s="16" t="str"/>
      <x:c r="E4480" s="16" t="str">
        <x:v>* myContacts</x:v>
      </x:c>
      <x:c r="F4480" s="16" t="str">
        <x:v>+60138498905</x:v>
      </x:c>
      <x:c r="G4480" s="16" t="str">
        <x:v>+60138498905</x:v>
      </x:c>
      <x:c r="H4480" s="16" t="str">
        <x:v>Excluded</x:v>
      </x:c>
      <x:c r="I4480" s="16" t="str">
        <x:v>Missing email</x:v>
      </x:c>
    </x:row>
    <x:row r="4481">
      <x:c r="A4481" s="16" t="n">
        <x:v>4478</x:v>
      </x:c>
      <x:c r="B4481" s="16" t="str">
        <x:v>Mohammad Aziz</x:v>
      </x:c>
      <x:c r="C4481" s="16" t="str"/>
      <x:c r="D4481" s="16" t="str"/>
      <x:c r="E4481" s="16" t="str">
        <x:v>* myContacts</x:v>
      </x:c>
      <x:c r="F4481" s="16" t="str">
        <x:v>+6283832393047</x:v>
      </x:c>
      <x:c r="G4481" s="16" t="str">
        <x:v>+6283832393047</x:v>
      </x:c>
      <x:c r="H4481" s="16" t="str">
        <x:v>Excluded</x:v>
      </x:c>
      <x:c r="I4481" s="16" t="str">
        <x:v>Missing email</x:v>
      </x:c>
    </x:row>
    <x:row r="4482">
      <x:c r="A4482" s="16" t="n">
        <x:v>4479</x:v>
      </x:c>
      <x:c r="B4482" s="16" t="str">
        <x:v>Mohammad Fakruddin Yusof Shukri</x:v>
      </x:c>
      <x:c r="C4482" s="16" t="str"/>
      <x:c r="D4482" s="16" t="str"/>
      <x:c r="E4482" s="16" t="str">
        <x:v>* myContacts</x:v>
      </x:c>
      <x:c r="F4482" s="16" t="str">
        <x:v>+60139320112</x:v>
      </x:c>
      <x:c r="G4482" s="16" t="str">
        <x:v>+60139320112</x:v>
      </x:c>
      <x:c r="H4482" s="16" t="str">
        <x:v>Excluded</x:v>
      </x:c>
      <x:c r="I4482" s="16" t="str">
        <x:v>Missing email</x:v>
      </x:c>
    </x:row>
    <x:row r="4483">
      <x:c r="A4483" s="16" t="n">
        <x:v>4480</x:v>
      </x:c>
      <x:c r="B4483" s="16" t="str">
        <x:v>Mohammad Farid Izzuan</x:v>
      </x:c>
      <x:c r="C4483" s="16" t="str"/>
      <x:c r="D4483" s="16" t="str"/>
      <x:c r="E4483" s="16" t="str">
        <x:v>* myContacts</x:v>
      </x:c>
      <x:c r="F4483" s="16" t="str">
        <x:v>+601114459608</x:v>
      </x:c>
      <x:c r="G4483" s="16" t="str">
        <x:v>+601114459608</x:v>
      </x:c>
      <x:c r="H4483" s="16" t="str">
        <x:v>Excluded</x:v>
      </x:c>
      <x:c r="I4483" s="16" t="str">
        <x:v>Missing email</x:v>
      </x:c>
    </x:row>
    <x:row r="4484">
      <x:c r="A4484" s="16" t="n">
        <x:v>4481</x:v>
      </x:c>
      <x:c r="B4484" s="16" t="str">
        <x:v>Mohammad Hafiz Emran</x:v>
      </x:c>
      <x:c r="C4484" s="16" t="str"/>
      <x:c r="D4484" s="16" t="str"/>
      <x:c r="E4484" s="16" t="str">
        <x:v>* myContacts</x:v>
      </x:c>
      <x:c r="F4484" s="16" t="str">
        <x:v>+60139759195</x:v>
      </x:c>
      <x:c r="G4484" s="16" t="str">
        <x:v>+60139759195</x:v>
      </x:c>
      <x:c r="H4484" s="16" t="str">
        <x:v>Excluded</x:v>
      </x:c>
      <x:c r="I4484" s="16" t="str">
        <x:v>Missing email</x:v>
      </x:c>
    </x:row>
    <x:row r="4485">
      <x:c r="A4485" s="16" t="n">
        <x:v>4482</x:v>
      </x:c>
      <x:c r="B4485" s="16" t="str">
        <x:v>Mohammad Hafiz Wahab</x:v>
      </x:c>
      <x:c r="C4485" s="16" t="str"/>
      <x:c r="D4485" s="16" t="str"/>
      <x:c r="E4485" s="16" t="str">
        <x:v>* myContacts</x:v>
      </x:c>
      <x:c r="F4485" s="16" t="str">
        <x:v>+60193688643</x:v>
      </x:c>
      <x:c r="G4485" s="16" t="str">
        <x:v>+60193688643</x:v>
      </x:c>
      <x:c r="H4485" s="16" t="str">
        <x:v>Excluded</x:v>
      </x:c>
      <x:c r="I4485" s="16" t="str">
        <x:v>Missing email</x:v>
      </x:c>
    </x:row>
    <x:row r="4486">
      <x:c r="A4486" s="16" t="n">
        <x:v>4483</x:v>
      </x:c>
      <x:c r="B4486" s="16" t="str">
        <x:v>Mohammad Khairul</x:v>
      </x:c>
      <x:c r="C4486" s="16" t="str"/>
      <x:c r="D4486" s="16" t="str"/>
      <x:c r="E4486" s="16" t="str">
        <x:v>* myContacts</x:v>
      </x:c>
      <x:c r="F4486" s="16" t="str">
        <x:v>+60129799502</x:v>
      </x:c>
      <x:c r="G4486" s="16" t="str">
        <x:v>+60129799502</x:v>
      </x:c>
      <x:c r="H4486" s="16" t="str">
        <x:v>Excluded</x:v>
      </x:c>
      <x:c r="I4486" s="16" t="str">
        <x:v>Missing email</x:v>
      </x:c>
    </x:row>
    <x:row r="4487">
      <x:c r="A4487" s="16" t="n">
        <x:v>4484</x:v>
      </x:c>
      <x:c r="B4487" s="16" t="str">
        <x:v>Mohammad Musliadi</x:v>
      </x:c>
      <x:c r="C4487" s="16" t="str"/>
      <x:c r="D4487" s="16" t="str"/>
      <x:c r="E4487" s="16" t="str">
        <x:v>* myContacts</x:v>
      </x:c>
      <x:c r="F4487" s="16" t="str">
        <x:v>+60127788360</x:v>
      </x:c>
      <x:c r="G4487" s="16" t="str">
        <x:v>+60127788360</x:v>
      </x:c>
      <x:c r="H4487" s="16" t="str">
        <x:v>Excluded</x:v>
      </x:c>
      <x:c r="I4487" s="16" t="str">
        <x:v>Missing email</x:v>
      </x:c>
    </x:row>
    <x:row r="4488">
      <x:c r="A4488" s="16" t="n">
        <x:v>4485</x:v>
      </x:c>
      <x:c r="B4488" s="16" t="str">
        <x:v>Mohammad Mustaqim Bin Marzukay</x:v>
      </x:c>
      <x:c r="C4488" s="16" t="str"/>
      <x:c r="D4488" s="16" t="str"/>
      <x:c r="E4488" s="16" t="str">
        <x:v>* myContacts</x:v>
      </x:c>
      <x:c r="F4488" s="16" t="str">
        <x:v>+60134200124</x:v>
      </x:c>
      <x:c r="G4488" s="16" t="str">
        <x:v>+60134200124</x:v>
      </x:c>
      <x:c r="H4488" s="16" t="str">
        <x:v>Excluded</x:v>
      </x:c>
      <x:c r="I4488" s="16" t="str">
        <x:v>Missing email</x:v>
      </x:c>
    </x:row>
    <x:row r="4489">
      <x:c r="A4489" s="16" t="n">
        <x:v>4486</x:v>
      </x:c>
      <x:c r="B4489" s="16" t="str">
        <x:v>Mohammad Nizam Abd Hamid</x:v>
      </x:c>
      <x:c r="C4489" s="16" t="str"/>
      <x:c r="D4489" s="16" t="str"/>
      <x:c r="E4489" s="16" t="str">
        <x:v>* myContacts</x:v>
      </x:c>
      <x:c r="F4489" s="16" t="str">
        <x:v>+60143046777</x:v>
      </x:c>
      <x:c r="G4489" s="16" t="str">
        <x:v>+60143046777</x:v>
      </x:c>
      <x:c r="H4489" s="16" t="str">
        <x:v>Excluded</x:v>
      </x:c>
      <x:c r="I4489" s="16" t="str">
        <x:v>Missing email</x:v>
      </x:c>
    </x:row>
    <x:row r="4490">
      <x:c r="A4490" s="16" t="n">
        <x:v>4487</x:v>
      </x:c>
      <x:c r="B4490" s="16" t="str">
        <x:v>Mohammad Noor Ikhwan</x:v>
      </x:c>
      <x:c r="C4490" s="16" t="str"/>
      <x:c r="D4490" s="16" t="str"/>
      <x:c r="E4490" s="16" t="str">
        <x:v>* myContacts</x:v>
      </x:c>
      <x:c r="F4490" s="16" t="str">
        <x:v>+60178220671</x:v>
      </x:c>
      <x:c r="G4490" s="16" t="str">
        <x:v>+60178220671</x:v>
      </x:c>
      <x:c r="H4490" s="16" t="str">
        <x:v>Excluded</x:v>
      </x:c>
      <x:c r="I4490" s="16" t="str">
        <x:v>Missing email</x:v>
      </x:c>
    </x:row>
    <x:row r="4491">
      <x:c r="A4491" s="16" t="n">
        <x:v>4488</x:v>
      </x:c>
      <x:c r="B4491" s="16" t="str">
        <x:v>Mohammad Shafiq Hafizi</x:v>
      </x:c>
      <x:c r="C4491" s="16" t="str"/>
      <x:c r="D4491" s="16" t="str"/>
      <x:c r="E4491" s="16" t="str">
        <x:v>* myContacts</x:v>
      </x:c>
      <x:c r="F4491" s="16" t="str">
        <x:v>+60172362476</x:v>
      </x:c>
      <x:c r="G4491" s="16" t="str">
        <x:v>+60172362476</x:v>
      </x:c>
      <x:c r="H4491" s="16" t="str">
        <x:v>Excluded</x:v>
      </x:c>
      <x:c r="I4491" s="16" t="str">
        <x:v>Missing email</x:v>
      </x:c>
    </x:row>
    <x:row r="4492">
      <x:c r="A4492" s="16" t="n">
        <x:v>4489</x:v>
      </x:c>
      <x:c r="B4492" s="16" t="str">
        <x:v>Mohammad Shafiq Razak</x:v>
      </x:c>
      <x:c r="C4492" s="16" t="str"/>
      <x:c r="D4492" s="16" t="str"/>
      <x:c r="E4492" s="16" t="str">
        <x:v>* myContacts</x:v>
      </x:c>
      <x:c r="F4492" s="16" t="str">
        <x:v>+60 13-687 1435 | +60136871435</x:v>
      </x:c>
      <x:c r="G4492" s="16" t="str">
        <x:v>+60136871435 | +60136871435</x:v>
      </x:c>
      <x:c r="H4492" s="16" t="str">
        <x:v>Excluded</x:v>
      </x:c>
      <x:c r="I4492" s="16" t="str">
        <x:v>Missing email</x:v>
      </x:c>
    </x:row>
    <x:row r="4493">
      <x:c r="A4493" s="16" t="n">
        <x:v>4490</x:v>
      </x:c>
      <x:c r="B4493" s="16" t="str">
        <x:v>MOHAMMAD SHARUL IMAN</x:v>
      </x:c>
      <x:c r="C4493" s="16" t="str"/>
      <x:c r="D4493" s="16" t="str"/>
      <x:c r="E4493" s="16" t="str">
        <x:v>* myContacts</x:v>
      </x:c>
      <x:c r="F4493" s="16" t="str">
        <x:v>+60 11-5357 5514 | +601153575514</x:v>
      </x:c>
      <x:c r="G4493" s="16" t="str">
        <x:v>+601153575514 | +601153575514</x:v>
      </x:c>
      <x:c r="H4493" s="16" t="str">
        <x:v>Excluded</x:v>
      </x:c>
      <x:c r="I4493" s="16" t="str">
        <x:v>Missing email</x:v>
      </x:c>
    </x:row>
    <x:row r="4494">
      <x:c r="A4494" s="16" t="n">
        <x:v>4491</x:v>
      </x:c>
      <x:c r="B4494" s="16" t="str">
        <x:v>Mohammad Shauqi</x:v>
      </x:c>
      <x:c r="C4494" s="16" t="str"/>
      <x:c r="D4494" s="16" t="str"/>
      <x:c r="E4494" s="16" t="str">
        <x:v>* myContacts</x:v>
      </x:c>
      <x:c r="F4494" s="16" t="str">
        <x:v>+60132966001</x:v>
      </x:c>
      <x:c r="G4494" s="16" t="str">
        <x:v>+60132966001</x:v>
      </x:c>
      <x:c r="H4494" s="16" t="str">
        <x:v>Excluded</x:v>
      </x:c>
      <x:c r="I4494" s="16" t="str">
        <x:v>Missing email</x:v>
      </x:c>
    </x:row>
    <x:row r="4495">
      <x:c r="A4495" s="16" t="n">
        <x:v>4492</x:v>
      </x:c>
      <x:c r="B4495" s="16" t="str">
        <x:v>Mohammad Zamzum Nama Diberi</x:v>
      </x:c>
      <x:c r="C4495" s="16" t="str"/>
      <x:c r="D4495" s="16" t="str"/>
      <x:c r="E4495" s="16" t="str">
        <x:v>* myContacts</x:v>
      </x:c>
      <x:c r="F4495" s="16" t="str">
        <x:v>+60193578493</x:v>
      </x:c>
      <x:c r="G4495" s="16" t="str">
        <x:v>+60193578493</x:v>
      </x:c>
      <x:c r="H4495" s="16" t="str">
        <x:v>Excluded</x:v>
      </x:c>
      <x:c r="I4495" s="16" t="str">
        <x:v>Missing email</x:v>
      </x:c>
    </x:row>
    <x:row r="4496">
      <x:c r="A4496" s="16" t="n">
        <x:v>4493</x:v>
      </x:c>
      <x:c r="B4496" s="16" t="str">
        <x:v>Mohammed Ashrul Ash</x:v>
      </x:c>
      <x:c r="C4496" s="16" t="str"/>
      <x:c r="D4496" s="16" t="str"/>
      <x:c r="E4496" s="16" t="str">
        <x:v>* myContacts</x:v>
      </x:c>
      <x:c r="F4496" s="16" t="str">
        <x:v>+60189868757</x:v>
      </x:c>
      <x:c r="G4496" s="16" t="str">
        <x:v>+60189868757</x:v>
      </x:c>
      <x:c r="H4496" s="16" t="str">
        <x:v>Excluded</x:v>
      </x:c>
      <x:c r="I4496" s="16" t="str">
        <x:v>Missing email</x:v>
      </x:c>
    </x:row>
    <x:row r="4497">
      <x:c r="A4497" s="16" t="n">
        <x:v>4494</x:v>
      </x:c>
      <x:c r="B4497" s="16" t="str">
        <x:v>Mohammed Maimun Bin Abdurrahman</x:v>
      </x:c>
      <x:c r="C4497" s="16" t="str"/>
      <x:c r="D4497" s="16" t="str"/>
      <x:c r="E4497" s="16" t="str">
        <x:v>* myContacts</x:v>
      </x:c>
      <x:c r="F4497" s="16" t="str">
        <x:v>+6281377377280</x:v>
      </x:c>
      <x:c r="G4497" s="16" t="str">
        <x:v>+6281377377280</x:v>
      </x:c>
      <x:c r="H4497" s="16" t="str">
        <x:v>Excluded</x:v>
      </x:c>
      <x:c r="I4497" s="16" t="str">
        <x:v>Missing email</x:v>
      </x:c>
    </x:row>
    <x:row r="4498">
      <x:c r="A4498" s="16" t="n">
        <x:v>4495</x:v>
      </x:c>
      <x:c r="B4498" s="16" t="str">
        <x:v>Mohd Adam Ahmad</x:v>
      </x:c>
      <x:c r="C4498" s="16" t="str"/>
      <x:c r="D4498" s="16" t="str"/>
      <x:c r="E4498" s="16" t="str">
        <x:v>* myContacts</x:v>
      </x:c>
      <x:c r="F4498" s="16" t="str">
        <x:v>+601116004017</x:v>
      </x:c>
      <x:c r="G4498" s="16" t="str">
        <x:v>+601116004017</x:v>
      </x:c>
      <x:c r="H4498" s="16" t="str">
        <x:v>Excluded</x:v>
      </x:c>
      <x:c r="I4498" s="16" t="str">
        <x:v>Missing email</x:v>
      </x:c>
    </x:row>
    <x:row r="4499">
      <x:c r="A4499" s="16" t="n">
        <x:v>4496</x:v>
      </x:c>
      <x:c r="B4499" s="16" t="str">
        <x:v>Mohd Adnan Nazan</x:v>
      </x:c>
      <x:c r="C4499" s="16" t="str"/>
      <x:c r="D4499" s="16" t="str"/>
      <x:c r="E4499" s="16" t="str">
        <x:v>* myContacts</x:v>
      </x:c>
      <x:c r="F4499" s="16" t="str">
        <x:v>+60132796938</x:v>
      </x:c>
      <x:c r="G4499" s="16" t="str">
        <x:v>+60132796938</x:v>
      </x:c>
      <x:c r="H4499" s="16" t="str">
        <x:v>Excluded</x:v>
      </x:c>
      <x:c r="I4499" s="16" t="str">
        <x:v>Missing email</x:v>
      </x:c>
    </x:row>
    <x:row r="4500">
      <x:c r="A4500" s="16" t="n">
        <x:v>4497</x:v>
      </x:c>
      <x:c r="B4500" s="16" t="str">
        <x:v>mohd afdam AGP</x:v>
      </x:c>
      <x:c r="C4500" s="16" t="str"/>
      <x:c r="D4500" s="16" t="str"/>
      <x:c r="E4500" s="16" t="str">
        <x:v>* myContacts</x:v>
      </x:c>
      <x:c r="F4500" s="16" t="str">
        <x:v>+60 13-224 0061 | +60132240061</x:v>
      </x:c>
      <x:c r="G4500" s="16" t="str">
        <x:v>+60132240061 | +60132240061</x:v>
      </x:c>
      <x:c r="H4500" s="16" t="str">
        <x:v>Excluded</x:v>
      </x:c>
      <x:c r="I4500" s="16" t="str">
        <x:v>Missing email</x:v>
      </x:c>
    </x:row>
    <x:row r="4501">
      <x:c r="A4501" s="16" t="n">
        <x:v>4498</x:v>
      </x:c>
      <x:c r="B4501" s="16" t="str">
        <x:v>Mohd Afendie</x:v>
      </x:c>
      <x:c r="C4501" s="16" t="str"/>
      <x:c r="D4501" s="16" t="str"/>
      <x:c r="E4501" s="16" t="str">
        <x:v>* myContacts</x:v>
      </x:c>
      <x:c r="F4501" s="16" t="str">
        <x:v>+60108009106</x:v>
      </x:c>
      <x:c r="G4501" s="16" t="str">
        <x:v>+60108009106</x:v>
      </x:c>
      <x:c r="H4501" s="16" t="str">
        <x:v>Excluded</x:v>
      </x:c>
      <x:c r="I4501" s="16" t="str">
        <x:v>Missing email</x:v>
      </x:c>
    </x:row>
    <x:row r="4502">
      <x:c r="A4502" s="16" t="n">
        <x:v>4499</x:v>
      </x:c>
      <x:c r="B4502" s="16" t="str">
        <x:v>Mohd Afis ikm jasin</x:v>
      </x:c>
      <x:c r="C4502" s="16" t="str"/>
      <x:c r="D4502" s="16" t="str"/>
      <x:c r="E4502" s="16" t="str">
        <x:v>* myContacts</x:v>
      </x:c>
      <x:c r="F4502" s="16" t="str">
        <x:v>+60 12-357 9007 | +60123579007</x:v>
      </x:c>
      <x:c r="G4502" s="16" t="str">
        <x:v>+60123579007 | +60123579007</x:v>
      </x:c>
      <x:c r="H4502" s="16" t="str">
        <x:v>Excluded</x:v>
      </x:c>
      <x:c r="I4502" s="16" t="str">
        <x:v>Missing email</x:v>
      </x:c>
    </x:row>
    <x:row r="4503">
      <x:c r="A4503" s="16" t="n">
        <x:v>4500</x:v>
      </x:c>
      <x:c r="B4503" s="16" t="str">
        <x:v>Mohd Aimran</x:v>
      </x:c>
      <x:c r="C4503" s="16" t="str"/>
      <x:c r="D4503" s="16" t="str"/>
      <x:c r="E4503" s="16" t="str">
        <x:v>* myContacts</x:v>
      </x:c>
      <x:c r="F4503" s="16" t="str">
        <x:v>+60172998767</x:v>
      </x:c>
      <x:c r="G4503" s="16" t="str">
        <x:v>+60172998767</x:v>
      </x:c>
      <x:c r="H4503" s="16" t="str">
        <x:v>Excluded</x:v>
      </x:c>
      <x:c r="I4503" s="16" t="str">
        <x:v>Missing email</x:v>
      </x:c>
    </x:row>
    <x:row r="4504">
      <x:c r="A4504" s="16" t="n">
        <x:v>4501</x:v>
      </x:c>
      <x:c r="B4504" s="16" t="str">
        <x:v>Mohd Aizam</x:v>
      </x:c>
      <x:c r="C4504" s="16" t="str"/>
      <x:c r="D4504" s="16" t="str"/>
      <x:c r="E4504" s="16" t="str">
        <x:v>* myContacts</x:v>
      </x:c>
      <x:c r="F4504" s="16" t="str">
        <x:v>+60175246153</x:v>
      </x:c>
      <x:c r="G4504" s="16" t="str">
        <x:v>+60175246153</x:v>
      </x:c>
      <x:c r="H4504" s="16" t="str">
        <x:v>Excluded</x:v>
      </x:c>
      <x:c r="I4504" s="16" t="str">
        <x:v>Missing email</x:v>
      </x:c>
    </x:row>
    <x:row r="4505">
      <x:c r="A4505" s="16" t="n">
        <x:v>4502</x:v>
      </x:c>
      <x:c r="B4505" s="16" t="str">
        <x:v>Mohd Alliff</x:v>
      </x:c>
      <x:c r="C4505" s="16" t="str"/>
      <x:c r="D4505" s="16" t="str"/>
      <x:c r="E4505" s="16" t="str">
        <x:v>* myContacts</x:v>
      </x:c>
      <x:c r="F4505" s="16" t="str">
        <x:v>+60132116858</x:v>
      </x:c>
      <x:c r="G4505" s="16" t="str">
        <x:v>+60132116858</x:v>
      </x:c>
      <x:c r="H4505" s="16" t="str">
        <x:v>Excluded</x:v>
      </x:c>
      <x:c r="I4505" s="16" t="str">
        <x:v>Missing email</x:v>
      </x:c>
    </x:row>
    <x:row r="4506">
      <x:c r="A4506" s="16" t="n">
        <x:v>4503</x:v>
      </x:c>
      <x:c r="B4506" s="16" t="str">
        <x:v>Mohd Amier Amirullah</x:v>
      </x:c>
      <x:c r="C4506" s="16" t="str"/>
      <x:c r="D4506" s="16" t="str"/>
      <x:c r="E4506" s="16" t="str">
        <x:v>* myContacts</x:v>
      </x:c>
      <x:c r="F4506" s="16" t="str">
        <x:v>+601128993554</x:v>
      </x:c>
      <x:c r="G4506" s="16" t="str">
        <x:v>+601128993554</x:v>
      </x:c>
      <x:c r="H4506" s="16" t="str">
        <x:v>Excluded</x:v>
      </x:c>
      <x:c r="I4506" s="16" t="str">
        <x:v>Missing email</x:v>
      </x:c>
    </x:row>
    <x:row r="4507">
      <x:c r="A4507" s="16" t="n">
        <x:v>4504</x:v>
      </x:c>
      <x:c r="B4507" s="16" t="str">
        <x:v>Mohd Amin Hasan</x:v>
      </x:c>
      <x:c r="C4507" s="16" t="str"/>
      <x:c r="D4507" s="16" t="str"/>
      <x:c r="E4507" s="16" t="str">
        <x:v>* myContacts</x:v>
      </x:c>
      <x:c r="F4507" s="16" t="str">
        <x:v>+60199944450</x:v>
      </x:c>
      <x:c r="G4507" s="16" t="str">
        <x:v>+60199944450</x:v>
      </x:c>
      <x:c r="H4507" s="16" t="str">
        <x:v>Excluded</x:v>
      </x:c>
      <x:c r="I4507" s="16" t="str">
        <x:v>Missing email</x:v>
      </x:c>
    </x:row>
    <x:row r="4508">
      <x:c r="A4508" s="16" t="n">
        <x:v>4505</x:v>
      </x:c>
      <x:c r="B4508" s="16" t="str">
        <x:v>Mohd Aminudin AGP</x:v>
      </x:c>
      <x:c r="C4508" s="16" t="str"/>
      <x:c r="D4508" s="16" t="str"/>
      <x:c r="E4508" s="16" t="str">
        <x:v>* myContacts</x:v>
      </x:c>
      <x:c r="F4508" s="16" t="str">
        <x:v>+60 19-570 2391 | +60195702391</x:v>
      </x:c>
      <x:c r="G4508" s="16" t="str">
        <x:v>+60195702391 | +60195702391</x:v>
      </x:c>
      <x:c r="H4508" s="16" t="str">
        <x:v>Excluded</x:v>
      </x:c>
      <x:c r="I4508" s="16" t="str">
        <x:v>Missing email</x:v>
      </x:c>
    </x:row>
    <x:row r="4509">
      <x:c r="A4509" s="16" t="n">
        <x:v>4506</x:v>
      </x:c>
      <x:c r="B4509" s="16" t="str">
        <x:v>Mohd Anhar</x:v>
      </x:c>
      <x:c r="C4509" s="16" t="str"/>
      <x:c r="D4509" s="16" t="str"/>
      <x:c r="E4509" s="16" t="str">
        <x:v>* myContacts</x:v>
      </x:c>
      <x:c r="F4509" s="16" t="str">
        <x:v>+60139788690</x:v>
      </x:c>
      <x:c r="G4509" s="16" t="str">
        <x:v>+60139788690</x:v>
      </x:c>
      <x:c r="H4509" s="16" t="str">
        <x:v>Excluded</x:v>
      </x:c>
      <x:c r="I4509" s="16" t="str">
        <x:v>Missing email</x:v>
      </x:c>
    </x:row>
    <x:row r="4510">
      <x:c r="A4510" s="16" t="n">
        <x:v>4507</x:v>
      </x:c>
      <x:c r="B4510" s="16" t="str">
        <x:v>Mohd Arif</x:v>
      </x:c>
      <x:c r="C4510" s="16" t="str">
        <x:v>mohd_arif22@ymail.com</x:v>
      </x:c>
      <x:c r="D4510" s="16" t="str">
        <x:v>mohd_arif22@ymail.com</x:v>
      </x:c>
      <x:c r="E4510" s="16" t="str">
        <x:v>* myContacts</x:v>
      </x:c>
      <x:c r="F4510" s="16" t="str">
        <x:v>+60198364977</x:v>
      </x:c>
      <x:c r="G4510" s="16" t="str">
        <x:v>+60198364977</x:v>
      </x:c>
      <x:c r="H4510" s="16" t="str">
        <x:v>Eligible</x:v>
      </x:c>
      <x:c r="I4510" s="16" t="str"/>
    </x:row>
    <x:row r="4511">
      <x:c r="A4511" s="16" t="n">
        <x:v>4508</x:v>
      </x:c>
      <x:c r="B4511" s="16" t="str">
        <x:v>Mohd Ariff</x:v>
      </x:c>
      <x:c r="C4511" s="16" t="str"/>
      <x:c r="D4511" s="16" t="str"/>
      <x:c r="E4511" s="16" t="str">
        <x:v>* myContacts</x:v>
      </x:c>
      <x:c r="F4511" s="16" t="str">
        <x:v>+601123053902</x:v>
      </x:c>
      <x:c r="G4511" s="16" t="str">
        <x:v>+601123053902</x:v>
      </x:c>
      <x:c r="H4511" s="16" t="str">
        <x:v>Excluded</x:v>
      </x:c>
      <x:c r="I4511" s="16" t="str">
        <x:v>Missing email</x:v>
      </x:c>
    </x:row>
    <x:row r="4512">
      <x:c r="A4512" s="16" t="n">
        <x:v>4509</x:v>
      </x:c>
      <x:c r="B4512" s="16" t="str">
        <x:v>Mohd Asrol</x:v>
      </x:c>
      <x:c r="C4512" s="16" t="str"/>
      <x:c r="D4512" s="16" t="str"/>
      <x:c r="E4512" s="16" t="str">
        <x:v>* myContacts</x:v>
      </x:c>
      <x:c r="F4512" s="16" t="str">
        <x:v>+60173225047</x:v>
      </x:c>
      <x:c r="G4512" s="16" t="str">
        <x:v>+60173225047</x:v>
      </x:c>
      <x:c r="H4512" s="16" t="str">
        <x:v>Excluded</x:v>
      </x:c>
      <x:c r="I4512" s="16" t="str">
        <x:v>Missing email</x:v>
      </x:c>
    </x:row>
    <x:row r="4513">
      <x:c r="A4513" s="16" t="n">
        <x:v>4510</x:v>
      </x:c>
      <x:c r="B4513" s="16" t="str">
        <x:v>Mohd Ayub</x:v>
      </x:c>
      <x:c r="C4513" s="16" t="str"/>
      <x:c r="D4513" s="16" t="str"/>
      <x:c r="E4513" s="16" t="str">
        <x:v>* myContacts</x:v>
      </x:c>
      <x:c r="F4513" s="16" t="str">
        <x:v>+60177764369</x:v>
      </x:c>
      <x:c r="G4513" s="16" t="str">
        <x:v>+60177764369</x:v>
      </x:c>
      <x:c r="H4513" s="16" t="str">
        <x:v>Excluded</x:v>
      </x:c>
      <x:c r="I4513" s="16" t="str">
        <x:v>Missing email</x:v>
      </x:c>
    </x:row>
    <x:row r="4514">
      <x:c r="A4514" s="16" t="n">
        <x:v>4511</x:v>
      </x:c>
      <x:c r="B4514" s="16" t="str">
        <x:v>Mohd Aziz</x:v>
      </x:c>
      <x:c r="C4514" s="16" t="str"/>
      <x:c r="D4514" s="16" t="str"/>
      <x:c r="E4514" s="16" t="str">
        <x:v>* myContacts</x:v>
      </x:c>
      <x:c r="F4514" s="16" t="str">
        <x:v>+60133181253</x:v>
      </x:c>
      <x:c r="G4514" s="16" t="str">
        <x:v>+60133181253</x:v>
      </x:c>
      <x:c r="H4514" s="16" t="str">
        <x:v>Excluded</x:v>
      </x:c>
      <x:c r="I4514" s="16" t="str">
        <x:v>Missing email</x:v>
      </x:c>
    </x:row>
    <x:row r="4515">
      <x:c r="A4515" s="16" t="n">
        <x:v>4512</x:v>
      </x:c>
      <x:c r="B4515" s="16" t="str">
        <x:v>Mohd Azizul</x:v>
      </x:c>
      <x:c r="C4515" s="16" t="str">
        <x:v>azizul@mitacademy.edu.my</x:v>
      </x:c>
      <x:c r="D4515" s="16" t="str">
        <x:v>azizul@mitacademy.edu.my</x:v>
      </x:c>
      <x:c r="E4515" s="16" t="str">
        <x:v>* myContacts</x:v>
      </x:c>
      <x:c r="F4515" s="16" t="str">
        <x:v>+60123878711</x:v>
      </x:c>
      <x:c r="G4515" s="16" t="str">
        <x:v>+60123878711</x:v>
      </x:c>
      <x:c r="H4515" s="16" t="str">
        <x:v>Eligible</x:v>
      </x:c>
      <x:c r="I4515" s="16" t="str"/>
    </x:row>
    <x:row r="4516">
      <x:c r="A4516" s="16" t="n">
        <x:v>4513</x:v>
      </x:c>
      <x:c r="B4516" s="16" t="str">
        <x:v>Mohd Azizul Abdul Aziz</x:v>
      </x:c>
      <x:c r="C4516" s="16" t="str"/>
      <x:c r="D4516" s="16" t="str"/>
      <x:c r="E4516" s="16" t="str">
        <x:v>* myContacts</x:v>
      </x:c>
      <x:c r="F4516" s="16" t="str">
        <x:v>+60196253581</x:v>
      </x:c>
      <x:c r="G4516" s="16" t="str">
        <x:v>+60196253581</x:v>
      </x:c>
      <x:c r="H4516" s="16" t="str">
        <x:v>Excluded</x:v>
      </x:c>
      <x:c r="I4516" s="16" t="str">
        <x:v>Missing email</x:v>
      </x:c>
    </x:row>
    <x:row r="4517">
      <x:c r="A4517" s="16" t="n">
        <x:v>4514</x:v>
      </x:c>
      <x:c r="B4517" s="16" t="str">
        <x:v>Mohd Azli Liey</x:v>
      </x:c>
      <x:c r="C4517" s="16" t="str"/>
      <x:c r="D4517" s="16" t="str"/>
      <x:c r="E4517" s="16" t="str">
        <x:v>* myContacts</x:v>
      </x:c>
      <x:c r="F4517" s="16" t="str">
        <x:v>+60172082941</x:v>
      </x:c>
      <x:c r="G4517" s="16" t="str">
        <x:v>+60172082941</x:v>
      </x:c>
      <x:c r="H4517" s="16" t="str">
        <x:v>Excluded</x:v>
      </x:c>
      <x:c r="I4517" s="16" t="str">
        <x:v>Missing email</x:v>
      </x:c>
    </x:row>
    <x:row r="4518">
      <x:c r="A4518" s="16" t="n">
        <x:v>4515</x:v>
      </x:c>
      <x:c r="B4518" s="16" t="str">
        <x:v>Mohd Azmi AGP</x:v>
      </x:c>
      <x:c r="C4518" s="16" t="str"/>
      <x:c r="D4518" s="16" t="str"/>
      <x:c r="E4518" s="16" t="str">
        <x:v>* myContacts</x:v>
      </x:c>
      <x:c r="F4518" s="16" t="str">
        <x:v>+60 12-648 4877 | +60126484877</x:v>
      </x:c>
      <x:c r="G4518" s="16" t="str">
        <x:v>+60126484877 | +60126484877</x:v>
      </x:c>
      <x:c r="H4518" s="16" t="str">
        <x:v>Excluded</x:v>
      </x:c>
      <x:c r="I4518" s="16" t="str">
        <x:v>Missing email</x:v>
      </x:c>
    </x:row>
    <x:row r="4519">
      <x:c r="A4519" s="16" t="n">
        <x:v>4516</x:v>
      </x:c>
      <x:c r="B4519" s="16" t="str">
        <x:v>Mohd Azmir Mohd Radzi</x:v>
      </x:c>
      <x:c r="C4519" s="16" t="str"/>
      <x:c r="D4519" s="16" t="str"/>
      <x:c r="E4519" s="16" t="str">
        <x:v>* myContacts</x:v>
      </x:c>
      <x:c r="F4519" s="16" t="str">
        <x:v>+60123767824</x:v>
      </x:c>
      <x:c r="G4519" s="16" t="str">
        <x:v>+60123767824</x:v>
      </x:c>
      <x:c r="H4519" s="16" t="str">
        <x:v>Excluded</x:v>
      </x:c>
      <x:c r="I4519" s="16" t="str">
        <x:v>Missing email</x:v>
      </x:c>
    </x:row>
    <x:row r="4520">
      <x:c r="A4520" s="16" t="n">
        <x:v>4517</x:v>
      </x:c>
      <x:c r="B4520" s="16" t="str">
        <x:v>Mohd Azreen</x:v>
      </x:c>
      <x:c r="C4520" s="16" t="str">
        <x:v>motionbeyond.azreen@gmail.com</x:v>
      </x:c>
      <x:c r="D4520" s="16" t="str">
        <x:v>motionbeyond.azreen@gmail.com</x:v>
      </x:c>
      <x:c r="E4520" s="16" t="str">
        <x:v>* myContacts</x:v>
      </x:c>
      <x:c r="F4520" s="16" t="str">
        <x:v>+60127680027 | +60168667437 | +60333586927</x:v>
      </x:c>
      <x:c r="G4520" s="16" t="str">
        <x:v>+60127680027 | +60168667437 | +60333586927</x:v>
      </x:c>
      <x:c r="H4520" s="16" t="str">
        <x:v>Eligible</x:v>
      </x:c>
      <x:c r="I4520" s="16" t="str"/>
    </x:row>
    <x:row r="4521">
      <x:c r="A4521" s="16" t="n">
        <x:v>4518</x:v>
      </x:c>
      <x:c r="B4521" s="16" t="str">
        <x:v>Mohd Badrul Kamal</x:v>
      </x:c>
      <x:c r="C4521" s="16" t="str"/>
      <x:c r="D4521" s="16" t="str"/>
      <x:c r="E4521" s="16" t="str">
        <x:v>* myContacts</x:v>
      </x:c>
      <x:c r="F4521" s="16" t="str">
        <x:v>+60125235574</x:v>
      </x:c>
      <x:c r="G4521" s="16" t="str">
        <x:v>+60125235574</x:v>
      </x:c>
      <x:c r="H4521" s="16" t="str">
        <x:v>Excluded</x:v>
      </x:c>
      <x:c r="I4521" s="16" t="str">
        <x:v>Missing email</x:v>
      </x:c>
    </x:row>
    <x:row r="4522">
      <x:c r="A4522" s="16" t="n">
        <x:v>4519</x:v>
      </x:c>
      <x:c r="B4522" s="16" t="str">
        <x:v>Mohd Bakri Shaari</x:v>
      </x:c>
      <x:c r="C4522" s="16" t="str"/>
      <x:c r="D4522" s="16" t="str"/>
      <x:c r="E4522" s="16" t="str">
        <x:v>* myContacts</x:v>
      </x:c>
      <x:c r="F4522" s="16" t="str">
        <x:v>+60195121209</x:v>
      </x:c>
      <x:c r="G4522" s="16" t="str">
        <x:v>+60195121209</x:v>
      </x:c>
      <x:c r="H4522" s="16" t="str">
        <x:v>Excluded</x:v>
      </x:c>
      <x:c r="I4522" s="16" t="str">
        <x:v>Missing email</x:v>
      </x:c>
    </x:row>
    <x:row r="4523">
      <x:c r="A4523" s="16" t="n">
        <x:v>4520</x:v>
      </x:c>
      <x:c r="B4523" s="16" t="str">
        <x:v>Mohd Basya</x:v>
      </x:c>
      <x:c r="C4523" s="16" t="str"/>
      <x:c r="D4523" s="16" t="str"/>
      <x:c r="E4523" s="16" t="str">
        <x:v>* myContacts</x:v>
      </x:c>
      <x:c r="F4523" s="16" t="str">
        <x:v>+60163364876</x:v>
      </x:c>
      <x:c r="G4523" s="16" t="str">
        <x:v>+60163364876</x:v>
      </x:c>
      <x:c r="H4523" s="16" t="str">
        <x:v>Excluded</x:v>
      </x:c>
      <x:c r="I4523" s="16" t="str">
        <x:v>Missing email</x:v>
      </x:c>
    </x:row>
    <x:row r="4524">
      <x:c r="A4524" s="16" t="n">
        <x:v>4521</x:v>
      </x:c>
      <x:c r="B4524" s="16" t="str">
        <x:v>Mohd Dali Ali Dali</x:v>
      </x:c>
      <x:c r="C4524" s="16" t="str"/>
      <x:c r="D4524" s="16" t="str"/>
      <x:c r="E4524" s="16" t="str">
        <x:v>* myContacts</x:v>
      </x:c>
      <x:c r="F4524" s="16" t="str">
        <x:v>+60108266349</x:v>
      </x:c>
      <x:c r="G4524" s="16" t="str">
        <x:v>+60108266349</x:v>
      </x:c>
      <x:c r="H4524" s="16" t="str">
        <x:v>Excluded</x:v>
      </x:c>
      <x:c r="I4524" s="16" t="str">
        <x:v>Missing email</x:v>
      </x:c>
    </x:row>
    <x:row r="4525">
      <x:c r="A4525" s="16" t="n">
        <x:v>4522</x:v>
      </x:c>
      <x:c r="B4525" s="16" t="str">
        <x:v>Mohd Damai Edwin</x:v>
      </x:c>
      <x:c r="C4525" s="16" t="str"/>
      <x:c r="D4525" s="16" t="str"/>
      <x:c r="E4525" s="16" t="str">
        <x:v>* myContacts</x:v>
      </x:c>
      <x:c r="F4525" s="16" t="str">
        <x:v>+60 13-390 8505 | +60133908505</x:v>
      </x:c>
      <x:c r="G4525" s="16" t="str">
        <x:v>+60133908505 | +60133908505</x:v>
      </x:c>
      <x:c r="H4525" s="16" t="str">
        <x:v>Excluded</x:v>
      </x:c>
      <x:c r="I4525" s="16" t="str">
        <x:v>Missing email</x:v>
      </x:c>
    </x:row>
    <x:row r="4526">
      <x:c r="A4526" s="16" t="n">
        <x:v>4523</x:v>
      </x:c>
      <x:c r="B4526" s="16" t="str">
        <x:v>Mohd Ezrix Syahriz</x:v>
      </x:c>
      <x:c r="C4526" s="16" t="str"/>
      <x:c r="D4526" s="16" t="str"/>
      <x:c r="E4526" s="16" t="str">
        <x:v>* myContacts</x:v>
      </x:c>
      <x:c r="F4526" s="16" t="str">
        <x:v>+60123846470</x:v>
      </x:c>
      <x:c r="G4526" s="16" t="str">
        <x:v>+60123846470</x:v>
      </x:c>
      <x:c r="H4526" s="16" t="str">
        <x:v>Excluded</x:v>
      </x:c>
      <x:c r="I4526" s="16" t="str">
        <x:v>Missing email</x:v>
      </x:c>
    </x:row>
    <x:row r="4527">
      <x:c r="A4527" s="16" t="n">
        <x:v>4524</x:v>
      </x:c>
      <x:c r="B4527" s="16" t="str">
        <x:v>Mohd Fadli Othman</x:v>
      </x:c>
      <x:c r="C4527" s="16" t="str"/>
      <x:c r="D4527" s="16" t="str"/>
      <x:c r="E4527" s="16" t="str">
        <x:v>* myContacts</x:v>
      </x:c>
      <x:c r="F4527" s="16" t="str">
        <x:v>+6096622490</x:v>
      </x:c>
      <x:c r="G4527" s="16" t="str">
        <x:v>+6096622490</x:v>
      </x:c>
      <x:c r="H4527" s="16" t="str">
        <x:v>Excluded</x:v>
      </x:c>
      <x:c r="I4527" s="16" t="str">
        <x:v>Missing email</x:v>
      </x:c>
    </x:row>
    <x:row r="4528">
      <x:c r="A4528" s="16" t="n">
        <x:v>4525</x:v>
      </x:c>
      <x:c r="B4528" s="16" t="str">
        <x:v>Mohd Fadly</x:v>
      </x:c>
      <x:c r="C4528" s="16" t="str"/>
      <x:c r="D4528" s="16" t="str"/>
      <x:c r="E4528" s="16" t="str">
        <x:v>* myContacts</x:v>
      </x:c>
      <x:c r="F4528" s="16" t="str">
        <x:v>+60129684336</x:v>
      </x:c>
      <x:c r="G4528" s="16" t="str">
        <x:v>+60129684336</x:v>
      </x:c>
      <x:c r="H4528" s="16" t="str">
        <x:v>Excluded</x:v>
      </x:c>
      <x:c r="I4528" s="16" t="str">
        <x:v>Missing email</x:v>
      </x:c>
    </x:row>
    <x:row r="4529">
      <x:c r="A4529" s="16" t="n">
        <x:v>4526</x:v>
      </x:c>
      <x:c r="B4529" s="16" t="str">
        <x:v>Mohd Fadzil Fadz</x:v>
      </x:c>
      <x:c r="C4529" s="16" t="str"/>
      <x:c r="D4529" s="16" t="str"/>
      <x:c r="E4529" s="16" t="str">
        <x:v>* myContacts</x:v>
      </x:c>
      <x:c r="F4529" s="16" t="str">
        <x:v>+601132968988</x:v>
      </x:c>
      <x:c r="G4529" s="16" t="str">
        <x:v>+601132968988</x:v>
      </x:c>
      <x:c r="H4529" s="16" t="str">
        <x:v>Excluded</x:v>
      </x:c>
      <x:c r="I4529" s="16" t="str">
        <x:v>Missing email</x:v>
      </x:c>
    </x:row>
    <x:row r="4530">
      <x:c r="A4530" s="16" t="n">
        <x:v>4527</x:v>
      </x:c>
      <x:c r="B4530" s="16" t="str">
        <x:v>Mohd Fadzli Mohd Yusuf</x:v>
      </x:c>
      <x:c r="C4530" s="16" t="str"/>
      <x:c r="D4530" s="16" t="str"/>
      <x:c r="E4530" s="16" t="str">
        <x:v>* myContacts</x:v>
      </x:c>
      <x:c r="F4530" s="16" t="str">
        <x:v>+60192757826</x:v>
      </x:c>
      <x:c r="G4530" s="16" t="str">
        <x:v>+60192757826</x:v>
      </x:c>
      <x:c r="H4530" s="16" t="str">
        <x:v>Excluded</x:v>
      </x:c>
      <x:c r="I4530" s="16" t="str">
        <x:v>Missing email</x:v>
      </x:c>
    </x:row>
    <x:row r="4531">
      <x:c r="A4531" s="16" t="n">
        <x:v>4528</x:v>
      </x:c>
      <x:c r="B4531" s="16" t="str">
        <x:v>Mohd Fadzrullah</x:v>
      </x:c>
      <x:c r="C4531" s="16" t="str"/>
      <x:c r="D4531" s="16" t="str"/>
      <x:c r="E4531" s="16" t="str">
        <x:v>* myContacts</x:v>
      </x:c>
      <x:c r="F4531" s="16" t="str">
        <x:v>+60193545122</x:v>
      </x:c>
      <x:c r="G4531" s="16" t="str">
        <x:v>+60193545122</x:v>
      </x:c>
      <x:c r="H4531" s="16" t="str">
        <x:v>Excluded</x:v>
      </x:c>
      <x:c r="I4531" s="16" t="str">
        <x:v>Missing email</x:v>
      </x:c>
    </x:row>
    <x:row r="4532">
      <x:c r="A4532" s="16" t="n">
        <x:v>4529</x:v>
      </x:c>
      <x:c r="B4532" s="16" t="str">
        <x:v>Mohd Faeiz Abdul Rashid</x:v>
      </x:c>
      <x:c r="C4532" s="16" t="str"/>
      <x:c r="D4532" s="16" t="str"/>
      <x:c r="E4532" s="16" t="str">
        <x:v>* myContacts</x:v>
      </x:c>
      <x:c r="F4532" s="16" t="str">
        <x:v>+60126245664</x:v>
      </x:c>
      <x:c r="G4532" s="16" t="str">
        <x:v>+60126245664</x:v>
      </x:c>
      <x:c r="H4532" s="16" t="str">
        <x:v>Excluded</x:v>
      </x:c>
      <x:c r="I4532" s="16" t="str">
        <x:v>Missing email</x:v>
      </x:c>
    </x:row>
    <x:row r="4533">
      <x:c r="A4533" s="16" t="n">
        <x:v>4530</x:v>
      </x:c>
      <x:c r="B4533" s="16" t="str">
        <x:v>Mohd Fairul Mursalim</x:v>
      </x:c>
      <x:c r="C4533" s="16" t="str"/>
      <x:c r="D4533" s="16" t="str"/>
      <x:c r="E4533" s="16" t="str">
        <x:v>* myContacts</x:v>
      </x:c>
      <x:c r="F4533" s="16" t="str">
        <x:v>+60145726133</x:v>
      </x:c>
      <x:c r="G4533" s="16" t="str">
        <x:v>+60145726133</x:v>
      </x:c>
      <x:c r="H4533" s="16" t="str">
        <x:v>Excluded</x:v>
      </x:c>
      <x:c r="I4533" s="16" t="str">
        <x:v>Missing email</x:v>
      </x:c>
    </x:row>
    <x:row r="4534">
      <x:c r="A4534" s="16" t="n">
        <x:v>4531</x:v>
      </x:c>
      <x:c r="B4534" s="16" t="str">
        <x:v>Mohd Faisal Ismail Faisal</x:v>
      </x:c>
      <x:c r="C4534" s="16" t="str"/>
      <x:c r="D4534" s="16" t="str"/>
      <x:c r="E4534" s="16" t="str">
        <x:v>* myContacts</x:v>
      </x:c>
      <x:c r="F4534" s="16" t="str">
        <x:v>+60193034208</x:v>
      </x:c>
      <x:c r="G4534" s="16" t="str">
        <x:v>+60193034208</x:v>
      </x:c>
      <x:c r="H4534" s="16" t="str">
        <x:v>Excluded</x:v>
      </x:c>
      <x:c r="I4534" s="16" t="str">
        <x:v>Missing email</x:v>
      </x:c>
    </x:row>
    <x:row r="4535">
      <x:c r="A4535" s="16" t="n">
        <x:v>4532</x:v>
      </x:c>
      <x:c r="B4535" s="16" t="str">
        <x:v>Mohd Faiz Che At</x:v>
      </x:c>
      <x:c r="C4535" s="16" t="str"/>
      <x:c r="D4535" s="16" t="str"/>
      <x:c r="E4535" s="16" t="str">
        <x:v>* myContacts</x:v>
      </x:c>
      <x:c r="F4535" s="16" t="str">
        <x:v>+60175545134</x:v>
      </x:c>
      <x:c r="G4535" s="16" t="str">
        <x:v>+60175545134</x:v>
      </x:c>
      <x:c r="H4535" s="16" t="str">
        <x:v>Excluded</x:v>
      </x:c>
      <x:c r="I4535" s="16" t="str">
        <x:v>Missing email</x:v>
      </x:c>
    </x:row>
    <x:row r="4536">
      <x:c r="A4536" s="16" t="n">
        <x:v>4533</x:v>
      </x:c>
      <x:c r="B4536" s="16" t="str">
        <x:v>Mohd Fakhruddin AGP</x:v>
      </x:c>
      <x:c r="C4536" s="16" t="str"/>
      <x:c r="D4536" s="16" t="str"/>
      <x:c r="E4536" s="16" t="str">
        <x:v>* myContacts</x:v>
      </x:c>
      <x:c r="F4536" s="16" t="str">
        <x:v>+60 13-269 1144 | +60132691144</x:v>
      </x:c>
      <x:c r="G4536" s="16" t="str">
        <x:v>+60132691144 | +60132691144</x:v>
      </x:c>
      <x:c r="H4536" s="16" t="str">
        <x:v>Excluded</x:v>
      </x:c>
      <x:c r="I4536" s="16" t="str">
        <x:v>Missing email</x:v>
      </x:c>
    </x:row>
    <x:row r="4537">
      <x:c r="A4537" s="16" t="n">
        <x:v>4534</x:v>
      </x:c>
      <x:c r="B4537" s="16" t="str">
        <x:v>Mohd Fakhrurozi Mat Zain</x:v>
      </x:c>
      <x:c r="C4537" s="16" t="str"/>
      <x:c r="D4537" s="16" t="str"/>
      <x:c r="E4537" s="16" t="str">
        <x:v>* myContacts</x:v>
      </x:c>
      <x:c r="F4537" s="16" t="str">
        <x:v>+60139281417</x:v>
      </x:c>
      <x:c r="G4537" s="16" t="str">
        <x:v>+60139281417</x:v>
      </x:c>
      <x:c r="H4537" s="16" t="str">
        <x:v>Excluded</x:v>
      </x:c>
      <x:c r="I4537" s="16" t="str">
        <x:v>Missing email</x:v>
      </x:c>
    </x:row>
    <x:row r="4538">
      <x:c r="A4538" s="16" t="n">
        <x:v>4535</x:v>
      </x:c>
      <x:c r="B4538" s="16" t="str">
        <x:v>Mohd Fariel Anuar</x:v>
      </x:c>
      <x:c r="C4538" s="16" t="str"/>
      <x:c r="D4538" s="16" t="str"/>
      <x:c r="E4538" s="16" t="str">
        <x:v>* myContacts</x:v>
      </x:c>
      <x:c r="F4538" s="16" t="str">
        <x:v>+60135471266</x:v>
      </x:c>
      <x:c r="G4538" s="16" t="str">
        <x:v>+60135471266</x:v>
      </x:c>
      <x:c r="H4538" s="16" t="str">
        <x:v>Excluded</x:v>
      </x:c>
      <x:c r="I4538" s="16" t="str">
        <x:v>Missing email</x:v>
      </x:c>
    </x:row>
    <x:row r="4539">
      <x:c r="A4539" s="16" t="n">
        <x:v>4536</x:v>
      </x:c>
      <x:c r="B4539" s="16" t="str">
        <x:v>Mohd Farrid Abd Yaakub</x:v>
      </x:c>
      <x:c r="C4539" s="16" t="str"/>
      <x:c r="D4539" s="16" t="str"/>
      <x:c r="E4539" s="16" t="str">
        <x:v>* myContacts</x:v>
      </x:c>
      <x:c r="F4539" s="16" t="str">
        <x:v>+60109575226</x:v>
      </x:c>
      <x:c r="G4539" s="16" t="str">
        <x:v>+60109575226</x:v>
      </x:c>
      <x:c r="H4539" s="16" t="str">
        <x:v>Excluded</x:v>
      </x:c>
      <x:c r="I4539" s="16" t="str">
        <x:v>Missing email</x:v>
      </x:c>
    </x:row>
    <x:row r="4540">
      <x:c r="A4540" s="16" t="n">
        <x:v>4537</x:v>
      </x:c>
      <x:c r="B4540" s="16" t="str">
        <x:v>Mohd Fauzan Ashaari Appe</x:v>
      </x:c>
      <x:c r="C4540" s="16" t="str"/>
      <x:c r="D4540" s="16" t="str"/>
      <x:c r="E4540" s="16" t="str">
        <x:v>* myContacts</x:v>
      </x:c>
      <x:c r="F4540" s="16" t="str">
        <x:v>+60168041939</x:v>
      </x:c>
      <x:c r="G4540" s="16" t="str">
        <x:v>+60168041939</x:v>
      </x:c>
      <x:c r="H4540" s="16" t="str">
        <x:v>Excluded</x:v>
      </x:c>
      <x:c r="I4540" s="16" t="str">
        <x:v>Missing email</x:v>
      </x:c>
    </x:row>
    <x:row r="4541">
      <x:c r="A4541" s="16" t="n">
        <x:v>4538</x:v>
      </x:c>
      <x:c r="B4541" s="16" t="str">
        <x:v>Mohd Fauzan Fauzi</x:v>
      </x:c>
      <x:c r="C4541" s="16" t="str"/>
      <x:c r="D4541" s="16" t="str"/>
      <x:c r="E4541" s="16" t="str">
        <x:v>* myContacts</x:v>
      </x:c>
      <x:c r="F4541" s="16" t="str">
        <x:v>+60148368739</x:v>
      </x:c>
      <x:c r="G4541" s="16" t="str">
        <x:v>+60148368739</x:v>
      </x:c>
      <x:c r="H4541" s="16" t="str">
        <x:v>Excluded</x:v>
      </x:c>
      <x:c r="I4541" s="16" t="str">
        <x:v>Missing email</x:v>
      </x:c>
    </x:row>
    <x:row r="4542">
      <x:c r="A4542" s="16" t="n">
        <x:v>4539</x:v>
      </x:c>
      <x:c r="B4542" s="16" t="str">
        <x:v>Mohd Fauzi Supeno Agent Essens</x:v>
      </x:c>
      <x:c r="C4542" s="16" t="str"/>
      <x:c r="D4542" s="16" t="str"/>
      <x:c r="E4542" s="16" t="str">
        <x:v>* myContacts</x:v>
      </x:c>
      <x:c r="F4542" s="16" t="str">
        <x:v>+60 19-207 6640 | +60192076640</x:v>
      </x:c>
      <x:c r="G4542" s="16" t="str">
        <x:v>+60192076640 | +60192076640</x:v>
      </x:c>
      <x:c r="H4542" s="16" t="str">
        <x:v>Excluded</x:v>
      </x:c>
      <x:c r="I4542" s="16" t="str">
        <x:v>Missing email</x:v>
      </x:c>
    </x:row>
    <x:row r="4543">
      <x:c r="A4543" s="16" t="n">
        <x:v>4540</x:v>
      </x:c>
      <x:c r="B4543" s="16" t="str">
        <x:v>MOHD FAZLANSHAH BIN MOHD ZIN C. A. ( M</x:v>
      </x:c>
      <x:c r="C4543" s="16" t="str">
        <x:v>fazlanshah@maraexcellent.com.my</x:v>
      </x:c>
      <x:c r="D4543" s="16" t="str">
        <x:v>fazlanshah@maraexcellent.com.my</x:v>
      </x:c>
      <x:c r="E4543" s="16" t="str">
        <x:v>* myContacts</x:v>
      </x:c>
      <x:c r="F4543" s="16" t="str">
        <x:v>+60124519746</x:v>
      </x:c>
      <x:c r="G4543" s="16" t="str">
        <x:v>+60124519746</x:v>
      </x:c>
      <x:c r="H4543" s="16" t="str">
        <x:v>Eligible</x:v>
      </x:c>
      <x:c r="I4543" s="16" t="str"/>
    </x:row>
    <x:row r="4544">
      <x:c r="A4544" s="16" t="n">
        <x:v>4541</x:v>
      </x:c>
      <x:c r="B4544" s="16" t="str">
        <x:v>Mohd Fazli Ismail</x:v>
      </x:c>
      <x:c r="C4544" s="16" t="str"/>
      <x:c r="D4544" s="16" t="str"/>
      <x:c r="E4544" s="16" t="str">
        <x:v>* myContacts</x:v>
      </x:c>
      <x:c r="F4544" s="16" t="str">
        <x:v>+6066307797</x:v>
      </x:c>
      <x:c r="G4544" s="16" t="str">
        <x:v>+6066307797</x:v>
      </x:c>
      <x:c r="H4544" s="16" t="str">
        <x:v>Excluded</x:v>
      </x:c>
      <x:c r="I4544" s="16" t="str">
        <x:v>Missing email</x:v>
      </x:c>
    </x:row>
    <x:row r="4545">
      <x:c r="A4545" s="16" t="n">
        <x:v>4542</x:v>
      </x:c>
      <x:c r="B4545" s="16" t="str">
        <x:v>Mohd Fazreen bin Maslan</x:v>
      </x:c>
      <x:c r="C4545" s="16" t="str">
        <x:v>fazreen.maslan@mdec.com.my</x:v>
      </x:c>
      <x:c r="D4545" s="16" t="str">
        <x:v>fazreen.maslan@mdec.com.my</x:v>
      </x:c>
      <x:c r="E4545" s="16" t="str">
        <x:v>* myContacts</x:v>
      </x:c>
      <x:c r="F4545" s="16" t="str"/>
      <x:c r="G4545" s="16" t="str"/>
      <x:c r="H4545" s="16" t="str">
        <x:v>Eligible</x:v>
      </x:c>
      <x:c r="I4545" s="16" t="str"/>
    </x:row>
    <x:row r="4546">
      <x:c r="A4546" s="16" t="n">
        <x:v>4543</x:v>
      </x:c>
      <x:c r="B4546" s="16" t="str">
        <x:v>Mohd Fazril Ahmed</x:v>
      </x:c>
      <x:c r="C4546" s="16" t="str"/>
      <x:c r="D4546" s="16" t="str"/>
      <x:c r="E4546" s="16" t="str">
        <x:v>* myContacts</x:v>
      </x:c>
      <x:c r="F4546" s="16" t="str">
        <x:v>+60129264536</x:v>
      </x:c>
      <x:c r="G4546" s="16" t="str">
        <x:v>+60129264536</x:v>
      </x:c>
      <x:c r="H4546" s="16" t="str">
        <x:v>Excluded</x:v>
      </x:c>
      <x:c r="I4546" s="16" t="str">
        <x:v>Missing email</x:v>
      </x:c>
    </x:row>
    <x:row r="4547">
      <x:c r="A4547" s="16" t="n">
        <x:v>4544</x:v>
      </x:c>
      <x:c r="B4547" s="16" t="str">
        <x:v>Mohd Firdaus Basit</x:v>
      </x:c>
      <x:c r="C4547" s="16" t="str"/>
      <x:c r="D4547" s="16" t="str"/>
      <x:c r="E4547" s="16" t="str">
        <x:v>* myContacts</x:v>
      </x:c>
      <x:c r="F4547" s="16" t="str">
        <x:v>+60192461730</x:v>
      </x:c>
      <x:c r="G4547" s="16" t="str">
        <x:v>+60192461730</x:v>
      </x:c>
      <x:c r="H4547" s="16" t="str">
        <x:v>Excluded</x:v>
      </x:c>
      <x:c r="I4547" s="16" t="str">
        <x:v>Missing email</x:v>
      </x:c>
    </x:row>
    <x:row r="4548">
      <x:c r="A4548" s="16" t="n">
        <x:v>4545</x:v>
      </x:c>
      <x:c r="B4548" s="16" t="str">
        <x:v>Mohd Firol Hissyammudin</x:v>
      </x:c>
      <x:c r="C4548" s="16" t="str"/>
      <x:c r="D4548" s="16" t="str"/>
      <x:c r="E4548" s="16" t="str">
        <x:v>* myContacts</x:v>
      </x:c>
      <x:c r="F4548" s="16" t="str">
        <x:v>+60196201339</x:v>
      </x:c>
      <x:c r="G4548" s="16" t="str">
        <x:v>+60196201339</x:v>
      </x:c>
      <x:c r="H4548" s="16" t="str">
        <x:v>Excluded</x:v>
      </x:c>
      <x:c r="I4548" s="16" t="str">
        <x:v>Missing email</x:v>
      </x:c>
    </x:row>
    <x:row r="4549">
      <x:c r="A4549" s="16" t="n">
        <x:v>4546</x:v>
      </x:c>
      <x:c r="B4549" s="16" t="str">
        <x:v>Mohd Hadiey</x:v>
      </x:c>
      <x:c r="C4549" s="16" t="str"/>
      <x:c r="D4549" s="16" t="str"/>
      <x:c r="E4549" s="16" t="str">
        <x:v>* myContacts</x:v>
      </x:c>
      <x:c r="F4549" s="16" t="str">
        <x:v>+60179293725</x:v>
      </x:c>
      <x:c r="G4549" s="16" t="str">
        <x:v>+60179293725</x:v>
      </x:c>
      <x:c r="H4549" s="16" t="str">
        <x:v>Excluded</x:v>
      </x:c>
      <x:c r="I4549" s="16" t="str">
        <x:v>Missing email</x:v>
      </x:c>
    </x:row>
    <x:row r="4550">
      <x:c r="A4550" s="16" t="n">
        <x:v>4547</x:v>
      </x:c>
      <x:c r="B4550" s="16" t="str">
        <x:v>Mohd Hadil Ishak</x:v>
      </x:c>
      <x:c r="C4550" s="16" t="str"/>
      <x:c r="D4550" s="16" t="str"/>
      <x:c r="E4550" s="16" t="str">
        <x:v>* myContacts</x:v>
      </x:c>
      <x:c r="F4550" s="16" t="str">
        <x:v>+60172780845</x:v>
      </x:c>
      <x:c r="G4550" s="16" t="str">
        <x:v>+60172780845</x:v>
      </x:c>
      <x:c r="H4550" s="16" t="str">
        <x:v>Excluded</x:v>
      </x:c>
      <x:c r="I4550" s="16" t="str">
        <x:v>Missing email</x:v>
      </x:c>
    </x:row>
    <x:row r="4551">
      <x:c r="A4551" s="16" t="n">
        <x:v>4548</x:v>
      </x:c>
      <x:c r="B4551" s="16" t="str">
        <x:v>Mohd Hadzroul</x:v>
      </x:c>
      <x:c r="C4551" s="16" t="str"/>
      <x:c r="D4551" s="16" t="str"/>
      <x:c r="E4551" s="16" t="str">
        <x:v>* myContacts</x:v>
      </x:c>
      <x:c r="F4551" s="16" t="str">
        <x:v>+60149501765</x:v>
      </x:c>
      <x:c r="G4551" s="16" t="str">
        <x:v>+60149501765</x:v>
      </x:c>
      <x:c r="H4551" s="16" t="str">
        <x:v>Excluded</x:v>
      </x:c>
      <x:c r="I4551" s="16" t="str">
        <x:v>Missing email</x:v>
      </x:c>
    </x:row>
    <x:row r="4552">
      <x:c r="A4552" s="16" t="n">
        <x:v>4549</x:v>
      </x:c>
      <x:c r="B4552" s="16" t="str">
        <x:v>Mohd Hafifi</x:v>
      </x:c>
      <x:c r="C4552" s="16" t="str"/>
      <x:c r="D4552" s="16" t="str"/>
      <x:c r="E4552" s="16" t="str">
        <x:v>* myContacts</x:v>
      </x:c>
      <x:c r="F4552" s="16" t="str">
        <x:v>+60126089759</x:v>
      </x:c>
      <x:c r="G4552" s="16" t="str">
        <x:v>+60126089759</x:v>
      </x:c>
      <x:c r="H4552" s="16" t="str">
        <x:v>Excluded</x:v>
      </x:c>
      <x:c r="I4552" s="16" t="str">
        <x:v>Missing email</x:v>
      </x:c>
    </x:row>
    <x:row r="4553">
      <x:c r="A4553" s="16" t="n">
        <x:v>4550</x:v>
      </x:c>
      <x:c r="B4553" s="16" t="str">
        <x:v>Mohd Hafiz</x:v>
      </x:c>
      <x:c r="C4553" s="16" t="str"/>
      <x:c r="D4553" s="16" t="str"/>
      <x:c r="E4553" s="16" t="str">
        <x:v>* myContacts</x:v>
      </x:c>
      <x:c r="F4553" s="16" t="str">
        <x:v>+60136345712 | +60174498597 | +60136345712 | +60174498597</x:v>
      </x:c>
      <x:c r="G4553" s="16" t="str">
        <x:v>+60136345712 | +60174498597 | +60136345712 | +60174498597</x:v>
      </x:c>
      <x:c r="H4553" s="16" t="str">
        <x:v>Excluded</x:v>
      </x:c>
      <x:c r="I4553" s="16" t="str">
        <x:v>Missing email</x:v>
      </x:c>
    </x:row>
    <x:row r="4554">
      <x:c r="A4554" s="16" t="n">
        <x:v>4551</x:v>
      </x:c>
      <x:c r="B4554" s="16" t="str">
        <x:v>mohd hafiz abu bakar pegawai punb bangunan sewaan</x:v>
      </x:c>
      <x:c r="C4554" s="16" t="str"/>
      <x:c r="D4554" s="16" t="str"/>
      <x:c r="E4554" s="16" t="str">
        <x:v>* myContacts</x:v>
      </x:c>
      <x:c r="F4554" s="16" t="str">
        <x:v>0126745288 | +60126745288</x:v>
      </x:c>
      <x:c r="G4554" s="16" t="str">
        <x:v>+60126745288 | +60126745288</x:v>
      </x:c>
      <x:c r="H4554" s="16" t="str">
        <x:v>Excluded</x:v>
      </x:c>
      <x:c r="I4554" s="16" t="str">
        <x:v>Missing email</x:v>
      </x:c>
    </x:row>
    <x:row r="4555">
      <x:c r="A4555" s="16" t="n">
        <x:v>4552</x:v>
      </x:c>
      <x:c r="B4555" s="16" t="str">
        <x:v>Mohd Hafiz Bin Kamalrudin</x:v>
      </x:c>
      <x:c r="C4555" s="16" t="str"/>
      <x:c r="D4555" s="16" t="str"/>
      <x:c r="E4555" s="16" t="str">
        <x:v>* myContacts</x:v>
      </x:c>
      <x:c r="F4555" s="16" t="str">
        <x:v>+60138403019</x:v>
      </x:c>
      <x:c r="G4555" s="16" t="str">
        <x:v>+60138403019</x:v>
      </x:c>
      <x:c r="H4555" s="16" t="str">
        <x:v>Excluded</x:v>
      </x:c>
      <x:c r="I4555" s="16" t="str">
        <x:v>Missing email</x:v>
      </x:c>
    </x:row>
    <x:row r="4556">
      <x:c r="A4556" s="16" t="n">
        <x:v>4553</x:v>
      </x:c>
      <x:c r="B4556" s="16" t="str">
        <x:v>Mohd Hafiz Bin Nordin</x:v>
      </x:c>
      <x:c r="C4556" s="16" t="str"/>
      <x:c r="D4556" s="16" t="str"/>
      <x:c r="E4556" s="16" t="str">
        <x:v>* myContacts</x:v>
      </x:c>
      <x:c r="F4556" s="16" t="str">
        <x:v>+60 10-300 4557 | +60103004557</x:v>
      </x:c>
      <x:c r="G4556" s="16" t="str">
        <x:v>+60103004557 | +60103004557</x:v>
      </x:c>
      <x:c r="H4556" s="16" t="str">
        <x:v>Excluded</x:v>
      </x:c>
      <x:c r="I4556" s="16" t="str">
        <x:v>Missing email</x:v>
      </x:c>
    </x:row>
    <x:row r="4557">
      <x:c r="A4557" s="16" t="n">
        <x:v>4554</x:v>
      </x:c>
      <x:c r="B4557" s="16" t="str">
        <x:v>Mohd Hafiz Coway</x:v>
      </x:c>
      <x:c r="C4557" s="16" t="str"/>
      <x:c r="D4557" s="16" t="str"/>
      <x:c r="E4557" s="16" t="str">
        <x:v>* myContacts</x:v>
      </x:c>
      <x:c r="F4557" s="16" t="str">
        <x:v>017-447 9753 | +60174479753</x:v>
      </x:c>
      <x:c r="G4557" s="16" t="str">
        <x:v>+60174479753 | +60174479753</x:v>
      </x:c>
      <x:c r="H4557" s="16" t="str">
        <x:v>Excluded</x:v>
      </x:c>
      <x:c r="I4557" s="16" t="str">
        <x:v>Missing email</x:v>
      </x:c>
    </x:row>
    <x:row r="4558">
      <x:c r="A4558" s="16" t="n">
        <x:v>4555</x:v>
      </x:c>
      <x:c r="B4558" s="16" t="str">
        <x:v>Mohd Hafiz Paiman</x:v>
      </x:c>
      <x:c r="C4558" s="16" t="str"/>
      <x:c r="D4558" s="16" t="str"/>
      <x:c r="E4558" s="16" t="str">
        <x:v>* myContacts</x:v>
      </x:c>
      <x:c r="F4558" s="16" t="str">
        <x:v>+60177449297</x:v>
      </x:c>
      <x:c r="G4558" s="16" t="str">
        <x:v>+60177449297</x:v>
      </x:c>
      <x:c r="H4558" s="16" t="str">
        <x:v>Excluded</x:v>
      </x:c>
      <x:c r="I4558" s="16" t="str">
        <x:v>Missing email</x:v>
      </x:c>
    </x:row>
    <x:row r="4559">
      <x:c r="A4559" s="16" t="n">
        <x:v>4556</x:v>
      </x:c>
      <x:c r="B4559" s="16" t="str">
        <x:v>Mohd Haikal Adnan</x:v>
      </x:c>
      <x:c r="C4559" s="16" t="str"/>
      <x:c r="D4559" s="16" t="str"/>
      <x:c r="E4559" s="16" t="str">
        <x:v>* myContacts</x:v>
      </x:c>
      <x:c r="F4559" s="16" t="str">
        <x:v>+60123965325</x:v>
      </x:c>
      <x:c r="G4559" s="16" t="str">
        <x:v>+60123965325</x:v>
      </x:c>
      <x:c r="H4559" s="16" t="str">
        <x:v>Excluded</x:v>
      </x:c>
      <x:c r="I4559" s="16" t="str">
        <x:v>Missing email</x:v>
      </x:c>
    </x:row>
    <x:row r="4560">
      <x:c r="A4560" s="16" t="n">
        <x:v>4557</x:v>
      </x:c>
      <x:c r="B4560" s="16" t="str">
        <x:v>Mohd Hairul</x:v>
      </x:c>
      <x:c r="C4560" s="16" t="str"/>
      <x:c r="D4560" s="16" t="str"/>
      <x:c r="E4560" s="16" t="str">
        <x:v>* myContacts</x:v>
      </x:c>
      <x:c r="F4560" s="16" t="str">
        <x:v>+60164882748</x:v>
      </x:c>
      <x:c r="G4560" s="16" t="str">
        <x:v>+60164882748</x:v>
      </x:c>
      <x:c r="H4560" s="16" t="str">
        <x:v>Excluded</x:v>
      </x:c>
      <x:c r="I4560" s="16" t="str">
        <x:v>Missing email</x:v>
      </x:c>
    </x:row>
    <x:row r="4561">
      <x:c r="A4561" s="16" t="n">
        <x:v>4558</x:v>
      </x:c>
      <x:c r="B4561" s="16" t="str">
        <x:v>Mohd Hamdan Jue</x:v>
      </x:c>
      <x:c r="C4561" s="16" t="str"/>
      <x:c r="D4561" s="16" t="str"/>
      <x:c r="E4561" s="16" t="str">
        <x:v>* myContacts</x:v>
      </x:c>
      <x:c r="F4561" s="16" t="str">
        <x:v>+60148613211</x:v>
      </x:c>
      <x:c r="G4561" s="16" t="str">
        <x:v>+60148613211</x:v>
      </x:c>
      <x:c r="H4561" s="16" t="str">
        <x:v>Excluded</x:v>
      </x:c>
      <x:c r="I4561" s="16" t="str">
        <x:v>Missing email</x:v>
      </x:c>
    </x:row>
    <x:row r="4562">
      <x:c r="A4562" s="16" t="n">
        <x:v>4559</x:v>
      </x:c>
      <x:c r="B4562" s="16" t="str">
        <x:v>Mohd Hamry Mat</x:v>
      </x:c>
      <x:c r="C4562" s="16" t="str"/>
      <x:c r="D4562" s="16" t="str"/>
      <x:c r="E4562" s="16" t="str">
        <x:v>* myContacts</x:v>
      </x:c>
      <x:c r="F4562" s="16" t="str">
        <x:v>+60183865278</x:v>
      </x:c>
      <x:c r="G4562" s="16" t="str">
        <x:v>+60183865278</x:v>
      </x:c>
      <x:c r="H4562" s="16" t="str">
        <x:v>Excluded</x:v>
      </x:c>
      <x:c r="I4562" s="16" t="str">
        <x:v>Missing email</x:v>
      </x:c>
    </x:row>
    <x:row r="4563">
      <x:c r="A4563" s="16" t="n">
        <x:v>4560</x:v>
      </x:c>
      <x:c r="B4563" s="16" t="str">
        <x:v>Mohd Hamziee</x:v>
      </x:c>
      <x:c r="C4563" s="16" t="str"/>
      <x:c r="D4563" s="16" t="str"/>
      <x:c r="E4563" s="16" t="str">
        <x:v>* myContacts</x:v>
      </x:c>
      <x:c r="F4563" s="16" t="str">
        <x:v>+60195167035</x:v>
      </x:c>
      <x:c r="G4563" s="16" t="str">
        <x:v>+60195167035</x:v>
      </x:c>
      <x:c r="H4563" s="16" t="str">
        <x:v>Excluded</x:v>
      </x:c>
      <x:c r="I4563" s="16" t="str">
        <x:v>Missing email</x:v>
      </x:c>
    </x:row>
    <x:row r="4564">
      <x:c r="A4564" s="16" t="n">
        <x:v>4561</x:v>
      </x:c>
      <x:c r="B4564" s="16" t="str">
        <x:v>mohd hanapi AGP</x:v>
      </x:c>
      <x:c r="C4564" s="16" t="str"/>
      <x:c r="D4564" s="16" t="str"/>
      <x:c r="E4564" s="16" t="str">
        <x:v>* myContacts</x:v>
      </x:c>
      <x:c r="F4564" s="16" t="str">
        <x:v>+60 13-902 3401 | +60139023401</x:v>
      </x:c>
      <x:c r="G4564" s="16" t="str">
        <x:v>+60139023401 | +60139023401</x:v>
      </x:c>
      <x:c r="H4564" s="16" t="str">
        <x:v>Excluded</x:v>
      </x:c>
      <x:c r="I4564" s="16" t="str">
        <x:v>Missing email</x:v>
      </x:c>
    </x:row>
    <x:row r="4565">
      <x:c r="A4565" s="16" t="n">
        <x:v>4562</x:v>
      </x:c>
      <x:c r="B4565" s="16" t="str">
        <x:v>Mohd Hariz Bin Karip Student</x:v>
      </x:c>
      <x:c r="C4565" s="16" t="str">
        <x:v>mharizk@gmail.com</x:v>
      </x:c>
      <x:c r="D4565" s="16" t="str">
        <x:v>mharizk@gmail.com</x:v>
      </x:c>
      <x:c r="E4565" s="16" t="str">
        <x:v>* myContacts</x:v>
      </x:c>
      <x:c r="F4565" s="16" t="str">
        <x:v>01127256385 | +601127256385</x:v>
      </x:c>
      <x:c r="G4565" s="16" t="str">
        <x:v>+601127256385 | +601127256385</x:v>
      </x:c>
      <x:c r="H4565" s="16" t="str">
        <x:v>Eligible</x:v>
      </x:c>
      <x:c r="I4565" s="16" t="str"/>
    </x:row>
    <x:row r="4566">
      <x:c r="A4566" s="16" t="n">
        <x:v>4563</x:v>
      </x:c>
      <x:c r="B4566" s="16" t="str">
        <x:v>Mohd Hazlin Burger Sempoi</x:v>
      </x:c>
      <x:c r="C4566" s="16" t="str"/>
      <x:c r="D4566" s="16" t="str"/>
      <x:c r="E4566" s="16" t="str">
        <x:v>* myContacts</x:v>
      </x:c>
      <x:c r="F4566" s="16" t="str">
        <x:v>+60174579054</x:v>
      </x:c>
      <x:c r="G4566" s="16" t="str">
        <x:v>+60174579054</x:v>
      </x:c>
      <x:c r="H4566" s="16" t="str">
        <x:v>Excluded</x:v>
      </x:c>
      <x:c r="I4566" s="16" t="str">
        <x:v>Missing email</x:v>
      </x:c>
    </x:row>
    <x:row r="4567">
      <x:c r="A4567" s="16" t="n">
        <x:v>4564</x:v>
      </x:c>
      <x:c r="B4567" s="16" t="str">
        <x:v>Mohd Hazrin</x:v>
      </x:c>
      <x:c r="C4567" s="16" t="str"/>
      <x:c r="D4567" s="16" t="str"/>
      <x:c r="E4567" s="16" t="str">
        <x:v>* myContacts</x:v>
      </x:c>
      <x:c r="F4567" s="16" t="str">
        <x:v>+60177789043</x:v>
      </x:c>
      <x:c r="G4567" s="16" t="str">
        <x:v>+60177789043</x:v>
      </x:c>
      <x:c r="H4567" s="16" t="str">
        <x:v>Excluded</x:v>
      </x:c>
      <x:c r="I4567" s="16" t="str">
        <x:v>Missing email</x:v>
      </x:c>
    </x:row>
    <x:row r="4568">
      <x:c r="A4568" s="16" t="n">
        <x:v>4565</x:v>
      </x:c>
      <x:c r="B4568" s="16" t="str">
        <x:v>Mohd Hezer AGP</x:v>
      </x:c>
      <x:c r="C4568" s="16" t="str"/>
      <x:c r="D4568" s="16" t="str"/>
      <x:c r="E4568" s="16" t="str">
        <x:v>* myContacts</x:v>
      </x:c>
      <x:c r="F4568" s="16" t="str">
        <x:v>+60 11-3236 2614 | +601132362614</x:v>
      </x:c>
      <x:c r="G4568" s="16" t="str">
        <x:v>+601132362614 | +601132362614</x:v>
      </x:c>
      <x:c r="H4568" s="16" t="str">
        <x:v>Excluded</x:v>
      </x:c>
      <x:c r="I4568" s="16" t="str">
        <x:v>Missing email</x:v>
      </x:c>
    </x:row>
    <x:row r="4569">
      <x:c r="A4569" s="16" t="n">
        <x:v>4566</x:v>
      </x:c>
      <x:c r="B4569" s="16" t="str">
        <x:v>Mohd Hilmi</x:v>
      </x:c>
      <x:c r="C4569" s="16" t="str"/>
      <x:c r="D4569" s="16" t="str"/>
      <x:c r="E4569" s="16" t="str">
        <x:v>* myContacts</x:v>
      </x:c>
      <x:c r="F4569" s="16" t="str">
        <x:v>+601123660257</x:v>
      </x:c>
      <x:c r="G4569" s="16" t="str">
        <x:v>+601123660257</x:v>
      </x:c>
      <x:c r="H4569" s="16" t="str">
        <x:v>Excluded</x:v>
      </x:c>
      <x:c r="I4569" s="16" t="str">
        <x:v>Missing email</x:v>
      </x:c>
    </x:row>
    <x:row r="4570">
      <x:c r="A4570" s="16" t="n">
        <x:v>4567</x:v>
      </x:c>
      <x:c r="B4570" s="16" t="str">
        <x:v>Mohd Hilmi Hasan</x:v>
      </x:c>
      <x:c r="C4570" s="16" t="str">
        <x:v>himihasan@gmail.com</x:v>
      </x:c>
      <x:c r="D4570" s="16" t="str">
        <x:v>himihasan@gmail.com</x:v>
      </x:c>
      <x:c r="E4570" s="16" t="str">
        <x:v>* myContacts</x:v>
      </x:c>
      <x:c r="F4570" s="16" t="str">
        <x:v>+60199591979</x:v>
      </x:c>
      <x:c r="G4570" s="16" t="str">
        <x:v>+60199591979</x:v>
      </x:c>
      <x:c r="H4570" s="16" t="str">
        <x:v>Eligible</x:v>
      </x:c>
      <x:c r="I4570" s="16" t="str"/>
    </x:row>
    <x:row r="4571">
      <x:c r="A4571" s="16" t="n">
        <x:v>4568</x:v>
      </x:c>
      <x:c r="B4571" s="16" t="str">
        <x:v>Mohd Hilmi Hisham Baong</x:v>
      </x:c>
      <x:c r="C4571" s="16" t="str"/>
      <x:c r="D4571" s="16" t="str"/>
      <x:c r="E4571" s="16" t="str">
        <x:v>* myContacts</x:v>
      </x:c>
      <x:c r="F4571" s="16" t="str">
        <x:v>+60192223122</x:v>
      </x:c>
      <x:c r="G4571" s="16" t="str">
        <x:v>+60192223122</x:v>
      </x:c>
      <x:c r="H4571" s="16" t="str">
        <x:v>Excluded</x:v>
      </x:c>
      <x:c r="I4571" s="16" t="str">
        <x:v>Missing email</x:v>
      </x:c>
    </x:row>
    <x:row r="4572">
      <x:c r="A4572" s="16" t="n">
        <x:v>4569</x:v>
      </x:c>
      <x:c r="B4572" s="16" t="str">
        <x:v>Mohd Hilmy</x:v>
      </x:c>
      <x:c r="C4572" s="16" t="str"/>
      <x:c r="D4572" s="16" t="str"/>
      <x:c r="E4572" s="16" t="str">
        <x:v>* myContacts</x:v>
      </x:c>
      <x:c r="F4572" s="16" t="str">
        <x:v>+60193282843</x:v>
      </x:c>
      <x:c r="G4572" s="16" t="str">
        <x:v>+60193282843</x:v>
      </x:c>
      <x:c r="H4572" s="16" t="str">
        <x:v>Excluded</x:v>
      </x:c>
      <x:c r="I4572" s="16" t="str">
        <x:v>Missing email</x:v>
      </x:c>
    </x:row>
    <x:row r="4573">
      <x:c r="A4573" s="16" t="n">
        <x:v>4570</x:v>
      </x:c>
      <x:c r="B4573" s="16" t="str">
        <x:v>Mohd Ibrahim Abu Bakar</x:v>
      </x:c>
      <x:c r="C4573" s="16" t="str"/>
      <x:c r="D4573" s="16" t="str"/>
      <x:c r="E4573" s="16" t="str">
        <x:v>* myContacts</x:v>
      </x:c>
      <x:c r="F4573" s="16" t="str">
        <x:v>+60 19-713 2127 | +60197132127</x:v>
      </x:c>
      <x:c r="G4573" s="16" t="str">
        <x:v>+60197132127 | +60197132127</x:v>
      </x:c>
      <x:c r="H4573" s="16" t="str">
        <x:v>Excluded</x:v>
      </x:c>
      <x:c r="I4573" s="16" t="str">
        <x:v>Missing email</x:v>
      </x:c>
    </x:row>
    <x:row r="4574">
      <x:c r="A4574" s="16" t="n">
        <x:v>4571</x:v>
      </x:c>
      <x:c r="B4574" s="16" t="str">
        <x:v>Mohd Idzwan</x:v>
      </x:c>
      <x:c r="C4574" s="16" t="str"/>
      <x:c r="D4574" s="16" t="str"/>
      <x:c r="E4574" s="16" t="str">
        <x:v>* myContacts</x:v>
      </x:c>
      <x:c r="F4574" s="16" t="str">
        <x:v>+60132500741</x:v>
      </x:c>
      <x:c r="G4574" s="16" t="str">
        <x:v>+60132500741</x:v>
      </x:c>
      <x:c r="H4574" s="16" t="str">
        <x:v>Excluded</x:v>
      </x:c>
      <x:c r="I4574" s="16" t="str">
        <x:v>Missing email</x:v>
      </x:c>
    </x:row>
    <x:row r="4575">
      <x:c r="A4575" s="16" t="n">
        <x:v>4572</x:v>
      </x:c>
      <x:c r="B4575" s="16" t="str">
        <x:v>mohd ikhsan AGP</x:v>
      </x:c>
      <x:c r="C4575" s="16" t="str"/>
      <x:c r="D4575" s="16" t="str"/>
      <x:c r="E4575" s="16" t="str">
        <x:v>* myContacts</x:v>
      </x:c>
      <x:c r="F4575" s="16" t="str">
        <x:v>+60 19-977 1977 | +60199771977</x:v>
      </x:c>
      <x:c r="G4575" s="16" t="str">
        <x:v>+60199771977 | +60199771977</x:v>
      </x:c>
      <x:c r="H4575" s="16" t="str">
        <x:v>Excluded</x:v>
      </x:c>
      <x:c r="I4575" s="16" t="str">
        <x:v>Missing email</x:v>
      </x:c>
    </x:row>
    <x:row r="4576">
      <x:c r="A4576" s="16" t="n">
        <x:v>4573</x:v>
      </x:c>
      <x:c r="B4576" s="16" t="str">
        <x:v>Mohd Imran Perunding Hartanah</x:v>
      </x:c>
      <x:c r="C4576" s="16" t="str"/>
      <x:c r="D4576" s="16" t="str"/>
      <x:c r="E4576" s="16" t="str">
        <x:v>* myContacts</x:v>
      </x:c>
      <x:c r="F4576" s="16" t="str">
        <x:v>+60122711327</x:v>
      </x:c>
      <x:c r="G4576" s="16" t="str">
        <x:v>+60122711327</x:v>
      </x:c>
      <x:c r="H4576" s="16" t="str">
        <x:v>Excluded</x:v>
      </x:c>
      <x:c r="I4576" s="16" t="str">
        <x:v>Missing email</x:v>
      </x:c>
    </x:row>
    <x:row r="4577">
      <x:c r="A4577" s="16" t="n">
        <x:v>4574</x:v>
      </x:c>
      <x:c r="B4577" s="16" t="str">
        <x:v>Mohd Irwan Kamarudin</x:v>
      </x:c>
      <x:c r="C4577" s="16" t="str"/>
      <x:c r="D4577" s="16" t="str"/>
      <x:c r="E4577" s="16" t="str">
        <x:v>* myContacts</x:v>
      </x:c>
      <x:c r="F4577" s="16" t="str">
        <x:v>+60179382595</x:v>
      </x:c>
      <x:c r="G4577" s="16" t="str">
        <x:v>+60179382595</x:v>
      </x:c>
      <x:c r="H4577" s="16" t="str">
        <x:v>Excluded</x:v>
      </x:c>
      <x:c r="I4577" s="16" t="str">
        <x:v>Missing email</x:v>
      </x:c>
    </x:row>
    <x:row r="4578">
      <x:c r="A4578" s="16" t="n">
        <x:v>4575</x:v>
      </x:c>
      <x:c r="B4578" s="16" t="str">
        <x:v>Mohd Izan Md Zin</x:v>
      </x:c>
      <x:c r="C4578" s="16" t="str"/>
      <x:c r="D4578" s="16" t="str"/>
      <x:c r="E4578" s="16" t="str">
        <x:v>* myContacts</x:v>
      </x:c>
      <x:c r="F4578" s="16" t="str">
        <x:v>+60389483953</x:v>
      </x:c>
      <x:c r="G4578" s="16" t="str">
        <x:v>+60389483953</x:v>
      </x:c>
      <x:c r="H4578" s="16" t="str">
        <x:v>Excluded</x:v>
      </x:c>
      <x:c r="I4578" s="16" t="str">
        <x:v>Missing email</x:v>
      </x:c>
    </x:row>
    <x:row r="4579">
      <x:c r="A4579" s="16" t="n">
        <x:v>4576</x:v>
      </x:c>
      <x:c r="B4579" s="16" t="str">
        <x:v>Mohd Izzad</x:v>
      </x:c>
      <x:c r="C4579" s="16" t="str"/>
      <x:c r="D4579" s="16" t="str"/>
      <x:c r="E4579" s="16" t="str">
        <x:v>* myContacts</x:v>
      </x:c>
      <x:c r="F4579" s="16" t="str">
        <x:v>+60172928199</x:v>
      </x:c>
      <x:c r="G4579" s="16" t="str">
        <x:v>+60172928199</x:v>
      </x:c>
      <x:c r="H4579" s="16" t="str">
        <x:v>Excluded</x:v>
      </x:c>
      <x:c r="I4579" s="16" t="str">
        <x:v>Missing email</x:v>
      </x:c>
    </x:row>
    <x:row r="4580">
      <x:c r="A4580" s="16" t="n">
        <x:v>4577</x:v>
      </x:c>
      <x:c r="B4580" s="16" t="str">
        <x:v>Mohd Izzii</x:v>
      </x:c>
      <x:c r="C4580" s="16" t="str"/>
      <x:c r="D4580" s="16" t="str"/>
      <x:c r="E4580" s="16" t="str">
        <x:v>* myContacts</x:v>
      </x:c>
      <x:c r="F4580" s="16" t="str">
        <x:v>+66873939067</x:v>
      </x:c>
      <x:c r="G4580" s="16" t="str">
        <x:v>+66873939067</x:v>
      </x:c>
      <x:c r="H4580" s="16" t="str">
        <x:v>Excluded</x:v>
      </x:c>
      <x:c r="I4580" s="16" t="str">
        <x:v>Missing email</x:v>
      </x:c>
    </x:row>
    <x:row r="4581">
      <x:c r="A4581" s="16" t="n">
        <x:v>4578</x:v>
      </x:c>
      <x:c r="B4581" s="16" t="str">
        <x:v>Mohd Jafni Bin Mohd Safri</x:v>
      </x:c>
      <x:c r="C4581" s="16" t="str"/>
      <x:c r="D4581" s="16" t="str"/>
      <x:c r="E4581" s="16" t="str">
        <x:v>* myContacts</x:v>
      </x:c>
      <x:c r="F4581" s="16" t="str">
        <x:v>+601131812791</x:v>
      </x:c>
      <x:c r="G4581" s="16" t="str">
        <x:v>+601131812791</x:v>
      </x:c>
      <x:c r="H4581" s="16" t="str">
        <x:v>Excluded</x:v>
      </x:c>
      <x:c r="I4581" s="16" t="str">
        <x:v>Missing email</x:v>
      </x:c>
    </x:row>
    <x:row r="4582">
      <x:c r="A4582" s="16" t="n">
        <x:v>4579</x:v>
      </x:c>
      <x:c r="B4582" s="16" t="str">
        <x:v>Mohd Jamil Bin Yacob</x:v>
      </x:c>
      <x:c r="C4582" s="16" t="str"/>
      <x:c r="D4582" s="16" t="str"/>
      <x:c r="E4582" s="16" t="str">
        <x:v>* myContacts</x:v>
      </x:c>
      <x:c r="F4582" s="16" t="str">
        <x:v>+60133672600</x:v>
      </x:c>
      <x:c r="G4582" s="16" t="str">
        <x:v>+60133672600</x:v>
      </x:c>
      <x:c r="H4582" s="16" t="str">
        <x:v>Excluded</x:v>
      </x:c>
      <x:c r="I4582" s="16" t="str">
        <x:v>Missing email</x:v>
      </x:c>
    </x:row>
    <x:row r="4583">
      <x:c r="A4583" s="16" t="n">
        <x:v>4580</x:v>
      </x:c>
      <x:c r="B4583" s="16" t="str">
        <x:v>Mohd Jamil Honda</x:v>
      </x:c>
      <x:c r="C4583" s="16" t="str"/>
      <x:c r="D4583" s="16" t="str"/>
      <x:c r="E4583" s="16" t="str">
        <x:v>* myContacts</x:v>
      </x:c>
      <x:c r="F4583" s="16" t="str">
        <x:v>+60162691301</x:v>
      </x:c>
      <x:c r="G4583" s="16" t="str">
        <x:v>+60162691301</x:v>
      </x:c>
      <x:c r="H4583" s="16" t="str">
        <x:v>Excluded</x:v>
      </x:c>
      <x:c r="I4583" s="16" t="str">
        <x:v>Missing email</x:v>
      </x:c>
    </x:row>
    <x:row r="4584">
      <x:c r="A4584" s="16" t="n">
        <x:v>4581</x:v>
      </x:c>
      <x:c r="B4584" s="16" t="str">
        <x:v>Mohd Kamal</x:v>
      </x:c>
      <x:c r="C4584" s="16" t="str"/>
      <x:c r="D4584" s="16" t="str"/>
      <x:c r="E4584" s="16" t="str">
        <x:v>* myContacts</x:v>
      </x:c>
      <x:c r="F4584" s="16" t="str">
        <x:v>+60146666142</x:v>
      </x:c>
      <x:c r="G4584" s="16" t="str">
        <x:v>+60146666142</x:v>
      </x:c>
      <x:c r="H4584" s="16" t="str">
        <x:v>Excluded</x:v>
      </x:c>
      <x:c r="I4584" s="16" t="str">
        <x:v>Missing email</x:v>
      </x:c>
    </x:row>
    <x:row r="4585">
      <x:c r="A4585" s="16" t="n">
        <x:v>4582</x:v>
      </x:c>
      <x:c r="B4585" s="16" t="str">
        <x:v>Mohd Kamaruzaman</x:v>
      </x:c>
      <x:c r="C4585" s="16" t="str"/>
      <x:c r="D4585" s="16" t="str"/>
      <x:c r="E4585" s="16" t="str">
        <x:v>* myContacts</x:v>
      </x:c>
      <x:c r="F4585" s="16" t="str">
        <x:v>+60192530444 | +60129905489 | +60192530444 | +60129905489</x:v>
      </x:c>
      <x:c r="G4585" s="16" t="str">
        <x:v>+60192530444 | +60129905489 | +60192530444 | +60129905489</x:v>
      </x:c>
      <x:c r="H4585" s="16" t="str">
        <x:v>Excluded</x:v>
      </x:c>
      <x:c r="I4585" s="16" t="str">
        <x:v>Missing email</x:v>
      </x:c>
    </x:row>
    <x:row r="4586">
      <x:c r="A4586" s="16" t="n">
        <x:v>4583</x:v>
      </x:c>
      <x:c r="B4586" s="16" t="str">
        <x:v>Mohd Khafiz</x:v>
      </x:c>
      <x:c r="C4586" s="16" t="str"/>
      <x:c r="D4586" s="16" t="str"/>
      <x:c r="E4586" s="16" t="str">
        <x:v>* myContacts</x:v>
      </x:c>
      <x:c r="F4586" s="16" t="str">
        <x:v>+60173277423</x:v>
      </x:c>
      <x:c r="G4586" s="16" t="str">
        <x:v>+60173277423</x:v>
      </x:c>
      <x:c r="H4586" s="16" t="str">
        <x:v>Excluded</x:v>
      </x:c>
      <x:c r="I4586" s="16" t="str">
        <x:v>Missing email</x:v>
      </x:c>
    </x:row>
    <x:row r="4587">
      <x:c r="A4587" s="16" t="n">
        <x:v>4584</x:v>
      </x:c>
      <x:c r="B4587" s="16" t="str">
        <x:v>Mohd Khairani</x:v>
      </x:c>
      <x:c r="C4587" s="16" t="str"/>
      <x:c r="D4587" s="16" t="str"/>
      <x:c r="E4587" s="16" t="str">
        <x:v>* myContacts</x:v>
      </x:c>
      <x:c r="F4587" s="16" t="str">
        <x:v>+60127308515</x:v>
      </x:c>
      <x:c r="G4587" s="16" t="str">
        <x:v>+60127308515</x:v>
      </x:c>
      <x:c r="H4587" s="16" t="str">
        <x:v>Excluded</x:v>
      </x:c>
      <x:c r="I4587" s="16" t="str">
        <x:v>Missing email</x:v>
      </x:c>
    </x:row>
    <x:row r="4588">
      <x:c r="A4588" s="16" t="n">
        <x:v>4585</x:v>
      </x:c>
      <x:c r="B4588" s="16" t="str">
        <x:v>Mohd Khairi</x:v>
      </x:c>
      <x:c r="C4588" s="16" t="str"/>
      <x:c r="D4588" s="16" t="str"/>
      <x:c r="E4588" s="16" t="str">
        <x:v>* myContacts</x:v>
      </x:c>
      <x:c r="F4588" s="16" t="str">
        <x:v>+601125540524</x:v>
      </x:c>
      <x:c r="G4588" s="16" t="str">
        <x:v>+601125540524</x:v>
      </x:c>
      <x:c r="H4588" s="16" t="str">
        <x:v>Excluded</x:v>
      </x:c>
      <x:c r="I4588" s="16" t="str">
        <x:v>Missing email</x:v>
      </x:c>
    </x:row>
    <x:row r="4589">
      <x:c r="A4589" s="16" t="n">
        <x:v>4586</x:v>
      </x:c>
      <x:c r="B4589" s="16" t="str">
        <x:v>Mohd Khairi Haji Embi</x:v>
      </x:c>
      <x:c r="C4589" s="16" t="str"/>
      <x:c r="D4589" s="16" t="str"/>
      <x:c r="E4589" s="16" t="str">
        <x:v>* myContacts</x:v>
      </x:c>
      <x:c r="F4589" s="16" t="str">
        <x:v>+60125353048</x:v>
      </x:c>
      <x:c r="G4589" s="16" t="str">
        <x:v>+60125353048</x:v>
      </x:c>
      <x:c r="H4589" s="16" t="str">
        <x:v>Excluded</x:v>
      </x:c>
      <x:c r="I4589" s="16" t="str">
        <x:v>Missing email</x:v>
      </x:c>
    </x:row>
    <x:row r="4590">
      <x:c r="A4590" s="16" t="n">
        <x:v>4587</x:v>
      </x:c>
      <x:c r="B4590" s="16" t="str">
        <x:v>Mohd Khairul J.K.D Mahamud</x:v>
      </x:c>
      <x:c r="C4590" s="16" t="str"/>
      <x:c r="D4590" s="16" t="str"/>
      <x:c r="E4590" s="16" t="str">
        <x:v>* myContacts</x:v>
      </x:c>
      <x:c r="F4590" s="16" t="str">
        <x:v>+601126697553</x:v>
      </x:c>
      <x:c r="G4590" s="16" t="str">
        <x:v>+601126697553</x:v>
      </x:c>
      <x:c r="H4590" s="16" t="str">
        <x:v>Excluded</x:v>
      </x:c>
      <x:c r="I4590" s="16" t="str">
        <x:v>Missing email</x:v>
      </x:c>
    </x:row>
    <x:row r="4591">
      <x:c r="A4591" s="16" t="n">
        <x:v>4588</x:v>
      </x:c>
      <x:c r="B4591" s="16" t="str">
        <x:v>Mohd Khari Baharun</x:v>
      </x:c>
      <x:c r="C4591" s="16" t="str"/>
      <x:c r="D4591" s="16" t="str"/>
      <x:c r="E4591" s="16" t="str">
        <x:v>* myContacts</x:v>
      </x:c>
      <x:c r="F4591" s="16" t="str">
        <x:v>+6287776668973</x:v>
      </x:c>
      <x:c r="G4591" s="16" t="str">
        <x:v>+6287776668973</x:v>
      </x:c>
      <x:c r="H4591" s="16" t="str">
        <x:v>Excluded</x:v>
      </x:c>
      <x:c r="I4591" s="16" t="str">
        <x:v>Missing email</x:v>
      </x:c>
    </x:row>
    <x:row r="4592">
      <x:c r="A4592" s="16" t="n">
        <x:v>4589</x:v>
      </x:c>
      <x:c r="B4592" s="16" t="str">
        <x:v>Mohd Khazrol</x:v>
      </x:c>
      <x:c r="C4592" s="16" t="str"/>
      <x:c r="D4592" s="16" t="str"/>
      <x:c r="E4592" s="16" t="str">
        <x:v>* myContacts</x:v>
      </x:c>
      <x:c r="F4592" s="16" t="str">
        <x:v>+60139259726</x:v>
      </x:c>
      <x:c r="G4592" s="16" t="str">
        <x:v>+60139259726</x:v>
      </x:c>
      <x:c r="H4592" s="16" t="str">
        <x:v>Excluded</x:v>
      </x:c>
      <x:c r="I4592" s="16" t="str">
        <x:v>Missing email</x:v>
      </x:c>
    </x:row>
    <x:row r="4593">
      <x:c r="A4593" s="16" t="n">
        <x:v>4590</x:v>
      </x:c>
      <x:c r="B4593" s="16" t="str">
        <x:v>mohd khir AGP</x:v>
      </x:c>
      <x:c r="C4593" s="16" t="str"/>
      <x:c r="D4593" s="16" t="str"/>
      <x:c r="E4593" s="16" t="str">
        <x:v>* myContacts</x:v>
      </x:c>
      <x:c r="F4593" s="16" t="str">
        <x:v>+60 19-454 9203 | +60194549203</x:v>
      </x:c>
      <x:c r="G4593" s="16" t="str">
        <x:v>+60194549203 | +60194549203</x:v>
      </x:c>
      <x:c r="H4593" s="16" t="str">
        <x:v>Excluded</x:v>
      </x:c>
      <x:c r="I4593" s="16" t="str">
        <x:v>Missing email</x:v>
      </x:c>
    </x:row>
    <x:row r="4594">
      <x:c r="A4594" s="16" t="n">
        <x:v>4591</x:v>
      </x:c>
      <x:c r="B4594" s="16" t="str">
        <x:v>Mohd Lukman AGP</x:v>
      </x:c>
      <x:c r="C4594" s="16" t="str"/>
      <x:c r="D4594" s="16" t="str"/>
      <x:c r="E4594" s="16" t="str">
        <x:v>* myContacts</x:v>
      </x:c>
      <x:c r="F4594" s="16" t="str">
        <x:v>+60 19-999 2667 | +60199992667</x:v>
      </x:c>
      <x:c r="G4594" s="16" t="str">
        <x:v>+60199992667 | +60199992667</x:v>
      </x:c>
      <x:c r="H4594" s="16" t="str">
        <x:v>Excluded</x:v>
      </x:c>
      <x:c r="I4594" s="16" t="str">
        <x:v>Missing email</x:v>
      </x:c>
    </x:row>
    <x:row r="4595">
      <x:c r="A4595" s="16" t="n">
        <x:v>4592</x:v>
      </x:c>
      <x:c r="B4595" s="16" t="str">
        <x:v>Mohd Mazlan</x:v>
      </x:c>
      <x:c r="C4595" s="16" t="str"/>
      <x:c r="D4595" s="16" t="str"/>
      <x:c r="E4595" s="16" t="str">
        <x:v>* myContacts</x:v>
      </x:c>
      <x:c r="F4595" s="16" t="str">
        <x:v>+60126336149</x:v>
      </x:c>
      <x:c r="G4595" s="16" t="str">
        <x:v>+60126336149</x:v>
      </x:c>
      <x:c r="H4595" s="16" t="str">
        <x:v>Excluded</x:v>
      </x:c>
      <x:c r="I4595" s="16" t="str">
        <x:v>Missing email</x:v>
      </x:c>
    </x:row>
    <x:row r="4596">
      <x:c r="A4596" s="16" t="n">
        <x:v>4593</x:v>
      </x:c>
      <x:c r="B4596" s="16" t="str">
        <x:v>Mohd Mujaheed</x:v>
      </x:c>
      <x:c r="C4596" s="16" t="str"/>
      <x:c r="D4596" s="16" t="str"/>
      <x:c r="E4596" s="16" t="str">
        <x:v>* myContacts</x:v>
      </x:c>
      <x:c r="F4596" s="16" t="str">
        <x:v>+60193953336</x:v>
      </x:c>
      <x:c r="G4596" s="16" t="str">
        <x:v>+60193953336</x:v>
      </x:c>
      <x:c r="H4596" s="16" t="str">
        <x:v>Excluded</x:v>
      </x:c>
      <x:c r="I4596" s="16" t="str">
        <x:v>Missing email</x:v>
      </x:c>
    </x:row>
    <x:row r="4597">
      <x:c r="A4597" s="16" t="n">
        <x:v>4594</x:v>
      </x:c>
      <x:c r="B4597" s="16" t="str">
        <x:v>Mohd Mujahid</x:v>
      </x:c>
      <x:c r="C4597" s="16" t="str"/>
      <x:c r="D4597" s="16" t="str"/>
      <x:c r="E4597" s="16" t="str">
        <x:v>* myContacts</x:v>
      </x:c>
      <x:c r="F4597" s="16" t="str">
        <x:v>+60173760216</x:v>
      </x:c>
      <x:c r="G4597" s="16" t="str">
        <x:v>+60173760216</x:v>
      </x:c>
      <x:c r="H4597" s="16" t="str">
        <x:v>Excluded</x:v>
      </x:c>
      <x:c r="I4597" s="16" t="str">
        <x:v>Missing email</x:v>
      </x:c>
    </x:row>
    <x:row r="4598">
      <x:c r="A4598" s="16" t="n">
        <x:v>4595</x:v>
      </x:c>
      <x:c r="B4598" s="16" t="str">
        <x:v>Mohd Munir Abdullah</x:v>
      </x:c>
      <x:c r="C4598" s="16" t="str"/>
      <x:c r="D4598" s="16" t="str"/>
      <x:c r="E4598" s="16" t="str">
        <x:v>* myContacts</x:v>
      </x:c>
      <x:c r="F4598" s="16" t="str">
        <x:v>+601128401773</x:v>
      </x:c>
      <x:c r="G4598" s="16" t="str">
        <x:v>+601128401773</x:v>
      </x:c>
      <x:c r="H4598" s="16" t="str">
        <x:v>Excluded</x:v>
      </x:c>
      <x:c r="I4598" s="16" t="str">
        <x:v>Missing email</x:v>
      </x:c>
    </x:row>
    <x:row r="4599">
      <x:c r="A4599" s="16" t="n">
        <x:v>4596</x:v>
      </x:c>
      <x:c r="B4599" s="16" t="str">
        <x:v>Mohd Nadzari AGP</x:v>
      </x:c>
      <x:c r="C4599" s="16" t="str"/>
      <x:c r="D4599" s="16" t="str"/>
      <x:c r="E4599" s="16" t="str">
        <x:v>* myContacts</x:v>
      </x:c>
      <x:c r="F4599" s="16" t="str">
        <x:v>+60 16-515 8425 | +60165158425</x:v>
      </x:c>
      <x:c r="G4599" s="16" t="str">
        <x:v>+60165158425 | +60165158425</x:v>
      </x:c>
      <x:c r="H4599" s="16" t="str">
        <x:v>Excluded</x:v>
      </x:c>
      <x:c r="I4599" s="16" t="str">
        <x:v>Missing email</x:v>
      </x:c>
    </x:row>
    <x:row r="4600">
      <x:c r="A4600" s="16" t="n">
        <x:v>4597</x:v>
      </x:c>
      <x:c r="B4600" s="16" t="str">
        <x:v>Mohd Najhan Che Aziz</x:v>
      </x:c>
      <x:c r="C4600" s="16" t="str"/>
      <x:c r="D4600" s="16" t="str"/>
      <x:c r="E4600" s="16" t="str">
        <x:v>* myContacts</x:v>
      </x:c>
      <x:c r="F4600" s="16" t="str">
        <x:v>+60193351178</x:v>
      </x:c>
      <x:c r="G4600" s="16" t="str">
        <x:v>+60193351178</x:v>
      </x:c>
      <x:c r="H4600" s="16" t="str">
        <x:v>Excluded</x:v>
      </x:c>
      <x:c r="I4600" s="16" t="str">
        <x:v>Missing email</x:v>
      </x:c>
    </x:row>
    <x:row r="4601">
      <x:c r="A4601" s="16" t="n">
        <x:v>4598</x:v>
      </x:c>
      <x:c r="B4601" s="16" t="str">
        <x:v>MOHD NAJIB HAJi JAAFAR</x:v>
      </x:c>
      <x:c r="C4601" s="16" t="str">
        <x:v>najibjaf@gmail.com</x:v>
      </x:c>
      <x:c r="D4601" s="16" t="str">
        <x:v>najibjaf@gmail.com</x:v>
      </x:c>
      <x:c r="E4601" s="16" t="str">
        <x:v>* myContacts</x:v>
      </x:c>
      <x:c r="F4601" s="16" t="str">
        <x:v>0122160203 | +60376517743 | +60122160203 | +60376517743</x:v>
      </x:c>
      <x:c r="G4601" s="16" t="str">
        <x:v>+60122160203 | +60376517743 | +60122160203 | +60376517743</x:v>
      </x:c>
      <x:c r="H4601" s="16" t="str">
        <x:v>Eligible</x:v>
      </x:c>
      <x:c r="I4601" s="16" t="str"/>
    </x:row>
    <x:row r="4602">
      <x:c r="A4602" s="16" t="n">
        <x:v>4599</x:v>
      </x:c>
      <x:c r="B4602" s="16" t="str">
        <x:v>Mohd Najib Zainal</x:v>
      </x:c>
      <x:c r="C4602" s="16" t="str"/>
      <x:c r="D4602" s="16" t="str"/>
      <x:c r="E4602" s="16" t="str">
        <x:v>* myContacts</x:v>
      </x:c>
      <x:c r="F4602" s="16" t="str">
        <x:v>+60177441454</x:v>
      </x:c>
      <x:c r="G4602" s="16" t="str">
        <x:v>+60177441454</x:v>
      </x:c>
      <x:c r="H4602" s="16" t="str">
        <x:v>Excluded</x:v>
      </x:c>
      <x:c r="I4602" s="16" t="str">
        <x:v>Missing email</x:v>
      </x:c>
    </x:row>
    <x:row r="4603">
      <x:c r="A4603" s="16" t="n">
        <x:v>4600</x:v>
      </x:c>
      <x:c r="B4603" s="16" t="str">
        <x:v>Mohd Nasir AGP</x:v>
      </x:c>
      <x:c r="C4603" s="16" t="str"/>
      <x:c r="D4603" s="16" t="str"/>
      <x:c r="E4603" s="16" t="str">
        <x:v>* myContacts</x:v>
      </x:c>
      <x:c r="F4603" s="16" t="str">
        <x:v>+60 19-474 5413 | +60194745413</x:v>
      </x:c>
      <x:c r="G4603" s="16" t="str">
        <x:v>+60194745413 | +60194745413</x:v>
      </x:c>
      <x:c r="H4603" s="16" t="str">
        <x:v>Excluded</x:v>
      </x:c>
      <x:c r="I4603" s="16" t="str">
        <x:v>Missing email</x:v>
      </x:c>
    </x:row>
    <x:row r="4604">
      <x:c r="A4604" s="16" t="n">
        <x:v>4601</x:v>
      </x:c>
      <x:c r="B4604" s="16" t="str">
        <x:v>Mohd Nasir Hj Abdullah</x:v>
      </x:c>
      <x:c r="C4604" s="16" t="str"/>
      <x:c r="D4604" s="16" t="str"/>
      <x:c r="E4604" s="16" t="str">
        <x:v>* myContacts</x:v>
      </x:c>
      <x:c r="F4604" s="16" t="str">
        <x:v>+60193929293</x:v>
      </x:c>
      <x:c r="G4604" s="16" t="str">
        <x:v>+60193929293</x:v>
      </x:c>
      <x:c r="H4604" s="16" t="str">
        <x:v>Excluded</x:v>
      </x:c>
      <x:c r="I4604" s="16" t="str">
        <x:v>Missing email</x:v>
      </x:c>
    </x:row>
    <x:row r="4605">
      <x:c r="A4605" s="16" t="n">
        <x:v>4602</x:v>
      </x:c>
      <x:c r="B4605" s="16" t="str">
        <x:v>Mohd Nawi</x:v>
      </x:c>
      <x:c r="C4605" s="16" t="str"/>
      <x:c r="D4605" s="16" t="str"/>
      <x:c r="E4605" s="16" t="str">
        <x:v>* myContacts</x:v>
      </x:c>
      <x:c r="F4605" s="16" t="str">
        <x:v>+6099284035</x:v>
      </x:c>
      <x:c r="G4605" s="16" t="str">
        <x:v>+6099284035</x:v>
      </x:c>
      <x:c r="H4605" s="16" t="str">
        <x:v>Excluded</x:v>
      </x:c>
      <x:c r="I4605" s="16" t="str">
        <x:v>Missing email</x:v>
      </x:c>
    </x:row>
    <x:row r="4606">
      <x:c r="A4606" s="16" t="n">
        <x:v>4603</x:v>
      </x:c>
      <x:c r="B4606" s="16" t="str">
        <x:v>Mohd Nazmi</x:v>
      </x:c>
      <x:c r="C4606" s="16" t="str"/>
      <x:c r="D4606" s="16" t="str"/>
      <x:c r="E4606" s="16" t="str">
        <x:v>* myContacts</x:v>
      </x:c>
      <x:c r="F4606" s="16" t="str">
        <x:v>+601119504252</x:v>
      </x:c>
      <x:c r="G4606" s="16" t="str">
        <x:v>+601119504252</x:v>
      </x:c>
      <x:c r="H4606" s="16" t="str">
        <x:v>Excluded</x:v>
      </x:c>
      <x:c r="I4606" s="16" t="str">
        <x:v>Missing email</x:v>
      </x:c>
    </x:row>
    <x:row r="4607">
      <x:c r="A4607" s="16" t="n">
        <x:v>4604</x:v>
      </x:c>
      <x:c r="B4607" s="16" t="str">
        <x:v>Mohd Nazmi Shah</x:v>
      </x:c>
      <x:c r="C4607" s="16" t="str"/>
      <x:c r="D4607" s="16" t="str"/>
      <x:c r="E4607" s="16" t="str">
        <x:v>* myContacts</x:v>
      </x:c>
      <x:c r="F4607" s="16" t="str">
        <x:v>+601137007220</x:v>
      </x:c>
      <x:c r="G4607" s="16" t="str">
        <x:v>+601137007220</x:v>
      </x:c>
      <x:c r="H4607" s="16" t="str">
        <x:v>Excluded</x:v>
      </x:c>
      <x:c r="I4607" s="16" t="str">
        <x:v>Missing email</x:v>
      </x:c>
    </x:row>
    <x:row r="4608">
      <x:c r="A4608" s="16" t="n">
        <x:v>4605</x:v>
      </x:c>
      <x:c r="B4608" s="16" t="str">
        <x:v>Mohd Nazri BDA</x:v>
      </x:c>
      <x:c r="C4608" s="16" t="str"/>
      <x:c r="D4608" s="16" t="str"/>
      <x:c r="E4608" s="16" t="str">
        <x:v>* myContacts</x:v>
      </x:c>
      <x:c r="F4608" s="16" t="str">
        <x:v>016-905 3062 | +60169053062</x:v>
      </x:c>
      <x:c r="G4608" s="16" t="str">
        <x:v>+60169053062 | +60169053062</x:v>
      </x:c>
      <x:c r="H4608" s="16" t="str">
        <x:v>Excluded</x:v>
      </x:c>
      <x:c r="I4608" s="16" t="str">
        <x:v>Missing email</x:v>
      </x:c>
    </x:row>
    <x:row r="4609">
      <x:c r="A4609" s="16" t="n">
        <x:v>4606</x:v>
      </x:c>
      <x:c r="B4609" s="16" t="str">
        <x:v>Mohd Nazrul</x:v>
      </x:c>
      <x:c r="C4609" s="16" t="str"/>
      <x:c r="D4609" s="16" t="str"/>
      <x:c r="E4609" s="16" t="str">
        <x:v>* myContacts</x:v>
      </x:c>
      <x:c r="F4609" s="16" t="str">
        <x:v>+60146574175</x:v>
      </x:c>
      <x:c r="G4609" s="16" t="str">
        <x:v>+60146574175</x:v>
      </x:c>
      <x:c r="H4609" s="16" t="str">
        <x:v>Excluded</x:v>
      </x:c>
      <x:c r="I4609" s="16" t="str">
        <x:v>Missing email</x:v>
      </x:c>
    </x:row>
    <x:row r="4610">
      <x:c r="A4610" s="16" t="n">
        <x:v>4607</x:v>
      </x:c>
      <x:c r="B4610" s="16" t="str">
        <x:v>Mohd Nazzuan Nayan</x:v>
      </x:c>
      <x:c r="C4610" s="16" t="str"/>
      <x:c r="D4610" s="16" t="str"/>
      <x:c r="E4610" s="16" t="str">
        <x:v>* myContacts</x:v>
      </x:c>
      <x:c r="F4610" s="16" t="str">
        <x:v>+60198228618</x:v>
      </x:c>
      <x:c r="G4610" s="16" t="str">
        <x:v>+60198228618</x:v>
      </x:c>
      <x:c r="H4610" s="16" t="str">
        <x:v>Excluded</x:v>
      </x:c>
      <x:c r="I4610" s="16" t="str">
        <x:v>Missing email</x:v>
      </x:c>
    </x:row>
    <x:row r="4611">
      <x:c r="A4611" s="16" t="n">
        <x:v>4608</x:v>
      </x:c>
      <x:c r="B4611" s="16" t="str">
        <x:v>Mohd Nizam Sharif</x:v>
      </x:c>
      <x:c r="C4611" s="16" t="str"/>
      <x:c r="D4611" s="16" t="str"/>
      <x:c r="E4611" s="16" t="str">
        <x:v>* myContacts</x:v>
      </x:c>
      <x:c r="F4611" s="16" t="str">
        <x:v>+60 19-497 7214 | +60194977214</x:v>
      </x:c>
      <x:c r="G4611" s="16" t="str">
        <x:v>+60194977214 | +60194977214</x:v>
      </x:c>
      <x:c r="H4611" s="16" t="str">
        <x:v>Excluded</x:v>
      </x:c>
      <x:c r="I4611" s="16" t="str">
        <x:v>Missing email</x:v>
      </x:c>
    </x:row>
    <x:row r="4612">
      <x:c r="A4612" s="16" t="n">
        <x:v>4609</x:v>
      </x:c>
      <x:c r="B4612" s="16" t="str">
        <x:v>Mohd Noor Abd Sukor</x:v>
      </x:c>
      <x:c r="C4612" s="16" t="str"/>
      <x:c r="D4612" s="16" t="str"/>
      <x:c r="E4612" s="16" t="str">
        <x:v>* myContacts</x:v>
      </x:c>
      <x:c r="F4612" s="16" t="str">
        <x:v>+60133059335</x:v>
      </x:c>
      <x:c r="G4612" s="16" t="str">
        <x:v>+60133059335</x:v>
      </x:c>
      <x:c r="H4612" s="16" t="str">
        <x:v>Excluded</x:v>
      </x:c>
      <x:c r="I4612" s="16" t="str">
        <x:v>Missing email</x:v>
      </x:c>
    </x:row>
    <x:row r="4613">
      <x:c r="A4613" s="16" t="n">
        <x:v>4610</x:v>
      </x:c>
      <x:c r="B4613" s="16" t="str">
        <x:v>Mohd Noor Hasan TP</x:v>
      </x:c>
      <x:c r="C4613" s="16" t="str"/>
      <x:c r="D4613" s="16" t="str"/>
      <x:c r="E4613" s="16" t="str">
        <x:v>* myContacts</x:v>
      </x:c>
      <x:c r="F4613" s="16" t="str">
        <x:v>+60189631939</x:v>
      </x:c>
      <x:c r="G4613" s="16" t="str">
        <x:v>+60189631939</x:v>
      </x:c>
      <x:c r="H4613" s="16" t="str">
        <x:v>Excluded</x:v>
      </x:c>
      <x:c r="I4613" s="16" t="str">
        <x:v>Missing email</x:v>
      </x:c>
    </x:row>
    <x:row r="4614">
      <x:c r="A4614" s="16" t="n">
        <x:v>4611</x:v>
      </x:c>
      <x:c r="B4614" s="16" t="str">
        <x:v>Mohd Nor Qhidir</x:v>
      </x:c>
      <x:c r="C4614" s="16" t="str"/>
      <x:c r="D4614" s="16" t="str"/>
      <x:c r="E4614" s="16" t="str">
        <x:v>* myContacts</x:v>
      </x:c>
      <x:c r="F4614" s="16" t="str">
        <x:v>+60124168646</x:v>
      </x:c>
      <x:c r="G4614" s="16" t="str">
        <x:v>+60124168646</x:v>
      </x:c>
      <x:c r="H4614" s="16" t="str">
        <x:v>Excluded</x:v>
      </x:c>
      <x:c r="I4614" s="16" t="str">
        <x:v>Missing email</x:v>
      </x:c>
    </x:row>
    <x:row r="4615">
      <x:c r="A4615" s="16" t="n">
        <x:v>4612</x:v>
      </x:c>
      <x:c r="B4615" s="16" t="str">
        <x:v>Mohd Norhisham AGP</x:v>
      </x:c>
      <x:c r="C4615" s="16" t="str"/>
      <x:c r="D4615" s="16" t="str"/>
      <x:c r="E4615" s="16" t="str">
        <x:v>* myContacts</x:v>
      </x:c>
      <x:c r="F4615" s="16" t="str">
        <x:v>+60 13-234 2341 | +60132342341</x:v>
      </x:c>
      <x:c r="G4615" s="16" t="str">
        <x:v>+60132342341 | +60132342341</x:v>
      </x:c>
      <x:c r="H4615" s="16" t="str">
        <x:v>Excluded</x:v>
      </x:c>
      <x:c r="I4615" s="16" t="str">
        <x:v>Missing email</x:v>
      </x:c>
    </x:row>
    <x:row r="4616">
      <x:c r="A4616" s="16" t="n">
        <x:v>4613</x:v>
      </x:c>
      <x:c r="B4616" s="16" t="str">
        <x:v>Mohd Nornikman</x:v>
      </x:c>
      <x:c r="C4616" s="16" t="str"/>
      <x:c r="D4616" s="16" t="str"/>
      <x:c r="E4616" s="16" t="str">
        <x:v>* myContacts</x:v>
      </x:c>
      <x:c r="F4616" s="16" t="str">
        <x:v>+60129482889</x:v>
      </x:c>
      <x:c r="G4616" s="16" t="str">
        <x:v>+60129482889</x:v>
      </x:c>
      <x:c r="H4616" s="16" t="str">
        <x:v>Excluded</x:v>
      </x:c>
      <x:c r="I4616" s="16" t="str">
        <x:v>Missing email</x:v>
      </x:c>
    </x:row>
    <x:row r="4617">
      <x:c r="A4617" s="16" t="n">
        <x:v>4614</x:v>
      </x:c>
      <x:c r="B4617" s="16" t="str">
        <x:v>Mohd Perodua</x:v>
      </x:c>
      <x:c r="C4617" s="16" t="str"/>
      <x:c r="D4617" s="16" t="str"/>
      <x:c r="E4617" s="16" t="str">
        <x:v>* myContacts</x:v>
      </x:c>
      <x:c r="F4617" s="16" t="str">
        <x:v>+601128307393</x:v>
      </x:c>
      <x:c r="G4617" s="16" t="str">
        <x:v>+601128307393</x:v>
      </x:c>
      <x:c r="H4617" s="16" t="str">
        <x:v>Excluded</x:v>
      </x:c>
      <x:c r="I4617" s="16" t="str">
        <x:v>Missing email</x:v>
      </x:c>
    </x:row>
    <x:row r="4618">
      <x:c r="A4618" s="16" t="n">
        <x:v>4615</x:v>
      </x:c>
      <x:c r="B4618" s="16" t="str">
        <x:v>Mohd Phaiz SME CORP SCORE</x:v>
      </x:c>
      <x:c r="C4618" s="16" t="str"/>
      <x:c r="D4618" s="16" t="str"/>
      <x:c r="E4618" s="16" t="str">
        <x:v>* myContacts</x:v>
      </x:c>
      <x:c r="F4618" s="16" t="str">
        <x:v>+60 13-932 0428 | +60139320428</x:v>
      </x:c>
      <x:c r="G4618" s="16" t="str">
        <x:v>+60139320428 | +60139320428</x:v>
      </x:c>
      <x:c r="H4618" s="16" t="str">
        <x:v>Excluded</x:v>
      </x:c>
      <x:c r="I4618" s="16" t="str">
        <x:v>Missing email</x:v>
      </x:c>
    </x:row>
    <x:row r="4619">
      <x:c r="A4619" s="16" t="n">
        <x:v>4616</x:v>
      </x:c>
      <x:c r="B4619" s="16" t="str">
        <x:v>Mohd Radzuan Razali</x:v>
      </x:c>
      <x:c r="C4619" s="16" t="str"/>
      <x:c r="D4619" s="16" t="str"/>
      <x:c r="E4619" s="16" t="str">
        <x:v>* myContacts</x:v>
      </x:c>
      <x:c r="F4619" s="16" t="str">
        <x:v>+60176164430</x:v>
      </x:c>
      <x:c r="G4619" s="16" t="str">
        <x:v>+60176164430</x:v>
      </x:c>
      <x:c r="H4619" s="16" t="str">
        <x:v>Excluded</x:v>
      </x:c>
      <x:c r="I4619" s="16" t="str">
        <x:v>Missing email</x:v>
      </x:c>
    </x:row>
    <x:row r="4620">
      <x:c r="A4620" s="16" t="n">
        <x:v>4617</x:v>
      </x:c>
      <x:c r="B4620" s="16" t="str">
        <x:v>Mohd Rahof</x:v>
      </x:c>
      <x:c r="C4620" s="16" t="str"/>
      <x:c r="D4620" s="16" t="str"/>
      <x:c r="E4620" s="16" t="str">
        <x:v>* myContacts</x:v>
      </x:c>
      <x:c r="F4620" s="16" t="str">
        <x:v>+601158137249</x:v>
      </x:c>
      <x:c r="G4620" s="16" t="str">
        <x:v>+601158137249</x:v>
      </x:c>
      <x:c r="H4620" s="16" t="str">
        <x:v>Excluded</x:v>
      </x:c>
      <x:c r="I4620" s="16" t="str">
        <x:v>Missing email</x:v>
      </x:c>
    </x:row>
    <x:row r="4621">
      <x:c r="A4621" s="16" t="n">
        <x:v>4618</x:v>
      </x:c>
      <x:c r="B4621" s="16" t="str">
        <x:v>Mohd Rais Zulkifli</x:v>
      </x:c>
      <x:c r="C4621" s="16" t="str"/>
      <x:c r="D4621" s="16" t="str"/>
      <x:c r="E4621" s="16" t="str">
        <x:v>* myContacts</x:v>
      </x:c>
      <x:c r="F4621" s="16" t="str">
        <x:v>+60102418581</x:v>
      </x:c>
      <x:c r="G4621" s="16" t="str">
        <x:v>+60102418581</x:v>
      </x:c>
      <x:c r="H4621" s="16" t="str">
        <x:v>Excluded</x:v>
      </x:c>
      <x:c r="I4621" s="16" t="str">
        <x:v>Missing email</x:v>
      </x:c>
    </x:row>
    <x:row r="4622">
      <x:c r="A4622" s="16" t="n">
        <x:v>4619</x:v>
      </x:c>
      <x:c r="B4622" s="16" t="str">
        <x:v>Mohd Ramzhul Hatta</x:v>
      </x:c>
      <x:c r="C4622" s="16" t="str"/>
      <x:c r="D4622" s="16" t="str"/>
      <x:c r="E4622" s="16" t="str">
        <x:v>* myContacts</x:v>
      </x:c>
      <x:c r="F4622" s="16" t="str">
        <x:v>+60179545165</x:v>
      </x:c>
      <x:c r="G4622" s="16" t="str">
        <x:v>+60179545165</x:v>
      </x:c>
      <x:c r="H4622" s="16" t="str">
        <x:v>Excluded</x:v>
      </x:c>
      <x:c r="I4622" s="16" t="str">
        <x:v>Missing email</x:v>
      </x:c>
    </x:row>
    <x:row r="4623">
      <x:c r="A4623" s="16" t="n">
        <x:v>4620</x:v>
      </x:c>
      <x:c r="B4623" s="16" t="str">
        <x:v>Mohd Raqib Ketua Pmeuda Umno Kedah</x:v>
      </x:c>
      <x:c r="C4623" s="16" t="str">
        <x:v>avargado@gmail.com</x:v>
      </x:c>
      <x:c r="D4623" s="16" t="str">
        <x:v>avargado@gmail.com</x:v>
      </x:c>
      <x:c r="E4623" s="16" t="str">
        <x:v>* myContacts</x:v>
      </x:c>
      <x:c r="F4623" s="16" t="str">
        <x:v>+60124799652</x:v>
      </x:c>
      <x:c r="G4623" s="16" t="str">
        <x:v>+60124799652</x:v>
      </x:c>
      <x:c r="H4623" s="16" t="str">
        <x:v>Eligible</x:v>
      </x:c>
      <x:c r="I4623" s="16" t="str"/>
    </x:row>
    <x:row r="4624">
      <x:c r="A4624" s="16" t="n">
        <x:v>4621</x:v>
      </x:c>
      <x:c r="B4624" s="16" t="str">
        <x:v>Mohd Rashidi Isa</x:v>
      </x:c>
      <x:c r="C4624" s="16" t="str">
        <x:v>mohd.rashidi.isa@gmail.com</x:v>
      </x:c>
      <x:c r="D4624" s="16" t="str">
        <x:v>mohd.rashidi.isa@gmail.com</x:v>
      </x:c>
      <x:c r="E4624" s="16" t="str">
        <x:v>* myContacts</x:v>
      </x:c>
      <x:c r="F4624" s="16" t="str">
        <x:v>+60 11-6515 8435 | +601165158435</x:v>
      </x:c>
      <x:c r="G4624" s="16" t="str">
        <x:v>+601165158435 | +601165158435</x:v>
      </x:c>
      <x:c r="H4624" s="16" t="str">
        <x:v>Eligible</x:v>
      </x:c>
      <x:c r="I4624" s="16" t="str"/>
    </x:row>
    <x:row r="4625">
      <x:c r="A4625" s="16" t="n">
        <x:v>4622</x:v>
      </x:c>
      <x:c r="B4625" s="16" t="str">
        <x:v>Mohd Rasyidi</x:v>
      </x:c>
      <x:c r="C4625" s="16" t="str"/>
      <x:c r="D4625" s="16" t="str"/>
      <x:c r="E4625" s="16" t="str">
        <x:v>* myContacts</x:v>
      </x:c>
      <x:c r="F4625" s="16" t="str">
        <x:v>+60124998302</x:v>
      </x:c>
      <x:c r="G4625" s="16" t="str">
        <x:v>+60124998302</x:v>
      </x:c>
      <x:c r="H4625" s="16" t="str">
        <x:v>Excluded</x:v>
      </x:c>
      <x:c r="I4625" s="16" t="str">
        <x:v>Missing email</x:v>
      </x:c>
    </x:row>
    <x:row r="4626">
      <x:c r="A4626" s="16" t="n">
        <x:v>4623</x:v>
      </x:c>
      <x:c r="B4626" s="16" t="str">
        <x:v>Mohd Razak PERKIM KEPONG</x:v>
      </x:c>
      <x:c r="C4626" s="16" t="str"/>
      <x:c r="D4626" s="16" t="str"/>
      <x:c r="E4626" s="16" t="str">
        <x:v>* myContacts</x:v>
      </x:c>
      <x:c r="F4626" s="16" t="str">
        <x:v>+60 19-233 5937 | +60192335937</x:v>
      </x:c>
      <x:c r="G4626" s="16" t="str">
        <x:v>+60192335937 | +60192335937</x:v>
      </x:c>
      <x:c r="H4626" s="16" t="str">
        <x:v>Excluded</x:v>
      </x:c>
      <x:c r="I4626" s="16" t="str">
        <x:v>Missing email</x:v>
      </x:c>
    </x:row>
    <x:row r="4627">
      <x:c r="A4627" s="16" t="n">
        <x:v>4624</x:v>
      </x:c>
      <x:c r="B4627" s="16" t="str">
        <x:v>Mohd Razin Abul Hasan</x:v>
      </x:c>
      <x:c r="C4627" s="16" t="str"/>
      <x:c r="D4627" s="16" t="str"/>
      <x:c r="E4627" s="16" t="str">
        <x:v>* myContacts</x:v>
      </x:c>
      <x:c r="F4627" s="16" t="str">
        <x:v>+60176729907</x:v>
      </x:c>
      <x:c r="G4627" s="16" t="str">
        <x:v>+60176729907</x:v>
      </x:c>
      <x:c r="H4627" s="16" t="str">
        <x:v>Excluded</x:v>
      </x:c>
      <x:c r="I4627" s="16" t="str">
        <x:v>Missing email</x:v>
      </x:c>
    </x:row>
    <x:row r="4628">
      <x:c r="A4628" s="16" t="n">
        <x:v>4625</x:v>
      </x:c>
      <x:c r="B4628" s="16" t="str">
        <x:v>Mohd Ridhuan</x:v>
      </x:c>
      <x:c r="C4628" s="16" t="str"/>
      <x:c r="D4628" s="16" t="str"/>
      <x:c r="E4628" s="16" t="str">
        <x:v>* myContacts</x:v>
      </x:c>
      <x:c r="F4628" s="16" t="str">
        <x:v>+601125750051</x:v>
      </x:c>
      <x:c r="G4628" s="16" t="str">
        <x:v>+601125750051</x:v>
      </x:c>
      <x:c r="H4628" s="16" t="str">
        <x:v>Excluded</x:v>
      </x:c>
      <x:c r="I4628" s="16" t="str">
        <x:v>Missing email</x:v>
      </x:c>
    </x:row>
    <x:row r="4629">
      <x:c r="A4629" s="16" t="n">
        <x:v>4626</x:v>
      </x:c>
      <x:c r="B4629" s="16" t="str">
        <x:v>Mohd Ridzuan</x:v>
      </x:c>
      <x:c r="C4629" s="16" t="str"/>
      <x:c r="D4629" s="16" t="str"/>
      <x:c r="E4629" s="16" t="str">
        <x:v>* myContacts</x:v>
      </x:c>
      <x:c r="F4629" s="16" t="str">
        <x:v>+60124556604</x:v>
      </x:c>
      <x:c r="G4629" s="16" t="str">
        <x:v>+60124556604</x:v>
      </x:c>
      <x:c r="H4629" s="16" t="str">
        <x:v>Excluded</x:v>
      </x:c>
      <x:c r="I4629" s="16" t="str">
        <x:v>Missing email</x:v>
      </x:c>
    </x:row>
    <x:row r="4630">
      <x:c r="A4630" s="16" t="n">
        <x:v>4627</x:v>
      </x:c>
      <x:c r="B4630" s="16" t="str">
        <x:v>Mohd Rizal AG Hassan AGP</x:v>
      </x:c>
      <x:c r="C4630" s="16" t="str"/>
      <x:c r="D4630" s="16" t="str"/>
      <x:c r="E4630" s="16" t="str">
        <x:v>* myContacts</x:v>
      </x:c>
      <x:c r="F4630" s="16" t="str">
        <x:v>+601135538378</x:v>
      </x:c>
      <x:c r="G4630" s="16" t="str">
        <x:v>+601135538378</x:v>
      </x:c>
      <x:c r="H4630" s="16" t="str">
        <x:v>Excluded</x:v>
      </x:c>
      <x:c r="I4630" s="16" t="str">
        <x:v>Missing email</x:v>
      </x:c>
    </x:row>
    <x:row r="4631">
      <x:c r="A4631" s="16" t="n">
        <x:v>4628</x:v>
      </x:c>
      <x:c r="B4631" s="16" t="str">
        <x:v>mohd rizal AGP</x:v>
      </x:c>
      <x:c r="C4631" s="16" t="str"/>
      <x:c r="D4631" s="16" t="str"/>
      <x:c r="E4631" s="16" t="str">
        <x:v>* myContacts</x:v>
      </x:c>
      <x:c r="F4631" s="16" t="str">
        <x:v>+60 11-2880 6427 | +601128806427</x:v>
      </x:c>
      <x:c r="G4631" s="16" t="str">
        <x:v>+601128806427 | +601128806427</x:v>
      </x:c>
      <x:c r="H4631" s="16" t="str">
        <x:v>Excluded</x:v>
      </x:c>
      <x:c r="I4631" s="16" t="str">
        <x:v>Missing email</x:v>
      </x:c>
    </x:row>
    <x:row r="4632">
      <x:c r="A4632" s="16" t="n">
        <x:v>4629</x:v>
      </x:c>
      <x:c r="B4632" s="16" t="str">
        <x:v>Mohd sabri abd rajee</x:v>
      </x:c>
      <x:c r="C4632" s="16" t="str">
        <x:v>sabri@pakariaq.com | sabri.rajee@gmail.com</x:v>
      </x:c>
      <x:c r="D4632" s="16" t="str">
        <x:v>sabri@pakariaq.com | sabri.rajee@gmail.com</x:v>
      </x:c>
      <x:c r="E4632" s="16" t="str">
        <x:v>* myContacts</x:v>
      </x:c>
      <x:c r="F4632" s="16" t="str">
        <x:v>60377341001 | 0102595211 | +60377341001 | 0102595211 | 60377340033</x:v>
      </x:c>
      <x:c r="G4632" s="16" t="str">
        <x:v>+60377341001 | +60102595211 | +60377341001 | +60102595211 | +60377340033</x:v>
      </x:c>
      <x:c r="H4632" s="16" t="str">
        <x:v>Eligible</x:v>
      </x:c>
      <x:c r="I4632" s="16" t="str"/>
    </x:row>
    <x:row r="4633">
      <x:c r="A4633" s="16" t="n">
        <x:v>4630</x:v>
      </x:c>
      <x:c r="B4633" s="16" t="str">
        <x:v>Mohd sadri AGP</x:v>
      </x:c>
      <x:c r="C4633" s="16" t="str"/>
      <x:c r="D4633" s="16" t="str"/>
      <x:c r="E4633" s="16" t="str">
        <x:v>* myContacts</x:v>
      </x:c>
      <x:c r="F4633" s="16" t="str">
        <x:v>+60 19-924 9001 | +60199249001</x:v>
      </x:c>
      <x:c r="G4633" s="16" t="str">
        <x:v>+60199249001 | +60199249001</x:v>
      </x:c>
      <x:c r="H4633" s="16" t="str">
        <x:v>Excluded</x:v>
      </x:c>
      <x:c r="I4633" s="16" t="str">
        <x:v>Missing email</x:v>
      </x:c>
    </x:row>
    <x:row r="4634">
      <x:c r="A4634" s="16" t="n">
        <x:v>4631</x:v>
      </x:c>
      <x:c r="B4634" s="16" t="str">
        <x:v>Mohd Saifudin</x:v>
      </x:c>
      <x:c r="C4634" s="16" t="str"/>
      <x:c r="D4634" s="16" t="str"/>
      <x:c r="E4634" s="16" t="str">
        <x:v>* myContacts</x:v>
      </x:c>
      <x:c r="F4634" s="16" t="str">
        <x:v>+601117924885</x:v>
      </x:c>
      <x:c r="G4634" s="16" t="str">
        <x:v>+601117924885</x:v>
      </x:c>
      <x:c r="H4634" s="16" t="str">
        <x:v>Excluded</x:v>
      </x:c>
      <x:c r="I4634" s="16" t="str">
        <x:v>Missing email</x:v>
      </x:c>
    </x:row>
    <x:row r="4635">
      <x:c r="A4635" s="16" t="n">
        <x:v>4632</x:v>
      </x:c>
      <x:c r="B4635" s="16" t="str">
        <x:v>Mohd Salehuddin Mohd Kidin</x:v>
      </x:c>
      <x:c r="C4635" s="16" t="str"/>
      <x:c r="D4635" s="16" t="str"/>
      <x:c r="E4635" s="16" t="str">
        <x:v>* myContacts</x:v>
      </x:c>
      <x:c r="F4635" s="16" t="str">
        <x:v>+60133809600</x:v>
      </x:c>
      <x:c r="G4635" s="16" t="str">
        <x:v>+60133809600</x:v>
      </x:c>
      <x:c r="H4635" s="16" t="str">
        <x:v>Excluded</x:v>
      </x:c>
      <x:c r="I4635" s="16" t="str">
        <x:v>Missing email</x:v>
      </x:c>
    </x:row>
    <x:row r="4636">
      <x:c r="A4636" s="16" t="n">
        <x:v>4633</x:v>
      </x:c>
      <x:c r="B4636" s="16" t="str">
        <x:v>mohd sani AGP</x:v>
      </x:c>
      <x:c r="C4636" s="16" t="str"/>
      <x:c r="D4636" s="16" t="str"/>
      <x:c r="E4636" s="16" t="str">
        <x:v>* myContacts</x:v>
      </x:c>
      <x:c r="F4636" s="16" t="str">
        <x:v>+60 11-1234 2578 | 0176277080 | +601112342578 | 0176277080</x:v>
      </x:c>
      <x:c r="G4636" s="16" t="str">
        <x:v>+601112342578 | +60176277080 | +601112342578 | +60176277080</x:v>
      </x:c>
      <x:c r="H4636" s="16" t="str">
        <x:v>Excluded</x:v>
      </x:c>
      <x:c r="I4636" s="16" t="str">
        <x:v>Missing email</x:v>
      </x:c>
    </x:row>
    <x:row r="4637">
      <x:c r="A4637" s="16" t="n">
        <x:v>4634</x:v>
      </x:c>
      <x:c r="B4637" s="16" t="str">
        <x:v>Mohd Shafiq</x:v>
      </x:c>
      <x:c r="C4637" s="16" t="str"/>
      <x:c r="D4637" s="16" t="str"/>
      <x:c r="E4637" s="16" t="str">
        <x:v>* myContacts</x:v>
      </x:c>
      <x:c r="F4637" s="16" t="str">
        <x:v>+60162415375</x:v>
      </x:c>
      <x:c r="G4637" s="16" t="str">
        <x:v>+60162415375</x:v>
      </x:c>
      <x:c r="H4637" s="16" t="str">
        <x:v>Excluded</x:v>
      </x:c>
      <x:c r="I4637" s="16" t="str">
        <x:v>Missing email</x:v>
      </x:c>
    </x:row>
    <x:row r="4638">
      <x:c r="A4638" s="16" t="n">
        <x:v>4635</x:v>
      </x:c>
      <x:c r="B4638" s="16" t="str">
        <x:v>Mohd Shafiq EFFINDI</x:v>
      </x:c>
      <x:c r="C4638" s="16" t="str">
        <x:v>sharqfx@gmail.com</x:v>
      </x:c>
      <x:c r="D4638" s="16" t="str">
        <x:v>sharqfx@gmail.com</x:v>
      </x:c>
      <x:c r="E4638" s="16" t="str">
        <x:v>* myContacts</x:v>
      </x:c>
      <x:c r="F4638" s="16" t="str">
        <x:v>01111701711 | +601111701711</x:v>
      </x:c>
      <x:c r="G4638" s="16" t="str">
        <x:v>+601111701711 | +601111701711</x:v>
      </x:c>
      <x:c r="H4638" s="16" t="str">
        <x:v>Eligible</x:v>
      </x:c>
      <x:c r="I4638" s="16" t="str"/>
    </x:row>
    <x:row r="4639">
      <x:c r="A4639" s="16" t="n">
        <x:v>4636</x:v>
      </x:c>
      <x:c r="B4639" s="16" t="str">
        <x:v>Mohd Shafwan</x:v>
      </x:c>
      <x:c r="C4639" s="16" t="str"/>
      <x:c r="D4639" s="16" t="str"/>
      <x:c r="E4639" s="16" t="str">
        <x:v>* myContacts</x:v>
      </x:c>
      <x:c r="F4639" s="16" t="str">
        <x:v>+60108057805</x:v>
      </x:c>
      <x:c r="G4639" s="16" t="str">
        <x:v>+60108057805</x:v>
      </x:c>
      <x:c r="H4639" s="16" t="str">
        <x:v>Excluded</x:v>
      </x:c>
      <x:c r="I4639" s="16" t="str">
        <x:v>Missing email</x:v>
      </x:c>
    </x:row>
    <x:row r="4640">
      <x:c r="A4640" s="16" t="n">
        <x:v>4637</x:v>
      </x:c>
      <x:c r="B4640" s="16" t="str">
        <x:v>Mohd Shaharul Ezany</x:v>
      </x:c>
      <x:c r="C4640" s="16" t="str"/>
      <x:c r="D4640" s="16" t="str"/>
      <x:c r="E4640" s="16" t="str">
        <x:v>* myContacts</x:v>
      </x:c>
      <x:c r="F4640" s="16" t="str">
        <x:v>+60138763656</x:v>
      </x:c>
      <x:c r="G4640" s="16" t="str">
        <x:v>+60138763656</x:v>
      </x:c>
      <x:c r="H4640" s="16" t="str">
        <x:v>Excluded</x:v>
      </x:c>
      <x:c r="I4640" s="16" t="str">
        <x:v>Missing email</x:v>
      </x:c>
    </x:row>
    <x:row r="4641">
      <x:c r="A4641" s="16" t="n">
        <x:v>4638</x:v>
      </x:c>
      <x:c r="B4641" s="16" t="str">
        <x:v>Mohd Shahidi Saadin</x:v>
      </x:c>
      <x:c r="C4641" s="16" t="str"/>
      <x:c r="D4641" s="16" t="str"/>
      <x:c r="E4641" s="16" t="str">
        <x:v>* myContacts</x:v>
      </x:c>
      <x:c r="F4641" s="16" t="str">
        <x:v>+60107009993</x:v>
      </x:c>
      <x:c r="G4641" s="16" t="str">
        <x:v>+60107009993</x:v>
      </x:c>
      <x:c r="H4641" s="16" t="str">
        <x:v>Excluded</x:v>
      </x:c>
      <x:c r="I4641" s="16" t="str">
        <x:v>Missing email</x:v>
      </x:c>
    </x:row>
    <x:row r="4642">
      <x:c r="A4642" s="16" t="n">
        <x:v>4639</x:v>
      </x:c>
      <x:c r="B4642" s="16" t="str">
        <x:v>Mohd Shahreza Sewa Lori</x:v>
      </x:c>
      <x:c r="C4642" s="16" t="str"/>
      <x:c r="D4642" s="16" t="str"/>
      <x:c r="E4642" s="16" t="str">
        <x:v>* myContacts</x:v>
      </x:c>
      <x:c r="F4642" s="16" t="str">
        <x:v>+60102514095</x:v>
      </x:c>
      <x:c r="G4642" s="16" t="str">
        <x:v>+60102514095</x:v>
      </x:c>
      <x:c r="H4642" s="16" t="str">
        <x:v>Excluded</x:v>
      </x:c>
      <x:c r="I4642" s="16" t="str">
        <x:v>Missing email</x:v>
      </x:c>
    </x:row>
    <x:row r="4643">
      <x:c r="A4643" s="16" t="n">
        <x:v>4640</x:v>
      </x:c>
      <x:c r="B4643" s="16" t="str">
        <x:v>Mohd Shahril</x:v>
      </x:c>
      <x:c r="C4643" s="16" t="str"/>
      <x:c r="D4643" s="16" t="str"/>
      <x:c r="E4643" s="16" t="str">
        <x:v>* myContacts</x:v>
      </x:c>
      <x:c r="F4643" s="16" t="str">
        <x:v>+60104163024</x:v>
      </x:c>
      <x:c r="G4643" s="16" t="str">
        <x:v>+60104163024</x:v>
      </x:c>
      <x:c r="H4643" s="16" t="str">
        <x:v>Excluded</x:v>
      </x:c>
      <x:c r="I4643" s="16" t="str">
        <x:v>Missing email</x:v>
      </x:c>
    </x:row>
    <x:row r="4644">
      <x:c r="A4644" s="16" t="n">
        <x:v>4641</x:v>
      </x:c>
      <x:c r="B4644" s="16" t="str">
        <x:v>Mohd Shahril Rave Startup</x:v>
      </x:c>
      <x:c r="C4644" s="16" t="str"/>
      <x:c r="D4644" s="16" t="str"/>
      <x:c r="E4644" s="16" t="str">
        <x:v>* myContacts</x:v>
      </x:c>
      <x:c r="F4644" s="16" t="str">
        <x:v>+60 12-421 9000 | +60124219000</x:v>
      </x:c>
      <x:c r="G4644" s="16" t="str">
        <x:v>+60124219000 | +60124219000</x:v>
      </x:c>
      <x:c r="H4644" s="16" t="str">
        <x:v>Excluded</x:v>
      </x:c>
      <x:c r="I4644" s="16" t="str">
        <x:v>Missing email</x:v>
      </x:c>
    </x:row>
    <x:row r="4645">
      <x:c r="A4645" s="16" t="n">
        <x:v>4642</x:v>
      </x:c>
      <x:c r="B4645" s="16" t="str">
        <x:v>Mohd Shahril Shaik Mohd Hussain</x:v>
      </x:c>
      <x:c r="C4645" s="16" t="str">
        <x:v>shahril.myventures@gmail.com</x:v>
      </x:c>
      <x:c r="D4645" s="16" t="str">
        <x:v>shahril.myventures@gmail.com</x:v>
      </x:c>
      <x:c r="E4645" s="16" t="str">
        <x:v>* myContacts</x:v>
      </x:c>
      <x:c r="F4645" s="16" t="str">
        <x:v>+60124219000 | +60182211150</x:v>
      </x:c>
      <x:c r="G4645" s="16" t="str">
        <x:v>+60124219000 | +60182211150</x:v>
      </x:c>
      <x:c r="H4645" s="16" t="str">
        <x:v>Eligible</x:v>
      </x:c>
      <x:c r="I4645" s="16" t="str"/>
    </x:row>
    <x:row r="4646">
      <x:c r="A4646" s="16" t="n">
        <x:v>4643</x:v>
      </x:c>
      <x:c r="B4646" s="16" t="str">
        <x:v>Mohd Shahril Shaik Mohd Hussain</x:v>
      </x:c>
      <x:c r="C4646" s="16" t="str">
        <x:v>shahril.myventures@gmail.com</x:v>
      </x:c>
      <x:c r="D4646" s="16" t="str">
        <x:v>shahril.myventures@gmail.com</x:v>
      </x:c>
      <x:c r="E4646" s="16" t="str">
        <x:v>* myContacts</x:v>
      </x:c>
      <x:c r="F4646" s="16" t="str">
        <x:v>+60124219000 | +60182211150</x:v>
      </x:c>
      <x:c r="G4646" s="16" t="str">
        <x:v>+60124219000 | +60182211150</x:v>
      </x:c>
      <x:c r="H4646" s="16" t="str">
        <x:v>Eligible</x:v>
      </x:c>
      <x:c r="I4646" s="16" t="str"/>
    </x:row>
    <x:row r="4647">
      <x:c r="A4647" s="16" t="n">
        <x:v>4644</x:v>
      </x:c>
      <x:c r="B4647" s="16" t="str">
        <x:v>Mohd Shahrizan Bin Shaari</x:v>
      </x:c>
      <x:c r="C4647" s="16" t="str"/>
      <x:c r="D4647" s="16" t="str"/>
      <x:c r="E4647" s="16" t="str">
        <x:v>* myContacts</x:v>
      </x:c>
      <x:c r="F4647" s="16" t="str">
        <x:v>+60139700385</x:v>
      </x:c>
      <x:c r="G4647" s="16" t="str">
        <x:v>+60139700385</x:v>
      </x:c>
      <x:c r="H4647" s="16" t="str">
        <x:v>Excluded</x:v>
      </x:c>
      <x:c r="I4647" s="16" t="str">
        <x:v>Missing email</x:v>
      </x:c>
    </x:row>
    <x:row r="4648">
      <x:c r="A4648" s="16" t="n">
        <x:v>4645</x:v>
      </x:c>
      <x:c r="B4648" s="16" t="str">
        <x:v>Mohd Shamsuddin Shukri</x:v>
      </x:c>
      <x:c r="C4648" s="16" t="str"/>
      <x:c r="D4648" s="16" t="str"/>
      <x:c r="E4648" s="16" t="str">
        <x:v>* myContacts</x:v>
      </x:c>
      <x:c r="F4648" s="16" t="str">
        <x:v>+60145094280</x:v>
      </x:c>
      <x:c r="G4648" s="16" t="str">
        <x:v>+60145094280</x:v>
      </x:c>
      <x:c r="H4648" s="16" t="str">
        <x:v>Excluded</x:v>
      </x:c>
      <x:c r="I4648" s="16" t="str">
        <x:v>Missing email</x:v>
      </x:c>
    </x:row>
    <x:row r="4649">
      <x:c r="A4649" s="16" t="n">
        <x:v>4646</x:v>
      </x:c>
      <x:c r="B4649" s="16" t="str">
        <x:v>Mohd Shamsul Jamel</x:v>
      </x:c>
      <x:c r="C4649" s="16" t="str"/>
      <x:c r="D4649" s="16" t="str"/>
      <x:c r="E4649" s="16" t="str">
        <x:v>* myContacts</x:v>
      </x:c>
      <x:c r="F4649" s="16" t="str">
        <x:v>01123154439 | +601123154439</x:v>
      </x:c>
      <x:c r="G4649" s="16" t="str">
        <x:v>+601123154439 | +601123154439</x:v>
      </x:c>
      <x:c r="H4649" s="16" t="str">
        <x:v>Excluded</x:v>
      </x:c>
      <x:c r="I4649" s="16" t="str">
        <x:v>Missing email</x:v>
      </x:c>
    </x:row>
    <x:row r="4650">
      <x:c r="A4650" s="16" t="n">
        <x:v>4647</x:v>
      </x:c>
      <x:c r="B4650" s="16" t="str">
        <x:v>Mohd Shuaidi Ahmad Nazri</x:v>
      </x:c>
      <x:c r="C4650" s="16" t="str"/>
      <x:c r="D4650" s="16" t="str"/>
      <x:c r="E4650" s="16" t="str">
        <x:v>* myContacts</x:v>
      </x:c>
      <x:c r="F4650" s="16" t="str">
        <x:v>+60123411703</x:v>
      </x:c>
      <x:c r="G4650" s="16" t="str">
        <x:v>+60123411703</x:v>
      </x:c>
      <x:c r="H4650" s="16" t="str">
        <x:v>Excluded</x:v>
      </x:c>
      <x:c r="I4650" s="16" t="str">
        <x:v>Missing email</x:v>
      </x:c>
    </x:row>
    <x:row r="4651">
      <x:c r="A4651" s="16" t="n">
        <x:v>4648</x:v>
      </x:c>
      <x:c r="B4651" s="16" t="str">
        <x:v>Mohd Sofian</x:v>
      </x:c>
      <x:c r="C4651" s="16" t="str"/>
      <x:c r="D4651" s="16" t="str"/>
      <x:c r="E4651" s="16" t="str">
        <x:v>* myContacts</x:v>
      </x:c>
      <x:c r="F4651" s="16" t="str">
        <x:v>+60189461723</x:v>
      </x:c>
      <x:c r="G4651" s="16" t="str">
        <x:v>+60189461723</x:v>
      </x:c>
      <x:c r="H4651" s="16" t="str">
        <x:v>Excluded</x:v>
      </x:c>
      <x:c r="I4651" s="16" t="str">
        <x:v>Missing email</x:v>
      </x:c>
    </x:row>
    <x:row r="4652">
      <x:c r="A4652" s="16" t="n">
        <x:v>4649</x:v>
      </x:c>
      <x:c r="B4652" s="16" t="str">
        <x:v>Mohd Syafiq</x:v>
      </x:c>
      <x:c r="C4652" s="16" t="str"/>
      <x:c r="D4652" s="16" t="str"/>
      <x:c r="E4652" s="16" t="str">
        <x:v>* myContacts</x:v>
      </x:c>
      <x:c r="F4652" s="16" t="str">
        <x:v>+60139164643</x:v>
      </x:c>
      <x:c r="G4652" s="16" t="str">
        <x:v>+60139164643</x:v>
      </x:c>
      <x:c r="H4652" s="16" t="str">
        <x:v>Excluded</x:v>
      </x:c>
      <x:c r="I4652" s="16" t="str">
        <x:v>Missing email</x:v>
      </x:c>
    </x:row>
    <x:row r="4653">
      <x:c r="A4653" s="16" t="n">
        <x:v>4650</x:v>
      </x:c>
      <x:c r="B4653" s="16" t="str">
        <x:v>Mohd Syahmi</x:v>
      </x:c>
      <x:c r="C4653" s="16" t="str"/>
      <x:c r="D4653" s="16" t="str"/>
      <x:c r="E4653" s="16" t="str">
        <x:v>* myContacts</x:v>
      </x:c>
      <x:c r="F4653" s="16" t="str">
        <x:v>+60133202787</x:v>
      </x:c>
      <x:c r="G4653" s="16" t="str">
        <x:v>+60133202787</x:v>
      </x:c>
      <x:c r="H4653" s="16" t="str">
        <x:v>Excluded</x:v>
      </x:c>
      <x:c r="I4653" s="16" t="str">
        <x:v>Missing email</x:v>
      </x:c>
    </x:row>
    <x:row r="4654">
      <x:c r="A4654" s="16" t="n">
        <x:v>4651</x:v>
      </x:c>
      <x:c r="B4654" s="16" t="str">
        <x:v>Mohd Syuib</x:v>
      </x:c>
      <x:c r="C4654" s="16" t="str"/>
      <x:c r="D4654" s="16" t="str"/>
      <x:c r="E4654" s="16" t="str">
        <x:v>* myContacts</x:v>
      </x:c>
      <x:c r="F4654" s="16" t="str">
        <x:v>+60134074503</x:v>
      </x:c>
      <x:c r="G4654" s="16" t="str">
        <x:v>+60134074503</x:v>
      </x:c>
      <x:c r="H4654" s="16" t="str">
        <x:v>Excluded</x:v>
      </x:c>
      <x:c r="I4654" s="16" t="str">
        <x:v>Missing email</x:v>
      </x:c>
    </x:row>
    <x:row r="4655">
      <x:c r="A4655" s="16" t="n">
        <x:v>4652</x:v>
      </x:c>
      <x:c r="B4655" s="16" t="str">
        <x:v>Mohd Tahar AGP Agent</x:v>
      </x:c>
      <x:c r="C4655" s="16" t="str"/>
      <x:c r="D4655" s="16" t="str"/>
      <x:c r="E4655" s="16" t="str">
        <x:v>* myContacts</x:v>
      </x:c>
      <x:c r="F4655" s="16" t="str">
        <x:v>+60 11-2806 0972 | +601128060972</x:v>
      </x:c>
      <x:c r="G4655" s="16" t="str">
        <x:v>+601128060972 | +601128060972</x:v>
      </x:c>
      <x:c r="H4655" s="16" t="str">
        <x:v>Excluded</x:v>
      </x:c>
      <x:c r="I4655" s="16" t="str">
        <x:v>Missing email</x:v>
      </x:c>
    </x:row>
    <x:row r="4656">
      <x:c r="A4656" s="16" t="n">
        <x:v>4653</x:v>
      </x:c>
      <x:c r="B4656" s="16" t="str">
        <x:v>Mohd Tarmizi</x:v>
      </x:c>
      <x:c r="C4656" s="16" t="str"/>
      <x:c r="D4656" s="16" t="str"/>
      <x:c r="E4656" s="16" t="str">
        <x:v>* myContacts</x:v>
      </x:c>
      <x:c r="F4656" s="16" t="str">
        <x:v>+60183013140</x:v>
      </x:c>
      <x:c r="G4656" s="16" t="str">
        <x:v>+60183013140</x:v>
      </x:c>
      <x:c r="H4656" s="16" t="str">
        <x:v>Excluded</x:v>
      </x:c>
      <x:c r="I4656" s="16" t="str">
        <x:v>Missing email</x:v>
      </x:c>
    </x:row>
    <x:row r="4657">
      <x:c r="A4657" s="16" t="n">
        <x:v>4654</x:v>
      </x:c>
      <x:c r="B4657" s="16" t="str">
        <x:v>Mohd Taufiq Kbbc Agent</x:v>
      </x:c>
      <x:c r="C4657" s="16" t="str"/>
      <x:c r="D4657" s="16" t="str"/>
      <x:c r="E4657" s="16" t="str">
        <x:v>* myContacts</x:v>
      </x:c>
      <x:c r="F4657" s="16" t="str">
        <x:v>011-1155 8004 | +601111558004</x:v>
      </x:c>
      <x:c r="G4657" s="16" t="str">
        <x:v>+601111558004 | +601111558004</x:v>
      </x:c>
      <x:c r="H4657" s="16" t="str">
        <x:v>Excluded</x:v>
      </x:c>
      <x:c r="I4657" s="16" t="str">
        <x:v>Missing email</x:v>
      </x:c>
    </x:row>
    <x:row r="4658">
      <x:c r="A4658" s="16" t="n">
        <x:v>4655</x:v>
      </x:c>
      <x:c r="B4658" s="16" t="str">
        <x:v>Mohd Udin</x:v>
      </x:c>
      <x:c r="C4658" s="16" t="str"/>
      <x:c r="D4658" s="16" t="str"/>
      <x:c r="E4658" s="16" t="str">
        <x:v>* myContacts</x:v>
      </x:c>
      <x:c r="F4658" s="16" t="str">
        <x:v>+601126068585</x:v>
      </x:c>
      <x:c r="G4658" s="16" t="str">
        <x:v>+601126068585</x:v>
      </x:c>
      <x:c r="H4658" s="16" t="str">
        <x:v>Excluded</x:v>
      </x:c>
      <x:c r="I4658" s="16" t="str">
        <x:v>Missing email</x:v>
      </x:c>
    </x:row>
    <x:row r="4659">
      <x:c r="A4659" s="16" t="n">
        <x:v>4656</x:v>
      </x:c>
      <x:c r="B4659" s="16" t="str">
        <x:v>Mohd Wafi Aliff</x:v>
      </x:c>
      <x:c r="C4659" s="16" t="str"/>
      <x:c r="D4659" s="16" t="str"/>
      <x:c r="E4659" s="16" t="str">
        <x:v>* myContacts</x:v>
      </x:c>
      <x:c r="F4659" s="16" t="str">
        <x:v>+60178805835</x:v>
      </x:c>
      <x:c r="G4659" s="16" t="str">
        <x:v>+60178805835</x:v>
      </x:c>
      <x:c r="H4659" s="16" t="str">
        <x:v>Excluded</x:v>
      </x:c>
      <x:c r="I4659" s="16" t="str">
        <x:v>Missing email</x:v>
      </x:c>
    </x:row>
    <x:row r="4660">
      <x:c r="A4660" s="16" t="n">
        <x:v>4657</x:v>
      </x:c>
      <x:c r="B4660" s="16" t="str">
        <x:v>Mohd Yunus AGP</x:v>
      </x:c>
      <x:c r="C4660" s="16" t="str"/>
      <x:c r="D4660" s="16" t="str"/>
      <x:c r="E4660" s="16" t="str">
        <x:v>* myContacts</x:v>
      </x:c>
      <x:c r="F4660" s="16" t="str">
        <x:v>+60 19-893 8857 | +60198938857</x:v>
      </x:c>
      <x:c r="G4660" s="16" t="str">
        <x:v>+60198938857 | +60198938857</x:v>
      </x:c>
      <x:c r="H4660" s="16" t="str">
        <x:v>Excluded</x:v>
      </x:c>
      <x:c r="I4660" s="16" t="str">
        <x:v>Missing email</x:v>
      </x:c>
    </x:row>
    <x:row r="4661">
      <x:c r="A4661" s="16" t="n">
        <x:v>4658</x:v>
      </x:c>
      <x:c r="B4661" s="16" t="str">
        <x:v>Mohd Yusaini Mohd Yusof</x:v>
      </x:c>
      <x:c r="C4661" s="16" t="str"/>
      <x:c r="D4661" s="16" t="str"/>
      <x:c r="E4661" s="16" t="str">
        <x:v>* myContacts</x:v>
      </x:c>
      <x:c r="F4661" s="16" t="str">
        <x:v>+60133994801</x:v>
      </x:c>
      <x:c r="G4661" s="16" t="str">
        <x:v>+60133994801</x:v>
      </x:c>
      <x:c r="H4661" s="16" t="str">
        <x:v>Excluded</x:v>
      </x:c>
      <x:c r="I4661" s="16" t="str">
        <x:v>Missing email</x:v>
      </x:c>
    </x:row>
    <x:row r="4662">
      <x:c r="A4662" s="16" t="n">
        <x:v>4659</x:v>
      </x:c>
      <x:c r="B4662" s="16" t="str">
        <x:v>Mohd Zahidi Halim</x:v>
      </x:c>
      <x:c r="C4662" s="16" t="str"/>
      <x:c r="D4662" s="16" t="str"/>
      <x:c r="E4662" s="16" t="str">
        <x:v>* myContacts</x:v>
      </x:c>
      <x:c r="F4662" s="16" t="str">
        <x:v>+60192725263</x:v>
      </x:c>
      <x:c r="G4662" s="16" t="str">
        <x:v>+60192725263</x:v>
      </x:c>
      <x:c r="H4662" s="16" t="str">
        <x:v>Excluded</x:v>
      </x:c>
      <x:c r="I4662" s="16" t="str">
        <x:v>Missing email</x:v>
      </x:c>
    </x:row>
    <x:row r="4663">
      <x:c r="A4663" s="16" t="n">
        <x:v>4660</x:v>
      </x:c>
      <x:c r="B4663" s="16" t="str">
        <x:v>Mohd Zaid Md Fadzil Sistem Developer</x:v>
      </x:c>
      <x:c r="C4663" s="16" t="str"/>
      <x:c r="D4663" s="16" t="str"/>
      <x:c r="E4663" s="16" t="str">
        <x:v>* myContacts</x:v>
      </x:c>
      <x:c r="F4663" s="16" t="str">
        <x:v>0193149048 | +60193149048</x:v>
      </x:c>
      <x:c r="G4663" s="16" t="str">
        <x:v>+60193149048 | +60193149048</x:v>
      </x:c>
      <x:c r="H4663" s="16" t="str">
        <x:v>Excluded</x:v>
      </x:c>
      <x:c r="I4663" s="16" t="str">
        <x:v>Missing email</x:v>
      </x:c>
    </x:row>
    <x:row r="4664">
      <x:c r="A4664" s="16" t="n">
        <x:v>4661</x:v>
      </x:c>
      <x:c r="B4664" s="16" t="str">
        <x:v>Mohd Zaim Hamzah</x:v>
      </x:c>
      <x:c r="C4664" s="16" t="str"/>
      <x:c r="D4664" s="16" t="str"/>
      <x:c r="E4664" s="16" t="str">
        <x:v>* myContacts</x:v>
      </x:c>
      <x:c r="F4664" s="16" t="str">
        <x:v>+60189416567</x:v>
      </x:c>
      <x:c r="G4664" s="16" t="str">
        <x:v>+60189416567</x:v>
      </x:c>
      <x:c r="H4664" s="16" t="str">
        <x:v>Excluded</x:v>
      </x:c>
      <x:c r="I4664" s="16" t="str">
        <x:v>Missing email</x:v>
      </x:c>
    </x:row>
    <x:row r="4665">
      <x:c r="A4665" s="16" t="n">
        <x:v>4662</x:v>
      </x:c>
      <x:c r="B4665" s="16" t="str">
        <x:v>Mohd Zaini</x:v>
      </x:c>
      <x:c r="C4665" s="16" t="str"/>
      <x:c r="D4665" s="16" t="str"/>
      <x:c r="E4665" s="16" t="str">
        <x:v>* myContacts</x:v>
      </x:c>
      <x:c r="F4665" s="16" t="str">
        <x:v>+60126780761</x:v>
      </x:c>
      <x:c r="G4665" s="16" t="str">
        <x:v>+60126780761</x:v>
      </x:c>
      <x:c r="H4665" s="16" t="str">
        <x:v>Excluded</x:v>
      </x:c>
      <x:c r="I4665" s="16" t="str">
        <x:v>Missing email</x:v>
      </x:c>
    </x:row>
    <x:row r="4666">
      <x:c r="A4666" s="16" t="n">
        <x:v>4663</x:v>
      </x:c>
      <x:c r="B4666" s="16" t="str">
        <x:v>Mohd Zairee Mohd Zairee Bin Zakaria</x:v>
      </x:c>
      <x:c r="C4666" s="16" t="str">
        <x:v>mzairee@mara.gov.my</x:v>
      </x:c>
      <x:c r="D4666" s="16" t="str">
        <x:v>mzairee@mara.gov.my</x:v>
      </x:c>
      <x:c r="E4666" s="16" t="str">
        <x:v>* myContacts</x:v>
      </x:c>
      <x:c r="F4666" s="16" t="str">
        <x:v>012-6349125 | +60126349125 | 03-2610 6669</x:v>
      </x:c>
      <x:c r="G4666" s="16" t="str">
        <x:v>+60126349125 | +60126349125 | +60326106669</x:v>
      </x:c>
      <x:c r="H4666" s="16" t="str">
        <x:v>Eligible</x:v>
      </x:c>
      <x:c r="I4666" s="16" t="str"/>
    </x:row>
    <x:row r="4667">
      <x:c r="A4667" s="16" t="n">
        <x:v>4664</x:v>
      </x:c>
      <x:c r="B4667" s="16" t="str">
        <x:v>Mohd Zaki AGP</x:v>
      </x:c>
      <x:c r="C4667" s="16" t="str"/>
      <x:c r="D4667" s="16" t="str"/>
      <x:c r="E4667" s="16" t="str">
        <x:v>* myContacts</x:v>
      </x:c>
      <x:c r="F4667" s="16" t="str">
        <x:v>+60 12-391 1973 | +60123911973</x:v>
      </x:c>
      <x:c r="G4667" s="16" t="str">
        <x:v>+60123911973 | +60123911973</x:v>
      </x:c>
      <x:c r="H4667" s="16" t="str">
        <x:v>Excluded</x:v>
      </x:c>
      <x:c r="I4667" s="16" t="str">
        <x:v>Missing email</x:v>
      </x:c>
    </x:row>
    <x:row r="4668">
      <x:c r="A4668" s="16" t="n">
        <x:v>4665</x:v>
      </x:c>
      <x:c r="B4668" s="16" t="str">
        <x:v>Mohd Zaki Hassan</x:v>
      </x:c>
      <x:c r="C4668" s="16" t="str"/>
      <x:c r="D4668" s="16" t="str"/>
      <x:c r="E4668" s="16" t="str">
        <x:v>* myContacts</x:v>
      </x:c>
      <x:c r="F4668" s="16" t="str">
        <x:v>+60179362194</x:v>
      </x:c>
      <x:c r="G4668" s="16" t="str">
        <x:v>+60179362194</x:v>
      </x:c>
      <x:c r="H4668" s="16" t="str">
        <x:v>Excluded</x:v>
      </x:c>
      <x:c r="I4668" s="16" t="str">
        <x:v>Missing email</x:v>
      </x:c>
    </x:row>
    <x:row r="4669">
      <x:c r="A4669" s="16" t="n">
        <x:v>4666</x:v>
      </x:c>
      <x:c r="B4669" s="16" t="str">
        <x:v>Mohd Zuki Muhammad</x:v>
      </x:c>
      <x:c r="C4669" s="16" t="str"/>
      <x:c r="D4669" s="16" t="str"/>
      <x:c r="E4669" s="16" t="str">
        <x:v>* myContacts</x:v>
      </x:c>
      <x:c r="F4669" s="16" t="str">
        <x:v>+60194632253</x:v>
      </x:c>
      <x:c r="G4669" s="16" t="str">
        <x:v>+60194632253</x:v>
      </x:c>
      <x:c r="H4669" s="16" t="str">
        <x:v>Excluded</x:v>
      </x:c>
      <x:c r="I4669" s="16" t="str">
        <x:v>Missing email</x:v>
      </x:c>
    </x:row>
    <x:row r="4670">
      <x:c r="A4670" s="16" t="n">
        <x:v>4667</x:v>
      </x:c>
      <x:c r="B4670" s="16" t="str">
        <x:v>Mohd Zulazmi Agent AGP</x:v>
      </x:c>
      <x:c r="C4670" s="16" t="str"/>
      <x:c r="D4670" s="16" t="str"/>
      <x:c r="E4670" s="16" t="str">
        <x:v>* myContacts</x:v>
      </x:c>
      <x:c r="F4670" s="16" t="str">
        <x:v>011-1998 8869 | +601119988869</x:v>
      </x:c>
      <x:c r="G4670" s="16" t="str">
        <x:v>+601119988869 | +601119988869</x:v>
      </x:c>
      <x:c r="H4670" s="16" t="str">
        <x:v>Excluded</x:v>
      </x:c>
      <x:c r="I4670" s="16" t="str">
        <x:v>Missing email</x:v>
      </x:c>
    </x:row>
    <x:row r="4671">
      <x:c r="A4671" s="16" t="n">
        <x:v>4668</x:v>
      </x:c>
      <x:c r="B4671" s="16" t="str">
        <x:v>Mohd Zulbahari Zainal Abidin</x:v>
      </x:c>
      <x:c r="C4671" s="16" t="str"/>
      <x:c r="D4671" s="16" t="str"/>
      <x:c r="E4671" s="16" t="str">
        <x:v>* myContacts</x:v>
      </x:c>
      <x:c r="F4671" s="16" t="str">
        <x:v>+60179440706</x:v>
      </x:c>
      <x:c r="G4671" s="16" t="str">
        <x:v>+60179440706</x:v>
      </x:c>
      <x:c r="H4671" s="16" t="str">
        <x:v>Excluded</x:v>
      </x:c>
      <x:c r="I4671" s="16" t="str">
        <x:v>Missing email</x:v>
      </x:c>
    </x:row>
    <x:row r="4672">
      <x:c r="A4672" s="16" t="n">
        <x:v>4669</x:v>
      </x:c>
      <x:c r="B4672" s="16" t="str">
        <x:v>Mohd Zulhelmi</x:v>
      </x:c>
      <x:c r="C4672" s="16" t="str"/>
      <x:c r="D4672" s="16" t="str"/>
      <x:c r="E4672" s="16" t="str">
        <x:v>* myContacts</x:v>
      </x:c>
      <x:c r="F4672" s="16" t="str">
        <x:v>+60146006907</x:v>
      </x:c>
      <x:c r="G4672" s="16" t="str">
        <x:v>+60146006907</x:v>
      </x:c>
      <x:c r="H4672" s="16" t="str">
        <x:v>Excluded</x:v>
      </x:c>
      <x:c r="I4672" s="16" t="str">
        <x:v>Missing email</x:v>
      </x:c>
    </x:row>
    <x:row r="4673">
      <x:c r="A4673" s="16" t="n">
        <x:v>4670</x:v>
      </x:c>
      <x:c r="B4673" s="16" t="str">
        <x:v>Mohdfais Mohdfais</x:v>
      </x:c>
      <x:c r="C4673" s="16" t="str"/>
      <x:c r="D4673" s="16" t="str"/>
      <x:c r="E4673" s="16" t="str">
        <x:v>* myContacts</x:v>
      </x:c>
      <x:c r="F4673" s="16" t="str">
        <x:v>+60199283853</x:v>
      </x:c>
      <x:c r="G4673" s="16" t="str">
        <x:v>+60199283853</x:v>
      </x:c>
      <x:c r="H4673" s="16" t="str">
        <x:v>Excluded</x:v>
      </x:c>
      <x:c r="I4673" s="16" t="str">
        <x:v>Missing email</x:v>
      </x:c>
    </x:row>
    <x:row r="4674">
      <x:c r="A4674" s="16" t="n">
        <x:v>4671</x:v>
      </x:c>
      <x:c r="B4674" s="16" t="str">
        <x:v>MohdHasrul Ahmad Chako</x:v>
      </x:c>
      <x:c r="C4674" s="16" t="str"/>
      <x:c r="D4674" s="16" t="str"/>
      <x:c r="E4674" s="16" t="str">
        <x:v>* myContacts</x:v>
      </x:c>
      <x:c r="F4674" s="16" t="str">
        <x:v>+60183774632</x:v>
      </x:c>
      <x:c r="G4674" s="16" t="str">
        <x:v>+60183774632</x:v>
      </x:c>
      <x:c r="H4674" s="16" t="str">
        <x:v>Excluded</x:v>
      </x:c>
      <x:c r="I4674" s="16" t="str">
        <x:v>Missing email</x:v>
      </x:c>
    </x:row>
    <x:row r="4675">
      <x:c r="A4675" s="16" t="n">
        <x:v>4672</x:v>
      </x:c>
      <x:c r="B4675" s="16" t="str">
        <x:v>Mohdkurdin Lasanta</x:v>
      </x:c>
      <x:c r="C4675" s="16" t="str"/>
      <x:c r="D4675" s="16" t="str"/>
      <x:c r="E4675" s="16" t="str">
        <x:v>* myContacts</x:v>
      </x:c>
      <x:c r="F4675" s="16" t="str">
        <x:v>+60165866437</x:v>
      </x:c>
      <x:c r="G4675" s="16" t="str">
        <x:v>+60165866437</x:v>
      </x:c>
      <x:c r="H4675" s="16" t="str">
        <x:v>Excluded</x:v>
      </x:c>
      <x:c r="I4675" s="16" t="str">
        <x:v>Missing email</x:v>
      </x:c>
    </x:row>
    <x:row r="4676">
      <x:c r="A4676" s="16" t="n">
        <x:v>4673</x:v>
      </x:c>
      <x:c r="B4676" s="16" t="str">
        <x:v>Mohdridzuan Wan</x:v>
      </x:c>
      <x:c r="C4676" s="16" t="str"/>
      <x:c r="D4676" s="16" t="str"/>
      <x:c r="E4676" s="16" t="str">
        <x:v>* myContacts</x:v>
      </x:c>
      <x:c r="F4676" s="16" t="str">
        <x:v>+60123456752</x:v>
      </x:c>
      <x:c r="G4676" s="16" t="str">
        <x:v>+60123456752</x:v>
      </x:c>
      <x:c r="H4676" s="16" t="str">
        <x:v>Excluded</x:v>
      </x:c>
      <x:c r="I4676" s="16" t="str">
        <x:v>Missing email</x:v>
      </x:c>
    </x:row>
    <x:row r="4677">
      <x:c r="A4677" s="16" t="n">
        <x:v>4674</x:v>
      </x:c>
      <x:c r="B4677" s="16" t="str">
        <x:v>MohdSabri Zaidin</x:v>
      </x:c>
      <x:c r="C4677" s="16" t="str"/>
      <x:c r="D4677" s="16" t="str"/>
      <x:c r="E4677" s="16" t="str">
        <x:v>* myContacts</x:v>
      </x:c>
      <x:c r="F4677" s="16" t="str">
        <x:v>+60193423450</x:v>
      </x:c>
      <x:c r="G4677" s="16" t="str">
        <x:v>+60193423450</x:v>
      </x:c>
      <x:c r="H4677" s="16" t="str">
        <x:v>Excluded</x:v>
      </x:c>
      <x:c r="I4677" s="16" t="str">
        <x:v>Missing email</x:v>
      </x:c>
    </x:row>
    <x:row r="4678">
      <x:c r="A4678" s="16" t="n">
        <x:v>4675</x:v>
      </x:c>
      <x:c r="B4678" s="16" t="str">
        <x:v>MohdZulkifli Ismail</x:v>
      </x:c>
      <x:c r="C4678" s="16" t="str"/>
      <x:c r="D4678" s="16" t="str"/>
      <x:c r="E4678" s="16" t="str">
        <x:v>* myContacts</x:v>
      </x:c>
      <x:c r="F4678" s="16" t="str">
        <x:v>+60195583002</x:v>
      </x:c>
      <x:c r="G4678" s="16" t="str">
        <x:v>+60195583002</x:v>
      </x:c>
      <x:c r="H4678" s="16" t="str">
        <x:v>Excluded</x:v>
      </x:c>
      <x:c r="I4678" s="16" t="str">
        <x:v>Missing email</x:v>
      </x:c>
    </x:row>
    <x:row r="4679">
      <x:c r="A4679" s="16" t="n">
        <x:v>4676</x:v>
      </x:c>
      <x:c r="B4679" s="16" t="str">
        <x:v>Mohsain Badron</x:v>
      </x:c>
      <x:c r="C4679" s="16" t="str"/>
      <x:c r="D4679" s="16" t="str"/>
      <x:c r="E4679" s="16" t="str">
        <x:v>* myContacts</x:v>
      </x:c>
      <x:c r="F4679" s="16" t="str">
        <x:v>+6598456844</x:v>
      </x:c>
      <x:c r="G4679" s="16" t="str">
        <x:v>+6598456844</x:v>
      </x:c>
      <x:c r="H4679" s="16" t="str">
        <x:v>Excluded</x:v>
      </x:c>
      <x:c r="I4679" s="16" t="str">
        <x:v>Missing email</x:v>
      </x:c>
    </x:row>
    <x:row r="4680">
      <x:c r="A4680" s="16" t="n">
        <x:v>4677</x:v>
      </x:c>
      <x:c r="B4680" s="16" t="str">
        <x:v>Mohsien AGP</x:v>
      </x:c>
      <x:c r="C4680" s="16" t="str"/>
      <x:c r="D4680" s="16" t="str"/>
      <x:c r="E4680" s="16" t="str">
        <x:v>* myContacts</x:v>
      </x:c>
      <x:c r="F4680" s="16" t="str">
        <x:v>+601123374697</x:v>
      </x:c>
      <x:c r="G4680" s="16" t="str">
        <x:v>+601123374697</x:v>
      </x:c>
      <x:c r="H4680" s="16" t="str">
        <x:v>Excluded</x:v>
      </x:c>
      <x:c r="I4680" s="16" t="str">
        <x:v>Missing email</x:v>
      </x:c>
    </x:row>
    <x:row r="4681">
      <x:c r="A4681" s="16" t="n">
        <x:v>4678</x:v>
      </x:c>
      <x:c r="B4681" s="16" t="str">
        <x:v>mohsien dpim</x:v>
      </x:c>
      <x:c r="C4681" s="16" t="str"/>
      <x:c r="D4681" s="16" t="str"/>
      <x:c r="E4681" s="16" t="str">
        <x:v>* myContacts</x:v>
      </x:c>
      <x:c r="F4681" s="16" t="str">
        <x:v>+60 19-411 4666 | +60194114666</x:v>
      </x:c>
      <x:c r="G4681" s="16" t="str">
        <x:v>+60194114666 | +60194114666</x:v>
      </x:c>
      <x:c r="H4681" s="16" t="str">
        <x:v>Excluded</x:v>
      </x:c>
      <x:c r="I4681" s="16" t="str">
        <x:v>Missing email</x:v>
      </x:c>
    </x:row>
    <x:row r="4682">
      <x:c r="A4682" s="16" t="n">
        <x:v>4679</x:v>
      </x:c>
      <x:c r="B4682" s="16" t="str">
        <x:v>Mohsin Chalet</x:v>
      </x:c>
      <x:c r="C4682" s="16" t="str"/>
      <x:c r="D4682" s="16" t="str"/>
      <x:c r="E4682" s="16" t="str">
        <x:v>* myContacts</x:v>
      </x:c>
      <x:c r="F4682" s="16" t="str">
        <x:v>+6096911363</x:v>
      </x:c>
      <x:c r="G4682" s="16" t="str">
        <x:v>+6096911363</x:v>
      </x:c>
      <x:c r="H4682" s="16" t="str">
        <x:v>Excluded</x:v>
      </x:c>
      <x:c r="I4682" s="16" t="str">
        <x:v>Missing email</x:v>
      </x:c>
    </x:row>
    <x:row r="4683">
      <x:c r="A4683" s="16" t="n">
        <x:v>4680</x:v>
      </x:c>
      <x:c r="B4683" s="16" t="str">
        <x:v>Mohsin Gastrik Agp Ampang</x:v>
      </x:c>
      <x:c r="C4683" s="16" t="str"/>
      <x:c r="D4683" s="16" t="str"/>
      <x:c r="E4683" s="16" t="str">
        <x:v>* myContacts</x:v>
      </x:c>
      <x:c r="F4683" s="16" t="str">
        <x:v>+60 12-357 1107 | +60123571107</x:v>
      </x:c>
      <x:c r="G4683" s="16" t="str">
        <x:v>+60123571107 | +60123571107</x:v>
      </x:c>
      <x:c r="H4683" s="16" t="str">
        <x:v>Excluded</x:v>
      </x:c>
      <x:c r="I4683" s="16" t="str">
        <x:v>Missing email</x:v>
      </x:c>
    </x:row>
    <x:row r="4684">
      <x:c r="A4684" s="16" t="n">
        <x:v>4681</x:v>
      </x:c>
      <x:c r="B4684" s="16" t="str">
        <x:v>Mohsin Pakar Copywriting</x:v>
      </x:c>
      <x:c r="C4684" s="16" t="str"/>
      <x:c r="D4684" s="16" t="str"/>
      <x:c r="E4684" s="16" t="str">
        <x:v>* myContacts</x:v>
      </x:c>
      <x:c r="F4684" s="16" t="str">
        <x:v>+60 13-250 1230 | +60132501230</x:v>
      </x:c>
      <x:c r="G4684" s="16" t="str">
        <x:v>+60132501230 | +60132501230</x:v>
      </x:c>
      <x:c r="H4684" s="16" t="str">
        <x:v>Excluded</x:v>
      </x:c>
      <x:c r="I4684" s="16" t="str">
        <x:v>Missing email</x:v>
      </x:c>
    </x:row>
    <x:row r="4685">
      <x:c r="A4685" s="16" t="n">
        <x:v>4682</x:v>
      </x:c>
      <x:c r="B4685" s="16" t="str">
        <x:v>Mokhlis Rahman mdec IM (MOQ)</x:v>
      </x:c>
      <x:c r="C4685" s="16" t="str"/>
      <x:c r="D4685" s="16" t="str"/>
      <x:c r="E4685" s="16" t="str">
        <x:v>* myContacts</x:v>
      </x:c>
      <x:c r="F4685" s="16" t="str">
        <x:v>+60168199986</x:v>
      </x:c>
      <x:c r="G4685" s="16" t="str">
        <x:v>+60168199986</x:v>
      </x:c>
      <x:c r="H4685" s="16" t="str">
        <x:v>Excluded</x:v>
      </x:c>
      <x:c r="I4685" s="16" t="str">
        <x:v>Missing email</x:v>
      </x:c>
    </x:row>
    <x:row r="4686">
      <x:c r="A4686" s="16" t="n">
        <x:v>4683</x:v>
      </x:c>
      <x:c r="B4686" s="16" t="str">
        <x:v>Mokhtar Bakri AGP</x:v>
      </x:c>
      <x:c r="C4686" s="16" t="str"/>
      <x:c r="D4686" s="16" t="str"/>
      <x:c r="E4686" s="16" t="str">
        <x:v>* myContacts</x:v>
      </x:c>
      <x:c r="F4686" s="16" t="str">
        <x:v>+60 19-246 5861 | +60192465861</x:v>
      </x:c>
      <x:c r="G4686" s="16" t="str">
        <x:v>+60192465861 | +60192465861</x:v>
      </x:c>
      <x:c r="H4686" s="16" t="str">
        <x:v>Excluded</x:v>
      </x:c>
      <x:c r="I4686" s="16" t="str">
        <x:v>Missing email</x:v>
      </x:c>
    </x:row>
    <x:row r="4687">
      <x:c r="A4687" s="16" t="n">
        <x:v>4684</x:v>
      </x:c>
      <x:c r="B4687" s="16" t="str">
        <x:v>Mokhtar Ruddin PPMM</x:v>
      </x:c>
      <x:c r="C4687" s="16" t="str"/>
      <x:c r="D4687" s="16" t="str"/>
      <x:c r="E4687" s="16" t="str">
        <x:v>* myContacts</x:v>
      </x:c>
      <x:c r="F4687" s="16" t="str">
        <x:v>+60 13-337 9908 | +60133379908</x:v>
      </x:c>
      <x:c r="G4687" s="16" t="str">
        <x:v>+60133379908 | +60133379908</x:v>
      </x:c>
      <x:c r="H4687" s="16" t="str">
        <x:v>Excluded</x:v>
      </x:c>
      <x:c r="I4687" s="16" t="str">
        <x:v>Missing email</x:v>
      </x:c>
    </x:row>
    <x:row r="4688">
      <x:c r="A4688" s="16" t="n">
        <x:v>4685</x:v>
      </x:c>
      <x:c r="B4688" s="16" t="str">
        <x:v>Molek Molekii</x:v>
      </x:c>
      <x:c r="C4688" s="16" t="str"/>
      <x:c r="D4688" s="16" t="str"/>
      <x:c r="E4688" s="16" t="str">
        <x:v>* myContacts</x:v>
      </x:c>
      <x:c r="F4688" s="16" t="str">
        <x:v>+60137718149</x:v>
      </x:c>
      <x:c r="G4688" s="16" t="str">
        <x:v>+60137718149</x:v>
      </x:c>
      <x:c r="H4688" s="16" t="str">
        <x:v>Excluded</x:v>
      </x:c>
      <x:c r="I4688" s="16" t="str">
        <x:v>Missing email</x:v>
      </x:c>
    </x:row>
    <x:row r="4689">
      <x:c r="A4689" s="16" t="n">
        <x:v>4686</x:v>
      </x:c>
      <x:c r="B4689" s="16" t="str">
        <x:v>Moly Moly</x:v>
      </x:c>
      <x:c r="C4689" s="16" t="str"/>
      <x:c r="D4689" s="16" t="str"/>
      <x:c r="E4689" s="16" t="str">
        <x:v>* myContacts</x:v>
      </x:c>
      <x:c r="F4689" s="16" t="str">
        <x:v>+60169419202</x:v>
      </x:c>
      <x:c r="G4689" s="16" t="str">
        <x:v>+60169419202</x:v>
      </x:c>
      <x:c r="H4689" s="16" t="str">
        <x:v>Excluded</x:v>
      </x:c>
      <x:c r="I4689" s="16" t="str">
        <x:v>Missing email</x:v>
      </x:c>
    </x:row>
    <x:row r="4690">
      <x:c r="A4690" s="16" t="n">
        <x:v>4687</x:v>
      </x:c>
      <x:c r="B4690" s="16" t="str">
        <x:v>Mona Mahadi</x:v>
      </x:c>
      <x:c r="C4690" s="16" t="str"/>
      <x:c r="D4690" s="16" t="str"/>
      <x:c r="E4690" s="16" t="str">
        <x:v>* myContacts</x:v>
      </x:c>
      <x:c r="F4690" s="16" t="str">
        <x:v>+60 13-208 8130</x:v>
      </x:c>
      <x:c r="G4690" s="16" t="str">
        <x:v>+60132088130</x:v>
      </x:c>
      <x:c r="H4690" s="16" t="str">
        <x:v>Excluded</x:v>
      </x:c>
      <x:c r="I4690" s="16" t="str">
        <x:v>Missing email</x:v>
      </x:c>
    </x:row>
    <x:row r="4691">
      <x:c r="A4691" s="16" t="n">
        <x:v>4688</x:v>
      </x:c>
      <x:c r="B4691" s="16" t="str">
        <x:v>Mona Veronica</x:v>
      </x:c>
      <x:c r="C4691" s="16" t="str"/>
      <x:c r="D4691" s="16" t="str"/>
      <x:c r="E4691" s="16" t="str">
        <x:v>* myContacts</x:v>
      </x:c>
      <x:c r="F4691" s="16" t="str">
        <x:v>+60196565733</x:v>
      </x:c>
      <x:c r="G4691" s="16" t="str">
        <x:v>+60196565733</x:v>
      </x:c>
      <x:c r="H4691" s="16" t="str">
        <x:v>Excluded</x:v>
      </x:c>
      <x:c r="I4691" s="16" t="str">
        <x:v>Missing email</x:v>
      </x:c>
    </x:row>
    <x:row r="4692">
      <x:c r="A4692" s="16" t="n">
        <x:v>4689</x:v>
      </x:c>
      <x:c r="B4692" s="16" t="str">
        <x:v>Mosses Bob</x:v>
      </x:c>
      <x:c r="C4692" s="16" t="str"/>
      <x:c r="D4692" s="16" t="str"/>
      <x:c r="E4692" s="16" t="str">
        <x:v>* myContacts</x:v>
      </x:c>
      <x:c r="F4692" s="16" t="str">
        <x:v>+601126529365</x:v>
      </x:c>
      <x:c r="G4692" s="16" t="str">
        <x:v>+601126529365</x:v>
      </x:c>
      <x:c r="H4692" s="16" t="str">
        <x:v>Excluded</x:v>
      </x:c>
      <x:c r="I4692" s="16" t="str">
        <x:v>Missing email</x:v>
      </x:c>
    </x:row>
    <x:row r="4693">
      <x:c r="A4693" s="16" t="n">
        <x:v>4690</x:v>
      </x:c>
      <x:c r="B4693" s="16" t="str">
        <x:v>Moylin Linda</x:v>
      </x:c>
      <x:c r="C4693" s="16" t="str"/>
      <x:c r="D4693" s="16" t="str"/>
      <x:c r="E4693" s="16" t="str">
        <x:v>* myContacts</x:v>
      </x:c>
      <x:c r="F4693" s="16" t="str">
        <x:v>+60178378234</x:v>
      </x:c>
      <x:c r="G4693" s="16" t="str">
        <x:v>+60178378234</x:v>
      </x:c>
      <x:c r="H4693" s="16" t="str">
        <x:v>Excluded</x:v>
      </x:c>
      <x:c r="I4693" s="16" t="str">
        <x:v>Missing email</x:v>
      </x:c>
    </x:row>
    <x:row r="4694">
      <x:c r="A4694" s="16" t="n">
        <x:v>4691</x:v>
      </x:c>
      <x:c r="B4694" s="16" t="str">
        <x:v>Mozammir Rosli</x:v>
      </x:c>
      <x:c r="C4694" s="16" t="str"/>
      <x:c r="D4694" s="16" t="str"/>
      <x:c r="E4694" s="16" t="str">
        <x:v>* myContacts</x:v>
      </x:c>
      <x:c r="F4694" s="16" t="str">
        <x:v>+60197544250</x:v>
      </x:c>
      <x:c r="G4694" s="16" t="str">
        <x:v>+60197544250</x:v>
      </x:c>
      <x:c r="H4694" s="16" t="str">
        <x:v>Excluded</x:v>
      </x:c>
      <x:c r="I4694" s="16" t="str">
        <x:v>Missing email</x:v>
      </x:c>
    </x:row>
    <x:row r="4695">
      <x:c r="A4695" s="16" t="n">
        <x:v>4692</x:v>
      </x:c>
      <x:c r="B4695" s="16" t="str">
        <x:v>Mr andrew</x:v>
      </x:c>
      <x:c r="C4695" s="16" t="str"/>
      <x:c r="D4695" s="16" t="str"/>
      <x:c r="E4695" s="16" t="str">
        <x:v>* myContacts</x:v>
      </x:c>
      <x:c r="F4695" s="16" t="str">
        <x:v>60123749190 | +60123749190</x:v>
      </x:c>
      <x:c r="G4695" s="16" t="str">
        <x:v>+60123749190 | +60123749190</x:v>
      </x:c>
      <x:c r="H4695" s="16" t="str">
        <x:v>Excluded</x:v>
      </x:c>
      <x:c r="I4695" s="16" t="str">
        <x:v>Missing email</x:v>
      </x:c>
    </x:row>
    <x:row r="4696">
      <x:c r="A4696" s="16" t="n">
        <x:v>4693</x:v>
      </x:c>
      <x:c r="B4696" s="16" t="str">
        <x:v>Mr Haniff Dpim Putrajaya</x:v>
      </x:c>
      <x:c r="C4696" s="16" t="str"/>
      <x:c r="D4696" s="16" t="str"/>
      <x:c r="E4696" s="16" t="str">
        <x:v>* myContacts</x:v>
      </x:c>
      <x:c r="F4696" s="16" t="str">
        <x:v>+60 19-344 0009 | +60193440009</x:v>
      </x:c>
      <x:c r="G4696" s="16" t="str">
        <x:v>+60193440009 | +60193440009</x:v>
      </x:c>
      <x:c r="H4696" s="16" t="str">
        <x:v>Excluded</x:v>
      </x:c>
      <x:c r="I4696" s="16" t="str">
        <x:v>Missing email</x:v>
      </x:c>
    </x:row>
    <x:row r="4697">
      <x:c r="A4697" s="16" t="n">
        <x:v>4694</x:v>
      </x:c>
      <x:c r="B4697" s="16" t="str">
        <x:v>Mr Khairil Consultant Expert</x:v>
      </x:c>
      <x:c r="C4697" s="16" t="str"/>
      <x:c r="D4697" s="16" t="str"/>
      <x:c r="E4697" s="16" t="str">
        <x:v>* myContacts</x:v>
      </x:c>
      <x:c r="F4697" s="16" t="str">
        <x:v>+60 18-398 1657 | +60183981657</x:v>
      </x:c>
      <x:c r="G4697" s="16" t="str">
        <x:v>+60183981657 | +60183981657</x:v>
      </x:c>
      <x:c r="H4697" s="16" t="str">
        <x:v>Excluded</x:v>
      </x:c>
      <x:c r="I4697" s="16" t="str">
        <x:v>Missing email</x:v>
      </x:c>
    </x:row>
    <x:row r="4698">
      <x:c r="A4698" s="16" t="n">
        <x:v>4695</x:v>
      </x:c>
      <x:c r="B4698" s="16" t="str">
        <x:v>Mr Lim Fingo Introducer</x:v>
      </x:c>
      <x:c r="C4698" s="16" t="str"/>
      <x:c r="D4698" s="16" t="str"/>
      <x:c r="E4698" s="16" t="str">
        <x:v>* myContacts</x:v>
      </x:c>
      <x:c r="F4698" s="16" t="str">
        <x:v>+60 16-221 9968 | +60162219968</x:v>
      </x:c>
      <x:c r="G4698" s="16" t="str">
        <x:v>+60162219968 | +60162219968</x:v>
      </x:c>
      <x:c r="H4698" s="16" t="str">
        <x:v>Excluded</x:v>
      </x:c>
      <x:c r="I4698" s="16" t="str">
        <x:v>Missing email</x:v>
      </x:c>
    </x:row>
    <x:row r="4699">
      <x:c r="A4699" s="16" t="n">
        <x:v>4696</x:v>
      </x:c>
      <x:c r="B4699" s="16" t="str">
        <x:v>Mr Loh Jun</x:v>
      </x:c>
      <x:c r="C4699" s="16" t="str"/>
      <x:c r="D4699" s="16" t="str"/>
      <x:c r="E4699" s="16" t="str">
        <x:v>* myContacts</x:v>
      </x:c>
      <x:c r="F4699" s="16" t="str">
        <x:v>+60192256605</x:v>
      </x:c>
      <x:c r="G4699" s="16" t="str">
        <x:v>+60192256605</x:v>
      </x:c>
      <x:c r="H4699" s="16" t="str">
        <x:v>Excluded</x:v>
      </x:c>
      <x:c r="I4699" s="16" t="str">
        <x:v>Missing email</x:v>
      </x:c>
    </x:row>
    <x:row r="4700">
      <x:c r="A4700" s="16" t="n">
        <x:v>4697</x:v>
      </x:c>
      <x:c r="B4700" s="16" t="str">
        <x:v>Mr Sam Technician Hotel Crown Crystal</x:v>
      </x:c>
      <x:c r="C4700" s="16" t="str"/>
      <x:c r="D4700" s="16" t="str"/>
      <x:c r="E4700" s="16" t="str">
        <x:v>* myContacts</x:v>
      </x:c>
      <x:c r="F4700" s="16" t="str">
        <x:v>016-339 9156 | +60163399156</x:v>
      </x:c>
      <x:c r="G4700" s="16" t="str">
        <x:v>+60163399156 | +60163399156</x:v>
      </x:c>
      <x:c r="H4700" s="16" t="str">
        <x:v>Excluded</x:v>
      </x:c>
      <x:c r="I4700" s="16" t="str">
        <x:v>Missing email</x:v>
      </x:c>
    </x:row>
    <x:row r="4701">
      <x:c r="A4701" s="16" t="n">
        <x:v>4698</x:v>
      </x:c>
      <x:c r="B4701" s="16" t="str">
        <x:v>Mr Sato Food Marketing</x:v>
      </x:c>
      <x:c r="C4701" s="16" t="str"/>
      <x:c r="D4701" s="16" t="str"/>
      <x:c r="E4701" s="16" t="str">
        <x:v>* myContacts</x:v>
      </x:c>
      <x:c r="F4701" s="16" t="str">
        <x:v>+60 18-385 2813 | +60183852813</x:v>
      </x:c>
      <x:c r="G4701" s="16" t="str">
        <x:v>+60183852813 | +60183852813</x:v>
      </x:c>
      <x:c r="H4701" s="16" t="str">
        <x:v>Excluded</x:v>
      </x:c>
      <x:c r="I4701" s="16" t="str">
        <x:v>Missing email</x:v>
      </x:c>
    </x:row>
    <x:row r="4702">
      <x:c r="A4702" s="16" t="n">
        <x:v>4699</x:v>
      </x:c>
      <x:c r="B4702" s="16" t="str">
        <x:v>Mr Wong Tauke Perfume</x:v>
      </x:c>
      <x:c r="C4702" s="16" t="str"/>
      <x:c r="D4702" s="16" t="str"/>
      <x:c r="E4702" s="16" t="str">
        <x:v>* myContacts</x:v>
      </x:c>
      <x:c r="F4702" s="16" t="str">
        <x:v>+60 12-387 9183 | +60123879183</x:v>
      </x:c>
      <x:c r="G4702" s="16" t="str">
        <x:v>+60123879183 | +60123879183</x:v>
      </x:c>
      <x:c r="H4702" s="16" t="str">
        <x:v>Excluded</x:v>
      </x:c>
      <x:c r="I4702" s="16" t="str">
        <x:v>Missing email</x:v>
      </x:c>
    </x:row>
    <x:row r="4703">
      <x:c r="A4703" s="16" t="n">
        <x:v>4700</x:v>
      </x:c>
      <x:c r="B4703" s="16" t="str">
        <x:v>Mrchow Agent</x:v>
      </x:c>
      <x:c r="C4703" s="16" t="str"/>
      <x:c r="D4703" s="16" t="str"/>
      <x:c r="E4703" s="16" t="str">
        <x:v>* myContacts</x:v>
      </x:c>
      <x:c r="F4703" s="16" t="str">
        <x:v>+60122092120</x:v>
      </x:c>
      <x:c r="G4703" s="16" t="str">
        <x:v>+60122092120</x:v>
      </x:c>
      <x:c r="H4703" s="16" t="str">
        <x:v>Excluded</x:v>
      </x:c>
      <x:c r="I4703" s="16" t="str">
        <x:v>Missing email</x:v>
      </x:c>
    </x:row>
    <x:row r="4704">
      <x:c r="A4704" s="16" t="n">
        <x:v>4701</x:v>
      </x:c>
      <x:c r="B4704" s="16" t="str">
        <x:v>MrHan Jb</x:v>
      </x:c>
      <x:c r="C4704" s="16" t="str"/>
      <x:c r="D4704" s="16" t="str"/>
      <x:c r="E4704" s="16" t="str">
        <x:v>* myContacts</x:v>
      </x:c>
      <x:c r="F4704" s="16" t="str">
        <x:v>+601110632207</x:v>
      </x:c>
      <x:c r="G4704" s="16" t="str">
        <x:v>+601110632207</x:v>
      </x:c>
      <x:c r="H4704" s="16" t="str">
        <x:v>Excluded</x:v>
      </x:c>
      <x:c r="I4704" s="16" t="str">
        <x:v>Missing email</x:v>
      </x:c>
    </x:row>
    <x:row r="4705">
      <x:c r="A4705" s="16" t="n">
        <x:v>4702</x:v>
      </x:c>
      <x:c r="B4705" s="16" t="str">
        <x:v>Mrizal Hj Azmi</x:v>
      </x:c>
      <x:c r="C4705" s="16" t="str"/>
      <x:c r="D4705" s="16" t="str"/>
      <x:c r="E4705" s="16" t="str">
        <x:v>* myContacts</x:v>
      </x:c>
      <x:c r="F4705" s="16" t="str">
        <x:v>+60173592545</x:v>
      </x:c>
      <x:c r="G4705" s="16" t="str">
        <x:v>+60173592545</x:v>
      </x:c>
      <x:c r="H4705" s="16" t="str">
        <x:v>Excluded</x:v>
      </x:c>
      <x:c r="I4705" s="16" t="str">
        <x:v>Missing email</x:v>
      </x:c>
    </x:row>
    <x:row r="4706">
      <x:c r="A4706" s="16" t="n">
        <x:v>4703</x:v>
      </x:c>
      <x:c r="B4706" s="16" t="str">
        <x:v>Mrshoney Rahayu Hashim</x:v>
      </x:c>
      <x:c r="C4706" s="16" t="str"/>
      <x:c r="D4706" s="16" t="str"/>
      <x:c r="E4706" s="16" t="str">
        <x:v>* myContacts</x:v>
      </x:c>
      <x:c r="F4706" s="16" t="str">
        <x:v>+60172738874</x:v>
      </x:c>
      <x:c r="G4706" s="16" t="str">
        <x:v>+60172738874</x:v>
      </x:c>
      <x:c r="H4706" s="16" t="str">
        <x:v>Excluded</x:v>
      </x:c>
      <x:c r="I4706" s="16" t="str">
        <x:v>Missing email</x:v>
      </x:c>
    </x:row>
    <x:row r="4707">
      <x:c r="A4707" s="16" t="n">
        <x:v>4704</x:v>
      </x:c>
      <x:c r="B4707" s="16" t="str">
        <x:v>Ms T</x:v>
      </x:c>
      <x:c r="C4707" s="16" t="str"/>
      <x:c r="D4707" s="16" t="str"/>
      <x:c r="E4707" s="16" t="str">
        <x:v>* myContacts</x:v>
      </x:c>
      <x:c r="F4707" s="16" t="str">
        <x:v>+60 12-634 8613 | +60126348613</x:v>
      </x:c>
      <x:c r="G4707" s="16" t="str">
        <x:v>+60126348613 | +60126348613</x:v>
      </x:c>
      <x:c r="H4707" s="16" t="str">
        <x:v>Excluded</x:v>
      </x:c>
      <x:c r="I4707" s="16" t="str">
        <x:v>Missing email</x:v>
      </x:c>
    </x:row>
    <x:row r="4708">
      <x:c r="A4708" s="16" t="n">
        <x:v>4705</x:v>
      </x:c>
      <x:c r="B4708" s="16" t="str">
        <x:v>MsNicks Ima</x:v>
      </x:c>
      <x:c r="C4708" s="16" t="str"/>
      <x:c r="D4708" s="16" t="str"/>
      <x:c r="E4708" s="16" t="str">
        <x:v>* myContacts</x:v>
      </x:c>
      <x:c r="F4708" s="16" t="str">
        <x:v>+60126210399</x:v>
      </x:c>
      <x:c r="G4708" s="16" t="str">
        <x:v>+60126210399</x:v>
      </x:c>
      <x:c r="H4708" s="16" t="str">
        <x:v>Excluded</x:v>
      </x:c>
      <x:c r="I4708" s="16" t="str">
        <x:v>Missing email</x:v>
      </x:c>
    </x:row>
    <x:row r="4709">
      <x:c r="A4709" s="16" t="n">
        <x:v>4706</x:v>
      </x:c>
      <x:c r="B4709" s="16" t="str">
        <x:v>Msr Transport</x:v>
      </x:c>
      <x:c r="C4709" s="16" t="str"/>
      <x:c r="D4709" s="16" t="str"/>
      <x:c r="E4709" s="16" t="str">
        <x:v>* myContacts</x:v>
      </x:c>
      <x:c r="F4709" s="16" t="str">
        <x:v>+60194281108</x:v>
      </x:c>
      <x:c r="G4709" s="16" t="str">
        <x:v>+60194281108</x:v>
      </x:c>
      <x:c r="H4709" s="16" t="str">
        <x:v>Excluded</x:v>
      </x:c>
      <x:c r="I4709" s="16" t="str">
        <x:v>Missing email</x:v>
      </x:c>
    </x:row>
    <x:row r="4710">
      <x:c r="A4710" s="16" t="n">
        <x:v>4707</x:v>
      </x:c>
      <x:c r="B4710" s="16" t="str">
        <x:v>Mua Lea Benyamins</x:v>
      </x:c>
      <x:c r="C4710" s="16" t="str"/>
      <x:c r="D4710" s="16" t="str"/>
      <x:c r="E4710" s="16" t="str">
        <x:v>* myContacts</x:v>
      </x:c>
      <x:c r="F4710" s="16" t="str">
        <x:v>+60174963626</x:v>
      </x:c>
      <x:c r="G4710" s="16" t="str">
        <x:v>+60174963626</x:v>
      </x:c>
      <x:c r="H4710" s="16" t="str">
        <x:v>Excluded</x:v>
      </x:c>
      <x:c r="I4710" s="16" t="str">
        <x:v>Missing email</x:v>
      </x:c>
    </x:row>
    <x:row r="4711">
      <x:c r="A4711" s="16" t="n">
        <x:v>4708</x:v>
      </x:c>
      <x:c r="B4711" s="16" t="str">
        <x:v>Muammar Rich Mat Isa</x:v>
      </x:c>
      <x:c r="C4711" s="16" t="str"/>
      <x:c r="D4711" s="16" t="str"/>
      <x:c r="E4711" s="16" t="str">
        <x:v>* myContacts</x:v>
      </x:c>
      <x:c r="F4711" s="16" t="str">
        <x:v>+60174687248</x:v>
      </x:c>
      <x:c r="G4711" s="16" t="str">
        <x:v>+60174687248</x:v>
      </x:c>
      <x:c r="H4711" s="16" t="str">
        <x:v>Excluded</x:v>
      </x:c>
      <x:c r="I4711" s="16" t="str">
        <x:v>Missing email</x:v>
      </x:c>
    </x:row>
    <x:row r="4712">
      <x:c r="A4712" s="16" t="n">
        <x:v>4709</x:v>
      </x:c>
      <x:c r="B4712" s="16" t="str">
        <x:v>muaz anak pak anjang</x:v>
      </x:c>
      <x:c r="C4712" s="16" t="str"/>
      <x:c r="D4712" s="16" t="str"/>
      <x:c r="E4712" s="16" t="str">
        <x:v>* myContacts</x:v>
      </x:c>
      <x:c r="F4712" s="16" t="str">
        <x:v>0137931470 | +60137931470</x:v>
      </x:c>
      <x:c r="G4712" s="16" t="str">
        <x:v>+60137931470 | +60137931470</x:v>
      </x:c>
      <x:c r="H4712" s="16" t="str">
        <x:v>Excluded</x:v>
      </x:c>
      <x:c r="I4712" s="16" t="str">
        <x:v>Missing email</x:v>
      </x:c>
    </x:row>
    <x:row r="4713">
      <x:c r="A4713" s="16" t="n">
        <x:v>4710</x:v>
      </x:c>
      <x:c r="B4713" s="16" t="str">
        <x:v>Muaz Bda</x:v>
      </x:c>
      <x:c r="C4713" s="16" t="str"/>
      <x:c r="D4713" s="16" t="str"/>
      <x:c r="E4713" s="16" t="str">
        <x:v>* myContacts</x:v>
      </x:c>
      <x:c r="F4713" s="16" t="str">
        <x:v>+60 12-215 9601 | +60122159601</x:v>
      </x:c>
      <x:c r="G4713" s="16" t="str">
        <x:v>+60122159601 | +60122159601</x:v>
      </x:c>
      <x:c r="H4713" s="16" t="str">
        <x:v>Excluded</x:v>
      </x:c>
      <x:c r="I4713" s="16" t="str">
        <x:v>Missing email</x:v>
      </x:c>
    </x:row>
    <x:row r="4714">
      <x:c r="A4714" s="16" t="n">
        <x:v>4711</x:v>
      </x:c>
      <x:c r="B4714" s="16" t="str">
        <x:v>Muaz Edufusion</x:v>
      </x:c>
      <x:c r="C4714" s="16" t="str"/>
      <x:c r="D4714" s="16" t="str"/>
      <x:c r="E4714" s="16" t="str">
        <x:v>* myContacts</x:v>
      </x:c>
      <x:c r="F4714" s="16" t="str">
        <x:v>+60 18-984 4740 | +60189844740</x:v>
      </x:c>
      <x:c r="G4714" s="16" t="str">
        <x:v>+60189844740 | +60189844740</x:v>
      </x:c>
      <x:c r="H4714" s="16" t="str">
        <x:v>Excluded</x:v>
      </x:c>
      <x:c r="I4714" s="16" t="str">
        <x:v>Missing email</x:v>
      </x:c>
    </x:row>
    <x:row r="4715">
      <x:c r="A4715" s="16" t="n">
        <x:v>4712</x:v>
      </x:c>
      <x:c r="B4715" s="16" t="str">
        <x:v>Muaz Hafiz IM</x:v>
      </x:c>
      <x:c r="C4715" s="16" t="str"/>
      <x:c r="D4715" s="16" t="str"/>
      <x:c r="E4715" s="16" t="str">
        <x:v>* myContacts</x:v>
      </x:c>
      <x:c r="F4715" s="16" t="str">
        <x:v>019-262 0609</x:v>
      </x:c>
      <x:c r="G4715" s="16" t="str">
        <x:v>+60192620609</x:v>
      </x:c>
      <x:c r="H4715" s="16" t="str">
        <x:v>Excluded</x:v>
      </x:c>
      <x:c r="I4715" s="16" t="str">
        <x:v>Missing email</x:v>
      </x:c>
    </x:row>
    <x:row r="4716">
      <x:c r="A4716" s="16" t="n">
        <x:v>4713</x:v>
      </x:c>
      <x:c r="B4716" s="16" t="str">
        <x:v>Muaz Umar</x:v>
      </x:c>
      <x:c r="C4716" s="16" t="str"/>
      <x:c r="D4716" s="16" t="str"/>
      <x:c r="E4716" s="16" t="str">
        <x:v>* myContacts</x:v>
      </x:c>
      <x:c r="F4716" s="16" t="str">
        <x:v>+60193953200</x:v>
      </x:c>
      <x:c r="G4716" s="16" t="str">
        <x:v>+60193953200</x:v>
      </x:c>
      <x:c r="H4716" s="16" t="str">
        <x:v>Excluded</x:v>
      </x:c>
      <x:c r="I4716" s="16" t="str">
        <x:v>Missing email</x:v>
      </x:c>
    </x:row>
    <x:row r="4717">
      <x:c r="A4717" s="16" t="n">
        <x:v>4714</x:v>
      </x:c>
      <x:c r="B4717" s="16" t="str">
        <x:v>Muaz Video Expert</x:v>
      </x:c>
      <x:c r="C4717" s="16" t="str"/>
      <x:c r="D4717" s="16" t="str"/>
      <x:c r="E4717" s="16" t="str">
        <x:v>* myContacts</x:v>
      </x:c>
      <x:c r="F4717" s="16" t="str">
        <x:v>01152902929 | +601152902929</x:v>
      </x:c>
      <x:c r="G4717" s="16" t="str">
        <x:v>+601152902929 | +601152902929</x:v>
      </x:c>
      <x:c r="H4717" s="16" t="str">
        <x:v>Excluded</x:v>
      </x:c>
      <x:c r="I4717" s="16" t="str">
        <x:v>Missing email</x:v>
      </x:c>
    </x:row>
    <x:row r="4718">
      <x:c r="A4718" s="16" t="n">
        <x:v>4715</x:v>
      </x:c>
      <x:c r="B4718" s="16" t="str">
        <x:v>Muaz Yaid</x:v>
      </x:c>
      <x:c r="C4718" s="16" t="str"/>
      <x:c r="D4718" s="16" t="str"/>
      <x:c r="E4718" s="16" t="str">
        <x:v>* myContacts</x:v>
      </x:c>
      <x:c r="F4718" s="16" t="str">
        <x:v>+60 13-244 5214 | +60132445214</x:v>
      </x:c>
      <x:c r="G4718" s="16" t="str">
        <x:v>+60132445214 | +60132445214</x:v>
      </x:c>
      <x:c r="H4718" s="16" t="str">
        <x:v>Excluded</x:v>
      </x:c>
      <x:c r="I4718" s="16" t="str">
        <x:v>Missing email</x:v>
      </x:c>
    </x:row>
    <x:row r="4719">
      <x:c r="A4719" s="16" t="n">
        <x:v>4716</x:v>
      </x:c>
      <x:c r="B4719" s="16" t="str">
        <x:v>Muhad Apai</x:v>
      </x:c>
      <x:c r="C4719" s="16" t="str"/>
      <x:c r="D4719" s="16" t="str"/>
      <x:c r="E4719" s="16" t="str">
        <x:v>* myContacts</x:v>
      </x:c>
      <x:c r="F4719" s="16" t="str">
        <x:v>+601120925798</x:v>
      </x:c>
      <x:c r="G4719" s="16" t="str">
        <x:v>+601120925798</x:v>
      </x:c>
      <x:c r="H4719" s="16" t="str">
        <x:v>Excluded</x:v>
      </x:c>
      <x:c r="I4719" s="16" t="str">
        <x:v>Missing email</x:v>
      </x:c>
    </x:row>
    <x:row r="4720">
      <x:c r="A4720" s="16" t="n">
        <x:v>4717</x:v>
      </x:c>
      <x:c r="B4720" s="16" t="str">
        <x:v>Muhaimin Bank Simpanan Nasional</x:v>
      </x:c>
      <x:c r="C4720" s="16" t="str"/>
      <x:c r="D4720" s="16" t="str"/>
      <x:c r="E4720" s="16" t="str">
        <x:v>* myContacts</x:v>
      </x:c>
      <x:c r="F4720" s="16" t="str">
        <x:v>0192544464 | +60192544464</x:v>
      </x:c>
      <x:c r="G4720" s="16" t="str">
        <x:v>+60192544464 | +60192544464</x:v>
      </x:c>
      <x:c r="H4720" s="16" t="str">
        <x:v>Excluded</x:v>
      </x:c>
      <x:c r="I4720" s="16" t="str">
        <x:v>Missing email</x:v>
      </x:c>
    </x:row>
    <x:row r="4721">
      <x:c r="A4721" s="16" t="n">
        <x:v>4718</x:v>
      </x:c>
      <x:c r="B4721" s="16" t="str">
        <x:v>Muhaimin IM</x:v>
      </x:c>
      <x:c r="C4721" s="16" t="str"/>
      <x:c r="D4721" s="16" t="str"/>
      <x:c r="E4721" s="16" t="str">
        <x:v>* myContacts</x:v>
      </x:c>
      <x:c r="F4721" s="16" t="str">
        <x:v>+60194458117</x:v>
      </x:c>
      <x:c r="G4721" s="16" t="str">
        <x:v>+60194458117</x:v>
      </x:c>
      <x:c r="H4721" s="16" t="str">
        <x:v>Excluded</x:v>
      </x:c>
      <x:c r="I4721" s="16" t="str">
        <x:v>Missing email</x:v>
      </x:c>
    </x:row>
    <x:row r="4722">
      <x:c r="A4722" s="16" t="n">
        <x:v>4719</x:v>
      </x:c>
      <x:c r="B4722" s="16" t="str">
        <x:v>Muhamad Abdul Rahman AGP</x:v>
      </x:c>
      <x:c r="C4722" s="16" t="str"/>
      <x:c r="D4722" s="16" t="str"/>
      <x:c r="E4722" s="16" t="str">
        <x:v>* myContacts</x:v>
      </x:c>
      <x:c r="F4722" s="16" t="str">
        <x:v>+6019-869 7022 | +60198697022</x:v>
      </x:c>
      <x:c r="G4722" s="16" t="str">
        <x:v>+60198697022 | +60198697022</x:v>
      </x:c>
      <x:c r="H4722" s="16" t="str">
        <x:v>Excluded</x:v>
      </x:c>
      <x:c r="I4722" s="16" t="str">
        <x:v>Missing email</x:v>
      </x:c>
    </x:row>
    <x:row r="4723">
      <x:c r="A4723" s="16" t="n">
        <x:v>4720</x:v>
      </x:c>
      <x:c r="B4723" s="16" t="str">
        <x:v>Muhamad Adnizam</x:v>
      </x:c>
      <x:c r="C4723" s="16" t="str"/>
      <x:c r="D4723" s="16" t="str"/>
      <x:c r="E4723" s="16" t="str">
        <x:v>* myContacts</x:v>
      </x:c>
      <x:c r="F4723" s="16" t="str">
        <x:v>+60192840030</x:v>
      </x:c>
      <x:c r="G4723" s="16" t="str">
        <x:v>+60192840030</x:v>
      </x:c>
      <x:c r="H4723" s="16" t="str">
        <x:v>Excluded</x:v>
      </x:c>
      <x:c r="I4723" s="16" t="str">
        <x:v>Missing email</x:v>
      </x:c>
    </x:row>
    <x:row r="4724">
      <x:c r="A4724" s="16" t="n">
        <x:v>4721</x:v>
      </x:c>
      <x:c r="B4724" s="16" t="str">
        <x:v>Muhamad AN</x:v>
      </x:c>
      <x:c r="C4724" s="16" t="str"/>
      <x:c r="D4724" s="16" t="str"/>
      <x:c r="E4724" s="16" t="str">
        <x:v>* myContacts</x:v>
      </x:c>
      <x:c r="F4724" s="16" t="str">
        <x:v>+60166097769</x:v>
      </x:c>
      <x:c r="G4724" s="16" t="str">
        <x:v>+60166097769</x:v>
      </x:c>
      <x:c r="H4724" s="16" t="str">
        <x:v>Excluded</x:v>
      </x:c>
      <x:c r="I4724" s="16" t="str">
        <x:v>Missing email</x:v>
      </x:c>
    </x:row>
    <x:row r="4725">
      <x:c r="A4725" s="16" t="n">
        <x:v>4722</x:v>
      </x:c>
      <x:c r="B4725" s="16" t="str">
        <x:v>Muhamad Asyraf Haris</x:v>
      </x:c>
      <x:c r="C4725" s="16" t="str"/>
      <x:c r="D4725" s="16" t="str"/>
      <x:c r="E4725" s="16" t="str">
        <x:v>* myContacts</x:v>
      </x:c>
      <x:c r="F4725" s="16" t="str">
        <x:v>+60147432080</x:v>
      </x:c>
      <x:c r="G4725" s="16" t="str">
        <x:v>+60147432080</x:v>
      </x:c>
      <x:c r="H4725" s="16" t="str">
        <x:v>Excluded</x:v>
      </x:c>
      <x:c r="I4725" s="16" t="str">
        <x:v>Missing email</x:v>
      </x:c>
    </x:row>
    <x:row r="4726">
      <x:c r="A4726" s="16" t="n">
        <x:v>4723</x:v>
      </x:c>
      <x:c r="B4726" s="16" t="str">
        <x:v>Muhamad Bestari Jaya</x:v>
      </x:c>
      <x:c r="C4726" s="16" t="str"/>
      <x:c r="D4726" s="16" t="str"/>
      <x:c r="E4726" s="16" t="str">
        <x:v>* myContacts</x:v>
      </x:c>
      <x:c r="F4726" s="16" t="str">
        <x:v>018-210 1737 | +60182101737</x:v>
      </x:c>
      <x:c r="G4726" s="16" t="str">
        <x:v>+60182101737 | +60182101737</x:v>
      </x:c>
      <x:c r="H4726" s="16" t="str">
        <x:v>Excluded</x:v>
      </x:c>
      <x:c r="I4726" s="16" t="str">
        <x:v>Missing email</x:v>
      </x:c>
    </x:row>
    <x:row r="4727">
      <x:c r="A4727" s="16" t="n">
        <x:v>4724</x:v>
      </x:c>
      <x:c r="B4727" s="16" t="str">
        <x:v>Muhamad Fitri</x:v>
      </x:c>
      <x:c r="C4727" s="16" t="str"/>
      <x:c r="D4727" s="16" t="str"/>
      <x:c r="E4727" s="16" t="str">
        <x:v>* myContacts</x:v>
      </x:c>
      <x:c r="F4727" s="16" t="str">
        <x:v>+601112959094</x:v>
      </x:c>
      <x:c r="G4727" s="16" t="str">
        <x:v>+601112959094</x:v>
      </x:c>
      <x:c r="H4727" s="16" t="str">
        <x:v>Excluded</x:v>
      </x:c>
      <x:c r="I4727" s="16" t="str">
        <x:v>Missing email</x:v>
      </x:c>
    </x:row>
    <x:row r="4728">
      <x:c r="A4728" s="16" t="n">
        <x:v>4725</x:v>
      </x:c>
      <x:c r="B4728" s="16" t="str">
        <x:v>Muhamad Hafiz Umar</x:v>
      </x:c>
      <x:c r="C4728" s="16" t="str"/>
      <x:c r="D4728" s="16" t="str"/>
      <x:c r="E4728" s="16" t="str">
        <x:v>* myContacts</x:v>
      </x:c>
      <x:c r="F4728" s="16" t="str">
        <x:v>+601114401764</x:v>
      </x:c>
      <x:c r="G4728" s="16" t="str">
        <x:v>+601114401764</x:v>
      </x:c>
      <x:c r="H4728" s="16" t="str">
        <x:v>Excluded</x:v>
      </x:c>
      <x:c r="I4728" s="16" t="str">
        <x:v>Missing email</x:v>
      </x:c>
    </x:row>
    <x:row r="4729">
      <x:c r="A4729" s="16" t="n">
        <x:v>4726</x:v>
      </x:c>
      <x:c r="B4729" s="16" t="str">
        <x:v>muhamad haikal</x:v>
      </x:c>
      <x:c r="C4729" s="16" t="str"/>
      <x:c r="D4729" s="16" t="str"/>
      <x:c r="E4729" s="16" t="str">
        <x:v>* myContacts</x:v>
      </x:c>
      <x:c r="F4729" s="16" t="str">
        <x:v>+60 11-5116 9007 | +601151169007</x:v>
      </x:c>
      <x:c r="G4729" s="16" t="str">
        <x:v>+601151169007 | +601151169007</x:v>
      </x:c>
      <x:c r="H4729" s="16" t="str">
        <x:v>Excluded</x:v>
      </x:c>
      <x:c r="I4729" s="16" t="str">
        <x:v>Missing email</x:v>
      </x:c>
    </x:row>
    <x:row r="4730">
      <x:c r="A4730" s="16" t="n">
        <x:v>4727</x:v>
      </x:c>
      <x:c r="B4730" s="16" t="str">
        <x:v>Muhamad Hamzah Abu Bakar</x:v>
      </x:c>
      <x:c r="C4730" s="16" t="str"/>
      <x:c r="D4730" s="16" t="str"/>
      <x:c r="E4730" s="16" t="str">
        <x:v>* myContacts</x:v>
      </x:c>
      <x:c r="F4730" s="16" t="str">
        <x:v>+601126426245</x:v>
      </x:c>
      <x:c r="G4730" s="16" t="str">
        <x:v>+601126426245</x:v>
      </x:c>
      <x:c r="H4730" s="16" t="str">
        <x:v>Excluded</x:v>
      </x:c>
      <x:c r="I4730" s="16" t="str">
        <x:v>Missing email</x:v>
      </x:c>
    </x:row>
    <x:row r="4731">
      <x:c r="A4731" s="16" t="n">
        <x:v>4728</x:v>
      </x:c>
      <x:c r="B4731" s="16" t="str">
        <x:v>muhamad hazwan husien insken</x:v>
      </x:c>
      <x:c r="C4731" s="16" t="str"/>
      <x:c r="D4731" s="16" t="str"/>
      <x:c r="E4731" s="16" t="str">
        <x:v>Alumni INSKEN | * myContacts</x:v>
      </x:c>
      <x:c r="F4731" s="16" t="str">
        <x:v>0172581977 | +60172581977</x:v>
      </x:c>
      <x:c r="G4731" s="16" t="str">
        <x:v>+60172581977 | +60172581977</x:v>
      </x:c>
      <x:c r="H4731" s="16" t="str">
        <x:v>Excluded</x:v>
      </x:c>
      <x:c r="I4731" s="16" t="str">
        <x:v>Missing email</x:v>
      </x:c>
    </x:row>
    <x:row r="4732">
      <x:c r="A4732" s="16" t="n">
        <x:v>4729</x:v>
      </x:c>
      <x:c r="B4732" s="16" t="str">
        <x:v>Muhamad Hirrahmaan Rusli</x:v>
      </x:c>
      <x:c r="C4732" s="16" t="str"/>
      <x:c r="D4732" s="16" t="str"/>
      <x:c r="E4732" s="16" t="str">
        <x:v>* myContacts</x:v>
      </x:c>
      <x:c r="F4732" s="16" t="str">
        <x:v>+60199995371</x:v>
      </x:c>
      <x:c r="G4732" s="16" t="str">
        <x:v>+60199995371</x:v>
      </x:c>
      <x:c r="H4732" s="16" t="str">
        <x:v>Excluded</x:v>
      </x:c>
      <x:c r="I4732" s="16" t="str">
        <x:v>Missing email</x:v>
      </x:c>
    </x:row>
    <x:row r="4733">
      <x:c r="A4733" s="16" t="n">
        <x:v>4730</x:v>
      </x:c>
      <x:c r="B4733" s="16" t="str">
        <x:v>Muhamad Izahar</x:v>
      </x:c>
      <x:c r="C4733" s="16" t="str"/>
      <x:c r="D4733" s="16" t="str"/>
      <x:c r="E4733" s="16" t="str">
        <x:v>* myContacts</x:v>
      </x:c>
      <x:c r="F4733" s="16" t="str">
        <x:v>+60179867069</x:v>
      </x:c>
      <x:c r="G4733" s="16" t="str">
        <x:v>+60179867069</x:v>
      </x:c>
      <x:c r="H4733" s="16" t="str">
        <x:v>Excluded</x:v>
      </x:c>
      <x:c r="I4733" s="16" t="str">
        <x:v>Missing email</x:v>
      </x:c>
    </x:row>
    <x:row r="4734">
      <x:c r="A4734" s="16" t="n">
        <x:v>4731</x:v>
      </x:c>
      <x:c r="B4734" s="16" t="str">
        <x:v>MUHAMAD MUSZAKI BIN MOHD</x:v>
      </x:c>
      <x:c r="C4734" s="16" t="str"/>
      <x:c r="D4734" s="16" t="str"/>
      <x:c r="E4734" s="16" t="str">
        <x:v>* myContacts</x:v>
      </x:c>
      <x:c r="F4734" s="16" t="str">
        <x:v>+60 19-266 1772 | +60192661772</x:v>
      </x:c>
      <x:c r="G4734" s="16" t="str">
        <x:v>+60192661772 | +60192661772</x:v>
      </x:c>
      <x:c r="H4734" s="16" t="str">
        <x:v>Excluded</x:v>
      </x:c>
      <x:c r="I4734" s="16" t="str">
        <x:v>Missing email</x:v>
      </x:c>
    </x:row>
    <x:row r="4735">
      <x:c r="A4735" s="16" t="n">
        <x:v>4732</x:v>
      </x:c>
      <x:c r="B4735" s="16" t="str">
        <x:v>Muhamad Nadzim</x:v>
      </x:c>
      <x:c r="C4735" s="16" t="str"/>
      <x:c r="D4735" s="16" t="str"/>
      <x:c r="E4735" s="16" t="str">
        <x:v>* myContacts</x:v>
      </x:c>
      <x:c r="F4735" s="16" t="str">
        <x:v>+60197090459</x:v>
      </x:c>
      <x:c r="G4735" s="16" t="str">
        <x:v>+60197090459</x:v>
      </x:c>
      <x:c r="H4735" s="16" t="str">
        <x:v>Excluded</x:v>
      </x:c>
      <x:c r="I4735" s="16" t="str">
        <x:v>Missing email</x:v>
      </x:c>
    </x:row>
    <x:row r="4736">
      <x:c r="A4736" s="16" t="n">
        <x:v>4733</x:v>
      </x:c>
      <x:c r="B4736" s="16" t="str">
        <x:v>Muhamad Nasir AGP</x:v>
      </x:c>
      <x:c r="C4736" s="16" t="str"/>
      <x:c r="D4736" s="16" t="str"/>
      <x:c r="E4736" s="16" t="str">
        <x:v>* myContacts</x:v>
      </x:c>
      <x:c r="F4736" s="16" t="str">
        <x:v>0125523097 | +60125523097</x:v>
      </x:c>
      <x:c r="G4736" s="16" t="str">
        <x:v>+60125523097 | +60125523097</x:v>
      </x:c>
      <x:c r="H4736" s="16" t="str">
        <x:v>Excluded</x:v>
      </x:c>
      <x:c r="I4736" s="16" t="str">
        <x:v>Missing email</x:v>
      </x:c>
    </x:row>
    <x:row r="4737">
      <x:c r="A4737" s="16" t="n">
        <x:v>4734</x:v>
      </x:c>
      <x:c r="B4737" s="16" t="str">
        <x:v>Muhamad Ridzuan Mat Din</x:v>
      </x:c>
      <x:c r="C4737" s="16" t="str"/>
      <x:c r="D4737" s="16" t="str"/>
      <x:c r="E4737" s="16" t="str">
        <x:v>* myContacts</x:v>
      </x:c>
      <x:c r="F4737" s="16" t="str">
        <x:v>+60123003246</x:v>
      </x:c>
      <x:c r="G4737" s="16" t="str">
        <x:v>+60123003246</x:v>
      </x:c>
      <x:c r="H4737" s="16" t="str">
        <x:v>Excluded</x:v>
      </x:c>
      <x:c r="I4737" s="16" t="str">
        <x:v>Missing email</x:v>
      </x:c>
    </x:row>
    <x:row r="4738">
      <x:c r="A4738" s="16" t="n">
        <x:v>4735</x:v>
      </x:c>
      <x:c r="B4738" s="16" t="str">
        <x:v>Muhamad Safuan</x:v>
      </x:c>
      <x:c r="C4738" s="16" t="str"/>
      <x:c r="D4738" s="16" t="str"/>
      <x:c r="E4738" s="16" t="str">
        <x:v>* myContacts</x:v>
      </x:c>
      <x:c r="F4738" s="16" t="str">
        <x:v>+60172451057</x:v>
      </x:c>
      <x:c r="G4738" s="16" t="str">
        <x:v>+60172451057</x:v>
      </x:c>
      <x:c r="H4738" s="16" t="str">
        <x:v>Excluded</x:v>
      </x:c>
      <x:c r="I4738" s="16" t="str">
        <x:v>Missing email</x:v>
      </x:c>
    </x:row>
    <x:row r="4739">
      <x:c r="A4739" s="16" t="n">
        <x:v>4736</x:v>
      </x:c>
      <x:c r="B4739" s="16" t="str">
        <x:v>Muhamad Sahrulnizam Sahrani</x:v>
      </x:c>
      <x:c r="C4739" s="16" t="str"/>
      <x:c r="D4739" s="16" t="str"/>
      <x:c r="E4739" s="16" t="str">
        <x:v>* myContacts</x:v>
      </x:c>
      <x:c r="F4739" s="16" t="str">
        <x:v>+60147022954</x:v>
      </x:c>
      <x:c r="G4739" s="16" t="str">
        <x:v>+60147022954</x:v>
      </x:c>
      <x:c r="H4739" s="16" t="str">
        <x:v>Excluded</x:v>
      </x:c>
      <x:c r="I4739" s="16" t="str">
        <x:v>Missing email</x:v>
      </x:c>
    </x:row>
    <x:row r="4740">
      <x:c r="A4740" s="16" t="n">
        <x:v>4737</x:v>
      </x:c>
      <x:c r="B4740" s="16" t="str">
        <x:v>Muhamad Syawal Hasbullah</x:v>
      </x:c>
      <x:c r="C4740" s="16" t="str"/>
      <x:c r="D4740" s="16" t="str"/>
      <x:c r="E4740" s="16" t="str">
        <x:v>* myContacts</x:v>
      </x:c>
      <x:c r="F4740" s="16" t="str">
        <x:v>+60133708517</x:v>
      </x:c>
      <x:c r="G4740" s="16" t="str">
        <x:v>+60133708517</x:v>
      </x:c>
      <x:c r="H4740" s="16" t="str">
        <x:v>Excluded</x:v>
      </x:c>
      <x:c r="I4740" s="16" t="str">
        <x:v>Missing email</x:v>
      </x:c>
    </x:row>
    <x:row r="4741">
      <x:c r="A4741" s="16" t="n">
        <x:v>4738</x:v>
      </x:c>
      <x:c r="B4741" s="16" t="str">
        <x:v>Muhamad Zakuwan</x:v>
      </x:c>
      <x:c r="C4741" s="16" t="str"/>
      <x:c r="D4741" s="16" t="str"/>
      <x:c r="E4741" s="16" t="str">
        <x:v>* myContacts</x:v>
      </x:c>
      <x:c r="F4741" s="16" t="str">
        <x:v>+60175469060</x:v>
      </x:c>
      <x:c r="G4741" s="16" t="str">
        <x:v>+60175469060</x:v>
      </x:c>
      <x:c r="H4741" s="16" t="str">
        <x:v>Excluded</x:v>
      </x:c>
      <x:c r="I4741" s="16" t="str">
        <x:v>Missing email</x:v>
      </x:c>
    </x:row>
    <x:row r="4742">
      <x:c r="A4742" s="16" t="n">
        <x:v>4739</x:v>
      </x:c>
      <x:c r="B4742" s="16" t="str">
        <x:v>Muhammad Ab Rashid</x:v>
      </x:c>
      <x:c r="C4742" s="16" t="str"/>
      <x:c r="D4742" s="16" t="str"/>
      <x:c r="E4742" s="16" t="str">
        <x:v>* myContacts</x:v>
      </x:c>
      <x:c r="F4742" s="16" t="str">
        <x:v>+60197105366</x:v>
      </x:c>
      <x:c r="G4742" s="16" t="str">
        <x:v>+60197105366</x:v>
      </x:c>
      <x:c r="H4742" s="16" t="str">
        <x:v>Excluded</x:v>
      </x:c>
      <x:c r="I4742" s="16" t="str">
        <x:v>Missing email</x:v>
      </x:c>
    </x:row>
    <x:row r="4743">
      <x:c r="A4743" s="16" t="n">
        <x:v>4740</x:v>
      </x:c>
      <x:c r="B4743" s="16" t="str">
        <x:v>Muhammad Adam</x:v>
      </x:c>
      <x:c r="C4743" s="16" t="str"/>
      <x:c r="D4743" s="16" t="str"/>
      <x:c r="E4743" s="16" t="str">
        <x:v>* myContacts</x:v>
      </x:c>
      <x:c r="F4743" s="16" t="str">
        <x:v>+601125838597</x:v>
      </x:c>
      <x:c r="G4743" s="16" t="str">
        <x:v>+601125838597</x:v>
      </x:c>
      <x:c r="H4743" s="16" t="str">
        <x:v>Excluded</x:v>
      </x:c>
      <x:c r="I4743" s="16" t="str">
        <x:v>Missing email</x:v>
      </x:c>
    </x:row>
    <x:row r="4744">
      <x:c r="A4744" s="16" t="n">
        <x:v>4741</x:v>
      </x:c>
      <x:c r="B4744" s="16" t="str">
        <x:v>Muhammad Adib</x:v>
      </x:c>
      <x:c r="C4744" s="16" t="str"/>
      <x:c r="D4744" s="16" t="str"/>
      <x:c r="E4744" s="16" t="str">
        <x:v>* myContacts</x:v>
      </x:c>
      <x:c r="F4744" s="16" t="str">
        <x:v>+60135892029</x:v>
      </x:c>
      <x:c r="G4744" s="16" t="str">
        <x:v>+60135892029</x:v>
      </x:c>
      <x:c r="H4744" s="16" t="str">
        <x:v>Excluded</x:v>
      </x:c>
      <x:c r="I4744" s="16" t="str">
        <x:v>Missing email</x:v>
      </x:c>
    </x:row>
    <x:row r="4745">
      <x:c r="A4745" s="16" t="n">
        <x:v>4742</x:v>
      </x:c>
      <x:c r="B4745" s="16" t="str">
        <x:v>Muhammad Aidid</x:v>
      </x:c>
      <x:c r="C4745" s="16" t="str"/>
      <x:c r="D4745" s="16" t="str"/>
      <x:c r="E4745" s="16" t="str">
        <x:v>* myContacts</x:v>
      </x:c>
      <x:c r="F4745" s="16" t="str">
        <x:v>+601129423741</x:v>
      </x:c>
      <x:c r="G4745" s="16" t="str">
        <x:v>+601129423741</x:v>
      </x:c>
      <x:c r="H4745" s="16" t="str">
        <x:v>Excluded</x:v>
      </x:c>
      <x:c r="I4745" s="16" t="str">
        <x:v>Missing email</x:v>
      </x:c>
    </x:row>
    <x:row r="4746">
      <x:c r="A4746" s="16" t="n">
        <x:v>4743</x:v>
      </x:c>
      <x:c r="B4746" s="16" t="str">
        <x:v>Muhammad Al-hafiz</x:v>
      </x:c>
      <x:c r="C4746" s="16" t="str"/>
      <x:c r="D4746" s="16" t="str"/>
      <x:c r="E4746" s="16" t="str">
        <x:v>* myContacts</x:v>
      </x:c>
      <x:c r="F4746" s="16" t="str">
        <x:v>+60102027725</x:v>
      </x:c>
      <x:c r="G4746" s="16" t="str">
        <x:v>+60102027725</x:v>
      </x:c>
      <x:c r="H4746" s="16" t="str">
        <x:v>Excluded</x:v>
      </x:c>
      <x:c r="I4746" s="16" t="str">
        <x:v>Missing email</x:v>
      </x:c>
    </x:row>
    <x:row r="4747">
      <x:c r="A4747" s="16" t="n">
        <x:v>4744</x:v>
      </x:c>
      <x:c r="B4747" s="16" t="str">
        <x:v>Muhammad Ali Hafizal</x:v>
      </x:c>
      <x:c r="C4747" s="16" t="str"/>
      <x:c r="D4747" s="16" t="str"/>
      <x:c r="E4747" s="16" t="str">
        <x:v>* myContacts</x:v>
      </x:c>
      <x:c r="F4747" s="16" t="str">
        <x:v>+60176964833</x:v>
      </x:c>
      <x:c r="G4747" s="16" t="str">
        <x:v>+60176964833</x:v>
      </x:c>
      <x:c r="H4747" s="16" t="str">
        <x:v>Excluded</x:v>
      </x:c>
      <x:c r="I4747" s="16" t="str">
        <x:v>Missing email</x:v>
      </x:c>
    </x:row>
    <x:row r="4748">
      <x:c r="A4748" s="16" t="n">
        <x:v>4745</x:v>
      </x:c>
      <x:c r="B4748" s="16" t="str">
        <x:v>Muhammad Ali Mamat</x:v>
      </x:c>
      <x:c r="C4748" s="16" t="str"/>
      <x:c r="D4748" s="16" t="str"/>
      <x:c r="E4748" s="16" t="str">
        <x:v>* myContacts</x:v>
      </x:c>
      <x:c r="F4748" s="16" t="str">
        <x:v>+60134153644</x:v>
      </x:c>
      <x:c r="G4748" s="16" t="str">
        <x:v>+60134153644</x:v>
      </x:c>
      <x:c r="H4748" s="16" t="str">
        <x:v>Excluded</x:v>
      </x:c>
      <x:c r="I4748" s="16" t="str">
        <x:v>Missing email</x:v>
      </x:c>
    </x:row>
    <x:row r="4749">
      <x:c r="A4749" s="16" t="n">
        <x:v>4746</x:v>
      </x:c>
      <x:c r="B4749" s="16" t="str">
        <x:v>Muhammad Alif Firdaus</x:v>
      </x:c>
      <x:c r="C4749" s="16" t="str"/>
      <x:c r="D4749" s="16" t="str"/>
      <x:c r="E4749" s="16" t="str">
        <x:v>* myContacts</x:v>
      </x:c>
      <x:c r="F4749" s="16" t="str">
        <x:v>+601117961218</x:v>
      </x:c>
      <x:c r="G4749" s="16" t="str">
        <x:v>+601117961218</x:v>
      </x:c>
      <x:c r="H4749" s="16" t="str">
        <x:v>Excluded</x:v>
      </x:c>
      <x:c r="I4749" s="16" t="str">
        <x:v>Missing email</x:v>
      </x:c>
    </x:row>
    <x:row r="4750">
      <x:c r="A4750" s="16" t="n">
        <x:v>4747</x:v>
      </x:c>
      <x:c r="B4750" s="16" t="str">
        <x:v>Muhammad Amada</x:v>
      </x:c>
      <x:c r="C4750" s="16" t="str"/>
      <x:c r="D4750" s="16" t="str"/>
      <x:c r="E4750" s="16" t="str">
        <x:v>* myContacts</x:v>
      </x:c>
      <x:c r="F4750" s="16" t="str">
        <x:v>+6285262259360</x:v>
      </x:c>
      <x:c r="G4750" s="16" t="str">
        <x:v>+6285262259360</x:v>
      </x:c>
      <x:c r="H4750" s="16" t="str">
        <x:v>Excluded</x:v>
      </x:c>
      <x:c r="I4750" s="16" t="str">
        <x:v>Missing email</x:v>
      </x:c>
    </x:row>
    <x:row r="4751">
      <x:c r="A4751" s="16" t="n">
        <x:v>4748</x:v>
      </x:c>
      <x:c r="B4751" s="16" t="str">
        <x:v>Muhammad Amin Kanli</x:v>
      </x:c>
      <x:c r="C4751" s="16" t="str"/>
      <x:c r="D4751" s="16" t="str"/>
      <x:c r="E4751" s="16" t="str">
        <x:v>* myContacts</x:v>
      </x:c>
      <x:c r="F4751" s="16" t="str">
        <x:v>+60133699206</x:v>
      </x:c>
      <x:c r="G4751" s="16" t="str">
        <x:v>+60133699206</x:v>
      </x:c>
      <x:c r="H4751" s="16" t="str">
        <x:v>Excluded</x:v>
      </x:c>
      <x:c r="I4751" s="16" t="str">
        <x:v>Missing email</x:v>
      </x:c>
    </x:row>
    <x:row r="4752">
      <x:c r="A4752" s="16" t="n">
        <x:v>4749</x:v>
      </x:c>
      <x:c r="B4752" s="16" t="str">
        <x:v>Muhammad Amir Amir</x:v>
      </x:c>
      <x:c r="C4752" s="16" t="str"/>
      <x:c r="D4752" s="16" t="str"/>
      <x:c r="E4752" s="16" t="str">
        <x:v>* myContacts</x:v>
      </x:c>
      <x:c r="F4752" s="16" t="str">
        <x:v>+60175832830</x:v>
      </x:c>
      <x:c r="G4752" s="16" t="str">
        <x:v>+60175832830</x:v>
      </x:c>
      <x:c r="H4752" s="16" t="str">
        <x:v>Excluded</x:v>
      </x:c>
      <x:c r="I4752" s="16" t="str">
        <x:v>Missing email</x:v>
      </x:c>
    </x:row>
    <x:row r="4753">
      <x:c r="A4753" s="16" t="n">
        <x:v>4750</x:v>
      </x:c>
      <x:c r="B4753" s="16" t="str">
        <x:v>Muhammad Ammar</x:v>
      </x:c>
      <x:c r="C4753" s="16" t="str"/>
      <x:c r="D4753" s="16" t="str"/>
      <x:c r="E4753" s="16" t="str">
        <x:v>* myContacts</x:v>
      </x:c>
      <x:c r="F4753" s="16" t="str">
        <x:v>+60148534784</x:v>
      </x:c>
      <x:c r="G4753" s="16" t="str">
        <x:v>+60148534784</x:v>
      </x:c>
      <x:c r="H4753" s="16" t="str">
        <x:v>Excluded</x:v>
      </x:c>
      <x:c r="I4753" s="16" t="str">
        <x:v>Missing email</x:v>
      </x:c>
    </x:row>
    <x:row r="4754">
      <x:c r="A4754" s="16" t="n">
        <x:v>4751</x:v>
      </x:c>
      <x:c r="B4754" s="16" t="str">
        <x:v>Muhammad Arshad Pakistan</x:v>
      </x:c>
      <x:c r="C4754" s="16" t="str"/>
      <x:c r="D4754" s="16" t="str"/>
      <x:c r="E4754" s="16" t="str">
        <x:v>* myContacts</x:v>
      </x:c>
      <x:c r="F4754" s="16" t="str">
        <x:v>+60166395407</x:v>
      </x:c>
      <x:c r="G4754" s="16" t="str">
        <x:v>+60166395407</x:v>
      </x:c>
      <x:c r="H4754" s="16" t="str">
        <x:v>Excluded</x:v>
      </x:c>
      <x:c r="I4754" s="16" t="str">
        <x:v>Missing email</x:v>
      </x:c>
    </x:row>
    <x:row r="4755">
      <x:c r="A4755" s="16" t="n">
        <x:v>4752</x:v>
      </x:c>
      <x:c r="B4755" s="16" t="str">
        <x:v>Muhammad Asraf</x:v>
      </x:c>
      <x:c r="C4755" s="16" t="str"/>
      <x:c r="D4755" s="16" t="str"/>
      <x:c r="E4755" s="16" t="str">
        <x:v>* myContacts</x:v>
      </x:c>
      <x:c r="F4755" s="16" t="str">
        <x:v>+601110201398</x:v>
      </x:c>
      <x:c r="G4755" s="16" t="str">
        <x:v>+601110201398</x:v>
      </x:c>
      <x:c r="H4755" s="16" t="str">
        <x:v>Excluded</x:v>
      </x:c>
      <x:c r="I4755" s="16" t="str">
        <x:v>Missing email</x:v>
      </x:c>
    </x:row>
    <x:row r="4756">
      <x:c r="A4756" s="16" t="n">
        <x:v>4753</x:v>
      </x:c>
      <x:c r="B4756" s="16" t="str">
        <x:v>Muhammad Aswad Zakaria</x:v>
      </x:c>
      <x:c r="C4756" s="16" t="str"/>
      <x:c r="D4756" s="16" t="str"/>
      <x:c r="E4756" s="16" t="str">
        <x:v>* myContacts</x:v>
      </x:c>
      <x:c r="F4756" s="16" t="str">
        <x:v>+60163304749</x:v>
      </x:c>
      <x:c r="G4756" s="16" t="str">
        <x:v>+60163304749</x:v>
      </x:c>
      <x:c r="H4756" s="16" t="str">
        <x:v>Excluded</x:v>
      </x:c>
      <x:c r="I4756" s="16" t="str">
        <x:v>Missing email</x:v>
      </x:c>
    </x:row>
    <x:row r="4757">
      <x:c r="A4757" s="16" t="n">
        <x:v>4754</x:v>
      </x:c>
      <x:c r="B4757" s="16" t="str">
        <x:v>Muhammad Asyraf</x:v>
      </x:c>
      <x:c r="C4757" s="16" t="str"/>
      <x:c r="D4757" s="16" t="str"/>
      <x:c r="E4757" s="16" t="str">
        <x:v>* myContacts</x:v>
      </x:c>
      <x:c r="F4757" s="16" t="str">
        <x:v>+60174897562</x:v>
      </x:c>
      <x:c r="G4757" s="16" t="str">
        <x:v>+60174897562</x:v>
      </x:c>
      <x:c r="H4757" s="16" t="str">
        <x:v>Excluded</x:v>
      </x:c>
      <x:c r="I4757" s="16" t="str">
        <x:v>Missing email</x:v>
      </x:c>
    </x:row>
    <x:row r="4758">
      <x:c r="A4758" s="16" t="n">
        <x:v>4755</x:v>
      </x:c>
      <x:c r="B4758" s="16" t="str">
        <x:v>Muhammad Azlan Burhanudden</x:v>
      </x:c>
      <x:c r="C4758" s="16" t="str"/>
      <x:c r="D4758" s="16" t="str"/>
      <x:c r="E4758" s="16" t="str">
        <x:v>* myContacts</x:v>
      </x:c>
      <x:c r="F4758" s="16" t="str">
        <x:v>+601117707895</x:v>
      </x:c>
      <x:c r="G4758" s="16" t="str">
        <x:v>+601117707895</x:v>
      </x:c>
      <x:c r="H4758" s="16" t="str">
        <x:v>Excluded</x:v>
      </x:c>
      <x:c r="I4758" s="16" t="str">
        <x:v>Missing email</x:v>
      </x:c>
    </x:row>
    <x:row r="4759">
      <x:c r="A4759" s="16" t="n">
        <x:v>4756</x:v>
      </x:c>
      <x:c r="B4759" s="16" t="str">
        <x:v>Muhammad Azmi Bin Jainaludin Student</x:v>
      </x:c>
      <x:c r="C4759" s="16" t="str"/>
      <x:c r="D4759" s="16" t="str"/>
      <x:c r="E4759" s="16" t="str">
        <x:v>* myContacts</x:v>
      </x:c>
      <x:c r="F4759" s="16" t="str">
        <x:v>+60113765448</x:v>
      </x:c>
      <x:c r="G4759" s="16" t="str">
        <x:v>+60113765448</x:v>
      </x:c>
      <x:c r="H4759" s="16" t="str">
        <x:v>Excluded</x:v>
      </x:c>
      <x:c r="I4759" s="16" t="str">
        <x:v>Missing email</x:v>
      </x:c>
    </x:row>
    <x:row r="4760">
      <x:c r="A4760" s="16" t="n">
        <x:v>4757</x:v>
      </x:c>
      <x:c r="B4760" s="16" t="str">
        <x:v>Muhammad Azmi Bin Jainaludin Student</x:v>
      </x:c>
      <x:c r="C4760" s="16" t="str"/>
      <x:c r="D4760" s="16" t="str"/>
      <x:c r="E4760" s="16" t="str">
        <x:v>* myContacts</x:v>
      </x:c>
      <x:c r="F4760" s="16" t="str">
        <x:v>60113765448</x:v>
      </x:c>
      <x:c r="G4760" s="16" t="str">
        <x:v>+60113765448</x:v>
      </x:c>
      <x:c r="H4760" s="16" t="str">
        <x:v>Excluded</x:v>
      </x:c>
      <x:c r="I4760" s="16" t="str">
        <x:v>Missing email</x:v>
      </x:c>
    </x:row>
    <x:row r="4761">
      <x:c r="A4761" s="16" t="n">
        <x:v>4758</x:v>
      </x:c>
      <x:c r="B4761" s="16" t="str">
        <x:v>Muhammad Din</x:v>
      </x:c>
      <x:c r="C4761" s="16" t="str"/>
      <x:c r="D4761" s="16" t="str"/>
      <x:c r="E4761" s="16" t="str">
        <x:v>* myContacts</x:v>
      </x:c>
      <x:c r="F4761" s="16" t="str">
        <x:v>+60134589524</x:v>
      </x:c>
      <x:c r="G4761" s="16" t="str">
        <x:v>+60134589524</x:v>
      </x:c>
      <x:c r="H4761" s="16" t="str">
        <x:v>Excluded</x:v>
      </x:c>
      <x:c r="I4761" s="16" t="str">
        <x:v>Missing email</x:v>
      </x:c>
    </x:row>
    <x:row r="4762">
      <x:c r="A4762" s="16" t="n">
        <x:v>4759</x:v>
      </x:c>
      <x:c r="B4762" s="16" t="str">
        <x:v>Muhammad Eqmal Defaria</x:v>
      </x:c>
      <x:c r="C4762" s="16" t="str"/>
      <x:c r="D4762" s="16" t="str"/>
      <x:c r="E4762" s="16" t="str">
        <x:v>* myContacts</x:v>
      </x:c>
      <x:c r="F4762" s="16" t="str">
        <x:v>+60145298389</x:v>
      </x:c>
      <x:c r="G4762" s="16" t="str">
        <x:v>+60145298389</x:v>
      </x:c>
      <x:c r="H4762" s="16" t="str">
        <x:v>Excluded</x:v>
      </x:c>
      <x:c r="I4762" s="16" t="str">
        <x:v>Missing email</x:v>
      </x:c>
    </x:row>
    <x:row r="4763">
      <x:c r="A4763" s="16" t="n">
        <x:v>4760</x:v>
      </x:c>
      <x:c r="B4763" s="16" t="str">
        <x:v>Muhammad Fadzli Radi</x:v>
      </x:c>
      <x:c r="C4763" s="16" t="str"/>
      <x:c r="D4763" s="16" t="str"/>
      <x:c r="E4763" s="16" t="str">
        <x:v>* myContacts</x:v>
      </x:c>
      <x:c r="F4763" s="16" t="str">
        <x:v>+60177777777</x:v>
      </x:c>
      <x:c r="G4763" s="16" t="str">
        <x:v>+60177777777</x:v>
      </x:c>
      <x:c r="H4763" s="16" t="str">
        <x:v>Excluded</x:v>
      </x:c>
      <x:c r="I4763" s="16" t="str">
        <x:v>Missing email</x:v>
      </x:c>
    </x:row>
    <x:row r="4764">
      <x:c r="A4764" s="16" t="n">
        <x:v>4761</x:v>
      </x:c>
      <x:c r="B4764" s="16" t="str">
        <x:v>Muhammad Fairuz Othman</x:v>
      </x:c>
      <x:c r="C4764" s="16" t="str"/>
      <x:c r="D4764" s="16" t="str"/>
      <x:c r="E4764" s="16" t="str">
        <x:v>* myContacts</x:v>
      </x:c>
      <x:c r="F4764" s="16" t="str">
        <x:v>+60126930102</x:v>
      </x:c>
      <x:c r="G4764" s="16" t="str">
        <x:v>+60126930102</x:v>
      </x:c>
      <x:c r="H4764" s="16" t="str">
        <x:v>Excluded</x:v>
      </x:c>
      <x:c r="I4764" s="16" t="str">
        <x:v>Missing email</x:v>
      </x:c>
    </x:row>
    <x:row r="4765">
      <x:c r="A4765" s="16" t="n">
        <x:v>4762</x:v>
      </x:c>
      <x:c r="B4765" s="16" t="str">
        <x:v>Muhammad Fais</x:v>
      </x:c>
      <x:c r="C4765" s="16" t="str"/>
      <x:c r="D4765" s="16" t="str"/>
      <x:c r="E4765" s="16" t="str">
        <x:v>* myContacts</x:v>
      </x:c>
      <x:c r="F4765" s="16" t="str">
        <x:v>+60183830484</x:v>
      </x:c>
      <x:c r="G4765" s="16" t="str">
        <x:v>+60183830484</x:v>
      </x:c>
      <x:c r="H4765" s="16" t="str">
        <x:v>Excluded</x:v>
      </x:c>
      <x:c r="I4765" s="16" t="str">
        <x:v>Missing email</x:v>
      </x:c>
    </x:row>
    <x:row r="4766">
      <x:c r="A4766" s="16" t="n">
        <x:v>4763</x:v>
      </x:c>
      <x:c r="B4766" s="16" t="str">
        <x:v>Muhammad Faiz</x:v>
      </x:c>
      <x:c r="C4766" s="16" t="str"/>
      <x:c r="D4766" s="16" t="str"/>
      <x:c r="E4766" s="16" t="str">
        <x:v>* myContacts</x:v>
      </x:c>
      <x:c r="F4766" s="16" t="str">
        <x:v>+60104229545</x:v>
      </x:c>
      <x:c r="G4766" s="16" t="str">
        <x:v>+60104229545</x:v>
      </x:c>
      <x:c r="H4766" s="16" t="str">
        <x:v>Excluded</x:v>
      </x:c>
      <x:c r="I4766" s="16" t="str">
        <x:v>Missing email</x:v>
      </x:c>
    </x:row>
    <x:row r="4767">
      <x:c r="A4767" s="16" t="n">
        <x:v>4764</x:v>
      </x:c>
      <x:c r="B4767" s="16" t="str">
        <x:v>Muhammad Faiz Hamdan</x:v>
      </x:c>
      <x:c r="C4767" s="16" t="str"/>
      <x:c r="D4767" s="16" t="str"/>
      <x:c r="E4767" s="16" t="str">
        <x:v>* myContacts</x:v>
      </x:c>
      <x:c r="F4767" s="16" t="str">
        <x:v>+601114378011</x:v>
      </x:c>
      <x:c r="G4767" s="16" t="str">
        <x:v>+601114378011</x:v>
      </x:c>
      <x:c r="H4767" s="16" t="str">
        <x:v>Excluded</x:v>
      </x:c>
      <x:c r="I4767" s="16" t="str">
        <x:v>Missing email</x:v>
      </x:c>
    </x:row>
    <x:row r="4768">
      <x:c r="A4768" s="16" t="n">
        <x:v>4765</x:v>
      </x:c>
      <x:c r="B4768" s="16" t="str">
        <x:v>Muhammad Faizal Kenji Jai</x:v>
      </x:c>
      <x:c r="C4768" s="16" t="str"/>
      <x:c r="D4768" s="16" t="str"/>
      <x:c r="E4768" s="16" t="str">
        <x:v>* myContacts</x:v>
      </x:c>
      <x:c r="F4768" s="16" t="str">
        <x:v>+601132330387</x:v>
      </x:c>
      <x:c r="G4768" s="16" t="str">
        <x:v>+601132330387</x:v>
      </x:c>
      <x:c r="H4768" s="16" t="str">
        <x:v>Excluded</x:v>
      </x:c>
      <x:c r="I4768" s="16" t="str">
        <x:v>Missing email</x:v>
      </x:c>
    </x:row>
    <x:row r="4769">
      <x:c r="A4769" s="16" t="n">
        <x:v>4766</x:v>
      </x:c>
      <x:c r="B4769" s="16" t="str">
        <x:v>Muhammad Farhan</x:v>
      </x:c>
      <x:c r="C4769" s="16" t="str"/>
      <x:c r="D4769" s="16" t="str"/>
      <x:c r="E4769" s="16" t="str">
        <x:v>* myContacts</x:v>
      </x:c>
      <x:c r="F4769" s="16" t="str">
        <x:v>+60194939360 | +60145069705 | +60194939360 | +60145069705</x:v>
      </x:c>
      <x:c r="G4769" s="16" t="str">
        <x:v>+60194939360 | +60145069705 | +60194939360 | +60145069705</x:v>
      </x:c>
      <x:c r="H4769" s="16" t="str">
        <x:v>Excluded</x:v>
      </x:c>
      <x:c r="I4769" s="16" t="str">
        <x:v>Missing email</x:v>
      </x:c>
    </x:row>
    <x:row r="4770">
      <x:c r="A4770" s="16" t="n">
        <x:v>4767</x:v>
      </x:c>
      <x:c r="B4770" s="16" t="str">
        <x:v>Muhammad Faris Arifin</x:v>
      </x:c>
      <x:c r="C4770" s="16" t="str"/>
      <x:c r="D4770" s="16" t="str"/>
      <x:c r="E4770" s="16" t="str">
        <x:v>* myContacts</x:v>
      </x:c>
      <x:c r="F4770" s="16" t="str">
        <x:v>+60133966628</x:v>
      </x:c>
      <x:c r="G4770" s="16" t="str">
        <x:v>+60133966628</x:v>
      </x:c>
      <x:c r="H4770" s="16" t="str">
        <x:v>Excluded</x:v>
      </x:c>
      <x:c r="I4770" s="16" t="str">
        <x:v>Missing email</x:v>
      </x:c>
    </x:row>
    <x:row r="4771">
      <x:c r="A4771" s="16" t="n">
        <x:v>4768</x:v>
      </x:c>
      <x:c r="B4771" s="16" t="str">
        <x:v>Muhammad Fiqri</x:v>
      </x:c>
      <x:c r="C4771" s="16" t="str"/>
      <x:c r="D4771" s="16" t="str"/>
      <x:c r="E4771" s="16" t="str">
        <x:v>* myContacts</x:v>
      </x:c>
      <x:c r="F4771" s="16" t="str">
        <x:v>+60126446091</x:v>
      </x:c>
      <x:c r="G4771" s="16" t="str">
        <x:v>+60126446091</x:v>
      </x:c>
      <x:c r="H4771" s="16" t="str">
        <x:v>Excluded</x:v>
      </x:c>
      <x:c r="I4771" s="16" t="str">
        <x:v>Missing email</x:v>
      </x:c>
    </x:row>
    <x:row r="4772">
      <x:c r="A4772" s="16" t="n">
        <x:v>4769</x:v>
      </x:c>
      <x:c r="B4772" s="16" t="str">
        <x:v>Muhammad Firdaus Sukemi</x:v>
      </x:c>
      <x:c r="C4772" s="16" t="str"/>
      <x:c r="D4772" s="16" t="str"/>
      <x:c r="E4772" s="16" t="str">
        <x:v>* myContacts</x:v>
      </x:c>
      <x:c r="F4772" s="16" t="str">
        <x:v>+60133763251</x:v>
      </x:c>
      <x:c r="G4772" s="16" t="str">
        <x:v>+60133763251</x:v>
      </x:c>
      <x:c r="H4772" s="16" t="str">
        <x:v>Excluded</x:v>
      </x:c>
      <x:c r="I4772" s="16" t="str">
        <x:v>Missing email</x:v>
      </x:c>
    </x:row>
    <x:row r="4773">
      <x:c r="A4773" s="16" t="n">
        <x:v>4770</x:v>
      </x:c>
      <x:c r="B4773" s="16" t="str">
        <x:v>Muhammad Fitri Mualim</x:v>
      </x:c>
      <x:c r="C4773" s="16" t="str"/>
      <x:c r="D4773" s="16" t="str"/>
      <x:c r="E4773" s="16" t="str">
        <x:v>* myContacts</x:v>
      </x:c>
      <x:c r="F4773" s="16" t="str">
        <x:v>+60177247278</x:v>
      </x:c>
      <x:c r="G4773" s="16" t="str">
        <x:v>+60177247278</x:v>
      </x:c>
      <x:c r="H4773" s="16" t="str">
        <x:v>Excluded</x:v>
      </x:c>
      <x:c r="I4773" s="16" t="str">
        <x:v>Missing email</x:v>
      </x:c>
    </x:row>
    <x:row r="4774">
      <x:c r="A4774" s="16" t="n">
        <x:v>4771</x:v>
      </x:c>
      <x:c r="B4774" s="16" t="str">
        <x:v>Muhammad Ghalik Yahaya</x:v>
      </x:c>
      <x:c r="C4774" s="16" t="str"/>
      <x:c r="D4774" s="16" t="str"/>
      <x:c r="E4774" s="16" t="str">
        <x:v>* myContacts</x:v>
      </x:c>
      <x:c r="F4774" s="16" t="str">
        <x:v>+60 19-699 6150 | +60196996150</x:v>
      </x:c>
      <x:c r="G4774" s="16" t="str">
        <x:v>+60196996150 | +60196996150</x:v>
      </x:c>
      <x:c r="H4774" s="16" t="str">
        <x:v>Excluded</x:v>
      </x:c>
      <x:c r="I4774" s="16" t="str">
        <x:v>Missing email</x:v>
      </x:c>
    </x:row>
    <x:row r="4775">
      <x:c r="A4775" s="16" t="n">
        <x:v>4772</x:v>
      </x:c>
      <x:c r="B4775" s="16" t="str">
        <x:v>Muhammad Habibullah Ismail</x:v>
      </x:c>
      <x:c r="C4775" s="16" t="str"/>
      <x:c r="D4775" s="16" t="str"/>
      <x:c r="E4775" s="16" t="str">
        <x:v>* myContacts</x:v>
      </x:c>
      <x:c r="F4775" s="16" t="str">
        <x:v>+60146264194</x:v>
      </x:c>
      <x:c r="G4775" s="16" t="str">
        <x:v>+60146264194</x:v>
      </x:c>
      <x:c r="H4775" s="16" t="str">
        <x:v>Excluded</x:v>
      </x:c>
      <x:c r="I4775" s="16" t="str">
        <x:v>Missing email</x:v>
      </x:c>
    </x:row>
    <x:row r="4776">
      <x:c r="A4776" s="16" t="n">
        <x:v>4773</x:v>
      </x:c>
      <x:c r="B4776" s="16" t="str">
        <x:v>Muhammad Hafiz Yusof</x:v>
      </x:c>
      <x:c r="C4776" s="16" t="str"/>
      <x:c r="D4776" s="16" t="str"/>
      <x:c r="E4776" s="16" t="str">
        <x:v>* myContacts</x:v>
      </x:c>
      <x:c r="F4776" s="16" t="str">
        <x:v>+60173526835</x:v>
      </x:c>
      <x:c r="G4776" s="16" t="str">
        <x:v>+60173526835</x:v>
      </x:c>
      <x:c r="H4776" s="16" t="str">
        <x:v>Excluded</x:v>
      </x:c>
      <x:c r="I4776" s="16" t="str">
        <x:v>Missing email</x:v>
      </x:c>
    </x:row>
    <x:row r="4777">
      <x:c r="A4777" s="16" t="n">
        <x:v>4774</x:v>
      </x:c>
      <x:c r="B4777" s="16" t="str">
        <x:v>Muhammad Halim Kamaria</x:v>
      </x:c>
      <x:c r="C4777" s="16" t="str"/>
      <x:c r="D4777" s="16" t="str"/>
      <x:c r="E4777" s="16" t="str">
        <x:v>* myContacts</x:v>
      </x:c>
      <x:c r="F4777" s="16" t="str">
        <x:v>+60179400953</x:v>
      </x:c>
      <x:c r="G4777" s="16" t="str">
        <x:v>+60179400953</x:v>
      </x:c>
      <x:c r="H4777" s="16" t="str">
        <x:v>Excluded</x:v>
      </x:c>
      <x:c r="I4777" s="16" t="str">
        <x:v>Missing email</x:v>
      </x:c>
    </x:row>
    <x:row r="4778">
      <x:c r="A4778" s="16" t="n">
        <x:v>4775</x:v>
      </x:c>
      <x:c r="B4778" s="16" t="str">
        <x:v>Muhammad Harith Azim</x:v>
      </x:c>
      <x:c r="C4778" s="16" t="str"/>
      <x:c r="D4778" s="16" t="str"/>
      <x:c r="E4778" s="16" t="str">
        <x:v>* myContacts</x:v>
      </x:c>
      <x:c r="F4778" s="16" t="str">
        <x:v>+60145343646</x:v>
      </x:c>
      <x:c r="G4778" s="16" t="str">
        <x:v>+60145343646</x:v>
      </x:c>
      <x:c r="H4778" s="16" t="str">
        <x:v>Excluded</x:v>
      </x:c>
      <x:c r="I4778" s="16" t="str">
        <x:v>Missing email</x:v>
      </x:c>
    </x:row>
    <x:row r="4779">
      <x:c r="A4779" s="16" t="n">
        <x:v>4776</x:v>
      </x:c>
      <x:c r="B4779" s="16" t="str">
        <x:v>Muhammad Hariz</x:v>
      </x:c>
      <x:c r="C4779" s="16" t="str"/>
      <x:c r="D4779" s="16" t="str"/>
      <x:c r="E4779" s="16" t="str">
        <x:v>* myContacts</x:v>
      </x:c>
      <x:c r="F4779" s="16" t="str">
        <x:v>+60199683468</x:v>
      </x:c>
      <x:c r="G4779" s="16" t="str">
        <x:v>+60199683468</x:v>
      </x:c>
      <x:c r="H4779" s="16" t="str">
        <x:v>Excluded</x:v>
      </x:c>
      <x:c r="I4779" s="16" t="str">
        <x:v>Missing email</x:v>
      </x:c>
    </x:row>
    <x:row r="4780">
      <x:c r="A4780" s="16" t="n">
        <x:v>4777</x:v>
      </x:c>
      <x:c r="B4780" s="16" t="str">
        <x:v>Muhammad Hasbullah</x:v>
      </x:c>
      <x:c r="C4780" s="16" t="str"/>
      <x:c r="D4780" s="16" t="str"/>
      <x:c r="E4780" s="16" t="str">
        <x:v>* myContacts</x:v>
      </x:c>
      <x:c r="F4780" s="16" t="str">
        <x:v>+60145052524</x:v>
      </x:c>
      <x:c r="G4780" s="16" t="str">
        <x:v>+60145052524</x:v>
      </x:c>
      <x:c r="H4780" s="16" t="str">
        <x:v>Excluded</x:v>
      </x:c>
      <x:c r="I4780" s="16" t="str">
        <x:v>Missing email</x:v>
      </x:c>
    </x:row>
    <x:row r="4781">
      <x:c r="A4781" s="16" t="n">
        <x:v>4778</x:v>
      </x:c>
      <x:c r="B4781" s="16" t="str">
        <x:v>Muhammad Helmi Helmi</x:v>
      </x:c>
      <x:c r="C4781" s="16" t="str"/>
      <x:c r="D4781" s="16" t="str"/>
      <x:c r="E4781" s="16" t="str">
        <x:v>* myContacts</x:v>
      </x:c>
      <x:c r="F4781" s="16" t="str">
        <x:v>+60175930387</x:v>
      </x:c>
      <x:c r="G4781" s="16" t="str">
        <x:v>+60175930387</x:v>
      </x:c>
      <x:c r="H4781" s="16" t="str">
        <x:v>Excluded</x:v>
      </x:c>
      <x:c r="I4781" s="16" t="str">
        <x:v>Missing email</x:v>
      </x:c>
    </x:row>
    <x:row r="4782">
      <x:c r="A4782" s="16" t="n">
        <x:v>4779</x:v>
      </x:c>
      <x:c r="B4782" s="16" t="str">
        <x:v>Muhammad Huzaim Che Rosli</x:v>
      </x:c>
      <x:c r="C4782" s="16" t="str"/>
      <x:c r="D4782" s="16" t="str"/>
      <x:c r="E4782" s="16" t="str">
        <x:v>* myContacts</x:v>
      </x:c>
      <x:c r="F4782" s="16" t="str">
        <x:v>+60104644713</x:v>
      </x:c>
      <x:c r="G4782" s="16" t="str">
        <x:v>+60104644713</x:v>
      </x:c>
      <x:c r="H4782" s="16" t="str">
        <x:v>Excluded</x:v>
      </x:c>
      <x:c r="I4782" s="16" t="str">
        <x:v>Missing email</x:v>
      </x:c>
    </x:row>
    <x:row r="4783">
      <x:c r="A4783" s="16" t="n">
        <x:v>4780</x:v>
      </x:c>
      <x:c r="B4783" s="16" t="str">
        <x:v>Muhammad Ibaidullah Abdul Razak</x:v>
      </x:c>
      <x:c r="C4783" s="16" t="str"/>
      <x:c r="D4783" s="16" t="str"/>
      <x:c r="E4783" s="16" t="str">
        <x:v>* myContacts</x:v>
      </x:c>
      <x:c r="F4783" s="16" t="str">
        <x:v>+60139467027</x:v>
      </x:c>
      <x:c r="G4783" s="16" t="str">
        <x:v>+60139467027</x:v>
      </x:c>
      <x:c r="H4783" s="16" t="str">
        <x:v>Excluded</x:v>
      </x:c>
      <x:c r="I4783" s="16" t="str">
        <x:v>Missing email</x:v>
      </x:c>
    </x:row>
    <x:row r="4784">
      <x:c r="A4784" s="16" t="n">
        <x:v>4781</x:v>
      </x:c>
      <x:c r="B4784" s="16" t="str">
        <x:v>Muhammad Ihsan</x:v>
      </x:c>
      <x:c r="C4784" s="16" t="str"/>
      <x:c r="D4784" s="16" t="str"/>
      <x:c r="E4784" s="16" t="str">
        <x:v>* myContacts</x:v>
      </x:c>
      <x:c r="F4784" s="16" t="str">
        <x:v>+60135137401</x:v>
      </x:c>
      <x:c r="G4784" s="16" t="str">
        <x:v>+60135137401</x:v>
      </x:c>
      <x:c r="H4784" s="16" t="str">
        <x:v>Excluded</x:v>
      </x:c>
      <x:c r="I4784" s="16" t="str">
        <x:v>Missing email</x:v>
      </x:c>
    </x:row>
    <x:row r="4785">
      <x:c r="A4785" s="16" t="n">
        <x:v>4782</x:v>
      </x:c>
      <x:c r="B4785" s="16" t="str">
        <x:v>Muhammad Ismadi</x:v>
      </x:c>
      <x:c r="C4785" s="16" t="str"/>
      <x:c r="D4785" s="16" t="str"/>
      <x:c r="E4785" s="16" t="str">
        <x:v>* myContacts</x:v>
      </x:c>
      <x:c r="F4785" s="16" t="str">
        <x:v>+601135933913</x:v>
      </x:c>
      <x:c r="G4785" s="16" t="str">
        <x:v>+601135933913</x:v>
      </x:c>
      <x:c r="H4785" s="16" t="str">
        <x:v>Excluded</x:v>
      </x:c>
      <x:c r="I4785" s="16" t="str">
        <x:v>Missing email</x:v>
      </x:c>
    </x:row>
    <x:row r="4786">
      <x:c r="A4786" s="16" t="n">
        <x:v>4783</x:v>
      </x:c>
      <x:c r="B4786" s="16" t="str">
        <x:v>Muhammad Ismadi Ismail</x:v>
      </x:c>
      <x:c r="C4786" s="16" t="str"/>
      <x:c r="D4786" s="16" t="str"/>
      <x:c r="E4786" s="16" t="str">
        <x:v>* myContacts</x:v>
      </x:c>
      <x:c r="F4786" s="16" t="str">
        <x:v>+60179728944</x:v>
      </x:c>
      <x:c r="G4786" s="16" t="str">
        <x:v>+60179728944</x:v>
      </x:c>
      <x:c r="H4786" s="16" t="str">
        <x:v>Excluded</x:v>
      </x:c>
      <x:c r="I4786" s="16" t="str">
        <x:v>Missing email</x:v>
      </x:c>
    </x:row>
    <x:row r="4787">
      <x:c r="A4787" s="16" t="n">
        <x:v>4784</x:v>
      </x:c>
      <x:c r="B4787" s="16" t="str">
        <x:v>Dr Muhammad Keegan 😊</x:v>
      </x:c>
      <x:c r="C4787" s="16" t="str"/>
      <x:c r="D4787" s="16" t="str"/>
      <x:c r="E4787" s="16" t="str">
        <x:v>* myContacts</x:v>
      </x:c>
      <x:c r="F4787" s="16" t="str">
        <x:v>+60 14-888 7979</x:v>
      </x:c>
      <x:c r="G4787" s="16" t="str">
        <x:v>+60148887979</x:v>
      </x:c>
      <x:c r="H4787" s="16" t="str">
        <x:v>Excluded</x:v>
      </x:c>
      <x:c r="I4787" s="16" t="str">
        <x:v>Missing email</x:v>
      </x:c>
    </x:row>
    <x:row r="4788">
      <x:c r="A4788" s="16" t="n">
        <x:v>4785</x:v>
      </x:c>
      <x:c r="B4788" s="16" t="str">
        <x:v>Muhammad Kirom</x:v>
      </x:c>
      <x:c r="C4788" s="16" t="str"/>
      <x:c r="D4788" s="16" t="str"/>
      <x:c r="E4788" s="16" t="str">
        <x:v>* myContacts</x:v>
      </x:c>
      <x:c r="F4788" s="16" t="str">
        <x:v>+60108049389</x:v>
      </x:c>
      <x:c r="G4788" s="16" t="str">
        <x:v>+60108049389</x:v>
      </x:c>
      <x:c r="H4788" s="16" t="str">
        <x:v>Excluded</x:v>
      </x:c>
      <x:c r="I4788" s="16" t="str">
        <x:v>Missing email</x:v>
      </x:c>
    </x:row>
    <x:row r="4789">
      <x:c r="A4789" s="16" t="n">
        <x:v>4786</x:v>
      </x:c>
      <x:c r="B4789" s="16" t="str">
        <x:v>Muhammad Marwan Takaful</x:v>
      </x:c>
      <x:c r="C4789" s="16" t="str"/>
      <x:c r="D4789" s="16" t="str"/>
      <x:c r="E4789" s="16" t="str">
        <x:v>* myContacts</x:v>
      </x:c>
      <x:c r="F4789" s="16" t="str">
        <x:v>+601139252478</x:v>
      </x:c>
      <x:c r="G4789" s="16" t="str">
        <x:v>+601139252478</x:v>
      </x:c>
      <x:c r="H4789" s="16" t="str">
        <x:v>Excluded</x:v>
      </x:c>
      <x:c r="I4789" s="16" t="str">
        <x:v>Missing email</x:v>
      </x:c>
    </x:row>
    <x:row r="4790">
      <x:c r="A4790" s="16" t="n">
        <x:v>4787</x:v>
      </x:c>
      <x:c r="B4790" s="16" t="str">
        <x:v>Muhammad Muaz</x:v>
      </x:c>
      <x:c r="C4790" s="16" t="str"/>
      <x:c r="D4790" s="16" t="str"/>
      <x:c r="E4790" s="16" t="str">
        <x:v>* myContacts</x:v>
      </x:c>
      <x:c r="F4790" s="16" t="str">
        <x:v>+60107722021</x:v>
      </x:c>
      <x:c r="G4790" s="16" t="str">
        <x:v>+60107722021</x:v>
      </x:c>
      <x:c r="H4790" s="16" t="str">
        <x:v>Excluded</x:v>
      </x:c>
      <x:c r="I4790" s="16" t="str">
        <x:v>Missing email</x:v>
      </x:c>
    </x:row>
    <x:row r="4791">
      <x:c r="A4791" s="16" t="n">
        <x:v>4788</x:v>
      </x:c>
      <x:c r="B4791" s="16" t="str">
        <x:v>Muhammad Muddrikah Hassan Fatihah</x:v>
      </x:c>
      <x:c r="C4791" s="16" t="str"/>
      <x:c r="D4791" s="16" t="str"/>
      <x:c r="E4791" s="16" t="str">
        <x:v>* myContacts</x:v>
      </x:c>
      <x:c r="F4791" s="16" t="str">
        <x:v>+60148171978</x:v>
      </x:c>
      <x:c r="G4791" s="16" t="str">
        <x:v>+60148171978</x:v>
      </x:c>
      <x:c r="H4791" s="16" t="str">
        <x:v>Excluded</x:v>
      </x:c>
      <x:c r="I4791" s="16" t="str">
        <x:v>Missing email</x:v>
      </x:c>
    </x:row>
    <x:row r="4792">
      <x:c r="A4792" s="16" t="n">
        <x:v>4789</x:v>
      </x:c>
      <x:c r="B4792" s="16" t="str">
        <x:v>Muhammad Muthohir</x:v>
      </x:c>
      <x:c r="C4792" s="16" t="str"/>
      <x:c r="D4792" s="16" t="str"/>
      <x:c r="E4792" s="16" t="str">
        <x:v>* myContacts</x:v>
      </x:c>
      <x:c r="F4792" s="16" t="str">
        <x:v>+6282136171182</x:v>
      </x:c>
      <x:c r="G4792" s="16" t="str">
        <x:v>+6282136171182</x:v>
      </x:c>
      <x:c r="H4792" s="16" t="str">
        <x:v>Excluded</x:v>
      </x:c>
      <x:c r="I4792" s="16" t="str">
        <x:v>Missing email</x:v>
      </x:c>
    </x:row>
    <x:row r="4793">
      <x:c r="A4793" s="16" t="n">
        <x:v>4790</x:v>
      </x:c>
      <x:c r="B4793" s="16" t="str">
        <x:v>Muhammad Nabil Idris</x:v>
      </x:c>
      <x:c r="C4793" s="16" t="str"/>
      <x:c r="D4793" s="16" t="str"/>
      <x:c r="E4793" s="16" t="str">
        <x:v>* myContacts</x:v>
      </x:c>
      <x:c r="F4793" s="16" t="str">
        <x:v>+60175034234</x:v>
      </x:c>
      <x:c r="G4793" s="16" t="str">
        <x:v>+60175034234</x:v>
      </x:c>
      <x:c r="H4793" s="16" t="str">
        <x:v>Excluded</x:v>
      </x:c>
      <x:c r="I4793" s="16" t="str">
        <x:v>Missing email</x:v>
      </x:c>
    </x:row>
    <x:row r="4794">
      <x:c r="A4794" s="16" t="n">
        <x:v>4791</x:v>
      </x:c>
      <x:c r="B4794" s="16" t="str">
        <x:v>Muhammad Nasiruddin Ahmad Sukri</x:v>
      </x:c>
      <x:c r="C4794" s="16" t="str"/>
      <x:c r="D4794" s="16" t="str"/>
      <x:c r="E4794" s="16" t="str">
        <x:v>* myContacts</x:v>
      </x:c>
      <x:c r="F4794" s="16" t="str">
        <x:v>+60134427316</x:v>
      </x:c>
      <x:c r="G4794" s="16" t="str">
        <x:v>+60134427316</x:v>
      </x:c>
      <x:c r="H4794" s="16" t="str">
        <x:v>Excluded</x:v>
      </x:c>
      <x:c r="I4794" s="16" t="str">
        <x:v>Missing email</x:v>
      </x:c>
    </x:row>
    <x:row r="4795">
      <x:c r="A4795" s="16" t="n">
        <x:v>4792</x:v>
      </x:c>
      <x:c r="B4795" s="16" t="str">
        <x:v>Muhammad Nazarudin</x:v>
      </x:c>
      <x:c r="C4795" s="16" t="str"/>
      <x:c r="D4795" s="16" t="str"/>
      <x:c r="E4795" s="16" t="str">
        <x:v>* myContacts</x:v>
      </x:c>
      <x:c r="F4795" s="16" t="str">
        <x:v>+60173834207</x:v>
      </x:c>
      <x:c r="G4795" s="16" t="str">
        <x:v>+60173834207</x:v>
      </x:c>
      <x:c r="H4795" s="16" t="str">
        <x:v>Excluded</x:v>
      </x:c>
      <x:c r="I4795" s="16" t="str">
        <x:v>Missing email</x:v>
      </x:c>
    </x:row>
    <x:row r="4796">
      <x:c r="A4796" s="16" t="n">
        <x:v>4793</x:v>
      </x:c>
      <x:c r="B4796" s="16" t="str">
        <x:v>Muhammad Nazri Lokman Phytogold RJB MTDC</x:v>
      </x:c>
      <x:c r="C4796" s="16" t="str">
        <x:v>nazri@phytogold.com</x:v>
      </x:c>
      <x:c r="D4796" s="16" t="str">
        <x:v>nazri@phytogold.com</x:v>
      </x:c>
      <x:c r="E4796" s="16" t="str">
        <x:v>* myContacts</x:v>
      </x:c>
      <x:c r="F4796" s="16" t="str">
        <x:v>+60 17-337 4207 | +60173374207 | +60 3-8751 3127</x:v>
      </x:c>
      <x:c r="G4796" s="16" t="str">
        <x:v>+60173374207 | +60173374207 | +60387513127</x:v>
      </x:c>
      <x:c r="H4796" s="16" t="str">
        <x:v>Eligible</x:v>
      </x:c>
      <x:c r="I4796" s="16" t="str"/>
    </x:row>
    <x:row r="4797">
      <x:c r="A4797" s="16" t="n">
        <x:v>4794</x:v>
      </x:c>
      <x:c r="B4797" s="16" t="str">
        <x:v>Muhammad Qayyum</x:v>
      </x:c>
      <x:c r="C4797" s="16" t="str"/>
      <x:c r="D4797" s="16" t="str"/>
      <x:c r="E4797" s="16" t="str">
        <x:v>* myContacts</x:v>
      </x:c>
      <x:c r="F4797" s="16" t="str">
        <x:v>+6066797170</x:v>
      </x:c>
      <x:c r="G4797" s="16" t="str">
        <x:v>+6066797170</x:v>
      </x:c>
      <x:c r="H4797" s="16" t="str">
        <x:v>Excluded</x:v>
      </x:c>
      <x:c r="I4797" s="16" t="str">
        <x:v>Missing email</x:v>
      </x:c>
    </x:row>
    <x:row r="4798">
      <x:c r="A4798" s="16" t="n">
        <x:v>4795</x:v>
      </x:c>
      <x:c r="B4798" s="16" t="str">
        <x:v>Muhammad Ridwan</x:v>
      </x:c>
      <x:c r="C4798" s="16" t="str"/>
      <x:c r="D4798" s="16" t="str"/>
      <x:c r="E4798" s="16" t="str">
        <x:v>* myContacts</x:v>
      </x:c>
      <x:c r="F4798" s="16" t="str">
        <x:v>+60178884685</x:v>
      </x:c>
      <x:c r="G4798" s="16" t="str">
        <x:v>+60178884685</x:v>
      </x:c>
      <x:c r="H4798" s="16" t="str">
        <x:v>Excluded</x:v>
      </x:c>
      <x:c r="I4798" s="16" t="str">
        <x:v>Missing email</x:v>
      </x:c>
    </x:row>
    <x:row r="4799">
      <x:c r="A4799" s="16" t="n">
        <x:v>4796</x:v>
      </x:c>
      <x:c r="B4799" s="16" t="str">
        <x:v>Muhammad Rifqi Amad</x:v>
      </x:c>
      <x:c r="C4799" s="16" t="str"/>
      <x:c r="D4799" s="16" t="str"/>
      <x:c r="E4799" s="16" t="str">
        <x:v>* myContacts</x:v>
      </x:c>
      <x:c r="F4799" s="16" t="str">
        <x:v>+60133218638</x:v>
      </x:c>
      <x:c r="G4799" s="16" t="str">
        <x:v>+60133218638</x:v>
      </x:c>
      <x:c r="H4799" s="16" t="str">
        <x:v>Excluded</x:v>
      </x:c>
      <x:c r="I4799" s="16" t="str">
        <x:v>Missing email</x:v>
      </x:c>
    </x:row>
    <x:row r="4800">
      <x:c r="A4800" s="16" t="n">
        <x:v>4797</x:v>
      </x:c>
      <x:c r="B4800" s="16" t="str">
        <x:v>Muhammad Rizal Jamaluddin</x:v>
      </x:c>
      <x:c r="C4800" s="16" t="str"/>
      <x:c r="D4800" s="16" t="str"/>
      <x:c r="E4800" s="16" t="str">
        <x:v>* myContacts</x:v>
      </x:c>
      <x:c r="F4800" s="16" t="str">
        <x:v>+60175143376</x:v>
      </x:c>
      <x:c r="G4800" s="16" t="str">
        <x:v>+60175143376</x:v>
      </x:c>
      <x:c r="H4800" s="16" t="str">
        <x:v>Excluded</x:v>
      </x:c>
      <x:c r="I4800" s="16" t="str">
        <x:v>Missing email</x:v>
      </x:c>
    </x:row>
    <x:row r="4801">
      <x:c r="A4801" s="16" t="n">
        <x:v>4798</x:v>
      </x:c>
      <x:c r="B4801" s="16" t="str">
        <x:v>Muhammad Rofikhi</x:v>
      </x:c>
      <x:c r="C4801" s="16" t="str"/>
      <x:c r="D4801" s="16" t="str"/>
      <x:c r="E4801" s="16" t="str">
        <x:v>* myContacts</x:v>
      </x:c>
      <x:c r="F4801" s="16" t="str">
        <x:v>+60195005151</x:v>
      </x:c>
      <x:c r="G4801" s="16" t="str">
        <x:v>+60195005151</x:v>
      </x:c>
      <x:c r="H4801" s="16" t="str">
        <x:v>Excluded</x:v>
      </x:c>
      <x:c r="I4801" s="16" t="str">
        <x:v>Missing email</x:v>
      </x:c>
    </x:row>
    <x:row r="4802">
      <x:c r="A4802" s="16" t="n">
        <x:v>4799</x:v>
      </x:c>
      <x:c r="B4802" s="16" t="str">
        <x:v>Muhammad Romzie</x:v>
      </x:c>
      <x:c r="C4802" s="16" t="str"/>
      <x:c r="D4802" s="16" t="str"/>
      <x:c r="E4802" s="16" t="str">
        <x:v>* myContacts</x:v>
      </x:c>
      <x:c r="F4802" s="16" t="str">
        <x:v>+60136395538</x:v>
      </x:c>
      <x:c r="G4802" s="16" t="str">
        <x:v>+60136395538</x:v>
      </x:c>
      <x:c r="H4802" s="16" t="str">
        <x:v>Excluded</x:v>
      </x:c>
      <x:c r="I4802" s="16" t="str">
        <x:v>Missing email</x:v>
      </x:c>
    </x:row>
    <x:row r="4803">
      <x:c r="A4803" s="16" t="n">
        <x:v>4800</x:v>
      </x:c>
      <x:c r="B4803" s="16" t="str">
        <x:v>Muhammad Saifuddin Ismail</x:v>
      </x:c>
      <x:c r="C4803" s="16" t="str"/>
      <x:c r="D4803" s="16" t="str"/>
      <x:c r="E4803" s="16" t="str">
        <x:v>* myContacts</x:v>
      </x:c>
      <x:c r="F4803" s="16" t="str">
        <x:v>+601111182527</x:v>
      </x:c>
      <x:c r="G4803" s="16" t="str">
        <x:v>+601111182527</x:v>
      </x:c>
      <x:c r="H4803" s="16" t="str">
        <x:v>Excluded</x:v>
      </x:c>
      <x:c r="I4803" s="16" t="str">
        <x:v>Missing email</x:v>
      </x:c>
    </x:row>
    <x:row r="4804">
      <x:c r="A4804" s="16" t="n">
        <x:v>4801</x:v>
      </x:c>
      <x:c r="B4804" s="16" t="str">
        <x:v>Muhammad Saifullah</x:v>
      </x:c>
      <x:c r="C4804" s="16" t="str"/>
      <x:c r="D4804" s="16" t="str"/>
      <x:c r="E4804" s="16" t="str">
        <x:v>* myContacts</x:v>
      </x:c>
      <x:c r="F4804" s="16" t="str">
        <x:v>+60182469010</x:v>
      </x:c>
      <x:c r="G4804" s="16" t="str">
        <x:v>+60182469010</x:v>
      </x:c>
      <x:c r="H4804" s="16" t="str">
        <x:v>Excluded</x:v>
      </x:c>
      <x:c r="I4804" s="16" t="str">
        <x:v>Missing email</x:v>
      </x:c>
    </x:row>
    <x:row r="4805">
      <x:c r="A4805" s="16" t="n">
        <x:v>4802</x:v>
      </x:c>
      <x:c r="B4805" s="16" t="str">
        <x:v>Muhammad Shahizzudin Radzif</x:v>
      </x:c>
      <x:c r="C4805" s="16" t="str"/>
      <x:c r="D4805" s="16" t="str"/>
      <x:c r="E4805" s="16" t="str">
        <x:v>* myContacts</x:v>
      </x:c>
      <x:c r="F4805" s="16" t="str">
        <x:v>+60173016979</x:v>
      </x:c>
      <x:c r="G4805" s="16" t="str">
        <x:v>+60173016979</x:v>
      </x:c>
      <x:c r="H4805" s="16" t="str">
        <x:v>Excluded</x:v>
      </x:c>
      <x:c r="I4805" s="16" t="str">
        <x:v>Missing email</x:v>
      </x:c>
    </x:row>
    <x:row r="4806">
      <x:c r="A4806" s="16" t="n">
        <x:v>4803</x:v>
      </x:c>
      <x:c r="B4806" s="16" t="str">
        <x:v>Muhammad Solahuddin</x:v>
      </x:c>
      <x:c r="C4806" s="16" t="str"/>
      <x:c r="D4806" s="16" t="str"/>
      <x:c r="E4806" s="16" t="str">
        <x:v>* myContacts</x:v>
      </x:c>
      <x:c r="F4806" s="16" t="str">
        <x:v>+601125478426</x:v>
      </x:c>
      <x:c r="G4806" s="16" t="str">
        <x:v>+601125478426</x:v>
      </x:c>
      <x:c r="H4806" s="16" t="str">
        <x:v>Excluded</x:v>
      </x:c>
      <x:c r="I4806" s="16" t="str">
        <x:v>Missing email</x:v>
      </x:c>
    </x:row>
    <x:row r="4807">
      <x:c r="A4807" s="16" t="n">
        <x:v>4804</x:v>
      </x:c>
      <x:c r="B4807" s="16" t="str">
        <x:v>Muhammad Syafiq</x:v>
      </x:c>
      <x:c r="C4807" s="16" t="str"/>
      <x:c r="D4807" s="16" t="str"/>
      <x:c r="E4807" s="16" t="str">
        <x:v>* myContacts</x:v>
      </x:c>
      <x:c r="F4807" s="16" t="str">
        <x:v>+60176639932</x:v>
      </x:c>
      <x:c r="G4807" s="16" t="str">
        <x:v>+60176639932</x:v>
      </x:c>
      <x:c r="H4807" s="16" t="str">
        <x:v>Excluded</x:v>
      </x:c>
      <x:c r="I4807" s="16" t="str">
        <x:v>Missing email</x:v>
      </x:c>
    </x:row>
    <x:row r="4808">
      <x:c r="A4808" s="16" t="n">
        <x:v>4805</x:v>
      </x:c>
      <x:c r="B4808" s="16" t="str">
        <x:v>Muhammad Syafiq Che Ghani</x:v>
      </x:c>
      <x:c r="C4808" s="16" t="str"/>
      <x:c r="D4808" s="16" t="str"/>
      <x:c r="E4808" s="16" t="str">
        <x:v>* myContacts</x:v>
      </x:c>
      <x:c r="F4808" s="16" t="str">
        <x:v>+60133387212</x:v>
      </x:c>
      <x:c r="G4808" s="16" t="str">
        <x:v>+60133387212</x:v>
      </x:c>
      <x:c r="H4808" s="16" t="str">
        <x:v>Excluded</x:v>
      </x:c>
      <x:c r="I4808" s="16" t="str">
        <x:v>Missing email</x:v>
      </x:c>
    </x:row>
    <x:row r="4809">
      <x:c r="A4809" s="16" t="n">
        <x:v>4806</x:v>
      </x:c>
      <x:c r="B4809" s="16" t="str">
        <x:v>Muhammad Syazwan</x:v>
      </x:c>
      <x:c r="C4809" s="16" t="str">
        <x:v>denzel_leonhart@yahoo.com</x:v>
      </x:c>
      <x:c r="D4809" s="16" t="str">
        <x:v>denzel_leonhart@yahoo.com</x:v>
      </x:c>
      <x:c r="E4809" s="16" t="str">
        <x:v>* myContacts</x:v>
      </x:c>
      <x:c r="F4809" s="16" t="str">
        <x:v>+60176827503</x:v>
      </x:c>
      <x:c r="G4809" s="16" t="str">
        <x:v>+60176827503</x:v>
      </x:c>
      <x:c r="H4809" s="16" t="str">
        <x:v>Eligible</x:v>
      </x:c>
      <x:c r="I4809" s="16" t="str"/>
    </x:row>
    <x:row r="4810">
      <x:c r="A4810" s="16" t="n">
        <x:v>4807</x:v>
      </x:c>
      <x:c r="B4810" s="16" t="str">
        <x:v>Muhammad Tesar</x:v>
      </x:c>
      <x:c r="C4810" s="16" t="str"/>
      <x:c r="D4810" s="16" t="str"/>
      <x:c r="E4810" s="16" t="str">
        <x:v>* myContacts</x:v>
      </x:c>
      <x:c r="F4810" s="16" t="str">
        <x:v>+6281246659051</x:v>
      </x:c>
      <x:c r="G4810" s="16" t="str">
        <x:v>+6281246659051</x:v>
      </x:c>
      <x:c r="H4810" s="16" t="str">
        <x:v>Excluded</x:v>
      </x:c>
      <x:c r="I4810" s="16" t="str">
        <x:v>Missing email</x:v>
      </x:c>
    </x:row>
    <x:row r="4811">
      <x:c r="A4811" s="16" t="n">
        <x:v>4808</x:v>
      </x:c>
      <x:c r="B4811" s="16" t="str">
        <x:v>Muhammad Tokmat</x:v>
      </x:c>
      <x:c r="C4811" s="16" t="str"/>
      <x:c r="D4811" s="16" t="str"/>
      <x:c r="E4811" s="16" t="str">
        <x:v>* myContacts</x:v>
      </x:c>
      <x:c r="F4811" s="16" t="str">
        <x:v>+601111518667</x:v>
      </x:c>
      <x:c r="G4811" s="16" t="str">
        <x:v>+601111518667</x:v>
      </x:c>
      <x:c r="H4811" s="16" t="str">
        <x:v>Excluded</x:v>
      </x:c>
      <x:c r="I4811" s="16" t="str">
        <x:v>Missing email</x:v>
      </x:c>
    </x:row>
    <x:row r="4812">
      <x:c r="A4812" s="16" t="n">
        <x:v>4809</x:v>
      </x:c>
      <x:c r="B4812" s="16" t="str">
        <x:v>Muhammad Wafiq Bin Khairul Anuar</x:v>
      </x:c>
      <x:c r="C4812" s="16" t="str">
        <x:v>ruang_idea@yahoo.com | wafiqawa@gmail.com</x:v>
      </x:c>
      <x:c r="D4812" s="16" t="str">
        <x:v>ruang_idea@yahoo.com | wafiqawa@gmail.com</x:v>
      </x:c>
      <x:c r="E4812" s="16" t="str">
        <x:v>* myContacts</x:v>
      </x:c>
      <x:c r="F4812" s="16" t="str">
        <x:v>0361403885 | 0108904415 | +60361403885 | 0108904415 | 0361402925</x:v>
      </x:c>
      <x:c r="G4812" s="16" t="str">
        <x:v>+60361403885 | +60108904415 | +60361403885 | +60108904415 | +60361402925</x:v>
      </x:c>
      <x:c r="H4812" s="16" t="str">
        <x:v>Eligible</x:v>
      </x:c>
      <x:c r="I4812" s="16" t="str"/>
    </x:row>
    <x:row r="4813">
      <x:c r="A4813" s="16" t="n">
        <x:v>4810</x:v>
      </x:c>
      <x:c r="B4813" s="16" t="str">
        <x:v>Muhammad Zaimi</x:v>
      </x:c>
      <x:c r="C4813" s="16" t="str"/>
      <x:c r="D4813" s="16" t="str"/>
      <x:c r="E4813" s="16" t="str">
        <x:v>* myContacts</x:v>
      </x:c>
      <x:c r="F4813" s="16" t="str">
        <x:v>+601133292518</x:v>
      </x:c>
      <x:c r="G4813" s="16" t="str">
        <x:v>+601133292518</x:v>
      </x:c>
      <x:c r="H4813" s="16" t="str">
        <x:v>Excluded</x:v>
      </x:c>
      <x:c r="I4813" s="16" t="str">
        <x:v>Missing email</x:v>
      </x:c>
    </x:row>
    <x:row r="4814">
      <x:c r="A4814" s="16" t="n">
        <x:v>4811</x:v>
      </x:c>
      <x:c r="B4814" s="16" t="str">
        <x:v>Muhammad Zakie Dzulkiflee</x:v>
      </x:c>
      <x:c r="C4814" s="16" t="str"/>
      <x:c r="D4814" s="16" t="str"/>
      <x:c r="E4814" s="16" t="str">
        <x:v>* myContacts</x:v>
      </x:c>
      <x:c r="F4814" s="16" t="str">
        <x:v>+60167631730</x:v>
      </x:c>
      <x:c r="G4814" s="16" t="str">
        <x:v>+60167631730</x:v>
      </x:c>
      <x:c r="H4814" s="16" t="str">
        <x:v>Excluded</x:v>
      </x:c>
      <x:c r="I4814" s="16" t="str">
        <x:v>Missing email</x:v>
      </x:c>
    </x:row>
    <x:row r="4815">
      <x:c r="A4815" s="16" t="n">
        <x:v>4812</x:v>
      </x:c>
      <x:c r="B4815" s="16" t="str">
        <x:v>Muhammad Zakwan Zulkeply</x:v>
      </x:c>
      <x:c r="C4815" s="16" t="str"/>
      <x:c r="D4815" s="16" t="str"/>
      <x:c r="E4815" s="16" t="str">
        <x:v>* myContacts</x:v>
      </x:c>
      <x:c r="F4815" s="16" t="str">
        <x:v>+60122752771</x:v>
      </x:c>
      <x:c r="G4815" s="16" t="str">
        <x:v>+60122752771</x:v>
      </x:c>
      <x:c r="H4815" s="16" t="str">
        <x:v>Excluded</x:v>
      </x:c>
      <x:c r="I4815" s="16" t="str">
        <x:v>Missing email</x:v>
      </x:c>
    </x:row>
    <x:row r="4816">
      <x:c r="A4816" s="16" t="n">
        <x:v>4813</x:v>
      </x:c>
      <x:c r="B4816" s="16" t="str">
        <x:v>Muhammad Zulhaili Abdullah</x:v>
      </x:c>
      <x:c r="C4816" s="16" t="str"/>
      <x:c r="D4816" s="16" t="str"/>
      <x:c r="E4816" s="16" t="str">
        <x:v>* myContacts</x:v>
      </x:c>
      <x:c r="F4816" s="16" t="str">
        <x:v>+60107069362</x:v>
      </x:c>
      <x:c r="G4816" s="16" t="str">
        <x:v>+60107069362</x:v>
      </x:c>
      <x:c r="H4816" s="16" t="str">
        <x:v>Excluded</x:v>
      </x:c>
      <x:c r="I4816" s="16" t="str">
        <x:v>Missing email</x:v>
      </x:c>
    </x:row>
    <x:row r="4817">
      <x:c r="A4817" s="16" t="n">
        <x:v>4814</x:v>
      </x:c>
      <x:c r="B4817" s="16" t="str">
        <x:v>Muhammad Zulhusni</x:v>
      </x:c>
      <x:c r="C4817" s="16" t="str"/>
      <x:c r="D4817" s="16" t="str"/>
      <x:c r="E4817" s="16" t="str">
        <x:v>* myContacts</x:v>
      </x:c>
      <x:c r="F4817" s="16" t="str">
        <x:v>+60183800085</x:v>
      </x:c>
      <x:c r="G4817" s="16" t="str">
        <x:v>+60183800085</x:v>
      </x:c>
      <x:c r="H4817" s="16" t="str">
        <x:v>Excluded</x:v>
      </x:c>
      <x:c r="I4817" s="16" t="str">
        <x:v>Missing email</x:v>
      </x:c>
    </x:row>
    <x:row r="4818">
      <x:c r="A4818" s="16" t="n">
        <x:v>4815</x:v>
      </x:c>
      <x:c r="B4818" s="16" t="str">
        <x:v>MuhammadRizal Sarapan Pasir Gudang</x:v>
      </x:c>
      <x:c r="C4818" s="16" t="str"/>
      <x:c r="D4818" s="16" t="str"/>
      <x:c r="E4818" s="16" t="str">
        <x:v>* myContacts</x:v>
      </x:c>
      <x:c r="F4818" s="16" t="str">
        <x:v>+60106559697</x:v>
      </x:c>
      <x:c r="G4818" s="16" t="str">
        <x:v>+60106559697</x:v>
      </x:c>
      <x:c r="H4818" s="16" t="str">
        <x:v>Excluded</x:v>
      </x:c>
      <x:c r="I4818" s="16" t="str">
        <x:v>Missing email</x:v>
      </x:c>
    </x:row>
    <x:row r="4819">
      <x:c r="A4819" s="16" t="n">
        <x:v>4816</x:v>
      </x:c>
      <x:c r="B4819" s="16" t="str">
        <x:v>Muhammaf Afiq Faiz Poslaju</x:v>
      </x:c>
      <x:c r="C4819" s="16" t="str"/>
      <x:c r="D4819" s="16" t="str"/>
      <x:c r="E4819" s="16" t="str">
        <x:v>* myContacts</x:v>
      </x:c>
      <x:c r="F4819" s="16" t="str">
        <x:v>0143188725 | +60143188725</x:v>
      </x:c>
      <x:c r="G4819" s="16" t="str">
        <x:v>+60143188725 | +60143188725</x:v>
      </x:c>
      <x:c r="H4819" s="16" t="str">
        <x:v>Excluded</x:v>
      </x:c>
      <x:c r="I4819" s="16" t="str">
        <x:v>Missing email</x:v>
      </x:c>
    </x:row>
    <x:row r="4820">
      <x:c r="A4820" s="16" t="n">
        <x:v>4817</x:v>
      </x:c>
      <x:c r="B4820" s="16" t="str">
        <x:v>Muhayat Hafifi Ahmad Termizai</x:v>
      </x:c>
      <x:c r="C4820" s="16" t="str"/>
      <x:c r="D4820" s="16" t="str"/>
      <x:c r="E4820" s="16" t="str">
        <x:v>* myContacts</x:v>
      </x:c>
      <x:c r="F4820" s="16" t="str">
        <x:v>+60145361693</x:v>
      </x:c>
      <x:c r="G4820" s="16" t="str">
        <x:v>+60145361693</x:v>
      </x:c>
      <x:c r="H4820" s="16" t="str">
        <x:v>Excluded</x:v>
      </x:c>
      <x:c r="I4820" s="16" t="str">
        <x:v>Missing email</x:v>
      </x:c>
    </x:row>
    <x:row r="4821">
      <x:c r="A4821" s="16" t="n">
        <x:v>4818</x:v>
      </x:c>
      <x:c r="B4821" s="16" t="str">
        <x:v>Muhaydi BDA</x:v>
      </x:c>
      <x:c r="C4821" s="16" t="str"/>
      <x:c r="D4821" s="16" t="str"/>
      <x:c r="E4821" s="16" t="str">
        <x:v>* myContacts</x:v>
      </x:c>
      <x:c r="F4821" s="16" t="str">
        <x:v>+60194101534</x:v>
      </x:c>
      <x:c r="G4821" s="16" t="str">
        <x:v>+60194101534</x:v>
      </x:c>
      <x:c r="H4821" s="16" t="str">
        <x:v>Excluded</x:v>
      </x:c>
      <x:c r="I4821" s="16" t="str">
        <x:v>Missing email</x:v>
      </x:c>
    </x:row>
    <x:row r="4822">
      <x:c r="A4822" s="16" t="n">
        <x:v>4819</x:v>
      </x:c>
      <x:c r="B4822" s="16" t="str">
        <x:v>Muhazli AGP</x:v>
      </x:c>
      <x:c r="C4822" s="16" t="str"/>
      <x:c r="D4822" s="16" t="str"/>
      <x:c r="E4822" s="16" t="str">
        <x:v>* myContacts</x:v>
      </x:c>
      <x:c r="F4822" s="16" t="str">
        <x:v>+60 12-757 6139 | +60127576139</x:v>
      </x:c>
      <x:c r="G4822" s="16" t="str">
        <x:v>+60127576139 | +60127576139</x:v>
      </x:c>
      <x:c r="H4822" s="16" t="str">
        <x:v>Excluded</x:v>
      </x:c>
      <x:c r="I4822" s="16" t="str">
        <x:v>Missing email</x:v>
      </x:c>
    </x:row>
    <x:row r="4823">
      <x:c r="A4823" s="16" t="n">
        <x:v>4820</x:v>
      </x:c>
      <x:c r="B4823" s="16" t="str">
        <x:v>Muhd Afiff Ailan</x:v>
      </x:c>
      <x:c r="C4823" s="16" t="str"/>
      <x:c r="D4823" s="16" t="str"/>
      <x:c r="E4823" s="16" t="str">
        <x:v>* myContacts</x:v>
      </x:c>
      <x:c r="F4823" s="16" t="str">
        <x:v>+60169439517</x:v>
      </x:c>
      <x:c r="G4823" s="16" t="str">
        <x:v>+60169439517</x:v>
      </x:c>
      <x:c r="H4823" s="16" t="str">
        <x:v>Excluded</x:v>
      </x:c>
      <x:c r="I4823" s="16" t="str">
        <x:v>Missing email</x:v>
      </x:c>
    </x:row>
    <x:row r="4824">
      <x:c r="A4824" s="16" t="n">
        <x:v>4821</x:v>
      </x:c>
      <x:c r="B4824" s="16" t="str">
        <x:v>Muhd Afiq</x:v>
      </x:c>
      <x:c r="C4824" s="16" t="str"/>
      <x:c r="D4824" s="16" t="str"/>
      <x:c r="E4824" s="16" t="str">
        <x:v>* myContacts</x:v>
      </x:c>
      <x:c r="F4824" s="16" t="str">
        <x:v>+60175012605</x:v>
      </x:c>
      <x:c r="G4824" s="16" t="str">
        <x:v>+60175012605</x:v>
      </x:c>
      <x:c r="H4824" s="16" t="str">
        <x:v>Excluded</x:v>
      </x:c>
      <x:c r="I4824" s="16" t="str">
        <x:v>Missing email</x:v>
      </x:c>
    </x:row>
    <x:row r="4825">
      <x:c r="A4825" s="16" t="n">
        <x:v>4822</x:v>
      </x:c>
      <x:c r="B4825" s="16" t="str">
        <x:v>Muhd Aizat TP</x:v>
      </x:c>
      <x:c r="C4825" s="16" t="str"/>
      <x:c r="D4825" s="16" t="str"/>
      <x:c r="E4825" s="16" t="str">
        <x:v>* myContacts</x:v>
      </x:c>
      <x:c r="F4825" s="16" t="str">
        <x:v>+60107991916</x:v>
      </x:c>
      <x:c r="G4825" s="16" t="str">
        <x:v>+60107991916</x:v>
      </x:c>
      <x:c r="H4825" s="16" t="str">
        <x:v>Excluded</x:v>
      </x:c>
      <x:c r="I4825" s="16" t="str">
        <x:v>Missing email</x:v>
      </x:c>
    </x:row>
    <x:row r="4826">
      <x:c r="A4826" s="16" t="n">
        <x:v>4823</x:v>
      </x:c>
      <x:c r="B4826" s="16" t="str">
        <x:v>Muhd Aizat TP II</x:v>
      </x:c>
      <x:c r="C4826" s="16" t="str"/>
      <x:c r="D4826" s="16" t="str"/>
      <x:c r="E4826" s="16" t="str">
        <x:v>* myContacts</x:v>
      </x:c>
      <x:c r="F4826" s="16" t="str">
        <x:v>+60107991916</x:v>
      </x:c>
      <x:c r="G4826" s="16" t="str">
        <x:v>+60107991916</x:v>
      </x:c>
      <x:c r="H4826" s="16" t="str">
        <x:v>Excluded</x:v>
      </x:c>
      <x:c r="I4826" s="16" t="str">
        <x:v>Missing email</x:v>
      </x:c>
    </x:row>
    <x:row r="4827">
      <x:c r="A4827" s="16" t="n">
        <x:v>4824</x:v>
      </x:c>
      <x:c r="B4827" s="16" t="str">
        <x:v>Muhd Alif Nik</x:v>
      </x:c>
      <x:c r="C4827" s="16" t="str"/>
      <x:c r="D4827" s="16" t="str"/>
      <x:c r="E4827" s="16" t="str">
        <x:v>* myContacts</x:v>
      </x:c>
      <x:c r="F4827" s="16" t="str">
        <x:v>+60175303037</x:v>
      </x:c>
      <x:c r="G4827" s="16" t="str">
        <x:v>+60175303037</x:v>
      </x:c>
      <x:c r="H4827" s="16" t="str">
        <x:v>Excluded</x:v>
      </x:c>
      <x:c r="I4827" s="16" t="str">
        <x:v>Missing email</x:v>
      </x:c>
    </x:row>
    <x:row r="4828">
      <x:c r="A4828" s="16" t="n">
        <x:v>4825</x:v>
      </x:c>
      <x:c r="B4828" s="16" t="str">
        <x:v>Muhd Amir</x:v>
      </x:c>
      <x:c r="C4828" s="16" t="str"/>
      <x:c r="D4828" s="16" t="str"/>
      <x:c r="E4828" s="16" t="str">
        <x:v>* myContacts</x:v>
      </x:c>
      <x:c r="F4828" s="16" t="str">
        <x:v>+601110101623</x:v>
      </x:c>
      <x:c r="G4828" s="16" t="str">
        <x:v>+601110101623</x:v>
      </x:c>
      <x:c r="H4828" s="16" t="str">
        <x:v>Excluded</x:v>
      </x:c>
      <x:c r="I4828" s="16" t="str">
        <x:v>Missing email</x:v>
      </x:c>
    </x:row>
    <x:row r="4829">
      <x:c r="A4829" s="16" t="n">
        <x:v>4826</x:v>
      </x:c>
      <x:c r="B4829" s="16" t="str">
        <x:v>Muhd Amrullah</x:v>
      </x:c>
      <x:c r="C4829" s="16" t="str"/>
      <x:c r="D4829" s="16" t="str"/>
      <x:c r="E4829" s="16" t="str">
        <x:v>* myContacts</x:v>
      </x:c>
      <x:c r="F4829" s="16" t="str">
        <x:v>+601114900350</x:v>
      </x:c>
      <x:c r="G4829" s="16" t="str">
        <x:v>+601114900350</x:v>
      </x:c>
      <x:c r="H4829" s="16" t="str">
        <x:v>Excluded</x:v>
      </x:c>
      <x:c r="I4829" s="16" t="str">
        <x:v>Missing email</x:v>
      </x:c>
    </x:row>
    <x:row r="4830">
      <x:c r="A4830" s="16" t="n">
        <x:v>4827</x:v>
      </x:c>
      <x:c r="B4830" s="16" t="str">
        <x:v>Muhd Faiz</x:v>
      </x:c>
      <x:c r="C4830" s="16" t="str"/>
      <x:c r="D4830" s="16" t="str"/>
      <x:c r="E4830" s="16" t="str">
        <x:v>* myContacts</x:v>
      </x:c>
      <x:c r="F4830" s="16" t="str">
        <x:v>+60176074292</x:v>
      </x:c>
      <x:c r="G4830" s="16" t="str">
        <x:v>+60176074292</x:v>
      </x:c>
      <x:c r="H4830" s="16" t="str">
        <x:v>Excluded</x:v>
      </x:c>
      <x:c r="I4830" s="16" t="str">
        <x:v>Missing email</x:v>
      </x:c>
    </x:row>
    <x:row r="4831">
      <x:c r="A4831" s="16" t="n">
        <x:v>4828</x:v>
      </x:c>
      <x:c r="B4831" s="16" t="str">
        <x:v>Muhd Fariduddin</x:v>
      </x:c>
      <x:c r="C4831" s="16" t="str"/>
      <x:c r="D4831" s="16" t="str"/>
      <x:c r="E4831" s="16" t="str">
        <x:v>* myContacts</x:v>
      </x:c>
      <x:c r="F4831" s="16" t="str">
        <x:v>+60176765747</x:v>
      </x:c>
      <x:c r="G4831" s="16" t="str">
        <x:v>+60176765747</x:v>
      </x:c>
      <x:c r="H4831" s="16" t="str">
        <x:v>Excluded</x:v>
      </x:c>
      <x:c r="I4831" s="16" t="str">
        <x:v>Missing email</x:v>
      </x:c>
    </x:row>
    <x:row r="4832">
      <x:c r="A4832" s="16" t="n">
        <x:v>4829</x:v>
      </x:c>
      <x:c r="B4832" s="16" t="str">
        <x:v>Muhd Firdaus</x:v>
      </x:c>
      <x:c r="C4832" s="16" t="str"/>
      <x:c r="D4832" s="16" t="str"/>
      <x:c r="E4832" s="16" t="str">
        <x:v>* myContacts</x:v>
      </x:c>
      <x:c r="F4832" s="16" t="str">
        <x:v>+60174410206</x:v>
      </x:c>
      <x:c r="G4832" s="16" t="str">
        <x:v>+60174410206</x:v>
      </x:c>
      <x:c r="H4832" s="16" t="str">
        <x:v>Excluded</x:v>
      </x:c>
      <x:c r="I4832" s="16" t="str">
        <x:v>Missing email</x:v>
      </x:c>
    </x:row>
    <x:row r="4833">
      <x:c r="A4833" s="16" t="n">
        <x:v>4830</x:v>
      </x:c>
      <x:c r="B4833" s="16" t="str">
        <x:v>Muhd Firdaus Rizam</x:v>
      </x:c>
      <x:c r="C4833" s="16" t="str"/>
      <x:c r="D4833" s="16" t="str"/>
      <x:c r="E4833" s="16" t="str">
        <x:v>* myContacts</x:v>
      </x:c>
      <x:c r="F4833" s="16" t="str">
        <x:v>+60172548135</x:v>
      </x:c>
      <x:c r="G4833" s="16" t="str">
        <x:v>+60172548135</x:v>
      </x:c>
      <x:c r="H4833" s="16" t="str">
        <x:v>Excluded</x:v>
      </x:c>
      <x:c r="I4833" s="16" t="str">
        <x:v>Missing email</x:v>
      </x:c>
    </x:row>
    <x:row r="4834">
      <x:c r="A4834" s="16" t="n">
        <x:v>4831</x:v>
      </x:c>
      <x:c r="B4834" s="16" t="str">
        <x:v>Muhd Hakimi</x:v>
      </x:c>
      <x:c r="C4834" s="16" t="str"/>
      <x:c r="D4834" s="16" t="str"/>
      <x:c r="E4834" s="16" t="str">
        <x:v>* myContacts</x:v>
      </x:c>
      <x:c r="F4834" s="16" t="str">
        <x:v>+60127547879</x:v>
      </x:c>
      <x:c r="G4834" s="16" t="str">
        <x:v>+60127547879</x:v>
      </x:c>
      <x:c r="H4834" s="16" t="str">
        <x:v>Excluded</x:v>
      </x:c>
      <x:c r="I4834" s="16" t="str">
        <x:v>Missing email</x:v>
      </x:c>
    </x:row>
    <x:row r="4835">
      <x:c r="A4835" s="16" t="n">
        <x:v>4832</x:v>
      </x:c>
      <x:c r="B4835" s="16" t="str">
        <x:v>Muhd Harris Harris</x:v>
      </x:c>
      <x:c r="C4835" s="16" t="str"/>
      <x:c r="D4835" s="16" t="str"/>
      <x:c r="E4835" s="16" t="str">
        <x:v>* myContacts</x:v>
      </x:c>
      <x:c r="F4835" s="16" t="str">
        <x:v>+60162428417</x:v>
      </x:c>
      <x:c r="G4835" s="16" t="str">
        <x:v>+60162428417</x:v>
      </x:c>
      <x:c r="H4835" s="16" t="str">
        <x:v>Excluded</x:v>
      </x:c>
      <x:c r="I4835" s="16" t="str">
        <x:v>Missing email</x:v>
      </x:c>
    </x:row>
    <x:row r="4836">
      <x:c r="A4836" s="16" t="n">
        <x:v>4833</x:v>
      </x:c>
      <x:c r="B4836" s="16" t="str">
        <x:v>Muhd Husairi</x:v>
      </x:c>
      <x:c r="C4836" s="16" t="str"/>
      <x:c r="D4836" s="16" t="str"/>
      <x:c r="E4836" s="16" t="str">
        <x:v>* myContacts</x:v>
      </x:c>
      <x:c r="F4836" s="16" t="str">
        <x:v>+60108725452</x:v>
      </x:c>
      <x:c r="G4836" s="16" t="str">
        <x:v>+60108725452</x:v>
      </x:c>
      <x:c r="H4836" s="16" t="str">
        <x:v>Excluded</x:v>
      </x:c>
      <x:c r="I4836" s="16" t="str">
        <x:v>Missing email</x:v>
      </x:c>
    </x:row>
    <x:row r="4837">
      <x:c r="A4837" s="16" t="n">
        <x:v>4834</x:v>
      </x:c>
      <x:c r="B4837" s="16" t="str">
        <x:v>Muhd Ikhwan</x:v>
      </x:c>
      <x:c r="C4837" s="16" t="str"/>
      <x:c r="D4837" s="16" t="str"/>
      <x:c r="E4837" s="16" t="str">
        <x:v>* myContacts</x:v>
      </x:c>
      <x:c r="F4837" s="16" t="str">
        <x:v>+60107644518</x:v>
      </x:c>
      <x:c r="G4837" s="16" t="str">
        <x:v>+60107644518</x:v>
      </x:c>
      <x:c r="H4837" s="16" t="str">
        <x:v>Excluded</x:v>
      </x:c>
      <x:c r="I4837" s="16" t="str">
        <x:v>Missing email</x:v>
      </x:c>
    </x:row>
    <x:row r="4838">
      <x:c r="A4838" s="16" t="n">
        <x:v>4835</x:v>
      </x:c>
      <x:c r="B4838" s="16" t="str">
        <x:v>Muhd Nor Shah Izwan</x:v>
      </x:c>
      <x:c r="C4838" s="16" t="str"/>
      <x:c r="D4838" s="16" t="str"/>
      <x:c r="E4838" s="16" t="str">
        <x:v>* myContacts</x:v>
      </x:c>
      <x:c r="F4838" s="16" t="str">
        <x:v>+60125946396</x:v>
      </x:c>
      <x:c r="G4838" s="16" t="str">
        <x:v>+60125946396</x:v>
      </x:c>
      <x:c r="H4838" s="16" t="str">
        <x:v>Excluded</x:v>
      </x:c>
      <x:c r="I4838" s="16" t="str">
        <x:v>Missing email</x:v>
      </x:c>
    </x:row>
    <x:row r="4839">
      <x:c r="A4839" s="16" t="n">
        <x:v>4836</x:v>
      </x:c>
      <x:c r="B4839" s="16" t="str">
        <x:v>Muhd Rizal</x:v>
      </x:c>
      <x:c r="C4839" s="16" t="str"/>
      <x:c r="D4839" s="16" t="str"/>
      <x:c r="E4839" s="16" t="str">
        <x:v>* myContacts</x:v>
      </x:c>
      <x:c r="F4839" s="16" t="str">
        <x:v>+60179992212</x:v>
      </x:c>
      <x:c r="G4839" s="16" t="str">
        <x:v>+60179992212</x:v>
      </x:c>
      <x:c r="H4839" s="16" t="str">
        <x:v>Excluded</x:v>
      </x:c>
      <x:c r="I4839" s="16" t="str">
        <x:v>Missing email</x:v>
      </x:c>
    </x:row>
    <x:row r="4840">
      <x:c r="A4840" s="16" t="n">
        <x:v>4837</x:v>
      </x:c>
      <x:c r="B4840" s="16" t="str">
        <x:v>Muhd Shahrin</x:v>
      </x:c>
      <x:c r="C4840" s="16" t="str"/>
      <x:c r="D4840" s="16" t="str"/>
      <x:c r="E4840" s="16" t="str">
        <x:v>* myContacts</x:v>
      </x:c>
      <x:c r="F4840" s="16" t="str">
        <x:v>+60137954618</x:v>
      </x:c>
      <x:c r="G4840" s="16" t="str">
        <x:v>+60137954618</x:v>
      </x:c>
      <x:c r="H4840" s="16" t="str">
        <x:v>Excluded</x:v>
      </x:c>
      <x:c r="I4840" s="16" t="str">
        <x:v>Missing email</x:v>
      </x:c>
    </x:row>
    <x:row r="4841">
      <x:c r="A4841" s="16" t="n">
        <x:v>4838</x:v>
      </x:c>
      <x:c r="B4841" s="16" t="str">
        <x:v>Muhd Syafeq</x:v>
      </x:c>
      <x:c r="C4841" s="16" t="str"/>
      <x:c r="D4841" s="16" t="str"/>
      <x:c r="E4841" s="16" t="str">
        <x:v>* myContacts</x:v>
      </x:c>
      <x:c r="F4841" s="16" t="str">
        <x:v>+60195252192</x:v>
      </x:c>
      <x:c r="G4841" s="16" t="str">
        <x:v>+60195252192</x:v>
      </x:c>
      <x:c r="H4841" s="16" t="str">
        <x:v>Excluded</x:v>
      </x:c>
      <x:c r="I4841" s="16" t="str">
        <x:v>Missing email</x:v>
      </x:c>
    </x:row>
    <x:row r="4842">
      <x:c r="A4842" s="16" t="n">
        <x:v>4839</x:v>
      </x:c>
      <x:c r="B4842" s="16" t="str">
        <x:v>Muhd Syafique</x:v>
      </x:c>
      <x:c r="C4842" s="16" t="str"/>
      <x:c r="D4842" s="16" t="str"/>
      <x:c r="E4842" s="16" t="str">
        <x:v>* myContacts</x:v>
      </x:c>
      <x:c r="F4842" s="16" t="str">
        <x:v>+601119160637</x:v>
      </x:c>
      <x:c r="G4842" s="16" t="str">
        <x:v>+601119160637</x:v>
      </x:c>
      <x:c r="H4842" s="16" t="str">
        <x:v>Excluded</x:v>
      </x:c>
      <x:c r="I4842" s="16" t="str">
        <x:v>Missing email</x:v>
      </x:c>
    </x:row>
    <x:row r="4843">
      <x:c r="A4843" s="16" t="n">
        <x:v>4840</x:v>
      </x:c>
      <x:c r="B4843" s="16" t="str">
        <x:v>Muhd Syarifuddin Mohd Zahid</x:v>
      </x:c>
      <x:c r="C4843" s="16" t="str"/>
      <x:c r="D4843" s="16" t="str"/>
      <x:c r="E4843" s="16" t="str">
        <x:v>* myContacts</x:v>
      </x:c>
      <x:c r="F4843" s="16" t="str">
        <x:v>+60145455857</x:v>
      </x:c>
      <x:c r="G4843" s="16" t="str">
        <x:v>+60145455857</x:v>
      </x:c>
      <x:c r="H4843" s="16" t="str">
        <x:v>Excluded</x:v>
      </x:c>
      <x:c r="I4843" s="16" t="str">
        <x:v>Missing email</x:v>
      </x:c>
    </x:row>
    <x:row r="4844">
      <x:c r="A4844" s="16" t="n">
        <x:v>4841</x:v>
      </x:c>
      <x:c r="B4844" s="16" t="str">
        <x:v>Muhd Turmuzi Abdullah</x:v>
      </x:c>
      <x:c r="C4844" s="16" t="str"/>
      <x:c r="D4844" s="16" t="str"/>
      <x:c r="E4844" s="16" t="str">
        <x:v>* myContacts</x:v>
      </x:c>
      <x:c r="F4844" s="16" t="str">
        <x:v>+60199732001</x:v>
      </x:c>
      <x:c r="G4844" s="16" t="str">
        <x:v>+60199732001</x:v>
      </x:c>
      <x:c r="H4844" s="16" t="str">
        <x:v>Excluded</x:v>
      </x:c>
      <x:c r="I4844" s="16" t="str">
        <x:v>Missing email</x:v>
      </x:c>
    </x:row>
    <x:row r="4845">
      <x:c r="A4845" s="16" t="n">
        <x:v>4842</x:v>
      </x:c>
      <x:c r="B4845" s="16" t="str">
        <x:v>Muhd Zahiruddin</x:v>
      </x:c>
      <x:c r="C4845" s="16" t="str"/>
      <x:c r="D4845" s="16" t="str"/>
      <x:c r="E4845" s="16" t="str">
        <x:v>* myContacts</x:v>
      </x:c>
      <x:c r="F4845" s="16" t="str">
        <x:v>+60172933775</x:v>
      </x:c>
      <x:c r="G4845" s="16" t="str">
        <x:v>+60172933775</x:v>
      </x:c>
      <x:c r="H4845" s="16" t="str">
        <x:v>Excluded</x:v>
      </x:c>
      <x:c r="I4845" s="16" t="str">
        <x:v>Missing email</x:v>
      </x:c>
    </x:row>
    <x:row r="4846">
      <x:c r="A4846" s="16" t="n">
        <x:v>4843</x:v>
      </x:c>
      <x:c r="B4846" s="16" t="str">
        <x:v>Muhsin Mustafa</x:v>
      </x:c>
      <x:c r="C4846" s="16" t="str"/>
      <x:c r="D4846" s="16" t="str"/>
      <x:c r="E4846" s="16" t="str">
        <x:v>* myContacts</x:v>
      </x:c>
      <x:c r="F4846" s="16" t="str">
        <x:v>+60148173957</x:v>
      </x:c>
      <x:c r="G4846" s="16" t="str">
        <x:v>+60148173957</x:v>
      </x:c>
      <x:c r="H4846" s="16" t="str">
        <x:v>Excluded</x:v>
      </x:c>
      <x:c r="I4846" s="16" t="str">
        <x:v>Missing email</x:v>
      </x:c>
    </x:row>
    <x:row r="4847">
      <x:c r="A4847" s="16" t="n">
        <x:v>4844</x:v>
      </x:c>
      <x:c r="B4847" s="16" t="str">
        <x:v>Muiz Firdaus</x:v>
      </x:c>
      <x:c r="C4847" s="16" t="str"/>
      <x:c r="D4847" s="16" t="str"/>
      <x:c r="E4847" s="16" t="str">
        <x:v>* myContacts</x:v>
      </x:c>
      <x:c r="F4847" s="16" t="str">
        <x:v>+601116510041</x:v>
      </x:c>
      <x:c r="G4847" s="16" t="str">
        <x:v>+601116510041</x:v>
      </x:c>
      <x:c r="H4847" s="16" t="str">
        <x:v>Excluded</x:v>
      </x:c>
      <x:c r="I4847" s="16" t="str">
        <x:v>Missing email</x:v>
      </x:c>
    </x:row>
    <x:row r="4848">
      <x:c r="A4848" s="16" t="n">
        <x:v>4845</x:v>
      </x:c>
      <x:c r="B4848" s="16" t="str">
        <x:v>Mukaram M Jamin</x:v>
      </x:c>
      <x:c r="C4848" s="16" t="str"/>
      <x:c r="D4848" s="16" t="str"/>
      <x:c r="E4848" s="16" t="str">
        <x:v>* myContacts</x:v>
      </x:c>
      <x:c r="F4848" s="16" t="str">
        <x:v>+60182222493</x:v>
      </x:c>
      <x:c r="G4848" s="16" t="str">
        <x:v>+60182222493</x:v>
      </x:c>
      <x:c r="H4848" s="16" t="str">
        <x:v>Excluded</x:v>
      </x:c>
      <x:c r="I4848" s="16" t="str">
        <x:v>Missing email</x:v>
      </x:c>
    </x:row>
    <x:row r="4849">
      <x:c r="A4849" s="16" t="n">
        <x:v>4846</x:v>
      </x:c>
      <x:c r="B4849" s="16" t="str">
        <x:v>Mukesh Kumar S. L</x:v>
      </x:c>
      <x:c r="C4849" s="16" t="str"/>
      <x:c r="D4849" s="16" t="str"/>
      <x:c r="E4849" s="16" t="str">
        <x:v>* myContacts</x:v>
      </x:c>
      <x:c r="F4849" s="16" t="str">
        <x:v>+601123632027</x:v>
      </x:c>
      <x:c r="G4849" s="16" t="str">
        <x:v>+601123632027</x:v>
      </x:c>
      <x:c r="H4849" s="16" t="str">
        <x:v>Excluded</x:v>
      </x:c>
      <x:c r="I4849" s="16" t="str">
        <x:v>Missing email</x:v>
      </x:c>
    </x:row>
    <x:row r="4850">
      <x:c r="A4850" s="16" t="n">
        <x:v>4847</x:v>
      </x:c>
      <x:c r="B4850" s="16" t="str">
        <x:v>mukhriz fama</x:v>
      </x:c>
      <x:c r="C4850" s="16" t="str"/>
      <x:c r="D4850" s="16" t="str"/>
      <x:c r="E4850" s="16" t="str">
        <x:v>* myContacts</x:v>
      </x:c>
      <x:c r="F4850" s="16" t="str">
        <x:v>+60126913908</x:v>
      </x:c>
      <x:c r="G4850" s="16" t="str">
        <x:v>+60126913908</x:v>
      </x:c>
      <x:c r="H4850" s="16" t="str">
        <x:v>Excluded</x:v>
      </x:c>
      <x:c r="I4850" s="16" t="str">
        <x:v>Missing email</x:v>
      </x:c>
    </x:row>
    <x:row r="4851">
      <x:c r="A4851" s="16" t="n">
        <x:v>4848</x:v>
      </x:c>
      <x:c r="B4851" s="16" t="str">
        <x:v>Mumut Dipsa</x:v>
      </x:c>
      <x:c r="C4851" s="16" t="str"/>
      <x:c r="D4851" s="16" t="str"/>
      <x:c r="E4851" s="16" t="str">
        <x:v>* myContacts</x:v>
      </x:c>
      <x:c r="F4851" s="16" t="str">
        <x:v>+60108230666</x:v>
      </x:c>
      <x:c r="G4851" s="16" t="str">
        <x:v>+60108230666</x:v>
      </x:c>
      <x:c r="H4851" s="16" t="str">
        <x:v>Excluded</x:v>
      </x:c>
      <x:c r="I4851" s="16" t="str">
        <x:v>Missing email</x:v>
      </x:c>
    </x:row>
    <x:row r="4852">
      <x:c r="A4852" s="16" t="n">
        <x:v>4849</x:v>
      </x:c>
      <x:c r="B4852" s="16" t="str">
        <x:v>Mun'sDyvet ParkerDayo</x:v>
      </x:c>
      <x:c r="C4852" s="16" t="str"/>
      <x:c r="D4852" s="16" t="str"/>
      <x:c r="E4852" s="16" t="str">
        <x:v>* myContacts</x:v>
      </x:c>
      <x:c r="F4852" s="16" t="str">
        <x:v>+601131566599</x:v>
      </x:c>
      <x:c r="G4852" s="16" t="str">
        <x:v>+601131566599</x:v>
      </x:c>
      <x:c r="H4852" s="16" t="str">
        <x:v>Excluded</x:v>
      </x:c>
      <x:c r="I4852" s="16" t="str">
        <x:v>Missing email</x:v>
      </x:c>
    </x:row>
    <x:row r="4853">
      <x:c r="A4853" s="16" t="n">
        <x:v>4850</x:v>
      </x:c>
      <x:c r="B4853" s="16" t="str">
        <x:v>Munajat Sinergi</x:v>
      </x:c>
      <x:c r="C4853" s="16" t="str"/>
      <x:c r="D4853" s="16" t="str"/>
      <x:c r="E4853" s="16" t="str">
        <x:v>* myContacts</x:v>
      </x:c>
      <x:c r="F4853" s="16" t="str">
        <x:v>+60192581538</x:v>
      </x:c>
      <x:c r="G4853" s="16" t="str">
        <x:v>+60192581538</x:v>
      </x:c>
      <x:c r="H4853" s="16" t="str">
        <x:v>Excluded</x:v>
      </x:c>
      <x:c r="I4853" s="16" t="str">
        <x:v>Missing email</x:v>
      </x:c>
    </x:row>
    <x:row r="4854">
      <x:c r="A4854" s="16" t="n">
        <x:v>4851</x:v>
      </x:c>
      <x:c r="B4854" s="16" t="str">
        <x:v>Munirah Ibrahim</x:v>
      </x:c>
      <x:c r="C4854" s="16" t="str"/>
      <x:c r="D4854" s="16" t="str"/>
      <x:c r="E4854" s="16" t="str">
        <x:v>* myContacts</x:v>
      </x:c>
      <x:c r="F4854" s="16" t="str">
        <x:v>+601123149367</x:v>
      </x:c>
      <x:c r="G4854" s="16" t="str">
        <x:v>+601123149367</x:v>
      </x:c>
      <x:c r="H4854" s="16" t="str">
        <x:v>Excluded</x:v>
      </x:c>
      <x:c r="I4854" s="16" t="str">
        <x:v>Missing email</x:v>
      </x:c>
    </x:row>
    <x:row r="4855">
      <x:c r="A4855" s="16" t="n">
        <x:v>4852</x:v>
      </x:c>
      <x:c r="B4855" s="16" t="str">
        <x:v>Munirah Ira Munirah</x:v>
      </x:c>
      <x:c r="C4855" s="16" t="str"/>
      <x:c r="D4855" s="16" t="str"/>
      <x:c r="E4855" s="16" t="str">
        <x:v>* myContacts</x:v>
      </x:c>
      <x:c r="F4855" s="16" t="str">
        <x:v>+601112895728</x:v>
      </x:c>
      <x:c r="G4855" s="16" t="str">
        <x:v>+601112895728</x:v>
      </x:c>
      <x:c r="H4855" s="16" t="str">
        <x:v>Excluded</x:v>
      </x:c>
      <x:c r="I4855" s="16" t="str">
        <x:v>Missing email</x:v>
      </x:c>
    </x:row>
    <x:row r="4856">
      <x:c r="A4856" s="16" t="n">
        <x:v>4853</x:v>
      </x:c>
      <x:c r="B4856" s="16" t="str">
        <x:v>Munirah Yusof</x:v>
      </x:c>
      <x:c r="C4856" s="16" t="str"/>
      <x:c r="D4856" s="16" t="str"/>
      <x:c r="E4856" s="16" t="str">
        <x:v>* myContacts</x:v>
      </x:c>
      <x:c r="F4856" s="16" t="str">
        <x:v>+60164658169</x:v>
      </x:c>
      <x:c r="G4856" s="16" t="str">
        <x:v>+60164658169</x:v>
      </x:c>
      <x:c r="H4856" s="16" t="str">
        <x:v>Excluded</x:v>
      </x:c>
      <x:c r="I4856" s="16" t="str">
        <x:v>Missing email</x:v>
      </x:c>
    </x:row>
    <x:row r="4857">
      <x:c r="A4857" s="16" t="n">
        <x:v>4854</x:v>
      </x:c>
      <x:c r="B4857" s="16" t="str">
        <x:v>Muntas Jad Candidate</x:v>
      </x:c>
      <x:c r="C4857" s="16" t="str"/>
      <x:c r="D4857" s="16" t="str"/>
      <x:c r="E4857" s="16" t="str">
        <x:v>* myContacts</x:v>
      </x:c>
      <x:c r="F4857" s="16" t="str">
        <x:v>+60 17-396 9579 | +60173969579</x:v>
      </x:c>
      <x:c r="G4857" s="16" t="str">
        <x:v>+60173969579 | +60173969579</x:v>
      </x:c>
      <x:c r="H4857" s="16" t="str">
        <x:v>Excluded</x:v>
      </x:c>
      <x:c r="I4857" s="16" t="str">
        <x:v>Missing email</x:v>
      </x:c>
    </x:row>
    <x:row r="4858">
      <x:c r="A4858" s="16" t="n">
        <x:v>4855</x:v>
      </x:c>
      <x:c r="B4858" s="16" t="str">
        <x:v>Munzir Videoman</x:v>
      </x:c>
      <x:c r="C4858" s="16" t="str"/>
      <x:c r="D4858" s="16" t="str"/>
      <x:c r="E4858" s="16" t="str">
        <x:v>* myContacts</x:v>
      </x:c>
      <x:c r="F4858" s="16" t="str">
        <x:v>0135150151 | +60135150151</x:v>
      </x:c>
      <x:c r="G4858" s="16" t="str">
        <x:v>+60135150151 | +60135150151</x:v>
      </x:c>
      <x:c r="H4858" s="16" t="str">
        <x:v>Excluded</x:v>
      </x:c>
      <x:c r="I4858" s="16" t="str">
        <x:v>Missing email</x:v>
      </x:c>
    </x:row>
    <x:row r="4859">
      <x:c r="A4859" s="16" t="n">
        <x:v>4856</x:v>
      </x:c>
      <x:c r="B4859" s="16" t="str">
        <x:v>Murad TeZg</x:v>
      </x:c>
      <x:c r="C4859" s="16" t="str"/>
      <x:c r="D4859" s="16" t="str"/>
      <x:c r="E4859" s="16" t="str">
        <x:v>* myContacts</x:v>
      </x:c>
      <x:c r="F4859" s="16" t="str">
        <x:v>+60173536788</x:v>
      </x:c>
      <x:c r="G4859" s="16" t="str">
        <x:v>+60173536788</x:v>
      </x:c>
      <x:c r="H4859" s="16" t="str">
        <x:v>Excluded</x:v>
      </x:c>
      <x:c r="I4859" s="16" t="str">
        <x:v>Missing email</x:v>
      </x:c>
    </x:row>
    <x:row r="4860">
      <x:c r="A4860" s="16" t="n">
        <x:v>4857</x:v>
      </x:c>
      <x:c r="B4860" s="16" t="str">
        <x:v>Murni JNJ</x:v>
      </x:c>
      <x:c r="C4860" s="16" t="str"/>
      <x:c r="D4860" s="16" t="str"/>
      <x:c r="E4860" s="16" t="str">
        <x:v>* myContacts</x:v>
      </x:c>
      <x:c r="F4860" s="16" t="str">
        <x:v>+60 14-511 7122 | +60145117122</x:v>
      </x:c>
      <x:c r="G4860" s="16" t="str">
        <x:v>+60145117122 | +60145117122</x:v>
      </x:c>
      <x:c r="H4860" s="16" t="str">
        <x:v>Excluded</x:v>
      </x:c>
      <x:c r="I4860" s="16" t="str">
        <x:v>Missing email</x:v>
      </x:c>
    </x:row>
    <x:row r="4861">
      <x:c r="A4861" s="16" t="n">
        <x:v>4858</x:v>
      </x:c>
      <x:c r="B4861" s="16" t="str">
        <x:v>Mursyid</x:v>
      </x:c>
      <x:c r="C4861" s="16" t="str"/>
      <x:c r="D4861" s="16" t="str"/>
      <x:c r="E4861" s="16" t="str">
        <x:v>* myContacts</x:v>
      </x:c>
      <x:c r="F4861" s="16" t="str">
        <x:v>+60148161671</x:v>
      </x:c>
      <x:c r="G4861" s="16" t="str">
        <x:v>+60148161671</x:v>
      </x:c>
      <x:c r="H4861" s="16" t="str">
        <x:v>Excluded</x:v>
      </x:c>
      <x:c r="I4861" s="16" t="str">
        <x:v>Missing email</x:v>
      </x:c>
    </x:row>
    <x:row r="4862">
      <x:c r="A4862" s="16" t="n">
        <x:v>4859</x:v>
      </x:c>
      <x:c r="B4862" s="16" t="str">
        <x:v>Mursyidi Azaki</x:v>
      </x:c>
      <x:c r="C4862" s="16" t="str"/>
      <x:c r="D4862" s="16" t="str"/>
      <x:c r="E4862" s="16" t="str">
        <x:v>* myContacts</x:v>
      </x:c>
      <x:c r="F4862" s="16" t="str">
        <x:v>+60149468763</x:v>
      </x:c>
      <x:c r="G4862" s="16" t="str">
        <x:v>+60149468763</x:v>
      </x:c>
      <x:c r="H4862" s="16" t="str">
        <x:v>Excluded</x:v>
      </x:c>
      <x:c r="I4862" s="16" t="str">
        <x:v>Missing email</x:v>
      </x:c>
    </x:row>
    <x:row r="4863">
      <x:c r="A4863" s="16" t="n">
        <x:v>4860</x:v>
      </x:c>
      <x:c r="B4863" s="16" t="str">
        <x:v>Murtaza Kagalwala</x:v>
      </x:c>
      <x:c r="C4863" s="16" t="str"/>
      <x:c r="D4863" s="16" t="str"/>
      <x:c r="E4863" s="16" t="str">
        <x:v>* myContacts</x:v>
      </x:c>
      <x:c r="F4863" s="16" t="str">
        <x:v>+919821484410</x:v>
      </x:c>
      <x:c r="G4863" s="16" t="str">
        <x:v>+919821484410</x:v>
      </x:c>
      <x:c r="H4863" s="16" t="str">
        <x:v>Excluded</x:v>
      </x:c>
      <x:c r="I4863" s="16" t="str">
        <x:v>Missing email</x:v>
      </x:c>
    </x:row>
    <x:row r="4864">
      <x:c r="A4864" s="16" t="n">
        <x:v>4861</x:v>
      </x:c>
      <x:c r="B4864" s="16" t="str">
        <x:v>Mus Mdec</x:v>
      </x:c>
      <x:c r="C4864" s="16" t="str"/>
      <x:c r="D4864" s="16" t="str"/>
      <x:c r="E4864" s="16" t="str">
        <x:v>* myContacts</x:v>
      </x:c>
      <x:c r="F4864" s="16" t="str">
        <x:v>+60 11-1010 5195 | +601110105195</x:v>
      </x:c>
      <x:c r="G4864" s="16" t="str">
        <x:v>+601110105195 | +601110105195</x:v>
      </x:c>
      <x:c r="H4864" s="16" t="str">
        <x:v>Excluded</x:v>
      </x:c>
      <x:c r="I4864" s="16" t="str">
        <x:v>Missing email</x:v>
      </x:c>
    </x:row>
    <x:row r="4865">
      <x:c r="A4865" s="16" t="n">
        <x:v>4862</x:v>
      </x:c>
      <x:c r="B4865" s="16" t="str">
        <x:v>Mus Moon</x:v>
      </x:c>
      <x:c r="C4865" s="16" t="str"/>
      <x:c r="D4865" s="16" t="str"/>
      <x:c r="E4865" s="16" t="str">
        <x:v>* myContacts</x:v>
      </x:c>
      <x:c r="F4865" s="16" t="str">
        <x:v>+601114894848</x:v>
      </x:c>
      <x:c r="G4865" s="16" t="str">
        <x:v>+601114894848</x:v>
      </x:c>
      <x:c r="H4865" s="16" t="str">
        <x:v>Excluded</x:v>
      </x:c>
      <x:c r="I4865" s="16" t="str">
        <x:v>Missing email</x:v>
      </x:c>
    </x:row>
    <x:row r="4866">
      <x:c r="A4866" s="16" t="n">
        <x:v>4863</x:v>
      </x:c>
      <x:c r="B4866" s="16" t="str">
        <x:v>Musliha Ahmad</x:v>
      </x:c>
      <x:c r="C4866" s="16" t="str"/>
      <x:c r="D4866" s="16" t="str"/>
      <x:c r="E4866" s="16" t="str">
        <x:v>* myContacts</x:v>
      </x:c>
      <x:c r="F4866" s="16" t="str">
        <x:v>+60194002659</x:v>
      </x:c>
      <x:c r="G4866" s="16" t="str">
        <x:v>+60194002659</x:v>
      </x:c>
      <x:c r="H4866" s="16" t="str">
        <x:v>Excluded</x:v>
      </x:c>
      <x:c r="I4866" s="16" t="str">
        <x:v>Missing email</x:v>
      </x:c>
    </x:row>
    <x:row r="4867">
      <x:c r="A4867" s="16" t="n">
        <x:v>4864</x:v>
      </x:c>
      <x:c r="B4867" s="16" t="str">
        <x:v>Musliha Omar</x:v>
      </x:c>
      <x:c r="C4867" s="16" t="str"/>
      <x:c r="D4867" s="16" t="str"/>
      <x:c r="E4867" s="16" t="str">
        <x:v>* myContacts</x:v>
      </x:c>
      <x:c r="F4867" s="16" t="str">
        <x:v>+60196812371</x:v>
      </x:c>
      <x:c r="G4867" s="16" t="str">
        <x:v>+60196812371</x:v>
      </x:c>
      <x:c r="H4867" s="16" t="str">
        <x:v>Excluded</x:v>
      </x:c>
      <x:c r="I4867" s="16" t="str">
        <x:v>Missing email</x:v>
      </x:c>
    </x:row>
    <x:row r="4868">
      <x:c r="A4868" s="16" t="n">
        <x:v>4865</x:v>
      </x:c>
      <x:c r="B4868" s="16" t="str">
        <x:v>muslim agp</x:v>
      </x:c>
      <x:c r="C4868" s="16" t="str"/>
      <x:c r="D4868" s="16" t="str"/>
      <x:c r="E4868" s="16" t="str">
        <x:v>* myContacts</x:v>
      </x:c>
      <x:c r="F4868" s="16" t="str">
        <x:v>+60 18-773 4866 | +60187734866</x:v>
      </x:c>
      <x:c r="G4868" s="16" t="str">
        <x:v>+60187734866 | +60187734866</x:v>
      </x:c>
      <x:c r="H4868" s="16" t="str">
        <x:v>Excluded</x:v>
      </x:c>
      <x:c r="I4868" s="16" t="str">
        <x:v>Missing email</x:v>
      </x:c>
    </x:row>
    <x:row r="4869">
      <x:c r="A4869" s="16" t="n">
        <x:v>4866</x:v>
      </x:c>
      <x:c r="B4869" s="16" t="str">
        <x:v>Muslimah Solehah</x:v>
      </x:c>
      <x:c r="C4869" s="16" t="str"/>
      <x:c r="D4869" s="16" t="str"/>
      <x:c r="E4869" s="16" t="str">
        <x:v>* myContacts</x:v>
      </x:c>
      <x:c r="F4869" s="16" t="str">
        <x:v>+60183227579</x:v>
      </x:c>
      <x:c r="G4869" s="16" t="str">
        <x:v>+60183227579</x:v>
      </x:c>
      <x:c r="H4869" s="16" t="str">
        <x:v>Excluded</x:v>
      </x:c>
      <x:c r="I4869" s="16" t="str">
        <x:v>Missing email</x:v>
      </x:c>
    </x:row>
    <x:row r="4870">
      <x:c r="A4870" s="16" t="n">
        <x:v>4867</x:v>
      </x:c>
      <x:c r="B4870" s="16" t="str">
        <x:v>Mustakim Garam Aura</x:v>
      </x:c>
      <x:c r="C4870" s="16" t="str"/>
      <x:c r="D4870" s="16" t="str"/>
      <x:c r="E4870" s="16" t="str">
        <x:v>* myContacts</x:v>
      </x:c>
      <x:c r="F4870" s="16" t="str">
        <x:v>01118927696 | +601118927696</x:v>
      </x:c>
      <x:c r="G4870" s="16" t="str">
        <x:v>+601118927696 | +601118927696</x:v>
      </x:c>
      <x:c r="H4870" s="16" t="str">
        <x:v>Excluded</x:v>
      </x:c>
      <x:c r="I4870" s="16" t="str">
        <x:v>Missing email</x:v>
      </x:c>
    </x:row>
    <x:row r="4871">
      <x:c r="A4871" s="16" t="n">
        <x:v>4868</x:v>
      </x:c>
      <x:c r="B4871" s="16" t="str">
        <x:v>Mustaqim Mustafar</x:v>
      </x:c>
      <x:c r="C4871" s="16" t="str"/>
      <x:c r="D4871" s="16" t="str"/>
      <x:c r="E4871" s="16" t="str">
        <x:v>* myContacts</x:v>
      </x:c>
      <x:c r="F4871" s="16" t="str">
        <x:v>+60192024437</x:v>
      </x:c>
      <x:c r="G4871" s="16" t="str">
        <x:v>+60192024437</x:v>
      </x:c>
      <x:c r="H4871" s="16" t="str">
        <x:v>Excluded</x:v>
      </x:c>
      <x:c r="I4871" s="16" t="str">
        <x:v>Missing email</x:v>
      </x:c>
    </x:row>
    <x:row r="4872">
      <x:c r="A4872" s="16" t="n">
        <x:v>4869</x:v>
      </x:c>
      <x:c r="B4872" s="16" t="str">
        <x:v>Mutalib Amal</x:v>
      </x:c>
      <x:c r="C4872" s="16" t="str"/>
      <x:c r="D4872" s="16" t="str"/>
      <x:c r="E4872" s="16" t="str">
        <x:v>* myContacts</x:v>
      </x:c>
      <x:c r="F4872" s="16" t="str">
        <x:v>+60134539630</x:v>
      </x:c>
      <x:c r="G4872" s="16" t="str">
        <x:v>+60134539630</x:v>
      </x:c>
      <x:c r="H4872" s="16" t="str">
        <x:v>Excluded</x:v>
      </x:c>
      <x:c r="I4872" s="16" t="str">
        <x:v>Missing email</x:v>
      </x:c>
    </x:row>
    <x:row r="4873">
      <x:c r="A4873" s="16" t="n">
        <x:v>4870</x:v>
      </x:c>
      <x:c r="B4873" s="16" t="str">
        <x:v>Muz Dabos</x:v>
      </x:c>
      <x:c r="C4873" s="16" t="str"/>
      <x:c r="D4873" s="16" t="str"/>
      <x:c r="E4873" s="16" t="str">
        <x:v>* myContacts</x:v>
      </x:c>
      <x:c r="F4873" s="16" t="str">
        <x:v>+60136380454</x:v>
      </x:c>
      <x:c r="G4873" s="16" t="str">
        <x:v>+60136380454</x:v>
      </x:c>
      <x:c r="H4873" s="16" t="str">
        <x:v>Excluded</x:v>
      </x:c>
      <x:c r="I4873" s="16" t="str">
        <x:v>Missing email</x:v>
      </x:c>
    </x:row>
    <x:row r="4874">
      <x:c r="A4874" s="16" t="n">
        <x:v>4871</x:v>
      </x:c>
      <x:c r="B4874" s="16" t="str">
        <x:v>Muzzamil</x:v>
      </x:c>
      <x:c r="C4874" s="16" t="str"/>
      <x:c r="D4874" s="16" t="str"/>
      <x:c r="E4874" s="16" t="str">
        <x:v>* myContacts</x:v>
      </x:c>
      <x:c r="F4874" s="16" t="str">
        <x:v>012-247 4334 | +60122474334</x:v>
      </x:c>
      <x:c r="G4874" s="16" t="str">
        <x:v>+60122474334 | +60122474334</x:v>
      </x:c>
      <x:c r="H4874" s="16" t="str">
        <x:v>Excluded</x:v>
      </x:c>
      <x:c r="I4874" s="16" t="str">
        <x:v>Missing email</x:v>
      </x:c>
    </x:row>
    <x:row r="4875">
      <x:c r="A4875" s="16" t="n">
        <x:v>4872</x:v>
      </x:c>
      <x:c r="B4875" s="16" t="str">
        <x:v>Mybee Shoppe Mybee</x:v>
      </x:c>
      <x:c r="C4875" s="16" t="str"/>
      <x:c r="D4875" s="16" t="str"/>
      <x:c r="E4875" s="16" t="str">
        <x:v>* myContacts</x:v>
      </x:c>
      <x:c r="F4875" s="16" t="str">
        <x:v>+60107702602</x:v>
      </x:c>
      <x:c r="G4875" s="16" t="str">
        <x:v>+60107702602</x:v>
      </x:c>
      <x:c r="H4875" s="16" t="str">
        <x:v>Excluded</x:v>
      </x:c>
      <x:c r="I4875" s="16" t="str">
        <x:v>Missing email</x:v>
      </x:c>
    </x:row>
    <x:row r="4876">
      <x:c r="A4876" s="16" t="n">
        <x:v>4873</x:v>
      </x:c>
      <x:c r="B4876" s="16" t="str">
        <x:v>Myeg Tesco Ara Damansara</x:v>
      </x:c>
      <x:c r="C4876" s="16" t="str"/>
      <x:c r="D4876" s="16" t="str"/>
      <x:c r="E4876" s="16" t="str">
        <x:v>* myContacts</x:v>
      </x:c>
      <x:c r="F4876" s="16" t="str">
        <x:v>+60 3-7832 6576 | +60378326576</x:v>
      </x:c>
      <x:c r="G4876" s="16" t="str">
        <x:v>+60378326576 | +60378326576</x:v>
      </x:c>
      <x:c r="H4876" s="16" t="str">
        <x:v>Excluded</x:v>
      </x:c>
      <x:c r="I4876" s="16" t="str">
        <x:v>Missing email</x:v>
      </x:c>
    </x:row>
    <x:row r="4877">
      <x:c r="A4877" s="16" t="n">
        <x:v>4874</x:v>
      </x:c>
      <x:c r="B4877" s="16" t="str">
        <x:v>Mykantan Upm</x:v>
      </x:c>
      <x:c r="C4877" s="16" t="str"/>
      <x:c r="D4877" s="16" t="str"/>
      <x:c r="E4877" s="16" t="str">
        <x:v>* myContacts</x:v>
      </x:c>
      <x:c r="F4877" s="16" t="str">
        <x:v>+60183142018</x:v>
      </x:c>
      <x:c r="G4877" s="16" t="str">
        <x:v>+60183142018</x:v>
      </x:c>
      <x:c r="H4877" s="16" t="str">
        <x:v>Excluded</x:v>
      </x:c>
      <x:c r="I4877" s="16" t="str">
        <x:v>Missing email</x:v>
      </x:c>
    </x:row>
    <x:row r="4878">
      <x:c r="A4878" s="16" t="n">
        <x:v>4875</x:v>
      </x:c>
      <x:c r="B4878" s="16" t="str">
        <x:v>Mynef Jom Pitch</x:v>
      </x:c>
      <x:c r="C4878" s="16" t="str"/>
      <x:c r="D4878" s="16" t="str"/>
      <x:c r="E4878" s="16" t="str">
        <x:v>* myContacts</x:v>
      </x:c>
      <x:c r="F4878" s="16" t="str">
        <x:v>+60 17-637 3938 | +60176373938</x:v>
      </x:c>
      <x:c r="G4878" s="16" t="str">
        <x:v>+60176373938 | +60176373938</x:v>
      </x:c>
      <x:c r="H4878" s="16" t="str">
        <x:v>Excluded</x:v>
      </x:c>
      <x:c r="I4878" s="16" t="str">
        <x:v>Missing email</x:v>
      </x:c>
    </x:row>
    <x:row r="4879">
      <x:c r="A4879" s="16" t="n">
        <x:v>4876</x:v>
      </x:c>
      <x:c r="B4879" s="16" t="str">
        <x:v>Myra Hana Eusahawan Mantee</x:v>
      </x:c>
      <x:c r="C4879" s="16" t="str"/>
      <x:c r="D4879" s="16" t="str"/>
      <x:c r="E4879" s="16" t="str">
        <x:v>* myContacts</x:v>
      </x:c>
      <x:c r="F4879" s="16" t="str">
        <x:v>+60 17-748 4961 | +60177484961</x:v>
      </x:c>
      <x:c r="G4879" s="16" t="str">
        <x:v>+60177484961 | +60177484961</x:v>
      </x:c>
      <x:c r="H4879" s="16" t="str">
        <x:v>Excluded</x:v>
      </x:c>
      <x:c r="I4879" s="16" t="str">
        <x:v>Missing email</x:v>
      </x:c>
    </x:row>
    <x:row r="4880">
      <x:c r="A4880" s="16" t="n">
        <x:v>4877</x:v>
      </x:c>
      <x:c r="B4880" s="16" t="str">
        <x:v>Myrra Os</x:v>
      </x:c>
      <x:c r="C4880" s="16" t="str"/>
      <x:c r="D4880" s="16" t="str"/>
      <x:c r="E4880" s="16" t="str">
        <x:v>* myContacts</x:v>
      </x:c>
      <x:c r="F4880" s="16" t="str">
        <x:v>+601119832528</x:v>
      </x:c>
      <x:c r="G4880" s="16" t="str">
        <x:v>+601119832528</x:v>
      </x:c>
      <x:c r="H4880" s="16" t="str">
        <x:v>Excluded</x:v>
      </x:c>
      <x:c r="I4880" s="16" t="str">
        <x:v>Missing email</x:v>
      </x:c>
    </x:row>
    <x:row r="4881">
      <x:c r="A4881" s="16" t="n">
        <x:v>4878</x:v>
      </x:c>
      <x:c r="B4881" s="16" t="str">
        <x:v>Myrul Manan</x:v>
      </x:c>
      <x:c r="C4881" s="16" t="str"/>
      <x:c r="D4881" s="16" t="str"/>
      <x:c r="E4881" s="16" t="str">
        <x:v>* myContacts</x:v>
      </x:c>
      <x:c r="F4881" s="16" t="str">
        <x:v>+601126314364</x:v>
      </x:c>
      <x:c r="G4881" s="16" t="str">
        <x:v>+601126314364</x:v>
      </x:c>
      <x:c r="H4881" s="16" t="str">
        <x:v>Excluded</x:v>
      </x:c>
      <x:c r="I4881" s="16" t="str">
        <x:v>Missing email</x:v>
      </x:c>
    </x:row>
    <x:row r="4882">
      <x:c r="A4882" s="16" t="n">
        <x:v>4879</x:v>
      </x:c>
      <x:c r="B4882" s="16" t="str">
        <x:v>Mysarra Hamdan</x:v>
      </x:c>
      <x:c r="C4882" s="16" t="str"/>
      <x:c r="D4882" s="16" t="str"/>
      <x:c r="E4882" s="16" t="str">
        <x:v>* myContacts</x:v>
      </x:c>
      <x:c r="F4882" s="16" t="str">
        <x:v>+60107666701</x:v>
      </x:c>
      <x:c r="G4882" s="16" t="str">
        <x:v>+60107666701</x:v>
      </x:c>
      <x:c r="H4882" s="16" t="str">
        <x:v>Excluded</x:v>
      </x:c>
      <x:c r="I4882" s="16" t="str">
        <x:v>Missing email</x:v>
      </x:c>
    </x:row>
    <x:row r="4883">
      <x:c r="A4883" s="16" t="n">
        <x:v>4880</x:v>
      </x:c>
      <x:c r="B4883" s="16" t="str">
        <x:v>Myss Hani Ali</x:v>
      </x:c>
      <x:c r="C4883" s="16" t="str"/>
      <x:c r="D4883" s="16" t="str"/>
      <x:c r="E4883" s="16" t="str">
        <x:v>* myContacts</x:v>
      </x:c>
      <x:c r="F4883" s="16" t="str">
        <x:v>+60109174714</x:v>
      </x:c>
      <x:c r="G4883" s="16" t="str">
        <x:v>+60109174714</x:v>
      </x:c>
      <x:c r="H4883" s="16" t="str">
        <x:v>Excluded</x:v>
      </x:c>
      <x:c r="I4883" s="16" t="str">
        <x:v>Missing email</x:v>
      </x:c>
    </x:row>
    <x:row r="4884">
      <x:c r="A4884" s="16" t="n">
        <x:v>4881</x:v>
      </x:c>
      <x:c r="B4884" s="16" t="str">
        <x:v>Myza Zawawi</x:v>
      </x:c>
      <x:c r="C4884" s="16" t="str"/>
      <x:c r="D4884" s="16" t="str"/>
      <x:c r="E4884" s="16" t="str">
        <x:v>* myContacts</x:v>
      </x:c>
      <x:c r="F4884" s="16" t="str">
        <x:v>+60134218141</x:v>
      </x:c>
      <x:c r="G4884" s="16" t="str">
        <x:v>+60134218141</x:v>
      </x:c>
      <x:c r="H4884" s="16" t="str">
        <x:v>Excluded</x:v>
      </x:c>
      <x:c r="I4884" s="16" t="str">
        <x:v>Missing email</x:v>
      </x:c>
    </x:row>
    <x:row r="4885">
      <x:c r="A4885" s="16" t="n">
        <x:v>4882</x:v>
      </x:c>
      <x:c r="B4885" s="16" t="str">
        <x:v>N'Qila zie'Killer A'nha</x:v>
      </x:c>
      <x:c r="C4885" s="16" t="str"/>
      <x:c r="D4885" s="16" t="str"/>
      <x:c r="E4885" s="16" t="str">
        <x:v>* myContacts</x:v>
      </x:c>
      <x:c r="F4885" s="16" t="str">
        <x:v>+601126390313</x:v>
      </x:c>
      <x:c r="G4885" s="16" t="str">
        <x:v>+601126390313</x:v>
      </x:c>
      <x:c r="H4885" s="16" t="str">
        <x:v>Excluded</x:v>
      </x:c>
      <x:c r="I4885" s="16" t="str">
        <x:v>Missing email</x:v>
      </x:c>
    </x:row>
    <x:row r="4886">
      <x:c r="A4886" s="16" t="n">
        <x:v>4883</x:v>
      </x:c>
      <x:c r="B4886" s="16" t="str">
        <x:v>NA Nabilah Rahmat</x:v>
      </x:c>
      <x:c r="C4886" s="16" t="str"/>
      <x:c r="D4886" s="16" t="str"/>
      <x:c r="E4886" s="16" t="str">
        <x:v>* myContacts</x:v>
      </x:c>
      <x:c r="F4886" s="16" t="str">
        <x:v>+60193022952</x:v>
      </x:c>
      <x:c r="G4886" s="16" t="str">
        <x:v>+60193022952</x:v>
      </x:c>
      <x:c r="H4886" s="16" t="str">
        <x:v>Excluded</x:v>
      </x:c>
      <x:c r="I4886" s="16" t="str">
        <x:v>Missing email</x:v>
      </x:c>
    </x:row>
    <x:row r="4887">
      <x:c r="A4887" s="16" t="n">
        <x:v>4884</x:v>
      </x:c>
      <x:c r="B4887" s="16" t="str">
        <x:v>Na$rol Muhaimin Training Provider</x:v>
      </x:c>
      <x:c r="C4887" s="16" t="str"/>
      <x:c r="D4887" s="16" t="str"/>
      <x:c r="E4887" s="16" t="str">
        <x:v>* myContacts</x:v>
      </x:c>
      <x:c r="F4887" s="16" t="str">
        <x:v>+60 18-321 4245 | +60183214245</x:v>
      </x:c>
      <x:c r="G4887" s="16" t="str">
        <x:v>+60183214245 | +60183214245</x:v>
      </x:c>
      <x:c r="H4887" s="16" t="str">
        <x:v>Excluded</x:v>
      </x:c>
      <x:c r="I4887" s="16" t="str">
        <x:v>Missing email</x:v>
      </x:c>
    </x:row>
    <x:row r="4888">
      <x:c r="A4888" s="16" t="n">
        <x:v>4885</x:v>
      </x:c>
      <x:c r="B4888" s="16" t="str">
        <x:v>Nabb Nabillah Said</x:v>
      </x:c>
      <x:c r="C4888" s="16" t="str"/>
      <x:c r="D4888" s="16" t="str"/>
      <x:c r="E4888" s="16" t="str">
        <x:v>* myContacts</x:v>
      </x:c>
      <x:c r="F4888" s="16" t="str">
        <x:v>+60125684415</x:v>
      </x:c>
      <x:c r="G4888" s="16" t="str">
        <x:v>+60125684415</x:v>
      </x:c>
      <x:c r="H4888" s="16" t="str">
        <x:v>Excluded</x:v>
      </x:c>
      <x:c r="I4888" s="16" t="str">
        <x:v>Missing email</x:v>
      </x:c>
    </x:row>
    <x:row r="4889">
      <x:c r="A4889" s="16" t="n">
        <x:v>4886</x:v>
      </x:c>
      <x:c r="B4889" s="16" t="str">
        <x:v>Nabella Zakaria</x:v>
      </x:c>
      <x:c r="C4889" s="16" t="str"/>
      <x:c r="D4889" s="16" t="str"/>
      <x:c r="E4889" s="16" t="str">
        <x:v>* myContacts</x:v>
      </x:c>
      <x:c r="F4889" s="16" t="str">
        <x:v>+60135293497</x:v>
      </x:c>
      <x:c r="G4889" s="16" t="str">
        <x:v>+60135293497</x:v>
      </x:c>
      <x:c r="H4889" s="16" t="str">
        <x:v>Excluded</x:v>
      </x:c>
      <x:c r="I4889" s="16" t="str">
        <x:v>Missing email</x:v>
      </x:c>
    </x:row>
    <x:row r="4890">
      <x:c r="A4890" s="16" t="n">
        <x:v>4887</x:v>
      </x:c>
      <x:c r="B4890" s="16" t="str">
        <x:v>Nabila Zakaria</x:v>
      </x:c>
      <x:c r="C4890" s="16" t="str"/>
      <x:c r="D4890" s="16" t="str"/>
      <x:c r="E4890" s="16" t="str">
        <x:v>* myContacts</x:v>
      </x:c>
      <x:c r="F4890" s="16" t="str">
        <x:v>+60103799747</x:v>
      </x:c>
      <x:c r="G4890" s="16" t="str">
        <x:v>+60103799747</x:v>
      </x:c>
      <x:c r="H4890" s="16" t="str">
        <x:v>Excluded</x:v>
      </x:c>
      <x:c r="I4890" s="16" t="str">
        <x:v>Missing email</x:v>
      </x:c>
    </x:row>
    <x:row r="4891">
      <x:c r="A4891" s="16" t="n">
        <x:v>4888</x:v>
      </x:c>
      <x:c r="B4891" s="16" t="str">
        <x:v>Nabilah Al-Zahra</x:v>
      </x:c>
      <x:c r="C4891" s="16" t="str"/>
      <x:c r="D4891" s="16" t="str"/>
      <x:c r="E4891" s="16" t="str">
        <x:v>* myContacts</x:v>
      </x:c>
      <x:c r="F4891" s="16" t="str">
        <x:v>+60194965474</x:v>
      </x:c>
      <x:c r="G4891" s="16" t="str">
        <x:v>+60194965474</x:v>
      </x:c>
      <x:c r="H4891" s="16" t="str">
        <x:v>Excluded</x:v>
      </x:c>
      <x:c r="I4891" s="16" t="str">
        <x:v>Missing email</x:v>
      </x:c>
    </x:row>
    <x:row r="4892">
      <x:c r="A4892" s="16" t="n">
        <x:v>4889</x:v>
      </x:c>
      <x:c r="B4892" s="16" t="str">
        <x:v>Nabilah Ashykeen Anak Alang</x:v>
      </x:c>
      <x:c r="C4892" s="16" t="str"/>
      <x:c r="D4892" s="16" t="str"/>
      <x:c r="E4892" s="16" t="str">
        <x:v>* myContacts</x:v>
      </x:c>
      <x:c r="F4892" s="16" t="str">
        <x:v>+60 13-643 4963 | +60136434963</x:v>
      </x:c>
      <x:c r="G4892" s="16" t="str">
        <x:v>+60136434963 | +60136434963</x:v>
      </x:c>
      <x:c r="H4892" s="16" t="str">
        <x:v>Excluded</x:v>
      </x:c>
      <x:c r="I4892" s="16" t="str">
        <x:v>Missing email</x:v>
      </x:c>
    </x:row>
    <x:row r="4893">
      <x:c r="A4893" s="16" t="n">
        <x:v>4890</x:v>
      </x:c>
      <x:c r="B4893" s="16" t="str">
        <x:v>Nabilah JnJ</x:v>
      </x:c>
      <x:c r="C4893" s="16" t="str"/>
      <x:c r="D4893" s="16" t="str"/>
      <x:c r="E4893" s="16" t="str">
        <x:v>* myContacts</x:v>
      </x:c>
      <x:c r="F4893" s="16" t="str">
        <x:v>0193518231 | +60193518231</x:v>
      </x:c>
      <x:c r="G4893" s="16" t="str">
        <x:v>+60193518231 | +60193518231</x:v>
      </x:c>
      <x:c r="H4893" s="16" t="str">
        <x:v>Excluded</x:v>
      </x:c>
      <x:c r="I4893" s="16" t="str">
        <x:v>Missing email</x:v>
      </x:c>
    </x:row>
    <x:row r="4894">
      <x:c r="A4894" s="16" t="n">
        <x:v>4891</x:v>
      </x:c>
      <x:c r="B4894" s="16" t="str">
        <x:v>Nabilah Lup</x:v>
      </x:c>
      <x:c r="C4894" s="16" t="str"/>
      <x:c r="D4894" s="16" t="str"/>
      <x:c r="E4894" s="16" t="str">
        <x:v>* myContacts</x:v>
      </x:c>
      <x:c r="F4894" s="16" t="str">
        <x:v>+60125423517</x:v>
      </x:c>
      <x:c r="G4894" s="16" t="str">
        <x:v>+60125423517</x:v>
      </x:c>
      <x:c r="H4894" s="16" t="str">
        <x:v>Excluded</x:v>
      </x:c>
      <x:c r="I4894" s="16" t="str">
        <x:v>Missing email</x:v>
      </x:c>
    </x:row>
    <x:row r="4895">
      <x:c r="A4895" s="16" t="n">
        <x:v>4892</x:v>
      </x:c>
      <x:c r="B4895" s="16" t="str">
        <x:v>Nabilah NLP MALAYSIA</x:v>
      </x:c>
      <x:c r="C4895" s="16" t="str"/>
      <x:c r="D4895" s="16" t="str"/>
      <x:c r="E4895" s="16" t="str">
        <x:v>* myContacts</x:v>
      </x:c>
      <x:c r="F4895" s="16" t="str">
        <x:v>+60 13-373 7779 | +60133737779</x:v>
      </x:c>
      <x:c r="G4895" s="16" t="str">
        <x:v>+60133737779 | +60133737779</x:v>
      </x:c>
      <x:c r="H4895" s="16" t="str">
        <x:v>Excluded</x:v>
      </x:c>
      <x:c r="I4895" s="16" t="str">
        <x:v>Missing email</x:v>
      </x:c>
    </x:row>
    <x:row r="4896">
      <x:c r="A4896" s="16" t="n">
        <x:v>4893</x:v>
      </x:c>
      <x:c r="B4896" s="16" t="str">
        <x:v>Nabilah Rahmat</x:v>
      </x:c>
      <x:c r="C4896" s="16" t="str"/>
      <x:c r="D4896" s="16" t="str"/>
      <x:c r="E4896" s="16" t="str">
        <x:v>* myContacts</x:v>
      </x:c>
      <x:c r="F4896" s="16" t="str">
        <x:v>+60193022952</x:v>
      </x:c>
      <x:c r="G4896" s="16" t="str">
        <x:v>+60193022952</x:v>
      </x:c>
      <x:c r="H4896" s="16" t="str">
        <x:v>Excluded</x:v>
      </x:c>
      <x:c r="I4896" s="16" t="str">
        <x:v>Missing email</x:v>
      </x:c>
    </x:row>
    <x:row r="4897">
      <x:c r="A4897" s="16" t="n">
        <x:v>4894</x:v>
      </x:c>
      <x:c r="B4897" s="16" t="str">
        <x:v>Nad Omar</x:v>
      </x:c>
      <x:c r="C4897" s="16" t="str"/>
      <x:c r="D4897" s="16" t="str"/>
      <x:c r="E4897" s="16" t="str">
        <x:v>* myContacts</x:v>
      </x:c>
      <x:c r="F4897" s="16" t="str">
        <x:v>+60187606013</x:v>
      </x:c>
      <x:c r="G4897" s="16" t="str">
        <x:v>+60187606013</x:v>
      </x:c>
      <x:c r="H4897" s="16" t="str">
        <x:v>Excluded</x:v>
      </x:c>
      <x:c r="I4897" s="16" t="str">
        <x:v>Missing email</x:v>
      </x:c>
    </x:row>
    <x:row r="4898">
      <x:c r="A4898" s="16" t="n">
        <x:v>4895</x:v>
      </x:c>
      <x:c r="B4898" s="16" t="str">
        <x:v>Nadia Beau</x:v>
      </x:c>
      <x:c r="C4898" s="16" t="str"/>
      <x:c r="D4898" s="16" t="str"/>
      <x:c r="E4898" s="16" t="str">
        <x:v>* myContacts</x:v>
      </x:c>
      <x:c r="F4898" s="16" t="str">
        <x:v>+60102111423</x:v>
      </x:c>
      <x:c r="G4898" s="16" t="str">
        <x:v>+60102111423</x:v>
      </x:c>
      <x:c r="H4898" s="16" t="str">
        <x:v>Excluded</x:v>
      </x:c>
      <x:c r="I4898" s="16" t="str">
        <x:v>Missing email</x:v>
      </x:c>
    </x:row>
    <x:row r="4899">
      <x:c r="A4899" s="16" t="n">
        <x:v>4896</x:v>
      </x:c>
      <x:c r="B4899" s="16" t="str">
        <x:v>nadia Charisma</x:v>
      </x:c>
      <x:c r="C4899" s="16" t="str"/>
      <x:c r="D4899" s="16" t="str"/>
      <x:c r="E4899" s="16" t="str">
        <x:v>* myContacts</x:v>
      </x:c>
      <x:c r="F4899" s="16" t="str">
        <x:v>013-660 7339 | +60136607339</x:v>
      </x:c>
      <x:c r="G4899" s="16" t="str">
        <x:v>+60136607339 | +60136607339</x:v>
      </x:c>
      <x:c r="H4899" s="16" t="str">
        <x:v>Excluded</x:v>
      </x:c>
      <x:c r="I4899" s="16" t="str">
        <x:v>Missing email</x:v>
      </x:c>
    </x:row>
    <x:row r="4900">
      <x:c r="A4900" s="16" t="n">
        <x:v>4897</x:v>
      </x:c>
      <x:c r="B4900" s="16" t="str">
        <x:v>Nadia Emilia</x:v>
      </x:c>
      <x:c r="C4900" s="16" t="str"/>
      <x:c r="D4900" s="16" t="str"/>
      <x:c r="E4900" s="16" t="str">
        <x:v>* myContacts</x:v>
      </x:c>
      <x:c r="F4900" s="16" t="str">
        <x:v>+60179126112</x:v>
      </x:c>
      <x:c r="G4900" s="16" t="str">
        <x:v>+60179126112</x:v>
      </x:c>
      <x:c r="H4900" s="16" t="str">
        <x:v>Excluded</x:v>
      </x:c>
      <x:c r="I4900" s="16" t="str">
        <x:v>Missing email</x:v>
      </x:c>
    </x:row>
    <x:row r="4901">
      <x:c r="A4901" s="16" t="n">
        <x:v>4898</x:v>
      </x:c>
      <x:c r="B4901" s="16" t="str">
        <x:v>Nadia Zulkafli</x:v>
      </x:c>
      <x:c r="C4901" s="16" t="str"/>
      <x:c r="D4901" s="16" t="str"/>
      <x:c r="E4901" s="16" t="str">
        <x:v>* myContacts</x:v>
      </x:c>
      <x:c r="F4901" s="16" t="str">
        <x:v>+60176870847</x:v>
      </x:c>
      <x:c r="G4901" s="16" t="str">
        <x:v>+60176870847</x:v>
      </x:c>
      <x:c r="H4901" s="16" t="str">
        <x:v>Excluded</x:v>
      </x:c>
      <x:c r="I4901" s="16" t="str">
        <x:v>Missing email</x:v>
      </x:c>
    </x:row>
    <x:row r="4902">
      <x:c r="A4902" s="16" t="n">
        <x:v>4899</x:v>
      </x:c>
      <x:c r="B4902" s="16" t="str">
        <x:v>Nadiah Ismail</x:v>
      </x:c>
      <x:c r="C4902" s="16" t="str"/>
      <x:c r="D4902" s="16" t="str"/>
      <x:c r="E4902" s="16" t="str">
        <x:v>* myContacts</x:v>
      </x:c>
      <x:c r="F4902" s="16" t="str">
        <x:v>+60194578991</x:v>
      </x:c>
      <x:c r="G4902" s="16" t="str">
        <x:v>+60194578991</x:v>
      </x:c>
      <x:c r="H4902" s="16" t="str">
        <x:v>Excluded</x:v>
      </x:c>
      <x:c r="I4902" s="16" t="str">
        <x:v>Missing email</x:v>
      </x:c>
    </x:row>
    <x:row r="4903">
      <x:c r="A4903" s="16" t="n">
        <x:v>4900</x:v>
      </x:c>
      <x:c r="B4903" s="16" t="str">
        <x:v>Nadiah Muhammad</x:v>
      </x:c>
      <x:c r="C4903" s="16" t="str"/>
      <x:c r="D4903" s="16" t="str"/>
      <x:c r="E4903" s="16" t="str">
        <x:v>* myContacts</x:v>
      </x:c>
      <x:c r="F4903" s="16" t="str">
        <x:v>+601113184415</x:v>
      </x:c>
      <x:c r="G4903" s="16" t="str">
        <x:v>+601113184415</x:v>
      </x:c>
      <x:c r="H4903" s="16" t="str">
        <x:v>Excluded</x:v>
      </x:c>
      <x:c r="I4903" s="16" t="str">
        <x:v>Missing email</x:v>
      </x:c>
    </x:row>
    <x:row r="4904">
      <x:c r="A4904" s="16" t="n">
        <x:v>4901</x:v>
      </x:c>
      <x:c r="B4904" s="16" t="str">
        <x:v>Nadirah Astro Go</x:v>
      </x:c>
      <x:c r="C4904" s="16" t="str"/>
      <x:c r="D4904" s="16" t="str"/>
      <x:c r="E4904" s="16" t="str">
        <x:v>* myContacts</x:v>
      </x:c>
      <x:c r="F4904" s="16" t="str">
        <x:v>+60 17-884 3411 | +60178843411</x:v>
      </x:c>
      <x:c r="G4904" s="16" t="str">
        <x:v>+60178843411 | +60178843411</x:v>
      </x:c>
      <x:c r="H4904" s="16" t="str">
        <x:v>Excluded</x:v>
      </x:c>
      <x:c r="I4904" s="16" t="str">
        <x:v>Missing email</x:v>
      </x:c>
    </x:row>
    <x:row r="4905">
      <x:c r="A4905" s="16" t="n">
        <x:v>4902</x:v>
      </x:c>
      <x:c r="B4905" s="16" t="str">
        <x:v>Nadzri Kbbc Agent</x:v>
      </x:c>
      <x:c r="C4905" s="16" t="str"/>
      <x:c r="D4905" s="16" t="str"/>
      <x:c r="E4905" s="16" t="str">
        <x:v>* myContacts</x:v>
      </x:c>
      <x:c r="F4905" s="16" t="str">
        <x:v>+60 17-483 1806 | +60174831806</x:v>
      </x:c>
      <x:c r="G4905" s="16" t="str">
        <x:v>+60174831806 | +60174831806</x:v>
      </x:c>
      <x:c r="H4905" s="16" t="str">
        <x:v>Excluded</x:v>
      </x:c>
      <x:c r="I4905" s="16" t="str">
        <x:v>Missing email</x:v>
      </x:c>
    </x:row>
    <x:row r="4906">
      <x:c r="A4906" s="16" t="n">
        <x:v>4903</x:v>
      </x:c>
      <x:c r="B4906" s="16" t="str">
        <x:v>Naem Fadly</x:v>
      </x:c>
      <x:c r="C4906" s="16" t="str"/>
      <x:c r="D4906" s="16" t="str"/>
      <x:c r="E4906" s="16" t="str">
        <x:v>* myContacts</x:v>
      </x:c>
      <x:c r="F4906" s="16" t="str">
        <x:v>+60 17-528 7315 | +60175287315</x:v>
      </x:c>
      <x:c r="G4906" s="16" t="str">
        <x:v>+60175287315 | +60175287315</x:v>
      </x:c>
      <x:c r="H4906" s="16" t="str">
        <x:v>Excluded</x:v>
      </x:c>
      <x:c r="I4906" s="16" t="str">
        <x:v>Missing email</x:v>
      </x:c>
    </x:row>
    <x:row r="4907">
      <x:c r="A4907" s="16" t="n">
        <x:v>4904</x:v>
      </x:c>
      <x:c r="B4907" s="16" t="str">
        <x:v>Naem Videgrapher Umno Penang</x:v>
      </x:c>
      <x:c r="C4907" s="16" t="str"/>
      <x:c r="D4907" s="16" t="str"/>
      <x:c r="E4907" s="16" t="str">
        <x:v>* myContacts</x:v>
      </x:c>
      <x:c r="F4907" s="16" t="str">
        <x:v>0136252614 | +60136252614</x:v>
      </x:c>
      <x:c r="G4907" s="16" t="str">
        <x:v>+60136252614 | +60136252614</x:v>
      </x:c>
      <x:c r="H4907" s="16" t="str">
        <x:v>Excluded</x:v>
      </x:c>
      <x:c r="I4907" s="16" t="str">
        <x:v>Missing email</x:v>
      </x:c>
    </x:row>
    <x:row r="4908">
      <x:c r="A4908" s="16" t="n">
        <x:v>4905</x:v>
      </x:c>
      <x:c r="B4908" s="16" t="str">
        <x:v>Naffila Tul Aqma</x:v>
      </x:c>
      <x:c r="C4908" s="16" t="str"/>
      <x:c r="D4908" s="16" t="str"/>
      <x:c r="E4908" s="16" t="str">
        <x:v>* myContacts</x:v>
      </x:c>
      <x:c r="F4908" s="16" t="str">
        <x:v>+60194112817</x:v>
      </x:c>
      <x:c r="G4908" s="16" t="str">
        <x:v>+60194112817</x:v>
      </x:c>
      <x:c r="H4908" s="16" t="str">
        <x:v>Excluded</x:v>
      </x:c>
      <x:c r="I4908" s="16" t="str">
        <x:v>Missing email</x:v>
      </x:c>
    </x:row>
    <x:row r="4909">
      <x:c r="A4909" s="16" t="n">
        <x:v>4906</x:v>
      </x:c>
      <x:c r="B4909" s="16" t="str">
        <x:v>Nafy Nicole Ann'Chua</x:v>
      </x:c>
      <x:c r="C4909" s="16" t="str"/>
      <x:c r="D4909" s="16" t="str"/>
      <x:c r="E4909" s="16" t="str">
        <x:v>* myContacts</x:v>
      </x:c>
      <x:c r="F4909" s="16" t="str">
        <x:v>+60178908261</x:v>
      </x:c>
      <x:c r="G4909" s="16" t="str">
        <x:v>+60178908261</x:v>
      </x:c>
      <x:c r="H4909" s="16" t="str">
        <x:v>Excluded</x:v>
      </x:c>
      <x:c r="I4909" s="16" t="str">
        <x:v>Missing email</x:v>
      </x:c>
    </x:row>
    <x:row r="4910">
      <x:c r="A4910" s="16" t="n">
        <x:v>4907</x:v>
      </x:c>
      <x:c r="B4910" s="16" t="str">
        <x:v>Naim Dengkil Absorber</x:v>
      </x:c>
      <x:c r="C4910" s="16" t="str"/>
      <x:c r="D4910" s="16" t="str"/>
      <x:c r="E4910" s="16" t="str">
        <x:v>* myContacts</x:v>
      </x:c>
      <x:c r="F4910" s="16" t="str">
        <x:v>0193272702 | +60193272702</x:v>
      </x:c>
      <x:c r="G4910" s="16" t="str">
        <x:v>+60193272702 | +60193272702</x:v>
      </x:c>
      <x:c r="H4910" s="16" t="str">
        <x:v>Excluded</x:v>
      </x:c>
      <x:c r="I4910" s="16" t="str">
        <x:v>Missing email</x:v>
      </x:c>
    </x:row>
    <x:row r="4911">
      <x:c r="A4911" s="16" t="n">
        <x:v>4908</x:v>
      </x:c>
      <x:c r="B4911" s="16" t="str">
        <x:v>Naim dpim</x:v>
      </x:c>
      <x:c r="C4911" s="16" t="str"/>
      <x:c r="D4911" s="16" t="str"/>
      <x:c r="E4911" s="16" t="str">
        <x:v>* myContacts</x:v>
      </x:c>
      <x:c r="F4911" s="16" t="str">
        <x:v>+60 19-597 0905 | +60195970905</x:v>
      </x:c>
      <x:c r="G4911" s="16" t="str">
        <x:v>+60195970905 | +60195970905</x:v>
      </x:c>
      <x:c r="H4911" s="16" t="str">
        <x:v>Excluded</x:v>
      </x:c>
      <x:c r="I4911" s="16" t="str">
        <x:v>Missing email</x:v>
      </x:c>
    </x:row>
    <x:row r="4912">
      <x:c r="A4912" s="16" t="n">
        <x:v>4909</x:v>
      </x:c>
      <x:c r="B4912" s="16" t="str">
        <x:v>Naim Shamshul</x:v>
      </x:c>
      <x:c r="C4912" s="16" t="str"/>
      <x:c r="D4912" s="16" t="str"/>
      <x:c r="E4912" s="16" t="str">
        <x:v>* myContacts</x:v>
      </x:c>
      <x:c r="F4912" s="16" t="str">
        <x:v>+60187677363</x:v>
      </x:c>
      <x:c r="G4912" s="16" t="str">
        <x:v>+60187677363</x:v>
      </x:c>
      <x:c r="H4912" s="16" t="str">
        <x:v>Excluded</x:v>
      </x:c>
      <x:c r="I4912" s="16" t="str">
        <x:v>Missing email</x:v>
      </x:c>
    </x:row>
    <x:row r="4913">
      <x:c r="A4913" s="16" t="n">
        <x:v>4910</x:v>
      </x:c>
      <x:c r="B4913" s="16" t="str">
        <x:v>Naim Video Marketeer</x:v>
      </x:c>
      <x:c r="C4913" s="16" t="str"/>
      <x:c r="D4913" s="16" t="str"/>
      <x:c r="E4913" s="16" t="str">
        <x:v>* myContacts</x:v>
      </x:c>
      <x:c r="F4913" s="16" t="str">
        <x:v>+60 11-2151 9127 | +601121519127</x:v>
      </x:c>
      <x:c r="G4913" s="16" t="str">
        <x:v>+601121519127 | +601121519127</x:v>
      </x:c>
      <x:c r="H4913" s="16" t="str">
        <x:v>Excluded</x:v>
      </x:c>
      <x:c r="I4913" s="16" t="str">
        <x:v>Missing email</x:v>
      </x:c>
    </x:row>
    <x:row r="4914">
      <x:c r="A4914" s="16" t="n">
        <x:v>4911</x:v>
      </x:c>
      <x:c r="B4914" s="16" t="str">
        <x:v>Naimah Abu Kasim</x:v>
      </x:c>
      <x:c r="C4914" s="16" t="str"/>
      <x:c r="D4914" s="16" t="str"/>
      <x:c r="E4914" s="16" t="str">
        <x:v>* myContacts</x:v>
      </x:c>
      <x:c r="F4914" s="16" t="str">
        <x:v>+60199860204</x:v>
      </x:c>
      <x:c r="G4914" s="16" t="str">
        <x:v>+60199860204</x:v>
      </x:c>
      <x:c r="H4914" s="16" t="str">
        <x:v>Excluded</x:v>
      </x:c>
      <x:c r="I4914" s="16" t="str">
        <x:v>Missing email</x:v>
      </x:c>
    </x:row>
    <x:row r="4915">
      <x:c r="A4915" s="16" t="n">
        <x:v>4912</x:v>
      </x:c>
      <x:c r="B4915" s="16" t="str">
        <x:v>Naimah Suziana</x:v>
      </x:c>
      <x:c r="C4915" s="16" t="str"/>
      <x:c r="D4915" s="16" t="str"/>
      <x:c r="E4915" s="16" t="str">
        <x:v>* myContacts</x:v>
      </x:c>
      <x:c r="F4915" s="16" t="str">
        <x:v>+60145700132</x:v>
      </x:c>
      <x:c r="G4915" s="16" t="str">
        <x:v>+60145700132</x:v>
      </x:c>
      <x:c r="H4915" s="16" t="str">
        <x:v>Excluded</x:v>
      </x:c>
      <x:c r="I4915" s="16" t="str">
        <x:v>Missing email</x:v>
      </x:c>
    </x:row>
    <x:row r="4916">
      <x:c r="A4916" s="16" t="n">
        <x:v>4913</x:v>
      </x:c>
      <x:c r="B4916" s="16" t="str">
        <x:v>Najib C5 Lazada</x:v>
      </x:c>
      <x:c r="C4916" s="16" t="str"/>
      <x:c r="D4916" s="16" t="str"/>
      <x:c r="E4916" s="16" t="str">
        <x:v>* myContacts</x:v>
      </x:c>
      <x:c r="F4916" s="16" t="str">
        <x:v>0194631299 | +60194631299</x:v>
      </x:c>
      <x:c r="G4916" s="16" t="str">
        <x:v>+60194631299 | +60194631299</x:v>
      </x:c>
      <x:c r="H4916" s="16" t="str">
        <x:v>Excluded</x:v>
      </x:c>
      <x:c r="I4916" s="16" t="str">
        <x:v>Missing email</x:v>
      </x:c>
    </x:row>
    <x:row r="4917">
      <x:c r="A4917" s="16" t="n">
        <x:v>4914</x:v>
      </x:c>
      <x:c r="B4917" s="16" t="str">
        <x:v>Najib Mdec</x:v>
      </x:c>
      <x:c r="C4917" s="16" t="str"/>
      <x:c r="D4917" s="16" t="str"/>
      <x:c r="E4917" s="16" t="str">
        <x:v>* myContacts</x:v>
      </x:c>
      <x:c r="F4917" s="16" t="str">
        <x:v>+60 12-946 0634 | +60129460634</x:v>
      </x:c>
      <x:c r="G4917" s="16" t="str">
        <x:v>+60129460634 | +60129460634</x:v>
      </x:c>
      <x:c r="H4917" s="16" t="str">
        <x:v>Excluded</x:v>
      </x:c>
      <x:c r="I4917" s="16" t="str">
        <x:v>Missing email</x:v>
      </x:c>
    </x:row>
    <x:row r="4918">
      <x:c r="A4918" s="16" t="n">
        <x:v>4915</x:v>
      </x:c>
      <x:c r="B4918" s="16" t="str">
        <x:v>Najib Property</x:v>
      </x:c>
      <x:c r="C4918" s="16" t="str"/>
      <x:c r="D4918" s="16" t="str"/>
      <x:c r="E4918" s="16" t="str">
        <x:v>* myContacts</x:v>
      </x:c>
      <x:c r="F4918" s="16" t="str">
        <x:v>0172794464 | +60172794464</x:v>
      </x:c>
      <x:c r="G4918" s="16" t="str">
        <x:v>+60172794464 | +60172794464</x:v>
      </x:c>
      <x:c r="H4918" s="16" t="str">
        <x:v>Excluded</x:v>
      </x:c>
      <x:c r="I4918" s="16" t="str">
        <x:v>Missing email</x:v>
      </x:c>
    </x:row>
    <x:row r="4919">
      <x:c r="A4919" s="16" t="n">
        <x:v>4916</x:v>
      </x:c>
      <x:c r="B4919" s="16" t="str">
        <x:v>Najibmohd Rempit</x:v>
      </x:c>
      <x:c r="C4919" s="16" t="str"/>
      <x:c r="D4919" s="16" t="str"/>
      <x:c r="E4919" s="16" t="str">
        <x:v>* myContacts</x:v>
      </x:c>
      <x:c r="F4919" s="16" t="str">
        <x:v>+60177978144</x:v>
      </x:c>
      <x:c r="G4919" s="16" t="str">
        <x:v>+60177978144</x:v>
      </x:c>
      <x:c r="H4919" s="16" t="str">
        <x:v>Excluded</x:v>
      </x:c>
      <x:c r="I4919" s="16" t="str">
        <x:v>Missing email</x:v>
      </x:c>
    </x:row>
    <x:row r="4920">
      <x:c r="A4920" s="16" t="n">
        <x:v>4917</x:v>
      </x:c>
      <x:c r="B4920" s="16" t="str">
        <x:v>Najla Abdul</x:v>
      </x:c>
      <x:c r="C4920" s="16" t="str"/>
      <x:c r="D4920" s="16" t="str"/>
      <x:c r="E4920" s="16" t="str">
        <x:v>* myContacts</x:v>
      </x:c>
      <x:c r="F4920" s="16" t="str">
        <x:v>+60137770120</x:v>
      </x:c>
      <x:c r="G4920" s="16" t="str">
        <x:v>+60137770120</x:v>
      </x:c>
      <x:c r="H4920" s="16" t="str">
        <x:v>Excluded</x:v>
      </x:c>
      <x:c r="I4920" s="16" t="str">
        <x:v>Missing email</x:v>
      </x:c>
    </x:row>
    <x:row r="4921">
      <x:c r="A4921" s="16" t="n">
        <x:v>4918</x:v>
      </x:c>
      <x:c r="B4921" s="16" t="str">
        <x:v>Najmi Uda Man</x:v>
      </x:c>
      <x:c r="C4921" s="16" t="str"/>
      <x:c r="D4921" s="16" t="str"/>
      <x:c r="E4921" s="16" t="str">
        <x:v>* myContacts</x:v>
      </x:c>
      <x:c r="F4921" s="16" t="str">
        <x:v>0195125095 | +60195125095</x:v>
      </x:c>
      <x:c r="G4921" s="16" t="str">
        <x:v>+60195125095 | +60195125095</x:v>
      </x:c>
      <x:c r="H4921" s="16" t="str">
        <x:v>Excluded</x:v>
      </x:c>
      <x:c r="I4921" s="16" t="str">
        <x:v>Missing email</x:v>
      </x:c>
    </x:row>
    <x:row r="4922">
      <x:c r="A4922" s="16" t="n">
        <x:v>4919</x:v>
      </x:c>
      <x:c r="B4922" s="16" t="str">
        <x:v>Najmi UTM</x:v>
      </x:c>
      <x:c r="C4922" s="16" t="str"/>
      <x:c r="D4922" s="16" t="str"/>
      <x:c r="E4922" s="16" t="str">
        <x:v>* myContacts</x:v>
      </x:c>
      <x:c r="F4922" s="16" t="str">
        <x:v>+60 13-397 4770 | +60133974770</x:v>
      </x:c>
      <x:c r="G4922" s="16" t="str">
        <x:v>+60133974770 | +60133974770</x:v>
      </x:c>
      <x:c r="H4922" s="16" t="str">
        <x:v>Excluded</x:v>
      </x:c>
      <x:c r="I4922" s="16" t="str">
        <x:v>Missing email</x:v>
      </x:c>
    </x:row>
    <x:row r="4923">
      <x:c r="A4923" s="16" t="n">
        <x:v>4920</x:v>
      </x:c>
      <x:c r="B4923" s="16" t="str">
        <x:v>najmi video expert</x:v>
      </x:c>
      <x:c r="C4923" s="16" t="str"/>
      <x:c r="D4923" s="16" t="str"/>
      <x:c r="E4923" s="16" t="str">
        <x:v>* myContacts</x:v>
      </x:c>
      <x:c r="F4923" s="16" t="str">
        <x:v>0172852314 | +60172852314</x:v>
      </x:c>
      <x:c r="G4923" s="16" t="str">
        <x:v>+60172852314 | +60172852314</x:v>
      </x:c>
      <x:c r="H4923" s="16" t="str">
        <x:v>Excluded</x:v>
      </x:c>
      <x:c r="I4923" s="16" t="str">
        <x:v>Missing email</x:v>
      </x:c>
    </x:row>
    <x:row r="4924">
      <x:c r="A4924" s="16" t="n">
        <x:v>4921</x:v>
      </x:c>
      <x:c r="B4924" s="16" t="str">
        <x:v>Najwa Shukri</x:v>
      </x:c>
      <x:c r="C4924" s="16" t="str"/>
      <x:c r="D4924" s="16" t="str"/>
      <x:c r="E4924" s="16" t="str">
        <x:v>* myContacts</x:v>
      </x:c>
      <x:c r="F4924" s="16" t="str">
        <x:v>+60125501450</x:v>
      </x:c>
      <x:c r="G4924" s="16" t="str">
        <x:v>+60125501450</x:v>
      </x:c>
      <x:c r="H4924" s="16" t="str">
        <x:v>Excluded</x:v>
      </x:c>
      <x:c r="I4924" s="16" t="str">
        <x:v>Missing email</x:v>
      </x:c>
    </x:row>
    <x:row r="4925">
      <x:c r="A4925" s="16" t="n">
        <x:v>4922</x:v>
      </x:c>
      <x:c r="B4925" s="16" t="str">
        <x:v>Nakcun HQ</x:v>
      </x:c>
      <x:c r="C4925" s="16" t="str"/>
      <x:c r="D4925" s="16" t="str"/>
      <x:c r="E4925" s="16" t="str">
        <x:v>* myContacts</x:v>
      </x:c>
      <x:c r="F4925" s="16" t="str">
        <x:v>+60148307560</x:v>
      </x:c>
      <x:c r="G4925" s="16" t="str">
        <x:v>+60148307560</x:v>
      </x:c>
      <x:c r="H4925" s="16" t="str">
        <x:v>Excluded</x:v>
      </x:c>
      <x:c r="I4925" s="16" t="str">
        <x:v>Missing email</x:v>
      </x:c>
    </x:row>
    <x:row r="4926">
      <x:c r="A4926" s="16" t="n">
        <x:v>4923</x:v>
      </x:c>
      <x:c r="B4926" s="16" t="str">
        <x:v>Nalyn Rose</x:v>
      </x:c>
      <x:c r="C4926" s="16" t="str"/>
      <x:c r="D4926" s="16" t="str"/>
      <x:c r="E4926" s="16" t="str">
        <x:v>* myContacts</x:v>
      </x:c>
      <x:c r="F4926" s="16" t="str">
        <x:v>+60178643121</x:v>
      </x:c>
      <x:c r="G4926" s="16" t="str">
        <x:v>+60178643121</x:v>
      </x:c>
      <x:c r="H4926" s="16" t="str">
        <x:v>Excluded</x:v>
      </x:c>
      <x:c r="I4926" s="16" t="str">
        <x:v>Missing email</x:v>
      </x:c>
    </x:row>
    <x:row r="4927">
      <x:c r="A4927" s="16" t="n">
        <x:v>4924</x:v>
      </x:c>
      <x:c r="B4927" s="16" t="str">
        <x:v>Nana Jiha</x:v>
      </x:c>
      <x:c r="C4927" s="16" t="str"/>
      <x:c r="D4927" s="16" t="str"/>
      <x:c r="E4927" s="16" t="str">
        <x:v>* myContacts</x:v>
      </x:c>
      <x:c r="F4927" s="16" t="str">
        <x:v>+60149426544 | +6065228079 | +60149426544 | +6065228079</x:v>
      </x:c>
      <x:c r="G4927" s="16" t="str">
        <x:v>+60149426544 | +6065228079 | +60149426544 | +6065228079</x:v>
      </x:c>
      <x:c r="H4927" s="16" t="str">
        <x:v>Excluded</x:v>
      </x:c>
      <x:c r="I4927" s="16" t="str">
        <x:v>Missing email</x:v>
      </x:c>
    </x:row>
    <x:row r="4928">
      <x:c r="A4928" s="16" t="n">
        <x:v>4925</x:v>
      </x:c>
      <x:c r="B4928" s="16" t="str">
        <x:v>Nanaa Ahmad</x:v>
      </x:c>
      <x:c r="C4928" s="16" t="str"/>
      <x:c r="D4928" s="16" t="str"/>
      <x:c r="E4928" s="16" t="str">
        <x:v>* myContacts</x:v>
      </x:c>
      <x:c r="F4928" s="16" t="str">
        <x:v>+60142796488</x:v>
      </x:c>
      <x:c r="G4928" s="16" t="str">
        <x:v>+60142796488</x:v>
      </x:c>
      <x:c r="H4928" s="16" t="str">
        <x:v>Excluded</x:v>
      </x:c>
      <x:c r="I4928" s="16" t="str">
        <x:v>Missing email</x:v>
      </x:c>
    </x:row>
    <x:row r="4929">
      <x:c r="A4929" s="16" t="n">
        <x:v>4926</x:v>
      </x:c>
      <x:c r="B4929" s="16" t="str">
        <x:v>Nancy Lay</x:v>
      </x:c>
      <x:c r="C4929" s="16" t="str"/>
      <x:c r="D4929" s="16" t="str"/>
      <x:c r="E4929" s="16" t="str">
        <x:v>* myContacts</x:v>
      </x:c>
      <x:c r="F4929" s="16" t="str">
        <x:v>+60198066755</x:v>
      </x:c>
      <x:c r="G4929" s="16" t="str">
        <x:v>+60198066755</x:v>
      </x:c>
      <x:c r="H4929" s="16" t="str">
        <x:v>Excluded</x:v>
      </x:c>
      <x:c r="I4929" s="16" t="str">
        <x:v>Missing email</x:v>
      </x:c>
    </x:row>
    <x:row r="4930">
      <x:c r="A4930" s="16" t="n">
        <x:v>4927</x:v>
      </x:c>
      <x:c r="B4930" s="16" t="str">
        <x:v>Nancy Pagang HG</x:v>
      </x:c>
      <x:c r="C4930" s="16" t="str"/>
      <x:c r="D4930" s="16" t="str"/>
      <x:c r="E4930" s="16" t="str">
        <x:v>* myContacts</x:v>
      </x:c>
      <x:c r="F4930" s="16" t="str">
        <x:v>+60 14-673 2545 | +60146732545</x:v>
      </x:c>
      <x:c r="G4930" s="16" t="str">
        <x:v>+60146732545 | +60146732545</x:v>
      </x:c>
      <x:c r="H4930" s="16" t="str">
        <x:v>Excluded</x:v>
      </x:c>
      <x:c r="I4930" s="16" t="str">
        <x:v>Missing email</x:v>
      </x:c>
    </x:row>
    <x:row r="4931">
      <x:c r="A4931" s="16" t="n">
        <x:v>4928</x:v>
      </x:c>
      <x:c r="B4931" s="16" t="str">
        <x:v>mr Nang youtube trainer</x:v>
      </x:c>
      <x:c r="C4931" s="16" t="str"/>
      <x:c r="D4931" s="16" t="str"/>
      <x:c r="E4931" s="16" t="str">
        <x:v>Trainer | * myContacts</x:v>
      </x:c>
      <x:c r="F4931" s="16" t="str">
        <x:v>+60 10-220 6800</x:v>
      </x:c>
      <x:c r="G4931" s="16" t="str">
        <x:v>+60102206800</x:v>
      </x:c>
      <x:c r="H4931" s="16" t="str">
        <x:v>Excluded</x:v>
      </x:c>
      <x:c r="I4931" s="16" t="str">
        <x:v>Missing email</x:v>
      </x:c>
    </x:row>
    <x:row r="4932">
      <x:c r="A4932" s="16" t="n">
        <x:v>4929</x:v>
      </x:c>
      <x:c r="B4932" s="16" t="str">
        <x:v>Nani Darlina Daros</x:v>
      </x:c>
      <x:c r="C4932" s="16" t="str"/>
      <x:c r="D4932" s="16" t="str"/>
      <x:c r="E4932" s="16" t="str">
        <x:v>* myContacts</x:v>
      </x:c>
      <x:c r="F4932" s="16" t="str">
        <x:v>+60 16-665 1963 | +60166651963</x:v>
      </x:c>
      <x:c r="G4932" s="16" t="str">
        <x:v>+60166651963 | +60166651963</x:v>
      </x:c>
      <x:c r="H4932" s="16" t="str">
        <x:v>Excluded</x:v>
      </x:c>
      <x:c r="I4932" s="16" t="str">
        <x:v>Missing email</x:v>
      </x:c>
    </x:row>
    <x:row r="4933">
      <x:c r="A4933" s="16" t="n">
        <x:v>4930</x:v>
      </x:c>
      <x:c r="B4933" s="16" t="str">
        <x:v>Napi Hadi</x:v>
      </x:c>
      <x:c r="C4933" s="16" t="str"/>
      <x:c r="D4933" s="16" t="str"/>
      <x:c r="E4933" s="16" t="str">
        <x:v>* myContacts</x:v>
      </x:c>
      <x:c r="F4933" s="16" t="str">
        <x:v>+60139962429</x:v>
      </x:c>
      <x:c r="G4933" s="16" t="str">
        <x:v>+60139962429</x:v>
      </x:c>
      <x:c r="H4933" s="16" t="str">
        <x:v>Excluded</x:v>
      </x:c>
      <x:c r="I4933" s="16" t="str">
        <x:v>Missing email</x:v>
      </x:c>
    </x:row>
    <x:row r="4934">
      <x:c r="A4934" s="16" t="n">
        <x:v>4931</x:v>
      </x:c>
      <x:c r="B4934" s="16" t="str">
        <x:v>napisah aim</x:v>
      </x:c>
      <x:c r="C4934" s="16" t="str"/>
      <x:c r="D4934" s="16" t="str"/>
      <x:c r="E4934" s="16" t="str">
        <x:v>* myContacts</x:v>
      </x:c>
      <x:c r="F4934" s="16" t="str">
        <x:v>0189107001 | +60189107001</x:v>
      </x:c>
      <x:c r="G4934" s="16" t="str">
        <x:v>+60189107001 | +60189107001</x:v>
      </x:c>
      <x:c r="H4934" s="16" t="str">
        <x:v>Excluded</x:v>
      </x:c>
      <x:c r="I4934" s="16" t="str">
        <x:v>Missing email</x:v>
      </x:c>
    </x:row>
    <x:row r="4935">
      <x:c r="A4935" s="16" t="n">
        <x:v>4932</x:v>
      </x:c>
      <x:c r="B4935" s="16" t="str">
        <x:v>Naqia UTM</x:v>
      </x:c>
      <x:c r="C4935" s="16" t="str"/>
      <x:c r="D4935" s="16" t="str"/>
      <x:c r="E4935" s="16" t="str">
        <x:v>* myContacts</x:v>
      </x:c>
      <x:c r="F4935" s="16" t="str">
        <x:v>+60 19-215 6577 | +60192156577</x:v>
      </x:c>
      <x:c r="G4935" s="16" t="str">
        <x:v>+60192156577 | +60192156577</x:v>
      </x:c>
      <x:c r="H4935" s="16" t="str">
        <x:v>Excluded</x:v>
      </x:c>
      <x:c r="I4935" s="16" t="str">
        <x:v>Missing email</x:v>
      </x:c>
    </x:row>
    <x:row r="4936">
      <x:c r="A4936" s="16" t="n">
        <x:v>4933</x:v>
      </x:c>
      <x:c r="B4936" s="16" t="str">
        <x:v>Nara Diandra Beautee's</x:v>
      </x:c>
      <x:c r="C4936" s="16" t="str"/>
      <x:c r="D4936" s="16" t="str"/>
      <x:c r="E4936" s="16" t="str">
        <x:v>* myContacts</x:v>
      </x:c>
      <x:c r="F4936" s="16" t="str">
        <x:v>+60182511092</x:v>
      </x:c>
      <x:c r="G4936" s="16" t="str">
        <x:v>+60182511092</x:v>
      </x:c>
      <x:c r="H4936" s="16" t="str">
        <x:v>Excluded</x:v>
      </x:c>
      <x:c r="I4936" s="16" t="str">
        <x:v>Missing email</x:v>
      </x:c>
    </x:row>
    <x:row r="4937">
      <x:c r="A4937" s="16" t="n">
        <x:v>4934</x:v>
      </x:c>
      <x:c r="B4937" s="16" t="str">
        <x:v>Nas io</x:v>
      </x:c>
      <x:c r="C4937" s="16" t="str"/>
      <x:c r="D4937" s="16" t="str"/>
      <x:c r="E4937" s="16" t="str">
        <x:v>* myContacts</x:v>
      </x:c>
      <x:c r="F4937" s="16" t="str">
        <x:v>+65 8903 2150 | +6589032150</x:v>
      </x:c>
      <x:c r="G4937" s="16" t="str">
        <x:v>+6589032150 | +6589032150</x:v>
      </x:c>
      <x:c r="H4937" s="16" t="str">
        <x:v>Excluded</x:v>
      </x:c>
      <x:c r="I4937" s="16" t="str">
        <x:v>Missing email</x:v>
      </x:c>
    </x:row>
    <x:row r="4938">
      <x:c r="A4938" s="16" t="n">
        <x:v>4935</x:v>
      </x:c>
      <x:c r="B4938" s="16" t="str">
        <x:v>Nase Buffett</x:v>
      </x:c>
      <x:c r="C4938" s="16" t="str"/>
      <x:c r="D4938" s="16" t="str"/>
      <x:c r="E4938" s="16" t="str">
        <x:v>* myContacts</x:v>
      </x:c>
      <x:c r="F4938" s="16" t="str">
        <x:v>+60163967869</x:v>
      </x:c>
      <x:c r="G4938" s="16" t="str">
        <x:v>+60163967869</x:v>
      </x:c>
      <x:c r="H4938" s="16" t="str">
        <x:v>Excluded</x:v>
      </x:c>
      <x:c r="I4938" s="16" t="str">
        <x:v>Missing email</x:v>
      </x:c>
    </x:row>
    <x:row r="4939">
      <x:c r="A4939" s="16" t="n">
        <x:v>4936</x:v>
      </x:c>
      <x:c r="B4939" s="16" t="str">
        <x:v>Nash Restu</x:v>
      </x:c>
      <x:c r="C4939" s="16" t="str"/>
      <x:c r="D4939" s="16" t="str"/>
      <x:c r="E4939" s="16" t="str">
        <x:v>* myContacts</x:v>
      </x:c>
      <x:c r="F4939" s="16" t="str">
        <x:v>+60146342541</x:v>
      </x:c>
      <x:c r="G4939" s="16" t="str">
        <x:v>+60146342541</x:v>
      </x:c>
      <x:c r="H4939" s="16" t="str">
        <x:v>Excluded</x:v>
      </x:c>
      <x:c r="I4939" s="16" t="str">
        <x:v>Missing email</x:v>
      </x:c>
    </x:row>
    <x:row r="4940">
      <x:c r="A4940" s="16" t="n">
        <x:v>4937</x:v>
      </x:c>
      <x:c r="B4940" s="16" t="str">
        <x:v>Nashahaimi Binshaari</x:v>
      </x:c>
      <x:c r="C4940" s="16" t="str"/>
      <x:c r="D4940" s="16" t="str"/>
      <x:c r="E4940" s="16" t="str">
        <x:v>* myContacts</x:v>
      </x:c>
      <x:c r="F4940" s="16" t="str">
        <x:v>+601112565929</x:v>
      </x:c>
      <x:c r="G4940" s="16" t="str">
        <x:v>+601112565929</x:v>
      </x:c>
      <x:c r="H4940" s="16" t="str">
        <x:v>Excluded</x:v>
      </x:c>
      <x:c r="I4940" s="16" t="str">
        <x:v>Missing email</x:v>
      </x:c>
    </x:row>
    <x:row r="4941">
      <x:c r="A4941" s="16" t="n">
        <x:v>4938</x:v>
      </x:c>
      <x:c r="B4941" s="16" t="str">
        <x:v>Nasharuddin AGP</x:v>
      </x:c>
      <x:c r="C4941" s="16" t="str"/>
      <x:c r="D4941" s="16" t="str"/>
      <x:c r="E4941" s="16" t="str">
        <x:v>* myContacts</x:v>
      </x:c>
      <x:c r="F4941" s="16" t="str">
        <x:v>+60 13-937 0157 | +60139370157</x:v>
      </x:c>
      <x:c r="G4941" s="16" t="str">
        <x:v>+60139370157 | +60139370157</x:v>
      </x:c>
      <x:c r="H4941" s="16" t="str">
        <x:v>Excluded</x:v>
      </x:c>
      <x:c r="I4941" s="16" t="str">
        <x:v>Missing email</x:v>
      </x:c>
    </x:row>
    <x:row r="4942">
      <x:c r="A4942" s="16" t="n">
        <x:v>4939</x:v>
      </x:c>
      <x:c r="B4942" s="16" t="str">
        <x:v>Nashron Business Coach</x:v>
      </x:c>
      <x:c r="C4942" s="16" t="str"/>
      <x:c r="D4942" s="16" t="str"/>
      <x:c r="E4942" s="16" t="str">
        <x:v>Trainer | * myContacts</x:v>
      </x:c>
      <x:c r="F4942" s="16" t="str">
        <x:v>0163668456 | +60 18-287 4826 | +60163668456 | +60182874826</x:v>
      </x:c>
      <x:c r="G4942" s="16" t="str">
        <x:v>+60163668456 | +60182874826 | +60163668456 | +60182874826</x:v>
      </x:c>
      <x:c r="H4942" s="16" t="str">
        <x:v>Excluded</x:v>
      </x:c>
      <x:c r="I4942" s="16" t="str">
        <x:v>Missing email</x:v>
      </x:c>
    </x:row>
    <x:row r="4943">
      <x:c r="A4943" s="16" t="n">
        <x:v>4940</x:v>
      </x:c>
      <x:c r="B4943" s="16" t="str">
        <x:v>nasir im penang</x:v>
      </x:c>
      <x:c r="C4943" s="16" t="str"/>
      <x:c r="D4943" s="16" t="str"/>
      <x:c r="E4943" s="16" t="str">
        <x:v>* myContacts</x:v>
      </x:c>
      <x:c r="F4943" s="16" t="str">
        <x:v>0182659813 | +60182659813</x:v>
      </x:c>
      <x:c r="G4943" s="16" t="str">
        <x:v>+60182659813 | +60182659813</x:v>
      </x:c>
      <x:c r="H4943" s="16" t="str">
        <x:v>Excluded</x:v>
      </x:c>
      <x:c r="I4943" s="16" t="str">
        <x:v>Missing email</x:v>
      </x:c>
    </x:row>
    <x:row r="4944">
      <x:c r="A4944" s="16" t="n">
        <x:v>4941</x:v>
      </x:c>
      <x:c r="B4944" s="16" t="str">
        <x:v>Nasran Saat</x:v>
      </x:c>
      <x:c r="C4944" s="16" t="str"/>
      <x:c r="D4944" s="16" t="str"/>
      <x:c r="E4944" s="16" t="str">
        <x:v>* myContacts</x:v>
      </x:c>
      <x:c r="F4944" s="16" t="str">
        <x:v>+601133977580</x:v>
      </x:c>
      <x:c r="G4944" s="16" t="str">
        <x:v>+601133977580</x:v>
      </x:c>
      <x:c r="H4944" s="16" t="str">
        <x:v>Excluded</x:v>
      </x:c>
      <x:c r="I4944" s="16" t="str">
        <x:v>Missing email</x:v>
      </x:c>
    </x:row>
    <x:row r="4945">
      <x:c r="A4945" s="16" t="n">
        <x:v>4942</x:v>
      </x:c>
      <x:c r="B4945" s="16" t="str">
        <x:v>Nasri MC Program</x:v>
      </x:c>
      <x:c r="C4945" s="16" t="str"/>
      <x:c r="D4945" s="16" t="str"/>
      <x:c r="E4945" s="16" t="str">
        <x:v>* myContacts</x:v>
      </x:c>
      <x:c r="F4945" s="16" t="str">
        <x:v>0137656245 | +60137656245</x:v>
      </x:c>
      <x:c r="G4945" s="16" t="str">
        <x:v>+60137656245 | +60137656245</x:v>
      </x:c>
      <x:c r="H4945" s="16" t="str">
        <x:v>Excluded</x:v>
      </x:c>
      <x:c r="I4945" s="16" t="str">
        <x:v>Missing email</x:v>
      </x:c>
    </x:row>
    <x:row r="4946">
      <x:c r="A4946" s="16" t="n">
        <x:v>4943</x:v>
      </x:c>
      <x:c r="B4946" s="16" t="str">
        <x:v>Nasriyah Saad</x:v>
      </x:c>
      <x:c r="C4946" s="16" t="str"/>
      <x:c r="D4946" s="16" t="str"/>
      <x:c r="E4946" s="16" t="str">
        <x:v>* myContacts</x:v>
      </x:c>
      <x:c r="F4946" s="16" t="str">
        <x:v>+60164363077</x:v>
      </x:c>
      <x:c r="G4946" s="16" t="str">
        <x:v>+60164363077</x:v>
      </x:c>
      <x:c r="H4946" s="16" t="str">
        <x:v>Excluded</x:v>
      </x:c>
      <x:c r="I4946" s="16" t="str">
        <x:v>Missing email</x:v>
      </x:c>
    </x:row>
    <x:row r="4947">
      <x:c r="A4947" s="16" t="n">
        <x:v>4944</x:v>
      </x:c>
      <x:c r="B4947" s="16" t="str">
        <x:v>Nasrol Repairing</x:v>
      </x:c>
      <x:c r="C4947" s="16" t="str"/>
      <x:c r="D4947" s="16" t="str"/>
      <x:c r="E4947" s="16" t="str">
        <x:v>* myContacts</x:v>
      </x:c>
      <x:c r="F4947" s="16" t="str">
        <x:v>+60174648568</x:v>
      </x:c>
      <x:c r="G4947" s="16" t="str">
        <x:v>+60174648568</x:v>
      </x:c>
      <x:c r="H4947" s="16" t="str">
        <x:v>Excluded</x:v>
      </x:c>
      <x:c r="I4947" s="16" t="str">
        <x:v>Missing email</x:v>
      </x:c>
    </x:row>
    <x:row r="4948">
      <x:c r="A4948" s="16" t="n">
        <x:v>4945</x:v>
      </x:c>
      <x:c r="B4948" s="16" t="str">
        <x:v>Nasron Bin Arshad AGP</x:v>
      </x:c>
      <x:c r="C4948" s="16" t="str"/>
      <x:c r="D4948" s="16" t="str"/>
      <x:c r="E4948" s="16" t="str">
        <x:v>* myContacts</x:v>
      </x:c>
      <x:c r="F4948" s="16" t="str">
        <x:v>+60 19-351 7370 | +60193517370</x:v>
      </x:c>
      <x:c r="G4948" s="16" t="str">
        <x:v>+60193517370 | +60193517370</x:v>
      </x:c>
      <x:c r="H4948" s="16" t="str">
        <x:v>Excluded</x:v>
      </x:c>
      <x:c r="I4948" s="16" t="str">
        <x:v>Missing email</x:v>
      </x:c>
    </x:row>
    <x:row r="4949">
      <x:c r="A4949" s="16" t="n">
        <x:v>4946</x:v>
      </x:c>
      <x:c r="B4949" s="16" t="str">
        <x:v>Nasruddin Mohd Nasri</x:v>
      </x:c>
      <x:c r="C4949" s="16" t="str"/>
      <x:c r="D4949" s="16" t="str"/>
      <x:c r="E4949" s="16" t="str">
        <x:v>* myContacts</x:v>
      </x:c>
      <x:c r="F4949" s="16" t="str">
        <x:v>+60196051578</x:v>
      </x:c>
      <x:c r="G4949" s="16" t="str">
        <x:v>+60196051578</x:v>
      </x:c>
      <x:c r="H4949" s="16" t="str">
        <x:v>Excluded</x:v>
      </x:c>
      <x:c r="I4949" s="16" t="str">
        <x:v>Missing email</x:v>
      </x:c>
    </x:row>
    <x:row r="4950">
      <x:c r="A4950" s="16" t="n">
        <x:v>4947</x:v>
      </x:c>
      <x:c r="B4950" s="16" t="str">
        <x:v>Nasrul AIMI</x:v>
      </x:c>
      <x:c r="C4950" s="16" t="str"/>
      <x:c r="D4950" s="16" t="str"/>
      <x:c r="E4950" s="16" t="str">
        <x:v>* myContacts</x:v>
      </x:c>
      <x:c r="F4950" s="16" t="str">
        <x:v>0135752339 | +60135752339</x:v>
      </x:c>
      <x:c r="G4950" s="16" t="str">
        <x:v>+60135752339 | +60135752339</x:v>
      </x:c>
      <x:c r="H4950" s="16" t="str">
        <x:v>Excluded</x:v>
      </x:c>
      <x:c r="I4950" s="16" t="str">
        <x:v>Missing email</x:v>
      </x:c>
    </x:row>
    <x:row r="4951">
      <x:c r="A4951" s="16" t="n">
        <x:v>4948</x:v>
      </x:c>
      <x:c r="B4951" s="16" t="str">
        <x:v>Nasrul FAMA</x:v>
      </x:c>
      <x:c r="C4951" s="16" t="str"/>
      <x:c r="D4951" s="16" t="str"/>
      <x:c r="E4951" s="16" t="str">
        <x:v>* myContacts</x:v>
      </x:c>
      <x:c r="F4951" s="16" t="str">
        <x:v>0136038514 | +60136038514</x:v>
      </x:c>
      <x:c r="G4951" s="16" t="str">
        <x:v>+60136038514 | +60136038514</x:v>
      </x:c>
      <x:c r="H4951" s="16" t="str">
        <x:v>Excluded</x:v>
      </x:c>
      <x:c r="I4951" s="16" t="str">
        <x:v>Missing email</x:v>
      </x:c>
    </x:row>
    <x:row r="4952">
      <x:c r="A4952" s="16" t="n">
        <x:v>4949</x:v>
      </x:c>
      <x:c r="B4952" s="16" t="str">
        <x:v>Nasrul Kbbc agent</x:v>
      </x:c>
      <x:c r="C4952" s="16" t="str"/>
      <x:c r="D4952" s="16" t="str"/>
      <x:c r="E4952" s="16" t="str">
        <x:v>* myContacts</x:v>
      </x:c>
      <x:c r="F4952" s="16" t="str">
        <x:v>+60 11-1140 5443 | +601111405443</x:v>
      </x:c>
      <x:c r="G4952" s="16" t="str">
        <x:v>+601111405443 | +601111405443</x:v>
      </x:c>
      <x:c r="H4952" s="16" t="str">
        <x:v>Excluded</x:v>
      </x:c>
      <x:c r="I4952" s="16" t="str">
        <x:v>Missing email</x:v>
      </x:c>
    </x:row>
    <x:row r="4953">
      <x:c r="A4953" s="16" t="n">
        <x:v>4950</x:v>
      </x:c>
      <x:c r="B4953" s="16" t="str">
        <x:v>Nasrul Nurseroll</x:v>
      </x:c>
      <x:c r="C4953" s="16" t="str"/>
      <x:c r="D4953" s="16" t="str"/>
      <x:c r="E4953" s="16" t="str">
        <x:v>* myContacts</x:v>
      </x:c>
      <x:c r="F4953" s="16" t="str">
        <x:v>+60198141002</x:v>
      </x:c>
      <x:c r="G4953" s="16" t="str">
        <x:v>+60198141002</x:v>
      </x:c>
      <x:c r="H4953" s="16" t="str">
        <x:v>Excluded</x:v>
      </x:c>
      <x:c r="I4953" s="16" t="str">
        <x:v>Missing email</x:v>
      </x:c>
    </x:row>
    <x:row r="4954">
      <x:c r="A4954" s="16" t="n">
        <x:v>4951</x:v>
      </x:c>
      <x:c r="B4954" s="16" t="str">
        <x:v>Nassar Apek</x:v>
      </x:c>
      <x:c r="C4954" s="16" t="str"/>
      <x:c r="D4954" s="16" t="str"/>
      <x:c r="E4954" s="16" t="str">
        <x:v>* myContacts</x:v>
      </x:c>
      <x:c r="F4954" s="16" t="str">
        <x:v>+60187822902</x:v>
      </x:c>
      <x:c r="G4954" s="16" t="str">
        <x:v>+60187822902</x:v>
      </x:c>
      <x:c r="H4954" s="16" t="str">
        <x:v>Excluded</x:v>
      </x:c>
      <x:c r="I4954" s="16" t="str">
        <x:v>Missing email</x:v>
      </x:c>
    </x:row>
    <x:row r="4955">
      <x:c r="A4955" s="16" t="n">
        <x:v>4952</x:v>
      </x:c>
      <x:c r="B4955" s="16" t="str">
        <x:v>Nastra Abdul Rahim</x:v>
      </x:c>
      <x:c r="C4955" s="16" t="str"/>
      <x:c r="D4955" s="16" t="str"/>
      <x:c r="E4955" s="16" t="str">
        <x:v>* myContacts</x:v>
      </x:c>
      <x:c r="F4955" s="16" t="str">
        <x:v>+60169379259</x:v>
      </x:c>
      <x:c r="G4955" s="16" t="str">
        <x:v>+60169379259</x:v>
      </x:c>
      <x:c r="H4955" s="16" t="str">
        <x:v>Excluded</x:v>
      </x:c>
      <x:c r="I4955" s="16" t="str">
        <x:v>Missing email</x:v>
      </x:c>
    </x:row>
    <x:row r="4956">
      <x:c r="A4956" s="16" t="n">
        <x:v>4953</x:v>
      </x:c>
      <x:c r="B4956" s="16" t="str">
        <x:v>Nasuha Nangin</x:v>
      </x:c>
      <x:c r="C4956" s="16" t="str"/>
      <x:c r="D4956" s="16" t="str"/>
      <x:c r="E4956" s="16" t="str">
        <x:v>* myContacts</x:v>
      </x:c>
      <x:c r="F4956" s="16" t="str">
        <x:v>+60195025860</x:v>
      </x:c>
      <x:c r="G4956" s="16" t="str">
        <x:v>+60195025860</x:v>
      </x:c>
      <x:c r="H4956" s="16" t="str">
        <x:v>Excluded</x:v>
      </x:c>
      <x:c r="I4956" s="16" t="str">
        <x:v>Missing email</x:v>
      </x:c>
    </x:row>
    <x:row r="4957">
      <x:c r="A4957" s="16" t="n">
        <x:v>4954</x:v>
      </x:c>
      <x:c r="B4957" s="16" t="str">
        <x:v>nasurudin AGP</x:v>
      </x:c>
      <x:c r="C4957" s="16" t="str"/>
      <x:c r="D4957" s="16" t="str"/>
      <x:c r="E4957" s="16" t="str">
        <x:v>* myContacts</x:v>
      </x:c>
      <x:c r="F4957" s="16" t="str">
        <x:v>+60 13-767 0704 | +60137670704</x:v>
      </x:c>
      <x:c r="G4957" s="16" t="str">
        <x:v>+60137670704 | +60137670704</x:v>
      </x:c>
      <x:c r="H4957" s="16" t="str">
        <x:v>Excluded</x:v>
      </x:c>
      <x:c r="I4957" s="16" t="str">
        <x:v>Missing email</x:v>
      </x:c>
    </x:row>
    <x:row r="4958">
      <x:c r="A4958" s="16" t="n">
        <x:v>4955</x:v>
      </x:c>
      <x:c r="B4958" s="16" t="str">
        <x:v>Nasz Naszrull</x:v>
      </x:c>
      <x:c r="C4958" s="16" t="str"/>
      <x:c r="D4958" s="16" t="str"/>
      <x:c r="E4958" s="16" t="str">
        <x:v>* myContacts</x:v>
      </x:c>
      <x:c r="F4958" s="16" t="str">
        <x:v>+60137195362</x:v>
      </x:c>
      <x:c r="G4958" s="16" t="str">
        <x:v>+60137195362</x:v>
      </x:c>
      <x:c r="H4958" s="16" t="str">
        <x:v>Excluded</x:v>
      </x:c>
      <x:c r="I4958" s="16" t="str">
        <x:v>Missing email</x:v>
      </x:c>
    </x:row>
    <x:row r="4959">
      <x:c r="A4959" s="16" t="n">
        <x:v>4956</x:v>
      </x:c>
      <x:c r="B4959" s="16" t="str">
        <x:v>Natasha Emmelda S'Ron</x:v>
      </x:c>
      <x:c r="C4959" s="16" t="str"/>
      <x:c r="D4959" s="16" t="str"/>
      <x:c r="E4959" s="16" t="str">
        <x:v>* myContacts</x:v>
      </x:c>
      <x:c r="F4959" s="16" t="str">
        <x:v>+60146500716</x:v>
      </x:c>
      <x:c r="G4959" s="16" t="str">
        <x:v>+60146500716</x:v>
      </x:c>
      <x:c r="H4959" s="16" t="str">
        <x:v>Excluded</x:v>
      </x:c>
      <x:c r="I4959" s="16" t="str">
        <x:v>Missing email</x:v>
      </x:c>
    </x:row>
    <x:row r="4960">
      <x:c r="A4960" s="16" t="n">
        <x:v>4957</x:v>
      </x:c>
      <x:c r="B4960" s="16" t="str">
        <x:v>Natasha Hazlin INSKEN</x:v>
      </x:c>
      <x:c r="C4960" s="16" t="str"/>
      <x:c r="D4960" s="16" t="str"/>
      <x:c r="E4960" s="16" t="str">
        <x:v>Alumni INSKEN | * myContacts</x:v>
      </x:c>
      <x:c r="F4960" s="16" t="str">
        <x:v>+60 14-325 1107 | +60143251107</x:v>
      </x:c>
      <x:c r="G4960" s="16" t="str">
        <x:v>+60143251107 | +60143251107</x:v>
      </x:c>
      <x:c r="H4960" s="16" t="str">
        <x:v>Excluded</x:v>
      </x:c>
      <x:c r="I4960" s="16" t="str">
        <x:v>Missing email</x:v>
      </x:c>
    </x:row>
    <x:row r="4961">
      <x:c r="A4961" s="16" t="n">
        <x:v>4958</x:v>
      </x:c>
      <x:c r="B4961" s="16" t="str">
        <x:v>Nathra Nabila Zulkefli</x:v>
      </x:c>
      <x:c r="C4961" s="16" t="str"/>
      <x:c r="D4961" s="16" t="str"/>
      <x:c r="E4961" s="16" t="str">
        <x:v>* myContacts</x:v>
      </x:c>
      <x:c r="F4961" s="16" t="str">
        <x:v>+601110875562</x:v>
      </x:c>
      <x:c r="G4961" s="16" t="str">
        <x:v>+601110875562</x:v>
      </x:c>
      <x:c r="H4961" s="16" t="str">
        <x:v>Excluded</x:v>
      </x:c>
      <x:c r="I4961" s="16" t="str">
        <x:v>Missing email</x:v>
      </x:c>
    </x:row>
    <x:row r="4962">
      <x:c r="A4962" s="16" t="n">
        <x:v>4959</x:v>
      </x:c>
      <x:c r="B4962" s="16" t="str">
        <x:v>Natural Cover</x:v>
      </x:c>
      <x:c r="C4962" s="16" t="str"/>
      <x:c r="D4962" s="16" t="str"/>
      <x:c r="E4962" s="16" t="str">
        <x:v>* myContacts</x:v>
      </x:c>
      <x:c r="F4962" s="16" t="str">
        <x:v>+60177368252</x:v>
      </x:c>
      <x:c r="G4962" s="16" t="str">
        <x:v>+60177368252</x:v>
      </x:c>
      <x:c r="H4962" s="16" t="str">
        <x:v>Excluded</x:v>
      </x:c>
      <x:c r="I4962" s="16" t="str">
        <x:v>Missing email</x:v>
      </x:c>
    </x:row>
    <x:row r="4963">
      <x:c r="A4963" s="16" t="n">
        <x:v>4960</x:v>
      </x:c>
      <x:c r="B4963" s="16" t="str">
        <x:v>naufal usahawan mara jelebu</x:v>
      </x:c>
      <x:c r="C4963" s="16" t="str"/>
      <x:c r="D4963" s="16" t="str"/>
      <x:c r="E4963" s="16" t="str">
        <x:v>* myContacts</x:v>
      </x:c>
      <x:c r="F4963" s="16" t="str">
        <x:v>+60 14-951 8231 | +60149518231</x:v>
      </x:c>
      <x:c r="G4963" s="16" t="str">
        <x:v>+60149518231 | +60149518231</x:v>
      </x:c>
      <x:c r="H4963" s="16" t="str">
        <x:v>Excluded</x:v>
      </x:c>
      <x:c r="I4963" s="16" t="str">
        <x:v>Missing email</x:v>
      </x:c>
    </x:row>
    <x:row r="4964">
      <x:c r="A4964" s="16" t="n">
        <x:v>4961</x:v>
      </x:c>
      <x:c r="B4964" s="16" t="str">
        <x:v>naveen kuhen energy</x:v>
      </x:c>
      <x:c r="C4964" s="16" t="str"/>
      <x:c r="D4964" s="16" t="str"/>
      <x:c r="E4964" s="16" t="str">
        <x:v>* myContacts</x:v>
      </x:c>
      <x:c r="F4964" s="16" t="str">
        <x:v>+60 12-501 3803 | +60125013803</x:v>
      </x:c>
      <x:c r="G4964" s="16" t="str">
        <x:v>+60125013803 | +60125013803</x:v>
      </x:c>
      <x:c r="H4964" s="16" t="str">
        <x:v>Excluded</x:v>
      </x:c>
      <x:c r="I4964" s="16" t="str">
        <x:v>Missing email</x:v>
      </x:c>
    </x:row>
    <x:row r="4965">
      <x:c r="A4965" s="16" t="n">
        <x:v>4962</x:v>
      </x:c>
      <x:c r="B4965" s="16" t="str">
        <x:v>Nawwaf Bin Zulkifli</x:v>
      </x:c>
      <x:c r="C4965" s="16" t="str"/>
      <x:c r="D4965" s="16" t="str"/>
      <x:c r="E4965" s="16" t="str">
        <x:v>* myContacts</x:v>
      </x:c>
      <x:c r="F4965" s="16" t="str">
        <x:v>+60134621796</x:v>
      </x:c>
      <x:c r="G4965" s="16" t="str">
        <x:v>+60134621796</x:v>
      </x:c>
      <x:c r="H4965" s="16" t="str">
        <x:v>Excluded</x:v>
      </x:c>
      <x:c r="I4965" s="16" t="str">
        <x:v>Missing email</x:v>
      </x:c>
    </x:row>
    <x:row r="4966">
      <x:c r="A4966" s="16" t="n">
        <x:v>4963</x:v>
      </x:c>
      <x:c r="B4966" s="16" t="str">
        <x:v>Nayashi NA</x:v>
      </x:c>
      <x:c r="C4966" s="16" t="str"/>
      <x:c r="D4966" s="16" t="str"/>
      <x:c r="E4966" s="16" t="str">
        <x:v>* myContacts</x:v>
      </x:c>
      <x:c r="F4966" s="16" t="str">
        <x:v>+60125751602</x:v>
      </x:c>
      <x:c r="G4966" s="16" t="str">
        <x:v>+60125751602</x:v>
      </x:c>
      <x:c r="H4966" s="16" t="str">
        <x:v>Excluded</x:v>
      </x:c>
      <x:c r="I4966" s="16" t="str">
        <x:v>Missing email</x:v>
      </x:c>
    </x:row>
    <x:row r="4967">
      <x:c r="A4967" s="16" t="n">
        <x:v>4964</x:v>
      </x:c>
      <x:c r="B4967" s="16" t="str">
        <x:v>Nayna Iskandar</x:v>
      </x:c>
      <x:c r="C4967" s="16" t="str"/>
      <x:c r="D4967" s="16" t="str"/>
      <x:c r="E4967" s="16" t="str">
        <x:v>* myContacts</x:v>
      </x:c>
      <x:c r="F4967" s="16" t="str">
        <x:v>+6287829571900</x:v>
      </x:c>
      <x:c r="G4967" s="16" t="str">
        <x:v>+6287829571900</x:v>
      </x:c>
      <x:c r="H4967" s="16" t="str">
        <x:v>Excluded</x:v>
      </x:c>
      <x:c r="I4967" s="16" t="str">
        <x:v>Missing email</x:v>
      </x:c>
    </x:row>
    <x:row r="4968">
      <x:c r="A4968" s="16" t="n">
        <x:v>4965</x:v>
      </x:c>
      <x:c r="B4968" s="16" t="str">
        <x:v>Naz Kasnan</x:v>
      </x:c>
      <x:c r="C4968" s="16" t="str"/>
      <x:c r="D4968" s="16" t="str"/>
      <x:c r="E4968" s="16" t="str">
        <x:v>* myContacts</x:v>
      </x:c>
      <x:c r="F4968" s="16" t="str">
        <x:v>+60193768586</x:v>
      </x:c>
      <x:c r="G4968" s="16" t="str">
        <x:v>+60193768586</x:v>
      </x:c>
      <x:c r="H4968" s="16" t="str">
        <x:v>Excluded</x:v>
      </x:c>
      <x:c r="I4968" s="16" t="str">
        <x:v>Missing email</x:v>
      </x:c>
    </x:row>
    <x:row r="4969">
      <x:c r="A4969" s="16" t="n">
        <x:v>4966</x:v>
      </x:c>
      <x:c r="B4969" s="16" t="str">
        <x:v>Nazaruddin Cipuk</x:v>
      </x:c>
      <x:c r="C4969" s="16" t="str"/>
      <x:c r="D4969" s="16" t="str"/>
      <x:c r="E4969" s="16" t="str">
        <x:v>* myContacts</x:v>
      </x:c>
      <x:c r="F4969" s="16" t="str">
        <x:v>+60104138179</x:v>
      </x:c>
      <x:c r="G4969" s="16" t="str">
        <x:v>+60104138179</x:v>
      </x:c>
      <x:c r="H4969" s="16" t="str">
        <x:v>Excluded</x:v>
      </x:c>
      <x:c r="I4969" s="16" t="str">
        <x:v>Missing email</x:v>
      </x:c>
    </x:row>
    <x:row r="4970">
      <x:c r="A4970" s="16" t="n">
        <x:v>4967</x:v>
      </x:c>
      <x:c r="B4970" s="16" t="str">
        <x:v>Nazarull Asward</x:v>
      </x:c>
      <x:c r="C4970" s="16" t="str"/>
      <x:c r="D4970" s="16" t="str"/>
      <x:c r="E4970" s="16" t="str">
        <x:v>* myContacts</x:v>
      </x:c>
      <x:c r="F4970" s="16" t="str">
        <x:v>+60175805941</x:v>
      </x:c>
      <x:c r="G4970" s="16" t="str">
        <x:v>+60175805941</x:v>
      </x:c>
      <x:c r="H4970" s="16" t="str">
        <x:v>Excluded</x:v>
      </x:c>
      <x:c r="I4970" s="16" t="str">
        <x:v>Missing email</x:v>
      </x:c>
    </x:row>
    <x:row r="4971">
      <x:c r="A4971" s="16" t="n">
        <x:v>4968</x:v>
      </x:c>
      <x:c r="B4971" s="16" t="str">
        <x:v>Nazeerah Bashah</x:v>
      </x:c>
      <x:c r="C4971" s="16" t="str"/>
      <x:c r="D4971" s="16" t="str"/>
      <x:c r="E4971" s="16" t="str">
        <x:v>* myContacts</x:v>
      </x:c>
      <x:c r="F4971" s="16" t="str">
        <x:v>+60123104280</x:v>
      </x:c>
      <x:c r="G4971" s="16" t="str">
        <x:v>+60123104280</x:v>
      </x:c>
      <x:c r="H4971" s="16" t="str">
        <x:v>Excluded</x:v>
      </x:c>
      <x:c r="I4971" s="16" t="str">
        <x:v>Missing email</x:v>
      </x:c>
    </x:row>
    <x:row r="4972">
      <x:c r="A4972" s="16" t="n">
        <x:v>4969</x:v>
      </x:c>
      <x:c r="B4972" s="16" t="str">
        <x:v>Nazifa Mazni</x:v>
      </x:c>
      <x:c r="C4972" s="16" t="str"/>
      <x:c r="D4972" s="16" t="str"/>
      <x:c r="E4972" s="16" t="str">
        <x:v>* myContacts</x:v>
      </x:c>
      <x:c r="F4972" s="16" t="str">
        <x:v>+60139330097</x:v>
      </x:c>
      <x:c r="G4972" s="16" t="str">
        <x:v>+60139330097</x:v>
      </x:c>
      <x:c r="H4972" s="16" t="str">
        <x:v>Excluded</x:v>
      </x:c>
      <x:c r="I4972" s="16" t="str">
        <x:v>Missing email</x:v>
      </x:c>
    </x:row>
    <x:row r="4973">
      <x:c r="A4973" s="16" t="n">
        <x:v>4970</x:v>
      </x:c>
      <x:c r="B4973" s="16" t="str">
        <x:v>Nazirah Muhamed</x:v>
      </x:c>
      <x:c r="C4973" s="16" t="str"/>
      <x:c r="D4973" s="16" t="str"/>
      <x:c r="E4973" s="16" t="str">
        <x:v>* myContacts</x:v>
      </x:c>
      <x:c r="F4973" s="16" t="str">
        <x:v>+60126059524</x:v>
      </x:c>
      <x:c r="G4973" s="16" t="str">
        <x:v>+60126059524</x:v>
      </x:c>
      <x:c r="H4973" s="16" t="str">
        <x:v>Excluded</x:v>
      </x:c>
      <x:c r="I4973" s="16" t="str">
        <x:v>Missing email</x:v>
      </x:c>
    </x:row>
    <x:row r="4974">
      <x:c r="A4974" s="16" t="n">
        <x:v>4971</x:v>
      </x:c>
      <x:c r="B4974" s="16" t="str">
        <x:v>Nazirah N Hazlee</x:v>
      </x:c>
      <x:c r="C4974" s="16" t="str"/>
      <x:c r="D4974" s="16" t="str"/>
      <x:c r="E4974" s="16" t="str">
        <x:v>* myContacts</x:v>
      </x:c>
      <x:c r="F4974" s="16" t="str">
        <x:v>+60197689122</x:v>
      </x:c>
      <x:c r="G4974" s="16" t="str">
        <x:v>+60197689122</x:v>
      </x:c>
      <x:c r="H4974" s="16" t="str">
        <x:v>Excluded</x:v>
      </x:c>
      <x:c r="I4974" s="16" t="str">
        <x:v>Missing email</x:v>
      </x:c>
    </x:row>
    <x:row r="4975">
      <x:c r="A4975" s="16" t="n">
        <x:v>4972</x:v>
      </x:c>
      <x:c r="B4975" s="16" t="str">
        <x:v>Nazirah Nazri</x:v>
      </x:c>
      <x:c r="C4975" s="16" t="str"/>
      <x:c r="D4975" s="16" t="str"/>
      <x:c r="E4975" s="16" t="str">
        <x:v>* myContacts</x:v>
      </x:c>
      <x:c r="F4975" s="16" t="str">
        <x:v>+60194376006</x:v>
      </x:c>
      <x:c r="G4975" s="16" t="str">
        <x:v>+60194376006</x:v>
      </x:c>
      <x:c r="H4975" s="16" t="str">
        <x:v>Excluded</x:v>
      </x:c>
      <x:c r="I4975" s="16" t="str">
        <x:v>Missing email</x:v>
      </x:c>
    </x:row>
    <x:row r="4976">
      <x:c r="A4976" s="16" t="n">
        <x:v>4973</x:v>
      </x:c>
      <x:c r="B4976" s="16" t="str">
        <x:v>Nazli Hijrah</x:v>
      </x:c>
      <x:c r="C4976" s="16" t="str"/>
      <x:c r="D4976" s="16" t="str"/>
      <x:c r="E4976" s="16" t="str">
        <x:v>Alumni eUsahawan | * myContacts</x:v>
      </x:c>
      <x:c r="F4976" s="16" t="str">
        <x:v>+60 19-470 8678 | +60194708678</x:v>
      </x:c>
      <x:c r="G4976" s="16" t="str">
        <x:v>+60194708678 | +60194708678</x:v>
      </x:c>
      <x:c r="H4976" s="16" t="str">
        <x:v>Excluded</x:v>
      </x:c>
      <x:c r="I4976" s="16" t="str">
        <x:v>Missing email</x:v>
      </x:c>
    </x:row>
    <x:row r="4977">
      <x:c r="A4977" s="16" t="n">
        <x:v>4974</x:v>
      </x:c>
      <x:c r="B4977" s="16" t="str">
        <x:v>Nazlia Hamzah</x:v>
      </x:c>
      <x:c r="C4977" s="16" t="str"/>
      <x:c r="D4977" s="16" t="str"/>
      <x:c r="E4977" s="16" t="str">
        <x:v>* myContacts</x:v>
      </x:c>
      <x:c r="F4977" s="16" t="str">
        <x:v>+60139743498</x:v>
      </x:c>
      <x:c r="G4977" s="16" t="str">
        <x:v>+60139743498</x:v>
      </x:c>
      <x:c r="H4977" s="16" t="str">
        <x:v>Excluded</x:v>
      </x:c>
      <x:c r="I4977" s="16" t="str">
        <x:v>Missing email</x:v>
      </x:c>
    </x:row>
    <x:row r="4978">
      <x:c r="A4978" s="16" t="n">
        <x:v>4975</x:v>
      </x:c>
      <x:c r="B4978" s="16" t="str">
        <x:v>Nazly Jalaluddin</x:v>
      </x:c>
      <x:c r="C4978" s="16" t="str"/>
      <x:c r="D4978" s="16" t="str"/>
      <x:c r="E4978" s="16" t="str">
        <x:v>* myContacts</x:v>
      </x:c>
      <x:c r="F4978" s="16" t="str">
        <x:v>0166369500 | +60166369500 | 0192743939</x:v>
      </x:c>
      <x:c r="G4978" s="16" t="str">
        <x:v>+60166369500 | +60166369500 | +60192743939</x:v>
      </x:c>
      <x:c r="H4978" s="16" t="str">
        <x:v>Excluded</x:v>
      </x:c>
      <x:c r="I4978" s="16" t="str">
        <x:v>Missing email</x:v>
      </x:c>
    </x:row>
    <x:row r="4979">
      <x:c r="A4979" s="16" t="n">
        <x:v>4976</x:v>
      </x:c>
      <x:c r="B4979" s="16" t="str">
        <x:v>Nazly Lee</x:v>
      </x:c>
      <x:c r="C4979" s="16" t="str"/>
      <x:c r="D4979" s="16" t="str"/>
      <x:c r="E4979" s="16" t="str">
        <x:v>* myContacts</x:v>
      </x:c>
      <x:c r="F4979" s="16" t="str">
        <x:v>+601112150989</x:v>
      </x:c>
      <x:c r="G4979" s="16" t="str">
        <x:v>+601112150989</x:v>
      </x:c>
      <x:c r="H4979" s="16" t="str">
        <x:v>Excluded</x:v>
      </x:c>
      <x:c r="I4979" s="16" t="str">
        <x:v>Missing email</x:v>
      </x:c>
    </x:row>
    <x:row r="4980">
      <x:c r="A4980" s="16" t="n">
        <x:v>4977</x:v>
      </x:c>
      <x:c r="B4980" s="16" t="str">
        <x:v>Nazman</x:v>
      </x:c>
      <x:c r="C4980" s="16" t="str"/>
      <x:c r="D4980" s="16" t="str"/>
      <x:c r="E4980" s="16" t="str">
        <x:v>* myContacts</x:v>
      </x:c>
      <x:c r="F4980" s="16" t="str">
        <x:v>+601161941810</x:v>
      </x:c>
      <x:c r="G4980" s="16" t="str">
        <x:v>+601161941810</x:v>
      </x:c>
      <x:c r="H4980" s="16" t="str">
        <x:v>Excluded</x:v>
      </x:c>
      <x:c r="I4980" s="16" t="str">
        <x:v>Missing email</x:v>
      </x:c>
    </x:row>
    <x:row r="4981">
      <x:c r="A4981" s="16" t="n">
        <x:v>4978</x:v>
      </x:c>
      <x:c r="B4981" s="16" t="str">
        <x:v>Nazmi Azim</x:v>
      </x:c>
      <x:c r="C4981" s="16" t="str"/>
      <x:c r="D4981" s="16" t="str"/>
      <x:c r="E4981" s="16" t="str">
        <x:v>* myContacts</x:v>
      </x:c>
      <x:c r="F4981" s="16" t="str">
        <x:v>+601135458397</x:v>
      </x:c>
      <x:c r="G4981" s="16" t="str">
        <x:v>+601135458397</x:v>
      </x:c>
      <x:c r="H4981" s="16" t="str">
        <x:v>Excluded</x:v>
      </x:c>
      <x:c r="I4981" s="16" t="str">
        <x:v>Missing email</x:v>
      </x:c>
    </x:row>
    <x:row r="4982">
      <x:c r="A4982" s="16" t="n">
        <x:v>4979</x:v>
      </x:c>
      <x:c r="B4982" s="16" t="str">
        <x:v>Nazmi KWSP</x:v>
      </x:c>
      <x:c r="C4982" s="16" t="str"/>
      <x:c r="D4982" s="16" t="str"/>
      <x:c r="E4982" s="16" t="str">
        <x:v>* myContacts</x:v>
      </x:c>
      <x:c r="F4982" s="16" t="str">
        <x:v>+60192734639</x:v>
      </x:c>
      <x:c r="G4982" s="16" t="str">
        <x:v>+60192734639</x:v>
      </x:c>
      <x:c r="H4982" s="16" t="str">
        <x:v>Excluded</x:v>
      </x:c>
      <x:c r="I4982" s="16" t="str">
        <x:v>Missing email</x:v>
      </x:c>
    </x:row>
    <x:row r="4983">
      <x:c r="A4983" s="16" t="n">
        <x:v>4980</x:v>
      </x:c>
      <x:c r="B4983" s="16" t="str">
        <x:v>Nazmi Mahzan</x:v>
      </x:c>
      <x:c r="C4983" s="16" t="str"/>
      <x:c r="D4983" s="16" t="str"/>
      <x:c r="E4983" s="16" t="str">
        <x:v>* myContacts</x:v>
      </x:c>
      <x:c r="F4983" s="16" t="str">
        <x:v>+60178801844</x:v>
      </x:c>
      <x:c r="G4983" s="16" t="str">
        <x:v>+60178801844</x:v>
      </x:c>
      <x:c r="H4983" s="16" t="str">
        <x:v>Excluded</x:v>
      </x:c>
      <x:c r="I4983" s="16" t="str">
        <x:v>Missing email</x:v>
      </x:c>
    </x:row>
    <x:row r="4984">
      <x:c r="A4984" s="16" t="n">
        <x:v>4981</x:v>
      </x:c>
      <x:c r="B4984" s="16" t="str">
        <x:v>Nazri essens agent</x:v>
      </x:c>
      <x:c r="C4984" s="16" t="str"/>
      <x:c r="D4984" s="16" t="str"/>
      <x:c r="E4984" s="16" t="str">
        <x:v>* myContacts</x:v>
      </x:c>
      <x:c r="F4984" s="16" t="str">
        <x:v>+60 17-904 2865 | +60179042865</x:v>
      </x:c>
      <x:c r="G4984" s="16" t="str">
        <x:v>+60179042865 | +60179042865</x:v>
      </x:c>
      <x:c r="H4984" s="16" t="str">
        <x:v>Excluded</x:v>
      </x:c>
      <x:c r="I4984" s="16" t="str">
        <x:v>Missing email</x:v>
      </x:c>
    </x:row>
    <x:row r="4985">
      <x:c r="A4985" s="16" t="n">
        <x:v>4982</x:v>
      </x:c>
      <x:c r="B4985" s="16" t="str">
        <x:v>Nazri Izam</x:v>
      </x:c>
      <x:c r="C4985" s="16" t="str"/>
      <x:c r="D4985" s="16" t="str"/>
      <x:c r="E4985" s="16" t="str">
        <x:v>* myContacts</x:v>
      </x:c>
      <x:c r="F4985" s="16" t="str">
        <x:v>+60175461236</x:v>
      </x:c>
      <x:c r="G4985" s="16" t="str">
        <x:v>+60175461236</x:v>
      </x:c>
      <x:c r="H4985" s="16" t="str">
        <x:v>Excluded</x:v>
      </x:c>
      <x:c r="I4985" s="16" t="str">
        <x:v>Missing email</x:v>
      </x:c>
    </x:row>
    <x:row r="4986">
      <x:c r="A4986" s="16" t="n">
        <x:v>4983</x:v>
      </x:c>
      <x:c r="B4986" s="16" t="str">
        <x:v>Nazrin Basri</x:v>
      </x:c>
      <x:c r="C4986" s="16" t="str"/>
      <x:c r="D4986" s="16" t="str"/>
      <x:c r="E4986" s="16" t="str">
        <x:v>* myContacts</x:v>
      </x:c>
      <x:c r="F4986" s="16" t="str">
        <x:v>+60199856313</x:v>
      </x:c>
      <x:c r="G4986" s="16" t="str">
        <x:v>+60199856313</x:v>
      </x:c>
      <x:c r="H4986" s="16" t="str">
        <x:v>Excluded</x:v>
      </x:c>
      <x:c r="I4986" s="16" t="str">
        <x:v>Missing email</x:v>
      </x:c>
    </x:row>
    <x:row r="4987">
      <x:c r="A4987" s="16" t="n">
        <x:v>4984</x:v>
      </x:c>
      <x:c r="B4987" s="16" t="str">
        <x:v>Nazrin Program Manager</x:v>
      </x:c>
      <x:c r="C4987" s="16" t="str">
        <x:v>nazrinshah@jnjgroup.com.my</x:v>
      </x:c>
      <x:c r="D4987" s="16" t="str">
        <x:v>nazrinshah@jnjgroup.com.my</x:v>
      </x:c>
      <x:c r="E4987" s="16" t="str">
        <x:v>* myContacts</x:v>
      </x:c>
      <x:c r="F4987" s="16" t="str">
        <x:v>+60 17-300 8847 | +60173008847</x:v>
      </x:c>
      <x:c r="G4987" s="16" t="str">
        <x:v>+60173008847 | +60173008847</x:v>
      </x:c>
      <x:c r="H4987" s="16" t="str">
        <x:v>Eligible</x:v>
      </x:c>
      <x:c r="I4987" s="16" t="str"/>
    </x:row>
    <x:row r="4988">
      <x:c r="A4988" s="16" t="n">
        <x:v>4985</x:v>
      </x:c>
      <x:c r="B4988" s="16" t="str">
        <x:v>Nazrin Technical Institution</x:v>
      </x:c>
      <x:c r="C4988" s="16" t="str"/>
      <x:c r="D4988" s="16" t="str"/>
      <x:c r="E4988" s="16" t="str">
        <x:v>* myContacts</x:v>
      </x:c>
      <x:c r="F4988" s="16" t="str">
        <x:v>0126346969 | +60126346969</x:v>
      </x:c>
      <x:c r="G4988" s="16" t="str">
        <x:v>+60126346969 | +60126346969</x:v>
      </x:c>
      <x:c r="H4988" s="16" t="str">
        <x:v>Excluded</x:v>
      </x:c>
      <x:c r="I4988" s="16" t="str">
        <x:v>Missing email</x:v>
      </x:c>
    </x:row>
    <x:row r="4989">
      <x:c r="A4989" s="16" t="n">
        <x:v>4986</x:v>
      </x:c>
      <x:c r="B4989" s="16" t="str">
        <x:v>Nazrul BDA</x:v>
      </x:c>
      <x:c r="C4989" s="16" t="str"/>
      <x:c r="D4989" s="16" t="str"/>
      <x:c r="E4989" s="16" t="str">
        <x:v>* myContacts</x:v>
      </x:c>
      <x:c r="F4989" s="16" t="str">
        <x:v>013-771 5377 | +60137715377</x:v>
      </x:c>
      <x:c r="G4989" s="16" t="str">
        <x:v>+60137715377 | +60137715377</x:v>
      </x:c>
      <x:c r="H4989" s="16" t="str">
        <x:v>Excluded</x:v>
      </x:c>
      <x:c r="I4989" s="16" t="str">
        <x:v>Missing email</x:v>
      </x:c>
    </x:row>
    <x:row r="4990">
      <x:c r="A4990" s="16" t="n">
        <x:v>4987</x:v>
      </x:c>
      <x:c r="B4990" s="16" t="str">
        <x:v>Nazrul Safarrin</x:v>
      </x:c>
      <x:c r="C4990" s="16" t="str"/>
      <x:c r="D4990" s="16" t="str"/>
      <x:c r="E4990" s="16" t="str">
        <x:v>* myContacts</x:v>
      </x:c>
      <x:c r="F4990" s="16" t="str">
        <x:v>+60127447636</x:v>
      </x:c>
      <x:c r="G4990" s="16" t="str">
        <x:v>+60127447636</x:v>
      </x:c>
      <x:c r="H4990" s="16" t="str">
        <x:v>Excluded</x:v>
      </x:c>
      <x:c r="I4990" s="16" t="str">
        <x:v>Missing email</x:v>
      </x:c>
    </x:row>
    <x:row r="4991">
      <x:c r="A4991" s="16" t="n">
        <x:v>4988</x:v>
      </x:c>
      <x:c r="B4991" s="16" t="str">
        <x:v>Nazurahlow Zurahlow</x:v>
      </x:c>
      <x:c r="C4991" s="16" t="str"/>
      <x:c r="D4991" s="16" t="str"/>
      <x:c r="E4991" s="16" t="str">
        <x:v>* myContacts</x:v>
      </x:c>
      <x:c r="F4991" s="16" t="str">
        <x:v>+60196400483</x:v>
      </x:c>
      <x:c r="G4991" s="16" t="str">
        <x:v>+60196400483</x:v>
      </x:c>
      <x:c r="H4991" s="16" t="str">
        <x:v>Excluded</x:v>
      </x:c>
      <x:c r="I4991" s="16" t="str">
        <x:v>Missing email</x:v>
      </x:c>
    </x:row>
    <x:row r="4992">
      <x:c r="A4992" s="16" t="n">
        <x:v>4989</x:v>
      </x:c>
      <x:c r="B4992" s="16" t="str">
        <x:v>Nd Paiz Cuckoo</x:v>
      </x:c>
      <x:c r="C4992" s="16" t="str"/>
      <x:c r="D4992" s="16" t="str"/>
      <x:c r="E4992" s="16" t="str">
        <x:v>* myContacts</x:v>
      </x:c>
      <x:c r="F4992" s="16" t="str">
        <x:v>+60 16-918 2338 | +60169182338</x:v>
      </x:c>
      <x:c r="G4992" s="16" t="str">
        <x:v>+60169182338 | +60169182338</x:v>
      </x:c>
      <x:c r="H4992" s="16" t="str">
        <x:v>Excluded</x:v>
      </x:c>
      <x:c r="I4992" s="16" t="str">
        <x:v>Missing email</x:v>
      </x:c>
    </x:row>
    <x:row r="4993">
      <x:c r="A4993" s="16" t="n">
        <x:v>4990</x:v>
      </x:c>
      <x:c r="B4993" s="16" t="str">
        <x:v>Ndoro Busines</x:v>
      </x:c>
      <x:c r="C4993" s="16" t="str"/>
      <x:c r="D4993" s="16" t="str"/>
      <x:c r="E4993" s="16" t="str">
        <x:v>* myContacts</x:v>
      </x:c>
      <x:c r="F4993" s="16" t="str">
        <x:v>+6287843303755</x:v>
      </x:c>
      <x:c r="G4993" s="16" t="str">
        <x:v>+6287843303755</x:v>
      </x:c>
      <x:c r="H4993" s="16" t="str">
        <x:v>Excluded</x:v>
      </x:c>
      <x:c r="I4993" s="16" t="str">
        <x:v>Missing email</x:v>
      </x:c>
    </x:row>
    <x:row r="4994">
      <x:c r="A4994" s="16" t="n">
        <x:v>4991</x:v>
      </x:c>
      <x:c r="B4994" s="16" t="str">
        <x:v>Nea Fakhrul</x:v>
      </x:c>
      <x:c r="C4994" s="16" t="str"/>
      <x:c r="D4994" s="16" t="str"/>
      <x:c r="E4994" s="16" t="str">
        <x:v>* myContacts</x:v>
      </x:c>
      <x:c r="F4994" s="16" t="str">
        <x:v>+60107169359</x:v>
      </x:c>
      <x:c r="G4994" s="16" t="str">
        <x:v>+60107169359</x:v>
      </x:c>
      <x:c r="H4994" s="16" t="str">
        <x:v>Excluded</x:v>
      </x:c>
      <x:c r="I4994" s="16" t="str">
        <x:v>Missing email</x:v>
      </x:c>
    </x:row>
    <x:row r="4995">
      <x:c r="A4995" s="16" t="n">
        <x:v>4992</x:v>
      </x:c>
      <x:c r="B4995" s="16" t="str">
        <x:v>Neecexa Marcelino</x:v>
      </x:c>
      <x:c r="C4995" s="16" t="str"/>
      <x:c r="D4995" s="16" t="str"/>
      <x:c r="E4995" s="16" t="str">
        <x:v>* myContacts</x:v>
      </x:c>
      <x:c r="F4995" s="16" t="str">
        <x:v>+639358604211</x:v>
      </x:c>
      <x:c r="G4995" s="16" t="str">
        <x:v>+639358604211</x:v>
      </x:c>
      <x:c r="H4995" s="16" t="str">
        <x:v>Excluded</x:v>
      </x:c>
      <x:c r="I4995" s="16" t="str">
        <x:v>Missing email</x:v>
      </x:c>
    </x:row>
    <x:row r="4996">
      <x:c r="A4996" s="16" t="n">
        <x:v>4993</x:v>
      </x:c>
      <x:c r="B4996" s="16" t="str">
        <x:v>Neeza Hasban</x:v>
      </x:c>
      <x:c r="C4996" s="16" t="str"/>
      <x:c r="D4996" s="16" t="str"/>
      <x:c r="E4996" s="16" t="str">
        <x:v>* myContacts</x:v>
      </x:c>
      <x:c r="F4996" s="16" t="str">
        <x:v>+60340108310</x:v>
      </x:c>
      <x:c r="G4996" s="16" t="str">
        <x:v>+60340108310</x:v>
      </x:c>
      <x:c r="H4996" s="16" t="str">
        <x:v>Excluded</x:v>
      </x:c>
      <x:c r="I4996" s="16" t="str">
        <x:v>Missing email</x:v>
      </x:c>
    </x:row>
    <x:row r="4997">
      <x:c r="A4997" s="16" t="n">
        <x:v>4994</x:v>
      </x:c>
      <x:c r="B4997" s="16" t="str">
        <x:v>Neiji Najiha</x:v>
      </x:c>
      <x:c r="C4997" s="16" t="str"/>
      <x:c r="D4997" s="16" t="str"/>
      <x:c r="E4997" s="16" t="str">
        <x:v>* myContacts</x:v>
      </x:c>
      <x:c r="F4997" s="16" t="str">
        <x:v>+60177609076</x:v>
      </x:c>
      <x:c r="G4997" s="16" t="str">
        <x:v>+60177609076</x:v>
      </x:c>
      <x:c r="H4997" s="16" t="str">
        <x:v>Excluded</x:v>
      </x:c>
      <x:c r="I4997" s="16" t="str">
        <x:v>Missing email</x:v>
      </x:c>
    </x:row>
    <x:row r="4998">
      <x:c r="A4998" s="16" t="n">
        <x:v>4995</x:v>
      </x:c>
      <x:c r="B4998" s="16" t="str">
        <x:v>Nella Ratty</x:v>
      </x:c>
      <x:c r="C4998" s="16" t="str"/>
      <x:c r="D4998" s="16" t="str"/>
      <x:c r="E4998" s="16" t="str">
        <x:v>* myContacts</x:v>
      </x:c>
      <x:c r="F4998" s="16" t="str">
        <x:v>+6285263121222</x:v>
      </x:c>
      <x:c r="G4998" s="16" t="str">
        <x:v>+6285263121222</x:v>
      </x:c>
      <x:c r="H4998" s="16" t="str">
        <x:v>Excluded</x:v>
      </x:c>
      <x:c r="I4998" s="16" t="str">
        <x:v>Missing email</x:v>
      </x:c>
    </x:row>
    <x:row r="4999">
      <x:c r="A4999" s="16" t="n">
        <x:v>4996</x:v>
      </x:c>
      <x:c r="B4999" s="16" t="str">
        <x:v>Nelly Norman Hamid</x:v>
      </x:c>
      <x:c r="C4999" s="16" t="str"/>
      <x:c r="D4999" s="16" t="str"/>
      <x:c r="E4999" s="16" t="str">
        <x:v>* myContacts</x:v>
      </x:c>
      <x:c r="F4999" s="16" t="str">
        <x:v>+60122688751</x:v>
      </x:c>
      <x:c r="G4999" s="16" t="str">
        <x:v>+60122688751</x:v>
      </x:c>
      <x:c r="H4999" s="16" t="str">
        <x:v>Excluded</x:v>
      </x:c>
      <x:c r="I4999" s="16" t="str">
        <x:v>Missing email</x:v>
      </x:c>
    </x:row>
    <x:row r="5000">
      <x:c r="A5000" s="16" t="n">
        <x:v>4997</x:v>
      </x:c>
      <x:c r="B5000" s="16" t="str">
        <x:v>Neng Jaffri</x:v>
      </x:c>
      <x:c r="C5000" s="16" t="str"/>
      <x:c r="D5000" s="16" t="str"/>
      <x:c r="E5000" s="16" t="str">
        <x:v>* myContacts</x:v>
      </x:c>
      <x:c r="F5000" s="16" t="str">
        <x:v>+601118805228</x:v>
      </x:c>
      <x:c r="G5000" s="16" t="str">
        <x:v>+601118805228</x:v>
      </x:c>
      <x:c r="H5000" s="16" t="str">
        <x:v>Excluded</x:v>
      </x:c>
      <x:c r="I5000" s="16" t="str">
        <x:v>Missing email</x:v>
      </x:c>
    </x:row>
    <x:row r="5001">
      <x:c r="A5001" s="16" t="n">
        <x:v>4998</x:v>
      </x:c>
      <x:c r="B5001" s="16" t="str">
        <x:v>nesq sarang burung walid</x:v>
      </x:c>
      <x:c r="C5001" s="16" t="str"/>
      <x:c r="D5001" s="16" t="str"/>
      <x:c r="E5001" s="16" t="str">
        <x:v>* myContacts</x:v>
      </x:c>
      <x:c r="F5001" s="16" t="str">
        <x:v>0162004348 | +60162004348</x:v>
      </x:c>
      <x:c r="G5001" s="16" t="str">
        <x:v>+60162004348 | +60162004348</x:v>
      </x:c>
      <x:c r="H5001" s="16" t="str">
        <x:v>Excluded</x:v>
      </x:c>
      <x:c r="I5001" s="16" t="str">
        <x:v>Missing email</x:v>
      </x:c>
    </x:row>
    <x:row r="5002">
      <x:c r="A5002" s="16" t="n">
        <x:v>4999</x:v>
      </x:c>
      <x:c r="B5002" s="16" t="str">
        <x:v>Netty Sari</x:v>
      </x:c>
      <x:c r="C5002" s="16" t="str"/>
      <x:c r="D5002" s="16" t="str"/>
      <x:c r="E5002" s="16" t="str">
        <x:v>* myContacts</x:v>
      </x:c>
      <x:c r="F5002" s="16" t="str">
        <x:v>+60149458731</x:v>
      </x:c>
      <x:c r="G5002" s="16" t="str">
        <x:v>+60149458731</x:v>
      </x:c>
      <x:c r="H5002" s="16" t="str">
        <x:v>Excluded</x:v>
      </x:c>
      <x:c r="I5002" s="16" t="str">
        <x:v>Missing email</x:v>
      </x:c>
    </x:row>
    <x:row r="5003">
      <x:c r="A5003" s="16" t="n">
        <x:v>5000</x:v>
      </x:c>
      <x:c r="B5003" s="16" t="str">
        <x:v>Neymar Neykhai</x:v>
      </x:c>
      <x:c r="C5003" s="16" t="str"/>
      <x:c r="D5003" s="16" t="str"/>
      <x:c r="E5003" s="16" t="str">
        <x:v>* myContacts</x:v>
      </x:c>
      <x:c r="F5003" s="16" t="str">
        <x:v>+601131494657</x:v>
      </x:c>
      <x:c r="G5003" s="16" t="str">
        <x:v>+601131494657</x:v>
      </x:c>
      <x:c r="H5003" s="16" t="str">
        <x:v>Excluded</x:v>
      </x:c>
      <x:c r="I5003" s="16" t="str">
        <x:v>Missing email</x:v>
      </x:c>
    </x:row>
    <x:row r="5004">
      <x:c r="A5004" s="16" t="n">
        <x:v>5001</x:v>
      </x:c>
      <x:c r="B5004" s="16" t="str">
        <x:v>NFaa Plusize</x:v>
      </x:c>
      <x:c r="C5004" s="16" t="str"/>
      <x:c r="D5004" s="16" t="str"/>
      <x:c r="E5004" s="16" t="str">
        <x:v>* myContacts</x:v>
      </x:c>
      <x:c r="F5004" s="16" t="str">
        <x:v>+60179374713</x:v>
      </x:c>
      <x:c r="G5004" s="16" t="str">
        <x:v>+60179374713</x:v>
      </x:c>
      <x:c r="H5004" s="16" t="str">
        <x:v>Excluded</x:v>
      </x:c>
      <x:c r="I5004" s="16" t="str">
        <x:v>Missing email</x:v>
      </x:c>
    </x:row>
    <x:row r="5005">
      <x:c r="A5005" s="16" t="n">
        <x:v>5002</x:v>
      </x:c>
      <x:c r="B5005" s="16" t="str">
        <x:v>Nhur Aynum Abdul Salam</x:v>
      </x:c>
      <x:c r="C5005" s="16" t="str"/>
      <x:c r="D5005" s="16" t="str"/>
      <x:c r="E5005" s="16" t="str">
        <x:v>* myContacts</x:v>
      </x:c>
      <x:c r="F5005" s="16" t="str">
        <x:v>+60128342652</x:v>
      </x:c>
      <x:c r="G5005" s="16" t="str">
        <x:v>+60128342652</x:v>
      </x:c>
      <x:c r="H5005" s="16" t="str">
        <x:v>Excluded</x:v>
      </x:c>
      <x:c r="I5005" s="16" t="str">
        <x:v>Missing email</x:v>
      </x:c>
    </x:row>
    <x:row r="5006">
      <x:c r="A5006" s="16" t="n">
        <x:v>5003</x:v>
      </x:c>
      <x:c r="B5006" s="16" t="str">
        <x:v>Nicholas Choong</x:v>
      </x:c>
      <x:c r="C5006" s="16" t="str"/>
      <x:c r="D5006" s="16" t="str"/>
      <x:c r="E5006" s="16" t="str">
        <x:v>* myContacts</x:v>
      </x:c>
      <x:c r="F5006" s="16" t="str">
        <x:v>+60 16-433 8901 | +60164338901</x:v>
      </x:c>
      <x:c r="G5006" s="16" t="str">
        <x:v>+60164338901 | +60164338901</x:v>
      </x:c>
      <x:c r="H5006" s="16" t="str">
        <x:v>Excluded</x:v>
      </x:c>
      <x:c r="I5006" s="16" t="str">
        <x:v>Missing email</x:v>
      </x:c>
    </x:row>
    <x:row r="5007">
      <x:c r="A5007" s="16" t="n">
        <x:v>5004</x:v>
      </x:c>
      <x:c r="B5007" s="16" t="str">
        <x:v>Nicholas T</x:v>
      </x:c>
      <x:c r="C5007" s="16" t="str"/>
      <x:c r="D5007" s="16" t="str"/>
      <x:c r="E5007" s="16" t="str">
        <x:v>* myContacts</x:v>
      </x:c>
      <x:c r="F5007" s="16" t="str">
        <x:v>+60 16-223 4846 | +60162234846</x:v>
      </x:c>
      <x:c r="G5007" s="16" t="str">
        <x:v>+60162234846 | +60162234846</x:v>
      </x:c>
      <x:c r="H5007" s="16" t="str">
        <x:v>Excluded</x:v>
      </x:c>
      <x:c r="I5007" s="16" t="str">
        <x:v>Missing email</x:v>
      </x:c>
    </x:row>
    <x:row r="5008">
      <x:c r="A5008" s="16" t="n">
        <x:v>5005</x:v>
      </x:c>
      <x:c r="B5008" s="16" t="str">
        <x:v>Nick Chan</x:v>
      </x:c>
      <x:c r="C5008" s="16" t="str"/>
      <x:c r="D5008" s="16" t="str"/>
      <x:c r="E5008" s="16" t="str">
        <x:v>* myContacts</x:v>
      </x:c>
      <x:c r="F5008" s="16" t="str">
        <x:v>+6053220189</x:v>
      </x:c>
      <x:c r="G5008" s="16" t="str">
        <x:v>+6053220189</x:v>
      </x:c>
      <x:c r="H5008" s="16" t="str">
        <x:v>Excluded</x:v>
      </x:c>
      <x:c r="I5008" s="16" t="str">
        <x:v>Missing email</x:v>
      </x:c>
    </x:row>
    <x:row r="5009">
      <x:c r="A5009" s="16" t="n">
        <x:v>5006</x:v>
      </x:c>
      <x:c r="B5009" s="16" t="str">
        <x:v>Nico Singer</x:v>
      </x:c>
      <x:c r="C5009" s="16" t="str"/>
      <x:c r="D5009" s="16" t="str"/>
      <x:c r="E5009" s="16" t="str">
        <x:v>* myContacts</x:v>
      </x:c>
      <x:c r="F5009" s="16" t="str">
        <x:v>+60 16-596 7151 | +60165967151</x:v>
      </x:c>
      <x:c r="G5009" s="16" t="str">
        <x:v>+60165967151 | +60165967151</x:v>
      </x:c>
      <x:c r="H5009" s="16" t="str">
        <x:v>Excluded</x:v>
      </x:c>
      <x:c r="I5009" s="16" t="str">
        <x:v>Missing email</x:v>
      </x:c>
    </x:row>
    <x:row r="5010">
      <x:c r="A5010" s="16" t="n">
        <x:v>5007</x:v>
      </x:c>
      <x:c r="B5010" s="16" t="str">
        <x:v>Nida Arnida</x:v>
      </x:c>
      <x:c r="C5010" s="16" t="str"/>
      <x:c r="D5010" s="16" t="str"/>
      <x:c r="E5010" s="16" t="str">
        <x:v>* myContacts</x:v>
      </x:c>
      <x:c r="F5010" s="16" t="str">
        <x:v>+60123487545</x:v>
      </x:c>
      <x:c r="G5010" s="16" t="str">
        <x:v>+60123487545</x:v>
      </x:c>
      <x:c r="H5010" s="16" t="str">
        <x:v>Excluded</x:v>
      </x:c>
      <x:c r="I5010" s="16" t="str">
        <x:v>Missing email</x:v>
      </x:c>
    </x:row>
    <x:row r="5011">
      <x:c r="A5011" s="16" t="n">
        <x:v>5008</x:v>
      </x:c>
      <x:c r="B5011" s="16" t="str">
        <x:v>Nida Halim</x:v>
      </x:c>
      <x:c r="C5011" s="16" t="str"/>
      <x:c r="D5011" s="16" t="str"/>
      <x:c r="E5011" s="16" t="str">
        <x:v>* myContacts</x:v>
      </x:c>
      <x:c r="F5011" s="16" t="str">
        <x:v>+60179270309</x:v>
      </x:c>
      <x:c r="G5011" s="16" t="str">
        <x:v>+60179270309</x:v>
      </x:c>
      <x:c r="H5011" s="16" t="str">
        <x:v>Excluded</x:v>
      </x:c>
      <x:c r="I5011" s="16" t="str">
        <x:v>Missing email</x:v>
      </x:c>
    </x:row>
    <x:row r="5012">
      <x:c r="A5012" s="16" t="n">
        <x:v>5009</x:v>
      </x:c>
      <x:c r="B5012" s="16" t="str">
        <x:v>Nieta Honey</x:v>
      </x:c>
      <x:c r="C5012" s="16" t="str"/>
      <x:c r="D5012" s="16" t="str"/>
      <x:c r="E5012" s="16" t="str">
        <x:v>* myContacts</x:v>
      </x:c>
      <x:c r="F5012" s="16" t="str">
        <x:v>+60175573995</x:v>
      </x:c>
      <x:c r="G5012" s="16" t="str">
        <x:v>+60175573995</x:v>
      </x:c>
      <x:c r="H5012" s="16" t="str">
        <x:v>Excluded</x:v>
      </x:c>
      <x:c r="I5012" s="16" t="str">
        <x:v>Missing email</x:v>
      </x:c>
    </x:row>
    <x:row r="5013">
      <x:c r="A5013" s="16" t="n">
        <x:v>5010</x:v>
      </x:c>
      <x:c r="B5013" s="16" t="str">
        <x:v>Nieyna Zaieylieyn</x:v>
      </x:c>
      <x:c r="C5013" s="16" t="str"/>
      <x:c r="D5013" s="16" t="str"/>
      <x:c r="E5013" s="16" t="str">
        <x:v>* myContacts</x:v>
      </x:c>
      <x:c r="F5013" s="16" t="str">
        <x:v>+601115888087</x:v>
      </x:c>
      <x:c r="G5013" s="16" t="str">
        <x:v>+601115888087</x:v>
      </x:c>
      <x:c r="H5013" s="16" t="str">
        <x:v>Excluded</x:v>
      </x:c>
      <x:c r="I5013" s="16" t="str">
        <x:v>Missing email</x:v>
      </x:c>
    </x:row>
    <x:row r="5014">
      <x:c r="A5014" s="16" t="n">
        <x:v>5011</x:v>
      </x:c>
      <x:c r="B5014" s="16" t="str">
        <x:v>Niezam Assrol</x:v>
      </x:c>
      <x:c r="C5014" s="16" t="str"/>
      <x:c r="D5014" s="16" t="str"/>
      <x:c r="E5014" s="16" t="str">
        <x:v>* myContacts</x:v>
      </x:c>
      <x:c r="F5014" s="16" t="str">
        <x:v>+60136317177</x:v>
      </x:c>
      <x:c r="G5014" s="16" t="str">
        <x:v>+60136317177</x:v>
      </x:c>
      <x:c r="H5014" s="16" t="str">
        <x:v>Excluded</x:v>
      </x:c>
      <x:c r="I5014" s="16" t="str">
        <x:v>Missing email</x:v>
      </x:c>
    </x:row>
    <x:row r="5015">
      <x:c r="A5015" s="16" t="n">
        <x:v>5012</x:v>
      </x:c>
      <x:c r="B5015" s="16" t="str">
        <x:v>NiEzam SaiFul</x:v>
      </x:c>
      <x:c r="C5015" s="16" t="str"/>
      <x:c r="D5015" s="16" t="str"/>
      <x:c r="E5015" s="16" t="str">
        <x:v>* myContacts</x:v>
      </x:c>
      <x:c r="F5015" s="16" t="str">
        <x:v>+60177343815</x:v>
      </x:c>
      <x:c r="G5015" s="16" t="str">
        <x:v>+60177343815</x:v>
      </x:c>
      <x:c r="H5015" s="16" t="str">
        <x:v>Excluded</x:v>
      </x:c>
      <x:c r="I5015" s="16" t="str">
        <x:v>Missing email</x:v>
      </x:c>
    </x:row>
    <x:row r="5016">
      <x:c r="A5016" s="16" t="n">
        <x:v>5013</x:v>
      </x:c>
      <x:c r="B5016" s="16" t="str">
        <x:v>Niick Wong</x:v>
      </x:c>
      <x:c r="C5016" s="16" t="str"/>
      <x:c r="D5016" s="16" t="str"/>
      <x:c r="E5016" s="16" t="str">
        <x:v>* myContacts</x:v>
      </x:c>
      <x:c r="F5016" s="16" t="str">
        <x:v>+60168088238</x:v>
      </x:c>
      <x:c r="G5016" s="16" t="str">
        <x:v>+60168088238</x:v>
      </x:c>
      <x:c r="H5016" s="16" t="str">
        <x:v>Excluded</x:v>
      </x:c>
      <x:c r="I5016" s="16" t="str">
        <x:v>Missing email</x:v>
      </x:c>
    </x:row>
    <x:row r="5017">
      <x:c r="A5017" s="16" t="n">
        <x:v>5014</x:v>
      </x:c>
      <x:c r="B5017" s="16" t="str">
        <x:v>Nik Abdullah Nik Mod</x:v>
      </x:c>
      <x:c r="C5017" s="16" t="str"/>
      <x:c r="D5017" s="16" t="str"/>
      <x:c r="E5017" s="16" t="str">
        <x:v>* myContacts</x:v>
      </x:c>
      <x:c r="F5017" s="16" t="str">
        <x:v>+60148333383</x:v>
      </x:c>
      <x:c r="G5017" s="16" t="str">
        <x:v>+60148333383</x:v>
      </x:c>
      <x:c r="H5017" s="16" t="str">
        <x:v>Excluded</x:v>
      </x:c>
      <x:c r="I5017" s="16" t="str">
        <x:v>Missing email</x:v>
      </x:c>
    </x:row>
    <x:row r="5018">
      <x:c r="A5018" s="16" t="n">
        <x:v>5015</x:v>
      </x:c>
      <x:c r="B5018" s="16" t="str">
        <x:v>Nik Agro Farm</x:v>
      </x:c>
      <x:c r="C5018" s="16" t="str"/>
      <x:c r="D5018" s="16" t="str"/>
      <x:c r="E5018" s="16" t="str">
        <x:v>* myContacts</x:v>
      </x:c>
      <x:c r="F5018" s="16" t="str">
        <x:v>+60145140461</x:v>
      </x:c>
      <x:c r="G5018" s="16" t="str">
        <x:v>+60145140461</x:v>
      </x:c>
      <x:c r="H5018" s="16" t="str">
        <x:v>Excluded</x:v>
      </x:c>
      <x:c r="I5018" s="16" t="str">
        <x:v>Missing email</x:v>
      </x:c>
    </x:row>
    <x:row r="5019">
      <x:c r="A5019" s="16" t="n">
        <x:v>5016</x:v>
      </x:c>
      <x:c r="B5019" s="16" t="str">
        <x:v>Nik Ashada Nik Mat</x:v>
      </x:c>
      <x:c r="C5019" s="16" t="str"/>
      <x:c r="D5019" s="16" t="str"/>
      <x:c r="E5019" s="16" t="str">
        <x:v>* myContacts</x:v>
      </x:c>
      <x:c r="F5019" s="16" t="str">
        <x:v>+60137743528</x:v>
      </x:c>
      <x:c r="G5019" s="16" t="str">
        <x:v>+60137743528</x:v>
      </x:c>
      <x:c r="H5019" s="16" t="str">
        <x:v>Excluded</x:v>
      </x:c>
      <x:c r="I5019" s="16" t="str">
        <x:v>Missing email</x:v>
      </x:c>
    </x:row>
    <x:row r="5020">
      <x:c r="A5020" s="16" t="n">
        <x:v>5017</x:v>
      </x:c>
      <x:c r="B5020" s="16" t="str">
        <x:v>Nik Azim</x:v>
      </x:c>
      <x:c r="C5020" s="16" t="str"/>
      <x:c r="D5020" s="16" t="str"/>
      <x:c r="E5020" s="16" t="str">
        <x:v>* myContacts</x:v>
      </x:c>
      <x:c r="F5020" s="16" t="str">
        <x:v>0193434856 | +60193434856</x:v>
      </x:c>
      <x:c r="G5020" s="16" t="str">
        <x:v>+60193434856 | +60193434856</x:v>
      </x:c>
      <x:c r="H5020" s="16" t="str">
        <x:v>Excluded</x:v>
      </x:c>
      <x:c r="I5020" s="16" t="str">
        <x:v>Missing email</x:v>
      </x:c>
    </x:row>
    <x:row r="5021">
      <x:c r="A5021" s="16" t="n">
        <x:v>5018</x:v>
      </x:c>
      <x:c r="B5021" s="16" t="str">
        <x:v>Nik Aznita AGP</x:v>
      </x:c>
      <x:c r="C5021" s="16" t="str"/>
      <x:c r="D5021" s="16" t="str"/>
      <x:c r="E5021" s="16" t="str">
        <x:v>* myContacts</x:v>
      </x:c>
      <x:c r="F5021" s="16" t="str">
        <x:v>+60 19-298 5582 | +60192985582</x:v>
      </x:c>
      <x:c r="G5021" s="16" t="str">
        <x:v>+60192985582 | +60192985582</x:v>
      </x:c>
      <x:c r="H5021" s="16" t="str">
        <x:v>Excluded</x:v>
      </x:c>
      <x:c r="I5021" s="16" t="str">
        <x:v>Missing email</x:v>
      </x:c>
    </x:row>
    <x:row r="5022">
      <x:c r="A5022" s="16" t="n">
        <x:v>5019</x:v>
      </x:c>
      <x:c r="B5022" s="16" t="str">
        <x:v>Nik Fazliana Nik Far</x:v>
      </x:c>
      <x:c r="C5022" s="16" t="str"/>
      <x:c r="D5022" s="16" t="str"/>
      <x:c r="E5022" s="16" t="str">
        <x:v>* myContacts</x:v>
      </x:c>
      <x:c r="F5022" s="16" t="str">
        <x:v>+60133562348</x:v>
      </x:c>
      <x:c r="G5022" s="16" t="str">
        <x:v>+60133562348</x:v>
      </x:c>
      <x:c r="H5022" s="16" t="str">
        <x:v>Excluded</x:v>
      </x:c>
      <x:c r="I5022" s="16" t="str">
        <x:v>Missing email</x:v>
      </x:c>
    </x:row>
    <x:row r="5023">
      <x:c r="A5023" s="16" t="n">
        <x:v>5020</x:v>
      </x:c>
      <x:c r="B5023" s="16" t="str">
        <x:v>Nik Ghazali</x:v>
      </x:c>
      <x:c r="C5023" s="16" t="str"/>
      <x:c r="D5023" s="16" t="str"/>
      <x:c r="E5023" s="16" t="str">
        <x:v>* myContacts</x:v>
      </x:c>
      <x:c r="F5023" s="16" t="str">
        <x:v>+60199345155</x:v>
      </x:c>
      <x:c r="G5023" s="16" t="str">
        <x:v>+60199345155</x:v>
      </x:c>
      <x:c r="H5023" s="16" t="str">
        <x:v>Excluded</x:v>
      </x:c>
      <x:c r="I5023" s="16" t="str">
        <x:v>Missing email</x:v>
      </x:c>
    </x:row>
    <x:row r="5024">
      <x:c r="A5024" s="16" t="n">
        <x:v>5021</x:v>
      </x:c>
      <x:c r="B5024" s="16" t="str">
        <x:v>Nik Hasrul Nizam Chot</x:v>
      </x:c>
      <x:c r="C5024" s="16" t="str"/>
      <x:c r="D5024" s="16" t="str"/>
      <x:c r="E5024" s="16" t="str">
        <x:v>* myContacts</x:v>
      </x:c>
      <x:c r="F5024" s="16" t="str">
        <x:v>+60102207230</x:v>
      </x:c>
      <x:c r="G5024" s="16" t="str">
        <x:v>+60102207230</x:v>
      </x:c>
      <x:c r="H5024" s="16" t="str">
        <x:v>Excluded</x:v>
      </x:c>
      <x:c r="I5024" s="16" t="str">
        <x:v>Missing email</x:v>
      </x:c>
    </x:row>
    <x:row r="5025">
      <x:c r="A5025" s="16" t="n">
        <x:v>5022</x:v>
      </x:c>
      <x:c r="B5025" s="16" t="str">
        <x:v>Nik Hazreesyam Zahari</x:v>
      </x:c>
      <x:c r="C5025" s="16" t="str">
        <x:v>nhazree@gmail.com</x:v>
      </x:c>
      <x:c r="D5025" s="16" t="str">
        <x:v>nhazree@gmail.com</x:v>
      </x:c>
      <x:c r="E5025" s="16" t="str">
        <x:v>* myContacts</x:v>
      </x:c>
      <x:c r="F5025" s="16" t="str">
        <x:v>+60172337177</x:v>
      </x:c>
      <x:c r="G5025" s="16" t="str">
        <x:v>+60172337177</x:v>
      </x:c>
      <x:c r="H5025" s="16" t="str">
        <x:v>Eligible</x:v>
      </x:c>
      <x:c r="I5025" s="16" t="str"/>
    </x:row>
    <x:row r="5026">
      <x:c r="A5026" s="16" t="n">
        <x:v>5023</x:v>
      </x:c>
      <x:c r="B5026" s="16" t="str">
        <x:v>Nik Mahyuddin Agent AGP</x:v>
      </x:c>
      <x:c r="C5026" s="16" t="str"/>
      <x:c r="D5026" s="16" t="str"/>
      <x:c r="E5026" s="16" t="str">
        <x:v>* myContacts</x:v>
      </x:c>
      <x:c r="F5026" s="16" t="str">
        <x:v>+60 19-980 7818 | +60199807818</x:v>
      </x:c>
      <x:c r="G5026" s="16" t="str">
        <x:v>+60199807818 | +60199807818</x:v>
      </x:c>
      <x:c r="H5026" s="16" t="str">
        <x:v>Excluded</x:v>
      </x:c>
      <x:c r="I5026" s="16" t="str">
        <x:v>Missing email</x:v>
      </x:c>
    </x:row>
    <x:row r="5027">
      <x:c r="A5027" s="16" t="n">
        <x:v>5024</x:v>
      </x:c>
      <x:c r="B5027" s="16" t="str">
        <x:v>Nik Mohd Rozaimi Rusli</x:v>
      </x:c>
      <x:c r="C5027" s="16" t="str"/>
      <x:c r="D5027" s="16" t="str"/>
      <x:c r="E5027" s="16" t="str">
        <x:v>* myContacts</x:v>
      </x:c>
      <x:c r="F5027" s="16" t="str">
        <x:v>+601125542441</x:v>
      </x:c>
      <x:c r="G5027" s="16" t="str">
        <x:v>+601125542441</x:v>
      </x:c>
      <x:c r="H5027" s="16" t="str">
        <x:v>Excluded</x:v>
      </x:c>
      <x:c r="I5027" s="16" t="str">
        <x:v>Missing email</x:v>
      </x:c>
    </x:row>
    <x:row r="5028">
      <x:c r="A5028" s="16" t="n">
        <x:v>5025</x:v>
      </x:c>
      <x:c r="B5028" s="16" t="str">
        <x:v>Nik Saiful Nik</x:v>
      </x:c>
      <x:c r="C5028" s="16" t="str"/>
      <x:c r="D5028" s="16" t="str"/>
      <x:c r="E5028" s="16" t="str">
        <x:v>* myContacts</x:v>
      </x:c>
      <x:c r="F5028" s="16" t="str">
        <x:v>+60166355060</x:v>
      </x:c>
      <x:c r="G5028" s="16" t="str">
        <x:v>+60166355060</x:v>
      </x:c>
      <x:c r="H5028" s="16" t="str">
        <x:v>Excluded</x:v>
      </x:c>
      <x:c r="I5028" s="16" t="str">
        <x:v>Missing email</x:v>
      </x:c>
    </x:row>
    <x:row r="5029">
      <x:c r="A5029" s="16" t="n">
        <x:v>5026</x:v>
      </x:c>
      <x:c r="B5029" s="16" t="str">
        <x:v>Nik Syazwan Nik Burhanuddin</x:v>
      </x:c>
      <x:c r="C5029" s="16" t="str"/>
      <x:c r="D5029" s="16" t="str"/>
      <x:c r="E5029" s="16" t="str">
        <x:v>* myContacts</x:v>
      </x:c>
      <x:c r="F5029" s="16" t="str">
        <x:v>+601114802150</x:v>
      </x:c>
      <x:c r="G5029" s="16" t="str">
        <x:v>+601114802150</x:v>
      </x:c>
      <x:c r="H5029" s="16" t="str">
        <x:v>Excluded</x:v>
      </x:c>
      <x:c r="I5029" s="16" t="str">
        <x:v>Missing email</x:v>
      </x:c>
    </x:row>
    <x:row r="5030">
      <x:c r="A5030" s="16" t="n">
        <x:v>5027</x:v>
      </x:c>
      <x:c r="B5030" s="16" t="str">
        <x:v>Nik Syukri</x:v>
      </x:c>
      <x:c r="C5030" s="16" t="str"/>
      <x:c r="D5030" s="16" t="str"/>
      <x:c r="E5030" s="16" t="str">
        <x:v>* myContacts</x:v>
      </x:c>
      <x:c r="F5030" s="16" t="str">
        <x:v>+60139837071</x:v>
      </x:c>
      <x:c r="G5030" s="16" t="str">
        <x:v>+60139837071</x:v>
      </x:c>
      <x:c r="H5030" s="16" t="str">
        <x:v>Excluded</x:v>
      </x:c>
      <x:c r="I5030" s="16" t="str">
        <x:v>Missing email</x:v>
      </x:c>
    </x:row>
    <x:row r="5031">
      <x:c r="A5031" s="16" t="n">
        <x:v>5028</x:v>
      </x:c>
      <x:c r="B5031" s="16" t="str">
        <x:v>nik zakiah trainer mdec</x:v>
      </x:c>
      <x:c r="C5031" s="16" t="str"/>
      <x:c r="D5031" s="16" t="str"/>
      <x:c r="E5031" s="16" t="str">
        <x:v>* myContacts</x:v>
      </x:c>
      <x:c r="F5031" s="16" t="str">
        <x:v>+60 19-982 2223 | +60199822223</x:v>
      </x:c>
      <x:c r="G5031" s="16" t="str">
        <x:v>+60199822223 | +60199822223</x:v>
      </x:c>
      <x:c r="H5031" s="16" t="str">
        <x:v>Excluded</x:v>
      </x:c>
      <x:c r="I5031" s="16" t="str">
        <x:v>Missing email</x:v>
      </x:c>
    </x:row>
    <x:row r="5032">
      <x:c r="A5032" s="16" t="n">
        <x:v>5029</x:v>
      </x:c>
      <x:c r="B5032" s="16" t="str">
        <x:v>Nila WeGo</x:v>
      </x:c>
      <x:c r="C5032" s="16" t="str"/>
      <x:c r="D5032" s="16" t="str"/>
      <x:c r="E5032" s="16" t="str">
        <x:v>* myContacts</x:v>
      </x:c>
      <x:c r="F5032" s="16" t="str">
        <x:v>+6285896777187</x:v>
      </x:c>
      <x:c r="G5032" s="16" t="str">
        <x:v>+6285896777187</x:v>
      </x:c>
      <x:c r="H5032" s="16" t="str">
        <x:v>Excluded</x:v>
      </x:c>
      <x:c r="I5032" s="16" t="str">
        <x:v>Missing email</x:v>
      </x:c>
    </x:row>
    <x:row r="5033">
      <x:c r="A5033" s="16" t="n">
        <x:v>5030</x:v>
      </x:c>
      <x:c r="B5033" s="16" t="str">
        <x:v>Nina Admin Imanina Raihah</x:v>
      </x:c>
      <x:c r="C5033" s="16" t="str"/>
      <x:c r="D5033" s="16" t="str"/>
      <x:c r="E5033" s="16" t="str">
        <x:v>* myContacts</x:v>
      </x:c>
      <x:c r="F5033" s="16" t="str">
        <x:v>+60 14-737 0678 | +60147370678</x:v>
      </x:c>
      <x:c r="G5033" s="16" t="str">
        <x:v>+60147370678 | +60147370678</x:v>
      </x:c>
      <x:c r="H5033" s="16" t="str">
        <x:v>Excluded</x:v>
      </x:c>
      <x:c r="I5033" s="16" t="str">
        <x:v>Missing email</x:v>
      </x:c>
    </x:row>
    <x:row r="5034">
      <x:c r="A5034" s="16" t="n">
        <x:v>5031</x:v>
      </x:c>
      <x:c r="B5034" s="16" t="str">
        <x:v>Nina brand Collection</x:v>
      </x:c>
      <x:c r="C5034" s="16" t="str"/>
      <x:c r="D5034" s="16" t="str"/>
      <x:c r="E5034" s="16" t="str">
        <x:v>* myContacts</x:v>
      </x:c>
      <x:c r="F5034" s="16" t="str">
        <x:v>+60133976185</x:v>
      </x:c>
      <x:c r="G5034" s="16" t="str">
        <x:v>+60133976185</x:v>
      </x:c>
      <x:c r="H5034" s="16" t="str">
        <x:v>Excluded</x:v>
      </x:c>
      <x:c r="I5034" s="16" t="str">
        <x:v>Missing email</x:v>
      </x:c>
    </x:row>
    <x:row r="5035">
      <x:c r="A5035" s="16" t="n">
        <x:v>5032</x:v>
      </x:c>
      <x:c r="B5035" s="16" t="str">
        <x:v>Nina Coway Pom Pom</x:v>
      </x:c>
      <x:c r="C5035" s="16" t="str"/>
      <x:c r="D5035" s="16" t="str"/>
      <x:c r="E5035" s="16" t="str">
        <x:v>* myContacts</x:v>
      </x:c>
      <x:c r="F5035" s="16" t="str">
        <x:v>+60183113567</x:v>
      </x:c>
      <x:c r="G5035" s="16" t="str">
        <x:v>+60183113567</x:v>
      </x:c>
      <x:c r="H5035" s="16" t="str">
        <x:v>Excluded</x:v>
      </x:c>
      <x:c r="I5035" s="16" t="str">
        <x:v>Missing email</x:v>
      </x:c>
    </x:row>
    <x:row r="5036">
      <x:c r="A5036" s="16" t="n">
        <x:v>5033</x:v>
      </x:c>
      <x:c r="B5036" s="16" t="str">
        <x:v>Nina Fattah</x:v>
      </x:c>
      <x:c r="C5036" s="16" t="str"/>
      <x:c r="D5036" s="16" t="str"/>
      <x:c r="E5036" s="16" t="str">
        <x:v>* myContacts</x:v>
      </x:c>
      <x:c r="F5036" s="16" t="str">
        <x:v>+60179070499</x:v>
      </x:c>
      <x:c r="G5036" s="16" t="str">
        <x:v>+60179070499</x:v>
      </x:c>
      <x:c r="H5036" s="16" t="str">
        <x:v>Excluded</x:v>
      </x:c>
      <x:c r="I5036" s="16" t="str">
        <x:v>Missing email</x:v>
      </x:c>
    </x:row>
    <x:row r="5037">
      <x:c r="A5037" s="16" t="n">
        <x:v>5034</x:v>
      </x:c>
      <x:c r="B5037" s="16" t="str">
        <x:v>NINA Handcreative Scarf</x:v>
      </x:c>
      <x:c r="C5037" s="16" t="str"/>
      <x:c r="D5037" s="16" t="str"/>
      <x:c r="E5037" s="16" t="str">
        <x:v>* myContacts</x:v>
      </x:c>
      <x:c r="F5037" s="16" t="str">
        <x:v>+60 17-771 0287 | +60177710287</x:v>
      </x:c>
      <x:c r="G5037" s="16" t="str">
        <x:v>+60177710287 | +60177710287</x:v>
      </x:c>
      <x:c r="H5037" s="16" t="str">
        <x:v>Excluded</x:v>
      </x:c>
      <x:c r="I5037" s="16" t="str">
        <x:v>Missing email</x:v>
      </x:c>
    </x:row>
    <x:row r="5038">
      <x:c r="A5038" s="16" t="n">
        <x:v>5035</x:v>
      </x:c>
      <x:c r="B5038" s="16" t="str">
        <x:v>Nina Mia</x:v>
      </x:c>
      <x:c r="C5038" s="16" t="str"/>
      <x:c r="D5038" s="16" t="str"/>
      <x:c r="E5038" s="16" t="str">
        <x:v>* myContacts</x:v>
      </x:c>
      <x:c r="F5038" s="16" t="str">
        <x:v>+60197744271</x:v>
      </x:c>
      <x:c r="G5038" s="16" t="str">
        <x:v>+60197744271</x:v>
      </x:c>
      <x:c r="H5038" s="16" t="str">
        <x:v>Excluded</x:v>
      </x:c>
      <x:c r="I5038" s="16" t="str">
        <x:v>Missing email</x:v>
      </x:c>
    </x:row>
    <x:row r="5039">
      <x:c r="A5039" s="16" t="n">
        <x:v>5036</x:v>
      </x:c>
      <x:c r="B5039" s="16" t="str">
        <x:v>Nina Salleh</x:v>
      </x:c>
      <x:c r="C5039" s="16" t="str"/>
      <x:c r="D5039" s="16" t="str"/>
      <x:c r="E5039" s="16" t="str">
        <x:v>* myContacts</x:v>
      </x:c>
      <x:c r="F5039" s="16" t="str">
        <x:v>+60123114040</x:v>
      </x:c>
      <x:c r="G5039" s="16" t="str">
        <x:v>+60123114040</x:v>
      </x:c>
      <x:c r="H5039" s="16" t="str">
        <x:v>Excluded</x:v>
      </x:c>
      <x:c r="I5039" s="16" t="str">
        <x:v>Missing email</x:v>
      </x:c>
    </x:row>
    <x:row r="5040">
      <x:c r="A5040" s="16" t="n">
        <x:v>5037</x:v>
      </x:c>
      <x:c r="B5040" s="16" t="str">
        <x:v>Ninie Jnj</x:v>
      </x:c>
      <x:c r="C5040" s="16" t="str"/>
      <x:c r="D5040" s="16" t="str"/>
      <x:c r="E5040" s="16" t="str">
        <x:v>* myContacts</x:v>
      </x:c>
      <x:c r="F5040" s="16" t="str">
        <x:v>+60 16-980 9822 | +60169809822</x:v>
      </x:c>
      <x:c r="G5040" s="16" t="str">
        <x:v>+60169809822 | +60169809822</x:v>
      </x:c>
      <x:c r="H5040" s="16" t="str">
        <x:v>Excluded</x:v>
      </x:c>
      <x:c r="I5040" s="16" t="str">
        <x:v>Missing email</x:v>
      </x:c>
    </x:row>
    <x:row r="5041">
      <x:c r="A5041" s="16" t="n">
        <x:v>5038</x:v>
      </x:c>
      <x:c r="B5041" s="16" t="str">
        <x:v>Ninit Nita</x:v>
      </x:c>
      <x:c r="C5041" s="16" t="str"/>
      <x:c r="D5041" s="16" t="str"/>
      <x:c r="E5041" s="16" t="str">
        <x:v>* myContacts</x:v>
      </x:c>
      <x:c r="F5041" s="16" t="str">
        <x:v>+6283820949859</x:v>
      </x:c>
      <x:c r="G5041" s="16" t="str">
        <x:v>+6283820949859</x:v>
      </x:c>
      <x:c r="H5041" s="16" t="str">
        <x:v>Excluded</x:v>
      </x:c>
      <x:c r="I5041" s="16" t="str">
        <x:v>Missing email</x:v>
      </x:c>
    </x:row>
    <x:row r="5042">
      <x:c r="A5042" s="16" t="n">
        <x:v>5039</x:v>
      </x:c>
      <x:c r="B5042" s="16" t="str">
        <x:v>Nirazwan Radin</x:v>
      </x:c>
      <x:c r="C5042" s="16" t="str"/>
      <x:c r="D5042" s="16" t="str"/>
      <x:c r="E5042" s="16" t="str">
        <x:v>* myContacts</x:v>
      </x:c>
      <x:c r="F5042" s="16" t="str">
        <x:v>+60143544340</x:v>
      </x:c>
      <x:c r="G5042" s="16" t="str">
        <x:v>+60143544340</x:v>
      </x:c>
      <x:c r="H5042" s="16" t="str">
        <x:v>Excluded</x:v>
      </x:c>
      <x:c r="I5042" s="16" t="str">
        <x:v>Missing email</x:v>
      </x:c>
    </x:row>
    <x:row r="5043">
      <x:c r="A5043" s="16" t="n">
        <x:v>5040</x:v>
      </x:c>
      <x:c r="B5043" s="16" t="str">
        <x:v>Nirmal Singh</x:v>
      </x:c>
      <x:c r="C5043" s="16" t="str"/>
      <x:c r="D5043" s="16" t="str"/>
      <x:c r="E5043" s="16" t="str">
        <x:v>* myContacts</x:v>
      </x:c>
      <x:c r="F5043" s="16" t="str">
        <x:v>+60143602327</x:v>
      </x:c>
      <x:c r="G5043" s="16" t="str">
        <x:v>+60143602327</x:v>
      </x:c>
      <x:c r="H5043" s="16" t="str">
        <x:v>Excluded</x:v>
      </x:c>
      <x:c r="I5043" s="16" t="str">
        <x:v>Missing email</x:v>
      </x:c>
    </x:row>
    <x:row r="5044">
      <x:c r="A5044" s="16" t="n">
        <x:v>5041</x:v>
      </x:c>
      <x:c r="B5044" s="16" t="str">
        <x:v>Nirwan Zulfaka</x:v>
      </x:c>
      <x:c r="C5044" s="16" t="str"/>
      <x:c r="D5044" s="16" t="str"/>
      <x:c r="E5044" s="16" t="str">
        <x:v>* myContacts</x:v>
      </x:c>
      <x:c r="F5044" s="16" t="str">
        <x:v>+601114426406</x:v>
      </x:c>
      <x:c r="G5044" s="16" t="str">
        <x:v>+601114426406</x:v>
      </x:c>
      <x:c r="H5044" s="16" t="str">
        <x:v>Excluded</x:v>
      </x:c>
      <x:c r="I5044" s="16" t="str">
        <x:v>Missing email</x:v>
      </x:c>
    </x:row>
    <x:row r="5045">
      <x:c r="A5045" s="16" t="n">
        <x:v>5042</x:v>
      </x:c>
      <x:c r="B5045" s="16" t="str">
        <x:v>Nirwana Transport</x:v>
      </x:c>
      <x:c r="C5045" s="16" t="str"/>
      <x:c r="D5045" s="16" t="str"/>
      <x:c r="E5045" s="16" t="str">
        <x:v>* myContacts</x:v>
      </x:c>
      <x:c r="F5045" s="16" t="str">
        <x:v>+6281322750146</x:v>
      </x:c>
      <x:c r="G5045" s="16" t="str">
        <x:v>+6281322750146</x:v>
      </x:c>
      <x:c r="H5045" s="16" t="str">
        <x:v>Excluded</x:v>
      </x:c>
      <x:c r="I5045" s="16" t="str">
        <x:v>Missing email</x:v>
      </x:c>
    </x:row>
    <x:row r="5046">
      <x:c r="A5046" s="16" t="n">
        <x:v>5043</x:v>
      </x:c>
      <x:c r="B5046" s="16" t="str">
        <x:v>Nisa Angent AGP</x:v>
      </x:c>
      <x:c r="C5046" s="16" t="str"/>
      <x:c r="D5046" s="16" t="str"/>
      <x:c r="E5046" s="16" t="str">
        <x:v>* myContacts</x:v>
      </x:c>
      <x:c r="F5046" s="16" t="str">
        <x:v>+60 16-972 5312 | +60169725312</x:v>
      </x:c>
      <x:c r="G5046" s="16" t="str">
        <x:v>+60169725312 | +60169725312</x:v>
      </x:c>
      <x:c r="H5046" s="16" t="str">
        <x:v>Excluded</x:v>
      </x:c>
      <x:c r="I5046" s="16" t="str">
        <x:v>Missing email</x:v>
      </x:c>
    </x:row>
    <x:row r="5047">
      <x:c r="A5047" s="16" t="n">
        <x:v>5044</x:v>
      </x:c>
      <x:c r="B5047" s="16" t="str">
        <x:v>nisa Cuckoo</x:v>
      </x:c>
      <x:c r="C5047" s="16" t="str"/>
      <x:c r="D5047" s="16" t="str"/>
      <x:c r="E5047" s="16" t="str">
        <x:v>* myContacts</x:v>
      </x:c>
      <x:c r="F5047" s="16" t="str">
        <x:v>+60 19-351 1639 | +60193511639</x:v>
      </x:c>
      <x:c r="G5047" s="16" t="str">
        <x:v>+60193511639 | +60193511639</x:v>
      </x:c>
      <x:c r="H5047" s="16" t="str">
        <x:v>Excluded</x:v>
      </x:c>
      <x:c r="I5047" s="16" t="str">
        <x:v>Missing email</x:v>
      </x:c>
    </x:row>
    <x:row r="5048">
      <x:c r="A5048" s="16" t="n">
        <x:v>5045</x:v>
      </x:c>
      <x:c r="B5048" s="16" t="str">
        <x:v>Nisa The GARDEN Hotel</x:v>
      </x:c>
      <x:c r="C5048" s="16" t="str"/>
      <x:c r="D5048" s="16" t="str"/>
      <x:c r="E5048" s="16" t="str">
        <x:v>* myContacts</x:v>
      </x:c>
      <x:c r="F5048" s="16" t="str">
        <x:v>+60 16-617 0134 | +60166170134</x:v>
      </x:c>
      <x:c r="G5048" s="16" t="str">
        <x:v>+60166170134 | +60166170134</x:v>
      </x:c>
      <x:c r="H5048" s="16" t="str">
        <x:v>Excluded</x:v>
      </x:c>
      <x:c r="I5048" s="16" t="str">
        <x:v>Missing email</x:v>
      </x:c>
    </x:row>
    <x:row r="5049">
      <x:c r="A5049" s="16" t="n">
        <x:v>5046</x:v>
      </x:c>
      <x:c r="B5049" s="16" t="str">
        <x:v>Nisreen Fadzil</x:v>
      </x:c>
      <x:c r="C5049" s="16" t="str"/>
      <x:c r="D5049" s="16" t="str"/>
      <x:c r="E5049" s="16" t="str">
        <x:v>* myContacts</x:v>
      </x:c>
      <x:c r="F5049" s="16" t="str">
        <x:v>+60134292994</x:v>
      </x:c>
      <x:c r="G5049" s="16" t="str">
        <x:v>+60134292994</x:v>
      </x:c>
      <x:c r="H5049" s="16" t="str">
        <x:v>Excluded</x:v>
      </x:c>
      <x:c r="I5049" s="16" t="str">
        <x:v>Missing email</x:v>
      </x:c>
    </x:row>
    <x:row r="5050">
      <x:c r="A5050" s="16" t="n">
        <x:v>5047</x:v>
      </x:c>
      <x:c r="B5050" s="16" t="str">
        <x:v>Nissa Fereena</x:v>
      </x:c>
      <x:c r="C5050" s="16" t="str"/>
      <x:c r="D5050" s="16" t="str"/>
      <x:c r="E5050" s="16" t="str">
        <x:v>* myContacts</x:v>
      </x:c>
      <x:c r="F5050" s="16" t="str">
        <x:v>+60102701439</x:v>
      </x:c>
      <x:c r="G5050" s="16" t="str">
        <x:v>+60102701439</x:v>
      </x:c>
      <x:c r="H5050" s="16" t="str">
        <x:v>Excluded</x:v>
      </x:c>
      <x:c r="I5050" s="16" t="str">
        <x:v>Missing email</x:v>
      </x:c>
    </x:row>
    <x:row r="5051">
      <x:c r="A5051" s="16" t="n">
        <x:v>5048</x:v>
      </x:c>
      <x:c r="B5051" s="16" t="str">
        <x:v>Niz Marketing Expert</x:v>
      </x:c>
      <x:c r="C5051" s="16" t="str"/>
      <x:c r="D5051" s="16" t="str"/>
      <x:c r="E5051" s="16" t="str">
        <x:v>* myContacts</x:v>
      </x:c>
      <x:c r="F5051" s="16" t="str">
        <x:v>017-628 4304 | +60176284304</x:v>
      </x:c>
      <x:c r="G5051" s="16" t="str">
        <x:v>+60176284304 | +60176284304</x:v>
      </x:c>
      <x:c r="H5051" s="16" t="str">
        <x:v>Excluded</x:v>
      </x:c>
      <x:c r="I5051" s="16" t="str">
        <x:v>Missing email</x:v>
      </x:c>
    </x:row>
    <x:row r="5052">
      <x:c r="A5052" s="16" t="n">
        <x:v>5049</x:v>
      </x:c>
      <x:c r="B5052" s="16" t="str">
        <x:v>Nizam Adnan Programer</x:v>
      </x:c>
      <x:c r="C5052" s="16" t="str"/>
      <x:c r="D5052" s="16" t="str"/>
      <x:c r="E5052" s="16" t="str">
        <x:v>* myContacts</x:v>
      </x:c>
      <x:c r="F5052" s="16" t="str">
        <x:v>0126469496 | +60126469496</x:v>
      </x:c>
      <x:c r="G5052" s="16" t="str">
        <x:v>+60126469496 | +60126469496</x:v>
      </x:c>
      <x:c r="H5052" s="16" t="str">
        <x:v>Excluded</x:v>
      </x:c>
      <x:c r="I5052" s="16" t="str">
        <x:v>Missing email</x:v>
      </x:c>
    </x:row>
    <x:row r="5053">
      <x:c r="A5053" s="16" t="n">
        <x:v>5050</x:v>
      </x:c>
      <x:c r="B5053" s="16" t="str">
        <x:v>Nizam Aircond</x:v>
      </x:c>
      <x:c r="C5053" s="16" t="str"/>
      <x:c r="D5053" s="16" t="str"/>
      <x:c r="E5053" s="16" t="str">
        <x:v>* myContacts</x:v>
      </x:c>
      <x:c r="F5053" s="16" t="str">
        <x:v>+60199048318</x:v>
      </x:c>
      <x:c r="G5053" s="16" t="str">
        <x:v>+60199048318</x:v>
      </x:c>
      <x:c r="H5053" s="16" t="str">
        <x:v>Excluded</x:v>
      </x:c>
      <x:c r="I5053" s="16" t="str">
        <x:v>Missing email</x:v>
      </x:c>
    </x:row>
    <x:row r="5054">
      <x:c r="A5054" s="16" t="n">
        <x:v>5051</x:v>
      </x:c>
      <x:c r="B5054" s="16" t="str">
        <x:v>Nizam Aziz</x:v>
      </x:c>
      <x:c r="C5054" s="16" t="str"/>
      <x:c r="D5054" s="16" t="str"/>
      <x:c r="E5054" s="16" t="str">
        <x:v>* myContacts</x:v>
      </x:c>
      <x:c r="F5054" s="16" t="str">
        <x:v>+60179565842</x:v>
      </x:c>
      <x:c r="G5054" s="16" t="str">
        <x:v>+60179565842</x:v>
      </x:c>
      <x:c r="H5054" s="16" t="str">
        <x:v>Excluded</x:v>
      </x:c>
      <x:c r="I5054" s="16" t="str">
        <x:v>Missing email</x:v>
      </x:c>
    </x:row>
    <x:row r="5055">
      <x:c r="A5055" s="16" t="n">
        <x:v>5052</x:v>
      </x:c>
      <x:c r="B5055" s="16" t="str">
        <x:v>Nizam Bin Hassan</x:v>
      </x:c>
      <x:c r="C5055" s="16" t="str"/>
      <x:c r="D5055" s="16" t="str"/>
      <x:c r="E5055" s="16" t="str">
        <x:v>* myContacts</x:v>
      </x:c>
      <x:c r="F5055" s="16" t="str">
        <x:v>+60143309088</x:v>
      </x:c>
      <x:c r="G5055" s="16" t="str">
        <x:v>+60143309088</x:v>
      </x:c>
      <x:c r="H5055" s="16" t="str">
        <x:v>Excluded</x:v>
      </x:c>
      <x:c r="I5055" s="16" t="str">
        <x:v>Missing email</x:v>
      </x:c>
    </x:row>
    <x:row r="5056">
      <x:c r="A5056" s="16" t="n">
        <x:v>5053</x:v>
      </x:c>
      <x:c r="B5056" s="16" t="str">
        <x:v>Nizam PID Tanjung</x:v>
      </x:c>
      <x:c r="C5056" s="16" t="str"/>
      <x:c r="D5056" s="16" t="str"/>
      <x:c r="E5056" s="16" t="str">
        <x:v>* myContacts</x:v>
      </x:c>
      <x:c r="F5056" s="16" t="str">
        <x:v>011-3182 1008 | +601131821008</x:v>
      </x:c>
      <x:c r="G5056" s="16" t="str">
        <x:v>+601131821008 | +601131821008</x:v>
      </x:c>
      <x:c r="H5056" s="16" t="str">
        <x:v>Excluded</x:v>
      </x:c>
      <x:c r="I5056" s="16" t="str">
        <x:v>Missing email</x:v>
      </x:c>
    </x:row>
    <x:row r="5057">
      <x:c r="A5057" s="16" t="n">
        <x:v>5054</x:v>
      </x:c>
      <x:c r="B5057" s="16" t="str">
        <x:v>Nizam Said</x:v>
      </x:c>
      <x:c r="C5057" s="16" t="str"/>
      <x:c r="D5057" s="16" t="str"/>
      <x:c r="E5057" s="16" t="str">
        <x:v>* myContacts</x:v>
      </x:c>
      <x:c r="F5057" s="16" t="str">
        <x:v>+60148068926</x:v>
      </x:c>
      <x:c r="G5057" s="16" t="str">
        <x:v>+60148068926</x:v>
      </x:c>
      <x:c r="H5057" s="16" t="str">
        <x:v>Excluded</x:v>
      </x:c>
      <x:c r="I5057" s="16" t="str">
        <x:v>Missing email</x:v>
      </x:c>
    </x:row>
    <x:row r="5058">
      <x:c r="A5058" s="16" t="n">
        <x:v>5055</x:v>
      </x:c>
      <x:c r="B5058" s="16" t="str">
        <x:v>Nizam Zakaria</x:v>
      </x:c>
      <x:c r="C5058" s="16" t="str"/>
      <x:c r="D5058" s="16" t="str"/>
      <x:c r="E5058" s="16" t="str">
        <x:v>* myContacts</x:v>
      </x:c>
      <x:c r="F5058" s="16" t="str">
        <x:v>+60134403795</x:v>
      </x:c>
      <x:c r="G5058" s="16" t="str">
        <x:v>+60134403795</x:v>
      </x:c>
      <x:c r="H5058" s="16" t="str">
        <x:v>Excluded</x:v>
      </x:c>
      <x:c r="I5058" s="16" t="str">
        <x:v>Missing email</x:v>
      </x:c>
    </x:row>
    <x:row r="5059">
      <x:c r="A5059" s="16" t="n">
        <x:v>5056</x:v>
      </x:c>
      <x:c r="B5059" s="16" t="str">
        <x:v>Nizam Zulfikri</x:v>
      </x:c>
      <x:c r="C5059" s="16" t="str"/>
      <x:c r="D5059" s="16" t="str"/>
      <x:c r="E5059" s="16" t="str">
        <x:v>* myContacts</x:v>
      </x:c>
      <x:c r="F5059" s="16" t="str">
        <x:v>+601135150965</x:v>
      </x:c>
      <x:c r="G5059" s="16" t="str">
        <x:v>+601135150965</x:v>
      </x:c>
      <x:c r="H5059" s="16" t="str">
        <x:v>Excluded</x:v>
      </x:c>
      <x:c r="I5059" s="16" t="str">
        <x:v>Missing email</x:v>
      </x:c>
    </x:row>
    <x:row r="5060">
      <x:c r="A5060" s="16" t="n">
        <x:v>5057</x:v>
      </x:c>
      <x:c r="B5060" s="16" t="str">
        <x:v>Nizar Helmi</x:v>
      </x:c>
      <x:c r="C5060" s="16" t="str"/>
      <x:c r="D5060" s="16" t="str"/>
      <x:c r="E5060" s="16" t="str">
        <x:v>* myContacts</x:v>
      </x:c>
      <x:c r="F5060" s="16" t="str">
        <x:v>+60198433167</x:v>
      </x:c>
      <x:c r="G5060" s="16" t="str">
        <x:v>+60198433167</x:v>
      </x:c>
      <x:c r="H5060" s="16" t="str">
        <x:v>Excluded</x:v>
      </x:c>
      <x:c r="I5060" s="16" t="str">
        <x:v>Missing email</x:v>
      </x:c>
    </x:row>
    <x:row r="5061">
      <x:c r="A5061" s="16" t="n">
        <x:v>5058</x:v>
      </x:c>
      <x:c r="B5061" s="16" t="str">
        <x:v>Nj Tekun</x:v>
      </x:c>
      <x:c r="C5061" s="16" t="str"/>
      <x:c r="D5061" s="16" t="str"/>
      <x:c r="E5061" s="16" t="str">
        <x:v>* myContacts</x:v>
      </x:c>
      <x:c r="F5061" s="16" t="str">
        <x:v>+60177574427</x:v>
      </x:c>
      <x:c r="G5061" s="16" t="str">
        <x:v>+60177574427</x:v>
      </x:c>
      <x:c r="H5061" s="16" t="str">
        <x:v>Excluded</x:v>
      </x:c>
      <x:c r="I5061" s="16" t="str">
        <x:v>Missing email</x:v>
      </x:c>
    </x:row>
    <x:row r="5062">
      <x:c r="A5062" s="16" t="n">
        <x:v>5059</x:v>
      </x:c>
      <x:c r="B5062" s="16" t="str">
        <x:v>Nlp Malaysia</x:v>
      </x:c>
      <x:c r="C5062" s="16" t="str"/>
      <x:c r="D5062" s="16" t="str"/>
      <x:c r="E5062" s="16" t="str">
        <x:v>* myContacts</x:v>
      </x:c>
      <x:c r="F5062" s="16" t="str">
        <x:v>013-335 1351 | +60133351351</x:v>
      </x:c>
      <x:c r="G5062" s="16" t="str">
        <x:v>+60133351351 | +60133351351</x:v>
      </x:c>
      <x:c r="H5062" s="16" t="str">
        <x:v>Excluded</x:v>
      </x:c>
      <x:c r="I5062" s="16" t="str">
        <x:v>Missing email</x:v>
      </x:c>
    </x:row>
    <x:row r="5063">
      <x:c r="A5063" s="16" t="n">
        <x:v>5060</x:v>
      </x:c>
      <x:c r="B5063" s="16" t="str">
        <x:v>No Pejabat Aishah</x:v>
      </x:c>
      <x:c r="C5063" s="16" t="str"/>
      <x:c r="D5063" s="16" t="str"/>
      <x:c r="E5063" s="16" t="str">
        <x:v>* myContacts</x:v>
      </x:c>
      <x:c r="F5063" s="16" t="str"/>
      <x:c r="G5063" s="16" t="str"/>
      <x:c r="H5063" s="16" t="str">
        <x:v>Excluded</x:v>
      </x:c>
      <x:c r="I5063" s="16" t="str">
        <x:v>Missing email</x:v>
      </x:c>
    </x:row>
    <x:row r="5064">
      <x:c r="A5064" s="16" t="n">
        <x:v>5061</x:v>
      </x:c>
      <x:c r="B5064" s="16" t="str">
        <x:v>Noh IM</x:v>
      </x:c>
      <x:c r="C5064" s="16" t="str"/>
      <x:c r="D5064" s="16" t="str"/>
      <x:c r="E5064" s="16" t="str">
        <x:v>* myContacts</x:v>
      </x:c>
      <x:c r="F5064" s="16" t="str">
        <x:v>+60133002153</x:v>
      </x:c>
      <x:c r="G5064" s="16" t="str">
        <x:v>+60133002153</x:v>
      </x:c>
      <x:c r="H5064" s="16" t="str">
        <x:v>Excluded</x:v>
      </x:c>
      <x:c r="I5064" s="16" t="str">
        <x:v>Missing email</x:v>
      </x:c>
    </x:row>
    <x:row r="5065">
      <x:c r="A5065" s="16" t="n">
        <x:v>5062</x:v>
      </x:c>
      <x:c r="B5065" s="16" t="str">
        <x:v>Noi Student</x:v>
      </x:c>
      <x:c r="C5065" s="16" t="str"/>
      <x:c r="D5065" s="16" t="str"/>
      <x:c r="E5065" s="16" t="str">
        <x:v>* myContacts</x:v>
      </x:c>
      <x:c r="F5065" s="16" t="str">
        <x:v>+60 12-614 5544 | +60126145544</x:v>
      </x:c>
      <x:c r="G5065" s="16" t="str">
        <x:v>+60126145544 | +60126145544</x:v>
      </x:c>
      <x:c r="H5065" s="16" t="str">
        <x:v>Excluded</x:v>
      </x:c>
      <x:c r="I5065" s="16" t="str">
        <x:v>Missing email</x:v>
      </x:c>
    </x:row>
    <x:row r="5066">
      <x:c r="A5066" s="16" t="n">
        <x:v>5063</x:v>
      </x:c>
      <x:c r="B5066" s="16" t="str">
        <x:v>NONA TV3 Emmy</x:v>
      </x:c>
      <x:c r="C5066" s="16" t="str"/>
      <x:c r="D5066" s="16" t="str"/>
      <x:c r="E5066" s="16" t="str">
        <x:v>* myContacts</x:v>
      </x:c>
      <x:c r="F5066" s="16" t="str">
        <x:v>+60 12-250 7034 | +60122507034</x:v>
      </x:c>
      <x:c r="G5066" s="16" t="str">
        <x:v>+60122507034 | +60122507034</x:v>
      </x:c>
      <x:c r="H5066" s="16" t="str">
        <x:v>Excluded</x:v>
      </x:c>
      <x:c r="I5066" s="16" t="str">
        <x:v>Missing email</x:v>
      </x:c>
    </x:row>
    <x:row r="5067">
      <x:c r="A5067" s="16" t="n">
        <x:v>5064</x:v>
      </x:c>
      <x:c r="B5067" s="16" t="str">
        <x:v>Noni anak paksu</x:v>
      </x:c>
      <x:c r="C5067" s="16" t="str"/>
      <x:c r="D5067" s="16" t="str"/>
      <x:c r="E5067" s="16" t="str">
        <x:v>* myContacts</x:v>
      </x:c>
      <x:c r="F5067" s="16" t="str">
        <x:v>+60 12-237 4713 | +60122374713</x:v>
      </x:c>
      <x:c r="G5067" s="16" t="str">
        <x:v>+60122374713 | +60122374713</x:v>
      </x:c>
      <x:c r="H5067" s="16" t="str">
        <x:v>Excluded</x:v>
      </x:c>
      <x:c r="I5067" s="16" t="str">
        <x:v>Missing email</x:v>
      </x:c>
    </x:row>
    <x:row r="5068">
      <x:c r="A5068" s="16" t="n">
        <x:v>5065</x:v>
      </x:c>
      <x:c r="B5068" s="16" t="str">
        <x:v>Noor Adilah Ismail</x:v>
      </x:c>
      <x:c r="C5068" s="16" t="str"/>
      <x:c r="D5068" s="16" t="str"/>
      <x:c r="E5068" s="16" t="str">
        <x:v>* myContacts</x:v>
      </x:c>
      <x:c r="F5068" s="16" t="str">
        <x:v>+60145139352</x:v>
      </x:c>
      <x:c r="G5068" s="16" t="str">
        <x:v>+60145139352</x:v>
      </x:c>
      <x:c r="H5068" s="16" t="str">
        <x:v>Excluded</x:v>
      </x:c>
      <x:c r="I5068" s="16" t="str">
        <x:v>Missing email</x:v>
      </x:c>
    </x:row>
    <x:row r="5069">
      <x:c r="A5069" s="16" t="n">
        <x:v>5066</x:v>
      </x:c>
      <x:c r="B5069" s="16" t="str">
        <x:v>Noor Aida</x:v>
      </x:c>
      <x:c r="C5069" s="16" t="str"/>
      <x:c r="D5069" s="16" t="str"/>
      <x:c r="E5069" s="16" t="str">
        <x:v>* myContacts</x:v>
      </x:c>
      <x:c r="F5069" s="16" t="str">
        <x:v>+60129295615</x:v>
      </x:c>
      <x:c r="G5069" s="16" t="str">
        <x:v>+60129295615</x:v>
      </x:c>
      <x:c r="H5069" s="16" t="str">
        <x:v>Excluded</x:v>
      </x:c>
      <x:c r="I5069" s="16" t="str">
        <x:v>Missing email</x:v>
      </x:c>
    </x:row>
    <x:row r="5070">
      <x:c r="A5070" s="16" t="n">
        <x:v>5067</x:v>
      </x:c>
      <x:c r="B5070" s="16" t="str">
        <x:v>Noor Ajeera</x:v>
      </x:c>
      <x:c r="C5070" s="16" t="str"/>
      <x:c r="D5070" s="16" t="str"/>
      <x:c r="E5070" s="16" t="str">
        <x:v>* myContacts</x:v>
      </x:c>
      <x:c r="F5070" s="16" t="str">
        <x:v>+60164319032</x:v>
      </x:c>
      <x:c r="G5070" s="16" t="str">
        <x:v>+60164319032</x:v>
      </x:c>
      <x:c r="H5070" s="16" t="str">
        <x:v>Excluded</x:v>
      </x:c>
      <x:c r="I5070" s="16" t="str">
        <x:v>Missing email</x:v>
      </x:c>
    </x:row>
    <x:row r="5071">
      <x:c r="A5071" s="16" t="n">
        <x:v>5068</x:v>
      </x:c>
      <x:c r="B5071" s="16" t="str">
        <x:v>Noor Asiah Abdullah</x:v>
      </x:c>
      <x:c r="C5071" s="16" t="str"/>
      <x:c r="D5071" s="16" t="str"/>
      <x:c r="E5071" s="16" t="str">
        <x:v>* myContacts</x:v>
      </x:c>
      <x:c r="F5071" s="16" t="str">
        <x:v>+6097211377</x:v>
      </x:c>
      <x:c r="G5071" s="16" t="str">
        <x:v>+6097211377</x:v>
      </x:c>
      <x:c r="H5071" s="16" t="str">
        <x:v>Excluded</x:v>
      </x:c>
      <x:c r="I5071" s="16" t="str">
        <x:v>Missing email</x:v>
      </x:c>
    </x:row>
    <x:row r="5072">
      <x:c r="A5072" s="16" t="n">
        <x:v>5069</x:v>
      </x:c>
      <x:c r="B5072" s="16" t="str">
        <x:v>Noor Azamudin</x:v>
      </x:c>
      <x:c r="C5072" s="16" t="str"/>
      <x:c r="D5072" s="16" t="str"/>
      <x:c r="E5072" s="16" t="str">
        <x:v>* myContacts</x:v>
      </x:c>
      <x:c r="F5072" s="16" t="str">
        <x:v>+60124414084</x:v>
      </x:c>
      <x:c r="G5072" s="16" t="str">
        <x:v>+60124414084</x:v>
      </x:c>
      <x:c r="H5072" s="16" t="str">
        <x:v>Excluded</x:v>
      </x:c>
      <x:c r="I5072" s="16" t="str">
        <x:v>Missing email</x:v>
      </x:c>
    </x:row>
    <x:row r="5073">
      <x:c r="A5073" s="16" t="n">
        <x:v>5070</x:v>
      </x:c>
      <x:c r="B5073" s="16" t="str">
        <x:v>Noor Azilah Manan</x:v>
      </x:c>
      <x:c r="C5073" s="16" t="str"/>
      <x:c r="D5073" s="16" t="str"/>
      <x:c r="E5073" s="16" t="str">
        <x:v>* myContacts</x:v>
      </x:c>
      <x:c r="F5073" s="16" t="str">
        <x:v>+60199647287</x:v>
      </x:c>
      <x:c r="G5073" s="16" t="str">
        <x:v>+60199647287</x:v>
      </x:c>
      <x:c r="H5073" s="16" t="str">
        <x:v>Excluded</x:v>
      </x:c>
      <x:c r="I5073" s="16" t="str">
        <x:v>Missing email</x:v>
      </x:c>
    </x:row>
    <x:row r="5074">
      <x:c r="A5074" s="16" t="n">
        <x:v>5071</x:v>
      </x:c>
      <x:c r="B5074" s="16" t="str">
        <x:v>Noor Azimah Binti Hassan</x:v>
      </x:c>
      <x:c r="C5074" s="16" t="str">
        <x:v>aniazeka@yahoo.com</x:v>
      </x:c>
      <x:c r="D5074" s="16" t="str">
        <x:v>aniazeka@yahoo.com</x:v>
      </x:c>
      <x:c r="E5074" s="16" t="str">
        <x:v>* myContacts</x:v>
      </x:c>
      <x:c r="F5074" s="16" t="str">
        <x:v>0193474981 | +60193474981</x:v>
      </x:c>
      <x:c r="G5074" s="16" t="str">
        <x:v>+60193474981 | +60193474981</x:v>
      </x:c>
      <x:c r="H5074" s="16" t="str">
        <x:v>Eligible</x:v>
      </x:c>
      <x:c r="I5074" s="16" t="str"/>
    </x:row>
    <x:row r="5075">
      <x:c r="A5075" s="16" t="n">
        <x:v>5072</x:v>
      </x:c>
      <x:c r="B5075" s="16" t="str">
        <x:v>Noor Azleen Sazale</x:v>
      </x:c>
      <x:c r="C5075" s="16" t="str"/>
      <x:c r="D5075" s="16" t="str"/>
      <x:c r="E5075" s="16" t="str">
        <x:v>* myContacts</x:v>
      </x:c>
      <x:c r="F5075" s="16" t="str">
        <x:v>+60102727036</x:v>
      </x:c>
      <x:c r="G5075" s="16" t="str">
        <x:v>+60102727036</x:v>
      </x:c>
      <x:c r="H5075" s="16" t="str">
        <x:v>Excluded</x:v>
      </x:c>
      <x:c r="I5075" s="16" t="str">
        <x:v>Missing email</x:v>
      </x:c>
    </x:row>
    <x:row r="5076">
      <x:c r="A5076" s="16" t="n">
        <x:v>5073</x:v>
      </x:c>
      <x:c r="B5076" s="16" t="str">
        <x:v>Noor Azlina</x:v>
      </x:c>
      <x:c r="C5076" s="16" t="str"/>
      <x:c r="D5076" s="16" t="str"/>
      <x:c r="E5076" s="16" t="str">
        <x:v>* myContacts</x:v>
      </x:c>
      <x:c r="F5076" s="16" t="str">
        <x:v>+60132883347</x:v>
      </x:c>
      <x:c r="G5076" s="16" t="str">
        <x:v>+60132883347</x:v>
      </x:c>
      <x:c r="H5076" s="16" t="str">
        <x:v>Excluded</x:v>
      </x:c>
      <x:c r="I5076" s="16" t="str">
        <x:v>Missing email</x:v>
      </x:c>
    </x:row>
    <x:row r="5077">
      <x:c r="A5077" s="16" t="n">
        <x:v>5074</x:v>
      </x:c>
      <x:c r="B5077" s="16" t="str">
        <x:v>Noor Azlinda Student</x:v>
      </x:c>
      <x:c r="C5077" s="16" t="str"/>
      <x:c r="D5077" s="16" t="str"/>
      <x:c r="E5077" s="16" t="str">
        <x:v>* myContacts</x:v>
      </x:c>
      <x:c r="F5077" s="16" t="str">
        <x:v>01111777426 | +601111777426</x:v>
      </x:c>
      <x:c r="G5077" s="16" t="str">
        <x:v>+601111777426 | +601111777426</x:v>
      </x:c>
      <x:c r="H5077" s="16" t="str">
        <x:v>Excluded</x:v>
      </x:c>
      <x:c r="I5077" s="16" t="str">
        <x:v>Missing email</x:v>
      </x:c>
    </x:row>
    <x:row r="5078">
      <x:c r="A5078" s="16" t="n">
        <x:v>5075</x:v>
      </x:c>
      <x:c r="B5078" s="16" t="str">
        <x:v>Noor Azman Mansor</x:v>
      </x:c>
      <x:c r="C5078" s="16" t="str"/>
      <x:c r="D5078" s="16" t="str"/>
      <x:c r="E5078" s="16" t="str">
        <x:v>* myContacts</x:v>
      </x:c>
      <x:c r="F5078" s="16" t="str">
        <x:v>60192952007 | +60192952007</x:v>
      </x:c>
      <x:c r="G5078" s="16" t="str">
        <x:v>+60192952007 | +60192952007</x:v>
      </x:c>
      <x:c r="H5078" s="16" t="str">
        <x:v>Excluded</x:v>
      </x:c>
      <x:c r="I5078" s="16" t="str">
        <x:v>Missing email</x:v>
      </x:c>
    </x:row>
    <x:row r="5079">
      <x:c r="A5079" s="16" t="n">
        <x:v>5076</x:v>
      </x:c>
      <x:c r="B5079" s="16" t="str">
        <x:v>Noor Bazla</x:v>
      </x:c>
      <x:c r="C5079" s="16" t="str"/>
      <x:c r="D5079" s="16" t="str"/>
      <x:c r="E5079" s="16" t="str">
        <x:v>* myContacts</x:v>
      </x:c>
      <x:c r="F5079" s="16" t="str">
        <x:v>+60177636132</x:v>
      </x:c>
      <x:c r="G5079" s="16" t="str">
        <x:v>+60177636132</x:v>
      </x:c>
      <x:c r="H5079" s="16" t="str">
        <x:v>Excluded</x:v>
      </x:c>
      <x:c r="I5079" s="16" t="str">
        <x:v>Missing email</x:v>
      </x:c>
    </x:row>
    <x:row r="5080">
      <x:c r="A5080" s="16" t="n">
        <x:v>5077</x:v>
      </x:c>
      <x:c r="B5080" s="16" t="str">
        <x:v>Noor Fariza</x:v>
      </x:c>
      <x:c r="C5080" s="16" t="str"/>
      <x:c r="D5080" s="16" t="str"/>
      <x:c r="E5080" s="16" t="str">
        <x:v>* myContacts</x:v>
      </x:c>
      <x:c r="F5080" s="16" t="str">
        <x:v>+601129480683</x:v>
      </x:c>
      <x:c r="G5080" s="16" t="str">
        <x:v>+601129480683</x:v>
      </x:c>
      <x:c r="H5080" s="16" t="str">
        <x:v>Excluded</x:v>
      </x:c>
      <x:c r="I5080" s="16" t="str">
        <x:v>Missing email</x:v>
      </x:c>
    </x:row>
    <x:row r="5081">
      <x:c r="A5081" s="16" t="n">
        <x:v>5078</x:v>
      </x:c>
      <x:c r="B5081" s="16" t="str">
        <x:v>Noor Hamizah Roslan</x:v>
      </x:c>
      <x:c r="C5081" s="16" t="str"/>
      <x:c r="D5081" s="16" t="str"/>
      <x:c r="E5081" s="16" t="str">
        <x:v>* myContacts</x:v>
      </x:c>
      <x:c r="F5081" s="16" t="str">
        <x:v>+601129363404</x:v>
      </x:c>
      <x:c r="G5081" s="16" t="str">
        <x:v>+601129363404</x:v>
      </x:c>
      <x:c r="H5081" s="16" t="str">
        <x:v>Excluded</x:v>
      </x:c>
      <x:c r="I5081" s="16" t="str">
        <x:v>Missing email</x:v>
      </x:c>
    </x:row>
    <x:row r="5082">
      <x:c r="A5082" s="16" t="n">
        <x:v>5079</x:v>
      </x:c>
      <x:c r="B5082" s="16" t="str">
        <x:v>Noor Hashimi AGP</x:v>
      </x:c>
      <x:c r="C5082" s="16" t="str"/>
      <x:c r="D5082" s="16" t="str"/>
      <x:c r="E5082" s="16" t="str">
        <x:v>* myContacts</x:v>
      </x:c>
      <x:c r="F5082" s="16" t="str">
        <x:v>+60 11-1080 5600 | +601110805600</x:v>
      </x:c>
      <x:c r="G5082" s="16" t="str">
        <x:v>+601110805600 | +601110805600</x:v>
      </x:c>
      <x:c r="H5082" s="16" t="str">
        <x:v>Excluded</x:v>
      </x:c>
      <x:c r="I5082" s="16" t="str">
        <x:v>Missing email</x:v>
      </x:c>
    </x:row>
    <x:row r="5083">
      <x:c r="A5083" s="16" t="n">
        <x:v>5080</x:v>
      </x:c>
      <x:c r="B5083" s="16" t="str">
        <x:v>Noor Hidayu</x:v>
      </x:c>
      <x:c r="C5083" s="16" t="str"/>
      <x:c r="D5083" s="16" t="str"/>
      <x:c r="E5083" s="16" t="str">
        <x:v>* myContacts</x:v>
      </x:c>
      <x:c r="F5083" s="16" t="str">
        <x:v>+60173297791</x:v>
      </x:c>
      <x:c r="G5083" s="16" t="str">
        <x:v>+60173297791</x:v>
      </x:c>
      <x:c r="H5083" s="16" t="str">
        <x:v>Excluded</x:v>
      </x:c>
      <x:c r="I5083" s="16" t="str">
        <x:v>Missing email</x:v>
      </x:c>
    </x:row>
    <x:row r="5084">
      <x:c r="A5084" s="16" t="n">
        <x:v>5081</x:v>
      </x:c>
      <x:c r="B5084" s="16" t="str">
        <x:v>Noor Joe</x:v>
      </x:c>
      <x:c r="C5084" s="16" t="str"/>
      <x:c r="D5084" s="16" t="str"/>
      <x:c r="E5084" s="16" t="str">
        <x:v>* myContacts</x:v>
      </x:c>
      <x:c r="F5084" s="16" t="str">
        <x:v>+60148325052</x:v>
      </x:c>
      <x:c r="G5084" s="16" t="str">
        <x:v>+60148325052</x:v>
      </x:c>
      <x:c r="H5084" s="16" t="str">
        <x:v>Excluded</x:v>
      </x:c>
      <x:c r="I5084" s="16" t="str">
        <x:v>Missing email</x:v>
      </x:c>
    </x:row>
    <x:row r="5085">
      <x:c r="A5085" s="16" t="n">
        <x:v>5082</x:v>
      </x:c>
      <x:c r="B5085" s="16" t="str">
        <x:v>Noor Roamiza BT Azami</x:v>
      </x:c>
      <x:c r="C5085" s="16" t="str"/>
      <x:c r="D5085" s="16" t="str"/>
      <x:c r="E5085" s="16" t="str">
        <x:v>* myContacts</x:v>
      </x:c>
      <x:c r="F5085" s="16" t="str">
        <x:v>+60124324029</x:v>
      </x:c>
      <x:c r="G5085" s="16" t="str">
        <x:v>+60124324029</x:v>
      </x:c>
      <x:c r="H5085" s="16" t="str">
        <x:v>Excluded</x:v>
      </x:c>
      <x:c r="I5085" s="16" t="str">
        <x:v>Missing email</x:v>
      </x:c>
    </x:row>
    <x:row r="5086">
      <x:c r="A5086" s="16" t="n">
        <x:v>5083</x:v>
      </x:c>
      <x:c r="B5086" s="16" t="str">
        <x:v>Noor Saimah Abdul Rahman</x:v>
      </x:c>
      <x:c r="C5086" s="16" t="str"/>
      <x:c r="D5086" s="16" t="str"/>
      <x:c r="E5086" s="16" t="str">
        <x:v>* myContacts</x:v>
      </x:c>
      <x:c r="F5086" s="16" t="str">
        <x:v>+60137313672</x:v>
      </x:c>
      <x:c r="G5086" s="16" t="str">
        <x:v>+60137313672</x:v>
      </x:c>
      <x:c r="H5086" s="16" t="str">
        <x:v>Excluded</x:v>
      </x:c>
      <x:c r="I5086" s="16" t="str">
        <x:v>Missing email</x:v>
      </x:c>
    </x:row>
    <x:row r="5087">
      <x:c r="A5087" s="16" t="n">
        <x:v>5084</x:v>
      </x:c>
      <x:c r="B5087" s="16" t="str">
        <x:v>Noor Shuhaida Mohd Noor</x:v>
      </x:c>
      <x:c r="C5087" s="16" t="str"/>
      <x:c r="D5087" s="16" t="str"/>
      <x:c r="E5087" s="16" t="str">
        <x:v>* myContacts</x:v>
      </x:c>
      <x:c r="F5087" s="16" t="str">
        <x:v>+60179782989</x:v>
      </x:c>
      <x:c r="G5087" s="16" t="str">
        <x:v>+60179782989</x:v>
      </x:c>
      <x:c r="H5087" s="16" t="str">
        <x:v>Excluded</x:v>
      </x:c>
      <x:c r="I5087" s="16" t="str">
        <x:v>Missing email</x:v>
      </x:c>
    </x:row>
    <x:row r="5088">
      <x:c r="A5088" s="16" t="n">
        <x:v>5085</x:v>
      </x:c>
      <x:c r="B5088" s="16" t="str">
        <x:v>Noor Syawalriah</x:v>
      </x:c>
      <x:c r="C5088" s="16" t="str"/>
      <x:c r="D5088" s="16" t="str"/>
      <x:c r="E5088" s="16" t="str">
        <x:v>* myContacts</x:v>
      </x:c>
      <x:c r="F5088" s="16" t="str">
        <x:v>+601126533448</x:v>
      </x:c>
      <x:c r="G5088" s="16" t="str">
        <x:v>+601126533448</x:v>
      </x:c>
      <x:c r="H5088" s="16" t="str">
        <x:v>Excluded</x:v>
      </x:c>
      <x:c r="I5088" s="16" t="str">
        <x:v>Missing email</x:v>
      </x:c>
    </x:row>
    <x:row r="5089">
      <x:c r="A5089" s="16" t="n">
        <x:v>5086</x:v>
      </x:c>
      <x:c r="B5089" s="16" t="str">
        <x:v>Noor Wardah Tajudin</x:v>
      </x:c>
      <x:c r="C5089" s="16" t="str"/>
      <x:c r="D5089" s="16" t="str"/>
      <x:c r="E5089" s="16" t="str">
        <x:v>* myContacts</x:v>
      </x:c>
      <x:c r="F5089" s="16" t="str">
        <x:v>+60192222206</x:v>
      </x:c>
      <x:c r="G5089" s="16" t="str">
        <x:v>+60192222206</x:v>
      </x:c>
      <x:c r="H5089" s="16" t="str">
        <x:v>Excluded</x:v>
      </x:c>
      <x:c r="I5089" s="16" t="str">
        <x:v>Missing email</x:v>
      </x:c>
    </x:row>
    <x:row r="5090">
      <x:c r="A5090" s="16" t="n">
        <x:v>5087</x:v>
      </x:c>
      <x:c r="B5090" s="16" t="str">
        <x:v>Noora Afila</x:v>
      </x:c>
      <x:c r="C5090" s="16" t="str"/>
      <x:c r="D5090" s="16" t="str"/>
      <x:c r="E5090" s="16" t="str">
        <x:v>* myContacts</x:v>
      </x:c>
      <x:c r="F5090" s="16" t="str">
        <x:v>+60189524204</x:v>
      </x:c>
      <x:c r="G5090" s="16" t="str">
        <x:v>+60189524204</x:v>
      </x:c>
      <x:c r="H5090" s="16" t="str">
        <x:v>Excluded</x:v>
      </x:c>
      <x:c r="I5090" s="16" t="str">
        <x:v>Missing email</x:v>
      </x:c>
    </x:row>
    <x:row r="5091">
      <x:c r="A5091" s="16" t="n">
        <x:v>5088</x:v>
      </x:c>
      <x:c r="B5091" s="16" t="str">
        <x:v>Noora Dyba</x:v>
      </x:c>
      <x:c r="C5091" s="16" t="str"/>
      <x:c r="D5091" s="16" t="str"/>
      <x:c r="E5091" s="16" t="str">
        <x:v>* myContacts</x:v>
      </x:c>
      <x:c r="F5091" s="16" t="str">
        <x:v>+60196583032</x:v>
      </x:c>
      <x:c r="G5091" s="16" t="str">
        <x:v>+60196583032</x:v>
      </x:c>
      <x:c r="H5091" s="16" t="str">
        <x:v>Excluded</x:v>
      </x:c>
      <x:c r="I5091" s="16" t="str">
        <x:v>Missing email</x:v>
      </x:c>
    </x:row>
    <x:row r="5092">
      <x:c r="A5092" s="16" t="n">
        <x:v>5089</x:v>
      </x:c>
      <x:c r="B5092" s="16" t="str">
        <x:v>Noorafni Mohamad Pozi</x:v>
      </x:c>
      <x:c r="C5092" s="16" t="str"/>
      <x:c r="D5092" s="16" t="str"/>
      <x:c r="E5092" s="16" t="str">
        <x:v>* myContacts</x:v>
      </x:c>
      <x:c r="F5092" s="16" t="str">
        <x:v>+601129210901</x:v>
      </x:c>
      <x:c r="G5092" s="16" t="str">
        <x:v>+601129210901</x:v>
      </x:c>
      <x:c r="H5092" s="16" t="str">
        <x:v>Excluded</x:v>
      </x:c>
      <x:c r="I5092" s="16" t="str">
        <x:v>Missing email</x:v>
      </x:c>
    </x:row>
    <x:row r="5093">
      <x:c r="A5093" s="16" t="n">
        <x:v>5090</x:v>
      </x:c>
      <x:c r="B5093" s="16" t="str">
        <x:v>Noorain Zulkifly</x:v>
      </x:c>
      <x:c r="C5093" s="16" t="str"/>
      <x:c r="D5093" s="16" t="str"/>
      <x:c r="E5093" s="16" t="str">
        <x:v>* myContacts</x:v>
      </x:c>
      <x:c r="F5093" s="16" t="str">
        <x:v>+601137570346</x:v>
      </x:c>
      <x:c r="G5093" s="16" t="str">
        <x:v>+601137570346</x:v>
      </x:c>
      <x:c r="H5093" s="16" t="str">
        <x:v>Excluded</x:v>
      </x:c>
      <x:c r="I5093" s="16" t="str">
        <x:v>Missing email</x:v>
      </x:c>
    </x:row>
    <x:row r="5094">
      <x:c r="A5094" s="16" t="n">
        <x:v>5091</x:v>
      </x:c>
      <x:c r="B5094" s="16" t="str">
        <x:v>Nooraishah Abdul Razak</x:v>
      </x:c>
      <x:c r="C5094" s="16" t="str"/>
      <x:c r="D5094" s="16" t="str"/>
      <x:c r="E5094" s="16" t="str">
        <x:v>* myContacts</x:v>
      </x:c>
      <x:c r="F5094" s="16" t="str">
        <x:v>+60167127875</x:v>
      </x:c>
      <x:c r="G5094" s="16" t="str">
        <x:v>+60167127875</x:v>
      </x:c>
      <x:c r="H5094" s="16" t="str">
        <x:v>Excluded</x:v>
      </x:c>
      <x:c r="I5094" s="16" t="str">
        <x:v>Missing email</x:v>
      </x:c>
    </x:row>
    <x:row r="5095">
      <x:c r="A5095" s="16" t="n">
        <x:v>5092</x:v>
      </x:c>
      <x:c r="B5095" s="16" t="str">
        <x:v>Nooramalina Selamat</x:v>
      </x:c>
      <x:c r="C5095" s="16" t="str"/>
      <x:c r="D5095" s="16" t="str"/>
      <x:c r="E5095" s="16" t="str">
        <x:v>* myContacts</x:v>
      </x:c>
      <x:c r="F5095" s="16" t="str">
        <x:v>+601121789670</x:v>
      </x:c>
      <x:c r="G5095" s="16" t="str">
        <x:v>+601121789670</x:v>
      </x:c>
      <x:c r="H5095" s="16" t="str">
        <x:v>Excluded</x:v>
      </x:c>
      <x:c r="I5095" s="16" t="str">
        <x:v>Missing email</x:v>
      </x:c>
    </x:row>
    <x:row r="5096">
      <x:c r="A5096" s="16" t="n">
        <x:v>5093</x:v>
      </x:c>
      <x:c r="B5096" s="16" t="str">
        <x:v>Nooramiera Abdul Rahim</x:v>
      </x:c>
      <x:c r="C5096" s="16" t="str"/>
      <x:c r="D5096" s="16" t="str"/>
      <x:c r="E5096" s="16" t="str">
        <x:v>* myContacts</x:v>
      </x:c>
      <x:c r="F5096" s="16" t="str">
        <x:v>+601111986010</x:v>
      </x:c>
      <x:c r="G5096" s="16" t="str">
        <x:v>+601111986010</x:v>
      </x:c>
      <x:c r="H5096" s="16" t="str">
        <x:v>Excluded</x:v>
      </x:c>
      <x:c r="I5096" s="16" t="str">
        <x:v>Missing email</x:v>
      </x:c>
    </x:row>
    <x:row r="5097">
      <x:c r="A5097" s="16" t="n">
        <x:v>5094</x:v>
      </x:c>
      <x:c r="B5097" s="16" t="str">
        <x:v>Noorashyikin Osman</x:v>
      </x:c>
      <x:c r="C5097" s="16" t="str"/>
      <x:c r="D5097" s="16" t="str"/>
      <x:c r="E5097" s="16" t="str">
        <x:v>* myContacts</x:v>
      </x:c>
      <x:c r="F5097" s="16" t="str">
        <x:v>+60179196546</x:v>
      </x:c>
      <x:c r="G5097" s="16" t="str">
        <x:v>+60179196546</x:v>
      </x:c>
      <x:c r="H5097" s="16" t="str">
        <x:v>Excluded</x:v>
      </x:c>
      <x:c r="I5097" s="16" t="str">
        <x:v>Missing email</x:v>
      </x:c>
    </x:row>
    <x:row r="5098">
      <x:c r="A5098" s="16" t="n">
        <x:v>5095</x:v>
      </x:c>
      <x:c r="B5098" s="16" t="str">
        <x:v>Noorasikin Ekin</x:v>
      </x:c>
      <x:c r="C5098" s="16" t="str"/>
      <x:c r="D5098" s="16" t="str"/>
      <x:c r="E5098" s="16" t="str">
        <x:v>* myContacts</x:v>
      </x:c>
      <x:c r="F5098" s="16" t="str">
        <x:v>+601139740578</x:v>
      </x:c>
      <x:c r="G5098" s="16" t="str">
        <x:v>+601139740578</x:v>
      </x:c>
      <x:c r="H5098" s="16" t="str">
        <x:v>Excluded</x:v>
      </x:c>
      <x:c r="I5098" s="16" t="str">
        <x:v>Missing email</x:v>
      </x:c>
    </x:row>
    <x:row r="5099">
      <x:c r="A5099" s="16" t="n">
        <x:v>5096</x:v>
      </x:c>
      <x:c r="B5099" s="16" t="str">
        <x:v>Noorazimah TE</x:v>
      </x:c>
      <x:c r="C5099" s="16" t="str"/>
      <x:c r="D5099" s="16" t="str"/>
      <x:c r="E5099" s="16" t="str">
        <x:v>* myContacts</x:v>
      </x:c>
      <x:c r="F5099" s="16" t="str">
        <x:v>+60166146012</x:v>
      </x:c>
      <x:c r="G5099" s="16" t="str">
        <x:v>+60166146012</x:v>
      </x:c>
      <x:c r="H5099" s="16" t="str">
        <x:v>Excluded</x:v>
      </x:c>
      <x:c r="I5099" s="16" t="str">
        <x:v>Missing email</x:v>
      </x:c>
    </x:row>
    <x:row r="5100">
      <x:c r="A5100" s="16" t="n">
        <x:v>5097</x:v>
      </x:c>
      <x:c r="B5100" s="16" t="str">
        <x:v>Nooraznida Nieyda</x:v>
      </x:c>
      <x:c r="C5100" s="16" t="str"/>
      <x:c r="D5100" s="16" t="str"/>
      <x:c r="E5100" s="16" t="str">
        <x:v>* myContacts</x:v>
      </x:c>
      <x:c r="F5100" s="16" t="str">
        <x:v>+601121299544</x:v>
      </x:c>
      <x:c r="G5100" s="16" t="str">
        <x:v>+601121299544</x:v>
      </x:c>
      <x:c r="H5100" s="16" t="str">
        <x:v>Excluded</x:v>
      </x:c>
      <x:c r="I5100" s="16" t="str">
        <x:v>Missing email</x:v>
      </x:c>
    </x:row>
    <x:row r="5101">
      <x:c r="A5101" s="16" t="n">
        <x:v>5098</x:v>
      </x:c>
      <x:c r="B5101" s="16" t="str">
        <x:v>noorazura AGP</x:v>
      </x:c>
      <x:c r="C5101" s="16" t="str"/>
      <x:c r="D5101" s="16" t="str"/>
      <x:c r="E5101" s="16" t="str">
        <x:v>* myContacts</x:v>
      </x:c>
      <x:c r="F5101" s="16" t="str">
        <x:v>+60 19-783 6873 | +60197836873</x:v>
      </x:c>
      <x:c r="G5101" s="16" t="str">
        <x:v>+60197836873 | +60197836873</x:v>
      </x:c>
      <x:c r="H5101" s="16" t="str">
        <x:v>Excluded</x:v>
      </x:c>
      <x:c r="I5101" s="16" t="str">
        <x:v>Missing email</x:v>
      </x:c>
    </x:row>
    <x:row r="5102">
      <x:c r="A5102" s="16" t="n">
        <x:v>5099</x:v>
      </x:c>
      <x:c r="B5102" s="16" t="str">
        <x:v>Noordin Ahmad AGP</x:v>
      </x:c>
      <x:c r="C5102" s="16" t="str"/>
      <x:c r="D5102" s="16" t="str"/>
      <x:c r="E5102" s="16" t="str">
        <x:v>* myContacts</x:v>
      </x:c>
      <x:c r="F5102" s="16" t="str">
        <x:v>+60 12-902 2006 | +60129022006</x:v>
      </x:c>
      <x:c r="G5102" s="16" t="str">
        <x:v>+60129022006 | +60129022006</x:v>
      </x:c>
      <x:c r="H5102" s="16" t="str">
        <x:v>Excluded</x:v>
      </x:c>
      <x:c r="I5102" s="16" t="str">
        <x:v>Missing email</x:v>
      </x:c>
    </x:row>
    <x:row r="5103">
      <x:c r="A5103" s="16" t="n">
        <x:v>5100</x:v>
      </x:c>
      <x:c r="B5103" s="16" t="str">
        <x:v>Nooreza Abdullah</x:v>
      </x:c>
      <x:c r="C5103" s="16" t="str"/>
      <x:c r="D5103" s="16" t="str"/>
      <x:c r="E5103" s="16" t="str">
        <x:v>* myContacts</x:v>
      </x:c>
      <x:c r="F5103" s="16" t="str">
        <x:v>+60127482050</x:v>
      </x:c>
      <x:c r="G5103" s="16" t="str">
        <x:v>+60127482050</x:v>
      </x:c>
      <x:c r="H5103" s="16" t="str">
        <x:v>Excluded</x:v>
      </x:c>
      <x:c r="I5103" s="16" t="str">
        <x:v>Missing email</x:v>
      </x:c>
    </x:row>
    <x:row r="5104">
      <x:c r="A5104" s="16" t="n">
        <x:v>5101</x:v>
      </x:c>
      <x:c r="B5104" s="16" t="str">
        <x:v>Noorfadilah Mhd Yusuf</x:v>
      </x:c>
      <x:c r="C5104" s="16" t="str"/>
      <x:c r="D5104" s="16" t="str"/>
      <x:c r="E5104" s="16" t="str">
        <x:v>* myContacts</x:v>
      </x:c>
      <x:c r="F5104" s="16" t="str">
        <x:v>+60139279742</x:v>
      </x:c>
      <x:c r="G5104" s="16" t="str">
        <x:v>+60139279742</x:v>
      </x:c>
      <x:c r="H5104" s="16" t="str">
        <x:v>Excluded</x:v>
      </x:c>
      <x:c r="I5104" s="16" t="str">
        <x:v>Missing email</x:v>
      </x:c>
    </x:row>
    <x:row r="5105">
      <x:c r="A5105" s="16" t="n">
        <x:v>5102</x:v>
      </x:c>
      <x:c r="B5105" s="16" t="str">
        <x:v>Noorfarazila Supandi Fara</x:v>
      </x:c>
      <x:c r="C5105" s="16" t="str"/>
      <x:c r="D5105" s="16" t="str"/>
      <x:c r="E5105" s="16" t="str">
        <x:v>* myContacts</x:v>
      </x:c>
      <x:c r="F5105" s="16" t="str">
        <x:v>+60123726641</x:v>
      </x:c>
      <x:c r="G5105" s="16" t="str">
        <x:v>+60123726641</x:v>
      </x:c>
      <x:c r="H5105" s="16" t="str">
        <x:v>Excluded</x:v>
      </x:c>
      <x:c r="I5105" s="16" t="str">
        <x:v>Missing email</x:v>
      </x:c>
    </x:row>
    <x:row r="5106">
      <x:c r="A5106" s="16" t="n">
        <x:v>5103</x:v>
      </x:c>
      <x:c r="B5106" s="16" t="str">
        <x:v>Noorhafidah Said Fifie</x:v>
      </x:c>
      <x:c r="C5106" s="16" t="str"/>
      <x:c r="D5106" s="16" t="str"/>
      <x:c r="E5106" s="16" t="str">
        <x:v>* myContacts</x:v>
      </x:c>
      <x:c r="F5106" s="16" t="str">
        <x:v>+60143176185</x:v>
      </x:c>
      <x:c r="G5106" s="16" t="str">
        <x:v>+60143176185</x:v>
      </x:c>
      <x:c r="H5106" s="16" t="str">
        <x:v>Excluded</x:v>
      </x:c>
      <x:c r="I5106" s="16" t="str">
        <x:v>Missing email</x:v>
      </x:c>
    </x:row>
    <x:row r="5107">
      <x:c r="A5107" s="16" t="n">
        <x:v>5104</x:v>
      </x:c>
      <x:c r="B5107" s="16" t="str">
        <x:v>Noorhayati Ibrahim Atie Acik</x:v>
      </x:c>
      <x:c r="C5107" s="16" t="str"/>
      <x:c r="D5107" s="16" t="str"/>
      <x:c r="E5107" s="16" t="str">
        <x:v>* myContacts</x:v>
      </x:c>
      <x:c r="F5107" s="16" t="str">
        <x:v>+601155095062</x:v>
      </x:c>
      <x:c r="G5107" s="16" t="str">
        <x:v>+601155095062</x:v>
      </x:c>
      <x:c r="H5107" s="16" t="str">
        <x:v>Excluded</x:v>
      </x:c>
      <x:c r="I5107" s="16" t="str">
        <x:v>Missing email</x:v>
      </x:c>
    </x:row>
    <x:row r="5108">
      <x:c r="A5108" s="16" t="n">
        <x:v>5105</x:v>
      </x:c>
      <x:c r="B5108" s="16" t="str">
        <x:v>Noorita Mat Said</x:v>
      </x:c>
      <x:c r="C5108" s="16" t="str"/>
      <x:c r="D5108" s="16" t="str"/>
      <x:c r="E5108" s="16" t="str">
        <x:v>* myContacts</x:v>
      </x:c>
      <x:c r="F5108" s="16" t="str">
        <x:v>+60189773363</x:v>
      </x:c>
      <x:c r="G5108" s="16" t="str">
        <x:v>+60189773363</x:v>
      </x:c>
      <x:c r="H5108" s="16" t="str">
        <x:v>Excluded</x:v>
      </x:c>
      <x:c r="I5108" s="16" t="str">
        <x:v>Missing email</x:v>
      </x:c>
    </x:row>
    <x:row r="5109">
      <x:c r="A5109" s="16" t="n">
        <x:v>5106</x:v>
      </x:c>
      <x:c r="B5109" s="16" t="str">
        <x:v>Noorizan AGP</x:v>
      </x:c>
      <x:c r="C5109" s="16" t="str"/>
      <x:c r="D5109" s="16" t="str"/>
      <x:c r="E5109" s="16" t="str">
        <x:v>* myContacts</x:v>
      </x:c>
      <x:c r="F5109" s="16" t="str">
        <x:v>+60 16-410 3467 | +60164103467</x:v>
      </x:c>
      <x:c r="G5109" s="16" t="str">
        <x:v>+60164103467 | +60164103467</x:v>
      </x:c>
      <x:c r="H5109" s="16" t="str">
        <x:v>Excluded</x:v>
      </x:c>
      <x:c r="I5109" s="16" t="str">
        <x:v>Missing email</x:v>
      </x:c>
    </x:row>
    <x:row r="5110">
      <x:c r="A5110" s="16" t="n">
        <x:v>5107</x:v>
      </x:c>
      <x:c r="B5110" s="16" t="str">
        <x:v>Noorliza Liza</x:v>
      </x:c>
      <x:c r="C5110" s="16" t="str"/>
      <x:c r="D5110" s="16" t="str"/>
      <x:c r="E5110" s="16" t="str">
        <x:v>* myContacts</x:v>
      </x:c>
      <x:c r="F5110" s="16" t="str">
        <x:v>+60195154127</x:v>
      </x:c>
      <x:c r="G5110" s="16" t="str">
        <x:v>+60195154127</x:v>
      </x:c>
      <x:c r="H5110" s="16" t="str">
        <x:v>Excluded</x:v>
      </x:c>
      <x:c r="I5110" s="16" t="str">
        <x:v>Missing email</x:v>
      </x:c>
    </x:row>
    <x:row r="5111">
      <x:c r="A5111" s="16" t="n">
        <x:v>5108</x:v>
      </x:c>
      <x:c r="B5111" s="16" t="str">
        <x:v>Noorman Abdul Ghani</x:v>
      </x:c>
      <x:c r="C5111" s="16" t="str"/>
      <x:c r="D5111" s="16" t="str"/>
      <x:c r="E5111" s="16" t="str">
        <x:v>* myContacts</x:v>
      </x:c>
      <x:c r="F5111" s="16" t="str">
        <x:v>+6073880889</x:v>
      </x:c>
      <x:c r="G5111" s="16" t="str">
        <x:v>+6073880889</x:v>
      </x:c>
      <x:c r="H5111" s="16" t="str">
        <x:v>Excluded</x:v>
      </x:c>
      <x:c r="I5111" s="16" t="str">
        <x:v>Missing email</x:v>
      </x:c>
    </x:row>
    <x:row r="5112">
      <x:c r="A5112" s="16" t="n">
        <x:v>5109</x:v>
      </x:c>
      <x:c r="B5112" s="16" t="str">
        <x:v>Noorshafini Nordin</x:v>
      </x:c>
      <x:c r="C5112" s="16" t="str"/>
      <x:c r="D5112" s="16" t="str"/>
      <x:c r="E5112" s="16" t="str">
        <x:v>* myContacts</x:v>
      </x:c>
      <x:c r="F5112" s="16" t="str">
        <x:v>+60197351589</x:v>
      </x:c>
      <x:c r="G5112" s="16" t="str">
        <x:v>+60197351589</x:v>
      </x:c>
      <x:c r="H5112" s="16" t="str">
        <x:v>Excluded</x:v>
      </x:c>
      <x:c r="I5112" s="16" t="str">
        <x:v>Missing email</x:v>
      </x:c>
    </x:row>
    <x:row r="5113">
      <x:c r="A5113" s="16" t="n">
        <x:v>5110</x:v>
      </x:c>
      <x:c r="B5113" s="16" t="str">
        <x:v>Noorulsani Sanitakaful</x:v>
      </x:c>
      <x:c r="C5113" s="16" t="str"/>
      <x:c r="D5113" s="16" t="str"/>
      <x:c r="E5113" s="16" t="str">
        <x:v>* myContacts</x:v>
      </x:c>
      <x:c r="F5113" s="16" t="str">
        <x:v>+601133096328</x:v>
      </x:c>
      <x:c r="G5113" s="16" t="str">
        <x:v>+601133096328</x:v>
      </x:c>
      <x:c r="H5113" s="16" t="str">
        <x:v>Excluded</x:v>
      </x:c>
      <x:c r="I5113" s="16" t="str">
        <x:v>Missing email</x:v>
      </x:c>
    </x:row>
    <x:row r="5114">
      <x:c r="A5114" s="16" t="n">
        <x:v>5111</x:v>
      </x:c>
      <x:c r="B5114" s="16" t="str">
        <x:v>Noorza Zdine</x:v>
      </x:c>
      <x:c r="C5114" s="16" t="str"/>
      <x:c r="D5114" s="16" t="str"/>
      <x:c r="E5114" s="16" t="str">
        <x:v>* myContacts</x:v>
      </x:c>
      <x:c r="F5114" s="16" t="str">
        <x:v>+60134002407</x:v>
      </x:c>
      <x:c r="G5114" s="16" t="str">
        <x:v>+60134002407</x:v>
      </x:c>
      <x:c r="H5114" s="16" t="str">
        <x:v>Excluded</x:v>
      </x:c>
      <x:c r="I5114" s="16" t="str">
        <x:v>Missing email</x:v>
      </x:c>
    </x:row>
    <x:row r="5115">
      <x:c r="A5115" s="16" t="n">
        <x:v>5112</x:v>
      </x:c>
      <x:c r="B5115" s="16" t="str">
        <x:v>Noorzakiah Fadzillah Ahmad</x:v>
      </x:c>
      <x:c r="C5115" s="16" t="str"/>
      <x:c r="D5115" s="16" t="str"/>
      <x:c r="E5115" s="16" t="str">
        <x:v>* myContacts</x:v>
      </x:c>
      <x:c r="F5115" s="16" t="str">
        <x:v>+60105480644</x:v>
      </x:c>
      <x:c r="G5115" s="16" t="str">
        <x:v>+60105480644</x:v>
      </x:c>
      <x:c r="H5115" s="16" t="str">
        <x:v>Excluded</x:v>
      </x:c>
      <x:c r="I5115" s="16" t="str">
        <x:v>Missing email</x:v>
      </x:c>
    </x:row>
    <x:row r="5116">
      <x:c r="A5116" s="16" t="n">
        <x:v>5113</x:v>
      </x:c>
      <x:c r="B5116" s="16" t="str">
        <x:v>Nor Afiqah</x:v>
      </x:c>
      <x:c r="C5116" s="16" t="str"/>
      <x:c r="D5116" s="16" t="str"/>
      <x:c r="E5116" s="16" t="str">
        <x:v>* myContacts</x:v>
      </x:c>
      <x:c r="F5116" s="16" t="str">
        <x:v>+60192412699</x:v>
      </x:c>
      <x:c r="G5116" s="16" t="str">
        <x:v>+60192412699</x:v>
      </x:c>
      <x:c r="H5116" s="16" t="str">
        <x:v>Excluded</x:v>
      </x:c>
      <x:c r="I5116" s="16" t="str">
        <x:v>Missing email</x:v>
      </x:c>
    </x:row>
    <x:row r="5117">
      <x:c r="A5117" s="16" t="n">
        <x:v>5114</x:v>
      </x:c>
      <x:c r="B5117" s="16" t="str">
        <x:v>Nor Aini Eusahawan 2024</x:v>
      </x:c>
      <x:c r="C5117" s="16" t="str"/>
      <x:c r="D5117" s="16" t="str"/>
      <x:c r="E5117" s="16" t="str">
        <x:v>* myContacts</x:v>
      </x:c>
      <x:c r="F5117" s="16" t="str">
        <x:v>+60 19-739 7993 | +60197397993</x:v>
      </x:c>
      <x:c r="G5117" s="16" t="str">
        <x:v>+60197397993 | +60197397993</x:v>
      </x:c>
      <x:c r="H5117" s="16" t="str">
        <x:v>Excluded</x:v>
      </x:c>
      <x:c r="I5117" s="16" t="str">
        <x:v>Missing email</x:v>
      </x:c>
    </x:row>
    <x:row r="5118">
      <x:c r="A5118" s="16" t="n">
        <x:v>5115</x:v>
      </x:c>
      <x:c r="B5118" s="16" t="str">
        <x:v>Nor Aishah Azizi</x:v>
      </x:c>
      <x:c r="C5118" s="16" t="str"/>
      <x:c r="D5118" s="16" t="str"/>
      <x:c r="E5118" s="16" t="str">
        <x:v>* myContacts</x:v>
      </x:c>
      <x:c r="F5118" s="16" t="str">
        <x:v>+60134913172</x:v>
      </x:c>
      <x:c r="G5118" s="16" t="str">
        <x:v>+60134913172</x:v>
      </x:c>
      <x:c r="H5118" s="16" t="str">
        <x:v>Excluded</x:v>
      </x:c>
      <x:c r="I5118" s="16" t="str">
        <x:v>Missing email</x:v>
      </x:c>
    </x:row>
    <x:row r="5119">
      <x:c r="A5119" s="16" t="n">
        <x:v>5116</x:v>
      </x:c>
      <x:c r="B5119" s="16" t="str">
        <x:v>Nor Aklima</x:v>
      </x:c>
      <x:c r="C5119" s="16" t="str"/>
      <x:c r="D5119" s="16" t="str"/>
      <x:c r="E5119" s="16" t="str">
        <x:v>* myContacts</x:v>
      </x:c>
      <x:c r="F5119" s="16" t="str">
        <x:v>+60197791644</x:v>
      </x:c>
      <x:c r="G5119" s="16" t="str">
        <x:v>+60197791644</x:v>
      </x:c>
      <x:c r="H5119" s="16" t="str">
        <x:v>Excluded</x:v>
      </x:c>
      <x:c r="I5119" s="16" t="str">
        <x:v>Missing email</x:v>
      </x:c>
    </x:row>
    <x:row r="5120">
      <x:c r="A5120" s="16" t="n">
        <x:v>5117</x:v>
      </x:c>
      <x:c r="B5120" s="16" t="str">
        <x:v>Nor Arfah Basyirah Z 170823</x:v>
      </x:c>
      <x:c r="C5120" s="16" t="str"/>
      <x:c r="D5120" s="16" t="str"/>
      <x:c r="E5120" s="16" t="str">
        <x:v>* myContacts</x:v>
      </x:c>
      <x:c r="F5120" s="16" t="str">
        <x:v>+60 18-288 3750 | +60182883750</x:v>
      </x:c>
      <x:c r="G5120" s="16" t="str">
        <x:v>+60182883750 | +60182883750</x:v>
      </x:c>
      <x:c r="H5120" s="16" t="str">
        <x:v>Excluded</x:v>
      </x:c>
      <x:c r="I5120" s="16" t="str">
        <x:v>Missing email</x:v>
      </x:c>
    </x:row>
    <x:row r="5121">
      <x:c r="A5121" s="16" t="n">
        <x:v>5118</x:v>
      </x:c>
      <x:c r="B5121" s="16" t="str">
        <x:v>Nor Ashikin AGP</x:v>
      </x:c>
      <x:c r="C5121" s="16" t="str"/>
      <x:c r="D5121" s="16" t="str"/>
      <x:c r="E5121" s="16" t="str">
        <x:v>* myContacts</x:v>
      </x:c>
      <x:c r="F5121" s="16" t="str">
        <x:v>+60 10-576 6724 | +60105766724</x:v>
      </x:c>
      <x:c r="G5121" s="16" t="str">
        <x:v>+60105766724 | +60105766724</x:v>
      </x:c>
      <x:c r="H5121" s="16" t="str">
        <x:v>Excluded</x:v>
      </x:c>
      <x:c r="I5121" s="16" t="str">
        <x:v>Missing email</x:v>
      </x:c>
    </x:row>
    <x:row r="5122">
      <x:c r="A5122" s="16" t="n">
        <x:v>5119</x:v>
      </x:c>
      <x:c r="B5122" s="16" t="str">
        <x:v>Nor Ashikin M</x:v>
      </x:c>
      <x:c r="C5122" s="16" t="str"/>
      <x:c r="D5122" s="16" t="str"/>
      <x:c r="E5122" s="16" t="str">
        <x:v>* myContacts</x:v>
      </x:c>
      <x:c r="F5122" s="16" t="str">
        <x:v>+60137095142</x:v>
      </x:c>
      <x:c r="G5122" s="16" t="str">
        <x:v>+60137095142</x:v>
      </x:c>
      <x:c r="H5122" s="16" t="str">
        <x:v>Excluded</x:v>
      </x:c>
      <x:c r="I5122" s="16" t="str">
        <x:v>Missing email</x:v>
      </x:c>
    </x:row>
    <x:row r="5123">
      <x:c r="A5123" s="16" t="n">
        <x:v>5120</x:v>
      </x:c>
      <x:c r="B5123" s="16" t="str">
        <x:v>Nor Ashikin Nawardin</x:v>
      </x:c>
      <x:c r="C5123" s="16" t="str"/>
      <x:c r="D5123" s="16" t="str"/>
      <x:c r="E5123" s="16" t="str">
        <x:v>* myContacts</x:v>
      </x:c>
      <x:c r="F5123" s="16" t="str">
        <x:v>+601116992011</x:v>
      </x:c>
      <x:c r="G5123" s="16" t="str">
        <x:v>+601116992011</x:v>
      </x:c>
      <x:c r="H5123" s="16" t="str">
        <x:v>Excluded</x:v>
      </x:c>
      <x:c r="I5123" s="16" t="str">
        <x:v>Missing email</x:v>
      </x:c>
    </x:row>
    <x:row r="5124">
      <x:c r="A5124" s="16" t="n">
        <x:v>5121</x:v>
      </x:c>
      <x:c r="B5124" s="16" t="str">
        <x:v>Nor Ashikin Student</x:v>
      </x:c>
      <x:c r="C5124" s="16" t="str"/>
      <x:c r="D5124" s="16" t="str"/>
      <x:c r="E5124" s="16" t="str">
        <x:v>* myContacts</x:v>
      </x:c>
      <x:c r="F5124" s="16" t="str">
        <x:v>+60 17-328 7468 | +60173287468</x:v>
      </x:c>
      <x:c r="G5124" s="16" t="str">
        <x:v>+60173287468 | +60173287468</x:v>
      </x:c>
      <x:c r="H5124" s="16" t="str">
        <x:v>Excluded</x:v>
      </x:c>
      <x:c r="I5124" s="16" t="str">
        <x:v>Missing email</x:v>
      </x:c>
    </x:row>
    <x:row r="5125">
      <x:c r="A5125" s="16" t="n">
        <x:v>5122</x:v>
      </x:c>
      <x:c r="B5125" s="16" t="str">
        <x:v>Nor Aslina</x:v>
      </x:c>
      <x:c r="C5125" s="16" t="str"/>
      <x:c r="D5125" s="16" t="str"/>
      <x:c r="E5125" s="16" t="str">
        <x:v>* myContacts</x:v>
      </x:c>
      <x:c r="F5125" s="16" t="str">
        <x:v>+60122782827</x:v>
      </x:c>
      <x:c r="G5125" s="16" t="str">
        <x:v>+60122782827</x:v>
      </x:c>
      <x:c r="H5125" s="16" t="str">
        <x:v>Excluded</x:v>
      </x:c>
      <x:c r="I5125" s="16" t="str">
        <x:v>Missing email</x:v>
      </x:c>
    </x:row>
    <x:row r="5126">
      <x:c r="A5126" s="16" t="n">
        <x:v>5123</x:v>
      </x:c>
      <x:c r="B5126" s="16" t="str">
        <x:v>Nor Asmah. AGP</x:v>
      </x:c>
      <x:c r="C5126" s="16" t="str"/>
      <x:c r="D5126" s="16" t="str"/>
      <x:c r="E5126" s="16" t="str">
        <x:v>* myContacts</x:v>
      </x:c>
      <x:c r="F5126" s="16" t="str">
        <x:v>+60162832469</x:v>
      </x:c>
      <x:c r="G5126" s="16" t="str">
        <x:v>+60162832469</x:v>
      </x:c>
      <x:c r="H5126" s="16" t="str">
        <x:v>Excluded</x:v>
      </x:c>
      <x:c r="I5126" s="16" t="str">
        <x:v>Missing email</x:v>
      </x:c>
    </x:row>
    <x:row r="5127">
      <x:c r="A5127" s="16" t="n">
        <x:v>5124</x:v>
      </x:c>
      <x:c r="B5127" s="16" t="str">
        <x:v>Nor Asmizawatie</x:v>
      </x:c>
      <x:c r="C5127" s="16" t="str"/>
      <x:c r="D5127" s="16" t="str"/>
      <x:c r="E5127" s="16" t="str">
        <x:v>* myContacts</x:v>
      </x:c>
      <x:c r="F5127" s="16" t="str">
        <x:v>+60196045937</x:v>
      </x:c>
      <x:c r="G5127" s="16" t="str">
        <x:v>+60196045937</x:v>
      </x:c>
      <x:c r="H5127" s="16" t="str">
        <x:v>Excluded</x:v>
      </x:c>
      <x:c r="I5127" s="16" t="str">
        <x:v>Missing email</x:v>
      </x:c>
    </x:row>
    <x:row r="5128">
      <x:c r="A5128" s="16" t="n">
        <x:v>5125</x:v>
      </x:c>
      <x:c r="B5128" s="16" t="str">
        <x:v>Nor Atieffa Sani</x:v>
      </x:c>
      <x:c r="C5128" s="16" t="str"/>
      <x:c r="D5128" s="16" t="str"/>
      <x:c r="E5128" s="16" t="str">
        <x:v>* myContacts</x:v>
      </x:c>
      <x:c r="F5128" s="16" t="str">
        <x:v>+60199554592</x:v>
      </x:c>
      <x:c r="G5128" s="16" t="str">
        <x:v>+60199554592</x:v>
      </x:c>
      <x:c r="H5128" s="16" t="str">
        <x:v>Excluded</x:v>
      </x:c>
      <x:c r="I5128" s="16" t="str">
        <x:v>Missing email</x:v>
      </x:c>
    </x:row>
    <x:row r="5129">
      <x:c r="A5129" s="16" t="n">
        <x:v>5126</x:v>
      </x:c>
      <x:c r="B5129" s="16" t="str">
        <x:v>Nor Azam Jaafar</x:v>
      </x:c>
      <x:c r="C5129" s="16" t="str"/>
      <x:c r="D5129" s="16" t="str"/>
      <x:c r="E5129" s="16" t="str">
        <x:v>* myContacts</x:v>
      </x:c>
      <x:c r="F5129" s="16" t="str">
        <x:v>60133313138 | +60133313138</x:v>
      </x:c>
      <x:c r="G5129" s="16" t="str">
        <x:v>+60133313138 | +60133313138</x:v>
      </x:c>
      <x:c r="H5129" s="16" t="str">
        <x:v>Excluded</x:v>
      </x:c>
      <x:c r="I5129" s="16" t="str">
        <x:v>Missing email</x:v>
      </x:c>
    </x:row>
    <x:row r="5130">
      <x:c r="A5130" s="16" t="n">
        <x:v>5127</x:v>
      </x:c>
      <x:c r="B5130" s="16" t="str">
        <x:v>Nor Azila Nor Azila</x:v>
      </x:c>
      <x:c r="C5130" s="16" t="str"/>
      <x:c r="D5130" s="16" t="str"/>
      <x:c r="E5130" s="16" t="str">
        <x:v>* myContacts</x:v>
      </x:c>
      <x:c r="F5130" s="16" t="str">
        <x:v>+60172869990</x:v>
      </x:c>
      <x:c r="G5130" s="16" t="str">
        <x:v>+60172869990</x:v>
      </x:c>
      <x:c r="H5130" s="16" t="str">
        <x:v>Excluded</x:v>
      </x:c>
      <x:c r="I5130" s="16" t="str">
        <x:v>Missing email</x:v>
      </x:c>
    </x:row>
    <x:row r="5131">
      <x:c r="A5131" s="16" t="n">
        <x:v>5128</x:v>
      </x:c>
      <x:c r="B5131" s="16" t="str">
        <x:v>Nor Azilnah Azyl</x:v>
      </x:c>
      <x:c r="C5131" s="16" t="str"/>
      <x:c r="D5131" s="16" t="str"/>
      <x:c r="E5131" s="16" t="str">
        <x:v>* myContacts</x:v>
      </x:c>
      <x:c r="F5131" s="16" t="str">
        <x:v>+60145505598</x:v>
      </x:c>
      <x:c r="G5131" s="16" t="str">
        <x:v>+60145505598</x:v>
      </x:c>
      <x:c r="H5131" s="16" t="str">
        <x:v>Excluded</x:v>
      </x:c>
      <x:c r="I5131" s="16" t="str">
        <x:v>Missing email</x:v>
      </x:c>
    </x:row>
    <x:row r="5132">
      <x:c r="A5132" s="16" t="n">
        <x:v>5129</x:v>
      </x:c>
      <x:c r="B5132" s="16" t="str">
        <x:v>Nor Azizah</x:v>
      </x:c>
      <x:c r="C5132" s="16" t="str"/>
      <x:c r="D5132" s="16" t="str"/>
      <x:c r="E5132" s="16" t="str">
        <x:v>* myContacts</x:v>
      </x:c>
      <x:c r="F5132" s="16" t="str">
        <x:v>+60182230776</x:v>
      </x:c>
      <x:c r="G5132" s="16" t="str">
        <x:v>+60182230776</x:v>
      </x:c>
      <x:c r="H5132" s="16" t="str">
        <x:v>Excluded</x:v>
      </x:c>
      <x:c r="I5132" s="16" t="str">
        <x:v>Missing email</x:v>
      </x:c>
    </x:row>
    <x:row r="5133">
      <x:c r="A5133" s="16" t="n">
        <x:v>5130</x:v>
      </x:c>
      <x:c r="B5133" s="16" t="str">
        <x:v>Nor Azlina Abdul Rashid AGP</x:v>
      </x:c>
      <x:c r="C5133" s="16" t="str"/>
      <x:c r="D5133" s="16" t="str"/>
      <x:c r="E5133" s="16" t="str">
        <x:v>* myContacts</x:v>
      </x:c>
      <x:c r="F5133" s="16" t="str">
        <x:v>+601117668168</x:v>
      </x:c>
      <x:c r="G5133" s="16" t="str">
        <x:v>+601117668168</x:v>
      </x:c>
      <x:c r="H5133" s="16" t="str">
        <x:v>Excluded</x:v>
      </x:c>
      <x:c r="I5133" s="16" t="str">
        <x:v>Missing email</x:v>
      </x:c>
    </x:row>
    <x:row r="5134">
      <x:c r="A5134" s="16" t="n">
        <x:v>5131</x:v>
      </x:c>
      <x:c r="B5134" s="16" t="str">
        <x:v>Nor Azlinaz Abd Aziz</x:v>
      </x:c>
      <x:c r="C5134" s="16" t="str"/>
      <x:c r="D5134" s="16" t="str"/>
      <x:c r="E5134" s="16" t="str">
        <x:v>* myContacts</x:v>
      </x:c>
      <x:c r="F5134" s="16" t="str">
        <x:v>+60196124608</x:v>
      </x:c>
      <x:c r="G5134" s="16" t="str">
        <x:v>+60196124608</x:v>
      </x:c>
      <x:c r="H5134" s="16" t="str">
        <x:v>Excluded</x:v>
      </x:c>
      <x:c r="I5134" s="16" t="str">
        <x:v>Missing email</x:v>
      </x:c>
    </x:row>
    <x:row r="5135">
      <x:c r="A5135" s="16" t="n">
        <x:v>5132</x:v>
      </x:c>
      <x:c r="B5135" s="16" t="str">
        <x:v>Nor Azliza Liza</x:v>
      </x:c>
      <x:c r="C5135" s="16" t="str"/>
      <x:c r="D5135" s="16" t="str"/>
      <x:c r="E5135" s="16" t="str">
        <x:v>* myContacts</x:v>
      </x:c>
      <x:c r="F5135" s="16" t="str">
        <x:v>+601119729664</x:v>
      </x:c>
      <x:c r="G5135" s="16" t="str">
        <x:v>+601119729664</x:v>
      </x:c>
      <x:c r="H5135" s="16" t="str">
        <x:v>Excluded</x:v>
      </x:c>
      <x:c r="I5135" s="16" t="str">
        <x:v>Missing email</x:v>
      </x:c>
    </x:row>
    <x:row r="5136">
      <x:c r="A5136" s="16" t="n">
        <x:v>5133</x:v>
      </x:c>
      <x:c r="B5136" s="16" t="str">
        <x:v>Nor Azlyn</x:v>
      </x:c>
      <x:c r="C5136" s="16" t="str"/>
      <x:c r="D5136" s="16" t="str"/>
      <x:c r="E5136" s="16" t="str">
        <x:v>* myContacts</x:v>
      </x:c>
      <x:c r="F5136" s="16" t="str">
        <x:v>+601118817785</x:v>
      </x:c>
      <x:c r="G5136" s="16" t="str">
        <x:v>+601118817785</x:v>
      </x:c>
      <x:c r="H5136" s="16" t="str">
        <x:v>Excluded</x:v>
      </x:c>
      <x:c r="I5136" s="16" t="str">
        <x:v>Missing email</x:v>
      </x:c>
    </x:row>
    <x:row r="5137">
      <x:c r="A5137" s="16" t="n">
        <x:v>5134</x:v>
      </x:c>
      <x:c r="B5137" s="16" t="str">
        <x:v>Nor Azmi</x:v>
      </x:c>
      <x:c r="C5137" s="16" t="str"/>
      <x:c r="D5137" s="16" t="str"/>
      <x:c r="E5137" s="16" t="str">
        <x:v>* myContacts</x:v>
      </x:c>
      <x:c r="F5137" s="16" t="str">
        <x:v>+60136609771</x:v>
      </x:c>
      <x:c r="G5137" s="16" t="str">
        <x:v>+60136609771</x:v>
      </x:c>
      <x:c r="H5137" s="16" t="str">
        <x:v>Excluded</x:v>
      </x:c>
      <x:c r="I5137" s="16" t="str">
        <x:v>Missing email</x:v>
      </x:c>
    </x:row>
    <x:row r="5138">
      <x:c r="A5138" s="16" t="n">
        <x:v>5135</x:v>
      </x:c>
      <x:c r="B5138" s="16" t="str">
        <x:v>Dr nor azmi bakhary uitm</x:v>
      </x:c>
      <x:c r="C5138" s="16" t="str"/>
      <x:c r="D5138" s="16" t="str"/>
      <x:c r="E5138" s="16" t="str">
        <x:v>* myContacts</x:v>
      </x:c>
      <x:c r="F5138" s="16" t="str">
        <x:v>+60 19-265 7741 | +60192657741</x:v>
      </x:c>
      <x:c r="G5138" s="16" t="str">
        <x:v>+60192657741 | +60192657741</x:v>
      </x:c>
      <x:c r="H5138" s="16" t="str">
        <x:v>Excluded</x:v>
      </x:c>
      <x:c r="I5138" s="16" t="str">
        <x:v>Missing email</x:v>
      </x:c>
    </x:row>
    <x:row r="5139">
      <x:c r="A5139" s="16" t="n">
        <x:v>5136</x:v>
      </x:c>
      <x:c r="B5139" s="16" t="str">
        <x:v>Nor Baizura</x:v>
      </x:c>
      <x:c r="C5139" s="16" t="str"/>
      <x:c r="D5139" s="16" t="str"/>
      <x:c r="E5139" s="16" t="str">
        <x:v>* myContacts</x:v>
      </x:c>
      <x:c r="F5139" s="16" t="str">
        <x:v>+60194209878</x:v>
      </x:c>
      <x:c r="G5139" s="16" t="str">
        <x:v>+60194209878</x:v>
      </x:c>
      <x:c r="H5139" s="16" t="str">
        <x:v>Excluded</x:v>
      </x:c>
      <x:c r="I5139" s="16" t="str">
        <x:v>Missing email</x:v>
      </x:c>
    </x:row>
    <x:row r="5140">
      <x:c r="A5140" s="16" t="n">
        <x:v>5137</x:v>
      </x:c>
      <x:c r="B5140" s="16" t="str">
        <x:v>Nor Emera</x:v>
      </x:c>
      <x:c r="C5140" s="16" t="str"/>
      <x:c r="D5140" s="16" t="str"/>
      <x:c r="E5140" s="16" t="str">
        <x:v>* myContacts</x:v>
      </x:c>
      <x:c r="F5140" s="16" t="str">
        <x:v>+60173954244</x:v>
      </x:c>
      <x:c r="G5140" s="16" t="str">
        <x:v>+60173954244</x:v>
      </x:c>
      <x:c r="H5140" s="16" t="str">
        <x:v>Excluded</x:v>
      </x:c>
      <x:c r="I5140" s="16" t="str">
        <x:v>Missing email</x:v>
      </x:c>
    </x:row>
    <x:row r="5141">
      <x:c r="A5141" s="16" t="n">
        <x:v>5138</x:v>
      </x:c>
      <x:c r="B5141" s="16" t="str">
        <x:v>Nor Ezza</x:v>
      </x:c>
      <x:c r="C5141" s="16" t="str"/>
      <x:c r="D5141" s="16" t="str"/>
      <x:c r="E5141" s="16" t="str">
        <x:v>* myContacts</x:v>
      </x:c>
      <x:c r="F5141" s="16" t="str">
        <x:v>+601111412208</x:v>
      </x:c>
      <x:c r="G5141" s="16" t="str">
        <x:v>+601111412208</x:v>
      </x:c>
      <x:c r="H5141" s="16" t="str">
        <x:v>Excluded</x:v>
      </x:c>
      <x:c r="I5141" s="16" t="str">
        <x:v>Missing email</x:v>
      </x:c>
    </x:row>
    <x:row r="5142">
      <x:c r="A5142" s="16" t="n">
        <x:v>5139</x:v>
      </x:c>
      <x:c r="B5142" s="16" t="str">
        <x:v>Nor Fadzilah Rumah Dusun Janda Baik</x:v>
      </x:c>
      <x:c r="C5142" s="16" t="str"/>
      <x:c r="D5142" s="16" t="str"/>
      <x:c r="E5142" s="16" t="str">
        <x:v>* myContacts</x:v>
      </x:c>
      <x:c r="F5142" s="16" t="str">
        <x:v>+60 13-372 5300 | +60133725300</x:v>
      </x:c>
      <x:c r="G5142" s="16" t="str">
        <x:v>+60133725300 | +60133725300</x:v>
      </x:c>
      <x:c r="H5142" s="16" t="str">
        <x:v>Excluded</x:v>
      </x:c>
      <x:c r="I5142" s="16" t="str">
        <x:v>Missing email</x:v>
      </x:c>
    </x:row>
    <x:row r="5143">
      <x:c r="A5143" s="16" t="n">
        <x:v>5140</x:v>
      </x:c>
      <x:c r="B5143" s="16" t="str">
        <x:v>Nor Faezah</x:v>
      </x:c>
      <x:c r="C5143" s="16" t="str"/>
      <x:c r="D5143" s="16" t="str"/>
      <x:c r="E5143" s="16" t="str">
        <x:v>* myContacts</x:v>
      </x:c>
      <x:c r="F5143" s="16" t="str">
        <x:v>+601129214363</x:v>
      </x:c>
      <x:c r="G5143" s="16" t="str">
        <x:v>+601129214363</x:v>
      </x:c>
      <x:c r="H5143" s="16" t="str">
        <x:v>Excluded</x:v>
      </x:c>
      <x:c r="I5143" s="16" t="str">
        <x:v>Missing email</x:v>
      </x:c>
    </x:row>
    <x:row r="5144">
      <x:c r="A5144" s="16" t="n">
        <x:v>5141</x:v>
      </x:c>
      <x:c r="B5144" s="16" t="str">
        <x:v>Nor Fatihah Binti Zulkifli</x:v>
      </x:c>
      <x:c r="C5144" s="16" t="str"/>
      <x:c r="D5144" s="16" t="str"/>
      <x:c r="E5144" s="16" t="str">
        <x:v>* myContacts</x:v>
      </x:c>
      <x:c r="F5144" s="16" t="str">
        <x:v>+601125441882</x:v>
      </x:c>
      <x:c r="G5144" s="16" t="str">
        <x:v>+601125441882</x:v>
      </x:c>
      <x:c r="H5144" s="16" t="str">
        <x:v>Excluded</x:v>
      </x:c>
      <x:c r="I5144" s="16" t="str">
        <x:v>Missing email</x:v>
      </x:c>
    </x:row>
    <x:row r="5145">
      <x:c r="A5145" s="16" t="n">
        <x:v>5142</x:v>
      </x:c>
      <x:c r="B5145" s="16" t="str">
        <x:v>Nor Fatin Kbbc Agent</x:v>
      </x:c>
      <x:c r="C5145" s="16" t="str">
        <x:v>fatin89cute@gmail.com</x:v>
      </x:c>
      <x:c r="D5145" s="16" t="str">
        <x:v>fatin89cute@gmail.com</x:v>
      </x:c>
      <x:c r="E5145" s="16" t="str">
        <x:v>* myContacts</x:v>
      </x:c>
      <x:c r="F5145" s="16" t="str">
        <x:v>+60189889728</x:v>
      </x:c>
      <x:c r="G5145" s="16" t="str">
        <x:v>+60189889728</x:v>
      </x:c>
      <x:c r="H5145" s="16" t="str">
        <x:v>Eligible</x:v>
      </x:c>
      <x:c r="I5145" s="16" t="str"/>
    </x:row>
    <x:row r="5146">
      <x:c r="A5146" s="16" t="n">
        <x:v>5143</x:v>
      </x:c>
      <x:c r="B5146" s="16" t="str">
        <x:v>Nor Fattihah</x:v>
      </x:c>
      <x:c r="C5146" s="16" t="str"/>
      <x:c r="D5146" s="16" t="str"/>
      <x:c r="E5146" s="16" t="str">
        <x:v>* myContacts</x:v>
      </x:c>
      <x:c r="F5146" s="16" t="str">
        <x:v>+60148245358</x:v>
      </x:c>
      <x:c r="G5146" s="16" t="str">
        <x:v>+60148245358</x:v>
      </x:c>
      <x:c r="H5146" s="16" t="str">
        <x:v>Excluded</x:v>
      </x:c>
      <x:c r="I5146" s="16" t="str">
        <x:v>Missing email</x:v>
      </x:c>
    </x:row>
    <x:row r="5147">
      <x:c r="A5147" s="16" t="n">
        <x:v>5144</x:v>
      </x:c>
      <x:c r="B5147" s="16" t="str">
        <x:v>Nor Fazila Ahmad Zore</x:v>
      </x:c>
      <x:c r="C5147" s="16" t="str"/>
      <x:c r="D5147" s="16" t="str"/>
      <x:c r="E5147" s="16" t="str">
        <x:v>* myContacts</x:v>
      </x:c>
      <x:c r="F5147" s="16" t="str">
        <x:v>+60142980247</x:v>
      </x:c>
      <x:c r="G5147" s="16" t="str">
        <x:v>+60142980247</x:v>
      </x:c>
      <x:c r="H5147" s="16" t="str">
        <x:v>Excluded</x:v>
      </x:c>
      <x:c r="I5147" s="16" t="str">
        <x:v>Missing email</x:v>
      </x:c>
    </x:row>
    <x:row r="5148">
      <x:c r="A5148" s="16" t="n">
        <x:v>5145</x:v>
      </x:c>
      <x:c r="B5148" s="16" t="str">
        <x:v>Nor Firdaus Nor Razalan</x:v>
      </x:c>
      <x:c r="C5148" s="16" t="str"/>
      <x:c r="D5148" s="16" t="str"/>
      <x:c r="E5148" s="16" t="str">
        <x:v>* myContacts</x:v>
      </x:c>
      <x:c r="F5148" s="16" t="str">
        <x:v>+601116883884</x:v>
      </x:c>
      <x:c r="G5148" s="16" t="str">
        <x:v>+601116883884</x:v>
      </x:c>
      <x:c r="H5148" s="16" t="str">
        <x:v>Excluded</x:v>
      </x:c>
      <x:c r="I5148" s="16" t="str">
        <x:v>Missing email</x:v>
      </x:c>
    </x:row>
    <x:row r="5149">
      <x:c r="A5149" s="16" t="n">
        <x:v>5146</x:v>
      </x:c>
      <x:c r="B5149" s="16" t="str">
        <x:v>Nor Hasidah</x:v>
      </x:c>
      <x:c r="C5149" s="16" t="str"/>
      <x:c r="D5149" s="16" t="str"/>
      <x:c r="E5149" s="16" t="str">
        <x:v>* myContacts</x:v>
      </x:c>
      <x:c r="F5149" s="16" t="str">
        <x:v>+60129869548</x:v>
      </x:c>
      <x:c r="G5149" s="16" t="str">
        <x:v>+60129869548</x:v>
      </x:c>
      <x:c r="H5149" s="16" t="str">
        <x:v>Excluded</x:v>
      </x:c>
      <x:c r="I5149" s="16" t="str">
        <x:v>Missing email</x:v>
      </x:c>
    </x:row>
    <x:row r="5150">
      <x:c r="A5150" s="16" t="n">
        <x:v>5147</x:v>
      </x:c>
      <x:c r="B5150" s="16" t="str">
        <x:v>Nor HaTrah Mat Salleh</x:v>
      </x:c>
      <x:c r="C5150" s="16" t="str"/>
      <x:c r="D5150" s="16" t="str"/>
      <x:c r="E5150" s="16" t="str">
        <x:v>* myContacts</x:v>
      </x:c>
      <x:c r="F5150" s="16" t="str">
        <x:v>+601112548201</x:v>
      </x:c>
      <x:c r="G5150" s="16" t="str">
        <x:v>+601112548201</x:v>
      </x:c>
      <x:c r="H5150" s="16" t="str">
        <x:v>Excluded</x:v>
      </x:c>
      <x:c r="I5150" s="16" t="str">
        <x:v>Missing email</x:v>
      </x:c>
    </x:row>
    <x:row r="5151">
      <x:c r="A5151" s="16" t="n">
        <x:v>5148</x:v>
      </x:c>
      <x:c r="B5151" s="16" t="str">
        <x:v>Nor Hayati Mansor</x:v>
      </x:c>
      <x:c r="C5151" s="16" t="str"/>
      <x:c r="D5151" s="16" t="str"/>
      <x:c r="E5151" s="16" t="str">
        <x:v>* myContacts</x:v>
      </x:c>
      <x:c r="F5151" s="16" t="str">
        <x:v>+60149462129</x:v>
      </x:c>
      <x:c r="G5151" s="16" t="str">
        <x:v>+60149462129</x:v>
      </x:c>
      <x:c r="H5151" s="16" t="str">
        <x:v>Excluded</x:v>
      </x:c>
      <x:c r="I5151" s="16" t="str">
        <x:v>Missing email</x:v>
      </x:c>
    </x:row>
    <x:row r="5152">
      <x:c r="A5152" s="16" t="n">
        <x:v>5149</x:v>
      </x:c>
      <x:c r="B5152" s="16" t="str">
        <x:v>Nor Hazila Buwari</x:v>
      </x:c>
      <x:c r="C5152" s="16" t="str"/>
      <x:c r="D5152" s="16" t="str"/>
      <x:c r="E5152" s="16" t="str">
        <x:v>* myContacts</x:v>
      </x:c>
      <x:c r="F5152" s="16" t="str">
        <x:v>+601127619216</x:v>
      </x:c>
      <x:c r="G5152" s="16" t="str">
        <x:v>+601127619216</x:v>
      </x:c>
      <x:c r="H5152" s="16" t="str">
        <x:v>Excluded</x:v>
      </x:c>
      <x:c r="I5152" s="16" t="str">
        <x:v>Missing email</x:v>
      </x:c>
    </x:row>
    <x:row r="5153">
      <x:c r="A5153" s="16" t="n">
        <x:v>5150</x:v>
      </x:c>
      <x:c r="B5153" s="16" t="str">
        <x:v>Nor Hisham Bin Mohamad Nor AGP</x:v>
      </x:c>
      <x:c r="C5153" s="16" t="str"/>
      <x:c r="D5153" s="16" t="str"/>
      <x:c r="E5153" s="16" t="str">
        <x:v>* myContacts</x:v>
      </x:c>
      <x:c r="F5153" s="16" t="str">
        <x:v>+60 13-469 0069 | +60134690069</x:v>
      </x:c>
      <x:c r="G5153" s="16" t="str">
        <x:v>+60134690069 | +60134690069</x:v>
      </x:c>
      <x:c r="H5153" s="16" t="str">
        <x:v>Excluded</x:v>
      </x:c>
      <x:c r="I5153" s="16" t="str">
        <x:v>Missing email</x:v>
      </x:c>
    </x:row>
    <x:row r="5154">
      <x:c r="A5154" s="16" t="n">
        <x:v>5151</x:v>
      </x:c>
      <x:c r="B5154" s="16" t="str">
        <x:v>Nor Idayu</x:v>
      </x:c>
      <x:c r="C5154" s="16" t="str"/>
      <x:c r="D5154" s="16" t="str"/>
      <x:c r="E5154" s="16" t="str">
        <x:v>* myContacts</x:v>
      </x:c>
      <x:c r="F5154" s="16" t="str">
        <x:v>+60167776959</x:v>
      </x:c>
      <x:c r="G5154" s="16" t="str">
        <x:v>+60167776959</x:v>
      </x:c>
      <x:c r="H5154" s="16" t="str">
        <x:v>Excluded</x:v>
      </x:c>
      <x:c r="I5154" s="16" t="str">
        <x:v>Missing email</x:v>
      </x:c>
    </x:row>
    <x:row r="5155">
      <x:c r="A5155" s="16" t="n">
        <x:v>5152</x:v>
      </x:c>
      <x:c r="B5155" s="16" t="str">
        <x:v>Nor Laily Nor</x:v>
      </x:c>
      <x:c r="C5155" s="16" t="str"/>
      <x:c r="D5155" s="16" t="str"/>
      <x:c r="E5155" s="16" t="str">
        <x:v>* myContacts</x:v>
      </x:c>
      <x:c r="F5155" s="16" t="str">
        <x:v>+60169959311</x:v>
      </x:c>
      <x:c r="G5155" s="16" t="str">
        <x:v>+60169959311</x:v>
      </x:c>
      <x:c r="H5155" s="16" t="str">
        <x:v>Excluded</x:v>
      </x:c>
      <x:c r="I5155" s="16" t="str">
        <x:v>Missing email</x:v>
      </x:c>
    </x:row>
    <x:row r="5156">
      <x:c r="A5156" s="16" t="n">
        <x:v>5153</x:v>
      </x:c>
      <x:c r="B5156" s="16" t="str">
        <x:v>Nor Najira Md Saad</x:v>
      </x:c>
      <x:c r="C5156" s="16" t="str"/>
      <x:c r="D5156" s="16" t="str"/>
      <x:c r="E5156" s="16" t="str">
        <x:v>* myContacts</x:v>
      </x:c>
      <x:c r="F5156" s="16" t="str">
        <x:v>+60166239714</x:v>
      </x:c>
      <x:c r="G5156" s="16" t="str">
        <x:v>+60166239714</x:v>
      </x:c>
      <x:c r="H5156" s="16" t="str">
        <x:v>Excluded</x:v>
      </x:c>
      <x:c r="I5156" s="16" t="str">
        <x:v>Missing email</x:v>
      </x:c>
    </x:row>
    <x:row r="5157">
      <x:c r="A5157" s="16" t="n">
        <x:v>5154</x:v>
      </x:c>
      <x:c r="B5157" s="16" t="str">
        <x:v>Nor Sabiha Mohd Sani</x:v>
      </x:c>
      <x:c r="C5157" s="16" t="str"/>
      <x:c r="D5157" s="16" t="str"/>
      <x:c r="E5157" s="16" t="str">
        <x:v>* myContacts</x:v>
      </x:c>
      <x:c r="F5157" s="16" t="str">
        <x:v>+601111752705</x:v>
      </x:c>
      <x:c r="G5157" s="16" t="str">
        <x:v>+601111752705</x:v>
      </x:c>
      <x:c r="H5157" s="16" t="str">
        <x:v>Excluded</x:v>
      </x:c>
      <x:c r="I5157" s="16" t="str">
        <x:v>Missing email</x:v>
      </x:c>
    </x:row>
    <x:row r="5158">
      <x:c r="A5158" s="16" t="n">
        <x:v>5155</x:v>
      </x:c>
      <x:c r="B5158" s="16" t="str">
        <x:v>Nor Wahida Mahdi</x:v>
      </x:c>
      <x:c r="C5158" s="16" t="str"/>
      <x:c r="D5158" s="16" t="str"/>
      <x:c r="E5158" s="16" t="str">
        <x:v>* myContacts</x:v>
      </x:c>
      <x:c r="F5158" s="16" t="str">
        <x:v>+60197527589</x:v>
      </x:c>
      <x:c r="G5158" s="16" t="str">
        <x:v>+60197527589</x:v>
      </x:c>
      <x:c r="H5158" s="16" t="str">
        <x:v>Excluded</x:v>
      </x:c>
      <x:c r="I5158" s="16" t="str">
        <x:v>Missing email</x:v>
      </x:c>
    </x:row>
    <x:row r="5159">
      <x:c r="A5159" s="16" t="n">
        <x:v>5156</x:v>
      </x:c>
      <x:c r="B5159" s="16" t="str">
        <x:v>Nor Zalina Abd Aziz</x:v>
      </x:c>
      <x:c r="C5159" s="16" t="str"/>
      <x:c r="D5159" s="16" t="str"/>
      <x:c r="E5159" s="16" t="str">
        <x:v>* myContacts</x:v>
      </x:c>
      <x:c r="F5159" s="16" t="str">
        <x:v>+60199010939</x:v>
      </x:c>
      <x:c r="G5159" s="16" t="str">
        <x:v>+60199010939</x:v>
      </x:c>
      <x:c r="H5159" s="16" t="str">
        <x:v>Excluded</x:v>
      </x:c>
      <x:c r="I5159" s="16" t="str">
        <x:v>Missing email</x:v>
      </x:c>
    </x:row>
    <x:row r="5160">
      <x:c r="A5160" s="16" t="n">
        <x:v>5157</x:v>
      </x:c>
      <x:c r="B5160" s="16" t="str">
        <x:v>Nor Zamzarina PEDAS TANJUNG MALIM</x:v>
      </x:c>
      <x:c r="C5160" s="16" t="str"/>
      <x:c r="D5160" s="16" t="str"/>
      <x:c r="E5160" s="16" t="str">
        <x:v>* myContacts</x:v>
      </x:c>
      <x:c r="F5160" s="16" t="str">
        <x:v>+60 13-501 3435 | +60135013435</x:v>
      </x:c>
      <x:c r="G5160" s="16" t="str">
        <x:v>+60135013435 | +60135013435</x:v>
      </x:c>
      <x:c r="H5160" s="16" t="str">
        <x:v>Excluded</x:v>
      </x:c>
      <x:c r="I5160" s="16" t="str">
        <x:v>Missing email</x:v>
      </x:c>
    </x:row>
    <x:row r="5161">
      <x:c r="A5161" s="16" t="n">
        <x:v>5158</x:v>
      </x:c>
      <x:c r="B5161" s="16" t="str">
        <x:v>Nor Zuraida Mat Nayan</x:v>
      </x:c>
      <x:c r="C5161" s="16" t="str"/>
      <x:c r="D5161" s="16" t="str"/>
      <x:c r="E5161" s="16" t="str">
        <x:v>* myContacts</x:v>
      </x:c>
      <x:c r="F5161" s="16" t="str">
        <x:v>+60103781588</x:v>
      </x:c>
      <x:c r="G5161" s="16" t="str">
        <x:v>+60103781588</x:v>
      </x:c>
      <x:c r="H5161" s="16" t="str">
        <x:v>Excluded</x:v>
      </x:c>
      <x:c r="I5161" s="16" t="str">
        <x:v>Missing email</x:v>
      </x:c>
    </x:row>
    <x:row r="5162">
      <x:c r="A5162" s="16" t="n">
        <x:v>5159</x:v>
      </x:c>
      <x:c r="B5162" s="16" t="str">
        <x:v>Nor'Jamira Tailor</x:v>
      </x:c>
      <x:c r="C5162" s="16" t="str"/>
      <x:c r="D5162" s="16" t="str"/>
      <x:c r="E5162" s="16" t="str">
        <x:v>* myContacts</x:v>
      </x:c>
      <x:c r="F5162" s="16" t="str">
        <x:v>+60124279234</x:v>
      </x:c>
      <x:c r="G5162" s="16" t="str">
        <x:v>+60124279234</x:v>
      </x:c>
      <x:c r="H5162" s="16" t="str">
        <x:v>Excluded</x:v>
      </x:c>
      <x:c r="I5162" s="16" t="str">
        <x:v>Missing email</x:v>
      </x:c>
    </x:row>
    <x:row r="5163">
      <x:c r="A5163" s="16" t="n">
        <x:v>5160</x:v>
      </x:c>
      <x:c r="B5163" s="16" t="str">
        <x:v>Nora Ashikin</x:v>
      </x:c>
      <x:c r="C5163" s="16" t="str"/>
      <x:c r="D5163" s="16" t="str"/>
      <x:c r="E5163" s="16" t="str">
        <x:v>* myContacts</x:v>
      </x:c>
      <x:c r="F5163" s="16" t="str">
        <x:v>+60197702640</x:v>
      </x:c>
      <x:c r="G5163" s="16" t="str">
        <x:v>+60197702640</x:v>
      </x:c>
      <x:c r="H5163" s="16" t="str">
        <x:v>Excluded</x:v>
      </x:c>
      <x:c r="I5163" s="16" t="str">
        <x:v>Missing email</x:v>
      </x:c>
    </x:row>
    <x:row r="5164">
      <x:c r="A5164" s="16" t="n">
        <x:v>5161</x:v>
      </x:c>
      <x:c r="B5164" s="16" t="str">
        <x:v>nora avana</x:v>
      </x:c>
      <x:c r="C5164" s="16" t="str"/>
      <x:c r="D5164" s="16" t="str"/>
      <x:c r="E5164" s="16" t="str">
        <x:v>* myContacts</x:v>
      </x:c>
      <x:c r="F5164" s="16" t="str">
        <x:v>+60134409854</x:v>
      </x:c>
      <x:c r="G5164" s="16" t="str">
        <x:v>+60134409854</x:v>
      </x:c>
      <x:c r="H5164" s="16" t="str">
        <x:v>Excluded</x:v>
      </x:c>
      <x:c r="I5164" s="16" t="str">
        <x:v>Missing email</x:v>
      </x:c>
    </x:row>
    <x:row r="5165">
      <x:c r="A5165" s="16" t="n">
        <x:v>5162</x:v>
      </x:c>
      <x:c r="B5165" s="16" t="str">
        <x:v>Nora BDA</x:v>
      </x:c>
      <x:c r="C5165" s="16" t="str"/>
      <x:c r="D5165" s="16" t="str"/>
      <x:c r="E5165" s="16" t="str">
        <x:v>* myContacts</x:v>
      </x:c>
      <x:c r="F5165" s="16" t="str">
        <x:v>+60 12-288 8177 | +60122888177</x:v>
      </x:c>
      <x:c r="G5165" s="16" t="str">
        <x:v>+60122888177 | +60122888177</x:v>
      </x:c>
      <x:c r="H5165" s="16" t="str">
        <x:v>Excluded</x:v>
      </x:c>
      <x:c r="I5165" s="16" t="str">
        <x:v>Missing email</x:v>
      </x:c>
    </x:row>
    <x:row r="5166">
      <x:c r="A5166" s="16" t="n">
        <x:v>5163</x:v>
      </x:c>
      <x:c r="B5166" s="16" t="str">
        <x:v>Nora Khumairah</x:v>
      </x:c>
      <x:c r="C5166" s="16" t="str"/>
      <x:c r="D5166" s="16" t="str"/>
      <x:c r="E5166" s="16" t="str">
        <x:v>* myContacts</x:v>
      </x:c>
      <x:c r="F5166" s="16" t="str">
        <x:v>+60108915693</x:v>
      </x:c>
      <x:c r="G5166" s="16" t="str">
        <x:v>+60108915693</x:v>
      </x:c>
      <x:c r="H5166" s="16" t="str">
        <x:v>Excluded</x:v>
      </x:c>
      <x:c r="I5166" s="16" t="str">
        <x:v>Missing email</x:v>
      </x:c>
    </x:row>
    <x:row r="5167">
      <x:c r="A5167" s="16" t="n">
        <x:v>5164</x:v>
      </x:c>
      <x:c r="B5167" s="16" t="str">
        <x:v>Norafidah Musa</x:v>
      </x:c>
      <x:c r="C5167" s="16" t="str"/>
      <x:c r="D5167" s="16" t="str"/>
      <x:c r="E5167" s="16" t="str">
        <x:v>* myContacts</x:v>
      </x:c>
      <x:c r="F5167" s="16" t="str">
        <x:v>+60133446447</x:v>
      </x:c>
      <x:c r="G5167" s="16" t="str">
        <x:v>+60133446447</x:v>
      </x:c>
      <x:c r="H5167" s="16" t="str">
        <x:v>Excluded</x:v>
      </x:c>
      <x:c r="I5167" s="16" t="str">
        <x:v>Missing email</x:v>
      </x:c>
    </x:row>
    <x:row r="5168">
      <x:c r="A5168" s="16" t="n">
        <x:v>5165</x:v>
      </x:c>
      <x:c r="B5168" s="16" t="str">
        <x:v>Noraini Anie</x:v>
      </x:c>
      <x:c r="C5168" s="16" t="str"/>
      <x:c r="D5168" s="16" t="str"/>
      <x:c r="E5168" s="16" t="str">
        <x:v>* myContacts</x:v>
      </x:c>
      <x:c r="F5168" s="16" t="str">
        <x:v>+60174925523</x:v>
      </x:c>
      <x:c r="G5168" s="16" t="str">
        <x:v>+60174925523</x:v>
      </x:c>
      <x:c r="H5168" s="16" t="str">
        <x:v>Excluded</x:v>
      </x:c>
      <x:c r="I5168" s="16" t="str">
        <x:v>Missing email</x:v>
      </x:c>
    </x:row>
    <x:row r="5169">
      <x:c r="A5169" s="16" t="n">
        <x:v>5166</x:v>
      </x:c>
      <x:c r="B5169" s="16" t="str">
        <x:v>noraini bt haji ahmad</x:v>
      </x:c>
      <x:c r="C5169" s="16" t="str">
        <x:v>norainlbintlh.ajlahmad@mohamed | a1-1-1ayer@8.jalanp8g | na@umt.edu.mx</x:v>
      </x:c>
      <x:c r="D5169" s="16" t="str">
        <x:v>a1-1-1ayer@8.jalanp8g | na@umt.edu.mx</x:v>
      </x:c>
      <x:c r="E5169" s="16" t="str">
        <x:v>* myContacts</x:v>
      </x:c>
      <x:c r="F5169" s="16" t="str">
        <x:v>0388616325 | 0388936327 | 0177530396 | +60388616325 | 0388936327 | 0177530396</x:v>
      </x:c>
      <x:c r="G5169" s="16" t="str">
        <x:v>+60388616325 | +60388936327 | +60177530396 | +60388616325 | +60388936327 | +60177530396</x:v>
      </x:c>
      <x:c r="H5169" s="16" t="str">
        <x:v>Eligible</x:v>
      </x:c>
      <x:c r="I5169" s="16" t="str">
        <x:v>Invalid email: norainlbintlh.ajlahmad@mohamed</x:v>
      </x:c>
    </x:row>
    <x:row r="5170">
      <x:c r="A5170" s="16" t="n">
        <x:v>5167</x:v>
      </x:c>
      <x:c r="B5170" s="16" t="str">
        <x:v>Noraini Hassin</x:v>
      </x:c>
      <x:c r="C5170" s="16" t="str"/>
      <x:c r="D5170" s="16" t="str"/>
      <x:c r="E5170" s="16" t="str">
        <x:v>* myContacts</x:v>
      </x:c>
      <x:c r="F5170" s="16" t="str">
        <x:v>+60145367652</x:v>
      </x:c>
      <x:c r="G5170" s="16" t="str">
        <x:v>+60145367652</x:v>
      </x:c>
      <x:c r="H5170" s="16" t="str">
        <x:v>Excluded</x:v>
      </x:c>
      <x:c r="I5170" s="16" t="str">
        <x:v>Missing email</x:v>
      </x:c>
    </x:row>
    <x:row r="5171">
      <x:c r="A5171" s="16" t="n">
        <x:v>5168</x:v>
      </x:c>
      <x:c r="B5171" s="16" t="str">
        <x:v>Noraini Kamarudin</x:v>
      </x:c>
      <x:c r="C5171" s="16" t="str"/>
      <x:c r="D5171" s="16" t="str"/>
      <x:c r="E5171" s="16" t="str">
        <x:v>* myContacts</x:v>
      </x:c>
      <x:c r="F5171" s="16" t="str">
        <x:v>+601128885940</x:v>
      </x:c>
      <x:c r="G5171" s="16" t="str">
        <x:v>+601128885940</x:v>
      </x:c>
      <x:c r="H5171" s="16" t="str">
        <x:v>Excluded</x:v>
      </x:c>
      <x:c r="I5171" s="16" t="str">
        <x:v>Missing email</x:v>
      </x:c>
    </x:row>
    <x:row r="5172">
      <x:c r="A5172" s="16" t="n">
        <x:v>5169</x:v>
      </x:c>
      <x:c r="B5172" s="16" t="str">
        <x:v>Noraishah Arsad</x:v>
      </x:c>
      <x:c r="C5172" s="16" t="str"/>
      <x:c r="D5172" s="16" t="str"/>
      <x:c r="E5172" s="16" t="str">
        <x:v>* myContacts</x:v>
      </x:c>
      <x:c r="F5172" s="16" t="str">
        <x:v>+60134551722</x:v>
      </x:c>
      <x:c r="G5172" s="16" t="str">
        <x:v>+60134551722</x:v>
      </x:c>
      <x:c r="H5172" s="16" t="str">
        <x:v>Excluded</x:v>
      </x:c>
      <x:c r="I5172" s="16" t="str">
        <x:v>Missing email</x:v>
      </x:c>
    </x:row>
    <x:row r="5173">
      <x:c r="A5173" s="16" t="n">
        <x:v>5170</x:v>
      </x:c>
      <x:c r="B5173" s="16" t="str">
        <x:v>Noraisyahfadli Trusted Seller</x:v>
      </x:c>
      <x:c r="C5173" s="16" t="str"/>
      <x:c r="D5173" s="16" t="str"/>
      <x:c r="E5173" s="16" t="str">
        <x:v>* myContacts</x:v>
      </x:c>
      <x:c r="F5173" s="16" t="str">
        <x:v>+60177636638</x:v>
      </x:c>
      <x:c r="G5173" s="16" t="str">
        <x:v>+60177636638</x:v>
      </x:c>
      <x:c r="H5173" s="16" t="str">
        <x:v>Excluded</x:v>
      </x:c>
      <x:c r="I5173" s="16" t="str">
        <x:v>Missing email</x:v>
      </x:c>
    </x:row>
    <x:row r="5174">
      <x:c r="A5174" s="16" t="n">
        <x:v>5171</x:v>
      </x:c>
      <x:c r="B5174" s="16" t="str">
        <x:v>Noramira Syakira</x:v>
      </x:c>
      <x:c r="C5174" s="16" t="str"/>
      <x:c r="D5174" s="16" t="str"/>
      <x:c r="E5174" s="16" t="str">
        <x:v>* myContacts</x:v>
      </x:c>
      <x:c r="F5174" s="16" t="str">
        <x:v>+60143180160</x:v>
      </x:c>
      <x:c r="G5174" s="16" t="str">
        <x:v>+60143180160</x:v>
      </x:c>
      <x:c r="H5174" s="16" t="str">
        <x:v>Excluded</x:v>
      </x:c>
      <x:c r="I5174" s="16" t="str">
        <x:v>Missing email</x:v>
      </x:c>
    </x:row>
    <x:row r="5175">
      <x:c r="A5175" s="16" t="n">
        <x:v>5172</x:v>
      </x:c>
      <x:c r="B5175" s="16" t="str">
        <x:v>Norani Amin</x:v>
      </x:c>
      <x:c r="C5175" s="16" t="str"/>
      <x:c r="D5175" s="16" t="str"/>
      <x:c r="E5175" s="16" t="str">
        <x:v>* myContacts</x:v>
      </x:c>
      <x:c r="F5175" s="16" t="str">
        <x:v>+60192391315</x:v>
      </x:c>
      <x:c r="G5175" s="16" t="str">
        <x:v>+60192391315</x:v>
      </x:c>
      <x:c r="H5175" s="16" t="str">
        <x:v>Excluded</x:v>
      </x:c>
      <x:c r="I5175" s="16" t="str">
        <x:v>Missing email</x:v>
      </x:c>
    </x:row>
    <x:row r="5176">
      <x:c r="A5176" s="16" t="n">
        <x:v>5173</x:v>
      </x:c>
      <x:c r="B5176" s="16" t="str">
        <x:v>Noranisah Zahari</x:v>
      </x:c>
      <x:c r="C5176" s="16" t="str"/>
      <x:c r="D5176" s="16" t="str"/>
      <x:c r="E5176" s="16" t="str">
        <x:v>* myContacts</x:v>
      </x:c>
      <x:c r="F5176" s="16" t="str">
        <x:v>+60193702769</x:v>
      </x:c>
      <x:c r="G5176" s="16" t="str">
        <x:v>+60193702769</x:v>
      </x:c>
      <x:c r="H5176" s="16" t="str">
        <x:v>Excluded</x:v>
      </x:c>
      <x:c r="I5176" s="16" t="str">
        <x:v>Missing email</x:v>
      </x:c>
    </x:row>
    <x:row r="5177">
      <x:c r="A5177" s="16" t="n">
        <x:v>5174</x:v>
      </x:c>
      <x:c r="B5177" s="16" t="str">
        <x:v>Norasdayanti Mohd Jamil</x:v>
      </x:c>
      <x:c r="C5177" s="16" t="str"/>
      <x:c r="D5177" s="16" t="str"/>
      <x:c r="E5177" s="16" t="str">
        <x:v>* myContacts</x:v>
      </x:c>
      <x:c r="F5177" s="16" t="str">
        <x:v>+60196658400</x:v>
      </x:c>
      <x:c r="G5177" s="16" t="str">
        <x:v>+60196658400</x:v>
      </x:c>
      <x:c r="H5177" s="16" t="str">
        <x:v>Excluded</x:v>
      </x:c>
      <x:c r="I5177" s="16" t="str">
        <x:v>Missing email</x:v>
      </x:c>
    </x:row>
    <x:row r="5178">
      <x:c r="A5178" s="16" t="n">
        <x:v>5175</x:v>
      </x:c>
      <x:c r="B5178" s="16" t="str">
        <x:v>Norashikin Seri Pacific</x:v>
      </x:c>
      <x:c r="C5178" s="16" t="str"/>
      <x:c r="D5178" s="16" t="str"/>
      <x:c r="E5178" s="16" t="str">
        <x:v>* myContacts</x:v>
      </x:c>
      <x:c r="F5178" s="16" t="str">
        <x:v>+601110205970</x:v>
      </x:c>
      <x:c r="G5178" s="16" t="str">
        <x:v>+601110205970</x:v>
      </x:c>
      <x:c r="H5178" s="16" t="str">
        <x:v>Excluded</x:v>
      </x:c>
      <x:c r="I5178" s="16" t="str">
        <x:v>Missing email</x:v>
      </x:c>
    </x:row>
    <x:row r="5179">
      <x:c r="A5179" s="16" t="n">
        <x:v>5176</x:v>
      </x:c>
      <x:c r="B5179" s="16" t="str">
        <x:v>Norashimah Salleh</x:v>
      </x:c>
      <x:c r="C5179" s="16" t="str"/>
      <x:c r="D5179" s="16" t="str"/>
      <x:c r="E5179" s="16" t="str">
        <x:v>* myContacts</x:v>
      </x:c>
      <x:c r="F5179" s="16" t="str">
        <x:v>+60133603988</x:v>
      </x:c>
      <x:c r="G5179" s="16" t="str">
        <x:v>+60133603988</x:v>
      </x:c>
      <x:c r="H5179" s="16" t="str">
        <x:v>Excluded</x:v>
      </x:c>
      <x:c r="I5179" s="16" t="str">
        <x:v>Missing email</x:v>
      </x:c>
    </x:row>
    <x:row r="5180">
      <x:c r="A5180" s="16" t="n">
        <x:v>5177</x:v>
      </x:c>
      <x:c r="B5180" s="16" t="str">
        <x:v>Norasiah INSKEN</x:v>
      </x:c>
      <x:c r="C5180" s="16" t="str"/>
      <x:c r="D5180" s="16" t="str"/>
      <x:c r="E5180" s="16" t="str">
        <x:v>Alumni INSKEN | * myContacts</x:v>
      </x:c>
      <x:c r="F5180" s="16" t="str">
        <x:v>+60 3-8314 8811 | +60383148811</x:v>
      </x:c>
      <x:c r="G5180" s="16" t="str">
        <x:v>+60383148811 | +60383148811</x:v>
      </x:c>
      <x:c r="H5180" s="16" t="str">
        <x:v>Excluded</x:v>
      </x:c>
      <x:c r="I5180" s="16" t="str">
        <x:v>Missing email</x:v>
      </x:c>
    </x:row>
    <x:row r="5181">
      <x:c r="A5181" s="16" t="n">
        <x:v>5178</x:v>
      </x:c>
      <x:c r="B5181" s="16" t="str">
        <x:v>Norasmawati Zainal</x:v>
      </x:c>
      <x:c r="C5181" s="16" t="str"/>
      <x:c r="D5181" s="16" t="str"/>
      <x:c r="E5181" s="16" t="str">
        <x:v>* myContacts</x:v>
      </x:c>
      <x:c r="F5181" s="16" t="str">
        <x:v>+60123003187</x:v>
      </x:c>
      <x:c r="G5181" s="16" t="str">
        <x:v>+60123003187</x:v>
      </x:c>
      <x:c r="H5181" s="16" t="str">
        <x:v>Excluded</x:v>
      </x:c>
      <x:c r="I5181" s="16" t="str">
        <x:v>Missing email</x:v>
      </x:c>
    </x:row>
    <x:row r="5182">
      <x:c r="A5182" s="16" t="n">
        <x:v>5179</x:v>
      </x:c>
      <x:c r="B5182" s="16" t="str">
        <x:v>Noraziah Puncak Alam</x:v>
      </x:c>
      <x:c r="C5182" s="16" t="str"/>
      <x:c r="D5182" s="16" t="str"/>
      <x:c r="E5182" s="16" t="str">
        <x:v>* myContacts</x:v>
      </x:c>
      <x:c r="F5182" s="16" t="str">
        <x:v>+60197502306</x:v>
      </x:c>
      <x:c r="G5182" s="16" t="str">
        <x:v>+60197502306</x:v>
      </x:c>
      <x:c r="H5182" s="16" t="str">
        <x:v>Excluded</x:v>
      </x:c>
      <x:c r="I5182" s="16" t="str">
        <x:v>Missing email</x:v>
      </x:c>
    </x:row>
    <x:row r="5183">
      <x:c r="A5183" s="16" t="n">
        <x:v>5180</x:v>
      </x:c>
      <x:c r="B5183" s="16" t="str">
        <x:v>Norazila Zaini</x:v>
      </x:c>
      <x:c r="C5183" s="16" t="str"/>
      <x:c r="D5183" s="16" t="str"/>
      <x:c r="E5183" s="16" t="str">
        <x:v>* myContacts</x:v>
      </x:c>
      <x:c r="F5183" s="16" t="str">
        <x:v>+60177171473</x:v>
      </x:c>
      <x:c r="G5183" s="16" t="str">
        <x:v>+60177171473</x:v>
      </x:c>
      <x:c r="H5183" s="16" t="str">
        <x:v>Excluded</x:v>
      </x:c>
      <x:c r="I5183" s="16" t="str">
        <x:v>Missing email</x:v>
      </x:c>
    </x:row>
    <x:row r="5184">
      <x:c r="A5184" s="16" t="n">
        <x:v>5181</x:v>
      </x:c>
      <x:c r="B5184" s="16" t="str">
        <x:v>Norazizan AGP</x:v>
      </x:c>
      <x:c r="C5184" s="16" t="str"/>
      <x:c r="D5184" s="16" t="str"/>
      <x:c r="E5184" s="16" t="str">
        <x:v>* myContacts</x:v>
      </x:c>
      <x:c r="F5184" s="16" t="str">
        <x:v>+60 17-201 2029 | +60172012029</x:v>
      </x:c>
      <x:c r="G5184" s="16" t="str">
        <x:v>+60172012029 | +60172012029</x:v>
      </x:c>
      <x:c r="H5184" s="16" t="str">
        <x:v>Excluded</x:v>
      </x:c>
      <x:c r="I5184" s="16" t="str">
        <x:v>Missing email</x:v>
      </x:c>
    </x:row>
    <x:row r="5185">
      <x:c r="A5185" s="16" t="n">
        <x:v>5182</x:v>
      </x:c>
      <x:c r="B5185" s="16" t="str">
        <x:v>Norazizi A Aziz</x:v>
      </x:c>
      <x:c r="C5185" s="16" t="str"/>
      <x:c r="D5185" s="16" t="str"/>
      <x:c r="E5185" s="16" t="str">
        <x:v>* myContacts</x:v>
      </x:c>
      <x:c r="F5185" s="16" t="str">
        <x:v>+601135607069</x:v>
      </x:c>
      <x:c r="G5185" s="16" t="str">
        <x:v>+601135607069</x:v>
      </x:c>
      <x:c r="H5185" s="16" t="str">
        <x:v>Excluded</x:v>
      </x:c>
      <x:c r="I5185" s="16" t="str">
        <x:v>Missing email</x:v>
      </x:c>
    </x:row>
    <x:row r="5186">
      <x:c r="A5186" s="16" t="n">
        <x:v>5183</x:v>
      </x:c>
      <x:c r="B5186" s="16" t="str">
        <x:v>NorAzliana Alias Yanaa</x:v>
      </x:c>
      <x:c r="C5186" s="16" t="str"/>
      <x:c r="D5186" s="16" t="str"/>
      <x:c r="E5186" s="16" t="str">
        <x:v>* myContacts</x:v>
      </x:c>
      <x:c r="F5186" s="16" t="str">
        <x:v>+60142123447</x:v>
      </x:c>
      <x:c r="G5186" s="16" t="str">
        <x:v>+60142123447</x:v>
      </x:c>
      <x:c r="H5186" s="16" t="str">
        <x:v>Excluded</x:v>
      </x:c>
      <x:c r="I5186" s="16" t="str">
        <x:v>Missing email</x:v>
      </x:c>
    </x:row>
    <x:row r="5187">
      <x:c r="A5187" s="16" t="n">
        <x:v>5184</x:v>
      </x:c>
      <x:c r="B5187" s="16" t="str">
        <x:v>Norazlin Abdul Halim</x:v>
      </x:c>
      <x:c r="C5187" s="16" t="str"/>
      <x:c r="D5187" s="16" t="str"/>
      <x:c r="E5187" s="16" t="str">
        <x:v>* myContacts</x:v>
      </x:c>
      <x:c r="F5187" s="16" t="str">
        <x:v>+60139727170</x:v>
      </x:c>
      <x:c r="G5187" s="16" t="str">
        <x:v>+60139727170</x:v>
      </x:c>
      <x:c r="H5187" s="16" t="str">
        <x:v>Excluded</x:v>
      </x:c>
      <x:c r="I5187" s="16" t="str">
        <x:v>Missing email</x:v>
      </x:c>
    </x:row>
    <x:row r="5188">
      <x:c r="A5188" s="16" t="n">
        <x:v>5185</x:v>
      </x:c>
      <x:c r="B5188" s="16" t="str">
        <x:v>Norazlinda AGP</x:v>
      </x:c>
      <x:c r="C5188" s="16" t="str"/>
      <x:c r="D5188" s="16" t="str"/>
      <x:c r="E5188" s="16" t="str">
        <x:v>* myContacts</x:v>
      </x:c>
      <x:c r="F5188" s="16" t="str">
        <x:v>+60 12-780 5731 | +60127805731</x:v>
      </x:c>
      <x:c r="G5188" s="16" t="str">
        <x:v>+60127805731 | +60127805731</x:v>
      </x:c>
      <x:c r="H5188" s="16" t="str">
        <x:v>Excluded</x:v>
      </x:c>
      <x:c r="I5188" s="16" t="str">
        <x:v>Missing email</x:v>
      </x:c>
    </x:row>
    <x:row r="5189">
      <x:c r="A5189" s="16" t="n">
        <x:v>5186</x:v>
      </x:c>
      <x:c r="B5189" s="16" t="str">
        <x:v>Norazman Man</x:v>
      </x:c>
      <x:c r="C5189" s="16" t="str"/>
      <x:c r="D5189" s="16" t="str"/>
      <x:c r="E5189" s="16" t="str">
        <x:v>* myContacts</x:v>
      </x:c>
      <x:c r="F5189" s="16" t="str">
        <x:v>+601123770067</x:v>
      </x:c>
      <x:c r="G5189" s="16" t="str">
        <x:v>+601123770067</x:v>
      </x:c>
      <x:c r="H5189" s="16" t="str">
        <x:v>Excluded</x:v>
      </x:c>
      <x:c r="I5189" s="16" t="str">
        <x:v>Missing email</x:v>
      </x:c>
    </x:row>
    <x:row r="5190">
      <x:c r="A5190" s="16" t="n">
        <x:v>5187</x:v>
      </x:c>
      <x:c r="B5190" s="16" t="str">
        <x:v>Norazwa Wahab</x:v>
      </x:c>
      <x:c r="C5190" s="16" t="str"/>
      <x:c r="D5190" s="16" t="str"/>
      <x:c r="E5190" s="16" t="str">
        <x:v>* myContacts</x:v>
      </x:c>
      <x:c r="F5190" s="16" t="str">
        <x:v>+60192511113</x:v>
      </x:c>
      <x:c r="G5190" s="16" t="str">
        <x:v>+60192511113</x:v>
      </x:c>
      <x:c r="H5190" s="16" t="str">
        <x:v>Excluded</x:v>
      </x:c>
      <x:c r="I5190" s="16" t="str">
        <x:v>Missing email</x:v>
      </x:c>
    </x:row>
    <x:row r="5191">
      <x:c r="A5191" s="16" t="n">
        <x:v>5188</x:v>
      </x:c>
      <x:c r="B5191" s="16" t="str">
        <x:v>Norbaya Balqisyah</x:v>
      </x:c>
      <x:c r="C5191" s="16" t="str"/>
      <x:c r="D5191" s="16" t="str"/>
      <x:c r="E5191" s="16" t="str">
        <x:v>* myContacts</x:v>
      </x:c>
      <x:c r="F5191" s="16" t="str">
        <x:v>+601131232910</x:v>
      </x:c>
      <x:c r="G5191" s="16" t="str">
        <x:v>+601131232910</x:v>
      </x:c>
      <x:c r="H5191" s="16" t="str">
        <x:v>Excluded</x:v>
      </x:c>
      <x:c r="I5191" s="16" t="str">
        <x:v>Missing email</x:v>
      </x:c>
    </x:row>
    <x:row r="5192">
      <x:c r="A5192" s="16" t="n">
        <x:v>5189</x:v>
      </x:c>
      <x:c r="B5192" s="16" t="str">
        <x:v>Nordiana Hassan</x:v>
      </x:c>
      <x:c r="C5192" s="16" t="str"/>
      <x:c r="D5192" s="16" t="str"/>
      <x:c r="E5192" s="16" t="str">
        <x:v>* myContacts</x:v>
      </x:c>
      <x:c r="F5192" s="16" t="str">
        <x:v>+60137600837</x:v>
      </x:c>
      <x:c r="G5192" s="16" t="str">
        <x:v>+60137600837</x:v>
      </x:c>
      <x:c r="H5192" s="16" t="str">
        <x:v>Excluded</x:v>
      </x:c>
      <x:c r="I5192" s="16" t="str">
        <x:v>Missing email</x:v>
      </x:c>
    </x:row>
    <x:row r="5193">
      <x:c r="A5193" s="16" t="n">
        <x:v>5190</x:v>
      </x:c>
      <x:c r="B5193" s="16" t="str">
        <x:v>NorErliana Bte Hafizi</x:v>
      </x:c>
      <x:c r="C5193" s="16" t="str"/>
      <x:c r="D5193" s="16" t="str"/>
      <x:c r="E5193" s="16" t="str">
        <x:v>* myContacts</x:v>
      </x:c>
      <x:c r="F5193" s="16" t="str">
        <x:v>+60173820517</x:v>
      </x:c>
      <x:c r="G5193" s="16" t="str">
        <x:v>+60173820517</x:v>
      </x:c>
      <x:c r="H5193" s="16" t="str">
        <x:v>Excluded</x:v>
      </x:c>
      <x:c r="I5193" s="16" t="str">
        <x:v>Missing email</x:v>
      </x:c>
    </x:row>
    <x:row r="5194">
      <x:c r="A5194" s="16" t="n">
        <x:v>5191</x:v>
      </x:c>
      <x:c r="B5194" s="16" t="str">
        <x:v>Norfadilah Mohd Nawi</x:v>
      </x:c>
      <x:c r="C5194" s="16" t="str"/>
      <x:c r="D5194" s="16" t="str"/>
      <x:c r="E5194" s="16" t="str">
        <x:v>* myContacts</x:v>
      </x:c>
      <x:c r="F5194" s="16" t="str">
        <x:v>+60192913038</x:v>
      </x:c>
      <x:c r="G5194" s="16" t="str">
        <x:v>+60192913038</x:v>
      </x:c>
      <x:c r="H5194" s="16" t="str">
        <x:v>Excluded</x:v>
      </x:c>
      <x:c r="I5194" s="16" t="str">
        <x:v>Missing email</x:v>
      </x:c>
    </x:row>
    <x:row r="5195">
      <x:c r="A5195" s="16" t="n">
        <x:v>5192</x:v>
      </x:c>
      <x:c r="B5195" s="16" t="str">
        <x:v>Norhafiszin Ramlan</x:v>
      </x:c>
      <x:c r="C5195" s="16" t="str"/>
      <x:c r="D5195" s="16" t="str"/>
      <x:c r="E5195" s="16" t="str">
        <x:v>* myContacts</x:v>
      </x:c>
      <x:c r="F5195" s="16" t="str">
        <x:v>+60192968633</x:v>
      </x:c>
      <x:c r="G5195" s="16" t="str">
        <x:v>+60192968633</x:v>
      </x:c>
      <x:c r="H5195" s="16" t="str">
        <x:v>Excluded</x:v>
      </x:c>
      <x:c r="I5195" s="16" t="str">
        <x:v>Missing email</x:v>
      </x:c>
    </x:row>
    <x:row r="5196">
      <x:c r="A5196" s="16" t="n">
        <x:v>5193</x:v>
      </x:c>
      <x:c r="B5196" s="16" t="str">
        <x:v>Norhafizah Rameli</x:v>
      </x:c>
      <x:c r="C5196" s="16" t="str"/>
      <x:c r="D5196" s="16" t="str"/>
      <x:c r="E5196" s="16" t="str">
        <x:v>* myContacts</x:v>
      </x:c>
      <x:c r="F5196" s="16" t="str">
        <x:v>+60193712186</x:v>
      </x:c>
      <x:c r="G5196" s="16" t="str">
        <x:v>+60193712186</x:v>
      </x:c>
      <x:c r="H5196" s="16" t="str">
        <x:v>Excluded</x:v>
      </x:c>
      <x:c r="I5196" s="16" t="str">
        <x:v>Missing email</x:v>
      </x:c>
    </x:row>
    <x:row r="5197">
      <x:c r="A5197" s="16" t="n">
        <x:v>5194</x:v>
      </x:c>
      <x:c r="B5197" s="16" t="str">
        <x:v>Norhafizah Salim</x:v>
      </x:c>
      <x:c r="C5197" s="16" t="str"/>
      <x:c r="D5197" s="16" t="str"/>
      <x:c r="E5197" s="16" t="str">
        <x:v>* myContacts</x:v>
      </x:c>
      <x:c r="F5197" s="16" t="str">
        <x:v>+60198975624</x:v>
      </x:c>
      <x:c r="G5197" s="16" t="str">
        <x:v>+60198975624</x:v>
      </x:c>
      <x:c r="H5197" s="16" t="str">
        <x:v>Excluded</x:v>
      </x:c>
      <x:c r="I5197" s="16" t="str">
        <x:v>Missing email</x:v>
      </x:c>
    </x:row>
    <x:row r="5198">
      <x:c r="A5198" s="16" t="n">
        <x:v>5195</x:v>
      </x:c>
      <x:c r="B5198" s="16" t="str">
        <x:v>Norhaida Mohd Arshad</x:v>
      </x:c>
      <x:c r="C5198" s="16" t="str"/>
      <x:c r="D5198" s="16" t="str"/>
      <x:c r="E5198" s="16" t="str">
        <x:v>* myContacts</x:v>
      </x:c>
      <x:c r="F5198" s="16" t="str">
        <x:v>+60390114092</x:v>
      </x:c>
      <x:c r="G5198" s="16" t="str">
        <x:v>+60390114092</x:v>
      </x:c>
      <x:c r="H5198" s="16" t="str">
        <x:v>Excluded</x:v>
      </x:c>
      <x:c r="I5198" s="16" t="str">
        <x:v>Missing email</x:v>
      </x:c>
    </x:row>
    <x:row r="5199">
      <x:c r="A5199" s="16" t="n">
        <x:v>5196</x:v>
      </x:c>
      <x:c r="B5199" s="16" t="str">
        <x:v>Norhaslinda Pardi</x:v>
      </x:c>
      <x:c r="C5199" s="16" t="str"/>
      <x:c r="D5199" s="16" t="str"/>
      <x:c r="E5199" s="16" t="str">
        <x:v>* myContacts</x:v>
      </x:c>
      <x:c r="F5199" s="16" t="str">
        <x:v>+6078931697</x:v>
      </x:c>
      <x:c r="G5199" s="16" t="str">
        <x:v>+6078931697</x:v>
      </x:c>
      <x:c r="H5199" s="16" t="str">
        <x:v>Excluded</x:v>
      </x:c>
      <x:c r="I5199" s="16" t="str">
        <x:v>Missing email</x:v>
      </x:c>
    </x:row>
    <x:row r="5200">
      <x:c r="A5200" s="16" t="n">
        <x:v>5197</x:v>
      </x:c>
      <x:c r="B5200" s="16" t="str">
        <x:v>Norhayati AGP</x:v>
      </x:c>
      <x:c r="C5200" s="16" t="str"/>
      <x:c r="D5200" s="16" t="str"/>
      <x:c r="E5200" s="16" t="str">
        <x:v>* myContacts</x:v>
      </x:c>
      <x:c r="F5200" s="16" t="str">
        <x:v>+60 19-388 0499 | +60193880499</x:v>
      </x:c>
      <x:c r="G5200" s="16" t="str">
        <x:v>+60193880499 | +60193880499</x:v>
      </x:c>
      <x:c r="H5200" s="16" t="str">
        <x:v>Excluded</x:v>
      </x:c>
      <x:c r="I5200" s="16" t="str">
        <x:v>Missing email</x:v>
      </x:c>
    </x:row>
    <x:row r="5201">
      <x:c r="A5201" s="16" t="n">
        <x:v>5198</x:v>
      </x:c>
      <x:c r="B5201" s="16" t="str">
        <x:v>Norhayati Mahmud</x:v>
      </x:c>
      <x:c r="C5201" s="16" t="str"/>
      <x:c r="D5201" s="16" t="str"/>
      <x:c r="E5201" s="16" t="str">
        <x:v>* myContacts</x:v>
      </x:c>
      <x:c r="F5201" s="16" t="str">
        <x:v>+60169503413</x:v>
      </x:c>
      <x:c r="G5201" s="16" t="str">
        <x:v>+60169503413</x:v>
      </x:c>
      <x:c r="H5201" s="16" t="str">
        <x:v>Excluded</x:v>
      </x:c>
      <x:c r="I5201" s="16" t="str">
        <x:v>Missing email</x:v>
      </x:c>
    </x:row>
    <x:row r="5202">
      <x:c r="A5202" s="16" t="n">
        <x:v>5199</x:v>
      </x:c>
      <x:c r="B5202" s="16" t="str">
        <x:v>Norhayati Md Mohdin</x:v>
      </x:c>
      <x:c r="C5202" s="16" t="str"/>
      <x:c r="D5202" s="16" t="str"/>
      <x:c r="E5202" s="16" t="str">
        <x:v>* myContacts</x:v>
      </x:c>
      <x:c r="F5202" s="16" t="str">
        <x:v>+601127656544</x:v>
      </x:c>
      <x:c r="G5202" s="16" t="str">
        <x:v>+601127656544</x:v>
      </x:c>
      <x:c r="H5202" s="16" t="str">
        <x:v>Excluded</x:v>
      </x:c>
      <x:c r="I5202" s="16" t="str">
        <x:v>Missing email</x:v>
      </x:c>
    </x:row>
    <x:row r="5203">
      <x:c r="A5203" s="16" t="n">
        <x:v>5200</x:v>
      </x:c>
      <x:c r="B5203" s="16" t="str">
        <x:v>Norhayati Mohamed</x:v>
      </x:c>
      <x:c r="C5203" s="16" t="str"/>
      <x:c r="D5203" s="16" t="str"/>
      <x:c r="E5203" s="16" t="str">
        <x:v>* myContacts</x:v>
      </x:c>
      <x:c r="F5203" s="16" t="str">
        <x:v>+60143884538</x:v>
      </x:c>
      <x:c r="G5203" s="16" t="str">
        <x:v>+60143884538</x:v>
      </x:c>
      <x:c r="H5203" s="16" t="str">
        <x:v>Excluded</x:v>
      </x:c>
      <x:c r="I5203" s="16" t="str">
        <x:v>Missing email</x:v>
      </x:c>
    </x:row>
    <x:row r="5204">
      <x:c r="A5204" s="16" t="n">
        <x:v>5201</x:v>
      </x:c>
      <x:c r="B5204" s="16" t="str">
        <x:v>Norhayati NurinsBeauty</x:v>
      </x:c>
      <x:c r="C5204" s="16" t="str"/>
      <x:c r="D5204" s="16" t="str"/>
      <x:c r="E5204" s="16" t="str">
        <x:v>* myContacts</x:v>
      </x:c>
      <x:c r="F5204" s="16" t="str">
        <x:v>+60196115199</x:v>
      </x:c>
      <x:c r="G5204" s="16" t="str">
        <x:v>+60196115199</x:v>
      </x:c>
      <x:c r="H5204" s="16" t="str">
        <x:v>Excluded</x:v>
      </x:c>
      <x:c r="I5204" s="16" t="str">
        <x:v>Missing email</x:v>
      </x:c>
    </x:row>
    <x:row r="5205">
      <x:c r="A5205" s="16" t="n">
        <x:v>5202</x:v>
      </x:c>
      <x:c r="B5205" s="16" t="str">
        <x:v>Norhayati Zakaria Atiey</x:v>
      </x:c>
      <x:c r="C5205" s="16" t="str"/>
      <x:c r="D5205" s="16" t="str"/>
      <x:c r="E5205" s="16" t="str">
        <x:v>* myContacts</x:v>
      </x:c>
      <x:c r="F5205" s="16" t="str">
        <x:v>+60148158561</x:v>
      </x:c>
      <x:c r="G5205" s="16" t="str">
        <x:v>+60148158561</x:v>
      </x:c>
      <x:c r="H5205" s="16" t="str">
        <x:v>Excluded</x:v>
      </x:c>
      <x:c r="I5205" s="16" t="str">
        <x:v>Missing email</x:v>
      </x:c>
    </x:row>
    <x:row r="5206">
      <x:c r="A5206" s="16" t="n">
        <x:v>5203</x:v>
      </x:c>
      <x:c r="B5206" s="16" t="str">
        <x:v>Norhazwani Maseiana</x:v>
      </x:c>
      <x:c r="C5206" s="16" t="str"/>
      <x:c r="D5206" s="16" t="str"/>
      <x:c r="E5206" s="16" t="str">
        <x:v>* myContacts</x:v>
      </x:c>
      <x:c r="F5206" s="16" t="str">
        <x:v>+601136141614</x:v>
      </x:c>
      <x:c r="G5206" s="16" t="str">
        <x:v>+601136141614</x:v>
      </x:c>
      <x:c r="H5206" s="16" t="str">
        <x:v>Excluded</x:v>
      </x:c>
      <x:c r="I5206" s="16" t="str">
        <x:v>Missing email</x:v>
      </x:c>
    </x:row>
    <x:row r="5207">
      <x:c r="A5207" s="16" t="n">
        <x:v>5204</x:v>
      </x:c>
      <x:c r="B5207" s="16" t="str">
        <x:v>Norhidaya Kosran</x:v>
      </x:c>
      <x:c r="C5207" s="16" t="str"/>
      <x:c r="D5207" s="16" t="str"/>
      <x:c r="E5207" s="16" t="str">
        <x:v>* myContacts</x:v>
      </x:c>
      <x:c r="F5207" s="16" t="str">
        <x:v>+60177949285</x:v>
      </x:c>
      <x:c r="G5207" s="16" t="str">
        <x:v>+60177949285</x:v>
      </x:c>
      <x:c r="H5207" s="16" t="str">
        <x:v>Excluded</x:v>
      </x:c>
      <x:c r="I5207" s="16" t="str">
        <x:v>Missing email</x:v>
      </x:c>
    </x:row>
    <x:row r="5208">
      <x:c r="A5208" s="16" t="n">
        <x:v>5205</x:v>
      </x:c>
      <x:c r="B5208" s="16" t="str">
        <x:v>Norhidayah Hidayah Lyss</x:v>
      </x:c>
      <x:c r="C5208" s="16" t="str"/>
      <x:c r="D5208" s="16" t="str"/>
      <x:c r="E5208" s="16" t="str">
        <x:v>* myContacts</x:v>
      </x:c>
      <x:c r="F5208" s="16" t="str">
        <x:v>+60198226586</x:v>
      </x:c>
      <x:c r="G5208" s="16" t="str">
        <x:v>+60198226586</x:v>
      </x:c>
      <x:c r="H5208" s="16" t="str">
        <x:v>Excluded</x:v>
      </x:c>
      <x:c r="I5208" s="16" t="str">
        <x:v>Missing email</x:v>
      </x:c>
    </x:row>
    <x:row r="5209">
      <x:c r="A5209" s="16" t="n">
        <x:v>5206</x:v>
      </x:c>
      <x:c r="B5209" s="16" t="str">
        <x:v>Norhosnita Halil</x:v>
      </x:c>
      <x:c r="C5209" s="16" t="str"/>
      <x:c r="D5209" s="16" t="str"/>
      <x:c r="E5209" s="16" t="str">
        <x:v>* myContacts</x:v>
      </x:c>
      <x:c r="F5209" s="16" t="str">
        <x:v>+60195022442</x:v>
      </x:c>
      <x:c r="G5209" s="16" t="str">
        <x:v>+60195022442</x:v>
      </x:c>
      <x:c r="H5209" s="16" t="str">
        <x:v>Excluded</x:v>
      </x:c>
      <x:c r="I5209" s="16" t="str">
        <x:v>Missing email</x:v>
      </x:c>
    </x:row>
    <x:row r="5210">
      <x:c r="A5210" s="16" t="n">
        <x:v>5207</x:v>
      </x:c>
      <x:c r="B5210" s="16" t="str">
        <x:v>Norillahi Cuckoo Service</x:v>
      </x:c>
      <x:c r="C5210" s="16" t="str"/>
      <x:c r="D5210" s="16" t="str"/>
      <x:c r="E5210" s="16" t="str">
        <x:v>* myContacts</x:v>
      </x:c>
      <x:c r="F5210" s="16" t="str">
        <x:v>+60 11-1040 5856 | +601110405856</x:v>
      </x:c>
      <x:c r="G5210" s="16" t="str">
        <x:v>+601110405856 | +601110405856</x:v>
      </x:c>
      <x:c r="H5210" s="16" t="str">
        <x:v>Excluded</x:v>
      </x:c>
      <x:c r="I5210" s="16" t="str">
        <x:v>Missing email</x:v>
      </x:c>
    </x:row>
    <x:row r="5211">
      <x:c r="A5211" s="16" t="n">
        <x:v>5208</x:v>
      </x:c>
      <x:c r="B5211" s="16" t="str">
        <x:v>Norilyana AbLah</x:v>
      </x:c>
      <x:c r="C5211" s="16" t="str"/>
      <x:c r="D5211" s="16" t="str"/>
      <x:c r="E5211" s="16" t="str">
        <x:v>* myContacts</x:v>
      </x:c>
      <x:c r="F5211" s="16" t="str">
        <x:v>+60139523571</x:v>
      </x:c>
      <x:c r="G5211" s="16" t="str">
        <x:v>+60139523571</x:v>
      </x:c>
      <x:c r="H5211" s="16" t="str">
        <x:v>Excluded</x:v>
      </x:c>
      <x:c r="I5211" s="16" t="str">
        <x:v>Missing email</x:v>
      </x:c>
    </x:row>
    <x:row r="5212">
      <x:c r="A5212" s="16" t="n">
        <x:v>5209</x:v>
      </x:c>
      <x:c r="B5212" s="16" t="str">
        <x:v>Norita Jasman</x:v>
      </x:c>
      <x:c r="C5212" s="16" t="str"/>
      <x:c r="D5212" s="16" t="str"/>
      <x:c r="E5212" s="16" t="str">
        <x:v>* myContacts</x:v>
      </x:c>
      <x:c r="F5212" s="16" t="str">
        <x:v>+60165991758</x:v>
      </x:c>
      <x:c r="G5212" s="16" t="str">
        <x:v>+60165991758</x:v>
      </x:c>
      <x:c r="H5212" s="16" t="str">
        <x:v>Excluded</x:v>
      </x:c>
      <x:c r="I5212" s="16" t="str">
        <x:v>Missing email</x:v>
      </x:c>
    </x:row>
    <x:row r="5213">
      <x:c r="A5213" s="16" t="n">
        <x:v>5210</x:v>
      </x:c>
      <x:c r="B5213" s="16" t="str">
        <x:v>Noriza Ramlan</x:v>
      </x:c>
      <x:c r="C5213" s="16" t="str"/>
      <x:c r="D5213" s="16" t="str"/>
      <x:c r="E5213" s="16" t="str">
        <x:v>* myContacts</x:v>
      </x:c>
      <x:c r="F5213" s="16" t="str">
        <x:v>+60122558026</x:v>
      </x:c>
      <x:c r="G5213" s="16" t="str">
        <x:v>+60122558026</x:v>
      </x:c>
      <x:c r="H5213" s="16" t="str">
        <x:v>Excluded</x:v>
      </x:c>
      <x:c r="I5213" s="16" t="str">
        <x:v>Missing email</x:v>
      </x:c>
    </x:row>
    <x:row r="5214">
      <x:c r="A5214" s="16" t="n">
        <x:v>5211</x:v>
      </x:c>
      <x:c r="B5214" s="16" t="str">
        <x:v>Norizan Zulkifli</x:v>
      </x:c>
      <x:c r="C5214" s="16" t="str"/>
      <x:c r="D5214" s="16" t="str"/>
      <x:c r="E5214" s="16" t="str">
        <x:v>* myContacts</x:v>
      </x:c>
      <x:c r="F5214" s="16" t="str">
        <x:v>+60137601928</x:v>
      </x:c>
      <x:c r="G5214" s="16" t="str">
        <x:v>+60137601928</x:v>
      </x:c>
      <x:c r="H5214" s="16" t="str">
        <x:v>Excluded</x:v>
      </x:c>
      <x:c r="I5214" s="16" t="str">
        <x:v>Missing email</x:v>
      </x:c>
    </x:row>
    <x:row r="5215">
      <x:c r="A5215" s="16" t="n">
        <x:v>5212</x:v>
      </x:c>
      <x:c r="B5215" s="16" t="str">
        <x:v>Norkhafiza AGP</x:v>
      </x:c>
      <x:c r="C5215" s="16" t="str"/>
      <x:c r="D5215" s="16" t="str"/>
      <x:c r="E5215" s="16" t="str">
        <x:v>* myContacts</x:v>
      </x:c>
      <x:c r="F5215" s="16" t="str">
        <x:v>+60 18-407 7599 | +60184077599</x:v>
      </x:c>
      <x:c r="G5215" s="16" t="str">
        <x:v>+60184077599 | +60184077599</x:v>
      </x:c>
      <x:c r="H5215" s="16" t="str">
        <x:v>Excluded</x:v>
      </x:c>
      <x:c r="I5215" s="16" t="str">
        <x:v>Missing email</x:v>
      </x:c>
    </x:row>
    <x:row r="5216">
      <x:c r="A5216" s="16" t="n">
        <x:v>5213</x:v>
      </x:c>
      <x:c r="B5216" s="16" t="str">
        <x:v>Norlaili Abd Satar</x:v>
      </x:c>
      <x:c r="C5216" s="16" t="str"/>
      <x:c r="D5216" s="16" t="str"/>
      <x:c r="E5216" s="16" t="str">
        <x:v>* myContacts</x:v>
      </x:c>
      <x:c r="F5216" s="16" t="str">
        <x:v>+601139593449</x:v>
      </x:c>
      <x:c r="G5216" s="16" t="str">
        <x:v>+601139593449</x:v>
      </x:c>
      <x:c r="H5216" s="16" t="str">
        <x:v>Excluded</x:v>
      </x:c>
      <x:c r="I5216" s="16" t="str">
        <x:v>Missing email</x:v>
      </x:c>
    </x:row>
    <x:row r="5217">
      <x:c r="A5217" s="16" t="n">
        <x:v>5214</x:v>
      </x:c>
      <x:c r="B5217" s="16" t="str">
        <x:v>Norlaili Sidik</x:v>
      </x:c>
      <x:c r="C5217" s="16" t="str"/>
      <x:c r="D5217" s="16" t="str"/>
      <x:c r="E5217" s="16" t="str">
        <x:v>* myContacts</x:v>
      </x:c>
      <x:c r="F5217" s="16" t="str">
        <x:v>+60123379104</x:v>
      </x:c>
      <x:c r="G5217" s="16" t="str">
        <x:v>+60123379104</x:v>
      </x:c>
      <x:c r="H5217" s="16" t="str">
        <x:v>Excluded</x:v>
      </x:c>
      <x:c r="I5217" s="16" t="str">
        <x:v>Missing email</x:v>
      </x:c>
    </x:row>
    <x:row r="5218">
      <x:c r="A5218" s="16" t="n">
        <x:v>5215</x:v>
      </x:c>
      <x:c r="B5218" s="16" t="str">
        <x:v>Norlela Aisy Lela</x:v>
      </x:c>
      <x:c r="C5218" s="16" t="str"/>
      <x:c r="D5218" s="16" t="str"/>
      <x:c r="E5218" s="16" t="str">
        <x:v>* myContacts</x:v>
      </x:c>
      <x:c r="F5218" s="16" t="str">
        <x:v>+601137748385</x:v>
      </x:c>
      <x:c r="G5218" s="16" t="str">
        <x:v>+601137748385</x:v>
      </x:c>
      <x:c r="H5218" s="16" t="str">
        <x:v>Excluded</x:v>
      </x:c>
      <x:c r="I5218" s="16" t="str">
        <x:v>Missing email</x:v>
      </x:c>
    </x:row>
    <x:row r="5219">
      <x:c r="A5219" s="16" t="n">
        <x:v>5216</x:v>
      </x:c>
      <x:c r="B5219" s="16" t="str">
        <x:v>Norlelah Ahid</x:v>
      </x:c>
      <x:c r="C5219" s="16" t="str"/>
      <x:c r="D5219" s="16" t="str"/>
      <x:c r="E5219" s="16" t="str">
        <x:v>* myContacts</x:v>
      </x:c>
      <x:c r="F5219" s="16" t="str">
        <x:v>+60148673704</x:v>
      </x:c>
      <x:c r="G5219" s="16" t="str">
        <x:v>+60148673704</x:v>
      </x:c>
      <x:c r="H5219" s="16" t="str">
        <x:v>Excluded</x:v>
      </x:c>
      <x:c r="I5219" s="16" t="str">
        <x:v>Missing email</x:v>
      </x:c>
    </x:row>
    <x:row r="5220">
      <x:c r="A5220" s="16" t="n">
        <x:v>5217</x:v>
      </x:c>
      <x:c r="B5220" s="16" t="str">
        <x:v>Norli PID Rasa</x:v>
      </x:c>
      <x:c r="C5220" s="16" t="str"/>
      <x:c r="D5220" s="16" t="str"/>
      <x:c r="E5220" s="16" t="str">
        <x:v>* myContacts</x:v>
      </x:c>
      <x:c r="F5220" s="16" t="str">
        <x:v>+60 19-609 7184 | +60196097184</x:v>
      </x:c>
      <x:c r="G5220" s="16" t="str">
        <x:v>+60196097184 | +60196097184</x:v>
      </x:c>
      <x:c r="H5220" s="16" t="str">
        <x:v>Excluded</x:v>
      </x:c>
      <x:c r="I5220" s="16" t="str">
        <x:v>Missing email</x:v>
      </x:c>
    </x:row>
    <x:row r="5221">
      <x:c r="A5221" s="16" t="n">
        <x:v>5218</x:v>
      </x:c>
      <x:c r="B5221" s="16" t="str">
        <x:v>Norlia Zainal</x:v>
      </x:c>
      <x:c r="C5221" s="16" t="str"/>
      <x:c r="D5221" s="16" t="str"/>
      <x:c r="E5221" s="16" t="str">
        <x:v>* myContacts</x:v>
      </x:c>
      <x:c r="F5221" s="16" t="str">
        <x:v>+60128768183</x:v>
      </x:c>
      <x:c r="G5221" s="16" t="str">
        <x:v>+60128768183</x:v>
      </x:c>
      <x:c r="H5221" s="16" t="str">
        <x:v>Excluded</x:v>
      </x:c>
      <x:c r="I5221" s="16" t="str">
        <x:v>Missing email</x:v>
      </x:c>
    </x:row>
    <x:row r="5222">
      <x:c r="A5222" s="16" t="n">
        <x:v>5219</x:v>
      </x:c>
      <x:c r="B5222" s="16" t="str">
        <x:v>Norliana Amchas</x:v>
      </x:c>
      <x:c r="C5222" s="16" t="str"/>
      <x:c r="D5222" s="16" t="str"/>
      <x:c r="E5222" s="16" t="str">
        <x:v>* myContacts</x:v>
      </x:c>
      <x:c r="F5222" s="16" t="str">
        <x:v>+60195678807</x:v>
      </x:c>
      <x:c r="G5222" s="16" t="str">
        <x:v>+60195678807</x:v>
      </x:c>
      <x:c r="H5222" s="16" t="str">
        <x:v>Excluded</x:v>
      </x:c>
      <x:c r="I5222" s="16" t="str">
        <x:v>Missing email</x:v>
      </x:c>
    </x:row>
    <x:row r="5223">
      <x:c r="A5223" s="16" t="n">
        <x:v>5220</x:v>
      </x:c>
      <x:c r="B5223" s="16" t="str">
        <x:v>Norlida IM</x:v>
      </x:c>
      <x:c r="C5223" s="16" t="str"/>
      <x:c r="D5223" s="16" t="str"/>
      <x:c r="E5223" s="16" t="str">
        <x:v>* myContacts</x:v>
      </x:c>
      <x:c r="F5223" s="16" t="str">
        <x:v>019-354 4640 | +60193544640</x:v>
      </x:c>
      <x:c r="G5223" s="16" t="str">
        <x:v>+60193544640 | +60193544640</x:v>
      </x:c>
      <x:c r="H5223" s="16" t="str">
        <x:v>Excluded</x:v>
      </x:c>
      <x:c r="I5223" s="16" t="str">
        <x:v>Missing email</x:v>
      </x:c>
    </x:row>
    <x:row r="5224">
      <x:c r="A5224" s="16" t="n">
        <x:v>5221</x:v>
      </x:c>
      <x:c r="B5224" s="16" t="str">
        <x:v>Norly Aslinda</x:v>
      </x:c>
      <x:c r="C5224" s="16" t="str"/>
      <x:c r="D5224" s="16" t="str"/>
      <x:c r="E5224" s="16" t="str">
        <x:v>* myContacts</x:v>
      </x:c>
      <x:c r="F5224" s="16" t="str">
        <x:v>+60199991626</x:v>
      </x:c>
      <x:c r="G5224" s="16" t="str">
        <x:v>+60199991626</x:v>
      </x:c>
      <x:c r="H5224" s="16" t="str">
        <x:v>Excluded</x:v>
      </x:c>
      <x:c r="I5224" s="16" t="str">
        <x:v>Missing email</x:v>
      </x:c>
    </x:row>
    <x:row r="5225">
      <x:c r="A5225" s="16" t="n">
        <x:v>5222</x:v>
      </x:c>
      <x:c r="B5225" s="16" t="str">
        <x:v>Norma Hazambi</x:v>
      </x:c>
      <x:c r="C5225" s="16" t="str"/>
      <x:c r="D5225" s="16" t="str"/>
      <x:c r="E5225" s="16" t="str">
        <x:v>* myContacts</x:v>
      </x:c>
      <x:c r="F5225" s="16" t="str">
        <x:v>+60196432650</x:v>
      </x:c>
      <x:c r="G5225" s="16" t="str">
        <x:v>+60196432650</x:v>
      </x:c>
      <x:c r="H5225" s="16" t="str">
        <x:v>Excluded</x:v>
      </x:c>
      <x:c r="I5225" s="16" t="str">
        <x:v>Missing email</x:v>
      </x:c>
    </x:row>
    <x:row r="5226">
      <x:c r="A5226" s="16" t="n">
        <x:v>5223</x:v>
      </x:c>
      <x:c r="B5226" s="16" t="str">
        <x:v>Normah AGP</x:v>
      </x:c>
      <x:c r="C5226" s="16" t="str"/>
      <x:c r="D5226" s="16" t="str"/>
      <x:c r="E5226" s="16" t="str">
        <x:v>* myContacts</x:v>
      </x:c>
      <x:c r="F5226" s="16" t="str">
        <x:v>+60 17-663 8302 | +60176638302</x:v>
      </x:c>
      <x:c r="G5226" s="16" t="str">
        <x:v>+60176638302 | +60176638302</x:v>
      </x:c>
      <x:c r="H5226" s="16" t="str">
        <x:v>Excluded</x:v>
      </x:c>
      <x:c r="I5226" s="16" t="str">
        <x:v>Missing email</x:v>
      </x:c>
    </x:row>
    <x:row r="5227">
      <x:c r="A5227" s="16" t="n">
        <x:v>5224</x:v>
      </x:c>
      <x:c r="B5227" s="16" t="str">
        <x:v>Normala Hamzah</x:v>
      </x:c>
      <x:c r="C5227" s="16" t="str"/>
      <x:c r="D5227" s="16" t="str"/>
      <x:c r="E5227" s="16" t="str">
        <x:v>* myContacts</x:v>
      </x:c>
      <x:c r="F5227" s="16" t="str">
        <x:v>+60175131916</x:v>
      </x:c>
      <x:c r="G5227" s="16" t="str">
        <x:v>+60175131916</x:v>
      </x:c>
      <x:c r="H5227" s="16" t="str">
        <x:v>Excluded</x:v>
      </x:c>
      <x:c r="I5227" s="16" t="str">
        <x:v>Missing email</x:v>
      </x:c>
    </x:row>
    <x:row r="5228">
      <x:c r="A5228" s="16" t="n">
        <x:v>5225</x:v>
      </x:c>
      <x:c r="B5228" s="16" t="str">
        <x:v>Normalisa Mohd Musarupi</x:v>
      </x:c>
      <x:c r="C5228" s="16" t="str"/>
      <x:c r="D5228" s="16" t="str"/>
      <x:c r="E5228" s="16" t="str">
        <x:v>* myContacts</x:v>
      </x:c>
      <x:c r="F5228" s="16" t="str">
        <x:v>+60122707685</x:v>
      </x:c>
      <x:c r="G5228" s="16" t="str">
        <x:v>+60122707685</x:v>
      </x:c>
      <x:c r="H5228" s="16" t="str">
        <x:v>Excluded</x:v>
      </x:c>
      <x:c r="I5228" s="16" t="str">
        <x:v>Missing email</x:v>
      </x:c>
    </x:row>
    <x:row r="5229">
      <x:c r="A5229" s="16" t="n">
        <x:v>5226</x:v>
      </x:c>
      <x:c r="B5229" s="16" t="str">
        <x:v>Normaya Osman</x:v>
      </x:c>
      <x:c r="C5229" s="16" t="str"/>
      <x:c r="D5229" s="16" t="str"/>
      <x:c r="E5229" s="16" t="str">
        <x:v>* myContacts</x:v>
      </x:c>
      <x:c r="F5229" s="16" t="str">
        <x:v>+60192313693</x:v>
      </x:c>
      <x:c r="G5229" s="16" t="str">
        <x:v>+60192313693</x:v>
      </x:c>
      <x:c r="H5229" s="16" t="str">
        <x:v>Excluded</x:v>
      </x:c>
      <x:c r="I5229" s="16" t="str">
        <x:v>Missing email</x:v>
      </x:c>
    </x:row>
    <x:row r="5230">
      <x:c r="A5230" s="16" t="n">
        <x:v>5227</x:v>
      </x:c>
      <x:c r="B5230" s="16" t="str">
        <x:v>Nornazurah Mohammad</x:v>
      </x:c>
      <x:c r="C5230" s="16" t="str"/>
      <x:c r="D5230" s="16" t="str"/>
      <x:c r="E5230" s="16" t="str">
        <x:v>* myContacts</x:v>
      </x:c>
      <x:c r="F5230" s="16" t="str">
        <x:v>+60128618722</x:v>
      </x:c>
      <x:c r="G5230" s="16" t="str">
        <x:v>+60128618722</x:v>
      </x:c>
      <x:c r="H5230" s="16" t="str">
        <x:v>Excluded</x:v>
      </x:c>
      <x:c r="I5230" s="16" t="str">
        <x:v>Missing email</x:v>
      </x:c>
    </x:row>
    <x:row r="5231">
      <x:c r="A5231" s="16" t="n">
        <x:v>5228</x:v>
      </x:c>
      <x:c r="B5231" s="16" t="str">
        <x:v>Nornikman Mat Yusoff</x:v>
      </x:c>
      <x:c r="C5231" s="16" t="str"/>
      <x:c r="D5231" s="16" t="str"/>
      <x:c r="E5231" s="16" t="str">
        <x:v>* myContacts</x:v>
      </x:c>
      <x:c r="F5231" s="16" t="str">
        <x:v>+60139625383</x:v>
      </x:c>
      <x:c r="G5231" s="16" t="str">
        <x:v>+60139625383</x:v>
      </x:c>
      <x:c r="H5231" s="16" t="str">
        <x:v>Excluded</x:v>
      </x:c>
      <x:c r="I5231" s="16" t="str">
        <x:v>Missing email</x:v>
      </x:c>
    </x:row>
    <x:row r="5232">
      <x:c r="A5232" s="16" t="n">
        <x:v>5229</x:v>
      </x:c>
      <x:c r="B5232" s="16" t="str">
        <x:v>Norsamsida AGP</x:v>
      </x:c>
      <x:c r="C5232" s="16" t="str"/>
      <x:c r="D5232" s="16" t="str"/>
      <x:c r="E5232" s="16" t="str">
        <x:v>* myContacts</x:v>
      </x:c>
      <x:c r="F5232" s="16" t="str">
        <x:v>+60 17-930 1980 | +60179301980</x:v>
      </x:c>
      <x:c r="G5232" s="16" t="str">
        <x:v>+60179301980 | +60179301980</x:v>
      </x:c>
      <x:c r="H5232" s="16" t="str">
        <x:v>Excluded</x:v>
      </x:c>
      <x:c r="I5232" s="16" t="str">
        <x:v>Missing email</x:v>
      </x:c>
    </x:row>
    <x:row r="5233">
      <x:c r="A5233" s="16" t="n">
        <x:v>5230</x:v>
      </x:c>
      <x:c r="B5233" s="16" t="str">
        <x:v>Norshahila Shiela</x:v>
      </x:c>
      <x:c r="C5233" s="16" t="str"/>
      <x:c r="D5233" s="16" t="str"/>
      <x:c r="E5233" s="16" t="str">
        <x:v>* myContacts</x:v>
      </x:c>
      <x:c r="F5233" s="16" t="str">
        <x:v>+60126698610</x:v>
      </x:c>
      <x:c r="G5233" s="16" t="str">
        <x:v>+60126698610</x:v>
      </x:c>
      <x:c r="H5233" s="16" t="str">
        <x:v>Excluded</x:v>
      </x:c>
      <x:c r="I5233" s="16" t="str">
        <x:v>Missing email</x:v>
      </x:c>
    </x:row>
    <x:row r="5234">
      <x:c r="A5234" s="16" t="n">
        <x:v>5231</x:v>
      </x:c>
      <x:c r="B5234" s="16" t="str">
        <x:v>Norsharmila Mohd Yasar</x:v>
      </x:c>
      <x:c r="C5234" s="16" t="str"/>
      <x:c r="D5234" s="16" t="str"/>
      <x:c r="E5234" s="16" t="str">
        <x:v>* myContacts</x:v>
      </x:c>
      <x:c r="F5234" s="16" t="str">
        <x:v>+60133512134</x:v>
      </x:c>
      <x:c r="G5234" s="16" t="str">
        <x:v>+60133512134</x:v>
      </x:c>
      <x:c r="H5234" s="16" t="str">
        <x:v>Excluded</x:v>
      </x:c>
      <x:c r="I5234" s="16" t="str">
        <x:v>Missing email</x:v>
      </x:c>
    </x:row>
    <x:row r="5235">
      <x:c r="A5235" s="16" t="n">
        <x:v>5232</x:v>
      </x:c>
      <x:c r="B5235" s="16" t="str">
        <x:v>Norsuzila Suzi</x:v>
      </x:c>
      <x:c r="C5235" s="16" t="str"/>
      <x:c r="D5235" s="16" t="str"/>
      <x:c r="E5235" s="16" t="str">
        <x:v>* myContacts</x:v>
      </x:c>
      <x:c r="F5235" s="16" t="str">
        <x:v>+60122164925</x:v>
      </x:c>
      <x:c r="G5235" s="16" t="str">
        <x:v>+60122164925</x:v>
      </x:c>
      <x:c r="H5235" s="16" t="str">
        <x:v>Excluded</x:v>
      </x:c>
      <x:c r="I5235" s="16" t="str">
        <x:v>Missing email</x:v>
      </x:c>
    </x:row>
    <x:row r="5236">
      <x:c r="A5236" s="16" t="n">
        <x:v>5233</x:v>
      </x:c>
      <x:c r="B5236" s="16" t="str">
        <x:v>Norsyuhada Safri</x:v>
      </x:c>
      <x:c r="C5236" s="16" t="str"/>
      <x:c r="D5236" s="16" t="str"/>
      <x:c r="E5236" s="16" t="str">
        <x:v>* myContacts</x:v>
      </x:c>
      <x:c r="F5236" s="16" t="str">
        <x:v>+60145113181</x:v>
      </x:c>
      <x:c r="G5236" s="16" t="str">
        <x:v>+60145113181</x:v>
      </x:c>
      <x:c r="H5236" s="16" t="str">
        <x:v>Excluded</x:v>
      </x:c>
      <x:c r="I5236" s="16" t="str">
        <x:v>Missing email</x:v>
      </x:c>
    </x:row>
    <x:row r="5237">
      <x:c r="A5237" s="16" t="n">
        <x:v>5234</x:v>
      </x:c>
      <x:c r="B5237" s="16" t="str">
        <x:v>Norsyuhada Shrul</x:v>
      </x:c>
      <x:c r="C5237" s="16" t="str"/>
      <x:c r="D5237" s="16" t="str"/>
      <x:c r="E5237" s="16" t="str">
        <x:v>* myContacts</x:v>
      </x:c>
      <x:c r="F5237" s="16" t="str">
        <x:v>+601115402145</x:v>
      </x:c>
      <x:c r="G5237" s="16" t="str">
        <x:v>+601115402145</x:v>
      </x:c>
      <x:c r="H5237" s="16" t="str">
        <x:v>Excluded</x:v>
      </x:c>
      <x:c r="I5237" s="16" t="str">
        <x:v>Missing email</x:v>
      </x:c>
    </x:row>
    <x:row r="5238">
      <x:c r="A5238" s="16" t="n">
        <x:v>5235</x:v>
      </x:c>
      <x:c r="B5238" s="16" t="str">
        <x:v>Norul Hidayah</x:v>
      </x:c>
      <x:c r="C5238" s="16" t="str"/>
      <x:c r="D5238" s="16" t="str"/>
      <x:c r="E5238" s="16" t="str">
        <x:v>* myContacts</x:v>
      </x:c>
      <x:c r="F5238" s="16" t="str">
        <x:v>+60139210265</x:v>
      </x:c>
      <x:c r="G5238" s="16" t="str">
        <x:v>+60139210265</x:v>
      </x:c>
      <x:c r="H5238" s="16" t="str">
        <x:v>Excluded</x:v>
      </x:c>
      <x:c r="I5238" s="16" t="str">
        <x:v>Missing email</x:v>
      </x:c>
    </x:row>
    <x:row r="5239">
      <x:c r="A5239" s="16" t="n">
        <x:v>5236</x:v>
      </x:c>
      <x:c r="B5239" s="16" t="str">
        <x:v>Norysham Kek Lapis</x:v>
      </x:c>
      <x:c r="C5239" s="16" t="str"/>
      <x:c r="D5239" s="16" t="str"/>
      <x:c r="E5239" s="16" t="str">
        <x:v>* myContacts</x:v>
      </x:c>
      <x:c r="F5239" s="16" t="str">
        <x:v>+60128864052</x:v>
      </x:c>
      <x:c r="G5239" s="16" t="str">
        <x:v>+60128864052</x:v>
      </x:c>
      <x:c r="H5239" s="16" t="str">
        <x:v>Excluded</x:v>
      </x:c>
      <x:c r="I5239" s="16" t="str">
        <x:v>Missing email</x:v>
      </x:c>
    </x:row>
    <x:row r="5240">
      <x:c r="A5240" s="16" t="n">
        <x:v>5237</x:v>
      </x:c>
      <x:c r="B5240" s="16" t="str">
        <x:v>Norzureimy Mursal</x:v>
      </x:c>
      <x:c r="C5240" s="16" t="str"/>
      <x:c r="D5240" s="16" t="str"/>
      <x:c r="E5240" s="16" t="str">
        <x:v>* myContacts</x:v>
      </x:c>
      <x:c r="F5240" s="16" t="str">
        <x:v>+60356117095</x:v>
      </x:c>
      <x:c r="G5240" s="16" t="str">
        <x:v>+60356117095</x:v>
      </x:c>
      <x:c r="H5240" s="16" t="str">
        <x:v>Excluded</x:v>
      </x:c>
      <x:c r="I5240" s="16" t="str">
        <x:v>Missing email</x:v>
      </x:c>
    </x:row>
    <x:row r="5241">
      <x:c r="A5241" s="16" t="n">
        <x:v>5238</x:v>
      </x:c>
      <x:c r="B5241" s="16" t="str">
        <x:v>Nourel Iman Iman</x:v>
      </x:c>
      <x:c r="C5241" s="16" t="str"/>
      <x:c r="D5241" s="16" t="str"/>
      <x:c r="E5241" s="16" t="str">
        <x:v>* myContacts</x:v>
      </x:c>
      <x:c r="F5241" s="16" t="str">
        <x:v>+60109143514</x:v>
      </x:c>
      <x:c r="G5241" s="16" t="str">
        <x:v>+60109143514</x:v>
      </x:c>
      <x:c r="H5241" s="16" t="str">
        <x:v>Excluded</x:v>
      </x:c>
      <x:c r="I5241" s="16" t="str">
        <x:v>Missing email</x:v>
      </x:c>
    </x:row>
    <x:row r="5242">
      <x:c r="A5242" s="16" t="n">
        <x:v>5239</x:v>
      </x:c>
      <x:c r="B5242" s="16" t="str">
        <x:v>Nova Chabrety Ciiperkeleng</x:v>
      </x:c>
      <x:c r="C5242" s="16" t="str"/>
      <x:c r="D5242" s="16" t="str"/>
      <x:c r="E5242" s="16" t="str">
        <x:v>* myContacts</x:v>
      </x:c>
      <x:c r="F5242" s="16" t="str">
        <x:v>+6285831298515</x:v>
      </x:c>
      <x:c r="G5242" s="16" t="str">
        <x:v>+6285831298515</x:v>
      </x:c>
      <x:c r="H5242" s="16" t="str">
        <x:v>Excluded</x:v>
      </x:c>
      <x:c r="I5242" s="16" t="str">
        <x:v>Missing email</x:v>
      </x:c>
    </x:row>
    <x:row r="5243">
      <x:c r="A5243" s="16" t="n">
        <x:v>5240</x:v>
      </x:c>
      <x:c r="B5243" s="16" t="str">
        <x:v>Novi Widi Yanti Yanti</x:v>
      </x:c>
      <x:c r="C5243" s="16" t="str"/>
      <x:c r="D5243" s="16" t="str"/>
      <x:c r="E5243" s="16" t="str">
        <x:v>* myContacts</x:v>
      </x:c>
      <x:c r="F5243" s="16" t="str">
        <x:v>+60102058244</x:v>
      </x:c>
      <x:c r="G5243" s="16" t="str">
        <x:v>+60102058244</x:v>
      </x:c>
      <x:c r="H5243" s="16" t="str">
        <x:v>Excluded</x:v>
      </x:c>
      <x:c r="I5243" s="16" t="str">
        <x:v>Missing email</x:v>
      </x:c>
    </x:row>
    <x:row r="5244">
      <x:c r="A5244" s="16" t="n">
        <x:v>5241</x:v>
      </x:c>
      <x:c r="B5244" s="16" t="str">
        <x:v>Nrl AfifaRoslan</x:v>
      </x:c>
      <x:c r="C5244" s="16" t="str"/>
      <x:c r="D5244" s="16" t="str"/>
      <x:c r="E5244" s="16" t="str">
        <x:v>* myContacts</x:v>
      </x:c>
      <x:c r="F5244" s="16" t="str">
        <x:v>+60135132677</x:v>
      </x:c>
      <x:c r="G5244" s="16" t="str">
        <x:v>+60135132677</x:v>
      </x:c>
      <x:c r="H5244" s="16" t="str">
        <x:v>Excluded</x:v>
      </x:c>
      <x:c r="I5244" s="16" t="str">
        <x:v>Missing email</x:v>
      </x:c>
    </x:row>
    <x:row r="5245">
      <x:c r="A5245" s="16" t="n">
        <x:v>5242</x:v>
      </x:c>
      <x:c r="B5245" s="16" t="str">
        <x:v>Nuliana Ana</x:v>
      </x:c>
      <x:c r="C5245" s="16" t="str"/>
      <x:c r="D5245" s="16" t="str"/>
      <x:c r="E5245" s="16" t="str">
        <x:v>* myContacts</x:v>
      </x:c>
      <x:c r="F5245" s="16" t="str">
        <x:v>+60199202786</x:v>
      </x:c>
      <x:c r="G5245" s="16" t="str">
        <x:v>+60199202786</x:v>
      </x:c>
      <x:c r="H5245" s="16" t="str">
        <x:v>Excluded</x:v>
      </x:c>
      <x:c r="I5245" s="16" t="str">
        <x:v>Missing email</x:v>
      </x:c>
    </x:row>
    <x:row r="5246">
      <x:c r="A5246" s="16" t="n">
        <x:v>5243</x:v>
      </x:c>
      <x:c r="B5246" s="16" t="str">
        <x:v>Nunung Ilyani Makkawaru</x:v>
      </x:c>
      <x:c r="C5246" s="16" t="str"/>
      <x:c r="D5246" s="16" t="str"/>
      <x:c r="E5246" s="16" t="str">
        <x:v>* myContacts</x:v>
      </x:c>
      <x:c r="F5246" s="16" t="str">
        <x:v>+6282293033218</x:v>
      </x:c>
      <x:c r="G5246" s="16" t="str">
        <x:v>+6282293033218</x:v>
      </x:c>
      <x:c r="H5246" s="16" t="str">
        <x:v>Excluded</x:v>
      </x:c>
      <x:c r="I5246" s="16" t="str">
        <x:v>Missing email</x:v>
      </x:c>
    </x:row>
    <x:row r="5247">
      <x:c r="A5247" s="16" t="n">
        <x:v>5244</x:v>
      </x:c>
      <x:c r="B5247" s="16" t="str">
        <x:v>Nuqman Nabil</x:v>
      </x:c>
      <x:c r="C5247" s="16" t="str"/>
      <x:c r="D5247" s="16" t="str"/>
      <x:c r="E5247" s="16" t="str">
        <x:v>* myContacts</x:v>
      </x:c>
      <x:c r="F5247" s="16" t="str">
        <x:v>+60194376609</x:v>
      </x:c>
      <x:c r="G5247" s="16" t="str">
        <x:v>+60194376609</x:v>
      </x:c>
      <x:c r="H5247" s="16" t="str">
        <x:v>Excluded</x:v>
      </x:c>
      <x:c r="I5247" s="16" t="str">
        <x:v>Missing email</x:v>
      </x:c>
    </x:row>
    <x:row r="5248">
      <x:c r="A5248" s="16" t="n">
        <x:v>5245</x:v>
      </x:c>
      <x:c r="B5248" s="16" t="str">
        <x:v>Nur Adira QM</x:v>
      </x:c>
      <x:c r="C5248" s="16" t="str"/>
      <x:c r="D5248" s="16" t="str"/>
      <x:c r="E5248" s="16" t="str">
        <x:v>* myContacts</x:v>
      </x:c>
      <x:c r="F5248" s="16" t="str">
        <x:v>+60105632126</x:v>
      </x:c>
      <x:c r="G5248" s="16" t="str">
        <x:v>+60105632126</x:v>
      </x:c>
      <x:c r="H5248" s="16" t="str">
        <x:v>Excluded</x:v>
      </x:c>
      <x:c r="I5248" s="16" t="str">
        <x:v>Missing email</x:v>
      </x:c>
    </x:row>
    <x:row r="5249">
      <x:c r="A5249" s="16" t="n">
        <x:v>5246</x:v>
      </x:c>
      <x:c r="B5249" s="16" t="str">
        <x:v>Nur Afiq Izham</x:v>
      </x:c>
      <x:c r="C5249" s="16" t="str"/>
      <x:c r="D5249" s="16" t="str"/>
      <x:c r="E5249" s="16" t="str">
        <x:v>* myContacts</x:v>
      </x:c>
      <x:c r="F5249" s="16" t="str">
        <x:v>+601115188040</x:v>
      </x:c>
      <x:c r="G5249" s="16" t="str">
        <x:v>+601115188040</x:v>
      </x:c>
      <x:c r="H5249" s="16" t="str">
        <x:v>Excluded</x:v>
      </x:c>
      <x:c r="I5249" s="16" t="str">
        <x:v>Missing email</x:v>
      </x:c>
    </x:row>
    <x:row r="5250">
      <x:c r="A5250" s="16" t="n">
        <x:v>5247</x:v>
      </x:c>
      <x:c r="B5250" s="16" t="str">
        <x:v>Nur Afiqah</x:v>
      </x:c>
      <x:c r="C5250" s="16" t="str"/>
      <x:c r="D5250" s="16" t="str"/>
      <x:c r="E5250" s="16" t="str">
        <x:v>* myContacts</x:v>
      </x:c>
      <x:c r="F5250" s="16" t="str">
        <x:v>+60193776510</x:v>
      </x:c>
      <x:c r="G5250" s="16" t="str">
        <x:v>+60193776510</x:v>
      </x:c>
      <x:c r="H5250" s="16" t="str">
        <x:v>Excluded</x:v>
      </x:c>
      <x:c r="I5250" s="16" t="str">
        <x:v>Missing email</x:v>
      </x:c>
    </x:row>
    <x:row r="5251">
      <x:c r="A5251" s="16" t="n">
        <x:v>5248</x:v>
      </x:c>
      <x:c r="B5251" s="16" t="str">
        <x:v>Nur Ain AGP</x:v>
      </x:c>
      <x:c r="C5251" s="16" t="str"/>
      <x:c r="D5251" s="16" t="str"/>
      <x:c r="E5251" s="16" t="str">
        <x:v>* myContacts</x:v>
      </x:c>
      <x:c r="F5251" s="16" t="str">
        <x:v>+60 12-905 7258 | +60129057258</x:v>
      </x:c>
      <x:c r="G5251" s="16" t="str">
        <x:v>+60129057258 | +60129057258</x:v>
      </x:c>
      <x:c r="H5251" s="16" t="str">
        <x:v>Excluded</x:v>
      </x:c>
      <x:c r="I5251" s="16" t="str">
        <x:v>Missing email</x:v>
      </x:c>
    </x:row>
    <x:row r="5252">
      <x:c r="A5252" s="16" t="n">
        <x:v>5249</x:v>
      </x:c>
      <x:c r="B5252" s="16" t="str">
        <x:v>Nur Ain Nazri</x:v>
      </x:c>
      <x:c r="C5252" s="16" t="str"/>
      <x:c r="D5252" s="16" t="str"/>
      <x:c r="E5252" s="16" t="str">
        <x:v>* myContacts</x:v>
      </x:c>
      <x:c r="F5252" s="16" t="str">
        <x:v>+60146058372</x:v>
      </x:c>
      <x:c r="G5252" s="16" t="str">
        <x:v>+60146058372</x:v>
      </x:c>
      <x:c r="H5252" s="16" t="str">
        <x:v>Excluded</x:v>
      </x:c>
      <x:c r="I5252" s="16" t="str">
        <x:v>Missing email</x:v>
      </x:c>
    </x:row>
    <x:row r="5253">
      <x:c r="A5253" s="16" t="n">
        <x:v>5250</x:v>
      </x:c>
      <x:c r="B5253" s="16" t="str">
        <x:v>Nur Aini</x:v>
      </x:c>
      <x:c r="C5253" s="16" t="str"/>
      <x:c r="D5253" s="16" t="str"/>
      <x:c r="E5253" s="16" t="str">
        <x:v>* myContacts</x:v>
      </x:c>
      <x:c r="F5253" s="16" t="str">
        <x:v>+601123740072</x:v>
      </x:c>
      <x:c r="G5253" s="16" t="str">
        <x:v>+601123740072</x:v>
      </x:c>
      <x:c r="H5253" s="16" t="str">
        <x:v>Excluded</x:v>
      </x:c>
      <x:c r="I5253" s="16" t="str">
        <x:v>Missing email</x:v>
      </x:c>
    </x:row>
    <x:row r="5254">
      <x:c r="A5254" s="16" t="n">
        <x:v>5251</x:v>
      </x:c>
      <x:c r="B5254" s="16" t="str">
        <x:v>Nur Ainie</x:v>
      </x:c>
      <x:c r="C5254" s="16" t="str"/>
      <x:c r="D5254" s="16" t="str"/>
      <x:c r="E5254" s="16" t="str">
        <x:v>* myContacts</x:v>
      </x:c>
      <x:c r="F5254" s="16" t="str">
        <x:v>+60137814829</x:v>
      </x:c>
      <x:c r="G5254" s="16" t="str">
        <x:v>+60137814829</x:v>
      </x:c>
      <x:c r="H5254" s="16" t="str">
        <x:v>Excluded</x:v>
      </x:c>
      <x:c r="I5254" s="16" t="str">
        <x:v>Missing email</x:v>
      </x:c>
    </x:row>
    <x:row r="5255">
      <x:c r="A5255" s="16" t="n">
        <x:v>5252</x:v>
      </x:c>
      <x:c r="B5255" s="16" t="str">
        <x:v>Nur Aireen Natasha</x:v>
      </x:c>
      <x:c r="C5255" s="16" t="str"/>
      <x:c r="D5255" s="16" t="str"/>
      <x:c r="E5255" s="16" t="str">
        <x:v>* myContacts</x:v>
      </x:c>
      <x:c r="F5255" s="16" t="str">
        <x:v>+60169582652</x:v>
      </x:c>
      <x:c r="G5255" s="16" t="str">
        <x:v>+60169582652</x:v>
      </x:c>
      <x:c r="H5255" s="16" t="str">
        <x:v>Excluded</x:v>
      </x:c>
      <x:c r="I5255" s="16" t="str">
        <x:v>Missing email</x:v>
      </x:c>
    </x:row>
    <x:row r="5256">
      <x:c r="A5256" s="16" t="n">
        <x:v>5253</x:v>
      </x:c>
      <x:c r="B5256" s="16" t="str">
        <x:v>Nur Aishah Rohaizat</x:v>
      </x:c>
      <x:c r="C5256" s="16" t="str"/>
      <x:c r="D5256" s="16" t="str"/>
      <x:c r="E5256" s="16" t="str">
        <x:v>* myContacts</x:v>
      </x:c>
      <x:c r="F5256" s="16" t="str">
        <x:v>+60195828088</x:v>
      </x:c>
      <x:c r="G5256" s="16" t="str">
        <x:v>+60195828088</x:v>
      </x:c>
      <x:c r="H5256" s="16" t="str">
        <x:v>Excluded</x:v>
      </x:c>
      <x:c r="I5256" s="16" t="str">
        <x:v>Missing email</x:v>
      </x:c>
    </x:row>
    <x:row r="5257">
      <x:c r="A5257" s="16" t="n">
        <x:v>5254</x:v>
      </x:c>
      <x:c r="B5257" s="16" t="str">
        <x:v>Nur Aizah Rjb</x:v>
      </x:c>
      <x:c r="C5257" s="16" t="str"/>
      <x:c r="D5257" s="16" t="str"/>
      <x:c r="E5257" s="16" t="str">
        <x:v>* myContacts</x:v>
      </x:c>
      <x:c r="F5257" s="16" t="str">
        <x:v>+60 19-294 3292 | +60192943292</x:v>
      </x:c>
      <x:c r="G5257" s="16" t="str">
        <x:v>+60192943292 | +60192943292</x:v>
      </x:c>
      <x:c r="H5257" s="16" t="str">
        <x:v>Excluded</x:v>
      </x:c>
      <x:c r="I5257" s="16" t="str">
        <x:v>Missing email</x:v>
      </x:c>
    </x:row>
    <x:row r="5258">
      <x:c r="A5258" s="16" t="n">
        <x:v>5255</x:v>
      </x:c>
      <x:c r="B5258" s="16" t="str">
        <x:v>Nur Akmar Ariffin</x:v>
      </x:c>
      <x:c r="C5258" s="16" t="str"/>
      <x:c r="D5258" s="16" t="str"/>
      <x:c r="E5258" s="16" t="str">
        <x:v>* myContacts</x:v>
      </x:c>
      <x:c r="F5258" s="16" t="str">
        <x:v>+601117576586</x:v>
      </x:c>
      <x:c r="G5258" s="16" t="str">
        <x:v>+601117576586</x:v>
      </x:c>
      <x:c r="H5258" s="16" t="str">
        <x:v>Excluded</x:v>
      </x:c>
      <x:c r="I5258" s="16" t="str">
        <x:v>Missing email</x:v>
      </x:c>
    </x:row>
    <x:row r="5259">
      <x:c r="A5259" s="16" t="n">
        <x:v>5256</x:v>
      </x:c>
      <x:c r="B5259" s="16" t="str">
        <x:v>Nur Amiera Syuhada</x:v>
      </x:c>
      <x:c r="C5259" s="16" t="str"/>
      <x:c r="D5259" s="16" t="str"/>
      <x:c r="E5259" s="16" t="str">
        <x:v>* myContacts</x:v>
      </x:c>
      <x:c r="F5259" s="16" t="str">
        <x:v>+60127293155</x:v>
      </x:c>
      <x:c r="G5259" s="16" t="str">
        <x:v>+60127293155</x:v>
      </x:c>
      <x:c r="H5259" s="16" t="str">
        <x:v>Excluded</x:v>
      </x:c>
      <x:c r="I5259" s="16" t="str">
        <x:v>Missing email</x:v>
      </x:c>
    </x:row>
    <x:row r="5260">
      <x:c r="A5260" s="16" t="n">
        <x:v>5257</x:v>
      </x:c>
      <x:c r="B5260" s="16" t="str">
        <x:v>Nur Amira</x:v>
      </x:c>
      <x:c r="C5260" s="16" t="str"/>
      <x:c r="D5260" s="16" t="str"/>
      <x:c r="E5260" s="16" t="str">
        <x:v>* myContacts</x:v>
      </x:c>
      <x:c r="F5260" s="16" t="str">
        <x:v>+60136275740</x:v>
      </x:c>
      <x:c r="G5260" s="16" t="str">
        <x:v>+60136275740</x:v>
      </x:c>
      <x:c r="H5260" s="16" t="str">
        <x:v>Excluded</x:v>
      </x:c>
      <x:c r="I5260" s="16" t="str">
        <x:v>Missing email</x:v>
      </x:c>
    </x:row>
    <x:row r="5261">
      <x:c r="A5261" s="16" t="n">
        <x:v>5258</x:v>
      </x:c>
      <x:c r="B5261" s="16" t="str">
        <x:v>Nur Amiza Azmi</x:v>
      </x:c>
      <x:c r="C5261" s="16" t="str"/>
      <x:c r="D5261" s="16" t="str"/>
      <x:c r="E5261" s="16" t="str">
        <x:v>* myContacts</x:v>
      </x:c>
      <x:c r="F5261" s="16" t="str">
        <x:v>+601111000838</x:v>
      </x:c>
      <x:c r="G5261" s="16" t="str">
        <x:v>+601111000838</x:v>
      </x:c>
      <x:c r="H5261" s="16" t="str">
        <x:v>Excluded</x:v>
      </x:c>
      <x:c r="I5261" s="16" t="str">
        <x:v>Missing email</x:v>
      </x:c>
    </x:row>
    <x:row r="5262">
      <x:c r="A5262" s="16" t="n">
        <x:v>5259</x:v>
      </x:c>
      <x:c r="B5262" s="16" t="str">
        <x:v>Nur Anisah Abdullah</x:v>
      </x:c>
      <x:c r="C5262" s="16" t="str"/>
      <x:c r="D5262" s="16" t="str"/>
      <x:c r="E5262" s="16" t="str">
        <x:v>* myContacts</x:v>
      </x:c>
      <x:c r="F5262" s="16" t="str">
        <x:v>+60129055380</x:v>
      </x:c>
      <x:c r="G5262" s="16" t="str">
        <x:v>+60129055380</x:v>
      </x:c>
      <x:c r="H5262" s="16" t="str">
        <x:v>Excluded</x:v>
      </x:c>
      <x:c r="I5262" s="16" t="str">
        <x:v>Missing email</x:v>
      </x:c>
    </x:row>
    <x:row r="5263">
      <x:c r="A5263" s="16" t="n">
        <x:v>5260</x:v>
      </x:c>
      <x:c r="B5263" s="16" t="str">
        <x:v>Nur Aqeela INSKEN</x:v>
      </x:c>
      <x:c r="C5263" s="16" t="str">
        <x:v>aqeela@insken.gov.my</x:v>
      </x:c>
      <x:c r="D5263" s="16" t="str">
        <x:v>aqeela@insken.gov.my</x:v>
      </x:c>
      <x:c r="E5263" s="16" t="str">
        <x:v>Alumni INSKEN | * myContacts</x:v>
      </x:c>
      <x:c r="F5263" s="16" t="str">
        <x:v>017-767 0627 | +60177670627 | 03-8314 8822</x:v>
      </x:c>
      <x:c r="G5263" s="16" t="str">
        <x:v>+60177670627 | +60177670627 | +60383148822</x:v>
      </x:c>
      <x:c r="H5263" s="16" t="str">
        <x:v>Eligible</x:v>
      </x:c>
      <x:c r="I5263" s="16" t="str"/>
    </x:row>
    <x:row r="5264">
      <x:c r="A5264" s="16" t="n">
        <x:v>5261</x:v>
      </x:c>
      <x:c r="B5264" s="16" t="str">
        <x:v>Nur Aqilah MK</x:v>
      </x:c>
      <x:c r="C5264" s="16" t="str"/>
      <x:c r="D5264" s="16" t="str"/>
      <x:c r="E5264" s="16" t="str">
        <x:v>* myContacts</x:v>
      </x:c>
      <x:c r="F5264" s="16" t="str">
        <x:v>+60134241342</x:v>
      </x:c>
      <x:c r="G5264" s="16" t="str">
        <x:v>+60134241342</x:v>
      </x:c>
      <x:c r="H5264" s="16" t="str">
        <x:v>Excluded</x:v>
      </x:c>
      <x:c r="I5264" s="16" t="str">
        <x:v>Missing email</x:v>
      </x:c>
    </x:row>
    <x:row r="5265">
      <x:c r="A5265" s="16" t="n">
        <x:v>5262</x:v>
      </x:c>
      <x:c r="B5265" s="16" t="str">
        <x:v>Nur Arimi Suhada Bakar</x:v>
      </x:c>
      <x:c r="C5265" s="16" t="str"/>
      <x:c r="D5265" s="16" t="str"/>
      <x:c r="E5265" s="16" t="str">
        <x:v>* myContacts</x:v>
      </x:c>
      <x:c r="F5265" s="16" t="str">
        <x:v>+60126433136</x:v>
      </x:c>
      <x:c r="G5265" s="16" t="str">
        <x:v>+60126433136</x:v>
      </x:c>
      <x:c r="H5265" s="16" t="str">
        <x:v>Excluded</x:v>
      </x:c>
      <x:c r="I5265" s="16" t="str">
        <x:v>Missing email</x:v>
      </x:c>
    </x:row>
    <x:row r="5266">
      <x:c r="A5266" s="16" t="n">
        <x:v>5263</x:v>
      </x:c>
      <x:c r="B5266" s="16" t="str">
        <x:v>Nur Athma Zulkarnaini</x:v>
      </x:c>
      <x:c r="C5266" s="16" t="str"/>
      <x:c r="D5266" s="16" t="str"/>
      <x:c r="E5266" s="16" t="str">
        <x:v>* myContacts</x:v>
      </x:c>
      <x:c r="F5266" s="16" t="str">
        <x:v>+60132553817</x:v>
      </x:c>
      <x:c r="G5266" s="16" t="str">
        <x:v>+60132553817</x:v>
      </x:c>
      <x:c r="H5266" s="16" t="str">
        <x:v>Excluded</x:v>
      </x:c>
      <x:c r="I5266" s="16" t="str">
        <x:v>Missing email</x:v>
      </x:c>
    </x:row>
    <x:row r="5267">
      <x:c r="A5267" s="16" t="n">
        <x:v>5264</x:v>
      </x:c>
      <x:c r="B5267" s="16" t="str">
        <x:v>Nur Azila</x:v>
      </x:c>
      <x:c r="C5267" s="16" t="str"/>
      <x:c r="D5267" s="16" t="str"/>
      <x:c r="E5267" s="16" t="str">
        <x:v>* myContacts</x:v>
      </x:c>
      <x:c r="F5267" s="16" t="str">
        <x:v>+60175278509</x:v>
      </x:c>
      <x:c r="G5267" s="16" t="str">
        <x:v>+60175278509</x:v>
      </x:c>
      <x:c r="H5267" s="16" t="str">
        <x:v>Excluded</x:v>
      </x:c>
      <x:c r="I5267" s="16" t="str">
        <x:v>Missing email</x:v>
      </x:c>
    </x:row>
    <x:row r="5268">
      <x:c r="A5268" s="16" t="n">
        <x:v>5265</x:v>
      </x:c>
      <x:c r="B5268" s="16" t="str">
        <x:v>Nur Azlina Eina</x:v>
      </x:c>
      <x:c r="C5268" s="16" t="str"/>
      <x:c r="D5268" s="16" t="str"/>
      <x:c r="E5268" s="16" t="str">
        <x:v>* myContacts</x:v>
      </x:c>
      <x:c r="F5268" s="16" t="str">
        <x:v>+60125289200</x:v>
      </x:c>
      <x:c r="G5268" s="16" t="str">
        <x:v>+60125289200</x:v>
      </x:c>
      <x:c r="H5268" s="16" t="str">
        <x:v>Excluded</x:v>
      </x:c>
      <x:c r="I5268" s="16" t="str">
        <x:v>Missing email</x:v>
      </x:c>
    </x:row>
    <x:row r="5269">
      <x:c r="A5269" s="16" t="n">
        <x:v>5266</x:v>
      </x:c>
      <x:c r="B5269" s="16" t="str">
        <x:v>Nur Azmannur</x:v>
      </x:c>
      <x:c r="C5269" s="16" t="str"/>
      <x:c r="D5269" s="16" t="str"/>
      <x:c r="E5269" s="16" t="str">
        <x:v>* myContacts</x:v>
      </x:c>
      <x:c r="F5269" s="16" t="str">
        <x:v>+6282285302955</x:v>
      </x:c>
      <x:c r="G5269" s="16" t="str">
        <x:v>+6282285302955</x:v>
      </x:c>
      <x:c r="H5269" s="16" t="str">
        <x:v>Excluded</x:v>
      </x:c>
      <x:c r="I5269" s="16" t="str">
        <x:v>Missing email</x:v>
      </x:c>
    </x:row>
    <x:row r="5270">
      <x:c r="A5270" s="16" t="n">
        <x:v>5267</x:v>
      </x:c>
      <x:c r="B5270" s="16" t="str">
        <x:v>Nur Azre Tiktok Officer</x:v>
      </x:c>
      <x:c r="C5270" s="16" t="str">
        <x:v>nurazre@bytedance.com</x:v>
      </x:c>
      <x:c r="D5270" s="16" t="str">
        <x:v>nurazre@bytedance.com</x:v>
      </x:c>
      <x:c r="E5270" s="16" t="str">
        <x:v>* myContacts</x:v>
      </x:c>
      <x:c r="F5270" s="16" t="str">
        <x:v>+60 12-284 3457 | +60122843457</x:v>
      </x:c>
      <x:c r="G5270" s="16" t="str">
        <x:v>+60122843457 | +60122843457</x:v>
      </x:c>
      <x:c r="H5270" s="16" t="str">
        <x:v>Eligible</x:v>
      </x:c>
      <x:c r="I5270" s="16" t="str"/>
    </x:row>
    <x:row r="5271">
      <x:c r="A5271" s="16" t="n">
        <x:v>5268</x:v>
      </x:c>
      <x:c r="B5271" s="16" t="str">
        <x:v>Nur Azrita GE Takaful</x:v>
      </x:c>
      <x:c r="C5271" s="16" t="str"/>
      <x:c r="D5271" s="16" t="str"/>
      <x:c r="E5271" s="16" t="str">
        <x:v>* myContacts</x:v>
      </x:c>
      <x:c r="F5271" s="16" t="str">
        <x:v>+601112443457</x:v>
      </x:c>
      <x:c r="G5271" s="16" t="str">
        <x:v>+601112443457</x:v>
      </x:c>
      <x:c r="H5271" s="16" t="str">
        <x:v>Excluded</x:v>
      </x:c>
      <x:c r="I5271" s="16" t="str">
        <x:v>Missing email</x:v>
      </x:c>
    </x:row>
    <x:row r="5272">
      <x:c r="A5272" s="16" t="n">
        <x:v>5269</x:v>
      </x:c>
      <x:c r="B5272" s="16" t="str">
        <x:v>Nur Baizura Md Shariff</x:v>
      </x:c>
      <x:c r="C5272" s="16" t="str"/>
      <x:c r="D5272" s="16" t="str"/>
      <x:c r="E5272" s="16" t="str">
        <x:v>* myContacts</x:v>
      </x:c>
      <x:c r="F5272" s="16" t="str">
        <x:v>+60132909960</x:v>
      </x:c>
      <x:c r="G5272" s="16" t="str">
        <x:v>+60132909960</x:v>
      </x:c>
      <x:c r="H5272" s="16" t="str">
        <x:v>Excluded</x:v>
      </x:c>
      <x:c r="I5272" s="16" t="str">
        <x:v>Missing email</x:v>
      </x:c>
    </x:row>
    <x:row r="5273">
      <x:c r="A5273" s="16" t="n">
        <x:v>5270</x:v>
      </x:c>
      <x:c r="B5273" s="16" t="str">
        <x:v>Nur Diyana Jamaludin</x:v>
      </x:c>
      <x:c r="C5273" s="16" t="str"/>
      <x:c r="D5273" s="16" t="str"/>
      <x:c r="E5273" s="16" t="str">
        <x:v>* myContacts</x:v>
      </x:c>
      <x:c r="F5273" s="16" t="str">
        <x:v>+60193076635</x:v>
      </x:c>
      <x:c r="G5273" s="16" t="str">
        <x:v>+60193076635</x:v>
      </x:c>
      <x:c r="H5273" s="16" t="str">
        <x:v>Excluded</x:v>
      </x:c>
      <x:c r="I5273" s="16" t="str">
        <x:v>Missing email</x:v>
      </x:c>
    </x:row>
    <x:row r="5274">
      <x:c r="A5274" s="16" t="n">
        <x:v>5271</x:v>
      </x:c>
      <x:c r="B5274" s="16" t="str">
        <x:v>Nur Elisa</x:v>
      </x:c>
      <x:c r="C5274" s="16" t="str"/>
      <x:c r="D5274" s="16" t="str"/>
      <x:c r="E5274" s="16" t="str">
        <x:v>* myContacts</x:v>
      </x:c>
      <x:c r="F5274" s="16" t="str">
        <x:v>+60162083729</x:v>
      </x:c>
      <x:c r="G5274" s="16" t="str">
        <x:v>+60162083729</x:v>
      </x:c>
      <x:c r="H5274" s="16" t="str">
        <x:v>Excluded</x:v>
      </x:c>
      <x:c r="I5274" s="16" t="str">
        <x:v>Missing email</x:v>
      </x:c>
    </x:row>
    <x:row r="5275">
      <x:c r="A5275" s="16" t="n">
        <x:v>5272</x:v>
      </x:c>
      <x:c r="B5275" s="16" t="str">
        <x:v>Nur Fadzlina Othman</x:v>
      </x:c>
      <x:c r="C5275" s="16" t="str"/>
      <x:c r="D5275" s="16" t="str"/>
      <x:c r="E5275" s="16" t="str">
        <x:v>* myContacts</x:v>
      </x:c>
      <x:c r="F5275" s="16" t="str">
        <x:v>+60195073372</x:v>
      </x:c>
      <x:c r="G5275" s="16" t="str">
        <x:v>+60195073372</x:v>
      </x:c>
      <x:c r="H5275" s="16" t="str">
        <x:v>Excluded</x:v>
      </x:c>
      <x:c r="I5275" s="16" t="str">
        <x:v>Missing email</x:v>
      </x:c>
    </x:row>
    <x:row r="5276">
      <x:c r="A5276" s="16" t="n">
        <x:v>5273</x:v>
      </x:c>
      <x:c r="B5276" s="16" t="str">
        <x:v>Nur Farhana ZA</x:v>
      </x:c>
      <x:c r="C5276" s="16" t="str"/>
      <x:c r="D5276" s="16" t="str"/>
      <x:c r="E5276" s="16" t="str">
        <x:v>* myContacts</x:v>
      </x:c>
      <x:c r="F5276" s="16" t="str">
        <x:v>+60148243369</x:v>
      </x:c>
      <x:c r="G5276" s="16" t="str">
        <x:v>+60148243369</x:v>
      </x:c>
      <x:c r="H5276" s="16" t="str">
        <x:v>Excluded</x:v>
      </x:c>
      <x:c r="I5276" s="16" t="str">
        <x:v>Missing email</x:v>
      </x:c>
    </x:row>
    <x:row r="5277">
      <x:c r="A5277" s="16" t="n">
        <x:v>5274</x:v>
      </x:c>
      <x:c r="B5277" s="16" t="str">
        <x:v>Nur Fathin Muhamad Fadzil</x:v>
      </x:c>
      <x:c r="C5277" s="16" t="str"/>
      <x:c r="D5277" s="16" t="str"/>
      <x:c r="E5277" s="16" t="str">
        <x:v>* myContacts</x:v>
      </x:c>
      <x:c r="F5277" s="16" t="str">
        <x:v>+60135042921</x:v>
      </x:c>
      <x:c r="G5277" s="16" t="str">
        <x:v>+60135042921</x:v>
      </x:c>
      <x:c r="H5277" s="16" t="str">
        <x:v>Excluded</x:v>
      </x:c>
      <x:c r="I5277" s="16" t="str">
        <x:v>Missing email</x:v>
      </x:c>
    </x:row>
    <x:row r="5278">
      <x:c r="A5278" s="16" t="n">
        <x:v>5275</x:v>
      </x:c>
      <x:c r="B5278" s="16" t="str">
        <x:v>Nur Fatihah Ibeauty</x:v>
      </x:c>
      <x:c r="C5278" s="16" t="str"/>
      <x:c r="D5278" s="16" t="str"/>
      <x:c r="E5278" s="16" t="str">
        <x:v>* myContacts</x:v>
      </x:c>
      <x:c r="F5278" s="16" t="str">
        <x:v>+60109882052</x:v>
      </x:c>
      <x:c r="G5278" s="16" t="str">
        <x:v>+60109882052</x:v>
      </x:c>
      <x:c r="H5278" s="16" t="str">
        <x:v>Excluded</x:v>
      </x:c>
      <x:c r="I5278" s="16" t="str">
        <x:v>Missing email</x:v>
      </x:c>
    </x:row>
    <x:row r="5279">
      <x:c r="A5279" s="16" t="n">
        <x:v>5276</x:v>
      </x:c>
      <x:c r="B5279" s="16" t="str">
        <x:v>Nur Fatihah NurilImani</x:v>
      </x:c>
      <x:c r="C5279" s="16" t="str"/>
      <x:c r="D5279" s="16" t="str"/>
      <x:c r="E5279" s="16" t="str">
        <x:v>* myContacts</x:v>
      </x:c>
      <x:c r="F5279" s="16" t="str">
        <x:v>+60107887601</x:v>
      </x:c>
      <x:c r="G5279" s="16" t="str">
        <x:v>+60107887601</x:v>
      </x:c>
      <x:c r="H5279" s="16" t="str">
        <x:v>Excluded</x:v>
      </x:c>
      <x:c r="I5279" s="16" t="str">
        <x:v>Missing email</x:v>
      </x:c>
    </x:row>
    <x:row r="5280">
      <x:c r="A5280" s="16" t="n">
        <x:v>5277</x:v>
      </x:c>
      <x:c r="B5280" s="16" t="str">
        <x:v>Nur Fatin Awanis VOE EU2023</x:v>
      </x:c>
      <x:c r="C5280" s="16" t="str"/>
      <x:c r="D5280" s="16" t="str"/>
      <x:c r="E5280" s="16" t="str">
        <x:v>* myContacts</x:v>
      </x:c>
      <x:c r="F5280" s="16" t="str">
        <x:v>+60 11-2617 6916 | +601126176916</x:v>
      </x:c>
      <x:c r="G5280" s="16" t="str">
        <x:v>+601126176916 | +601126176916</x:v>
      </x:c>
      <x:c r="H5280" s="16" t="str">
        <x:v>Excluded</x:v>
      </x:c>
      <x:c r="I5280" s="16" t="str">
        <x:v>Missing email</x:v>
      </x:c>
    </x:row>
    <x:row r="5281">
      <x:c r="A5281" s="16" t="n">
        <x:v>5278</x:v>
      </x:c>
      <x:c r="B5281" s="16" t="str">
        <x:v>Nur Fatin Nazihah Ideris</x:v>
      </x:c>
      <x:c r="C5281" s="16" t="str"/>
      <x:c r="D5281" s="16" t="str"/>
      <x:c r="E5281" s="16" t="str">
        <x:v>* myContacts</x:v>
      </x:c>
      <x:c r="F5281" s="16" t="str">
        <x:v>+60179617825</x:v>
      </x:c>
      <x:c r="G5281" s="16" t="str">
        <x:v>+60179617825</x:v>
      </x:c>
      <x:c r="H5281" s="16" t="str">
        <x:v>Excluded</x:v>
      </x:c>
      <x:c r="I5281" s="16" t="str">
        <x:v>Missing email</x:v>
      </x:c>
    </x:row>
    <x:row r="5282">
      <x:c r="A5282" s="16" t="n">
        <x:v>5279</x:v>
      </x:c>
      <x:c r="B5282" s="16" t="str">
        <x:v>Nur Fazlina</x:v>
      </x:c>
      <x:c r="C5282" s="16" t="str"/>
      <x:c r="D5282" s="16" t="str"/>
      <x:c r="E5282" s="16" t="str">
        <x:v>* myContacts</x:v>
      </x:c>
      <x:c r="F5282" s="16" t="str">
        <x:v>+60143450682</x:v>
      </x:c>
      <x:c r="G5282" s="16" t="str">
        <x:v>+60143450682</x:v>
      </x:c>
      <x:c r="H5282" s="16" t="str">
        <x:v>Excluded</x:v>
      </x:c>
      <x:c r="I5282" s="16" t="str">
        <x:v>Missing email</x:v>
      </x:c>
    </x:row>
    <x:row r="5283">
      <x:c r="A5283" s="16" t="n">
        <x:v>5280</x:v>
      </x:c>
      <x:c r="B5283" s="16" t="str">
        <x:v>Nur Fikri</x:v>
      </x:c>
      <x:c r="C5283" s="16" t="str"/>
      <x:c r="D5283" s="16" t="str"/>
      <x:c r="E5283" s="16" t="str">
        <x:v>* myContacts</x:v>
      </x:c>
      <x:c r="F5283" s="16" t="str">
        <x:v>+60139574758</x:v>
      </x:c>
      <x:c r="G5283" s="16" t="str">
        <x:v>+60139574758</x:v>
      </x:c>
      <x:c r="H5283" s="16" t="str">
        <x:v>Excluded</x:v>
      </x:c>
      <x:c r="I5283" s="16" t="str">
        <x:v>Missing email</x:v>
      </x:c>
    </x:row>
    <x:row r="5284">
      <x:c r="A5284" s="16" t="n">
        <x:v>5281</x:v>
      </x:c>
      <x:c r="B5284" s="16" t="str">
        <x:v>Nur Firdaus Hijrah Selangor</x:v>
      </x:c>
      <x:c r="C5284" s="16" t="str"/>
      <x:c r="D5284" s="16" t="str"/>
      <x:c r="E5284" s="16" t="str">
        <x:v>* myContacts</x:v>
      </x:c>
      <x:c r="F5284" s="16" t="str">
        <x:v>01165092127 | +601165092127</x:v>
      </x:c>
      <x:c r="G5284" s="16" t="str">
        <x:v>+601165092127 | +601165092127</x:v>
      </x:c>
      <x:c r="H5284" s="16" t="str">
        <x:v>Excluded</x:v>
      </x:c>
      <x:c r="I5284" s="16" t="str">
        <x:v>Missing email</x:v>
      </x:c>
    </x:row>
    <x:row r="5285">
      <x:c r="A5285" s="16" t="n">
        <x:v>5282</x:v>
      </x:c>
      <x:c r="B5285" s="16" t="str">
        <x:v>Nur Fittri Azmi</x:v>
      </x:c>
      <x:c r="C5285" s="16" t="str"/>
      <x:c r="D5285" s="16" t="str"/>
      <x:c r="E5285" s="16" t="str">
        <x:v>* myContacts</x:v>
      </x:c>
      <x:c r="F5285" s="16" t="str">
        <x:v>+60199127081</x:v>
      </x:c>
      <x:c r="G5285" s="16" t="str">
        <x:v>+60199127081</x:v>
      </x:c>
      <x:c r="H5285" s="16" t="str">
        <x:v>Excluded</x:v>
      </x:c>
      <x:c r="I5285" s="16" t="str">
        <x:v>Missing email</x:v>
      </x:c>
    </x:row>
    <x:row r="5286">
      <x:c r="A5286" s="16" t="n">
        <x:v>5283</x:v>
      </x:c>
      <x:c r="B5286" s="16" t="str">
        <x:v>Nur Hamizah</x:v>
      </x:c>
      <x:c r="C5286" s="16" t="str"/>
      <x:c r="D5286" s="16" t="str"/>
      <x:c r="E5286" s="16" t="str">
        <x:v>* myContacts</x:v>
      </x:c>
      <x:c r="F5286" s="16" t="str">
        <x:v>+601136548472</x:v>
      </x:c>
      <x:c r="G5286" s="16" t="str">
        <x:v>+601136548472</x:v>
      </x:c>
      <x:c r="H5286" s="16" t="str">
        <x:v>Excluded</x:v>
      </x:c>
      <x:c r="I5286" s="16" t="str">
        <x:v>Missing email</x:v>
      </x:c>
    </x:row>
    <x:row r="5287">
      <x:c r="A5287" s="16" t="n">
        <x:v>5284</x:v>
      </x:c>
      <x:c r="B5287" s="16" t="str">
        <x:v>Nur Hanim Abu Bakar</x:v>
      </x:c>
      <x:c r="C5287" s="16" t="str"/>
      <x:c r="D5287" s="16" t="str"/>
      <x:c r="E5287" s="16" t="str">
        <x:v>* myContacts</x:v>
      </x:c>
      <x:c r="F5287" s="16" t="str">
        <x:v>+60174685429</x:v>
      </x:c>
      <x:c r="G5287" s="16" t="str">
        <x:v>+60174685429</x:v>
      </x:c>
      <x:c r="H5287" s="16" t="str">
        <x:v>Excluded</x:v>
      </x:c>
      <x:c r="I5287" s="16" t="str">
        <x:v>Missing email</x:v>
      </x:c>
    </x:row>
    <x:row r="5288">
      <x:c r="A5288" s="16" t="n">
        <x:v>5285</x:v>
      </x:c>
      <x:c r="B5288" s="16" t="str">
        <x:v>Nur Haniss</x:v>
      </x:c>
      <x:c r="C5288" s="16" t="str"/>
      <x:c r="D5288" s="16" t="str"/>
      <x:c r="E5288" s="16" t="str">
        <x:v>* myContacts</x:v>
      </x:c>
      <x:c r="F5288" s="16" t="str">
        <x:v>+601125485044</x:v>
      </x:c>
      <x:c r="G5288" s="16" t="str">
        <x:v>+601125485044</x:v>
      </x:c>
      <x:c r="H5288" s="16" t="str">
        <x:v>Excluded</x:v>
      </x:c>
      <x:c r="I5288" s="16" t="str">
        <x:v>Missing email</x:v>
      </x:c>
    </x:row>
    <x:row r="5289">
      <x:c r="A5289" s="16" t="n">
        <x:v>5286</x:v>
      </x:c>
      <x:c r="B5289" s="16" t="str">
        <x:v>Nur Hayati Abu Hassan</x:v>
      </x:c>
      <x:c r="C5289" s="16" t="str"/>
      <x:c r="D5289" s="16" t="str"/>
      <x:c r="E5289" s="16" t="str">
        <x:v>* myContacts</x:v>
      </x:c>
      <x:c r="F5289" s="16" t="str">
        <x:v>+60194122454</x:v>
      </x:c>
      <x:c r="G5289" s="16" t="str">
        <x:v>+60194122454</x:v>
      </x:c>
      <x:c r="H5289" s="16" t="str">
        <x:v>Excluded</x:v>
      </x:c>
      <x:c r="I5289" s="16" t="str">
        <x:v>Missing email</x:v>
      </x:c>
    </x:row>
    <x:row r="5290">
      <x:c r="A5290" s="16" t="n">
        <x:v>5287</x:v>
      </x:c>
      <x:c r="B5290" s="16" t="str">
        <x:v>Nur Hayati Khalid</x:v>
      </x:c>
      <x:c r="C5290" s="16" t="str"/>
      <x:c r="D5290" s="16" t="str"/>
      <x:c r="E5290" s="16" t="str">
        <x:v>* myContacts</x:v>
      </x:c>
      <x:c r="F5290" s="16" t="str">
        <x:v>+60177006187</x:v>
      </x:c>
      <x:c r="G5290" s="16" t="str">
        <x:v>+60177006187</x:v>
      </x:c>
      <x:c r="H5290" s="16" t="str">
        <x:v>Excluded</x:v>
      </x:c>
      <x:c r="I5290" s="16" t="str">
        <x:v>Missing email</x:v>
      </x:c>
    </x:row>
    <x:row r="5291">
      <x:c r="A5291" s="16" t="n">
        <x:v>5288</x:v>
      </x:c>
      <x:c r="B5291" s="16" t="str">
        <x:v>Nur Hazalizah Noorahim</x:v>
      </x:c>
      <x:c r="C5291" s="16" t="str"/>
      <x:c r="D5291" s="16" t="str"/>
      <x:c r="E5291" s="16" t="str">
        <x:v>* myContacts</x:v>
      </x:c>
      <x:c r="F5291" s="16" t="str">
        <x:v>+60124465643</x:v>
      </x:c>
      <x:c r="G5291" s="16" t="str">
        <x:v>+60124465643</x:v>
      </x:c>
      <x:c r="H5291" s="16" t="str">
        <x:v>Excluded</x:v>
      </x:c>
      <x:c r="I5291" s="16" t="str">
        <x:v>Missing email</x:v>
      </x:c>
    </x:row>
    <x:row r="5292">
      <x:c r="A5292" s="16" t="n">
        <x:v>5289</x:v>
      </x:c>
      <x:c r="B5292" s="16" t="str">
        <x:v>Nur Hazirah</x:v>
      </x:c>
      <x:c r="C5292" s="16" t="str"/>
      <x:c r="D5292" s="16" t="str"/>
      <x:c r="E5292" s="16" t="str">
        <x:v>* myContacts</x:v>
      </x:c>
      <x:c r="F5292" s="16" t="str">
        <x:v>+60179944724</x:v>
      </x:c>
      <x:c r="G5292" s="16" t="str">
        <x:v>+60179944724</x:v>
      </x:c>
      <x:c r="H5292" s="16" t="str">
        <x:v>Excluded</x:v>
      </x:c>
      <x:c r="I5292" s="16" t="str">
        <x:v>Missing email</x:v>
      </x:c>
    </x:row>
    <x:row r="5293">
      <x:c r="A5293" s="16" t="n">
        <x:v>5290</x:v>
      </x:c>
      <x:c r="B5293" s="16" t="str">
        <x:v>Nur Hisyam Azmi</x:v>
      </x:c>
      <x:c r="C5293" s="16" t="str"/>
      <x:c r="D5293" s="16" t="str"/>
      <x:c r="E5293" s="16" t="str">
        <x:v>* myContacts</x:v>
      </x:c>
      <x:c r="F5293" s="16" t="str">
        <x:v>+60174649870</x:v>
      </x:c>
      <x:c r="G5293" s="16" t="str">
        <x:v>+60174649870</x:v>
      </x:c>
      <x:c r="H5293" s="16" t="str">
        <x:v>Excluded</x:v>
      </x:c>
      <x:c r="I5293" s="16" t="str">
        <x:v>Missing email</x:v>
      </x:c>
    </x:row>
    <x:row r="5294">
      <x:c r="A5294" s="16" t="n">
        <x:v>5291</x:v>
      </x:c>
      <x:c r="B5294" s="16" t="str">
        <x:v>Nur Iliayahna</x:v>
      </x:c>
      <x:c r="C5294" s="16" t="str"/>
      <x:c r="D5294" s="16" t="str"/>
      <x:c r="E5294" s="16" t="str">
        <x:v>* myContacts</x:v>
      </x:c>
      <x:c r="F5294" s="16" t="str">
        <x:v>+60179999999</x:v>
      </x:c>
      <x:c r="G5294" s="16" t="str">
        <x:v>+60179999999</x:v>
      </x:c>
      <x:c r="H5294" s="16" t="str">
        <x:v>Excluded</x:v>
      </x:c>
      <x:c r="I5294" s="16" t="str">
        <x:v>Missing email</x:v>
      </x:c>
    </x:row>
    <x:row r="5295">
      <x:c r="A5295" s="16" t="n">
        <x:v>5292</x:v>
      </x:c>
      <x:c r="B5295" s="16" t="str">
        <x:v>Nur Iman Islam</x:v>
      </x:c>
      <x:c r="C5295" s="16" t="str"/>
      <x:c r="D5295" s="16" t="str"/>
      <x:c r="E5295" s="16" t="str">
        <x:v>* myContacts</x:v>
      </x:c>
      <x:c r="F5295" s="16" t="str">
        <x:v>+60134162911</x:v>
      </x:c>
      <x:c r="G5295" s="16" t="str">
        <x:v>+60134162911</x:v>
      </x:c>
      <x:c r="H5295" s="16" t="str">
        <x:v>Excluded</x:v>
      </x:c>
      <x:c r="I5295" s="16" t="str">
        <x:v>Missing email</x:v>
      </x:c>
    </x:row>
    <x:row r="5296">
      <x:c r="A5296" s="16" t="n">
        <x:v>5293</x:v>
      </x:c>
      <x:c r="B5296" s="16" t="str">
        <x:v>Nur Irfan</x:v>
      </x:c>
      <x:c r="C5296" s="16" t="str"/>
      <x:c r="D5296" s="16" t="str"/>
      <x:c r="E5296" s="16" t="str">
        <x:v>* myContacts</x:v>
      </x:c>
      <x:c r="F5296" s="16" t="str">
        <x:v>+60199875508</x:v>
      </x:c>
      <x:c r="G5296" s="16" t="str">
        <x:v>+60199875508</x:v>
      </x:c>
      <x:c r="H5296" s="16" t="str">
        <x:v>Excluded</x:v>
      </x:c>
      <x:c r="I5296" s="16" t="str">
        <x:v>Missing email</x:v>
      </x:c>
    </x:row>
    <x:row r="5297">
      <x:c r="A5297" s="16" t="n">
        <x:v>5294</x:v>
      </x:c>
      <x:c r="B5297" s="16" t="str">
        <x:v>Nur Is</x:v>
      </x:c>
      <x:c r="C5297" s="16" t="str"/>
      <x:c r="D5297" s="16" t="str"/>
      <x:c r="E5297" s="16" t="str">
        <x:v>* myContacts</x:v>
      </x:c>
      <x:c r="F5297" s="16" t="str">
        <x:v>+60183905747</x:v>
      </x:c>
      <x:c r="G5297" s="16" t="str">
        <x:v>+60183905747</x:v>
      </x:c>
      <x:c r="H5297" s="16" t="str">
        <x:v>Excluded</x:v>
      </x:c>
      <x:c r="I5297" s="16" t="str">
        <x:v>Missing email</x:v>
      </x:c>
    </x:row>
    <x:row r="5298">
      <x:c r="A5298" s="16" t="n">
        <x:v>5295</x:v>
      </x:c>
      <x:c r="B5298" s="16" t="str">
        <x:v>Nur Ismidatul Akmal Ismail</x:v>
      </x:c>
      <x:c r="C5298" s="16" t="str"/>
      <x:c r="D5298" s="16" t="str"/>
      <x:c r="E5298" s="16" t="str">
        <x:v>* myContacts</x:v>
      </x:c>
      <x:c r="F5298" s="16" t="str">
        <x:v>+60169438322</x:v>
      </x:c>
      <x:c r="G5298" s="16" t="str">
        <x:v>+60169438322</x:v>
      </x:c>
      <x:c r="H5298" s="16" t="str">
        <x:v>Excluded</x:v>
      </x:c>
      <x:c r="I5298" s="16" t="str">
        <x:v>Missing email</x:v>
      </x:c>
    </x:row>
    <x:row r="5299">
      <x:c r="A5299" s="16" t="n">
        <x:v>5296</x:v>
      </x:c>
      <x:c r="B5299" s="16" t="str">
        <x:v>Nur Kasih</x:v>
      </x:c>
      <x:c r="C5299" s="16" t="str"/>
      <x:c r="D5299" s="16" t="str"/>
      <x:c r="E5299" s="16" t="str">
        <x:v>* myContacts</x:v>
      </x:c>
      <x:c r="F5299" s="16" t="str">
        <x:v>+60126406185</x:v>
      </x:c>
      <x:c r="G5299" s="16" t="str">
        <x:v>+60126406185</x:v>
      </x:c>
      <x:c r="H5299" s="16" t="str">
        <x:v>Excluded</x:v>
      </x:c>
      <x:c r="I5299" s="16" t="str">
        <x:v>Missing email</x:v>
      </x:c>
    </x:row>
    <x:row r="5300">
      <x:c r="A5300" s="16" t="n">
        <x:v>5297</x:v>
      </x:c>
      <x:c r="B5300" s="16" t="str">
        <x:v>NUR LAMAN BESTARI</x:v>
      </x:c>
      <x:c r="C5300" s="16" t="str"/>
      <x:c r="D5300" s="16" t="str"/>
      <x:c r="E5300" s="16" t="str">
        <x:v>* myContacts</x:v>
      </x:c>
      <x:c r="F5300" s="16" t="str">
        <x:v>+60323022977 | +60199172977</x:v>
      </x:c>
      <x:c r="G5300" s="16" t="str">
        <x:v>+60323022977 | +60199172977</x:v>
      </x:c>
      <x:c r="H5300" s="16" t="str">
        <x:v>Excluded</x:v>
      </x:c>
      <x:c r="I5300" s="16" t="str">
        <x:v>Missing email</x:v>
      </x:c>
    </x:row>
    <x:row r="5301">
      <x:c r="A5301" s="16" t="n">
        <x:v>5298</x:v>
      </x:c>
      <x:c r="B5301" s="16" t="str">
        <x:v>Nur Lina</x:v>
      </x:c>
      <x:c r="C5301" s="16" t="str"/>
      <x:c r="D5301" s="16" t="str"/>
      <x:c r="E5301" s="16" t="str">
        <x:v>* myContacts</x:v>
      </x:c>
      <x:c r="F5301" s="16" t="str">
        <x:v>+60123494846</x:v>
      </x:c>
      <x:c r="G5301" s="16" t="str">
        <x:v>+60123494846</x:v>
      </x:c>
      <x:c r="H5301" s="16" t="str">
        <x:v>Excluded</x:v>
      </x:c>
      <x:c r="I5301" s="16" t="str">
        <x:v>Missing email</x:v>
      </x:c>
    </x:row>
    <x:row r="5302">
      <x:c r="A5302" s="16" t="n">
        <x:v>5299</x:v>
      </x:c>
      <x:c r="B5302" s="16" t="str">
        <x:v>Nur Liyanah</x:v>
      </x:c>
      <x:c r="C5302" s="16" t="str"/>
      <x:c r="D5302" s="16" t="str"/>
      <x:c r="E5302" s="16" t="str">
        <x:v>* myContacts</x:v>
      </x:c>
      <x:c r="F5302" s="16" t="str">
        <x:v>+60149492489</x:v>
      </x:c>
      <x:c r="G5302" s="16" t="str">
        <x:v>+60149492489</x:v>
      </x:c>
      <x:c r="H5302" s="16" t="str">
        <x:v>Excluded</x:v>
      </x:c>
      <x:c r="I5302" s="16" t="str">
        <x:v>Missing email</x:v>
      </x:c>
    </x:row>
    <x:row r="5303">
      <x:c r="A5303" s="16" t="n">
        <x:v>5300</x:v>
      </x:c>
      <x:c r="B5303" s="16" t="str">
        <x:v>Nur Madihah</x:v>
      </x:c>
      <x:c r="C5303" s="16" t="str"/>
      <x:c r="D5303" s="16" t="str"/>
      <x:c r="E5303" s="16" t="str">
        <x:v>* myContacts</x:v>
      </x:c>
      <x:c r="F5303" s="16" t="str">
        <x:v>+60173594869</x:v>
      </x:c>
      <x:c r="G5303" s="16" t="str">
        <x:v>+60173594869</x:v>
      </x:c>
      <x:c r="H5303" s="16" t="str">
        <x:v>Excluded</x:v>
      </x:c>
      <x:c r="I5303" s="16" t="str">
        <x:v>Missing email</x:v>
      </x:c>
    </x:row>
    <x:row r="5304">
      <x:c r="A5304" s="16" t="n">
        <x:v>5301</x:v>
      </x:c>
      <x:c r="B5304" s="16" t="str">
        <x:v>Nur Madihah Muhamad Nor</x:v>
      </x:c>
      <x:c r="C5304" s="16" t="str"/>
      <x:c r="D5304" s="16" t="str"/>
      <x:c r="E5304" s="16" t="str">
        <x:v>* myContacts</x:v>
      </x:c>
      <x:c r="F5304" s="16" t="str">
        <x:v>+60132612758</x:v>
      </x:c>
      <x:c r="G5304" s="16" t="str">
        <x:v>+60132612758</x:v>
      </x:c>
      <x:c r="H5304" s="16" t="str">
        <x:v>Excluded</x:v>
      </x:c>
      <x:c r="I5304" s="16" t="str">
        <x:v>Missing email</x:v>
      </x:c>
    </x:row>
    <x:row r="5305">
      <x:c r="A5305" s="16" t="n">
        <x:v>5302</x:v>
      </x:c>
      <x:c r="B5305" s="16" t="str">
        <x:v>Nur Mardhiah</x:v>
      </x:c>
      <x:c r="C5305" s="16" t="str"/>
      <x:c r="D5305" s="16" t="str"/>
      <x:c r="E5305" s="16" t="str">
        <x:v>* myContacts</x:v>
      </x:c>
      <x:c r="F5305" s="16" t="str">
        <x:v>+60142203617</x:v>
      </x:c>
      <x:c r="G5305" s="16" t="str">
        <x:v>+60142203617</x:v>
      </x:c>
      <x:c r="H5305" s="16" t="str">
        <x:v>Excluded</x:v>
      </x:c>
      <x:c r="I5305" s="16" t="str">
        <x:v>Missing email</x:v>
      </x:c>
    </x:row>
    <x:row r="5306">
      <x:c r="A5306" s="16" t="n">
        <x:v>5303</x:v>
      </x:c>
      <x:c r="B5306" s="16" t="str">
        <x:v>Nur Nabila Mansor</x:v>
      </x:c>
      <x:c r="C5306" s="16" t="str"/>
      <x:c r="D5306" s="16" t="str"/>
      <x:c r="E5306" s="16" t="str">
        <x:v>* myContacts</x:v>
      </x:c>
      <x:c r="F5306" s="16" t="str">
        <x:v>+601123886983</x:v>
      </x:c>
      <x:c r="G5306" s="16" t="str">
        <x:v>+601123886983</x:v>
      </x:c>
      <x:c r="H5306" s="16" t="str">
        <x:v>Excluded</x:v>
      </x:c>
      <x:c r="I5306" s="16" t="str">
        <x:v>Missing email</x:v>
      </x:c>
    </x:row>
    <x:row r="5307">
      <x:c r="A5307" s="16" t="n">
        <x:v>5304</x:v>
      </x:c>
      <x:c r="B5307" s="16" t="str">
        <x:v>Nur Nurhaizah</x:v>
      </x:c>
      <x:c r="C5307" s="16" t="str"/>
      <x:c r="D5307" s="16" t="str"/>
      <x:c r="E5307" s="16" t="str">
        <x:v>* myContacts</x:v>
      </x:c>
      <x:c r="F5307" s="16" t="str">
        <x:v>+601121523539</x:v>
      </x:c>
      <x:c r="G5307" s="16" t="str">
        <x:v>+601121523539</x:v>
      </x:c>
      <x:c r="H5307" s="16" t="str">
        <x:v>Excluded</x:v>
      </x:c>
      <x:c r="I5307" s="16" t="str">
        <x:v>Missing email</x:v>
      </x:c>
    </x:row>
    <x:row r="5308">
      <x:c r="A5308" s="16" t="n">
        <x:v>5305</x:v>
      </x:c>
      <x:c r="B5308" s="16" t="str">
        <x:v>Nur Power Revo</x:v>
      </x:c>
      <x:c r="C5308" s="16" t="str"/>
      <x:c r="D5308" s="16" t="str"/>
      <x:c r="E5308" s="16" t="str">
        <x:v>* myContacts</x:v>
      </x:c>
      <x:c r="F5308" s="16" t="str">
        <x:v>+60135122040</x:v>
      </x:c>
      <x:c r="G5308" s="16" t="str">
        <x:v>+60135122040</x:v>
      </x:c>
      <x:c r="H5308" s="16" t="str">
        <x:v>Excluded</x:v>
      </x:c>
      <x:c r="I5308" s="16" t="str">
        <x:v>Missing email</x:v>
      </x:c>
    </x:row>
    <x:row r="5309">
      <x:c r="A5309" s="16" t="n">
        <x:v>5306</x:v>
      </x:c>
      <x:c r="B5309" s="16" t="str">
        <x:v>Nur Qolbi</x:v>
      </x:c>
      <x:c r="C5309" s="16" t="str"/>
      <x:c r="D5309" s="16" t="str"/>
      <x:c r="E5309" s="16" t="str">
        <x:v>* myContacts</x:v>
      </x:c>
      <x:c r="F5309" s="16" t="str">
        <x:v>+60135828174</x:v>
      </x:c>
      <x:c r="G5309" s="16" t="str">
        <x:v>+60135828174</x:v>
      </x:c>
      <x:c r="H5309" s="16" t="str">
        <x:v>Excluded</x:v>
      </x:c>
      <x:c r="I5309" s="16" t="str">
        <x:v>Missing email</x:v>
      </x:c>
    </x:row>
    <x:row r="5310">
      <x:c r="A5310" s="16" t="n">
        <x:v>5307</x:v>
      </x:c>
      <x:c r="B5310" s="16" t="str">
        <x:v>Nur Shahila Abd Rahman</x:v>
      </x:c>
      <x:c r="C5310" s="16" t="str"/>
      <x:c r="D5310" s="16" t="str"/>
      <x:c r="E5310" s="16" t="str">
        <x:v>* myContacts</x:v>
      </x:c>
      <x:c r="F5310" s="16" t="str">
        <x:v>60125550061 | +60125550061</x:v>
      </x:c>
      <x:c r="G5310" s="16" t="str">
        <x:v>+60125550061 | +60125550061</x:v>
      </x:c>
      <x:c r="H5310" s="16" t="str">
        <x:v>Excluded</x:v>
      </x:c>
      <x:c r="I5310" s="16" t="str">
        <x:v>Missing email</x:v>
      </x:c>
    </x:row>
    <x:row r="5311">
      <x:c r="A5311" s="16" t="n">
        <x:v>5308</x:v>
      </x:c>
      <x:c r="B5311" s="16" t="str">
        <x:v>Nur Shahsila Razalee</x:v>
      </x:c>
      <x:c r="C5311" s="16" t="str"/>
      <x:c r="D5311" s="16" t="str"/>
      <x:c r="E5311" s="16" t="str">
        <x:v>* myContacts</x:v>
      </x:c>
      <x:c r="F5311" s="16" t="str">
        <x:v>+60175590984</x:v>
      </x:c>
      <x:c r="G5311" s="16" t="str">
        <x:v>+60175590984</x:v>
      </x:c>
      <x:c r="H5311" s="16" t="str">
        <x:v>Excluded</x:v>
      </x:c>
      <x:c r="I5311" s="16" t="str">
        <x:v>Missing email</x:v>
      </x:c>
    </x:row>
    <x:row r="5312">
      <x:c r="A5312" s="16" t="n">
        <x:v>5309</x:v>
      </x:c>
      <x:c r="B5312" s="16" t="str">
        <x:v>Nur Shuhada</x:v>
      </x:c>
      <x:c r="C5312" s="16" t="str"/>
      <x:c r="D5312" s="16" t="str"/>
      <x:c r="E5312" s="16" t="str">
        <x:v>* myContacts</x:v>
      </x:c>
      <x:c r="F5312" s="16" t="str">
        <x:v>+60122545543</x:v>
      </x:c>
      <x:c r="G5312" s="16" t="str">
        <x:v>+60122545543</x:v>
      </x:c>
      <x:c r="H5312" s="16" t="str">
        <x:v>Excluded</x:v>
      </x:c>
      <x:c r="I5312" s="16" t="str">
        <x:v>Missing email</x:v>
      </x:c>
    </x:row>
    <x:row r="5313">
      <x:c r="A5313" s="16" t="n">
        <x:v>5310</x:v>
      </x:c>
      <x:c r="B5313" s="16" t="str">
        <x:v>Nur Sue</x:v>
      </x:c>
      <x:c r="C5313" s="16" t="str"/>
      <x:c r="D5313" s="16" t="str"/>
      <x:c r="E5313" s="16" t="str">
        <x:v>* myContacts</x:v>
      </x:c>
      <x:c r="F5313" s="16" t="str">
        <x:v>+60134652399</x:v>
      </x:c>
      <x:c r="G5313" s="16" t="str">
        <x:v>+60134652399</x:v>
      </x:c>
      <x:c r="H5313" s="16" t="str">
        <x:v>Excluded</x:v>
      </x:c>
      <x:c r="I5313" s="16" t="str">
        <x:v>Missing email</x:v>
      </x:c>
    </x:row>
    <x:row r="5314">
      <x:c r="A5314" s="16" t="n">
        <x:v>5311</x:v>
      </x:c>
      <x:c r="B5314" s="16" t="str">
        <x:v>Nur Syahira</x:v>
      </x:c>
      <x:c r="C5314" s="16" t="str"/>
      <x:c r="D5314" s="16" t="str"/>
      <x:c r="E5314" s="16" t="str">
        <x:v>* myContacts</x:v>
      </x:c>
      <x:c r="F5314" s="16" t="str">
        <x:v>+60177237792</x:v>
      </x:c>
      <x:c r="G5314" s="16" t="str">
        <x:v>+60177237792</x:v>
      </x:c>
      <x:c r="H5314" s="16" t="str">
        <x:v>Excluded</x:v>
      </x:c>
      <x:c r="I5314" s="16" t="str">
        <x:v>Missing email</x:v>
      </x:c>
    </x:row>
    <x:row r="5315">
      <x:c r="A5315" s="16" t="n">
        <x:v>5312</x:v>
      </x:c>
      <x:c r="B5315" s="16" t="str">
        <x:v>Nur Syamimi</x:v>
      </x:c>
      <x:c r="C5315" s="16" t="str"/>
      <x:c r="D5315" s="16" t="str"/>
      <x:c r="E5315" s="16" t="str">
        <x:v>* myContacts</x:v>
      </x:c>
      <x:c r="F5315" s="16" t="str">
        <x:v>+60124806538</x:v>
      </x:c>
      <x:c r="G5315" s="16" t="str">
        <x:v>+60124806538</x:v>
      </x:c>
      <x:c r="H5315" s="16" t="str">
        <x:v>Excluded</x:v>
      </x:c>
      <x:c r="I5315" s="16" t="str">
        <x:v>Missing email</x:v>
      </x:c>
    </x:row>
    <x:row r="5316">
      <x:c r="A5316" s="16" t="n">
        <x:v>5313</x:v>
      </x:c>
      <x:c r="B5316" s="16" t="str">
        <x:v>Nur Syaq</x:v>
      </x:c>
      <x:c r="C5316" s="16" t="str"/>
      <x:c r="D5316" s="16" t="str"/>
      <x:c r="E5316" s="16" t="str">
        <x:v>* myContacts</x:v>
      </x:c>
      <x:c r="F5316" s="16" t="str">
        <x:v>+60179337173</x:v>
      </x:c>
      <x:c r="G5316" s="16" t="str">
        <x:v>+60179337173</x:v>
      </x:c>
      <x:c r="H5316" s="16" t="str">
        <x:v>Excluded</x:v>
      </x:c>
      <x:c r="I5316" s="16" t="str">
        <x:v>Missing email</x:v>
      </x:c>
    </x:row>
    <x:row r="5317">
      <x:c r="A5317" s="16" t="n">
        <x:v>5314</x:v>
      </x:c>
      <x:c r="B5317" s="16" t="str">
        <x:v>Nur Syawani</x:v>
      </x:c>
      <x:c r="C5317" s="16" t="str"/>
      <x:c r="D5317" s="16" t="str"/>
      <x:c r="E5317" s="16" t="str">
        <x:v>* myContacts</x:v>
      </x:c>
      <x:c r="F5317" s="16" t="str">
        <x:v>+60109265873</x:v>
      </x:c>
      <x:c r="G5317" s="16" t="str">
        <x:v>+60109265873</x:v>
      </x:c>
      <x:c r="H5317" s="16" t="str">
        <x:v>Excluded</x:v>
      </x:c>
      <x:c r="I5317" s="16" t="str">
        <x:v>Missing email</x:v>
      </x:c>
    </x:row>
    <x:row r="5318">
      <x:c r="A5318" s="16" t="n">
        <x:v>5315</x:v>
      </x:c>
      <x:c r="B5318" s="16" t="str">
        <x:v>Nur Syifaa Amirah Awang</x:v>
      </x:c>
      <x:c r="C5318" s="16" t="str"/>
      <x:c r="D5318" s="16" t="str"/>
      <x:c r="E5318" s="16" t="str">
        <x:v>* myContacts</x:v>
      </x:c>
      <x:c r="F5318" s="16" t="str">
        <x:v>+60124290793</x:v>
      </x:c>
      <x:c r="G5318" s="16" t="str">
        <x:v>+60124290793</x:v>
      </x:c>
      <x:c r="H5318" s="16" t="str">
        <x:v>Excluded</x:v>
      </x:c>
      <x:c r="I5318" s="16" t="str">
        <x:v>Missing email</x:v>
      </x:c>
    </x:row>
    <x:row r="5319">
      <x:c r="A5319" s="16" t="n">
        <x:v>5316</x:v>
      </x:c>
      <x:c r="B5319" s="16" t="str">
        <x:v>Nur Ul wife shahrul</x:v>
      </x:c>
      <x:c r="C5319" s="16" t="str">
        <x:v>nurulafzan82@gmail.com</x:v>
      </x:c>
      <x:c r="D5319" s="16" t="str">
        <x:v>nurulafzan82@gmail.com</x:v>
      </x:c>
      <x:c r="E5319" s="16" t="str">
        <x:v>* myContacts</x:v>
      </x:c>
      <x:c r="F5319" s="16" t="str">
        <x:v>+60193010602</x:v>
      </x:c>
      <x:c r="G5319" s="16" t="str">
        <x:v>+60193010602</x:v>
      </x:c>
      <x:c r="H5319" s="16" t="str">
        <x:v>Eligible</x:v>
      </x:c>
      <x:c r="I5319" s="16" t="str"/>
    </x:row>
    <x:row r="5320">
      <x:c r="A5320" s="16" t="n">
        <x:v>5317</x:v>
      </x:c>
      <x:c r="B5320" s="16" t="str">
        <x:v>Nur Wahyu</x:v>
      </x:c>
      <x:c r="C5320" s="16" t="str"/>
      <x:c r="D5320" s="16" t="str"/>
      <x:c r="E5320" s="16" t="str">
        <x:v>* myContacts</x:v>
      </x:c>
      <x:c r="F5320" s="16" t="str">
        <x:v>+60125807629</x:v>
      </x:c>
      <x:c r="G5320" s="16" t="str">
        <x:v>+60125807629</x:v>
      </x:c>
      <x:c r="H5320" s="16" t="str">
        <x:v>Excluded</x:v>
      </x:c>
      <x:c r="I5320" s="16" t="str">
        <x:v>Missing email</x:v>
      </x:c>
    </x:row>
    <x:row r="5321">
      <x:c r="A5321" s="16" t="n">
        <x:v>5318</x:v>
      </x:c>
      <x:c r="B5321" s="16" t="str">
        <x:v>Nur wazni eusahawan</x:v>
      </x:c>
      <x:c r="C5321" s="16" t="str"/>
      <x:c r="D5321" s="16" t="str"/>
      <x:c r="E5321" s="16" t="str">
        <x:v>Alumni eUsahawan | * myContacts</x:v>
      </x:c>
      <x:c r="F5321" s="16" t="str">
        <x:v>0195103748 | +60195103748</x:v>
      </x:c>
      <x:c r="G5321" s="16" t="str">
        <x:v>+60195103748 | +60195103748</x:v>
      </x:c>
      <x:c r="H5321" s="16" t="str">
        <x:v>Excluded</x:v>
      </x:c>
      <x:c r="I5321" s="16" t="str">
        <x:v>Missing email</x:v>
      </x:c>
    </x:row>
    <x:row r="5322">
      <x:c r="A5322" s="16" t="n">
        <x:v>5319</x:v>
      </x:c>
      <x:c r="B5322" s="16" t="str">
        <x:v>Nur Zahidah Razak</x:v>
      </x:c>
      <x:c r="C5322" s="16" t="str"/>
      <x:c r="D5322" s="16" t="str"/>
      <x:c r="E5322" s="16" t="str">
        <x:v>* myContacts</x:v>
      </x:c>
      <x:c r="F5322" s="16" t="str">
        <x:v>+60102472052</x:v>
      </x:c>
      <x:c r="G5322" s="16" t="str">
        <x:v>+60102472052</x:v>
      </x:c>
      <x:c r="H5322" s="16" t="str">
        <x:v>Excluded</x:v>
      </x:c>
      <x:c r="I5322" s="16" t="str">
        <x:v>Missing email</x:v>
      </x:c>
    </x:row>
    <x:row r="5323">
      <x:c r="A5323" s="16" t="n">
        <x:v>5320</x:v>
      </x:c>
      <x:c r="B5323" s="16" t="str">
        <x:v>Nur Zawani</x:v>
      </x:c>
      <x:c r="C5323" s="16" t="str"/>
      <x:c r="D5323" s="16" t="str"/>
      <x:c r="E5323" s="16" t="str">
        <x:v>* myContacts</x:v>
      </x:c>
      <x:c r="F5323" s="16" t="str">
        <x:v>+60176259512</x:v>
      </x:c>
      <x:c r="G5323" s="16" t="str">
        <x:v>+60176259512</x:v>
      </x:c>
      <x:c r="H5323" s="16" t="str">
        <x:v>Excluded</x:v>
      </x:c>
      <x:c r="I5323" s="16" t="str">
        <x:v>Missing email</x:v>
      </x:c>
    </x:row>
    <x:row r="5324">
      <x:c r="A5324" s="16" t="n">
        <x:v>5321</x:v>
      </x:c>
      <x:c r="B5324" s="16" t="str">
        <x:v>Nura Mdec IM</x:v>
      </x:c>
      <x:c r="C5324" s="16" t="str"/>
      <x:c r="D5324" s="16" t="str"/>
      <x:c r="E5324" s="16" t="str">
        <x:v>* myContacts</x:v>
      </x:c>
      <x:c r="F5324" s="16" t="str">
        <x:v>+60196734704</x:v>
      </x:c>
      <x:c r="G5324" s="16" t="str">
        <x:v>+60196734704</x:v>
      </x:c>
      <x:c r="H5324" s="16" t="str">
        <x:v>Excluded</x:v>
      </x:c>
      <x:c r="I5324" s="16" t="str">
        <x:v>Missing email</x:v>
      </x:c>
    </x:row>
    <x:row r="5325">
      <x:c r="A5325" s="16" t="n">
        <x:v>5322</x:v>
      </x:c>
      <x:c r="B5325" s="16" t="str">
        <x:v>Nurain Asri</x:v>
      </x:c>
      <x:c r="C5325" s="16" t="str"/>
      <x:c r="D5325" s="16" t="str"/>
      <x:c r="E5325" s="16" t="str">
        <x:v>* myContacts</x:v>
      </x:c>
      <x:c r="F5325" s="16" t="str">
        <x:v>+60194958071</x:v>
      </x:c>
      <x:c r="G5325" s="16" t="str">
        <x:v>+60194958071</x:v>
      </x:c>
      <x:c r="H5325" s="16" t="str">
        <x:v>Excluded</x:v>
      </x:c>
      <x:c r="I5325" s="16" t="str">
        <x:v>Missing email</x:v>
      </x:c>
    </x:row>
    <x:row r="5326">
      <x:c r="A5326" s="16" t="n">
        <x:v>5323</x:v>
      </x:c>
      <x:c r="B5326" s="16" t="str">
        <x:v>Nuraina Atieqa</x:v>
      </x:c>
      <x:c r="C5326" s="16" t="str"/>
      <x:c r="D5326" s="16" t="str"/>
      <x:c r="E5326" s="16" t="str">
        <x:v>* myContacts</x:v>
      </x:c>
      <x:c r="F5326" s="16" t="str">
        <x:v>+60175833629</x:v>
      </x:c>
      <x:c r="G5326" s="16" t="str">
        <x:v>+60175833629</x:v>
      </x:c>
      <x:c r="H5326" s="16" t="str">
        <x:v>Excluded</x:v>
      </x:c>
      <x:c r="I5326" s="16" t="str">
        <x:v>Missing email</x:v>
      </x:c>
    </x:row>
    <x:row r="5327">
      <x:c r="A5327" s="16" t="n">
        <x:v>5324</x:v>
      </x:c>
      <x:c r="B5327" s="16" t="str">
        <x:v>nurashikin Man Resources</x:v>
      </x:c>
      <x:c r="C5327" s="16" t="str"/>
      <x:c r="D5327" s="16" t="str"/>
      <x:c r="E5327" s="16" t="str">
        <x:v>* myContacts</x:v>
      </x:c>
      <x:c r="F5327" s="16" t="str">
        <x:v>+60172727405</x:v>
      </x:c>
      <x:c r="G5327" s="16" t="str">
        <x:v>+60172727405</x:v>
      </x:c>
      <x:c r="H5327" s="16" t="str">
        <x:v>Excluded</x:v>
      </x:c>
      <x:c r="I5327" s="16" t="str">
        <x:v>Missing email</x:v>
      </x:c>
    </x:row>
    <x:row r="5328">
      <x:c r="A5328" s="16" t="n">
        <x:v>5325</x:v>
      </x:c>
      <x:c r="B5328" s="16" t="str">
        <x:v>Nuratikah Moin</x:v>
      </x:c>
      <x:c r="C5328" s="16" t="str"/>
      <x:c r="D5328" s="16" t="str"/>
      <x:c r="E5328" s="16" t="str">
        <x:v>* myContacts</x:v>
      </x:c>
      <x:c r="F5328" s="16" t="str">
        <x:v>+601127337322</x:v>
      </x:c>
      <x:c r="G5328" s="16" t="str">
        <x:v>+601127337322</x:v>
      </x:c>
      <x:c r="H5328" s="16" t="str">
        <x:v>Excluded</x:v>
      </x:c>
      <x:c r="I5328" s="16" t="str">
        <x:v>Missing email</x:v>
      </x:c>
    </x:row>
    <x:row r="5329">
      <x:c r="A5329" s="16" t="n">
        <x:v>5326</x:v>
      </x:c>
      <x:c r="B5329" s="16" t="str">
        <x:v>Nurdiana Nordin</x:v>
      </x:c>
      <x:c r="C5329" s="16" t="str"/>
      <x:c r="D5329" s="16" t="str"/>
      <x:c r="E5329" s="16" t="str">
        <x:v>* myContacts</x:v>
      </x:c>
      <x:c r="F5329" s="16" t="str">
        <x:v>+601116198057</x:v>
      </x:c>
      <x:c r="G5329" s="16" t="str">
        <x:v>+601116198057</x:v>
      </x:c>
      <x:c r="H5329" s="16" t="str">
        <x:v>Excluded</x:v>
      </x:c>
      <x:c r="I5329" s="16" t="str">
        <x:v>Missing email</x:v>
      </x:c>
    </x:row>
    <x:row r="5330">
      <x:c r="A5330" s="16" t="n">
        <x:v>5327</x:v>
      </x:c>
      <x:c r="B5330" s="16" t="str">
        <x:v>Nurezali Osman</x:v>
      </x:c>
      <x:c r="C5330" s="16" t="str">
        <x:v>nurezali@gmail.com</x:v>
      </x:c>
      <x:c r="D5330" s="16" t="str">
        <x:v>nurezali@gmail.com</x:v>
      </x:c>
      <x:c r="E5330" s="16" t="str">
        <x:v>* myContacts</x:v>
      </x:c>
      <x:c r="F5330" s="16" t="str">
        <x:v>+60192727727</x:v>
      </x:c>
      <x:c r="G5330" s="16" t="str">
        <x:v>+60192727727</x:v>
      </x:c>
      <x:c r="H5330" s="16" t="str">
        <x:v>Eligible</x:v>
      </x:c>
      <x:c r="I5330" s="16" t="str"/>
    </x:row>
    <x:row r="5331">
      <x:c r="A5331" s="16" t="n">
        <x:v>5328</x:v>
      </x:c>
      <x:c r="B5331" s="16" t="str">
        <x:v>Nurfarah Izzat Abd Aziz</x:v>
      </x:c>
      <x:c r="C5331" s="16" t="str"/>
      <x:c r="D5331" s="16" t="str"/>
      <x:c r="E5331" s="16" t="str">
        <x:v>* myContacts</x:v>
      </x:c>
      <x:c r="F5331" s="16" t="str">
        <x:v>+60105063261</x:v>
      </x:c>
      <x:c r="G5331" s="16" t="str">
        <x:v>+60105063261</x:v>
      </x:c>
      <x:c r="H5331" s="16" t="str">
        <x:v>Excluded</x:v>
      </x:c>
      <x:c r="I5331" s="16" t="str">
        <x:v>Missing email</x:v>
      </x:c>
    </x:row>
    <x:row r="5332">
      <x:c r="A5332" s="16" t="n">
        <x:v>5329</x:v>
      </x:c>
      <x:c r="B5332" s="16" t="str">
        <x:v>Nurfarahin Mohd Shariff</x:v>
      </x:c>
      <x:c r="C5332" s="16" t="str"/>
      <x:c r="D5332" s="16" t="str"/>
      <x:c r="E5332" s="16" t="str">
        <x:v>* myContacts</x:v>
      </x:c>
      <x:c r="F5332" s="16" t="str">
        <x:v>+60169799082</x:v>
      </x:c>
      <x:c r="G5332" s="16" t="str">
        <x:v>+60169799082</x:v>
      </x:c>
      <x:c r="H5332" s="16" t="str">
        <x:v>Excluded</x:v>
      </x:c>
      <x:c r="I5332" s="16" t="str">
        <x:v>Missing email</x:v>
      </x:c>
    </x:row>
    <x:row r="5333">
      <x:c r="A5333" s="16" t="n">
        <x:v>5330</x:v>
      </x:c>
      <x:c r="B5333" s="16" t="str">
        <x:v>NURFARHANA BINTI SAMLAN Elektriksola</x:v>
      </x:c>
      <x:c r="C5333" s="16" t="str"/>
      <x:c r="D5333" s="16" t="str"/>
      <x:c r="E5333" s="16" t="str">
        <x:v>* myContacts</x:v>
      </x:c>
      <x:c r="F5333" s="16" t="str">
        <x:v>+60182289856</x:v>
      </x:c>
      <x:c r="G5333" s="16" t="str">
        <x:v>+60182289856</x:v>
      </x:c>
      <x:c r="H5333" s="16" t="str">
        <x:v>Excluded</x:v>
      </x:c>
      <x:c r="I5333" s="16" t="str">
        <x:v>Missing email</x:v>
      </x:c>
    </x:row>
    <x:row r="5334">
      <x:c r="A5334" s="16" t="n">
        <x:v>5331</x:v>
      </x:c>
      <x:c r="B5334" s="16" t="str">
        <x:v>Nurfarisha Mohamad Ruslan</x:v>
      </x:c>
      <x:c r="C5334" s="16" t="str"/>
      <x:c r="D5334" s="16" t="str"/>
      <x:c r="E5334" s="16" t="str">
        <x:v>* myContacts</x:v>
      </x:c>
      <x:c r="F5334" s="16" t="str">
        <x:v>017-223 7290 | +60172237290</x:v>
      </x:c>
      <x:c r="G5334" s="16" t="str">
        <x:v>+60172237290 | +60172237290</x:v>
      </x:c>
      <x:c r="H5334" s="16" t="str">
        <x:v>Excluded</x:v>
      </x:c>
      <x:c r="I5334" s="16" t="str">
        <x:v>Missing email</x:v>
      </x:c>
    </x:row>
    <x:row r="5335">
      <x:c r="A5335" s="16" t="n">
        <x:v>5332</x:v>
      </x:c>
      <x:c r="B5335" s="16" t="str">
        <x:v>Nurfatihah Atie</x:v>
      </x:c>
      <x:c r="C5335" s="16" t="str">
        <x:v>nurfatihah@gab-corporation.com</x:v>
      </x:c>
      <x:c r="D5335" s="16" t="str">
        <x:v>nurfatihah@gab-corporation.com</x:v>
      </x:c>
      <x:c r="E5335" s="16" t="str">
        <x:v>* myContacts</x:v>
      </x:c>
      <x:c r="F5335" s="16" t="str">
        <x:v>+60143947393</x:v>
      </x:c>
      <x:c r="G5335" s="16" t="str">
        <x:v>+60143947393</x:v>
      </x:c>
      <x:c r="H5335" s="16" t="str">
        <x:v>Eligible</x:v>
      </x:c>
      <x:c r="I5335" s="16" t="str"/>
    </x:row>
    <x:row r="5336">
      <x:c r="A5336" s="16" t="n">
        <x:v>5333</x:v>
      </x:c>
      <x:c r="B5336" s="16" t="str">
        <x:v>Nurfitrah Hidayah</x:v>
      </x:c>
      <x:c r="C5336" s="16" t="str"/>
      <x:c r="D5336" s="16" t="str"/>
      <x:c r="E5336" s="16" t="str">
        <x:v>* myContacts</x:v>
      </x:c>
      <x:c r="F5336" s="16" t="str">
        <x:v>+60104404199</x:v>
      </x:c>
      <x:c r="G5336" s="16" t="str">
        <x:v>+60104404199</x:v>
      </x:c>
      <x:c r="H5336" s="16" t="str">
        <x:v>Excluded</x:v>
      </x:c>
      <x:c r="I5336" s="16" t="str">
        <x:v>Missing email</x:v>
      </x:c>
    </x:row>
    <x:row r="5337">
      <x:c r="A5337" s="16" t="n">
        <x:v>5334</x:v>
      </x:c>
      <x:c r="B5337" s="16" t="str">
        <x:v>Nurhafiza Madzki</x:v>
      </x:c>
      <x:c r="C5337" s="16" t="str"/>
      <x:c r="D5337" s="16" t="str"/>
      <x:c r="E5337" s="16" t="str">
        <x:v>* myContacts</x:v>
      </x:c>
      <x:c r="F5337" s="16" t="str">
        <x:v>+60172211338</x:v>
      </x:c>
      <x:c r="G5337" s="16" t="str">
        <x:v>+60172211338</x:v>
      </x:c>
      <x:c r="H5337" s="16" t="str">
        <x:v>Excluded</x:v>
      </x:c>
      <x:c r="I5337" s="16" t="str">
        <x:v>Missing email</x:v>
      </x:c>
    </x:row>
    <x:row r="5338">
      <x:c r="A5338" s="16" t="n">
        <x:v>5335</x:v>
      </x:c>
      <x:c r="B5338" s="16" t="str">
        <x:v>Nurhaija Andung Januwi</x:v>
      </x:c>
      <x:c r="C5338" s="16" t="str"/>
      <x:c r="D5338" s="16" t="str"/>
      <x:c r="E5338" s="16" t="str">
        <x:v>* myContacts</x:v>
      </x:c>
      <x:c r="F5338" s="16" t="str">
        <x:v>+60128210117</x:v>
      </x:c>
      <x:c r="G5338" s="16" t="str">
        <x:v>+60128210117</x:v>
      </x:c>
      <x:c r="H5338" s="16" t="str">
        <x:v>Excluded</x:v>
      </x:c>
      <x:c r="I5338" s="16" t="str">
        <x:v>Missing email</x:v>
      </x:c>
    </x:row>
    <x:row r="5339">
      <x:c r="A5339" s="16" t="n">
        <x:v>5336</x:v>
      </x:c>
      <x:c r="B5339" s="16" t="str">
        <x:v>Nurhanani Zulkefli</x:v>
      </x:c>
      <x:c r="C5339" s="16" t="str"/>
      <x:c r="D5339" s="16" t="str"/>
      <x:c r="E5339" s="16" t="str">
        <x:v>* myContacts</x:v>
      </x:c>
      <x:c r="F5339" s="16" t="str">
        <x:v>+60164139290</x:v>
      </x:c>
      <x:c r="G5339" s="16" t="str">
        <x:v>+60164139290</x:v>
      </x:c>
      <x:c r="H5339" s="16" t="str">
        <x:v>Excluded</x:v>
      </x:c>
      <x:c r="I5339" s="16" t="str">
        <x:v>Missing email</x:v>
      </x:c>
    </x:row>
    <x:row r="5340">
      <x:c r="A5340" s="16" t="n">
        <x:v>5337</x:v>
      </x:c>
      <x:c r="B5340" s="16" t="str">
        <x:v>Nurhidayah AGP</x:v>
      </x:c>
      <x:c r="C5340" s="16" t="str"/>
      <x:c r="D5340" s="16" t="str"/>
      <x:c r="E5340" s="16" t="str">
        <x:v>* myContacts</x:v>
      </x:c>
      <x:c r="F5340" s="16" t="str">
        <x:v>+60 19-752 9687 | +60197529687</x:v>
      </x:c>
      <x:c r="G5340" s="16" t="str">
        <x:v>+60197529687 | +60197529687</x:v>
      </x:c>
      <x:c r="H5340" s="16" t="str">
        <x:v>Excluded</x:v>
      </x:c>
      <x:c r="I5340" s="16" t="str">
        <x:v>Missing email</x:v>
      </x:c>
    </x:row>
    <x:row r="5341">
      <x:c r="A5341" s="16" t="n">
        <x:v>5338</x:v>
      </x:c>
      <x:c r="B5341" s="16" t="str">
        <x:v>Nuriman Zaini</x:v>
      </x:c>
      <x:c r="C5341" s="16" t="str"/>
      <x:c r="D5341" s="16" t="str"/>
      <x:c r="E5341" s="16" t="str">
        <x:v>* myContacts</x:v>
      </x:c>
      <x:c r="F5341" s="16" t="str">
        <x:v>+60173205207</x:v>
      </x:c>
      <x:c r="G5341" s="16" t="str">
        <x:v>+60173205207</x:v>
      </x:c>
      <x:c r="H5341" s="16" t="str">
        <x:v>Excluded</x:v>
      </x:c>
      <x:c r="I5341" s="16" t="str">
        <x:v>Missing email</x:v>
      </x:c>
    </x:row>
    <x:row r="5342">
      <x:c r="A5342" s="16" t="n">
        <x:v>5339</x:v>
      </x:c>
      <x:c r="B5342" s="16" t="str">
        <x:v>Nurin Farisha</x:v>
      </x:c>
      <x:c r="C5342" s="16" t="str"/>
      <x:c r="D5342" s="16" t="str"/>
      <x:c r="E5342" s="16" t="str">
        <x:v>* myContacts</x:v>
      </x:c>
      <x:c r="F5342" s="16" t="str">
        <x:v>+60173909565</x:v>
      </x:c>
      <x:c r="G5342" s="16" t="str">
        <x:v>+60173909565</x:v>
      </x:c>
      <x:c r="H5342" s="16" t="str">
        <x:v>Excluded</x:v>
      </x:c>
      <x:c r="I5342" s="16" t="str">
        <x:v>Missing email</x:v>
      </x:c>
    </x:row>
    <x:row r="5343">
      <x:c r="A5343" s="16" t="n">
        <x:v>5340</x:v>
      </x:c>
      <x:c r="B5343" s="16" t="str">
        <x:v>Nurin Hanani</x:v>
      </x:c>
      <x:c r="C5343" s="16" t="str"/>
      <x:c r="D5343" s="16" t="str"/>
      <x:c r="E5343" s="16" t="str">
        <x:v>* myContacts</x:v>
      </x:c>
      <x:c r="F5343" s="16" t="str">
        <x:v>+60142502356</x:v>
      </x:c>
      <x:c r="G5343" s="16" t="str">
        <x:v>+60142502356</x:v>
      </x:c>
      <x:c r="H5343" s="16" t="str">
        <x:v>Excluded</x:v>
      </x:c>
      <x:c r="I5343" s="16" t="str">
        <x:v>Missing email</x:v>
      </x:c>
    </x:row>
    <x:row r="5344">
      <x:c r="A5344" s="16" t="n">
        <x:v>5341</x:v>
      </x:c>
      <x:c r="B5344" s="16" t="str">
        <x:v>Nurine Siripatana</x:v>
      </x:c>
      <x:c r="C5344" s="16" t="str"/>
      <x:c r="D5344" s="16" t="str"/>
      <x:c r="E5344" s="16" t="str">
        <x:v>* myContacts</x:v>
      </x:c>
      <x:c r="F5344" s="16" t="str">
        <x:v>+66897284700</x:v>
      </x:c>
      <x:c r="G5344" s="16" t="str">
        <x:v>+66897284700</x:v>
      </x:c>
      <x:c r="H5344" s="16" t="str">
        <x:v>Excluded</x:v>
      </x:c>
      <x:c r="I5344" s="16" t="str">
        <x:v>Missing email</x:v>
      </x:c>
    </x:row>
    <x:row r="5345">
      <x:c r="A5345" s="16" t="n">
        <x:v>5342</x:v>
      </x:c>
      <x:c r="B5345" s="16" t="str">
        <x:v>Nuris Iris</x:v>
      </x:c>
      <x:c r="C5345" s="16" t="str"/>
      <x:c r="D5345" s="16" t="str"/>
      <x:c r="E5345" s="16" t="str">
        <x:v>* myContacts</x:v>
      </x:c>
      <x:c r="F5345" s="16" t="str">
        <x:v>+60162179702</x:v>
      </x:c>
      <x:c r="G5345" s="16" t="str">
        <x:v>+60162179702</x:v>
      </x:c>
      <x:c r="H5345" s="16" t="str">
        <x:v>Excluded</x:v>
      </x:c>
      <x:c r="I5345" s="16" t="str">
        <x:v>Missing email</x:v>
      </x:c>
    </x:row>
    <x:row r="5346">
      <x:c r="A5346" s="16" t="n">
        <x:v>5343</x:v>
      </x:c>
      <x:c r="B5346" s="16" t="str">
        <x:v>Nuris Ismail</x:v>
      </x:c>
      <x:c r="C5346" s="16" t="str"/>
      <x:c r="D5346" s="16" t="str"/>
      <x:c r="E5346" s="16" t="str">
        <x:v>* myContacts</x:v>
      </x:c>
      <x:c r="F5346" s="16" t="str">
        <x:v>+601112803262</x:v>
      </x:c>
      <x:c r="G5346" s="16" t="str">
        <x:v>+601112803262</x:v>
      </x:c>
      <x:c r="H5346" s="16" t="str">
        <x:v>Excluded</x:v>
      </x:c>
      <x:c r="I5346" s="16" t="str">
        <x:v>Missing email</x:v>
      </x:c>
    </x:row>
    <x:row r="5347">
      <x:c r="A5347" s="16" t="n">
        <x:v>5344</x:v>
      </x:c>
      <x:c r="B5347" s="16" t="str">
        <x:v>Nurizam Hasan</x:v>
      </x:c>
      <x:c r="C5347" s="16" t="str"/>
      <x:c r="D5347" s="16" t="str"/>
      <x:c r="E5347" s="16" t="str">
        <x:v>* myContacts</x:v>
      </x:c>
      <x:c r="F5347" s="16" t="str">
        <x:v>+60122296938</x:v>
      </x:c>
      <x:c r="G5347" s="16" t="str">
        <x:v>+60122296938</x:v>
      </x:c>
      <x:c r="H5347" s="16" t="str">
        <x:v>Excluded</x:v>
      </x:c>
      <x:c r="I5347" s="16" t="str">
        <x:v>Missing email</x:v>
      </x:c>
    </x:row>
    <x:row r="5348">
      <x:c r="A5348" s="16" t="n">
        <x:v>5345</x:v>
      </x:c>
      <x:c r="B5348" s="16" t="str">
        <x:v>Nurliana Ahmad</x:v>
      </x:c>
      <x:c r="C5348" s="16" t="str"/>
      <x:c r="D5348" s="16" t="str"/>
      <x:c r="E5348" s="16" t="str">
        <x:v>* myContacts</x:v>
      </x:c>
      <x:c r="F5348" s="16" t="str">
        <x:v>+601124379075</x:v>
      </x:c>
      <x:c r="G5348" s="16" t="str">
        <x:v>+601124379075</x:v>
      </x:c>
      <x:c r="H5348" s="16" t="str">
        <x:v>Excluded</x:v>
      </x:c>
      <x:c r="I5348" s="16" t="str">
        <x:v>Missing email</x:v>
      </x:c>
    </x:row>
    <x:row r="5349">
      <x:c r="A5349" s="16" t="n">
        <x:v>5346</x:v>
      </x:c>
      <x:c r="B5349" s="16" t="str">
        <x:v>Nurlina Nana Marlina</x:v>
      </x:c>
      <x:c r="C5349" s="16" t="str"/>
      <x:c r="D5349" s="16" t="str"/>
      <x:c r="E5349" s="16" t="str">
        <x:v>* myContacts</x:v>
      </x:c>
      <x:c r="F5349" s="16" t="str">
        <x:v>+601125346660</x:v>
      </x:c>
      <x:c r="G5349" s="16" t="str">
        <x:v>+601125346660</x:v>
      </x:c>
      <x:c r="H5349" s="16" t="str">
        <x:v>Excluded</x:v>
      </x:c>
      <x:c r="I5349" s="16" t="str">
        <x:v>Missing email</x:v>
      </x:c>
    </x:row>
    <x:row r="5350">
      <x:c r="A5350" s="16" t="n">
        <x:v>5347</x:v>
      </x:c>
      <x:c r="B5350" s="16" t="str">
        <x:v>Nurliyana Safian</x:v>
      </x:c>
      <x:c r="C5350" s="16" t="str"/>
      <x:c r="D5350" s="16" t="str"/>
      <x:c r="E5350" s="16" t="str">
        <x:v>* myContacts</x:v>
      </x:c>
      <x:c r="F5350" s="16" t="str">
        <x:v>+60109137616</x:v>
      </x:c>
      <x:c r="G5350" s="16" t="str">
        <x:v>+60109137616</x:v>
      </x:c>
      <x:c r="H5350" s="16" t="str">
        <x:v>Excluded</x:v>
      </x:c>
      <x:c r="I5350" s="16" t="str">
        <x:v>Missing email</x:v>
      </x:c>
    </x:row>
    <x:row r="5351">
      <x:c r="A5351" s="16" t="n">
        <x:v>5348</x:v>
      </x:c>
      <x:c r="B5351" s="16" t="str">
        <x:v>Nurmaya Bonda Furniture</x:v>
      </x:c>
      <x:c r="C5351" s="16" t="str"/>
      <x:c r="D5351" s="16" t="str"/>
      <x:c r="E5351" s="16" t="str">
        <x:v>* myContacts</x:v>
      </x:c>
      <x:c r="F5351" s="16" t="str">
        <x:v>+60172854787</x:v>
      </x:c>
      <x:c r="G5351" s="16" t="str">
        <x:v>+60172854787</x:v>
      </x:c>
      <x:c r="H5351" s="16" t="str">
        <x:v>Excluded</x:v>
      </x:c>
      <x:c r="I5351" s="16" t="str">
        <x:v>Missing email</x:v>
      </x:c>
    </x:row>
    <x:row r="5352">
      <x:c r="A5352" s="16" t="n">
        <x:v>5349</x:v>
      </x:c>
      <x:c r="B5352" s="16" t="str">
        <x:v>Nurnabila AGP</x:v>
      </x:c>
      <x:c r="C5352" s="16" t="str"/>
      <x:c r="D5352" s="16" t="str"/>
      <x:c r="E5352" s="16" t="str">
        <x:v>* myContacts</x:v>
      </x:c>
      <x:c r="F5352" s="16" t="str">
        <x:v>+60 13-352 1563 | +60133521563</x:v>
      </x:c>
      <x:c r="G5352" s="16" t="str">
        <x:v>+60133521563 | +60133521563</x:v>
      </x:c>
      <x:c r="H5352" s="16" t="str">
        <x:v>Excluded</x:v>
      </x:c>
      <x:c r="I5352" s="16" t="str">
        <x:v>Missing email</x:v>
      </x:c>
    </x:row>
    <x:row r="5353">
      <x:c r="A5353" s="16" t="n">
        <x:v>5350</x:v>
      </x:c>
      <x:c r="B5353" s="16" t="str">
        <x:v>Nurrain Jamal</x:v>
      </x:c>
      <x:c r="C5353" s="16" t="str"/>
      <x:c r="D5353" s="16" t="str"/>
      <x:c r="E5353" s="16" t="str">
        <x:v>* myContacts</x:v>
      </x:c>
      <x:c r="F5353" s="16" t="str">
        <x:v>+601133349823</x:v>
      </x:c>
      <x:c r="G5353" s="16" t="str">
        <x:v>+601133349823</x:v>
      </x:c>
      <x:c r="H5353" s="16" t="str">
        <x:v>Excluded</x:v>
      </x:c>
      <x:c r="I5353" s="16" t="str">
        <x:v>Missing email</x:v>
      </x:c>
    </x:row>
    <x:row r="5354">
      <x:c r="A5354" s="16" t="n">
        <x:v>5351</x:v>
      </x:c>
      <x:c r="B5354" s="16" t="str">
        <x:v>Nurraysa Hazlin</x:v>
      </x:c>
      <x:c r="C5354" s="16" t="str"/>
      <x:c r="D5354" s="16" t="str"/>
      <x:c r="E5354" s="16" t="str">
        <x:v>* myContacts</x:v>
      </x:c>
      <x:c r="F5354" s="16" t="str">
        <x:v>+60175158001</x:v>
      </x:c>
      <x:c r="G5354" s="16" t="str">
        <x:v>+60175158001</x:v>
      </x:c>
      <x:c r="H5354" s="16" t="str">
        <x:v>Excluded</x:v>
      </x:c>
      <x:c r="I5354" s="16" t="str">
        <x:v>Missing email</x:v>
      </x:c>
    </x:row>
    <x:row r="5355">
      <x:c r="A5355" s="16" t="n">
        <x:v>5352</x:v>
      </x:c>
      <x:c r="B5355" s="16" t="str">
        <x:v>Nurrul Jannah</x:v>
      </x:c>
      <x:c r="C5355" s="16" t="str"/>
      <x:c r="D5355" s="16" t="str"/>
      <x:c r="E5355" s="16" t="str">
        <x:v>* myContacts</x:v>
      </x:c>
      <x:c r="F5355" s="16" t="str">
        <x:v>+60193693786</x:v>
      </x:c>
      <x:c r="G5355" s="16" t="str">
        <x:v>+60193693786</x:v>
      </x:c>
      <x:c r="H5355" s="16" t="str">
        <x:v>Excluded</x:v>
      </x:c>
      <x:c r="I5355" s="16" t="str">
        <x:v>Missing email</x:v>
      </x:c>
    </x:row>
    <x:row r="5356">
      <x:c r="A5356" s="16" t="n">
        <x:v>5353</x:v>
      </x:c>
      <x:c r="B5356" s="16" t="str">
        <x:v>NurShahiera Ismail</x:v>
      </x:c>
      <x:c r="C5356" s="16" t="str"/>
      <x:c r="D5356" s="16" t="str"/>
      <x:c r="E5356" s="16" t="str">
        <x:v>* myContacts</x:v>
      </x:c>
      <x:c r="F5356" s="16" t="str">
        <x:v>+601131393482</x:v>
      </x:c>
      <x:c r="G5356" s="16" t="str">
        <x:v>+601131393482</x:v>
      </x:c>
      <x:c r="H5356" s="16" t="str">
        <x:v>Excluded</x:v>
      </x:c>
      <x:c r="I5356" s="16" t="str">
        <x:v>Missing email</x:v>
      </x:c>
    </x:row>
    <x:row r="5357">
      <x:c r="A5357" s="16" t="n">
        <x:v>5354</x:v>
      </x:c>
      <x:c r="B5357" s="16" t="str">
        <x:v>Nurshazwany Nurshazwany</x:v>
      </x:c>
      <x:c r="C5357" s="16" t="str"/>
      <x:c r="D5357" s="16" t="str"/>
      <x:c r="E5357" s="16" t="str">
        <x:v>* myContacts</x:v>
      </x:c>
      <x:c r="F5357" s="16" t="str">
        <x:v>+601110775034</x:v>
      </x:c>
      <x:c r="G5357" s="16" t="str">
        <x:v>+601110775034</x:v>
      </x:c>
      <x:c r="H5357" s="16" t="str">
        <x:v>Excluded</x:v>
      </x:c>
      <x:c r="I5357" s="16" t="str">
        <x:v>Missing email</x:v>
      </x:c>
    </x:row>
    <x:row r="5358">
      <x:c r="A5358" s="16" t="n">
        <x:v>5355</x:v>
      </x:c>
      <x:c r="B5358" s="16" t="str">
        <x:v>Nurshoppe Greenapple</x:v>
      </x:c>
      <x:c r="C5358" s="16" t="str"/>
      <x:c r="D5358" s="16" t="str"/>
      <x:c r="E5358" s="16" t="str">
        <x:v>* myContacts</x:v>
      </x:c>
      <x:c r="F5358" s="16" t="str">
        <x:v>+60142638107</x:v>
      </x:c>
      <x:c r="G5358" s="16" t="str">
        <x:v>+60142638107</x:v>
      </x:c>
      <x:c r="H5358" s="16" t="str">
        <x:v>Excluded</x:v>
      </x:c>
      <x:c r="I5358" s="16" t="str">
        <x:v>Missing email</x:v>
      </x:c>
    </x:row>
    <x:row r="5359">
      <x:c r="A5359" s="16" t="n">
        <x:v>5356</x:v>
      </x:c>
      <x:c r="B5359" s="16" t="str">
        <x:v>Nursia Juhari</x:v>
      </x:c>
      <x:c r="C5359" s="16" t="str"/>
      <x:c r="D5359" s="16" t="str"/>
      <x:c r="E5359" s="16" t="str">
        <x:v>* myContacts</x:v>
      </x:c>
      <x:c r="F5359" s="16" t="str">
        <x:v>+601129812649</x:v>
      </x:c>
      <x:c r="G5359" s="16" t="str">
        <x:v>+601129812649</x:v>
      </x:c>
      <x:c r="H5359" s="16" t="str">
        <x:v>Excluded</x:v>
      </x:c>
      <x:c r="I5359" s="16" t="str">
        <x:v>Missing email</x:v>
      </x:c>
    </x:row>
    <x:row r="5360">
      <x:c r="A5360" s="16" t="n">
        <x:v>5357</x:v>
      </x:c>
      <x:c r="B5360" s="16" t="str">
        <x:v>Nursyafiqa Nik Abd Rahim</x:v>
      </x:c>
      <x:c r="C5360" s="16" t="str"/>
      <x:c r="D5360" s="16" t="str"/>
      <x:c r="E5360" s="16" t="str">
        <x:v>* myContacts</x:v>
      </x:c>
      <x:c r="F5360" s="16" t="str">
        <x:v>+60164756939</x:v>
      </x:c>
      <x:c r="G5360" s="16" t="str">
        <x:v>+60164756939</x:v>
      </x:c>
      <x:c r="H5360" s="16" t="str">
        <x:v>Excluded</x:v>
      </x:c>
      <x:c r="I5360" s="16" t="str">
        <x:v>Missing email</x:v>
      </x:c>
    </x:row>
    <x:row r="5361">
      <x:c r="A5361" s="16" t="n">
        <x:v>5358</x:v>
      </x:c>
      <x:c r="B5361" s="16" t="str">
        <x:v>Nurul Adila Azmi</x:v>
      </x:c>
      <x:c r="C5361" s="16" t="str"/>
      <x:c r="D5361" s="16" t="str"/>
      <x:c r="E5361" s="16" t="str">
        <x:v>* myContacts</x:v>
      </x:c>
      <x:c r="F5361" s="16" t="str">
        <x:v>+60125004559</x:v>
      </x:c>
      <x:c r="G5361" s="16" t="str">
        <x:v>+60125004559</x:v>
      </x:c>
      <x:c r="H5361" s="16" t="str">
        <x:v>Excluded</x:v>
      </x:c>
      <x:c r="I5361" s="16" t="str">
        <x:v>Missing email</x:v>
      </x:c>
    </x:row>
    <x:row r="5362">
      <x:c r="A5362" s="16" t="n">
        <x:v>5359</x:v>
      </x:c>
      <x:c r="B5362" s="16" t="str">
        <x:v>Nurul Afiqah</x:v>
      </x:c>
      <x:c r="C5362" s="16" t="str"/>
      <x:c r="D5362" s="16" t="str"/>
      <x:c r="E5362" s="16" t="str">
        <x:v>* myContacts</x:v>
      </x:c>
      <x:c r="F5362" s="16" t="str">
        <x:v>+60360344492</x:v>
      </x:c>
      <x:c r="G5362" s="16" t="str">
        <x:v>+60360344492</x:v>
      </x:c>
      <x:c r="H5362" s="16" t="str">
        <x:v>Excluded</x:v>
      </x:c>
      <x:c r="I5362" s="16" t="str">
        <x:v>Missing email</x:v>
      </x:c>
    </x:row>
    <x:row r="5363">
      <x:c r="A5363" s="16" t="n">
        <x:v>5360</x:v>
      </x:c>
      <x:c r="B5363" s="16" t="str">
        <x:v>Nurul Afiqah Khairul Adnan</x:v>
      </x:c>
      <x:c r="C5363" s="16" t="str"/>
      <x:c r="D5363" s="16" t="str"/>
      <x:c r="E5363" s="16" t="str">
        <x:v>* myContacts</x:v>
      </x:c>
      <x:c r="F5363" s="16" t="str">
        <x:v>+60135864264</x:v>
      </x:c>
      <x:c r="G5363" s="16" t="str">
        <x:v>+60135864264</x:v>
      </x:c>
      <x:c r="H5363" s="16" t="str">
        <x:v>Excluded</x:v>
      </x:c>
      <x:c r="I5363" s="16" t="str">
        <x:v>Missing email</x:v>
      </x:c>
    </x:row>
    <x:row r="5364">
      <x:c r="A5364" s="16" t="n">
        <x:v>5361</x:v>
      </x:c>
      <x:c r="B5364" s="16" t="str">
        <x:v>Nurul Aien</x:v>
      </x:c>
      <x:c r="C5364" s="16" t="str"/>
      <x:c r="D5364" s="16" t="str"/>
      <x:c r="E5364" s="16" t="str">
        <x:v>* myContacts</x:v>
      </x:c>
      <x:c r="F5364" s="16" t="str">
        <x:v>+601128395259</x:v>
      </x:c>
      <x:c r="G5364" s="16" t="str">
        <x:v>+601128395259</x:v>
      </x:c>
      <x:c r="H5364" s="16" t="str">
        <x:v>Excluded</x:v>
      </x:c>
      <x:c r="I5364" s="16" t="str">
        <x:v>Missing email</x:v>
      </x:c>
    </x:row>
    <x:row r="5365">
      <x:c r="A5365" s="16" t="n">
        <x:v>5362</x:v>
      </x:c>
      <x:c r="B5365" s="16" t="str">
        <x:v>Nurul Ain</x:v>
      </x:c>
      <x:c r="C5365" s="16" t="str"/>
      <x:c r="D5365" s="16" t="str"/>
      <x:c r="E5365" s="16" t="str">
        <x:v>* myContacts</x:v>
      </x:c>
      <x:c r="F5365" s="16" t="str">
        <x:v>+60184686639</x:v>
      </x:c>
      <x:c r="G5365" s="16" t="str">
        <x:v>+60184686639</x:v>
      </x:c>
      <x:c r="H5365" s="16" t="str">
        <x:v>Excluded</x:v>
      </x:c>
      <x:c r="I5365" s="16" t="str">
        <x:v>Missing email</x:v>
      </x:c>
    </x:row>
    <x:row r="5366">
      <x:c r="A5366" s="16" t="n">
        <x:v>5363</x:v>
      </x:c>
      <x:c r="B5366" s="16" t="str">
        <x:v>Nurul Ain Aide</x:v>
      </x:c>
      <x:c r="C5366" s="16" t="str"/>
      <x:c r="D5366" s="16" t="str"/>
      <x:c r="E5366" s="16" t="str">
        <x:v>* myContacts</x:v>
      </x:c>
      <x:c r="F5366" s="16" t="str">
        <x:v>+601133832848</x:v>
      </x:c>
      <x:c r="G5366" s="16" t="str">
        <x:v>+601133832848</x:v>
      </x:c>
      <x:c r="H5366" s="16" t="str">
        <x:v>Excluded</x:v>
      </x:c>
      <x:c r="I5366" s="16" t="str">
        <x:v>Missing email</x:v>
      </x:c>
    </x:row>
    <x:row r="5367">
      <x:c r="A5367" s="16" t="n">
        <x:v>5364</x:v>
      </x:c>
      <x:c r="B5367" s="16" t="str">
        <x:v>Nurul Ain Izzatti Arijan</x:v>
      </x:c>
      <x:c r="C5367" s="16" t="str"/>
      <x:c r="D5367" s="16" t="str"/>
      <x:c r="E5367" s="16" t="str">
        <x:v>* myContacts</x:v>
      </x:c>
      <x:c r="F5367" s="16" t="str">
        <x:v>+60182771743</x:v>
      </x:c>
      <x:c r="G5367" s="16" t="str">
        <x:v>+60182771743</x:v>
      </x:c>
      <x:c r="H5367" s="16" t="str">
        <x:v>Excluded</x:v>
      </x:c>
      <x:c r="I5367" s="16" t="str">
        <x:v>Missing email</x:v>
      </x:c>
    </x:row>
    <x:row r="5368">
      <x:c r="A5368" s="16" t="n">
        <x:v>5365</x:v>
      </x:c>
      <x:c r="B5368" s="16" t="str">
        <x:v>Nurul Aini AGP</x:v>
      </x:c>
      <x:c r="C5368" s="16" t="str"/>
      <x:c r="D5368" s="16" t="str"/>
      <x:c r="E5368" s="16" t="str">
        <x:v>* myContacts</x:v>
      </x:c>
      <x:c r="F5368" s="16" t="str">
        <x:v>+60 19-917 1924 | +60199171924</x:v>
      </x:c>
      <x:c r="G5368" s="16" t="str">
        <x:v>+60199171924 | +60199171924</x:v>
      </x:c>
      <x:c r="H5368" s="16" t="str">
        <x:v>Excluded</x:v>
      </x:c>
      <x:c r="I5368" s="16" t="str">
        <x:v>Missing email</x:v>
      </x:c>
    </x:row>
    <x:row r="5369">
      <x:c r="A5369" s="16" t="n">
        <x:v>5366</x:v>
      </x:c>
      <x:c r="B5369" s="16" t="str">
        <x:v>Nurul Aini Ain</x:v>
      </x:c>
      <x:c r="C5369" s="16" t="str"/>
      <x:c r="D5369" s="16" t="str"/>
      <x:c r="E5369" s="16" t="str">
        <x:v>* myContacts</x:v>
      </x:c>
      <x:c r="F5369" s="16" t="str">
        <x:v>+60194012815</x:v>
      </x:c>
      <x:c r="G5369" s="16" t="str">
        <x:v>+60194012815</x:v>
      </x:c>
      <x:c r="H5369" s="16" t="str">
        <x:v>Excluded</x:v>
      </x:c>
      <x:c r="I5369" s="16" t="str">
        <x:v>Missing email</x:v>
      </x:c>
    </x:row>
    <x:row r="5370">
      <x:c r="A5370" s="16" t="n">
        <x:v>5367</x:v>
      </x:c>
      <x:c r="B5370" s="16" t="str">
        <x:v>Nurul Amiratul</x:v>
      </x:c>
      <x:c r="C5370" s="16" t="str"/>
      <x:c r="D5370" s="16" t="str"/>
      <x:c r="E5370" s="16" t="str">
        <x:v>* myContacts</x:v>
      </x:c>
      <x:c r="F5370" s="16" t="str">
        <x:v>+60193112414</x:v>
      </x:c>
      <x:c r="G5370" s="16" t="str">
        <x:v>+60193112414</x:v>
      </x:c>
      <x:c r="H5370" s="16" t="str">
        <x:v>Excluded</x:v>
      </x:c>
      <x:c r="I5370" s="16" t="str">
        <x:v>Missing email</x:v>
      </x:c>
    </x:row>
    <x:row r="5371">
      <x:c r="A5371" s="16" t="n">
        <x:v>5368</x:v>
      </x:c>
      <x:c r="B5371" s="16" t="str">
        <x:v>Nurul Amylea</x:v>
      </x:c>
      <x:c r="C5371" s="16" t="str"/>
      <x:c r="D5371" s="16" t="str"/>
      <x:c r="E5371" s="16" t="str">
        <x:v>* myContacts</x:v>
      </x:c>
      <x:c r="F5371" s="16" t="str">
        <x:v>+601114999150</x:v>
      </x:c>
      <x:c r="G5371" s="16" t="str">
        <x:v>+601114999150</x:v>
      </x:c>
      <x:c r="H5371" s="16" t="str">
        <x:v>Excluded</x:v>
      </x:c>
      <x:c r="I5371" s="16" t="str">
        <x:v>Missing email</x:v>
      </x:c>
    </x:row>
    <x:row r="5372">
      <x:c r="A5372" s="16" t="n">
        <x:v>5369</x:v>
      </x:c>
      <x:c r="B5372" s="16" t="str">
        <x:v>Nurul Aqidah</x:v>
      </x:c>
      <x:c r="C5372" s="16" t="str"/>
      <x:c r="D5372" s="16" t="str"/>
      <x:c r="E5372" s="16" t="str">
        <x:v>* myContacts</x:v>
      </x:c>
      <x:c r="F5372" s="16" t="str">
        <x:v>+601123347653</x:v>
      </x:c>
      <x:c r="G5372" s="16" t="str">
        <x:v>+601123347653</x:v>
      </x:c>
      <x:c r="H5372" s="16" t="str">
        <x:v>Excluded</x:v>
      </x:c>
      <x:c r="I5372" s="16" t="str">
        <x:v>Missing email</x:v>
      </x:c>
    </x:row>
    <x:row r="5373">
      <x:c r="A5373" s="16" t="n">
        <x:v>5370</x:v>
      </x:c>
      <x:c r="B5373" s="16" t="str">
        <x:v>Nurul Ashiqqin</x:v>
      </x:c>
      <x:c r="C5373" s="16" t="str"/>
      <x:c r="D5373" s="16" t="str"/>
      <x:c r="E5373" s="16" t="str">
        <x:v>* myContacts</x:v>
      </x:c>
      <x:c r="F5373" s="16" t="str">
        <x:v>+60175230816</x:v>
      </x:c>
      <x:c r="G5373" s="16" t="str">
        <x:v>+60175230816</x:v>
      </x:c>
      <x:c r="H5373" s="16" t="str">
        <x:v>Excluded</x:v>
      </x:c>
      <x:c r="I5373" s="16" t="str">
        <x:v>Missing email</x:v>
      </x:c>
    </x:row>
    <x:row r="5374">
      <x:c r="A5374" s="16" t="n">
        <x:v>5371</x:v>
      </x:c>
      <x:c r="B5374" s="16" t="str">
        <x:v>Nurul Asma Nudar</x:v>
      </x:c>
      <x:c r="C5374" s="16" t="str"/>
      <x:c r="D5374" s="16" t="str"/>
      <x:c r="E5374" s="16" t="str">
        <x:v>* myContacts</x:v>
      </x:c>
      <x:c r="F5374" s="16" t="str">
        <x:v>+60175558975</x:v>
      </x:c>
      <x:c r="G5374" s="16" t="str">
        <x:v>+60175558975</x:v>
      </x:c>
      <x:c r="H5374" s="16" t="str">
        <x:v>Excluded</x:v>
      </x:c>
      <x:c r="I5374" s="16" t="str">
        <x:v>Missing email</x:v>
      </x:c>
    </x:row>
    <x:row r="5375">
      <x:c r="A5375" s="16" t="n">
        <x:v>5372</x:v>
      </x:c>
      <x:c r="B5375" s="16" t="str">
        <x:v>Nurul Asmida Pengasuh Langkawi</x:v>
      </x:c>
      <x:c r="C5375" s="16" t="str"/>
      <x:c r="D5375" s="16" t="str"/>
      <x:c r="E5375" s="16" t="str">
        <x:v>* myContacts</x:v>
      </x:c>
      <x:c r="F5375" s="16" t="str">
        <x:v>+60125208013</x:v>
      </x:c>
      <x:c r="G5375" s="16" t="str">
        <x:v>+60125208013</x:v>
      </x:c>
      <x:c r="H5375" s="16" t="str">
        <x:v>Excluded</x:v>
      </x:c>
      <x:c r="I5375" s="16" t="str">
        <x:v>Missing email</x:v>
      </x:c>
    </x:row>
    <x:row r="5376">
      <x:c r="A5376" s="16" t="n">
        <x:v>5373</x:v>
      </x:c>
      <x:c r="B5376" s="16" t="str">
        <x:v>Nurul Asyiqin Zahir</x:v>
      </x:c>
      <x:c r="C5376" s="16" t="str"/>
      <x:c r="D5376" s="16" t="str"/>
      <x:c r="E5376" s="16" t="str">
        <x:v>* myContacts</x:v>
      </x:c>
      <x:c r="F5376" s="16" t="str">
        <x:v>+60176607241</x:v>
      </x:c>
      <x:c r="G5376" s="16" t="str">
        <x:v>+60176607241</x:v>
      </x:c>
      <x:c r="H5376" s="16" t="str">
        <x:v>Excluded</x:v>
      </x:c>
      <x:c r="I5376" s="16" t="str">
        <x:v>Missing email</x:v>
      </x:c>
    </x:row>
    <x:row r="5377">
      <x:c r="A5377" s="16" t="n">
        <x:v>5374</x:v>
      </x:c>
      <x:c r="B5377" s="16" t="str">
        <x:v>Nurul Athirah Ramdin Stg</x:v>
      </x:c>
      <x:c r="C5377" s="16" t="str"/>
      <x:c r="D5377" s="16" t="str"/>
      <x:c r="E5377" s="16" t="str">
        <x:v>* myContacts</x:v>
      </x:c>
      <x:c r="F5377" s="16" t="str">
        <x:v>+60128202316</x:v>
      </x:c>
      <x:c r="G5377" s="16" t="str">
        <x:v>+60128202316</x:v>
      </x:c>
      <x:c r="H5377" s="16" t="str">
        <x:v>Excluded</x:v>
      </x:c>
      <x:c r="I5377" s="16" t="str">
        <x:v>Missing email</x:v>
      </x:c>
    </x:row>
    <x:row r="5378">
      <x:c r="A5378" s="16" t="n">
        <x:v>5375</x:v>
      </x:c>
      <x:c r="B5378" s="16" t="str">
        <x:v>Nurul Azeera Tiktok MANAGER</x:v>
      </x:c>
      <x:c r="C5378" s="16" t="str"/>
      <x:c r="D5378" s="16" t="str"/>
      <x:c r="E5378" s="16" t="str">
        <x:v>* myContacts</x:v>
      </x:c>
      <x:c r="F5378" s="16" t="str">
        <x:v>0174440721 | +60174440721</x:v>
      </x:c>
      <x:c r="G5378" s="16" t="str">
        <x:v>+60174440721 | +60174440721</x:v>
      </x:c>
      <x:c r="H5378" s="16" t="str">
        <x:v>Excluded</x:v>
      </x:c>
      <x:c r="I5378" s="16" t="str">
        <x:v>Missing email</x:v>
      </x:c>
    </x:row>
    <x:row r="5379">
      <x:c r="A5379" s="16" t="n">
        <x:v>5376</x:v>
      </x:c>
      <x:c r="B5379" s="16" t="str">
        <x:v>Nurul Azrina Kadri</x:v>
      </x:c>
      <x:c r="C5379" s="16" t="str"/>
      <x:c r="D5379" s="16" t="str"/>
      <x:c r="E5379" s="16" t="str">
        <x:v>* myContacts</x:v>
      </x:c>
      <x:c r="F5379" s="16" t="str">
        <x:v>+60196684788</x:v>
      </x:c>
      <x:c r="G5379" s="16" t="str">
        <x:v>+60196684788</x:v>
      </x:c>
      <x:c r="H5379" s="16" t="str">
        <x:v>Excluded</x:v>
      </x:c>
      <x:c r="I5379" s="16" t="str">
        <x:v>Missing email</x:v>
      </x:c>
    </x:row>
    <x:row r="5380">
      <x:c r="A5380" s="16" t="n">
        <x:v>5377</x:v>
      </x:c>
      <x:c r="B5380" s="16" t="str">
        <x:v>Nurul dpim</x:v>
      </x:c>
      <x:c r="C5380" s="16" t="str"/>
      <x:c r="D5380" s="16" t="str"/>
      <x:c r="E5380" s="16" t="str">
        <x:v>* myContacts</x:v>
      </x:c>
      <x:c r="F5380" s="16" t="str">
        <x:v>+60 13-441 4110 | +60134414110</x:v>
      </x:c>
      <x:c r="G5380" s="16" t="str">
        <x:v>+60134414110 | +60134414110</x:v>
      </x:c>
      <x:c r="H5380" s="16" t="str">
        <x:v>Excluded</x:v>
      </x:c>
      <x:c r="I5380" s="16" t="str">
        <x:v>Missing email</x:v>
      </x:c>
    </x:row>
    <x:row r="5381">
      <x:c r="A5381" s="16" t="n">
        <x:v>5378</x:v>
      </x:c>
      <x:c r="B5381" s="16" t="str">
        <x:v>Nurul Fadzilah Noordin Trainer Sabah</x:v>
      </x:c>
      <x:c r="C5381" s="16" t="str"/>
      <x:c r="D5381" s="16" t="str"/>
      <x:c r="E5381" s="16" t="str">
        <x:v>* myContacts</x:v>
      </x:c>
      <x:c r="F5381" s="16" t="str">
        <x:v>+60 13-890 8440 | +60138908440</x:v>
      </x:c>
      <x:c r="G5381" s="16" t="str">
        <x:v>+60138908440 | +60138908440</x:v>
      </x:c>
      <x:c r="H5381" s="16" t="str">
        <x:v>Excluded</x:v>
      </x:c>
      <x:c r="I5381" s="16" t="str">
        <x:v>Missing email</x:v>
      </x:c>
    </x:row>
    <x:row r="5382">
      <x:c r="A5382" s="16" t="n">
        <x:v>5379</x:v>
      </x:c>
      <x:c r="B5382" s="16" t="str">
        <x:v>Nurul Farhana Sardimin</x:v>
      </x:c>
      <x:c r="C5382" s="16" t="str"/>
      <x:c r="D5382" s="16" t="str"/>
      <x:c r="E5382" s="16" t="str">
        <x:v>* myContacts</x:v>
      </x:c>
      <x:c r="F5382" s="16" t="str">
        <x:v>+60104025916</x:v>
      </x:c>
      <x:c r="G5382" s="16" t="str">
        <x:v>+60104025916</x:v>
      </x:c>
      <x:c r="H5382" s="16" t="str">
        <x:v>Excluded</x:v>
      </x:c>
      <x:c r="I5382" s="16" t="str">
        <x:v>Missing email</x:v>
      </x:c>
    </x:row>
    <x:row r="5383">
      <x:c r="A5383" s="16" t="n">
        <x:v>5380</x:v>
      </x:c>
      <x:c r="B5383" s="16" t="str">
        <x:v>Nurul Fatiha</x:v>
      </x:c>
      <x:c r="C5383" s="16" t="str"/>
      <x:c r="D5383" s="16" t="str"/>
      <x:c r="E5383" s="16" t="str">
        <x:v>* myContacts</x:v>
      </x:c>
      <x:c r="F5383" s="16" t="str">
        <x:v>+60172428646</x:v>
      </x:c>
      <x:c r="G5383" s="16" t="str">
        <x:v>+60172428646</x:v>
      </x:c>
      <x:c r="H5383" s="16" t="str">
        <x:v>Excluded</x:v>
      </x:c>
      <x:c r="I5383" s="16" t="str">
        <x:v>Missing email</x:v>
      </x:c>
    </x:row>
    <x:row r="5384">
      <x:c r="A5384" s="16" t="n">
        <x:v>5381</x:v>
      </x:c>
      <x:c r="B5384" s="16" t="str">
        <x:v>Nurul Fatin</x:v>
      </x:c>
      <x:c r="C5384" s="16" t="str"/>
      <x:c r="D5384" s="16" t="str"/>
      <x:c r="E5384" s="16" t="str">
        <x:v>* myContacts</x:v>
      </x:c>
      <x:c r="F5384" s="16" t="str">
        <x:v>+60103109642</x:v>
      </x:c>
      <x:c r="G5384" s="16" t="str">
        <x:v>+60103109642</x:v>
      </x:c>
      <x:c r="H5384" s="16" t="str">
        <x:v>Excluded</x:v>
      </x:c>
      <x:c r="I5384" s="16" t="str">
        <x:v>Missing email</x:v>
      </x:c>
    </x:row>
    <x:row r="5385">
      <x:c r="A5385" s="16" t="n">
        <x:v>5382</x:v>
      </x:c>
      <x:c r="B5385" s="16" t="str">
        <x:v>Nurul Faziella Nasir</x:v>
      </x:c>
      <x:c r="C5385" s="16" t="str"/>
      <x:c r="D5385" s="16" t="str"/>
      <x:c r="E5385" s="16" t="str">
        <x:v>* myContacts</x:v>
      </x:c>
      <x:c r="F5385" s="16" t="str">
        <x:v>+60146339203</x:v>
      </x:c>
      <x:c r="G5385" s="16" t="str">
        <x:v>+60146339203</x:v>
      </x:c>
      <x:c r="H5385" s="16" t="str">
        <x:v>Excluded</x:v>
      </x:c>
      <x:c r="I5385" s="16" t="str">
        <x:v>Missing email</x:v>
      </x:c>
    </x:row>
    <x:row r="5386">
      <x:c r="A5386" s="16" t="n">
        <x:v>5383</x:v>
      </x:c>
      <x:c r="B5386" s="16" t="str">
        <x:v>Nurul Hairi</x:v>
      </x:c>
      <x:c r="C5386" s="16" t="str"/>
      <x:c r="D5386" s="16" t="str"/>
      <x:c r="E5386" s="16" t="str">
        <x:v>* myContacts</x:v>
      </x:c>
      <x:c r="F5386" s="16" t="str">
        <x:v>+601152590254</x:v>
      </x:c>
      <x:c r="G5386" s="16" t="str">
        <x:v>+601152590254</x:v>
      </x:c>
      <x:c r="H5386" s="16" t="str">
        <x:v>Excluded</x:v>
      </x:c>
      <x:c r="I5386" s="16" t="str">
        <x:v>Missing email</x:v>
      </x:c>
    </x:row>
    <x:row r="5387">
      <x:c r="A5387" s="16" t="n">
        <x:v>5384</x:v>
      </x:c>
      <x:c r="B5387" s="16" t="str">
        <x:v>Nurul Hayati Badri</x:v>
      </x:c>
      <x:c r="C5387" s="16" t="str"/>
      <x:c r="D5387" s="16" t="str"/>
      <x:c r="E5387" s="16" t="str">
        <x:v>* myContacts</x:v>
      </x:c>
      <x:c r="F5387" s="16" t="str">
        <x:v>+60163713909</x:v>
      </x:c>
      <x:c r="G5387" s="16" t="str">
        <x:v>+60163713909</x:v>
      </x:c>
      <x:c r="H5387" s="16" t="str">
        <x:v>Excluded</x:v>
      </x:c>
      <x:c r="I5387" s="16" t="str">
        <x:v>Missing email</x:v>
      </x:c>
    </x:row>
    <x:row r="5388">
      <x:c r="A5388" s="16" t="n">
        <x:v>5385</x:v>
      </x:c>
      <x:c r="B5388" s="16" t="str">
        <x:v>Nurul Hidayah</x:v>
      </x:c>
      <x:c r="C5388" s="16" t="str">
        <x:v>nurulhidayah@charisma-cwa.com</x:v>
      </x:c>
      <x:c r="D5388" s="16" t="str">
        <x:v>nurulhidayah@charisma-cwa.com</x:v>
      </x:c>
      <x:c r="E5388" s="16" t="str">
        <x:v>* myContacts</x:v>
      </x:c>
      <x:c r="F5388" s="16" t="str">
        <x:v>+60174790004</x:v>
      </x:c>
      <x:c r="G5388" s="16" t="str">
        <x:v>+60174790004</x:v>
      </x:c>
      <x:c r="H5388" s="16" t="str">
        <x:v>Eligible</x:v>
      </x:c>
      <x:c r="I5388" s="16" t="str"/>
    </x:row>
    <x:row r="5389">
      <x:c r="A5389" s="16" t="n">
        <x:v>5386</x:v>
      </x:c>
      <x:c r="B5389" s="16" t="str">
        <x:v>Nurul Hiddayah</x:v>
      </x:c>
      <x:c r="C5389" s="16" t="str"/>
      <x:c r="D5389" s="16" t="str"/>
      <x:c r="E5389" s="16" t="str">
        <x:v>* myContacts</x:v>
      </x:c>
      <x:c r="F5389" s="16" t="str">
        <x:v>+60132076936</x:v>
      </x:c>
      <x:c r="G5389" s="16" t="str">
        <x:v>+60132076936</x:v>
      </x:c>
      <x:c r="H5389" s="16" t="str">
        <x:v>Excluded</x:v>
      </x:c>
      <x:c r="I5389" s="16" t="str">
        <x:v>Missing email</x:v>
      </x:c>
    </x:row>
    <x:row r="5390">
      <x:c r="A5390" s="16" t="n">
        <x:v>5387</x:v>
      </x:c>
      <x:c r="B5390" s="16" t="str">
        <x:v>Nurul Huda</x:v>
      </x:c>
      <x:c r="C5390" s="16" t="str"/>
      <x:c r="D5390" s="16" t="str"/>
      <x:c r="E5390" s="16" t="str">
        <x:v>* myContacts</x:v>
      </x:c>
      <x:c r="F5390" s="16" t="str">
        <x:v>+601125499275 | +60139804458 | +601125499275 | +60139804458</x:v>
      </x:c>
      <x:c r="G5390" s="16" t="str">
        <x:v>+601125499275 | +60139804458 | +601125499275 | +60139804458</x:v>
      </x:c>
      <x:c r="H5390" s="16" t="str">
        <x:v>Excluded</x:v>
      </x:c>
      <x:c r="I5390" s="16" t="str">
        <x:v>Missing email</x:v>
      </x:c>
    </x:row>
    <x:row r="5391">
      <x:c r="A5391" s="16" t="n">
        <x:v>5388</x:v>
      </x:c>
      <x:c r="B5391" s="16" t="str">
        <x:v>Nurul Huda Student</x:v>
      </x:c>
      <x:c r="C5391" s="16" t="str">
        <x:v>nurulh01@gmail.com</x:v>
      </x:c>
      <x:c r="D5391" s="16" t="str">
        <x:v>nurulh01@gmail.com</x:v>
      </x:c>
      <x:c r="E5391" s="16" t="str">
        <x:v>* myContacts</x:v>
      </x:c>
      <x:c r="F5391" s="16" t="str">
        <x:v>0123112559 | +60123112559</x:v>
      </x:c>
      <x:c r="G5391" s="16" t="str">
        <x:v>+60123112559 | +60123112559</x:v>
      </x:c>
      <x:c r="H5391" s="16" t="str">
        <x:v>Eligible</x:v>
      </x:c>
      <x:c r="I5391" s="16" t="str"/>
    </x:row>
    <x:row r="5392">
      <x:c r="A5392" s="16" t="n">
        <x:v>5389</x:v>
      </x:c>
      <x:c r="B5392" s="16" t="str">
        <x:v>Nurul Huda Supian</x:v>
      </x:c>
      <x:c r="C5392" s="16" t="str"/>
      <x:c r="D5392" s="16" t="str"/>
      <x:c r="E5392" s="16" t="str">
        <x:v>* myContacts</x:v>
      </x:c>
      <x:c r="F5392" s="16" t="str">
        <x:v>+60183277593</x:v>
      </x:c>
      <x:c r="G5392" s="16" t="str">
        <x:v>+60183277593</x:v>
      </x:c>
      <x:c r="H5392" s="16" t="str">
        <x:v>Excluded</x:v>
      </x:c>
      <x:c r="I5392" s="16" t="str">
        <x:v>Missing email</x:v>
      </x:c>
    </x:row>
    <x:row r="5393">
      <x:c r="A5393" s="16" t="n">
        <x:v>5390</x:v>
      </x:c>
      <x:c r="B5393" s="16" t="str">
        <x:v>Nurul Huda Zakaria</x:v>
      </x:c>
      <x:c r="C5393" s="16" t="str"/>
      <x:c r="D5393" s="16" t="str"/>
      <x:c r="E5393" s="16" t="str">
        <x:v>* myContacts</x:v>
      </x:c>
      <x:c r="F5393" s="16" t="str">
        <x:v>+60123993848</x:v>
      </x:c>
      <x:c r="G5393" s="16" t="str">
        <x:v>+60123993848</x:v>
      </x:c>
      <x:c r="H5393" s="16" t="str">
        <x:v>Excluded</x:v>
      </x:c>
      <x:c r="I5393" s="16" t="str">
        <x:v>Missing email</x:v>
      </x:c>
    </x:row>
    <x:row r="5394">
      <x:c r="A5394" s="16" t="n">
        <x:v>5391</x:v>
      </x:c>
      <x:c r="B5394" s="16" t="str">
        <x:v>Nurul Husna JN</x:v>
      </x:c>
      <x:c r="C5394" s="16" t="str"/>
      <x:c r="D5394" s="16" t="str"/>
      <x:c r="E5394" s="16" t="str">
        <x:v>* myContacts</x:v>
      </x:c>
      <x:c r="F5394" s="16" t="str">
        <x:v>+60102264955</x:v>
      </x:c>
      <x:c r="G5394" s="16" t="str">
        <x:v>+60102264955</x:v>
      </x:c>
      <x:c r="H5394" s="16" t="str">
        <x:v>Excluded</x:v>
      </x:c>
      <x:c r="I5394" s="16" t="str">
        <x:v>Missing email</x:v>
      </x:c>
    </x:row>
    <x:row r="5395">
      <x:c r="A5395" s="16" t="n">
        <x:v>5392</x:v>
      </x:c>
      <x:c r="B5395" s="16" t="str">
        <x:v>Nurul Husna Shafie</x:v>
      </x:c>
      <x:c r="C5395" s="16" t="str"/>
      <x:c r="D5395" s="16" t="str"/>
      <x:c r="E5395" s="16" t="str">
        <x:v>* myContacts</x:v>
      </x:c>
      <x:c r="F5395" s="16" t="str">
        <x:v>+60132390823</x:v>
      </x:c>
      <x:c r="G5395" s="16" t="str">
        <x:v>+60132390823</x:v>
      </x:c>
      <x:c r="H5395" s="16" t="str">
        <x:v>Excluded</x:v>
      </x:c>
      <x:c r="I5395" s="16" t="str">
        <x:v>Missing email</x:v>
      </x:c>
    </x:row>
    <x:row r="5396">
      <x:c r="A5396" s="16" t="n">
        <x:v>5393</x:v>
      </x:c>
      <x:c r="B5396" s="16" t="str">
        <x:v>Nurul Iffah Sabri</x:v>
      </x:c>
      <x:c r="C5396" s="16" t="str"/>
      <x:c r="D5396" s="16" t="str"/>
      <x:c r="E5396" s="16" t="str">
        <x:v>* myContacts</x:v>
      </x:c>
      <x:c r="F5396" s="16" t="str">
        <x:v>+601132555112</x:v>
      </x:c>
      <x:c r="G5396" s="16" t="str">
        <x:v>+601132555112</x:v>
      </x:c>
      <x:c r="H5396" s="16" t="str">
        <x:v>Excluded</x:v>
      </x:c>
      <x:c r="I5396" s="16" t="str">
        <x:v>Missing email</x:v>
      </x:c>
    </x:row>
    <x:row r="5397">
      <x:c r="A5397" s="16" t="n">
        <x:v>5394</x:v>
      </x:c>
      <x:c r="B5397" s="16" t="str">
        <x:v>Nurul Izza</x:v>
      </x:c>
      <x:c r="C5397" s="16" t="str"/>
      <x:c r="D5397" s="16" t="str"/>
      <x:c r="E5397" s="16" t="str">
        <x:v>* myContacts</x:v>
      </x:c>
      <x:c r="F5397" s="16" t="str">
        <x:v>+60179727057 | +60197310069 | +60179727057 | +60197310069</x:v>
      </x:c>
      <x:c r="G5397" s="16" t="str">
        <x:v>+60179727057 | +60197310069 | +60179727057 | +60197310069</x:v>
      </x:c>
      <x:c r="H5397" s="16" t="str">
        <x:v>Excluded</x:v>
      </x:c>
      <x:c r="I5397" s="16" t="str">
        <x:v>Missing email</x:v>
      </x:c>
    </x:row>
    <x:row r="5398">
      <x:c r="A5398" s="16" t="n">
        <x:v>5395</x:v>
      </x:c>
      <x:c r="B5398" s="16" t="str">
        <x:v>Nurul Izzati Bt Abdul Halim Student</x:v>
      </x:c>
      <x:c r="C5398" s="16" t="str">
        <x:v>izzatiabdhalim@gmail.com</x:v>
      </x:c>
      <x:c r="D5398" s="16" t="str">
        <x:v>izzatiabdhalim@gmail.com</x:v>
      </x:c>
      <x:c r="E5398" s="16" t="str">
        <x:v>* myContacts</x:v>
      </x:c>
      <x:c r="F5398" s="16" t="str">
        <x:v>0193153119 | +60193153119</x:v>
      </x:c>
      <x:c r="G5398" s="16" t="str">
        <x:v>+60193153119 | +60193153119</x:v>
      </x:c>
      <x:c r="H5398" s="16" t="str">
        <x:v>Eligible</x:v>
      </x:c>
      <x:c r="I5398" s="16" t="str"/>
    </x:row>
    <x:row r="5399">
      <x:c r="A5399" s="16" t="n">
        <x:v>5396</x:v>
      </x:c>
      <x:c r="B5399" s="16" t="str">
        <x:v>Nurul Jannah Bongsu</x:v>
      </x:c>
      <x:c r="C5399" s="16" t="str"/>
      <x:c r="D5399" s="16" t="str"/>
      <x:c r="E5399" s="16" t="str">
        <x:v>* myContacts</x:v>
      </x:c>
      <x:c r="F5399" s="16" t="str">
        <x:v>+60123588981</x:v>
      </x:c>
      <x:c r="G5399" s="16" t="str">
        <x:v>+60123588981</x:v>
      </x:c>
      <x:c r="H5399" s="16" t="str">
        <x:v>Excluded</x:v>
      </x:c>
      <x:c r="I5399" s="16" t="str">
        <x:v>Missing email</x:v>
      </x:c>
    </x:row>
    <x:row r="5400">
      <x:c r="A5400" s="16" t="n">
        <x:v>5397</x:v>
      </x:c>
      <x:c r="B5400" s="16" t="str">
        <x:v>Nurul Jannah Mustapa</x:v>
      </x:c>
      <x:c r="C5400" s="16" t="str"/>
      <x:c r="D5400" s="16" t="str"/>
      <x:c r="E5400" s="16" t="str">
        <x:v>* myContacts</x:v>
      </x:c>
      <x:c r="F5400" s="16" t="str">
        <x:v>+60108877054</x:v>
      </x:c>
      <x:c r="G5400" s="16" t="str">
        <x:v>+60108877054</x:v>
      </x:c>
      <x:c r="H5400" s="16" t="str">
        <x:v>Excluded</x:v>
      </x:c>
      <x:c r="I5400" s="16" t="str">
        <x:v>Missing email</x:v>
      </x:c>
    </x:row>
    <x:row r="5401">
      <x:c r="A5401" s="16" t="n">
        <x:v>5398</x:v>
      </x:c>
      <x:c r="B5401" s="16" t="str">
        <x:v>Nurul Jawe</x:v>
      </x:c>
      <x:c r="C5401" s="16" t="str"/>
      <x:c r="D5401" s="16" t="str"/>
      <x:c r="E5401" s="16" t="str">
        <x:v>* myContacts</x:v>
      </x:c>
      <x:c r="F5401" s="16" t="str">
        <x:v>+60123993812</x:v>
      </x:c>
      <x:c r="G5401" s="16" t="str">
        <x:v>+60123993812</x:v>
      </x:c>
      <x:c r="H5401" s="16" t="str">
        <x:v>Excluded</x:v>
      </x:c>
      <x:c r="I5401" s="16" t="str">
        <x:v>Missing email</x:v>
      </x:c>
    </x:row>
    <x:row r="5402">
      <x:c r="A5402" s="16" t="n">
        <x:v>5399</x:v>
      </x:c>
      <x:c r="B5402" s="16" t="str">
        <x:v>Nurul Kasut Plus Size</x:v>
      </x:c>
      <x:c r="C5402" s="16" t="str"/>
      <x:c r="D5402" s="16" t="str"/>
      <x:c r="E5402" s="16" t="str">
        <x:v>* myContacts</x:v>
      </x:c>
      <x:c r="F5402" s="16" t="str">
        <x:v>+601119445298</x:v>
      </x:c>
      <x:c r="G5402" s="16" t="str">
        <x:v>+601119445298</x:v>
      </x:c>
      <x:c r="H5402" s="16" t="str">
        <x:v>Excluded</x:v>
      </x:c>
      <x:c r="I5402" s="16" t="str">
        <x:v>Missing email</x:v>
      </x:c>
    </x:row>
    <x:row r="5403">
      <x:c r="A5403" s="16" t="n">
        <x:v>5400</x:v>
      </x:c>
      <x:c r="B5403" s="16" t="str">
        <x:v>Nurul Latifah Zulkifli</x:v>
      </x:c>
      <x:c r="C5403" s="16" t="str"/>
      <x:c r="D5403" s="16" t="str"/>
      <x:c r="E5403" s="16" t="str">
        <x:v>* myContacts</x:v>
      </x:c>
      <x:c r="F5403" s="16" t="str">
        <x:v>+60166421722</x:v>
      </x:c>
      <x:c r="G5403" s="16" t="str">
        <x:v>+60166421722</x:v>
      </x:c>
      <x:c r="H5403" s="16" t="str">
        <x:v>Excluded</x:v>
      </x:c>
      <x:c r="I5403" s="16" t="str">
        <x:v>Missing email</x:v>
      </x:c>
    </x:row>
    <x:row r="5404">
      <x:c r="A5404" s="16" t="n">
        <x:v>5401</x:v>
      </x:c>
      <x:c r="B5404" s="16" t="str">
        <x:v>Nurul Liyana</x:v>
      </x:c>
      <x:c r="C5404" s="16" t="str"/>
      <x:c r="D5404" s="16" t="str"/>
      <x:c r="E5404" s="16" t="str">
        <x:v>* myContacts</x:v>
      </x:c>
      <x:c r="F5404" s="16" t="str">
        <x:v>+601133442270</x:v>
      </x:c>
      <x:c r="G5404" s="16" t="str">
        <x:v>+601133442270</x:v>
      </x:c>
      <x:c r="H5404" s="16" t="str">
        <x:v>Excluded</x:v>
      </x:c>
      <x:c r="I5404" s="16" t="str">
        <x:v>Missing email</x:v>
      </x:c>
    </x:row>
    <x:row r="5405">
      <x:c r="A5405" s="16" t="n">
        <x:v>5402</x:v>
      </x:c>
      <x:c r="B5405" s="16" t="str">
        <x:v>Nurul Medina</x:v>
      </x:c>
      <x:c r="C5405" s="16" t="str"/>
      <x:c r="D5405" s="16" t="str"/>
      <x:c r="E5405" s="16" t="str">
        <x:v>* myContacts</x:v>
      </x:c>
      <x:c r="F5405" s="16" t="str">
        <x:v>+60125781550</x:v>
      </x:c>
      <x:c r="G5405" s="16" t="str">
        <x:v>+60125781550</x:v>
      </x:c>
      <x:c r="H5405" s="16" t="str">
        <x:v>Excluded</x:v>
      </x:c>
      <x:c r="I5405" s="16" t="str">
        <x:v>Missing email</x:v>
      </x:c>
    </x:row>
    <x:row r="5406">
      <x:c r="A5406" s="16" t="n">
        <x:v>5403</x:v>
      </x:c>
      <x:c r="B5406" s="16" t="str">
        <x:v>Nurul Nabila Hashim</x:v>
      </x:c>
      <x:c r="C5406" s="16" t="str"/>
      <x:c r="D5406" s="16" t="str"/>
      <x:c r="E5406" s="16" t="str">
        <x:v>* myContacts</x:v>
      </x:c>
      <x:c r="F5406" s="16" t="str">
        <x:v>+60167878224</x:v>
      </x:c>
      <x:c r="G5406" s="16" t="str">
        <x:v>+60167878224</x:v>
      </x:c>
      <x:c r="H5406" s="16" t="str">
        <x:v>Excluded</x:v>
      </x:c>
      <x:c r="I5406" s="16" t="str">
        <x:v>Missing email</x:v>
      </x:c>
    </x:row>
    <x:row r="5407">
      <x:c r="A5407" s="16" t="n">
        <x:v>5404</x:v>
      </x:c>
      <x:c r="B5407" s="16" t="str">
        <x:v>Nurul Naimullah Abdullah Zawawi</x:v>
      </x:c>
      <x:c r="C5407" s="16" t="str"/>
      <x:c r="D5407" s="16" t="str"/>
      <x:c r="E5407" s="16" t="str">
        <x:v>* myContacts</x:v>
      </x:c>
      <x:c r="F5407" s="16" t="str">
        <x:v>+60129203541</x:v>
      </x:c>
      <x:c r="G5407" s="16" t="str">
        <x:v>+60129203541</x:v>
      </x:c>
      <x:c r="H5407" s="16" t="str">
        <x:v>Excluded</x:v>
      </x:c>
      <x:c r="I5407" s="16" t="str">
        <x:v>Missing email</x:v>
      </x:c>
    </x:row>
    <x:row r="5408">
      <x:c r="A5408" s="16" t="n">
        <x:v>5405</x:v>
      </x:c>
      <x:c r="B5408" s="16" t="str">
        <x:v>Nurul Najwa Abdullah</x:v>
      </x:c>
      <x:c r="C5408" s="16" t="str"/>
      <x:c r="D5408" s="16" t="str"/>
      <x:c r="E5408" s="16" t="str">
        <x:v>* myContacts</x:v>
      </x:c>
      <x:c r="F5408" s="16" t="str">
        <x:v>+601126646450</x:v>
      </x:c>
      <x:c r="G5408" s="16" t="str">
        <x:v>+601126646450</x:v>
      </x:c>
      <x:c r="H5408" s="16" t="str">
        <x:v>Excluded</x:v>
      </x:c>
      <x:c r="I5408" s="16" t="str">
        <x:v>Missing email</x:v>
      </x:c>
    </x:row>
    <x:row r="5409">
      <x:c r="A5409" s="16" t="n">
        <x:v>5406</x:v>
      </x:c>
      <x:c r="B5409" s="16" t="str">
        <x:v>Nurul Nayla</x:v>
      </x:c>
      <x:c r="C5409" s="16" t="str"/>
      <x:c r="D5409" s="16" t="str"/>
      <x:c r="E5409" s="16" t="str">
        <x:v>* myContacts</x:v>
      </x:c>
      <x:c r="F5409" s="16" t="str">
        <x:v>+6285373727313</x:v>
      </x:c>
      <x:c r="G5409" s="16" t="str">
        <x:v>+6285373727313</x:v>
      </x:c>
      <x:c r="H5409" s="16" t="str">
        <x:v>Excluded</x:v>
      </x:c>
      <x:c r="I5409" s="16" t="str">
        <x:v>Missing email</x:v>
      </x:c>
    </x:row>
    <x:row r="5410">
      <x:c r="A5410" s="16" t="n">
        <x:v>5407</x:v>
      </x:c>
      <x:c r="B5410" s="16" t="str">
        <x:v>Nurul Nisha Ishak</x:v>
      </x:c>
      <x:c r="C5410" s="16" t="str"/>
      <x:c r="D5410" s="16" t="str"/>
      <x:c r="E5410" s="16" t="str">
        <x:v>* myContacts</x:v>
      </x:c>
      <x:c r="F5410" s="16" t="str">
        <x:v>+60195227838</x:v>
      </x:c>
      <x:c r="G5410" s="16" t="str">
        <x:v>+60195227838</x:v>
      </x:c>
      <x:c r="H5410" s="16" t="str">
        <x:v>Excluded</x:v>
      </x:c>
      <x:c r="I5410" s="16" t="str">
        <x:v>Missing email</x:v>
      </x:c>
    </x:row>
    <x:row r="5411">
      <x:c r="A5411" s="16" t="n">
        <x:v>5408</x:v>
      </x:c>
      <x:c r="B5411" s="16" t="str">
        <x:v>Nurul Razali</x:v>
      </x:c>
      <x:c r="C5411" s="16" t="str"/>
      <x:c r="D5411" s="16" t="str"/>
      <x:c r="E5411" s="16" t="str">
        <x:v>* myContacts</x:v>
      </x:c>
      <x:c r="F5411" s="16" t="str">
        <x:v>+60122000613</x:v>
      </x:c>
      <x:c r="G5411" s="16" t="str">
        <x:v>+60122000613</x:v>
      </x:c>
      <x:c r="H5411" s="16" t="str">
        <x:v>Excluded</x:v>
      </x:c>
      <x:c r="I5411" s="16" t="str">
        <x:v>Missing email</x:v>
      </x:c>
    </x:row>
    <x:row r="5412">
      <x:c r="A5412" s="16" t="n">
        <x:v>5409</x:v>
      </x:c>
      <x:c r="B5412" s="16" t="str">
        <x:v>Nurul Shyafika</x:v>
      </x:c>
      <x:c r="C5412" s="16" t="str"/>
      <x:c r="D5412" s="16" t="str"/>
      <x:c r="E5412" s="16" t="str">
        <x:v>* myContacts</x:v>
      </x:c>
      <x:c r="F5412" s="16" t="str">
        <x:v>+601119953582</x:v>
      </x:c>
      <x:c r="G5412" s="16" t="str">
        <x:v>+601119953582</x:v>
      </x:c>
      <x:c r="H5412" s="16" t="str">
        <x:v>Excluded</x:v>
      </x:c>
      <x:c r="I5412" s="16" t="str">
        <x:v>Missing email</x:v>
      </x:c>
    </x:row>
    <x:row r="5413">
      <x:c r="A5413" s="16" t="n">
        <x:v>5410</x:v>
      </x:c>
      <x:c r="B5413" s="16" t="str">
        <x:v>Nurul Syafiqah Wakaf Selangor</x:v>
      </x:c>
      <x:c r="C5413" s="16" t="str"/>
      <x:c r="D5413" s="16" t="str"/>
      <x:c r="E5413" s="16" t="str">
        <x:v>* myContacts</x:v>
      </x:c>
      <x:c r="F5413" s="16" t="str">
        <x:v>+60 14-740 1363 | +60147401363</x:v>
      </x:c>
      <x:c r="G5413" s="16" t="str">
        <x:v>+60147401363 | +60147401363</x:v>
      </x:c>
      <x:c r="H5413" s="16" t="str">
        <x:v>Excluded</x:v>
      </x:c>
      <x:c r="I5413" s="16" t="str">
        <x:v>Missing email</x:v>
      </x:c>
    </x:row>
    <x:row r="5414">
      <x:c r="A5414" s="16" t="n">
        <x:v>5411</x:v>
      </x:c>
      <x:c r="B5414" s="16" t="str">
        <x:v>Nurul Syazleen</x:v>
      </x:c>
      <x:c r="C5414" s="16" t="str"/>
      <x:c r="D5414" s="16" t="str"/>
      <x:c r="E5414" s="16" t="str">
        <x:v>* myContacts</x:v>
      </x:c>
      <x:c r="F5414" s="16" t="str">
        <x:v>+601133333953</x:v>
      </x:c>
      <x:c r="G5414" s="16" t="str">
        <x:v>+601133333953</x:v>
      </x:c>
      <x:c r="H5414" s="16" t="str">
        <x:v>Excluded</x:v>
      </x:c>
      <x:c r="I5414" s="16" t="str">
        <x:v>Missing email</x:v>
      </x:c>
    </x:row>
    <x:row r="5415">
      <x:c r="A5415" s="16" t="n">
        <x:v>5412</x:v>
      </x:c>
      <x:c r="B5415" s="16" t="str">
        <x:v>Nurul Syazwana Mat Yasin</x:v>
      </x:c>
      <x:c r="C5415" s="16" t="str"/>
      <x:c r="D5415" s="16" t="str"/>
      <x:c r="E5415" s="16" t="str">
        <x:v>* myContacts</x:v>
      </x:c>
      <x:c r="F5415" s="16" t="str">
        <x:v>+60199013887</x:v>
      </x:c>
      <x:c r="G5415" s="16" t="str">
        <x:v>+60199013887</x:v>
      </x:c>
      <x:c r="H5415" s="16" t="str">
        <x:v>Excluded</x:v>
      </x:c>
      <x:c r="I5415" s="16" t="str">
        <x:v>Missing email</x:v>
      </x:c>
    </x:row>
    <x:row r="5416">
      <x:c r="A5416" s="16" t="n">
        <x:v>5413</x:v>
      </x:c>
      <x:c r="B5416" s="16" t="str">
        <x:v>Nurul Syazwani Sabri</x:v>
      </x:c>
      <x:c r="C5416" s="16" t="str"/>
      <x:c r="D5416" s="16" t="str"/>
      <x:c r="E5416" s="16" t="str">
        <x:v>* myContacts</x:v>
      </x:c>
      <x:c r="F5416" s="16" t="str">
        <x:v>+60139629858</x:v>
      </x:c>
      <x:c r="G5416" s="16" t="str">
        <x:v>+60139629858</x:v>
      </x:c>
      <x:c r="H5416" s="16" t="str">
        <x:v>Excluded</x:v>
      </x:c>
      <x:c r="I5416" s="16" t="str">
        <x:v>Missing email</x:v>
      </x:c>
    </x:row>
    <x:row r="5417">
      <x:c r="A5417" s="16" t="n">
        <x:v>5414</x:v>
      </x:c>
      <x:c r="B5417" s="16" t="str">
        <x:v>Nurul Syuhada</x:v>
      </x:c>
      <x:c r="C5417" s="16" t="str"/>
      <x:c r="D5417" s="16" t="str"/>
      <x:c r="E5417" s="16" t="str">
        <x:v>* myContacts</x:v>
      </x:c>
      <x:c r="F5417" s="16" t="str">
        <x:v>+60145191278</x:v>
      </x:c>
      <x:c r="G5417" s="16" t="str">
        <x:v>+60145191278</x:v>
      </x:c>
      <x:c r="H5417" s="16" t="str">
        <x:v>Excluded</x:v>
      </x:c>
      <x:c r="I5417" s="16" t="str">
        <x:v>Missing email</x:v>
      </x:c>
    </x:row>
    <x:row r="5418">
      <x:c r="A5418" s="16" t="n">
        <x:v>5415</x:v>
      </x:c>
      <x:c r="B5418" s="16" t="str">
        <x:v>Nurul Zulaikha Agent Essens</x:v>
      </x:c>
      <x:c r="C5418" s="16" t="str"/>
      <x:c r="D5418" s="16" t="str"/>
      <x:c r="E5418" s="16" t="str">
        <x:v>* myContacts</x:v>
      </x:c>
      <x:c r="F5418" s="16" t="str">
        <x:v>+60 13-302 6730 | +60133026730</x:v>
      </x:c>
      <x:c r="G5418" s="16" t="str">
        <x:v>+60133026730 | +60133026730</x:v>
      </x:c>
      <x:c r="H5418" s="16" t="str">
        <x:v>Excluded</x:v>
      </x:c>
      <x:c r="I5418" s="16" t="str">
        <x:v>Missing email</x:v>
      </x:c>
    </x:row>
    <x:row r="5419">
      <x:c r="A5419" s="16" t="n">
        <x:v>5416</x:v>
      </x:c>
      <x:c r="B5419" s="16" t="str">
        <x:v>NurulAin AGP</x:v>
      </x:c>
      <x:c r="C5419" s="16" t="str"/>
      <x:c r="D5419" s="16" t="str"/>
      <x:c r="E5419" s="16" t="str">
        <x:v>* myContacts</x:v>
      </x:c>
      <x:c r="F5419" s="16" t="str">
        <x:v>+60 19-975 0824 | +60199750824</x:v>
      </x:c>
      <x:c r="G5419" s="16" t="str">
        <x:v>+60199750824 | +60199750824</x:v>
      </x:c>
      <x:c r="H5419" s="16" t="str">
        <x:v>Excluded</x:v>
      </x:c>
      <x:c r="I5419" s="16" t="str">
        <x:v>Missing email</x:v>
      </x:c>
    </x:row>
    <x:row r="5420">
      <x:c r="A5420" s="16" t="n">
        <x:v>5417</x:v>
      </x:c>
      <x:c r="B5420" s="16" t="str">
        <x:v>NurulHuda Amir</x:v>
      </x:c>
      <x:c r="C5420" s="16" t="str"/>
      <x:c r="D5420" s="16" t="str"/>
      <x:c r="E5420" s="16" t="str">
        <x:v>* myContacts</x:v>
      </x:c>
      <x:c r="F5420" s="16" t="str">
        <x:v>+60123122039</x:v>
      </x:c>
      <x:c r="G5420" s="16" t="str">
        <x:v>+60123122039</x:v>
      </x:c>
      <x:c r="H5420" s="16" t="str">
        <x:v>Excluded</x:v>
      </x:c>
      <x:c r="I5420" s="16" t="str">
        <x:v>Missing email</x:v>
      </x:c>
    </x:row>
    <x:row r="5421">
      <x:c r="A5421" s="16" t="n">
        <x:v>5418</x:v>
      </x:c>
      <x:c r="B5421" s="16" t="str">
        <x:v>Nuruljannah Munawwarah</x:v>
      </x:c>
      <x:c r="C5421" s="16" t="str"/>
      <x:c r="D5421" s="16" t="str"/>
      <x:c r="E5421" s="16" t="str">
        <x:v>* myContacts</x:v>
      </x:c>
      <x:c r="F5421" s="16" t="str">
        <x:v>+60146978752</x:v>
      </x:c>
      <x:c r="G5421" s="16" t="str">
        <x:v>+60146978752</x:v>
      </x:c>
      <x:c r="H5421" s="16" t="str">
        <x:v>Excluded</x:v>
      </x:c>
      <x:c r="I5421" s="16" t="str">
        <x:v>Missing email</x:v>
      </x:c>
    </x:row>
    <x:row r="5422">
      <x:c r="A5422" s="16" t="n">
        <x:v>5419</x:v>
      </x:c>
      <x:c r="B5422" s="16" t="str">
        <x:v>NurulJannah Salleh</x:v>
      </x:c>
      <x:c r="C5422" s="16" t="str"/>
      <x:c r="D5422" s="16" t="str"/>
      <x:c r="E5422" s="16" t="str">
        <x:v>* myContacts</x:v>
      </x:c>
      <x:c r="F5422" s="16" t="str">
        <x:v>+60145165947</x:v>
      </x:c>
      <x:c r="G5422" s="16" t="str">
        <x:v>+60145165947</x:v>
      </x:c>
      <x:c r="H5422" s="16" t="str">
        <x:v>Excluded</x:v>
      </x:c>
      <x:c r="I5422" s="16" t="str">
        <x:v>Missing email</x:v>
      </x:c>
    </x:row>
    <x:row r="5423">
      <x:c r="A5423" s="16" t="n">
        <x:v>5420</x:v>
      </x:c>
      <x:c r="B5423" s="16" t="str">
        <x:v>nurullah khemah unta</x:v>
      </x:c>
      <x:c r="C5423" s="16" t="str"/>
      <x:c r="D5423" s="16" t="str"/>
      <x:c r="E5423" s="16" t="str">
        <x:v>* myContacts</x:v>
      </x:c>
      <x:c r="F5423" s="16" t="str">
        <x:v>+60 17-471 8580 | +60174718580</x:v>
      </x:c>
      <x:c r="G5423" s="16" t="str">
        <x:v>+60174718580 | +60174718580</x:v>
      </x:c>
      <x:c r="H5423" s="16" t="str">
        <x:v>Excluded</x:v>
      </x:c>
      <x:c r="I5423" s="16" t="str">
        <x:v>Missing email</x:v>
      </x:c>
    </x:row>
    <x:row r="5424">
      <x:c r="A5424" s="16" t="n">
        <x:v>5421</x:v>
      </x:c>
      <x:c r="B5424" s="16" t="str">
        <x:v>Nuryeehan Derahing</x:v>
      </x:c>
      <x:c r="C5424" s="16" t="str"/>
      <x:c r="D5424" s="16" t="str"/>
      <x:c r="E5424" s="16" t="str">
        <x:v>* myContacts</x:v>
      </x:c>
      <x:c r="F5424" s="16" t="str">
        <x:v>+66624629004</x:v>
      </x:c>
      <x:c r="G5424" s="16" t="str">
        <x:v>+66624629004</x:v>
      </x:c>
      <x:c r="H5424" s="16" t="str">
        <x:v>Excluded</x:v>
      </x:c>
      <x:c r="I5424" s="16" t="str">
        <x:v>Missing email</x:v>
      </x:c>
    </x:row>
    <x:row r="5425">
      <x:c r="A5425" s="16" t="n">
        <x:v>5422</x:v>
      </x:c>
      <x:c r="B5425" s="16" t="str">
        <x:v>Nyann Dyee</x:v>
      </x:c>
      <x:c r="C5425" s="16" t="str"/>
      <x:c r="D5425" s="16" t="str"/>
      <x:c r="E5425" s="16" t="str">
        <x:v>* myContacts</x:v>
      </x:c>
      <x:c r="F5425" s="16" t="str">
        <x:v>+60197695087</x:v>
      </x:c>
      <x:c r="G5425" s="16" t="str">
        <x:v>+60197695087</x:v>
      </x:c>
      <x:c r="H5425" s="16" t="str">
        <x:v>Excluded</x:v>
      </x:c>
      <x:c r="I5425" s="16" t="str">
        <x:v>Missing email</x:v>
      </x:c>
    </x:row>
    <x:row r="5426">
      <x:c r="A5426" s="16" t="n">
        <x:v>5423</x:v>
      </x:c>
      <x:c r="B5426" s="16" t="str">
        <x:v>Nyimas Marianti</x:v>
      </x:c>
      <x:c r="C5426" s="16" t="str"/>
      <x:c r="D5426" s="16" t="str"/>
      <x:c r="E5426" s="16" t="str">
        <x:v>* myContacts</x:v>
      </x:c>
      <x:c r="F5426" s="16" t="str">
        <x:v>+6281373940027</x:v>
      </x:c>
      <x:c r="G5426" s="16" t="str">
        <x:v>+6281373940027</x:v>
      </x:c>
      <x:c r="H5426" s="16" t="str">
        <x:v>Excluded</x:v>
      </x:c>
      <x:c r="I5426" s="16" t="str">
        <x:v>Missing email</x:v>
      </x:c>
    </x:row>
    <x:row r="5427">
      <x:c r="A5427" s="16" t="n">
        <x:v>5424</x:v>
      </x:c>
      <x:c r="B5427" s="16" t="str">
        <x:v>NZ Zura</x:v>
      </x:c>
      <x:c r="C5427" s="16" t="str"/>
      <x:c r="D5427" s="16" t="str"/>
      <x:c r="E5427" s="16" t="str">
        <x:v>* myContacts</x:v>
      </x:c>
      <x:c r="F5427" s="16" t="str">
        <x:v>+60175748952</x:v>
      </x:c>
      <x:c r="G5427" s="16" t="str">
        <x:v>+60175748952</x:v>
      </x:c>
      <x:c r="H5427" s="16" t="str">
        <x:v>Excluded</x:v>
      </x:c>
      <x:c r="I5427" s="16" t="str">
        <x:v>Missing email</x:v>
      </x:c>
    </x:row>
    <x:row r="5428">
      <x:c r="A5428" s="16" t="n">
        <x:v>5425</x:v>
      </x:c>
      <x:c r="B5428" s="16" t="str">
        <x:v>Ochiro Shinbey</x:v>
      </x:c>
      <x:c r="C5428" s="16" t="str"/>
      <x:c r="D5428" s="16" t="str"/>
      <x:c r="E5428" s="16" t="str">
        <x:v>* myContacts</x:v>
      </x:c>
      <x:c r="F5428" s="16" t="str">
        <x:v>+60123714742</x:v>
      </x:c>
      <x:c r="G5428" s="16" t="str">
        <x:v>+60123714742</x:v>
      </x:c>
      <x:c r="H5428" s="16" t="str">
        <x:v>Excluded</x:v>
      </x:c>
      <x:c r="I5428" s="16" t="str">
        <x:v>Missing email</x:v>
      </x:c>
    </x:row>
    <x:row r="5429">
      <x:c r="A5429" s="16" t="n">
        <x:v>5426</x:v>
      </x:c>
      <x:c r="B5429" s="16" t="str">
        <x:v>Office Aishah Wife</x:v>
      </x:c>
      <x:c r="C5429" s="16" t="str"/>
      <x:c r="D5429" s="16" t="str"/>
      <x:c r="E5429" s="16" t="str">
        <x:v>* myContacts</x:v>
      </x:c>
      <x:c r="F5429" s="16" t="str">
        <x:v>+60332805117</x:v>
      </x:c>
      <x:c r="G5429" s="16" t="str">
        <x:v>+60332805117</x:v>
      </x:c>
      <x:c r="H5429" s="16" t="str">
        <x:v>Excluded</x:v>
      </x:c>
      <x:c r="I5429" s="16" t="str">
        <x:v>Missing email</x:v>
      </x:c>
    </x:row>
    <x:row r="5430">
      <x:c r="A5430" s="16" t="n">
        <x:v>5427</x:v>
      </x:c>
      <x:c r="B5430" s="16" t="str">
        <x:v>Officer tm 𝕾𝖚𝖍𝖆𝖎𝖓𝖎 𝖎𝖘𝖒𝖆𝖎𝖑</x:v>
      </x:c>
      <x:c r="C5430" s="16" t="str"/>
      <x:c r="D5430" s="16" t="str"/>
      <x:c r="E5430" s="16" t="str">
        <x:v>* myContacts</x:v>
      </x:c>
      <x:c r="F5430" s="16" t="str">
        <x:v>+60192033072</x:v>
      </x:c>
      <x:c r="G5430" s="16" t="str">
        <x:v>+60192033072</x:v>
      </x:c>
      <x:c r="H5430" s="16" t="str">
        <x:v>Excluded</x:v>
      </x:c>
      <x:c r="I5430" s="16" t="str">
        <x:v>Missing email</x:v>
      </x:c>
    </x:row>
    <x:row r="5431">
      <x:c r="A5431" s="16" t="n">
        <x:v>5428</x:v>
      </x:c>
      <x:c r="B5431" s="16" t="str">
        <x:v>Ofis Abg Abu Mekanik Wang</x:v>
      </x:c>
      <x:c r="C5431" s="16" t="str"/>
      <x:c r="D5431" s="16" t="str"/>
      <x:c r="E5431" s="16" t="str">
        <x:v>* myContacts</x:v>
      </x:c>
      <x:c r="F5431" s="16" t="str">
        <x:v>+60341318915</x:v>
      </x:c>
      <x:c r="G5431" s="16" t="str">
        <x:v>+60341318915</x:v>
      </x:c>
      <x:c r="H5431" s="16" t="str">
        <x:v>Excluded</x:v>
      </x:c>
      <x:c r="I5431" s="16" t="str">
        <x:v>Missing email</x:v>
      </x:c>
    </x:row>
    <x:row r="5432">
      <x:c r="A5432" s="16" t="n">
        <x:v>5429</x:v>
      </x:c>
      <x:c r="B5432" s="16" t="str">
        <x:v>Ogy Ahmad Daud</x:v>
      </x:c>
      <x:c r="C5432" s="16" t="str"/>
      <x:c r="D5432" s="16" t="str"/>
      <x:c r="E5432" s="16" t="str">
        <x:v>* myContacts</x:v>
      </x:c>
      <x:c r="F5432" s="16" t="str">
        <x:v>+60 16-983 3331 | +60169833331</x:v>
      </x:c>
      <x:c r="G5432" s="16" t="str">
        <x:v>+60169833331 | +60169833331</x:v>
      </x:c>
      <x:c r="H5432" s="16" t="str">
        <x:v>Excluded</x:v>
      </x:c>
      <x:c r="I5432" s="16" t="str">
        <x:v>Missing email</x:v>
      </x:c>
    </x:row>
    <x:row r="5433">
      <x:c r="A5433" s="16" t="n">
        <x:v>5430</x:v>
      </x:c>
      <x:c r="B5433" s="16" t="str">
        <x:v>Oles Skincare</x:v>
      </x:c>
      <x:c r="C5433" s="16" t="str"/>
      <x:c r="D5433" s="16" t="str"/>
      <x:c r="E5433" s="16" t="str">
        <x:v>* myContacts</x:v>
      </x:c>
      <x:c r="F5433" s="16" t="str">
        <x:v>+60102968289</x:v>
      </x:c>
      <x:c r="G5433" s="16" t="str">
        <x:v>+60102968289</x:v>
      </x:c>
      <x:c r="H5433" s="16" t="str">
        <x:v>Excluded</x:v>
      </x:c>
      <x:c r="I5433" s="16" t="str">
        <x:v>Missing email</x:v>
      </x:c>
    </x:row>
    <x:row r="5434">
      <x:c r="A5434" s="16" t="n">
        <x:v>5431</x:v>
      </x:c>
      <x:c r="B5434" s="16" t="str">
        <x:v>Oman</x:v>
      </x:c>
      <x:c r="C5434" s="16" t="str"/>
      <x:c r="D5434" s="16" t="str"/>
      <x:c r="E5434" s="16" t="str">
        <x:v>* myContacts</x:v>
      </x:c>
      <x:c r="F5434" s="16" t="str">
        <x:v>+60 12-657 6650 | +60126576650</x:v>
      </x:c>
      <x:c r="G5434" s="16" t="str">
        <x:v>+60126576650 | +60126576650</x:v>
      </x:c>
      <x:c r="H5434" s="16" t="str">
        <x:v>Excluded</x:v>
      </x:c>
      <x:c r="I5434" s="16" t="str">
        <x:v>Missing email</x:v>
      </x:c>
    </x:row>
    <x:row r="5435">
      <x:c r="A5435" s="16" t="n">
        <x:v>5432</x:v>
      </x:c>
      <x:c r="B5435" s="16" t="str">
        <x:v>Omar</x:v>
      </x:c>
      <x:c r="C5435" s="16" t="str"/>
      <x:c r="D5435" s="16" t="str"/>
      <x:c r="E5435" s="16" t="str">
        <x:v>* myContacts</x:v>
      </x:c>
      <x:c r="F5435" s="16" t="str">
        <x:v>0122207126 | +60122207126</x:v>
      </x:c>
      <x:c r="G5435" s="16" t="str">
        <x:v>+60122207126 | +60122207126</x:v>
      </x:c>
      <x:c r="H5435" s="16" t="str">
        <x:v>Excluded</x:v>
      </x:c>
      <x:c r="I5435" s="16" t="str">
        <x:v>Missing email</x:v>
      </x:c>
    </x:row>
    <x:row r="5436">
      <x:c r="A5436" s="16" t="n">
        <x:v>5433</x:v>
      </x:c>
      <x:c r="B5436" s="16" t="str">
        <x:v>Omar Bin Mohd Azmi</x:v>
      </x:c>
      <x:c r="C5436" s="16" t="str"/>
      <x:c r="D5436" s="16" t="str"/>
      <x:c r="E5436" s="16" t="str">
        <x:v>* myContacts</x:v>
      </x:c>
      <x:c r="F5436" s="16" t="str">
        <x:v>+60123719631</x:v>
      </x:c>
      <x:c r="G5436" s="16" t="str">
        <x:v>+60123719631</x:v>
      </x:c>
      <x:c r="H5436" s="16" t="str">
        <x:v>Excluded</x:v>
      </x:c>
      <x:c r="I5436" s="16" t="str">
        <x:v>Missing email</x:v>
      </x:c>
    </x:row>
    <x:row r="5437">
      <x:c r="A5437" s="16" t="n">
        <x:v>5434</x:v>
      </x:c>
      <x:c r="B5437" s="16" t="str">
        <x:v>Omar Sterling</x:v>
      </x:c>
      <x:c r="C5437" s="16" t="str"/>
      <x:c r="D5437" s="16" t="str"/>
      <x:c r="E5437" s="16" t="str">
        <x:v>* myContacts</x:v>
      </x:c>
      <x:c r="F5437" s="16" t="str">
        <x:v>0176507860 | +60176507860</x:v>
      </x:c>
      <x:c r="G5437" s="16" t="str">
        <x:v>+60176507860 | +60176507860</x:v>
      </x:c>
      <x:c r="H5437" s="16" t="str">
        <x:v>Excluded</x:v>
      </x:c>
      <x:c r="I5437" s="16" t="str">
        <x:v>Missing email</x:v>
      </x:c>
    </x:row>
    <x:row r="5438">
      <x:c r="A5438" s="16" t="n">
        <x:v>5435</x:v>
      </x:c>
      <x:c r="B5438" s="16" t="str">
        <x:v>One cookies</x:v>
      </x:c>
      <x:c r="C5438" s="16" t="str"/>
      <x:c r="D5438" s="16" t="str"/>
      <x:c r="E5438" s="16" t="str">
        <x:v>* myContacts</x:v>
      </x:c>
      <x:c r="F5438" s="16" t="str">
        <x:v>+60 13-272 9802 | +60132729802</x:v>
      </x:c>
      <x:c r="G5438" s="16" t="str">
        <x:v>+60132729802 | +60132729802</x:v>
      </x:c>
      <x:c r="H5438" s="16" t="str">
        <x:v>Excluded</x:v>
      </x:c>
      <x:c r="I5438" s="16" t="str">
        <x:v>Missing email</x:v>
      </x:c>
    </x:row>
    <x:row r="5439">
      <x:c r="A5439" s="16" t="n">
        <x:v>5436</x:v>
      </x:c>
      <x:c r="B5439" s="16" t="str">
        <x:v>Ordersini Notifier</x:v>
      </x:c>
      <x:c r="C5439" s="16" t="str"/>
      <x:c r="D5439" s="16" t="str"/>
      <x:c r="E5439" s="16" t="str">
        <x:v>* myContacts</x:v>
      </x:c>
      <x:c r="F5439" s="16" t="str">
        <x:v>+60 11-5975 0364 | +601159750364</x:v>
      </x:c>
      <x:c r="G5439" s="16" t="str">
        <x:v>+601159750364 | +601159750364</x:v>
      </x:c>
      <x:c r="H5439" s="16" t="str">
        <x:v>Excluded</x:v>
      </x:c>
      <x:c r="I5439" s="16" t="str">
        <x:v>Missing email</x:v>
      </x:c>
    </x:row>
    <x:row r="5440">
      <x:c r="A5440" s="16" t="n">
        <x:v>5437</x:v>
      </x:c>
      <x:c r="B5440" s="16" t="str">
        <x:v>Os Notification Bot</x:v>
      </x:c>
      <x:c r="C5440" s="16" t="str"/>
      <x:c r="D5440" s="16" t="str"/>
      <x:c r="E5440" s="16" t="str">
        <x:v>* myContacts</x:v>
      </x:c>
      <x:c r="F5440" s="16" t="str">
        <x:v>+60 11-5414 0992 | +601154140992</x:v>
      </x:c>
      <x:c r="G5440" s="16" t="str">
        <x:v>+601154140992 | +601154140992</x:v>
      </x:c>
      <x:c r="H5440" s="16" t="str">
        <x:v>Excluded</x:v>
      </x:c>
      <x:c r="I5440" s="16" t="str">
        <x:v>Missing email</x:v>
      </x:c>
    </x:row>
    <x:row r="5441">
      <x:c r="A5441" s="16" t="n">
        <x:v>5438</x:v>
      </x:c>
      <x:c r="B5441" s="16" t="str">
        <x:v>Otai Puaka</x:v>
      </x:c>
      <x:c r="C5441" s="16" t="str"/>
      <x:c r="D5441" s="16" t="str"/>
      <x:c r="E5441" s="16" t="str">
        <x:v>* myContacts</x:v>
      </x:c>
      <x:c r="F5441" s="16" t="str">
        <x:v>+60168112699</x:v>
      </x:c>
      <x:c r="G5441" s="16" t="str">
        <x:v>+60168112699</x:v>
      </x:c>
      <x:c r="H5441" s="16" t="str">
        <x:v>Excluded</x:v>
      </x:c>
      <x:c r="I5441" s="16" t="str">
        <x:v>Missing email</x:v>
      </x:c>
    </x:row>
    <x:row r="5442">
      <x:c r="A5442" s="16" t="n">
        <x:v>5439</x:v>
      </x:c>
      <x:c r="B5442" s="16" t="str">
        <x:v>Othman Bin Yahya</x:v>
      </x:c>
      <x:c r="C5442" s="16" t="str"/>
      <x:c r="D5442" s="16" t="str"/>
      <x:c r="E5442" s="16" t="str">
        <x:v>* myContacts</x:v>
      </x:c>
      <x:c r="F5442" s="16" t="str">
        <x:v>+60194777751</x:v>
      </x:c>
      <x:c r="G5442" s="16" t="str">
        <x:v>+60194777751</x:v>
      </x:c>
      <x:c r="H5442" s="16" t="str">
        <x:v>Excluded</x:v>
      </x:c>
      <x:c r="I5442" s="16" t="str">
        <x:v>Missing email</x:v>
      </x:c>
    </x:row>
    <x:row r="5443">
      <x:c r="A5443" s="16" t="n">
        <x:v>5440</x:v>
      </x:c>
      <x:c r="B5443" s="16" t="str">
        <x:v>Outdoorworldadventure Owa</x:v>
      </x:c>
      <x:c r="C5443" s="16" t="str"/>
      <x:c r="D5443" s="16" t="str"/>
      <x:c r="E5443" s="16" t="str">
        <x:v>* myContacts</x:v>
      </x:c>
      <x:c r="F5443" s="16" t="str">
        <x:v>+60178755222</x:v>
      </x:c>
      <x:c r="G5443" s="16" t="str">
        <x:v>+60178755222</x:v>
      </x:c>
      <x:c r="H5443" s="16" t="str">
        <x:v>Excluded</x:v>
      </x:c>
      <x:c r="I5443" s="16" t="str">
        <x:v>Missing email</x:v>
      </x:c>
    </x:row>
    <x:row r="5444">
      <x:c r="A5444" s="16" t="n">
        <x:v>5441</x:v>
      </x:c>
      <x:c r="B5444" s="16" t="str">
        <x:v>Oyo hotel cyberjaya</x:v>
      </x:c>
      <x:c r="C5444" s="16" t="str"/>
      <x:c r="D5444" s="16" t="str"/>
      <x:c r="E5444" s="16" t="str">
        <x:v>* myContacts</x:v>
      </x:c>
      <x:c r="F5444" s="16" t="str">
        <x:v>+60 10-401 1393 | +60124181923 | +60104011393 | +60124181923</x:v>
      </x:c>
      <x:c r="G5444" s="16" t="str">
        <x:v>+60104011393 | +60124181923 | +60104011393 | +60124181923</x:v>
      </x:c>
      <x:c r="H5444" s="16" t="str">
        <x:v>Excluded</x:v>
      </x:c>
      <x:c r="I5444" s="16" t="str">
        <x:v>Missing email</x:v>
      </x:c>
    </x:row>
    <x:row r="5445">
      <x:c r="A5445" s="16" t="n">
        <x:v>5442</x:v>
      </x:c>
      <x:c r="B5445" s="16" t="str">
        <x:v>ozir master agent</x:v>
      </x:c>
      <x:c r="C5445" s="16" t="str"/>
      <x:c r="D5445" s="16" t="str"/>
      <x:c r="E5445" s="16" t="str">
        <x:v>* myContacts</x:v>
      </x:c>
      <x:c r="F5445" s="16" t="str">
        <x:v>+60 12-302 5198 | +60123025198</x:v>
      </x:c>
      <x:c r="G5445" s="16" t="str">
        <x:v>+60123025198 | +60123025198</x:v>
      </x:c>
      <x:c r="H5445" s="16" t="str">
        <x:v>Excluded</x:v>
      </x:c>
      <x:c r="I5445" s="16" t="str">
        <x:v>Missing email</x:v>
      </x:c>
    </x:row>
    <x:row r="5446">
      <x:c r="A5446" s="16" t="n">
        <x:v>5443</x:v>
      </x:c>
      <x:c r="B5446" s="16" t="str">
        <x:v>Ozir Zuri</x:v>
      </x:c>
      <x:c r="C5446" s="16" t="str"/>
      <x:c r="D5446" s="16" t="str"/>
      <x:c r="E5446" s="16" t="str">
        <x:v>* myContacts</x:v>
      </x:c>
      <x:c r="F5446" s="16" t="str">
        <x:v>+60 14-309 3501 | +60143093501</x:v>
      </x:c>
      <x:c r="G5446" s="16" t="str">
        <x:v>+60143093501 | +60143093501</x:v>
      </x:c>
      <x:c r="H5446" s="16" t="str">
        <x:v>Excluded</x:v>
      </x:c>
      <x:c r="I5446" s="16" t="str">
        <x:v>Missing email</x:v>
      </x:c>
    </x:row>
    <x:row r="5447">
      <x:c r="A5447" s="16" t="n">
        <x:v>5444</x:v>
      </x:c>
      <x:c r="B5447" s="16" t="str">
        <x:v>PA Adly Remizer BMB BMB Shafinaz</x:v>
      </x:c>
      <x:c r="C5447" s="16" t="str"/>
      <x:c r="D5447" s="16" t="str"/>
      <x:c r="E5447" s="16" t="str">
        <x:v>* myContacts</x:v>
      </x:c>
      <x:c r="F5447" s="16" t="str">
        <x:v>+601116661080 | +601116661080</x:v>
      </x:c>
      <x:c r="G5447" s="16" t="str">
        <x:v>+601116661080 | +601116661080</x:v>
      </x:c>
      <x:c r="H5447" s="16" t="str">
        <x:v>Excluded</x:v>
      </x:c>
      <x:c r="I5447" s="16" t="str">
        <x:v>Missing email</x:v>
      </x:c>
    </x:row>
    <x:row r="5448">
      <x:c r="A5448" s="16" t="n">
        <x:v>5445</x:v>
      </x:c>
      <x:c r="B5448" s="16" t="str">
        <x:v>PA Syed Nawaz</x:v>
      </x:c>
      <x:c r="C5448" s="16" t="str"/>
      <x:c r="D5448" s="16" t="str"/>
      <x:c r="E5448" s="16" t="str">
        <x:v>* myContacts</x:v>
      </x:c>
      <x:c r="F5448" s="16" t="str">
        <x:v>+60 12-706 4124 | +60127064124</x:v>
      </x:c>
      <x:c r="G5448" s="16" t="str">
        <x:v>+60127064124 | +60127064124</x:v>
      </x:c>
      <x:c r="H5448" s="16" t="str">
        <x:v>Excluded</x:v>
      </x:c>
      <x:c r="I5448" s="16" t="str">
        <x:v>Missing email</x:v>
      </x:c>
    </x:row>
    <x:row r="5449">
      <x:c r="A5449" s="16" t="n">
        <x:v>5446</x:v>
      </x:c>
      <x:c r="B5449" s="16" t="str">
        <x:v>Pai Lee</x:v>
      </x:c>
      <x:c r="C5449" s="16" t="str"/>
      <x:c r="D5449" s="16" t="str"/>
      <x:c r="E5449" s="16" t="str">
        <x:v>* myContacts</x:v>
      </x:c>
      <x:c r="F5449" s="16" t="str">
        <x:v>+60178330523</x:v>
      </x:c>
      <x:c r="G5449" s="16" t="str">
        <x:v>+60178330523</x:v>
      </x:c>
      <x:c r="H5449" s="16" t="str">
        <x:v>Excluded</x:v>
      </x:c>
      <x:c r="I5449" s="16" t="str">
        <x:v>Missing email</x:v>
      </x:c>
    </x:row>
    <x:row r="5450">
      <x:c r="A5450" s="16" t="n">
        <x:v>5447</x:v>
      </x:c>
      <x:c r="B5450" s="16" t="str">
        <x:v>Pais Pembangunan</x:v>
      </x:c>
      <x:c r="C5450" s="16" t="str"/>
      <x:c r="D5450" s="16" t="str"/>
      <x:c r="E5450" s="16" t="str">
        <x:v>* myContacts</x:v>
      </x:c>
      <x:c r="F5450" s="16" t="str">
        <x:v>+60 17-664 6313</x:v>
      </x:c>
      <x:c r="G5450" s="16" t="str">
        <x:v>+60176646313</x:v>
      </x:c>
      <x:c r="H5450" s="16" t="str">
        <x:v>Excluded</x:v>
      </x:c>
      <x:c r="I5450" s="16" t="str">
        <x:v>Missing email</x:v>
      </x:c>
    </x:row>
    <x:row r="5451">
      <x:c r="A5451" s="16" t="n">
        <x:v>5448</x:v>
      </x:c>
      <x:c r="B5451" s="16" t="str">
        <x:v>Pak Abdul Latif Shaari DPIM</x:v>
      </x:c>
      <x:c r="C5451" s="16" t="str">
        <x:v>latif.ampang@gmail.com</x:v>
      </x:c>
      <x:c r="D5451" s="16" t="str">
        <x:v>latif.ampang@gmail.com</x:v>
      </x:c>
      <x:c r="E5451" s="16" t="str">
        <x:v>* myContacts</x:v>
      </x:c>
      <x:c r="F5451" s="16" t="str">
        <x:v>+60 13-380 8822 | +60133808822</x:v>
      </x:c>
      <x:c r="G5451" s="16" t="str">
        <x:v>+60133808822 | +60133808822</x:v>
      </x:c>
      <x:c r="H5451" s="16" t="str">
        <x:v>Eligible</x:v>
      </x:c>
      <x:c r="I5451" s="16" t="str"/>
    </x:row>
    <x:row r="5452">
      <x:c r="A5452" s="16" t="n">
        <x:v>5449</x:v>
      </x:c>
      <x:c r="B5452" s="16" t="str">
        <x:v>Pak abu Tauke Nenas</x:v>
      </x:c>
      <x:c r="C5452" s="16" t="str"/>
      <x:c r="D5452" s="16" t="str"/>
      <x:c r="E5452" s="16" t="str">
        <x:v>* myContacts</x:v>
      </x:c>
      <x:c r="F5452" s="16" t="str">
        <x:v>+60 13-430 2820 | +60134302820</x:v>
      </x:c>
      <x:c r="G5452" s="16" t="str">
        <x:v>+60134302820 | +60134302820</x:v>
      </x:c>
      <x:c r="H5452" s="16" t="str">
        <x:v>Excluded</x:v>
      </x:c>
      <x:c r="I5452" s="16" t="str">
        <x:v>Missing email</x:v>
      </x:c>
    </x:row>
    <x:row r="5453">
      <x:c r="A5453" s="16" t="n">
        <x:v>5450</x:v>
      </x:c>
      <x:c r="B5453" s="16" t="str">
        <x:v>Pak Agus Sifu IM</x:v>
      </x:c>
      <x:c r="C5453" s="16" t="str"/>
      <x:c r="D5453" s="16" t="str"/>
      <x:c r="E5453" s="16" t="str">
        <x:v>* myContacts</x:v>
      </x:c>
      <x:c r="F5453" s="16" t="str">
        <x:v>+6282232987773</x:v>
      </x:c>
      <x:c r="G5453" s="16" t="str">
        <x:v>+6282232987773</x:v>
      </x:c>
      <x:c r="H5453" s="16" t="str">
        <x:v>Excluded</x:v>
      </x:c>
      <x:c r="I5453" s="16" t="str">
        <x:v>Missing email</x:v>
      </x:c>
    </x:row>
    <x:row r="5454">
      <x:c r="A5454" s="16" t="n">
        <x:v>5451</x:v>
      </x:c>
      <x:c r="B5454" s="16" t="str">
        <x:v>Pak Ali Master Tukang Urut</x:v>
      </x:c>
      <x:c r="C5454" s="16" t="str"/>
      <x:c r="D5454" s="16" t="str"/>
      <x:c r="E5454" s="16" t="str">
        <x:v>* myContacts</x:v>
      </x:c>
      <x:c r="F5454" s="16" t="str">
        <x:v>01112437796 | +601112437796</x:v>
      </x:c>
      <x:c r="G5454" s="16" t="str">
        <x:v>+601112437796 | +601112437796</x:v>
      </x:c>
      <x:c r="H5454" s="16" t="str">
        <x:v>Excluded</x:v>
      </x:c>
      <x:c r="I5454" s="16" t="str">
        <x:v>Missing email</x:v>
      </x:c>
    </x:row>
    <x:row r="5455">
      <x:c r="A5455" s="16" t="n">
        <x:v>5452</x:v>
      </x:c>
      <x:c r="B5455" s="16" t="str">
        <x:v>Pak Ali Parit Expert</x:v>
      </x:c>
      <x:c r="C5455" s="16" t="str"/>
      <x:c r="D5455" s="16" t="str"/>
      <x:c r="E5455" s="16" t="str">
        <x:v>* myContacts</x:v>
      </x:c>
      <x:c r="F5455" s="16" t="str">
        <x:v>+60 18-237 5806 | +60182375806</x:v>
      </x:c>
      <x:c r="G5455" s="16" t="str">
        <x:v>+60182375806 | +60182375806</x:v>
      </x:c>
      <x:c r="H5455" s="16" t="str">
        <x:v>Excluded</x:v>
      </x:c>
      <x:c r="I5455" s="16" t="str">
        <x:v>Missing email</x:v>
      </x:c>
    </x:row>
    <x:row r="5456">
      <x:c r="A5456" s="16" t="n">
        <x:v>5453</x:v>
      </x:c>
      <x:c r="B5456" s="16" t="str">
        <x:v>Pak Anjang Wife</x:v>
      </x:c>
      <x:c r="C5456" s="16" t="str"/>
      <x:c r="D5456" s="16" t="str"/>
      <x:c r="E5456" s="16" t="str">
        <x:v>* myContacts</x:v>
      </x:c>
      <x:c r="F5456" s="16" t="str">
        <x:v>+60 19-229 2146 | +60192292146</x:v>
      </x:c>
      <x:c r="G5456" s="16" t="str">
        <x:v>+60192292146 | +60192292146</x:v>
      </x:c>
      <x:c r="H5456" s="16" t="str">
        <x:v>Excluded</x:v>
      </x:c>
      <x:c r="I5456" s="16" t="str">
        <x:v>Missing email</x:v>
      </x:c>
    </x:row>
    <x:row r="5457">
      <x:c r="A5457" s="16" t="n">
        <x:v>5454</x:v>
      </x:c>
      <x:c r="B5457" s="16" t="str">
        <x:v>Pak Aziz Lee</x:v>
      </x:c>
      <x:c r="C5457" s="16" t="str"/>
      <x:c r="D5457" s="16" t="str"/>
      <x:c r="E5457" s="16" t="str">
        <x:v>* myContacts</x:v>
      </x:c>
      <x:c r="F5457" s="16" t="str">
        <x:v>+60138626241</x:v>
      </x:c>
      <x:c r="G5457" s="16" t="str">
        <x:v>+60138626241</x:v>
      </x:c>
      <x:c r="H5457" s="16" t="str">
        <x:v>Excluded</x:v>
      </x:c>
      <x:c r="I5457" s="16" t="str">
        <x:v>Missing email</x:v>
      </x:c>
    </x:row>
    <x:row r="5458">
      <x:c r="A5458" s="16" t="n">
        <x:v>5455</x:v>
      </x:c>
      <x:c r="B5458" s="16" t="str">
        <x:v>Pak Bilong</x:v>
      </x:c>
      <x:c r="C5458" s="16" t="str"/>
      <x:c r="D5458" s="16" t="str"/>
      <x:c r="E5458" s="16" t="str">
        <x:v>* myContacts</x:v>
      </x:c>
      <x:c r="F5458" s="16" t="str">
        <x:v>0149893017 | +60149893017</x:v>
      </x:c>
      <x:c r="G5458" s="16" t="str">
        <x:v>+60149893017 | +60149893017</x:v>
      </x:c>
      <x:c r="H5458" s="16" t="str">
        <x:v>Excluded</x:v>
      </x:c>
      <x:c r="I5458" s="16" t="str">
        <x:v>Missing email</x:v>
      </x:c>
    </x:row>
    <x:row r="5459">
      <x:c r="A5459" s="16" t="n">
        <x:v>5456</x:v>
      </x:c>
      <x:c r="B5459" s="16" t="str">
        <x:v>Pak Cik Din Risda</x:v>
      </x:c>
      <x:c r="C5459" s="16" t="str"/>
      <x:c r="D5459" s="16" t="str"/>
      <x:c r="E5459" s="16" t="str">
        <x:v>* myContacts</x:v>
      </x:c>
      <x:c r="F5459" s="16" t="str">
        <x:v>019-391 2689 | +60193912689</x:v>
      </x:c>
      <x:c r="G5459" s="16" t="str">
        <x:v>+60193912689 | +60193912689</x:v>
      </x:c>
      <x:c r="H5459" s="16" t="str">
        <x:v>Excluded</x:v>
      </x:c>
      <x:c r="I5459" s="16" t="str">
        <x:v>Missing email</x:v>
      </x:c>
    </x:row>
    <x:row r="5460">
      <x:c r="A5460" s="16" t="n">
        <x:v>5457</x:v>
      </x:c>
      <x:c r="B5460" s="16" t="str">
        <x:v>Pak Din Fisio Ipoh</x:v>
      </x:c>
      <x:c r="C5460" s="16" t="str"/>
      <x:c r="D5460" s="16" t="str"/>
      <x:c r="E5460" s="16" t="str">
        <x:v>* myContacts</x:v>
      </x:c>
      <x:c r="F5460" s="16" t="str">
        <x:v>+60135203550</x:v>
      </x:c>
      <x:c r="G5460" s="16" t="str">
        <x:v>+60135203550</x:v>
      </x:c>
      <x:c r="H5460" s="16" t="str">
        <x:v>Excluded</x:v>
      </x:c>
      <x:c r="I5460" s="16" t="str">
        <x:v>Missing email</x:v>
      </x:c>
    </x:row>
    <x:row r="5461">
      <x:c r="A5461" s="16" t="n">
        <x:v>5458</x:v>
      </x:c>
      <x:c r="B5461" s="16" t="str">
        <x:v>Pak Lang Budi Tukang Rumah</x:v>
      </x:c>
      <x:c r="C5461" s="16" t="str"/>
      <x:c r="D5461" s="16" t="str"/>
      <x:c r="E5461" s="16" t="str">
        <x:v>* myContacts</x:v>
      </x:c>
      <x:c r="F5461" s="16" t="str">
        <x:v>+60 18-369 9739 | +60183699739</x:v>
      </x:c>
      <x:c r="G5461" s="16" t="str">
        <x:v>+60183699739 | +60183699739</x:v>
      </x:c>
      <x:c r="H5461" s="16" t="str">
        <x:v>Excluded</x:v>
      </x:c>
      <x:c r="I5461" s="16" t="str">
        <x:v>Missing email</x:v>
      </x:c>
    </x:row>
    <x:row r="5462">
      <x:c r="A5462" s="16" t="n">
        <x:v>5459</x:v>
      </x:c>
      <x:c r="B5462" s="16" t="str">
        <x:v>Pak Long II</x:v>
      </x:c>
      <x:c r="C5462" s="16" t="str"/>
      <x:c r="D5462" s="16" t="str"/>
      <x:c r="E5462" s="16" t="str">
        <x:v>* myContacts</x:v>
      </x:c>
      <x:c r="F5462" s="16" t="str">
        <x:v>+60 12-833 8156</x:v>
      </x:c>
      <x:c r="G5462" s="16" t="str">
        <x:v>+60128338156</x:v>
      </x:c>
      <x:c r="H5462" s="16" t="str">
        <x:v>Excluded</x:v>
      </x:c>
      <x:c r="I5462" s="16" t="str">
        <x:v>Missing email</x:v>
      </x:c>
    </x:row>
    <x:row r="5463">
      <x:c r="A5463" s="16" t="n">
        <x:v>5460</x:v>
      </x:c>
      <x:c r="B5463" s="16" t="str">
        <x:v>Pak Mat Trainer Mdec</x:v>
      </x:c>
      <x:c r="C5463" s="16" t="str"/>
      <x:c r="D5463" s="16" t="str"/>
      <x:c r="E5463" s="16" t="str">
        <x:v>* myContacts</x:v>
      </x:c>
      <x:c r="F5463" s="16" t="str">
        <x:v>+60 12-686 7835 | +60126867835</x:v>
      </x:c>
      <x:c r="G5463" s="16" t="str">
        <x:v>+60126867835 | +60126867835</x:v>
      </x:c>
      <x:c r="H5463" s="16" t="str">
        <x:v>Excluded</x:v>
      </x:c>
      <x:c r="I5463" s="16" t="str">
        <x:v>Missing email</x:v>
      </x:c>
    </x:row>
    <x:row r="5464">
      <x:c r="A5464" s="16" t="n">
        <x:v>5461</x:v>
      </x:c>
      <x:c r="B5464" s="16" t="str">
        <x:v>Pak Ngah Kown Fakhruddin</x:v>
      </x:c>
      <x:c r="C5464" s="16" t="str"/>
      <x:c r="D5464" s="16" t="str"/>
      <x:c r="E5464" s="16" t="str">
        <x:v>* myContacts | * starred</x:v>
      </x:c>
      <x:c r="F5464" s="16" t="str">
        <x:v>+60192669664</x:v>
      </x:c>
      <x:c r="G5464" s="16" t="str">
        <x:v>+60192669664</x:v>
      </x:c>
      <x:c r="H5464" s="16" t="str">
        <x:v>Excluded</x:v>
      </x:c>
      <x:c r="I5464" s="16" t="str">
        <x:v>Missing email</x:v>
      </x:c>
    </x:row>
    <x:row r="5465">
      <x:c r="A5465" s="16" t="n">
        <x:v>5462</x:v>
      </x:c>
      <x:c r="B5465" s="16" t="str">
        <x:v>Pak Nik Rjb</x:v>
      </x:c>
      <x:c r="C5465" s="16" t="str"/>
      <x:c r="D5465" s="16" t="str"/>
      <x:c r="E5465" s="16" t="str">
        <x:v>* myContacts</x:v>
      </x:c>
      <x:c r="F5465" s="16" t="str">
        <x:v>+60 13-365 6670 | +60133656670</x:v>
      </x:c>
      <x:c r="G5465" s="16" t="str">
        <x:v>+60133656670 | +60133656670</x:v>
      </x:c>
      <x:c r="H5465" s="16" t="str">
        <x:v>Excluded</x:v>
      </x:c>
      <x:c r="I5465" s="16" t="str">
        <x:v>Missing email</x:v>
      </x:c>
    </x:row>
    <x:row r="5466">
      <x:c r="A5466" s="16" t="n">
        <x:v>5463</x:v>
      </x:c>
      <x:c r="B5466" s="16" t="str">
        <x:v>Pak Nil GRAND BLASTER</x:v>
      </x:c>
      <x:c r="C5466" s="16" t="str"/>
      <x:c r="D5466" s="16" t="str"/>
      <x:c r="E5466" s="16" t="str">
        <x:v>* myContacts</x:v>
      </x:c>
      <x:c r="F5466" s="16" t="str">
        <x:v>+60 13-310 1221 | +60133101221</x:v>
      </x:c>
      <x:c r="G5466" s="16" t="str">
        <x:v>+60133101221 | +60133101221</x:v>
      </x:c>
      <x:c r="H5466" s="16" t="str">
        <x:v>Excluded</x:v>
      </x:c>
      <x:c r="I5466" s="16" t="str">
        <x:v>Missing email</x:v>
      </x:c>
    </x:row>
    <x:row r="5467">
      <x:c r="A5467" s="16" t="n">
        <x:v>5464</x:v>
      </x:c>
      <x:c r="B5467" s="16" t="str">
        <x:v>Pak Rudy Hutagalung</x:v>
      </x:c>
      <x:c r="C5467" s="16" t="str"/>
      <x:c r="D5467" s="16" t="str"/>
      <x:c r="E5467" s="16" t="str">
        <x:v>* myContacts</x:v>
      </x:c>
      <x:c r="F5467" s="16" t="str">
        <x:v>+62 819-0505-7678 | +6281905057678</x:v>
      </x:c>
      <x:c r="G5467" s="16" t="str">
        <x:v>+6281905057678 | +6281905057678</x:v>
      </x:c>
      <x:c r="H5467" s="16" t="str">
        <x:v>Excluded</x:v>
      </x:c>
      <x:c r="I5467" s="16" t="str">
        <x:v>Missing email</x:v>
      </x:c>
    </x:row>
    <x:row r="5468">
      <x:c r="A5468" s="16" t="n">
        <x:v>5465</x:v>
      </x:c>
      <x:c r="B5468" s="16" t="str">
        <x:v>Pak su IM</x:v>
      </x:c>
      <x:c r="C5468" s="16" t="str"/>
      <x:c r="D5468" s="16" t="str"/>
      <x:c r="E5468" s="16" t="str">
        <x:v>* myContacts</x:v>
      </x:c>
      <x:c r="F5468" s="16" t="str">
        <x:v>+60 12-707 1981 | +60127071981</x:v>
      </x:c>
      <x:c r="G5468" s="16" t="str">
        <x:v>+60127071981 | +60127071981</x:v>
      </x:c>
      <x:c r="H5468" s="16" t="str">
        <x:v>Excluded</x:v>
      </x:c>
      <x:c r="I5468" s="16" t="str">
        <x:v>Missing email</x:v>
      </x:c>
    </x:row>
    <x:row r="5469">
      <x:c r="A5469" s="16" t="n">
        <x:v>5466</x:v>
      </x:c>
      <x:c r="B5469" s="16" t="str">
        <x:v>Pak suardi rjb</x:v>
      </x:c>
      <x:c r="C5469" s="16" t="str"/>
      <x:c r="D5469" s="16" t="str"/>
      <x:c r="E5469" s="16" t="str">
        <x:v>* myContacts</x:v>
      </x:c>
      <x:c r="F5469" s="16" t="str">
        <x:v>+60 19-379 0111 | +60193790111</x:v>
      </x:c>
      <x:c r="G5469" s="16" t="str">
        <x:v>+60193790111 | +60193790111</x:v>
      </x:c>
      <x:c r="H5469" s="16" t="str">
        <x:v>Excluded</x:v>
      </x:c>
      <x:c r="I5469" s="16" t="str">
        <x:v>Missing email</x:v>
      </x:c>
    </x:row>
    <x:row r="5470">
      <x:c r="A5470" s="16" t="n">
        <x:v>5467</x:v>
      </x:c>
      <x:c r="B5470" s="16" t="str">
        <x:v>Pak sulaiman rjb</x:v>
      </x:c>
      <x:c r="C5470" s="16" t="str"/>
      <x:c r="D5470" s="16" t="str"/>
      <x:c r="E5470" s="16" t="str">
        <x:v>* myContacts</x:v>
      </x:c>
      <x:c r="F5470" s="16" t="str">
        <x:v>+60 19-637 8950 | +60196378950</x:v>
      </x:c>
      <x:c r="G5470" s="16" t="str">
        <x:v>+60196378950 | +60196378950</x:v>
      </x:c>
      <x:c r="H5470" s="16" t="str">
        <x:v>Excluded</x:v>
      </x:c>
      <x:c r="I5470" s="16" t="str">
        <x:v>Missing email</x:v>
      </x:c>
    </x:row>
    <x:row r="5471">
      <x:c r="A5471" s="16" t="n">
        <x:v>5468</x:v>
      </x:c>
      <x:c r="B5471" s="16" t="str">
        <x:v>pak tam trainer</x:v>
      </x:c>
      <x:c r="C5471" s="16" t="str"/>
      <x:c r="D5471" s="16" t="str"/>
      <x:c r="E5471" s="16" t="str">
        <x:v>Trainer | * myContacts</x:v>
      </x:c>
      <x:c r="F5471" s="16" t="str">
        <x:v>+60133884488</x:v>
      </x:c>
      <x:c r="G5471" s="16" t="str">
        <x:v>+60133884488</x:v>
      </x:c>
      <x:c r="H5471" s="16" t="str">
        <x:v>Excluded</x:v>
      </x:c>
      <x:c r="I5471" s="16" t="str">
        <x:v>Missing email</x:v>
      </x:c>
    </x:row>
    <x:row r="5472">
      <x:c r="A5472" s="16" t="n">
        <x:v>5469</x:v>
      </x:c>
      <x:c r="B5472" s="16" t="str">
        <x:v>Pak Teh Jan tukang urut</x:v>
      </x:c>
      <x:c r="C5472" s="16" t="str"/>
      <x:c r="D5472" s="16" t="str"/>
      <x:c r="E5472" s="16" t="str">
        <x:v>* myContacts</x:v>
      </x:c>
      <x:c r="F5472" s="16" t="str">
        <x:v>+60124874952</x:v>
      </x:c>
      <x:c r="G5472" s="16" t="str">
        <x:v>+60124874952</x:v>
      </x:c>
      <x:c r="H5472" s="16" t="str">
        <x:v>Excluded</x:v>
      </x:c>
      <x:c r="I5472" s="16" t="str">
        <x:v>Missing email</x:v>
      </x:c>
    </x:row>
    <x:row r="5473">
      <x:c r="A5473" s="16" t="n">
        <x:v>5470</x:v>
      </x:c>
      <x:c r="B5473" s="16" t="str">
        <x:v>Pak Uda Beriani Gam</x:v>
      </x:c>
      <x:c r="C5473" s="16" t="str"/>
      <x:c r="D5473" s="16" t="str"/>
      <x:c r="E5473" s="16" t="str">
        <x:v>* myContacts</x:v>
      </x:c>
      <x:c r="F5473" s="16" t="str">
        <x:v>+60196861704</x:v>
      </x:c>
      <x:c r="G5473" s="16" t="str">
        <x:v>+60196861704</x:v>
      </x:c>
      <x:c r="H5473" s="16" t="str">
        <x:v>Excluded</x:v>
      </x:c>
      <x:c r="I5473" s="16" t="str">
        <x:v>Missing email</x:v>
      </x:c>
    </x:row>
    <x:row r="5474">
      <x:c r="A5474" s="16" t="n">
        <x:v>5471</x:v>
      </x:c>
      <x:c r="B5474" s="16" t="str">
        <x:v>Pak Ude</x:v>
      </x:c>
      <x:c r="C5474" s="16" t="str"/>
      <x:c r="D5474" s="16" t="str"/>
      <x:c r="E5474" s="16" t="str">
        <x:v>* myContacts</x:v>
      </x:c>
      <x:c r="F5474" s="16" t="str">
        <x:v>+60108843341</x:v>
      </x:c>
      <x:c r="G5474" s="16" t="str">
        <x:v>+60108843341</x:v>
      </x:c>
      <x:c r="H5474" s="16" t="str">
        <x:v>Excluded</x:v>
      </x:c>
      <x:c r="I5474" s="16" t="str">
        <x:v>Missing email</x:v>
      </x:c>
    </x:row>
    <x:row r="5475">
      <x:c r="A5475" s="16" t="n">
        <x:v>5472</x:v>
      </x:c>
      <x:c r="B5475" s="16" t="str">
        <x:v>Pak Ya Trader</x:v>
      </x:c>
      <x:c r="C5475" s="16" t="str"/>
      <x:c r="D5475" s="16" t="str"/>
      <x:c r="E5475" s="16" t="str">
        <x:v>* myContacts</x:v>
      </x:c>
      <x:c r="F5475" s="16" t="str">
        <x:v>+60 19-970 0713 | +60199700713</x:v>
      </x:c>
      <x:c r="G5475" s="16" t="str">
        <x:v>+60199700713 | +60199700713</x:v>
      </x:c>
      <x:c r="H5475" s="16" t="str">
        <x:v>Excluded</x:v>
      </x:c>
      <x:c r="I5475" s="16" t="str">
        <x:v>Missing email</x:v>
      </x:c>
    </x:row>
    <x:row r="5476">
      <x:c r="A5476" s="16" t="n">
        <x:v>5473</x:v>
      </x:c>
      <x:c r="B5476" s="16" t="str">
        <x:v>Pakaian Pilihan</x:v>
      </x:c>
      <x:c r="C5476" s="16" t="str"/>
      <x:c r="D5476" s="16" t="str"/>
      <x:c r="E5476" s="16" t="str">
        <x:v>* myContacts</x:v>
      </x:c>
      <x:c r="F5476" s="16" t="str">
        <x:v>+601110670407</x:v>
      </x:c>
      <x:c r="G5476" s="16" t="str">
        <x:v>+601110670407</x:v>
      </x:c>
      <x:c r="H5476" s="16" t="str">
        <x:v>Excluded</x:v>
      </x:c>
      <x:c r="I5476" s="16" t="str">
        <x:v>Missing email</x:v>
      </x:c>
    </x:row>
    <x:row r="5477">
      <x:c r="A5477" s="16" t="n">
        <x:v>5474</x:v>
      </x:c>
      <x:c r="B5477" s="16" t="str">
        <x:v>Pakchu kasah ipoh</x:v>
      </x:c>
      <x:c r="C5477" s="16" t="str"/>
      <x:c r="D5477" s="16" t="str"/>
      <x:c r="E5477" s="16" t="str">
        <x:v>* myContacts</x:v>
      </x:c>
      <x:c r="F5477" s="16" t="str">
        <x:v>0132812398 | +60132812398</x:v>
      </x:c>
      <x:c r="G5477" s="16" t="str">
        <x:v>+60132812398 | +60132812398</x:v>
      </x:c>
      <x:c r="H5477" s="16" t="str">
        <x:v>Excluded</x:v>
      </x:c>
      <x:c r="I5477" s="16" t="str">
        <x:v>Missing email</x:v>
      </x:c>
    </x:row>
    <x:row r="5478">
      <x:c r="A5478" s="16" t="n">
        <x:v>5475</x:v>
      </x:c>
      <x:c r="B5478" s="16" t="str">
        <x:v>Pakcik Tupperware En Shah</x:v>
      </x:c>
      <x:c r="C5478" s="16" t="str"/>
      <x:c r="D5478" s="16" t="str"/>
      <x:c r="E5478" s="16" t="str">
        <x:v>* myContacts</x:v>
      </x:c>
      <x:c r="F5478" s="16" t="str">
        <x:v>012-399 3947 | +60123993947</x:v>
      </x:c>
      <x:c r="G5478" s="16" t="str">
        <x:v>+60123993947 | +60123993947</x:v>
      </x:c>
      <x:c r="H5478" s="16" t="str">
        <x:v>Excluded</x:v>
      </x:c>
      <x:c r="I5478" s="16" t="str">
        <x:v>Missing email</x:v>
      </x:c>
    </x:row>
    <x:row r="5479">
      <x:c r="A5479" s="16" t="n">
        <x:v>5476</x:v>
      </x:c>
      <x:c r="B5479" s="16" t="str">
        <x:v>Pakcik zali Gelung Pepuyu</x:v>
      </x:c>
      <x:c r="C5479" s="16" t="str"/>
      <x:c r="D5479" s="16" t="str"/>
      <x:c r="E5479" s="16" t="str">
        <x:v>* myContacts</x:v>
      </x:c>
      <x:c r="F5479" s="16" t="str">
        <x:v>+60103197670</x:v>
      </x:c>
      <x:c r="G5479" s="16" t="str">
        <x:v>+60103197670</x:v>
      </x:c>
      <x:c r="H5479" s="16" t="str">
        <x:v>Excluded</x:v>
      </x:c>
      <x:c r="I5479" s="16" t="str">
        <x:v>Missing email</x:v>
      </x:c>
    </x:row>
    <x:row r="5480">
      <x:c r="A5480" s="16" t="n">
        <x:v>5477</x:v>
      </x:c>
      <x:c r="B5480" s="16" t="str">
        <x:v>PakNyah Shah Alam</x:v>
      </x:c>
      <x:c r="C5480" s="16" t="str"/>
      <x:c r="D5480" s="16" t="str"/>
      <x:c r="E5480" s="16" t="str">
        <x:v>* myContacts</x:v>
      </x:c>
      <x:c r="F5480" s="16" t="str">
        <x:v>+60 19-692 0506 | +60196920506</x:v>
      </x:c>
      <x:c r="G5480" s="16" t="str">
        <x:v>+60196920506 | +60196920506</x:v>
      </x:c>
      <x:c r="H5480" s="16" t="str">
        <x:v>Excluded</x:v>
      </x:c>
      <x:c r="I5480" s="16" t="str">
        <x:v>Missing email</x:v>
      </x:c>
    </x:row>
    <x:row r="5481">
      <x:c r="A5481" s="16" t="n">
        <x:v>5478</x:v>
      </x:c>
      <x:c r="B5481" s="16" t="str">
        <x:v>PAKSU KU AIMAN</x:v>
      </x:c>
      <x:c r="C5481" s="16" t="str"/>
      <x:c r="D5481" s="16" t="str"/>
      <x:c r="E5481" s="16" t="str">
        <x:v>* myContacts</x:v>
      </x:c>
      <x:c r="F5481" s="16" t="str">
        <x:v>+60134082538</x:v>
      </x:c>
      <x:c r="G5481" s="16" t="str">
        <x:v>+60134082538</x:v>
      </x:c>
      <x:c r="H5481" s="16" t="str">
        <x:v>Excluded</x:v>
      </x:c>
      <x:c r="I5481" s="16" t="str">
        <x:v>Missing email</x:v>
      </x:c>
    </x:row>
    <x:row r="5482">
      <x:c r="A5482" s="16" t="n">
        <x:v>5479</x:v>
      </x:c>
      <x:c r="B5482" s="16" t="str">
        <x:v>Paksu sham</x:v>
      </x:c>
      <x:c r="C5482" s="16" t="str"/>
      <x:c r="D5482" s="16" t="str"/>
      <x:c r="E5482" s="16" t="str">
        <x:v>* myContacts</x:v>
      </x:c>
      <x:c r="F5482" s="16" t="str">
        <x:v>+60 17-310 6079 | +60173106079</x:v>
      </x:c>
      <x:c r="G5482" s="16" t="str">
        <x:v>+60173106079 | +60173106079</x:v>
      </x:c>
      <x:c r="H5482" s="16" t="str">
        <x:v>Excluded</x:v>
      </x:c>
      <x:c r="I5482" s="16" t="str">
        <x:v>Missing email</x:v>
      </x:c>
    </x:row>
    <x:row r="5483">
      <x:c r="A5483" s="16" t="n">
        <x:v>5480</x:v>
      </x:c>
      <x:c r="B5483" s="16" t="str">
        <x:v>Paksuku Aiman Aiman</x:v>
      </x:c>
      <x:c r="C5483" s="16" t="str"/>
      <x:c r="D5483" s="16" t="str"/>
      <x:c r="E5483" s="16" t="str">
        <x:v>* myContacts</x:v>
      </x:c>
      <x:c r="F5483" s="16" t="str">
        <x:v>+60134082538</x:v>
      </x:c>
      <x:c r="G5483" s="16" t="str">
        <x:v>+60134082538</x:v>
      </x:c>
      <x:c r="H5483" s="16" t="str">
        <x:v>Excluded</x:v>
      </x:c>
      <x:c r="I5483" s="16" t="str">
        <x:v>Missing email</x:v>
      </x:c>
    </x:row>
    <x:row r="5484">
      <x:c r="A5484" s="16" t="n">
        <x:v>5481</x:v>
      </x:c>
      <x:c r="B5484" s="16" t="str">
        <x:v>Paktharm AsrOr</x:v>
      </x:c>
      <x:c r="C5484" s="16" t="str"/>
      <x:c r="D5484" s="16" t="str"/>
      <x:c r="E5484" s="16" t="str">
        <x:v>* myContacts</x:v>
      </x:c>
      <x:c r="F5484" s="16" t="str">
        <x:v>+60124262640</x:v>
      </x:c>
      <x:c r="G5484" s="16" t="str">
        <x:v>+60124262640</x:v>
      </x:c>
      <x:c r="H5484" s="16" t="str">
        <x:v>Excluded</x:v>
      </x:c>
      <x:c r="I5484" s="16" t="str">
        <x:v>Missing email</x:v>
      </x:c>
    </x:row>
    <x:row r="5485">
      <x:c r="A5485" s="16" t="n">
        <x:v>5482</x:v>
      </x:c>
      <x:c r="B5485" s="16" t="str">
        <x:v>Pakukarat Enterprise</x:v>
      </x:c>
      <x:c r="C5485" s="16" t="str">
        <x:v>pakukaratent@gmail.com</x:v>
      </x:c>
      <x:c r="D5485" s="16" t="str">
        <x:v>pakukaratent@gmail.com</x:v>
      </x:c>
      <x:c r="E5485" s="16" t="str">
        <x:v>* myContacts</x:v>
      </x:c>
      <x:c r="F5485" s="16" t="str">
        <x:v>+601133408954</x:v>
      </x:c>
      <x:c r="G5485" s="16" t="str">
        <x:v>+601133408954</x:v>
      </x:c>
      <x:c r="H5485" s="16" t="str">
        <x:v>Eligible</x:v>
      </x:c>
      <x:c r="I5485" s="16" t="str"/>
    </x:row>
    <x:row r="5486">
      <x:c r="A5486" s="16" t="n">
        <x:v>5483</x:v>
      </x:c>
      <x:c r="B5486" s="16" t="str">
        <x:v>pakya suami kak lin</x:v>
      </x:c>
      <x:c r="C5486" s="16" t="str"/>
      <x:c r="D5486" s="16" t="str"/>
      <x:c r="E5486" s="16" t="str">
        <x:v>* myContacts</x:v>
      </x:c>
      <x:c r="F5486" s="16" t="str">
        <x:v>+60 12-727 5165 | +60127275165</x:v>
      </x:c>
      <x:c r="G5486" s="16" t="str">
        <x:v>+60127275165 | +60127275165</x:v>
      </x:c>
      <x:c r="H5486" s="16" t="str">
        <x:v>Excluded</x:v>
      </x:c>
      <x:c r="I5486" s="16" t="str">
        <x:v>Missing email</x:v>
      </x:c>
    </x:row>
    <x:row r="5487">
      <x:c r="A5487" s="16" t="n">
        <x:v>5484</x:v>
      </x:c>
      <x:c r="B5487" s="16" t="str">
        <x:v>Panglima Hitam</x:v>
      </x:c>
      <x:c r="C5487" s="16" t="str"/>
      <x:c r="D5487" s="16" t="str"/>
      <x:c r="E5487" s="16" t="str">
        <x:v>* myContacts</x:v>
      </x:c>
      <x:c r="F5487" s="16" t="str">
        <x:v>+60142286020</x:v>
      </x:c>
      <x:c r="G5487" s="16" t="str">
        <x:v>+60142286020</x:v>
      </x:c>
      <x:c r="H5487" s="16" t="str">
        <x:v>Excluded</x:v>
      </x:c>
      <x:c r="I5487" s="16" t="str">
        <x:v>Missing email</x:v>
      </x:c>
    </x:row>
    <x:row r="5488">
      <x:c r="A5488" s="16" t="n">
        <x:v>5485</x:v>
      </x:c>
      <x:c r="B5488" s="16" t="str">
        <x:v>Panglima Trogan</x:v>
      </x:c>
      <x:c r="C5488" s="16" t="str"/>
      <x:c r="D5488" s="16" t="str"/>
      <x:c r="E5488" s="16" t="str">
        <x:v>* myContacts</x:v>
      </x:c>
      <x:c r="F5488" s="16" t="str">
        <x:v>+601116161659</x:v>
      </x:c>
      <x:c r="G5488" s="16" t="str">
        <x:v>+601116161659</x:v>
      </x:c>
      <x:c r="H5488" s="16" t="str">
        <x:v>Excluded</x:v>
      </x:c>
      <x:c r="I5488" s="16" t="str">
        <x:v>Missing email</x:v>
      </x:c>
    </x:row>
    <x:row r="5489">
      <x:c r="A5489" s="16" t="n">
        <x:v>5486</x:v>
      </x:c>
      <x:c r="B5489" s="16" t="str">
        <x:v>Panjang Jj</x:v>
      </x:c>
      <x:c r="C5489" s="16" t="str"/>
      <x:c r="D5489" s="16" t="str"/>
      <x:c r="E5489" s="16" t="str">
        <x:v>* myContacts</x:v>
      </x:c>
      <x:c r="F5489" s="16" t="str">
        <x:v>0176392282 | +60176392282</x:v>
      </x:c>
      <x:c r="G5489" s="16" t="str">
        <x:v>+60176392282 | +60176392282</x:v>
      </x:c>
      <x:c r="H5489" s="16" t="str">
        <x:v>Excluded</x:v>
      </x:c>
      <x:c r="I5489" s="16" t="str">
        <x:v>Missing email</x:v>
      </x:c>
    </x:row>
    <x:row r="5490">
      <x:c r="A5490" s="16" t="n">
        <x:v>5487</x:v>
      </x:c>
      <x:c r="B5490" s="16" t="str">
        <x:v>Papa Amira</x:v>
      </x:c>
      <x:c r="C5490" s="16" t="str"/>
      <x:c r="D5490" s="16" t="str"/>
      <x:c r="E5490" s="16" t="str">
        <x:v>* myContacts</x:v>
      </x:c>
      <x:c r="F5490" s="16" t="str">
        <x:v>0176160047 | +60176160047</x:v>
      </x:c>
      <x:c r="G5490" s="16" t="str">
        <x:v>+60176160047 | +60176160047</x:v>
      </x:c>
      <x:c r="H5490" s="16" t="str">
        <x:v>Excluded</x:v>
      </x:c>
      <x:c r="I5490" s="16" t="str">
        <x:v>Missing email</x:v>
      </x:c>
    </x:row>
    <x:row r="5491">
      <x:c r="A5491" s="16" t="n">
        <x:v>5488</x:v>
      </x:c>
      <x:c r="B5491" s="16" t="str">
        <x:v>Param</x:v>
      </x:c>
      <x:c r="C5491" s="16" t="str"/>
      <x:c r="D5491" s="16" t="str"/>
      <x:c r="E5491" s="16" t="str">
        <x:v>* myContacts</x:v>
      </x:c>
      <x:c r="F5491" s="16" t="str">
        <x:v>+60 17-380 6807 | +60173806807</x:v>
      </x:c>
      <x:c r="G5491" s="16" t="str">
        <x:v>+60173806807 | +60173806807</x:v>
      </x:c>
      <x:c r="H5491" s="16" t="str">
        <x:v>Excluded</x:v>
      </x:c>
      <x:c r="I5491" s="16" t="str">
        <x:v>Missing email</x:v>
      </x:c>
    </x:row>
    <x:row r="5492">
      <x:c r="A5492" s="16" t="n">
        <x:v>5489</x:v>
      </x:c>
      <x:c r="B5492" s="16" t="str">
        <x:v>Parking Kuala Perlis</x:v>
      </x:c>
      <x:c r="C5492" s="16" t="str"/>
      <x:c r="D5492" s="16" t="str"/>
      <x:c r="E5492" s="16" t="str">
        <x:v>* myContacts</x:v>
      </x:c>
      <x:c r="F5492" s="16" t="str">
        <x:v>0196367057 | +60196367057</x:v>
      </x:c>
      <x:c r="G5492" s="16" t="str">
        <x:v>+60196367057 | +60196367057</x:v>
      </x:c>
      <x:c r="H5492" s="16" t="str">
        <x:v>Excluded</x:v>
      </x:c>
      <x:c r="I5492" s="16" t="str">
        <x:v>Missing email</x:v>
      </x:c>
    </x:row>
    <x:row r="5493">
      <x:c r="A5493" s="16" t="n">
        <x:v>5490</x:v>
      </x:c>
      <x:c r="B5493" s="16" t="str">
        <x:v>Patchwork Wholesaler</x:v>
      </x:c>
      <x:c r="C5493" s="16" t="str"/>
      <x:c r="D5493" s="16" t="str"/>
      <x:c r="E5493" s="16" t="str">
        <x:v>* myContacts</x:v>
      </x:c>
      <x:c r="F5493" s="16" t="str">
        <x:v>+60132607935</x:v>
      </x:c>
      <x:c r="G5493" s="16" t="str">
        <x:v>+60132607935</x:v>
      </x:c>
      <x:c r="H5493" s="16" t="str">
        <x:v>Excluded</x:v>
      </x:c>
      <x:c r="I5493" s="16" t="str">
        <x:v>Missing email</x:v>
      </x:c>
    </x:row>
    <x:row r="5494">
      <x:c r="A5494" s="16" t="n">
        <x:v>5491</x:v>
      </x:c>
      <x:c r="B5494" s="16" t="str">
        <x:v>Pathee Padzilah</x:v>
      </x:c>
      <x:c r="C5494" s="16" t="str"/>
      <x:c r="D5494" s="16" t="str"/>
      <x:c r="E5494" s="16" t="str">
        <x:v>* myContacts</x:v>
      </x:c>
      <x:c r="F5494" s="16" t="str">
        <x:v>+60188667755 | +60188667755</x:v>
      </x:c>
      <x:c r="G5494" s="16" t="str">
        <x:v>+60188667755 | +60188667755</x:v>
      </x:c>
      <x:c r="H5494" s="16" t="str">
        <x:v>Excluded</x:v>
      </x:c>
      <x:c r="I5494" s="16" t="str">
        <x:v>Missing email</x:v>
      </x:c>
    </x:row>
    <x:row r="5495">
      <x:c r="A5495" s="16" t="n">
        <x:v>5492</x:v>
      </x:c>
      <x:c r="B5495" s="16" t="str">
        <x:v>Payroll Panda</x:v>
      </x:c>
      <x:c r="C5495" s="16" t="str"/>
      <x:c r="D5495" s="16" t="str"/>
      <x:c r="E5495" s="16" t="str">
        <x:v>* myContacts</x:v>
      </x:c>
      <x:c r="F5495" s="16" t="str">
        <x:v>+60 17-508 7958 | +60175087958</x:v>
      </x:c>
      <x:c r="G5495" s="16" t="str">
        <x:v>+60175087958 | +60175087958</x:v>
      </x:c>
      <x:c r="H5495" s="16" t="str">
        <x:v>Excluded</x:v>
      </x:c>
      <x:c r="I5495" s="16" t="str">
        <x:v>Missing email</x:v>
      </x:c>
    </x:row>
    <x:row r="5496">
      <x:c r="A5496" s="16" t="n">
        <x:v>5493</x:v>
      </x:c>
      <x:c r="B5496" s="16" t="str">
        <x:v>Pdot Dfm</x:v>
      </x:c>
      <x:c r="C5496" s="16" t="str"/>
      <x:c r="D5496" s="16" t="str"/>
      <x:c r="E5496" s="16" t="str">
        <x:v>* myContacts</x:v>
      </x:c>
      <x:c r="F5496" s="16" t="str">
        <x:v>+601124180614</x:v>
      </x:c>
      <x:c r="G5496" s="16" t="str">
        <x:v>+601124180614</x:v>
      </x:c>
      <x:c r="H5496" s="16" t="str">
        <x:v>Excluded</x:v>
      </x:c>
      <x:c r="I5496" s="16" t="str">
        <x:v>Missing email</x:v>
      </x:c>
    </x:row>
    <x:row r="5497">
      <x:c r="A5497" s="16" t="n">
        <x:v>5494</x:v>
      </x:c>
      <x:c r="B5497" s="16" t="str">
        <x:v>Peah Busan Jsd</x:v>
      </x:c>
      <x:c r="C5497" s="16" t="str"/>
      <x:c r="D5497" s="16" t="str"/>
      <x:c r="E5497" s="16" t="str">
        <x:v>* myContacts</x:v>
      </x:c>
      <x:c r="F5497" s="16" t="str">
        <x:v>+60124022260</x:v>
      </x:c>
      <x:c r="G5497" s="16" t="str">
        <x:v>+60124022260</x:v>
      </x:c>
      <x:c r="H5497" s="16" t="str">
        <x:v>Excluded</x:v>
      </x:c>
      <x:c r="I5497" s="16" t="str">
        <x:v>Missing email</x:v>
      </x:c>
    </x:row>
    <x:row r="5498">
      <x:c r="A5498" s="16" t="n">
        <x:v>5495</x:v>
      </x:c>
      <x:c r="B5498" s="16" t="str">
        <x:v>PEGAWAI TEKUN M NASIRUDDIN</x:v>
      </x:c>
      <x:c r="C5498" s="16" t="str"/>
      <x:c r="D5498" s="16" t="str"/>
      <x:c r="E5498" s="16" t="str">
        <x:v>* myContacts</x:v>
      </x:c>
      <x:c r="F5498" s="16" t="str">
        <x:v>+60 16-372 7178 | +60163727178</x:v>
      </x:c>
      <x:c r="G5498" s="16" t="str">
        <x:v>+60163727178 | +60163727178</x:v>
      </x:c>
      <x:c r="H5498" s="16" t="str">
        <x:v>Excluded</x:v>
      </x:c>
      <x:c r="I5498" s="16" t="str">
        <x:v>Missing email</x:v>
      </x:c>
    </x:row>
    <x:row r="5499">
      <x:c r="A5499" s="16" t="n">
        <x:v>5496</x:v>
      </x:c>
      <x:c r="B5499" s="16" t="str">
        <x:v>Pejabat Galian Hasil</x:v>
      </x:c>
      <x:c r="C5499" s="16" t="str"/>
      <x:c r="D5499" s="16" t="str"/>
      <x:c r="E5499" s="16" t="str">
        <x:v>* myContacts</x:v>
      </x:c>
      <x:c r="F5499" s="16" t="str">
        <x:v>+6053661963</x:v>
      </x:c>
      <x:c r="G5499" s="16" t="str">
        <x:v>+6053661963</x:v>
      </x:c>
      <x:c r="H5499" s="16" t="str">
        <x:v>Excluded</x:v>
      </x:c>
      <x:c r="I5499" s="16" t="str">
        <x:v>Missing email</x:v>
      </x:c>
    </x:row>
    <x:row r="5500">
      <x:c r="A5500" s="16" t="n">
        <x:v>5497</x:v>
      </x:c>
      <x:c r="B5500" s="16" t="str">
        <x:v>Pejabat HRDF</x:v>
      </x:c>
      <x:c r="C5500" s="16" t="str"/>
      <x:c r="D5500" s="16" t="str"/>
      <x:c r="E5500" s="16" t="str">
        <x:v>* myContacts</x:v>
      </x:c>
      <x:c r="F5500" s="16" t="str">
        <x:v>+60320964600</x:v>
      </x:c>
      <x:c r="G5500" s="16" t="str">
        <x:v>+60320964600</x:v>
      </x:c>
      <x:c r="H5500" s="16" t="str">
        <x:v>Excluded</x:v>
      </x:c>
      <x:c r="I5500" s="16" t="str">
        <x:v>Missing email</x:v>
      </x:c>
    </x:row>
    <x:row r="5501">
      <x:c r="A5501" s="16" t="n">
        <x:v>5498</x:v>
      </x:c>
      <x:c r="B5501" s="16" t="str">
        <x:v>Pekerja Essens</x:v>
      </x:c>
      <x:c r="C5501" s="16" t="str"/>
      <x:c r="D5501" s="16" t="str"/>
      <x:c r="E5501" s="16" t="str">
        <x:v>* myContacts</x:v>
      </x:c>
      <x:c r="F5501" s="16" t="str">
        <x:v>+60 11-1970 4616 | +601119704616</x:v>
      </x:c>
      <x:c r="G5501" s="16" t="str">
        <x:v>+601119704616 | +601119704616</x:v>
      </x:c>
      <x:c r="H5501" s="16" t="str">
        <x:v>Excluded</x:v>
      </x:c>
      <x:c r="I5501" s="16" t="str">
        <x:v>Missing email</x:v>
      </x:c>
    </x:row>
    <x:row r="5502">
      <x:c r="A5502" s="16" t="n">
        <x:v>5499</x:v>
      </x:c>
      <x:c r="B5502" s="16" t="str">
        <x:v>Pelangi Hijau</x:v>
      </x:c>
      <x:c r="C5502" s="16" t="str"/>
      <x:c r="D5502" s="16" t="str"/>
      <x:c r="E5502" s="16" t="str">
        <x:v>* myContacts</x:v>
      </x:c>
      <x:c r="F5502" s="16" t="str">
        <x:v>+60179108816</x:v>
      </x:c>
      <x:c r="G5502" s="16" t="str">
        <x:v>+60179108816</x:v>
      </x:c>
      <x:c r="H5502" s="16" t="str">
        <x:v>Excluded</x:v>
      </x:c>
      <x:c r="I5502" s="16" t="str">
        <x:v>Missing email</x:v>
      </x:c>
    </x:row>
    <x:row r="5503">
      <x:c r="A5503" s="16" t="n">
        <x:v>5500</x:v>
      </x:c>
      <x:c r="B5503" s="16" t="str">
        <x:v>Pelayar Sepi</x:v>
      </x:c>
      <x:c r="C5503" s="16" t="str"/>
      <x:c r="D5503" s="16" t="str"/>
      <x:c r="E5503" s="16" t="str">
        <x:v>* myContacts</x:v>
      </x:c>
      <x:c r="F5503" s="16" t="str">
        <x:v>+60172102685</x:v>
      </x:c>
      <x:c r="G5503" s="16" t="str">
        <x:v>+60172102685</x:v>
      </x:c>
      <x:c r="H5503" s="16" t="str">
        <x:v>Excluded</x:v>
      </x:c>
      <x:c r="I5503" s="16" t="str">
        <x:v>Missing email</x:v>
      </x:c>
    </x:row>
    <x:row r="5504">
      <x:c r="A5504" s="16" t="n">
        <x:v>5501</x:v>
      </x:c>
      <x:c r="B5504" s="16" t="str">
        <x:v>Pembenci Badman</x:v>
      </x:c>
      <x:c r="C5504" s="16" t="str"/>
      <x:c r="D5504" s="16" t="str"/>
      <x:c r="E5504" s="16" t="str">
        <x:v>* myContacts</x:v>
      </x:c>
      <x:c r="F5504" s="16" t="str">
        <x:v>+628988647276</x:v>
      </x:c>
      <x:c r="G5504" s="16" t="str">
        <x:v>+628988647276</x:v>
      </x:c>
      <x:c r="H5504" s="16" t="str">
        <x:v>Excluded</x:v>
      </x:c>
      <x:c r="I5504" s="16" t="str">
        <x:v>Missing email</x:v>
      </x:c>
    </x:row>
    <x:row r="5505">
      <x:c r="A5505" s="16" t="n">
        <x:v>5502</x:v>
      </x:c>
      <x:c r="B5505" s="16" t="str">
        <x:v>Pemborong Kosmetik Murah Sofea</x:v>
      </x:c>
      <x:c r="C5505" s="16" t="str"/>
      <x:c r="D5505" s="16" t="str"/>
      <x:c r="E5505" s="16" t="str">
        <x:v>* myContacts</x:v>
      </x:c>
      <x:c r="F5505" s="16" t="str">
        <x:v>+60176014318</x:v>
      </x:c>
      <x:c r="G5505" s="16" t="str">
        <x:v>+60176014318</x:v>
      </x:c>
      <x:c r="H5505" s="16" t="str">
        <x:v>Excluded</x:v>
      </x:c>
      <x:c r="I5505" s="16" t="str">
        <x:v>Missing email</x:v>
      </x:c>
    </x:row>
    <x:row r="5506">
      <x:c r="A5506" s="16" t="n">
        <x:v>5503</x:v>
      </x:c>
      <x:c r="B5506" s="16" t="str">
        <x:v>PENAN</x:v>
      </x:c>
      <x:c r="C5506" s="16" t="str"/>
      <x:c r="D5506" s="16" t="str"/>
      <x:c r="E5506" s="16" t="str">
        <x:v>* myContacts</x:v>
      </x:c>
      <x:c r="F5506" s="16" t="str">
        <x:v>+60163642894</x:v>
      </x:c>
      <x:c r="G5506" s="16" t="str">
        <x:v>+60163642894</x:v>
      </x:c>
      <x:c r="H5506" s="16" t="str">
        <x:v>Excluded</x:v>
      </x:c>
      <x:c r="I5506" s="16" t="str">
        <x:v>Missing email</x:v>
      </x:c>
    </x:row>
    <x:row r="5507">
      <x:c r="A5507" s="16" t="n">
        <x:v>5504</x:v>
      </x:c>
      <x:c r="B5507" s="16" t="str">
        <x:v>Penang Jml</x:v>
      </x:c>
      <x:c r="C5507" s="16" t="str"/>
      <x:c r="D5507" s="16" t="str"/>
      <x:c r="E5507" s="16" t="str">
        <x:v>* myContacts</x:v>
      </x:c>
      <x:c r="F5507" s="16" t="str">
        <x:v>+60174761360</x:v>
      </x:c>
      <x:c r="G5507" s="16" t="str">
        <x:v>+60174761360</x:v>
      </x:c>
      <x:c r="H5507" s="16" t="str">
        <x:v>Excluded</x:v>
      </x:c>
      <x:c r="I5507" s="16" t="str">
        <x:v>Missing email</x:v>
      </x:c>
    </x:row>
    <x:row r="5508">
      <x:c r="A5508" s="16" t="n">
        <x:v>5505</x:v>
      </x:c>
      <x:c r="B5508" s="16" t="str">
        <x:v>Penasihat Kewangan Anda</x:v>
      </x:c>
      <x:c r="C5508" s="16" t="str"/>
      <x:c r="D5508" s="16" t="str"/>
      <x:c r="E5508" s="16" t="str">
        <x:v>* myContacts</x:v>
      </x:c>
      <x:c r="F5508" s="16" t="str">
        <x:v>+601114270926</x:v>
      </x:c>
      <x:c r="G5508" s="16" t="str">
        <x:v>+601114270926</x:v>
      </x:c>
      <x:c r="H5508" s="16" t="str">
        <x:v>Excluded</x:v>
      </x:c>
      <x:c r="I5508" s="16" t="str">
        <x:v>Missing email</x:v>
      </x:c>
    </x:row>
    <x:row r="5509">
      <x:c r="A5509" s="16" t="n">
        <x:v>5506</x:v>
      </x:c>
      <x:c r="B5509" s="16" t="str">
        <x:v>pendi korea</x:v>
      </x:c>
      <x:c r="C5509" s="16" t="str"/>
      <x:c r="D5509" s="16" t="str"/>
      <x:c r="E5509" s="16" t="str">
        <x:v>* myContacts</x:v>
      </x:c>
      <x:c r="F5509" s="16" t="str">
        <x:v>+82 10-2707-4343 | +821027074343</x:v>
      </x:c>
      <x:c r="G5509" s="16" t="str">
        <x:v>+821027074343 | +821027074343</x:v>
      </x:c>
      <x:c r="H5509" s="16" t="str">
        <x:v>Excluded</x:v>
      </x:c>
      <x:c r="I5509" s="16" t="str">
        <x:v>Missing email</x:v>
      </x:c>
    </x:row>
    <x:row r="5510">
      <x:c r="A5510" s="16" t="n">
        <x:v>5507</x:v>
      </x:c>
      <x:c r="B5510" s="16" t="str">
        <x:v>penganjur acara ukm</x:v>
      </x:c>
      <x:c r="C5510" s="16" t="str"/>
      <x:c r="D5510" s="16" t="str"/>
      <x:c r="E5510" s="16" t="str">
        <x:v>* myContacts</x:v>
      </x:c>
      <x:c r="F5510" s="16" t="str">
        <x:v>+60 12-964 7035 | +60129647035</x:v>
      </x:c>
      <x:c r="G5510" s="16" t="str">
        <x:v>+60129647035 | +60129647035</x:v>
      </x:c>
      <x:c r="H5510" s="16" t="str">
        <x:v>Excluded</x:v>
      </x:c>
      <x:c r="I5510" s="16" t="str">
        <x:v>Missing email</x:v>
      </x:c>
    </x:row>
    <x:row r="5511">
      <x:c r="A5511" s="16" t="n">
        <x:v>5508</x:v>
      </x:c>
      <x:c r="B5511" s="16" t="str">
        <x:v>Pengendali Program Punb</x:v>
      </x:c>
      <x:c r="C5511" s="16" t="str"/>
      <x:c r="D5511" s="16" t="str"/>
      <x:c r="E5511" s="16" t="str">
        <x:v>* myContacts</x:v>
      </x:c>
      <x:c r="F5511" s="16" t="str">
        <x:v>+60 11-5430 7617 | +601154307617</x:v>
      </x:c>
      <x:c r="G5511" s="16" t="str">
        <x:v>+601154307617 | +601154307617</x:v>
      </x:c>
      <x:c r="H5511" s="16" t="str">
        <x:v>Excluded</x:v>
      </x:c>
      <x:c r="I5511" s="16" t="str">
        <x:v>Missing email</x:v>
      </x:c>
    </x:row>
    <x:row r="5512">
      <x:c r="A5512" s="16" t="n">
        <x:v>5509</x:v>
      </x:c>
      <x:c r="B5512" s="16" t="str">
        <x:v>Pengiklanan Dan Percetakan Perlis</x:v>
      </x:c>
      <x:c r="C5512" s="16" t="str"/>
      <x:c r="D5512" s="16" t="str"/>
      <x:c r="E5512" s="16" t="str">
        <x:v>* myContacts</x:v>
      </x:c>
      <x:c r="F5512" s="16" t="str">
        <x:v>+60126369006</x:v>
      </x:c>
      <x:c r="G5512" s="16" t="str">
        <x:v>+60126369006</x:v>
      </x:c>
      <x:c r="H5512" s="16" t="str">
        <x:v>Excluded</x:v>
      </x:c>
      <x:c r="I5512" s="16" t="str">
        <x:v>Missing email</x:v>
      </x:c>
    </x:row>
    <x:row r="5513">
      <x:c r="A5513" s="16" t="n">
        <x:v>5510</x:v>
      </x:c>
      <x:c r="B5513" s="16" t="str">
        <x:v>penjual buku 7 angka</x:v>
      </x:c>
      <x:c r="C5513" s="16" t="str"/>
      <x:c r="D5513" s="16" t="str"/>
      <x:c r="E5513" s="16" t="str">
        <x:v>* myContacts</x:v>
      </x:c>
      <x:c r="F5513" s="16" t="str">
        <x:v>019 237 2347 | +60192372347</x:v>
      </x:c>
      <x:c r="G5513" s="16" t="str">
        <x:v>+60192372347 | +60192372347</x:v>
      </x:c>
      <x:c r="H5513" s="16" t="str">
        <x:v>Excluded</x:v>
      </x:c>
      <x:c r="I5513" s="16" t="str">
        <x:v>Missing email</x:v>
      </x:c>
    </x:row>
    <x:row r="5514">
      <x:c r="A5514" s="16" t="n">
        <x:v>5511</x:v>
      </x:c>
      <x:c r="B5514" s="16" t="str">
        <x:v>Penunggu Waktu</x:v>
      </x:c>
      <x:c r="C5514" s="16" t="str"/>
      <x:c r="D5514" s="16" t="str"/>
      <x:c r="E5514" s="16" t="str">
        <x:v>* myContacts</x:v>
      </x:c>
      <x:c r="F5514" s="16" t="str">
        <x:v>+601119942193</x:v>
      </x:c>
      <x:c r="G5514" s="16" t="str">
        <x:v>+601119942193</x:v>
      </x:c>
      <x:c r="H5514" s="16" t="str">
        <x:v>Excluded</x:v>
      </x:c>
      <x:c r="I5514" s="16" t="str">
        <x:v>Missing email</x:v>
      </x:c>
    </x:row>
    <x:row r="5515">
      <x:c r="A5515" s="16" t="n">
        <x:v>5512</x:v>
      </x:c>
      <x:c r="B5515" s="16" t="str">
        <x:v>Penyelia EUsahawan SA</x:v>
      </x:c>
      <x:c r="C5515" s="16" t="str"/>
      <x:c r="D5515" s="16" t="str"/>
      <x:c r="E5515" s="16" t="str">
        <x:v>* myContacts</x:v>
      </x:c>
      <x:c r="F5515" s="16" t="str">
        <x:v>+60133648494</x:v>
      </x:c>
      <x:c r="G5515" s="16" t="str">
        <x:v>+60133648494</x:v>
      </x:c>
      <x:c r="H5515" s="16" t="str">
        <x:v>Excluded</x:v>
      </x:c>
      <x:c r="I5515" s="16" t="str">
        <x:v>Missing email</x:v>
      </x:c>
    </x:row>
    <x:row r="5516">
      <x:c r="A5516" s="16" t="n">
        <x:v>5513</x:v>
      </x:c>
      <x:c r="B5516" s="16" t="str">
        <x:v>Percilla Cylla Menisa</x:v>
      </x:c>
      <x:c r="C5516" s="16" t="str"/>
      <x:c r="D5516" s="16" t="str"/>
      <x:c r="E5516" s="16" t="str">
        <x:v>* myContacts</x:v>
      </x:c>
      <x:c r="F5516" s="16" t="str">
        <x:v>+60105915825</x:v>
      </x:c>
      <x:c r="G5516" s="16" t="str">
        <x:v>+60105915825</x:v>
      </x:c>
      <x:c r="H5516" s="16" t="str">
        <x:v>Excluded</x:v>
      </x:c>
      <x:c r="I5516" s="16" t="str">
        <x:v>Missing email</x:v>
      </x:c>
    </x:row>
    <x:row r="5517">
      <x:c r="A5517" s="16" t="n">
        <x:v>5514</x:v>
      </x:c>
      <x:c r="B5517" s="16" t="str">
        <x:v>Perfume Borong Murah</x:v>
      </x:c>
      <x:c r="C5517" s="16" t="str"/>
      <x:c r="D5517" s="16" t="str"/>
      <x:c r="E5517" s="16" t="str">
        <x:v>* myContacts</x:v>
      </x:c>
      <x:c r="F5517" s="16" t="str">
        <x:v>+60102513854</x:v>
      </x:c>
      <x:c r="G5517" s="16" t="str">
        <x:v>+60102513854</x:v>
      </x:c>
      <x:c r="H5517" s="16" t="str">
        <x:v>Excluded</x:v>
      </x:c>
      <x:c r="I5517" s="16" t="str">
        <x:v>Missing email</x:v>
      </x:c>
    </x:row>
    <x:row r="5518">
      <x:c r="A5518" s="16" t="n">
        <x:v>5515</x:v>
      </x:c>
      <x:c r="B5518" s="16" t="str">
        <x:v>Perniagaan Osaki</x:v>
      </x:c>
      <x:c r="C5518" s="16" t="str"/>
      <x:c r="D5518" s="16" t="str"/>
      <x:c r="E5518" s="16" t="str">
        <x:v>* myContacts</x:v>
      </x:c>
      <x:c r="F5518" s="16" t="str">
        <x:v>+6095081038</x:v>
      </x:c>
      <x:c r="G5518" s="16" t="str">
        <x:v>+6095081038</x:v>
      </x:c>
      <x:c r="H5518" s="16" t="str">
        <x:v>Excluded</x:v>
      </x:c>
      <x:c r="I5518" s="16" t="str">
        <x:v>Missing email</x:v>
      </x:c>
    </x:row>
    <x:row r="5519">
      <x:c r="A5519" s="16" t="n">
        <x:v>5516</x:v>
      </x:c>
      <x:c r="B5519" s="16" t="str">
        <x:v>Perodua Mohd Haidir</x:v>
      </x:c>
      <x:c r="C5519" s="16" t="str"/>
      <x:c r="D5519" s="16" t="str"/>
      <x:c r="E5519" s="16" t="str">
        <x:v>* myContacts</x:v>
      </x:c>
      <x:c r="F5519" s="16" t="str">
        <x:v>+60167110949</x:v>
      </x:c>
      <x:c r="G5519" s="16" t="str">
        <x:v>+60167110949</x:v>
      </x:c>
      <x:c r="H5519" s="16" t="str">
        <x:v>Excluded</x:v>
      </x:c>
      <x:c r="I5519" s="16" t="str">
        <x:v>Missing email</x:v>
      </x:c>
    </x:row>
    <x:row r="5520">
      <x:c r="A5520" s="16" t="n">
        <x:v>5517</x:v>
      </x:c>
      <x:c r="B5520" s="16" t="str">
        <x:v>personal brand video</x:v>
      </x:c>
      <x:c r="C5520" s="16" t="str"/>
      <x:c r="D5520" s="16" t="str"/>
      <x:c r="E5520" s="16" t="str">
        <x:v>* myContacts</x:v>
      </x:c>
      <x:c r="F5520" s="16" t="str">
        <x:v>+60 19-292 2554</x:v>
      </x:c>
      <x:c r="G5520" s="16" t="str">
        <x:v>+60192922554</x:v>
      </x:c>
      <x:c r="H5520" s="16" t="str">
        <x:v>Excluded</x:v>
      </x:c>
      <x:c r="I5520" s="16" t="str">
        <x:v>Missing email</x:v>
      </x:c>
    </x:row>
    <x:row r="5521">
      <x:c r="A5521" s="16" t="n">
        <x:v>5518</x:v>
      </x:c>
      <x:c r="B5521" s="16" t="str">
        <x:v>Peter Han Chong Kuang</x:v>
      </x:c>
      <x:c r="C5521" s="16" t="str"/>
      <x:c r="D5521" s="16" t="str"/>
      <x:c r="E5521" s="16" t="str">
        <x:v>* myContacts</x:v>
      </x:c>
      <x:c r="F5521" s="16" t="str">
        <x:v>+60193216510</x:v>
      </x:c>
      <x:c r="G5521" s="16" t="str">
        <x:v>+60193216510</x:v>
      </x:c>
      <x:c r="H5521" s="16" t="str">
        <x:v>Excluded</x:v>
      </x:c>
      <x:c r="I5521" s="16" t="str">
        <x:v>Missing email</x:v>
      </x:c>
    </x:row>
    <x:row r="5522">
      <x:c r="A5522" s="16" t="n">
        <x:v>5519</x:v>
      </x:c>
      <x:c r="B5522" s="16" t="str">
        <x:v>PG Faizul</x:v>
      </x:c>
      <x:c r="C5522" s="16" t="str"/>
      <x:c r="D5522" s="16" t="str"/>
      <x:c r="E5522" s="16" t="str">
        <x:v>* myContacts</x:v>
      </x:c>
      <x:c r="F5522" s="16" t="str">
        <x:v>+60179662920</x:v>
      </x:c>
      <x:c r="G5522" s="16" t="str">
        <x:v>+60179662920</x:v>
      </x:c>
      <x:c r="H5522" s="16" t="str">
        <x:v>Excluded</x:v>
      </x:c>
      <x:c r="I5522" s="16" t="str">
        <x:v>Missing email</x:v>
      </x:c>
    </x:row>
    <x:row r="5523">
      <x:c r="A5523" s="16" t="n">
        <x:v>5520</x:v>
      </x:c>
      <x:c r="B5523" s="16" t="str">
        <x:v>Pgmd Zzala</x:v>
      </x:c>
      <x:c r="C5523" s="16" t="str"/>
      <x:c r="D5523" s="16" t="str"/>
      <x:c r="E5523" s="16" t="str">
        <x:v>* myContacts</x:v>
      </x:c>
      <x:c r="F5523" s="16" t="str">
        <x:v>+60122801311</x:v>
      </x:c>
      <x:c r="G5523" s="16" t="str">
        <x:v>+60122801311</x:v>
      </x:c>
      <x:c r="H5523" s="16" t="str">
        <x:v>Excluded</x:v>
      </x:c>
      <x:c r="I5523" s="16" t="str">
        <x:v>Missing email</x:v>
      </x:c>
    </x:row>
    <x:row r="5524">
      <x:c r="A5524" s="16" t="n">
        <x:v>5521</x:v>
      </x:c>
      <x:c r="B5524" s="16" t="str">
        <x:v>pher mohd learning port</x:v>
      </x:c>
      <x:c r="C5524" s="16" t="str"/>
      <x:c r="D5524" s="16" t="str"/>
      <x:c r="E5524" s="16" t="str">
        <x:v>* myContacts</x:v>
      </x:c>
      <x:c r="F5524" s="16" t="str">
        <x:v>0126521045 | +60126521045</x:v>
      </x:c>
      <x:c r="G5524" s="16" t="str">
        <x:v>+60126521045 | +60126521045</x:v>
      </x:c>
      <x:c r="H5524" s="16" t="str">
        <x:v>Excluded</x:v>
      </x:c>
      <x:c r="I5524" s="16" t="str">
        <x:v>Missing email</x:v>
      </x:c>
    </x:row>
    <x:row r="5525">
      <x:c r="A5525" s="16" t="n">
        <x:v>5522</x:v>
      </x:c>
      <x:c r="B5525" s="16" t="str">
        <x:v>Pi Ai</x:v>
      </x:c>
      <x:c r="C5525" s="16" t="str"/>
      <x:c r="D5525" s="16" t="str"/>
      <x:c r="E5525" s="16" t="str">
        <x:v>* myContacts</x:v>
      </x:c>
      <x:c r="F5525" s="16" t="str">
        <x:v>+13143331111</x:v>
      </x:c>
      <x:c r="G5525" s="16" t="str">
        <x:v>+13143331111</x:v>
      </x:c>
      <x:c r="H5525" s="16" t="str">
        <x:v>Excluded</x:v>
      </x:c>
      <x:c r="I5525" s="16" t="str">
        <x:v>Missing email</x:v>
      </x:c>
    </x:row>
    <x:row r="5526">
      <x:c r="A5526" s="16" t="n">
        <x:v>5523</x:v>
      </x:c>
      <x:c r="B5526" s="16" t="str">
        <x:v>Pian Otai Bit Coin</x:v>
      </x:c>
      <x:c r="C5526" s="16" t="str"/>
      <x:c r="D5526" s="16" t="str"/>
      <x:c r="E5526" s="16" t="str">
        <x:v>* myContacts</x:v>
      </x:c>
      <x:c r="F5526" s="16" t="str">
        <x:v>+60122079701</x:v>
      </x:c>
      <x:c r="G5526" s="16" t="str">
        <x:v>+60122079701</x:v>
      </x:c>
      <x:c r="H5526" s="16" t="str">
        <x:v>Excluded</x:v>
      </x:c>
      <x:c r="I5526" s="16" t="str">
        <x:v>Missing email</x:v>
      </x:c>
    </x:row>
    <x:row r="5527">
      <x:c r="A5527" s="16" t="n">
        <x:v>5524</x:v>
      </x:c>
      <x:c r="B5527" s="16" t="str">
        <x:v>Pibon WC</x:v>
      </x:c>
      <x:c r="C5527" s="16" t="str"/>
      <x:c r="D5527" s="16" t="str"/>
      <x:c r="E5527" s="16" t="str">
        <x:v>* myContacts</x:v>
      </x:c>
      <x:c r="F5527" s="16" t="str">
        <x:v>+60148318378</x:v>
      </x:c>
      <x:c r="G5527" s="16" t="str">
        <x:v>+60148318378</x:v>
      </x:c>
      <x:c r="H5527" s="16" t="str">
        <x:v>Excluded</x:v>
      </x:c>
      <x:c r="I5527" s="16" t="str">
        <x:v>Missing email</x:v>
      </x:c>
    </x:row>
    <x:row r="5528">
      <x:c r="A5528" s="16" t="n">
        <x:v>5525</x:v>
      </x:c>
      <x:c r="B5528" s="16" t="str">
        <x:v>Pika</x:v>
      </x:c>
      <x:c r="C5528" s="16" t="str"/>
      <x:c r="D5528" s="16" t="str"/>
      <x:c r="E5528" s="16" t="str">
        <x:v>* myContacts</x:v>
      </x:c>
      <x:c r="F5528" s="16" t="str">
        <x:v>+60107147790 | +60 10-714 7790, | +60107147790,</x:v>
      </x:c>
      <x:c r="G5528" s="16" t="str">
        <x:v>+60107147790 | +60107147790 | +60107147790</x:v>
      </x:c>
      <x:c r="H5528" s="16" t="str">
        <x:v>Excluded</x:v>
      </x:c>
      <x:c r="I5528" s="16" t="str">
        <x:v>Missing email</x:v>
      </x:c>
    </x:row>
    <x:row r="5529">
      <x:c r="A5529" s="16" t="n">
        <x:v>5526</x:v>
      </x:c>
      <x:c r="B5529" s="16" t="str">
        <x:v>Pilot Darat iskandar Bidor</x:v>
      </x:c>
      <x:c r="C5529" s="16" t="str"/>
      <x:c r="D5529" s="16" t="str"/>
      <x:c r="E5529" s="16" t="str">
        <x:v>* myContacts</x:v>
      </x:c>
      <x:c r="F5529" s="16" t="str">
        <x:v>+60148884064</x:v>
      </x:c>
      <x:c r="G5529" s="16" t="str">
        <x:v>+60148884064</x:v>
      </x:c>
      <x:c r="H5529" s="16" t="str">
        <x:v>Excluded</x:v>
      </x:c>
      <x:c r="I5529" s="16" t="str">
        <x:v>Missing email</x:v>
      </x:c>
    </x:row>
    <x:row r="5530">
      <x:c r="A5530" s="16" t="n">
        <x:v>5527</x:v>
      </x:c>
      <x:c r="B5530" s="16" t="str">
        <x:v>Pinky LensShop</x:v>
      </x:c>
      <x:c r="C5530" s="16" t="str"/>
      <x:c r="D5530" s="16" t="str"/>
      <x:c r="E5530" s="16" t="str">
        <x:v>* myContacts</x:v>
      </x:c>
      <x:c r="F5530" s="16" t="str">
        <x:v>+60173393014</x:v>
      </x:c>
      <x:c r="G5530" s="16" t="str">
        <x:v>+60173393014</x:v>
      </x:c>
      <x:c r="H5530" s="16" t="str">
        <x:v>Excluded</x:v>
      </x:c>
      <x:c r="I5530" s="16" t="str">
        <x:v>Missing email</x:v>
      </x:c>
    </x:row>
    <x:row r="5531">
      <x:c r="A5531" s="16" t="n">
        <x:v>5528</x:v>
      </x:c>
      <x:c r="B5531" s="16" t="str">
        <x:v>Pj Tayar</x:v>
      </x:c>
      <x:c r="C5531" s="16" t="str"/>
      <x:c r="D5531" s="16" t="str"/>
      <x:c r="E5531" s="16" t="str">
        <x:v>* myContacts</x:v>
      </x:c>
      <x:c r="F5531" s="16" t="str">
        <x:v>011-1140 0327 | +601111400327</x:v>
      </x:c>
      <x:c r="G5531" s="16" t="str">
        <x:v>+601111400327 | +601111400327</x:v>
      </x:c>
      <x:c r="H5531" s="16" t="str">
        <x:v>Excluded</x:v>
      </x:c>
      <x:c r="I5531" s="16" t="str">
        <x:v>Missing email</x:v>
      </x:c>
    </x:row>
    <x:row r="5532">
      <x:c r="A5532" s="16" t="n">
        <x:v>5529</x:v>
      </x:c>
      <x:c r="B5532" s="16" t="str">
        <x:v>Pklong Mat Baja Kedah</x:v>
      </x:c>
      <x:c r="C5532" s="16" t="str"/>
      <x:c r="D5532" s="16" t="str"/>
      <x:c r="E5532" s="16" t="str">
        <x:v>* myContacts</x:v>
      </x:c>
      <x:c r="F5532" s="16" t="str">
        <x:v>+60125151036</x:v>
      </x:c>
      <x:c r="G5532" s="16" t="str">
        <x:v>+60125151036</x:v>
      </x:c>
      <x:c r="H5532" s="16" t="str">
        <x:v>Excluded</x:v>
      </x:c>
      <x:c r="I5532" s="16" t="str">
        <x:v>Missing email</x:v>
      </x:c>
    </x:row>
    <x:row r="5533">
      <x:c r="A5533" s="16" t="n">
        <x:v>5530</x:v>
      </x:c>
      <x:c r="B5533" s="16" t="str">
        <x:v>Plaster Ceiling</x:v>
      </x:c>
      <x:c r="C5533" s="16" t="str"/>
      <x:c r="D5533" s="16" t="str"/>
      <x:c r="E5533" s="16" t="str">
        <x:v>* myContacts</x:v>
      </x:c>
      <x:c r="F5533" s="16" t="str">
        <x:v>+601127166995</x:v>
      </x:c>
      <x:c r="G5533" s="16" t="str">
        <x:v>+601127166995</x:v>
      </x:c>
      <x:c r="H5533" s="16" t="str">
        <x:v>Excluded</x:v>
      </x:c>
      <x:c r="I5533" s="16" t="str">
        <x:v>Missing email</x:v>
      </x:c>
    </x:row>
    <x:row r="5534">
      <x:c r="A5534" s="16" t="n">
        <x:v>5531</x:v>
      </x:c>
      <x:c r="B5534" s="16" t="str">
        <x:v>PLF Coach Hanna Ismail</x:v>
      </x:c>
      <x:c r="C5534" s="16" t="str"/>
      <x:c r="D5534" s="16" t="str"/>
      <x:c r="E5534" s="16" t="str">
        <x:v>Trainer | * myContacts</x:v>
      </x:c>
      <x:c r="F5534" s="16" t="str">
        <x:v>+60 12-643 6867 | +60126436867</x:v>
      </x:c>
      <x:c r="G5534" s="16" t="str">
        <x:v>+60126436867 | +60126436867</x:v>
      </x:c>
      <x:c r="H5534" s="16" t="str">
        <x:v>Excluded</x:v>
      </x:c>
      <x:c r="I5534" s="16" t="str">
        <x:v>Missing email</x:v>
      </x:c>
    </x:row>
    <x:row r="5535">
      <x:c r="A5535" s="16" t="n">
        <x:v>5532</x:v>
      </x:c>
      <x:c r="B5535" s="16" t="str">
        <x:v>Pn Adda Koperasi Hartanah Bersatu</x:v>
      </x:c>
      <x:c r="C5535" s="16" t="str"/>
      <x:c r="D5535" s="16" t="str"/>
      <x:c r="E5535" s="16" t="str">
        <x:v>* myContacts</x:v>
      </x:c>
      <x:c r="F5535" s="16" t="str">
        <x:v>+60 18-368 2834 | +60183682834</x:v>
      </x:c>
      <x:c r="G5535" s="16" t="str">
        <x:v>+60183682834 | +60183682834</x:v>
      </x:c>
      <x:c r="H5535" s="16" t="str">
        <x:v>Excluded</x:v>
      </x:c>
      <x:c r="I5535" s="16" t="str">
        <x:v>Missing email</x:v>
      </x:c>
    </x:row>
    <x:row r="5536">
      <x:c r="A5536" s="16" t="n">
        <x:v>5533</x:v>
      </x:c>
      <x:c r="B5536" s="16" t="str">
        <x:v>Pn Adzura Guru Masak</x:v>
      </x:c>
      <x:c r="C5536" s="16" t="str"/>
      <x:c r="D5536" s="16" t="str"/>
      <x:c r="E5536" s="16" t="str">
        <x:v>* myContacts</x:v>
      </x:c>
      <x:c r="F5536" s="16" t="str">
        <x:v>+60196330027</x:v>
      </x:c>
      <x:c r="G5536" s="16" t="str">
        <x:v>+60196330027</x:v>
      </x:c>
      <x:c r="H5536" s="16" t="str">
        <x:v>Excluded</x:v>
      </x:c>
      <x:c r="I5536" s="16" t="str">
        <x:v>Missing email</x:v>
      </x:c>
    </x:row>
    <x:row r="5537">
      <x:c r="A5537" s="16" t="n">
        <x:v>5534</x:v>
      </x:c>
      <x:c r="B5537" s="16" t="str">
        <x:v>Pn Aida Student eusahawan sg besar</x:v>
      </x:c>
      <x:c r="C5537" s="16" t="str"/>
      <x:c r="D5537" s="16" t="str"/>
      <x:c r="E5537" s="16" t="str">
        <x:v>Alumni eUsahawan | * myContacts</x:v>
      </x:c>
      <x:c r="F5537" s="16" t="str">
        <x:v>016-605 8408 | +60166058408</x:v>
      </x:c>
      <x:c r="G5537" s="16" t="str">
        <x:v>+60166058408 | +60166058408</x:v>
      </x:c>
      <x:c r="H5537" s="16" t="str">
        <x:v>Excluded</x:v>
      </x:c>
      <x:c r="I5537" s="16" t="str">
        <x:v>Missing email</x:v>
      </x:c>
    </x:row>
    <x:row r="5538">
      <x:c r="A5538" s="16" t="n">
        <x:v>5535</x:v>
      </x:c>
      <x:c r="B5538" s="16" t="str">
        <x:v>Pn Aina Staff Perhebat</x:v>
      </x:c>
      <x:c r="C5538" s="16" t="str"/>
      <x:c r="D5538" s="16" t="str"/>
      <x:c r="E5538" s="16" t="str">
        <x:v>* myContacts</x:v>
      </x:c>
      <x:c r="F5538" s="16" t="str">
        <x:v>+60 11-2369 2115 | +601123692115</x:v>
      </x:c>
      <x:c r="G5538" s="16" t="str">
        <x:v>+601123692115 | +601123692115</x:v>
      </x:c>
      <x:c r="H5538" s="16" t="str">
        <x:v>Excluded</x:v>
      </x:c>
      <x:c r="I5538" s="16" t="str">
        <x:v>Missing email</x:v>
      </x:c>
    </x:row>
    <x:row r="5539">
      <x:c r="A5539" s="16" t="n">
        <x:v>5536</x:v>
      </x:c>
      <x:c r="B5539" s="16" t="str">
        <x:v>pn ainon coach accounting</x:v>
      </x:c>
      <x:c r="C5539" s="16" t="str"/>
      <x:c r="D5539" s="16" t="str"/>
      <x:c r="E5539" s="16" t="str">
        <x:v>* myContacts</x:v>
      </x:c>
      <x:c r="F5539" s="16" t="str">
        <x:v>013-369 9539 | +60133699539</x:v>
      </x:c>
      <x:c r="G5539" s="16" t="str">
        <x:v>+60133699539 | +60133699539</x:v>
      </x:c>
      <x:c r="H5539" s="16" t="str">
        <x:v>Excluded</x:v>
      </x:c>
      <x:c r="I5539" s="16" t="str">
        <x:v>Missing email</x:v>
      </x:c>
    </x:row>
    <x:row r="5540">
      <x:c r="A5540" s="16" t="n">
        <x:v>5537</x:v>
      </x:c>
      <x:c r="B5540" s="16" t="str">
        <x:v>Pn Aishah INSKEN</x:v>
      </x:c>
      <x:c r="C5540" s="16" t="str"/>
      <x:c r="D5540" s="16" t="str"/>
      <x:c r="E5540" s="16" t="str">
        <x:v>Alumni INSKEN | * myContacts</x:v>
      </x:c>
      <x:c r="F5540" s="16" t="str">
        <x:v>+60 17-554 5144 | +60175545144</x:v>
      </x:c>
      <x:c r="G5540" s="16" t="str">
        <x:v>+60175545144 | +60175545144</x:v>
      </x:c>
      <x:c r="H5540" s="16" t="str">
        <x:v>Excluded</x:v>
      </x:c>
      <x:c r="I5540" s="16" t="str">
        <x:v>Missing email</x:v>
      </x:c>
    </x:row>
    <x:row r="5541">
      <x:c r="A5541" s="16" t="n">
        <x:v>5538</x:v>
      </x:c>
      <x:c r="B5541" s="16" t="str">
        <x:v>Pn Alya INKSEN</x:v>
      </x:c>
      <x:c r="C5541" s="16" t="str"/>
      <x:c r="D5541" s="16" t="str"/>
      <x:c r="E5541" s="16" t="str">
        <x:v>* myContacts</x:v>
      </x:c>
      <x:c r="F5541" s="16" t="str">
        <x:v>+60 12-287 4471 | +60122874471</x:v>
      </x:c>
      <x:c r="G5541" s="16" t="str">
        <x:v>+60122874471 | +60122874471</x:v>
      </x:c>
      <x:c r="H5541" s="16" t="str">
        <x:v>Excluded</x:v>
      </x:c>
      <x:c r="I5541" s="16" t="str">
        <x:v>Missing email</x:v>
      </x:c>
    </x:row>
    <x:row r="5542">
      <x:c r="A5542" s="16" t="n">
        <x:v>5539</x:v>
      </x:c>
      <x:c r="B5542" s="16" t="str">
        <x:v>Pn Anisah INSKEN</x:v>
      </x:c>
      <x:c r="C5542" s="16" t="str"/>
      <x:c r="D5542" s="16" t="str"/>
      <x:c r="E5542" s="16" t="str">
        <x:v>Alumni INSKEN | * myContacts</x:v>
      </x:c>
      <x:c r="F5542" s="16" t="str">
        <x:v>+60 19-980 5233 | +60199805233</x:v>
      </x:c>
      <x:c r="G5542" s="16" t="str">
        <x:v>+60199805233 | +60199805233</x:v>
      </x:c>
      <x:c r="H5542" s="16" t="str">
        <x:v>Excluded</x:v>
      </x:c>
      <x:c r="I5542" s="16" t="str">
        <x:v>Missing email</x:v>
      </x:c>
    </x:row>
    <x:row r="5543">
      <x:c r="A5543" s="16" t="n">
        <x:v>5540</x:v>
      </x:c>
      <x:c r="B5543" s="16" t="str">
        <x:v>Pn Anne Solvy</x:v>
      </x:c>
      <x:c r="C5543" s="16" t="str"/>
      <x:c r="D5543" s="16" t="str"/>
      <x:c r="E5543" s="16" t="str">
        <x:v>* myContacts</x:v>
      </x:c>
      <x:c r="F5543" s="16" t="str">
        <x:v>+60 19-225 7906 | +60192257906</x:v>
      </x:c>
      <x:c r="G5543" s="16" t="str">
        <x:v>+60192257906 | +60192257906</x:v>
      </x:c>
      <x:c r="H5543" s="16" t="str">
        <x:v>Excluded</x:v>
      </x:c>
      <x:c r="I5543" s="16" t="str">
        <x:v>Missing email</x:v>
      </x:c>
    </x:row>
    <x:row r="5544">
      <x:c r="A5544" s="16" t="n">
        <x:v>5541</x:v>
      </x:c>
      <x:c r="B5544" s="16" t="str">
        <x:v>Pn Aqilah Sewa Rumah no. 12</x:v>
      </x:c>
      <x:c r="C5544" s="16" t="str"/>
      <x:c r="D5544" s="16" t="str"/>
      <x:c r="E5544" s="16" t="str">
        <x:v>* myContacts</x:v>
      </x:c>
      <x:c r="F5544" s="16" t="str">
        <x:v>+60 10-876 4296 | +60108764296</x:v>
      </x:c>
      <x:c r="G5544" s="16" t="str">
        <x:v>+60108764296 | +60108764296</x:v>
      </x:c>
      <x:c r="H5544" s="16" t="str">
        <x:v>Excluded</x:v>
      </x:c>
      <x:c r="I5544" s="16" t="str">
        <x:v>Missing email</x:v>
      </x:c>
    </x:row>
    <x:row r="5545">
      <x:c r="A5545" s="16" t="n">
        <x:v>5542</x:v>
      </x:c>
      <x:c r="B5545" s="16" t="str">
        <x:v>Pn Ayu</x:v>
      </x:c>
      <x:c r="C5545" s="16" t="str"/>
      <x:c r="D5545" s="16" t="str"/>
      <x:c r="E5545" s="16" t="str">
        <x:v>* myContacts</x:v>
      </x:c>
      <x:c r="F5545" s="16" t="str">
        <x:v>+60176488913</x:v>
      </x:c>
      <x:c r="G5545" s="16" t="str">
        <x:v>+60176488913</x:v>
      </x:c>
      <x:c r="H5545" s="16" t="str">
        <x:v>Excluded</x:v>
      </x:c>
      <x:c r="I5545" s="16" t="str">
        <x:v>Missing email</x:v>
      </x:c>
    </x:row>
    <x:row r="5546">
      <x:c r="A5546" s="16" t="n">
        <x:v>5543</x:v>
      </x:c>
      <x:c r="B5546" s="16" t="str">
        <x:v>Pn Azura Kemahiran</x:v>
      </x:c>
      <x:c r="C5546" s="16" t="str"/>
      <x:c r="D5546" s="16" t="str"/>
      <x:c r="E5546" s="16" t="str">
        <x:v>* myContacts</x:v>
      </x:c>
      <x:c r="F5546" s="16" t="str">
        <x:v>+60 19-633 0027</x:v>
      </x:c>
      <x:c r="G5546" s="16" t="str">
        <x:v>+60196330027</x:v>
      </x:c>
      <x:c r="H5546" s="16" t="str">
        <x:v>Excluded</x:v>
      </x:c>
      <x:c r="I5546" s="16" t="str">
        <x:v>Missing email</x:v>
      </x:c>
    </x:row>
    <x:row r="5547">
      <x:c r="A5547" s="16" t="n">
        <x:v>5544</x:v>
      </x:c>
      <x:c r="B5547" s="16" t="str">
        <x:v>Pn Busra Student EU</x:v>
      </x:c>
      <x:c r="C5547" s="16" t="str"/>
      <x:c r="D5547" s="16" t="str"/>
      <x:c r="E5547" s="16" t="str">
        <x:v>Alumni eUsahawan | * myContacts</x:v>
      </x:c>
      <x:c r="F5547" s="16" t="str">
        <x:v>0192776595 | +60192776595</x:v>
      </x:c>
      <x:c r="G5547" s="16" t="str">
        <x:v>+60192776595 | +60192776595</x:v>
      </x:c>
      <x:c r="H5547" s="16" t="str">
        <x:v>Excluded</x:v>
      </x:c>
      <x:c r="I5547" s="16" t="str">
        <x:v>Missing email</x:v>
      </x:c>
    </x:row>
    <x:row r="5548">
      <x:c r="A5548" s="16" t="n">
        <x:v>5545</x:v>
      </x:c>
      <x:c r="B5548" s="16" t="str">
        <x:v>Pn Che Romanila AGP</x:v>
      </x:c>
      <x:c r="C5548" s="16" t="str"/>
      <x:c r="D5548" s="16" t="str"/>
      <x:c r="E5548" s="16" t="str">
        <x:v>* myContacts</x:v>
      </x:c>
      <x:c r="F5548" s="16" t="str">
        <x:v>+60 13-950 2284 | +60139502284</x:v>
      </x:c>
      <x:c r="G5548" s="16" t="str">
        <x:v>+60139502284 | +60139502284</x:v>
      </x:c>
      <x:c r="H5548" s="16" t="str">
        <x:v>Excluded</x:v>
      </x:c>
      <x:c r="I5548" s="16" t="str">
        <x:v>Missing email</x:v>
      </x:c>
    </x:row>
    <x:row r="5549">
      <x:c r="A5549" s="16" t="n">
        <x:v>5546</x:v>
      </x:c>
      <x:c r="B5549" s="16" t="str">
        <x:v>Pn Elly Training Hijrah</x:v>
      </x:c>
      <x:c r="C5549" s="16" t="str"/>
      <x:c r="D5549" s="16" t="str"/>
      <x:c r="E5549" s="16" t="str">
        <x:v>Alumni eUsahawan | * myContacts</x:v>
      </x:c>
      <x:c r="F5549" s="16" t="str">
        <x:v>0126524159 | +60126524159</x:v>
      </x:c>
      <x:c r="G5549" s="16" t="str">
        <x:v>+60126524159 | +60126524159</x:v>
      </x:c>
      <x:c r="H5549" s="16" t="str">
        <x:v>Excluded</x:v>
      </x:c>
      <x:c r="I5549" s="16" t="str">
        <x:v>Missing email</x:v>
      </x:c>
    </x:row>
    <x:row r="5550">
      <x:c r="A5550" s="16" t="n">
        <x:v>5547</x:v>
      </x:c>
      <x:c r="B5550" s="16" t="str">
        <x:v>Pn Esza Mdec</x:v>
      </x:c>
      <x:c r="C5550" s="16" t="str"/>
      <x:c r="D5550" s="16" t="str"/>
      <x:c r="E5550" s="16" t="str">
        <x:v>* myContacts</x:v>
      </x:c>
      <x:c r="F5550" s="16" t="str">
        <x:v>+60193083998</x:v>
      </x:c>
      <x:c r="G5550" s="16" t="str">
        <x:v>+60193083998</x:v>
      </x:c>
      <x:c r="H5550" s="16" t="str">
        <x:v>Excluded</x:v>
      </x:c>
      <x:c r="I5550" s="16" t="str">
        <x:v>Missing email</x:v>
      </x:c>
    </x:row>
    <x:row r="5551">
      <x:c r="A5551" s="16" t="n">
        <x:v>5548</x:v>
      </x:c>
      <x:c r="B5551" s="16" t="str">
        <x:v>Pn Fida Trainer Hair Stylist</x:v>
      </x:c>
      <x:c r="C5551" s="16" t="str"/>
      <x:c r="D5551" s="16" t="str"/>
      <x:c r="E5551" s="16" t="str">
        <x:v>Trainer | * myContacts</x:v>
      </x:c>
      <x:c r="F5551" s="16" t="str">
        <x:v>0142955277 | +60142955277</x:v>
      </x:c>
      <x:c r="G5551" s="16" t="str">
        <x:v>+60142955277 | +60142955277</x:v>
      </x:c>
      <x:c r="H5551" s="16" t="str">
        <x:v>Excluded</x:v>
      </x:c>
      <x:c r="I5551" s="16" t="str">
        <x:v>Missing email</x:v>
      </x:c>
    </x:row>
    <x:row r="5552">
      <x:c r="A5552" s="16" t="n">
        <x:v>5549</x:v>
      </x:c>
      <x:c r="B5552" s="16" t="str">
        <x:v>Pn Fleexa nicol</x:v>
      </x:c>
      <x:c r="C5552" s="16" t="str"/>
      <x:c r="D5552" s="16" t="str"/>
      <x:c r="E5552" s="16" t="str">
        <x:v>* myContacts</x:v>
      </x:c>
      <x:c r="F5552" s="16" t="str">
        <x:v>0103623269 | +60103623269</x:v>
      </x:c>
      <x:c r="G5552" s="16" t="str">
        <x:v>+60103623269 | +60103623269</x:v>
      </x:c>
      <x:c r="H5552" s="16" t="str">
        <x:v>Excluded</x:v>
      </x:c>
      <x:c r="I5552" s="16" t="str">
        <x:v>Missing email</x:v>
      </x:c>
    </x:row>
    <x:row r="5553">
      <x:c r="A5553" s="16" t="n">
        <x:v>5550</x:v>
      </x:c>
      <x:c r="B5553" s="16" t="str">
        <x:v>Pn Habibah Jagaan Orang Orang Tua</x:v>
      </x:c>
      <x:c r="C5553" s="16" t="str"/>
      <x:c r="D5553" s="16" t="str"/>
      <x:c r="E5553" s="16" t="str">
        <x:v>* myContacts</x:v>
      </x:c>
      <x:c r="F5553" s="16" t="str">
        <x:v>0164838650 | +60164838650</x:v>
      </x:c>
      <x:c r="G5553" s="16" t="str">
        <x:v>+60164838650 | +60164838650</x:v>
      </x:c>
      <x:c r="H5553" s="16" t="str">
        <x:v>Excluded</x:v>
      </x:c>
      <x:c r="I5553" s="16" t="str">
        <x:v>Missing email</x:v>
      </x:c>
    </x:row>
    <x:row r="5554">
      <x:c r="A5554" s="16" t="n">
        <x:v>5551</x:v>
      </x:c>
      <x:c r="B5554" s="16" t="str">
        <x:v>Pn Hafida Uda Holding</x:v>
      </x:c>
      <x:c r="C5554" s="16" t="str">
        <x:v>noorafidah@udanet.com</x:v>
      </x:c>
      <x:c r="D5554" s="16" t="str">
        <x:v>noorafidah@udanet.com</x:v>
      </x:c>
      <x:c r="E5554" s="16" t="str">
        <x:v>* myContacts</x:v>
      </x:c>
      <x:c r="F5554" s="16" t="str"/>
      <x:c r="G5554" s="16" t="str"/>
      <x:c r="H5554" s="16" t="str">
        <x:v>Eligible</x:v>
      </x:c>
      <x:c r="I5554" s="16" t="str"/>
    </x:row>
    <x:row r="5555">
      <x:c r="A5555" s="16" t="n">
        <x:v>5552</x:v>
      </x:c>
      <x:c r="B5555" s="16" t="str">
        <x:v>Pn Hanim Kejora</x:v>
      </x:c>
      <x:c r="C5555" s="16" t="str">
        <x:v>syahaneen@kejora.gov.my</x:v>
      </x:c>
      <x:c r="D5555" s="16" t="str">
        <x:v>syahaneen@kejora.gov.my</x:v>
      </x:c>
      <x:c r="E5555" s="16" t="str">
        <x:v>* myContacts</x:v>
      </x:c>
      <x:c r="F5555" s="16" t="str">
        <x:v>013-779 6445 | +60137796445</x:v>
      </x:c>
      <x:c r="G5555" s="16" t="str">
        <x:v>+60137796445 | +60137796445</x:v>
      </x:c>
      <x:c r="H5555" s="16" t="str">
        <x:v>Eligible</x:v>
      </x:c>
      <x:c r="I5555" s="16" t="str"/>
    </x:row>
    <x:row r="5556">
      <x:c r="A5556" s="16" t="n">
        <x:v>5553</x:v>
      </x:c>
      <x:c r="B5556" s="16" t="str">
        <x:v>Pn Haslina</x:v>
      </x:c>
      <x:c r="C5556" s="16" t="str"/>
      <x:c r="D5556" s="16" t="str"/>
      <x:c r="E5556" s="16" t="str">
        <x:v>* myContacts</x:v>
      </x:c>
      <x:c r="F5556" s="16" t="str">
        <x:v>+60173732022</x:v>
      </x:c>
      <x:c r="G5556" s="16" t="str">
        <x:v>+60173732022</x:v>
      </x:c>
      <x:c r="H5556" s="16" t="str">
        <x:v>Excluded</x:v>
      </x:c>
      <x:c r="I5556" s="16" t="str">
        <x:v>Missing email</x:v>
      </x:c>
    </x:row>
    <x:row r="5557">
      <x:c r="A5557" s="16" t="n">
        <x:v>5554</x:v>
      </x:c>
      <x:c r="B5557" s="16" t="str">
        <x:v>Pn Hayati CGC</x:v>
      </x:c>
      <x:c r="C5557" s="16" t="str"/>
      <x:c r="D5557" s="16" t="str"/>
      <x:c r="E5557" s="16" t="str">
        <x:v>* myContacts</x:v>
      </x:c>
      <x:c r="F5557" s="16" t="str">
        <x:v>+60 12-430 6940 | +60124306940</x:v>
      </x:c>
      <x:c r="G5557" s="16" t="str">
        <x:v>+60124306940 | +60124306940</x:v>
      </x:c>
      <x:c r="H5557" s="16" t="str">
        <x:v>Excluded</x:v>
      </x:c>
      <x:c r="I5557" s="16" t="str">
        <x:v>Missing email</x:v>
      </x:c>
    </x:row>
    <x:row r="5558">
      <x:c r="A5558" s="16" t="n">
        <x:v>5555</x:v>
      </x:c>
      <x:c r="B5558" s="16" t="str">
        <x:v>Pn Hidayah Auditor Syam and Co</x:v>
      </x:c>
      <x:c r="C5558" s="16" t="str"/>
      <x:c r="D5558" s="16" t="str"/>
      <x:c r="E5558" s="16" t="str">
        <x:v>* myContacts</x:v>
      </x:c>
      <x:c r="F5558" s="16" t="str">
        <x:v>+60 19-955 7144 | +60199557144</x:v>
      </x:c>
      <x:c r="G5558" s="16" t="str">
        <x:v>+60199557144 | +60199557144</x:v>
      </x:c>
      <x:c r="H5558" s="16" t="str">
        <x:v>Excluded</x:v>
      </x:c>
      <x:c r="I5558" s="16" t="str">
        <x:v>Missing email</x:v>
      </x:c>
    </x:row>
    <x:row r="5559">
      <x:c r="A5559" s="16" t="n">
        <x:v>5556</x:v>
      </x:c>
      <x:c r="B5559" s="16" t="str">
        <x:v>Pn ijah cikgu politeknik engku omar</x:v>
      </x:c>
      <x:c r="C5559" s="16" t="str"/>
      <x:c r="D5559" s="16" t="str"/>
      <x:c r="E5559" s="16" t="str">
        <x:v>* myContacts</x:v>
      </x:c>
      <x:c r="F5559" s="16" t="str">
        <x:v>0174092260 | +60174092260</x:v>
      </x:c>
      <x:c r="G5559" s="16" t="str">
        <x:v>+60174092260 | +60174092260</x:v>
      </x:c>
      <x:c r="H5559" s="16" t="str">
        <x:v>Excluded</x:v>
      </x:c>
      <x:c r="I5559" s="16" t="str">
        <x:v>Missing email</x:v>
      </x:c>
    </x:row>
    <x:row r="5560">
      <x:c r="A5560" s="16" t="n">
        <x:v>5557</x:v>
      </x:c>
      <x:c r="B5560" s="16" t="str">
        <x:v>Pn Irmailyana Hijrah Hulu Langat</x:v>
      </x:c>
      <x:c r="C5560" s="16" t="str"/>
      <x:c r="D5560" s="16" t="str"/>
      <x:c r="E5560" s="16" t="str">
        <x:v>Alumni eUsahawan | * myContacts</x:v>
      </x:c>
      <x:c r="F5560" s="16" t="str">
        <x:v>013-3539057 | +60133539057</x:v>
      </x:c>
      <x:c r="G5560" s="16" t="str">
        <x:v>+60133539057 | +60133539057</x:v>
      </x:c>
      <x:c r="H5560" s="16" t="str">
        <x:v>Excluded</x:v>
      </x:c>
      <x:c r="I5560" s="16" t="str">
        <x:v>Missing email</x:v>
      </x:c>
    </x:row>
    <x:row r="5561">
      <x:c r="A5561" s="16" t="n">
        <x:v>5558</x:v>
      </x:c>
      <x:c r="B5561" s="16" t="str">
        <x:v>Pn Kalai Insurance</x:v>
      </x:c>
      <x:c r="C5561" s="16" t="str"/>
      <x:c r="D5561" s="16" t="str"/>
      <x:c r="E5561" s="16" t="str">
        <x:v>* myContacts</x:v>
      </x:c>
      <x:c r="F5561" s="16" t="str">
        <x:v>+60 12-393 9227 | +60123939227</x:v>
      </x:c>
      <x:c r="G5561" s="16" t="str">
        <x:v>+60123939227 | +60123939227</x:v>
      </x:c>
      <x:c r="H5561" s="16" t="str">
        <x:v>Excluded</x:v>
      </x:c>
      <x:c r="I5561" s="16" t="str">
        <x:v>Missing email</x:v>
      </x:c>
    </x:row>
    <x:row r="5562">
      <x:c r="A5562" s="16" t="n">
        <x:v>5559</x:v>
      </x:c>
      <x:c r="B5562" s="16" t="str">
        <x:v>Pn Khadijah</x:v>
      </x:c>
      <x:c r="C5562" s="16" t="str"/>
      <x:c r="D5562" s="16" t="str"/>
      <x:c r="E5562" s="16" t="str">
        <x:v>* myContacts</x:v>
      </x:c>
      <x:c r="F5562" s="16" t="str">
        <x:v>+60 13-362 3629 | +60133623629</x:v>
      </x:c>
      <x:c r="G5562" s="16" t="str">
        <x:v>+60133623629 | +60133623629</x:v>
      </x:c>
      <x:c r="H5562" s="16" t="str">
        <x:v>Excluded</x:v>
      </x:c>
      <x:c r="I5562" s="16" t="str">
        <x:v>Missing email</x:v>
      </x:c>
    </x:row>
    <x:row r="5563">
      <x:c r="A5563" s="16" t="n">
        <x:v>5560</x:v>
      </x:c>
      <x:c r="B5563" s="16" t="str">
        <x:v>Pn Kuza RA8</x:v>
      </x:c>
      <x:c r="C5563" s="16" t="str"/>
      <x:c r="D5563" s="16" t="str"/>
      <x:c r="E5563" s="16" t="str">
        <x:v>* myContacts</x:v>
      </x:c>
      <x:c r="F5563" s="16" t="str">
        <x:v>+60193366565 | +60133037756</x:v>
      </x:c>
      <x:c r="G5563" s="16" t="str">
        <x:v>+60193366565 | +60133037756</x:v>
      </x:c>
      <x:c r="H5563" s="16" t="str">
        <x:v>Excluded</x:v>
      </x:c>
      <x:c r="I5563" s="16" t="str">
        <x:v>Missing email</x:v>
      </x:c>
    </x:row>
    <x:row r="5564">
      <x:c r="A5564" s="16" t="n">
        <x:v>5561</x:v>
      </x:c>
      <x:c r="B5564" s="16" t="str">
        <x:v>Pn Kuza RA8</x:v>
      </x:c>
      <x:c r="C5564" s="16" t="str"/>
      <x:c r="D5564" s="16" t="str"/>
      <x:c r="E5564" s="16" t="str">
        <x:v>* myContacts</x:v>
      </x:c>
      <x:c r="F5564" s="16" t="str">
        <x:v>+60 19-336 6565 | +60 13-303 7756</x:v>
      </x:c>
      <x:c r="G5564" s="16" t="str">
        <x:v>+60193366565 | +60133037756</x:v>
      </x:c>
      <x:c r="H5564" s="16" t="str">
        <x:v>Excluded</x:v>
      </x:c>
      <x:c r="I5564" s="16" t="str">
        <x:v>Missing email</x:v>
      </x:c>
    </x:row>
    <x:row r="5565">
      <x:c r="A5565" s="16" t="n">
        <x:v>5562</x:v>
      </x:c>
      <x:c r="B5565" s="16" t="str">
        <x:v>Pn Latifah Tax Expert</x:v>
      </x:c>
      <x:c r="C5565" s="16" t="str"/>
      <x:c r="D5565" s="16" t="str"/>
      <x:c r="E5565" s="16" t="str">
        <x:v>* myContacts</x:v>
      </x:c>
      <x:c r="F5565" s="16" t="str">
        <x:v>+60 19-812 8986 | +60198128986</x:v>
      </x:c>
      <x:c r="G5565" s="16" t="str">
        <x:v>+60198128986 | +60198128986</x:v>
      </x:c>
      <x:c r="H5565" s="16" t="str">
        <x:v>Excluded</x:v>
      </x:c>
      <x:c r="I5565" s="16" t="str">
        <x:v>Missing email</x:v>
      </x:c>
    </x:row>
    <x:row r="5566">
      <x:c r="A5566" s="16" t="n">
        <x:v>5563</x:v>
      </x:c>
      <x:c r="B5566" s="16" t="str">
        <x:v>Pn lela student</x:v>
      </x:c>
      <x:c r="C5566" s="16" t="str"/>
      <x:c r="D5566" s="16" t="str"/>
      <x:c r="E5566" s="16" t="str">
        <x:v>* myContacts</x:v>
      </x:c>
      <x:c r="F5566" s="16" t="str">
        <x:v>+60172006302</x:v>
      </x:c>
      <x:c r="G5566" s="16" t="str">
        <x:v>+60172006302</x:v>
      </x:c>
      <x:c r="H5566" s="16" t="str">
        <x:v>Excluded</x:v>
      </x:c>
      <x:c r="I5566" s="16" t="str">
        <x:v>Missing email</x:v>
      </x:c>
    </x:row>
    <x:row r="5567">
      <x:c r="A5567" s="16" t="n">
        <x:v>5564</x:v>
      </x:c>
      <x:c r="B5567" s="16" t="str">
        <x:v>Pn lily Sabrina Media Online</x:v>
      </x:c>
      <x:c r="C5567" s="16" t="str"/>
      <x:c r="D5567" s="16" t="str"/>
      <x:c r="E5567" s="16" t="str">
        <x:v>* myContacts</x:v>
      </x:c>
      <x:c r="F5567" s="16" t="str">
        <x:v>013-393 9610 | +60133939610</x:v>
      </x:c>
      <x:c r="G5567" s="16" t="str">
        <x:v>+60133939610 | +60133939610</x:v>
      </x:c>
      <x:c r="H5567" s="16" t="str">
        <x:v>Excluded</x:v>
      </x:c>
      <x:c r="I5567" s="16" t="str">
        <x:v>Missing email</x:v>
      </x:c>
    </x:row>
    <x:row r="5568">
      <x:c r="A5568" s="16" t="n">
        <x:v>5565</x:v>
      </x:c>
      <x:c r="B5568" s="16" t="str">
        <x:v>Pn Lina Meru PKM</x:v>
      </x:c>
      <x:c r="C5568" s="16" t="str"/>
      <x:c r="D5568" s="16" t="str"/>
      <x:c r="E5568" s="16" t="str">
        <x:v>* myContacts</x:v>
      </x:c>
      <x:c r="F5568" s="16" t="str">
        <x:v>601111680322 | +60 12-297 2461</x:v>
      </x:c>
      <x:c r="G5568" s="16" t="str">
        <x:v>+601111680322 | +60122972461</x:v>
      </x:c>
      <x:c r="H5568" s="16" t="str">
        <x:v>Excluded</x:v>
      </x:c>
      <x:c r="I5568" s="16" t="str">
        <x:v>Missing email</x:v>
      </x:c>
    </x:row>
    <x:row r="5569">
      <x:c r="A5569" s="16" t="n">
        <x:v>5566</x:v>
      </x:c>
      <x:c r="B5569" s="16" t="str">
        <x:v>Pn Lina Meru PKM</x:v>
      </x:c>
      <x:c r="C5569" s="16" t="str"/>
      <x:c r="D5569" s="16" t="str"/>
      <x:c r="E5569" s="16" t="str">
        <x:v>* myContacts</x:v>
      </x:c>
      <x:c r="F5569" s="16" t="str">
        <x:v>+601111680322 | +60122972461</x:v>
      </x:c>
      <x:c r="G5569" s="16" t="str">
        <x:v>+601111680322 | +60122972461</x:v>
      </x:c>
      <x:c r="H5569" s="16" t="str">
        <x:v>Excluded</x:v>
      </x:c>
      <x:c r="I5569" s="16" t="str">
        <x:v>Missing email</x:v>
      </x:c>
    </x:row>
    <x:row r="5570">
      <x:c r="A5570" s="16" t="n">
        <x:v>5567</x:v>
      </x:c>
      <x:c r="B5570" s="16" t="str">
        <x:v>Pn linda agro bank kajang</x:v>
      </x:c>
      <x:c r="C5570" s="16" t="str"/>
      <x:c r="D5570" s="16" t="str"/>
      <x:c r="E5570" s="16" t="str">
        <x:v>* myContacts</x:v>
      </x:c>
      <x:c r="F5570" s="16" t="str">
        <x:v>0127311119 | +60127311119</x:v>
      </x:c>
      <x:c r="G5570" s="16" t="str">
        <x:v>+60127311119 | +60127311119</x:v>
      </x:c>
      <x:c r="H5570" s="16" t="str">
        <x:v>Excluded</x:v>
      </x:c>
      <x:c r="I5570" s="16" t="str">
        <x:v>Missing email</x:v>
      </x:c>
    </x:row>
    <x:row r="5571">
      <x:c r="A5571" s="16" t="n">
        <x:v>5568</x:v>
      </x:c>
      <x:c r="B5571" s="16" t="str">
        <x:v>Pn MAHANI</x:v>
      </x:c>
      <x:c r="C5571" s="16" t="str"/>
      <x:c r="D5571" s="16" t="str"/>
      <x:c r="E5571" s="16" t="str">
        <x:v>* myContacts</x:v>
      </x:c>
      <x:c r="F5571" s="16" t="str">
        <x:v>+60 11-2658 1184 | +601126581184</x:v>
      </x:c>
      <x:c r="G5571" s="16" t="str">
        <x:v>+601126581184 | +601126581184</x:v>
      </x:c>
      <x:c r="H5571" s="16" t="str">
        <x:v>Excluded</x:v>
      </x:c>
      <x:c r="I5571" s="16" t="str">
        <x:v>Missing email</x:v>
      </x:c>
    </x:row>
    <x:row r="5572">
      <x:c r="A5572" s="16" t="n">
        <x:v>5569</x:v>
      </x:c>
      <x:c r="B5572" s="16" t="str">
        <x:v>Pn Majidah Man power Factory DPIM TERENGGANU</x:v>
      </x:c>
      <x:c r="C5572" s="16" t="str"/>
      <x:c r="D5572" s="16" t="str"/>
      <x:c r="E5572" s="16" t="str">
        <x:v>* myContacts</x:v>
      </x:c>
      <x:c r="F5572" s="16" t="str">
        <x:v>019-256 2946 | +60192562946</x:v>
      </x:c>
      <x:c r="G5572" s="16" t="str">
        <x:v>+60192562946 | +60192562946</x:v>
      </x:c>
      <x:c r="H5572" s="16" t="str">
        <x:v>Excluded</x:v>
      </x:c>
      <x:c r="I5572" s="16" t="str">
        <x:v>Missing email</x:v>
      </x:c>
    </x:row>
    <x:row r="5573">
      <x:c r="A5573" s="16" t="n">
        <x:v>5570</x:v>
      </x:c>
      <x:c r="B5573" s="16" t="str">
        <x:v>Pn Maria Uitm Specialist Food and Beveragest Industry</x:v>
      </x:c>
      <x:c r="C5573" s="16" t="str"/>
      <x:c r="D5573" s="16" t="str"/>
      <x:c r="E5573" s="16" t="str">
        <x:v>* myContacts</x:v>
      </x:c>
      <x:c r="F5573" s="16" t="str">
        <x:v>016-363 0687 | +60163630687</x:v>
      </x:c>
      <x:c r="G5573" s="16" t="str">
        <x:v>+60163630687 | +60163630687</x:v>
      </x:c>
      <x:c r="H5573" s="16" t="str">
        <x:v>Excluded</x:v>
      </x:c>
      <x:c r="I5573" s="16" t="str">
        <x:v>Missing email</x:v>
      </x:c>
    </x:row>
    <x:row r="5574">
      <x:c r="A5574" s="16" t="n">
        <x:v>5571</x:v>
      </x:c>
      <x:c r="B5574" s="16" t="str">
        <x:v>Pn Moon EU2017</x:v>
      </x:c>
      <x:c r="C5574" s="16" t="str"/>
      <x:c r="D5574" s="16" t="str"/>
      <x:c r="E5574" s="16" t="str">
        <x:v>* myContacts</x:v>
      </x:c>
      <x:c r="F5574" s="16" t="str">
        <x:v>0174981363 | +60174981363</x:v>
      </x:c>
      <x:c r="G5574" s="16" t="str">
        <x:v>+60174981363 | +60174981363</x:v>
      </x:c>
      <x:c r="H5574" s="16" t="str">
        <x:v>Excluded</x:v>
      </x:c>
      <x:c r="I5574" s="16" t="str">
        <x:v>Missing email</x:v>
      </x:c>
    </x:row>
    <x:row r="5575">
      <x:c r="A5575" s="16" t="n">
        <x:v>5572</x:v>
      </x:c>
      <x:c r="B5575" s="16" t="str">
        <x:v>Pn Nadia Mh. A. CGC</x:v>
      </x:c>
      <x:c r="C5575" s="16" t="str"/>
      <x:c r="D5575" s="16" t="str"/>
      <x:c r="E5575" s="16" t="str">
        <x:v>* myContacts</x:v>
      </x:c>
      <x:c r="F5575" s="16" t="str">
        <x:v>+60 12-796 2558 | +60127962558</x:v>
      </x:c>
      <x:c r="G5575" s="16" t="str">
        <x:v>+60127962558 | +60127962558</x:v>
      </x:c>
      <x:c r="H5575" s="16" t="str">
        <x:v>Excluded</x:v>
      </x:c>
      <x:c r="I5575" s="16" t="str">
        <x:v>Missing email</x:v>
      </x:c>
    </x:row>
    <x:row r="5576">
      <x:c r="A5576" s="16" t="n">
        <x:v>5573</x:v>
      </x:c>
      <x:c r="B5576" s="16" t="str">
        <x:v>Pn napisah AIM</x:v>
      </x:c>
      <x:c r="C5576" s="16" t="str"/>
      <x:c r="D5576" s="16" t="str"/>
      <x:c r="E5576" s="16" t="str">
        <x:v>* myContacts</x:v>
      </x:c>
      <x:c r="F5576" s="16" t="str">
        <x:v>01128103528 | +601128103528</x:v>
      </x:c>
      <x:c r="G5576" s="16" t="str">
        <x:v>+601128103528 | +601128103528</x:v>
      </x:c>
      <x:c r="H5576" s="16" t="str">
        <x:v>Excluded</x:v>
      </x:c>
      <x:c r="I5576" s="16" t="str">
        <x:v>Missing email</x:v>
      </x:c>
    </x:row>
    <x:row r="5577">
      <x:c r="A5577" s="16" t="n">
        <x:v>5574</x:v>
      </x:c>
      <x:c r="B5577" s="16" t="str">
        <x:v>Pn Nik Hanaliza Agent AGP Tier 1</x:v>
      </x:c>
      <x:c r="C5577" s="16" t="str"/>
      <x:c r="D5577" s="16" t="str"/>
      <x:c r="E5577" s="16" t="str">
        <x:v>* myContacts</x:v>
      </x:c>
      <x:c r="F5577" s="16" t="str">
        <x:v>+60 12-909 1245 | +60129091245</x:v>
      </x:c>
      <x:c r="G5577" s="16" t="str">
        <x:v>+60129091245 | +60129091245</x:v>
      </x:c>
      <x:c r="H5577" s="16" t="str">
        <x:v>Excluded</x:v>
      </x:c>
      <x:c r="I5577" s="16" t="str">
        <x:v>Missing email</x:v>
      </x:c>
    </x:row>
    <x:row r="5578">
      <x:c r="A5578" s="16" t="n">
        <x:v>5575</x:v>
      </x:c>
      <x:c r="B5578" s="16" t="str">
        <x:v>Pn Nina Coway</x:v>
      </x:c>
      <x:c r="C5578" s="16" t="str"/>
      <x:c r="D5578" s="16" t="str"/>
      <x:c r="E5578" s="16" t="str">
        <x:v>* myContacts</x:v>
      </x:c>
      <x:c r="F5578" s="16" t="str">
        <x:v>+60 12-981 5684 | +60129815684</x:v>
      </x:c>
      <x:c r="G5578" s="16" t="str">
        <x:v>+60129815684 | +60129815684</x:v>
      </x:c>
      <x:c r="H5578" s="16" t="str">
        <x:v>Excluded</x:v>
      </x:c>
      <x:c r="I5578" s="16" t="str">
        <x:v>Missing email</x:v>
      </x:c>
    </x:row>
    <x:row r="5579">
      <x:c r="A5579" s="16" t="n">
        <x:v>5576</x:v>
      </x:c>
      <x:c r="B5579" s="16" t="str">
        <x:v>Pn Nina Shienaz Griffin</x:v>
      </x:c>
      <x:c r="C5579" s="16" t="str"/>
      <x:c r="D5579" s="16" t="str"/>
      <x:c r="E5579" s="16" t="str">
        <x:v>* myContacts</x:v>
      </x:c>
      <x:c r="F5579" s="16" t="str">
        <x:v>+60 12-906 5129 | +60129065129</x:v>
      </x:c>
      <x:c r="G5579" s="16" t="str">
        <x:v>+60129065129 | +60129065129</x:v>
      </x:c>
      <x:c r="H5579" s="16" t="str">
        <x:v>Excluded</x:v>
      </x:c>
      <x:c r="I5579" s="16" t="str">
        <x:v>Missing email</x:v>
      </x:c>
    </x:row>
    <x:row r="5580">
      <x:c r="A5580" s="16" t="n">
        <x:v>5577</x:v>
      </x:c>
      <x:c r="B5580" s="16" t="str">
        <x:v>Pn Nor Persatuan Peladang JOHOR BHARU</x:v>
      </x:c>
      <x:c r="C5580" s="16" t="str"/>
      <x:c r="D5580" s="16" t="str"/>
      <x:c r="E5580" s="16" t="str">
        <x:v>* myContacts</x:v>
      </x:c>
      <x:c r="F5580" s="16" t="str">
        <x:v>+60192245058</x:v>
      </x:c>
      <x:c r="G5580" s="16" t="str">
        <x:v>+60192245058</x:v>
      </x:c>
      <x:c r="H5580" s="16" t="str">
        <x:v>Excluded</x:v>
      </x:c>
      <x:c r="I5580" s="16" t="str">
        <x:v>Missing email</x:v>
      </x:c>
    </x:row>
    <x:row r="5581">
      <x:c r="A5581" s="16" t="n">
        <x:v>5578</x:v>
      </x:c>
      <x:c r="B5581" s="16" t="str">
        <x:v>Pn Nora KWSP</x:v>
      </x:c>
      <x:c r="C5581" s="16" t="str"/>
      <x:c r="D5581" s="16" t="str"/>
      <x:c r="E5581" s="16" t="str">
        <x:v>* myContacts</x:v>
      </x:c>
      <x:c r="F5581" s="16" t="str">
        <x:v>+60 11-2891 9987 | +601128919987</x:v>
      </x:c>
      <x:c r="G5581" s="16" t="str">
        <x:v>+601128919987 | +601128919987</x:v>
      </x:c>
      <x:c r="H5581" s="16" t="str">
        <x:v>Excluded</x:v>
      </x:c>
      <x:c r="I5581" s="16" t="str">
        <x:v>Missing email</x:v>
      </x:c>
    </x:row>
    <x:row r="5582">
      <x:c r="A5582" s="16" t="n">
        <x:v>5579</x:v>
      </x:c>
      <x:c r="B5582" s="16" t="str">
        <x:v>pn nora power cable ministry</x:v>
      </x:c>
      <x:c r="C5582" s="16" t="str">
        <x:v>nora@apwanshah.com</x:v>
      </x:c>
      <x:c r="D5582" s="16" t="str">
        <x:v>nora@apwanshah.com</x:v>
      </x:c>
      <x:c r="E5582" s="16" t="str">
        <x:v>* myContacts</x:v>
      </x:c>
      <x:c r="F5582" s="16" t="str">
        <x:v>01</x:v>
      </x:c>
      <x:c r="G5582" s="16" t="str"/>
      <x:c r="H5582" s="16" t="str">
        <x:v>Eligible</x:v>
      </x:c>
      <x:c r="I5582" s="16" t="str"/>
    </x:row>
    <x:row r="5583">
      <x:c r="A5583" s="16" t="n">
        <x:v>5580</x:v>
      </x:c>
      <x:c r="B5583" s="16" t="str">
        <x:v>Pn Nora Student Mdec</x:v>
      </x:c>
      <x:c r="C5583" s="16" t="str"/>
      <x:c r="D5583" s="16" t="str"/>
      <x:c r="E5583" s="16" t="str">
        <x:v>* myContacts</x:v>
      </x:c>
      <x:c r="F5583" s="16" t="str">
        <x:v>0162950822 | +60162950822</x:v>
      </x:c>
      <x:c r="G5583" s="16" t="str">
        <x:v>+60162950822 | +60162950822</x:v>
      </x:c>
      <x:c r="H5583" s="16" t="str">
        <x:v>Excluded</x:v>
      </x:c>
      <x:c r="I5583" s="16" t="str">
        <x:v>Missing email</x:v>
      </x:c>
    </x:row>
    <x:row r="5584">
      <x:c r="A5584" s="16" t="n">
        <x:v>5581</x:v>
      </x:c>
      <x:c r="B5584" s="16" t="str">
        <x:v>Pn Nurul dari TPM</x:v>
      </x:c>
      <x:c r="C5584" s="16" t="str"/>
      <x:c r="D5584" s="16" t="str"/>
      <x:c r="E5584" s="16" t="str">
        <x:v>* myContacts</x:v>
      </x:c>
      <x:c r="F5584" s="16" t="str">
        <x:v>+60 12-900 7351 | +60129007351</x:v>
      </x:c>
      <x:c r="G5584" s="16" t="str">
        <x:v>+60129007351 | +60129007351</x:v>
      </x:c>
      <x:c r="H5584" s="16" t="str">
        <x:v>Excluded</x:v>
      </x:c>
      <x:c r="I5584" s="16" t="str">
        <x:v>Missing email</x:v>
      </x:c>
    </x:row>
    <x:row r="5585">
      <x:c r="A5585" s="16" t="n">
        <x:v>5582</x:v>
      </x:c>
      <x:c r="B5585" s="16" t="str">
        <x:v>Pn Nurul Politeknik Sabak Bernam</x:v>
      </x:c>
      <x:c r="C5585" s="16" t="str"/>
      <x:c r="D5585" s="16" t="str"/>
      <x:c r="E5585" s="16" t="str">
        <x:v>* myContacts</x:v>
      </x:c>
      <x:c r="F5585" s="16" t="str">
        <x:v>+60 12-477 2442 | +60124772442</x:v>
      </x:c>
      <x:c r="G5585" s="16" t="str">
        <x:v>+60124772442 | +60124772442</x:v>
      </x:c>
      <x:c r="H5585" s="16" t="str">
        <x:v>Excluded</x:v>
      </x:c>
      <x:c r="I5585" s="16" t="str">
        <x:v>Missing email</x:v>
      </x:c>
    </x:row>
    <x:row r="5586">
      <x:c r="A5586" s="16" t="n">
        <x:v>5583</x:v>
      </x:c>
      <x:c r="B5586" s="16" t="str">
        <x:v>Pn Pozih Sidik</x:v>
      </x:c>
      <x:c r="C5586" s="16" t="str"/>
      <x:c r="D5586" s="16" t="str"/>
      <x:c r="E5586" s="16" t="str">
        <x:v>* myContacts</x:v>
      </x:c>
      <x:c r="F5586" s="16" t="str">
        <x:v>+60199062543</x:v>
      </x:c>
      <x:c r="G5586" s="16" t="str">
        <x:v>+60199062543</x:v>
      </x:c>
      <x:c r="H5586" s="16" t="str">
        <x:v>Excluded</x:v>
      </x:c>
      <x:c r="I5586" s="16" t="str">
        <x:v>Missing email</x:v>
      </x:c>
    </x:row>
    <x:row r="5587">
      <x:c r="A5587" s="16" t="n">
        <x:v>5584</x:v>
      </x:c>
      <x:c r="B5587" s="16" t="str">
        <x:v>Pn Renu 1MINE</x:v>
      </x:c>
      <x:c r="C5587" s="16" t="str"/>
      <x:c r="D5587" s="16" t="str"/>
      <x:c r="E5587" s="16" t="str">
        <x:v>* myContacts</x:v>
      </x:c>
      <x:c r="F5587" s="16" t="str">
        <x:v>+60 12-373 7349</x:v>
      </x:c>
      <x:c r="G5587" s="16" t="str">
        <x:v>+60123737349</x:v>
      </x:c>
      <x:c r="H5587" s="16" t="str">
        <x:v>Excluded</x:v>
      </x:c>
      <x:c r="I5587" s="16" t="str">
        <x:v>Missing email</x:v>
      </x:c>
    </x:row>
    <x:row r="5588">
      <x:c r="A5588" s="16" t="n">
        <x:v>5585</x:v>
      </x:c>
      <x:c r="B5588" s="16" t="str">
        <x:v>Pn Rina Student Bomm 2023</x:v>
      </x:c>
      <x:c r="C5588" s="16" t="str"/>
      <x:c r="D5588" s="16" t="str"/>
      <x:c r="E5588" s="16" t="str">
        <x:v>* myContacts</x:v>
      </x:c>
      <x:c r="F5588" s="16" t="str">
        <x:v>+60 11-2734 4622 | +601127344622</x:v>
      </x:c>
      <x:c r="G5588" s="16" t="str">
        <x:v>+601127344622 | +601127344622</x:v>
      </x:c>
      <x:c r="H5588" s="16" t="str">
        <x:v>Excluded</x:v>
      </x:c>
      <x:c r="I5588" s="16" t="str">
        <x:v>Missing email</x:v>
      </x:c>
    </x:row>
    <x:row r="5589">
      <x:c r="A5589" s="16" t="n">
        <x:v>5586</x:v>
      </x:c>
      <x:c r="B5589" s="16" t="str">
        <x:v>Pn Rosni Insken</x:v>
      </x:c>
      <x:c r="C5589" s="16" t="str"/>
      <x:c r="D5589" s="16" t="str"/>
      <x:c r="E5589" s="16" t="str">
        <x:v>Alumni INSKEN | * myContacts</x:v>
      </x:c>
      <x:c r="F5589" s="16" t="str">
        <x:v>+60 13-234 3568 | +60132343568</x:v>
      </x:c>
      <x:c r="G5589" s="16" t="str">
        <x:v>+60132343568 | +60132343568</x:v>
      </x:c>
      <x:c r="H5589" s="16" t="str">
        <x:v>Excluded</x:v>
      </x:c>
      <x:c r="I5589" s="16" t="str">
        <x:v>Missing email</x:v>
      </x:c>
    </x:row>
    <x:row r="5590">
      <x:c r="A5590" s="16" t="n">
        <x:v>5587</x:v>
      </x:c>
      <x:c r="B5590" s="16" t="str">
        <x:v>Pn Rozita Training Provider</x:v>
      </x:c>
      <x:c r="C5590" s="16" t="str"/>
      <x:c r="D5590" s="16" t="str"/>
      <x:c r="E5590" s="16" t="str">
        <x:v>* myContacts</x:v>
      </x:c>
      <x:c r="F5590" s="16" t="str">
        <x:v>+60 12-655 9731 | +60126559731</x:v>
      </x:c>
      <x:c r="G5590" s="16" t="str">
        <x:v>+60126559731 | +60126559731</x:v>
      </x:c>
      <x:c r="H5590" s="16" t="str">
        <x:v>Excluded</x:v>
      </x:c>
      <x:c r="I5590" s="16" t="str">
        <x:v>Missing email</x:v>
      </x:c>
    </x:row>
    <x:row r="5591">
      <x:c r="A5591" s="16" t="n">
        <x:v>5588</x:v>
      </x:c>
      <x:c r="B5591" s="16" t="str">
        <x:v>Pn Saidati C6 Eboard</x:v>
      </x:c>
      <x:c r="C5591" s="16" t="str"/>
      <x:c r="D5591" s="16" t="str"/>
      <x:c r="E5591" s="16" t="str">
        <x:v>Alumni INSKEN | * myContacts</x:v>
      </x:c>
      <x:c r="F5591" s="16" t="str">
        <x:v>+60 18-984 6022 | +60189846022</x:v>
      </x:c>
      <x:c r="G5591" s="16" t="str">
        <x:v>+60189846022 | +60189846022</x:v>
      </x:c>
      <x:c r="H5591" s="16" t="str">
        <x:v>Excluded</x:v>
      </x:c>
      <x:c r="I5591" s="16" t="str">
        <x:v>Missing email</x:v>
      </x:c>
    </x:row>
    <x:row r="5592">
      <x:c r="A5592" s="16" t="n">
        <x:v>5589</x:v>
      </x:c>
      <x:c r="B5592" s="16" t="str">
        <x:v>Pn Salmiah KK Hulu Langat</x:v>
      </x:c>
      <x:c r="C5592" s="16" t="str"/>
      <x:c r="D5592" s="16" t="str"/>
      <x:c r="E5592" s="16" t="str">
        <x:v>* myContacts</x:v>
      </x:c>
      <x:c r="F5592" s="16" t="str">
        <x:v>+60 19-774 7109 | +60197747109</x:v>
      </x:c>
      <x:c r="G5592" s="16" t="str">
        <x:v>+60197747109 | +60197747109</x:v>
      </x:c>
      <x:c r="H5592" s="16" t="str">
        <x:v>Excluded</x:v>
      </x:c>
      <x:c r="I5592" s="16" t="str">
        <x:v>Missing email</x:v>
      </x:c>
    </x:row>
    <x:row r="5593">
      <x:c r="A5593" s="16" t="n">
        <x:v>5590</x:v>
      </x:c>
      <x:c r="B5593" s="16" t="str">
        <x:v>Pn Samaratul</x:v>
      </x:c>
      <x:c r="C5593" s="16" t="str"/>
      <x:c r="D5593" s="16" t="str"/>
      <x:c r="E5593" s="16" t="str">
        <x:v>* myContacts</x:v>
      </x:c>
      <x:c r="F5593" s="16" t="str">
        <x:v>+60 16-328 8751 | +60163288751</x:v>
      </x:c>
      <x:c r="G5593" s="16" t="str">
        <x:v>+60163288751 | +60163288751</x:v>
      </x:c>
      <x:c r="H5593" s="16" t="str">
        <x:v>Excluded</x:v>
      </x:c>
      <x:c r="I5593" s="16" t="str">
        <x:v>Missing email</x:v>
      </x:c>
    </x:row>
    <x:row r="5594">
      <x:c r="A5594" s="16" t="n">
        <x:v>5591</x:v>
      </x:c>
      <x:c r="B5594" s="16" t="str">
        <x:v>Pn Sanah HG</x:v>
      </x:c>
      <x:c r="C5594" s="16" t="str"/>
      <x:c r="D5594" s="16" t="str"/>
      <x:c r="E5594" s="16" t="str">
        <x:v>* myContacts</x:v>
      </x:c>
      <x:c r="F5594" s="16" t="str">
        <x:v>+60 13-825 4209 | +60138254209</x:v>
      </x:c>
      <x:c r="G5594" s="16" t="str">
        <x:v>+60138254209 | +60138254209</x:v>
      </x:c>
      <x:c r="H5594" s="16" t="str">
        <x:v>Excluded</x:v>
      </x:c>
      <x:c r="I5594" s="16" t="str">
        <x:v>Missing email</x:v>
      </x:c>
    </x:row>
    <x:row r="5595">
      <x:c r="A5595" s="16" t="n">
        <x:v>5592</x:v>
      </x:c>
      <x:c r="B5595" s="16" t="str">
        <x:v>Pn Sarah Mdec</x:v>
      </x:c>
      <x:c r="C5595" s="16" t="str"/>
      <x:c r="D5595" s="16" t="str"/>
      <x:c r="E5595" s="16" t="str">
        <x:v>* myContacts</x:v>
      </x:c>
      <x:c r="F5595" s="16" t="str">
        <x:v>+60 12-698 7379 | +60126987379</x:v>
      </x:c>
      <x:c r="G5595" s="16" t="str">
        <x:v>+60126987379 | +60126987379</x:v>
      </x:c>
      <x:c r="H5595" s="16" t="str">
        <x:v>Excluded</x:v>
      </x:c>
      <x:c r="I5595" s="16" t="str">
        <x:v>Missing email</x:v>
      </x:c>
    </x:row>
    <x:row r="5596">
      <x:c r="A5596" s="16" t="n">
        <x:v>5593</x:v>
      </x:c>
      <x:c r="B5596" s="16" t="str">
        <x:v>Pn Seha Care Giver</x:v>
      </x:c>
      <x:c r="C5596" s="16" t="str"/>
      <x:c r="D5596" s="16" t="str"/>
      <x:c r="E5596" s="16" t="str">
        <x:v>* myContacts</x:v>
      </x:c>
      <x:c r="F5596" s="16" t="str">
        <x:v>0173914660 | +60173914660</x:v>
      </x:c>
      <x:c r="G5596" s="16" t="str">
        <x:v>+60173914660 | +60173914660</x:v>
      </x:c>
      <x:c r="H5596" s="16" t="str">
        <x:v>Excluded</x:v>
      </x:c>
      <x:c r="I5596" s="16" t="str">
        <x:v>Missing email</x:v>
      </x:c>
    </x:row>
    <x:row r="5597">
      <x:c r="A5597" s="16" t="n">
        <x:v>5594</x:v>
      </x:c>
      <x:c r="B5597" s="16" t="str">
        <x:v>PN SHILA Rjb</x:v>
      </x:c>
      <x:c r="C5597" s="16" t="str"/>
      <x:c r="D5597" s="16" t="str"/>
      <x:c r="E5597" s="16" t="str">
        <x:v>* myContacts</x:v>
      </x:c>
      <x:c r="F5597" s="16" t="str"/>
      <x:c r="G5597" s="16" t="str"/>
      <x:c r="H5597" s="16" t="str">
        <x:v>Excluded</x:v>
      </x:c>
      <x:c r="I5597" s="16" t="str">
        <x:v>Missing email</x:v>
      </x:c>
    </x:row>
    <x:row r="5598">
      <x:c r="A5598" s="16" t="n">
        <x:v>5595</x:v>
      </x:c>
      <x:c r="B5598" s="16" t="str">
        <x:v>Pn sue PPMM</x:v>
      </x:c>
      <x:c r="C5598" s="16" t="str"/>
      <x:c r="D5598" s="16" t="str"/>
      <x:c r="E5598" s="16" t="str">
        <x:v>* myContacts</x:v>
      </x:c>
      <x:c r="F5598" s="16" t="str">
        <x:v>+60 16-855 2561 | +60168552561</x:v>
      </x:c>
      <x:c r="G5598" s="16" t="str">
        <x:v>+60168552561 | +60168552561</x:v>
      </x:c>
      <x:c r="H5598" s="16" t="str">
        <x:v>Excluded</x:v>
      </x:c>
      <x:c r="I5598" s="16" t="str">
        <x:v>Missing email</x:v>
      </x:c>
    </x:row>
    <x:row r="5599">
      <x:c r="A5599" s="16" t="n">
        <x:v>5596</x:v>
      </x:c>
      <x:c r="B5599" s="16" t="str">
        <x:v>Pn Suhaila Dpim Perak</x:v>
      </x:c>
      <x:c r="C5599" s="16" t="str"/>
      <x:c r="D5599" s="16" t="str"/>
      <x:c r="E5599" s="16" t="str">
        <x:v>* myContacts</x:v>
      </x:c>
      <x:c r="F5599" s="16" t="str">
        <x:v>012-317 9750 | +60123179750</x:v>
      </x:c>
      <x:c r="G5599" s="16" t="str">
        <x:v>+60123179750 | +60123179750</x:v>
      </x:c>
      <x:c r="H5599" s="16" t="str">
        <x:v>Excluded</x:v>
      </x:c>
      <x:c r="I5599" s="16" t="str">
        <x:v>Missing email</x:v>
      </x:c>
    </x:row>
    <x:row r="5600">
      <x:c r="A5600" s="16" t="n">
        <x:v>5597</x:v>
      </x:c>
      <x:c r="B5600" s="16" t="str">
        <x:v>Pn Syamimi TAOP Ai</x:v>
      </x:c>
      <x:c r="C5600" s="16" t="str"/>
      <x:c r="D5600" s="16" t="str"/>
      <x:c r="E5600" s="16" t="str">
        <x:v>* myContacts</x:v>
      </x:c>
      <x:c r="F5600" s="16" t="str">
        <x:v>+60109004847</x:v>
      </x:c>
      <x:c r="G5600" s="16" t="str">
        <x:v>+60109004847</x:v>
      </x:c>
      <x:c r="H5600" s="16" t="str">
        <x:v>Excluded</x:v>
      </x:c>
      <x:c r="I5600" s="16" t="str">
        <x:v>Missing email</x:v>
      </x:c>
    </x:row>
    <x:row r="5601">
      <x:c r="A5601" s="16" t="n">
        <x:v>5598</x:v>
      </x:c>
      <x:c r="B5601" s="16" t="str">
        <x:v>Pn Syikin Envent organizer toyyibcart</x:v>
      </x:c>
      <x:c r="C5601" s="16" t="str"/>
      <x:c r="D5601" s="16" t="str"/>
      <x:c r="E5601" s="16" t="str">
        <x:v>* myContacts</x:v>
      </x:c>
      <x:c r="F5601" s="16" t="str">
        <x:v>0122387151 | +60122387151</x:v>
      </x:c>
      <x:c r="G5601" s="16" t="str">
        <x:v>+60122387151 | +60122387151</x:v>
      </x:c>
      <x:c r="H5601" s="16" t="str">
        <x:v>Excluded</x:v>
      </x:c>
      <x:c r="I5601" s="16" t="str">
        <x:v>Missing email</x:v>
      </x:c>
    </x:row>
    <x:row r="5602">
      <x:c r="A5602" s="16" t="n">
        <x:v>5599</x:v>
      </x:c>
      <x:c r="B5602" s="16" t="str">
        <x:v>Pn Syima Mahkamah Majistret Putrajaya</x:v>
      </x:c>
      <x:c r="C5602" s="16" t="str"/>
      <x:c r="D5602" s="16" t="str"/>
      <x:c r="E5602" s="16" t="str">
        <x:v>* myContacts</x:v>
      </x:c>
      <x:c r="F5602" s="16" t="str">
        <x:v>0122741201 | +60122741201</x:v>
      </x:c>
      <x:c r="G5602" s="16" t="str">
        <x:v>+60122741201 | +60122741201</x:v>
      </x:c>
      <x:c r="H5602" s="16" t="str">
        <x:v>Excluded</x:v>
      </x:c>
      <x:c r="I5602" s="16" t="str">
        <x:v>Missing email</x:v>
      </x:c>
    </x:row>
    <x:row r="5603">
      <x:c r="A5603" s="16" t="n">
        <x:v>5600</x:v>
      </x:c>
      <x:c r="B5603" s="16" t="str">
        <x:v>Pn Wahira PEDAS</x:v>
      </x:c>
      <x:c r="C5603" s="16" t="str"/>
      <x:c r="D5603" s="16" t="str"/>
      <x:c r="E5603" s="16" t="str">
        <x:v>* myContacts</x:v>
      </x:c>
      <x:c r="F5603" s="16" t="str">
        <x:v>+60 11-5506 4607 | +601155064607</x:v>
      </x:c>
      <x:c r="G5603" s="16" t="str">
        <x:v>+601155064607 | +601155064607</x:v>
      </x:c>
      <x:c r="H5603" s="16" t="str">
        <x:v>Excluded</x:v>
      </x:c>
      <x:c r="I5603" s="16" t="str">
        <x:v>Missing email</x:v>
      </x:c>
    </x:row>
    <x:row r="5604">
      <x:c r="A5604" s="16" t="n">
        <x:v>5601</x:v>
      </x:c>
      <x:c r="B5604" s="16" t="str">
        <x:v>Pn Wan Kabel Ultimate</x:v>
      </x:c>
      <x:c r="C5604" s="16" t="str"/>
      <x:c r="D5604" s="16" t="str"/>
      <x:c r="E5604" s="16" t="str">
        <x:v>* myContacts</x:v>
      </x:c>
      <x:c r="F5604" s="16" t="str">
        <x:v>0122952451 | +60122952451</x:v>
      </x:c>
      <x:c r="G5604" s="16" t="str">
        <x:v>+60122952451 | +60122952451</x:v>
      </x:c>
      <x:c r="H5604" s="16" t="str">
        <x:v>Excluded</x:v>
      </x:c>
      <x:c r="I5604" s="16" t="str">
        <x:v>Missing email</x:v>
      </x:c>
    </x:row>
    <x:row r="5605">
      <x:c r="A5605" s="16" t="n">
        <x:v>5602</x:v>
      </x:c>
      <x:c r="B5605" s="16" t="str">
        <x:v>Pn Wanie Msjd Putra</x:v>
      </x:c>
      <x:c r="C5605" s="16" t="str"/>
      <x:c r="D5605" s="16" t="str"/>
      <x:c r="E5605" s="16" t="str">
        <x:v>* myContacts</x:v>
      </x:c>
      <x:c r="F5605" s="16" t="str">
        <x:v>+60 17-338 4882 | +60173384882</x:v>
      </x:c>
      <x:c r="G5605" s="16" t="str">
        <x:v>+60173384882 | +60173384882</x:v>
      </x:c>
      <x:c r="H5605" s="16" t="str">
        <x:v>Excluded</x:v>
      </x:c>
      <x:c r="I5605" s="16" t="str">
        <x:v>Missing email</x:v>
      </x:c>
    </x:row>
    <x:row r="5606">
      <x:c r="A5606" s="16" t="n">
        <x:v>5603</x:v>
      </x:c>
      <x:c r="B5606" s="16" t="str">
        <x:v>Pn Wirda Adnan</x:v>
      </x:c>
      <x:c r="C5606" s="16" t="str"/>
      <x:c r="D5606" s="16" t="str"/>
      <x:c r="E5606" s="16" t="str">
        <x:v>* myContacts</x:v>
      </x:c>
      <x:c r="F5606" s="16" t="str">
        <x:v>0122145622 | +60122145622</x:v>
      </x:c>
      <x:c r="G5606" s="16" t="str">
        <x:v>+60122145622 | +60122145622</x:v>
      </x:c>
      <x:c r="H5606" s="16" t="str">
        <x:v>Excluded</x:v>
      </x:c>
      <x:c r="I5606" s="16" t="str">
        <x:v>Missing email</x:v>
      </x:c>
    </x:row>
    <x:row r="5607">
      <x:c r="A5607" s="16" t="n">
        <x:v>5604</x:v>
      </x:c>
      <x:c r="B5607" s="16" t="str">
        <x:v>Pn Yati INSKEN</x:v>
      </x:c>
      <x:c r="C5607" s="16" t="str"/>
      <x:c r="D5607" s="16" t="str"/>
      <x:c r="E5607" s="16" t="str">
        <x:v>Alumni INSKEN | * myContacts</x:v>
      </x:c>
      <x:c r="F5607" s="16" t="str">
        <x:v>+60 19-450 1675 | +60194501675</x:v>
      </x:c>
      <x:c r="G5607" s="16" t="str">
        <x:v>+60194501675 | +60194501675</x:v>
      </x:c>
      <x:c r="H5607" s="16" t="str">
        <x:v>Excluded</x:v>
      </x:c>
      <x:c r="I5607" s="16" t="str">
        <x:v>Missing email</x:v>
      </x:c>
    </x:row>
    <x:row r="5608">
      <x:c r="A5608" s="16" t="n">
        <x:v>5605</x:v>
      </x:c>
      <x:c r="B5608" s="16" t="str">
        <x:v>Pn Yazira Ikma Zone Selatan</x:v>
      </x:c>
      <x:c r="C5608" s="16" t="str"/>
      <x:c r="D5608" s="16" t="str"/>
      <x:c r="E5608" s="16" t="str">
        <x:v>* myContacts</x:v>
      </x:c>
      <x:c r="F5608" s="16" t="str">
        <x:v>+60 13-911 7093 | +60139117093</x:v>
      </x:c>
      <x:c r="G5608" s="16" t="str">
        <x:v>+60139117093 | +60139117093</x:v>
      </x:c>
      <x:c r="H5608" s="16" t="str">
        <x:v>Excluded</x:v>
      </x:c>
      <x:c r="I5608" s="16" t="str">
        <x:v>Missing email</x:v>
      </x:c>
    </x:row>
    <x:row r="5609">
      <x:c r="A5609" s="16" t="n">
        <x:v>5606</x:v>
      </x:c>
      <x:c r="B5609" s="16" t="str">
        <x:v>Pn Zaiti Kolej tinggi kemahiran mara</x:v>
      </x:c>
      <x:c r="C5609" s="16" t="str"/>
      <x:c r="D5609" s="16" t="str"/>
      <x:c r="E5609" s="16" t="str">
        <x:v>* myContacts</x:v>
      </x:c>
      <x:c r="F5609" s="16" t="str">
        <x:v>0199306558 | +60199306558</x:v>
      </x:c>
      <x:c r="G5609" s="16" t="str">
        <x:v>+60199306558 | +60199306558</x:v>
      </x:c>
      <x:c r="H5609" s="16" t="str">
        <x:v>Excluded</x:v>
      </x:c>
      <x:c r="I5609" s="16" t="str">
        <x:v>Missing email</x:v>
      </x:c>
    </x:row>
    <x:row r="5610">
      <x:c r="A5610" s="16" t="n">
        <x:v>5607</x:v>
      </x:c>
      <x:c r="B5610" s="16" t="str">
        <x:v>Pn Zalina Jabatan Perpaduan negeri Pahang</x:v>
      </x:c>
      <x:c r="C5610" s="16" t="str"/>
      <x:c r="D5610" s="16" t="str"/>
      <x:c r="E5610" s="16" t="str">
        <x:v>* myContacts</x:v>
      </x:c>
      <x:c r="F5610" s="16" t="str">
        <x:v>019-928 7478 | +60199287478</x:v>
      </x:c>
      <x:c r="G5610" s="16" t="str">
        <x:v>+60199287478 | +60199287478</x:v>
      </x:c>
      <x:c r="H5610" s="16" t="str">
        <x:v>Excluded</x:v>
      </x:c>
      <x:c r="I5610" s="16" t="str">
        <x:v>Missing email</x:v>
      </x:c>
    </x:row>
    <x:row r="5611">
      <x:c r="A5611" s="16" t="n">
        <x:v>5608</x:v>
      </x:c>
      <x:c r="B5611" s="16" t="str">
        <x:v>Pn Zia masjid gombak setia</x:v>
      </x:c>
      <x:c r="C5611" s="16" t="str"/>
      <x:c r="D5611" s="16" t="str"/>
      <x:c r="E5611" s="16" t="str">
        <x:v>* myContacts</x:v>
      </x:c>
      <x:c r="F5611" s="16" t="str">
        <x:v>+60193008200</x:v>
      </x:c>
      <x:c r="G5611" s="16" t="str">
        <x:v>+60193008200</x:v>
      </x:c>
      <x:c r="H5611" s="16" t="str">
        <x:v>Excluded</x:v>
      </x:c>
      <x:c r="I5611" s="16" t="str">
        <x:v>Missing email</x:v>
      </x:c>
    </x:row>
    <x:row r="5612">
      <x:c r="A5612" s="16" t="n">
        <x:v>5609</x:v>
      </x:c>
      <x:c r="B5612" s="16" t="str">
        <x:v>PNS Adriansyah</x:v>
      </x:c>
      <x:c r="C5612" s="16" t="str"/>
      <x:c r="D5612" s="16" t="str"/>
      <x:c r="E5612" s="16" t="str">
        <x:v>* myContacts</x:v>
      </x:c>
      <x:c r="F5612" s="16" t="str">
        <x:v>+60 16-364 9188 | +60163649188</x:v>
      </x:c>
      <x:c r="G5612" s="16" t="str">
        <x:v>+60163649188 | +60163649188</x:v>
      </x:c>
      <x:c r="H5612" s="16" t="str">
        <x:v>Excluded</x:v>
      </x:c>
      <x:c r="I5612" s="16" t="str">
        <x:v>Missing email</x:v>
      </x:c>
    </x:row>
    <x:row r="5613">
      <x:c r="A5613" s="16" t="n">
        <x:v>5610</x:v>
      </x:c>
      <x:c r="B5613" s="16" t="str">
        <x:v>Pojan Kaki Kari</x:v>
      </x:c>
      <x:c r="C5613" s="16" t="str"/>
      <x:c r="D5613" s="16" t="str"/>
      <x:c r="E5613" s="16" t="str">
        <x:v>* myContacts</x:v>
      </x:c>
      <x:c r="F5613" s="16" t="str">
        <x:v>+60132937312</x:v>
      </x:c>
      <x:c r="G5613" s="16" t="str">
        <x:v>+60132937312</x:v>
      </x:c>
      <x:c r="H5613" s="16" t="str">
        <x:v>Excluded</x:v>
      </x:c>
      <x:c r="I5613" s="16" t="str">
        <x:v>Missing email</x:v>
      </x:c>
    </x:row>
    <x:row r="5614">
      <x:c r="A5614" s="16" t="n">
        <x:v>5611</x:v>
      </x:c>
      <x:c r="B5614" s="16" t="str">
        <x:v>Pok NIk Klate</x:v>
      </x:c>
      <x:c r="C5614" s="16" t="str"/>
      <x:c r="D5614" s="16" t="str"/>
      <x:c r="E5614" s="16" t="str">
        <x:v>* myContacts</x:v>
      </x:c>
      <x:c r="F5614" s="16" t="str">
        <x:v>+601136080311</x:v>
      </x:c>
      <x:c r="G5614" s="16" t="str">
        <x:v>+601136080311</x:v>
      </x:c>
      <x:c r="H5614" s="16" t="str">
        <x:v>Excluded</x:v>
      </x:c>
      <x:c r="I5614" s="16" t="str">
        <x:v>Missing email</x:v>
      </x:c>
    </x:row>
    <x:row r="5615">
      <x:c r="A5615" s="16" t="n">
        <x:v>5612</x:v>
      </x:c>
      <x:c r="B5615" s="16" t="str">
        <x:v>Pok Su</x:v>
      </x:c>
      <x:c r="C5615" s="16" t="str"/>
      <x:c r="D5615" s="16" t="str"/>
      <x:c r="E5615" s="16" t="str">
        <x:v>* myContacts</x:v>
      </x:c>
      <x:c r="F5615" s="16" t="str">
        <x:v>+60148377081</x:v>
      </x:c>
      <x:c r="G5615" s="16" t="str">
        <x:v>+60148377081</x:v>
      </x:c>
      <x:c r="H5615" s="16" t="str">
        <x:v>Excluded</x:v>
      </x:c>
      <x:c r="I5615" s="16" t="str">
        <x:v>Missing email</x:v>
      </x:c>
    </x:row>
    <x:row r="5616">
      <x:c r="A5616" s="16" t="n">
        <x:v>5613</x:v>
      </x:c>
      <x:c r="B5616" s="16" t="str">
        <x:v>Pokchek Wakluu</x:v>
      </x:c>
      <x:c r="C5616" s="16" t="str"/>
      <x:c r="D5616" s="16" t="str"/>
      <x:c r="E5616" s="16" t="str">
        <x:v>* myContacts</x:v>
      </x:c>
      <x:c r="F5616" s="16" t="str">
        <x:v>+60139513001</x:v>
      </x:c>
      <x:c r="G5616" s="16" t="str">
        <x:v>+60139513001</x:v>
      </x:c>
      <x:c r="H5616" s="16" t="str">
        <x:v>Excluded</x:v>
      </x:c>
      <x:c r="I5616" s="16" t="str">
        <x:v>Missing email</x:v>
      </x:c>
    </x:row>
    <x:row r="5617">
      <x:c r="A5617" s="16" t="n">
        <x:v>5614</x:v>
      </x:c>
      <x:c r="B5617" s="16" t="str">
        <x:v>Poknik Master Online</x:v>
      </x:c>
      <x:c r="C5617" s="16" t="str"/>
      <x:c r="D5617" s="16" t="str"/>
      <x:c r="E5617" s="16" t="str">
        <x:v>* myContacts</x:v>
      </x:c>
      <x:c r="F5617" s="16" t="str">
        <x:v>0192269697 | +60192269697</x:v>
      </x:c>
      <x:c r="G5617" s="16" t="str">
        <x:v>+60192269697 | +60192269697</x:v>
      </x:c>
      <x:c r="H5617" s="16" t="str">
        <x:v>Excluded</x:v>
      </x:c>
      <x:c r="I5617" s="16" t="str">
        <x:v>Missing email</x:v>
      </x:c>
    </x:row>
    <x:row r="5618">
      <x:c r="A5618" s="16" t="n">
        <x:v>5615</x:v>
      </x:c>
      <x:c r="B5618" s="16" t="str">
        <x:v>Poknik Um Jerung Putih</x:v>
      </x:c>
      <x:c r="C5618" s="16" t="str"/>
      <x:c r="D5618" s="16" t="str"/>
      <x:c r="E5618" s="16" t="str">
        <x:v>* myContacts</x:v>
      </x:c>
      <x:c r="F5618" s="16" t="str">
        <x:v>+601110898211</x:v>
      </x:c>
      <x:c r="G5618" s="16" t="str">
        <x:v>+601110898211</x:v>
      </x:c>
      <x:c r="H5618" s="16" t="str">
        <x:v>Excluded</x:v>
      </x:c>
      <x:c r="I5618" s="16" t="str">
        <x:v>Missing email</x:v>
      </x:c>
    </x:row>
    <x:row r="5619">
      <x:c r="A5619" s="16" t="n">
        <x:v>5616</x:v>
      </x:c>
      <x:c r="B5619" s="16" t="str">
        <x:v>Pola Bear</x:v>
      </x:c>
      <x:c r="C5619" s="16" t="str"/>
      <x:c r="D5619" s="16" t="str"/>
      <x:c r="E5619" s="16" t="str">
        <x:v>* myContacts</x:v>
      </x:c>
      <x:c r="F5619" s="16" t="str">
        <x:v>+60199996819</x:v>
      </x:c>
      <x:c r="G5619" s="16" t="str">
        <x:v>+60199996819</x:v>
      </x:c>
      <x:c r="H5619" s="16" t="str">
        <x:v>Excluded</x:v>
      </x:c>
      <x:c r="I5619" s="16" t="str">
        <x:v>Missing email</x:v>
      </x:c>
    </x:row>
    <x:row r="5620">
      <x:c r="A5620" s="16" t="n">
        <x:v>5617</x:v>
      </x:c>
      <x:c r="B5620" s="16" t="str">
        <x:v>poliklinik shaik</x:v>
      </x:c>
      <x:c r="C5620" s="16" t="str"/>
      <x:c r="D5620" s="16" t="str"/>
      <x:c r="E5620" s="16" t="str">
        <x:v>* myContacts</x:v>
      </x:c>
      <x:c r="F5620" s="16" t="str">
        <x:v>01164347381 | +601164347381</x:v>
      </x:c>
      <x:c r="G5620" s="16" t="str">
        <x:v>+601164347381 | +601164347381</x:v>
      </x:c>
      <x:c r="H5620" s="16" t="str">
        <x:v>Excluded</x:v>
      </x:c>
      <x:c r="I5620" s="16" t="str">
        <x:v>Missing email</x:v>
      </x:c>
    </x:row>
    <x:row r="5621">
      <x:c r="A5621" s="16" t="n">
        <x:v>5618</x:v>
      </x:c>
      <x:c r="B5621" s="16" t="str">
        <x:v>Pomade Color</x:v>
      </x:c>
      <x:c r="C5621" s="16" t="str"/>
      <x:c r="D5621" s="16" t="str"/>
      <x:c r="E5621" s="16" t="str">
        <x:v>* myContacts</x:v>
      </x:c>
      <x:c r="F5621" s="16" t="str">
        <x:v>0134418126 | +60134418126</x:v>
      </x:c>
      <x:c r="G5621" s="16" t="str">
        <x:v>+60134418126 | +60134418126</x:v>
      </x:c>
      <x:c r="H5621" s="16" t="str">
        <x:v>Excluded</x:v>
      </x:c>
      <x:c r="I5621" s="16" t="str">
        <x:v>Missing email</x:v>
      </x:c>
    </x:row>
    <x:row r="5622">
      <x:c r="A5622" s="16" t="n">
        <x:v>5619</x:v>
      </x:c>
      <x:c r="B5622" s="16" t="str">
        <x:v>Pomen Sg Buloh Towing</x:v>
      </x:c>
      <x:c r="C5622" s="16" t="str"/>
      <x:c r="D5622" s="16" t="str"/>
      <x:c r="E5622" s="16" t="str">
        <x:v>* myContacts</x:v>
      </x:c>
      <x:c r="F5622" s="16" t="str">
        <x:v>+60123175922</x:v>
      </x:c>
      <x:c r="G5622" s="16" t="str">
        <x:v>+60123175922</x:v>
      </x:c>
      <x:c r="H5622" s="16" t="str">
        <x:v>Excluded</x:v>
      </x:c>
      <x:c r="I5622" s="16" t="str">
        <x:v>Missing email</x:v>
      </x:c>
    </x:row>
    <x:row r="5623">
      <x:c r="A5623" s="16" t="n">
        <x:v>5620</x:v>
      </x:c>
      <x:c r="B5623" s="16" t="str">
        <x:v>Popon Celemutz Aje</x:v>
      </x:c>
      <x:c r="C5623" s="16" t="str"/>
      <x:c r="D5623" s="16" t="str"/>
      <x:c r="E5623" s="16" t="str">
        <x:v>* myContacts</x:v>
      </x:c>
      <x:c r="F5623" s="16" t="str">
        <x:v>+6289661925716</x:v>
      </x:c>
      <x:c r="G5623" s="16" t="str">
        <x:v>+6289661925716</x:v>
      </x:c>
      <x:c r="H5623" s="16" t="str">
        <x:v>Excluded</x:v>
      </x:c>
      <x:c r="I5623" s="16" t="str">
        <x:v>Missing email</x:v>
      </x:c>
    </x:row>
    <x:row r="5624">
      <x:c r="A5624" s="16" t="n">
        <x:v>5621</x:v>
      </x:c>
      <x:c r="B5624" s="16" t="str">
        <x:v>poslaju Brunei</x:v>
      </x:c>
      <x:c r="C5624" s="16" t="str"/>
      <x:c r="D5624" s="16" t="str"/>
      <x:c r="E5624" s="16" t="str">
        <x:v>* myContacts</x:v>
      </x:c>
      <x:c r="F5624" s="16" t="str">
        <x:v>+6732382888</x:v>
      </x:c>
      <x:c r="G5624" s="16" t="str">
        <x:v>+6732382888</x:v>
      </x:c>
      <x:c r="H5624" s="16" t="str">
        <x:v>Excluded</x:v>
      </x:c>
      <x:c r="I5624" s="16" t="str">
        <x:v>Missing email</x:v>
      </x:c>
    </x:row>
    <x:row r="5625">
      <x:c r="A5625" s="16" t="n">
        <x:v>5622</x:v>
      </x:c>
      <x:c r="B5625" s="16" t="str">
        <x:v>Potrec Stu Dio</x:v>
      </x:c>
      <x:c r="C5625" s="16" t="str"/>
      <x:c r="D5625" s="16" t="str"/>
      <x:c r="E5625" s="16" t="str">
        <x:v>* myContacts</x:v>
      </x:c>
      <x:c r="F5625" s="16" t="str">
        <x:v>+6281258399994</x:v>
      </x:c>
      <x:c r="G5625" s="16" t="str">
        <x:v>+6281258399994</x:v>
      </x:c>
      <x:c r="H5625" s="16" t="str">
        <x:v>Excluded</x:v>
      </x:c>
      <x:c r="I5625" s="16" t="str">
        <x:v>Missing email</x:v>
      </x:c>
    </x:row>
    <x:row r="5626">
      <x:c r="A5626" s="16" t="n">
        <x:v>5623</x:v>
      </x:c>
      <x:c r="B5626" s="16" t="str">
        <x:v>Powergreen Powergreen</x:v>
      </x:c>
      <x:c r="C5626" s="16" t="str"/>
      <x:c r="D5626" s="16" t="str"/>
      <x:c r="E5626" s="16" t="str">
        <x:v>* myContacts</x:v>
      </x:c>
      <x:c r="F5626" s="16" t="str">
        <x:v>+60123097974</x:v>
      </x:c>
      <x:c r="G5626" s="16" t="str">
        <x:v>+60123097974</x:v>
      </x:c>
      <x:c r="H5626" s="16" t="str">
        <x:v>Excluded</x:v>
      </x:c>
      <x:c r="I5626" s="16" t="str">
        <x:v>Missing email</x:v>
      </x:c>
    </x:row>
    <x:row r="5627">
      <x:c r="A5627" s="16" t="n">
        <x:v>5624</x:v>
      </x:c>
      <x:c r="B5627" s="16" t="str">
        <x:v>Prasad Babu Ramulu</x:v>
      </x:c>
      <x:c r="C5627" s="16" t="str">
        <x:v>prosod@mdec.com.mx</x:v>
      </x:c>
      <x:c r="D5627" s="16" t="str">
        <x:v>prosod@mdec.com.mx</x:v>
      </x:c>
      <x:c r="E5627" s="16" t="str">
        <x:v>* myContacts</x:v>
      </x:c>
      <x:c r="F5627" s="16" t="str">
        <x:v>+60383189216 | +60383153000 | +60383153320 | 1800888338 | +60122031381</x:v>
      </x:c>
      <x:c r="G5627" s="16" t="str">
        <x:v>+60383189216 | +60383153000 | +60383153320 | +60122031381</x:v>
      </x:c>
      <x:c r="H5627" s="16" t="str">
        <x:v>Eligible</x:v>
      </x:c>
      <x:c r="I5627" s="16" t="str"/>
    </x:row>
    <x:row r="5628">
      <x:c r="A5628" s="16" t="n">
        <x:v>5625</x:v>
      </x:c>
      <x:c r="B5628" s="16" t="str">
        <x:v>Prastya Simple Audience</x:v>
      </x:c>
      <x:c r="C5628" s="16" t="str"/>
      <x:c r="D5628" s="16" t="str"/>
      <x:c r="E5628" s="16" t="str">
        <x:v>* myContacts</x:v>
      </x:c>
      <x:c r="F5628" s="16" t="str">
        <x:v>+6285842144492</x:v>
      </x:c>
      <x:c r="G5628" s="16" t="str">
        <x:v>+6285842144492</x:v>
      </x:c>
      <x:c r="H5628" s="16" t="str">
        <x:v>Excluded</x:v>
      </x:c>
      <x:c r="I5628" s="16" t="str">
        <x:v>Missing email</x:v>
      </x:c>
    </x:row>
    <x:row r="5629">
      <x:c r="A5629" s="16" t="n">
        <x:v>5626</x:v>
      </x:c>
      <x:c r="B5629" s="16" t="str">
        <x:v>Pravin Krishnan</x:v>
      </x:c>
      <x:c r="C5629" s="16" t="str"/>
      <x:c r="D5629" s="16" t="str"/>
      <x:c r="E5629" s="16" t="str">
        <x:v>* myContacts</x:v>
      </x:c>
      <x:c r="F5629" s="16" t="str">
        <x:v>+60106666538</x:v>
      </x:c>
      <x:c r="G5629" s="16" t="str">
        <x:v>+60106666538</x:v>
      </x:c>
      <x:c r="H5629" s="16" t="str">
        <x:v>Excluded</x:v>
      </x:c>
      <x:c r="I5629" s="16" t="str">
        <x:v>Missing email</x:v>
      </x:c>
    </x:row>
    <x:row r="5630">
      <x:c r="A5630" s="16" t="n">
        <x:v>5627</x:v>
      </x:c>
      <x:c r="B5630" s="16" t="str">
        <x:v>premio print</x:v>
      </x:c>
      <x:c r="C5630" s="16" t="str"/>
      <x:c r="D5630" s="16" t="str"/>
      <x:c r="E5630" s="16" t="str">
        <x:v>* myContacts</x:v>
      </x:c>
      <x:c r="F5630" s="16" t="str">
        <x:v>0179883661 | +60179883661</x:v>
      </x:c>
      <x:c r="G5630" s="16" t="str">
        <x:v>+60179883661 | +60179883661</x:v>
      </x:c>
      <x:c r="H5630" s="16" t="str">
        <x:v>Excluded</x:v>
      </x:c>
      <x:c r="I5630" s="16" t="str">
        <x:v>Missing email</x:v>
      </x:c>
    </x:row>
    <x:row r="5631">
      <x:c r="A5631" s="16" t="n">
        <x:v>5628</x:v>
      </x:c>
      <x:c r="B5631" s="16" t="str">
        <x:v>Presiden Shukex Rahim</x:v>
      </x:c>
      <x:c r="C5631" s="16" t="str"/>
      <x:c r="D5631" s="16" t="str"/>
      <x:c r="E5631" s="16" t="str">
        <x:v>* myContacts</x:v>
      </x:c>
      <x:c r="F5631" s="16" t="str">
        <x:v>+60134567891</x:v>
      </x:c>
      <x:c r="G5631" s="16" t="str">
        <x:v>+60134567891</x:v>
      </x:c>
      <x:c r="H5631" s="16" t="str">
        <x:v>Excluded</x:v>
      </x:c>
      <x:c r="I5631" s="16" t="str">
        <x:v>Missing email</x:v>
      </x:c>
    </x:row>
    <x:row r="5632">
      <x:c r="A5632" s="16" t="n">
        <x:v>5629</x:v>
      </x:c>
      <x:c r="B5632" s="16" t="str">
        <x:v>Princes Mawar</x:v>
      </x:c>
      <x:c r="C5632" s="16" t="str"/>
      <x:c r="D5632" s="16" t="str"/>
      <x:c r="E5632" s="16" t="str">
        <x:v>* myContacts</x:v>
      </x:c>
      <x:c r="F5632" s="16" t="str">
        <x:v>+601139147747</x:v>
      </x:c>
      <x:c r="G5632" s="16" t="str">
        <x:v>+601139147747</x:v>
      </x:c>
      <x:c r="H5632" s="16" t="str">
        <x:v>Excluded</x:v>
      </x:c>
      <x:c r="I5632" s="16" t="str">
        <x:v>Missing email</x:v>
      </x:c>
    </x:row>
    <x:row r="5633">
      <x:c r="A5633" s="16" t="n">
        <x:v>5630</x:v>
      </x:c>
      <x:c r="B5633" s="16" t="str">
        <x:v>Princess Wanie</x:v>
      </x:c>
      <x:c r="C5633" s="16" t="str"/>
      <x:c r="D5633" s="16" t="str"/>
      <x:c r="E5633" s="16" t="str">
        <x:v>* myContacts</x:v>
      </x:c>
      <x:c r="F5633" s="16" t="str">
        <x:v>+60126454897</x:v>
      </x:c>
      <x:c r="G5633" s="16" t="str">
        <x:v>+60126454897</x:v>
      </x:c>
      <x:c r="H5633" s="16" t="str">
        <x:v>Excluded</x:v>
      </x:c>
      <x:c r="I5633" s="16" t="str">
        <x:v>Missing email</x:v>
      </x:c>
    </x:row>
    <x:row r="5634">
      <x:c r="A5634" s="16" t="n">
        <x:v>5631</x:v>
      </x:c>
      <x:c r="B5634" s="16" t="str">
        <x:v>Pro Profit</x:v>
      </x:c>
      <x:c r="C5634" s="16" t="str"/>
      <x:c r="D5634" s="16" t="str"/>
      <x:c r="E5634" s="16" t="str">
        <x:v>* myContacts</x:v>
      </x:c>
      <x:c r="F5634" s="16" t="str">
        <x:v>+60139394605</x:v>
      </x:c>
      <x:c r="G5634" s="16" t="str">
        <x:v>+60139394605</x:v>
      </x:c>
      <x:c r="H5634" s="16" t="str">
        <x:v>Excluded</x:v>
      </x:c>
      <x:c r="I5634" s="16" t="str">
        <x:v>Missing email</x:v>
      </x:c>
    </x:row>
    <x:row r="5635">
      <x:c r="A5635" s="16" t="n">
        <x:v>5632</x:v>
      </x:c>
      <x:c r="B5635" s="16" t="str">
        <x:v>Prof Madya Dr Suhaimee</x:v>
      </x:c>
      <x:c r="C5635" s="16" t="str"/>
      <x:c r="D5635" s="16" t="str"/>
      <x:c r="E5635" s="16" t="str">
        <x:v>* myContacts</x:v>
      </x:c>
      <x:c r="F5635" s="16" t="str">
        <x:v>+60186682659</x:v>
      </x:c>
      <x:c r="G5635" s="16" t="str">
        <x:v>+60186682659</x:v>
      </x:c>
      <x:c r="H5635" s="16" t="str">
        <x:v>Excluded</x:v>
      </x:c>
      <x:c r="I5635" s="16" t="str">
        <x:v>Missing email</x:v>
      </x:c>
    </x:row>
    <x:row r="5636">
      <x:c r="A5636" s="16" t="n">
        <x:v>5633</x:v>
      </x:c>
      <x:c r="B5636" s="16" t="str">
        <x:v>Prof. (A) Kamaruzaman Jahidin</x:v>
      </x:c>
      <x:c r="C5636" s="16" t="str">
        <x:v>kzaman660114@gmail.com</x:v>
      </x:c>
      <x:c r="D5636" s="16" t="str">
        <x:v>kzaman660114@gmail.com</x:v>
      </x:c>
      <x:c r="E5636" s="16" t="str">
        <x:v>* myContacts | * starred</x:v>
      </x:c>
      <x:c r="F5636" s="16" t="str">
        <x:v>60192496103 | +60192496103</x:v>
      </x:c>
      <x:c r="G5636" s="16" t="str">
        <x:v>+60192496103 | +60192496103</x:v>
      </x:c>
      <x:c r="H5636" s="16" t="str">
        <x:v>Eligible</x:v>
      </x:c>
      <x:c r="I5636" s="16" t="str"/>
    </x:row>
    <x:row r="5637">
      <x:c r="A5637" s="16" t="n">
        <x:v>5634</x:v>
      </x:c>
      <x:c r="B5637" s="16" t="str">
        <x:v>Profit Makmur</x:v>
      </x:c>
      <x:c r="C5637" s="16" t="str"/>
      <x:c r="D5637" s="16" t="str"/>
      <x:c r="E5637" s="16" t="str">
        <x:v>* myContacts</x:v>
      </x:c>
      <x:c r="F5637" s="16" t="str">
        <x:v>+60189496962</x:v>
      </x:c>
      <x:c r="G5637" s="16" t="str">
        <x:v>+60189496962</x:v>
      </x:c>
      <x:c r="H5637" s="16" t="str">
        <x:v>Excluded</x:v>
      </x:c>
      <x:c r="I5637" s="16" t="str">
        <x:v>Missing email</x:v>
      </x:c>
    </x:row>
    <x:row r="5638">
      <x:c r="A5638" s="16" t="n">
        <x:v>5635</x:v>
      </x:c>
      <x:c r="B5638" s="16" t="str">
        <x:v>Programmer Ferdy Fauzi</x:v>
      </x:c>
      <x:c r="C5638" s="16" t="str"/>
      <x:c r="D5638" s="16" t="str"/>
      <x:c r="E5638" s="16" t="str">
        <x:v>* myContacts</x:v>
      </x:c>
      <x:c r="F5638" s="16" t="str">
        <x:v>0192459802 | +60192459802</x:v>
      </x:c>
      <x:c r="G5638" s="16" t="str">
        <x:v>+60192459802 | +60192459802</x:v>
      </x:c>
      <x:c r="H5638" s="16" t="str">
        <x:v>Excluded</x:v>
      </x:c>
      <x:c r="I5638" s="16" t="str">
        <x:v>Missing email</x:v>
      </x:c>
    </x:row>
    <x:row r="5639">
      <x:c r="A5639" s="16" t="n">
        <x:v>5636</x:v>
      </x:c>
      <x:c r="B5639" s="16" t="str">
        <x:v>Prolink Biosteen Sabah</x:v>
      </x:c>
      <x:c r="C5639" s="16" t="str"/>
      <x:c r="D5639" s="16" t="str"/>
      <x:c r="E5639" s="16" t="str">
        <x:v>* myContacts</x:v>
      </x:c>
      <x:c r="F5639" s="16" t="str">
        <x:v>+60198001213</x:v>
      </x:c>
      <x:c r="G5639" s="16" t="str">
        <x:v>+60198001213</x:v>
      </x:c>
      <x:c r="H5639" s="16" t="str">
        <x:v>Excluded</x:v>
      </x:c>
      <x:c r="I5639" s="16" t="str">
        <x:v>Missing email</x:v>
      </x:c>
    </x:row>
    <x:row r="5640">
      <x:c r="A5640" s="16" t="n">
        <x:v>5637</x:v>
      </x:c>
      <x:c r="B5640" s="16" t="str">
        <x:v>promedia</x:v>
      </x:c>
      <x:c r="C5640" s="16" t="str"/>
      <x:c r="D5640" s="16" t="str"/>
      <x:c r="E5640" s="16" t="str">
        <x:v>* myContacts</x:v>
      </x:c>
      <x:c r="F5640" s="16" t="str">
        <x:v>+60102048484 | +60102048484</x:v>
      </x:c>
      <x:c r="G5640" s="16" t="str">
        <x:v>+60102048484 | +60102048484</x:v>
      </x:c>
      <x:c r="H5640" s="16" t="str">
        <x:v>Excluded</x:v>
      </x:c>
      <x:c r="I5640" s="16" t="str">
        <x:v>Missing email</x:v>
      </x:c>
    </x:row>
    <x:row r="5641">
      <x:c r="A5641" s="16" t="n">
        <x:v>5638</x:v>
      </x:c>
      <x:c r="B5641" s="16" t="str">
        <x:v>azizi promedia</x:v>
      </x:c>
      <x:c r="C5641" s="16" t="str"/>
      <x:c r="D5641" s="16" t="str"/>
      <x:c r="E5641" s="16" t="str">
        <x:v>* myContacts</x:v>
      </x:c>
      <x:c r="F5641" s="16" t="str">
        <x:v>+60102048484 | +60102048484</x:v>
      </x:c>
      <x:c r="G5641" s="16" t="str">
        <x:v>+60102048484 | +60102048484</x:v>
      </x:c>
      <x:c r="H5641" s="16" t="str">
        <x:v>Excluded</x:v>
      </x:c>
      <x:c r="I5641" s="16" t="str">
        <x:v>Missing email</x:v>
      </x:c>
    </x:row>
    <x:row r="5642">
      <x:c r="A5642" s="16" t="n">
        <x:v>5639</x:v>
      </x:c>
      <x:c r="B5642" s="16" t="str">
        <x:v>Proprint Proprint</x:v>
      </x:c>
      <x:c r="C5642" s="16" t="str"/>
      <x:c r="D5642" s="16" t="str"/>
      <x:c r="E5642" s="16" t="str">
        <x:v>* myContacts</x:v>
      </x:c>
      <x:c r="F5642" s="16" t="str">
        <x:v>+60362753200</x:v>
      </x:c>
      <x:c r="G5642" s="16" t="str">
        <x:v>+60362753200</x:v>
      </x:c>
      <x:c r="H5642" s="16" t="str">
        <x:v>Excluded</x:v>
      </x:c>
      <x:c r="I5642" s="16" t="str">
        <x:v>Missing email</x:v>
      </x:c>
    </x:row>
    <x:row r="5643">
      <x:c r="A5643" s="16" t="n">
        <x:v>5640</x:v>
      </x:c>
      <x:c r="B5643" s="16" t="str">
        <x:v>pros140516</x:v>
      </x:c>
      <x:c r="C5643" s="16" t="str"/>
      <x:c r="D5643" s="16" t="str"/>
      <x:c r="E5643" s="16" t="str">
        <x:v>* myContacts</x:v>
      </x:c>
      <x:c r="F5643" s="16" t="str">
        <x:v>+60 12-282 6768 | +60122826768</x:v>
      </x:c>
      <x:c r="G5643" s="16" t="str">
        <x:v>+60122826768 | +60122826768</x:v>
      </x:c>
      <x:c r="H5643" s="16" t="str">
        <x:v>Excluded</x:v>
      </x:c>
      <x:c r="I5643" s="16" t="str">
        <x:v>Missing email</x:v>
      </x:c>
    </x:row>
    <x:row r="5644">
      <x:c r="A5644" s="16" t="n">
        <x:v>5641</x:v>
      </x:c>
      <x:c r="B5644" s="16" t="str">
        <x:v>pros190616</x:v>
      </x:c>
      <x:c r="C5644" s="16" t="str"/>
      <x:c r="D5644" s="16" t="str"/>
      <x:c r="E5644" s="16" t="str">
        <x:v>* myContacts</x:v>
      </x:c>
      <x:c r="F5644" s="16" t="str">
        <x:v>+60193803911</x:v>
      </x:c>
      <x:c r="G5644" s="16" t="str">
        <x:v>+60193803911</x:v>
      </x:c>
      <x:c r="H5644" s="16" t="str">
        <x:v>Excluded</x:v>
      </x:c>
      <x:c r="I5644" s="16" t="str">
        <x:v>Missing email</x:v>
      </x:c>
    </x:row>
    <x:row r="5645">
      <x:c r="A5645" s="16" t="n">
        <x:v>5642</x:v>
      </x:c>
      <x:c r="B5645" s="16" t="str">
        <x:v>prospek 040616</x:v>
      </x:c>
      <x:c r="C5645" s="16" t="str"/>
      <x:c r="D5645" s="16" t="str"/>
      <x:c r="E5645" s="16" t="str">
        <x:v>* myContacts</x:v>
      </x:c>
      <x:c r="F5645" s="16" t="str">
        <x:v>+60 19-759 9859 | +60197599859</x:v>
      </x:c>
      <x:c r="G5645" s="16" t="str">
        <x:v>+60197599859 | +60197599859</x:v>
      </x:c>
      <x:c r="H5645" s="16" t="str">
        <x:v>Excluded</x:v>
      </x:c>
      <x:c r="I5645" s="16" t="str">
        <x:v>Missing email</x:v>
      </x:c>
    </x:row>
    <x:row r="5646">
      <x:c r="A5646" s="16" t="n">
        <x:v>5643</x:v>
      </x:c>
      <x:c r="B5646" s="16" t="str">
        <x:v>prospek agp 18052015</x:v>
      </x:c>
      <x:c r="C5646" s="16" t="str"/>
      <x:c r="D5646" s="16" t="str"/>
      <x:c r="E5646" s="16" t="str">
        <x:v>* myContacts</x:v>
      </x:c>
      <x:c r="F5646" s="16" t="str"/>
      <x:c r="G5646" s="16" t="str"/>
      <x:c r="H5646" s="16" t="str">
        <x:v>Excluded</x:v>
      </x:c>
      <x:c r="I5646" s="16" t="str">
        <x:v>Missing email</x:v>
      </x:c>
    </x:row>
    <x:row r="5647">
      <x:c r="A5647" s="16" t="n">
        <x:v>5644</x:v>
      </x:c>
      <x:c r="B5647" s="16" t="str">
        <x:v>Proton Perodua Terengganu</x:v>
      </x:c>
      <x:c r="C5647" s="16" t="str"/>
      <x:c r="D5647" s="16" t="str"/>
      <x:c r="E5647" s="16" t="str">
        <x:v>* myContacts</x:v>
      </x:c>
      <x:c r="F5647" s="16" t="str">
        <x:v>+601119457759</x:v>
      </x:c>
      <x:c r="G5647" s="16" t="str">
        <x:v>+601119457759</x:v>
      </x:c>
      <x:c r="H5647" s="16" t="str">
        <x:v>Excluded</x:v>
      </x:c>
      <x:c r="I5647" s="16" t="str">
        <x:v>Missing email</x:v>
      </x:c>
    </x:row>
    <x:row r="5648">
      <x:c r="A5648" s="16" t="n">
        <x:v>5645</x:v>
      </x:c>
      <x:c r="B5648" s="16" t="str">
        <x:v>Puan Alia</x:v>
      </x:c>
      <x:c r="C5648" s="16" t="str"/>
      <x:c r="D5648" s="16" t="str"/>
      <x:c r="E5648" s="16" t="str">
        <x:v>* myContacts</x:v>
      </x:c>
      <x:c r="F5648" s="16" t="str">
        <x:v>+60199000814</x:v>
      </x:c>
      <x:c r="G5648" s="16" t="str">
        <x:v>+60199000814</x:v>
      </x:c>
      <x:c r="H5648" s="16" t="str">
        <x:v>Excluded</x:v>
      </x:c>
      <x:c r="I5648" s="16" t="str">
        <x:v>Missing email</x:v>
      </x:c>
    </x:row>
    <x:row r="5649">
      <x:c r="A5649" s="16" t="n">
        <x:v>5646</x:v>
      </x:c>
      <x:c r="B5649" s="16" t="str">
        <x:v>Puan Alyssa CEDAR</x:v>
      </x:c>
      <x:c r="C5649" s="16" t="str"/>
      <x:c r="D5649" s="16" t="str"/>
      <x:c r="E5649" s="16" t="str">
        <x:v>* myContacts</x:v>
      </x:c>
      <x:c r="F5649" s="16" t="str">
        <x:v>+60163421768</x:v>
      </x:c>
      <x:c r="G5649" s="16" t="str">
        <x:v>+60163421768</x:v>
      </x:c>
      <x:c r="H5649" s="16" t="str">
        <x:v>Excluded</x:v>
      </x:c>
      <x:c r="I5649" s="16" t="str">
        <x:v>Missing email</x:v>
      </x:c>
    </x:row>
    <x:row r="5650">
      <x:c r="A5650" s="16" t="n">
        <x:v>5647</x:v>
      </x:c>
      <x:c r="B5650" s="16" t="str">
        <x:v>Puan Aniza Student Ai</x:v>
      </x:c>
      <x:c r="C5650" s="16" t="str"/>
      <x:c r="D5650" s="16" t="str"/>
      <x:c r="E5650" s="16" t="str">
        <x:v>* myContacts</x:v>
      </x:c>
      <x:c r="F5650" s="16" t="str">
        <x:v>+60189119277</x:v>
      </x:c>
      <x:c r="G5650" s="16" t="str">
        <x:v>+60189119277</x:v>
      </x:c>
      <x:c r="H5650" s="16" t="str">
        <x:v>Excluded</x:v>
      </x:c>
      <x:c r="I5650" s="16" t="str">
        <x:v>Missing email</x:v>
      </x:c>
    </x:row>
    <x:row r="5651">
      <x:c r="A5651" s="16" t="n">
        <x:v>5648</x:v>
      </x:c>
      <x:c r="B5651" s="16" t="str">
        <x:v>Puan Anna Farhana Basic Uitm</x:v>
      </x:c>
      <x:c r="C5651" s="16" t="str"/>
      <x:c r="D5651" s="16" t="str"/>
      <x:c r="E5651" s="16" t="str">
        <x:v>* myContacts</x:v>
      </x:c>
      <x:c r="F5651" s="16" t="str">
        <x:v>+60164841401</x:v>
      </x:c>
      <x:c r="G5651" s="16" t="str">
        <x:v>+60164841401</x:v>
      </x:c>
      <x:c r="H5651" s="16" t="str">
        <x:v>Excluded</x:v>
      </x:c>
      <x:c r="I5651" s="16" t="str">
        <x:v>Missing email</x:v>
      </x:c>
    </x:row>
    <x:row r="5652">
      <x:c r="A5652" s="16" t="n">
        <x:v>5649</x:v>
      </x:c>
      <x:c r="B5652" s="16" t="str">
        <x:v>Puan Annie Tauke Beach Front</x:v>
      </x:c>
      <x:c r="C5652" s="16" t="str"/>
      <x:c r="D5652" s="16" t="str"/>
      <x:c r="E5652" s="16" t="str">
        <x:v>* myContacts</x:v>
      </x:c>
      <x:c r="F5652" s="16" t="str">
        <x:v>+60 16-401 7997 | +60164017997</x:v>
      </x:c>
      <x:c r="G5652" s="16" t="str">
        <x:v>+60164017997 | +60164017997</x:v>
      </x:c>
      <x:c r="H5652" s="16" t="str">
        <x:v>Excluded</x:v>
      </x:c>
      <x:c r="I5652" s="16" t="str">
        <x:v>Missing email</x:v>
      </x:c>
    </x:row>
    <x:row r="5653">
      <x:c r="A5653" s="16" t="n">
        <x:v>5650</x:v>
      </x:c>
      <x:c r="B5653" s="16" t="str">
        <x:v>Puan Annna Lotus DesaruBeachResort&amp;SpaSdnBhd</x:v>
      </x:c>
      <x:c r="C5653" s="16" t="str"/>
      <x:c r="D5653" s="16" t="str"/>
      <x:c r="E5653" s="16" t="str">
        <x:v>* myContacts</x:v>
      </x:c>
      <x:c r="F5653" s="16" t="str">
        <x:v>+60177983811</x:v>
      </x:c>
      <x:c r="G5653" s="16" t="str">
        <x:v>+60177983811</x:v>
      </x:c>
      <x:c r="H5653" s="16" t="str">
        <x:v>Excluded</x:v>
      </x:c>
      <x:c r="I5653" s="16" t="str">
        <x:v>Missing email</x:v>
      </x:c>
    </x:row>
    <x:row r="5654">
      <x:c r="A5654" s="16" t="n">
        <x:v>5651</x:v>
      </x:c>
      <x:c r="B5654" s="16" t="str">
        <x:v>Puan Aqilah Sewa Rumah</x:v>
      </x:c>
      <x:c r="C5654" s="16" t="str"/>
      <x:c r="D5654" s="16" t="str"/>
      <x:c r="E5654" s="16" t="str">
        <x:v>* myContacts</x:v>
      </x:c>
      <x:c r="F5654" s="16" t="str">
        <x:v>+601110015052</x:v>
      </x:c>
      <x:c r="G5654" s="16" t="str">
        <x:v>+601110015052</x:v>
      </x:c>
      <x:c r="H5654" s="16" t="str">
        <x:v>Excluded</x:v>
      </x:c>
      <x:c r="I5654" s="16" t="str">
        <x:v>Missing email</x:v>
      </x:c>
    </x:row>
    <x:row r="5655">
      <x:c r="A5655" s="16" t="n">
        <x:v>5652</x:v>
      </x:c>
      <x:c r="B5655" s="16" t="str">
        <x:v>Puan Asmahani Muhammad</x:v>
      </x:c>
      <x:c r="C5655" s="16" t="str"/>
      <x:c r="D5655" s="16" t="str"/>
      <x:c r="E5655" s="16" t="str">
        <x:v>* myContacts</x:v>
      </x:c>
      <x:c r="F5655" s="16" t="str">
        <x:v>+60129290245</x:v>
      </x:c>
      <x:c r="G5655" s="16" t="str">
        <x:v>+60129290245</x:v>
      </x:c>
      <x:c r="H5655" s="16" t="str">
        <x:v>Excluded</x:v>
      </x:c>
      <x:c r="I5655" s="16" t="str">
        <x:v>Missing email</x:v>
      </x:c>
    </x:row>
    <x:row r="5656">
      <x:c r="A5656" s="16" t="n">
        <x:v>5653</x:v>
      </x:c>
      <x:c r="B5656" s="16" t="str">
        <x:v>Puan Emma Job Hunter</x:v>
      </x:c>
      <x:c r="C5656" s="16" t="str"/>
      <x:c r="D5656" s="16" t="str"/>
      <x:c r="E5656" s="16" t="str">
        <x:v>* myContacts</x:v>
      </x:c>
      <x:c r="F5656" s="16" t="str">
        <x:v>+60126254479</x:v>
      </x:c>
      <x:c r="G5656" s="16" t="str">
        <x:v>+60126254479</x:v>
      </x:c>
      <x:c r="H5656" s="16" t="str">
        <x:v>Excluded</x:v>
      </x:c>
      <x:c r="I5656" s="16" t="str">
        <x:v>Missing email</x:v>
      </x:c>
    </x:row>
    <x:row r="5657">
      <x:c r="A5657" s="16" t="n">
        <x:v>5654</x:v>
      </x:c>
      <x:c r="B5657" s="16" t="str">
        <x:v>Puan Faridah</x:v>
      </x:c>
      <x:c r="C5657" s="16" t="str"/>
      <x:c r="D5657" s="16" t="str"/>
      <x:c r="E5657" s="16" t="str">
        <x:v>* myContacts</x:v>
      </x:c>
      <x:c r="F5657" s="16" t="str">
        <x:v>+60199599279</x:v>
      </x:c>
      <x:c r="G5657" s="16" t="str">
        <x:v>+60199599279</x:v>
      </x:c>
      <x:c r="H5657" s="16" t="str">
        <x:v>Excluded</x:v>
      </x:c>
      <x:c r="I5657" s="16" t="str">
        <x:v>Missing email</x:v>
      </x:c>
    </x:row>
    <x:row r="5658">
      <x:c r="A5658" s="16" t="n">
        <x:v>5655</x:v>
      </x:c>
      <x:c r="B5658" s="16" t="str">
        <x:v>puan Firzah eKasih</x:v>
      </x:c>
      <x:c r="C5658" s="16" t="str"/>
      <x:c r="D5658" s="16" t="str"/>
      <x:c r="E5658" s="16" t="str">
        <x:v>* myContacts</x:v>
      </x:c>
      <x:c r="F5658" s="16" t="str">
        <x:v>+6011126132751</x:v>
      </x:c>
      <x:c r="G5658" s="16" t="str">
        <x:v>+6011126132751</x:v>
      </x:c>
      <x:c r="H5658" s="16" t="str">
        <x:v>Excluded</x:v>
      </x:c>
      <x:c r="I5658" s="16" t="str">
        <x:v>Missing email</x:v>
      </x:c>
    </x:row>
    <x:row r="5659">
      <x:c r="A5659" s="16" t="n">
        <x:v>5656</x:v>
      </x:c>
      <x:c r="B5659" s="16" t="str">
        <x:v>Puan Hajjah Sue</x:v>
      </x:c>
      <x:c r="C5659" s="16" t="str"/>
      <x:c r="D5659" s="16" t="str"/>
      <x:c r="E5659" s="16" t="str">
        <x:v>* myContacts</x:v>
      </x:c>
      <x:c r="F5659" s="16" t="str">
        <x:v>+60133600881</x:v>
      </x:c>
      <x:c r="G5659" s="16" t="str">
        <x:v>+60133600881</x:v>
      </x:c>
      <x:c r="H5659" s="16" t="str">
        <x:v>Excluded</x:v>
      </x:c>
      <x:c r="I5659" s="16" t="str">
        <x:v>Missing email</x:v>
      </x:c>
    </x:row>
    <x:row r="5660">
      <x:c r="A5660" s="16" t="n">
        <x:v>5657</x:v>
      </x:c>
      <x:c r="B5660" s="16" t="str">
        <x:v>Puan Halimah Lecturer Polisas</x:v>
      </x:c>
      <x:c r="C5660" s="16" t="str"/>
      <x:c r="D5660" s="16" t="str"/>
      <x:c r="E5660" s="16" t="str">
        <x:v>* myContacts</x:v>
      </x:c>
      <x:c r="F5660" s="16" t="str">
        <x:v>+60 14-719 0687 | +60147190687</x:v>
      </x:c>
      <x:c r="G5660" s="16" t="str">
        <x:v>+60147190687 | +60147190687</x:v>
      </x:c>
      <x:c r="H5660" s="16" t="str">
        <x:v>Excluded</x:v>
      </x:c>
      <x:c r="I5660" s="16" t="str">
        <x:v>Missing email</x:v>
      </x:c>
    </x:row>
    <x:row r="5661">
      <x:c r="A5661" s="16" t="n">
        <x:v>5658</x:v>
      </x:c>
      <x:c r="B5661" s="16" t="str">
        <x:v>Puan Haliza TM</x:v>
      </x:c>
      <x:c r="C5661" s="16" t="str"/>
      <x:c r="D5661" s="16" t="str"/>
      <x:c r="E5661" s="16" t="str">
        <x:v>* myContacts</x:v>
      </x:c>
      <x:c r="F5661" s="16" t="str">
        <x:v>+60 13-336 3268 | +60133363268</x:v>
      </x:c>
      <x:c r="G5661" s="16" t="str">
        <x:v>+60133363268 | +60133363268</x:v>
      </x:c>
      <x:c r="H5661" s="16" t="str">
        <x:v>Excluded</x:v>
      </x:c>
      <x:c r="I5661" s="16" t="str">
        <x:v>Missing email</x:v>
      </x:c>
    </x:row>
    <x:row r="5662">
      <x:c r="A5662" s="16" t="n">
        <x:v>5659</x:v>
      </x:c>
      <x:c r="B5662" s="16" t="str">
        <x:v>Puan hasnah HRDF Accreditation</x:v>
      </x:c>
      <x:c r="C5662" s="16" t="str">
        <x:v>norasnatasnim@hrdcorp.gov.my</x:v>
      </x:c>
      <x:c r="D5662" s="16" t="str">
        <x:v>norasnatasnim@hrdcorp.gov.my</x:v>
      </x:c>
      <x:c r="E5662" s="16" t="str">
        <x:v>* myContacts | * starred</x:v>
      </x:c>
      <x:c r="F5662" s="16" t="str"/>
      <x:c r="G5662" s="16" t="str"/>
      <x:c r="H5662" s="16" t="str">
        <x:v>Eligible</x:v>
      </x:c>
      <x:c r="I5662" s="16" t="str"/>
    </x:row>
    <x:row r="5663">
      <x:c r="A5663" s="16" t="n">
        <x:v>5660</x:v>
      </x:c>
      <x:c r="B5663" s="16" t="str">
        <x:v>Puan Hidayah Huri Kolej Komuniti Hulu Langat</x:v>
      </x:c>
      <x:c r="C5663" s="16" t="str">
        <x:v>dayahuri@gmail.com</x:v>
      </x:c>
      <x:c r="D5663" s="16" t="str">
        <x:v>dayahuri@gmail.com</x:v>
      </x:c>
      <x:c r="E5663" s="16" t="str">
        <x:v>* myContacts</x:v>
      </x:c>
      <x:c r="F5663" s="16" t="str">
        <x:v>+60124191200</x:v>
      </x:c>
      <x:c r="G5663" s="16" t="str">
        <x:v>+60124191200</x:v>
      </x:c>
      <x:c r="H5663" s="16" t="str">
        <x:v>Eligible</x:v>
      </x:c>
      <x:c r="I5663" s="16" t="str"/>
    </x:row>
    <x:row r="5664">
      <x:c r="A5664" s="16" t="n">
        <x:v>5661</x:v>
      </x:c>
      <x:c r="B5664" s="16" t="str">
        <x:v>Puan Husna</x:v>
      </x:c>
      <x:c r="C5664" s="16" t="str"/>
      <x:c r="D5664" s="16" t="str"/>
      <x:c r="E5664" s="16" t="str">
        <x:v>* myContacts</x:v>
      </x:c>
      <x:c r="F5664" s="16" t="str">
        <x:v>017-361 6285 | +60173616285</x:v>
      </x:c>
      <x:c r="G5664" s="16" t="str">
        <x:v>+60173616285 | +60173616285</x:v>
      </x:c>
      <x:c r="H5664" s="16" t="str">
        <x:v>Excluded</x:v>
      </x:c>
      <x:c r="I5664" s="16" t="str">
        <x:v>Missing email</x:v>
      </x:c>
    </x:row>
    <x:row r="5665">
      <x:c r="A5665" s="16" t="n">
        <x:v>5662</x:v>
      </x:c>
      <x:c r="B5665" s="16" t="str">
        <x:v>Puan Juniana Usahawan Chemor</x:v>
      </x:c>
      <x:c r="C5665" s="16" t="str"/>
      <x:c r="D5665" s="16" t="str"/>
      <x:c r="E5665" s="16" t="str">
        <x:v>* myContacts</x:v>
      </x:c>
      <x:c r="F5665" s="16" t="str">
        <x:v>+60 18-266 7164 | +60182667164</x:v>
      </x:c>
      <x:c r="G5665" s="16" t="str">
        <x:v>+60182667164 | +60182667164</x:v>
      </x:c>
      <x:c r="H5665" s="16" t="str">
        <x:v>Excluded</x:v>
      </x:c>
      <x:c r="I5665" s="16" t="str">
        <x:v>Missing email</x:v>
      </x:c>
    </x:row>
    <x:row r="5666">
      <x:c r="A5666" s="16" t="n">
        <x:v>5663</x:v>
      </x:c>
      <x:c r="B5666" s="16" t="str">
        <x:v>Puan Linda</x:v>
      </x:c>
      <x:c r="C5666" s="16" t="str"/>
      <x:c r="D5666" s="16" t="str"/>
      <x:c r="E5666" s="16" t="str">
        <x:v>* myContacts</x:v>
      </x:c>
      <x:c r="F5666" s="16" t="str">
        <x:v>+60 13-343 9862 | +60133439862</x:v>
      </x:c>
      <x:c r="G5666" s="16" t="str">
        <x:v>+60133439862 | +60133439862</x:v>
      </x:c>
      <x:c r="H5666" s="16" t="str">
        <x:v>Excluded</x:v>
      </x:c>
      <x:c r="I5666" s="16" t="str">
        <x:v>Missing email</x:v>
      </x:c>
    </x:row>
    <x:row r="5667">
      <x:c r="A5667" s="16" t="n">
        <x:v>5664</x:v>
      </x:c>
      <x:c r="B5667" s="16" t="str">
        <x:v>PUAN MARDIANA NAJIHAH PELADANG</x:v>
      </x:c>
      <x:c r="C5667" s="16" t="str"/>
      <x:c r="D5667" s="16" t="str"/>
      <x:c r="E5667" s="16" t="str">
        <x:v>* myContacts</x:v>
      </x:c>
      <x:c r="F5667" s="16" t="str">
        <x:v>+60194070470</x:v>
      </x:c>
      <x:c r="G5667" s="16" t="str">
        <x:v>+60194070470</x:v>
      </x:c>
      <x:c r="H5667" s="16" t="str">
        <x:v>Excluded</x:v>
      </x:c>
      <x:c r="I5667" s="16" t="str">
        <x:v>Missing email</x:v>
      </x:c>
    </x:row>
    <x:row r="5668">
      <x:c r="A5668" s="16" t="n">
        <x:v>5665</x:v>
      </x:c>
      <x:c r="B5668" s="16" t="str">
        <x:v>Puan Marlia Manan</x:v>
      </x:c>
      <x:c r="C5668" s="16" t="str"/>
      <x:c r="D5668" s="16" t="str"/>
      <x:c r="E5668" s="16" t="str">
        <x:v>* myContacts</x:v>
      </x:c>
      <x:c r="F5668" s="16" t="str">
        <x:v>+60175160860</x:v>
      </x:c>
      <x:c r="G5668" s="16" t="str">
        <x:v>+60175160860</x:v>
      </x:c>
      <x:c r="H5668" s="16" t="str">
        <x:v>Excluded</x:v>
      </x:c>
      <x:c r="I5668" s="16" t="str">
        <x:v>Missing email</x:v>
      </x:c>
    </x:row>
    <x:row r="5669">
      <x:c r="A5669" s="16" t="n">
        <x:v>5666</x:v>
      </x:c>
      <x:c r="B5669" s="16" t="str">
        <x:v>Puan Mawarni Inno Hear</x:v>
      </x:c>
      <x:c r="C5669" s="16" t="str"/>
      <x:c r="D5669" s="16" t="str"/>
      <x:c r="E5669" s="16" t="str">
        <x:v>* myContacts</x:v>
      </x:c>
      <x:c r="F5669" s="16" t="str">
        <x:v>+60 12-319 6769 | +60123196769</x:v>
      </x:c>
      <x:c r="G5669" s="16" t="str">
        <x:v>+60123196769 | +60123196769</x:v>
      </x:c>
      <x:c r="H5669" s="16" t="str">
        <x:v>Excluded</x:v>
      </x:c>
      <x:c r="I5669" s="16" t="str">
        <x:v>Missing email</x:v>
      </x:c>
    </x:row>
    <x:row r="5670">
      <x:c r="A5670" s="16" t="n">
        <x:v>5667</x:v>
      </x:c>
      <x:c r="B5670" s="16" t="str">
        <x:v>Puan Najwa Komuniti Klang</x:v>
      </x:c>
      <x:c r="C5670" s="16" t="str"/>
      <x:c r="D5670" s="16" t="str"/>
      <x:c r="E5670" s="16" t="str">
        <x:v>* myContacts</x:v>
      </x:c>
      <x:c r="F5670" s="16" t="str">
        <x:v>+60 13-209 6726 | +60132096726</x:v>
      </x:c>
      <x:c r="G5670" s="16" t="str">
        <x:v>+60132096726 | +60132096726</x:v>
      </x:c>
      <x:c r="H5670" s="16" t="str">
        <x:v>Excluded</x:v>
      </x:c>
      <x:c r="I5670" s="16" t="str">
        <x:v>Missing email</x:v>
      </x:c>
    </x:row>
    <x:row r="5671">
      <x:c r="A5671" s="16" t="n">
        <x:v>5668</x:v>
      </x:c>
      <x:c r="B5671" s="16" t="str">
        <x:v>Puan Noreen Agp</x:v>
      </x:c>
      <x:c r="C5671" s="16" t="str"/>
      <x:c r="D5671" s="16" t="str"/>
      <x:c r="E5671" s="16" t="str">
        <x:v>* myContacts</x:v>
      </x:c>
      <x:c r="F5671" s="16" t="str">
        <x:v>+601155055019</x:v>
      </x:c>
      <x:c r="G5671" s="16" t="str">
        <x:v>+601155055019</x:v>
      </x:c>
      <x:c r="H5671" s="16" t="str">
        <x:v>Excluded</x:v>
      </x:c>
      <x:c r="I5671" s="16" t="str">
        <x:v>Missing email</x:v>
      </x:c>
    </x:row>
    <x:row r="5672">
      <x:c r="A5672" s="16" t="n">
        <x:v>5669</x:v>
      </x:c>
      <x:c r="B5672" s="16" t="str">
        <x:v>Puan Nurul</x:v>
      </x:c>
      <x:c r="C5672" s="16" t="str"/>
      <x:c r="D5672" s="16" t="str"/>
      <x:c r="E5672" s="16" t="str">
        <x:v>* myContacts</x:v>
      </x:c>
      <x:c r="F5672" s="16" t="str">
        <x:v>+601123147454</x:v>
      </x:c>
      <x:c r="G5672" s="16" t="str">
        <x:v>+601123147454</x:v>
      </x:c>
      <x:c r="H5672" s="16" t="str">
        <x:v>Excluded</x:v>
      </x:c>
      <x:c r="I5672" s="16" t="str">
        <x:v>Missing email</x:v>
      </x:c>
    </x:row>
    <x:row r="5673">
      <x:c r="A5673" s="16" t="n">
        <x:v>5670</x:v>
      </x:c>
      <x:c r="B5673" s="16" t="str">
        <x:v>Puan Nurul JutawanPink Que</x:v>
      </x:c>
      <x:c r="C5673" s="16" t="str"/>
      <x:c r="D5673" s="16" t="str"/>
      <x:c r="E5673" s="16" t="str">
        <x:v>* myContacts</x:v>
      </x:c>
      <x:c r="F5673" s="16" t="str">
        <x:v>+60139418689</x:v>
      </x:c>
      <x:c r="G5673" s="16" t="str">
        <x:v>+60139418689</x:v>
      </x:c>
      <x:c r="H5673" s="16" t="str">
        <x:v>Excluded</x:v>
      </x:c>
      <x:c r="I5673" s="16" t="str">
        <x:v>Missing email</x:v>
      </x:c>
    </x:row>
    <x:row r="5674">
      <x:c r="A5674" s="16" t="n">
        <x:v>5671</x:v>
      </x:c>
      <x:c r="B5674" s="16" t="str">
        <x:v>Puan Qema</x:v>
      </x:c>
      <x:c r="C5674" s="16" t="str"/>
      <x:c r="D5674" s="16" t="str"/>
      <x:c r="E5674" s="16" t="str">
        <x:v>* myContacts</x:v>
      </x:c>
      <x:c r="F5674" s="16" t="str">
        <x:v>+60142468968</x:v>
      </x:c>
      <x:c r="G5674" s="16" t="str">
        <x:v>+60142468968</x:v>
      </x:c>
      <x:c r="H5674" s="16" t="str">
        <x:v>Excluded</x:v>
      </x:c>
      <x:c r="I5674" s="16" t="str">
        <x:v>Missing email</x:v>
      </x:c>
    </x:row>
    <x:row r="5675">
      <x:c r="A5675" s="16" t="n">
        <x:v>5672</x:v>
      </x:c>
      <x:c r="B5675" s="16" t="str">
        <x:v>Puan Rabiah Seman Email Expert</x:v>
      </x:c>
      <x:c r="C5675" s="16" t="str"/>
      <x:c r="D5675" s="16" t="str"/>
      <x:c r="E5675" s="16" t="str">
        <x:v>* myContacts</x:v>
      </x:c>
      <x:c r="F5675" s="16" t="str">
        <x:v>0198189459 | +60198189459</x:v>
      </x:c>
      <x:c r="G5675" s="16" t="str">
        <x:v>+60198189459 | +60198189459</x:v>
      </x:c>
      <x:c r="H5675" s="16" t="str">
        <x:v>Excluded</x:v>
      </x:c>
      <x:c r="I5675" s="16" t="str">
        <x:v>Missing email</x:v>
      </x:c>
    </x:row>
    <x:row r="5676">
      <x:c r="A5676" s="16" t="n">
        <x:v>5673</x:v>
      </x:c>
      <x:c r="B5676" s="16" t="str">
        <x:v>Puan Rosni PSUM</x:v>
      </x:c>
      <x:c r="C5676" s="16" t="str"/>
      <x:c r="D5676" s="16" t="str"/>
      <x:c r="E5676" s="16" t="str">
        <x:v>* myContacts</x:v>
      </x:c>
      <x:c r="F5676" s="16" t="str">
        <x:v>+60 11-1064 8744 | +601110648744</x:v>
      </x:c>
      <x:c r="G5676" s="16" t="str">
        <x:v>+601110648744 | +601110648744</x:v>
      </x:c>
      <x:c r="H5676" s="16" t="str">
        <x:v>Excluded</x:v>
      </x:c>
      <x:c r="I5676" s="16" t="str">
        <x:v>Missing email</x:v>
      </x:c>
    </x:row>
    <x:row r="5677">
      <x:c r="A5677" s="16" t="n">
        <x:v>5674</x:v>
      </x:c>
      <x:c r="B5677" s="16" t="str">
        <x:v>Puan Sabariah Women Institute</x:v>
      </x:c>
      <x:c r="C5677" s="16" t="str"/>
      <x:c r="D5677" s="16" t="str"/>
      <x:c r="E5677" s="16" t="str">
        <x:v>* myContacts</x:v>
      </x:c>
      <x:c r="F5677" s="16" t="str">
        <x:v>+60167800472</x:v>
      </x:c>
      <x:c r="G5677" s="16" t="str">
        <x:v>+60167800472</x:v>
      </x:c>
      <x:c r="H5677" s="16" t="str">
        <x:v>Excluded</x:v>
      </x:c>
      <x:c r="I5677" s="16" t="str">
        <x:v>Missing email</x:v>
      </x:c>
    </x:row>
    <x:row r="5678">
      <x:c r="A5678" s="16" t="n">
        <x:v>5675</x:v>
      </x:c>
      <x:c r="B5678" s="16" t="str">
        <x:v>Puan Saie Amanah Ikhtiar Malaysia Kelantan</x:v>
      </x:c>
      <x:c r="C5678" s="16" t="str"/>
      <x:c r="D5678" s="16" t="str"/>
      <x:c r="E5678" s="16" t="str">
        <x:v>* myContacts</x:v>
      </x:c>
      <x:c r="F5678" s="16" t="str">
        <x:v>+60 13-526 8406 | +60135268406</x:v>
      </x:c>
      <x:c r="G5678" s="16" t="str">
        <x:v>+60135268406 | +60135268406</x:v>
      </x:c>
      <x:c r="H5678" s="16" t="str">
        <x:v>Excluded</x:v>
      </x:c>
      <x:c r="I5678" s="16" t="str">
        <x:v>Missing email</x:v>
      </x:c>
    </x:row>
    <x:row r="5679">
      <x:c r="A5679" s="16" t="n">
        <x:v>5676</x:v>
      </x:c>
      <x:c r="B5679" s="16" t="str">
        <x:v>Puan Siti Fauziah Tauke Serunding Cendawan Volvareilla</x:v>
      </x:c>
      <x:c r="C5679" s="16" t="str"/>
      <x:c r="D5679" s="16" t="str"/>
      <x:c r="E5679" s="16" t="str">
        <x:v>* myContacts</x:v>
      </x:c>
      <x:c r="F5679" s="16" t="str">
        <x:v>0134739495 | +60134739495</x:v>
      </x:c>
      <x:c r="G5679" s="16" t="str">
        <x:v>+60134739495 | +60134739495</x:v>
      </x:c>
      <x:c r="H5679" s="16" t="str">
        <x:v>Excluded</x:v>
      </x:c>
      <x:c r="I5679" s="16" t="str">
        <x:v>Missing email</x:v>
      </x:c>
    </x:row>
    <x:row r="5680">
      <x:c r="A5680" s="16" t="n">
        <x:v>5677</x:v>
      </x:c>
      <x:c r="B5680" s="16" t="str">
        <x:v>Puan Siti Training Provider Yusnani</x:v>
      </x:c>
      <x:c r="C5680" s="16" t="str"/>
      <x:c r="D5680" s="16" t="str"/>
      <x:c r="E5680" s="16" t="str">
        <x:v>* myContacts</x:v>
      </x:c>
      <x:c r="F5680" s="16" t="str">
        <x:v>+60193512872</x:v>
      </x:c>
      <x:c r="G5680" s="16" t="str">
        <x:v>+60193512872</x:v>
      </x:c>
      <x:c r="H5680" s="16" t="str">
        <x:v>Excluded</x:v>
      </x:c>
      <x:c r="I5680" s="16" t="str">
        <x:v>Missing email</x:v>
      </x:c>
    </x:row>
    <x:row r="5681">
      <x:c r="A5681" s="16" t="n">
        <x:v>5678</x:v>
      </x:c>
      <x:c r="B5681" s="16" t="str">
        <x:v>Puan Siti Zamiah Assistant Coach Mohsin</x:v>
      </x:c>
      <x:c r="C5681" s="16" t="str"/>
      <x:c r="D5681" s="16" t="str"/>
      <x:c r="E5681" s="16" t="str">
        <x:v>* myContacts</x:v>
      </x:c>
      <x:c r="F5681" s="16" t="str">
        <x:v>+60 13-350 1230 | +60133501230</x:v>
      </x:c>
      <x:c r="G5681" s="16" t="str">
        <x:v>+60133501230 | +60133501230</x:v>
      </x:c>
      <x:c r="H5681" s="16" t="str">
        <x:v>Excluded</x:v>
      </x:c>
      <x:c r="I5681" s="16" t="str">
        <x:v>Missing email</x:v>
      </x:c>
    </x:row>
    <x:row r="5682">
      <x:c r="A5682" s="16" t="n">
        <x:v>5679</x:v>
      </x:c>
      <x:c r="B5682" s="16" t="str">
        <x:v>Puan Tina (Wife Coach Azad) Tajuddin</x:v>
      </x:c>
      <x:c r="C5682" s="16" t="str"/>
      <x:c r="D5682" s="16" t="str"/>
      <x:c r="E5682" s="16" t="str">
        <x:v>Trainer | * myContacts</x:v>
      </x:c>
      <x:c r="F5682" s="16" t="str">
        <x:v>+60193263138</x:v>
      </x:c>
      <x:c r="G5682" s="16" t="str">
        <x:v>+60193263138</x:v>
      </x:c>
      <x:c r="H5682" s="16" t="str">
        <x:v>Excluded</x:v>
      </x:c>
      <x:c r="I5682" s="16" t="str">
        <x:v>Missing email</x:v>
      </x:c>
    </x:row>
    <x:row r="5683">
      <x:c r="A5683" s="16" t="n">
        <x:v>5680</x:v>
      </x:c>
      <x:c r="B5683" s="16" t="str">
        <x:v>Puan Yang Mahani TM</x:v>
      </x:c>
      <x:c r="C5683" s="16" t="str"/>
      <x:c r="D5683" s="16" t="str"/>
      <x:c r="E5683" s="16" t="str">
        <x:v>* myContacts</x:v>
      </x:c>
      <x:c r="F5683" s="16" t="str">
        <x:v>+60 10-440 5959 | +60104405959</x:v>
      </x:c>
      <x:c r="G5683" s="16" t="str">
        <x:v>+60104405959 | +60104405959</x:v>
      </x:c>
      <x:c r="H5683" s="16" t="str">
        <x:v>Excluded</x:v>
      </x:c>
      <x:c r="I5683" s="16" t="str">
        <x:v>Missing email</x:v>
      </x:c>
    </x:row>
    <x:row r="5684">
      <x:c r="A5684" s="16" t="n">
        <x:v>5681</x:v>
      </x:c>
      <x:c r="B5684" s="16" t="str">
        <x:v>Puan Yatie Karim Permodalan Kedah</x:v>
      </x:c>
      <x:c r="C5684" s="16" t="str"/>
      <x:c r="D5684" s="16" t="str"/>
      <x:c r="E5684" s="16" t="str">
        <x:v>* myContacts</x:v>
      </x:c>
      <x:c r="F5684" s="16" t="str">
        <x:v>+60108429442</x:v>
      </x:c>
      <x:c r="G5684" s="16" t="str">
        <x:v>+60108429442</x:v>
      </x:c>
      <x:c r="H5684" s="16" t="str">
        <x:v>Excluded</x:v>
      </x:c>
      <x:c r="I5684" s="16" t="str">
        <x:v>Missing email</x:v>
      </x:c>
    </x:row>
    <x:row r="5685">
      <x:c r="A5685" s="16" t="n">
        <x:v>5682</x:v>
      </x:c>
      <x:c r="B5685" s="16" t="str">
        <x:v>Puan Zai</x:v>
      </x:c>
      <x:c r="C5685" s="16" t="str"/>
      <x:c r="D5685" s="16" t="str"/>
      <x:c r="E5685" s="16" t="str">
        <x:v>* myContacts</x:v>
      </x:c>
      <x:c r="F5685" s="16" t="str">
        <x:v>+60134142148</x:v>
      </x:c>
      <x:c r="G5685" s="16" t="str">
        <x:v>+60134142148</x:v>
      </x:c>
      <x:c r="H5685" s="16" t="str">
        <x:v>Excluded</x:v>
      </x:c>
      <x:c r="I5685" s="16" t="str">
        <x:v>Missing email</x:v>
      </x:c>
    </x:row>
    <x:row r="5686">
      <x:c r="A5686" s="16" t="n">
        <x:v>5683</x:v>
      </x:c>
      <x:c r="B5686" s="16" t="str">
        <x:v>Puan Zuliana Accountant Solahuddin</x:v>
      </x:c>
      <x:c r="C5686" s="16" t="str"/>
      <x:c r="D5686" s="16" t="str"/>
      <x:c r="E5686" s="16" t="str">
        <x:v>* myContacts</x:v>
      </x:c>
      <x:c r="F5686" s="16" t="str">
        <x:v>+60 19-281 1533 | +60192811533</x:v>
      </x:c>
      <x:c r="G5686" s="16" t="str">
        <x:v>+60192811533 | +60192811533</x:v>
      </x:c>
      <x:c r="H5686" s="16" t="str">
        <x:v>Excluded</x:v>
      </x:c>
      <x:c r="I5686" s="16" t="str">
        <x:v>Missing email</x:v>
      </x:c>
    </x:row>
    <x:row r="5687">
      <x:c r="A5687" s="16" t="n">
        <x:v>5684</x:v>
      </x:c>
      <x:c r="B5687" s="16" t="str">
        <x:v>Pulang Resort Penarik</x:v>
      </x:c>
      <x:c r="C5687" s="16" t="str"/>
      <x:c r="D5687" s="16" t="str"/>
      <x:c r="E5687" s="16" t="str">
        <x:v>* myContacts</x:v>
      </x:c>
      <x:c r="F5687" s="16" t="str">
        <x:v>+60139582580</x:v>
      </x:c>
      <x:c r="G5687" s="16" t="str">
        <x:v>+60139582580</x:v>
      </x:c>
      <x:c r="H5687" s="16" t="str">
        <x:v>Excluded</x:v>
      </x:c>
      <x:c r="I5687" s="16" t="str">
        <x:v>Missing email</x:v>
      </x:c>
    </x:row>
    <x:row r="5688">
      <x:c r="A5688" s="16" t="n">
        <x:v>5685</x:v>
      </x:c>
      <x:c r="B5688" s="16" t="str">
        <x:v>Puncak Pelangi Emas</x:v>
      </x:c>
      <x:c r="C5688" s="16" t="str"/>
      <x:c r="D5688" s="16" t="str"/>
      <x:c r="E5688" s="16" t="str">
        <x:v>* myContacts</x:v>
      </x:c>
      <x:c r="F5688" s="16" t="str">
        <x:v>+60387060021</x:v>
      </x:c>
      <x:c r="G5688" s="16" t="str">
        <x:v>+60387060021</x:v>
      </x:c>
      <x:c r="H5688" s="16" t="str">
        <x:v>Excluded</x:v>
      </x:c>
      <x:c r="I5688" s="16" t="str">
        <x:v>Missing email</x:v>
      </x:c>
    </x:row>
    <x:row r="5689">
      <x:c r="A5689" s="16" t="n">
        <x:v>5686</x:v>
      </x:c>
      <x:c r="B5689" s="16" t="str">
        <x:v>Puqn Deqma Tanty..😘 KADA</x:v>
      </x:c>
      <x:c r="C5689" s="16" t="str"/>
      <x:c r="D5689" s="16" t="str"/>
      <x:c r="E5689" s="16" t="str">
        <x:v>* myContacts</x:v>
      </x:c>
      <x:c r="F5689" s="16" t="str">
        <x:v>+60199009640</x:v>
      </x:c>
      <x:c r="G5689" s="16" t="str">
        <x:v>+60199009640</x:v>
      </x:c>
      <x:c r="H5689" s="16" t="str">
        <x:v>Excluded</x:v>
      </x:c>
      <x:c r="I5689" s="16" t="str">
        <x:v>Missing email</x:v>
      </x:c>
    </x:row>
    <x:row r="5690">
      <x:c r="A5690" s="16" t="n">
        <x:v>5687</x:v>
      </x:c>
      <x:c r="B5690" s="16" t="str">
        <x:v>Puremal Lori DRIVER</x:v>
      </x:c>
      <x:c r="C5690" s="16" t="str"/>
      <x:c r="D5690" s="16" t="str"/>
      <x:c r="E5690" s="16" t="str">
        <x:v>* myContacts</x:v>
      </x:c>
      <x:c r="F5690" s="16" t="str">
        <x:v>0162109247 | +60162109247</x:v>
      </x:c>
      <x:c r="G5690" s="16" t="str">
        <x:v>+60162109247 | +60162109247</x:v>
      </x:c>
      <x:c r="H5690" s="16" t="str">
        <x:v>Excluded</x:v>
      </x:c>
      <x:c r="I5690" s="16" t="str">
        <x:v>Missing email</x:v>
      </x:c>
    </x:row>
    <x:row r="5691">
      <x:c r="A5691" s="16" t="n">
        <x:v>5688</x:v>
      </x:c>
      <x:c r="B5691" s="16" t="str">
        <x:v>Putera Aiman Ishak</x:v>
      </x:c>
      <x:c r="C5691" s="16" t="str"/>
      <x:c r="D5691" s="16" t="str"/>
      <x:c r="E5691" s="16" t="str">
        <x:v>* myContacts</x:v>
      </x:c>
      <x:c r="F5691" s="16" t="str">
        <x:v>+60199145355</x:v>
      </x:c>
      <x:c r="G5691" s="16" t="str">
        <x:v>+60199145355</x:v>
      </x:c>
      <x:c r="H5691" s="16" t="str">
        <x:v>Excluded</x:v>
      </x:c>
      <x:c r="I5691" s="16" t="str">
        <x:v>Missing email</x:v>
      </x:c>
    </x:row>
    <x:row r="5692">
      <x:c r="A5692" s="16" t="n">
        <x:v>5689</x:v>
      </x:c>
      <x:c r="B5692" s="16" t="str">
        <x:v>Putera Cheq Detz</x:v>
      </x:c>
      <x:c r="C5692" s="16" t="str"/>
      <x:c r="D5692" s="16" t="str"/>
      <x:c r="E5692" s="16" t="str">
        <x:v>* myContacts</x:v>
      </x:c>
      <x:c r="F5692" s="16" t="str">
        <x:v>+60173788914</x:v>
      </x:c>
      <x:c r="G5692" s="16" t="str">
        <x:v>+60173788914</x:v>
      </x:c>
      <x:c r="H5692" s="16" t="str">
        <x:v>Excluded</x:v>
      </x:c>
      <x:c r="I5692" s="16" t="str">
        <x:v>Missing email</x:v>
      </x:c>
    </x:row>
    <x:row r="5693">
      <x:c r="A5693" s="16" t="n">
        <x:v>5690</x:v>
      </x:c>
      <x:c r="B5693" s="16" t="str">
        <x:v>Putera Sulung</x:v>
      </x:c>
      <x:c r="C5693" s="16" t="str"/>
      <x:c r="D5693" s="16" t="str"/>
      <x:c r="E5693" s="16" t="str">
        <x:v>* myContacts</x:v>
      </x:c>
      <x:c r="F5693" s="16" t="str">
        <x:v>+60134692894</x:v>
      </x:c>
      <x:c r="G5693" s="16" t="str">
        <x:v>+60134692894</x:v>
      </x:c>
      <x:c r="H5693" s="16" t="str">
        <x:v>Excluded</x:v>
      </x:c>
      <x:c r="I5693" s="16" t="str">
        <x:v>Missing email</x:v>
      </x:c>
    </x:row>
    <x:row r="5694">
      <x:c r="A5694" s="16" t="n">
        <x:v>5691</x:v>
      </x:c>
      <x:c r="B5694" s="16" t="str">
        <x:v>Putera Zai</x:v>
      </x:c>
      <x:c r="C5694" s="16" t="str"/>
      <x:c r="D5694" s="16" t="str"/>
      <x:c r="E5694" s="16" t="str">
        <x:v>* myContacts</x:v>
      </x:c>
      <x:c r="F5694" s="16" t="str">
        <x:v>+601123083591</x:v>
      </x:c>
      <x:c r="G5694" s="16" t="str">
        <x:v>+601123083591</x:v>
      </x:c>
      <x:c r="H5694" s="16" t="str">
        <x:v>Excluded</x:v>
      </x:c>
      <x:c r="I5694" s="16" t="str">
        <x:v>Missing email</x:v>
      </x:c>
    </x:row>
    <x:row r="5695">
      <x:c r="A5695" s="16" t="n">
        <x:v>5692</x:v>
      </x:c>
      <x:c r="B5695" s="16" t="str">
        <x:v>Puteri Anggerik</x:v>
      </x:c>
      <x:c r="C5695" s="16" t="str"/>
      <x:c r="D5695" s="16" t="str"/>
      <x:c r="E5695" s="16" t="str">
        <x:v>* myContacts</x:v>
      </x:c>
      <x:c r="F5695" s="16" t="str">
        <x:v>+60189711981</x:v>
      </x:c>
      <x:c r="G5695" s="16" t="str">
        <x:v>+60189711981</x:v>
      </x:c>
      <x:c r="H5695" s="16" t="str">
        <x:v>Excluded</x:v>
      </x:c>
      <x:c r="I5695" s="16" t="str">
        <x:v>Missing email</x:v>
      </x:c>
    </x:row>
    <x:row r="5696">
      <x:c r="A5696" s="16" t="n">
        <x:v>5693</x:v>
      </x:c>
      <x:c r="B5696" s="16" t="str">
        <x:v>Puteri Fateeha</x:v>
      </x:c>
      <x:c r="C5696" s="16" t="str"/>
      <x:c r="D5696" s="16" t="str"/>
      <x:c r="E5696" s="16" t="str">
        <x:v>* myContacts</x:v>
      </x:c>
      <x:c r="F5696" s="16" t="str">
        <x:v>+601140393462</x:v>
      </x:c>
      <x:c r="G5696" s="16" t="str">
        <x:v>+601140393462</x:v>
      </x:c>
      <x:c r="H5696" s="16" t="str">
        <x:v>Excluded</x:v>
      </x:c>
      <x:c r="I5696" s="16" t="str">
        <x:v>Missing email</x:v>
      </x:c>
    </x:row>
    <x:row r="5697">
      <x:c r="A5697" s="16" t="n">
        <x:v>5694</x:v>
      </x:c>
      <x:c r="B5697" s="16" t="str">
        <x:v>Puteri Impian</x:v>
      </x:c>
      <x:c r="C5697" s="16" t="str"/>
      <x:c r="D5697" s="16" t="str"/>
      <x:c r="E5697" s="16" t="str">
        <x:v>* myContacts</x:v>
      </x:c>
      <x:c r="F5697" s="16" t="str">
        <x:v>+60176191096</x:v>
      </x:c>
      <x:c r="G5697" s="16" t="str">
        <x:v>+60176191096</x:v>
      </x:c>
      <x:c r="H5697" s="16" t="str">
        <x:v>Excluded</x:v>
      </x:c>
      <x:c r="I5697" s="16" t="str">
        <x:v>Missing email</x:v>
      </x:c>
    </x:row>
    <x:row r="5698">
      <x:c r="A5698" s="16" t="n">
        <x:v>5695</x:v>
      </x:c>
      <x:c r="B5698" s="16" t="str">
        <x:v>Puteri Kek Lapis Sarawak</x:v>
      </x:c>
      <x:c r="C5698" s="16" t="str"/>
      <x:c r="D5698" s="16" t="str"/>
      <x:c r="E5698" s="16" t="str">
        <x:v>* myContacts</x:v>
      </x:c>
      <x:c r="F5698" s="16" t="str">
        <x:v>+60199770036</x:v>
      </x:c>
      <x:c r="G5698" s="16" t="str">
        <x:v>+60199770036</x:v>
      </x:c>
      <x:c r="H5698" s="16" t="str">
        <x:v>Excluded</x:v>
      </x:c>
      <x:c r="I5698" s="16" t="str">
        <x:v>Missing email</x:v>
      </x:c>
    </x:row>
    <x:row r="5699">
      <x:c r="A5699" s="16" t="n">
        <x:v>5696</x:v>
      </x:c>
      <x:c r="B5699" s="16" t="str">
        <x:v>Puteri Nor Azimah</x:v>
      </x:c>
      <x:c r="C5699" s="16" t="str"/>
      <x:c r="D5699" s="16" t="str"/>
      <x:c r="E5699" s="16" t="str">
        <x:v>* myContacts</x:v>
      </x:c>
      <x:c r="F5699" s="16" t="str">
        <x:v>+60122692310</x:v>
      </x:c>
      <x:c r="G5699" s="16" t="str">
        <x:v>+60122692310</x:v>
      </x:c>
      <x:c r="H5699" s="16" t="str">
        <x:v>Excluded</x:v>
      </x:c>
      <x:c r="I5699" s="16" t="str">
        <x:v>Missing email</x:v>
      </x:c>
    </x:row>
    <x:row r="5700">
      <x:c r="A5700" s="16" t="n">
        <x:v>5697</x:v>
      </x:c>
      <x:c r="B5700" s="16" t="str">
        <x:v>Putra Ali Wbw</x:v>
      </x:c>
      <x:c r="C5700" s="16" t="str"/>
      <x:c r="D5700" s="16" t="str"/>
      <x:c r="E5700" s="16" t="str">
        <x:v>* myContacts</x:v>
      </x:c>
      <x:c r="F5700" s="16" t="str">
        <x:v>+601122222789</x:v>
      </x:c>
      <x:c r="G5700" s="16" t="str">
        <x:v>+601122222789</x:v>
      </x:c>
      <x:c r="H5700" s="16" t="str">
        <x:v>Excluded</x:v>
      </x:c>
      <x:c r="I5700" s="16" t="str">
        <x:v>Missing email</x:v>
      </x:c>
    </x:row>
    <x:row r="5701">
      <x:c r="A5701" s="16" t="n">
        <x:v>5698</x:v>
      </x:c>
      <x:c r="B5701" s="16" t="str">
        <x:v>Putra Andalas</x:v>
      </x:c>
      <x:c r="C5701" s="16" t="str"/>
      <x:c r="D5701" s="16" t="str"/>
      <x:c r="E5701" s="16" t="str">
        <x:v>* myContacts</x:v>
      </x:c>
      <x:c r="F5701" s="16" t="str">
        <x:v>+6281271396060</x:v>
      </x:c>
      <x:c r="G5701" s="16" t="str">
        <x:v>+6281271396060</x:v>
      </x:c>
      <x:c r="H5701" s="16" t="str">
        <x:v>Excluded</x:v>
      </x:c>
      <x:c r="I5701" s="16" t="str">
        <x:v>Missing email</x:v>
      </x:c>
    </x:row>
    <x:row r="5702">
      <x:c r="A5702" s="16" t="n">
        <x:v>5699</x:v>
      </x:c>
      <x:c r="B5702" s="16" t="str">
        <x:v>Putra Ariffin</x:v>
      </x:c>
      <x:c r="C5702" s="16" t="str"/>
      <x:c r="D5702" s="16" t="str"/>
      <x:c r="E5702" s="16" t="str">
        <x:v>* myContacts</x:v>
      </x:c>
      <x:c r="F5702" s="16" t="str">
        <x:v>+601121857754</x:v>
      </x:c>
      <x:c r="G5702" s="16" t="str">
        <x:v>+601121857754</x:v>
      </x:c>
      <x:c r="H5702" s="16" t="str">
        <x:v>Excluded</x:v>
      </x:c>
      <x:c r="I5702" s="16" t="str">
        <x:v>Missing email</x:v>
      </x:c>
    </x:row>
    <x:row r="5703">
      <x:c r="A5703" s="16" t="n">
        <x:v>5700</x:v>
      </x:c>
      <x:c r="B5703" s="16" t="str">
        <x:v>Putra IM</x:v>
      </x:c>
      <x:c r="C5703" s="16" t="str"/>
      <x:c r="D5703" s="16" t="str"/>
      <x:c r="E5703" s="16" t="str">
        <x:v>* myContacts</x:v>
      </x:c>
      <x:c r="F5703" s="16" t="str">
        <x:v>+60123455034</x:v>
      </x:c>
      <x:c r="G5703" s="16" t="str">
        <x:v>+60123455034</x:v>
      </x:c>
      <x:c r="H5703" s="16" t="str">
        <x:v>Excluded</x:v>
      </x:c>
      <x:c r="I5703" s="16" t="str">
        <x:v>Missing email</x:v>
      </x:c>
    </x:row>
    <x:row r="5704">
      <x:c r="A5704" s="16" t="n">
        <x:v>5701</x:v>
      </x:c>
      <x:c r="B5704" s="16" t="str">
        <x:v>Putra Izam</x:v>
      </x:c>
      <x:c r="C5704" s="16" t="str"/>
      <x:c r="D5704" s="16" t="str"/>
      <x:c r="E5704" s="16" t="str">
        <x:v>* myContacts</x:v>
      </x:c>
      <x:c r="F5704" s="16" t="str">
        <x:v>+60138765022</x:v>
      </x:c>
      <x:c r="G5704" s="16" t="str">
        <x:v>+60138765022</x:v>
      </x:c>
      <x:c r="H5704" s="16" t="str">
        <x:v>Excluded</x:v>
      </x:c>
      <x:c r="I5704" s="16" t="str">
        <x:v>Missing email</x:v>
      </x:c>
    </x:row>
    <x:row r="5705">
      <x:c r="A5705" s="16" t="n">
        <x:v>5702</x:v>
      </x:c>
      <x:c r="B5705" s="16" t="str">
        <x:v>Putra Khusyairi</x:v>
      </x:c>
      <x:c r="C5705" s="16" t="str"/>
      <x:c r="D5705" s="16" t="str"/>
      <x:c r="E5705" s="16" t="str">
        <x:v>* myContacts</x:v>
      </x:c>
      <x:c r="F5705" s="16" t="str">
        <x:v>+601119498284</x:v>
      </x:c>
      <x:c r="G5705" s="16" t="str">
        <x:v>+601119498284</x:v>
      </x:c>
      <x:c r="H5705" s="16" t="str">
        <x:v>Excluded</x:v>
      </x:c>
      <x:c r="I5705" s="16" t="str">
        <x:v>Missing email</x:v>
      </x:c>
    </x:row>
    <x:row r="5706">
      <x:c r="A5706" s="16" t="n">
        <x:v>5703</x:v>
      </x:c>
      <x:c r="B5706" s="16" t="str">
        <x:v>Putra Zack Jtx</x:v>
      </x:c>
      <x:c r="C5706" s="16" t="str"/>
      <x:c r="D5706" s="16" t="str"/>
      <x:c r="E5706" s="16" t="str">
        <x:v>* myContacts</x:v>
      </x:c>
      <x:c r="F5706" s="16" t="str">
        <x:v>+60135141203</x:v>
      </x:c>
      <x:c r="G5706" s="16" t="str">
        <x:v>+60135141203</x:v>
      </x:c>
      <x:c r="H5706" s="16" t="str">
        <x:v>Excluded</x:v>
      </x:c>
      <x:c r="I5706" s="16" t="str">
        <x:v>Missing email</x:v>
      </x:c>
    </x:row>
    <x:row r="5707">
      <x:c r="A5707" s="16" t="n">
        <x:v>5704</x:v>
      </x:c>
      <x:c r="B5707" s="16" t="str">
        <x:v>Putri Assitant Coach Sam Suresh</x:v>
      </x:c>
      <x:c r="C5707" s="16" t="str"/>
      <x:c r="D5707" s="16" t="str"/>
      <x:c r="E5707" s="16" t="str">
        <x:v>Trainer | * myContacts</x:v>
      </x:c>
      <x:c r="F5707" s="16" t="str">
        <x:v>+60 17-200 8017 | +60172008017</x:v>
      </x:c>
      <x:c r="G5707" s="16" t="str">
        <x:v>+60172008017 | +60172008017</x:v>
      </x:c>
      <x:c r="H5707" s="16" t="str">
        <x:v>Excluded</x:v>
      </x:c>
      <x:c r="I5707" s="16" t="str">
        <x:v>Missing email</x:v>
      </x:c>
    </x:row>
    <x:row r="5708">
      <x:c r="A5708" s="16" t="n">
        <x:v>5705</x:v>
      </x:c>
      <x:c r="B5708" s="16" t="str">
        <x:v>Putri Cardock Academy</x:v>
      </x:c>
      <x:c r="C5708" s="16" t="str"/>
      <x:c r="D5708" s="16" t="str"/>
      <x:c r="E5708" s="16" t="str">
        <x:v>* myContacts</x:v>
      </x:c>
      <x:c r="F5708" s="16" t="str">
        <x:v>+60 19-298 2799 | +60192982799</x:v>
      </x:c>
      <x:c r="G5708" s="16" t="str">
        <x:v>+60192982799 | +60192982799</x:v>
      </x:c>
      <x:c r="H5708" s="16" t="str">
        <x:v>Excluded</x:v>
      </x:c>
      <x:c r="I5708" s="16" t="str">
        <x:v>Missing email</x:v>
      </x:c>
    </x:row>
    <x:row r="5709">
      <x:c r="A5709" s="16" t="n">
        <x:v>5706</x:v>
      </x:c>
      <x:c r="B5709" s="16" t="str">
        <x:v>Putri Damiea Adriana</x:v>
      </x:c>
      <x:c r="C5709" s="16" t="str"/>
      <x:c r="D5709" s="16" t="str"/>
      <x:c r="E5709" s="16" t="str">
        <x:v>* myContacts</x:v>
      </x:c>
      <x:c r="F5709" s="16" t="str">
        <x:v>+60149094319</x:v>
      </x:c>
      <x:c r="G5709" s="16" t="str">
        <x:v>+60149094319</x:v>
      </x:c>
      <x:c r="H5709" s="16" t="str">
        <x:v>Excluded</x:v>
      </x:c>
      <x:c r="I5709" s="16" t="str">
        <x:v>Missing email</x:v>
      </x:c>
    </x:row>
    <x:row r="5710">
      <x:c r="A5710" s="16" t="n">
        <x:v>5707</x:v>
      </x:c>
      <x:c r="B5710" s="16" t="str">
        <x:v>Putry Shazleen Imani Norshafiqizuan</x:v>
      </x:c>
      <x:c r="C5710" s="16" t="str"/>
      <x:c r="D5710" s="16" t="str"/>
      <x:c r="E5710" s="16" t="str">
        <x:v>* myContacts</x:v>
      </x:c>
      <x:c r="F5710" s="16" t="str">
        <x:v>+601137004618</x:v>
      </x:c>
      <x:c r="G5710" s="16" t="str">
        <x:v>+601137004618</x:v>
      </x:c>
      <x:c r="H5710" s="16" t="str">
        <x:v>Excluded</x:v>
      </x:c>
      <x:c r="I5710" s="16" t="str">
        <x:v>Missing email</x:v>
      </x:c>
    </x:row>
    <x:row r="5711">
      <x:c r="A5711" s="16" t="n">
        <x:v>5708</x:v>
      </x:c>
      <x:c r="B5711" s="16" t="str">
        <x:v>PV Nomi</x:v>
      </x:c>
      <x:c r="C5711" s="16" t="str"/>
      <x:c r="D5711" s="16" t="str"/>
      <x:c r="E5711" s="16" t="str">
        <x:v>* myContacts</x:v>
      </x:c>
      <x:c r="F5711" s="16" t="str">
        <x:v>0192281260 | +60192281260 | ‪+60 11-2329 1318‬</x:v>
      </x:c>
      <x:c r="G5711" s="16" t="str">
        <x:v>+60192281260 | +60192281260 | +601123291318</x:v>
      </x:c>
      <x:c r="H5711" s="16" t="str">
        <x:v>Excluded</x:v>
      </x:c>
      <x:c r="I5711" s="16" t="str">
        <x:v>Missing email</x:v>
      </x:c>
    </x:row>
    <x:row r="5712">
      <x:c r="A5712" s="16" t="n">
        <x:v>5709</x:v>
      </x:c>
      <x:c r="B5712" s="16" t="str">
        <x:v>Qairul HaQiem Fatt Qoon</x:v>
      </x:c>
      <x:c r="C5712" s="16" t="str"/>
      <x:c r="D5712" s="16" t="str"/>
      <x:c r="E5712" s="16" t="str">
        <x:v>* myContacts</x:v>
      </x:c>
      <x:c r="F5712" s="16" t="str">
        <x:v>+60198887328</x:v>
      </x:c>
      <x:c r="G5712" s="16" t="str">
        <x:v>+60198887328</x:v>
      </x:c>
      <x:c r="H5712" s="16" t="str">
        <x:v>Excluded</x:v>
      </x:c>
      <x:c r="I5712" s="16" t="str">
        <x:v>Missing email</x:v>
      </x:c>
    </x:row>
    <x:row r="5713">
      <x:c r="A5713" s="16" t="n">
        <x:v>5710</x:v>
      </x:c>
      <x:c r="B5713" s="16" t="str">
        <x:v>Qaleesya Nisrina Zamrina</x:v>
      </x:c>
      <x:c r="C5713" s="16" t="str"/>
      <x:c r="D5713" s="16" t="str"/>
      <x:c r="E5713" s="16" t="str">
        <x:v>* myContacts</x:v>
      </x:c>
      <x:c r="F5713" s="16" t="str">
        <x:v>+60184724329</x:v>
      </x:c>
      <x:c r="G5713" s="16" t="str">
        <x:v>+60184724329</x:v>
      </x:c>
      <x:c r="H5713" s="16" t="str">
        <x:v>Excluded</x:v>
      </x:c>
      <x:c r="I5713" s="16" t="str">
        <x:v>Missing email</x:v>
      </x:c>
    </x:row>
    <x:row r="5714">
      <x:c r="A5714" s="16" t="n">
        <x:v>5711</x:v>
      </x:c>
      <x:c r="B5714" s="16" t="str">
        <x:v>Qalzuwa Mikhail</x:v>
      </x:c>
      <x:c r="C5714" s="16" t="str"/>
      <x:c r="D5714" s="16" t="str"/>
      <x:c r="E5714" s="16" t="str">
        <x:v>* myContacts</x:v>
      </x:c>
      <x:c r="F5714" s="16" t="str">
        <x:v>+60132549442</x:v>
      </x:c>
      <x:c r="G5714" s="16" t="str">
        <x:v>+60132549442</x:v>
      </x:c>
      <x:c r="H5714" s="16" t="str">
        <x:v>Excluded</x:v>
      </x:c>
      <x:c r="I5714" s="16" t="str">
        <x:v>Missing email</x:v>
      </x:c>
    </x:row>
    <x:row r="5715">
      <x:c r="A5715" s="16" t="n">
        <x:v>5712</x:v>
      </x:c>
      <x:c r="B5715" s="16" t="str">
        <x:v>Qamelya Hijab</x:v>
      </x:c>
      <x:c r="C5715" s="16" t="str"/>
      <x:c r="D5715" s="16" t="str"/>
      <x:c r="E5715" s="16" t="str">
        <x:v>* myContacts</x:v>
      </x:c>
      <x:c r="F5715" s="16" t="str">
        <x:v>+60104017433</x:v>
      </x:c>
      <x:c r="G5715" s="16" t="str">
        <x:v>+60104017433</x:v>
      </x:c>
      <x:c r="H5715" s="16" t="str">
        <x:v>Excluded</x:v>
      </x:c>
      <x:c r="I5715" s="16" t="str">
        <x:v>Missing email</x:v>
      </x:c>
    </x:row>
    <x:row r="5716">
      <x:c r="A5716" s="16" t="n">
        <x:v>5713</x:v>
      </x:c>
      <x:c r="B5716" s="16" t="str">
        <x:v>Qaseh Ita</x:v>
      </x:c>
      <x:c r="C5716" s="16" t="str"/>
      <x:c r="D5716" s="16" t="str"/>
      <x:c r="E5716" s="16" t="str">
        <x:v>* myContacts</x:v>
      </x:c>
      <x:c r="F5716" s="16" t="str">
        <x:v>+60174777090</x:v>
      </x:c>
      <x:c r="G5716" s="16" t="str">
        <x:v>+60174777090</x:v>
      </x:c>
      <x:c r="H5716" s="16" t="str">
        <x:v>Excluded</x:v>
      </x:c>
      <x:c r="I5716" s="16" t="str">
        <x:v>Missing email</x:v>
      </x:c>
    </x:row>
    <x:row r="5717">
      <x:c r="A5717" s="16" t="n">
        <x:v>5714</x:v>
      </x:c>
      <x:c r="B5717" s="16" t="str">
        <x:v>Qaseh Kalbu Homefacial</x:v>
      </x:c>
      <x:c r="C5717" s="16" t="str"/>
      <x:c r="D5717" s="16" t="str"/>
      <x:c r="E5717" s="16" t="str">
        <x:v>* myContacts</x:v>
      </x:c>
      <x:c r="F5717" s="16" t="str">
        <x:v>+60197431451</x:v>
      </x:c>
      <x:c r="G5717" s="16" t="str">
        <x:v>+60197431451</x:v>
      </x:c>
      <x:c r="H5717" s="16" t="str">
        <x:v>Excluded</x:v>
      </x:c>
      <x:c r="I5717" s="16" t="str">
        <x:v>Missing email</x:v>
      </x:c>
    </x:row>
    <x:row r="5718">
      <x:c r="A5718" s="16" t="n">
        <x:v>5715</x:v>
      </x:c>
      <x:c r="B5718" s="16" t="str">
        <x:v>Qasem Sayo</x:v>
      </x:c>
      <x:c r="C5718" s="16" t="str"/>
      <x:c r="D5718" s="16" t="str"/>
      <x:c r="E5718" s="16" t="str">
        <x:v>* myContacts</x:v>
      </x:c>
      <x:c r="F5718" s="16" t="str">
        <x:v>+60122712296</x:v>
      </x:c>
      <x:c r="G5718" s="16" t="str">
        <x:v>+60122712296</x:v>
      </x:c>
      <x:c r="H5718" s="16" t="str">
        <x:v>Excluded</x:v>
      </x:c>
      <x:c r="I5718" s="16" t="str">
        <x:v>Missing email</x:v>
      </x:c>
    </x:row>
    <x:row r="5719">
      <x:c r="A5719" s="16" t="n">
        <x:v>5716</x:v>
      </x:c>
      <x:c r="B5719" s="16" t="str">
        <x:v>QASHRINA qash</x:v>
      </x:c>
      <x:c r="C5719" s="16" t="str"/>
      <x:c r="D5719" s="16" t="str"/>
      <x:c r="E5719" s="16" t="str">
        <x:v>* myContacts</x:v>
      </x:c>
      <x:c r="F5719" s="16" t="str">
        <x:v>+60197515624</x:v>
      </x:c>
      <x:c r="G5719" s="16" t="str">
        <x:v>+60197515624</x:v>
      </x:c>
      <x:c r="H5719" s="16" t="str">
        <x:v>Excluded</x:v>
      </x:c>
      <x:c r="I5719" s="16" t="str">
        <x:v>Missing email</x:v>
      </x:c>
    </x:row>
    <x:row r="5720">
      <x:c r="A5720" s="16" t="n">
        <x:v>5717</x:v>
      </x:c>
      <x:c r="B5720" s="16" t="str">
        <x:v>qasrinaaa</x:v>
      </x:c>
      <x:c r="C5720" s="16" t="str"/>
      <x:c r="D5720" s="16" t="str"/>
      <x:c r="E5720" s="16" t="str">
        <x:v>* myContacts</x:v>
      </x:c>
      <x:c r="F5720" s="16" t="str">
        <x:v>+60163107761</x:v>
      </x:c>
      <x:c r="G5720" s="16" t="str">
        <x:v>+60163107761</x:v>
      </x:c>
      <x:c r="H5720" s="16" t="str">
        <x:v>Excluded</x:v>
      </x:c>
      <x:c r="I5720" s="16" t="str">
        <x:v>Missing email</x:v>
      </x:c>
    </x:row>
    <x:row r="5721">
      <x:c r="A5721" s="16" t="n">
        <x:v>5718</x:v>
      </x:c>
      <x:c r="B5721" s="16" t="str">
        <x:v>Qawiy Tiktok Creator</x:v>
      </x:c>
      <x:c r="C5721" s="16" t="str"/>
      <x:c r="D5721" s="16" t="str"/>
      <x:c r="E5721" s="16" t="str">
        <x:v>* myContacts</x:v>
      </x:c>
      <x:c r="F5721" s="16" t="str">
        <x:v>0198769636 | +60198769636</x:v>
      </x:c>
      <x:c r="G5721" s="16" t="str">
        <x:v>+60198769636 | +60198769636</x:v>
      </x:c>
      <x:c r="H5721" s="16" t="str">
        <x:v>Excluded</x:v>
      </x:c>
      <x:c r="I5721" s="16" t="str">
        <x:v>Missing email</x:v>
      </x:c>
    </x:row>
    <x:row r="5722">
      <x:c r="A5722" s="16" t="n">
        <x:v>5719</x:v>
      </x:c>
      <x:c r="B5722" s="16" t="str">
        <x:v>Qayyum Adik Ipar Broku</x:v>
      </x:c>
      <x:c r="C5722" s="16" t="str"/>
      <x:c r="D5722" s="16" t="str"/>
      <x:c r="E5722" s="16" t="str">
        <x:v>* myContacts</x:v>
      </x:c>
      <x:c r="F5722" s="16" t="str">
        <x:v>+60193353176</x:v>
      </x:c>
      <x:c r="G5722" s="16" t="str">
        <x:v>+60193353176</x:v>
      </x:c>
      <x:c r="H5722" s="16" t="str">
        <x:v>Excluded</x:v>
      </x:c>
      <x:c r="I5722" s="16" t="str">
        <x:v>Missing email</x:v>
      </x:c>
    </x:row>
    <x:row r="5723">
      <x:c r="A5723" s="16" t="n">
        <x:v>5720</x:v>
      </x:c>
      <x:c r="B5723" s="16" t="str">
        <x:v>Qijang Kuhaan</x:v>
      </x:c>
      <x:c r="C5723" s="16" t="str"/>
      <x:c r="D5723" s="16" t="str"/>
      <x:c r="E5723" s="16" t="str">
        <x:v>* myContacts</x:v>
      </x:c>
      <x:c r="F5723" s="16" t="str">
        <x:v>+60 17-240 3378 | +60172403378</x:v>
      </x:c>
      <x:c r="G5723" s="16" t="str">
        <x:v>+60172403378 | +60172403378</x:v>
      </x:c>
      <x:c r="H5723" s="16" t="str">
        <x:v>Excluded</x:v>
      </x:c>
      <x:c r="I5723" s="16" t="str">
        <x:v>Missing email</x:v>
      </x:c>
    </x:row>
    <x:row r="5724">
      <x:c r="A5724" s="16" t="n">
        <x:v>5721</x:v>
      </x:c>
      <x:c r="B5724" s="16" t="str">
        <x:v>Qijang Nor Mazita</x:v>
      </x:c>
      <x:c r="C5724" s="16" t="str"/>
      <x:c r="D5724" s="16" t="str"/>
      <x:c r="E5724" s="16" t="str">
        <x:v>* myContacts</x:v>
      </x:c>
      <x:c r="F5724" s="16" t="str">
        <x:v>+60 12-338 4140 | +60123384140</x:v>
      </x:c>
      <x:c r="G5724" s="16" t="str">
        <x:v>+60123384140 | +60123384140</x:v>
      </x:c>
      <x:c r="H5724" s="16" t="str">
        <x:v>Excluded</x:v>
      </x:c>
      <x:c r="I5724" s="16" t="str">
        <x:v>Missing email</x:v>
      </x:c>
    </x:row>
    <x:row r="5725">
      <x:c r="A5725" s="16" t="n">
        <x:v>5722</x:v>
      </x:c>
      <x:c r="B5725" s="16" t="str">
        <x:v>Qing Lee Ari</x:v>
      </x:c>
      <x:c r="C5725" s="16" t="str"/>
      <x:c r="D5725" s="16" t="str"/>
      <x:c r="E5725" s="16" t="str">
        <x:v>* myContacts</x:v>
      </x:c>
      <x:c r="F5725" s="16" t="str">
        <x:v>+6281555409896</x:v>
      </x:c>
      <x:c r="G5725" s="16" t="str">
        <x:v>+6281555409896</x:v>
      </x:c>
      <x:c r="H5725" s="16" t="str">
        <x:v>Excluded</x:v>
      </x:c>
      <x:c r="I5725" s="16" t="str">
        <x:v>Missing email</x:v>
      </x:c>
    </x:row>
    <x:row r="5726">
      <x:c r="A5726" s="16" t="n">
        <x:v>5723</x:v>
      </x:c>
      <x:c r="B5726" s="16" t="str">
        <x:v>QISTINA</x:v>
      </x:c>
      <x:c r="C5726" s="16" t="str"/>
      <x:c r="D5726" s="16" t="str"/>
      <x:c r="E5726" s="16" t="str">
        <x:v>* myContacts</x:v>
      </x:c>
      <x:c r="F5726" s="16" t="str">
        <x:v>+601167751647</x:v>
      </x:c>
      <x:c r="G5726" s="16" t="str">
        <x:v>+601167751647</x:v>
      </x:c>
      <x:c r="H5726" s="16" t="str">
        <x:v>Excluded</x:v>
      </x:c>
      <x:c r="I5726" s="16" t="str">
        <x:v>Missing email</x:v>
      </x:c>
    </x:row>
    <x:row r="5727">
      <x:c r="A5727" s="16" t="n">
        <x:v>5724</x:v>
      </x:c>
      <x:c r="B5727" s="16" t="str">
        <x:v>Qm Helpdesk</x:v>
      </x:c>
      <x:c r="C5727" s="16" t="str">
        <x:v>qmhelpdesk00@gmail.com</x:v>
      </x:c>
      <x:c r="D5727" s="16" t="str">
        <x:v>qmhelpdesk00@gmail.com</x:v>
      </x:c>
      <x:c r="E5727" s="16" t="str">
        <x:v>* myContacts</x:v>
      </x:c>
      <x:c r="F5727" s="16" t="str">
        <x:v>+60143180237</x:v>
      </x:c>
      <x:c r="G5727" s="16" t="str">
        <x:v>+60143180237</x:v>
      </x:c>
      <x:c r="H5727" s="16" t="str">
        <x:v>Eligible</x:v>
      </x:c>
      <x:c r="I5727" s="16" t="str"/>
    </x:row>
    <x:row r="5728">
      <x:c r="A5728" s="16" t="n">
        <x:v>5725</x:v>
      </x:c>
      <x:c r="B5728" s="16" t="str">
        <x:v>Que Zara</x:v>
      </x:c>
      <x:c r="C5728" s="16" t="str"/>
      <x:c r="D5728" s="16" t="str"/>
      <x:c r="E5728" s="16" t="str">
        <x:v>* myContacts</x:v>
      </x:c>
      <x:c r="F5728" s="16" t="str">
        <x:v>+601113089793</x:v>
      </x:c>
      <x:c r="G5728" s="16" t="str">
        <x:v>+601113089793</x:v>
      </x:c>
      <x:c r="H5728" s="16" t="str">
        <x:v>Excluded</x:v>
      </x:c>
      <x:c r="I5728" s="16" t="str">
        <x:v>Missing email</x:v>
      </x:c>
    </x:row>
    <x:row r="5729">
      <x:c r="A5729" s="16" t="n">
        <x:v>5726</x:v>
      </x:c>
      <x:c r="B5729" s="16" t="str">
        <x:v>Quran Tag Mujam</x:v>
      </x:c>
      <x:c r="C5729" s="16" t="str"/>
      <x:c r="D5729" s="16" t="str"/>
      <x:c r="E5729" s="16" t="str">
        <x:v>* myContacts</x:v>
      </x:c>
      <x:c r="F5729" s="16" t="str">
        <x:v>+60 11-1302 0359 | +601113020359</x:v>
      </x:c>
      <x:c r="G5729" s="16" t="str">
        <x:v>+601113020359 | +601113020359</x:v>
      </x:c>
      <x:c r="H5729" s="16" t="str">
        <x:v>Excluded</x:v>
      </x:c>
      <x:c r="I5729" s="16" t="str">
        <x:v>Missing email</x:v>
      </x:c>
    </x:row>
    <x:row r="5730">
      <x:c r="A5730" s="16" t="n">
        <x:v>5727</x:v>
      </x:c>
      <x:c r="B5730" s="16" t="str">
        <x:v>Qyum Hamid</x:v>
      </x:c>
      <x:c r="C5730" s="16" t="str"/>
      <x:c r="D5730" s="16" t="str"/>
      <x:c r="E5730" s="16" t="str">
        <x:v>* myContacts</x:v>
      </x:c>
      <x:c r="F5730" s="16" t="str">
        <x:v>+60134456786</x:v>
      </x:c>
      <x:c r="G5730" s="16" t="str">
        <x:v>+60134456786</x:v>
      </x:c>
      <x:c r="H5730" s="16" t="str">
        <x:v>Excluded</x:v>
      </x:c>
      <x:c r="I5730" s="16" t="str">
        <x:v>Missing email</x:v>
      </x:c>
    </x:row>
    <x:row r="5731">
      <x:c r="A5731" s="16" t="n">
        <x:v>5728</x:v>
      </x:c>
      <x:c r="B5731" s="16" t="str">
        <x:v>R Kay Borewell</x:v>
      </x:c>
      <x:c r="C5731" s="16" t="str"/>
      <x:c r="D5731" s="16" t="str"/>
      <x:c r="E5731" s="16" t="str">
        <x:v>* myContacts</x:v>
      </x:c>
      <x:c r="F5731" s="16" t="str">
        <x:v>+60179863430</x:v>
      </x:c>
      <x:c r="G5731" s="16" t="str">
        <x:v>+60179863430</x:v>
      </x:c>
      <x:c r="H5731" s="16" t="str">
        <x:v>Excluded</x:v>
      </x:c>
      <x:c r="I5731" s="16" t="str">
        <x:v>Missing email</x:v>
      </x:c>
    </x:row>
    <x:row r="5732">
      <x:c r="A5732" s="16" t="n">
        <x:v>5729</x:v>
      </x:c>
      <x:c r="B5732" s="16" t="str">
        <x:v>Raba'ee Aju</x:v>
      </x:c>
      <x:c r="C5732" s="16" t="str"/>
      <x:c r="D5732" s="16" t="str"/>
      <x:c r="E5732" s="16" t="str">
        <x:v>* myContacts</x:v>
      </x:c>
      <x:c r="F5732" s="16" t="str">
        <x:v>+601115858457</x:v>
      </x:c>
      <x:c r="G5732" s="16" t="str">
        <x:v>+601115858457</x:v>
      </x:c>
      <x:c r="H5732" s="16" t="str">
        <x:v>Excluded</x:v>
      </x:c>
      <x:c r="I5732" s="16" t="str">
        <x:v>Missing email</x:v>
      </x:c>
    </x:row>
    <x:row r="5733">
      <x:c r="A5733" s="16" t="n">
        <x:v>5730</x:v>
      </x:c>
      <x:c r="B5733" s="16" t="str">
        <x:v>Rabbiatul Addawiyah</x:v>
      </x:c>
      <x:c r="C5733" s="16" t="str"/>
      <x:c r="D5733" s="16" t="str"/>
      <x:c r="E5733" s="16" t="str">
        <x:v>* myContacts</x:v>
      </x:c>
      <x:c r="F5733" s="16" t="str">
        <x:v>+601119953921</x:v>
      </x:c>
      <x:c r="G5733" s="16" t="str">
        <x:v>+601119953921</x:v>
      </x:c>
      <x:c r="H5733" s="16" t="str">
        <x:v>Excluded</x:v>
      </x:c>
      <x:c r="I5733" s="16" t="str">
        <x:v>Missing email</x:v>
      </x:c>
    </x:row>
    <x:row r="5734">
      <x:c r="A5734" s="16" t="n">
        <x:v>5731</x:v>
      </x:c>
      <x:c r="B5734" s="16" t="str">
        <x:v>Rabiatul Nazri</x:v>
      </x:c>
      <x:c r="C5734" s="16" t="str"/>
      <x:c r="D5734" s="16" t="str"/>
      <x:c r="E5734" s="16" t="str">
        <x:v>* myContacts</x:v>
      </x:c>
      <x:c r="F5734" s="16" t="str">
        <x:v>+60193375360</x:v>
      </x:c>
      <x:c r="G5734" s="16" t="str">
        <x:v>+60193375360</x:v>
      </x:c>
      <x:c r="H5734" s="16" t="str">
        <x:v>Excluded</x:v>
      </x:c>
      <x:c r="I5734" s="16" t="str">
        <x:v>Missing email</x:v>
      </x:c>
    </x:row>
    <x:row r="5735">
      <x:c r="A5735" s="16" t="n">
        <x:v>5732</x:v>
      </x:c>
      <x:c r="B5735" s="16" t="str">
        <x:v>Radaha Abu Bakar</x:v>
      </x:c>
      <x:c r="C5735" s="16" t="str"/>
      <x:c r="D5735" s="16" t="str"/>
      <x:c r="E5735" s="16" t="str">
        <x:v>* myContacts</x:v>
      </x:c>
      <x:c r="F5735" s="16" t="str">
        <x:v>+60173462291</x:v>
      </x:c>
      <x:c r="G5735" s="16" t="str">
        <x:v>+60173462291</x:v>
      </x:c>
      <x:c r="H5735" s="16" t="str">
        <x:v>Excluded</x:v>
      </x:c>
      <x:c r="I5735" s="16" t="str">
        <x:v>Missing email</x:v>
      </x:c>
    </x:row>
    <x:row r="5736">
      <x:c r="A5736" s="16" t="n">
        <x:v>5733</x:v>
      </x:c>
      <x:c r="B5736" s="16" t="str">
        <x:v>Radaiyah Lastam</x:v>
      </x:c>
      <x:c r="C5736" s="16" t="str"/>
      <x:c r="D5736" s="16" t="str"/>
      <x:c r="E5736" s="16" t="str">
        <x:v>* myContacts</x:v>
      </x:c>
      <x:c r="F5736" s="16" t="str">
        <x:v>+601118574912</x:v>
      </x:c>
      <x:c r="G5736" s="16" t="str">
        <x:v>+601118574912</x:v>
      </x:c>
      <x:c r="H5736" s="16" t="str">
        <x:v>Excluded</x:v>
      </x:c>
      <x:c r="I5736" s="16" t="str">
        <x:v>Missing email</x:v>
      </x:c>
    </x:row>
    <x:row r="5737">
      <x:c r="A5737" s="16" t="n">
        <x:v>5734</x:v>
      </x:c>
      <x:c r="B5737" s="16" t="str">
        <x:v>Raden Ismail</x:v>
      </x:c>
      <x:c r="C5737" s="16" t="str"/>
      <x:c r="D5737" s="16" t="str"/>
      <x:c r="E5737" s="16" t="str">
        <x:v>* myContacts</x:v>
      </x:c>
      <x:c r="F5737" s="16" t="str">
        <x:v>+60149897862</x:v>
      </x:c>
      <x:c r="G5737" s="16" t="str">
        <x:v>+60149897862</x:v>
      </x:c>
      <x:c r="H5737" s="16" t="str">
        <x:v>Excluded</x:v>
      </x:c>
      <x:c r="I5737" s="16" t="str">
        <x:v>Missing email</x:v>
      </x:c>
    </x:row>
    <x:row r="5738">
      <x:c r="A5738" s="16" t="n">
        <x:v>5735</x:v>
      </x:c>
      <x:c r="B5738" s="16" t="str">
        <x:v>Radhi Kbbc Agent</x:v>
      </x:c>
      <x:c r="C5738" s="16" t="str"/>
      <x:c r="D5738" s="16" t="str"/>
      <x:c r="E5738" s="16" t="str">
        <x:v>* myContacts</x:v>
      </x:c>
      <x:c r="F5738" s="16" t="str">
        <x:v>+60 17-663 9462 | +60176639462</x:v>
      </x:c>
      <x:c r="G5738" s="16" t="str">
        <x:v>+60176639462 | +60176639462</x:v>
      </x:c>
      <x:c r="H5738" s="16" t="str">
        <x:v>Excluded</x:v>
      </x:c>
      <x:c r="I5738" s="16" t="str">
        <x:v>Missing email</x:v>
      </x:c>
    </x:row>
    <x:row r="5739">
      <x:c r="A5739" s="16" t="n">
        <x:v>5736</x:v>
      </x:c>
      <x:c r="B5739" s="16" t="str">
        <x:v>Radin Fama Muse</x:v>
      </x:c>
      <x:c r="C5739" s="16" t="str"/>
      <x:c r="D5739" s="16" t="str"/>
      <x:c r="E5739" s="16" t="str">
        <x:v>* myContacts</x:v>
      </x:c>
      <x:c r="F5739" s="16" t="str">
        <x:v>+60 13-353 6968 | +60133536968</x:v>
      </x:c>
      <x:c r="G5739" s="16" t="str">
        <x:v>+60133536968 | +60133536968</x:v>
      </x:c>
      <x:c r="H5739" s="16" t="str">
        <x:v>Excluded</x:v>
      </x:c>
      <x:c r="I5739" s="16" t="str">
        <x:v>Missing email</x:v>
      </x:c>
    </x:row>
    <x:row r="5740">
      <x:c r="A5740" s="16" t="n">
        <x:v>5737</x:v>
      </x:c>
      <x:c r="B5740" s="16" t="str">
        <x:v>Radzi Harun SIRIM</x:v>
      </x:c>
      <x:c r="C5740" s="16" t="str">
        <x:v>mrh.2303@gmail.com</x:v>
      </x:c>
      <x:c r="D5740" s="16" t="str">
        <x:v>mrh.2303@gmail.com</x:v>
      </x:c>
      <x:c r="E5740" s="16" t="str">
        <x:v>* myContacts</x:v>
      </x:c>
      <x:c r="F5740" s="16" t="str">
        <x:v>+60193963532</x:v>
      </x:c>
      <x:c r="G5740" s="16" t="str">
        <x:v>+60193963532</x:v>
      </x:c>
      <x:c r="H5740" s="16" t="str">
        <x:v>Eligible</x:v>
      </x:c>
      <x:c r="I5740" s="16" t="str"/>
    </x:row>
    <x:row r="5741">
      <x:c r="A5741" s="16" t="n">
        <x:v>5738</x:v>
      </x:c>
      <x:c r="B5741" s="16" t="str">
        <x:v>Radziah Che Yahya</x:v>
      </x:c>
      <x:c r="C5741" s="16" t="str"/>
      <x:c r="D5741" s="16" t="str"/>
      <x:c r="E5741" s="16" t="str">
        <x:v>* myContacts</x:v>
      </x:c>
      <x:c r="F5741" s="16" t="str">
        <x:v>+60195481669</x:v>
      </x:c>
      <x:c r="G5741" s="16" t="str">
        <x:v>+60195481669</x:v>
      </x:c>
      <x:c r="H5741" s="16" t="str">
        <x:v>Excluded</x:v>
      </x:c>
      <x:c r="I5741" s="16" t="str">
        <x:v>Missing email</x:v>
      </x:c>
    </x:row>
    <x:row r="5742">
      <x:c r="A5742" s="16" t="n">
        <x:v>5739</x:v>
      </x:c>
      <x:c r="B5742" s="16" t="str">
        <x:v>Radzman Basinon (dRB)</x:v>
      </x:c>
      <x:c r="C5742" s="16" t="str"/>
      <x:c r="D5742" s="16" t="str"/>
      <x:c r="E5742" s="16" t="str">
        <x:v>* myContacts</x:v>
      </x:c>
      <x:c r="F5742" s="16" t="str">
        <x:v>+60 17-237 7381 | +60172377381</x:v>
      </x:c>
      <x:c r="G5742" s="16" t="str">
        <x:v>+60172377381 | +60172377381</x:v>
      </x:c>
      <x:c r="H5742" s="16" t="str">
        <x:v>Excluded</x:v>
      </x:c>
      <x:c r="I5742" s="16" t="str">
        <x:v>Missing email</x:v>
      </x:c>
    </x:row>
    <x:row r="5743">
      <x:c r="A5743" s="16" t="n">
        <x:v>5740</x:v>
      </x:c>
      <x:c r="B5743" s="16" t="str">
        <x:v>Radzmil Hassan</x:v>
      </x:c>
      <x:c r="C5743" s="16" t="str"/>
      <x:c r="D5743" s="16" t="str"/>
      <x:c r="E5743" s="16" t="str">
        <x:v>* myContacts</x:v>
      </x:c>
      <x:c r="F5743" s="16" t="str">
        <x:v>+601112654975</x:v>
      </x:c>
      <x:c r="G5743" s="16" t="str">
        <x:v>+601112654975</x:v>
      </x:c>
      <x:c r="H5743" s="16" t="str">
        <x:v>Excluded</x:v>
      </x:c>
      <x:c r="I5743" s="16" t="str">
        <x:v>Missing email</x:v>
      </x:c>
    </x:row>
    <x:row r="5744">
      <x:c r="A5744" s="16" t="n">
        <x:v>5741</x:v>
      </x:c>
      <x:c r="B5744" s="16" t="str">
        <x:v>Rafa Q Hakimi</x:v>
      </x:c>
      <x:c r="C5744" s="16" t="str"/>
      <x:c r="D5744" s="16" t="str"/>
      <x:c r="E5744" s="16" t="str">
        <x:v>* myContacts</x:v>
      </x:c>
      <x:c r="F5744" s="16" t="str">
        <x:v>+601136373315</x:v>
      </x:c>
      <x:c r="G5744" s="16" t="str">
        <x:v>+601136373315</x:v>
      </x:c>
      <x:c r="H5744" s="16" t="str">
        <x:v>Excluded</x:v>
      </x:c>
      <x:c r="I5744" s="16" t="str">
        <x:v>Missing email</x:v>
      </x:c>
    </x:row>
    <x:row r="5745">
      <x:c r="A5745" s="16" t="n">
        <x:v>5742</x:v>
      </x:c>
      <x:c r="B5745" s="16" t="str">
        <x:v>rafhan politik consultant</x:v>
      </x:c>
      <x:c r="C5745" s="16" t="str"/>
      <x:c r="D5745" s="16" t="str"/>
      <x:c r="E5745" s="16" t="str">
        <x:v>* myContacts</x:v>
      </x:c>
      <x:c r="F5745" s="16" t="str">
        <x:v>0182662926 | +60182662926</x:v>
      </x:c>
      <x:c r="G5745" s="16" t="str">
        <x:v>+60182662926 | +60182662926</x:v>
      </x:c>
      <x:c r="H5745" s="16" t="str">
        <x:v>Excluded</x:v>
      </x:c>
      <x:c r="I5745" s="16" t="str">
        <x:v>Missing email</x:v>
      </x:c>
    </x:row>
    <x:row r="5746">
      <x:c r="A5746" s="16" t="n">
        <x:v>5743</x:v>
      </x:c>
      <x:c r="B5746" s="16" t="str">
        <x:v>Rafi Rafael</x:v>
      </x:c>
      <x:c r="C5746" s="16" t="str"/>
      <x:c r="D5746" s="16" t="str"/>
      <x:c r="E5746" s="16" t="str">
        <x:v>* myContacts</x:v>
      </x:c>
      <x:c r="F5746" s="16" t="str">
        <x:v>+60197893838</x:v>
      </x:c>
      <x:c r="G5746" s="16" t="str">
        <x:v>+60197893838</x:v>
      </x:c>
      <x:c r="H5746" s="16" t="str">
        <x:v>Excluded</x:v>
      </x:c>
      <x:c r="I5746" s="16" t="str">
        <x:v>Missing email</x:v>
      </x:c>
    </x:row>
    <x:row r="5747">
      <x:c r="A5747" s="16" t="n">
        <x:v>5744</x:v>
      </x:c>
      <x:c r="B5747" s="16" t="str">
        <x:v>Rafiqah Jobli</x:v>
      </x:c>
      <x:c r="C5747" s="16" t="str"/>
      <x:c r="D5747" s="16" t="str"/>
      <x:c r="E5747" s="16" t="str">
        <x:v>* myContacts</x:v>
      </x:c>
      <x:c r="F5747" s="16" t="str">
        <x:v>+60148944867</x:v>
      </x:c>
      <x:c r="G5747" s="16" t="str">
        <x:v>+60148944867</x:v>
      </x:c>
      <x:c r="H5747" s="16" t="str">
        <x:v>Excluded</x:v>
      </x:c>
      <x:c r="I5747" s="16" t="str">
        <x:v>Missing email</x:v>
      </x:c>
    </x:row>
    <x:row r="5748">
      <x:c r="A5748" s="16" t="n">
        <x:v>5745</x:v>
      </x:c>
      <x:c r="B5748" s="16" t="str">
        <x:v>Raflieyza Onlne Trding</x:v>
      </x:c>
      <x:c r="C5748" s="16" t="str"/>
      <x:c r="D5748" s="16" t="str"/>
      <x:c r="E5748" s="16" t="str">
        <x:v>* myContacts</x:v>
      </x:c>
      <x:c r="F5748" s="16" t="str">
        <x:v>+601125615441</x:v>
      </x:c>
      <x:c r="G5748" s="16" t="str">
        <x:v>+601125615441</x:v>
      </x:c>
      <x:c r="H5748" s="16" t="str">
        <x:v>Excluded</x:v>
      </x:c>
      <x:c r="I5748" s="16" t="str">
        <x:v>Missing email</x:v>
      </x:c>
    </x:row>
    <x:row r="5749">
      <x:c r="A5749" s="16" t="n">
        <x:v>5746</x:v>
      </x:c>
      <x:c r="B5749" s="16" t="str">
        <x:v>Ragenee Channel Trainer HRDF</x:v>
      </x:c>
      <x:c r="C5749" s="16" t="str"/>
      <x:c r="D5749" s="16" t="str"/>
      <x:c r="E5749" s="16" t="str">
        <x:v>* myContacts</x:v>
      </x:c>
      <x:c r="F5749" s="16" t="str">
        <x:v>+60 18-660 5950 | +60186605950</x:v>
      </x:c>
      <x:c r="G5749" s="16" t="str">
        <x:v>+60186605950 | +60186605950</x:v>
      </x:c>
      <x:c r="H5749" s="16" t="str">
        <x:v>Excluded</x:v>
      </x:c>
      <x:c r="I5749" s="16" t="str">
        <x:v>Missing email</x:v>
      </x:c>
    </x:row>
    <x:row r="5750">
      <x:c r="A5750" s="16" t="n">
        <x:v>5747</x:v>
      </x:c>
      <x:c r="B5750" s="16" t="str">
        <x:v>Rahayu Binti Edward</x:v>
      </x:c>
      <x:c r="C5750" s="16" t="str"/>
      <x:c r="D5750" s="16" t="str"/>
      <x:c r="E5750" s="16" t="str">
        <x:v>* myContacts</x:v>
      </x:c>
      <x:c r="F5750" s="16" t="str">
        <x:v>+60195154528</x:v>
      </x:c>
      <x:c r="G5750" s="16" t="str">
        <x:v>+60195154528</x:v>
      </x:c>
      <x:c r="H5750" s="16" t="str">
        <x:v>Excluded</x:v>
      </x:c>
      <x:c r="I5750" s="16" t="str">
        <x:v>Missing email</x:v>
      </x:c>
    </x:row>
    <x:row r="5751">
      <x:c r="A5751" s="16" t="n">
        <x:v>5748</x:v>
      </x:c>
      <x:c r="B5751" s="16" t="str">
        <x:v>Rahayu Irfan</x:v>
      </x:c>
      <x:c r="C5751" s="16" t="str"/>
      <x:c r="D5751" s="16" t="str"/>
      <x:c r="E5751" s="16" t="str">
        <x:v>* myContacts</x:v>
      </x:c>
      <x:c r="F5751" s="16" t="str">
        <x:v>+60172301486</x:v>
      </x:c>
      <x:c r="G5751" s="16" t="str">
        <x:v>+60172301486</x:v>
      </x:c>
      <x:c r="H5751" s="16" t="str">
        <x:v>Excluded</x:v>
      </x:c>
      <x:c r="I5751" s="16" t="str">
        <x:v>Missing email</x:v>
      </x:c>
    </x:row>
    <x:row r="5752">
      <x:c r="A5752" s="16" t="n">
        <x:v>5749</x:v>
      </x:c>
      <x:c r="B5752" s="16" t="str">
        <x:v>Rahim Ehatie</x:v>
      </x:c>
      <x:c r="C5752" s="16" t="str"/>
      <x:c r="D5752" s="16" t="str"/>
      <x:c r="E5752" s="16" t="str">
        <x:v>* myContacts</x:v>
      </x:c>
      <x:c r="F5752" s="16" t="str">
        <x:v>012-406 6697 | +60124066697</x:v>
      </x:c>
      <x:c r="G5752" s="16" t="str">
        <x:v>+60124066697 | +60124066697</x:v>
      </x:c>
      <x:c r="H5752" s="16" t="str">
        <x:v>Excluded</x:v>
      </x:c>
      <x:c r="I5752" s="16" t="str">
        <x:v>Missing email</x:v>
      </x:c>
    </x:row>
    <x:row r="5753">
      <x:c r="A5753" s="16" t="n">
        <x:v>5750</x:v>
      </x:c>
      <x:c r="B5753" s="16" t="str">
        <x:v>Rahim Hamed</x:v>
      </x:c>
      <x:c r="C5753" s="16" t="str"/>
      <x:c r="D5753" s="16" t="str"/>
      <x:c r="E5753" s="16" t="str">
        <x:v>* myContacts</x:v>
      </x:c>
      <x:c r="F5753" s="16" t="str">
        <x:v>+601112960629</x:v>
      </x:c>
      <x:c r="G5753" s="16" t="str">
        <x:v>+601112960629</x:v>
      </x:c>
      <x:c r="H5753" s="16" t="str">
        <x:v>Excluded</x:v>
      </x:c>
      <x:c r="I5753" s="16" t="str">
        <x:v>Missing email</x:v>
      </x:c>
    </x:row>
    <x:row r="5754">
      <x:c r="A5754" s="16" t="n">
        <x:v>5751</x:v>
      </x:c>
      <x:c r="B5754" s="16" t="str">
        <x:v>Rahim Husain</x:v>
      </x:c>
      <x:c r="C5754" s="16" t="str"/>
      <x:c r="D5754" s="16" t="str"/>
      <x:c r="E5754" s="16" t="str">
        <x:v>* myContacts</x:v>
      </x:c>
      <x:c r="F5754" s="16" t="str">
        <x:v>+60145554150</x:v>
      </x:c>
      <x:c r="G5754" s="16" t="str">
        <x:v>+60145554150</x:v>
      </x:c>
      <x:c r="H5754" s="16" t="str">
        <x:v>Excluded</x:v>
      </x:c>
      <x:c r="I5754" s="16" t="str">
        <x:v>Missing email</x:v>
      </x:c>
    </x:row>
    <x:row r="5755">
      <x:c r="A5755" s="16" t="n">
        <x:v>5752</x:v>
      </x:c>
      <x:c r="B5755" s="16" t="str">
        <x:v>Rahim Niaga</x:v>
      </x:c>
      <x:c r="C5755" s="16" t="str"/>
      <x:c r="D5755" s="16" t="str"/>
      <x:c r="E5755" s="16" t="str">
        <x:v>* myContacts</x:v>
      </x:c>
      <x:c r="F5755" s="16" t="str">
        <x:v>+60172749982</x:v>
      </x:c>
      <x:c r="G5755" s="16" t="str">
        <x:v>+60172749982</x:v>
      </x:c>
      <x:c r="H5755" s="16" t="str">
        <x:v>Excluded</x:v>
      </x:c>
      <x:c r="I5755" s="16" t="str">
        <x:v>Missing email</x:v>
      </x:c>
    </x:row>
    <x:row r="5756">
      <x:c r="A5756" s="16" t="n">
        <x:v>5753</x:v>
      </x:c>
      <x:c r="B5756" s="16" t="str">
        <x:v>Dr Rahim Pakar Branding</x:v>
      </x:c>
      <x:c r="C5756" s="16" t="str"/>
      <x:c r="D5756" s="16" t="str"/>
      <x:c r="E5756" s="16" t="str">
        <x:v>* myContacts</x:v>
      </x:c>
      <x:c r="F5756" s="16" t="str">
        <x:v>+60 12-309 5938</x:v>
      </x:c>
      <x:c r="G5756" s="16" t="str">
        <x:v>+60123095938</x:v>
      </x:c>
      <x:c r="H5756" s="16" t="str">
        <x:v>Excluded</x:v>
      </x:c>
      <x:c r="I5756" s="16" t="str">
        <x:v>Missing email</x:v>
      </x:c>
    </x:row>
    <x:row r="5757">
      <x:c r="A5757" s="16" t="n">
        <x:v>5754</x:v>
      </x:c>
      <x:c r="B5757" s="16" t="str">
        <x:v>Rahim Travller Korea</x:v>
      </x:c>
      <x:c r="C5757" s="16" t="str"/>
      <x:c r="D5757" s="16" t="str"/>
      <x:c r="E5757" s="16" t="str">
        <x:v>* myContacts</x:v>
      </x:c>
      <x:c r="F5757" s="16" t="str">
        <x:v>0176857563 | +60176857563</x:v>
      </x:c>
      <x:c r="G5757" s="16" t="str">
        <x:v>+60176857563 | +60176857563</x:v>
      </x:c>
      <x:c r="H5757" s="16" t="str">
        <x:v>Excluded</x:v>
      </x:c>
      <x:c r="I5757" s="16" t="str">
        <x:v>Missing email</x:v>
      </x:c>
    </x:row>
    <x:row r="5758">
      <x:c r="A5758" s="16" t="n">
        <x:v>5755</x:v>
      </x:c>
      <x:c r="B5758" s="16" t="str">
        <x:v>Rahimah Ahmad Akhirudin</x:v>
      </x:c>
      <x:c r="C5758" s="16" t="str"/>
      <x:c r="D5758" s="16" t="str"/>
      <x:c r="E5758" s="16" t="str">
        <x:v>* myContacts</x:v>
      </x:c>
      <x:c r="F5758" s="16" t="str">
        <x:v>+60199931220</x:v>
      </x:c>
      <x:c r="G5758" s="16" t="str">
        <x:v>+60199931220</x:v>
      </x:c>
      <x:c r="H5758" s="16" t="str">
        <x:v>Excluded</x:v>
      </x:c>
      <x:c r="I5758" s="16" t="str">
        <x:v>Missing email</x:v>
      </x:c>
    </x:row>
    <x:row r="5759">
      <x:c r="A5759" s="16" t="n">
        <x:v>5756</x:v>
      </x:c>
      <x:c r="B5759" s="16" t="str">
        <x:v>Rahimi Mohd Alwi</x:v>
      </x:c>
      <x:c r="C5759" s="16" t="str"/>
      <x:c r="D5759" s="16" t="str"/>
      <x:c r="E5759" s="16" t="str">
        <x:v>* myContacts</x:v>
      </x:c>
      <x:c r="F5759" s="16" t="str">
        <x:v>+60139772179</x:v>
      </x:c>
      <x:c r="G5759" s="16" t="str">
        <x:v>+60139772179</x:v>
      </x:c>
      <x:c r="H5759" s="16" t="str">
        <x:v>Excluded</x:v>
      </x:c>
      <x:c r="I5759" s="16" t="str">
        <x:v>Missing email</x:v>
      </x:c>
    </x:row>
    <x:row r="5760">
      <x:c r="A5760" s="16" t="n">
        <x:v>5757</x:v>
      </x:c>
      <x:c r="B5760" s="16" t="str">
        <x:v>Rahizan Maybank Digital Solution</x:v>
      </x:c>
      <x:c r="C5760" s="16" t="str">
        <x:v>rahizan.ra@maybank.com</x:v>
      </x:c>
      <x:c r="D5760" s="16" t="str">
        <x:v>rahizan.ra@maybank.com</x:v>
      </x:c>
      <x:c r="E5760" s="16" t="str">
        <x:v>* myContacts</x:v>
      </x:c>
      <x:c r="F5760" s="16" t="str"/>
      <x:c r="G5760" s="16" t="str"/>
      <x:c r="H5760" s="16" t="str">
        <x:v>Eligible</x:v>
      </x:c>
      <x:c r="I5760" s="16" t="str"/>
    </x:row>
    <x:row r="5761">
      <x:c r="A5761" s="16" t="n">
        <x:v>5758</x:v>
      </x:c>
      <x:c r="B5761" s="16" t="str">
        <x:v>Rahman Bohry</x:v>
      </x:c>
      <x:c r="C5761" s="16" t="str"/>
      <x:c r="D5761" s="16" t="str"/>
      <x:c r="E5761" s="16" t="str">
        <x:v>* myContacts</x:v>
      </x:c>
      <x:c r="F5761" s="16" t="str">
        <x:v>+6281933032003</x:v>
      </x:c>
      <x:c r="G5761" s="16" t="str">
        <x:v>+6281933032003</x:v>
      </x:c>
      <x:c r="H5761" s="16" t="str">
        <x:v>Excluded</x:v>
      </x:c>
      <x:c r="I5761" s="16" t="str">
        <x:v>Missing email</x:v>
      </x:c>
    </x:row>
    <x:row r="5762">
      <x:c r="A5762" s="16" t="n">
        <x:v>5759</x:v>
      </x:c>
      <x:c r="B5762" s="16" t="str">
        <x:v>Rahman Mustafa</x:v>
      </x:c>
      <x:c r="C5762" s="16" t="str"/>
      <x:c r="D5762" s="16" t="str"/>
      <x:c r="E5762" s="16" t="str">
        <x:v>* myContacts</x:v>
      </x:c>
      <x:c r="F5762" s="16" t="str">
        <x:v>+60103086678</x:v>
      </x:c>
      <x:c r="G5762" s="16" t="str">
        <x:v>+60103086678</x:v>
      </x:c>
      <x:c r="H5762" s="16" t="str">
        <x:v>Excluded</x:v>
      </x:c>
      <x:c r="I5762" s="16" t="str">
        <x:v>Missing email</x:v>
      </x:c>
    </x:row>
    <x:row r="5763">
      <x:c r="A5763" s="16" t="n">
        <x:v>5760</x:v>
      </x:c>
      <x:c r="B5763" s="16" t="str">
        <x:v>Rahman Saad</x:v>
      </x:c>
      <x:c r="C5763" s="16" t="str"/>
      <x:c r="D5763" s="16" t="str"/>
      <x:c r="E5763" s="16" t="str">
        <x:v>* myContacts</x:v>
      </x:c>
      <x:c r="F5763" s="16" t="str">
        <x:v>+60107053624</x:v>
      </x:c>
      <x:c r="G5763" s="16" t="str">
        <x:v>+60107053624</x:v>
      </x:c>
      <x:c r="H5763" s="16" t="str">
        <x:v>Excluded</x:v>
      </x:c>
      <x:c r="I5763" s="16" t="str">
        <x:v>Missing email</x:v>
      </x:c>
    </x:row>
    <x:row r="5764">
      <x:c r="A5764" s="16" t="n">
        <x:v>5761</x:v>
      </x:c>
      <x:c r="B5764" s="16" t="str">
        <x:v>Rahman Sifu IM</x:v>
      </x:c>
      <x:c r="C5764" s="16" t="str"/>
      <x:c r="D5764" s="16" t="str"/>
      <x:c r="E5764" s="16" t="str">
        <x:v>* myContacts</x:v>
      </x:c>
      <x:c r="F5764" s="16" t="str">
        <x:v>+60183118128 | 0122200343 | +60183118128 | 0122200343</x:v>
      </x:c>
      <x:c r="G5764" s="16" t="str">
        <x:v>+60183118128 | +60122200343 | +60183118128 | +60122200343</x:v>
      </x:c>
      <x:c r="H5764" s="16" t="str">
        <x:v>Excluded</x:v>
      </x:c>
      <x:c r="I5764" s="16" t="str">
        <x:v>Missing email</x:v>
      </x:c>
    </x:row>
    <x:row r="5765">
      <x:c r="A5765" s="16" t="n">
        <x:v>5762</x:v>
      </x:c>
      <x:c r="B5765" s="16" t="str">
        <x:v>Rahman Syifa</x:v>
      </x:c>
      <x:c r="C5765" s="16" t="str"/>
      <x:c r="D5765" s="16" t="str"/>
      <x:c r="E5765" s="16" t="str">
        <x:v>* myContacts</x:v>
      </x:c>
      <x:c r="F5765" s="16" t="str">
        <x:v>+60142273515</x:v>
      </x:c>
      <x:c r="G5765" s="16" t="str">
        <x:v>+60142273515</x:v>
      </x:c>
      <x:c r="H5765" s="16" t="str">
        <x:v>Excluded</x:v>
      </x:c>
      <x:c r="I5765" s="16" t="str">
        <x:v>Missing email</x:v>
      </x:c>
    </x:row>
    <x:row r="5766">
      <x:c r="A5766" s="16" t="n">
        <x:v>5763</x:v>
      </x:c>
      <x:c r="B5766" s="16" t="str">
        <x:v>Rahmat Badan HG</x:v>
      </x:c>
      <x:c r="C5766" s="16" t="str"/>
      <x:c r="D5766" s="16" t="str"/>
      <x:c r="E5766" s="16" t="str">
        <x:v>* myContacts</x:v>
      </x:c>
      <x:c r="F5766" s="16" t="str">
        <x:v>+60 16-830 6304 | +60168306304</x:v>
      </x:c>
      <x:c r="G5766" s="16" t="str">
        <x:v>+60168306304 | +60168306304</x:v>
      </x:c>
      <x:c r="H5766" s="16" t="str">
        <x:v>Excluded</x:v>
      </x:c>
      <x:c r="I5766" s="16" t="str">
        <x:v>Missing email</x:v>
      </x:c>
    </x:row>
    <x:row r="5767">
      <x:c r="A5767" s="16" t="n">
        <x:v>5764</x:v>
      </x:c>
      <x:c r="B5767" s="16" t="str">
        <x:v>Rahmat Efendy AL Rohman</x:v>
      </x:c>
      <x:c r="C5767" s="16" t="str"/>
      <x:c r="D5767" s="16" t="str"/>
      <x:c r="E5767" s="16" t="str">
        <x:v>* myContacts</x:v>
      </x:c>
      <x:c r="F5767" s="16" t="str">
        <x:v>+6285754006440</x:v>
      </x:c>
      <x:c r="G5767" s="16" t="str">
        <x:v>+6285754006440</x:v>
      </x:c>
      <x:c r="H5767" s="16" t="str">
        <x:v>Excluded</x:v>
      </x:c>
      <x:c r="I5767" s="16" t="str">
        <x:v>Missing email</x:v>
      </x:c>
    </x:row>
    <x:row r="5768">
      <x:c r="A5768" s="16" t="n">
        <x:v>5765</x:v>
      </x:c>
      <x:c r="B5768" s="16" t="str">
        <x:v>Rahmat Jnj</x:v>
      </x:c>
      <x:c r="C5768" s="16" t="str"/>
      <x:c r="D5768" s="16" t="str"/>
      <x:c r="E5768" s="16" t="str">
        <x:v>* myContacts</x:v>
      </x:c>
      <x:c r="F5768" s="16" t="str">
        <x:v>+60 14-293 3242 | +60142933242</x:v>
      </x:c>
      <x:c r="G5768" s="16" t="str">
        <x:v>+60142933242 | +60142933242</x:v>
      </x:c>
      <x:c r="H5768" s="16" t="str">
        <x:v>Excluded</x:v>
      </x:c>
      <x:c r="I5768" s="16" t="str">
        <x:v>Missing email</x:v>
      </x:c>
    </x:row>
    <x:row r="5769">
      <x:c r="A5769" s="16" t="n">
        <x:v>5766</x:v>
      </x:c>
      <x:c r="B5769" s="16" t="str">
        <x:v>Rahmat Junid</x:v>
      </x:c>
      <x:c r="C5769" s="16" t="str"/>
      <x:c r="D5769" s="16" t="str"/>
      <x:c r="E5769" s="16" t="str">
        <x:v>* myContacts</x:v>
      </x:c>
      <x:c r="F5769" s="16" t="str">
        <x:v>0102709630 | +60102709630</x:v>
      </x:c>
      <x:c r="G5769" s="16" t="str">
        <x:v>+60102709630 | +60102709630</x:v>
      </x:c>
      <x:c r="H5769" s="16" t="str">
        <x:v>Excluded</x:v>
      </x:c>
      <x:c r="I5769" s="16" t="str">
        <x:v>Missing email</x:v>
      </x:c>
    </x:row>
    <x:row r="5770">
      <x:c r="A5770" s="16" t="n">
        <x:v>5767</x:v>
      </x:c>
      <x:c r="B5770" s="16" t="str">
        <x:v>Rahmat Magician Jnj</x:v>
      </x:c>
      <x:c r="C5770" s="16" t="str"/>
      <x:c r="D5770" s="16" t="str"/>
      <x:c r="E5770" s="16" t="str">
        <x:v>* myContacts</x:v>
      </x:c>
      <x:c r="F5770" s="16" t="str">
        <x:v>+60 11-7036 3030 | +601170363030</x:v>
      </x:c>
      <x:c r="G5770" s="16" t="str">
        <x:v>+601170363030 | +601170363030</x:v>
      </x:c>
      <x:c r="H5770" s="16" t="str">
        <x:v>Excluded</x:v>
      </x:c>
      <x:c r="I5770" s="16" t="str">
        <x:v>Missing email</x:v>
      </x:c>
    </x:row>
    <x:row r="5771">
      <x:c r="A5771" s="16" t="n">
        <x:v>5768</x:v>
      </x:c>
      <x:c r="B5771" s="16" t="str">
        <x:v>rahmat malaysia tribune</x:v>
      </x:c>
      <x:c r="C5771" s="16" t="str"/>
      <x:c r="D5771" s="16" t="str"/>
      <x:c r="E5771" s="16" t="str">
        <x:v>* myContacts</x:v>
      </x:c>
      <x:c r="F5771" s="16" t="str">
        <x:v>0134227171 | +60134227171</x:v>
      </x:c>
      <x:c r="G5771" s="16" t="str">
        <x:v>+60134227171 | +60134227171</x:v>
      </x:c>
      <x:c r="H5771" s="16" t="str">
        <x:v>Excluded</x:v>
      </x:c>
      <x:c r="I5771" s="16" t="str">
        <x:v>Missing email</x:v>
      </x:c>
    </x:row>
    <x:row r="5772">
      <x:c r="A5772" s="16" t="n">
        <x:v>5769</x:v>
      </x:c>
      <x:c r="B5772" s="16" t="str">
        <x:v>Rahmat Sentiasa Rahmat</x:v>
      </x:c>
      <x:c r="C5772" s="16" t="str"/>
      <x:c r="D5772" s="16" t="str"/>
      <x:c r="E5772" s="16" t="str">
        <x:v>* myContacts</x:v>
      </x:c>
      <x:c r="F5772" s="16" t="str">
        <x:v>+60147266599</x:v>
      </x:c>
      <x:c r="G5772" s="16" t="str">
        <x:v>+60147266599</x:v>
      </x:c>
      <x:c r="H5772" s="16" t="str">
        <x:v>Excluded</x:v>
      </x:c>
      <x:c r="I5772" s="16" t="str">
        <x:v>Missing email</x:v>
      </x:c>
    </x:row>
    <x:row r="5773">
      <x:c r="A5773" s="16" t="n">
        <x:v>5770</x:v>
      </x:c>
      <x:c r="B5773" s="16" t="str">
        <x:v>Rahmat Tauke Muffin Indulgence Pontian</x:v>
      </x:c>
      <x:c r="C5773" s="16" t="str"/>
      <x:c r="D5773" s="16" t="str"/>
      <x:c r="E5773" s="16" t="str">
        <x:v>* myContacts</x:v>
      </x:c>
      <x:c r="F5773" s="16" t="str">
        <x:v>0109013930 | +60109013930</x:v>
      </x:c>
      <x:c r="G5773" s="16" t="str">
        <x:v>+60109013930 | +60109013930</x:v>
      </x:c>
      <x:c r="H5773" s="16" t="str">
        <x:v>Excluded</x:v>
      </x:c>
      <x:c r="I5773" s="16" t="str">
        <x:v>Missing email</x:v>
      </x:c>
    </x:row>
    <x:row r="5774">
      <x:c r="A5774" s="16" t="n">
        <x:v>5771</x:v>
      </x:c>
      <x:c r="B5774" s="16" t="str">
        <x:v>Rahmatullah Dahrawi Edrus</x:v>
      </x:c>
      <x:c r="C5774" s="16" t="str"/>
      <x:c r="D5774" s="16" t="str"/>
      <x:c r="E5774" s="16" t="str">
        <x:v>* myContacts</x:v>
      </x:c>
      <x:c r="F5774" s="16" t="str">
        <x:v>+60198887434</x:v>
      </x:c>
      <x:c r="G5774" s="16" t="str">
        <x:v>+60198887434</x:v>
      </x:c>
      <x:c r="H5774" s="16" t="str">
        <x:v>Excluded</x:v>
      </x:c>
      <x:c r="I5774" s="16" t="str">
        <x:v>Missing email</x:v>
      </x:c>
    </x:row>
    <x:row r="5775">
      <x:c r="A5775" s="16" t="n">
        <x:v>5772</x:v>
      </x:c>
      <x:c r="B5775" s="16" t="str">
        <x:v>Rahsia Baja Organik</x:v>
      </x:c>
      <x:c r="C5775" s="16" t="str"/>
      <x:c r="D5775" s="16" t="str"/>
      <x:c r="E5775" s="16" t="str">
        <x:v>* myContacts</x:v>
      </x:c>
      <x:c r="F5775" s="16" t="str">
        <x:v>+601132551000</x:v>
      </x:c>
      <x:c r="G5775" s="16" t="str">
        <x:v>+601132551000</x:v>
      </x:c>
      <x:c r="H5775" s="16" t="str">
        <x:v>Excluded</x:v>
      </x:c>
      <x:c r="I5775" s="16" t="str">
        <x:v>Missing email</x:v>
      </x:c>
    </x:row>
    <x:row r="5776">
      <x:c r="A5776" s="16" t="n">
        <x:v>5773</x:v>
      </x:c>
      <x:c r="B5776" s="16" t="str">
        <x:v>Rahsia Hati</x:v>
      </x:c>
      <x:c r="C5776" s="16" t="str"/>
      <x:c r="D5776" s="16" t="str"/>
      <x:c r="E5776" s="16" t="str">
        <x:v>* myContacts</x:v>
      </x:c>
      <x:c r="F5776" s="16" t="str">
        <x:v>+601125429080</x:v>
      </x:c>
      <x:c r="G5776" s="16" t="str">
        <x:v>+601125429080</x:v>
      </x:c>
      <x:c r="H5776" s="16" t="str">
        <x:v>Excluded</x:v>
      </x:c>
      <x:c r="I5776" s="16" t="str">
        <x:v>Missing email</x:v>
      </x:c>
    </x:row>
    <x:row r="5777">
      <x:c r="A5777" s="16" t="n">
        <x:v>5774</x:v>
      </x:c>
      <x:c r="B5777" s="16" t="str">
        <x:v>Rahul Tomar</x:v>
      </x:c>
      <x:c r="C5777" s="16" t="str"/>
      <x:c r="D5777" s="16" t="str"/>
      <x:c r="E5777" s="16" t="str">
        <x:v>* myContacts</x:v>
      </x:c>
      <x:c r="F5777" s="16" t="str">
        <x:v>+917895759093</x:v>
      </x:c>
      <x:c r="G5777" s="16" t="str">
        <x:v>+917895759093</x:v>
      </x:c>
      <x:c r="H5777" s="16" t="str">
        <x:v>Excluded</x:v>
      </x:c>
      <x:c r="I5777" s="16" t="str">
        <x:v>Missing email</x:v>
      </x:c>
    </x:row>
    <x:row r="5778">
      <x:c r="A5778" s="16" t="n">
        <x:v>5775</x:v>
      </x:c>
      <x:c r="B5778" s="16" t="str">
        <x:v>Raingers Hujan</x:v>
      </x:c>
      <x:c r="C5778" s="16" t="str"/>
      <x:c r="D5778" s="16" t="str"/>
      <x:c r="E5778" s="16" t="str">
        <x:v>* myContacts</x:v>
      </x:c>
      <x:c r="F5778" s="16" t="str">
        <x:v>+60133483728</x:v>
      </x:c>
      <x:c r="G5778" s="16" t="str">
        <x:v>+60133483728</x:v>
      </x:c>
      <x:c r="H5778" s="16" t="str">
        <x:v>Excluded</x:v>
      </x:c>
      <x:c r="I5778" s="16" t="str">
        <x:v>Missing email</x:v>
      </x:c>
    </x:row>
    <x:row r="5779">
      <x:c r="A5779" s="16" t="n">
        <x:v>5776</x:v>
      </x:c>
      <x:c r="B5779" s="16" t="str">
        <x:v>Raisha Humayra</x:v>
      </x:c>
      <x:c r="C5779" s="16" t="str"/>
      <x:c r="D5779" s="16" t="str"/>
      <x:c r="E5779" s="16" t="str">
        <x:v>* myContacts</x:v>
      </x:c>
      <x:c r="F5779" s="16" t="str">
        <x:v>+60179603179</x:v>
      </x:c>
      <x:c r="G5779" s="16" t="str">
        <x:v>+60179603179</x:v>
      </x:c>
      <x:c r="H5779" s="16" t="str">
        <x:v>Excluded</x:v>
      </x:c>
      <x:c r="I5779" s="16" t="str">
        <x:v>Missing email</x:v>
      </x:c>
    </x:row>
    <x:row r="5780">
      <x:c r="A5780" s="16" t="n">
        <x:v>5777</x:v>
      </x:c>
      <x:c r="B5780" s="16" t="str">
        <x:v>Raisya Kid's</x:v>
      </x:c>
      <x:c r="C5780" s="16" t="str"/>
      <x:c r="D5780" s="16" t="str"/>
      <x:c r="E5780" s="16" t="str">
        <x:v>* myContacts</x:v>
      </x:c>
      <x:c r="F5780" s="16" t="str">
        <x:v>+60182018128</x:v>
      </x:c>
      <x:c r="G5780" s="16" t="str">
        <x:v>+60182018128</x:v>
      </x:c>
      <x:c r="H5780" s="16" t="str">
        <x:v>Excluded</x:v>
      </x:c>
      <x:c r="I5780" s="16" t="str">
        <x:v>Missing email</x:v>
      </x:c>
    </x:row>
    <x:row r="5781">
      <x:c r="A5781" s="16" t="n">
        <x:v>5778</x:v>
      </x:c>
      <x:c r="B5781" s="16" t="str">
        <x:v>Raizah Aini</x:v>
      </x:c>
      <x:c r="C5781" s="16" t="str"/>
      <x:c r="D5781" s="16" t="str"/>
      <x:c r="E5781" s="16" t="str">
        <x:v>* myContacts</x:v>
      </x:c>
      <x:c r="F5781" s="16" t="str">
        <x:v>+60122463964</x:v>
      </x:c>
      <x:c r="G5781" s="16" t="str">
        <x:v>+60122463964</x:v>
      </x:c>
      <x:c r="H5781" s="16" t="str">
        <x:v>Excluded</x:v>
      </x:c>
      <x:c r="I5781" s="16" t="str">
        <x:v>Missing email</x:v>
      </x:c>
    </x:row>
    <x:row r="5782">
      <x:c r="A5782" s="16" t="n">
        <x:v>5779</x:v>
      </x:c>
      <x:c r="B5782" s="16" t="str">
        <x:v>Raja Elyana</x:v>
      </x:c>
      <x:c r="C5782" s="16" t="str"/>
      <x:c r="D5782" s="16" t="str"/>
      <x:c r="E5782" s="16" t="str">
        <x:v>* myContacts</x:v>
      </x:c>
      <x:c r="F5782" s="16" t="str">
        <x:v>+601125765075</x:v>
      </x:c>
      <x:c r="G5782" s="16" t="str">
        <x:v>+601125765075</x:v>
      </x:c>
      <x:c r="H5782" s="16" t="str">
        <x:v>Excluded</x:v>
      </x:c>
      <x:c r="I5782" s="16" t="str">
        <x:v>Missing email</x:v>
      </x:c>
    </x:row>
    <x:row r="5783">
      <x:c r="A5783" s="16" t="n">
        <x:v>5780</x:v>
      </x:c>
      <x:c r="B5783" s="16" t="str">
        <x:v>Raja Faris</x:v>
      </x:c>
      <x:c r="C5783" s="16" t="str"/>
      <x:c r="D5783" s="16" t="str"/>
      <x:c r="E5783" s="16" t="str">
        <x:v>* myContacts</x:v>
      </x:c>
      <x:c r="F5783" s="16" t="str">
        <x:v>+60192844158</x:v>
      </x:c>
      <x:c r="G5783" s="16" t="str">
        <x:v>+60192844158</x:v>
      </x:c>
      <x:c r="H5783" s="16" t="str">
        <x:v>Excluded</x:v>
      </x:c>
      <x:c r="I5783" s="16" t="str">
        <x:v>Missing email</x:v>
      </x:c>
    </x:row>
    <x:row r="5784">
      <x:c r="A5784" s="16" t="n">
        <x:v>5781</x:v>
      </x:c>
      <x:c r="B5784" s="16" t="str">
        <x:v>raja kamil IM</x:v>
      </x:c>
      <x:c r="C5784" s="16" t="str"/>
      <x:c r="D5784" s="16" t="str"/>
      <x:c r="E5784" s="16" t="str">
        <x:v>* myContacts</x:v>
      </x:c>
      <x:c r="F5784" s="16" t="str">
        <x:v>019-525 8551 | +60195258551</x:v>
      </x:c>
      <x:c r="G5784" s="16" t="str">
        <x:v>+60195258551 | +60195258551</x:v>
      </x:c>
      <x:c r="H5784" s="16" t="str">
        <x:v>Excluded</x:v>
      </x:c>
      <x:c r="I5784" s="16" t="str">
        <x:v>Missing email</x:v>
      </x:c>
    </x:row>
    <x:row r="5785">
      <x:c r="A5785" s="16" t="n">
        <x:v>5782</x:v>
      </x:c>
      <x:c r="B5785" s="16" t="str">
        <x:v>Raja Norsharani</x:v>
      </x:c>
      <x:c r="C5785" s="16" t="str"/>
      <x:c r="D5785" s="16" t="str"/>
      <x:c r="E5785" s="16" t="str">
        <x:v>* myContacts</x:v>
      </x:c>
      <x:c r="F5785" s="16" t="str">
        <x:v>+60177275933</x:v>
      </x:c>
      <x:c r="G5785" s="16" t="str">
        <x:v>+60177275933</x:v>
      </x:c>
      <x:c r="H5785" s="16" t="str">
        <x:v>Excluded</x:v>
      </x:c>
      <x:c r="I5785" s="16" t="str">
        <x:v>Missing email</x:v>
      </x:c>
    </x:row>
    <x:row r="5786">
      <x:c r="A5786" s="16" t="n">
        <x:v>5783</x:v>
      </x:c>
      <x:c r="B5786" s="16" t="str">
        <x:v>Raja Rashtam</x:v>
      </x:c>
      <x:c r="C5786" s="16" t="str"/>
      <x:c r="D5786" s="16" t="str"/>
      <x:c r="E5786" s="16" t="str">
        <x:v>* myContacts</x:v>
      </x:c>
      <x:c r="F5786" s="16" t="str">
        <x:v>+60183116536</x:v>
      </x:c>
      <x:c r="G5786" s="16" t="str">
        <x:v>+60183116536</x:v>
      </x:c>
      <x:c r="H5786" s="16" t="str">
        <x:v>Excluded</x:v>
      </x:c>
      <x:c r="I5786" s="16" t="str">
        <x:v>Missing email</x:v>
      </x:c>
    </x:row>
    <x:row r="5787">
      <x:c r="A5787" s="16" t="n">
        <x:v>5784</x:v>
      </x:c>
      <x:c r="B5787" s="16" t="str">
        <x:v>Raja Syamsinar Team NGO Program Usahawan Incubator Malaysia Madani</x:v>
      </x:c>
      <x:c r="C5787" s="16" t="str">
        <x:v>rajasyamsinar0@gmail.com</x:v>
      </x:c>
      <x:c r="D5787" s="16" t="str">
        <x:v>rajasyamsinar0@gmail.com</x:v>
      </x:c>
      <x:c r="E5787" s="16" t="str">
        <x:v>* myContacts</x:v>
      </x:c>
      <x:c r="F5787" s="16" t="str">
        <x:v>+60 16-419 9041 | +60164199041</x:v>
      </x:c>
      <x:c r="G5787" s="16" t="str">
        <x:v>+60164199041 | +60164199041</x:v>
      </x:c>
      <x:c r="H5787" s="16" t="str">
        <x:v>Eligible</x:v>
      </x:c>
      <x:c r="I5787" s="16" t="str"/>
    </x:row>
    <x:row r="5788">
      <x:c r="A5788" s="16" t="n">
        <x:v>5785</x:v>
      </x:c>
      <x:c r="B5788" s="16" t="str">
        <x:v>Raja Zarina Raja Abdul Rahman VOE EU2023</x:v>
      </x:c>
      <x:c r="C5788" s="16" t="str"/>
      <x:c r="D5788" s="16" t="str"/>
      <x:c r="E5788" s="16" t="str">
        <x:v>* myContacts</x:v>
      </x:c>
      <x:c r="F5788" s="16" t="str">
        <x:v>+60 13-206 1368 | +60132061368</x:v>
      </x:c>
      <x:c r="G5788" s="16" t="str">
        <x:v>+60132061368 | +60132061368</x:v>
      </x:c>
      <x:c r="H5788" s="16" t="str">
        <x:v>Excluded</x:v>
      </x:c>
      <x:c r="I5788" s="16" t="str">
        <x:v>Missing email</x:v>
      </x:c>
    </x:row>
    <x:row r="5789">
      <x:c r="A5789" s="16" t="n">
        <x:v>5786</x:v>
      </x:c>
      <x:c r="B5789" s="16" t="str">
        <x:v>Rajendran AGP</x:v>
      </x:c>
      <x:c r="C5789" s="16" t="str"/>
      <x:c r="D5789" s="16" t="str"/>
      <x:c r="E5789" s="16" t="str">
        <x:v>* myContacts</x:v>
      </x:c>
      <x:c r="F5789" s="16" t="str">
        <x:v>+60 19-577 8227 | +60195778227</x:v>
      </x:c>
      <x:c r="G5789" s="16" t="str">
        <x:v>+60195778227 | +60195778227</x:v>
      </x:c>
      <x:c r="H5789" s="16" t="str">
        <x:v>Excluded</x:v>
      </x:c>
      <x:c r="I5789" s="16" t="str">
        <x:v>Missing email</x:v>
      </x:c>
    </x:row>
    <x:row r="5790">
      <x:c r="A5790" s="16" t="n">
        <x:v>5787</x:v>
      </x:c>
      <x:c r="B5790" s="16" t="str">
        <x:v>rakimin galisin AGP</x:v>
      </x:c>
      <x:c r="C5790" s="16" t="str"/>
      <x:c r="D5790" s="16" t="str"/>
      <x:c r="E5790" s="16" t="str">
        <x:v>* myContacts</x:v>
      </x:c>
      <x:c r="F5790" s="16" t="str">
        <x:v>+60 19-882 5437 | +60198825437</x:v>
      </x:c>
      <x:c r="G5790" s="16" t="str">
        <x:v>+60198825437 | +60198825437</x:v>
      </x:c>
      <x:c r="H5790" s="16" t="str">
        <x:v>Excluded</x:v>
      </x:c>
      <x:c r="I5790" s="16" t="str">
        <x:v>Missing email</x:v>
      </x:c>
    </x:row>
    <x:row r="5791">
      <x:c r="A5791" s="16" t="n">
        <x:v>5788</x:v>
      </x:c>
      <x:c r="B5791" s="16" t="str">
        <x:v>Ram Lan</x:v>
      </x:c>
      <x:c r="C5791" s="16" t="str"/>
      <x:c r="D5791" s="16" t="str"/>
      <x:c r="E5791" s="16" t="str">
        <x:v>* myContacts</x:v>
      </x:c>
      <x:c r="F5791" s="16" t="str">
        <x:v>+60123409454</x:v>
      </x:c>
      <x:c r="G5791" s="16" t="str">
        <x:v>+60123409454</x:v>
      </x:c>
      <x:c r="H5791" s="16" t="str">
        <x:v>Excluded</x:v>
      </x:c>
      <x:c r="I5791" s="16" t="str">
        <x:v>Missing email</x:v>
      </x:c>
    </x:row>
    <x:row r="5792">
      <x:c r="A5792" s="16" t="n">
        <x:v>5789</x:v>
      </x:c>
      <x:c r="B5792" s="16" t="str">
        <x:v>Ramdan Johari Borong China</x:v>
      </x:c>
      <x:c r="C5792" s="16" t="str"/>
      <x:c r="D5792" s="16" t="str"/>
      <x:c r="E5792" s="16" t="str">
        <x:v>* myContacts</x:v>
      </x:c>
      <x:c r="F5792" s="16" t="str">
        <x:v>+60178478843</x:v>
      </x:c>
      <x:c r="G5792" s="16" t="str">
        <x:v>+60178478843</x:v>
      </x:c>
      <x:c r="H5792" s="16" t="str">
        <x:v>Excluded</x:v>
      </x:c>
      <x:c r="I5792" s="16" t="str">
        <x:v>Missing email</x:v>
      </x:c>
    </x:row>
    <x:row r="5793">
      <x:c r="A5793" s="16" t="n">
        <x:v>5790</x:v>
      </x:c>
      <x:c r="B5793" s="16" t="str">
        <x:v>Ramdan Rave Incubator</x:v>
      </x:c>
      <x:c r="C5793" s="16" t="str"/>
      <x:c r="D5793" s="16" t="str"/>
      <x:c r="E5793" s="16" t="str">
        <x:v>* myContacts</x:v>
      </x:c>
      <x:c r="F5793" s="16" t="str">
        <x:v>01113004869 | +601113004869</x:v>
      </x:c>
      <x:c r="G5793" s="16" t="str">
        <x:v>+601113004869 | +601113004869</x:v>
      </x:c>
      <x:c r="H5793" s="16" t="str">
        <x:v>Excluded</x:v>
      </x:c>
      <x:c r="I5793" s="16" t="str">
        <x:v>Missing email</x:v>
      </x:c>
    </x:row>
    <x:row r="5794">
      <x:c r="A5794" s="16" t="n">
        <x:v>5791</x:v>
      </x:c>
      <x:c r="B5794" s="16" t="str">
        <x:v>Ramdani Saputra</x:v>
      </x:c>
      <x:c r="C5794" s="16" t="str"/>
      <x:c r="D5794" s="16" t="str"/>
      <x:c r="E5794" s="16" t="str">
        <x:v>* myContacts</x:v>
      </x:c>
      <x:c r="F5794" s="16" t="str">
        <x:v>+6285860539394</x:v>
      </x:c>
      <x:c r="G5794" s="16" t="str">
        <x:v>+6285860539394</x:v>
      </x:c>
      <x:c r="H5794" s="16" t="str">
        <x:v>Excluded</x:v>
      </x:c>
      <x:c r="I5794" s="16" t="str">
        <x:v>Missing email</x:v>
      </x:c>
    </x:row>
    <x:row r="5795">
      <x:c r="A5795" s="16" t="n">
        <x:v>5792</x:v>
      </x:c>
      <x:c r="B5795" s="16" t="str">
        <x:v>Ramil Densing Rasonable</x:v>
      </x:c>
      <x:c r="C5795" s="16" t="str"/>
      <x:c r="D5795" s="16" t="str"/>
      <x:c r="E5795" s="16" t="str">
        <x:v>* myContacts</x:v>
      </x:c>
      <x:c r="F5795" s="16" t="str">
        <x:v>+60148699310</x:v>
      </x:c>
      <x:c r="G5795" s="16" t="str">
        <x:v>+60148699310</x:v>
      </x:c>
      <x:c r="H5795" s="16" t="str">
        <x:v>Excluded</x:v>
      </x:c>
      <x:c r="I5795" s="16" t="str">
        <x:v>Missing email</x:v>
      </x:c>
    </x:row>
    <x:row r="5796">
      <x:c r="A5796" s="16" t="n">
        <x:v>5793</x:v>
      </x:c>
      <x:c r="B5796" s="16" t="str">
        <x:v>Ramlah Binti Jendol AGP</x:v>
      </x:c>
      <x:c r="C5796" s="16" t="str"/>
      <x:c r="D5796" s="16" t="str"/>
      <x:c r="E5796" s="16" t="str">
        <x:v>* myContacts</x:v>
      </x:c>
      <x:c r="F5796" s="16" t="str">
        <x:v>+60 19-228 4679 | +60192284679</x:v>
      </x:c>
      <x:c r="G5796" s="16" t="str">
        <x:v>+60192284679 | +60192284679</x:v>
      </x:c>
      <x:c r="H5796" s="16" t="str">
        <x:v>Excluded</x:v>
      </x:c>
      <x:c r="I5796" s="16" t="str">
        <x:v>Missing email</x:v>
      </x:c>
    </x:row>
    <x:row r="5797">
      <x:c r="A5797" s="16" t="n">
        <x:v>5794</x:v>
      </x:c>
      <x:c r="B5797" s="16" t="str">
        <x:v>Ramle Hj Ibrahim AGP</x:v>
      </x:c>
      <x:c r="C5797" s="16" t="str"/>
      <x:c r="D5797" s="16" t="str"/>
      <x:c r="E5797" s="16" t="str">
        <x:v>* myContacts</x:v>
      </x:c>
      <x:c r="F5797" s="16" t="str">
        <x:v>+60 12-818 8657 | +60128188657</x:v>
      </x:c>
      <x:c r="G5797" s="16" t="str">
        <x:v>+60128188657 | +60128188657</x:v>
      </x:c>
      <x:c r="H5797" s="16" t="str">
        <x:v>Excluded</x:v>
      </x:c>
      <x:c r="I5797" s="16" t="str">
        <x:v>Missing email</x:v>
      </x:c>
    </x:row>
    <x:row r="5798">
      <x:c r="A5798" s="16" t="n">
        <x:v>5795</x:v>
      </x:c>
      <x:c r="B5798" s="16" t="str">
        <x:v>Ramli Ibrahim</x:v>
      </x:c>
      <x:c r="C5798" s="16" t="str"/>
      <x:c r="D5798" s="16" t="str"/>
      <x:c r="E5798" s="16" t="str">
        <x:v>* myContacts</x:v>
      </x:c>
      <x:c r="F5798" s="16" t="str">
        <x:v>+60173460318</x:v>
      </x:c>
      <x:c r="G5798" s="16" t="str">
        <x:v>+60173460318</x:v>
      </x:c>
      <x:c r="H5798" s="16" t="str">
        <x:v>Excluded</x:v>
      </x:c>
      <x:c r="I5798" s="16" t="str">
        <x:v>Missing email</x:v>
      </x:c>
    </x:row>
    <x:row r="5799">
      <x:c r="A5799" s="16" t="n">
        <x:v>5796</x:v>
      </x:c>
      <x:c r="B5799" s="16" t="str">
        <x:v>Ramzan Bin Ismail Ajan</x:v>
      </x:c>
      <x:c r="C5799" s="16" t="str"/>
      <x:c r="D5799" s="16" t="str"/>
      <x:c r="E5799" s="16" t="str">
        <x:v>* myContacts</x:v>
      </x:c>
      <x:c r="F5799" s="16" t="str">
        <x:v>+60127350530</x:v>
      </x:c>
      <x:c r="G5799" s="16" t="str">
        <x:v>+60127350530</x:v>
      </x:c>
      <x:c r="H5799" s="16" t="str">
        <x:v>Excluded</x:v>
      </x:c>
      <x:c r="I5799" s="16" t="str">
        <x:v>Missing email</x:v>
      </x:c>
    </x:row>
    <x:row r="5800">
      <x:c r="A5800" s="16" t="n">
        <x:v>5797</x:v>
      </x:c>
      <x:c r="B5800" s="16" t="str">
        <x:v>Rana Don</x:v>
      </x:c>
      <x:c r="C5800" s="16" t="str"/>
      <x:c r="D5800" s="16" t="str"/>
      <x:c r="E5800" s="16" t="str">
        <x:v>* myContacts</x:v>
      </x:c>
      <x:c r="F5800" s="16" t="str">
        <x:v>+60183249486</x:v>
      </x:c>
      <x:c r="G5800" s="16" t="str">
        <x:v>+60183249486</x:v>
      </x:c>
      <x:c r="H5800" s="16" t="str">
        <x:v>Excluded</x:v>
      </x:c>
      <x:c r="I5800" s="16" t="str">
        <x:v>Missing email</x:v>
      </x:c>
    </x:row>
    <x:row r="5801">
      <x:c r="A5801" s="16" t="n">
        <x:v>5798</x:v>
      </x:c>
      <x:c r="B5801" s="16" t="str">
        <x:v>Raniey Rahman</x:v>
      </x:c>
      <x:c r="C5801" s="16" t="str"/>
      <x:c r="D5801" s="16" t="str"/>
      <x:c r="E5801" s="16" t="str">
        <x:v>* myContacts</x:v>
      </x:c>
      <x:c r="F5801" s="16" t="str">
        <x:v>+601110883769</x:v>
      </x:c>
      <x:c r="G5801" s="16" t="str">
        <x:v>+601110883769</x:v>
      </x:c>
      <x:c r="H5801" s="16" t="str">
        <x:v>Excluded</x:v>
      </x:c>
      <x:c r="I5801" s="16" t="str">
        <x:v>Missing email</x:v>
      </x:c>
    </x:row>
    <x:row r="5802">
      <x:c r="A5802" s="16" t="n">
        <x:v>5799</x:v>
      </x:c>
      <x:c r="B5802" s="16" t="str">
        <x:v>Raouf Hackalaunch</x:v>
      </x:c>
      <x:c r="C5802" s="16" t="str"/>
      <x:c r="D5802" s="16" t="str"/>
      <x:c r="E5802" s="16" t="str">
        <x:v>* myContacts</x:v>
      </x:c>
      <x:c r="F5802" s="16" t="str">
        <x:v>+60 12-632 8501 | +60126328501</x:v>
      </x:c>
      <x:c r="G5802" s="16" t="str">
        <x:v>+60126328501 | +60126328501</x:v>
      </x:c>
      <x:c r="H5802" s="16" t="str">
        <x:v>Excluded</x:v>
      </x:c>
      <x:c r="I5802" s="16" t="str">
        <x:v>Missing email</x:v>
      </x:c>
    </x:row>
    <x:row r="5803">
      <x:c r="A5803" s="16" t="n">
        <x:v>5800</x:v>
      </x:c>
      <x:c r="B5803" s="16" t="str">
        <x:v>Rashid Thomas</x:v>
      </x:c>
      <x:c r="C5803" s="16" t="str"/>
      <x:c r="D5803" s="16" t="str"/>
      <x:c r="E5803" s="16" t="str">
        <x:v>* myContacts</x:v>
      </x:c>
      <x:c r="F5803" s="16" t="str">
        <x:v>+601133977567</x:v>
      </x:c>
      <x:c r="G5803" s="16" t="str">
        <x:v>+601133977567</x:v>
      </x:c>
      <x:c r="H5803" s="16" t="str">
        <x:v>Excluded</x:v>
      </x:c>
      <x:c r="I5803" s="16" t="str">
        <x:v>Missing email</x:v>
      </x:c>
    </x:row>
    <x:row r="5804">
      <x:c r="A5804" s="16" t="n">
        <x:v>5801</x:v>
      </x:c>
      <x:c r="B5804" s="16" t="str">
        <x:v>Rashidah Rosdi</x:v>
      </x:c>
      <x:c r="C5804" s="16" t="str"/>
      <x:c r="D5804" s="16" t="str"/>
      <x:c r="E5804" s="16" t="str">
        <x:v>* myContacts</x:v>
      </x:c>
      <x:c r="F5804" s="16" t="str">
        <x:v>+60172711836</x:v>
      </x:c>
      <x:c r="G5804" s="16" t="str">
        <x:v>+60172711836</x:v>
      </x:c>
      <x:c r="H5804" s="16" t="str">
        <x:v>Excluded</x:v>
      </x:c>
      <x:c r="I5804" s="16" t="str">
        <x:v>Missing email</x:v>
      </x:c>
    </x:row>
    <x:row r="5805">
      <x:c r="A5805" s="16" t="n">
        <x:v>5802</x:v>
      </x:c>
      <x:c r="B5805" s="16" t="str">
        <x:v>rashidi isa</x:v>
      </x:c>
      <x:c r="C5805" s="16" t="str"/>
      <x:c r="D5805" s="16" t="str"/>
      <x:c r="E5805" s="16" t="str">
        <x:v>* myContacts</x:v>
      </x:c>
      <x:c r="F5805" s="16" t="str">
        <x:v>019-377 8435 | +60193778435</x:v>
      </x:c>
      <x:c r="G5805" s="16" t="str">
        <x:v>+60193778435 | +60193778435</x:v>
      </x:c>
      <x:c r="H5805" s="16" t="str">
        <x:v>Excluded</x:v>
      </x:c>
      <x:c r="I5805" s="16" t="str">
        <x:v>Missing email</x:v>
      </x:c>
    </x:row>
    <x:row r="5806">
      <x:c r="A5806" s="16" t="n">
        <x:v>5803</x:v>
      </x:c>
      <x:c r="B5806" s="16" t="str">
        <x:v>Rashidi master trainer</x:v>
      </x:c>
      <x:c r="C5806" s="16" t="str"/>
      <x:c r="D5806" s="16" t="str"/>
      <x:c r="E5806" s="16" t="str">
        <x:v>Trainer | * myContacts</x:v>
      </x:c>
      <x:c r="F5806" s="16" t="str">
        <x:v>0122770545 | +60122770545</x:v>
      </x:c>
      <x:c r="G5806" s="16" t="str">
        <x:v>+60122770545 | +60122770545</x:v>
      </x:c>
      <x:c r="H5806" s="16" t="str">
        <x:v>Excluded</x:v>
      </x:c>
      <x:c r="I5806" s="16" t="str">
        <x:v>Missing email</x:v>
      </x:c>
    </x:row>
    <x:row r="5807">
      <x:c r="A5807" s="16" t="n">
        <x:v>5804</x:v>
      </x:c>
      <x:c r="B5807" s="16" t="str">
        <x:v>Rashidi Ultimate CEO</x:v>
      </x:c>
      <x:c r="C5807" s="16" t="str"/>
      <x:c r="D5807" s="16" t="str"/>
      <x:c r="E5807" s="16" t="str">
        <x:v>* myContacts</x:v>
      </x:c>
      <x:c r="F5807" s="16" t="str">
        <x:v>+60 12-765 7074 | +60127657074</x:v>
      </x:c>
      <x:c r="G5807" s="16" t="str">
        <x:v>+60127657074 | +60127657074</x:v>
      </x:c>
      <x:c r="H5807" s="16" t="str">
        <x:v>Excluded</x:v>
      </x:c>
      <x:c r="I5807" s="16" t="str">
        <x:v>Missing email</x:v>
      </x:c>
    </x:row>
    <x:row r="5808">
      <x:c r="A5808" s="16" t="n">
        <x:v>5805</x:v>
      </x:c>
      <x:c r="B5808" s="16" t="str">
        <x:v>rasidi AGP</x:v>
      </x:c>
      <x:c r="C5808" s="16" t="str"/>
      <x:c r="D5808" s="16" t="str"/>
      <x:c r="E5808" s="16" t="str">
        <x:v>* myContacts</x:v>
      </x:c>
      <x:c r="F5808" s="16" t="str">
        <x:v>+60 12-224 4457 | +60122244457</x:v>
      </x:c>
      <x:c r="G5808" s="16" t="str">
        <x:v>+60122244457 | +60122244457</x:v>
      </x:c>
      <x:c r="H5808" s="16" t="str">
        <x:v>Excluded</x:v>
      </x:c>
      <x:c r="I5808" s="16" t="str">
        <x:v>Missing email</x:v>
      </x:c>
    </x:row>
    <x:row r="5809">
      <x:c r="A5809" s="16" t="n">
        <x:v>5806</x:v>
      </x:c>
      <x:c r="B5809" s="16" t="str">
        <x:v>Rassid Abd Ghani</x:v>
      </x:c>
      <x:c r="C5809" s="16" t="str"/>
      <x:c r="D5809" s="16" t="str"/>
      <x:c r="E5809" s="16" t="str">
        <x:v>* myContacts</x:v>
      </x:c>
      <x:c r="F5809" s="16" t="str">
        <x:v>+60197628430</x:v>
      </x:c>
      <x:c r="G5809" s="16" t="str">
        <x:v>+60197628430</x:v>
      </x:c>
      <x:c r="H5809" s="16" t="str">
        <x:v>Excluded</x:v>
      </x:c>
      <x:c r="I5809" s="16" t="str">
        <x:v>Missing email</x:v>
      </x:c>
    </x:row>
    <x:row r="5810">
      <x:c r="A5810" s="16" t="n">
        <x:v>5807</x:v>
      </x:c>
      <x:c r="B5810" s="16" t="str">
        <x:v>Rasul Blogger</x:v>
      </x:c>
      <x:c r="C5810" s="16" t="str"/>
      <x:c r="D5810" s="16" t="str"/>
      <x:c r="E5810" s="16" t="str">
        <x:v>* myContacts</x:v>
      </x:c>
      <x:c r="F5810" s="16" t="str">
        <x:v>+60 19-376 0149 | +60193760149</x:v>
      </x:c>
      <x:c r="G5810" s="16" t="str">
        <x:v>+60193760149 | +60193760149</x:v>
      </x:c>
      <x:c r="H5810" s="16" t="str">
        <x:v>Excluded</x:v>
      </x:c>
      <x:c r="I5810" s="16" t="str">
        <x:v>Missing email</x:v>
      </x:c>
    </x:row>
    <x:row r="5811">
      <x:c r="A5811" s="16" t="n">
        <x:v>5808</x:v>
      </x:c>
      <x:c r="B5811" s="16" t="str">
        <x:v>Rasul Haidi</x:v>
      </x:c>
      <x:c r="C5811" s="16" t="str"/>
      <x:c r="D5811" s="16" t="str"/>
      <x:c r="E5811" s="16" t="str">
        <x:v>* myContacts</x:v>
      </x:c>
      <x:c r="F5811" s="16" t="str">
        <x:v>+60199298002</x:v>
      </x:c>
      <x:c r="G5811" s="16" t="str">
        <x:v>+60199298002</x:v>
      </x:c>
      <x:c r="H5811" s="16" t="str">
        <x:v>Excluded</x:v>
      </x:c>
      <x:c r="I5811" s="16" t="str">
        <x:v>Missing email</x:v>
      </x:c>
    </x:row>
    <x:row r="5812">
      <x:c r="A5812" s="16" t="n">
        <x:v>5809</x:v>
      </x:c>
      <x:c r="B5812" s="16" t="str">
        <x:v>Rasyid Farid</x:v>
      </x:c>
      <x:c r="C5812" s="16" t="str"/>
      <x:c r="D5812" s="16" t="str"/>
      <x:c r="E5812" s="16" t="str">
        <x:v>* myContacts</x:v>
      </x:c>
      <x:c r="F5812" s="16" t="str">
        <x:v>+60102818206</x:v>
      </x:c>
      <x:c r="G5812" s="16" t="str">
        <x:v>+60102818206</x:v>
      </x:c>
      <x:c r="H5812" s="16" t="str">
        <x:v>Excluded</x:v>
      </x:c>
      <x:c r="I5812" s="16" t="str">
        <x:v>Missing email</x:v>
      </x:c>
    </x:row>
    <x:row r="5813">
      <x:c r="A5813" s="16" t="n">
        <x:v>5810</x:v>
      </x:c>
      <x:c r="B5813" s="16" t="str">
        <x:v>Rasyidah</x:v>
      </x:c>
      <x:c r="C5813" s="16" t="str"/>
      <x:c r="D5813" s="16" t="str"/>
      <x:c r="E5813" s="16" t="str">
        <x:v>* myContacts</x:v>
      </x:c>
      <x:c r="F5813" s="16" t="str">
        <x:v>+60 11-1122 6693 | +601111226693</x:v>
      </x:c>
      <x:c r="G5813" s="16" t="str">
        <x:v>+601111226693 | +601111226693</x:v>
      </x:c>
      <x:c r="H5813" s="16" t="str">
        <x:v>Excluded</x:v>
      </x:c>
      <x:c r="I5813" s="16" t="str">
        <x:v>Missing email</x:v>
      </x:c>
    </x:row>
    <x:row r="5814">
      <x:c r="A5814" s="16" t="n">
        <x:v>5811</x:v>
      </x:c>
      <x:c r="B5814" s="16" t="str">
        <x:v>Ratna Aziena Aziena</x:v>
      </x:c>
      <x:c r="C5814" s="16" t="str"/>
      <x:c r="D5814" s="16" t="str"/>
      <x:c r="E5814" s="16" t="str">
        <x:v>* myContacts</x:v>
      </x:c>
      <x:c r="F5814" s="16" t="str">
        <x:v>+60123750694</x:v>
      </x:c>
      <x:c r="G5814" s="16" t="str">
        <x:v>+60123750694</x:v>
      </x:c>
      <x:c r="H5814" s="16" t="str">
        <x:v>Excluded</x:v>
      </x:c>
      <x:c r="I5814" s="16" t="str">
        <x:v>Missing email</x:v>
      </x:c>
    </x:row>
    <x:row r="5815">
      <x:c r="A5815" s="16" t="n">
        <x:v>5812</x:v>
      </x:c>
      <x:c r="B5815" s="16" t="str">
        <x:v>Ratu Hatii</x:v>
      </x:c>
      <x:c r="C5815" s="16" t="str"/>
      <x:c r="D5815" s="16" t="str"/>
      <x:c r="E5815" s="16" t="str">
        <x:v>* myContacts</x:v>
      </x:c>
      <x:c r="F5815" s="16" t="str">
        <x:v>+60179600829</x:v>
      </x:c>
      <x:c r="G5815" s="16" t="str">
        <x:v>+60179600829</x:v>
      </x:c>
      <x:c r="H5815" s="16" t="str">
        <x:v>Excluded</x:v>
      </x:c>
      <x:c r="I5815" s="16" t="str">
        <x:v>Missing email</x:v>
      </x:c>
    </x:row>
    <x:row r="5816">
      <x:c r="A5816" s="16" t="n">
        <x:v>5813</x:v>
      </x:c>
      <x:c r="B5816" s="16" t="str">
        <x:v>Ratu Maliamellia</x:v>
      </x:c>
      <x:c r="C5816" s="16" t="str"/>
      <x:c r="D5816" s="16" t="str"/>
      <x:c r="E5816" s="16" t="str">
        <x:v>* myContacts</x:v>
      </x:c>
      <x:c r="F5816" s="16" t="str">
        <x:v>+60174193424</x:v>
      </x:c>
      <x:c r="G5816" s="16" t="str">
        <x:v>+60174193424</x:v>
      </x:c>
      <x:c r="H5816" s="16" t="str">
        <x:v>Excluded</x:v>
      </x:c>
      <x:c r="I5816" s="16" t="str">
        <x:v>Missing email</x:v>
      </x:c>
    </x:row>
    <x:row r="5817">
      <x:c r="A5817" s="16" t="n">
        <x:v>5814</x:v>
      </x:c>
      <x:c r="B5817" s="16" t="str">
        <x:v>Raudah AGP</x:v>
      </x:c>
      <x:c r="C5817" s="16" t="str"/>
      <x:c r="D5817" s="16" t="str"/>
      <x:c r="E5817" s="16" t="str">
        <x:v>* myContacts</x:v>
      </x:c>
      <x:c r="F5817" s="16" t="str">
        <x:v>+60 13-350 7538 | +60133507538</x:v>
      </x:c>
      <x:c r="G5817" s="16" t="str">
        <x:v>+60133507538 | +60133507538</x:v>
      </x:c>
      <x:c r="H5817" s="16" t="str">
        <x:v>Excluded</x:v>
      </x:c>
      <x:c r="I5817" s="16" t="str">
        <x:v>Missing email</x:v>
      </x:c>
    </x:row>
    <x:row r="5818">
      <x:c r="A5818" s="16" t="n">
        <x:v>5815</x:v>
      </x:c>
      <x:c r="B5818" s="16" t="str">
        <x:v>Raudah Student</x:v>
      </x:c>
      <x:c r="C5818" s="16" t="str"/>
      <x:c r="D5818" s="16" t="str"/>
      <x:c r="E5818" s="16" t="str">
        <x:v>* myContacts</x:v>
      </x:c>
      <x:c r="F5818" s="16" t="str">
        <x:v>0192787211 | +60192787211</x:v>
      </x:c>
      <x:c r="G5818" s="16" t="str">
        <x:v>+60192787211 | +60192787211</x:v>
      </x:c>
      <x:c r="H5818" s="16" t="str">
        <x:v>Excluded</x:v>
      </x:c>
      <x:c r="I5818" s="16" t="str">
        <x:v>Missing email</x:v>
      </x:c>
    </x:row>
    <x:row r="5819">
      <x:c r="A5819" s="16" t="n">
        <x:v>5816</x:v>
      </x:c>
      <x:c r="B5819" s="16" t="str">
        <x:v>Raudatul Iman</x:v>
      </x:c>
      <x:c r="C5819" s="16" t="str"/>
      <x:c r="D5819" s="16" t="str"/>
      <x:c r="E5819" s="16" t="str">
        <x:v>* myContacts</x:v>
      </x:c>
      <x:c r="F5819" s="16" t="str">
        <x:v>+6076627133</x:v>
      </x:c>
      <x:c r="G5819" s="16" t="str">
        <x:v>+6076627133</x:v>
      </x:c>
      <x:c r="H5819" s="16" t="str">
        <x:v>Excluded</x:v>
      </x:c>
      <x:c r="I5819" s="16" t="str">
        <x:v>Missing email</x:v>
      </x:c>
    </x:row>
    <x:row r="5820">
      <x:c r="A5820" s="16" t="n">
        <x:v>5817</x:v>
      </x:c>
      <x:c r="B5820" s="16" t="str">
        <x:v>Raudhahpay Azarul Hakim</x:v>
      </x:c>
      <x:c r="C5820" s="16" t="str"/>
      <x:c r="D5820" s="16" t="str"/>
      <x:c r="E5820" s="16" t="str">
        <x:v>* myContacts</x:v>
      </x:c>
      <x:c r="F5820" s="16" t="str">
        <x:v>+60 19-551 9000 | +60195519000</x:v>
      </x:c>
      <x:c r="G5820" s="16" t="str">
        <x:v>+60195519000 | +60195519000</x:v>
      </x:c>
      <x:c r="H5820" s="16" t="str">
        <x:v>Excluded</x:v>
      </x:c>
      <x:c r="I5820" s="16" t="str">
        <x:v>Missing email</x:v>
      </x:c>
    </x:row>
    <x:row r="5821">
      <x:c r="A5821" s="16" t="n">
        <x:v>5818</x:v>
      </x:c>
      <x:c r="B5821" s="16" t="str">
        <x:v>Raudhatuljannah Abubakar</x:v>
      </x:c>
      <x:c r="C5821" s="16" t="str"/>
      <x:c r="D5821" s="16" t="str"/>
      <x:c r="E5821" s="16" t="str">
        <x:v>* myContacts</x:v>
      </x:c>
      <x:c r="F5821" s="16" t="str">
        <x:v>+60193720259</x:v>
      </x:c>
      <x:c r="G5821" s="16" t="str">
        <x:v>+60193720259</x:v>
      </x:c>
      <x:c r="H5821" s="16" t="str">
        <x:v>Excluded</x:v>
      </x:c>
      <x:c r="I5821" s="16" t="str">
        <x:v>Missing email</x:v>
      </x:c>
    </x:row>
    <x:row r="5822">
      <x:c r="A5822" s="16" t="n">
        <x:v>5819</x:v>
      </x:c>
      <x:c r="B5822" s="16" t="str">
        <x:v>Ray MDEC Eusahawan Coordinator</x:v>
      </x:c>
      <x:c r="C5822" s="16" t="str"/>
      <x:c r="D5822" s="16" t="str"/>
      <x:c r="E5822" s="16" t="str">
        <x:v>* myContacts</x:v>
      </x:c>
      <x:c r="F5822" s="16" t="str">
        <x:v>0176209357 | +60176209357</x:v>
      </x:c>
      <x:c r="G5822" s="16" t="str">
        <x:v>+60176209357 | +60176209357</x:v>
      </x:c>
      <x:c r="H5822" s="16" t="str">
        <x:v>Excluded</x:v>
      </x:c>
      <x:c r="I5822" s="16" t="str">
        <x:v>Missing email</x:v>
      </x:c>
    </x:row>
    <x:row r="5823">
      <x:c r="A5823" s="16" t="n">
        <x:v>5820</x:v>
      </x:c>
      <x:c r="B5823" s="16" t="str">
        <x:v>mr ray muay thai</x:v>
      </x:c>
      <x:c r="C5823" s="16" t="str"/>
      <x:c r="D5823" s="16" t="str"/>
      <x:c r="E5823" s="16" t="str">
        <x:v>* myContacts</x:v>
      </x:c>
      <x:c r="F5823" s="16" t="str">
        <x:v>+60 16-218 1530</x:v>
      </x:c>
      <x:c r="G5823" s="16" t="str">
        <x:v>+60162181530</x:v>
      </x:c>
      <x:c r="H5823" s="16" t="str">
        <x:v>Excluded</x:v>
      </x:c>
      <x:c r="I5823" s="16" t="str">
        <x:v>Missing email</x:v>
      </x:c>
    </x:row>
    <x:row r="5824">
      <x:c r="A5824" s="16" t="n">
        <x:v>5821</x:v>
      </x:c>
      <x:c r="B5824" s="16" t="str">
        <x:v>Ray SaRa</x:v>
      </x:c>
      <x:c r="C5824" s="16" t="str"/>
      <x:c r="D5824" s="16" t="str"/>
      <x:c r="E5824" s="16" t="str">
        <x:v>* myContacts</x:v>
      </x:c>
      <x:c r="F5824" s="16" t="str">
        <x:v>+60172448539</x:v>
      </x:c>
      <x:c r="G5824" s="16" t="str">
        <x:v>+60172448539</x:v>
      </x:c>
      <x:c r="H5824" s="16" t="str">
        <x:v>Excluded</x:v>
      </x:c>
      <x:c r="I5824" s="16" t="str">
        <x:v>Missing email</x:v>
      </x:c>
    </x:row>
    <x:row r="5825">
      <x:c r="A5825" s="16" t="n">
        <x:v>5822</x:v>
      </x:c>
      <x:c r="B5825" s="16" t="str">
        <x:v>Rayan Daniyal</x:v>
      </x:c>
      <x:c r="C5825" s="16" t="str"/>
      <x:c r="D5825" s="16" t="str"/>
      <x:c r="E5825" s="16" t="str">
        <x:v>* myContacts</x:v>
      </x:c>
      <x:c r="F5825" s="16" t="str">
        <x:v>+65 93669729 | +6593669729</x:v>
      </x:c>
      <x:c r="G5825" s="16" t="str">
        <x:v>+6593669729 | +6593669729</x:v>
      </x:c>
      <x:c r="H5825" s="16" t="str">
        <x:v>Excluded</x:v>
      </x:c>
      <x:c r="I5825" s="16" t="str">
        <x:v>Missing email</x:v>
      </x:c>
    </x:row>
    <x:row r="5826">
      <x:c r="A5826" s="16" t="n">
        <x:v>5823</x:v>
      </x:c>
      <x:c r="B5826" s="16" t="str">
        <x:v>Raymond Donjuan</x:v>
      </x:c>
      <x:c r="C5826" s="16" t="str"/>
      <x:c r="D5826" s="16" t="str"/>
      <x:c r="E5826" s="16" t="str">
        <x:v>* myContacts</x:v>
      </x:c>
      <x:c r="F5826" s="16" t="str">
        <x:v>+60143210023</x:v>
      </x:c>
      <x:c r="G5826" s="16" t="str">
        <x:v>+60143210023</x:v>
      </x:c>
      <x:c r="H5826" s="16" t="str">
        <x:v>Excluded</x:v>
      </x:c>
      <x:c r="I5826" s="16" t="str">
        <x:v>Missing email</x:v>
      </x:c>
    </x:row>
    <x:row r="5827">
      <x:c r="A5827" s="16" t="n">
        <x:v>5824</x:v>
      </x:c>
      <x:c r="B5827" s="16" t="str">
        <x:v>Dr Rayyan Grand Blaster</x:v>
      </x:c>
      <x:c r="C5827" s="16" t="str"/>
      <x:c r="D5827" s="16" t="str"/>
      <x:c r="E5827" s="16" t="str">
        <x:v>* myContacts</x:v>
      </x:c>
      <x:c r="F5827" s="16" t="str">
        <x:v>+60 17-402 1790</x:v>
      </x:c>
      <x:c r="G5827" s="16" t="str">
        <x:v>+60174021790</x:v>
      </x:c>
      <x:c r="H5827" s="16" t="str">
        <x:v>Excluded</x:v>
      </x:c>
      <x:c r="I5827" s="16" t="str">
        <x:v>Missing email</x:v>
      </x:c>
    </x:row>
    <x:row r="5828">
      <x:c r="A5828" s="16" t="n">
        <x:v>5825</x:v>
      </x:c>
      <x:c r="B5828" s="16" t="str">
        <x:v>Rayzal Jay Yusoff</x:v>
      </x:c>
      <x:c r="C5828" s="16" t="str"/>
      <x:c r="D5828" s="16" t="str"/>
      <x:c r="E5828" s="16" t="str">
        <x:v>* myContacts</x:v>
      </x:c>
      <x:c r="F5828" s="16" t="str">
        <x:v>011-2900 9151 | +601129009151</x:v>
      </x:c>
      <x:c r="G5828" s="16" t="str">
        <x:v>+601129009151 | +601129009151</x:v>
      </x:c>
      <x:c r="H5828" s="16" t="str">
        <x:v>Excluded</x:v>
      </x:c>
      <x:c r="I5828" s="16" t="str">
        <x:v>Missing email</x:v>
      </x:c>
    </x:row>
    <x:row r="5829">
      <x:c r="A5829" s="16" t="n">
        <x:v>5826</x:v>
      </x:c>
      <x:c r="B5829" s="16" t="str">
        <x:v>Raz Aziz</x:v>
      </x:c>
      <x:c r="C5829" s="16" t="str"/>
      <x:c r="D5829" s="16" t="str"/>
      <x:c r="E5829" s="16" t="str">
        <x:v>* myContacts</x:v>
      </x:c>
      <x:c r="F5829" s="16" t="str">
        <x:v>+60168473379</x:v>
      </x:c>
      <x:c r="G5829" s="16" t="str">
        <x:v>+60168473379</x:v>
      </x:c>
      <x:c r="H5829" s="16" t="str">
        <x:v>Excluded</x:v>
      </x:c>
      <x:c r="I5829" s="16" t="str">
        <x:v>Missing email</x:v>
      </x:c>
    </x:row>
    <x:row r="5830">
      <x:c r="A5830" s="16" t="n">
        <x:v>5827</x:v>
      </x:c>
      <x:c r="B5830" s="16" t="str">
        <x:v>Raz Man</x:v>
      </x:c>
      <x:c r="C5830" s="16" t="str"/>
      <x:c r="D5830" s="16" t="str"/>
      <x:c r="E5830" s="16" t="str">
        <x:v>* myContacts</x:v>
      </x:c>
      <x:c r="F5830" s="16" t="str">
        <x:v>+60179715858</x:v>
      </x:c>
      <x:c r="G5830" s="16" t="str">
        <x:v>+60179715858</x:v>
      </x:c>
      <x:c r="H5830" s="16" t="str">
        <x:v>Excluded</x:v>
      </x:c>
      <x:c r="I5830" s="16" t="str">
        <x:v>Missing email</x:v>
      </x:c>
    </x:row>
    <x:row r="5831">
      <x:c r="A5831" s="16" t="n">
        <x:v>5828</x:v>
      </x:c>
      <x:c r="B5831" s="16" t="str">
        <x:v>Razak damisin AGP</x:v>
      </x:c>
      <x:c r="C5831" s="16" t="str"/>
      <x:c r="D5831" s="16" t="str"/>
      <x:c r="E5831" s="16" t="str">
        <x:v>* myContacts</x:v>
      </x:c>
      <x:c r="F5831" s="16" t="str">
        <x:v>+60 14-226 0645 | +60142260645</x:v>
      </x:c>
      <x:c r="G5831" s="16" t="str">
        <x:v>+60142260645 | +60142260645</x:v>
      </x:c>
      <x:c r="H5831" s="16" t="str">
        <x:v>Excluded</x:v>
      </x:c>
      <x:c r="I5831" s="16" t="str">
        <x:v>Missing email</x:v>
      </x:c>
    </x:row>
    <x:row r="5832">
      <x:c r="A5832" s="16" t="n">
        <x:v>5829</x:v>
      </x:c>
      <x:c r="B5832" s="16" t="str">
        <x:v>razak youth tiktok</x:v>
      </x:c>
      <x:c r="C5832" s="16" t="str"/>
      <x:c r="D5832" s="16" t="str"/>
      <x:c r="E5832" s="16" t="str">
        <x:v>* myContacts</x:v>
      </x:c>
      <x:c r="F5832" s="16" t="str">
        <x:v>0176112769 | +60176112769</x:v>
      </x:c>
      <x:c r="G5832" s="16" t="str">
        <x:v>+60176112769 | +60176112769</x:v>
      </x:c>
      <x:c r="H5832" s="16" t="str">
        <x:v>Excluded</x:v>
      </x:c>
      <x:c r="I5832" s="16" t="str">
        <x:v>Missing email</x:v>
      </x:c>
    </x:row>
    <x:row r="5833">
      <x:c r="A5833" s="16" t="n">
        <x:v>5830</x:v>
      </x:c>
      <x:c r="B5833" s="16" t="str">
        <x:v>Razali Client CWA</x:v>
      </x:c>
      <x:c r="C5833" s="16" t="str"/>
      <x:c r="D5833" s="16" t="str"/>
      <x:c r="E5833" s="16" t="str">
        <x:v>* myContacts</x:v>
      </x:c>
      <x:c r="F5833" s="16" t="str">
        <x:v>0122316129 | +60122316129</x:v>
      </x:c>
      <x:c r="G5833" s="16" t="str">
        <x:v>+60122316129 | +60122316129</x:v>
      </x:c>
      <x:c r="H5833" s="16" t="str">
        <x:v>Excluded</x:v>
      </x:c>
      <x:c r="I5833" s="16" t="str">
        <x:v>Missing email</x:v>
      </x:c>
    </x:row>
    <x:row r="5834">
      <x:c r="A5834" s="16" t="n">
        <x:v>5831</x:v>
      </x:c>
      <x:c r="B5834" s="16" t="str">
        <x:v>Razali Coach</x:v>
      </x:c>
      <x:c r="C5834" s="16" t="str"/>
      <x:c r="D5834" s="16" t="str"/>
      <x:c r="E5834" s="16" t="str">
        <x:v>Trainer | * myContacts</x:v>
      </x:c>
      <x:c r="F5834" s="16" t="str">
        <x:v>+60 12-647 8000 | +60126478000</x:v>
      </x:c>
      <x:c r="G5834" s="16" t="str">
        <x:v>+60126478000 | +60126478000</x:v>
      </x:c>
      <x:c r="H5834" s="16" t="str">
        <x:v>Excluded</x:v>
      </x:c>
      <x:c r="I5834" s="16" t="str">
        <x:v>Missing email</x:v>
      </x:c>
    </x:row>
    <x:row r="5835">
      <x:c r="A5835" s="16" t="n">
        <x:v>5832</x:v>
      </x:c>
      <x:c r="B5835" s="16" t="str">
        <x:v>Razali Hijrah Tanjung Karang</x:v>
      </x:c>
      <x:c r="C5835" s="16" t="str"/>
      <x:c r="D5835" s="16" t="str"/>
      <x:c r="E5835" s="16" t="str">
        <x:v>* myContacts</x:v>
      </x:c>
      <x:c r="F5835" s="16" t="str">
        <x:v>+60 17-952 0921 | +60179520921</x:v>
      </x:c>
      <x:c r="G5835" s="16" t="str">
        <x:v>+60179520921 | +60179520921</x:v>
      </x:c>
      <x:c r="H5835" s="16" t="str">
        <x:v>Excluded</x:v>
      </x:c>
      <x:c r="I5835" s="16" t="str">
        <x:v>Missing email</x:v>
      </x:c>
    </x:row>
    <x:row r="5836">
      <x:c r="A5836" s="16" t="n">
        <x:v>5833</x:v>
      </x:c>
      <x:c r="B5836" s="16" t="str">
        <x:v>Razali Maarof</x:v>
      </x:c>
      <x:c r="C5836" s="16" t="str"/>
      <x:c r="D5836" s="16" t="str"/>
      <x:c r="E5836" s="16" t="str">
        <x:v>* myContacts</x:v>
      </x:c>
      <x:c r="F5836" s="16" t="str">
        <x:v>+60193338484</x:v>
      </x:c>
      <x:c r="G5836" s="16" t="str">
        <x:v>+60193338484</x:v>
      </x:c>
      <x:c r="H5836" s="16" t="str">
        <x:v>Excluded</x:v>
      </x:c>
      <x:c r="I5836" s="16" t="str">
        <x:v>Missing email</x:v>
      </x:c>
    </x:row>
    <x:row r="5837">
      <x:c r="A5837" s="16" t="n">
        <x:v>5834</x:v>
      </x:c>
      <x:c r="B5837" s="16" t="str">
        <x:v>Dr Razali Maarof</x:v>
      </x:c>
      <x:c r="C5837" s="16" t="str"/>
      <x:c r="D5837" s="16" t="str"/>
      <x:c r="E5837" s="16" t="str">
        <x:v>* myContacts</x:v>
      </x:c>
      <x:c r="F5837" s="16" t="str">
        <x:v>+60 19-333 8484</x:v>
      </x:c>
      <x:c r="G5837" s="16" t="str">
        <x:v>+60193338484</x:v>
      </x:c>
      <x:c r="H5837" s="16" t="str">
        <x:v>Excluded</x:v>
      </x:c>
      <x:c r="I5837" s="16" t="str">
        <x:v>Missing email</x:v>
      </x:c>
    </x:row>
    <x:row r="5838">
      <x:c r="A5838" s="16" t="n">
        <x:v>5835</x:v>
      </x:c>
      <x:c r="B5838" s="16" t="str">
        <x:v>razali tanamera</x:v>
      </x:c>
      <x:c r="C5838" s="16" t="str">
        <x:v>razalihalimi@gmail.com</x:v>
      </x:c>
      <x:c r="D5838" s="16" t="str">
        <x:v>razalihalimi@gmail.com</x:v>
      </x:c>
      <x:c r="E5838" s="16" t="str">
        <x:v>* myContacts</x:v>
      </x:c>
      <x:c r="F5838" s="16" t="str">
        <x:v>0126111674 | +60126111674</x:v>
      </x:c>
      <x:c r="G5838" s="16" t="str">
        <x:v>+60126111674 | +60126111674</x:v>
      </x:c>
      <x:c r="H5838" s="16" t="str">
        <x:v>Eligible</x:v>
      </x:c>
      <x:c r="I5838" s="16" t="str"/>
    </x:row>
    <x:row r="5839">
      <x:c r="A5839" s="16" t="n">
        <x:v>5836</x:v>
      </x:c>
      <x:c r="B5839" s="16" t="str">
        <x:v>Razif Rashidi Adiku</x:v>
      </x:c>
      <x:c r="C5839" s="16" t="str"/>
      <x:c r="D5839" s="16" t="str"/>
      <x:c r="E5839" s="16" t="str">
        <x:v>* myContacts</x:v>
      </x:c>
      <x:c r="F5839" s="16" t="str">
        <x:v>+60 18-572 2487 | +60185722487</x:v>
      </x:c>
      <x:c r="G5839" s="16" t="str">
        <x:v>+60185722487 | +60185722487</x:v>
      </x:c>
      <x:c r="H5839" s="16" t="str">
        <x:v>Excluded</x:v>
      </x:c>
      <x:c r="I5839" s="16" t="str">
        <x:v>Missing email</x:v>
      </x:c>
    </x:row>
    <x:row r="5840">
      <x:c r="A5840" s="16" t="n">
        <x:v>5837</x:v>
      </x:c>
      <x:c r="B5840" s="16" t="str">
        <x:v>Razif Yusof</x:v>
      </x:c>
      <x:c r="C5840" s="16" t="str"/>
      <x:c r="D5840" s="16" t="str"/>
      <x:c r="E5840" s="16" t="str">
        <x:v>* myContacts</x:v>
      </x:c>
      <x:c r="F5840" s="16" t="str">
        <x:v>+60195655109</x:v>
      </x:c>
      <x:c r="G5840" s="16" t="str">
        <x:v>+60195655109</x:v>
      </x:c>
      <x:c r="H5840" s="16" t="str">
        <x:v>Excluded</x:v>
      </x:c>
      <x:c r="I5840" s="16" t="str">
        <x:v>Missing email</x:v>
      </x:c>
    </x:row>
    <x:row r="5841">
      <x:c r="A5841" s="16" t="n">
        <x:v>5838</x:v>
      </x:c>
      <x:c r="B5841" s="16" t="str">
        <x:v>Razila Wanis Daud</x:v>
      </x:c>
      <x:c r="C5841" s="16" t="str"/>
      <x:c r="D5841" s="16" t="str"/>
      <x:c r="E5841" s="16" t="str">
        <x:v>* myContacts</x:v>
      </x:c>
      <x:c r="F5841" s="16" t="str">
        <x:v>+60139656533</x:v>
      </x:c>
      <x:c r="G5841" s="16" t="str">
        <x:v>+60139656533</x:v>
      </x:c>
      <x:c r="H5841" s="16" t="str">
        <x:v>Excluded</x:v>
      </x:c>
      <x:c r="I5841" s="16" t="str">
        <x:v>Missing email</x:v>
      </x:c>
    </x:row>
    <x:row r="5842">
      <x:c r="A5842" s="16" t="n">
        <x:v>5839</x:v>
      </x:c>
      <x:c r="B5842" s="16" t="str">
        <x:v>Razin Bin Jamaluddin</x:v>
      </x:c>
      <x:c r="C5842" s="16" t="str"/>
      <x:c r="D5842" s="16" t="str"/>
      <x:c r="E5842" s="16" t="str">
        <x:v>* myContacts</x:v>
      </x:c>
      <x:c r="F5842" s="16" t="str">
        <x:v>+60134642559</x:v>
      </x:c>
      <x:c r="G5842" s="16" t="str">
        <x:v>+60134642559</x:v>
      </x:c>
      <x:c r="H5842" s="16" t="str">
        <x:v>Excluded</x:v>
      </x:c>
      <x:c r="I5842" s="16" t="str">
        <x:v>Missing email</x:v>
      </x:c>
    </x:row>
    <x:row r="5843">
      <x:c r="A5843" s="16" t="n">
        <x:v>5840</x:v>
      </x:c>
      <x:c r="B5843" s="16" t="str">
        <x:v>Razman Bp</x:v>
      </x:c>
      <x:c r="C5843" s="16" t="str"/>
      <x:c r="D5843" s="16" t="str"/>
      <x:c r="E5843" s="16" t="str">
        <x:v>* myContacts</x:v>
      </x:c>
      <x:c r="F5843" s="16" t="str">
        <x:v>+60136160207</x:v>
      </x:c>
      <x:c r="G5843" s="16" t="str">
        <x:v>+60136160207</x:v>
      </x:c>
      <x:c r="H5843" s="16" t="str">
        <x:v>Excluded</x:v>
      </x:c>
      <x:c r="I5843" s="16" t="str">
        <x:v>Missing email</x:v>
      </x:c>
    </x:row>
    <x:row r="5844">
      <x:c r="A5844" s="16" t="n">
        <x:v>5841</x:v>
      </x:c>
      <x:c r="B5844" s="16" t="str">
        <x:v>Razman DPIM</x:v>
      </x:c>
      <x:c r="C5844" s="16" t="str"/>
      <x:c r="D5844" s="16" t="str"/>
      <x:c r="E5844" s="16" t="str">
        <x:v>* myContacts</x:v>
      </x:c>
      <x:c r="F5844" s="16" t="str">
        <x:v>0129582218 | +60129582218</x:v>
      </x:c>
      <x:c r="G5844" s="16" t="str">
        <x:v>+60129582218 | +60129582218</x:v>
      </x:c>
      <x:c r="H5844" s="16" t="str">
        <x:v>Excluded</x:v>
      </x:c>
      <x:c r="I5844" s="16" t="str">
        <x:v>Missing email</x:v>
      </x:c>
    </x:row>
    <x:row r="5845">
      <x:c r="A5845" s="16" t="n">
        <x:v>5842</x:v>
      </x:c>
      <x:c r="B5845" s="16" t="str">
        <x:v>Razman Hartanah DPIM</x:v>
      </x:c>
      <x:c r="C5845" s="16" t="str"/>
      <x:c r="D5845" s="16" t="str"/>
      <x:c r="E5845" s="16" t="str">
        <x:v>* myContacts</x:v>
      </x:c>
      <x:c r="F5845" s="16" t="str">
        <x:v>+60 12-958 2210 | +60129582210</x:v>
      </x:c>
      <x:c r="G5845" s="16" t="str">
        <x:v>+60129582210 | +60129582210</x:v>
      </x:c>
      <x:c r="H5845" s="16" t="str">
        <x:v>Excluded</x:v>
      </x:c>
      <x:c r="I5845" s="16" t="str">
        <x:v>Missing email</x:v>
      </x:c>
    </x:row>
    <x:row r="5846">
      <x:c r="A5846" s="16" t="n">
        <x:v>5843</x:v>
      </x:c>
      <x:c r="B5846" s="16" t="str">
        <x:v>Razman Nlp Kl</x:v>
      </x:c>
      <x:c r="C5846" s="16" t="str"/>
      <x:c r="D5846" s="16" t="str"/>
      <x:c r="E5846" s="16" t="str">
        <x:v>* myContacts</x:v>
      </x:c>
      <x:c r="F5846" s="16" t="str">
        <x:v>0167032557 | +60167032557</x:v>
      </x:c>
      <x:c r="G5846" s="16" t="str">
        <x:v>+60167032557 | +60167032557</x:v>
      </x:c>
      <x:c r="H5846" s="16" t="str">
        <x:v>Excluded</x:v>
      </x:c>
      <x:c r="I5846" s="16" t="str">
        <x:v>Missing email</x:v>
      </x:c>
    </x:row>
    <x:row r="5847">
      <x:c r="A5847" s="16" t="n">
        <x:v>5844</x:v>
      </x:c>
      <x:c r="B5847" s="16" t="str">
        <x:v>Razman Ridzwan</x:v>
      </x:c>
      <x:c r="C5847" s="16" t="str"/>
      <x:c r="D5847" s="16" t="str"/>
      <x:c r="E5847" s="16" t="str">
        <x:v>* myContacts</x:v>
      </x:c>
      <x:c r="F5847" s="16" t="str">
        <x:v>+60122064746</x:v>
      </x:c>
      <x:c r="G5847" s="16" t="str">
        <x:v>+60122064746</x:v>
      </x:c>
      <x:c r="H5847" s="16" t="str">
        <x:v>Excluded</x:v>
      </x:c>
      <x:c r="I5847" s="16" t="str">
        <x:v>Missing email</x:v>
      </x:c>
    </x:row>
    <x:row r="5848">
      <x:c r="A5848" s="16" t="n">
        <x:v>5845</x:v>
      </x:c>
      <x:c r="B5848" s="16" t="str">
        <x:v>Razman Safie</x:v>
      </x:c>
      <x:c r="C5848" s="16" t="str"/>
      <x:c r="D5848" s="16" t="str"/>
      <x:c r="E5848" s="16" t="str">
        <x:v>* myContacts</x:v>
      </x:c>
      <x:c r="F5848" s="16" t="str">
        <x:v>+60148109194</x:v>
      </x:c>
      <x:c r="G5848" s="16" t="str">
        <x:v>+60148109194</x:v>
      </x:c>
      <x:c r="H5848" s="16" t="str">
        <x:v>Excluded</x:v>
      </x:c>
      <x:c r="I5848" s="16" t="str">
        <x:v>Missing email</x:v>
      </x:c>
    </x:row>
    <x:row r="5849">
      <x:c r="A5849" s="16" t="n">
        <x:v>5846</x:v>
      </x:c>
      <x:c r="B5849" s="16" t="str">
        <x:v>razuwan AGP</x:v>
      </x:c>
      <x:c r="C5849" s="16" t="str"/>
      <x:c r="D5849" s="16" t="str"/>
      <x:c r="E5849" s="16" t="str">
        <x:v>* myContacts</x:v>
      </x:c>
      <x:c r="F5849" s="16" t="str">
        <x:v>+60 13-594 3427 | +60135943427</x:v>
      </x:c>
      <x:c r="G5849" s="16" t="str">
        <x:v>+60135943427 | +60135943427</x:v>
      </x:c>
      <x:c r="H5849" s="16" t="str">
        <x:v>Excluded</x:v>
      </x:c>
      <x:c r="I5849" s="16" t="str">
        <x:v>Missing email</x:v>
      </x:c>
    </x:row>
    <x:row r="5850">
      <x:c r="A5850" s="16" t="n">
        <x:v>5847</x:v>
      </x:c>
      <x:c r="B5850" s="16" t="str">
        <x:v>Razze Ajie</x:v>
      </x:c>
      <x:c r="C5850" s="16" t="str"/>
      <x:c r="D5850" s="16" t="str"/>
      <x:c r="E5850" s="16" t="str">
        <x:v>* myContacts</x:v>
      </x:c>
      <x:c r="F5850" s="16" t="str">
        <x:v>+60174903116</x:v>
      </x:c>
      <x:c r="G5850" s="16" t="str">
        <x:v>+60174903116</x:v>
      </x:c>
      <x:c r="H5850" s="16" t="str">
        <x:v>Excluded</x:v>
      </x:c>
      <x:c r="I5850" s="16" t="str">
        <x:v>Missing email</x:v>
      </x:c>
    </x:row>
    <x:row r="5851">
      <x:c r="A5851" s="16" t="n">
        <x:v>5848</x:v>
      </x:c>
      <x:c r="B5851" s="16" t="str">
        <x:v>Rdl Devid</x:v>
      </x:c>
      <x:c r="C5851" s="16" t="str"/>
      <x:c r="D5851" s="16" t="str"/>
      <x:c r="E5851" s="16" t="str">
        <x:v>* myContacts</x:v>
      </x:c>
      <x:c r="F5851" s="16" t="str">
        <x:v>+601137572322</x:v>
      </x:c>
      <x:c r="G5851" s="16" t="str">
        <x:v>+601137572322</x:v>
      </x:c>
      <x:c r="H5851" s="16" t="str">
        <x:v>Excluded</x:v>
      </x:c>
      <x:c r="I5851" s="16" t="str">
        <x:v>Missing email</x:v>
      </x:c>
    </x:row>
    <x:row r="5852">
      <x:c r="A5852" s="16" t="n">
        <x:v>5849</x:v>
      </x:c>
      <x:c r="B5852" s="16" t="str">
        <x:v>Red Ambulance Dras</x:v>
      </x:c>
      <x:c r="C5852" s="16" t="str"/>
      <x:c r="D5852" s="16" t="str"/>
      <x:c r="E5852" s="16" t="str">
        <x:v>* myContacts</x:v>
      </x:c>
      <x:c r="F5852" s="16" t="str">
        <x:v>+601117870008</x:v>
      </x:c>
      <x:c r="G5852" s="16" t="str">
        <x:v>+601117870008</x:v>
      </x:c>
      <x:c r="H5852" s="16" t="str">
        <x:v>Excluded</x:v>
      </x:c>
      <x:c r="I5852" s="16" t="str">
        <x:v>Missing email</x:v>
      </x:c>
    </x:row>
    <x:row r="5853">
      <x:c r="A5853" s="16" t="n">
        <x:v>5850</x:v>
      </x:c>
      <x:c r="B5853" s="16" t="str">
        <x:v>Red Stone</x:v>
      </x:c>
      <x:c r="C5853" s="16" t="str"/>
      <x:c r="D5853" s="16" t="str"/>
      <x:c r="E5853" s="16" t="str">
        <x:v>* myContacts</x:v>
      </x:c>
      <x:c r="F5853" s="16" t="str">
        <x:v>+60193440916</x:v>
      </x:c>
      <x:c r="G5853" s="16" t="str">
        <x:v>+60193440916</x:v>
      </x:c>
      <x:c r="H5853" s="16" t="str">
        <x:v>Excluded</x:v>
      </x:c>
      <x:c r="I5853" s="16" t="str">
        <x:v>Missing email</x:v>
      </x:c>
    </x:row>
    <x:row r="5854">
      <x:c r="A5854" s="16" t="n">
        <x:v>5851</x:v>
      </x:c>
      <x:c r="B5854" s="16" t="str">
        <x:v>RedOne Pasir Mas</x:v>
      </x:c>
      <x:c r="C5854" s="16" t="str"/>
      <x:c r="D5854" s="16" t="str"/>
      <x:c r="E5854" s="16" t="str">
        <x:v>* myContacts</x:v>
      </x:c>
      <x:c r="F5854" s="16" t="str">
        <x:v>+60129081470</x:v>
      </x:c>
      <x:c r="G5854" s="16" t="str">
        <x:v>+60129081470</x:v>
      </x:c>
      <x:c r="H5854" s="16" t="str">
        <x:v>Excluded</x:v>
      </x:c>
      <x:c r="I5854" s="16" t="str">
        <x:v>Missing email</x:v>
      </x:c>
    </x:row>
    <x:row r="5855">
      <x:c r="A5855" s="16" t="n">
        <x:v>5852</x:v>
      </x:c>
      <x:c r="B5855" s="16" t="str">
        <x:v>Redone Postpaid Jimat</x:v>
      </x:c>
      <x:c r="C5855" s="16" t="str"/>
      <x:c r="D5855" s="16" t="str"/>
      <x:c r="E5855" s="16" t="str">
        <x:v>* myContacts</x:v>
      </x:c>
      <x:c r="F5855" s="16" t="str">
        <x:v>+601155097769</x:v>
      </x:c>
      <x:c r="G5855" s="16" t="str">
        <x:v>+601155097769</x:v>
      </x:c>
      <x:c r="H5855" s="16" t="str">
        <x:v>Excluded</x:v>
      </x:c>
      <x:c r="I5855" s="16" t="str">
        <x:v>Missing email</x:v>
      </x:c>
    </x:row>
    <x:row r="5856">
      <x:c r="A5856" s="16" t="n">
        <x:v>5853</x:v>
      </x:c>
      <x:c r="B5856" s="16" t="str">
        <x:v>Redza Achik</x:v>
      </x:c>
      <x:c r="C5856" s="16" t="str"/>
      <x:c r="D5856" s="16" t="str"/>
      <x:c r="E5856" s="16" t="str">
        <x:v>* myContacts</x:v>
      </x:c>
      <x:c r="F5856" s="16" t="str">
        <x:v>+60175138401</x:v>
      </x:c>
      <x:c r="G5856" s="16" t="str">
        <x:v>+60175138401</x:v>
      </x:c>
      <x:c r="H5856" s="16" t="str">
        <x:v>Excluded</x:v>
      </x:c>
      <x:c r="I5856" s="16" t="str">
        <x:v>Missing email</x:v>
      </x:c>
    </x:row>
    <x:row r="5857">
      <x:c r="A5857" s="16" t="n">
        <x:v>5854</x:v>
      </x:c>
      <x:c r="B5857" s="16" t="str">
        <x:v>Redza Angel Investor Qirad</x:v>
      </x:c>
      <x:c r="C5857" s="16" t="str"/>
      <x:c r="D5857" s="16" t="str"/>
      <x:c r="E5857" s="16" t="str">
        <x:v>* myContacts</x:v>
      </x:c>
      <x:c r="F5857" s="16" t="str">
        <x:v>012-218 8110 | +60122188110</x:v>
      </x:c>
      <x:c r="G5857" s="16" t="str">
        <x:v>+60122188110 | +60122188110</x:v>
      </x:c>
      <x:c r="H5857" s="16" t="str">
        <x:v>Excluded</x:v>
      </x:c>
      <x:c r="I5857" s="16" t="str">
        <x:v>Missing email</x:v>
      </x:c>
    </x:row>
    <x:row r="5858">
      <x:c r="A5858" s="16" t="n">
        <x:v>5855</x:v>
      </x:c>
      <x:c r="B5858" s="16" t="str">
        <x:v>Redzuan PLF Lawyer Penang</x:v>
      </x:c>
      <x:c r="C5858" s="16" t="str"/>
      <x:c r="D5858" s="16" t="str"/>
      <x:c r="E5858" s="16" t="str">
        <x:v>* myContacts</x:v>
      </x:c>
      <x:c r="F5858" s="16" t="str">
        <x:v>+60 19-419 1119 | +60194191119</x:v>
      </x:c>
      <x:c r="G5858" s="16" t="str">
        <x:v>+60194191119 | +60194191119</x:v>
      </x:c>
      <x:c r="H5858" s="16" t="str">
        <x:v>Excluded</x:v>
      </x:c>
      <x:c r="I5858" s="16" t="str">
        <x:v>Missing email</x:v>
      </x:c>
    </x:row>
    <x:row r="5859">
      <x:c r="A5859" s="16" t="n">
        <x:v>5856</x:v>
      </x:c>
      <x:c r="B5859" s="16" t="str">
        <x:v>Reedzuan AR</x:v>
      </x:c>
      <x:c r="C5859" s="16" t="str"/>
      <x:c r="D5859" s="16" t="str"/>
      <x:c r="E5859" s="16" t="str">
        <x:v>* myContacts</x:v>
      </x:c>
      <x:c r="F5859" s="16" t="str">
        <x:v>+60132622211</x:v>
      </x:c>
      <x:c r="G5859" s="16" t="str">
        <x:v>+60132622211</x:v>
      </x:c>
      <x:c r="H5859" s="16" t="str">
        <x:v>Excluded</x:v>
      </x:c>
      <x:c r="I5859" s="16" t="str">
        <x:v>Missing email</x:v>
      </x:c>
    </x:row>
    <x:row r="5860">
      <x:c r="A5860" s="16" t="n">
        <x:v>5857</x:v>
      </x:c>
      <x:c r="B5860" s="16" t="str">
        <x:v>Reen Rusli</x:v>
      </x:c>
      <x:c r="C5860" s="16" t="str"/>
      <x:c r="D5860" s="16" t="str"/>
      <x:c r="E5860" s="16" t="str">
        <x:v>* myContacts</x:v>
      </x:c>
      <x:c r="F5860" s="16" t="str">
        <x:v>+60133844566</x:v>
      </x:c>
      <x:c r="G5860" s="16" t="str">
        <x:v>+60133844566</x:v>
      </x:c>
      <x:c r="H5860" s="16" t="str">
        <x:v>Excluded</x:v>
      </x:c>
      <x:c r="I5860" s="16" t="str">
        <x:v>Missing email</x:v>
      </x:c>
    </x:row>
    <x:row r="5861">
      <x:c r="A5861" s="16" t="n">
        <x:v>5858</x:v>
      </x:c>
      <x:c r="B5861" s="16" t="str">
        <x:v>Reey Bersamaselamanya</x:v>
      </x:c>
      <x:c r="C5861" s="16" t="str"/>
      <x:c r="D5861" s="16" t="str"/>
      <x:c r="E5861" s="16" t="str">
        <x:v>* myContacts</x:v>
      </x:c>
      <x:c r="F5861" s="16" t="str">
        <x:v>+60192529814</x:v>
      </x:c>
      <x:c r="G5861" s="16" t="str">
        <x:v>+60192529814</x:v>
      </x:c>
      <x:c r="H5861" s="16" t="str">
        <x:v>Excluded</x:v>
      </x:c>
      <x:c r="I5861" s="16" t="str">
        <x:v>Missing email</x:v>
      </x:c>
    </x:row>
    <x:row r="5862">
      <x:c r="A5862" s="16" t="n">
        <x:v>5859</x:v>
      </x:c>
      <x:c r="B5862" s="16" t="str">
        <x:v>Reez Blogger</x:v>
      </x:c>
      <x:c r="C5862" s="16" t="str"/>
      <x:c r="D5862" s="16" t="str"/>
      <x:c r="E5862" s="16" t="str">
        <x:v>* myContacts</x:v>
      </x:c>
      <x:c r="F5862" s="16" t="str">
        <x:v>0165519760 | +60165519760</x:v>
      </x:c>
      <x:c r="G5862" s="16" t="str">
        <x:v>+60165519760 | +60165519760</x:v>
      </x:c>
      <x:c r="H5862" s="16" t="str">
        <x:v>Excluded</x:v>
      </x:c>
      <x:c r="I5862" s="16" t="str">
        <x:v>Missing email</x:v>
      </x:c>
    </x:row>
    <x:row r="5863">
      <x:c r="A5863" s="16" t="n">
        <x:v>5860</x:v>
      </x:c>
      <x:c r="B5863" s="16" t="str">
        <x:v>Reha Aziz</x:v>
      </x:c>
      <x:c r="C5863" s="16" t="str">
        <x:v>reha@hijrahalam.my | info@hijrahalam.my</x:v>
      </x:c>
      <x:c r="D5863" s="16" t="str">
        <x:v>reha@hijrahalam.my | info@hijrahalam.my</x:v>
      </x:c>
      <x:c r="E5863" s="16" t="str">
        <x:v>* myContacts</x:v>
      </x:c>
      <x:c r="F5863" s="16" t="str">
        <x:v>0389269853 | +60389269853 | 019-253 3830</x:v>
      </x:c>
      <x:c r="G5863" s="16" t="str">
        <x:v>+60389269853 | +60389269853 | +60192533830</x:v>
      </x:c>
      <x:c r="H5863" s="16" t="str">
        <x:v>Eligible</x:v>
      </x:c>
      <x:c r="I5863" s="16" t="str"/>
    </x:row>
    <x:row r="5864">
      <x:c r="A5864" s="16" t="n">
        <x:v>5861</x:v>
      </x:c>
      <x:c r="B5864" s="16" t="str">
        <x:v>Reha Nazeha</x:v>
      </x:c>
      <x:c r="C5864" s="16" t="str"/>
      <x:c r="D5864" s="16" t="str"/>
      <x:c r="E5864" s="16" t="str">
        <x:v>* myContacts</x:v>
      </x:c>
      <x:c r="F5864" s="16" t="str">
        <x:v>+60123552744</x:v>
      </x:c>
      <x:c r="G5864" s="16" t="str">
        <x:v>+60123552744</x:v>
      </x:c>
      <x:c r="H5864" s="16" t="str">
        <x:v>Excluded</x:v>
      </x:c>
      <x:c r="I5864" s="16" t="str">
        <x:v>Missing email</x:v>
      </x:c>
    </x:row>
    <x:row r="5865">
      <x:c r="A5865" s="16" t="n">
        <x:v>5862</x:v>
      </x:c>
      <x:c r="B5865" s="16" t="str">
        <x:v>Rehan Bin Rahmat</x:v>
      </x:c>
      <x:c r="C5865" s="16" t="str"/>
      <x:c r="D5865" s="16" t="str"/>
      <x:c r="E5865" s="16" t="str">
        <x:v>* myContacts</x:v>
      </x:c>
      <x:c r="F5865" s="16" t="str">
        <x:v>+60127565542</x:v>
      </x:c>
      <x:c r="G5865" s="16" t="str">
        <x:v>+60127565542</x:v>
      </x:c>
      <x:c r="H5865" s="16" t="str">
        <x:v>Excluded</x:v>
      </x:c>
      <x:c r="I5865" s="16" t="str">
        <x:v>Missing email</x:v>
      </x:c>
    </x:row>
    <x:row r="5866">
      <x:c r="A5866" s="16" t="n">
        <x:v>5863</x:v>
      </x:c>
      <x:c r="B5866" s="16" t="str">
        <x:v>Rein Rich</x:v>
      </x:c>
      <x:c r="C5866" s="16" t="str"/>
      <x:c r="D5866" s="16" t="str"/>
      <x:c r="E5866" s="16" t="str">
        <x:v>* myContacts</x:v>
      </x:c>
      <x:c r="F5866" s="16" t="str">
        <x:v>+6072525400</x:v>
      </x:c>
      <x:c r="G5866" s="16" t="str">
        <x:v>+6072525400</x:v>
      </x:c>
      <x:c r="H5866" s="16" t="str">
        <x:v>Excluded</x:v>
      </x:c>
      <x:c r="I5866" s="16" t="str">
        <x:v>Missing email</x:v>
      </x:c>
    </x:row>
    <x:row r="5867">
      <x:c r="A5867" s="16" t="n">
        <x:v>5864</x:v>
      </x:c>
      <x:c r="B5867" s="16" t="str">
        <x:v>Reko Hotel</x:v>
      </x:c>
      <x:c r="C5867" s="16" t="str"/>
      <x:c r="D5867" s="16" t="str"/>
      <x:c r="E5867" s="16" t="str">
        <x:v>* myContacts</x:v>
      </x:c>
      <x:c r="F5867" s="16" t="str">
        <x:v>+60102315325</x:v>
      </x:c>
      <x:c r="G5867" s="16" t="str">
        <x:v>+60102315325</x:v>
      </x:c>
      <x:c r="H5867" s="16" t="str">
        <x:v>Excluded</x:v>
      </x:c>
      <x:c r="I5867" s="16" t="str">
        <x:v>Missing email</x:v>
      </x:c>
    </x:row>
    <x:row r="5868">
      <x:c r="A5868" s="16" t="n">
        <x:v>5865</x:v>
      </x:c>
      <x:c r="B5868" s="16" t="str">
        <x:v>Rem Trainer Provider</x:v>
      </x:c>
      <x:c r="C5868" s="16" t="str"/>
      <x:c r="D5868" s="16" t="str"/>
      <x:c r="E5868" s="16" t="str">
        <x:v>* myContacts</x:v>
      </x:c>
      <x:c r="F5868" s="16" t="str">
        <x:v>+60 11-1143 0979 | +60 11-1149 3979</x:v>
      </x:c>
      <x:c r="G5868" s="16" t="str">
        <x:v>+601111430979 | +601111493979</x:v>
      </x:c>
      <x:c r="H5868" s="16" t="str">
        <x:v>Excluded</x:v>
      </x:c>
      <x:c r="I5868" s="16" t="str">
        <x:v>Missing email</x:v>
      </x:c>
    </x:row>
    <x:row r="5869">
      <x:c r="A5869" s="16" t="n">
        <x:v>5866</x:v>
      </x:c>
      <x:c r="B5869" s="16" t="str">
        <x:v>Rem Trainer Provider</x:v>
      </x:c>
      <x:c r="C5869" s="16" t="str"/>
      <x:c r="D5869" s="16" t="str"/>
      <x:c r="E5869" s="16" t="str">
        <x:v>* myContacts</x:v>
      </x:c>
      <x:c r="F5869" s="16" t="str">
        <x:v>+601111430979 | +601111493979</x:v>
      </x:c>
      <x:c r="G5869" s="16" t="str">
        <x:v>+601111430979 | +601111493979</x:v>
      </x:c>
      <x:c r="H5869" s="16" t="str">
        <x:v>Excluded</x:v>
      </x:c>
      <x:c r="I5869" s="16" t="str">
        <x:v>Missing email</x:v>
      </x:c>
    </x:row>
    <x:row r="5870">
      <x:c r="A5870" s="16" t="n">
        <x:v>5867</x:v>
      </x:c>
      <x:c r="B5870" s="16" t="str">
        <x:v>Remie Machang</x:v>
      </x:c>
      <x:c r="C5870" s="16" t="str"/>
      <x:c r="D5870" s="16" t="str"/>
      <x:c r="E5870" s="16" t="str">
        <x:v>* myContacts</x:v>
      </x:c>
      <x:c r="F5870" s="16" t="str">
        <x:v>+60148462331</x:v>
      </x:c>
      <x:c r="G5870" s="16" t="str">
        <x:v>+60148462331</x:v>
      </x:c>
      <x:c r="H5870" s="16" t="str">
        <x:v>Excluded</x:v>
      </x:c>
      <x:c r="I5870" s="16" t="str">
        <x:v>Missing email</x:v>
      </x:c>
    </x:row>
    <x:row r="5871">
      <x:c r="A5871" s="16" t="n">
        <x:v>5868</x:v>
      </x:c>
      <x:c r="B5871" s="16" t="str">
        <x:v>Remy Liew Mdec Trainer</x:v>
      </x:c>
      <x:c r="C5871" s="16" t="str"/>
      <x:c r="D5871" s="16" t="str"/>
      <x:c r="E5871" s="16" t="str">
        <x:v>Trainer | * myContacts</x:v>
      </x:c>
      <x:c r="F5871" s="16" t="str">
        <x:v>+60 19-345 1400 | +60193451400</x:v>
      </x:c>
      <x:c r="G5871" s="16" t="str">
        <x:v>+60193451400 | +60193451400</x:v>
      </x:c>
      <x:c r="H5871" s="16" t="str">
        <x:v>Excluded</x:v>
      </x:c>
      <x:c r="I5871" s="16" t="str">
        <x:v>Missing email</x:v>
      </x:c>
    </x:row>
    <x:row r="5872">
      <x:c r="A5872" s="16" t="n">
        <x:v>5869</x:v>
      </x:c>
      <x:c r="B5872" s="16" t="str">
        <x:v>Ren Kalodata Regional Manager Malaysia</x:v>
      </x:c>
      <x:c r="C5872" s="16" t="str"/>
      <x:c r="D5872" s="16" t="str"/>
      <x:c r="E5872" s="16" t="str">
        <x:v>* myContacts</x:v>
      </x:c>
      <x:c r="F5872" s="16" t="str">
        <x:v>+60 11-8888 3699 | +601188883699</x:v>
      </x:c>
      <x:c r="G5872" s="16" t="str">
        <x:v>+601188883699 | +601188883699</x:v>
      </x:c>
      <x:c r="H5872" s="16" t="str">
        <x:v>Excluded</x:v>
      </x:c>
      <x:c r="I5872" s="16" t="str">
        <x:v>Missing email</x:v>
      </x:c>
    </x:row>
    <x:row r="5873">
      <x:c r="A5873" s="16" t="n">
        <x:v>5870</x:v>
      </x:c>
      <x:c r="B5873" s="16" t="str">
        <x:v>Reni Ananda</x:v>
      </x:c>
      <x:c r="C5873" s="16" t="str"/>
      <x:c r="D5873" s="16" t="str"/>
      <x:c r="E5873" s="16" t="str">
        <x:v>* myContacts</x:v>
      </x:c>
      <x:c r="F5873" s="16" t="str">
        <x:v>+6281649005807</x:v>
      </x:c>
      <x:c r="G5873" s="16" t="str">
        <x:v>+6281649005807</x:v>
      </x:c>
      <x:c r="H5873" s="16" t="str">
        <x:v>Excluded</x:v>
      </x:c>
      <x:c r="I5873" s="16" t="str">
        <x:v>Missing email</x:v>
      </x:c>
    </x:row>
    <x:row r="5874">
      <x:c r="A5874" s="16" t="n">
        <x:v>5871</x:v>
      </x:c>
      <x:c r="B5874" s="16" t="str">
        <x:v>Renny Rozdiana</x:v>
      </x:c>
      <x:c r="C5874" s="16" t="str"/>
      <x:c r="D5874" s="16" t="str"/>
      <x:c r="E5874" s="16" t="str">
        <x:v>* myContacts</x:v>
      </x:c>
      <x:c r="F5874" s="16" t="str">
        <x:v>+60132216869</x:v>
      </x:c>
      <x:c r="G5874" s="16" t="str">
        <x:v>+60132216869</x:v>
      </x:c>
      <x:c r="H5874" s="16" t="str">
        <x:v>Excluded</x:v>
      </x:c>
      <x:c r="I5874" s="16" t="str">
        <x:v>Missing email</x:v>
      </x:c>
    </x:row>
    <x:row r="5875">
      <x:c r="A5875" s="16" t="n">
        <x:v>5872</x:v>
      </x:c>
      <x:c r="B5875" s="16" t="str">
        <x:v>Renu NGO</x:v>
      </x:c>
      <x:c r="C5875" s="16" t="str"/>
      <x:c r="D5875" s="16" t="str"/>
      <x:c r="E5875" s="16" t="str">
        <x:v>* myContacts</x:v>
      </x:c>
      <x:c r="F5875" s="16" t="str">
        <x:v>60123737349 | +60123737349</x:v>
      </x:c>
      <x:c r="G5875" s="16" t="str">
        <x:v>+60123737349 | +60123737349</x:v>
      </x:c>
      <x:c r="H5875" s="16" t="str">
        <x:v>Excluded</x:v>
      </x:c>
      <x:c r="I5875" s="16" t="str">
        <x:v>Missing email</x:v>
      </x:c>
    </x:row>
    <x:row r="5876">
      <x:c r="A5876" s="16" t="n">
        <x:v>5873</x:v>
      </x:c>
      <x:c r="B5876" s="16" t="str">
        <x:v>Repair absorber</x:v>
      </x:c>
      <x:c r="C5876" s="16" t="str"/>
      <x:c r="D5876" s="16" t="str"/>
      <x:c r="E5876" s="16" t="str">
        <x:v>* myContacts</x:v>
      </x:c>
      <x:c r="F5876" s="16" t="str">
        <x:v>+60 17-420 3931 | +60174203931</x:v>
      </x:c>
      <x:c r="G5876" s="16" t="str">
        <x:v>+60174203931 | +60174203931</x:v>
      </x:c>
      <x:c r="H5876" s="16" t="str">
        <x:v>Excluded</x:v>
      </x:c>
      <x:c r="I5876" s="16" t="str">
        <x:v>Missing email</x:v>
      </x:c>
    </x:row>
    <x:row r="5877">
      <x:c r="A5877" s="16" t="n">
        <x:v>5874</x:v>
      </x:c>
      <x:c r="B5877" s="16" t="str">
        <x:v>Republik Lan</x:v>
      </x:c>
      <x:c r="C5877" s="16" t="str"/>
      <x:c r="D5877" s="16" t="str"/>
      <x:c r="E5877" s="16" t="str">
        <x:v>* myContacts</x:v>
      </x:c>
      <x:c r="F5877" s="16" t="str">
        <x:v>+60168959473</x:v>
      </x:c>
      <x:c r="G5877" s="16" t="str">
        <x:v>+60168959473</x:v>
      </x:c>
      <x:c r="H5877" s="16" t="str">
        <x:v>Excluded</x:v>
      </x:c>
      <x:c r="I5877" s="16" t="str">
        <x:v>Missing email</x:v>
      </x:c>
    </x:row>
    <x:row r="5878">
      <x:c r="A5878" s="16" t="n">
        <x:v>5875</x:v>
      </x:c>
      <x:c r="B5878" s="16" t="str">
        <x:v>restoran aidania</x:v>
      </x:c>
      <x:c r="C5878" s="16" t="str"/>
      <x:c r="D5878" s="16" t="str"/>
      <x:c r="E5878" s="16" t="str">
        <x:v>* myContacts</x:v>
      </x:c>
      <x:c r="F5878" s="16" t="str">
        <x:v>0193917736</x:v>
      </x:c>
      <x:c r="G5878" s="16" t="str">
        <x:v>+60193917736</x:v>
      </x:c>
      <x:c r="H5878" s="16" t="str">
        <x:v>Excluded</x:v>
      </x:c>
      <x:c r="I5878" s="16" t="str">
        <x:v>Missing email</x:v>
      </x:c>
    </x:row>
    <x:row r="5879">
      <x:c r="A5879" s="16" t="n">
        <x:v>5876</x:v>
      </x:c>
      <x:c r="B5879" s="16" t="str">
        <x:v>Rexton Spare Part KL</x:v>
      </x:c>
      <x:c r="C5879" s="16" t="str"/>
      <x:c r="D5879" s="16" t="str"/>
      <x:c r="E5879" s="16" t="str">
        <x:v>* myContacts</x:v>
      </x:c>
      <x:c r="F5879" s="16" t="str">
        <x:v>+60 16-336 8261 | +60163368261</x:v>
      </x:c>
      <x:c r="G5879" s="16" t="str">
        <x:v>+60163368261 | +60163368261</x:v>
      </x:c>
      <x:c r="H5879" s="16" t="str">
        <x:v>Excluded</x:v>
      </x:c>
      <x:c r="I5879" s="16" t="str">
        <x:v>Missing email</x:v>
      </x:c>
    </x:row>
    <x:row r="5880">
      <x:c r="A5880" s="16" t="n">
        <x:v>5877</x:v>
      </x:c>
      <x:c r="B5880" s="16" t="str">
        <x:v>Reyaz AGP</x:v>
      </x:c>
      <x:c r="C5880" s="16" t="str"/>
      <x:c r="D5880" s="16" t="str"/>
      <x:c r="E5880" s="16" t="str">
        <x:v>* myContacts</x:v>
      </x:c>
      <x:c r="F5880" s="16" t="str">
        <x:v>+60 12-388 8645 | +60123888645</x:v>
      </x:c>
      <x:c r="G5880" s="16" t="str">
        <x:v>+60123888645 | +60123888645</x:v>
      </x:c>
      <x:c r="H5880" s="16" t="str">
        <x:v>Excluded</x:v>
      </x:c>
      <x:c r="I5880" s="16" t="str">
        <x:v>Missing email</x:v>
      </x:c>
    </x:row>
    <x:row r="5881">
      <x:c r="A5881" s="16" t="n">
        <x:v>5878</x:v>
      </x:c>
      <x:c r="B5881" s="16" t="str">
        <x:v>Reynu'z Bridal</x:v>
      </x:c>
      <x:c r="C5881" s="16" t="str"/>
      <x:c r="D5881" s="16" t="str"/>
      <x:c r="E5881" s="16" t="str">
        <x:v>* myContacts</x:v>
      </x:c>
      <x:c r="F5881" s="16" t="str">
        <x:v>+60105662094</x:v>
      </x:c>
      <x:c r="G5881" s="16" t="str">
        <x:v>+60105662094</x:v>
      </x:c>
      <x:c r="H5881" s="16" t="str">
        <x:v>Excluded</x:v>
      </x:c>
      <x:c r="I5881" s="16" t="str">
        <x:v>Missing email</x:v>
      </x:c>
    </x:row>
    <x:row r="5882">
      <x:c r="A5882" s="16" t="n">
        <x:v>5879</x:v>
      </x:c>
      <x:c r="B5882" s="16" t="str">
        <x:v>Reza Razali</x:v>
      </x:c>
      <x:c r="C5882" s="16" t="str">
        <x:v>reza@getslurp.com</x:v>
      </x:c>
      <x:c r="D5882" s="16" t="str">
        <x:v>reza@getslurp.com</x:v>
      </x:c>
      <x:c r="E5882" s="16" t="str">
        <x:v>* myContacts</x:v>
      </x:c>
      <x:c r="F5882" s="16" t="str">
        <x:v>60162196929 | +60162196929</x:v>
      </x:c>
      <x:c r="G5882" s="16" t="str">
        <x:v>+60162196929 | +60162196929</x:v>
      </x:c>
      <x:c r="H5882" s="16" t="str">
        <x:v>Eligible</x:v>
      </x:c>
      <x:c r="I5882" s="16" t="str"/>
    </x:row>
    <x:row r="5883">
      <x:c r="A5883" s="16" t="n">
        <x:v>5880</x:v>
      </x:c>
      <x:c r="B5883" s="16" t="str">
        <x:v>Rezani Ibrahim Rezani Ibrahim</x:v>
      </x:c>
      <x:c r="C5883" s="16" t="str"/>
      <x:c r="D5883" s="16" t="str"/>
      <x:c r="E5883" s="16" t="str">
        <x:v>* myContacts</x:v>
      </x:c>
      <x:c r="F5883" s="16" t="str">
        <x:v>+60199744733</x:v>
      </x:c>
      <x:c r="G5883" s="16" t="str">
        <x:v>+60199744733</x:v>
      </x:c>
      <x:c r="H5883" s="16" t="str">
        <x:v>Excluded</x:v>
      </x:c>
      <x:c r="I5883" s="16" t="str">
        <x:v>Missing email</x:v>
      </x:c>
    </x:row>
    <x:row r="5884">
      <x:c r="A5884" s="16" t="n">
        <x:v>5881</x:v>
      </x:c>
      <x:c r="B5884" s="16" t="str">
        <x:v>rfp insken</x:v>
      </x:c>
      <x:c r="C5884" s="16" t="str">
        <x:v>rfp@insken.gov.my</x:v>
      </x:c>
      <x:c r="D5884" s="16" t="str">
        <x:v>rfp@insken.gov.my</x:v>
      </x:c>
      <x:c r="E5884" s="16" t="str">
        <x:v>Alumni INSKEN | * myContacts</x:v>
      </x:c>
      <x:c r="F5884" s="16" t="str"/>
      <x:c r="G5884" s="16" t="str"/>
      <x:c r="H5884" s="16" t="str">
        <x:v>Eligible</x:v>
      </x:c>
      <x:c r="I5884" s="16" t="str"/>
    </x:row>
    <x:row r="5885">
      <x:c r="A5885" s="16" t="n">
        <x:v>5882</x:v>
      </x:c>
      <x:c r="B5885" s="16" t="str">
        <x:v>Rhaz Jahanam Fc</x:v>
      </x:c>
      <x:c r="C5885" s="16" t="str"/>
      <x:c r="D5885" s="16" t="str"/>
      <x:c r="E5885" s="16" t="str">
        <x:v>* myContacts</x:v>
      </x:c>
      <x:c r="F5885" s="16" t="str">
        <x:v>+60168971554</x:v>
      </x:c>
      <x:c r="G5885" s="16" t="str">
        <x:v>+60168971554</x:v>
      </x:c>
      <x:c r="H5885" s="16" t="str">
        <x:v>Excluded</x:v>
      </x:c>
      <x:c r="I5885" s="16" t="str">
        <x:v>Missing email</x:v>
      </x:c>
    </x:row>
    <x:row r="5886">
      <x:c r="A5886" s="16" t="n">
        <x:v>5883</x:v>
      </x:c>
      <x:c r="B5886" s="16" t="str">
        <x:v>Ria Atika</x:v>
      </x:c>
      <x:c r="C5886" s="16" t="str"/>
      <x:c r="D5886" s="16" t="str"/>
      <x:c r="E5886" s="16" t="str">
        <x:v>* myContacts</x:v>
      </x:c>
      <x:c r="F5886" s="16" t="str">
        <x:v>+6281364550742</x:v>
      </x:c>
      <x:c r="G5886" s="16" t="str">
        <x:v>+6281364550742</x:v>
      </x:c>
      <x:c r="H5886" s="16" t="str">
        <x:v>Excluded</x:v>
      </x:c>
      <x:c r="I5886" s="16" t="str">
        <x:v>Missing email</x:v>
      </x:c>
    </x:row>
    <x:row r="5887">
      <x:c r="A5887" s="16" t="n">
        <x:v>5884</x:v>
      </x:c>
      <x:c r="B5887" s="16" t="str">
        <x:v>Richestdesign RD</x:v>
      </x:c>
      <x:c r="C5887" s="16" t="str"/>
      <x:c r="D5887" s="16" t="str"/>
      <x:c r="E5887" s="16" t="str">
        <x:v>* myContacts</x:v>
      </x:c>
      <x:c r="F5887" s="16" t="str">
        <x:v>+60177230796</x:v>
      </x:c>
      <x:c r="G5887" s="16" t="str">
        <x:v>+60177230796</x:v>
      </x:c>
      <x:c r="H5887" s="16" t="str">
        <x:v>Excluded</x:v>
      </x:c>
      <x:c r="I5887" s="16" t="str">
        <x:v>Missing email</x:v>
      </x:c>
    </x:row>
    <x:row r="5888">
      <x:c r="A5888" s="16" t="n">
        <x:v>5885</x:v>
      </x:c>
      <x:c r="B5888" s="16" t="str">
        <x:v>Richworks Tips</x:v>
      </x:c>
      <x:c r="C5888" s="16" t="str"/>
      <x:c r="D5888" s="16" t="str"/>
      <x:c r="E5888" s="16" t="str">
        <x:v>* myContacts</x:v>
      </x:c>
      <x:c r="F5888" s="16" t="str">
        <x:v>+49 1579 2457932 | +4915792457932</x:v>
      </x:c>
      <x:c r="G5888" s="16" t="str">
        <x:v>+4915792457932 | +4915792457932</x:v>
      </x:c>
      <x:c r="H5888" s="16" t="str">
        <x:v>Excluded</x:v>
      </x:c>
      <x:c r="I5888" s="16" t="str">
        <x:v>Missing email</x:v>
      </x:c>
    </x:row>
    <x:row r="5889">
      <x:c r="A5889" s="16" t="n">
        <x:v>5886</x:v>
      </x:c>
      <x:c r="B5889" s="16" t="str">
        <x:v>Riduan Coach</x:v>
      </x:c>
      <x:c r="C5889" s="16" t="str"/>
      <x:c r="D5889" s="16" t="str"/>
      <x:c r="E5889" s="16" t="str">
        <x:v>Trainer | * myContacts</x:v>
      </x:c>
      <x:c r="F5889" s="16" t="str">
        <x:v>+60 12-320 0780 | +60123200780</x:v>
      </x:c>
      <x:c r="G5889" s="16" t="str">
        <x:v>+60123200780 | +60123200780</x:v>
      </x:c>
      <x:c r="H5889" s="16" t="str">
        <x:v>Excluded</x:v>
      </x:c>
      <x:c r="I5889" s="16" t="str">
        <x:v>Missing email</x:v>
      </x:c>
    </x:row>
    <x:row r="5890">
      <x:c r="A5890" s="16" t="n">
        <x:v>5887</x:v>
      </x:c>
      <x:c r="B5890" s="16" t="str">
        <x:v>Riduan Fx</x:v>
      </x:c>
      <x:c r="C5890" s="16" t="str"/>
      <x:c r="D5890" s="16" t="str"/>
      <x:c r="E5890" s="16" t="str">
        <x:v>* myContacts</x:v>
      </x:c>
      <x:c r="F5890" s="16" t="str">
        <x:v>+60 10-900 5594 | +60109005594</x:v>
      </x:c>
      <x:c r="G5890" s="16" t="str">
        <x:v>+60109005594 | +60109005594</x:v>
      </x:c>
      <x:c r="H5890" s="16" t="str">
        <x:v>Excluded</x:v>
      </x:c>
      <x:c r="I5890" s="16" t="str">
        <x:v>Missing email</x:v>
      </x:c>
    </x:row>
    <x:row r="5891">
      <x:c r="A5891" s="16" t="n">
        <x:v>5888</x:v>
      </x:c>
      <x:c r="B5891" s="16" t="str">
        <x:v>Riduan IM</x:v>
      </x:c>
      <x:c r="C5891" s="16" t="str"/>
      <x:c r="D5891" s="16" t="str"/>
      <x:c r="E5891" s="16" t="str">
        <x:v>* myContacts</x:v>
      </x:c>
      <x:c r="F5891" s="16" t="str">
        <x:v>012-378 7997 | +60123787997</x:v>
      </x:c>
      <x:c r="G5891" s="16" t="str">
        <x:v>+60123787997 | +60123787997</x:v>
      </x:c>
      <x:c r="H5891" s="16" t="str">
        <x:v>Excluded</x:v>
      </x:c>
      <x:c r="I5891" s="16" t="str">
        <x:v>Missing email</x:v>
      </x:c>
    </x:row>
    <x:row r="5892">
      <x:c r="A5892" s="16" t="n">
        <x:v>5889</x:v>
      </x:c>
      <x:c r="B5892" s="16" t="str">
        <x:v>Ridzhwann Eone ZzerohOne</x:v>
      </x:c>
      <x:c r="C5892" s="16" t="str"/>
      <x:c r="D5892" s="16" t="str"/>
      <x:c r="E5892" s="16" t="str">
        <x:v>* myContacts</x:v>
      </x:c>
      <x:c r="F5892" s="16" t="str">
        <x:v>+60145519639</x:v>
      </x:c>
      <x:c r="G5892" s="16" t="str">
        <x:v>+60145519639</x:v>
      </x:c>
      <x:c r="H5892" s="16" t="str">
        <x:v>Excluded</x:v>
      </x:c>
      <x:c r="I5892" s="16" t="str">
        <x:v>Missing email</x:v>
      </x:c>
    </x:row>
    <x:row r="5893">
      <x:c r="A5893" s="16" t="n">
        <x:v>5890</x:v>
      </x:c>
      <x:c r="B5893" s="16" t="str">
        <x:v>RidzOne September</x:v>
      </x:c>
      <x:c r="C5893" s="16" t="str"/>
      <x:c r="D5893" s="16" t="str"/>
      <x:c r="E5893" s="16" t="str">
        <x:v>* myContacts</x:v>
      </x:c>
      <x:c r="F5893" s="16" t="str">
        <x:v>+60178650272</x:v>
      </x:c>
      <x:c r="G5893" s="16" t="str">
        <x:v>+60178650272</x:v>
      </x:c>
      <x:c r="H5893" s="16" t="str">
        <x:v>Excluded</x:v>
      </x:c>
      <x:c r="I5893" s="16" t="str">
        <x:v>Missing email</x:v>
      </x:c>
    </x:row>
    <x:row r="5894">
      <x:c r="A5894" s="16" t="n">
        <x:v>5891</x:v>
      </x:c>
      <x:c r="B5894" s="16" t="str">
        <x:v>Ridzuan boss eusahawan Mdec</x:v>
      </x:c>
      <x:c r="C5894" s="16" t="str"/>
      <x:c r="D5894" s="16" t="str"/>
      <x:c r="E5894" s="16" t="str">
        <x:v>Alumni eUsahawan | * myContacts</x:v>
      </x:c>
      <x:c r="F5894" s="16" t="str">
        <x:v>+60193115839</x:v>
      </x:c>
      <x:c r="G5894" s="16" t="str">
        <x:v>+60193115839</x:v>
      </x:c>
      <x:c r="H5894" s="16" t="str">
        <x:v>Excluded</x:v>
      </x:c>
      <x:c r="I5894" s="16" t="str">
        <x:v>Missing email</x:v>
      </x:c>
    </x:row>
    <x:row r="5895">
      <x:c r="A5895" s="16" t="n">
        <x:v>5892</x:v>
      </x:c>
      <x:c r="B5895" s="16" t="str">
        <x:v>Ridzuan Rahimin</x:v>
      </x:c>
      <x:c r="C5895" s="16" t="str"/>
      <x:c r="D5895" s="16" t="str"/>
      <x:c r="E5895" s="16" t="str">
        <x:v>* myContacts</x:v>
      </x:c>
      <x:c r="F5895" s="16" t="str">
        <x:v>+60182415880</x:v>
      </x:c>
      <x:c r="G5895" s="16" t="str">
        <x:v>+60182415880</x:v>
      </x:c>
      <x:c r="H5895" s="16" t="str">
        <x:v>Excluded</x:v>
      </x:c>
      <x:c r="I5895" s="16" t="str">
        <x:v>Missing email</x:v>
      </x:c>
    </x:row>
    <x:row r="5896">
      <x:c r="A5896" s="16" t="n">
        <x:v>5893</x:v>
      </x:c>
      <x:c r="B5896" s="16" t="str">
        <x:v>Ridzuan Ramli</x:v>
      </x:c>
      <x:c r="C5896" s="16" t="str"/>
      <x:c r="D5896" s="16" t="str"/>
      <x:c r="E5896" s="16" t="str">
        <x:v>* myContacts</x:v>
      </x:c>
      <x:c r="F5896" s="16" t="str">
        <x:v>+60145179838</x:v>
      </x:c>
      <x:c r="G5896" s="16" t="str">
        <x:v>+60145179838</x:v>
      </x:c>
      <x:c r="H5896" s="16" t="str">
        <x:v>Excluded</x:v>
      </x:c>
      <x:c r="I5896" s="16" t="str">
        <x:v>Missing email</x:v>
      </x:c>
    </x:row>
    <x:row r="5897">
      <x:c r="A5897" s="16" t="n">
        <x:v>5894</x:v>
      </x:c>
      <x:c r="B5897" s="16" t="str">
        <x:v>Ridzuanyahya Ridzuan</x:v>
      </x:c>
      <x:c r="C5897" s="16" t="str"/>
      <x:c r="D5897" s="16" t="str"/>
      <x:c r="E5897" s="16" t="str">
        <x:v>* myContacts</x:v>
      </x:c>
      <x:c r="F5897" s="16" t="str">
        <x:v>+60174003220</x:v>
      </x:c>
      <x:c r="G5897" s="16" t="str">
        <x:v>+60174003220</x:v>
      </x:c>
      <x:c r="H5897" s="16" t="str">
        <x:v>Excluded</x:v>
      </x:c>
      <x:c r="I5897" s="16" t="str">
        <x:v>Missing email</x:v>
      </x:c>
    </x:row>
    <x:row r="5898">
      <x:c r="A5898" s="16" t="n">
        <x:v>5895</x:v>
      </x:c>
      <x:c r="B5898" s="16" t="str">
        <x:v>Rienz Arsi</x:v>
      </x:c>
      <x:c r="C5898" s="16" t="str"/>
      <x:c r="D5898" s="16" t="str"/>
      <x:c r="E5898" s="16" t="str">
        <x:v>* myContacts</x:v>
      </x:c>
      <x:c r="F5898" s="16" t="str">
        <x:v>+601127771507</x:v>
      </x:c>
      <x:c r="G5898" s="16" t="str">
        <x:v>+601127771507</x:v>
      </x:c>
      <x:c r="H5898" s="16" t="str">
        <x:v>Excluded</x:v>
      </x:c>
      <x:c r="I5898" s="16" t="str">
        <x:v>Missing email</x:v>
      </x:c>
    </x:row>
    <x:row r="5899">
      <x:c r="A5899" s="16" t="n">
        <x:v>5896</x:v>
      </x:c>
      <x:c r="B5899" s="16" t="str">
        <x:v>Riesha Riduan</x:v>
      </x:c>
      <x:c r="C5899" s="16" t="str"/>
      <x:c r="D5899" s="16" t="str"/>
      <x:c r="E5899" s="16" t="str">
        <x:v>* myContacts</x:v>
      </x:c>
      <x:c r="F5899" s="16" t="str">
        <x:v>+60122566440</x:v>
      </x:c>
      <x:c r="G5899" s="16" t="str">
        <x:v>+60122566440</x:v>
      </x:c>
      <x:c r="H5899" s="16" t="str">
        <x:v>Excluded</x:v>
      </x:c>
      <x:c r="I5899" s="16" t="str">
        <x:v>Missing email</x:v>
      </x:c>
    </x:row>
    <x:row r="5900">
      <x:c r="A5900" s="16" t="n">
        <x:v>5897</x:v>
      </x:c>
      <x:c r="B5900" s="16" t="str">
        <x:v>Rifthan Hamraa</x:v>
      </x:c>
      <x:c r="C5900" s="16" t="str"/>
      <x:c r="D5900" s="16" t="str"/>
      <x:c r="E5900" s="16" t="str">
        <x:v>* myContacts</x:v>
      </x:c>
      <x:c r="F5900" s="16" t="str">
        <x:v>+601116135202</x:v>
      </x:c>
      <x:c r="G5900" s="16" t="str">
        <x:v>+601116135202</x:v>
      </x:c>
      <x:c r="H5900" s="16" t="str">
        <x:v>Excluded</x:v>
      </x:c>
      <x:c r="I5900" s="16" t="str">
        <x:v>Missing email</x:v>
      </x:c>
    </x:row>
    <x:row r="5901">
      <x:c r="A5901" s="16" t="n">
        <x:v>5898</x:v>
      </x:c>
      <x:c r="B5901" s="16" t="str">
        <x:v>Rina Khalidna</x:v>
      </x:c>
      <x:c r="C5901" s="16" t="str"/>
      <x:c r="D5901" s="16" t="str"/>
      <x:c r="E5901" s="16" t="str">
        <x:v>* myContacts</x:v>
      </x:c>
      <x:c r="F5901" s="16" t="str">
        <x:v>+60176625067</x:v>
      </x:c>
      <x:c r="G5901" s="16" t="str">
        <x:v>+60176625067</x:v>
      </x:c>
      <x:c r="H5901" s="16" t="str">
        <x:v>Excluded</x:v>
      </x:c>
      <x:c r="I5901" s="16" t="str">
        <x:v>Missing email</x:v>
      </x:c>
    </x:row>
    <x:row r="5902">
      <x:c r="A5902" s="16" t="n">
        <x:v>5899</x:v>
      </x:c>
      <x:c r="B5902" s="16" t="str">
        <x:v>Rinah Rollend</x:v>
      </x:c>
      <x:c r="C5902" s="16" t="str"/>
      <x:c r="D5902" s="16" t="str"/>
      <x:c r="E5902" s="16" t="str">
        <x:v>* myContacts</x:v>
      </x:c>
      <x:c r="F5902" s="16" t="str">
        <x:v>+601133975661</x:v>
      </x:c>
      <x:c r="G5902" s="16" t="str">
        <x:v>+601133975661</x:v>
      </x:c>
      <x:c r="H5902" s="16" t="str">
        <x:v>Excluded</x:v>
      </x:c>
      <x:c r="I5902" s="16" t="str">
        <x:v>Missing email</x:v>
      </x:c>
    </x:row>
    <x:row r="5903">
      <x:c r="A5903" s="16" t="n">
        <x:v>5900</x:v>
      </x:c>
      <x:c r="B5903" s="16" t="str">
        <x:v>Rini Marty</x:v>
      </x:c>
      <x:c r="C5903" s="16" t="str"/>
      <x:c r="D5903" s="16" t="str"/>
      <x:c r="E5903" s="16" t="str">
        <x:v>* myContacts</x:v>
      </x:c>
      <x:c r="F5903" s="16" t="str">
        <x:v>+60138265782</x:v>
      </x:c>
      <x:c r="G5903" s="16" t="str">
        <x:v>+60138265782</x:v>
      </x:c>
      <x:c r="H5903" s="16" t="str">
        <x:v>Excluded</x:v>
      </x:c>
      <x:c r="I5903" s="16" t="str">
        <x:v>Missing email</x:v>
      </x:c>
    </x:row>
    <x:row r="5904">
      <x:c r="A5904" s="16" t="n">
        <x:v>5901</x:v>
      </x:c>
      <x:c r="B5904" s="16" t="str">
        <x:v>Rinie Kuching</x:v>
      </x:c>
      <x:c r="C5904" s="16" t="str"/>
      <x:c r="D5904" s="16" t="str"/>
      <x:c r="E5904" s="16" t="str">
        <x:v>* myContacts</x:v>
      </x:c>
      <x:c r="F5904" s="16" t="str">
        <x:v>+60163607864</x:v>
      </x:c>
      <x:c r="G5904" s="16" t="str">
        <x:v>+60163607864</x:v>
      </x:c>
      <x:c r="H5904" s="16" t="str">
        <x:v>Excluded</x:v>
      </x:c>
      <x:c r="I5904" s="16" t="str">
        <x:v>Missing email</x:v>
      </x:c>
    </x:row>
    <x:row r="5905">
      <x:c r="A5905" s="16" t="n">
        <x:v>5902</x:v>
      </x:c>
      <x:c r="B5905" s="16" t="str">
        <x:v>Rinie Suriani Zakaria</x:v>
      </x:c>
      <x:c r="C5905" s="16" t="str"/>
      <x:c r="D5905" s="16" t="str"/>
      <x:c r="E5905" s="16" t="str">
        <x:v>* myContacts</x:v>
      </x:c>
      <x:c r="F5905" s="16" t="str">
        <x:v>+60196660694</x:v>
      </x:c>
      <x:c r="G5905" s="16" t="str">
        <x:v>+60196660694</x:v>
      </x:c>
      <x:c r="H5905" s="16" t="str">
        <x:v>Excluded</x:v>
      </x:c>
      <x:c r="I5905" s="16" t="str">
        <x:v>Missing email</x:v>
      </x:c>
    </x:row>
    <x:row r="5906">
      <x:c r="A5906" s="16" t="n">
        <x:v>5903</x:v>
      </x:c>
      <x:c r="B5906" s="16" t="str">
        <x:v>Risman Ncii Slankrzarantas</x:v>
      </x:c>
      <x:c r="C5906" s="16" t="str"/>
      <x:c r="D5906" s="16" t="str"/>
      <x:c r="E5906" s="16" t="str">
        <x:v>* myContacts</x:v>
      </x:c>
      <x:c r="F5906" s="16" t="str">
        <x:v>+6285273791838</x:v>
      </x:c>
      <x:c r="G5906" s="16" t="str">
        <x:v>+6285273791838</x:v>
      </x:c>
      <x:c r="H5906" s="16" t="str">
        <x:v>Excluded</x:v>
      </x:c>
      <x:c r="I5906" s="16" t="str">
        <x:v>Missing email</x:v>
      </x:c>
    </x:row>
    <x:row r="5907">
      <x:c r="A5907" s="16" t="n">
        <x:v>5904</x:v>
      </x:c>
      <x:c r="B5907" s="16" t="str">
        <x:v>Rita Velita Putri</x:v>
      </x:c>
      <x:c r="C5907" s="16" t="str"/>
      <x:c r="D5907" s="16" t="str"/>
      <x:c r="E5907" s="16" t="str">
        <x:v>* myContacts</x:v>
      </x:c>
      <x:c r="F5907" s="16" t="str">
        <x:v>+6285211411955</x:v>
      </x:c>
      <x:c r="G5907" s="16" t="str">
        <x:v>+6285211411955</x:v>
      </x:c>
      <x:c r="H5907" s="16" t="str">
        <x:v>Excluded</x:v>
      </x:c>
      <x:c r="I5907" s="16" t="str">
        <x:v>Missing email</x:v>
      </x:c>
    </x:row>
    <x:row r="5908">
      <x:c r="A5908" s="16" t="n">
        <x:v>5905</x:v>
      </x:c>
      <x:c r="B5908" s="16" t="str">
        <x:v>Ritzwan Coach</x:v>
      </x:c>
      <x:c r="C5908" s="16" t="str"/>
      <x:c r="D5908" s="16" t="str"/>
      <x:c r="E5908" s="16" t="str">
        <x:v>Trainer | * myContacts</x:v>
      </x:c>
      <x:c r="F5908" s="16" t="str">
        <x:v>+60 19-260 9696 | +60192609696</x:v>
      </x:c>
      <x:c r="G5908" s="16" t="str">
        <x:v>+60192609696 | +60192609696</x:v>
      </x:c>
      <x:c r="H5908" s="16" t="str">
        <x:v>Excluded</x:v>
      </x:c>
      <x:c r="I5908" s="16" t="str">
        <x:v>Missing email</x:v>
      </x:c>
    </x:row>
    <x:row r="5909">
      <x:c r="A5909" s="16" t="n">
        <x:v>5906</x:v>
      </x:c>
      <x:c r="B5909" s="16" t="str">
        <x:v>Ritzwan Rosli</x:v>
      </x:c>
      <x:c r="C5909" s="16" t="str"/>
      <x:c r="D5909" s="16" t="str"/>
      <x:c r="E5909" s="16" t="str">
        <x:v>* myContacts</x:v>
      </x:c>
      <x:c r="F5909" s="16" t="str">
        <x:v>+60 19-260 9696</x:v>
      </x:c>
      <x:c r="G5909" s="16" t="str">
        <x:v>+60192609696</x:v>
      </x:c>
      <x:c r="H5909" s="16" t="str">
        <x:v>Excluded</x:v>
      </x:c>
      <x:c r="I5909" s="16" t="str">
        <x:v>Missing email</x:v>
      </x:c>
    </x:row>
    <x:row r="5910">
      <x:c r="A5910" s="16" t="n">
        <x:v>5907</x:v>
      </x:c>
      <x:c r="B5910" s="16" t="str">
        <x:v>Riwayadi Laming</x:v>
      </x:c>
      <x:c r="C5910" s="16" t="str"/>
      <x:c r="D5910" s="16" t="str"/>
      <x:c r="E5910" s="16" t="str">
        <x:v>* myContacts</x:v>
      </x:c>
      <x:c r="F5910" s="16" t="str">
        <x:v>+601125252510</x:v>
      </x:c>
      <x:c r="G5910" s="16" t="str">
        <x:v>+601125252510</x:v>
      </x:c>
      <x:c r="H5910" s="16" t="str">
        <x:v>Excluded</x:v>
      </x:c>
      <x:c r="I5910" s="16" t="str">
        <x:v>Missing email</x:v>
      </x:c>
    </x:row>
    <x:row r="5911">
      <x:c r="A5911" s="16" t="n">
        <x:v>5908</x:v>
      </x:c>
      <x:c r="B5911" s="16" t="str">
        <x:v>Riyan W</x:v>
      </x:c>
      <x:c r="C5911" s="16" t="str"/>
      <x:c r="D5911" s="16" t="str"/>
      <x:c r="E5911" s="16" t="str">
        <x:v>* myContacts</x:v>
      </x:c>
      <x:c r="F5911" s="16" t="str">
        <x:v>+6282236092884</x:v>
      </x:c>
      <x:c r="G5911" s="16" t="str">
        <x:v>+6282236092884</x:v>
      </x:c>
      <x:c r="H5911" s="16" t="str">
        <x:v>Excluded</x:v>
      </x:c>
      <x:c r="I5911" s="16" t="str">
        <x:v>Missing email</x:v>
      </x:c>
    </x:row>
    <x:row r="5912">
      <x:c r="A5912" s="16" t="n">
        <x:v>5909</x:v>
      </x:c>
      <x:c r="B5912" s="16" t="str">
        <x:v>Riz Farhan</x:v>
      </x:c>
      <x:c r="C5912" s="16" t="str"/>
      <x:c r="D5912" s="16" t="str"/>
      <x:c r="E5912" s="16" t="str">
        <x:v>* myContacts</x:v>
      </x:c>
      <x:c r="F5912" s="16" t="str">
        <x:v>+60148547988</x:v>
      </x:c>
      <x:c r="G5912" s="16" t="str">
        <x:v>+60148547988</x:v>
      </x:c>
      <x:c r="H5912" s="16" t="str">
        <x:v>Excluded</x:v>
      </x:c>
      <x:c r="I5912" s="16" t="str">
        <x:v>Missing email</x:v>
      </x:c>
    </x:row>
    <x:row r="5913">
      <x:c r="A5913" s="16" t="n">
        <x:v>5910</x:v>
      </x:c>
      <x:c r="B5913" s="16" t="str">
        <x:v>Riza Khalid</x:v>
      </x:c>
      <x:c r="C5913" s="16" t="str"/>
      <x:c r="D5913" s="16" t="str"/>
      <x:c r="E5913" s="16" t="str">
        <x:v>* myContacts</x:v>
      </x:c>
      <x:c r="F5913" s="16" t="str">
        <x:v>+60197777671</x:v>
      </x:c>
      <x:c r="G5913" s="16" t="str">
        <x:v>+60197777671</x:v>
      </x:c>
      <x:c r="H5913" s="16" t="str">
        <x:v>Excluded</x:v>
      </x:c>
      <x:c r="I5913" s="16" t="str">
        <x:v>Missing email</x:v>
      </x:c>
    </x:row>
    <x:row r="5914">
      <x:c r="A5914" s="16" t="n">
        <x:v>5911</x:v>
      </x:c>
      <x:c r="B5914" s="16" t="str">
        <x:v>Rizal Ismail</x:v>
      </x:c>
      <x:c r="C5914" s="16" t="str"/>
      <x:c r="D5914" s="16" t="str"/>
      <x:c r="E5914" s="16" t="str">
        <x:v>* myContacts</x:v>
      </x:c>
      <x:c r="F5914" s="16" t="str">
        <x:v>+60193672373</x:v>
      </x:c>
      <x:c r="G5914" s="16" t="str">
        <x:v>+60193672373</x:v>
      </x:c>
      <x:c r="H5914" s="16" t="str">
        <x:v>Excluded</x:v>
      </x:c>
      <x:c r="I5914" s="16" t="str">
        <x:v>Missing email</x:v>
      </x:c>
    </x:row>
    <x:row r="5915">
      <x:c r="A5915" s="16" t="n">
        <x:v>5912</x:v>
      </x:c>
      <x:c r="B5915" s="16" t="str">
        <x:v>Rizal PPMM</x:v>
      </x:c>
      <x:c r="C5915" s="16" t="str"/>
      <x:c r="D5915" s="16" t="str"/>
      <x:c r="E5915" s="16" t="str">
        <x:v>* myContacts</x:v>
      </x:c>
      <x:c r="F5915" s="16" t="str">
        <x:v>0193373478 | +60193373478</x:v>
      </x:c>
      <x:c r="G5915" s="16" t="str">
        <x:v>+60193373478 | +60193373478</x:v>
      </x:c>
      <x:c r="H5915" s="16" t="str">
        <x:v>Excluded</x:v>
      </x:c>
      <x:c r="I5915" s="16" t="str">
        <x:v>Missing email</x:v>
      </x:c>
    </x:row>
    <x:row r="5916">
      <x:c r="A5916" s="16" t="n">
        <x:v>5913</x:v>
      </x:c>
      <x:c r="B5916" s="16" t="str">
        <x:v>Rizal Rashid</x:v>
      </x:c>
      <x:c r="C5916" s="16" t="str"/>
      <x:c r="D5916" s="16" t="str"/>
      <x:c r="E5916" s="16" t="str">
        <x:v>* myContacts</x:v>
      </x:c>
      <x:c r="F5916" s="16" t="str">
        <x:v>+60133518005</x:v>
      </x:c>
      <x:c r="G5916" s="16" t="str">
        <x:v>+60133518005</x:v>
      </x:c>
      <x:c r="H5916" s="16" t="str">
        <x:v>Excluded</x:v>
      </x:c>
      <x:c r="I5916" s="16" t="str">
        <x:v>Missing email</x:v>
      </x:c>
    </x:row>
    <x:row r="5917">
      <x:c r="A5917" s="16" t="n">
        <x:v>5914</x:v>
      </x:c>
      <x:c r="B5917" s="16" t="str">
        <x:v>Rizal Razak</x:v>
      </x:c>
      <x:c r="C5917" s="16" t="str"/>
      <x:c r="D5917" s="16" t="str"/>
      <x:c r="E5917" s="16" t="str">
        <x:v>* myContacts</x:v>
      </x:c>
      <x:c r="F5917" s="16" t="str">
        <x:v>+60199868641</x:v>
      </x:c>
      <x:c r="G5917" s="16" t="str">
        <x:v>+60199868641</x:v>
      </x:c>
      <x:c r="H5917" s="16" t="str">
        <x:v>Excluded</x:v>
      </x:c>
      <x:c r="I5917" s="16" t="str">
        <x:v>Missing email</x:v>
      </x:c>
    </x:row>
    <x:row r="5918">
      <x:c r="A5918" s="16" t="n">
        <x:v>5915</x:v>
      </x:c>
      <x:c r="B5918" s="16" t="str">
        <x:v>Rizal Shah tukang paip</x:v>
      </x:c>
      <x:c r="C5918" s="16" t="str"/>
      <x:c r="D5918" s="16" t="str"/>
      <x:c r="E5918" s="16" t="str">
        <x:v>* myContacts</x:v>
      </x:c>
      <x:c r="F5918" s="16" t="str">
        <x:v>+60 17-582 5982 | +60175825982</x:v>
      </x:c>
      <x:c r="G5918" s="16" t="str">
        <x:v>+60175825982 | +60175825982</x:v>
      </x:c>
      <x:c r="H5918" s="16" t="str">
        <x:v>Excluded</x:v>
      </x:c>
      <x:c r="I5918" s="16" t="str">
        <x:v>Missing email</x:v>
      </x:c>
    </x:row>
    <x:row r="5919">
      <x:c r="A5919" s="16" t="n">
        <x:v>5916</x:v>
      </x:c>
      <x:c r="B5919" s="16" t="str">
        <x:v>Rizal Teknik Penang</x:v>
      </x:c>
      <x:c r="C5919" s="16" t="str"/>
      <x:c r="D5919" s="16" t="str"/>
      <x:c r="E5919" s="16" t="str">
        <x:v>* myContacts</x:v>
      </x:c>
      <x:c r="F5919" s="16" t="str">
        <x:v>+60 19-259 0384 | +60192590384</x:v>
      </x:c>
      <x:c r="G5919" s="16" t="str">
        <x:v>+60192590384 | +60192590384</x:v>
      </x:c>
      <x:c r="H5919" s="16" t="str">
        <x:v>Excluded</x:v>
      </x:c>
      <x:c r="I5919" s="16" t="str">
        <x:v>Missing email</x:v>
      </x:c>
    </x:row>
    <x:row r="5920">
      <x:c r="A5920" s="16" t="n">
        <x:v>5917</x:v>
      </x:c>
      <x:c r="B5920" s="16" t="str">
        <x:v>Rizqin Azzahrah Arisha</x:v>
      </x:c>
      <x:c r="C5920" s="16" t="str"/>
      <x:c r="D5920" s="16" t="str"/>
      <x:c r="E5920" s="16" t="str">
        <x:v>* myContacts</x:v>
      </x:c>
      <x:c r="F5920" s="16" t="str">
        <x:v>+60135470799</x:v>
      </x:c>
      <x:c r="G5920" s="16" t="str">
        <x:v>+60135470799</x:v>
      </x:c>
      <x:c r="H5920" s="16" t="str">
        <x:v>Excluded</x:v>
      </x:c>
      <x:c r="I5920" s="16" t="str">
        <x:v>Missing email</x:v>
      </x:c>
    </x:row>
    <x:row r="5921">
      <x:c r="A5921" s="16" t="n">
        <x:v>5918</x:v>
      </x:c>
      <x:c r="B5921" s="16" t="str">
        <x:v>Rizuan Sewa Kereta Langkawi</x:v>
      </x:c>
      <x:c r="C5921" s="16" t="str"/>
      <x:c r="D5921" s="16" t="str"/>
      <x:c r="E5921" s="16" t="str">
        <x:v>* myContacts</x:v>
      </x:c>
      <x:c r="F5921" s="16" t="str">
        <x:v>+60124144408</x:v>
      </x:c>
      <x:c r="G5921" s="16" t="str">
        <x:v>+60124144408</x:v>
      </x:c>
      <x:c r="H5921" s="16" t="str">
        <x:v>Excluded</x:v>
      </x:c>
      <x:c r="I5921" s="16" t="str">
        <x:v>Missing email</x:v>
      </x:c>
    </x:row>
    <x:row r="5922">
      <x:c r="A5922" s="16" t="n">
        <x:v>5919</x:v>
      </x:c>
      <x:c r="B5922" s="16" t="str">
        <x:v>Rizz Tebuk Lubang Deco</x:v>
      </x:c>
      <x:c r="C5922" s="16" t="str"/>
      <x:c r="D5922" s="16" t="str"/>
      <x:c r="E5922" s="16" t="str">
        <x:v>* myContacts</x:v>
      </x:c>
      <x:c r="F5922" s="16" t="str">
        <x:v>+60177311559</x:v>
      </x:c>
      <x:c r="G5922" s="16" t="str">
        <x:v>+60177311559</x:v>
      </x:c>
      <x:c r="H5922" s="16" t="str">
        <x:v>Excluded</x:v>
      </x:c>
      <x:c r="I5922" s="16" t="str">
        <x:v>Missing email</x:v>
      </x:c>
    </x:row>
    <x:row r="5923">
      <x:c r="A5923" s="16" t="n">
        <x:v>5920</x:v>
      </x:c>
      <x:c r="B5923" s="16" t="str">
        <x:v>RN Squad</x:v>
      </x:c>
      <x:c r="C5923" s="16" t="str"/>
      <x:c r="D5923" s="16" t="str"/>
      <x:c r="E5923" s="16" t="str">
        <x:v>* myContacts</x:v>
      </x:c>
      <x:c r="F5923" s="16" t="str">
        <x:v>+60193310504</x:v>
      </x:c>
      <x:c r="G5923" s="16" t="str">
        <x:v>+60193310504</x:v>
      </x:c>
      <x:c r="H5923" s="16" t="str">
        <x:v>Excluded</x:v>
      </x:c>
      <x:c r="I5923" s="16" t="str">
        <x:v>Missing email</x:v>
      </x:c>
    </x:row>
    <x:row r="5924">
      <x:c r="A5924" s="16" t="n">
        <x:v>5921</x:v>
      </x:c>
      <x:c r="B5924" s="16" t="str">
        <x:v>Roadtax BMS</x:v>
      </x:c>
      <x:c r="C5924" s="16" t="str"/>
      <x:c r="D5924" s="16" t="str"/>
      <x:c r="E5924" s="16" t="str">
        <x:v>* myContacts</x:v>
      </x:c>
      <x:c r="F5924" s="16" t="str">
        <x:v>+60 12-874 0755 | +60128740755</x:v>
      </x:c>
      <x:c r="G5924" s="16" t="str">
        <x:v>+60128740755 | +60128740755</x:v>
      </x:c>
      <x:c r="H5924" s="16" t="str">
        <x:v>Excluded</x:v>
      </x:c>
      <x:c r="I5924" s="16" t="str">
        <x:v>Missing email</x:v>
      </x:c>
    </x:row>
    <x:row r="5925">
      <x:c r="A5925" s="16" t="n">
        <x:v>5922</x:v>
      </x:c>
      <x:c r="B5925" s="16" t="str">
        <x:v>Roahayah student eusahawan</x:v>
      </x:c>
      <x:c r="C5925" s="16" t="str"/>
      <x:c r="D5925" s="16" t="str"/>
      <x:c r="E5925" s="16" t="str">
        <x:v>Alumni eUsahawan | * myContacts</x:v>
      </x:c>
      <x:c r="F5925" s="16" t="str">
        <x:v>+60 12-908 3562 | +60129083562</x:v>
      </x:c>
      <x:c r="G5925" s="16" t="str">
        <x:v>+60129083562 | +60129083562</x:v>
      </x:c>
      <x:c r="H5925" s="16" t="str">
        <x:v>Excluded</x:v>
      </x:c>
      <x:c r="I5925" s="16" t="str">
        <x:v>Missing email</x:v>
      </x:c>
    </x:row>
    <x:row r="5926">
      <x:c r="A5926" s="16" t="n">
        <x:v>5923</x:v>
      </x:c>
      <x:c r="B5926" s="16" t="str">
        <x:v>Rochan Tan Chong Service</x:v>
      </x:c>
      <x:c r="C5926" s="16" t="str">
        <x:v>rgfishtank93@gmail.com</x:v>
      </x:c>
      <x:c r="D5926" s="16" t="str">
        <x:v>rgfishtank93@gmail.com</x:v>
      </x:c>
      <x:c r="E5926" s="16" t="str">
        <x:v>* myContacts</x:v>
      </x:c>
      <x:c r="F5926" s="16" t="str">
        <x:v>+60125696171</x:v>
      </x:c>
      <x:c r="G5926" s="16" t="str">
        <x:v>+60125696171</x:v>
      </x:c>
      <x:c r="H5926" s="16" t="str">
        <x:v>Eligible</x:v>
      </x:c>
      <x:c r="I5926" s="16" t="str"/>
    </x:row>
    <x:row r="5927">
      <x:c r="A5927" s="16" t="n">
        <x:v>5924</x:v>
      </x:c>
      <x:c r="B5927" s="16" t="str">
        <x:v>Rock Lee Babe'ne Sheryl</x:v>
      </x:c>
      <x:c r="C5927" s="16" t="str"/>
      <x:c r="D5927" s="16" t="str"/>
      <x:c r="E5927" s="16" t="str">
        <x:v>* myContacts</x:v>
      </x:c>
      <x:c r="F5927" s="16" t="str">
        <x:v>+628993981515</x:v>
      </x:c>
      <x:c r="G5927" s="16" t="str">
        <x:v>+628993981515</x:v>
      </x:c>
      <x:c r="H5927" s="16" t="str">
        <x:v>Excluded</x:v>
      </x:c>
      <x:c r="I5927" s="16" t="str">
        <x:v>Missing email</x:v>
      </x:c>
    </x:row>
    <x:row r="5928">
      <x:c r="A5928" s="16" t="n">
        <x:v>5925</x:v>
      </x:c>
      <x:c r="B5928" s="16" t="str">
        <x:v>Dr Rodziah BDA</x:v>
      </x:c>
      <x:c r="C5928" s="16" t="str"/>
      <x:c r="D5928" s="16" t="str"/>
      <x:c r="E5928" s="16" t="str">
        <x:v>* myContacts</x:v>
      </x:c>
      <x:c r="F5928" s="16" t="str">
        <x:v>+60123590765</x:v>
      </x:c>
      <x:c r="G5928" s="16" t="str">
        <x:v>+60123590765</x:v>
      </x:c>
      <x:c r="H5928" s="16" t="str">
        <x:v>Excluded</x:v>
      </x:c>
      <x:c r="I5928" s="16" t="str">
        <x:v>Missing email</x:v>
      </x:c>
    </x:row>
    <x:row r="5929">
      <x:c r="A5929" s="16" t="n">
        <x:v>5926</x:v>
      </x:c>
      <x:c r="B5929" s="16" t="str">
        <x:v>Rofaizol Lazim</x:v>
      </x:c>
      <x:c r="C5929" s="16" t="str"/>
      <x:c r="D5929" s="16" t="str"/>
      <x:c r="E5929" s="16" t="str">
        <x:v>* myContacts</x:v>
      </x:c>
      <x:c r="F5929" s="16" t="str">
        <x:v>+60136983066</x:v>
      </x:c>
      <x:c r="G5929" s="16" t="str">
        <x:v>+60136983066</x:v>
      </x:c>
      <x:c r="H5929" s="16" t="str">
        <x:v>Excluded</x:v>
      </x:c>
      <x:c r="I5929" s="16" t="str">
        <x:v>Missing email</x:v>
      </x:c>
    </x:row>
    <x:row r="5930">
      <x:c r="A5930" s="16" t="n">
        <x:v>5927</x:v>
      </x:c>
      <x:c r="B5930" s="16" t="str">
        <x:v>Rofizah Ahmad</x:v>
      </x:c>
      <x:c r="C5930" s="16" t="str"/>
      <x:c r="D5930" s="16" t="str"/>
      <x:c r="E5930" s="16" t="str">
        <x:v>* myContacts</x:v>
      </x:c>
      <x:c r="F5930" s="16" t="str">
        <x:v>+60167260531</x:v>
      </x:c>
      <x:c r="G5930" s="16" t="str">
        <x:v>+60167260531</x:v>
      </x:c>
      <x:c r="H5930" s="16" t="str">
        <x:v>Excluded</x:v>
      </x:c>
      <x:c r="I5930" s="16" t="str">
        <x:v>Missing email</x:v>
      </x:c>
    </x:row>
    <x:row r="5931">
      <x:c r="A5931" s="16" t="n">
        <x:v>5928</x:v>
      </x:c>
      <x:c r="B5931" s="16" t="str">
        <x:v>Rohanany Abu Seman</x:v>
      </x:c>
      <x:c r="C5931" s="16" t="str"/>
      <x:c r="D5931" s="16" t="str"/>
      <x:c r="E5931" s="16" t="str">
        <x:v>* myContacts</x:v>
      </x:c>
      <x:c r="F5931" s="16" t="str">
        <x:v>+60195236068</x:v>
      </x:c>
      <x:c r="G5931" s="16" t="str">
        <x:v>+60195236068</x:v>
      </x:c>
      <x:c r="H5931" s="16" t="str">
        <x:v>Excluded</x:v>
      </x:c>
      <x:c r="I5931" s="16" t="str">
        <x:v>Missing email</x:v>
      </x:c>
    </x:row>
    <x:row r="5932">
      <x:c r="A5932" s="16" t="n">
        <x:v>5929</x:v>
      </x:c>
      <x:c r="B5932" s="16" t="str">
        <x:v>Rohaya Basir</x:v>
      </x:c>
      <x:c r="C5932" s="16" t="str"/>
      <x:c r="D5932" s="16" t="str"/>
      <x:c r="E5932" s="16" t="str">
        <x:v>* myContacts</x:v>
      </x:c>
      <x:c r="F5932" s="16" t="str">
        <x:v>+601114444094</x:v>
      </x:c>
      <x:c r="G5932" s="16" t="str">
        <x:v>+601114444094</x:v>
      </x:c>
      <x:c r="H5932" s="16" t="str">
        <x:v>Excluded</x:v>
      </x:c>
      <x:c r="I5932" s="16" t="str">
        <x:v>Missing email</x:v>
      </x:c>
    </x:row>
    <x:row r="5933">
      <x:c r="A5933" s="16" t="n">
        <x:v>5930</x:v>
      </x:c>
      <x:c r="B5933" s="16" t="str">
        <x:v>Rohit Khan</x:v>
      </x:c>
      <x:c r="C5933" s="16" t="str"/>
      <x:c r="D5933" s="16" t="str"/>
      <x:c r="E5933" s="16" t="str">
        <x:v>* myContacts</x:v>
      </x:c>
      <x:c r="F5933" s="16" t="str">
        <x:v>+60128370179</x:v>
      </x:c>
      <x:c r="G5933" s="16" t="str">
        <x:v>+60128370179</x:v>
      </x:c>
      <x:c r="H5933" s="16" t="str">
        <x:v>Excluded</x:v>
      </x:c>
      <x:c r="I5933" s="16" t="str">
        <x:v>Missing email</x:v>
      </x:c>
    </x:row>
    <x:row r="5934">
      <x:c r="A5934" s="16" t="n">
        <x:v>5931</x:v>
      </x:c>
      <x:c r="B5934" s="16" t="str">
        <x:v>Rojak Makrose</x:v>
      </x:c>
      <x:c r="C5934" s="16" t="str"/>
      <x:c r="D5934" s="16" t="str"/>
      <x:c r="E5934" s="16" t="str">
        <x:v>* myContacts</x:v>
      </x:c>
      <x:c r="F5934" s="16" t="str">
        <x:v>+601118717529</x:v>
      </x:c>
      <x:c r="G5934" s="16" t="str">
        <x:v>+601118717529</x:v>
      </x:c>
      <x:c r="H5934" s="16" t="str">
        <x:v>Excluded</x:v>
      </x:c>
      <x:c r="I5934" s="16" t="str">
        <x:v>Missing email</x:v>
      </x:c>
    </x:row>
    <x:row r="5935">
      <x:c r="A5935" s="16" t="n">
        <x:v>5932</x:v>
      </x:c>
      <x:c r="B5935" s="16" t="str">
        <x:v>Romeos Studio Barbershop</x:v>
      </x:c>
      <x:c r="C5935" s="16" t="str"/>
      <x:c r="D5935" s="16" t="str"/>
      <x:c r="E5935" s="16" t="str">
        <x:v>* myContacts</x:v>
      </x:c>
      <x:c r="F5935" s="16" t="str">
        <x:v>+60 17-236 2411 | +60172362411</x:v>
      </x:c>
      <x:c r="G5935" s="16" t="str">
        <x:v>+60172362411 | +60172362411</x:v>
      </x:c>
      <x:c r="H5935" s="16" t="str">
        <x:v>Excluded</x:v>
      </x:c>
      <x:c r="I5935" s="16" t="str">
        <x:v>Missing email</x:v>
      </x:c>
    </x:row>
    <x:row r="5936">
      <x:c r="A5936" s="16" t="n">
        <x:v>5933</x:v>
      </x:c>
      <x:c r="B5936" s="16" t="str">
        <x:v>Ronald Esq</x:v>
      </x:c>
      <x:c r="C5936" s="16" t="str"/>
      <x:c r="D5936" s="16" t="str"/>
      <x:c r="E5936" s="16" t="str">
        <x:v>* myContacts</x:v>
      </x:c>
      <x:c r="F5936" s="16" t="str">
        <x:v>+6281317212165</x:v>
      </x:c>
      <x:c r="G5936" s="16" t="str">
        <x:v>+6281317212165</x:v>
      </x:c>
      <x:c r="H5936" s="16" t="str">
        <x:v>Excluded</x:v>
      </x:c>
      <x:c r="I5936" s="16" t="str">
        <x:v>Missing email</x:v>
      </x:c>
    </x:row>
    <x:row r="5937">
      <x:c r="A5937" s="16" t="n">
        <x:v>5934</x:v>
      </x:c>
      <x:c r="B5937" s="16" t="str">
        <x:v>Ros Hanafi</x:v>
      </x:c>
      <x:c r="C5937" s="16" t="str"/>
      <x:c r="D5937" s="16" t="str"/>
      <x:c r="E5937" s="16" t="str">
        <x:v>* myContacts</x:v>
      </x:c>
      <x:c r="F5937" s="16" t="str">
        <x:v>+60145567881</x:v>
      </x:c>
      <x:c r="G5937" s="16" t="str">
        <x:v>+60145567881</x:v>
      </x:c>
      <x:c r="H5937" s="16" t="str">
        <x:v>Excluded</x:v>
      </x:c>
      <x:c r="I5937" s="16" t="str">
        <x:v>Missing email</x:v>
      </x:c>
    </x:row>
    <x:row r="5938">
      <x:c r="A5938" s="16" t="n">
        <x:v>5935</x:v>
      </x:c>
      <x:c r="B5938" s="16" t="str">
        <x:v>Ros Ma Di</x:v>
      </x:c>
      <x:c r="C5938" s="16" t="str"/>
      <x:c r="D5938" s="16" t="str"/>
      <x:c r="E5938" s="16" t="str">
        <x:v>* myContacts</x:v>
      </x:c>
      <x:c r="F5938" s="16" t="str">
        <x:v>+60182731446</x:v>
      </x:c>
      <x:c r="G5938" s="16" t="str">
        <x:v>+60182731446</x:v>
      </x:c>
      <x:c r="H5938" s="16" t="str">
        <x:v>Excluded</x:v>
      </x:c>
      <x:c r="I5938" s="16" t="str">
        <x:v>Missing email</x:v>
      </x:c>
    </x:row>
    <x:row r="5939">
      <x:c r="A5939" s="16" t="n">
        <x:v>5936</x:v>
      </x:c>
      <x:c r="B5939" s="16" t="str">
        <x:v>ros terubuk kek lapis sarawak</x:v>
      </x:c>
      <x:c r="C5939" s="16" t="str"/>
      <x:c r="D5939" s="16" t="str"/>
      <x:c r="E5939" s="16" t="str">
        <x:v>* myContacts</x:v>
      </x:c>
      <x:c r="F5939" s="16" t="str">
        <x:v>+60 13-932 0553 | +60139320553</x:v>
      </x:c>
      <x:c r="G5939" s="16" t="str">
        <x:v>+60139320553 | +60139320553</x:v>
      </x:c>
      <x:c r="H5939" s="16" t="str">
        <x:v>Excluded</x:v>
      </x:c>
      <x:c r="I5939" s="16" t="str">
        <x:v>Missing email</x:v>
      </x:c>
    </x:row>
    <x:row r="5940">
      <x:c r="A5940" s="16" t="n">
        <x:v>5937</x:v>
      </x:c>
      <x:c r="B5940" s="16" t="str">
        <x:v>Ros'cyiema Jfr</x:v>
      </x:c>
      <x:c r="C5940" s="16" t="str"/>
      <x:c r="D5940" s="16" t="str"/>
      <x:c r="E5940" s="16" t="str">
        <x:v>* myContacts</x:v>
      </x:c>
      <x:c r="F5940" s="16" t="str">
        <x:v>+60192296785</x:v>
      </x:c>
      <x:c r="G5940" s="16" t="str">
        <x:v>+60192296785</x:v>
      </x:c>
      <x:c r="H5940" s="16" t="str">
        <x:v>Excluded</x:v>
      </x:c>
      <x:c r="I5940" s="16" t="str">
        <x:v>Missing email</x:v>
      </x:c>
    </x:row>
    <x:row r="5941">
      <x:c r="A5941" s="16" t="n">
        <x:v>5938</x:v>
      </x:c>
      <x:c r="B5941" s="16" t="str">
        <x:v>Rosbazilah Azie Mohd Basri</x:v>
      </x:c>
      <x:c r="C5941" s="16" t="str"/>
      <x:c r="D5941" s="16" t="str"/>
      <x:c r="E5941" s="16" t="str">
        <x:v>* myContacts</x:v>
      </x:c>
      <x:c r="F5941" s="16" t="str">
        <x:v>+601114308681</x:v>
      </x:c>
      <x:c r="G5941" s="16" t="str">
        <x:v>+601114308681</x:v>
      </x:c>
      <x:c r="H5941" s="16" t="str">
        <x:v>Excluded</x:v>
      </x:c>
      <x:c r="I5941" s="16" t="str">
        <x:v>Missing email</x:v>
      </x:c>
    </x:row>
    <x:row r="5942">
      <x:c r="A5942" s="16" t="n">
        <x:v>5939</x:v>
      </x:c>
      <x:c r="B5942" s="16" t="str">
        <x:v>Rose A Manaf</x:v>
      </x:c>
      <x:c r="C5942" s="16" t="str"/>
      <x:c r="D5942" s="16" t="str"/>
      <x:c r="E5942" s="16" t="str">
        <x:v>* myContacts</x:v>
      </x:c>
      <x:c r="F5942" s="16" t="str">
        <x:v>+6581628272</x:v>
      </x:c>
      <x:c r="G5942" s="16" t="str">
        <x:v>+6581628272</x:v>
      </x:c>
      <x:c r="H5942" s="16" t="str">
        <x:v>Excluded</x:v>
      </x:c>
      <x:c r="I5942" s="16" t="str">
        <x:v>Missing email</x:v>
      </x:c>
    </x:row>
    <x:row r="5943">
      <x:c r="A5943" s="16" t="n">
        <x:v>5940</x:v>
      </x:c>
      <x:c r="B5943" s="16" t="str">
        <x:v>Rose Mawar</x:v>
      </x:c>
      <x:c r="C5943" s="16" t="str"/>
      <x:c r="D5943" s="16" t="str"/>
      <x:c r="E5943" s="16" t="str">
        <x:v>* myContacts</x:v>
      </x:c>
      <x:c r="F5943" s="16" t="str">
        <x:v>+60196348142</x:v>
      </x:c>
      <x:c r="G5943" s="16" t="str">
        <x:v>+60196348142</x:v>
      </x:c>
      <x:c r="H5943" s="16" t="str">
        <x:v>Excluded</x:v>
      </x:c>
      <x:c r="I5943" s="16" t="str">
        <x:v>Missing email</x:v>
      </x:c>
    </x:row>
    <x:row r="5944">
      <x:c r="A5944" s="16" t="n">
        <x:v>5941</x:v>
      </x:c>
      <x:c r="B5944" s="16" t="str">
        <x:v>Rose Raslan</x:v>
      </x:c>
      <x:c r="C5944" s="16" t="str"/>
      <x:c r="D5944" s="16" t="str"/>
      <x:c r="E5944" s="16" t="str">
        <x:v>* myContacts</x:v>
      </x:c>
      <x:c r="F5944" s="16" t="str">
        <x:v>+60123772445</x:v>
      </x:c>
      <x:c r="G5944" s="16" t="str">
        <x:v>+60123772445</x:v>
      </x:c>
      <x:c r="H5944" s="16" t="str">
        <x:v>Excluded</x:v>
      </x:c>
      <x:c r="I5944" s="16" t="str">
        <x:v>Missing email</x:v>
      </x:c>
    </x:row>
    <x:row r="5945">
      <x:c r="A5945" s="16" t="n">
        <x:v>5942</x:v>
      </x:c>
      <x:c r="B5945" s="16" t="str">
        <x:v>Rose Tiara Mra</x:v>
      </x:c>
      <x:c r="C5945" s="16" t="str"/>
      <x:c r="D5945" s="16" t="str"/>
      <x:c r="E5945" s="16" t="str">
        <x:v>* myContacts</x:v>
      </x:c>
      <x:c r="F5945" s="16" t="str">
        <x:v>+60195197776</x:v>
      </x:c>
      <x:c r="G5945" s="16" t="str">
        <x:v>+60195197776</x:v>
      </x:c>
      <x:c r="H5945" s="16" t="str">
        <x:v>Excluded</x:v>
      </x:c>
      <x:c r="I5945" s="16" t="str">
        <x:v>Missing email</x:v>
      </x:c>
    </x:row>
    <x:row r="5946">
      <x:c r="A5946" s="16" t="n">
        <x:v>5943</x:v>
      </x:c>
      <x:c r="B5946" s="16" t="str">
        <x:v>Rose Tyara</x:v>
      </x:c>
      <x:c r="C5946" s="16" t="str"/>
      <x:c r="D5946" s="16" t="str"/>
      <x:c r="E5946" s="16" t="str">
        <x:v>* myContacts</x:v>
      </x:c>
      <x:c r="F5946" s="16" t="str">
        <x:v>+60193560307</x:v>
      </x:c>
      <x:c r="G5946" s="16" t="str">
        <x:v>+60193560307</x:v>
      </x:c>
      <x:c r="H5946" s="16" t="str">
        <x:v>Excluded</x:v>
      </x:c>
      <x:c r="I5946" s="16" t="str">
        <x:v>Missing email</x:v>
      </x:c>
    </x:row>
    <x:row r="5947">
      <x:c r="A5947" s="16" t="n">
        <x:v>5944</x:v>
      </x:c>
      <x:c r="B5947" s="16" t="str">
        <x:v>Roselein Student</x:v>
      </x:c>
      <x:c r="C5947" s="16" t="str"/>
      <x:c r="D5947" s="16" t="str"/>
      <x:c r="E5947" s="16" t="str">
        <x:v>* myContacts</x:v>
      </x:c>
      <x:c r="F5947" s="16" t="str">
        <x:v>+60333420426 | 0333443599 | +60333420426 | 0333443599 | +60333420354 | +60163315584</x:v>
      </x:c>
      <x:c r="G5947" s="16" t="str">
        <x:v>+60333420426 | +60333443599 | +60333420426 | +60333443599 | +60333420354 | +60163315584</x:v>
      </x:c>
      <x:c r="H5947" s="16" t="str">
        <x:v>Excluded</x:v>
      </x:c>
      <x:c r="I5947" s="16" t="str">
        <x:v>Missing email</x:v>
      </x:c>
    </x:row>
    <x:row r="5948">
      <x:c r="A5948" s="16" t="n">
        <x:v>5945</x:v>
      </x:c>
      <x:c r="B5948" s="16" t="str">
        <x:v>Roseneany AGP</x:v>
      </x:c>
      <x:c r="C5948" s="16" t="str"/>
      <x:c r="D5948" s="16" t="str"/>
      <x:c r="E5948" s="16" t="str">
        <x:v>* myContacts</x:v>
      </x:c>
      <x:c r="F5948" s="16" t="str">
        <x:v>+60 12-327 7304 | +60123277304</x:v>
      </x:c>
      <x:c r="G5948" s="16" t="str">
        <x:v>+60123277304 | +60123277304</x:v>
      </x:c>
      <x:c r="H5948" s="16" t="str">
        <x:v>Excluded</x:v>
      </x:c>
      <x:c r="I5948" s="16" t="str">
        <x:v>Missing email</x:v>
      </x:c>
    </x:row>
    <x:row r="5949">
      <x:c r="A5949" s="16" t="n">
        <x:v>5946</x:v>
      </x:c>
      <x:c r="B5949" s="16" t="str">
        <x:v>Rosfaizah Rosli</x:v>
      </x:c>
      <x:c r="C5949" s="16" t="str"/>
      <x:c r="D5949" s="16" t="str"/>
      <x:c r="E5949" s="16" t="str">
        <x:v>* myContacts</x:v>
      </x:c>
      <x:c r="F5949" s="16" t="str">
        <x:v>+60132586706</x:v>
      </x:c>
      <x:c r="G5949" s="16" t="str">
        <x:v>+60132586706</x:v>
      </x:c>
      <x:c r="H5949" s="16" t="str">
        <x:v>Excluded</x:v>
      </x:c>
      <x:c r="I5949" s="16" t="str">
        <x:v>Missing email</x:v>
      </x:c>
    </x:row>
    <x:row r="5950">
      <x:c r="A5950" s="16" t="n">
        <x:v>5947</x:v>
      </x:c>
      <x:c r="B5950" s="16" t="str">
        <x:v>Rosidi Al Ansar Biz Point</x:v>
      </x:c>
      <x:c r="C5950" s="16" t="str"/>
      <x:c r="D5950" s="16" t="str"/>
      <x:c r="E5950" s="16" t="str">
        <x:v>* myContacts</x:v>
      </x:c>
      <x:c r="F5950" s="16" t="str">
        <x:v>012-300 3951 | +60123003951</x:v>
      </x:c>
      <x:c r="G5950" s="16" t="str">
        <x:v>+60123003951 | +60123003951</x:v>
      </x:c>
      <x:c r="H5950" s="16" t="str">
        <x:v>Excluded</x:v>
      </x:c>
      <x:c r="I5950" s="16" t="str">
        <x:v>Missing email</x:v>
      </x:c>
    </x:row>
    <x:row r="5951">
      <x:c r="A5951" s="16" t="n">
        <x:v>5948</x:v>
      </x:c>
      <x:c r="B5951" s="16" t="str">
        <x:v>Roslan Bin Masimpun</x:v>
      </x:c>
      <x:c r="C5951" s="16" t="str"/>
      <x:c r="D5951" s="16" t="str"/>
      <x:c r="E5951" s="16" t="str">
        <x:v>* myContacts</x:v>
      </x:c>
      <x:c r="F5951" s="16" t="str">
        <x:v>+60187737898</x:v>
      </x:c>
      <x:c r="G5951" s="16" t="str">
        <x:v>+60187737898</x:v>
      </x:c>
      <x:c r="H5951" s="16" t="str">
        <x:v>Excluded</x:v>
      </x:c>
      <x:c r="I5951" s="16" t="str">
        <x:v>Missing email</x:v>
      </x:c>
    </x:row>
    <x:row r="5952">
      <x:c r="A5952" s="16" t="n">
        <x:v>5949</x:v>
      </x:c>
      <x:c r="B5952" s="16" t="str">
        <x:v>Roslan Rahman</x:v>
      </x:c>
      <x:c r="C5952" s="16" t="str"/>
      <x:c r="D5952" s="16" t="str"/>
      <x:c r="E5952" s="16" t="str">
        <x:v>* myContacts</x:v>
      </x:c>
      <x:c r="F5952" s="16" t="str">
        <x:v>+60194026388</x:v>
      </x:c>
      <x:c r="G5952" s="16" t="str">
        <x:v>+60194026388</x:v>
      </x:c>
      <x:c r="H5952" s="16" t="str">
        <x:v>Excluded</x:v>
      </x:c>
      <x:c r="I5952" s="16" t="str">
        <x:v>Missing email</x:v>
      </x:c>
    </x:row>
    <x:row r="5953">
      <x:c r="A5953" s="16" t="n">
        <x:v>5950</x:v>
      </x:c>
      <x:c r="B5953" s="16" t="str">
        <x:v>Roslee Bin Daud</x:v>
      </x:c>
      <x:c r="C5953" s="16" t="str"/>
      <x:c r="D5953" s="16" t="str"/>
      <x:c r="E5953" s="16" t="str">
        <x:v>* myContacts</x:v>
      </x:c>
      <x:c r="F5953" s="16" t="str">
        <x:v>+601135504847</x:v>
      </x:c>
      <x:c r="G5953" s="16" t="str">
        <x:v>+601135504847</x:v>
      </x:c>
      <x:c r="H5953" s="16" t="str">
        <x:v>Excluded</x:v>
      </x:c>
      <x:c r="I5953" s="16" t="str">
        <x:v>Missing email</x:v>
      </x:c>
    </x:row>
    <x:row r="5954">
      <x:c r="A5954" s="16" t="n">
        <x:v>5951</x:v>
      </x:c>
      <x:c r="B5954" s="16" t="str">
        <x:v>Rosleena Binti Sulaiman</x:v>
      </x:c>
      <x:c r="C5954" s="16" t="str"/>
      <x:c r="D5954" s="16" t="str"/>
      <x:c r="E5954" s="16" t="str">
        <x:v>* myContacts</x:v>
      </x:c>
      <x:c r="F5954" s="16" t="str">
        <x:v>+601127293916</x:v>
      </x:c>
      <x:c r="G5954" s="16" t="str">
        <x:v>+601127293916</x:v>
      </x:c>
      <x:c r="H5954" s="16" t="str">
        <x:v>Excluded</x:v>
      </x:c>
      <x:c r="I5954" s="16" t="str">
        <x:v>Missing email</x:v>
      </x:c>
    </x:row>
    <x:row r="5955">
      <x:c r="A5955" s="16" t="n">
        <x:v>5952</x:v>
      </x:c>
      <x:c r="B5955" s="16" t="str">
        <x:v>Rosli Abdul Rani AGP</x:v>
      </x:c>
      <x:c r="C5955" s="16" t="str"/>
      <x:c r="D5955" s="16" t="str"/>
      <x:c r="E5955" s="16" t="str">
        <x:v>* myContacts</x:v>
      </x:c>
      <x:c r="F5955" s="16" t="str">
        <x:v>+60 19-217 7143 | +60192177143</x:v>
      </x:c>
      <x:c r="G5955" s="16" t="str">
        <x:v>+60192177143 | +60192177143</x:v>
      </x:c>
      <x:c r="H5955" s="16" t="str">
        <x:v>Excluded</x:v>
      </x:c>
      <x:c r="I5955" s="16" t="str">
        <x:v>Missing email</x:v>
      </x:c>
    </x:row>
    <x:row r="5956">
      <x:c r="A5956" s="16" t="n">
        <x:v>5953</x:v>
      </x:c>
      <x:c r="B5956" s="16" t="str">
        <x:v>Rosli CWA</x:v>
      </x:c>
      <x:c r="C5956" s="16" t="str"/>
      <x:c r="D5956" s="16" t="str"/>
      <x:c r="E5956" s="16" t="str">
        <x:v>* myContacts</x:v>
      </x:c>
      <x:c r="F5956" s="16" t="str">
        <x:v>+60 13-922 1653 | +60139221653</x:v>
      </x:c>
      <x:c r="G5956" s="16" t="str">
        <x:v>+60139221653 | +60139221653</x:v>
      </x:c>
      <x:c r="H5956" s="16" t="str">
        <x:v>Excluded</x:v>
      </x:c>
      <x:c r="I5956" s="16" t="str">
        <x:v>Missing email</x:v>
      </x:c>
    </x:row>
    <x:row r="5957">
      <x:c r="A5957" s="16" t="n">
        <x:v>5954</x:v>
      </x:c>
      <x:c r="B5957" s="16" t="str">
        <x:v>Rosli Raof</x:v>
      </x:c>
      <x:c r="C5957" s="16" t="str"/>
      <x:c r="D5957" s="16" t="str"/>
      <x:c r="E5957" s="16" t="str">
        <x:v>* myContacts</x:v>
      </x:c>
      <x:c r="F5957" s="16" t="str">
        <x:v>+60187628020</x:v>
      </x:c>
      <x:c r="G5957" s="16" t="str">
        <x:v>+60187628020</x:v>
      </x:c>
      <x:c r="H5957" s="16" t="str">
        <x:v>Excluded</x:v>
      </x:c>
      <x:c r="I5957" s="16" t="str">
        <x:v>Missing email</x:v>
      </x:c>
    </x:row>
    <x:row r="5958">
      <x:c r="A5958" s="16" t="n">
        <x:v>5955</x:v>
      </x:c>
      <x:c r="B5958" s="16" t="str">
        <x:v>Rosli Yusop</x:v>
      </x:c>
      <x:c r="C5958" s="16" t="str"/>
      <x:c r="D5958" s="16" t="str"/>
      <x:c r="E5958" s="16" t="str">
        <x:v>* myContacts</x:v>
      </x:c>
      <x:c r="F5958" s="16" t="str">
        <x:v>+60136422501</x:v>
      </x:c>
      <x:c r="G5958" s="16" t="str">
        <x:v>+60136422501</x:v>
      </x:c>
      <x:c r="H5958" s="16" t="str">
        <x:v>Excluded</x:v>
      </x:c>
      <x:c r="I5958" s="16" t="str">
        <x:v>Missing email</x:v>
      </x:c>
    </x:row>
    <x:row r="5959">
      <x:c r="A5959" s="16" t="n">
        <x:v>5956</x:v>
      </x:c>
      <x:c r="B5959" s="16" t="str">
        <x:v>Roslina Harini</x:v>
      </x:c>
      <x:c r="C5959" s="16" t="str"/>
      <x:c r="D5959" s="16" t="str"/>
      <x:c r="E5959" s="16" t="str">
        <x:v>* myContacts</x:v>
      </x:c>
      <x:c r="F5959" s="16" t="str">
        <x:v>+60176667378</x:v>
      </x:c>
      <x:c r="G5959" s="16" t="str">
        <x:v>+60176667378</x:v>
      </x:c>
      <x:c r="H5959" s="16" t="str">
        <x:v>Excluded</x:v>
      </x:c>
      <x:c r="I5959" s="16" t="str">
        <x:v>Missing email</x:v>
      </x:c>
    </x:row>
    <x:row r="5960">
      <x:c r="A5960" s="16" t="n">
        <x:v>5957</x:v>
      </x:c>
      <x:c r="B5960" s="16" t="str">
        <x:v>Roslina Kamaludin</x:v>
      </x:c>
      <x:c r="C5960" s="16" t="str"/>
      <x:c r="D5960" s="16" t="str"/>
      <x:c r="E5960" s="16" t="str">
        <x:v>* myContacts</x:v>
      </x:c>
      <x:c r="F5960" s="16" t="str">
        <x:v>+60127601600</x:v>
      </x:c>
      <x:c r="G5960" s="16" t="str">
        <x:v>+60127601600</x:v>
      </x:c>
      <x:c r="H5960" s="16" t="str">
        <x:v>Excluded</x:v>
      </x:c>
      <x:c r="I5960" s="16" t="str">
        <x:v>Missing email</x:v>
      </x:c>
    </x:row>
    <x:row r="5961">
      <x:c r="A5961" s="16" t="n">
        <x:v>5958</x:v>
      </x:c>
      <x:c r="B5961" s="16" t="str">
        <x:v>Roslina Nazira</x:v>
      </x:c>
      <x:c r="C5961" s="16" t="str"/>
      <x:c r="D5961" s="16" t="str"/>
      <x:c r="E5961" s="16" t="str">
        <x:v>* myContacts</x:v>
      </x:c>
      <x:c r="F5961" s="16" t="str">
        <x:v>+60139708056</x:v>
      </x:c>
      <x:c r="G5961" s="16" t="str">
        <x:v>+60139708056</x:v>
      </x:c>
      <x:c r="H5961" s="16" t="str">
        <x:v>Excluded</x:v>
      </x:c>
      <x:c r="I5961" s="16" t="str">
        <x:v>Missing email</x:v>
      </x:c>
    </x:row>
    <x:row r="5962">
      <x:c r="A5962" s="16" t="n">
        <x:v>5959</x:v>
      </x:c>
      <x:c r="B5962" s="16" t="str">
        <x:v>Roslinda Imani Ghafar</x:v>
      </x:c>
      <x:c r="C5962" s="16" t="str"/>
      <x:c r="D5962" s="16" t="str"/>
      <x:c r="E5962" s="16" t="str">
        <x:v>* myContacts</x:v>
      </x:c>
      <x:c r="F5962" s="16" t="str">
        <x:v>+60133324845</x:v>
      </x:c>
      <x:c r="G5962" s="16" t="str">
        <x:v>+60133324845</x:v>
      </x:c>
      <x:c r="H5962" s="16" t="str">
        <x:v>Excluded</x:v>
      </x:c>
      <x:c r="I5962" s="16" t="str">
        <x:v>Missing email</x:v>
      </x:c>
    </x:row>
    <x:row r="5963">
      <x:c r="A5963" s="16" t="n">
        <x:v>5960</x:v>
      </x:c>
      <x:c r="B5963" s="16" t="str">
        <x:v>Roslini Training Tekun Nasional</x:v>
      </x:c>
      <x:c r="C5963" s="16" t="str"/>
      <x:c r="D5963" s="16" t="str"/>
      <x:c r="E5963" s="16" t="str">
        <x:v>* myContacts</x:v>
      </x:c>
      <x:c r="F5963" s="16" t="str">
        <x:v>+60 19-207 0507 | +60192070507</x:v>
      </x:c>
      <x:c r="G5963" s="16" t="str">
        <x:v>+60192070507 | +60192070507</x:v>
      </x:c>
      <x:c r="H5963" s="16" t="str">
        <x:v>Excluded</x:v>
      </x:c>
      <x:c r="I5963" s="16" t="str">
        <x:v>Missing email</x:v>
      </x:c>
    </x:row>
    <x:row r="5964">
      <x:c r="A5964" s="16" t="n">
        <x:v>5961</x:v>
      </x:c>
      <x:c r="B5964" s="16" t="str">
        <x:v>Rosman Solvy</x:v>
      </x:c>
      <x:c r="C5964" s="16" t="str"/>
      <x:c r="D5964" s="16" t="str"/>
      <x:c r="E5964" s="16" t="str">
        <x:v>* myContacts</x:v>
      </x:c>
      <x:c r="F5964" s="16" t="str">
        <x:v>+60 17-613 9843 | +60176139843</x:v>
      </x:c>
      <x:c r="G5964" s="16" t="str">
        <x:v>+60176139843 | +60176139843</x:v>
      </x:c>
      <x:c r="H5964" s="16" t="str">
        <x:v>Excluded</x:v>
      </x:c>
      <x:c r="I5964" s="16" t="str">
        <x:v>Missing email</x:v>
      </x:c>
    </x:row>
    <x:row r="5965">
      <x:c r="A5965" s="16" t="n">
        <x:v>5962</x:v>
      </x:c>
      <x:c r="B5965" s="16" t="str">
        <x:v>RosMia Zie</x:v>
      </x:c>
      <x:c r="C5965" s="16" t="str"/>
      <x:c r="D5965" s="16" t="str"/>
      <x:c r="E5965" s="16" t="str">
        <x:v>* myContacts</x:v>
      </x:c>
      <x:c r="F5965" s="16" t="str">
        <x:v>+60197636917</x:v>
      </x:c>
      <x:c r="G5965" s="16" t="str">
        <x:v>+60197636917</x:v>
      </x:c>
      <x:c r="H5965" s="16" t="str">
        <x:v>Excluded</x:v>
      </x:c>
      <x:c r="I5965" s="16" t="str">
        <x:v>Missing email</x:v>
      </x:c>
    </x:row>
    <x:row r="5966">
      <x:c r="A5966" s="16" t="n">
        <x:v>5963</x:v>
      </x:c>
      <x:c r="B5966" s="16" t="str">
        <x:v>Rosnah Abdul Karim</x:v>
      </x:c>
      <x:c r="C5966" s="16" t="str"/>
      <x:c r="D5966" s="16" t="str"/>
      <x:c r="E5966" s="16" t="str">
        <x:v>* myContacts</x:v>
      </x:c>
      <x:c r="F5966" s="16" t="str">
        <x:v>+60168423090</x:v>
      </x:c>
      <x:c r="G5966" s="16" t="str">
        <x:v>+60168423090</x:v>
      </x:c>
      <x:c r="H5966" s="16" t="str">
        <x:v>Excluded</x:v>
      </x:c>
      <x:c r="I5966" s="16" t="str">
        <x:v>Missing email</x:v>
      </x:c>
    </x:row>
    <x:row r="5967">
      <x:c r="A5967" s="16" t="n">
        <x:v>5964</x:v>
      </x:c>
      <x:c r="B5967" s="16" t="str">
        <x:v>Rosnah Abdullah Thani</x:v>
      </x:c>
      <x:c r="C5967" s="16" t="str"/>
      <x:c r="D5967" s="16" t="str"/>
      <x:c r="E5967" s="16" t="str">
        <x:v>* myContacts</x:v>
      </x:c>
      <x:c r="F5967" s="16" t="str">
        <x:v>+60148162441</x:v>
      </x:c>
      <x:c r="G5967" s="16" t="str">
        <x:v>+60148162441</x:v>
      </x:c>
      <x:c r="H5967" s="16" t="str">
        <x:v>Excluded</x:v>
      </x:c>
      <x:c r="I5967" s="16" t="str">
        <x:v>Missing email</x:v>
      </x:c>
    </x:row>
    <x:row r="5968">
      <x:c r="A5968" s="16" t="n">
        <x:v>5965</x:v>
      </x:c>
      <x:c r="B5968" s="16" t="str">
        <x:v>ROSNAH BUANG</x:v>
      </x:c>
      <x:c r="C5968" s="16" t="str">
        <x:v>ceoedi@yahoo.com</x:v>
      </x:c>
      <x:c r="D5968" s="16" t="str">
        <x:v>ceoedi@yahoo.com</x:v>
      </x:c>
      <x:c r="E5968" s="16" t="str">
        <x:v>* myContacts</x:v>
      </x:c>
      <x:c r="F5968" s="16" t="str">
        <x:v>+60166444116 | +60166444116</x:v>
      </x:c>
      <x:c r="G5968" s="16" t="str">
        <x:v>+60166444116 | +60166444116</x:v>
      </x:c>
      <x:c r="H5968" s="16" t="str">
        <x:v>Eligible</x:v>
      </x:c>
      <x:c r="I5968" s="16" t="str"/>
    </x:row>
    <x:row r="5969">
      <x:c r="A5969" s="16" t="n">
        <x:v>5966</x:v>
      </x:c>
      <x:c r="B5969" s="16" t="str">
        <x:v>ROSNAH BUANG</x:v>
      </x:c>
      <x:c r="C5969" s="16" t="str">
        <x:v>ceoedi@yahoo.com</x:v>
      </x:c>
      <x:c r="D5969" s="16" t="str">
        <x:v>ceoedi@yahoo.com</x:v>
      </x:c>
      <x:c r="E5969" s="16" t="str">
        <x:v>* myContacts</x:v>
      </x:c>
      <x:c r="F5969" s="16" t="str">
        <x:v>+60166444116 | +60166444116</x:v>
      </x:c>
      <x:c r="G5969" s="16" t="str">
        <x:v>+60166444116 | +60166444116</x:v>
      </x:c>
      <x:c r="H5969" s="16" t="str">
        <x:v>Eligible</x:v>
      </x:c>
      <x:c r="I5969" s="16" t="str"/>
    </x:row>
    <x:row r="5970">
      <x:c r="A5970" s="16" t="n">
        <x:v>5967</x:v>
      </x:c>
      <x:c r="B5970" s="16" t="str">
        <x:v>Rosnah Ros</x:v>
      </x:c>
      <x:c r="C5970" s="16" t="str"/>
      <x:c r="D5970" s="16" t="str"/>
      <x:c r="E5970" s="16" t="str">
        <x:v>* myContacts</x:v>
      </x:c>
      <x:c r="F5970" s="16" t="str">
        <x:v>+601119941784</x:v>
      </x:c>
      <x:c r="G5970" s="16" t="str">
        <x:v>+601119941784</x:v>
      </x:c>
      <x:c r="H5970" s="16" t="str">
        <x:v>Excluded</x:v>
      </x:c>
      <x:c r="I5970" s="16" t="str">
        <x:v>Missing email</x:v>
      </x:c>
    </x:row>
    <x:row r="5971">
      <x:c r="A5971" s="16" t="n">
        <x:v>5968</x:v>
      </x:c>
      <x:c r="B5971" s="16" t="str">
        <x:v>Rosnaliza Agent Essens</x:v>
      </x:c>
      <x:c r="C5971" s="16" t="str"/>
      <x:c r="D5971" s="16" t="str"/>
      <x:c r="E5971" s="16" t="str">
        <x:v>* myContacts</x:v>
      </x:c>
      <x:c r="F5971" s="16" t="str">
        <x:v>+60 12-379 2284 | +60123792284</x:v>
      </x:c>
      <x:c r="G5971" s="16" t="str">
        <x:v>+60123792284 | +60123792284</x:v>
      </x:c>
      <x:c r="H5971" s="16" t="str">
        <x:v>Excluded</x:v>
      </x:c>
      <x:c r="I5971" s="16" t="str">
        <x:v>Missing email</x:v>
      </x:c>
    </x:row>
    <x:row r="5972">
      <x:c r="A5972" s="16" t="n">
        <x:v>5969</x:v>
      </x:c>
      <x:c r="B5972" s="16" t="str">
        <x:v>Rosnani Mohd Zain</x:v>
      </x:c>
      <x:c r="C5972" s="16" t="str"/>
      <x:c r="D5972" s="16" t="str"/>
      <x:c r="E5972" s="16" t="str">
        <x:v>* myContacts</x:v>
      </x:c>
      <x:c r="F5972" s="16" t="str">
        <x:v>+60134643229</x:v>
      </x:c>
      <x:c r="G5972" s="16" t="str">
        <x:v>+60134643229</x:v>
      </x:c>
      <x:c r="H5972" s="16" t="str">
        <x:v>Excluded</x:v>
      </x:c>
      <x:c r="I5972" s="16" t="str">
        <x:v>Missing email</x:v>
      </x:c>
    </x:row>
    <x:row r="5973">
      <x:c r="A5973" s="16" t="n">
        <x:v>5970</x:v>
      </x:c>
      <x:c r="B5973" s="16" t="str">
        <x:v>Rosniati Jurai</x:v>
      </x:c>
      <x:c r="C5973" s="16" t="str"/>
      <x:c r="D5973" s="16" t="str"/>
      <x:c r="E5973" s="16" t="str">
        <x:v>* myContacts</x:v>
      </x:c>
      <x:c r="F5973" s="16" t="str">
        <x:v>+601121151243</x:v>
      </x:c>
      <x:c r="G5973" s="16" t="str">
        <x:v>+601121151243</x:v>
      </x:c>
      <x:c r="H5973" s="16" t="str">
        <x:v>Excluded</x:v>
      </x:c>
      <x:c r="I5973" s="16" t="str">
        <x:v>Missing email</x:v>
      </x:c>
    </x:row>
    <x:row r="5974">
      <x:c r="A5974" s="16" t="n">
        <x:v>5971</x:v>
      </x:c>
      <x:c r="B5974" s="16" t="str">
        <x:v>Rosnizam Agent Agp</x:v>
      </x:c>
      <x:c r="C5974" s="16" t="str"/>
      <x:c r="D5974" s="16" t="str"/>
      <x:c r="E5974" s="16" t="str">
        <x:v>* myContacts</x:v>
      </x:c>
      <x:c r="F5974" s="16" t="str">
        <x:v>+60182084547 | +60 12-281 6681 | +60182084547 | +60122816681</x:v>
      </x:c>
      <x:c r="G5974" s="16" t="str">
        <x:v>+60182084547 | +60122816681 | +60182084547 | +60122816681</x:v>
      </x:c>
      <x:c r="H5974" s="16" t="str">
        <x:v>Excluded</x:v>
      </x:c>
      <x:c r="I5974" s="16" t="str">
        <x:v>Missing email</x:v>
      </x:c>
    </x:row>
    <x:row r="5975">
      <x:c r="A5975" s="16" t="n">
        <x:v>5972</x:v>
      </x:c>
      <x:c r="B5975" s="16" t="str">
        <x:v>Rosnyda Mamat Rosnyda</x:v>
      </x:c>
      <x:c r="C5975" s="16" t="str"/>
      <x:c r="D5975" s="16" t="str"/>
      <x:c r="E5975" s="16" t="str">
        <x:v>* myContacts</x:v>
      </x:c>
      <x:c r="F5975" s="16" t="str">
        <x:v>+60179013980</x:v>
      </x:c>
      <x:c r="G5975" s="16" t="str">
        <x:v>+60179013980</x:v>
      </x:c>
      <x:c r="H5975" s="16" t="str">
        <x:v>Excluded</x:v>
      </x:c>
      <x:c r="I5975" s="16" t="str">
        <x:v>Missing email</x:v>
      </x:c>
    </x:row>
    <x:row r="5976">
      <x:c r="A5976" s="16" t="n">
        <x:v>5973</x:v>
      </x:c>
      <x:c r="B5976" s="16" t="str">
        <x:v>Ross Izal</x:v>
      </x:c>
      <x:c r="C5976" s="16" t="str"/>
      <x:c r="D5976" s="16" t="str"/>
      <x:c r="E5976" s="16" t="str">
        <x:v>* myContacts</x:v>
      </x:c>
      <x:c r="F5976" s="16" t="str">
        <x:v>+60176025623</x:v>
      </x:c>
      <x:c r="G5976" s="16" t="str">
        <x:v>+60176025623</x:v>
      </x:c>
      <x:c r="H5976" s="16" t="str">
        <x:v>Excluded</x:v>
      </x:c>
      <x:c r="I5976" s="16" t="str">
        <x:v>Missing email</x:v>
      </x:c>
    </x:row>
    <x:row r="5977">
      <x:c r="A5977" s="16" t="n">
        <x:v>5974</x:v>
      </x:c>
      <x:c r="B5977" s="16" t="str">
        <x:v>Rossila Mohammad</x:v>
      </x:c>
      <x:c r="C5977" s="16" t="str"/>
      <x:c r="D5977" s="16" t="str"/>
      <x:c r="E5977" s="16" t="str">
        <x:v>* myContacts</x:v>
      </x:c>
      <x:c r="F5977" s="16" t="str">
        <x:v>+60127037065</x:v>
      </x:c>
      <x:c r="G5977" s="16" t="str">
        <x:v>+60127037065</x:v>
      </x:c>
      <x:c r="H5977" s="16" t="str">
        <x:v>Excluded</x:v>
      </x:c>
      <x:c r="I5977" s="16" t="str">
        <x:v>Missing email</x:v>
      </x:c>
    </x:row>
    <x:row r="5978">
      <x:c r="A5978" s="16" t="n">
        <x:v>5975</x:v>
      </x:c>
      <x:c r="B5978" s="16" t="str">
        <x:v>Rosyanty Abu Bakar</x:v>
      </x:c>
      <x:c r="C5978" s="16" t="str"/>
      <x:c r="D5978" s="16" t="str"/>
      <x:c r="E5978" s="16" t="str">
        <x:v>* myContacts</x:v>
      </x:c>
      <x:c r="F5978" s="16" t="str">
        <x:v>+60122204641</x:v>
      </x:c>
      <x:c r="G5978" s="16" t="str">
        <x:v>+60122204641</x:v>
      </x:c>
      <x:c r="H5978" s="16" t="str">
        <x:v>Excluded</x:v>
      </x:c>
      <x:c r="I5978" s="16" t="str">
        <x:v>Missing email</x:v>
      </x:c>
    </x:row>
    <x:row r="5979">
      <x:c r="A5979" s="16" t="n">
        <x:v>5976</x:v>
      </x:c>
      <x:c r="B5979" s="16" t="str">
        <x:v>Rosyusmawati Yusof</x:v>
      </x:c>
      <x:c r="C5979" s="16" t="str"/>
      <x:c r="D5979" s="16" t="str"/>
      <x:c r="E5979" s="16" t="str">
        <x:v>* myContacts</x:v>
      </x:c>
      <x:c r="F5979" s="16" t="str">
        <x:v>+60103751396</x:v>
      </x:c>
      <x:c r="G5979" s="16" t="str">
        <x:v>+60103751396</x:v>
      </x:c>
      <x:c r="H5979" s="16" t="str">
        <x:v>Excluded</x:v>
      </x:c>
      <x:c r="I5979" s="16" t="str">
        <x:v>Missing email</x:v>
      </x:c>
    </x:row>
    <x:row r="5980">
      <x:c r="A5980" s="16" t="n">
        <x:v>5977</x:v>
      </x:c>
      <x:c r="B5980" s="16" t="str">
        <x:v>Roszaliza Abdul Nyzam</x:v>
      </x:c>
      <x:c r="C5980" s="16" t="str"/>
      <x:c r="D5980" s="16" t="str"/>
      <x:c r="E5980" s="16" t="str">
        <x:v>* myContacts</x:v>
      </x:c>
      <x:c r="F5980" s="16" t="str">
        <x:v>+601129292581</x:v>
      </x:c>
      <x:c r="G5980" s="16" t="str">
        <x:v>+601129292581</x:v>
      </x:c>
      <x:c r="H5980" s="16" t="str">
        <x:v>Excluded</x:v>
      </x:c>
      <x:c r="I5980" s="16" t="str">
        <x:v>Missing email</x:v>
      </x:c>
    </x:row>
    <x:row r="5981">
      <x:c r="A5981" s="16" t="n">
        <x:v>5978</x:v>
      </x:c>
      <x:c r="B5981" s="16" t="str">
        <x:v>Roti Telur Kentang Power</x:v>
      </x:c>
      <x:c r="C5981" s="16" t="str"/>
      <x:c r="D5981" s="16" t="str"/>
      <x:c r="E5981" s="16" t="str">
        <x:v>* myContacts</x:v>
      </x:c>
      <x:c r="F5981" s="16" t="str">
        <x:v>+60173057736</x:v>
      </x:c>
      <x:c r="G5981" s="16" t="str">
        <x:v>+60173057736</x:v>
      </x:c>
      <x:c r="H5981" s="16" t="str">
        <x:v>Excluded</x:v>
      </x:c>
      <x:c r="I5981" s="16" t="str">
        <x:v>Missing email</x:v>
      </x:c>
    </x:row>
    <x:row r="5982">
      <x:c r="A5982" s="16" t="n">
        <x:v>5979</x:v>
      </x:c>
      <x:c r="B5982" s="16" t="str">
        <x:v>RotiCanai Terbang AsmawiYati</x:v>
      </x:c>
      <x:c r="C5982" s="16" t="str"/>
      <x:c r="D5982" s="16" t="str"/>
      <x:c r="E5982" s="16" t="str">
        <x:v>* myContacts</x:v>
      </x:c>
      <x:c r="F5982" s="16" t="str">
        <x:v>+60125860040</x:v>
      </x:c>
      <x:c r="G5982" s="16" t="str">
        <x:v>+60125860040</x:v>
      </x:c>
      <x:c r="H5982" s="16" t="str">
        <x:v>Excluded</x:v>
      </x:c>
      <x:c r="I5982" s="16" t="str">
        <x:v>Missing email</x:v>
      </x:c>
    </x:row>
    <x:row r="5983">
      <x:c r="A5983" s="16" t="n">
        <x:v>5980</x:v>
      </x:c>
      <x:c r="B5983" s="16" t="str">
        <x:v>Rov Pomade Perfumes</x:v>
      </x:c>
      <x:c r="C5983" s="16" t="str"/>
      <x:c r="D5983" s="16" t="str"/>
      <x:c r="E5983" s="16" t="str">
        <x:v>* myContacts</x:v>
      </x:c>
      <x:c r="F5983" s="16" t="str">
        <x:v>+60124032148</x:v>
      </x:c>
      <x:c r="G5983" s="16" t="str">
        <x:v>+60124032148</x:v>
      </x:c>
      <x:c r="H5983" s="16" t="str">
        <x:v>Excluded</x:v>
      </x:c>
      <x:c r="I5983" s="16" t="str">
        <x:v>Missing email</x:v>
      </x:c>
    </x:row>
    <x:row r="5984">
      <x:c r="A5984" s="16" t="n">
        <x:v>5981</x:v>
      </x:c>
      <x:c r="B5984" s="16" t="str">
        <x:v>Roy Ani</x:v>
      </x:c>
      <x:c r="C5984" s="16" t="str"/>
      <x:c r="D5984" s="16" t="str"/>
      <x:c r="E5984" s="16" t="str">
        <x:v>* myContacts</x:v>
      </x:c>
      <x:c r="F5984" s="16" t="str">
        <x:v>+60136141178</x:v>
      </x:c>
      <x:c r="G5984" s="16" t="str">
        <x:v>+60136141178</x:v>
      </x:c>
      <x:c r="H5984" s="16" t="str">
        <x:v>Excluded</x:v>
      </x:c>
      <x:c r="I5984" s="16" t="str">
        <x:v>Missing email</x:v>
      </x:c>
    </x:row>
    <x:row r="5985">
      <x:c r="A5985" s="16" t="n">
        <x:v>5982</x:v>
      </x:c>
      <x:c r="B5985" s="16" t="str">
        <x:v>Roy Hamuy Digital Marketing Promoter</x:v>
      </x:c>
      <x:c r="C5985" s="16" t="str"/>
      <x:c r="D5985" s="16" t="str"/>
      <x:c r="E5985" s="16" t="str">
        <x:v>* myContacts</x:v>
      </x:c>
      <x:c r="F5985" s="16" t="str">
        <x:v>+972 55-660-9334 | +972556609334</x:v>
      </x:c>
      <x:c r="G5985" s="16" t="str">
        <x:v>+972556609334 | +972556609334</x:v>
      </x:c>
      <x:c r="H5985" s="16" t="str">
        <x:v>Excluded</x:v>
      </x:c>
      <x:c r="I5985" s="16" t="str">
        <x:v>Missing email</x:v>
      </x:c>
    </x:row>
    <x:row r="5986">
      <x:c r="A5986" s="16" t="n">
        <x:v>5983</x:v>
      </x:c>
      <x:c r="B5986" s="16" t="str">
        <x:v>Roy Kawa</x:v>
      </x:c>
      <x:c r="C5986" s="16" t="str"/>
      <x:c r="D5986" s="16" t="str"/>
      <x:c r="E5986" s="16" t="str">
        <x:v>* myContacts</x:v>
      </x:c>
      <x:c r="F5986" s="16" t="str">
        <x:v>+601112290180</x:v>
      </x:c>
      <x:c r="G5986" s="16" t="str">
        <x:v>+601112290180</x:v>
      </x:c>
      <x:c r="H5986" s="16" t="str">
        <x:v>Excluded</x:v>
      </x:c>
      <x:c r="I5986" s="16" t="str">
        <x:v>Missing email</x:v>
      </x:c>
    </x:row>
    <x:row r="5987">
      <x:c r="A5987" s="16" t="n">
        <x:v>5984</x:v>
      </x:c>
      <x:c r="B5987" s="16" t="str">
        <x:v>Roy Shazrol Suhaime Pocket Production</x:v>
      </x:c>
      <x:c r="C5987" s="16" t="str">
        <x:v>iw.shazrol@gmail.com</x:v>
      </x:c>
      <x:c r="D5987" s="16" t="str">
        <x:v>iw.shazrol@gmail.com</x:v>
      </x:c>
      <x:c r="E5987" s="16" t="str">
        <x:v>* myContacts</x:v>
      </x:c>
      <x:c r="F5987" s="16" t="str">
        <x:v>+60 12-207 5049 | +60122075049</x:v>
      </x:c>
      <x:c r="G5987" s="16" t="str">
        <x:v>+60122075049 | +60122075049</x:v>
      </x:c>
      <x:c r="H5987" s="16" t="str">
        <x:v>Eligible</x:v>
      </x:c>
      <x:c r="I5987" s="16" t="str"/>
    </x:row>
    <x:row r="5988">
      <x:c r="A5988" s="16" t="n">
        <x:v>5985</x:v>
      </x:c>
      <x:c r="B5988" s="16" t="str">
        <x:v>Royal Hans Airways Latiff</x:v>
      </x:c>
      <x:c r="C5988" s="16" t="str"/>
      <x:c r="D5988" s="16" t="str"/>
      <x:c r="E5988" s="16" t="str">
        <x:v>* myContacts</x:v>
      </x:c>
      <x:c r="F5988" s="16" t="str">
        <x:v>+60196594990</x:v>
      </x:c>
      <x:c r="G5988" s="16" t="str">
        <x:v>+60196594990</x:v>
      </x:c>
      <x:c r="H5988" s="16" t="str">
        <x:v>Excluded</x:v>
      </x:c>
      <x:c r="I5988" s="16" t="str">
        <x:v>Missing email</x:v>
      </x:c>
    </x:row>
    <x:row r="5989">
      <x:c r="A5989" s="16" t="n">
        <x:v>5986</x:v>
      </x:c>
      <x:c r="B5989" s="16" t="str">
        <x:v>Rozaidi Rozali</x:v>
      </x:c>
      <x:c r="C5989" s="16" t="str"/>
      <x:c r="D5989" s="16" t="str"/>
      <x:c r="E5989" s="16" t="str">
        <x:v>* myContacts</x:v>
      </x:c>
      <x:c r="F5989" s="16" t="str">
        <x:v>+60179538626</x:v>
      </x:c>
      <x:c r="G5989" s="16" t="str">
        <x:v>+60179538626</x:v>
      </x:c>
      <x:c r="H5989" s="16" t="str">
        <x:v>Excluded</x:v>
      </x:c>
      <x:c r="I5989" s="16" t="str">
        <x:v>Missing email</x:v>
      </x:c>
    </x:row>
    <x:row r="5990">
      <x:c r="A5990" s="16" t="n">
        <x:v>5987</x:v>
      </x:c>
      <x:c r="B5990" s="16" t="str">
        <x:v>Rozaimah Tajul Arus</x:v>
      </x:c>
      <x:c r="C5990" s="16" t="str"/>
      <x:c r="D5990" s="16" t="str"/>
      <x:c r="E5990" s="16" t="str">
        <x:v>* myContacts</x:v>
      </x:c>
      <x:c r="F5990" s="16" t="str">
        <x:v>+60123831904</x:v>
      </x:c>
      <x:c r="G5990" s="16" t="str">
        <x:v>+60123831904</x:v>
      </x:c>
      <x:c r="H5990" s="16" t="str">
        <x:v>Excluded</x:v>
      </x:c>
      <x:c r="I5990" s="16" t="str">
        <x:v>Missing email</x:v>
      </x:c>
    </x:row>
    <x:row r="5991">
      <x:c r="A5991" s="16" t="n">
        <x:v>5988</x:v>
      </x:c>
      <x:c r="B5991" s="16" t="str">
        <x:v>Rozana Abd Manaf</x:v>
      </x:c>
      <x:c r="C5991" s="16" t="str"/>
      <x:c r="D5991" s="16" t="str"/>
      <x:c r="E5991" s="16" t="str">
        <x:v>* myContacts</x:v>
      </x:c>
      <x:c r="F5991" s="16" t="str">
        <x:v>+60199123143</x:v>
      </x:c>
      <x:c r="G5991" s="16" t="str">
        <x:v>+60199123143</x:v>
      </x:c>
      <x:c r="H5991" s="16" t="str">
        <x:v>Excluded</x:v>
      </x:c>
      <x:c r="I5991" s="16" t="str">
        <x:v>Missing email</x:v>
      </x:c>
    </x:row>
    <x:row r="5992">
      <x:c r="A5992" s="16" t="n">
        <x:v>5989</x:v>
      </x:c>
      <x:c r="B5992" s="16" t="str">
        <x:v>Rozhan Yahaya</x:v>
      </x:c>
      <x:c r="C5992" s="16" t="str"/>
      <x:c r="D5992" s="16" t="str"/>
      <x:c r="E5992" s="16" t="str">
        <x:v>* myContacts</x:v>
      </x:c>
      <x:c r="F5992" s="16" t="str">
        <x:v>+60124733404</x:v>
      </x:c>
      <x:c r="G5992" s="16" t="str">
        <x:v>+60124733404</x:v>
      </x:c>
      <x:c r="H5992" s="16" t="str">
        <x:v>Excluded</x:v>
      </x:c>
      <x:c r="I5992" s="16" t="str">
        <x:v>Missing email</x:v>
      </x:c>
    </x:row>
    <x:row r="5993">
      <x:c r="A5993" s="16" t="n">
        <x:v>5990</x:v>
      </x:c>
      <x:c r="B5993" s="16" t="str">
        <x:v>Rozila Alokma Elaa</x:v>
      </x:c>
      <x:c r="C5993" s="16" t="str"/>
      <x:c r="D5993" s="16" t="str"/>
      <x:c r="E5993" s="16" t="str">
        <x:v>* myContacts</x:v>
      </x:c>
      <x:c r="F5993" s="16" t="str">
        <x:v>+601117935022</x:v>
      </x:c>
      <x:c r="G5993" s="16" t="str">
        <x:v>+601117935022</x:v>
      </x:c>
      <x:c r="H5993" s="16" t="str">
        <x:v>Excluded</x:v>
      </x:c>
      <x:c r="I5993" s="16" t="str">
        <x:v>Missing email</x:v>
      </x:c>
    </x:row>
    <x:row r="5994">
      <x:c r="A5994" s="16" t="n">
        <x:v>5991</x:v>
      </x:c>
      <x:c r="B5994" s="16" t="str">
        <x:v>Rozilah Mohdturji</x:v>
      </x:c>
      <x:c r="C5994" s="16" t="str"/>
      <x:c r="D5994" s="16" t="str"/>
      <x:c r="E5994" s="16" t="str">
        <x:v>* myContacts</x:v>
      </x:c>
      <x:c r="F5994" s="16" t="str">
        <x:v>+60175395495</x:v>
      </x:c>
      <x:c r="G5994" s="16" t="str">
        <x:v>+60175395495</x:v>
      </x:c>
      <x:c r="H5994" s="16" t="str">
        <x:v>Excluded</x:v>
      </x:c>
      <x:c r="I5994" s="16" t="str">
        <x:v>Missing email</x:v>
      </x:c>
    </x:row>
    <x:row r="5995">
      <x:c r="A5995" s="16" t="n">
        <x:v>5992</x:v>
      </x:c>
      <x:c r="B5995" s="16" t="str">
        <x:v>Rozita C6 Lazada</x:v>
      </x:c>
      <x:c r="C5995" s="16" t="str"/>
      <x:c r="D5995" s="16" t="str"/>
      <x:c r="E5995" s="16" t="str">
        <x:v>* myContacts</x:v>
      </x:c>
      <x:c r="F5995" s="16" t="str">
        <x:v>01155526155 | +601155526155</x:v>
      </x:c>
      <x:c r="G5995" s="16" t="str">
        <x:v>+601155526155 | +601155526155</x:v>
      </x:c>
      <x:c r="H5995" s="16" t="str">
        <x:v>Excluded</x:v>
      </x:c>
      <x:c r="I5995" s="16" t="str">
        <x:v>Missing email</x:v>
      </x:c>
    </x:row>
    <x:row r="5996">
      <x:c r="A5996" s="16" t="n">
        <x:v>5993</x:v>
      </x:c>
      <x:c r="B5996" s="16" t="str">
        <x:v>Rozlyn La'soul Stokist Sdkn</x:v>
      </x:c>
      <x:c r="C5996" s="16" t="str"/>
      <x:c r="D5996" s="16" t="str"/>
      <x:c r="E5996" s="16" t="str">
        <x:v>* myContacts</x:v>
      </x:c>
      <x:c r="F5996" s="16" t="str">
        <x:v>+601131658783</x:v>
      </x:c>
      <x:c r="G5996" s="16" t="str">
        <x:v>+601131658783</x:v>
      </x:c>
      <x:c r="H5996" s="16" t="str">
        <x:v>Excluded</x:v>
      </x:c>
      <x:c r="I5996" s="16" t="str">
        <x:v>Missing email</x:v>
      </x:c>
    </x:row>
    <x:row r="5997">
      <x:c r="A5997" s="16" t="n">
        <x:v>5994</x:v>
      </x:c>
      <x:c r="B5997" s="16" t="str">
        <x:v>Rtw Byellie</x:v>
      </x:c>
      <x:c r="C5997" s="16" t="str"/>
      <x:c r="D5997" s="16" t="str"/>
      <x:c r="E5997" s="16" t="str">
        <x:v>* myContacts</x:v>
      </x:c>
      <x:c r="F5997" s="16" t="str">
        <x:v>+60176190352</x:v>
      </x:c>
      <x:c r="G5997" s="16" t="str">
        <x:v>+60176190352</x:v>
      </x:c>
      <x:c r="H5997" s="16" t="str">
        <x:v>Excluded</x:v>
      </x:c>
      <x:c r="I5997" s="16" t="str">
        <x:v>Missing email</x:v>
      </x:c>
    </x:row>
    <x:row r="5998">
      <x:c r="A5998" s="16" t="n">
        <x:v>5995</x:v>
      </x:c>
      <x:c r="B5998" s="16" t="str">
        <x:v>Rubiatul Aidawiyah</x:v>
      </x:c>
      <x:c r="C5998" s="16" t="str"/>
      <x:c r="D5998" s="16" t="str"/>
      <x:c r="E5998" s="16" t="str">
        <x:v>* myContacts</x:v>
      </x:c>
      <x:c r="F5998" s="16" t="str">
        <x:v>+60178088440</x:v>
      </x:c>
      <x:c r="G5998" s="16" t="str">
        <x:v>+60178088440</x:v>
      </x:c>
      <x:c r="H5998" s="16" t="str">
        <x:v>Excluded</x:v>
      </x:c>
      <x:c r="I5998" s="16" t="str">
        <x:v>Missing email</x:v>
      </x:c>
    </x:row>
    <x:row r="5999">
      <x:c r="A5999" s="16" t="n">
        <x:v>5996</x:v>
      </x:c>
      <x:c r="B5999" s="16" t="str">
        <x:v>Ruddys Populerr</x:v>
      </x:c>
      <x:c r="C5999" s="16" t="str"/>
      <x:c r="D5999" s="16" t="str"/>
      <x:c r="E5999" s="16" t="str">
        <x:v>* myContacts</x:v>
      </x:c>
      <x:c r="F5999" s="16" t="str">
        <x:v>+6285750775754</x:v>
      </x:c>
      <x:c r="G5999" s="16" t="str">
        <x:v>+6285750775754</x:v>
      </x:c>
      <x:c r="H5999" s="16" t="str">
        <x:v>Excluded</x:v>
      </x:c>
      <x:c r="I5999" s="16" t="str">
        <x:v>Missing email</x:v>
      </x:c>
    </x:row>
    <x:row r="6000">
      <x:c r="A6000" s="16" t="n">
        <x:v>5997</x:v>
      </x:c>
      <x:c r="B6000" s="16" t="str">
        <x:v>Rudy Sareman Bin Abdul Hamid Student</x:v>
      </x:c>
      <x:c r="C6000" s="16" t="str">
        <x:v>rudy_future@yahoo.com</x:v>
      </x:c>
      <x:c r="D6000" s="16" t="str">
        <x:v>rudy_future@yahoo.com</x:v>
      </x:c>
      <x:c r="E6000" s="16" t="str">
        <x:v>* myContacts</x:v>
      </x:c>
      <x:c r="F6000" s="16" t="str">
        <x:v>019-2272465 | +60192272465</x:v>
      </x:c>
      <x:c r="G6000" s="16" t="str">
        <x:v>+60192272465 | +60192272465</x:v>
      </x:c>
      <x:c r="H6000" s="16" t="str">
        <x:v>Eligible</x:v>
      </x:c>
      <x:c r="I6000" s="16" t="str"/>
    </x:row>
    <x:row r="6001">
      <x:c r="A6001" s="16" t="n">
        <x:v>5998</x:v>
      </x:c>
      <x:c r="B6001" s="16" t="str">
        <x:v>Rudy Shah</x:v>
      </x:c>
      <x:c r="C6001" s="16" t="str"/>
      <x:c r="D6001" s="16" t="str"/>
      <x:c r="E6001" s="16" t="str">
        <x:v>* myContacts</x:v>
      </x:c>
      <x:c r="F6001" s="16" t="str">
        <x:v>+60176378985</x:v>
      </x:c>
      <x:c r="G6001" s="16" t="str">
        <x:v>+60176378985</x:v>
      </x:c>
      <x:c r="H6001" s="16" t="str">
        <x:v>Excluded</x:v>
      </x:c>
      <x:c r="I6001" s="16" t="str">
        <x:v>Missing email</x:v>
      </x:c>
    </x:row>
    <x:row r="6002">
      <x:c r="A6002" s="16" t="n">
        <x:v>5999</x:v>
      </x:c>
      <x:c r="B6002" s="16" t="str">
        <x:v>Rudy Sweet Pictures</x:v>
      </x:c>
      <x:c r="C6002" s="16" t="str"/>
      <x:c r="D6002" s="16" t="str"/>
      <x:c r="E6002" s="16" t="str">
        <x:v>* myContacts</x:v>
      </x:c>
      <x:c r="F6002" s="16" t="str">
        <x:v>+60 12-249 3176 | +60122493176</x:v>
      </x:c>
      <x:c r="G6002" s="16" t="str">
        <x:v>+60122493176 | +60122493176</x:v>
      </x:c>
      <x:c r="H6002" s="16" t="str">
        <x:v>Excluded</x:v>
      </x:c>
      <x:c r="I6002" s="16" t="str">
        <x:v>Missing email</x:v>
      </x:c>
    </x:row>
    <x:row r="6003">
      <x:c r="A6003" s="16" t="n">
        <x:v>6000</x:v>
      </x:c>
      <x:c r="B6003" s="16" t="str">
        <x:v>Rumah DiSelangor Untuk Dijual</x:v>
      </x:c>
      <x:c r="C6003" s="16" t="str"/>
      <x:c r="D6003" s="16" t="str"/>
      <x:c r="E6003" s="16" t="str">
        <x:v>* myContacts</x:v>
      </x:c>
      <x:c r="F6003" s="16" t="str">
        <x:v>+60138800952</x:v>
      </x:c>
      <x:c r="G6003" s="16" t="str">
        <x:v>+60138800952</x:v>
      </x:c>
      <x:c r="H6003" s="16" t="str">
        <x:v>Excluded</x:v>
      </x:c>
      <x:c r="I6003" s="16" t="str">
        <x:v>Missing email</x:v>
      </x:c>
    </x:row>
    <x:row r="6004">
      <x:c r="A6004" s="16" t="n">
        <x:v>6001</x:v>
      </x:c>
      <x:c r="B6004" s="16" t="str">
        <x:v>Rumah Impian</x:v>
      </x:c>
      <x:c r="C6004" s="16" t="str"/>
      <x:c r="D6004" s="16" t="str"/>
      <x:c r="E6004" s="16" t="str">
        <x:v>* myContacts</x:v>
      </x:c>
      <x:c r="F6004" s="16" t="str">
        <x:v>+60129334243</x:v>
      </x:c>
      <x:c r="G6004" s="16" t="str">
        <x:v>+60129334243</x:v>
      </x:c>
      <x:c r="H6004" s="16" t="str">
        <x:v>Excluded</x:v>
      </x:c>
      <x:c r="I6004" s="16" t="str">
        <x:v>Missing email</x:v>
      </x:c>
    </x:row>
    <x:row r="6005">
      <x:c r="A6005" s="16" t="n">
        <x:v>6002</x:v>
      </x:c>
      <x:c r="B6005" s="16" t="str">
        <x:v>Rumah Sumbangan Darul Inshirah</x:v>
      </x:c>
      <x:c r="C6005" s="16" t="str"/>
      <x:c r="D6005" s="16" t="str"/>
      <x:c r="E6005" s="16" t="str">
        <x:v>* myContacts</x:v>
      </x:c>
      <x:c r="F6005" s="16" t="str">
        <x:v>+60 17-321 2457 | +60173212457</x:v>
      </x:c>
      <x:c r="G6005" s="16" t="str">
        <x:v>+60173212457 | +60173212457</x:v>
      </x:c>
      <x:c r="H6005" s="16" t="str">
        <x:v>Excluded</x:v>
      </x:c>
      <x:c r="I6005" s="16" t="str">
        <x:v>Missing email</x:v>
      </x:c>
    </x:row>
    <x:row r="6006">
      <x:c r="A6006" s="16" t="n">
        <x:v>6003</x:v>
      </x:c>
      <x:c r="B6006" s="16" t="str">
        <x:v>Rush Ganesan Indonesia</x:v>
      </x:c>
      <x:c r="C6006" s="16" t="str">
        <x:v>appleboy05rush6@gmail.com</x:v>
      </x:c>
      <x:c r="D6006" s="16" t="str">
        <x:v>appleboy05rush6@gmail.com</x:v>
      </x:c>
      <x:c r="E6006" s="16" t="str">
        <x:v>* myContacts</x:v>
      </x:c>
      <x:c r="F6006" s="16" t="str">
        <x:v>+62 817-6888-375 | +628176888375</x:v>
      </x:c>
      <x:c r="G6006" s="16" t="str">
        <x:v>+628176888375 | +628176888375</x:v>
      </x:c>
      <x:c r="H6006" s="16" t="str">
        <x:v>Eligible</x:v>
      </x:c>
      <x:c r="I6006" s="16" t="str"/>
    </x:row>
    <x:row r="6007">
      <x:c r="A6007" s="16" t="n">
        <x:v>6004</x:v>
      </x:c>
      <x:c r="B6007" s="16" t="str">
        <x:v>Rushdan Bumiputra Department CGC</x:v>
      </x:c>
      <x:c r="C6007" s="16" t="str"/>
      <x:c r="D6007" s="16" t="str"/>
      <x:c r="E6007" s="16" t="str">
        <x:v>* myContacts</x:v>
      </x:c>
      <x:c r="F6007" s="16" t="str">
        <x:v>+60 14-365 9276 | +60143659276</x:v>
      </x:c>
      <x:c r="G6007" s="16" t="str">
        <x:v>+60143659276 | +60143659276</x:v>
      </x:c>
      <x:c r="H6007" s="16" t="str">
        <x:v>Excluded</x:v>
      </x:c>
      <x:c r="I6007" s="16" t="str">
        <x:v>Missing email</x:v>
      </x:c>
    </x:row>
    <x:row r="6008">
      <x:c r="A6008" s="16" t="n">
        <x:v>6005</x:v>
      </x:c>
      <x:c r="B6008" s="16" t="str">
        <x:v>Rushdan Hamzah</x:v>
      </x:c>
      <x:c r="C6008" s="16" t="str"/>
      <x:c r="D6008" s="16" t="str"/>
      <x:c r="E6008" s="16" t="str">
        <x:v>* myContacts</x:v>
      </x:c>
      <x:c r="F6008" s="16" t="str">
        <x:v>+60192251096</x:v>
      </x:c>
      <x:c r="G6008" s="16" t="str">
        <x:v>+60192251096</x:v>
      </x:c>
      <x:c r="H6008" s="16" t="str">
        <x:v>Excluded</x:v>
      </x:c>
      <x:c r="I6008" s="16" t="str">
        <x:v>Missing email</x:v>
      </x:c>
    </x:row>
    <x:row r="6009">
      <x:c r="A6009" s="16" t="n">
        <x:v>6006</x:v>
      </x:c>
      <x:c r="B6009" s="16" t="str">
        <x:v>rushdan rjb</x:v>
      </x:c>
      <x:c r="C6009" s="16" t="str"/>
      <x:c r="D6009" s="16" t="str"/>
      <x:c r="E6009" s="16" t="str">
        <x:v>* myContacts</x:v>
      </x:c>
      <x:c r="F6009" s="16" t="str">
        <x:v>+60 12-207 7410 | +60122077410</x:v>
      </x:c>
      <x:c r="G6009" s="16" t="str">
        <x:v>+60122077410 | +60122077410</x:v>
      </x:c>
      <x:c r="H6009" s="16" t="str">
        <x:v>Excluded</x:v>
      </x:c>
      <x:c r="I6009" s="16" t="str">
        <x:v>Missing email</x:v>
      </x:c>
    </x:row>
    <x:row r="6010">
      <x:c r="A6010" s="16" t="n">
        <x:v>6007</x:v>
      </x:c>
      <x:c r="B6010" s="16" t="str">
        <x:v>Rushdi Ramli</x:v>
      </x:c>
      <x:c r="C6010" s="16" t="str"/>
      <x:c r="D6010" s="16" t="str"/>
      <x:c r="E6010" s="16" t="str">
        <x:v>* myContacts</x:v>
      </x:c>
      <x:c r="F6010" s="16" t="str">
        <x:v>+60136828698</x:v>
      </x:c>
      <x:c r="G6010" s="16" t="str">
        <x:v>+60136828698</x:v>
      </x:c>
      <x:c r="H6010" s="16" t="str">
        <x:v>Excluded</x:v>
      </x:c>
      <x:c r="I6010" s="16" t="str">
        <x:v>Missing email</x:v>
      </x:c>
    </x:row>
    <x:row r="6011">
      <x:c r="A6011" s="16" t="n">
        <x:v>6008</x:v>
      </x:c>
      <x:c r="B6011" s="16" t="str">
        <x:v>Rusisman Bin Isnin</x:v>
      </x:c>
      <x:c r="C6011" s="16" t="str"/>
      <x:c r="D6011" s="16" t="str"/>
      <x:c r="E6011" s="16" t="str">
        <x:v>* myContacts</x:v>
      </x:c>
      <x:c r="F6011" s="16" t="str">
        <x:v>+60169397670</x:v>
      </x:c>
      <x:c r="G6011" s="16" t="str">
        <x:v>+60169397670</x:v>
      </x:c>
      <x:c r="H6011" s="16" t="str">
        <x:v>Excluded</x:v>
      </x:c>
      <x:c r="I6011" s="16" t="str">
        <x:v>Missing email</x:v>
      </x:c>
    </x:row>
    <x:row r="6012">
      <x:c r="A6012" s="16" t="n">
        <x:v>6009</x:v>
      </x:c>
      <x:c r="B6012" s="16" t="str">
        <x:v>Rusnakim Akim</x:v>
      </x:c>
      <x:c r="C6012" s="16" t="str"/>
      <x:c r="D6012" s="16" t="str"/>
      <x:c r="E6012" s="16" t="str">
        <x:v>* myContacts</x:v>
      </x:c>
      <x:c r="F6012" s="16" t="str">
        <x:v>+60173968542</x:v>
      </x:c>
      <x:c r="G6012" s="16" t="str">
        <x:v>+60173968542</x:v>
      </x:c>
      <x:c r="H6012" s="16" t="str">
        <x:v>Excluded</x:v>
      </x:c>
      <x:c r="I6012" s="16" t="str">
        <x:v>Missing email</x:v>
      </x:c>
    </x:row>
    <x:row r="6013">
      <x:c r="A6013" s="16" t="n">
        <x:v>6010</x:v>
      </x:c>
      <x:c r="B6013" s="16" t="str">
        <x:v>Rusnidaryanti Adleesya</x:v>
      </x:c>
      <x:c r="C6013" s="16" t="str"/>
      <x:c r="D6013" s="16" t="str"/>
      <x:c r="E6013" s="16" t="str">
        <x:v>* myContacts</x:v>
      </x:c>
      <x:c r="F6013" s="16" t="str">
        <x:v>+60146600989</x:v>
      </x:c>
      <x:c r="G6013" s="16" t="str">
        <x:v>+60146600989</x:v>
      </x:c>
      <x:c r="H6013" s="16" t="str">
        <x:v>Excluded</x:v>
      </x:c>
      <x:c r="I6013" s="16" t="str">
        <x:v>Missing email</x:v>
      </x:c>
    </x:row>
    <x:row r="6014">
      <x:c r="A6014" s="16" t="n">
        <x:v>6011</x:v>
      </x:c>
      <x:c r="B6014" s="16" t="str">
        <x:v>Rusnizah Rus</x:v>
      </x:c>
      <x:c r="C6014" s="16" t="str"/>
      <x:c r="D6014" s="16" t="str"/>
      <x:c r="E6014" s="16" t="str">
        <x:v>* myContacts</x:v>
      </x:c>
      <x:c r="F6014" s="16" t="str">
        <x:v>+60109143539</x:v>
      </x:c>
      <x:c r="G6014" s="16" t="str">
        <x:v>+60109143539</x:v>
      </x:c>
      <x:c r="H6014" s="16" t="str">
        <x:v>Excluded</x:v>
      </x:c>
      <x:c r="I6014" s="16" t="str">
        <x:v>Missing email</x:v>
      </x:c>
    </x:row>
    <x:row r="6015">
      <x:c r="A6015" s="16" t="n">
        <x:v>6012</x:v>
      </x:c>
      <x:c r="B6015" s="16" t="str">
        <x:v>Ruzaini Kulim</x:v>
      </x:c>
      <x:c r="C6015" s="16" t="str"/>
      <x:c r="D6015" s="16" t="str"/>
      <x:c r="E6015" s="16" t="str">
        <x:v>* myContacts</x:v>
      </x:c>
      <x:c r="F6015" s="16" t="str">
        <x:v>+60174744448</x:v>
      </x:c>
      <x:c r="G6015" s="16" t="str">
        <x:v>+60174744448</x:v>
      </x:c>
      <x:c r="H6015" s="16" t="str">
        <x:v>Excluded</x:v>
      </x:c>
      <x:c r="I6015" s="16" t="str">
        <x:v>Missing email</x:v>
      </x:c>
    </x:row>
    <x:row r="6016">
      <x:c r="A6016" s="16" t="n">
        <x:v>6013</x:v>
      </x:c>
      <x:c r="B6016" s="16" t="str">
        <x:v>Ruzaini Ramin</x:v>
      </x:c>
      <x:c r="C6016" s="16" t="str"/>
      <x:c r="D6016" s="16" t="str"/>
      <x:c r="E6016" s="16" t="str">
        <x:v>* myContacts</x:v>
      </x:c>
      <x:c r="F6016" s="16" t="str">
        <x:v>+60172493937</x:v>
      </x:c>
      <x:c r="G6016" s="16" t="str">
        <x:v>+60172493937</x:v>
      </x:c>
      <x:c r="H6016" s="16" t="str">
        <x:v>Excluded</x:v>
      </x:c>
      <x:c r="I6016" s="16" t="str">
        <x:v>Missing email</x:v>
      </x:c>
    </x:row>
    <x:row r="6017">
      <x:c r="A6017" s="16" t="n">
        <x:v>6014</x:v>
      </x:c>
      <x:c r="B6017" s="16" t="str">
        <x:v>Ruzita Ahmad AGP</x:v>
      </x:c>
      <x:c r="C6017" s="16" t="str"/>
      <x:c r="D6017" s="16" t="str"/>
      <x:c r="E6017" s="16" t="str">
        <x:v>* myContacts</x:v>
      </x:c>
      <x:c r="F6017" s="16" t="str">
        <x:v>+60 12-799 1081 | +60127991081</x:v>
      </x:c>
      <x:c r="G6017" s="16" t="str">
        <x:v>+60127991081 | +60127991081</x:v>
      </x:c>
      <x:c r="H6017" s="16" t="str">
        <x:v>Excluded</x:v>
      </x:c>
      <x:c r="I6017" s="16" t="str">
        <x:v>Missing email</x:v>
      </x:c>
    </x:row>
    <x:row r="6018">
      <x:c r="A6018" s="16" t="n">
        <x:v>6015</x:v>
      </x:c>
      <x:c r="B6018" s="16" t="str">
        <x:v>Ruzita Rz</x:v>
      </x:c>
      <x:c r="C6018" s="16" t="str"/>
      <x:c r="D6018" s="16" t="str"/>
      <x:c r="E6018" s="16" t="str">
        <x:v>* myContacts</x:v>
      </x:c>
      <x:c r="F6018" s="16" t="str">
        <x:v>+60173289167</x:v>
      </x:c>
      <x:c r="G6018" s="16" t="str">
        <x:v>+60173289167</x:v>
      </x:c>
      <x:c r="H6018" s="16" t="str">
        <x:v>Excluded</x:v>
      </x:c>
      <x:c r="I6018" s="16" t="str">
        <x:v>Missing email</x:v>
      </x:c>
    </x:row>
    <x:row r="6019">
      <x:c r="A6019" s="16" t="n">
        <x:v>6016</x:v>
      </x:c>
      <x:c r="B6019" s="16" t="str">
        <x:v>Ryan Syah</x:v>
      </x:c>
      <x:c r="C6019" s="16" t="str"/>
      <x:c r="D6019" s="16" t="str"/>
      <x:c r="E6019" s="16" t="str">
        <x:v>* myContacts</x:v>
      </x:c>
      <x:c r="F6019" s="16" t="str">
        <x:v>+60169175496</x:v>
      </x:c>
      <x:c r="G6019" s="16" t="str">
        <x:v>+60169175496</x:v>
      </x:c>
      <x:c r="H6019" s="16" t="str">
        <x:v>Excluded</x:v>
      </x:c>
      <x:c r="I6019" s="16" t="str">
        <x:v>Missing email</x:v>
      </x:c>
    </x:row>
    <x:row r="6020">
      <x:c r="A6020" s="16" t="n">
        <x:v>6017</x:v>
      </x:c>
      <x:c r="B6020" s="16" t="str">
        <x:v>Ryn Shari</x:v>
      </x:c>
      <x:c r="C6020" s="16" t="str"/>
      <x:c r="D6020" s="16" t="str"/>
      <x:c r="E6020" s="16" t="str">
        <x:v>* myContacts</x:v>
      </x:c>
      <x:c r="F6020" s="16" t="str">
        <x:v>+60178124050</x:v>
      </x:c>
      <x:c r="G6020" s="16" t="str">
        <x:v>+60178124050</x:v>
      </x:c>
      <x:c r="H6020" s="16" t="str">
        <x:v>Excluded</x:v>
      </x:c>
      <x:c r="I6020" s="16" t="str">
        <x:v>Missing email</x:v>
      </x:c>
    </x:row>
    <x:row r="6021">
      <x:c r="A6021" s="16" t="n">
        <x:v>6018</x:v>
      </x:c>
      <x:c r="B6021" s="16" t="str">
        <x:v>RyNa EOna SweEt</x:v>
      </x:c>
      <x:c r="C6021" s="16" t="str"/>
      <x:c r="D6021" s="16" t="str"/>
      <x:c r="E6021" s="16" t="str">
        <x:v>* myContacts</x:v>
      </x:c>
      <x:c r="F6021" s="16" t="str">
        <x:v>+60109894514</x:v>
      </x:c>
      <x:c r="G6021" s="16" t="str">
        <x:v>+60109894514</x:v>
      </x:c>
      <x:c r="H6021" s="16" t="str">
        <x:v>Excluded</x:v>
      </x:c>
      <x:c r="I6021" s="16" t="str">
        <x:v>Missing email</x:v>
      </x:c>
    </x:row>
    <x:row r="6022">
      <x:c r="A6022" s="16" t="n">
        <x:v>6019</x:v>
      </x:c>
      <x:c r="B6022" s="16" t="str">
        <x:v>Rynna Errynna</x:v>
      </x:c>
      <x:c r="C6022" s="16" t="str"/>
      <x:c r="D6022" s="16" t="str"/>
      <x:c r="E6022" s="16" t="str">
        <x:v>* myContacts</x:v>
      </x:c>
      <x:c r="F6022" s="16" t="str">
        <x:v>+60139506498</x:v>
      </x:c>
      <x:c r="G6022" s="16" t="str">
        <x:v>+60139506498</x:v>
      </x:c>
      <x:c r="H6022" s="16" t="str">
        <x:v>Excluded</x:v>
      </x:c>
      <x:c r="I6022" s="16" t="str">
        <x:v>Missing email</x:v>
      </x:c>
    </x:row>
    <x:row r="6023">
      <x:c r="A6023" s="16" t="n">
        <x:v>6020</x:v>
      </x:c>
      <x:c r="B6023" s="16" t="str">
        <x:v>Ryoq Hasrul Radak Gopeng Campsite And Kayak</x:v>
      </x:c>
      <x:c r="C6023" s="16" t="str"/>
      <x:c r="D6023" s="16" t="str"/>
      <x:c r="E6023" s="16" t="str">
        <x:v>* myContacts</x:v>
      </x:c>
      <x:c r="F6023" s="16" t="str">
        <x:v>+601114545405</x:v>
      </x:c>
      <x:c r="G6023" s="16" t="str">
        <x:v>+601114545405</x:v>
      </x:c>
      <x:c r="H6023" s="16" t="str">
        <x:v>Excluded</x:v>
      </x:c>
      <x:c r="I6023" s="16" t="str">
        <x:v>Missing email</x:v>
      </x:c>
    </x:row>
    <x:row r="6024">
      <x:c r="A6024" s="16" t="n">
        <x:v>6021</x:v>
      </x:c>
      <x:c r="B6024" s="16" t="str">
        <x:v>Ryynriena Jamaluddin</x:v>
      </x:c>
      <x:c r="C6024" s="16" t="str"/>
      <x:c r="D6024" s="16" t="str"/>
      <x:c r="E6024" s="16" t="str">
        <x:v>* myContacts</x:v>
      </x:c>
      <x:c r="F6024" s="16" t="str">
        <x:v>+601112446128</x:v>
      </x:c>
      <x:c r="G6024" s="16" t="str">
        <x:v>+601112446128</x:v>
      </x:c>
      <x:c r="H6024" s="16" t="str">
        <x:v>Excluded</x:v>
      </x:c>
      <x:c r="I6024" s="16" t="str">
        <x:v>Missing email</x:v>
      </x:c>
    </x:row>
    <x:row r="6025">
      <x:c r="A6025" s="16" t="n">
        <x:v>6022</x:v>
      </x:c>
      <x:c r="B6025" s="16" t="str">
        <x:v>S'zana S'judin</x:v>
      </x:c>
      <x:c r="C6025" s="16" t="str"/>
      <x:c r="D6025" s="16" t="str"/>
      <x:c r="E6025" s="16" t="str">
        <x:v>* myContacts</x:v>
      </x:c>
      <x:c r="F6025" s="16" t="str">
        <x:v>+60145743037</x:v>
      </x:c>
      <x:c r="G6025" s="16" t="str">
        <x:v>+60145743037</x:v>
      </x:c>
      <x:c r="H6025" s="16" t="str">
        <x:v>Excluded</x:v>
      </x:c>
      <x:c r="I6025" s="16" t="str">
        <x:v>Missing email</x:v>
      </x:c>
    </x:row>
    <x:row r="6026">
      <x:c r="A6026" s="16" t="n">
        <x:v>6023</x:v>
      </x:c>
      <x:c r="B6026" s="16" t="str">
        <x:v>Sa'ari Ari</x:v>
      </x:c>
      <x:c r="C6026" s="16" t="str"/>
      <x:c r="D6026" s="16" t="str"/>
      <x:c r="E6026" s="16" t="str">
        <x:v>* myContacts</x:v>
      </x:c>
      <x:c r="F6026" s="16" t="str">
        <x:v>+60169408459</x:v>
      </x:c>
      <x:c r="G6026" s="16" t="str">
        <x:v>+60169408459</x:v>
      </x:c>
      <x:c r="H6026" s="16" t="str">
        <x:v>Excluded</x:v>
      </x:c>
      <x:c r="I6026" s="16" t="str">
        <x:v>Missing email</x:v>
      </x:c>
    </x:row>
    <x:row r="6027">
      <x:c r="A6027" s="16" t="n">
        <x:v>6024</x:v>
      </x:c>
      <x:c r="B6027" s="16" t="str">
        <x:v>Saadah Kamarulzaman</x:v>
      </x:c>
      <x:c r="C6027" s="16" t="str"/>
      <x:c r="D6027" s="16" t="str"/>
      <x:c r="E6027" s="16" t="str">
        <x:v>* myContacts</x:v>
      </x:c>
      <x:c r="F6027" s="16" t="str">
        <x:v>+60129255965</x:v>
      </x:c>
      <x:c r="G6027" s="16" t="str">
        <x:v>+60129255965</x:v>
      </x:c>
      <x:c r="H6027" s="16" t="str">
        <x:v>Excluded</x:v>
      </x:c>
      <x:c r="I6027" s="16" t="str">
        <x:v>Missing email</x:v>
      </x:c>
    </x:row>
    <x:row r="6028">
      <x:c r="A6028" s="16" t="n">
        <x:v>6025</x:v>
      </x:c>
      <x:c r="B6028" s="16" t="str">
        <x:v>Saadah putrajaya</x:v>
      </x:c>
      <x:c r="C6028" s="16" t="str"/>
      <x:c r="D6028" s="16" t="str"/>
      <x:c r="E6028" s="16" t="str">
        <x:v>* myContacts</x:v>
      </x:c>
      <x:c r="F6028" s="16" t="str">
        <x:v>0137732296 | +60137732296</x:v>
      </x:c>
      <x:c r="G6028" s="16" t="str">
        <x:v>+60137732296 | +60137732296</x:v>
      </x:c>
      <x:c r="H6028" s="16" t="str">
        <x:v>Excluded</x:v>
      </x:c>
      <x:c r="I6028" s="16" t="str">
        <x:v>Missing email</x:v>
      </x:c>
    </x:row>
    <x:row r="6029">
      <x:c r="A6029" s="16" t="n">
        <x:v>6026</x:v>
      </x:c>
      <x:c r="B6029" s="16" t="str">
        <x:v>Saadiah Alias</x:v>
      </x:c>
      <x:c r="C6029" s="16" t="str"/>
      <x:c r="D6029" s="16" t="str"/>
      <x:c r="E6029" s="16" t="str">
        <x:v>* myContacts</x:v>
      </x:c>
      <x:c r="F6029" s="16" t="str">
        <x:v>+60193919268</x:v>
      </x:c>
      <x:c r="G6029" s="16" t="str">
        <x:v>+60193919268</x:v>
      </x:c>
      <x:c r="H6029" s="16" t="str">
        <x:v>Excluded</x:v>
      </x:c>
      <x:c r="I6029" s="16" t="str">
        <x:v>Missing email</x:v>
      </x:c>
    </x:row>
    <x:row r="6030">
      <x:c r="A6030" s="16" t="n">
        <x:v>6027</x:v>
      </x:c>
      <x:c r="B6030" s="16" t="str">
        <x:v>Saadik Stylo Mylo</x:v>
      </x:c>
      <x:c r="C6030" s="16" t="str"/>
      <x:c r="D6030" s="16" t="str"/>
      <x:c r="E6030" s="16" t="str">
        <x:v>* myContacts</x:v>
      </x:c>
      <x:c r="F6030" s="16" t="str">
        <x:v>+601121280786</x:v>
      </x:c>
      <x:c r="G6030" s="16" t="str">
        <x:v>+601121280786</x:v>
      </x:c>
      <x:c r="H6030" s="16" t="str">
        <x:v>Excluded</x:v>
      </x:c>
      <x:c r="I6030" s="16" t="str">
        <x:v>Missing email</x:v>
      </x:c>
    </x:row>
    <x:row r="6031">
      <x:c r="A6031" s="16" t="n">
        <x:v>6028</x:v>
      </x:c>
      <x:c r="B6031" s="16" t="str">
        <x:v>Sabah Batik Sabah Batik</x:v>
      </x:c>
      <x:c r="C6031" s="16" t="str"/>
      <x:c r="D6031" s="16" t="str"/>
      <x:c r="E6031" s="16" t="str">
        <x:v>* myContacts</x:v>
      </x:c>
      <x:c r="F6031" s="16" t="str">
        <x:v>+6088769800</x:v>
      </x:c>
      <x:c r="G6031" s="16" t="str">
        <x:v>+6088769800</x:v>
      </x:c>
      <x:c r="H6031" s="16" t="str">
        <x:v>Excluded</x:v>
      </x:c>
      <x:c r="I6031" s="16" t="str">
        <x:v>Missing email</x:v>
      </x:c>
    </x:row>
    <x:row r="6032">
      <x:c r="A6032" s="16" t="n">
        <x:v>6029</x:v>
      </x:c>
      <x:c r="B6032" s="16" t="str">
        <x:v>Sabahuddin Talib</x:v>
      </x:c>
      <x:c r="C6032" s="16" t="str"/>
      <x:c r="D6032" s="16" t="str"/>
      <x:c r="E6032" s="16" t="str">
        <x:v>* myContacts</x:v>
      </x:c>
      <x:c r="F6032" s="16" t="str">
        <x:v>+60137071360</x:v>
      </x:c>
      <x:c r="G6032" s="16" t="str">
        <x:v>+60137071360</x:v>
      </x:c>
      <x:c r="H6032" s="16" t="str">
        <x:v>Excluded</x:v>
      </x:c>
      <x:c r="I6032" s="16" t="str">
        <x:v>Missing email</x:v>
      </x:c>
    </x:row>
    <x:row r="6033">
      <x:c r="A6033" s="16" t="n">
        <x:v>6030</x:v>
      </x:c>
      <x:c r="B6033" s="16" t="str">
        <x:v>Sabariah IM</x:v>
      </x:c>
      <x:c r="C6033" s="16" t="str"/>
      <x:c r="D6033" s="16" t="str"/>
      <x:c r="E6033" s="16" t="str">
        <x:v>* myContacts</x:v>
      </x:c>
      <x:c r="F6033" s="16" t="str">
        <x:v>019-634 6501 | +60196346501</x:v>
      </x:c>
      <x:c r="G6033" s="16" t="str">
        <x:v>+60196346501 | +60196346501</x:v>
      </x:c>
      <x:c r="H6033" s="16" t="str">
        <x:v>Excluded</x:v>
      </x:c>
      <x:c r="I6033" s="16" t="str">
        <x:v>Missing email</x:v>
      </x:c>
    </x:row>
    <x:row r="6034">
      <x:c r="A6034" s="16" t="n">
        <x:v>6031</x:v>
      </x:c>
      <x:c r="B6034" s="16" t="str">
        <x:v>Sabri Ibrahim Agent Kbbc</x:v>
      </x:c>
      <x:c r="C6034" s="16" t="str"/>
      <x:c r="D6034" s="16" t="str"/>
      <x:c r="E6034" s="16" t="str">
        <x:v>* myContacts</x:v>
      </x:c>
      <x:c r="F6034" s="16" t="str">
        <x:v>+60199040148</x:v>
      </x:c>
      <x:c r="G6034" s="16" t="str">
        <x:v>+60199040148</x:v>
      </x:c>
      <x:c r="H6034" s="16" t="str">
        <x:v>Excluded</x:v>
      </x:c>
      <x:c r="I6034" s="16" t="str">
        <x:v>Missing email</x:v>
      </x:c>
    </x:row>
    <x:row r="6035">
      <x:c r="A6035" s="16" t="n">
        <x:v>6032</x:v>
      </x:c>
      <x:c r="B6035" s="16" t="str">
        <x:v>sabri im</x:v>
      </x:c>
      <x:c r="C6035" s="16" t="str"/>
      <x:c r="D6035" s="16" t="str"/>
      <x:c r="E6035" s="16" t="str">
        <x:v>* myContacts</x:v>
      </x:c>
      <x:c r="F6035" s="16" t="str">
        <x:v>0173957189 | +60173957189</x:v>
      </x:c>
      <x:c r="G6035" s="16" t="str">
        <x:v>+60173957189 | +60173957189</x:v>
      </x:c>
      <x:c r="H6035" s="16" t="str">
        <x:v>Excluded</x:v>
      </x:c>
      <x:c r="I6035" s="16" t="str">
        <x:v>Missing email</x:v>
      </x:c>
    </x:row>
    <x:row r="6036">
      <x:c r="A6036" s="16" t="n">
        <x:v>6033</x:v>
      </x:c>
      <x:c r="B6036" s="16" t="str">
        <x:v>Sabri Kiras Mdec</x:v>
      </x:c>
      <x:c r="C6036" s="16" t="str"/>
      <x:c r="D6036" s="16" t="str"/>
      <x:c r="E6036" s="16" t="str">
        <x:v>* myContacts</x:v>
      </x:c>
      <x:c r="F6036" s="16" t="str">
        <x:v>013-733 2374 | +60137332374</x:v>
      </x:c>
      <x:c r="G6036" s="16" t="str">
        <x:v>+60137332374 | +60137332374</x:v>
      </x:c>
      <x:c r="H6036" s="16" t="str">
        <x:v>Excluded</x:v>
      </x:c>
      <x:c r="I6036" s="16" t="str">
        <x:v>Missing email</x:v>
      </x:c>
    </x:row>
    <x:row r="6037">
      <x:c r="A6037" s="16" t="n">
        <x:v>6034</x:v>
      </x:c>
      <x:c r="B6037" s="16" t="str">
        <x:v>Sabri NTI</x:v>
      </x:c>
      <x:c r="C6037" s="16" t="str"/>
      <x:c r="D6037" s="16" t="str"/>
      <x:c r="E6037" s="16" t="str">
        <x:v>* myContacts</x:v>
      </x:c>
      <x:c r="F6037" s="16" t="str">
        <x:v>0162182267 | +60162182267</x:v>
      </x:c>
      <x:c r="G6037" s="16" t="str">
        <x:v>+60162182267 | +60162182267</x:v>
      </x:c>
      <x:c r="H6037" s="16" t="str">
        <x:v>Excluded</x:v>
      </x:c>
      <x:c r="I6037" s="16" t="str">
        <x:v>Missing email</x:v>
      </x:c>
    </x:row>
    <x:row r="6038">
      <x:c r="A6038" s="16" t="n">
        <x:v>6035</x:v>
      </x:c>
      <x:c r="B6038" s="16" t="str">
        <x:v>Sabri Pest</x:v>
      </x:c>
      <x:c r="C6038" s="16" t="str"/>
      <x:c r="D6038" s="16" t="str"/>
      <x:c r="E6038" s="16" t="str">
        <x:v>* myContacts</x:v>
      </x:c>
      <x:c r="F6038" s="16" t="str">
        <x:v>+60193093887</x:v>
      </x:c>
      <x:c r="G6038" s="16" t="str">
        <x:v>+60193093887</x:v>
      </x:c>
      <x:c r="H6038" s="16" t="str">
        <x:v>Excluded</x:v>
      </x:c>
      <x:c r="I6038" s="16" t="str">
        <x:v>Missing email</x:v>
      </x:c>
    </x:row>
    <x:row r="6039">
      <x:c r="A6039" s="16" t="n">
        <x:v>6036</x:v>
      </x:c>
      <x:c r="B6039" s="16" t="str">
        <x:v>Sabri Sulong Sabri Sulong</x:v>
      </x:c>
      <x:c r="C6039" s="16" t="str"/>
      <x:c r="D6039" s="16" t="str"/>
      <x:c r="E6039" s="16" t="str">
        <x:v>* myContacts</x:v>
      </x:c>
      <x:c r="F6039" s="16" t="str">
        <x:v>+60139194311</x:v>
      </x:c>
      <x:c r="G6039" s="16" t="str">
        <x:v>+60139194311</x:v>
      </x:c>
      <x:c r="H6039" s="16" t="str">
        <x:v>Excluded</x:v>
      </x:c>
      <x:c r="I6039" s="16" t="str">
        <x:v>Missing email</x:v>
      </x:c>
    </x:row>
    <x:row r="6040">
      <x:c r="A6040" s="16" t="n">
        <x:v>6037</x:v>
      </x:c>
      <x:c r="B6040" s="16" t="str">
        <x:v>Sabri Uda Flp</x:v>
      </x:c>
      <x:c r="C6040" s="16" t="str"/>
      <x:c r="D6040" s="16" t="str"/>
      <x:c r="E6040" s="16" t="str">
        <x:v>* myContacts</x:v>
      </x:c>
      <x:c r="F6040" s="16" t="str">
        <x:v>+60174794519</x:v>
      </x:c>
      <x:c r="G6040" s="16" t="str">
        <x:v>+60174794519</x:v>
      </x:c>
      <x:c r="H6040" s="16" t="str">
        <x:v>Excluded</x:v>
      </x:c>
      <x:c r="I6040" s="16" t="str">
        <x:v>Missing email</x:v>
      </x:c>
    </x:row>
    <x:row r="6041">
      <x:c r="A6041" s="16" t="n">
        <x:v>6038</x:v>
      </x:c>
      <x:c r="B6041" s="16" t="str">
        <x:v>Sabri UTM</x:v>
      </x:c>
      <x:c r="C6041" s="16" t="str"/>
      <x:c r="D6041" s="16" t="str"/>
      <x:c r="E6041" s="16" t="str">
        <x:v>* myContacts</x:v>
      </x:c>
      <x:c r="F6041" s="16" t="str">
        <x:v>017-691 1901 | +60176911901</x:v>
      </x:c>
      <x:c r="G6041" s="16" t="str">
        <x:v>+60176911901 | +60176911901</x:v>
      </x:c>
      <x:c r="H6041" s="16" t="str">
        <x:v>Excluded</x:v>
      </x:c>
      <x:c r="I6041" s="16" t="str">
        <x:v>Missing email</x:v>
      </x:c>
    </x:row>
    <x:row r="6042">
      <x:c r="A6042" s="16" t="n">
        <x:v>6039</x:v>
      </x:c>
      <x:c r="B6042" s="16" t="str">
        <x:v>Sabrizan Salleh</x:v>
      </x:c>
      <x:c r="C6042" s="16" t="str"/>
      <x:c r="D6042" s="16" t="str"/>
      <x:c r="E6042" s="16" t="str">
        <x:v>* myContacts</x:v>
      </x:c>
      <x:c r="F6042" s="16" t="str">
        <x:v>+60134728094</x:v>
      </x:c>
      <x:c r="G6042" s="16" t="str">
        <x:v>+60134728094</x:v>
      </x:c>
      <x:c r="H6042" s="16" t="str">
        <x:v>Excluded</x:v>
      </x:c>
      <x:c r="I6042" s="16" t="str">
        <x:v>Missing email</x:v>
      </x:c>
    </x:row>
    <x:row r="6043">
      <x:c r="A6043" s="16" t="n">
        <x:v>6040</x:v>
      </x:c>
      <x:c r="B6043" s="16" t="str">
        <x:v>Sadenk Manes</x:v>
      </x:c>
      <x:c r="C6043" s="16" t="str"/>
      <x:c r="D6043" s="16" t="str"/>
      <x:c r="E6043" s="16" t="str">
        <x:v>* myContacts</x:v>
      </x:c>
      <x:c r="F6043" s="16" t="str">
        <x:v>+6287853502976</x:v>
      </x:c>
      <x:c r="G6043" s="16" t="str">
        <x:v>+6287853502976</x:v>
      </x:c>
      <x:c r="H6043" s="16" t="str">
        <x:v>Excluded</x:v>
      </x:c>
      <x:c r="I6043" s="16" t="str">
        <x:v>Missing email</x:v>
      </x:c>
    </x:row>
    <x:row r="6044">
      <x:c r="A6044" s="16" t="n">
        <x:v>6041</x:v>
      </x:c>
      <x:c r="B6044" s="16" t="str">
        <x:v>Sadiq Eatai</x:v>
      </x:c>
      <x:c r="C6044" s="16" t="str"/>
      <x:c r="D6044" s="16" t="str"/>
      <x:c r="E6044" s="16" t="str">
        <x:v>* myContacts</x:v>
      </x:c>
      <x:c r="F6044" s="16" t="str">
        <x:v>+60 12-267 9059 | +60122679059</x:v>
      </x:c>
      <x:c r="G6044" s="16" t="str">
        <x:v>+60122679059 | +60122679059</x:v>
      </x:c>
      <x:c r="H6044" s="16" t="str">
        <x:v>Excluded</x:v>
      </x:c>
      <x:c r="I6044" s="16" t="str">
        <x:v>Missing email</x:v>
      </x:c>
    </x:row>
    <x:row r="6045">
      <x:c r="A6045" s="16" t="n">
        <x:v>6042</x:v>
      </x:c>
      <x:c r="B6045" s="16" t="str">
        <x:v>Safia Shaharuddin</x:v>
      </x:c>
      <x:c r="C6045" s="16" t="str"/>
      <x:c r="D6045" s="16" t="str"/>
      <x:c r="E6045" s="16" t="str">
        <x:v>* myContacts</x:v>
      </x:c>
      <x:c r="F6045" s="16" t="str">
        <x:v>+60179212631</x:v>
      </x:c>
      <x:c r="G6045" s="16" t="str">
        <x:v>+60179212631</x:v>
      </x:c>
      <x:c r="H6045" s="16" t="str">
        <x:v>Excluded</x:v>
      </x:c>
      <x:c r="I6045" s="16" t="str">
        <x:v>Missing email</x:v>
      </x:c>
    </x:row>
    <x:row r="6046">
      <x:c r="A6046" s="16" t="n">
        <x:v>6043</x:v>
      </x:c>
      <x:c r="B6046" s="16" t="str">
        <x:v>Safiya Rayzal</x:v>
      </x:c>
      <x:c r="C6046" s="16" t="str"/>
      <x:c r="D6046" s="16" t="str"/>
      <x:c r="E6046" s="16" t="str">
        <x:v>* myContacts</x:v>
      </x:c>
      <x:c r="F6046" s="16" t="str">
        <x:v>+60169185667</x:v>
      </x:c>
      <x:c r="G6046" s="16" t="str">
        <x:v>+60169185667</x:v>
      </x:c>
      <x:c r="H6046" s="16" t="str">
        <x:v>Excluded</x:v>
      </x:c>
      <x:c r="I6046" s="16" t="str">
        <x:v>Missing email</x:v>
      </x:c>
    </x:row>
    <x:row r="6047">
      <x:c r="A6047" s="16" t="n">
        <x:v>6044</x:v>
      </x:c>
      <x:c r="B6047" s="16" t="str">
        <x:v>Safwan Pinoqyo</x:v>
      </x:c>
      <x:c r="C6047" s="16" t="str"/>
      <x:c r="D6047" s="16" t="str"/>
      <x:c r="E6047" s="16" t="str">
        <x:v>* myContacts</x:v>
      </x:c>
      <x:c r="F6047" s="16" t="str">
        <x:v>+60185995977</x:v>
      </x:c>
      <x:c r="G6047" s="16" t="str">
        <x:v>+60185995977</x:v>
      </x:c>
      <x:c r="H6047" s="16" t="str">
        <x:v>Excluded</x:v>
      </x:c>
      <x:c r="I6047" s="16" t="str">
        <x:v>Missing email</x:v>
      </x:c>
    </x:row>
    <x:row r="6048">
      <x:c r="A6048" s="16" t="n">
        <x:v>6045</x:v>
      </x:c>
      <x:c r="B6048" s="16" t="str">
        <x:v>safwan seth</x:v>
      </x:c>
      <x:c r="C6048" s="16" t="str"/>
      <x:c r="D6048" s="16" t="str"/>
      <x:c r="E6048" s="16" t="str">
        <x:v>* myContacts</x:v>
      </x:c>
      <x:c r="F6048" s="16" t="str">
        <x:v>+60 16-923 1769 | +60169231769</x:v>
      </x:c>
      <x:c r="G6048" s="16" t="str">
        <x:v>+60169231769 | +60169231769</x:v>
      </x:c>
      <x:c r="H6048" s="16" t="str">
        <x:v>Excluded</x:v>
      </x:c>
      <x:c r="I6048" s="16" t="str">
        <x:v>Missing email</x:v>
      </x:c>
    </x:row>
    <x:row r="6049">
      <x:c r="A6049" s="16" t="n">
        <x:v>6046</x:v>
      </x:c>
      <x:c r="B6049" s="16" t="str">
        <x:v>safwan seth IM</x:v>
      </x:c>
      <x:c r="C6049" s="16" t="str"/>
      <x:c r="D6049" s="16" t="str"/>
      <x:c r="E6049" s="16" t="str">
        <x:v>* myContacts</x:v>
      </x:c>
      <x:c r="F6049" s="16" t="str">
        <x:v>01118739591 | +601118739591</x:v>
      </x:c>
      <x:c r="G6049" s="16" t="str">
        <x:v>+601118739591 | +601118739591</x:v>
      </x:c>
      <x:c r="H6049" s="16" t="str">
        <x:v>Excluded</x:v>
      </x:c>
      <x:c r="I6049" s="16" t="str">
        <x:v>Missing email</x:v>
      </x:c>
    </x:row>
    <x:row r="6050">
      <x:c r="A6050" s="16" t="n">
        <x:v>6047</x:v>
      </x:c>
      <x:c r="B6050" s="16" t="str">
        <x:v>Safwan Wan</x:v>
      </x:c>
      <x:c r="C6050" s="16" t="str"/>
      <x:c r="D6050" s="16" t="str"/>
      <x:c r="E6050" s="16" t="str">
        <x:v>* myContacts</x:v>
      </x:c>
      <x:c r="F6050" s="16" t="str">
        <x:v>+60183999102</x:v>
      </x:c>
      <x:c r="G6050" s="16" t="str">
        <x:v>+60183999102</x:v>
      </x:c>
      <x:c r="H6050" s="16" t="str">
        <x:v>Excluded</x:v>
      </x:c>
      <x:c r="I6050" s="16" t="str">
        <x:v>Missing email</x:v>
      </x:c>
    </x:row>
    <x:row r="6051">
      <x:c r="A6051" s="16" t="n">
        <x:v>6048</x:v>
      </x:c>
      <x:c r="B6051" s="16" t="str">
        <x:v>Saharudin Abu Seman</x:v>
      </x:c>
      <x:c r="C6051" s="16" t="str"/>
      <x:c r="D6051" s="16" t="str"/>
      <x:c r="E6051" s="16" t="str">
        <x:v>* myContacts</x:v>
      </x:c>
      <x:c r="F6051" s="16" t="str">
        <x:v>+60108110810</x:v>
      </x:c>
      <x:c r="G6051" s="16" t="str">
        <x:v>+60108110810</x:v>
      </x:c>
      <x:c r="H6051" s="16" t="str">
        <x:v>Excluded</x:v>
      </x:c>
      <x:c r="I6051" s="16" t="str">
        <x:v>Missing email</x:v>
      </x:c>
    </x:row>
    <x:row r="6052">
      <x:c r="A6052" s="16" t="n">
        <x:v>6049</x:v>
      </x:c>
      <x:c r="B6052" s="16" t="str">
        <x:v>Sahbi Drihmi</x:v>
      </x:c>
      <x:c r="C6052" s="16" t="str"/>
      <x:c r="D6052" s="16" t="str"/>
      <x:c r="E6052" s="16" t="str">
        <x:v>* myContacts</x:v>
      </x:c>
      <x:c r="F6052" s="16" t="str">
        <x:v>+21696010207</x:v>
      </x:c>
      <x:c r="G6052" s="16" t="str">
        <x:v>+21696010207</x:v>
      </x:c>
      <x:c r="H6052" s="16" t="str">
        <x:v>Excluded</x:v>
      </x:c>
      <x:c r="I6052" s="16" t="str">
        <x:v>Missing email</x:v>
      </x:c>
    </x:row>
    <x:row r="6053">
      <x:c r="A6053" s="16" t="n">
        <x:v>6050</x:v>
      </x:c>
      <x:c r="B6053" s="16" t="str">
        <x:v>Sahidin Msr</x:v>
      </x:c>
      <x:c r="C6053" s="16" t="str"/>
      <x:c r="D6053" s="16" t="str"/>
      <x:c r="E6053" s="16" t="str">
        <x:v>* myContacts</x:v>
      </x:c>
      <x:c r="F6053" s="16" t="str">
        <x:v>+60199895199</x:v>
      </x:c>
      <x:c r="G6053" s="16" t="str">
        <x:v>+60199895199</x:v>
      </x:c>
      <x:c r="H6053" s="16" t="str">
        <x:v>Excluded</x:v>
      </x:c>
      <x:c r="I6053" s="16" t="str">
        <x:v>Missing email</x:v>
      </x:c>
    </x:row>
    <x:row r="6054">
      <x:c r="A6054" s="16" t="n">
        <x:v>6051</x:v>
      </x:c>
      <x:c r="B6054" s="16" t="str">
        <x:v>Sahli Alumni Kelas Online</x:v>
      </x:c>
      <x:c r="C6054" s="16" t="str"/>
      <x:c r="D6054" s="16" t="str"/>
      <x:c r="E6054" s="16" t="str">
        <x:v>* myContacts</x:v>
      </x:c>
      <x:c r="F6054" s="16" t="str">
        <x:v>+60 11-1182 7281 | +601111827281</x:v>
      </x:c>
      <x:c r="G6054" s="16" t="str">
        <x:v>+601111827281 | +601111827281</x:v>
      </x:c>
      <x:c r="H6054" s="16" t="str">
        <x:v>Excluded</x:v>
      </x:c>
      <x:c r="I6054" s="16" t="str">
        <x:v>Missing email</x:v>
      </x:c>
    </x:row>
    <x:row r="6055">
      <x:c r="A6055" s="16" t="n">
        <x:v>6052</x:v>
      </x:c>
      <x:c r="B6055" s="16" t="str">
        <x:v>Sahrial Baharudin</x:v>
      </x:c>
      <x:c r="C6055" s="16" t="str"/>
      <x:c r="D6055" s="16" t="str"/>
      <x:c r="E6055" s="16" t="str">
        <x:v>* myContacts</x:v>
      </x:c>
      <x:c r="F6055" s="16" t="str">
        <x:v>+60128183621</x:v>
      </x:c>
      <x:c r="G6055" s="16" t="str">
        <x:v>+60128183621</x:v>
      </x:c>
      <x:c r="H6055" s="16" t="str">
        <x:v>Excluded</x:v>
      </x:c>
      <x:c r="I6055" s="16" t="str">
        <x:v>Missing email</x:v>
      </x:c>
    </x:row>
    <x:row r="6056">
      <x:c r="A6056" s="16" t="n">
        <x:v>6053</x:v>
      </x:c>
      <x:c r="B6056" s="16" t="str">
        <x:v>Sai Veera</x:v>
      </x:c>
      <x:c r="C6056" s="16" t="str"/>
      <x:c r="D6056" s="16" t="str"/>
      <x:c r="E6056" s="16" t="str">
        <x:v>* myContacts</x:v>
      </x:c>
      <x:c r="F6056" s="16" t="str">
        <x:v>+60196692104</x:v>
      </x:c>
      <x:c r="G6056" s="16" t="str">
        <x:v>+60196692104</x:v>
      </x:c>
      <x:c r="H6056" s="16" t="str">
        <x:v>Excluded</x:v>
      </x:c>
      <x:c r="I6056" s="16" t="str">
        <x:v>Missing email</x:v>
      </x:c>
    </x:row>
    <x:row r="6057">
      <x:c r="A6057" s="16" t="n">
        <x:v>6054</x:v>
      </x:c>
      <x:c r="B6057" s="16" t="str">
        <x:v>Said imad</x:v>
      </x:c>
      <x:c r="C6057" s="16" t="str"/>
      <x:c r="D6057" s="16" t="str"/>
      <x:c r="E6057" s="16" t="str">
        <x:v>* myContacts</x:v>
      </x:c>
      <x:c r="F6057" s="16" t="str">
        <x:v>+905078749588</x:v>
      </x:c>
      <x:c r="G6057" s="16" t="str">
        <x:v>+905078749588</x:v>
      </x:c>
      <x:c r="H6057" s="16" t="str">
        <x:v>Excluded</x:v>
      </x:c>
      <x:c r="I6057" s="16" t="str">
        <x:v>Missing email</x:v>
      </x:c>
    </x:row>
    <x:row r="6058">
      <x:c r="A6058" s="16" t="n">
        <x:v>6055</x:v>
      </x:c>
      <x:c r="B6058" s="16" t="str">
        <x:v>Saidatul Hq Admin</x:v>
      </x:c>
      <x:c r="C6058" s="16" t="str"/>
      <x:c r="D6058" s="16" t="str"/>
      <x:c r="E6058" s="16" t="str">
        <x:v>* myContacts</x:v>
      </x:c>
      <x:c r="F6058" s="16" t="str">
        <x:v>+60 10-871 3200 | +60108713200</x:v>
      </x:c>
      <x:c r="G6058" s="16" t="str">
        <x:v>+60108713200 | +60108713200</x:v>
      </x:c>
      <x:c r="H6058" s="16" t="str">
        <x:v>Excluded</x:v>
      </x:c>
      <x:c r="I6058" s="16" t="str">
        <x:v>Missing email</x:v>
      </x:c>
    </x:row>
    <x:row r="6059">
      <x:c r="A6059" s="16" t="n">
        <x:v>6056</x:v>
      </x:c>
      <x:c r="B6059" s="16" t="str">
        <x:v>Saidi Agent AGP</x:v>
      </x:c>
      <x:c r="C6059" s="16" t="str">
        <x:v>saidy@netboxs.com</x:v>
      </x:c>
      <x:c r="D6059" s="16" t="str">
        <x:v>saidy@netboxs.com</x:v>
      </x:c>
      <x:c r="E6059" s="16" t="str">
        <x:v>* myContacts</x:v>
      </x:c>
      <x:c r="F6059" s="16" t="str">
        <x:v>017-238 8058</x:v>
      </x:c>
      <x:c r="G6059" s="16" t="str">
        <x:v>+60172388058</x:v>
      </x:c>
      <x:c r="H6059" s="16" t="str">
        <x:v>Eligible</x:v>
      </x:c>
      <x:c r="I6059" s="16" t="str"/>
    </x:row>
    <x:row r="6060">
      <x:c r="A6060" s="16" t="n">
        <x:v>6057</x:v>
      </x:c>
      <x:c r="B6060" s="16" t="str">
        <x:v>Saif</x:v>
      </x:c>
      <x:c r="C6060" s="16" t="str"/>
      <x:c r="D6060" s="16" t="str"/>
      <x:c r="E6060" s="16" t="str">
        <x:v>* myContacts</x:v>
      </x:c>
      <x:c r="F6060" s="16" t="str">
        <x:v>+601125218110</x:v>
      </x:c>
      <x:c r="G6060" s="16" t="str">
        <x:v>+601125218110</x:v>
      </x:c>
      <x:c r="H6060" s="16" t="str">
        <x:v>Excluded</x:v>
      </x:c>
      <x:c r="I6060" s="16" t="str">
        <x:v>Missing email</x:v>
      </x:c>
    </x:row>
    <x:row r="6061">
      <x:c r="A6061" s="16" t="n">
        <x:v>6058</x:v>
      </x:c>
      <x:c r="B6061" s="16" t="str">
        <x:v>saifuddin creative print baju</x:v>
      </x:c>
      <x:c r="C6061" s="16" t="str"/>
      <x:c r="D6061" s="16" t="str"/>
      <x:c r="E6061" s="16" t="str">
        <x:v>* myContacts</x:v>
      </x:c>
      <x:c r="F6061" s="16" t="str">
        <x:v>+60 10-911 7662 | +60109117662</x:v>
      </x:c>
      <x:c r="G6061" s="16" t="str">
        <x:v>+60109117662 | +60109117662</x:v>
      </x:c>
      <x:c r="H6061" s="16" t="str">
        <x:v>Excluded</x:v>
      </x:c>
      <x:c r="I6061" s="16" t="str">
        <x:v>Missing email</x:v>
      </x:c>
    </x:row>
    <x:row r="6062">
      <x:c r="A6062" s="16" t="n">
        <x:v>6059</x:v>
      </x:c>
      <x:c r="B6062" s="16" t="str">
        <x:v>Saiful Azwan</x:v>
      </x:c>
      <x:c r="C6062" s="16" t="str"/>
      <x:c r="D6062" s="16" t="str"/>
      <x:c r="E6062" s="16" t="str">
        <x:v>* myContacts</x:v>
      </x:c>
      <x:c r="F6062" s="16" t="str">
        <x:v>+60192812765</x:v>
      </x:c>
      <x:c r="G6062" s="16" t="str">
        <x:v>+60192812765</x:v>
      </x:c>
      <x:c r="H6062" s="16" t="str">
        <x:v>Excluded</x:v>
      </x:c>
      <x:c r="I6062" s="16" t="str">
        <x:v>Missing email</x:v>
      </x:c>
    </x:row>
    <x:row r="6063">
      <x:c r="A6063" s="16" t="n">
        <x:v>6060</x:v>
      </x:c>
      <x:c r="B6063" s="16" t="str">
        <x:v>Saiful Bahari</x:v>
      </x:c>
      <x:c r="C6063" s="16" t="str"/>
      <x:c r="D6063" s="16" t="str"/>
      <x:c r="E6063" s="16" t="str">
        <x:v>* myContacts</x:v>
      </x:c>
      <x:c r="F6063" s="16" t="str">
        <x:v>+60102925150</x:v>
      </x:c>
      <x:c r="G6063" s="16" t="str">
        <x:v>+60102925150</x:v>
      </x:c>
      <x:c r="H6063" s="16" t="str">
        <x:v>Excluded</x:v>
      </x:c>
      <x:c r="I6063" s="16" t="str">
        <x:v>Missing email</x:v>
      </x:c>
    </x:row>
    <x:row r="6064">
      <x:c r="A6064" s="16" t="n">
        <x:v>6061</x:v>
      </x:c>
      <x:c r="B6064" s="16" t="str">
        <x:v>Saiful Hakimin</x:v>
      </x:c>
      <x:c r="C6064" s="16" t="str"/>
      <x:c r="D6064" s="16" t="str"/>
      <x:c r="E6064" s="16" t="str">
        <x:v>* myContacts</x:v>
      </x:c>
      <x:c r="F6064" s="16" t="str">
        <x:v>+60148173444</x:v>
      </x:c>
      <x:c r="G6064" s="16" t="str">
        <x:v>+60148173444</x:v>
      </x:c>
      <x:c r="H6064" s="16" t="str">
        <x:v>Excluded</x:v>
      </x:c>
      <x:c r="I6064" s="16" t="str">
        <x:v>Missing email</x:v>
      </x:c>
    </x:row>
    <x:row r="6065">
      <x:c r="A6065" s="16" t="n">
        <x:v>6062</x:v>
      </x:c>
      <x:c r="B6065" s="16" t="str">
        <x:v>Saiful Nilai Harta</x:v>
      </x:c>
      <x:c r="C6065" s="16" t="str"/>
      <x:c r="D6065" s="16" t="str"/>
      <x:c r="E6065" s="16" t="str">
        <x:v>* myContacts</x:v>
      </x:c>
      <x:c r="F6065" s="16" t="str">
        <x:v>+60 12-369 8910 | +60123698910</x:v>
      </x:c>
      <x:c r="G6065" s="16" t="str">
        <x:v>+60123698910 | +60123698910</x:v>
      </x:c>
      <x:c r="H6065" s="16" t="str">
        <x:v>Excluded</x:v>
      </x:c>
      <x:c r="I6065" s="16" t="str">
        <x:v>Missing email</x:v>
      </x:c>
    </x:row>
    <x:row r="6066">
      <x:c r="A6066" s="16" t="n">
        <x:v>6063</x:v>
      </x:c>
      <x:c r="B6066" s="16" t="str">
        <x:v>saiful perahu bestari jaya</x:v>
      </x:c>
      <x:c r="C6066" s="16" t="str"/>
      <x:c r="D6066" s="16" t="str"/>
      <x:c r="E6066" s="16" t="str">
        <x:v>* myContacts</x:v>
      </x:c>
      <x:c r="F6066" s="16" t="str">
        <x:v>+601136859701</x:v>
      </x:c>
      <x:c r="G6066" s="16" t="str">
        <x:v>+601136859701</x:v>
      </x:c>
      <x:c r="H6066" s="16" t="str">
        <x:v>Excluded</x:v>
      </x:c>
      <x:c r="I6066" s="16" t="str">
        <x:v>Missing email</x:v>
      </x:c>
    </x:row>
    <x:row r="6067">
      <x:c r="A6067" s="16" t="n">
        <x:v>6064</x:v>
      </x:c>
      <x:c r="B6067" s="16" t="str">
        <x:v>Saiful Ridzuan Latiff</x:v>
      </x:c>
      <x:c r="C6067" s="16" t="str"/>
      <x:c r="D6067" s="16" t="str"/>
      <x:c r="E6067" s="16" t="str">
        <x:v>* myContacts</x:v>
      </x:c>
      <x:c r="F6067" s="16" t="str">
        <x:v>+60175569146</x:v>
      </x:c>
      <x:c r="G6067" s="16" t="str">
        <x:v>+60175569146</x:v>
      </x:c>
      <x:c r="H6067" s="16" t="str">
        <x:v>Excluded</x:v>
      </x:c>
      <x:c r="I6067" s="16" t="str">
        <x:v>Missing email</x:v>
      </x:c>
    </x:row>
    <x:row r="6068">
      <x:c r="A6068" s="16" t="n">
        <x:v>6065</x:v>
      </x:c>
      <x:c r="B6068" s="16" t="str">
        <x:v>Saiful Trainer Energizer</x:v>
      </x:c>
      <x:c r="C6068" s="16" t="str"/>
      <x:c r="D6068" s="16" t="str"/>
      <x:c r="E6068" s="16" t="str">
        <x:v>* myContacts</x:v>
      </x:c>
      <x:c r="F6068" s="16" t="str">
        <x:v>0177615885 | +60177615885</x:v>
      </x:c>
      <x:c r="G6068" s="16" t="str">
        <x:v>+60177615885 | +60177615885</x:v>
      </x:c>
      <x:c r="H6068" s="16" t="str">
        <x:v>Excluded</x:v>
      </x:c>
      <x:c r="I6068" s="16" t="str">
        <x:v>Missing email</x:v>
      </x:c>
    </x:row>
    <x:row r="6069">
      <x:c r="A6069" s="16" t="n">
        <x:v>6066</x:v>
      </x:c>
      <x:c r="B6069" s="16" t="str">
        <x:v>Saiful Utara Sales</x:v>
      </x:c>
      <x:c r="C6069" s="16" t="str"/>
      <x:c r="D6069" s="16" t="str"/>
      <x:c r="E6069" s="16" t="str">
        <x:v>* myContacts</x:v>
      </x:c>
      <x:c r="F6069" s="16" t="str">
        <x:v>+60184641600</x:v>
      </x:c>
      <x:c r="G6069" s="16" t="str">
        <x:v>+60184641600</x:v>
      </x:c>
      <x:c r="H6069" s="16" t="str">
        <x:v>Excluded</x:v>
      </x:c>
      <x:c r="I6069" s="16" t="str">
        <x:v>Missing email</x:v>
      </x:c>
    </x:row>
    <x:row r="6070">
      <x:c r="A6070" s="16" t="n">
        <x:v>6067</x:v>
      </x:c>
      <x:c r="B6070" s="16" t="str">
        <x:v>Saiful Zinam Baharudin</x:v>
      </x:c>
      <x:c r="C6070" s="16" t="str"/>
      <x:c r="D6070" s="16" t="str"/>
      <x:c r="E6070" s="16" t="str">
        <x:v>* myContacts</x:v>
      </x:c>
      <x:c r="F6070" s="16" t="str">
        <x:v>+60123892377</x:v>
      </x:c>
      <x:c r="G6070" s="16" t="str">
        <x:v>+60123892377</x:v>
      </x:c>
      <x:c r="H6070" s="16" t="str">
        <x:v>Excluded</x:v>
      </x:c>
      <x:c r="I6070" s="16" t="str">
        <x:v>Missing email</x:v>
      </x:c>
    </x:row>
    <x:row r="6071">
      <x:c r="A6071" s="16" t="n">
        <x:v>6068</x:v>
      </x:c>
      <x:c r="B6071" s="16" t="str">
        <x:v>Saifullah Ali Jobran Ti</x:v>
      </x:c>
      <x:c r="C6071" s="16" t="str"/>
      <x:c r="D6071" s="16" t="str"/>
      <x:c r="E6071" s="16" t="str">
        <x:v>* myContacts</x:v>
      </x:c>
      <x:c r="F6071" s="16" t="str">
        <x:v>+60 11-5241 9198 | +601152419198</x:v>
      </x:c>
      <x:c r="G6071" s="16" t="str">
        <x:v>+601152419198 | +601152419198</x:v>
      </x:c>
      <x:c r="H6071" s="16" t="str">
        <x:v>Excluded</x:v>
      </x:c>
      <x:c r="I6071" s="16" t="str">
        <x:v>Missing email</x:v>
      </x:c>
    </x:row>
    <x:row r="6072">
      <x:c r="A6072" s="16" t="n">
        <x:v>6069</x:v>
      </x:c>
      <x:c r="B6072" s="16" t="str">
        <x:v>Sajidah Nurazmatun Zaimi</x:v>
      </x:c>
      <x:c r="C6072" s="16" t="str"/>
      <x:c r="D6072" s="16" t="str"/>
      <x:c r="E6072" s="16" t="str">
        <x:v>* myContacts</x:v>
      </x:c>
      <x:c r="F6072" s="16" t="str">
        <x:v>+60139594276</x:v>
      </x:c>
      <x:c r="G6072" s="16" t="str">
        <x:v>+60139594276</x:v>
      </x:c>
      <x:c r="H6072" s="16" t="str">
        <x:v>Excluded</x:v>
      </x:c>
      <x:c r="I6072" s="16" t="str">
        <x:v>Missing email</x:v>
      </x:c>
    </x:row>
    <x:row r="6073">
      <x:c r="A6073" s="16" t="n">
        <x:v>6070</x:v>
      </x:c>
      <x:c r="B6073" s="16" t="str">
        <x:v>Sal Salfiez</x:v>
      </x:c>
      <x:c r="C6073" s="16" t="str"/>
      <x:c r="D6073" s="16" t="str"/>
      <x:c r="E6073" s="16" t="str">
        <x:v>* myContacts</x:v>
      </x:c>
      <x:c r="F6073" s="16" t="str">
        <x:v>+60134066873</x:v>
      </x:c>
      <x:c r="G6073" s="16" t="str">
        <x:v>+60134066873</x:v>
      </x:c>
      <x:c r="H6073" s="16" t="str">
        <x:v>Excluded</x:v>
      </x:c>
      <x:c r="I6073" s="16" t="str">
        <x:v>Missing email</x:v>
      </x:c>
    </x:row>
    <x:row r="6074">
      <x:c r="A6074" s="16" t="n">
        <x:v>6071</x:v>
      </x:c>
      <x:c r="B6074" s="16" t="str">
        <x:v>Salehin Said</x:v>
      </x:c>
      <x:c r="C6074" s="16" t="str"/>
      <x:c r="D6074" s="16" t="str"/>
      <x:c r="E6074" s="16" t="str">
        <x:v>* myContacts</x:v>
      </x:c>
      <x:c r="F6074" s="16" t="str">
        <x:v>+601133536685</x:v>
      </x:c>
      <x:c r="G6074" s="16" t="str">
        <x:v>+601133536685</x:v>
      </x:c>
      <x:c r="H6074" s="16" t="str">
        <x:v>Excluded</x:v>
      </x:c>
      <x:c r="I6074" s="16" t="str">
        <x:v>Missing email</x:v>
      </x:c>
    </x:row>
    <x:row r="6075">
      <x:c r="A6075" s="16" t="n">
        <x:v>6072</x:v>
      </x:c>
      <x:c r="B6075" s="16" t="str">
        <x:v>Salihah Sally</x:v>
      </x:c>
      <x:c r="C6075" s="16" t="str"/>
      <x:c r="D6075" s="16" t="str"/>
      <x:c r="E6075" s="16" t="str">
        <x:v>* myContacts</x:v>
      </x:c>
      <x:c r="F6075" s="16" t="str">
        <x:v>+601124329244</x:v>
      </x:c>
      <x:c r="G6075" s="16" t="str">
        <x:v>+601124329244</x:v>
      </x:c>
      <x:c r="H6075" s="16" t="str">
        <x:v>Excluded</x:v>
      </x:c>
      <x:c r="I6075" s="16" t="str">
        <x:v>Missing email</x:v>
      </x:c>
    </x:row>
    <x:row r="6076">
      <x:c r="A6076" s="16" t="n">
        <x:v>6073</x:v>
      </x:c>
      <x:c r="B6076" s="16" t="str">
        <x:v>SALIHIN ABANG</x:v>
      </x:c>
      <x:c r="C6076" s="16" t="str"/>
      <x:c r="D6076" s="16" t="str"/>
      <x:c r="E6076" s="16" t="str">
        <x:v>* myContacts</x:v>
      </x:c>
      <x:c r="F6076" s="16" t="str">
        <x:v>+60174767843</x:v>
      </x:c>
      <x:c r="G6076" s="16" t="str">
        <x:v>+60174767843</x:v>
      </x:c>
      <x:c r="H6076" s="16" t="str">
        <x:v>Excluded</x:v>
      </x:c>
      <x:c r="I6076" s="16" t="str">
        <x:v>Missing email</x:v>
      </x:c>
    </x:row>
    <x:row r="6077">
      <x:c r="A6077" s="16" t="n">
        <x:v>6074</x:v>
      </x:c>
      <x:c r="B6077" s="16" t="str">
        <x:v>Dr SALIHIN ABANG</x:v>
      </x:c>
      <x:c r="C6077" s="16" t="str"/>
      <x:c r="D6077" s="16" t="str"/>
      <x:c r="E6077" s="16" t="str">
        <x:v>* myContacts</x:v>
      </x:c>
      <x:c r="F6077" s="16" t="str">
        <x:v>+60 17-476 7843</x:v>
      </x:c>
      <x:c r="G6077" s="16" t="str">
        <x:v>+60174767843</x:v>
      </x:c>
      <x:c r="H6077" s="16" t="str">
        <x:v>Excluded</x:v>
      </x:c>
      <x:c r="I6077" s="16" t="str">
        <x:v>Missing email</x:v>
      </x:c>
    </x:row>
    <x:row r="6078">
      <x:c r="A6078" s="16" t="n">
        <x:v>6075</x:v>
      </x:c>
      <x:c r="B6078" s="16" t="str">
        <x:v>Salihin Fx</x:v>
      </x:c>
      <x:c r="C6078" s="16" t="str"/>
      <x:c r="D6078" s="16" t="str"/>
      <x:c r="E6078" s="16" t="str">
        <x:v>* myContacts</x:v>
      </x:c>
      <x:c r="F6078" s="16" t="str">
        <x:v>012-443 2756 | +60124432756</x:v>
      </x:c>
      <x:c r="G6078" s="16" t="str">
        <x:v>+60124432756 | +60124432756</x:v>
      </x:c>
      <x:c r="H6078" s="16" t="str">
        <x:v>Excluded</x:v>
      </x:c>
      <x:c r="I6078" s="16" t="str">
        <x:v>Missing email</x:v>
      </x:c>
    </x:row>
    <x:row r="6079">
      <x:c r="A6079" s="16" t="n">
        <x:v>6076</x:v>
      </x:c>
      <x:c r="B6079" s="16" t="str">
        <x:v>Salihin Mie</x:v>
      </x:c>
      <x:c r="C6079" s="16" t="str"/>
      <x:c r="D6079" s="16" t="str"/>
      <x:c r="E6079" s="16" t="str">
        <x:v>* myContacts</x:v>
      </x:c>
      <x:c r="F6079" s="16" t="str">
        <x:v>+60174613230</x:v>
      </x:c>
      <x:c r="G6079" s="16" t="str">
        <x:v>+60174613230</x:v>
      </x:c>
      <x:c r="H6079" s="16" t="str">
        <x:v>Excluded</x:v>
      </x:c>
      <x:c r="I6079" s="16" t="str">
        <x:v>Missing email</x:v>
      </x:c>
    </x:row>
    <x:row r="6080">
      <x:c r="A6080" s="16" t="n">
        <x:v>6077</x:v>
      </x:c>
      <x:c r="B6080" s="16" t="str">
        <x:v>Salihinroslan Kecik Gile</x:v>
      </x:c>
      <x:c r="C6080" s="16" t="str"/>
      <x:c r="D6080" s="16" t="str"/>
      <x:c r="E6080" s="16" t="str">
        <x:v>* myContacts</x:v>
      </x:c>
      <x:c r="F6080" s="16" t="str">
        <x:v>+60172362536</x:v>
      </x:c>
      <x:c r="G6080" s="16" t="str">
        <x:v>+60172362536</x:v>
      </x:c>
      <x:c r="H6080" s="16" t="str">
        <x:v>Excluded</x:v>
      </x:c>
      <x:c r="I6080" s="16" t="str">
        <x:v>Missing email</x:v>
      </x:c>
    </x:row>
    <x:row r="6081">
      <x:c r="A6081" s="16" t="n">
        <x:v>6078</x:v>
      </x:c>
      <x:c r="B6081" s="16" t="str">
        <x:v>Salim Thayubkhan</x:v>
      </x:c>
      <x:c r="C6081" s="16" t="str"/>
      <x:c r="D6081" s="16" t="str"/>
      <x:c r="E6081" s="16" t="str">
        <x:v>* myContacts</x:v>
      </x:c>
      <x:c r="F6081" s="16" t="str">
        <x:v>+60126951284</x:v>
      </x:c>
      <x:c r="G6081" s="16" t="str">
        <x:v>+60126951284</x:v>
      </x:c>
      <x:c r="H6081" s="16" t="str">
        <x:v>Excluded</x:v>
      </x:c>
      <x:c r="I6081" s="16" t="str">
        <x:v>Missing email</x:v>
      </x:c>
    </x:row>
    <x:row r="6082">
      <x:c r="A6082" s="16" t="n">
        <x:v>6079</x:v>
      </x:c>
      <x:c r="B6082" s="16" t="str">
        <x:v>Salina BM Sec6</x:v>
      </x:c>
      <x:c r="C6082" s="16" t="str"/>
      <x:c r="D6082" s="16" t="str"/>
      <x:c r="E6082" s="16" t="str">
        <x:v>* myContacts</x:v>
      </x:c>
      <x:c r="F6082" s="16" t="str">
        <x:v>+60122832267</x:v>
      </x:c>
      <x:c r="G6082" s="16" t="str">
        <x:v>+60122832267</x:v>
      </x:c>
      <x:c r="H6082" s="16" t="str">
        <x:v>Excluded</x:v>
      </x:c>
      <x:c r="I6082" s="16" t="str">
        <x:v>Missing email</x:v>
      </x:c>
    </x:row>
    <x:row r="6083">
      <x:c r="A6083" s="16" t="n">
        <x:v>6080</x:v>
      </x:c>
      <x:c r="B6083" s="16" t="str">
        <x:v>Salina Sari AGP</x:v>
      </x:c>
      <x:c r="C6083" s="16" t="str"/>
      <x:c r="D6083" s="16" t="str"/>
      <x:c r="E6083" s="16" t="str">
        <x:v>* myContacts</x:v>
      </x:c>
      <x:c r="F6083" s="16" t="str">
        <x:v>+60 19-266 7670 | +60192667670</x:v>
      </x:c>
      <x:c r="G6083" s="16" t="str">
        <x:v>+60192667670 | +60192667670</x:v>
      </x:c>
      <x:c r="H6083" s="16" t="str">
        <x:v>Excluded</x:v>
      </x:c>
      <x:c r="I6083" s="16" t="str">
        <x:v>Missing email</x:v>
      </x:c>
    </x:row>
    <x:row r="6084">
      <x:c r="A6084" s="16" t="n">
        <x:v>6081</x:v>
      </x:c>
      <x:c r="B6084" s="16" t="str">
        <x:v>Salis Ong AGP</x:v>
      </x:c>
      <x:c r="C6084" s="16" t="str"/>
      <x:c r="D6084" s="16" t="str"/>
      <x:c r="E6084" s="16" t="str">
        <x:v>* myContacts</x:v>
      </x:c>
      <x:c r="F6084" s="16" t="str">
        <x:v>0167813251 | +60167813251</x:v>
      </x:c>
      <x:c r="G6084" s="16" t="str">
        <x:v>+60167813251 | +60167813251</x:v>
      </x:c>
      <x:c r="H6084" s="16" t="str">
        <x:v>Excluded</x:v>
      </x:c>
      <x:c r="I6084" s="16" t="str">
        <x:v>Missing email</x:v>
      </x:c>
    </x:row>
    <x:row r="6085">
      <x:c r="A6085" s="16" t="n">
        <x:v>6082</x:v>
      </x:c>
      <x:c r="B6085" s="16" t="str">
        <x:v>Salizan Izan</x:v>
      </x:c>
      <x:c r="C6085" s="16" t="str"/>
      <x:c r="D6085" s="16" t="str"/>
      <x:c r="E6085" s="16" t="str">
        <x:v>* myContacts</x:v>
      </x:c>
      <x:c r="F6085" s="16" t="str">
        <x:v>+60169342194</x:v>
      </x:c>
      <x:c r="G6085" s="16" t="str">
        <x:v>+60169342194</x:v>
      </x:c>
      <x:c r="H6085" s="16" t="str">
        <x:v>Excluded</x:v>
      </x:c>
      <x:c r="I6085" s="16" t="str">
        <x:v>Missing email</x:v>
      </x:c>
    </x:row>
    <x:row r="6086">
      <x:c r="A6086" s="16" t="n">
        <x:v>6083</x:v>
      </x:c>
      <x:c r="B6086" s="16" t="str">
        <x:v>mr saljuk</x:v>
      </x:c>
      <x:c r="C6086" s="16" t="str"/>
      <x:c r="D6086" s="16" t="str"/>
      <x:c r="E6086" s="16" t="str">
        <x:v>* myContacts</x:v>
      </x:c>
      <x:c r="F6086" s="16" t="str">
        <x:v>+60 12-360 7433</x:v>
      </x:c>
      <x:c r="G6086" s="16" t="str">
        <x:v>+60123607433</x:v>
      </x:c>
      <x:c r="H6086" s="16" t="str">
        <x:v>Excluded</x:v>
      </x:c>
      <x:c r="I6086" s="16" t="str">
        <x:v>Missing email</x:v>
      </x:c>
    </x:row>
    <x:row r="6087">
      <x:c r="A6087" s="16" t="n">
        <x:v>6084</x:v>
      </x:c>
      <x:c r="B6087" s="16" t="str">
        <x:v>Sally Uitm</x:v>
      </x:c>
      <x:c r="C6087" s="16" t="str"/>
      <x:c r="D6087" s="16" t="str"/>
      <x:c r="E6087" s="16" t="str">
        <x:v>* myContacts</x:v>
      </x:c>
      <x:c r="F6087" s="16" t="str">
        <x:v>0122639073 | +60122639073</x:v>
      </x:c>
      <x:c r="G6087" s="16" t="str">
        <x:v>+60122639073 | +60122639073</x:v>
      </x:c>
      <x:c r="H6087" s="16" t="str">
        <x:v>Excluded</x:v>
      </x:c>
      <x:c r="I6087" s="16" t="str">
        <x:v>Missing email</x:v>
      </x:c>
    </x:row>
    <x:row r="6088">
      <x:c r="A6088" s="16" t="n">
        <x:v>6085</x:v>
      </x:c>
      <x:c r="B6088" s="16" t="str">
        <x:v>Salmah HRDF</x:v>
      </x:c>
      <x:c r="C6088" s="16" t="str"/>
      <x:c r="D6088" s="16" t="str"/>
      <x:c r="E6088" s="16" t="str">
        <x:v>* myContacts</x:v>
      </x:c>
      <x:c r="F6088" s="16" t="str">
        <x:v>+60 12-479 7073 | +60124797073</x:v>
      </x:c>
      <x:c r="G6088" s="16" t="str">
        <x:v>+60124797073 | +60124797073</x:v>
      </x:c>
      <x:c r="H6088" s="16" t="str">
        <x:v>Excluded</x:v>
      </x:c>
      <x:c r="I6088" s="16" t="str">
        <x:v>Missing email</x:v>
      </x:c>
    </x:row>
    <x:row r="6089">
      <x:c r="A6089" s="16" t="n">
        <x:v>6086</x:v>
      </x:c>
      <x:c r="B6089" s="16" t="str">
        <x:v>Salman Khairul Hazmi</x:v>
      </x:c>
      <x:c r="C6089" s="16" t="str"/>
      <x:c r="D6089" s="16" t="str"/>
      <x:c r="E6089" s="16" t="str">
        <x:v>* myContacts</x:v>
      </x:c>
      <x:c r="F6089" s="16" t="str">
        <x:v>+601116746715</x:v>
      </x:c>
      <x:c r="G6089" s="16" t="str">
        <x:v>+601116746715</x:v>
      </x:c>
      <x:c r="H6089" s="16" t="str">
        <x:v>Excluded</x:v>
      </x:c>
      <x:c r="I6089" s="16" t="str">
        <x:v>Missing email</x:v>
      </x:c>
    </x:row>
    <x:row r="6090">
      <x:c r="A6090" s="16" t="n">
        <x:v>6087</x:v>
      </x:c>
      <x:c r="B6090" s="16" t="str">
        <x:v>Salman Sahya</x:v>
      </x:c>
      <x:c r="C6090" s="16" t="str"/>
      <x:c r="D6090" s="16" t="str"/>
      <x:c r="E6090" s="16" t="str">
        <x:v>* myContacts</x:v>
      </x:c>
      <x:c r="F6090" s="16" t="str">
        <x:v>+60 18-229 7057 | +60182297057</x:v>
      </x:c>
      <x:c r="G6090" s="16" t="str">
        <x:v>+60182297057 | +60182297057</x:v>
      </x:c>
      <x:c r="H6090" s="16" t="str">
        <x:v>Excluded</x:v>
      </x:c>
      <x:c r="I6090" s="16" t="str">
        <x:v>Missing email</x:v>
      </x:c>
    </x:row>
    <x:row r="6091">
      <x:c r="A6091" s="16" t="n">
        <x:v>6088</x:v>
      </x:c>
      <x:c r="B6091" s="16" t="str">
        <x:v>Salmany Akir Trainer</x:v>
      </x:c>
      <x:c r="C6091" s="16" t="str"/>
      <x:c r="D6091" s="16" t="str"/>
      <x:c r="E6091" s="16" t="str">
        <x:v>Trainer | * myContacts</x:v>
      </x:c>
      <x:c r="F6091" s="16" t="str">
        <x:v>+60 13-355 5045 | +60133555045</x:v>
      </x:c>
      <x:c r="G6091" s="16" t="str">
        <x:v>+60133555045 | +60133555045</x:v>
      </x:c>
      <x:c r="H6091" s="16" t="str">
        <x:v>Excluded</x:v>
      </x:c>
      <x:c r="I6091" s="16" t="str">
        <x:v>Missing email</x:v>
      </x:c>
    </x:row>
    <x:row r="6092">
      <x:c r="A6092" s="16" t="n">
        <x:v>6089</x:v>
      </x:c>
      <x:c r="B6092" s="16" t="str">
        <x:v>SaLmiah Ghani</x:v>
      </x:c>
      <x:c r="C6092" s="16" t="str"/>
      <x:c r="D6092" s="16" t="str"/>
      <x:c r="E6092" s="16" t="str">
        <x:v>* myContacts</x:v>
      </x:c>
      <x:c r="F6092" s="16" t="str">
        <x:v>+60192388946</x:v>
      </x:c>
      <x:c r="G6092" s="16" t="str">
        <x:v>+60192388946</x:v>
      </x:c>
      <x:c r="H6092" s="16" t="str">
        <x:v>Excluded</x:v>
      </x:c>
      <x:c r="I6092" s="16" t="str">
        <x:v>Missing email</x:v>
      </x:c>
    </x:row>
    <x:row r="6093">
      <x:c r="A6093" s="16" t="n">
        <x:v>6090</x:v>
      </x:c>
      <x:c r="B6093" s="16" t="str">
        <x:v>Salmieah Mohamad AGP</x:v>
      </x:c>
      <x:c r="C6093" s="16" t="str"/>
      <x:c r="D6093" s="16" t="str"/>
      <x:c r="E6093" s="16" t="str">
        <x:v>* myContacts</x:v>
      </x:c>
      <x:c r="F6093" s="16" t="str">
        <x:v>+60 19-934 5700 | +60199345700</x:v>
      </x:c>
      <x:c r="G6093" s="16" t="str">
        <x:v>+60199345700 | +60199345700</x:v>
      </x:c>
      <x:c r="H6093" s="16" t="str">
        <x:v>Excluded</x:v>
      </x:c>
      <x:c r="I6093" s="16" t="str">
        <x:v>Missing email</x:v>
      </x:c>
    </x:row>
    <x:row r="6094">
      <x:c r="A6094" s="16" t="n">
        <x:v>6091</x:v>
      </x:c>
      <x:c r="B6094" s="16" t="str">
        <x:v>Salvin Michael</x:v>
      </x:c>
      <x:c r="C6094" s="16" t="str"/>
      <x:c r="D6094" s="16" t="str"/>
      <x:c r="E6094" s="16" t="str">
        <x:v>* myContacts</x:v>
      </x:c>
      <x:c r="F6094" s="16" t="str">
        <x:v>+60173765290</x:v>
      </x:c>
      <x:c r="G6094" s="16" t="str">
        <x:v>+60173765290</x:v>
      </x:c>
      <x:c r="H6094" s="16" t="str">
        <x:v>Excluded</x:v>
      </x:c>
      <x:c r="I6094" s="16" t="str">
        <x:v>Missing email</x:v>
      </x:c>
    </x:row>
    <x:row r="6095">
      <x:c r="A6095" s="16" t="n">
        <x:v>6092</x:v>
      </x:c>
      <x:c r="B6095" s="16" t="str">
        <x:v>Salwa Masdan</x:v>
      </x:c>
      <x:c r="C6095" s="16" t="str"/>
      <x:c r="D6095" s="16" t="str"/>
      <x:c r="E6095" s="16" t="str">
        <x:v>* myContacts</x:v>
      </x:c>
      <x:c r="F6095" s="16" t="str">
        <x:v>+60162972050</x:v>
      </x:c>
      <x:c r="G6095" s="16" t="str">
        <x:v>+60162972050</x:v>
      </x:c>
      <x:c r="H6095" s="16" t="str">
        <x:v>Excluded</x:v>
      </x:c>
      <x:c r="I6095" s="16" t="str">
        <x:v>Missing email</x:v>
      </x:c>
    </x:row>
    <x:row r="6096">
      <x:c r="A6096" s="16" t="n">
        <x:v>6093</x:v>
      </x:c>
      <x:c r="B6096" s="16" t="str">
        <x:v>Salwa Mdec IM</x:v>
      </x:c>
      <x:c r="C6096" s="16" t="str"/>
      <x:c r="D6096" s="16" t="str"/>
      <x:c r="E6096" s="16" t="str">
        <x:v>* myContacts</x:v>
      </x:c>
      <x:c r="F6096" s="16" t="str">
        <x:v>+60195558027</x:v>
      </x:c>
      <x:c r="G6096" s="16" t="str">
        <x:v>+60195558027</x:v>
      </x:c>
      <x:c r="H6096" s="16" t="str">
        <x:v>Excluded</x:v>
      </x:c>
      <x:c r="I6096" s="16" t="str">
        <x:v>Missing email</x:v>
      </x:c>
    </x:row>
    <x:row r="6097">
      <x:c r="A6097" s="16" t="n">
        <x:v>6094</x:v>
      </x:c>
      <x:c r="B6097" s="16" t="str">
        <x:v>Sam Sen</x:v>
      </x:c>
      <x:c r="C6097" s="16" t="str"/>
      <x:c r="D6097" s="16" t="str"/>
      <x:c r="E6097" s="16" t="str">
        <x:v>* myContacts</x:v>
      </x:c>
      <x:c r="F6097" s="16" t="str">
        <x:v>+60197989181</x:v>
      </x:c>
      <x:c r="G6097" s="16" t="str">
        <x:v>+60197989181</x:v>
      </x:c>
      <x:c r="H6097" s="16" t="str">
        <x:v>Excluded</x:v>
      </x:c>
      <x:c r="I6097" s="16" t="str">
        <x:v>Missing email</x:v>
      </x:c>
    </x:row>
    <x:row r="6098">
      <x:c r="A6098" s="16" t="n">
        <x:v>6095</x:v>
      </x:c>
      <x:c r="B6098" s="16" t="str">
        <x:v>Samad Rugiman AGP</x:v>
      </x:c>
      <x:c r="C6098" s="16" t="str"/>
      <x:c r="D6098" s="16" t="str"/>
      <x:c r="E6098" s="16" t="str">
        <x:v>* myContacts</x:v>
      </x:c>
      <x:c r="F6098" s="16" t="str">
        <x:v>+60 19-656 4600 | +60196564600</x:v>
      </x:c>
      <x:c r="G6098" s="16" t="str">
        <x:v>+60196564600 | +60196564600</x:v>
      </x:c>
      <x:c r="H6098" s="16" t="str">
        <x:v>Excluded</x:v>
      </x:c>
      <x:c r="I6098" s="16" t="str">
        <x:v>Missing email</x:v>
      </x:c>
    </x:row>
    <x:row r="6099">
      <x:c r="A6099" s="16" t="n">
        <x:v>6096</x:v>
      </x:c>
      <x:c r="B6099" s="16" t="str">
        <x:v>Sambaleena Pasti Terangkat</x:v>
      </x:c>
      <x:c r="C6099" s="16" t="str"/>
      <x:c r="D6099" s="16" t="str"/>
      <x:c r="E6099" s="16" t="str">
        <x:v>* myContacts</x:v>
      </x:c>
      <x:c r="F6099" s="16" t="str">
        <x:v>+60 16-861 0567 | +60168610567</x:v>
      </x:c>
      <x:c r="G6099" s="16" t="str">
        <x:v>+60168610567 | +60168610567</x:v>
      </x:c>
      <x:c r="H6099" s="16" t="str">
        <x:v>Excluded</x:v>
      </x:c>
      <x:c r="I6099" s="16" t="str">
        <x:v>Missing email</x:v>
      </x:c>
    </x:row>
    <x:row r="6100">
      <x:c r="A6100" s="16" t="n">
        <x:v>6097</x:v>
      </x:c>
      <x:c r="B6100" s="16" t="str">
        <x:v>Samihah Ahmad</x:v>
      </x:c>
      <x:c r="C6100" s="16" t="str"/>
      <x:c r="D6100" s="16" t="str"/>
      <x:c r="E6100" s="16" t="str">
        <x:v>* myContacts</x:v>
      </x:c>
      <x:c r="F6100" s="16" t="str">
        <x:v>+601124204740</x:v>
      </x:c>
      <x:c r="G6100" s="16" t="str">
        <x:v>+601124204740</x:v>
      </x:c>
      <x:c r="H6100" s="16" t="str">
        <x:v>Excluded</x:v>
      </x:c>
      <x:c r="I6100" s="16" t="str">
        <x:v>Missing email</x:v>
      </x:c>
    </x:row>
    <x:row r="6101">
      <x:c r="A6101" s="16" t="n">
        <x:v>6098</x:v>
      </x:c>
      <x:c r="B6101" s="16" t="str">
        <x:v>Samsul Ariffin Muktar</x:v>
      </x:c>
      <x:c r="C6101" s="16" t="str"/>
      <x:c r="D6101" s="16" t="str"/>
      <x:c r="E6101" s="16" t="str">
        <x:v>* myContacts</x:v>
      </x:c>
      <x:c r="F6101" s="16" t="str">
        <x:v>+60183130477</x:v>
      </x:c>
      <x:c r="G6101" s="16" t="str">
        <x:v>+60183130477</x:v>
      </x:c>
      <x:c r="H6101" s="16" t="str">
        <x:v>Excluded</x:v>
      </x:c>
      <x:c r="I6101" s="16" t="str">
        <x:v>Missing email</x:v>
      </x:c>
    </x:row>
    <x:row r="6102">
      <x:c r="A6102" s="16" t="n">
        <x:v>6099</x:v>
      </x:c>
      <x:c r="B6102" s="16" t="str">
        <x:v>Samsul Mamu Kitchen</x:v>
      </x:c>
      <x:c r="C6102" s="16" t="str"/>
      <x:c r="D6102" s="16" t="str"/>
      <x:c r="E6102" s="16" t="str">
        <x:v>* myContacts</x:v>
      </x:c>
      <x:c r="F6102" s="16" t="str">
        <x:v>+60 14-365 7258 | +60143657258</x:v>
      </x:c>
      <x:c r="G6102" s="16" t="str">
        <x:v>+60143657258 | +60143657258</x:v>
      </x:c>
      <x:c r="H6102" s="16" t="str">
        <x:v>Excluded</x:v>
      </x:c>
      <x:c r="I6102" s="16" t="str">
        <x:v>Missing email</x:v>
      </x:c>
    </x:row>
    <x:row r="6103">
      <x:c r="A6103" s="16" t="n">
        <x:v>6100</x:v>
      </x:c>
      <x:c r="B6103" s="16" t="str">
        <x:v>Samsunazri Bin Md Noor</x:v>
      </x:c>
      <x:c r="C6103" s="16" t="str"/>
      <x:c r="D6103" s="16" t="str"/>
      <x:c r="E6103" s="16" t="str">
        <x:v>* myContacts</x:v>
      </x:c>
      <x:c r="F6103" s="16" t="str">
        <x:v>+60122805554</x:v>
      </x:c>
      <x:c r="G6103" s="16" t="str">
        <x:v>+60122805554</x:v>
      </x:c>
      <x:c r="H6103" s="16" t="str">
        <x:v>Excluded</x:v>
      </x:c>
      <x:c r="I6103" s="16" t="str">
        <x:v>Missing email</x:v>
      </x:c>
    </x:row>
    <x:row r="6104">
      <x:c r="A6104" s="16" t="n">
        <x:v>6101</x:v>
      </x:c>
      <x:c r="B6104" s="16" t="str">
        <x:v>Samsuri Iris utm</x:v>
      </x:c>
      <x:c r="C6104" s="16" t="str"/>
      <x:c r="D6104" s="16" t="str"/>
      <x:c r="E6104" s="16" t="str">
        <x:v>* myContacts</x:v>
      </x:c>
      <x:c r="F6104" s="16" t="str">
        <x:v>+60166602559</x:v>
      </x:c>
      <x:c r="G6104" s="16" t="str">
        <x:v>+60166602559</x:v>
      </x:c>
      <x:c r="H6104" s="16" t="str">
        <x:v>Excluded</x:v>
      </x:c>
      <x:c r="I6104" s="16" t="str">
        <x:v>Missing email</x:v>
      </x:c>
    </x:row>
    <x:row r="6105">
      <x:c r="A6105" s="16" t="n">
        <x:v>6102</x:v>
      </x:c>
      <x:c r="B6105" s="16" t="str">
        <x:v>Sandhu Sandhu</x:v>
      </x:c>
      <x:c r="C6105" s="16" t="str"/>
      <x:c r="D6105" s="16" t="str"/>
      <x:c r="E6105" s="16" t="str">
        <x:v>* myContacts</x:v>
      </x:c>
      <x:c r="F6105" s="16" t="str">
        <x:v>+60122261808</x:v>
      </x:c>
      <x:c r="G6105" s="16" t="str">
        <x:v>+60122261808</x:v>
      </x:c>
      <x:c r="H6105" s="16" t="str">
        <x:v>Excluded</x:v>
      </x:c>
      <x:c r="I6105" s="16" t="str">
        <x:v>Missing email</x:v>
      </x:c>
    </x:row>
    <x:row r="6106">
      <x:c r="A6106" s="16" t="n">
        <x:v>6103</x:v>
      </x:c>
      <x:c r="B6106" s="16" t="str">
        <x:v>Sandy Agasthi</x:v>
      </x:c>
      <x:c r="C6106" s="16" t="str"/>
      <x:c r="D6106" s="16" t="str"/>
      <x:c r="E6106" s="16" t="str">
        <x:v>* myContacts</x:v>
      </x:c>
      <x:c r="F6106" s="16" t="str">
        <x:v>+6285383888824</x:v>
      </x:c>
      <x:c r="G6106" s="16" t="str">
        <x:v>+6285383888824</x:v>
      </x:c>
      <x:c r="H6106" s="16" t="str">
        <x:v>Excluded</x:v>
      </x:c>
      <x:c r="I6106" s="16" t="str">
        <x:v>Missing email</x:v>
      </x:c>
    </x:row>
    <x:row r="6107">
      <x:c r="A6107" s="16" t="n">
        <x:v>6104</x:v>
      </x:c>
      <x:c r="B6107" s="16" t="str">
        <x:v>Sangkapuri Pro Ject</x:v>
      </x:c>
      <x:c r="C6107" s="16" t="str"/>
      <x:c r="D6107" s="16" t="str"/>
      <x:c r="E6107" s="16" t="str">
        <x:v>* myContacts</x:v>
      </x:c>
      <x:c r="F6107" s="16" t="str">
        <x:v>+601111505711</x:v>
      </x:c>
      <x:c r="G6107" s="16" t="str">
        <x:v>+601111505711</x:v>
      </x:c>
      <x:c r="H6107" s="16" t="str">
        <x:v>Excluded</x:v>
      </x:c>
      <x:c r="I6107" s="16" t="str">
        <x:v>Missing email</x:v>
      </x:c>
    </x:row>
    <x:row r="6108">
      <x:c r="A6108" s="16" t="n">
        <x:v>6105</x:v>
      </x:c>
      <x:c r="B6108" s="16" t="str">
        <x:v>Sanjay Khanna Chand</x:v>
      </x:c>
      <x:c r="C6108" s="16" t="str"/>
      <x:c r="D6108" s="16" t="str"/>
      <x:c r="E6108" s="16" t="str">
        <x:v>* myContacts</x:v>
      </x:c>
      <x:c r="F6108" s="16" t="str">
        <x:v>+60193594530</x:v>
      </x:c>
      <x:c r="G6108" s="16" t="str">
        <x:v>+60193594530</x:v>
      </x:c>
      <x:c r="H6108" s="16" t="str">
        <x:v>Excluded</x:v>
      </x:c>
      <x:c r="I6108" s="16" t="str">
        <x:v>Missing email</x:v>
      </x:c>
    </x:row>
    <x:row r="6109">
      <x:c r="A6109" s="16" t="n">
        <x:v>6106</x:v>
      </x:c>
      <x:c r="B6109" s="16" t="str">
        <x:v>Sany Skc</x:v>
      </x:c>
      <x:c r="C6109" s="16" t="str"/>
      <x:c r="D6109" s="16" t="str"/>
      <x:c r="E6109" s="16" t="str">
        <x:v>* myContacts</x:v>
      </x:c>
      <x:c r="F6109" s="16" t="str">
        <x:v>+60195418839</x:v>
      </x:c>
      <x:c r="G6109" s="16" t="str">
        <x:v>+60195418839</x:v>
      </x:c>
      <x:c r="H6109" s="16" t="str">
        <x:v>Excluded</x:v>
      </x:c>
      <x:c r="I6109" s="16" t="str">
        <x:v>Missing email</x:v>
      </x:c>
    </x:row>
    <x:row r="6110">
      <x:c r="A6110" s="16" t="n">
        <x:v>6107</x:v>
      </x:c>
      <x:c r="B6110" s="16" t="str">
        <x:v>Sapian Ramli</x:v>
      </x:c>
      <x:c r="C6110" s="16" t="str"/>
      <x:c r="D6110" s="16" t="str"/>
      <x:c r="E6110" s="16" t="str">
        <x:v>* myContacts</x:v>
      </x:c>
      <x:c r="F6110" s="16" t="str">
        <x:v>+601117808599</x:v>
      </x:c>
      <x:c r="G6110" s="16" t="str">
        <x:v>+601117808599</x:v>
      </x:c>
      <x:c r="H6110" s="16" t="str">
        <x:v>Excluded</x:v>
      </x:c>
      <x:c r="I6110" s="16" t="str">
        <x:v>Missing email</x:v>
      </x:c>
    </x:row>
    <x:row r="6111">
      <x:c r="A6111" s="16" t="n">
        <x:v>6108</x:v>
      </x:c>
      <x:c r="B6111" s="16" t="str">
        <x:v>Sapiei koop</x:v>
      </x:c>
      <x:c r="C6111" s="16" t="str">
        <x:v>sapieiabidin@gmail.com | sapiei@sapieiagency.com</x:v>
      </x:c>
      <x:c r="D6111" s="16" t="str">
        <x:v>sapieiabidin@gmail.com | sapiei@sapieiagency.com</x:v>
      </x:c>
      <x:c r="E6111" s="16" t="str">
        <x:v>* myContacts</x:v>
      </x:c>
      <x:c r="F6111" s="16" t="str">
        <x:v>+60 12-224 0042</x:v>
      </x:c>
      <x:c r="G6111" s="16" t="str">
        <x:v>+60122240042</x:v>
      </x:c>
      <x:c r="H6111" s="16" t="str">
        <x:v>Eligible</x:v>
      </x:c>
      <x:c r="I6111" s="16" t="str"/>
    </x:row>
    <x:row r="6112">
      <x:c r="A6112" s="16" t="n">
        <x:v>6109</x:v>
      </x:c>
      <x:c r="B6112" s="16" t="str">
        <x:v>Sapiei koop</x:v>
      </x:c>
      <x:c r="C6112" s="16" t="str">
        <x:v>sapieiabidin@gmail.com</x:v>
      </x:c>
      <x:c r="D6112" s="16" t="str">
        <x:v>sapieiabidin@gmail.com</x:v>
      </x:c>
      <x:c r="E6112" s="16" t="str">
        <x:v>* myContacts</x:v>
      </x:c>
      <x:c r="F6112" s="16" t="str">
        <x:v>+60122240042</x:v>
      </x:c>
      <x:c r="G6112" s="16" t="str">
        <x:v>+60122240042</x:v>
      </x:c>
      <x:c r="H6112" s="16" t="str">
        <x:v>Eligible</x:v>
      </x:c>
      <x:c r="I6112" s="16" t="str"/>
    </x:row>
    <x:row r="6113">
      <x:c r="A6113" s="16" t="n">
        <x:v>6110</x:v>
      </x:c>
      <x:c r="B6113" s="16" t="str">
        <x:v>Saptuyah AGP</x:v>
      </x:c>
      <x:c r="C6113" s="16" t="str"/>
      <x:c r="D6113" s="16" t="str"/>
      <x:c r="E6113" s="16" t="str">
        <x:v>* myContacts</x:v>
      </x:c>
      <x:c r="F6113" s="16" t="str">
        <x:v>+60 13-839 2414 | +60138392414</x:v>
      </x:c>
      <x:c r="G6113" s="16" t="str">
        <x:v>+60138392414 | +60138392414</x:v>
      </x:c>
      <x:c r="H6113" s="16" t="str">
        <x:v>Excluded</x:v>
      </x:c>
      <x:c r="I6113" s="16" t="str">
        <x:v>Missing email</x:v>
      </x:c>
    </x:row>
    <x:row r="6114">
      <x:c r="A6114" s="16" t="n">
        <x:v>6111</x:v>
      </x:c>
      <x:c r="B6114" s="16" t="str">
        <x:v>SAR ARAB SAUDI</x:v>
      </x:c>
      <x:c r="C6114" s="16" t="str"/>
      <x:c r="D6114" s="16" t="str"/>
      <x:c r="E6114" s="16" t="str">
        <x:v>* myContacts</x:v>
      </x:c>
      <x:c r="F6114" s="16" t="str">
        <x:v>+971 50 980 4309 | +971509804309</x:v>
      </x:c>
      <x:c r="G6114" s="16" t="str">
        <x:v>+971509804309 | +971509804309</x:v>
      </x:c>
      <x:c r="H6114" s="16" t="str">
        <x:v>Excluded</x:v>
      </x:c>
      <x:c r="I6114" s="16" t="str">
        <x:v>Missing email</x:v>
      </x:c>
    </x:row>
    <x:row r="6115">
      <x:c r="A6115" s="16" t="n">
        <x:v>6112</x:v>
      </x:c>
      <x:c r="B6115" s="16" t="str">
        <x:v>Sara YOKOK Foundation Training Provider</x:v>
      </x:c>
      <x:c r="C6115" s="16" t="str"/>
      <x:c r="D6115" s="16" t="str"/>
      <x:c r="E6115" s="16" t="str">
        <x:v>* myContacts</x:v>
      </x:c>
      <x:c r="F6115" s="16" t="str">
        <x:v>+60122329019</x:v>
      </x:c>
      <x:c r="G6115" s="16" t="str">
        <x:v>+60122329019</x:v>
      </x:c>
      <x:c r="H6115" s="16" t="str">
        <x:v>Excluded</x:v>
      </x:c>
      <x:c r="I6115" s="16" t="str">
        <x:v>Missing email</x:v>
      </x:c>
    </x:row>
    <x:row r="6116">
      <x:c r="A6116" s="16" t="n">
        <x:v>6113</x:v>
      </x:c>
      <x:c r="B6116" s="16" t="str">
        <x:v>Sarah Anak Makwee'</x:v>
      </x:c>
      <x:c r="C6116" s="16" t="str"/>
      <x:c r="D6116" s="16" t="str"/>
      <x:c r="E6116" s="16" t="str">
        <x:v>* myContacts</x:v>
      </x:c>
      <x:c r="F6116" s="16" t="str">
        <x:v>+60 11-3337 8940 | +601133378940</x:v>
      </x:c>
      <x:c r="G6116" s="16" t="str">
        <x:v>+601133378940 | +601133378940</x:v>
      </x:c>
      <x:c r="H6116" s="16" t="str">
        <x:v>Excluded</x:v>
      </x:c>
      <x:c r="I6116" s="16" t="str">
        <x:v>Missing email</x:v>
      </x:c>
    </x:row>
    <x:row r="6117">
      <x:c r="A6117" s="16" t="n">
        <x:v>6114</x:v>
      </x:c>
      <x:c r="B6117" s="16" t="str">
        <x:v>Sarah Aqilah Rinah</x:v>
      </x:c>
      <x:c r="C6117" s="16" t="str">
        <x:v>sarinah@unikl.edu.my</x:v>
      </x:c>
      <x:c r="D6117" s="16" t="str">
        <x:v>sarinah@unikl.edu.my</x:v>
      </x:c>
      <x:c r="E6117" s="16" t="str">
        <x:v>* myContacts</x:v>
      </x:c>
      <x:c r="F6117" s="16" t="str">
        <x:v>+60165872382</x:v>
      </x:c>
      <x:c r="G6117" s="16" t="str">
        <x:v>+60165872382</x:v>
      </x:c>
      <x:c r="H6117" s="16" t="str">
        <x:v>Eligible</x:v>
      </x:c>
      <x:c r="I6117" s="16" t="str"/>
    </x:row>
    <x:row r="6118">
      <x:c r="A6118" s="16" t="n">
        <x:v>6115</x:v>
      </x:c>
      <x:c r="B6118" s="16" t="str">
        <x:v>Sarah Asari Py</x:v>
      </x:c>
      <x:c r="C6118" s="16" t="str"/>
      <x:c r="D6118" s="16" t="str"/>
      <x:c r="E6118" s="16" t="str">
        <x:v>* myContacts</x:v>
      </x:c>
      <x:c r="F6118" s="16" t="str">
        <x:v>+6281211587250</x:v>
      </x:c>
      <x:c r="G6118" s="16" t="str">
        <x:v>+6281211587250</x:v>
      </x:c>
      <x:c r="H6118" s="16" t="str">
        <x:v>Excluded</x:v>
      </x:c>
      <x:c r="I6118" s="16" t="str">
        <x:v>Missing email</x:v>
      </x:c>
    </x:row>
    <x:row r="6119">
      <x:c r="A6119" s="16" t="n">
        <x:v>6116</x:v>
      </x:c>
      <x:c r="B6119" s="16" t="str">
        <x:v>Sarah Emylia</x:v>
      </x:c>
      <x:c r="C6119" s="16" t="str"/>
      <x:c r="D6119" s="16" t="str"/>
      <x:c r="E6119" s="16" t="str">
        <x:v>* myContacts</x:v>
      </x:c>
      <x:c r="F6119" s="16" t="str">
        <x:v>+60173709104</x:v>
      </x:c>
      <x:c r="G6119" s="16" t="str">
        <x:v>+60173709104</x:v>
      </x:c>
      <x:c r="H6119" s="16" t="str">
        <x:v>Excluded</x:v>
      </x:c>
      <x:c r="I6119" s="16" t="str">
        <x:v>Missing email</x:v>
      </x:c>
    </x:row>
    <x:row r="6120">
      <x:c r="A6120" s="16" t="n">
        <x:v>6117</x:v>
      </x:c>
      <x:c r="B6120" s="16" t="str">
        <x:v>Sarifuddin Suhari</x:v>
      </x:c>
      <x:c r="C6120" s="16" t="str"/>
      <x:c r="D6120" s="16" t="str"/>
      <x:c r="E6120" s="16" t="str">
        <x:v>* myContacts</x:v>
      </x:c>
      <x:c r="F6120" s="16" t="str">
        <x:v>+60107056371</x:v>
      </x:c>
      <x:c r="G6120" s="16" t="str">
        <x:v>+60107056371</x:v>
      </x:c>
      <x:c r="H6120" s="16" t="str">
        <x:v>Excluded</x:v>
      </x:c>
      <x:c r="I6120" s="16" t="str">
        <x:v>Missing email</x:v>
      </x:c>
    </x:row>
    <x:row r="6121">
      <x:c r="A6121" s="16" t="n">
        <x:v>6118</x:v>
      </x:c>
      <x:c r="B6121" s="16" t="str">
        <x:v>Sarila AGP</x:v>
      </x:c>
      <x:c r="C6121" s="16" t="str"/>
      <x:c r="D6121" s="16" t="str"/>
      <x:c r="E6121" s="16" t="str">
        <x:v>* myContacts</x:v>
      </x:c>
      <x:c r="F6121" s="16" t="str">
        <x:v>+60 11-2556 4254 | +601125564254</x:v>
      </x:c>
      <x:c r="G6121" s="16" t="str">
        <x:v>+601125564254 | +601125564254</x:v>
      </x:c>
      <x:c r="H6121" s="16" t="str">
        <x:v>Excluded</x:v>
      </x:c>
      <x:c r="I6121" s="16" t="str">
        <x:v>Missing email</x:v>
      </x:c>
    </x:row>
    <x:row r="6122">
      <x:c r="A6122" s="16" t="n">
        <x:v>6119</x:v>
      </x:c>
      <x:c r="B6122" s="16" t="str">
        <x:v>Sarimah Ndlife</x:v>
      </x:c>
      <x:c r="C6122" s="16" t="str"/>
      <x:c r="D6122" s="16" t="str"/>
      <x:c r="E6122" s="16" t="str">
        <x:v>* myContacts</x:v>
      </x:c>
      <x:c r="F6122" s="16" t="str">
        <x:v>+601135346908</x:v>
      </x:c>
      <x:c r="G6122" s="16" t="str">
        <x:v>+601135346908</x:v>
      </x:c>
      <x:c r="H6122" s="16" t="str">
        <x:v>Excluded</x:v>
      </x:c>
      <x:c r="I6122" s="16" t="str">
        <x:v>Missing email</x:v>
      </x:c>
    </x:row>
    <x:row r="6123">
      <x:c r="A6123" s="16" t="n">
        <x:v>6120</x:v>
      </x:c>
      <x:c r="B6123" s="16" t="str">
        <x:v>Sarina Sanip</x:v>
      </x:c>
      <x:c r="C6123" s="16" t="str"/>
      <x:c r="D6123" s="16" t="str"/>
      <x:c r="E6123" s="16" t="str">
        <x:v>* myContacts</x:v>
      </x:c>
      <x:c r="F6123" s="16" t="str">
        <x:v>+60198297003</x:v>
      </x:c>
      <x:c r="G6123" s="16" t="str">
        <x:v>+60198297003</x:v>
      </x:c>
      <x:c r="H6123" s="16" t="str">
        <x:v>Excluded</x:v>
      </x:c>
      <x:c r="I6123" s="16" t="str">
        <x:v>Missing email</x:v>
      </x:c>
    </x:row>
    <x:row r="6124">
      <x:c r="A6124" s="16" t="n">
        <x:v>6121</x:v>
      </x:c>
      <x:c r="B6124" s="16" t="str">
        <x:v>Sarini</x:v>
      </x:c>
      <x:c r="C6124" s="16" t="str"/>
      <x:c r="D6124" s="16" t="str"/>
      <x:c r="E6124" s="16" t="str">
        <x:v>* myContacts</x:v>
      </x:c>
      <x:c r="F6124" s="16" t="str"/>
      <x:c r="G6124" s="16" t="str"/>
      <x:c r="H6124" s="16" t="str">
        <x:v>Excluded</x:v>
      </x:c>
      <x:c r="I6124" s="16" t="str">
        <x:v>Missing email</x:v>
      </x:c>
    </x:row>
    <x:row r="6125">
      <x:c r="A6125" s="16" t="n">
        <x:v>6122</x:v>
      </x:c>
      <x:c r="B6125" s="16" t="str">
        <x:v>Sarini Edupreneur</x:v>
      </x:c>
      <x:c r="C6125" s="16" t="str"/>
      <x:c r="D6125" s="16" t="str"/>
      <x:c r="E6125" s="16" t="str">
        <x:v>* myContacts</x:v>
      </x:c>
      <x:c r="F6125" s="16" t="str">
        <x:v>+60 12-323 2117 | +60123232117</x:v>
      </x:c>
      <x:c r="G6125" s="16" t="str">
        <x:v>+60123232117 | +60123232117</x:v>
      </x:c>
      <x:c r="H6125" s="16" t="str">
        <x:v>Excluded</x:v>
      </x:c>
      <x:c r="I6125" s="16" t="str">
        <x:v>Missing email</x:v>
      </x:c>
    </x:row>
    <x:row r="6126">
      <x:c r="A6126" s="16" t="n">
        <x:v>6123</x:v>
      </x:c>
      <x:c r="B6126" s="16" t="str">
        <x:v>Sarip Dol</x:v>
      </x:c>
      <x:c r="C6126" s="16" t="str"/>
      <x:c r="D6126" s="16" t="str"/>
      <x:c r="E6126" s="16" t="str">
        <x:v>* myContacts</x:v>
      </x:c>
      <x:c r="F6126" s="16" t="str">
        <x:v>+60124356234</x:v>
      </x:c>
      <x:c r="G6126" s="16" t="str">
        <x:v>+60124356234</x:v>
      </x:c>
      <x:c r="H6126" s="16" t="str">
        <x:v>Excluded</x:v>
      </x:c>
      <x:c r="I6126" s="16" t="str">
        <x:v>Missing email</x:v>
      </x:c>
    </x:row>
    <x:row r="6127">
      <x:c r="A6127" s="16" t="n">
        <x:v>6124</x:v>
      </x:c>
      <x:c r="B6127" s="16" t="str">
        <x:v>Saripah Hamid</x:v>
      </x:c>
      <x:c r="C6127" s="16" t="str"/>
      <x:c r="D6127" s="16" t="str"/>
      <x:c r="E6127" s="16" t="str">
        <x:v>* myContacts</x:v>
      </x:c>
      <x:c r="F6127" s="16" t="str">
        <x:v>+601114707649</x:v>
      </x:c>
      <x:c r="G6127" s="16" t="str">
        <x:v>+601114707649</x:v>
      </x:c>
      <x:c r="H6127" s="16" t="str">
        <x:v>Excluded</x:v>
      </x:c>
      <x:c r="I6127" s="16" t="str">
        <x:v>Missing email</x:v>
      </x:c>
    </x:row>
    <x:row r="6128">
      <x:c r="A6128" s="16" t="n">
        <x:v>6125</x:v>
      </x:c>
      <x:c r="B6128" s="16" t="str">
        <x:v>Saripah Loraine HG</x:v>
      </x:c>
      <x:c r="C6128" s="16" t="str"/>
      <x:c r="D6128" s="16" t="str"/>
      <x:c r="E6128" s="16" t="str">
        <x:v>* myContacts</x:v>
      </x:c>
      <x:c r="F6128" s="16" t="str">
        <x:v>+60 13-834 1025 | +60138341025</x:v>
      </x:c>
      <x:c r="G6128" s="16" t="str">
        <x:v>+60138341025 | +60138341025</x:v>
      </x:c>
      <x:c r="H6128" s="16" t="str">
        <x:v>Excluded</x:v>
      </x:c>
      <x:c r="I6128" s="16" t="str">
        <x:v>Missing email</x:v>
      </x:c>
    </x:row>
    <x:row r="6129">
      <x:c r="A6129" s="16" t="n">
        <x:v>6126</x:v>
      </x:c>
      <x:c r="B6129" s="16" t="str">
        <x:v>Sarjan Mus Kuala Selangor</x:v>
      </x:c>
      <x:c r="C6129" s="16" t="str"/>
      <x:c r="D6129" s="16" t="str"/>
      <x:c r="E6129" s="16" t="str">
        <x:v>* myContacts</x:v>
      </x:c>
      <x:c r="F6129" s="16" t="str">
        <x:v>+60 17-225 0885 | +60172250885</x:v>
      </x:c>
      <x:c r="G6129" s="16" t="str">
        <x:v>+60172250885 | +60172250885</x:v>
      </x:c>
      <x:c r="H6129" s="16" t="str">
        <x:v>Excluded</x:v>
      </x:c>
      <x:c r="I6129" s="16" t="str">
        <x:v>Missing email</x:v>
      </x:c>
    </x:row>
    <x:row r="6130">
      <x:c r="A6130" s="16" t="n">
        <x:v>6127</x:v>
      </x:c>
      <x:c r="B6130" s="16" t="str">
        <x:v>Sarker Sarker</x:v>
      </x:c>
      <x:c r="C6130" s="16" t="str"/>
      <x:c r="D6130" s="16" t="str"/>
      <x:c r="E6130" s="16" t="str">
        <x:v>* myContacts</x:v>
      </x:c>
      <x:c r="F6130" s="16" t="str">
        <x:v>+60175311626</x:v>
      </x:c>
      <x:c r="G6130" s="16" t="str">
        <x:v>+60175311626</x:v>
      </x:c>
      <x:c r="H6130" s="16" t="str">
        <x:v>Excluded</x:v>
      </x:c>
      <x:c r="I6130" s="16" t="str">
        <x:v>Missing email</x:v>
      </x:c>
    </x:row>
    <x:row r="6131">
      <x:c r="A6131" s="16" t="n">
        <x:v>6128</x:v>
      </x:c>
      <x:c r="B6131" s="16" t="str">
        <x:v>Sarra Ain</x:v>
      </x:c>
      <x:c r="C6131" s="16" t="str"/>
      <x:c r="D6131" s="16" t="str"/>
      <x:c r="E6131" s="16" t="str">
        <x:v>* myContacts</x:v>
      </x:c>
      <x:c r="F6131" s="16" t="str">
        <x:v>+60193747879</x:v>
      </x:c>
      <x:c r="G6131" s="16" t="str">
        <x:v>+60193747879</x:v>
      </x:c>
      <x:c r="H6131" s="16" t="str">
        <x:v>Excluded</x:v>
      </x:c>
      <x:c r="I6131" s="16" t="str">
        <x:v>Missing email</x:v>
      </x:c>
    </x:row>
    <x:row r="6132">
      <x:c r="A6132" s="16" t="n">
        <x:v>6129</x:v>
      </x:c>
      <x:c r="B6132" s="16" t="str">
        <x:v>Sartika Lerence</x:v>
      </x:c>
      <x:c r="C6132" s="16" t="str"/>
      <x:c r="D6132" s="16" t="str"/>
      <x:c r="E6132" s="16" t="str">
        <x:v>* myContacts</x:v>
      </x:c>
      <x:c r="F6132" s="16" t="str">
        <x:v>+6285822334732</x:v>
      </x:c>
      <x:c r="G6132" s="16" t="str">
        <x:v>+6285822334732</x:v>
      </x:c>
      <x:c r="H6132" s="16" t="str">
        <x:v>Excluded</x:v>
      </x:c>
      <x:c r="I6132" s="16" t="str">
        <x:v>Missing email</x:v>
      </x:c>
    </x:row>
    <x:row r="6133">
      <x:c r="A6133" s="16" t="n">
        <x:v>6130</x:v>
      </x:c>
      <x:c r="B6133" s="16" t="str">
        <x:v>Sartika Sahat Rjb</x:v>
      </x:c>
      <x:c r="C6133" s="16" t="str"/>
      <x:c r="D6133" s="16" t="str"/>
      <x:c r="E6133" s="16" t="str">
        <x:v>* myContacts</x:v>
      </x:c>
      <x:c r="F6133" s="16" t="str">
        <x:v>+60 13-228 6769 | +60132286769</x:v>
      </x:c>
      <x:c r="G6133" s="16" t="str">
        <x:v>+60132286769 | +60132286769</x:v>
      </x:c>
      <x:c r="H6133" s="16" t="str">
        <x:v>Excluded</x:v>
      </x:c>
      <x:c r="I6133" s="16" t="str">
        <x:v>Missing email</x:v>
      </x:c>
    </x:row>
    <x:row r="6134">
      <x:c r="A6134" s="16" t="n">
        <x:v>6131</x:v>
      </x:c>
      <x:c r="B6134" s="16" t="str">
        <x:v>Sas Rizal Mdec</x:v>
      </x:c>
      <x:c r="C6134" s="16" t="str"/>
      <x:c r="D6134" s="16" t="str"/>
      <x:c r="E6134" s="16" t="str">
        <x:v>* myContacts</x:v>
      </x:c>
      <x:c r="F6134" s="16" t="str">
        <x:v>+60 16-368 4840 | +60163684840</x:v>
      </x:c>
      <x:c r="G6134" s="16" t="str">
        <x:v>+60163684840 | +60163684840</x:v>
      </x:c>
      <x:c r="H6134" s="16" t="str">
        <x:v>Excluded</x:v>
      </x:c>
      <x:c r="I6134" s="16" t="str">
        <x:v>Missing email</x:v>
      </x:c>
    </x:row>
    <x:row r="6135">
      <x:c r="A6135" s="16" t="n">
        <x:v>6132</x:v>
      </x:c>
      <x:c r="B6135" s="16" t="str">
        <x:v>Sasha</x:v>
      </x:c>
      <x:c r="C6135" s="16" t="str"/>
      <x:c r="D6135" s="16" t="str"/>
      <x:c r="E6135" s="16" t="str">
        <x:v>* myContacts</x:v>
      </x:c>
      <x:c r="F6135" s="16" t="str">
        <x:v>+60146104040</x:v>
      </x:c>
      <x:c r="G6135" s="16" t="str">
        <x:v>+60146104040</x:v>
      </x:c>
      <x:c r="H6135" s="16" t="str">
        <x:v>Excluded</x:v>
      </x:c>
      <x:c r="I6135" s="16" t="str">
        <x:v>Missing email</x:v>
      </x:c>
    </x:row>
    <x:row r="6136">
      <x:c r="A6136" s="16" t="n">
        <x:v>6133</x:v>
      </x:c>
      <x:c r="B6136" s="16" t="str">
        <x:v>Satay Kuala Lumpur Akhrams</x:v>
      </x:c>
      <x:c r="C6136" s="16" t="str"/>
      <x:c r="D6136" s="16" t="str"/>
      <x:c r="E6136" s="16" t="str">
        <x:v>* myContacts</x:v>
      </x:c>
      <x:c r="F6136" s="16" t="str">
        <x:v>+60166808273</x:v>
      </x:c>
      <x:c r="G6136" s="16" t="str">
        <x:v>+60166808273</x:v>
      </x:c>
      <x:c r="H6136" s="16" t="str">
        <x:v>Excluded</x:v>
      </x:c>
      <x:c r="I6136" s="16" t="str">
        <x:v>Missing email</x:v>
      </x:c>
    </x:row>
    <x:row r="6137">
      <x:c r="A6137" s="16" t="n">
        <x:v>6134</x:v>
      </x:c>
      <x:c r="B6137" s="16" t="str">
        <x:v>satish</x:v>
      </x:c>
      <x:c r="C6137" s="16" t="str"/>
      <x:c r="D6137" s="16" t="str"/>
      <x:c r="E6137" s="16" t="str">
        <x:v>* myContacts</x:v>
      </x:c>
      <x:c r="F6137" s="16" t="str">
        <x:v>012 - 326 9570 | +60123269570</x:v>
      </x:c>
      <x:c r="G6137" s="16" t="str">
        <x:v>+60123269570 | +60123269570</x:v>
      </x:c>
      <x:c r="H6137" s="16" t="str">
        <x:v>Excluded</x:v>
      </x:c>
      <x:c r="I6137" s="16" t="str">
        <x:v>Missing email</x:v>
      </x:c>
    </x:row>
    <x:row r="6138">
      <x:c r="A6138" s="16" t="n">
        <x:v>6135</x:v>
      </x:c>
      <x:c r="B6138" s="16" t="str">
        <x:v>Saudagar Bat</x:v>
      </x:c>
      <x:c r="C6138" s="16" t="str"/>
      <x:c r="D6138" s="16" t="str"/>
      <x:c r="E6138" s="16" t="str">
        <x:v>* myContacts</x:v>
      </x:c>
      <x:c r="F6138" s="16" t="str">
        <x:v>+60192648957</x:v>
      </x:c>
      <x:c r="G6138" s="16" t="str">
        <x:v>+60192648957</x:v>
      </x:c>
      <x:c r="H6138" s="16" t="str">
        <x:v>Excluded</x:v>
      </x:c>
      <x:c r="I6138" s="16" t="str">
        <x:v>Missing email</x:v>
      </x:c>
    </x:row>
    <x:row r="6139">
      <x:c r="A6139" s="16" t="n">
        <x:v>6136</x:v>
      </x:c>
      <x:c r="B6139" s="16" t="str">
        <x:v>Saudagar Perfumes Dxandra</x:v>
      </x:c>
      <x:c r="C6139" s="16" t="str"/>
      <x:c r="D6139" s="16" t="str"/>
      <x:c r="E6139" s="16" t="str">
        <x:v>* myContacts</x:v>
      </x:c>
      <x:c r="F6139" s="16" t="str">
        <x:v>+60183221159</x:v>
      </x:c>
      <x:c r="G6139" s="16" t="str">
        <x:v>+60183221159</x:v>
      </x:c>
      <x:c r="H6139" s="16" t="str">
        <x:v>Excluded</x:v>
      </x:c>
      <x:c r="I6139" s="16" t="str">
        <x:v>Missing email</x:v>
      </x:c>
    </x:row>
    <x:row r="6140">
      <x:c r="A6140" s="16" t="n">
        <x:v>6137</x:v>
      </x:c>
      <x:c r="B6140" s="16" t="str">
        <x:v>Saudagar Zohir</x:v>
      </x:c>
      <x:c r="C6140" s="16" t="str"/>
      <x:c r="D6140" s="16" t="str"/>
      <x:c r="E6140" s="16" t="str">
        <x:v>* myContacts</x:v>
      </x:c>
      <x:c r="F6140" s="16" t="str">
        <x:v>+60162811038</x:v>
      </x:c>
      <x:c r="G6140" s="16" t="str">
        <x:v>+60162811038</x:v>
      </x:c>
      <x:c r="H6140" s="16" t="str">
        <x:v>Excluded</x:v>
      </x:c>
      <x:c r="I6140" s="16" t="str">
        <x:v>Missing email</x:v>
      </x:c>
    </x:row>
    <x:row r="6141">
      <x:c r="A6141" s="16" t="n">
        <x:v>6138</x:v>
      </x:c>
      <x:c r="B6141" s="16" t="str">
        <x:v>Saufi Sifu Video</x:v>
      </x:c>
      <x:c r="C6141" s="16" t="str"/>
      <x:c r="D6141" s="16" t="str"/>
      <x:c r="E6141" s="16" t="str">
        <x:v>* myContacts</x:v>
      </x:c>
      <x:c r="F6141" s="16" t="str">
        <x:v>0108892017 | +60108892017</x:v>
      </x:c>
      <x:c r="G6141" s="16" t="str">
        <x:v>+60108892017 | +60108892017</x:v>
      </x:c>
      <x:c r="H6141" s="16" t="str">
        <x:v>Excluded</x:v>
      </x:c>
      <x:c r="I6141" s="16" t="str">
        <x:v>Missing email</x:v>
      </x:c>
    </x:row>
    <x:row r="6142">
      <x:c r="A6142" s="16" t="n">
        <x:v>6139</x:v>
      </x:c>
      <x:c r="B6142" s="16" t="str">
        <x:v>Saufiq Grab Bintulu</x:v>
      </x:c>
      <x:c r="C6142" s="16" t="str"/>
      <x:c r="D6142" s="16" t="str"/>
      <x:c r="E6142" s="16" t="str">
        <x:v>* myContacts</x:v>
      </x:c>
      <x:c r="F6142" s="16" t="str">
        <x:v>0164619200 | +60164619200</x:v>
      </x:c>
      <x:c r="G6142" s="16" t="str">
        <x:v>+60164619200 | +60164619200</x:v>
      </x:c>
      <x:c r="H6142" s="16" t="str">
        <x:v>Excluded</x:v>
      </x:c>
      <x:c r="I6142" s="16" t="str">
        <x:v>Missing email</x:v>
      </x:c>
    </x:row>
    <x:row r="6143">
      <x:c r="A6143" s="16" t="n">
        <x:v>6140</x:v>
      </x:c>
      <x:c r="B6143" s="16" t="str">
        <x:v>SavanahWow HQ</x:v>
      </x:c>
      <x:c r="C6143" s="16" t="str"/>
      <x:c r="D6143" s="16" t="str"/>
      <x:c r="E6143" s="16" t="str">
        <x:v>* myContacts</x:v>
      </x:c>
      <x:c r="F6143" s="16" t="str">
        <x:v>+60192716246</x:v>
      </x:c>
      <x:c r="G6143" s="16" t="str">
        <x:v>+60192716246</x:v>
      </x:c>
      <x:c r="H6143" s="16" t="str">
        <x:v>Excluded</x:v>
      </x:c>
      <x:c r="I6143" s="16" t="str">
        <x:v>Missing email</x:v>
      </x:c>
    </x:row>
    <x:row r="6144">
      <x:c r="A6144" s="16" t="n">
        <x:v>6141</x:v>
      </x:c>
      <x:c r="B6144" s="16" t="str">
        <x:v>Saya Nak Komen</x:v>
      </x:c>
      <x:c r="C6144" s="16" t="str"/>
      <x:c r="D6144" s="16" t="str"/>
      <x:c r="E6144" s="16" t="str">
        <x:v>* myContacts</x:v>
      </x:c>
      <x:c r="F6144" s="16" t="str">
        <x:v>+60134567890</x:v>
      </x:c>
      <x:c r="G6144" s="16" t="str">
        <x:v>+60134567890</x:v>
      </x:c>
      <x:c r="H6144" s="16" t="str">
        <x:v>Excluded</x:v>
      </x:c>
      <x:c r="I6144" s="16" t="str">
        <x:v>Missing email</x:v>
      </x:c>
    </x:row>
    <x:row r="6145">
      <x:c r="A6145" s="16" t="n">
        <x:v>6142</x:v>
      </x:c>
      <x:c r="B6145" s="16" t="str">
        <x:v>Saypol FGM</x:v>
      </x:c>
      <x:c r="C6145" s="16" t="str"/>
      <x:c r="D6145" s="16" t="str"/>
      <x:c r="E6145" s="16" t="str">
        <x:v>* myContacts</x:v>
      </x:c>
      <x:c r="F6145" s="16" t="str">
        <x:v>+60 19-612 6141 | +60196126141</x:v>
      </x:c>
      <x:c r="G6145" s="16" t="str">
        <x:v>+60196126141 | +60196126141</x:v>
      </x:c>
      <x:c r="H6145" s="16" t="str">
        <x:v>Excluded</x:v>
      </x:c>
      <x:c r="I6145" s="16" t="str">
        <x:v>Missing email</x:v>
      </x:c>
    </x:row>
    <x:row r="6146">
      <x:c r="A6146" s="16" t="n">
        <x:v>6143</x:v>
      </x:c>
      <x:c r="B6146" s="16" t="str">
        <x:v>Sazan Hassan</x:v>
      </x:c>
      <x:c r="C6146" s="16" t="str"/>
      <x:c r="D6146" s="16" t="str"/>
      <x:c r="E6146" s="16" t="str">
        <x:v>* myContacts</x:v>
      </x:c>
      <x:c r="F6146" s="16" t="str">
        <x:v>+601121460206</x:v>
      </x:c>
      <x:c r="G6146" s="16" t="str">
        <x:v>+601121460206</x:v>
      </x:c>
      <x:c r="H6146" s="16" t="str">
        <x:v>Excluded</x:v>
      </x:c>
      <x:c r="I6146" s="16" t="str">
        <x:v>Missing email</x:v>
      </x:c>
    </x:row>
    <x:row r="6147">
      <x:c r="A6147" s="16" t="n">
        <x:v>6144</x:v>
      </x:c>
      <x:c r="B6147" s="16" t="str">
        <x:v>Sazarina Tanjak</x:v>
      </x:c>
      <x:c r="C6147" s="16" t="str"/>
      <x:c r="D6147" s="16" t="str"/>
      <x:c r="E6147" s="16" t="str">
        <x:v>* myContacts</x:v>
      </x:c>
      <x:c r="F6147" s="16" t="str">
        <x:v>+60 11-4021 7997 | +601140217997</x:v>
      </x:c>
      <x:c r="G6147" s="16" t="str">
        <x:v>+601140217997 | +601140217997</x:v>
      </x:c>
      <x:c r="H6147" s="16" t="str">
        <x:v>Excluded</x:v>
      </x:c>
      <x:c r="I6147" s="16" t="str">
        <x:v>Missing email</x:v>
      </x:c>
    </x:row>
    <x:row r="6148">
      <x:c r="A6148" s="16" t="n">
        <x:v>6145</x:v>
      </x:c>
      <x:c r="B6148" s="16" t="str">
        <x:v>Sazila Ismail</x:v>
      </x:c>
      <x:c r="C6148" s="16" t="str"/>
      <x:c r="D6148" s="16" t="str"/>
      <x:c r="E6148" s="16" t="str">
        <x:v>* myContacts</x:v>
      </x:c>
      <x:c r="F6148" s="16" t="str">
        <x:v>+60186218335</x:v>
      </x:c>
      <x:c r="G6148" s="16" t="str">
        <x:v>+60186218335</x:v>
      </x:c>
      <x:c r="H6148" s="16" t="str">
        <x:v>Excluded</x:v>
      </x:c>
      <x:c r="I6148" s="16" t="str">
        <x:v>Missing email</x:v>
      </x:c>
    </x:row>
    <x:row r="6149">
      <x:c r="A6149" s="16" t="n">
        <x:v>6146</x:v>
      </x:c>
      <x:c r="B6149" s="16" t="str">
        <x:v>Sazureen Abu Hasan</x:v>
      </x:c>
      <x:c r="C6149" s="16" t="str"/>
      <x:c r="D6149" s="16" t="str"/>
      <x:c r="E6149" s="16" t="str">
        <x:v>* myContacts</x:v>
      </x:c>
      <x:c r="F6149" s="16" t="str">
        <x:v>+60176616384</x:v>
      </x:c>
      <x:c r="G6149" s="16" t="str">
        <x:v>+60176616384</x:v>
      </x:c>
      <x:c r="H6149" s="16" t="str">
        <x:v>Excluded</x:v>
      </x:c>
      <x:c r="I6149" s="16" t="str">
        <x:v>Missing email</x:v>
      </x:c>
    </x:row>
    <x:row r="6150">
      <x:c r="A6150" s="16" t="n">
        <x:v>6147</x:v>
      </x:c>
      <x:c r="B6150" s="16" t="str">
        <x:v>Scarlet Hafi</x:v>
      </x:c>
      <x:c r="C6150" s="16" t="str"/>
      <x:c r="D6150" s="16" t="str"/>
      <x:c r="E6150" s="16" t="str">
        <x:v>* myContacts</x:v>
      </x:c>
      <x:c r="F6150" s="16" t="str">
        <x:v>+60177781706</x:v>
      </x:c>
      <x:c r="G6150" s="16" t="str">
        <x:v>+60177781706</x:v>
      </x:c>
      <x:c r="H6150" s="16" t="str">
        <x:v>Excluded</x:v>
      </x:c>
      <x:c r="I6150" s="16" t="str">
        <x:v>Missing email</x:v>
      </x:c>
    </x:row>
    <x:row r="6151">
      <x:c r="A6151" s="16" t="n">
        <x:v>6148</x:v>
      </x:c>
      <x:c r="B6151" s="16" t="str">
        <x:v>Schatzs Hq</x:v>
      </x:c>
      <x:c r="C6151" s="16" t="str"/>
      <x:c r="D6151" s="16" t="str"/>
      <x:c r="E6151" s="16" t="str">
        <x:v>* myContacts</x:v>
      </x:c>
      <x:c r="F6151" s="16" t="str">
        <x:v>+60192778077</x:v>
      </x:c>
      <x:c r="G6151" s="16" t="str">
        <x:v>+60192778077</x:v>
      </x:c>
      <x:c r="H6151" s="16" t="str">
        <x:v>Excluded</x:v>
      </x:c>
      <x:c r="I6151" s="16" t="str">
        <x:v>Missing email</x:v>
      </x:c>
    </x:row>
    <x:row r="6152">
      <x:c r="A6152" s="16" t="n">
        <x:v>6149</x:v>
      </x:c>
      <x:c r="B6152" s="16" t="str">
        <x:v>Schumacher Macher</x:v>
      </x:c>
      <x:c r="C6152" s="16" t="str"/>
      <x:c r="D6152" s="16" t="str"/>
      <x:c r="E6152" s="16" t="str">
        <x:v>* myContacts</x:v>
      </x:c>
      <x:c r="F6152" s="16" t="str">
        <x:v>+60173838662</x:v>
      </x:c>
      <x:c r="G6152" s="16" t="str">
        <x:v>+60173838662</x:v>
      </x:c>
      <x:c r="H6152" s="16" t="str">
        <x:v>Excluded</x:v>
      </x:c>
      <x:c r="I6152" s="16" t="str">
        <x:v>Missing email</x:v>
      </x:c>
    </x:row>
    <x:row r="6153">
      <x:c r="A6153" s="16" t="n">
        <x:v>6150</x:v>
      </x:c>
      <x:c r="B6153" s="16" t="str">
        <x:v>Seah Mike Tauke Tiktok Live</x:v>
      </x:c>
      <x:c r="C6153" s="16" t="str">
        <x:v>mike.szc87@gmail.com</x:v>
      </x:c>
      <x:c r="D6153" s="16" t="str">
        <x:v>mike.szc87@gmail.com</x:v>
      </x:c>
      <x:c r="E6153" s="16" t="str">
        <x:v>* myContacts</x:v>
      </x:c>
      <x:c r="F6153" s="16" t="str">
        <x:v>+60103898968</x:v>
      </x:c>
      <x:c r="G6153" s="16" t="str">
        <x:v>+60103898968</x:v>
      </x:c>
      <x:c r="H6153" s="16" t="str">
        <x:v>Eligible</x:v>
      </x:c>
      <x:c r="I6153" s="16" t="str"/>
    </x:row>
    <x:row r="6154">
      <x:c r="A6154" s="16" t="n">
        <x:v>6151</x:v>
      </x:c>
      <x:c r="B6154" s="16" t="str">
        <x:v>Sean Ipoh Garden Akupunture</x:v>
      </x:c>
      <x:c r="C6154" s="16" t="str"/>
      <x:c r="D6154" s="16" t="str"/>
      <x:c r="E6154" s="16" t="str">
        <x:v>* myContacts</x:v>
      </x:c>
      <x:c r="F6154" s="16" t="str">
        <x:v>016-510 8159 | +60165108159</x:v>
      </x:c>
      <x:c r="G6154" s="16" t="str">
        <x:v>+60165108159 | +60165108159</x:v>
      </x:c>
      <x:c r="H6154" s="16" t="str">
        <x:v>Excluded</x:v>
      </x:c>
      <x:c r="I6154" s="16" t="str">
        <x:v>Missing email</x:v>
      </x:c>
    </x:row>
    <x:row r="6155">
      <x:c r="A6155" s="16" t="n">
        <x:v>6152</x:v>
      </x:c>
      <x:c r="B6155" s="16" t="str">
        <x:v>Sebastian Schwarzenegger Negger</x:v>
      </x:c>
      <x:c r="C6155" s="16" t="str"/>
      <x:c r="D6155" s="16" t="str"/>
      <x:c r="E6155" s="16" t="str">
        <x:v>* myContacts</x:v>
      </x:c>
      <x:c r="F6155" s="16" t="str">
        <x:v>+60128788212</x:v>
      </x:c>
      <x:c r="G6155" s="16" t="str">
        <x:v>+60128788212</x:v>
      </x:c>
      <x:c r="H6155" s="16" t="str">
        <x:v>Excluded</x:v>
      </x:c>
      <x:c r="I6155" s="16" t="str">
        <x:v>Missing email</x:v>
      </x:c>
    </x:row>
    <x:row r="6156">
      <x:c r="A6156" s="16" t="n">
        <x:v>6153</x:v>
      </x:c>
      <x:c r="B6156" s="16" t="str">
        <x:v>Secretariat DPIM</x:v>
      </x:c>
      <x:c r="C6156" s="16" t="str"/>
      <x:c r="D6156" s="16" t="str"/>
      <x:c r="E6156" s="16" t="str">
        <x:v>* myContacts</x:v>
      </x:c>
      <x:c r="F6156" s="16" t="str">
        <x:v>+60192773991</x:v>
      </x:c>
      <x:c r="G6156" s="16" t="str">
        <x:v>+60192773991</x:v>
      </x:c>
      <x:c r="H6156" s="16" t="str">
        <x:v>Excluded</x:v>
      </x:c>
      <x:c r="I6156" s="16" t="str">
        <x:v>Missing email</x:v>
      </x:c>
    </x:row>
    <x:row r="6157">
      <x:c r="A6157" s="16" t="n">
        <x:v>6154</x:v>
      </x:c>
      <x:c r="B6157" s="16" t="str">
        <x:v>Sekamat Champs</x:v>
      </x:c>
      <x:c r="C6157" s="16" t="str"/>
      <x:c r="D6157" s="16" t="str"/>
      <x:c r="E6157" s="16" t="str">
        <x:v>* myContacts</x:v>
      </x:c>
      <x:c r="F6157" s="16" t="str">
        <x:v>+60174605063</x:v>
      </x:c>
      <x:c r="G6157" s="16" t="str">
        <x:v>+60174605063</x:v>
      </x:c>
      <x:c r="H6157" s="16" t="str">
        <x:v>Excluded</x:v>
      </x:c>
      <x:c r="I6157" s="16" t="str">
        <x:v>Missing email</x:v>
      </x:c>
    </x:row>
    <x:row r="6158">
      <x:c r="A6158" s="16" t="n">
        <x:v>6155</x:v>
      </x:c>
      <x:c r="B6158" s="16" t="str">
        <x:v>Selendang Hijau</x:v>
      </x:c>
      <x:c r="C6158" s="16" t="str"/>
      <x:c r="D6158" s="16" t="str"/>
      <x:c r="E6158" s="16" t="str">
        <x:v>* myContacts</x:v>
      </x:c>
      <x:c r="F6158" s="16" t="str">
        <x:v>+60137889627</x:v>
      </x:c>
      <x:c r="G6158" s="16" t="str">
        <x:v>+60137889627</x:v>
      </x:c>
      <x:c r="H6158" s="16" t="str">
        <x:v>Excluded</x:v>
      </x:c>
      <x:c r="I6158" s="16" t="str">
        <x:v>Missing email</x:v>
      </x:c>
    </x:row>
    <x:row r="6159">
      <x:c r="A6159" s="16" t="n">
        <x:v>6156</x:v>
      </x:c>
      <x:c r="B6159" s="16" t="str">
        <x:v>Selva Siva</x:v>
      </x:c>
      <x:c r="C6159" s="16" t="str"/>
      <x:c r="D6159" s="16" t="str"/>
      <x:c r="E6159" s="16" t="str">
        <x:v>* myContacts</x:v>
      </x:c>
      <x:c r="F6159" s="16" t="str">
        <x:v>+60102415638</x:v>
      </x:c>
      <x:c r="G6159" s="16" t="str">
        <x:v>+60102415638</x:v>
      </x:c>
      <x:c r="H6159" s="16" t="str">
        <x:v>Excluded</x:v>
      </x:c>
      <x:c r="I6159" s="16" t="str">
        <x:v>Missing email</x:v>
      </x:c>
    </x:row>
    <x:row r="6160">
      <x:c r="A6160" s="16" t="n">
        <x:v>6157</x:v>
      </x:c>
      <x:c r="B6160" s="16" t="str">
        <x:v>Seman Rashid Seman Rashid</x:v>
      </x:c>
      <x:c r="C6160" s="16" t="str"/>
      <x:c r="D6160" s="16" t="str"/>
      <x:c r="E6160" s="16" t="str">
        <x:v>* myContacts</x:v>
      </x:c>
      <x:c r="F6160" s="16" t="str">
        <x:v>+60132262615</x:v>
      </x:c>
      <x:c r="G6160" s="16" t="str">
        <x:v>+60132262615</x:v>
      </x:c>
      <x:c r="H6160" s="16" t="str">
        <x:v>Excluded</x:v>
      </x:c>
      <x:c r="I6160" s="16" t="str">
        <x:v>Missing email</x:v>
      </x:c>
    </x:row>
    <x:row r="6161">
      <x:c r="A6161" s="16" t="n">
        <x:v>6158</x:v>
      </x:c>
      <x:c r="B6161" s="16" t="str">
        <x:v>Seng Mir Maju</x:v>
      </x:c>
      <x:c r="C6161" s="16" t="str"/>
      <x:c r="D6161" s="16" t="str"/>
      <x:c r="E6161" s="16" t="str">
        <x:v>* myContacts</x:v>
      </x:c>
      <x:c r="F6161" s="16" t="str">
        <x:v>+60 16-206 6016 | +60162066016</x:v>
      </x:c>
      <x:c r="G6161" s="16" t="str">
        <x:v>+60162066016 | +60162066016</x:v>
      </x:c>
      <x:c r="H6161" s="16" t="str">
        <x:v>Excluded</x:v>
      </x:c>
      <x:c r="I6161" s="16" t="str">
        <x:v>Missing email</x:v>
      </x:c>
    </x:row>
    <x:row r="6162">
      <x:c r="A6162" s="16" t="n">
        <x:v>6159</x:v>
      </x:c>
      <x:c r="B6162" s="16" t="str">
        <x:v>Seniora Malaysia</x:v>
      </x:c>
      <x:c r="C6162" s="16" t="str"/>
      <x:c r="D6162" s="16" t="str"/>
      <x:c r="E6162" s="16" t="str">
        <x:v>* myContacts</x:v>
      </x:c>
      <x:c r="F6162" s="16" t="str">
        <x:v>+601128992968</x:v>
      </x:c>
      <x:c r="G6162" s="16" t="str">
        <x:v>+601128992968</x:v>
      </x:c>
      <x:c r="H6162" s="16" t="str">
        <x:v>Excluded</x:v>
      </x:c>
      <x:c r="I6162" s="16" t="str">
        <x:v>Missing email</x:v>
      </x:c>
    </x:row>
    <x:row r="6163">
      <x:c r="A6163" s="16" t="n">
        <x:v>6160</x:v>
      </x:c>
      <x:c r="B6163" s="16" t="str">
        <x:v>Seno Tono</x:v>
      </x:c>
      <x:c r="C6163" s="16" t="str"/>
      <x:c r="D6163" s="16" t="str"/>
      <x:c r="E6163" s="16" t="str">
        <x:v>* myContacts</x:v>
      </x:c>
      <x:c r="F6163" s="16" t="str">
        <x:v>+60123367352</x:v>
      </x:c>
      <x:c r="G6163" s="16" t="str">
        <x:v>+60123367352</x:v>
      </x:c>
      <x:c r="H6163" s="16" t="str">
        <x:v>Excluded</x:v>
      </x:c>
      <x:c r="I6163" s="16" t="str">
        <x:v>Missing email</x:v>
      </x:c>
    </x:row>
    <x:row r="6164">
      <x:c r="A6164" s="16" t="n">
        <x:v>6161</x:v>
      </x:c>
      <x:c r="B6164" s="16" t="str">
        <x:v>Senyum Saja Bah</x:v>
      </x:c>
      <x:c r="C6164" s="16" t="str"/>
      <x:c r="D6164" s="16" t="str"/>
      <x:c r="E6164" s="16" t="str">
        <x:v>* myContacts</x:v>
      </x:c>
      <x:c r="F6164" s="16" t="str">
        <x:v>+60178919379</x:v>
      </x:c>
      <x:c r="G6164" s="16" t="str">
        <x:v>+60178919379</x:v>
      </x:c>
      <x:c r="H6164" s="16" t="str">
        <x:v>Excluded</x:v>
      </x:c>
      <x:c r="I6164" s="16" t="str">
        <x:v>Missing email</x:v>
      </x:c>
    </x:row>
    <x:row r="6165">
      <x:c r="A6165" s="16" t="n">
        <x:v>6162</x:v>
      </x:c>
      <x:c r="B6165" s="16" t="str">
        <x:v>Senyum Tangis</x:v>
      </x:c>
      <x:c r="C6165" s="16" t="str"/>
      <x:c r="D6165" s="16" t="str"/>
      <x:c r="E6165" s="16" t="str">
        <x:v>* myContacts</x:v>
      </x:c>
      <x:c r="F6165" s="16" t="str">
        <x:v>+60193382101</x:v>
      </x:c>
      <x:c r="G6165" s="16" t="str">
        <x:v>+60193382101</x:v>
      </x:c>
      <x:c r="H6165" s="16" t="str">
        <x:v>Excluded</x:v>
      </x:c>
      <x:c r="I6165" s="16" t="str">
        <x:v>Missing email</x:v>
      </x:c>
    </x:row>
    <x:row r="6166">
      <x:c r="A6166" s="16" t="n">
        <x:v>6163</x:v>
      </x:c>
      <x:c r="B6166" s="16" t="str">
        <x:v>Serah Qlateww</x:v>
      </x:c>
      <x:c r="C6166" s="16" t="str"/>
      <x:c r="D6166" s="16" t="str"/>
      <x:c r="E6166" s="16" t="str">
        <x:v>* myContacts</x:v>
      </x:c>
      <x:c r="F6166" s="16" t="str">
        <x:v>+60148390938</x:v>
      </x:c>
      <x:c r="G6166" s="16" t="str">
        <x:v>+60148390938</x:v>
      </x:c>
      <x:c r="H6166" s="16" t="str">
        <x:v>Excluded</x:v>
      </x:c>
      <x:c r="I6166" s="16" t="str">
        <x:v>Missing email</x:v>
      </x:c>
    </x:row>
    <x:row r="6167">
      <x:c r="A6167" s="16" t="n">
        <x:v>6164</x:v>
      </x:c>
      <x:c r="B6167" s="16" t="str">
        <x:v>Serok Bolok</x:v>
      </x:c>
      <x:c r="C6167" s="16" t="str"/>
      <x:c r="D6167" s="16" t="str"/>
      <x:c r="E6167" s="16" t="str">
        <x:v>* myContacts</x:v>
      </x:c>
      <x:c r="F6167" s="16" t="str">
        <x:v>+60129451110</x:v>
      </x:c>
      <x:c r="G6167" s="16" t="str">
        <x:v>+60129451110</x:v>
      </x:c>
      <x:c r="H6167" s="16" t="str">
        <x:v>Excluded</x:v>
      </x:c>
      <x:c r="I6167" s="16" t="str">
        <x:v>Missing email</x:v>
      </x:c>
    </x:row>
    <x:row r="6168">
      <x:c r="A6168" s="16" t="n">
        <x:v>6165</x:v>
      </x:c>
      <x:c r="B6168" s="16" t="str">
        <x:v>Serv Unifi Pn. Musalmah (intan Network)</x:v>
      </x:c>
      <x:c r="C6168" s="16" t="str"/>
      <x:c r="D6168" s="16" t="str"/>
      <x:c r="E6168" s="16" t="str">
        <x:v>* myContacts</x:v>
      </x:c>
      <x:c r="F6168" s="16" t="str">
        <x:v>+60 19-320 0079 | +60193200079</x:v>
      </x:c>
      <x:c r="G6168" s="16" t="str">
        <x:v>+60193200079 | +60193200079</x:v>
      </x:c>
      <x:c r="H6168" s="16" t="str">
        <x:v>Excluded</x:v>
      </x:c>
      <x:c r="I6168" s="16" t="str">
        <x:v>Missing email</x:v>
      </x:c>
    </x:row>
    <x:row r="6169">
      <x:c r="A6169" s="16" t="n">
        <x:v>6166</x:v>
      </x:c>
      <x:c r="B6169" s="16" t="str">
        <x:v>SetyaShop</x:v>
      </x:c>
      <x:c r="C6169" s="16" t="str"/>
      <x:c r="D6169" s="16" t="str"/>
      <x:c r="E6169" s="16" t="str">
        <x:v>* myContacts</x:v>
      </x:c>
      <x:c r="F6169" s="16" t="str">
        <x:v>+6285707487112</x:v>
      </x:c>
      <x:c r="G6169" s="16" t="str">
        <x:v>+6285707487112</x:v>
      </x:c>
      <x:c r="H6169" s="16" t="str">
        <x:v>Excluded</x:v>
      </x:c>
      <x:c r="I6169" s="16" t="str">
        <x:v>Missing email</x:v>
      </x:c>
    </x:row>
    <x:row r="6170">
      <x:c r="A6170" s="16" t="n">
        <x:v>6167</x:v>
      </x:c>
      <x:c r="B6170" s="16" t="str">
        <x:v>Seven Osim</x:v>
      </x:c>
      <x:c r="C6170" s="16" t="str"/>
      <x:c r="D6170" s="16" t="str"/>
      <x:c r="E6170" s="16" t="str">
        <x:v>* myContacts</x:v>
      </x:c>
      <x:c r="F6170" s="16" t="str">
        <x:v>+60193371314</x:v>
      </x:c>
      <x:c r="G6170" s="16" t="str">
        <x:v>+60193371314</x:v>
      </x:c>
      <x:c r="H6170" s="16" t="str">
        <x:v>Excluded</x:v>
      </x:c>
      <x:c r="I6170" s="16" t="str">
        <x:v>Missing email</x:v>
      </x:c>
    </x:row>
    <x:row r="6171">
      <x:c r="A6171" s="16" t="n">
        <x:v>6168</x:v>
      </x:c>
      <x:c r="B6171" s="16" t="str">
        <x:v>Sha -Ariel</x:v>
      </x:c>
      <x:c r="C6171" s="16" t="str"/>
      <x:c r="D6171" s="16" t="str"/>
      <x:c r="E6171" s="16" t="str">
        <x:v>* myContacts</x:v>
      </x:c>
      <x:c r="F6171" s="16" t="str">
        <x:v>+60173780845</x:v>
      </x:c>
      <x:c r="G6171" s="16" t="str">
        <x:v>+60173780845</x:v>
      </x:c>
      <x:c r="H6171" s="16" t="str">
        <x:v>Excluded</x:v>
      </x:c>
      <x:c r="I6171" s="16" t="str">
        <x:v>Missing email</x:v>
      </x:c>
    </x:row>
    <x:row r="6172">
      <x:c r="A6172" s="16" t="n">
        <x:v>6169</x:v>
      </x:c>
      <x:c r="B6172" s="16" t="str">
        <x:v>Sha Iecha</x:v>
      </x:c>
      <x:c r="C6172" s="16" t="str"/>
      <x:c r="D6172" s="16" t="str"/>
      <x:c r="E6172" s="16" t="str">
        <x:v>* myContacts</x:v>
      </x:c>
      <x:c r="F6172" s="16" t="str">
        <x:v>+60179398393</x:v>
      </x:c>
      <x:c r="G6172" s="16" t="str">
        <x:v>+60179398393</x:v>
      </x:c>
      <x:c r="H6172" s="16" t="str">
        <x:v>Excluded</x:v>
      </x:c>
      <x:c r="I6172" s="16" t="str">
        <x:v>Missing email</x:v>
      </x:c>
    </x:row>
    <x:row r="6173">
      <x:c r="A6173" s="16" t="n">
        <x:v>6170</x:v>
      </x:c>
      <x:c r="B6173" s="16" t="str">
        <x:v>Sha Jamilah Mdec Trainer</x:v>
      </x:c>
      <x:c r="C6173" s="16" t="str"/>
      <x:c r="D6173" s="16" t="str"/>
      <x:c r="E6173" s="16" t="str">
        <x:v>Trainer | * myContacts</x:v>
      </x:c>
      <x:c r="F6173" s="16" t="str">
        <x:v>+60 12-427 7140 | +60124277140</x:v>
      </x:c>
      <x:c r="G6173" s="16" t="str">
        <x:v>+60124277140 | +60124277140</x:v>
      </x:c>
      <x:c r="H6173" s="16" t="str">
        <x:v>Excluded</x:v>
      </x:c>
      <x:c r="I6173" s="16" t="str">
        <x:v>Missing email</x:v>
      </x:c>
    </x:row>
    <x:row r="6174">
      <x:c r="A6174" s="16" t="n">
        <x:v>6171</x:v>
      </x:c>
      <x:c r="B6174" s="16" t="str">
        <x:v>Sha Kosmetik</x:v>
      </x:c>
      <x:c r="C6174" s="16" t="str"/>
      <x:c r="D6174" s="16" t="str"/>
      <x:c r="E6174" s="16" t="str">
        <x:v>* myContacts</x:v>
      </x:c>
      <x:c r="F6174" s="16" t="str">
        <x:v>+60192588380</x:v>
      </x:c>
      <x:c r="G6174" s="16" t="str">
        <x:v>+60192588380</x:v>
      </x:c>
      <x:c r="H6174" s="16" t="str">
        <x:v>Excluded</x:v>
      </x:c>
      <x:c r="I6174" s="16" t="str">
        <x:v>Missing email</x:v>
      </x:c>
    </x:row>
    <x:row r="6175">
      <x:c r="A6175" s="16" t="n">
        <x:v>6172</x:v>
      </x:c>
      <x:c r="B6175" s="16" t="str">
        <x:v>Sha Mdy</x:v>
      </x:c>
      <x:c r="C6175" s="16" t="str"/>
      <x:c r="D6175" s="16" t="str"/>
      <x:c r="E6175" s="16" t="str">
        <x:v>* myContacts</x:v>
      </x:c>
      <x:c r="F6175" s="16" t="str">
        <x:v>+601125692472</x:v>
      </x:c>
      <x:c r="G6175" s="16" t="str">
        <x:v>+601125692472</x:v>
      </x:c>
      <x:c r="H6175" s="16" t="str">
        <x:v>Excluded</x:v>
      </x:c>
      <x:c r="I6175" s="16" t="str">
        <x:v>Missing email</x:v>
      </x:c>
    </x:row>
    <x:row r="6176">
      <x:c r="A6176" s="16" t="n">
        <x:v>6173</x:v>
      </x:c>
      <x:c r="B6176" s="16" t="str">
        <x:v>Sha wife adry</x:v>
      </x:c>
      <x:c r="C6176" s="16" t="str"/>
      <x:c r="D6176" s="16" t="str"/>
      <x:c r="E6176" s="16" t="str">
        <x:v>* myContacts</x:v>
      </x:c>
      <x:c r="F6176" s="16" t="str">
        <x:v>+60 19-683 4661 | +60196834661</x:v>
      </x:c>
      <x:c r="G6176" s="16" t="str">
        <x:v>+60196834661 | +60196834661</x:v>
      </x:c>
      <x:c r="H6176" s="16" t="str">
        <x:v>Excluded</x:v>
      </x:c>
      <x:c r="I6176" s="16" t="str">
        <x:v>Missing email</x:v>
      </x:c>
    </x:row>
    <x:row r="6177">
      <x:c r="A6177" s="16" t="n">
        <x:v>6174</x:v>
      </x:c>
      <x:c r="B6177" s="16" t="str">
        <x:v>SHAARI ISHAK</x:v>
      </x:c>
      <x:c r="C6177" s="16" t="str"/>
      <x:c r="D6177" s="16" t="str"/>
      <x:c r="E6177" s="16" t="str">
        <x:v>* myContacts</x:v>
      </x:c>
      <x:c r="F6177" s="16" t="str">
        <x:v>+60 12-213 7403 | +60122137403</x:v>
      </x:c>
      <x:c r="G6177" s="16" t="str">
        <x:v>+60122137403 | +60122137403</x:v>
      </x:c>
      <x:c r="H6177" s="16" t="str">
        <x:v>Excluded</x:v>
      </x:c>
      <x:c r="I6177" s="16" t="str">
        <x:v>Missing email</x:v>
      </x:c>
    </x:row>
    <x:row r="6178">
      <x:c r="A6178" s="16" t="n">
        <x:v>6175</x:v>
      </x:c>
      <x:c r="B6178" s="16" t="str">
        <x:v>shaeza INSKEN</x:v>
      </x:c>
      <x:c r="C6178" s="16" t="str"/>
      <x:c r="D6178" s="16" t="str"/>
      <x:c r="E6178" s="16" t="str">
        <x:v>Alumni INSKEN | * myContacts</x:v>
      </x:c>
      <x:c r="F6178" s="16" t="str">
        <x:v>+60 17-410 2530 | +60174102530</x:v>
      </x:c>
      <x:c r="G6178" s="16" t="str">
        <x:v>+60174102530 | +60174102530</x:v>
      </x:c>
      <x:c r="H6178" s="16" t="str">
        <x:v>Excluded</x:v>
      </x:c>
      <x:c r="I6178" s="16" t="str">
        <x:v>Missing email</x:v>
      </x:c>
    </x:row>
    <x:row r="6179">
      <x:c r="A6179" s="16" t="n">
        <x:v>6176</x:v>
      </x:c>
      <x:c r="B6179" s="16" t="str">
        <x:v>Shafaril Rey</x:v>
      </x:c>
      <x:c r="C6179" s="16" t="str"/>
      <x:c r="D6179" s="16" t="str"/>
      <x:c r="E6179" s="16" t="str">
        <x:v>* myContacts</x:v>
      </x:c>
      <x:c r="F6179" s="16" t="str">
        <x:v>+60125232479</x:v>
      </x:c>
      <x:c r="G6179" s="16" t="str">
        <x:v>+60125232479</x:v>
      </x:c>
      <x:c r="H6179" s="16" t="str">
        <x:v>Excluded</x:v>
      </x:c>
      <x:c r="I6179" s="16" t="str">
        <x:v>Missing email</x:v>
      </x:c>
    </x:row>
    <x:row r="6180">
      <x:c r="A6180" s="16" t="n">
        <x:v>6177</x:v>
      </x:c>
      <x:c r="B6180" s="16" t="str">
        <x:v>Shafawati Nadiah</x:v>
      </x:c>
      <x:c r="C6180" s="16" t="str"/>
      <x:c r="D6180" s="16" t="str"/>
      <x:c r="E6180" s="16" t="str">
        <x:v>* myContacts</x:v>
      </x:c>
      <x:c r="F6180" s="16" t="str">
        <x:v>+60134444669</x:v>
      </x:c>
      <x:c r="G6180" s="16" t="str">
        <x:v>+60134444669</x:v>
      </x:c>
      <x:c r="H6180" s="16" t="str">
        <x:v>Excluded</x:v>
      </x:c>
      <x:c r="I6180" s="16" t="str">
        <x:v>Missing email</x:v>
      </x:c>
    </x:row>
    <x:row r="6181">
      <x:c r="A6181" s="16" t="n">
        <x:v>6178</x:v>
      </x:c>
      <x:c r="B6181" s="16" t="str">
        <x:v>Shafie Ahmad</x:v>
      </x:c>
      <x:c r="C6181" s="16" t="str"/>
      <x:c r="D6181" s="16" t="str"/>
      <x:c r="E6181" s="16" t="str">
        <x:v>* myContacts</x:v>
      </x:c>
      <x:c r="F6181" s="16" t="str">
        <x:v>+60134687310</x:v>
      </x:c>
      <x:c r="G6181" s="16" t="str">
        <x:v>+60134687310</x:v>
      </x:c>
      <x:c r="H6181" s="16" t="str">
        <x:v>Excluded</x:v>
      </x:c>
      <x:c r="I6181" s="16" t="str">
        <x:v>Missing email</x:v>
      </x:c>
    </x:row>
    <x:row r="6182">
      <x:c r="A6182" s="16" t="n">
        <x:v>6179</x:v>
      </x:c>
      <x:c r="B6182" s="16" t="str">
        <x:v>Shafie Perunding Hartanah</x:v>
      </x:c>
      <x:c r="C6182" s="16" t="str"/>
      <x:c r="D6182" s="16" t="str"/>
      <x:c r="E6182" s="16" t="str">
        <x:v>* myContacts</x:v>
      </x:c>
      <x:c r="F6182" s="16" t="str">
        <x:v>+60105432613</x:v>
      </x:c>
      <x:c r="G6182" s="16" t="str">
        <x:v>+60105432613</x:v>
      </x:c>
      <x:c r="H6182" s="16" t="str">
        <x:v>Excluded</x:v>
      </x:c>
      <x:c r="I6182" s="16" t="str">
        <x:v>Missing email</x:v>
      </x:c>
    </x:row>
    <x:row r="6183">
      <x:c r="A6183" s="16" t="n">
        <x:v>6180</x:v>
      </x:c>
      <x:c r="B6183" s="16" t="str">
        <x:v>shafieie im</x:v>
      </x:c>
      <x:c r="C6183" s="16" t="str"/>
      <x:c r="D6183" s="16" t="str"/>
      <x:c r="E6183" s="16" t="str">
        <x:v>* myContacts</x:v>
      </x:c>
      <x:c r="F6183" s="16" t="str">
        <x:v>+60172526912</x:v>
      </x:c>
      <x:c r="G6183" s="16" t="str">
        <x:v>+60172526912</x:v>
      </x:c>
      <x:c r="H6183" s="16" t="str">
        <x:v>Excluded</x:v>
      </x:c>
      <x:c r="I6183" s="16" t="str">
        <x:v>Missing email</x:v>
      </x:c>
    </x:row>
    <x:row r="6184">
      <x:c r="A6184" s="16" t="n">
        <x:v>6181</x:v>
      </x:c>
      <x:c r="B6184" s="16" t="str">
        <x:v>Shafini Ab Aziz Mdec</x:v>
      </x:c>
      <x:c r="C6184" s="16" t="str"/>
      <x:c r="D6184" s="16" t="str"/>
      <x:c r="E6184" s="16" t="str">
        <x:v>* myContacts</x:v>
      </x:c>
      <x:c r="F6184" s="16" t="str">
        <x:v>+60 18-968 3072 | +60189683072</x:v>
      </x:c>
      <x:c r="G6184" s="16" t="str">
        <x:v>+60189683072 | +60189683072</x:v>
      </x:c>
      <x:c r="H6184" s="16" t="str">
        <x:v>Excluded</x:v>
      </x:c>
      <x:c r="I6184" s="16" t="str">
        <x:v>Missing email</x:v>
      </x:c>
    </x:row>
    <x:row r="6185">
      <x:c r="A6185" s="16" t="n">
        <x:v>6182</x:v>
      </x:c>
      <x:c r="B6185" s="16" t="str">
        <x:v>Shafiq 2 Jookaplee</x:v>
      </x:c>
      <x:c r="C6185" s="16" t="str"/>
      <x:c r="D6185" s="16" t="str"/>
      <x:c r="E6185" s="16" t="str">
        <x:v>* myContacts</x:v>
      </x:c>
      <x:c r="F6185" s="16" t="str">
        <x:v>+60 11-3568 1017 | +601135681017</x:v>
      </x:c>
      <x:c r="G6185" s="16" t="str">
        <x:v>+601135681017 | +601135681017</x:v>
      </x:c>
      <x:c r="H6185" s="16" t="str">
        <x:v>Excluded</x:v>
      </x:c>
      <x:c r="I6185" s="16" t="str">
        <x:v>Missing email</x:v>
      </x:c>
    </x:row>
    <x:row r="6186">
      <x:c r="A6186" s="16" t="n">
        <x:v>6183</x:v>
      </x:c>
      <x:c r="B6186" s="16" t="str">
        <x:v>Shafiq Almansuri</x:v>
      </x:c>
      <x:c r="C6186" s="16" t="str"/>
      <x:c r="D6186" s="16" t="str"/>
      <x:c r="E6186" s="16" t="str">
        <x:v>* myContacts</x:v>
      </x:c>
      <x:c r="F6186" s="16" t="str">
        <x:v>+601116813415</x:v>
      </x:c>
      <x:c r="G6186" s="16" t="str">
        <x:v>+601116813415</x:v>
      </x:c>
      <x:c r="H6186" s="16" t="str">
        <x:v>Excluded</x:v>
      </x:c>
      <x:c r="I6186" s="16" t="str">
        <x:v>Missing email</x:v>
      </x:c>
    </x:row>
    <x:row r="6187">
      <x:c r="A6187" s="16" t="n">
        <x:v>6184</x:v>
      </x:c>
      <x:c r="B6187" s="16" t="str">
        <x:v>Shafiq Dji 1 Utama</x:v>
      </x:c>
      <x:c r="C6187" s="16" t="str"/>
      <x:c r="D6187" s="16" t="str"/>
      <x:c r="E6187" s="16" t="str">
        <x:v>* myContacts</x:v>
      </x:c>
      <x:c r="F6187" s="16" t="str">
        <x:v>+60184730280</x:v>
      </x:c>
      <x:c r="G6187" s="16" t="str">
        <x:v>+60184730280</x:v>
      </x:c>
      <x:c r="H6187" s="16" t="str">
        <x:v>Excluded</x:v>
      </x:c>
      <x:c r="I6187" s="16" t="str">
        <x:v>Missing email</x:v>
      </x:c>
    </x:row>
    <x:row r="6188">
      <x:c r="A6188" s="16" t="n">
        <x:v>6185</x:v>
      </x:c>
      <x:c r="B6188" s="16" t="str">
        <x:v>Shafiq G-Mart Group</x:v>
      </x:c>
      <x:c r="C6188" s="16" t="str"/>
      <x:c r="D6188" s="16" t="str"/>
      <x:c r="E6188" s="16" t="str">
        <x:v>* myContacts</x:v>
      </x:c>
      <x:c r="F6188" s="16" t="str">
        <x:v>+60192803803</x:v>
      </x:c>
      <x:c r="G6188" s="16" t="str">
        <x:v>+60192803803</x:v>
      </x:c>
      <x:c r="H6188" s="16" t="str">
        <x:v>Excluded</x:v>
      </x:c>
      <x:c r="I6188" s="16" t="str">
        <x:v>Missing email</x:v>
      </x:c>
    </x:row>
    <x:row r="6189">
      <x:c r="A6189" s="16" t="n">
        <x:v>6186</x:v>
      </x:c>
      <x:c r="B6189" s="16" t="str">
        <x:v>Shafiq Jookepli Metro Academy</x:v>
      </x:c>
      <x:c r="C6189" s="16" t="str"/>
      <x:c r="D6189" s="16" t="str"/>
      <x:c r="E6189" s="16" t="str">
        <x:v>* myContacts | * starred</x:v>
      </x:c>
      <x:c r="F6189" s="16" t="str">
        <x:v>+60 19-201 2865 | +60192012865</x:v>
      </x:c>
      <x:c r="G6189" s="16" t="str">
        <x:v>+60192012865 | +60192012865</x:v>
      </x:c>
      <x:c r="H6189" s="16" t="str">
        <x:v>Excluded</x:v>
      </x:c>
      <x:c r="I6189" s="16" t="str">
        <x:v>Missing email</x:v>
      </x:c>
    </x:row>
    <x:row r="6190">
      <x:c r="A6190" s="16" t="n">
        <x:v>6187</x:v>
      </x:c>
      <x:c r="B6190" s="16" t="str">
        <x:v>Shafiq Otai Pancig</x:v>
      </x:c>
      <x:c r="C6190" s="16" t="str"/>
      <x:c r="D6190" s="16" t="str"/>
      <x:c r="E6190" s="16" t="str">
        <x:v>* myContacts</x:v>
      </x:c>
      <x:c r="F6190" s="16" t="str">
        <x:v>0198435811 | +60198435811</x:v>
      </x:c>
      <x:c r="G6190" s="16" t="str">
        <x:v>+60198435811 | +60198435811</x:v>
      </x:c>
      <x:c r="H6190" s="16" t="str">
        <x:v>Excluded</x:v>
      </x:c>
      <x:c r="I6190" s="16" t="str">
        <x:v>Missing email</x:v>
      </x:c>
    </x:row>
    <x:row r="6191">
      <x:c r="A6191" s="16" t="n">
        <x:v>6188</x:v>
      </x:c>
      <x:c r="B6191" s="16" t="str">
        <x:v>Shafiq Xii</x:v>
      </x:c>
      <x:c r="C6191" s="16" t="str"/>
      <x:c r="D6191" s="16" t="str"/>
      <x:c r="E6191" s="16" t="str">
        <x:v>* myContacts</x:v>
      </x:c>
      <x:c r="F6191" s="16" t="str">
        <x:v>+60177872808</x:v>
      </x:c>
      <x:c r="G6191" s="16" t="str">
        <x:v>+60177872808</x:v>
      </x:c>
      <x:c r="H6191" s="16" t="str">
        <x:v>Excluded</x:v>
      </x:c>
      <x:c r="I6191" s="16" t="str">
        <x:v>Missing email</x:v>
      </x:c>
    </x:row>
    <x:row r="6192">
      <x:c r="A6192" s="16" t="n">
        <x:v>6189</x:v>
      </x:c>
      <x:c r="B6192" s="16" t="str">
        <x:v>Shah Advert Consultant</x:v>
      </x:c>
      <x:c r="C6192" s="16" t="str"/>
      <x:c r="D6192" s="16" t="str"/>
      <x:c r="E6192" s="16" t="str">
        <x:v>* myContacts</x:v>
      </x:c>
      <x:c r="F6192" s="16" t="str">
        <x:v>+60 19-618 1780 | +601110702021 | +60196181780 | +601110702021</x:v>
      </x:c>
      <x:c r="G6192" s="16" t="str">
        <x:v>+60196181780 | +601110702021 | +60196181780 | +601110702021</x:v>
      </x:c>
      <x:c r="H6192" s="16" t="str">
        <x:v>Excluded</x:v>
      </x:c>
      <x:c r="I6192" s="16" t="str">
        <x:v>Missing email</x:v>
      </x:c>
    </x:row>
    <x:row r="6193">
      <x:c r="A6193" s="16" t="n">
        <x:v>6190</x:v>
      </x:c>
      <x:c r="B6193" s="16" t="str">
        <x:v>Shah Arol</x:v>
      </x:c>
      <x:c r="C6193" s="16" t="str"/>
      <x:c r="D6193" s="16" t="str"/>
      <x:c r="E6193" s="16" t="str">
        <x:v>* myContacts</x:v>
      </x:c>
      <x:c r="F6193" s="16" t="str">
        <x:v>+60194330554</x:v>
      </x:c>
      <x:c r="G6193" s="16" t="str">
        <x:v>+60194330554</x:v>
      </x:c>
      <x:c r="H6193" s="16" t="str">
        <x:v>Excluded</x:v>
      </x:c>
      <x:c r="I6193" s="16" t="str">
        <x:v>Missing email</x:v>
      </x:c>
    </x:row>
    <x:row r="6194">
      <x:c r="A6194" s="16" t="n">
        <x:v>6191</x:v>
      </x:c>
      <x:c r="B6194" s="16" t="str">
        <x:v>Shah Aziq</x:v>
      </x:c>
      <x:c r="C6194" s="16" t="str"/>
      <x:c r="D6194" s="16" t="str"/>
      <x:c r="E6194" s="16" t="str">
        <x:v>* myContacts</x:v>
      </x:c>
      <x:c r="F6194" s="16" t="str">
        <x:v>+60183918022</x:v>
      </x:c>
      <x:c r="G6194" s="16" t="str">
        <x:v>+60183918022</x:v>
      </x:c>
      <x:c r="H6194" s="16" t="str">
        <x:v>Excluded</x:v>
      </x:c>
      <x:c r="I6194" s="16" t="str">
        <x:v>Missing email</x:v>
      </x:c>
    </x:row>
    <x:row r="6195">
      <x:c r="A6195" s="16" t="n">
        <x:v>6192</x:v>
      </x:c>
      <x:c r="B6195" s="16" t="str">
        <x:v>Shah Biz</x:v>
      </x:c>
      <x:c r="C6195" s="16" t="str"/>
      <x:c r="D6195" s="16" t="str"/>
      <x:c r="E6195" s="16" t="str">
        <x:v>* myContacts</x:v>
      </x:c>
      <x:c r="F6195" s="16" t="str">
        <x:v>+601121819329</x:v>
      </x:c>
      <x:c r="G6195" s="16" t="str">
        <x:v>+601121819329</x:v>
      </x:c>
      <x:c r="H6195" s="16" t="str">
        <x:v>Excluded</x:v>
      </x:c>
      <x:c r="I6195" s="16" t="str">
        <x:v>Missing email</x:v>
      </x:c>
    </x:row>
    <x:row r="6196">
      <x:c r="A6196" s="16" t="n">
        <x:v>6193</x:v>
      </x:c>
      <x:c r="B6196" s="16" t="str">
        <x:v>Shah Coach</x:v>
      </x:c>
      <x:c r="C6196" s="16" t="str"/>
      <x:c r="D6196" s="16" t="str"/>
      <x:c r="E6196" s="16" t="str">
        <x:v>Trainer | * myContacts</x:v>
      </x:c>
      <x:c r="F6196" s="16" t="str">
        <x:v>+60 18-771 8311 | +60187718311</x:v>
      </x:c>
      <x:c r="G6196" s="16" t="str">
        <x:v>+60187718311 | +60187718311</x:v>
      </x:c>
      <x:c r="H6196" s="16" t="str">
        <x:v>Excluded</x:v>
      </x:c>
      <x:c r="I6196" s="16" t="str">
        <x:v>Missing email</x:v>
      </x:c>
    </x:row>
    <x:row r="6197">
      <x:c r="A6197" s="16" t="n">
        <x:v>6194</x:v>
      </x:c>
      <x:c r="B6197" s="16" t="str">
        <x:v>Shah Darwin</x:v>
      </x:c>
      <x:c r="C6197" s="16" t="str"/>
      <x:c r="D6197" s="16" t="str"/>
      <x:c r="E6197" s="16" t="str">
        <x:v>* myContacts</x:v>
      </x:c>
      <x:c r="F6197" s="16" t="str">
        <x:v>+60193633037</x:v>
      </x:c>
      <x:c r="G6197" s="16" t="str">
        <x:v>+60193633037</x:v>
      </x:c>
      <x:c r="H6197" s="16" t="str">
        <x:v>Excluded</x:v>
      </x:c>
      <x:c r="I6197" s="16" t="str">
        <x:v>Missing email</x:v>
      </x:c>
    </x:row>
    <x:row r="6198">
      <x:c r="A6198" s="16" t="n">
        <x:v>6195</x:v>
      </x:c>
      <x:c r="B6198" s="16" t="str">
        <x:v>Shah Ezard Shazard</x:v>
      </x:c>
      <x:c r="C6198" s="16" t="str"/>
      <x:c r="D6198" s="16" t="str"/>
      <x:c r="E6198" s="16" t="str">
        <x:v>* myContacts</x:v>
      </x:c>
      <x:c r="F6198" s="16" t="str">
        <x:v>+60176083597</x:v>
      </x:c>
      <x:c r="G6198" s="16" t="str">
        <x:v>+60176083597</x:v>
      </x:c>
      <x:c r="H6198" s="16" t="str">
        <x:v>Excluded</x:v>
      </x:c>
      <x:c r="I6198" s="16" t="str">
        <x:v>Missing email</x:v>
      </x:c>
    </x:row>
    <x:row r="6199">
      <x:c r="A6199" s="16" t="n">
        <x:v>6196</x:v>
      </x:c>
      <x:c r="B6199" s="16" t="str">
        <x:v>Shah Half Cut</x:v>
      </x:c>
      <x:c r="C6199" s="16" t="str"/>
      <x:c r="D6199" s="16" t="str"/>
      <x:c r="E6199" s="16" t="str">
        <x:v>* myContacts</x:v>
      </x:c>
      <x:c r="F6199" s="16" t="str">
        <x:v>011-2341 3617 | +601123413617</x:v>
      </x:c>
      <x:c r="G6199" s="16" t="str">
        <x:v>+601123413617 | +601123413617</x:v>
      </x:c>
      <x:c r="H6199" s="16" t="str">
        <x:v>Excluded</x:v>
      </x:c>
      <x:c r="I6199" s="16" t="str">
        <x:v>Missing email</x:v>
      </x:c>
    </x:row>
    <x:row r="6200">
      <x:c r="A6200" s="16" t="n">
        <x:v>6197</x:v>
      </x:c>
      <x:c r="B6200" s="16" t="str">
        <x:v>Shah Izwan Nazlin</x:v>
      </x:c>
      <x:c r="C6200" s="16" t="str"/>
      <x:c r="D6200" s="16" t="str"/>
      <x:c r="E6200" s="16" t="str">
        <x:v>* myContacts</x:v>
      </x:c>
      <x:c r="F6200" s="16" t="str">
        <x:v>+60162414110</x:v>
      </x:c>
      <x:c r="G6200" s="16" t="str">
        <x:v>+60162414110</x:v>
      </x:c>
      <x:c r="H6200" s="16" t="str">
        <x:v>Excluded</x:v>
      </x:c>
      <x:c r="I6200" s="16" t="str">
        <x:v>Missing email</x:v>
      </x:c>
    </x:row>
    <x:row r="6201">
      <x:c r="A6201" s="16" t="n">
        <x:v>6198</x:v>
      </x:c>
      <x:c r="B6201" s="16" t="str">
        <x:v>Shah Nlp Taiping</x:v>
      </x:c>
      <x:c r="C6201" s="16" t="str"/>
      <x:c r="D6201" s="16" t="str"/>
      <x:c r="E6201" s="16" t="str">
        <x:v>* myContacts</x:v>
      </x:c>
      <x:c r="F6201" s="16" t="str">
        <x:v>0135203377 | +60135203377</x:v>
      </x:c>
      <x:c r="G6201" s="16" t="str">
        <x:v>+60135203377 | +60135203377</x:v>
      </x:c>
      <x:c r="H6201" s="16" t="str">
        <x:v>Excluded</x:v>
      </x:c>
      <x:c r="I6201" s="16" t="str">
        <x:v>Missing email</x:v>
      </x:c>
    </x:row>
    <x:row r="6202">
      <x:c r="A6202" s="16" t="n">
        <x:v>6199</x:v>
      </x:c>
      <x:c r="B6202" s="16" t="str">
        <x:v>Shah Nor Azdzilawaty</x:v>
      </x:c>
      <x:c r="C6202" s="16" t="str"/>
      <x:c r="D6202" s="16" t="str"/>
      <x:c r="E6202" s="16" t="str">
        <x:v>* myContacts</x:v>
      </x:c>
      <x:c r="F6202" s="16" t="str">
        <x:v>+60162000000</x:v>
      </x:c>
      <x:c r="G6202" s="16" t="str">
        <x:v>+60162000000</x:v>
      </x:c>
      <x:c r="H6202" s="16" t="str">
        <x:v>Excluded</x:v>
      </x:c>
      <x:c r="I6202" s="16" t="str">
        <x:v>Missing email</x:v>
      </x:c>
    </x:row>
    <x:row r="6203">
      <x:c r="A6203" s="16" t="n">
        <x:v>6200</x:v>
      </x:c>
      <x:c r="B6203" s="16" t="str">
        <x:v>Shah Right</x:v>
      </x:c>
      <x:c r="C6203" s="16" t="str"/>
      <x:c r="D6203" s="16" t="str"/>
      <x:c r="E6203" s="16" t="str">
        <x:v>* myContacts</x:v>
      </x:c>
      <x:c r="F6203" s="16" t="str">
        <x:v>+60193721215</x:v>
      </x:c>
      <x:c r="G6203" s="16" t="str">
        <x:v>+60193721215</x:v>
      </x:c>
      <x:c r="H6203" s="16" t="str">
        <x:v>Excluded</x:v>
      </x:c>
      <x:c r="I6203" s="16" t="str">
        <x:v>Missing email</x:v>
      </x:c>
    </x:row>
    <x:row r="6204">
      <x:c r="A6204" s="16" t="n">
        <x:v>6201</x:v>
      </x:c>
      <x:c r="B6204" s="16" t="str">
        <x:v>Shah Samat Shah</x:v>
      </x:c>
      <x:c r="C6204" s="16" t="str"/>
      <x:c r="D6204" s="16" t="str"/>
      <x:c r="E6204" s="16" t="str">
        <x:v>* myContacts</x:v>
      </x:c>
      <x:c r="F6204" s="16" t="str">
        <x:v>+601138548777</x:v>
      </x:c>
      <x:c r="G6204" s="16" t="str">
        <x:v>+601138548777</x:v>
      </x:c>
      <x:c r="H6204" s="16" t="str">
        <x:v>Excluded</x:v>
      </x:c>
      <x:c r="I6204" s="16" t="str">
        <x:v>Missing email</x:v>
      </x:c>
    </x:row>
    <x:row r="6205">
      <x:c r="A6205" s="16" t="n">
        <x:v>6202</x:v>
      </x:c>
      <x:c r="B6205" s="16" t="str">
        <x:v>Shaha Perak</x:v>
      </x:c>
      <x:c r="C6205" s="16" t="str"/>
      <x:c r="D6205" s="16" t="str"/>
      <x:c r="E6205" s="16" t="str">
        <x:v>* myContacts</x:v>
      </x:c>
      <x:c r="F6205" s="16" t="str">
        <x:v>+60125496660</x:v>
      </x:c>
      <x:c r="G6205" s="16" t="str">
        <x:v>+60125496660</x:v>
      </x:c>
      <x:c r="H6205" s="16" t="str">
        <x:v>Excluded</x:v>
      </x:c>
      <x:c r="I6205" s="16" t="str">
        <x:v>Missing email</x:v>
      </x:c>
    </x:row>
    <x:row r="6206">
      <x:c r="A6206" s="16" t="n">
        <x:v>6203</x:v>
      </x:c>
      <x:c r="B6206" s="16" t="str">
        <x:v>Shahariman Bin Mamat Student</x:v>
      </x:c>
      <x:c r="C6206" s="16" t="str">
        <x:v>shaharimanmamat@yahoo.com</x:v>
      </x:c>
      <x:c r="D6206" s="16" t="str">
        <x:v>shaharimanmamat@yahoo.com</x:v>
      </x:c>
      <x:c r="E6206" s="16" t="str">
        <x:v>* myContacts</x:v>
      </x:c>
      <x:c r="F6206" s="16" t="str">
        <x:v>0179444438 | +60179444438</x:v>
      </x:c>
      <x:c r="G6206" s="16" t="str">
        <x:v>+60179444438 | +60179444438</x:v>
      </x:c>
      <x:c r="H6206" s="16" t="str">
        <x:v>Eligible</x:v>
      </x:c>
      <x:c r="I6206" s="16" t="str"/>
    </x:row>
    <x:row r="6207">
      <x:c r="A6207" s="16" t="n">
        <x:v>6204</x:v>
      </x:c>
      <x:c r="B6207" s="16" t="str">
        <x:v>Shaharin Azhar Shahadan</x:v>
      </x:c>
      <x:c r="C6207" s="16" t="str"/>
      <x:c r="D6207" s="16" t="str"/>
      <x:c r="E6207" s="16" t="str">
        <x:v>* myContacts</x:v>
      </x:c>
      <x:c r="F6207" s="16" t="str">
        <x:v>+60183776146</x:v>
      </x:c>
      <x:c r="G6207" s="16" t="str">
        <x:v>+60183776146</x:v>
      </x:c>
      <x:c r="H6207" s="16" t="str">
        <x:v>Excluded</x:v>
      </x:c>
      <x:c r="I6207" s="16" t="str">
        <x:v>Missing email</x:v>
      </x:c>
    </x:row>
    <x:row r="6208">
      <x:c r="A6208" s="16" t="n">
        <x:v>6205</x:v>
      </x:c>
      <x:c r="B6208" s="16" t="str">
        <x:v>Shaheera Dira</x:v>
      </x:c>
      <x:c r="C6208" s="16" t="str"/>
      <x:c r="D6208" s="16" t="str"/>
      <x:c r="E6208" s="16" t="str">
        <x:v>* myContacts</x:v>
      </x:c>
      <x:c r="F6208" s="16" t="str">
        <x:v>+60129745991</x:v>
      </x:c>
      <x:c r="G6208" s="16" t="str">
        <x:v>+60129745991</x:v>
      </x:c>
      <x:c r="H6208" s="16" t="str">
        <x:v>Excluded</x:v>
      </x:c>
      <x:c r="I6208" s="16" t="str">
        <x:v>Missing email</x:v>
      </x:c>
    </x:row>
    <x:row r="6209">
      <x:c r="A6209" s="16" t="n">
        <x:v>6206</x:v>
      </x:c>
      <x:c r="B6209" s="16" t="str">
        <x:v>Shahfizan Fizan</x:v>
      </x:c>
      <x:c r="C6209" s="16" t="str"/>
      <x:c r="D6209" s="16" t="str"/>
      <x:c r="E6209" s="16" t="str">
        <x:v>* myContacts</x:v>
      </x:c>
      <x:c r="F6209" s="16" t="str">
        <x:v>+601129276824</x:v>
      </x:c>
      <x:c r="G6209" s="16" t="str">
        <x:v>+601129276824</x:v>
      </x:c>
      <x:c r="H6209" s="16" t="str">
        <x:v>Excluded</x:v>
      </x:c>
      <x:c r="I6209" s="16" t="str">
        <x:v>Missing email</x:v>
      </x:c>
    </x:row>
    <x:row r="6210">
      <x:c r="A6210" s="16" t="n">
        <x:v>6207</x:v>
      </x:c>
      <x:c r="B6210" s="16" t="str">
        <x:v>Shahid Ismail</x:v>
      </x:c>
      <x:c r="C6210" s="16" t="str"/>
      <x:c r="D6210" s="16" t="str"/>
      <x:c r="E6210" s="16" t="str">
        <x:v>* myContacts</x:v>
      </x:c>
      <x:c r="F6210" s="16" t="str">
        <x:v>+60173968029</x:v>
      </x:c>
      <x:c r="G6210" s="16" t="str">
        <x:v>+60173968029</x:v>
      </x:c>
      <x:c r="H6210" s="16" t="str">
        <x:v>Excluded</x:v>
      </x:c>
      <x:c r="I6210" s="16" t="str">
        <x:v>Missing email</x:v>
      </x:c>
    </x:row>
    <x:row r="6211">
      <x:c r="A6211" s="16" t="n">
        <x:v>6208</x:v>
      </x:c>
      <x:c r="B6211" s="16" t="str">
        <x:v>Shahila Fadzli</x:v>
      </x:c>
      <x:c r="C6211" s="16" t="str"/>
      <x:c r="D6211" s="16" t="str"/>
      <x:c r="E6211" s="16" t="str">
        <x:v>* myContacts</x:v>
      </x:c>
      <x:c r="F6211" s="16" t="str">
        <x:v>+60145391379</x:v>
      </x:c>
      <x:c r="G6211" s="16" t="str">
        <x:v>+60145391379</x:v>
      </x:c>
      <x:c r="H6211" s="16" t="str">
        <x:v>Excluded</x:v>
      </x:c>
      <x:c r="I6211" s="16" t="str">
        <x:v>Missing email</x:v>
      </x:c>
    </x:row>
    <x:row r="6212">
      <x:c r="A6212" s="16" t="n">
        <x:v>6209</x:v>
      </x:c>
      <x:c r="B6212" s="16" t="str">
        <x:v>Shahir Sa'ad</x:v>
      </x:c>
      <x:c r="C6212" s="16" t="str"/>
      <x:c r="D6212" s="16" t="str"/>
      <x:c r="E6212" s="16" t="str">
        <x:v>* myContacts</x:v>
      </x:c>
      <x:c r="F6212" s="16" t="str">
        <x:v>+60177344721</x:v>
      </x:c>
      <x:c r="G6212" s="16" t="str">
        <x:v>+60177344721</x:v>
      </x:c>
      <x:c r="H6212" s="16" t="str">
        <x:v>Excluded</x:v>
      </x:c>
      <x:c r="I6212" s="16" t="str">
        <x:v>Missing email</x:v>
      </x:c>
    </x:row>
    <x:row r="6213">
      <x:c r="A6213" s="16" t="n">
        <x:v>6210</x:v>
      </x:c>
      <x:c r="B6213" s="16" t="str">
        <x:v>Shahira Ismail</x:v>
      </x:c>
      <x:c r="C6213" s="16" t="str"/>
      <x:c r="D6213" s="16" t="str"/>
      <x:c r="E6213" s="16" t="str">
        <x:v>* myContacts</x:v>
      </x:c>
      <x:c r="F6213" s="16" t="str">
        <x:v>+601121726884</x:v>
      </x:c>
      <x:c r="G6213" s="16" t="str">
        <x:v>+601121726884</x:v>
      </x:c>
      <x:c r="H6213" s="16" t="str">
        <x:v>Excluded</x:v>
      </x:c>
      <x:c r="I6213" s="16" t="str">
        <x:v>Missing email</x:v>
      </x:c>
    </x:row>
    <x:row r="6214">
      <x:c r="A6214" s="16" t="n">
        <x:v>6211</x:v>
      </x:c>
      <x:c r="B6214" s="16" t="str">
        <x:v>Shahirah Student FB</x:v>
      </x:c>
      <x:c r="C6214" s="16" t="str"/>
      <x:c r="D6214" s="16" t="str"/>
      <x:c r="E6214" s="16" t="str">
        <x:v>* myContacts</x:v>
      </x:c>
      <x:c r="F6214" s="16" t="str">
        <x:v>+60 11-2351 7190 | +601123517190</x:v>
      </x:c>
      <x:c r="G6214" s="16" t="str">
        <x:v>+601123517190 | +601123517190</x:v>
      </x:c>
      <x:c r="H6214" s="16" t="str">
        <x:v>Excluded</x:v>
      </x:c>
      <x:c r="I6214" s="16" t="str">
        <x:v>Missing email</x:v>
      </x:c>
    </x:row>
    <x:row r="6215">
      <x:c r="A6215" s="16" t="n">
        <x:v>6212</x:v>
      </x:c>
      <x:c r="B6215" s="16" t="str">
        <x:v>Shahirah Yusoff</x:v>
      </x:c>
      <x:c r="C6215" s="16" t="str"/>
      <x:c r="D6215" s="16" t="str"/>
      <x:c r="E6215" s="16" t="str">
        <x:v>* myContacts</x:v>
      </x:c>
      <x:c r="F6215" s="16" t="str">
        <x:v>+60135826244</x:v>
      </x:c>
      <x:c r="G6215" s="16" t="str">
        <x:v>+60135826244</x:v>
      </x:c>
      <x:c r="H6215" s="16" t="str">
        <x:v>Excluded</x:v>
      </x:c>
      <x:c r="I6215" s="16" t="str">
        <x:v>Missing email</x:v>
      </x:c>
    </x:row>
    <x:row r="6216">
      <x:c r="A6216" s="16" t="n">
        <x:v>6213</x:v>
      </x:c>
      <x:c r="B6216" s="16" t="str">
        <x:v>Shahiran Car War GPR Puncak Alam</x:v>
      </x:c>
      <x:c r="C6216" s="16" t="str"/>
      <x:c r="D6216" s="16" t="str"/>
      <x:c r="E6216" s="16" t="str">
        <x:v>* myContacts</x:v>
      </x:c>
      <x:c r="F6216" s="16" t="str">
        <x:v>0192209458 | +60192209458</x:v>
      </x:c>
      <x:c r="G6216" s="16" t="str">
        <x:v>+60192209458 | +60192209458</x:v>
      </x:c>
      <x:c r="H6216" s="16" t="str">
        <x:v>Excluded</x:v>
      </x:c>
      <x:c r="I6216" s="16" t="str">
        <x:v>Missing email</x:v>
      </x:c>
    </x:row>
    <x:row r="6217">
      <x:c r="A6217" s="16" t="n">
        <x:v>6214</x:v>
      </x:c>
      <x:c r="B6217" s="16" t="str">
        <x:v>shahril bos abaata</x:v>
      </x:c>
      <x:c r="C6217" s="16" t="str"/>
      <x:c r="D6217" s="16" t="str"/>
      <x:c r="E6217" s="16" t="str">
        <x:v>* myContacts</x:v>
      </x:c>
      <x:c r="F6217" s="16" t="str">
        <x:v>017-533 1125 | 011-1788 8248</x:v>
      </x:c>
      <x:c r="G6217" s="16" t="str">
        <x:v>+60175331125 | +601117888248</x:v>
      </x:c>
      <x:c r="H6217" s="16" t="str">
        <x:v>Excluded</x:v>
      </x:c>
      <x:c r="I6217" s="16" t="str">
        <x:v>Missing email</x:v>
      </x:c>
    </x:row>
    <x:row r="6218">
      <x:c r="A6218" s="16" t="n">
        <x:v>6215</x:v>
      </x:c>
      <x:c r="B6218" s="16" t="str">
        <x:v>shahril mdec im</x:v>
      </x:c>
      <x:c r="C6218" s="16" t="str"/>
      <x:c r="D6218" s="16" t="str"/>
      <x:c r="E6218" s="16" t="str">
        <x:v>* myContacts</x:v>
      </x:c>
      <x:c r="F6218" s="16" t="str">
        <x:v>+60189009868 | +60 11-5651 0565 | +60189009868 | +601156510565</x:v>
      </x:c>
      <x:c r="G6218" s="16" t="str">
        <x:v>+60189009868 | +601156510565 | +60189009868 | +601156510565</x:v>
      </x:c>
      <x:c r="H6218" s="16" t="str">
        <x:v>Excluded</x:v>
      </x:c>
      <x:c r="I6218" s="16" t="str">
        <x:v>Missing email</x:v>
      </x:c>
    </x:row>
    <x:row r="6219">
      <x:c r="A6219" s="16" t="n">
        <x:v>6216</x:v>
      </x:c>
      <x:c r="B6219" s="16" t="str">
        <x:v>Shahril Suwardi</x:v>
      </x:c>
      <x:c r="C6219" s="16" t="str"/>
      <x:c r="D6219" s="16" t="str"/>
      <x:c r="E6219" s="16" t="str">
        <x:v>* myContacts</x:v>
      </x:c>
      <x:c r="F6219" s="16" t="str">
        <x:v>+60172264490</x:v>
      </x:c>
      <x:c r="G6219" s="16" t="str">
        <x:v>+60172264490</x:v>
      </x:c>
      <x:c r="H6219" s="16" t="str">
        <x:v>Excluded</x:v>
      </x:c>
      <x:c r="I6219" s="16" t="str">
        <x:v>Missing email</x:v>
      </x:c>
    </x:row>
    <x:row r="6220">
      <x:c r="A6220" s="16" t="n">
        <x:v>6217</x:v>
      </x:c>
      <x:c r="B6220" s="16" t="str">
        <x:v>Shahrin Sifu Fb Ads Expert Insken</x:v>
      </x:c>
      <x:c r="C6220" s="16" t="str"/>
      <x:c r="D6220" s="16" t="str"/>
      <x:c r="E6220" s="16" t="str">
        <x:v>Alumni INSKEN | Trainer | * myContacts</x:v>
      </x:c>
      <x:c r="F6220" s="16" t="str">
        <x:v>+60133456726</x:v>
      </x:c>
      <x:c r="G6220" s="16" t="str">
        <x:v>+60133456726</x:v>
      </x:c>
      <x:c r="H6220" s="16" t="str">
        <x:v>Excluded</x:v>
      </x:c>
      <x:c r="I6220" s="16" t="str">
        <x:v>Missing email</x:v>
      </x:c>
    </x:row>
    <x:row r="6221">
      <x:c r="A6221" s="16" t="n">
        <x:v>6218</x:v>
      </x:c>
      <x:c r="B6221" s="16" t="str">
        <x:v>shahrin sifu fb ads Im</x:v>
      </x:c>
      <x:c r="C6221" s="16" t="str"/>
      <x:c r="D6221" s="16" t="str"/>
      <x:c r="E6221" s="16" t="str">
        <x:v>Trainer | * myContacts</x:v>
      </x:c>
      <x:c r="F6221" s="16" t="str">
        <x:v>013-350 5260 | +60133505260</x:v>
      </x:c>
      <x:c r="G6221" s="16" t="str">
        <x:v>+60133505260 | +60133505260</x:v>
      </x:c>
      <x:c r="H6221" s="16" t="str">
        <x:v>Excluded</x:v>
      </x:c>
      <x:c r="I6221" s="16" t="str">
        <x:v>Missing email</x:v>
      </x:c>
    </x:row>
    <x:row r="6222">
      <x:c r="A6222" s="16" t="n">
        <x:v>6219</x:v>
      </x:c>
      <x:c r="B6222" s="16" t="str">
        <x:v>Shahrizal AGP Agent</x:v>
      </x:c>
      <x:c r="C6222" s="16" t="str"/>
      <x:c r="D6222" s="16" t="str"/>
      <x:c r="E6222" s="16" t="str">
        <x:v>* myContacts</x:v>
      </x:c>
      <x:c r="F6222" s="16" t="str">
        <x:v>+60 19-473 0278 | +60194730278</x:v>
      </x:c>
      <x:c r="G6222" s="16" t="str">
        <x:v>+60194730278 | +60194730278</x:v>
      </x:c>
      <x:c r="H6222" s="16" t="str">
        <x:v>Excluded</x:v>
      </x:c>
      <x:c r="I6222" s="16" t="str">
        <x:v>Missing email</x:v>
      </x:c>
    </x:row>
    <x:row r="6223">
      <x:c r="A6223" s="16" t="n">
        <x:v>6220</x:v>
      </x:c>
      <x:c r="B6223" s="16" t="str">
        <x:v>shahrizal perfume</x:v>
      </x:c>
      <x:c r="C6223" s="16" t="str"/>
      <x:c r="D6223" s="16" t="str"/>
      <x:c r="E6223" s="16" t="str">
        <x:v>* myContacts</x:v>
      </x:c>
      <x:c r="F6223" s="16" t="str">
        <x:v>0168334471 | +60168334471</x:v>
      </x:c>
      <x:c r="G6223" s="16" t="str">
        <x:v>+60168334471 | +60168334471</x:v>
      </x:c>
      <x:c r="H6223" s="16" t="str">
        <x:v>Excluded</x:v>
      </x:c>
      <x:c r="I6223" s="16" t="str">
        <x:v>Missing email</x:v>
      </x:c>
    </x:row>
    <x:row r="6224">
      <x:c r="A6224" s="16" t="n">
        <x:v>6221</x:v>
      </x:c>
      <x:c r="B6224" s="16" t="str">
        <x:v>Shahrizan Daud At Turabi</x:v>
      </x:c>
      <x:c r="C6224" s="16" t="str"/>
      <x:c r="D6224" s="16" t="str"/>
      <x:c r="E6224" s="16" t="str">
        <x:v>* myContacts</x:v>
      </x:c>
      <x:c r="F6224" s="16" t="str">
        <x:v>+60133934300</x:v>
      </x:c>
      <x:c r="G6224" s="16" t="str">
        <x:v>+60133934300</x:v>
      </x:c>
      <x:c r="H6224" s="16" t="str">
        <x:v>Excluded</x:v>
      </x:c>
      <x:c r="I6224" s="16" t="str">
        <x:v>Missing email</x:v>
      </x:c>
    </x:row>
    <x:row r="6225">
      <x:c r="A6225" s="16" t="n">
        <x:v>6222</x:v>
      </x:c>
      <x:c r="B6225" s="16" t="str">
        <x:v>Shahrom IM</x:v>
      </x:c>
      <x:c r="C6225" s="16" t="str"/>
      <x:c r="D6225" s="16" t="str"/>
      <x:c r="E6225" s="16" t="str">
        <x:v>* myContacts</x:v>
      </x:c>
      <x:c r="F6225" s="16" t="str">
        <x:v>012-352 1042 | +60123521042</x:v>
      </x:c>
      <x:c r="G6225" s="16" t="str">
        <x:v>+60123521042 | +60123521042</x:v>
      </x:c>
      <x:c r="H6225" s="16" t="str">
        <x:v>Excluded</x:v>
      </x:c>
      <x:c r="I6225" s="16" t="str">
        <x:v>Missing email</x:v>
      </x:c>
    </x:row>
    <x:row r="6226">
      <x:c r="A6226" s="16" t="n">
        <x:v>6223</x:v>
      </x:c>
      <x:c r="B6226" s="16" t="str">
        <x:v>shahrul librarian perpustakaan bestari jaya</x:v>
      </x:c>
      <x:c r="C6226" s="16" t="str"/>
      <x:c r="D6226" s="16" t="str"/>
      <x:c r="E6226" s="16" t="str">
        <x:v>* myContacts</x:v>
      </x:c>
      <x:c r="F6226" s="16" t="str">
        <x:v>0193236335 | +60193236335</x:v>
      </x:c>
      <x:c r="G6226" s="16" t="str">
        <x:v>+60193236335 | +60193236335</x:v>
      </x:c>
      <x:c r="H6226" s="16" t="str">
        <x:v>Excluded</x:v>
      </x:c>
      <x:c r="I6226" s="16" t="str">
        <x:v>Missing email</x:v>
      </x:c>
    </x:row>
    <x:row r="6227">
      <x:c r="A6227" s="16" t="n">
        <x:v>6224</x:v>
      </x:c>
      <x:c r="B6227" s="16" t="str">
        <x:v>Shahrul Amin Hijrah Kuala Selangor</x:v>
      </x:c>
      <x:c r="C6227" s="16" t="str"/>
      <x:c r="D6227" s="16" t="str"/>
      <x:c r="E6227" s="16" t="str">
        <x:v>* myContacts</x:v>
      </x:c>
      <x:c r="F6227" s="16" t="str">
        <x:v>012-645 0983 | +60126450983</x:v>
      </x:c>
      <x:c r="G6227" s="16" t="str">
        <x:v>+60126450983 | +60126450983</x:v>
      </x:c>
      <x:c r="H6227" s="16" t="str">
        <x:v>Excluded</x:v>
      </x:c>
      <x:c r="I6227" s="16" t="str">
        <x:v>Missing email</x:v>
      </x:c>
    </x:row>
    <x:row r="6228">
      <x:c r="A6228" s="16" t="n">
        <x:v>6225</x:v>
      </x:c>
      <x:c r="B6228" s="16" t="str">
        <x:v>Shahrul Anuar</x:v>
      </x:c>
      <x:c r="C6228" s="16" t="str"/>
      <x:c r="D6228" s="16" t="str"/>
      <x:c r="E6228" s="16" t="str">
        <x:v>* myContacts</x:v>
      </x:c>
      <x:c r="F6228" s="16" t="str">
        <x:v>+60126603341</x:v>
      </x:c>
      <x:c r="G6228" s="16" t="str">
        <x:v>+60126603341</x:v>
      </x:c>
      <x:c r="H6228" s="16" t="str">
        <x:v>Excluded</x:v>
      </x:c>
      <x:c r="I6228" s="16" t="str">
        <x:v>Missing email</x:v>
      </x:c>
    </x:row>
    <x:row r="6229">
      <x:c r="A6229" s="16" t="n">
        <x:v>6226</x:v>
      </x:c>
      <x:c r="B6229" s="16" t="str">
        <x:v>shahrul azri P2</x:v>
      </x:c>
      <x:c r="C6229" s="16" t="str"/>
      <x:c r="D6229" s="16" t="str"/>
      <x:c r="E6229" s="16" t="str">
        <x:v>* myContacts</x:v>
      </x:c>
      <x:c r="F6229" s="16" t="str">
        <x:v>+60 19-301 0603 | +60193010603 | 0173622123</x:v>
      </x:c>
      <x:c r="G6229" s="16" t="str">
        <x:v>+60193010603 | +60193010603 | +60173622123</x:v>
      </x:c>
      <x:c r="H6229" s="16" t="str">
        <x:v>Excluded</x:v>
      </x:c>
      <x:c r="I6229" s="16" t="str">
        <x:v>Missing email</x:v>
      </x:c>
    </x:row>
    <x:row r="6230">
      <x:c r="A6230" s="16" t="n">
        <x:v>6227</x:v>
      </x:c>
      <x:c r="B6230" s="16" t="str">
        <x:v>Shahrul Fahmi</x:v>
      </x:c>
      <x:c r="C6230" s="16" t="str"/>
      <x:c r="D6230" s="16" t="str"/>
      <x:c r="E6230" s="16" t="str">
        <x:v>* myContacts</x:v>
      </x:c>
      <x:c r="F6230" s="16" t="str">
        <x:v>+60126964604</x:v>
      </x:c>
      <x:c r="G6230" s="16" t="str">
        <x:v>+60126964604</x:v>
      </x:c>
      <x:c r="H6230" s="16" t="str">
        <x:v>Excluded</x:v>
      </x:c>
      <x:c r="I6230" s="16" t="str">
        <x:v>Missing email</x:v>
      </x:c>
    </x:row>
    <x:row r="6231">
      <x:c r="A6231" s="16" t="n">
        <x:v>6228</x:v>
      </x:c>
      <x:c r="B6231" s="16" t="str">
        <x:v>Shahrul Hafizi Zakaria</x:v>
      </x:c>
      <x:c r="C6231" s="16" t="str"/>
      <x:c r="D6231" s="16" t="str"/>
      <x:c r="E6231" s="16" t="str">
        <x:v>* myContacts</x:v>
      </x:c>
      <x:c r="F6231" s="16" t="str">
        <x:v>+60196915976</x:v>
      </x:c>
      <x:c r="G6231" s="16" t="str">
        <x:v>+60196915976</x:v>
      </x:c>
      <x:c r="H6231" s="16" t="str">
        <x:v>Excluded</x:v>
      </x:c>
      <x:c r="I6231" s="16" t="str">
        <x:v>Missing email</x:v>
      </x:c>
    </x:row>
    <x:row r="6232">
      <x:c r="A6232" s="16" t="n">
        <x:v>6229</x:v>
      </x:c>
      <x:c r="B6232" s="16" t="str">
        <x:v>Shahrul Nashriq 2nd Number</x:v>
      </x:c>
      <x:c r="C6232" s="16" t="str"/>
      <x:c r="D6232" s="16" t="str"/>
      <x:c r="E6232" s="16" t="str">
        <x:v>* myContacts</x:v>
      </x:c>
      <x:c r="F6232" s="16" t="str">
        <x:v>+60 19-337 4845</x:v>
      </x:c>
      <x:c r="G6232" s="16" t="str">
        <x:v>+60193374845</x:v>
      </x:c>
      <x:c r="H6232" s="16" t="str">
        <x:v>Excluded</x:v>
      </x:c>
      <x:c r="I6232" s="16" t="str">
        <x:v>Missing email</x:v>
      </x:c>
    </x:row>
    <x:row r="6233">
      <x:c r="A6233" s="16" t="n">
        <x:v>6230</x:v>
      </x:c>
      <x:c r="B6233" s="16" t="str">
        <x:v>Shahrul Nashriq Agent AGP</x:v>
      </x:c>
      <x:c r="C6233" s="16" t="str"/>
      <x:c r="D6233" s="16" t="str"/>
      <x:c r="E6233" s="16" t="str">
        <x:v>* myContacts</x:v>
      </x:c>
      <x:c r="F6233" s="16" t="str">
        <x:v>+60 12-410 3036 | +60124103036</x:v>
      </x:c>
      <x:c r="G6233" s="16" t="str">
        <x:v>+60124103036 | +60124103036</x:v>
      </x:c>
      <x:c r="H6233" s="16" t="str">
        <x:v>Excluded</x:v>
      </x:c>
      <x:c r="I6233" s="16" t="str">
        <x:v>Missing email</x:v>
      </x:c>
    </x:row>
    <x:row r="6234">
      <x:c r="A6234" s="16" t="n">
        <x:v>6231</x:v>
      </x:c>
      <x:c r="B6234" s="16" t="str">
        <x:v>Shahrul Nizam</x:v>
      </x:c>
      <x:c r="C6234" s="16" t="str"/>
      <x:c r="D6234" s="16" t="str"/>
      <x:c r="E6234" s="16" t="str">
        <x:v>* myContacts</x:v>
      </x:c>
      <x:c r="F6234" s="16" t="str">
        <x:v>+60163850405</x:v>
      </x:c>
      <x:c r="G6234" s="16" t="str">
        <x:v>+60163850405</x:v>
      </x:c>
      <x:c r="H6234" s="16" t="str">
        <x:v>Excluded</x:v>
      </x:c>
      <x:c r="I6234" s="16" t="str">
        <x:v>Missing email</x:v>
      </x:c>
    </x:row>
    <x:row r="6235">
      <x:c r="A6235" s="16" t="n">
        <x:v>6232</x:v>
      </x:c>
      <x:c r="B6235" s="16" t="str">
        <x:v>SHAHRUL RIDHWAN BIN DESA</x:v>
      </x:c>
      <x:c r="C6235" s="16" t="str"/>
      <x:c r="D6235" s="16" t="str"/>
      <x:c r="E6235" s="16" t="str">
        <x:v>* myContacts</x:v>
      </x:c>
      <x:c r="F6235" s="16" t="str">
        <x:v>+60 12-298 3946 | +60122983946</x:v>
      </x:c>
      <x:c r="G6235" s="16" t="str">
        <x:v>+60122983946 | +60122983946</x:v>
      </x:c>
      <x:c r="H6235" s="16" t="str">
        <x:v>Excluded</x:v>
      </x:c>
      <x:c r="I6235" s="16" t="str">
        <x:v>Missing email</x:v>
      </x:c>
    </x:row>
    <x:row r="6236">
      <x:c r="A6236" s="16" t="n">
        <x:v>6233</x:v>
      </x:c>
      <x:c r="B6236" s="16" t="str">
        <x:v>Shahrul Sabri</x:v>
      </x:c>
      <x:c r="C6236" s="16" t="str"/>
      <x:c r="D6236" s="16" t="str"/>
      <x:c r="E6236" s="16" t="str">
        <x:v>* myContacts</x:v>
      </x:c>
      <x:c r="F6236" s="16" t="str">
        <x:v>+60129008906</x:v>
      </x:c>
      <x:c r="G6236" s="16" t="str">
        <x:v>+60129008906</x:v>
      </x:c>
      <x:c r="H6236" s="16" t="str">
        <x:v>Excluded</x:v>
      </x:c>
      <x:c r="I6236" s="16" t="str">
        <x:v>Missing email</x:v>
      </x:c>
    </x:row>
    <x:row r="6237">
      <x:c r="A6237" s="16" t="n">
        <x:v>6234</x:v>
      </x:c>
      <x:c r="B6237" s="16" t="str">
        <x:v>Shahrul Shah</x:v>
      </x:c>
      <x:c r="C6237" s="16" t="str"/>
      <x:c r="D6237" s="16" t="str"/>
      <x:c r="E6237" s="16" t="str">
        <x:v>* myContacts</x:v>
      </x:c>
      <x:c r="F6237" s="16" t="str">
        <x:v>+601139431877</x:v>
      </x:c>
      <x:c r="G6237" s="16" t="str">
        <x:v>+601139431877</x:v>
      </x:c>
      <x:c r="H6237" s="16" t="str">
        <x:v>Excluded</x:v>
      </x:c>
      <x:c r="I6237" s="16" t="str">
        <x:v>Missing email</x:v>
      </x:c>
    </x:row>
    <x:row r="6238">
      <x:c r="A6238" s="16" t="n">
        <x:v>6235</x:v>
      </x:c>
      <x:c r="B6238" s="16" t="str">
        <x:v>Shahrul Te</x:v>
      </x:c>
      <x:c r="C6238" s="16" t="str"/>
      <x:c r="D6238" s="16" t="str"/>
      <x:c r="E6238" s="16" t="str">
        <x:v>* myContacts</x:v>
      </x:c>
      <x:c r="F6238" s="16" t="str">
        <x:v>+601124045786</x:v>
      </x:c>
      <x:c r="G6238" s="16" t="str">
        <x:v>+601124045786</x:v>
      </x:c>
      <x:c r="H6238" s="16" t="str">
        <x:v>Excluded</x:v>
      </x:c>
      <x:c r="I6238" s="16" t="str">
        <x:v>Missing email</x:v>
      </x:c>
    </x:row>
    <x:row r="6239">
      <x:c r="A6239" s="16" t="n">
        <x:v>6236</x:v>
      </x:c>
      <x:c r="B6239" s="16" t="str">
        <x:v>Shahrul Tvet ILP Mersing</x:v>
      </x:c>
      <x:c r="C6239" s="16" t="str"/>
      <x:c r="D6239" s="16" t="str"/>
      <x:c r="E6239" s="16" t="str">
        <x:v>* myContacts</x:v>
      </x:c>
      <x:c r="F6239" s="16" t="str">
        <x:v>012-779 9400 | +60127799400</x:v>
      </x:c>
      <x:c r="G6239" s="16" t="str">
        <x:v>+60127799400 | +60127799400</x:v>
      </x:c>
      <x:c r="H6239" s="16" t="str">
        <x:v>Excluded</x:v>
      </x:c>
      <x:c r="I6239" s="16" t="str">
        <x:v>Missing email</x:v>
      </x:c>
    </x:row>
    <x:row r="6240">
      <x:c r="A6240" s="16" t="n">
        <x:v>6237</x:v>
      </x:c>
      <x:c r="B6240" s="16" t="str">
        <x:v>Shahrul Website Developer</x:v>
      </x:c>
      <x:c r="C6240" s="16" t="str"/>
      <x:c r="D6240" s="16" t="str"/>
      <x:c r="E6240" s="16" t="str">
        <x:v>* myContacts</x:v>
      </x:c>
      <x:c r="F6240" s="16" t="str">
        <x:v>+60 13-504 4024 | +60135044024</x:v>
      </x:c>
      <x:c r="G6240" s="16" t="str">
        <x:v>+60135044024 | +60135044024</x:v>
      </x:c>
      <x:c r="H6240" s="16" t="str">
        <x:v>Excluded</x:v>
      </x:c>
      <x:c r="I6240" s="16" t="str">
        <x:v>Missing email</x:v>
      </x:c>
    </x:row>
    <x:row r="6241">
      <x:c r="A6241" s="16" t="n">
        <x:v>6238</x:v>
      </x:c>
      <x:c r="B6241" s="16" t="str">
        <x:v>Shahrulnizam Saud</x:v>
      </x:c>
      <x:c r="C6241" s="16" t="str"/>
      <x:c r="D6241" s="16" t="str"/>
      <x:c r="E6241" s="16" t="str">
        <x:v>* myContacts</x:v>
      </x:c>
      <x:c r="F6241" s="16" t="str">
        <x:v>+60198077165</x:v>
      </x:c>
      <x:c r="G6241" s="16" t="str">
        <x:v>+60198077165</x:v>
      </x:c>
      <x:c r="H6241" s="16" t="str">
        <x:v>Excluded</x:v>
      </x:c>
      <x:c r="I6241" s="16" t="str">
        <x:v>Missing email</x:v>
      </x:c>
    </x:row>
    <x:row r="6242">
      <x:c r="A6242" s="16" t="n">
        <x:v>6239</x:v>
      </x:c>
      <x:c r="B6242" s="16" t="str">
        <x:v>Shaiful Epul</x:v>
      </x:c>
      <x:c r="C6242" s="16" t="str"/>
      <x:c r="D6242" s="16" t="str"/>
      <x:c r="E6242" s="16" t="str">
        <x:v>* myContacts</x:v>
      </x:c>
      <x:c r="F6242" s="16" t="str">
        <x:v>+60148866212</x:v>
      </x:c>
      <x:c r="G6242" s="16" t="str">
        <x:v>+60148866212</x:v>
      </x:c>
      <x:c r="H6242" s="16" t="str">
        <x:v>Excluded</x:v>
      </x:c>
      <x:c r="I6242" s="16" t="str">
        <x:v>Missing email</x:v>
      </x:c>
    </x:row>
    <x:row r="6243">
      <x:c r="A6243" s="16" t="n">
        <x:v>6240</x:v>
      </x:c>
      <x:c r="B6243" s="16" t="str">
        <x:v>Shaiful Rizal Maybank</x:v>
      </x:c>
      <x:c r="C6243" s="16" t="str"/>
      <x:c r="D6243" s="16" t="str"/>
      <x:c r="E6243" s="16" t="str">
        <x:v>* myContacts</x:v>
      </x:c>
      <x:c r="F6243" s="16" t="str">
        <x:v>+60136829172</x:v>
      </x:c>
      <x:c r="G6243" s="16" t="str">
        <x:v>+60136829172</x:v>
      </x:c>
      <x:c r="H6243" s="16" t="str">
        <x:v>Excluded</x:v>
      </x:c>
      <x:c r="I6243" s="16" t="str">
        <x:v>Missing email</x:v>
      </x:c>
    </x:row>
    <x:row r="6244">
      <x:c r="A6244" s="16" t="n">
        <x:v>6241</x:v>
      </x:c>
      <x:c r="B6244" s="16" t="str">
        <x:v>Shairul Azam Lee</x:v>
      </x:c>
      <x:c r="C6244" s="16" t="str"/>
      <x:c r="D6244" s="16" t="str"/>
      <x:c r="E6244" s="16" t="str">
        <x:v>* myContacts</x:v>
      </x:c>
      <x:c r="F6244" s="16" t="str">
        <x:v>+60168035234</x:v>
      </x:c>
      <x:c r="G6244" s="16" t="str">
        <x:v>+60168035234</x:v>
      </x:c>
      <x:c r="H6244" s="16" t="str">
        <x:v>Excluded</x:v>
      </x:c>
      <x:c r="I6244" s="16" t="str">
        <x:v>Missing email</x:v>
      </x:c>
    </x:row>
    <x:row r="6245">
      <x:c r="A6245" s="16" t="n">
        <x:v>6242</x:v>
      </x:c>
      <x:c r="B6245" s="16" t="str">
        <x:v>Shajril Ganu</x:v>
      </x:c>
      <x:c r="C6245" s="16" t="str"/>
      <x:c r="D6245" s="16" t="str"/>
      <x:c r="E6245" s="16" t="str">
        <x:v>* myContacts</x:v>
      </x:c>
      <x:c r="F6245" s="16" t="str">
        <x:v>+60179222340</x:v>
      </x:c>
      <x:c r="G6245" s="16" t="str">
        <x:v>+60179222340</x:v>
      </x:c>
      <x:c r="H6245" s="16" t="str">
        <x:v>Excluded</x:v>
      </x:c>
      <x:c r="I6245" s="16" t="str">
        <x:v>Missing email</x:v>
      </x:c>
    </x:row>
    <x:row r="6246">
      <x:c r="A6246" s="16" t="n">
        <x:v>6243</x:v>
      </x:c>
      <x:c r="B6246" s="16" t="str">
        <x:v>Shakir Pasak Team</x:v>
      </x:c>
      <x:c r="C6246" s="16" t="str"/>
      <x:c r="D6246" s="16" t="str"/>
      <x:c r="E6246" s="16" t="str">
        <x:v>* myContacts</x:v>
      </x:c>
      <x:c r="F6246" s="16" t="str">
        <x:v>+60 12-290 4393 | +60122904393</x:v>
      </x:c>
      <x:c r="G6246" s="16" t="str">
        <x:v>+60122904393 | +60122904393</x:v>
      </x:c>
      <x:c r="H6246" s="16" t="str">
        <x:v>Excluded</x:v>
      </x:c>
      <x:c r="I6246" s="16" t="str">
        <x:v>Missing email</x:v>
      </x:c>
    </x:row>
    <x:row r="6247">
      <x:c r="A6247" s="16" t="n">
        <x:v>6244</x:v>
      </x:c>
      <x:c r="B6247" s="16" t="str">
        <x:v>Shakir SS</x:v>
      </x:c>
      <x:c r="C6247" s="16" t="str"/>
      <x:c r="D6247" s="16" t="str"/>
      <x:c r="E6247" s="16" t="str">
        <x:v>* myContacts</x:v>
      </x:c>
      <x:c r="F6247" s="16" t="str">
        <x:v>+60174655143</x:v>
      </x:c>
      <x:c r="G6247" s="16" t="str">
        <x:v>+60174655143</x:v>
      </x:c>
      <x:c r="H6247" s="16" t="str">
        <x:v>Excluded</x:v>
      </x:c>
      <x:c r="I6247" s="16" t="str">
        <x:v>Missing email</x:v>
      </x:c>
    </x:row>
    <x:row r="6248">
      <x:c r="A6248" s="16" t="n">
        <x:v>6245</x:v>
      </x:c>
      <x:c r="B6248" s="16" t="str">
        <x:v>Shakir uitm</x:v>
      </x:c>
      <x:c r="C6248" s="16" t="str">
        <x:v>justinkenny13@gmail.com</x:v>
      </x:c>
      <x:c r="D6248" s="16" t="str">
        <x:v>justinkenny13@gmail.com</x:v>
      </x:c>
      <x:c r="E6248" s="16" t="str">
        <x:v>* myContacts</x:v>
      </x:c>
      <x:c r="F6248" s="16" t="str">
        <x:v>0109587306 | +60109587306</x:v>
      </x:c>
      <x:c r="G6248" s="16" t="str">
        <x:v>+60109587306 | +60109587306</x:v>
      </x:c>
      <x:c r="H6248" s="16" t="str">
        <x:v>Eligible</x:v>
      </x:c>
      <x:c r="I6248" s="16" t="str"/>
    </x:row>
    <x:row r="6249">
      <x:c r="A6249" s="16" t="n">
        <x:v>6246</x:v>
      </x:c>
      <x:c r="B6249" s="16" t="str">
        <x:v>Shakirim Rahim</x:v>
      </x:c>
      <x:c r="C6249" s="16" t="str"/>
      <x:c r="D6249" s="16" t="str"/>
      <x:c r="E6249" s="16" t="str">
        <x:v>* myContacts</x:v>
      </x:c>
      <x:c r="F6249" s="16" t="str">
        <x:v>+601115024282</x:v>
      </x:c>
      <x:c r="G6249" s="16" t="str">
        <x:v>+601115024282</x:v>
      </x:c>
      <x:c r="H6249" s="16" t="str">
        <x:v>Excluded</x:v>
      </x:c>
      <x:c r="I6249" s="16" t="str">
        <x:v>Missing email</x:v>
      </x:c>
    </x:row>
    <x:row r="6250">
      <x:c r="A6250" s="16" t="n">
        <x:v>6247</x:v>
      </x:c>
      <x:c r="B6250" s="16" t="str">
        <x:v>Shalina Anuar</x:v>
      </x:c>
      <x:c r="C6250" s="16" t="str"/>
      <x:c r="D6250" s="16" t="str"/>
      <x:c r="E6250" s="16" t="str">
        <x:v>* myContacts</x:v>
      </x:c>
      <x:c r="F6250" s="16" t="str">
        <x:v>+601111857478</x:v>
      </x:c>
      <x:c r="G6250" s="16" t="str">
        <x:v>+601111857478</x:v>
      </x:c>
      <x:c r="H6250" s="16" t="str">
        <x:v>Excluded</x:v>
      </x:c>
      <x:c r="I6250" s="16" t="str">
        <x:v>Missing email</x:v>
      </x:c>
    </x:row>
    <x:row r="6251">
      <x:c r="A6251" s="16" t="n">
        <x:v>6248</x:v>
      </x:c>
      <x:c r="B6251" s="16" t="str">
        <x:v>Shalini Mdec Trainer</x:v>
      </x:c>
      <x:c r="C6251" s="16" t="str"/>
      <x:c r="D6251" s="16" t="str"/>
      <x:c r="E6251" s="16" t="str">
        <x:v>Trainer | * myContacts</x:v>
      </x:c>
      <x:c r="F6251" s="16" t="str">
        <x:v>+60 17-580 2027 | +60175802027</x:v>
      </x:c>
      <x:c r="G6251" s="16" t="str">
        <x:v>+60175802027 | +60175802027</x:v>
      </x:c>
      <x:c r="H6251" s="16" t="str">
        <x:v>Excluded</x:v>
      </x:c>
      <x:c r="I6251" s="16" t="str">
        <x:v>Missing email</x:v>
      </x:c>
    </x:row>
    <x:row r="6252">
      <x:c r="A6252" s="16" t="n">
        <x:v>6249</x:v>
      </x:c>
      <x:c r="B6252" s="16" t="str">
        <x:v>Sham Bujangga</x:v>
      </x:c>
      <x:c r="C6252" s="16" t="str"/>
      <x:c r="D6252" s="16" t="str"/>
      <x:c r="E6252" s="16" t="str">
        <x:v>* myContacts</x:v>
      </x:c>
      <x:c r="F6252" s="16" t="str">
        <x:v>+60198805309</x:v>
      </x:c>
      <x:c r="G6252" s="16" t="str">
        <x:v>+60198805309</x:v>
      </x:c>
      <x:c r="H6252" s="16" t="str">
        <x:v>Excluded</x:v>
      </x:c>
      <x:c r="I6252" s="16" t="str">
        <x:v>Missing email</x:v>
      </x:c>
    </x:row>
    <x:row r="6253">
      <x:c r="A6253" s="16" t="n">
        <x:v>6250</x:v>
      </x:c>
      <x:c r="B6253" s="16" t="str">
        <x:v>Sham JNJ</x:v>
      </x:c>
      <x:c r="C6253" s="16" t="str"/>
      <x:c r="D6253" s="16" t="str"/>
      <x:c r="E6253" s="16" t="str">
        <x:v>* myContacts</x:v>
      </x:c>
      <x:c r="F6253" s="16" t="str">
        <x:v>019-451 5366 | +60194515366</x:v>
      </x:c>
      <x:c r="G6253" s="16" t="str">
        <x:v>+60194515366 | +60194515366</x:v>
      </x:c>
      <x:c r="H6253" s="16" t="str">
        <x:v>Excluded</x:v>
      </x:c>
      <x:c r="I6253" s="16" t="str">
        <x:v>Missing email</x:v>
      </x:c>
    </x:row>
    <x:row r="6254">
      <x:c r="A6254" s="16" t="n">
        <x:v>6251</x:v>
      </x:c>
      <x:c r="B6254" s="16" t="str">
        <x:v>Sham Nana</x:v>
      </x:c>
      <x:c r="C6254" s="16" t="str"/>
      <x:c r="D6254" s="16" t="str"/>
      <x:c r="E6254" s="16" t="str">
        <x:v>* myContacts</x:v>
      </x:c>
      <x:c r="F6254" s="16" t="str">
        <x:v>+601125800868</x:v>
      </x:c>
      <x:c r="G6254" s="16" t="str">
        <x:v>+601125800868</x:v>
      </x:c>
      <x:c r="H6254" s="16" t="str">
        <x:v>Excluded</x:v>
      </x:c>
      <x:c r="I6254" s="16" t="str">
        <x:v>Missing email</x:v>
      </x:c>
    </x:row>
    <x:row r="6255">
      <x:c r="A6255" s="16" t="n">
        <x:v>6252</x:v>
      </x:c>
      <x:c r="B6255" s="16" t="str">
        <x:v>Sham Outrider Kedah</x:v>
      </x:c>
      <x:c r="C6255" s="16" t="str"/>
      <x:c r="D6255" s="16" t="str"/>
      <x:c r="E6255" s="16" t="str">
        <x:v>* myContacts</x:v>
      </x:c>
      <x:c r="F6255" s="16" t="str">
        <x:v>+60195595977</x:v>
      </x:c>
      <x:c r="G6255" s="16" t="str">
        <x:v>+60195595977</x:v>
      </x:c>
      <x:c r="H6255" s="16" t="str">
        <x:v>Excluded</x:v>
      </x:c>
      <x:c r="I6255" s="16" t="str">
        <x:v>Missing email</x:v>
      </x:c>
    </x:row>
    <x:row r="6256">
      <x:c r="A6256" s="16" t="n">
        <x:v>6253</x:v>
      </x:c>
      <x:c r="B6256" s="16" t="str">
        <x:v>Shamel Property Shamil</x:v>
      </x:c>
      <x:c r="C6256" s="16" t="str"/>
      <x:c r="D6256" s="16" t="str"/>
      <x:c r="E6256" s="16" t="str">
        <x:v>* myContacts</x:v>
      </x:c>
      <x:c r="F6256" s="16" t="str">
        <x:v>+60 14-331 0271 | +60143310271</x:v>
      </x:c>
      <x:c r="G6256" s="16" t="str">
        <x:v>+60143310271 | +60143310271</x:v>
      </x:c>
      <x:c r="H6256" s="16" t="str">
        <x:v>Excluded</x:v>
      </x:c>
      <x:c r="I6256" s="16" t="str">
        <x:v>Missing email</x:v>
      </x:c>
    </x:row>
    <x:row r="6257">
      <x:c r="A6257" s="16" t="n">
        <x:v>6254</x:v>
      </x:c>
      <x:c r="B6257" s="16" t="str">
        <x:v>Shamil IM</x:v>
      </x:c>
      <x:c r="C6257" s="16" t="str"/>
      <x:c r="D6257" s="16" t="str"/>
      <x:c r="E6257" s="16" t="str">
        <x:v>* myContacts</x:v>
      </x:c>
      <x:c r="F6257" s="16" t="str">
        <x:v>018-241 2024 | +60182412024</x:v>
      </x:c>
      <x:c r="G6257" s="16" t="str">
        <x:v>+60182412024 | +60182412024</x:v>
      </x:c>
      <x:c r="H6257" s="16" t="str">
        <x:v>Excluded</x:v>
      </x:c>
      <x:c r="I6257" s="16" t="str">
        <x:v>Missing email</x:v>
      </x:c>
    </x:row>
    <x:row r="6258">
      <x:c r="A6258" s="16" t="n">
        <x:v>6255</x:v>
      </x:c>
      <x:c r="B6258" s="16" t="str">
        <x:v>shamil trip jalan jalan</x:v>
      </x:c>
      <x:c r="C6258" s="16" t="str"/>
      <x:c r="D6258" s="16" t="str"/>
      <x:c r="E6258" s="16" t="str">
        <x:v>* myContacts</x:v>
      </x:c>
      <x:c r="F6258" s="16" t="str">
        <x:v>0173319063 | +60173319063</x:v>
      </x:c>
      <x:c r="G6258" s="16" t="str">
        <x:v>+60173319063 | +60173319063</x:v>
      </x:c>
      <x:c r="H6258" s="16" t="str">
        <x:v>Excluded</x:v>
      </x:c>
      <x:c r="I6258" s="16" t="str">
        <x:v>Missing email</x:v>
      </x:c>
    </x:row>
    <x:row r="6259">
      <x:c r="A6259" s="16" t="n">
        <x:v>6256</x:v>
      </x:c>
      <x:c r="B6259" s="16" t="str">
        <x:v>Shamshul Anuar</x:v>
      </x:c>
      <x:c r="C6259" s="16" t="str"/>
      <x:c r="D6259" s="16" t="str"/>
      <x:c r="E6259" s="16" t="str">
        <x:v>* myContacts</x:v>
      </x:c>
      <x:c r="F6259" s="16" t="str">
        <x:v>+60139573583</x:v>
      </x:c>
      <x:c r="G6259" s="16" t="str">
        <x:v>+60139573583</x:v>
      </x:c>
      <x:c r="H6259" s="16" t="str">
        <x:v>Excluded</x:v>
      </x:c>
      <x:c r="I6259" s="16" t="str">
        <x:v>Missing email</x:v>
      </x:c>
    </x:row>
    <x:row r="6260">
      <x:c r="A6260" s="16" t="n">
        <x:v>6257</x:v>
      </x:c>
      <x:c r="B6260" s="16" t="str">
        <x:v>Shamsol Photographer</x:v>
      </x:c>
      <x:c r="C6260" s="16" t="str"/>
      <x:c r="D6260" s="16" t="str"/>
      <x:c r="E6260" s="16" t="str">
        <x:v>* myContacts</x:v>
      </x:c>
      <x:c r="F6260" s="16" t="str">
        <x:v>+60 11-3237 0527 | +601132370527</x:v>
      </x:c>
      <x:c r="G6260" s="16" t="str">
        <x:v>+601132370527 | +601132370527</x:v>
      </x:c>
      <x:c r="H6260" s="16" t="str">
        <x:v>Excluded</x:v>
      </x:c>
      <x:c r="I6260" s="16" t="str">
        <x:v>Missing email</x:v>
      </x:c>
    </x:row>
    <x:row r="6261">
      <x:c r="A6261" s="16" t="n">
        <x:v>6258</x:v>
      </x:c>
      <x:c r="B6261" s="16" t="str">
        <x:v>Shamsul Coach Golf</x:v>
      </x:c>
      <x:c r="C6261" s="16" t="str"/>
      <x:c r="D6261" s="16" t="str"/>
      <x:c r="E6261" s="16" t="str">
        <x:v>* myContacts</x:v>
      </x:c>
      <x:c r="F6261" s="16" t="str">
        <x:v>+60 13-484 4285 | +60134844285</x:v>
      </x:c>
      <x:c r="G6261" s="16" t="str">
        <x:v>+60134844285 | +60134844285</x:v>
      </x:c>
      <x:c r="H6261" s="16" t="str">
        <x:v>Excluded</x:v>
      </x:c>
      <x:c r="I6261" s="16" t="str">
        <x:v>Missing email</x:v>
      </x:c>
    </x:row>
    <x:row r="6262">
      <x:c r="A6262" s="16" t="n">
        <x:v>6259</x:v>
      </x:c>
      <x:c r="B6262" s="16" t="str">
        <x:v>Shamsul Selloo</x:v>
      </x:c>
      <x:c r="C6262" s="16" t="str"/>
      <x:c r="D6262" s="16" t="str"/>
      <x:c r="E6262" s="16" t="str">
        <x:v>* myContacts</x:v>
      </x:c>
      <x:c r="F6262" s="16" t="str">
        <x:v>+601121894778</x:v>
      </x:c>
      <x:c r="G6262" s="16" t="str">
        <x:v>+601121894778</x:v>
      </x:c>
      <x:c r="H6262" s="16" t="str">
        <x:v>Excluded</x:v>
      </x:c>
      <x:c r="I6262" s="16" t="str">
        <x:v>Missing email</x:v>
      </x:c>
    </x:row>
    <x:row r="6263">
      <x:c r="A6263" s="16" t="n">
        <x:v>6260</x:v>
      </x:c>
      <x:c r="B6263" s="16" t="str">
        <x:v>Shamsul Shaari</x:v>
      </x:c>
      <x:c r="C6263" s="16" t="str">
        <x:v>shamsul@tm.com.my</x:v>
      </x:c>
      <x:c r="D6263" s="16" t="str">
        <x:v>shamsul@tm.com.my</x:v>
      </x:c>
      <x:c r="E6263" s="16" t="str">
        <x:v>* myContacts</x:v>
      </x:c>
      <x:c r="F6263" s="16" t="str">
        <x:v>+603177128107 | +603177260413 | +60133646751 | +603177128888 | +603177128107 | +603177260413 | +60133646751 | +603177128888</x:v>
      </x:c>
      <x:c r="G6263" s="16" t="str">
        <x:v>+603177128107 | +603177260413 | +60133646751 | +603177128888 | +603177128107 | +603177260413 | +60133646751 | +603177128888</x:v>
      </x:c>
      <x:c r="H6263" s="16" t="str">
        <x:v>Eligible</x:v>
      </x:c>
      <x:c r="I6263" s="16" t="str"/>
    </x:row>
    <x:row r="6264">
      <x:c r="A6264" s="16" t="n">
        <x:v>6261</x:v>
      </x:c>
      <x:c r="B6264" s="16" t="str">
        <x:v>Shan Fadhil Annamalay</x:v>
      </x:c>
      <x:c r="C6264" s="16" t="str"/>
      <x:c r="D6264" s="16" t="str"/>
      <x:c r="E6264" s="16" t="str">
        <x:v>* myContacts</x:v>
      </x:c>
      <x:c r="F6264" s="16" t="str">
        <x:v>+60182015807</x:v>
      </x:c>
      <x:c r="G6264" s="16" t="str">
        <x:v>+60182015807</x:v>
      </x:c>
      <x:c r="H6264" s="16" t="str">
        <x:v>Excluded</x:v>
      </x:c>
      <x:c r="I6264" s="16" t="str">
        <x:v>Missing email</x:v>
      </x:c>
    </x:row>
    <x:row r="6265">
      <x:c r="A6265" s="16" t="n">
        <x:v>6262</x:v>
      </x:c>
      <x:c r="B6265" s="16" t="str">
        <x:v>Shara Ahmad Saleh</x:v>
      </x:c>
      <x:c r="C6265" s="16" t="str"/>
      <x:c r="D6265" s="16" t="str"/>
      <x:c r="E6265" s="16" t="str">
        <x:v>* myContacts</x:v>
      </x:c>
      <x:c r="F6265" s="16" t="str">
        <x:v>+60182588456</x:v>
      </x:c>
      <x:c r="G6265" s="16" t="str">
        <x:v>+60182588456</x:v>
      </x:c>
      <x:c r="H6265" s="16" t="str">
        <x:v>Excluded</x:v>
      </x:c>
      <x:c r="I6265" s="16" t="str">
        <x:v>Missing email</x:v>
      </x:c>
    </x:row>
    <x:row r="6266">
      <x:c r="A6266" s="16" t="n">
        <x:v>6263</x:v>
      </x:c>
      <x:c r="B6266" s="16" t="str">
        <x:v>Sharani Rapiaun</x:v>
      </x:c>
      <x:c r="C6266" s="16" t="str"/>
      <x:c r="D6266" s="16" t="str"/>
      <x:c r="E6266" s="16" t="str">
        <x:v>* myContacts</x:v>
      </x:c>
      <x:c r="F6266" s="16" t="str">
        <x:v>+60176937725</x:v>
      </x:c>
      <x:c r="G6266" s="16" t="str">
        <x:v>+60176937725</x:v>
      </x:c>
      <x:c r="H6266" s="16" t="str">
        <x:v>Excluded</x:v>
      </x:c>
      <x:c r="I6266" s="16" t="str">
        <x:v>Missing email</x:v>
      </x:c>
    </x:row>
    <x:row r="6267">
      <x:c r="A6267" s="16" t="n">
        <x:v>6264</x:v>
      </x:c>
      <x:c r="B6267" s="16" t="str">
        <x:v>Sharian Senang Insurance Simplified</x:v>
      </x:c>
      <x:c r="C6267" s="16" t="str"/>
      <x:c r="D6267" s="16" t="str"/>
      <x:c r="E6267" s="16" t="str">
        <x:v>* myContacts</x:v>
      </x:c>
      <x:c r="F6267" s="16" t="str">
        <x:v>+60122131797</x:v>
      </x:c>
      <x:c r="G6267" s="16" t="str">
        <x:v>+60122131797</x:v>
      </x:c>
      <x:c r="H6267" s="16" t="str">
        <x:v>Excluded</x:v>
      </x:c>
      <x:c r="I6267" s="16" t="str">
        <x:v>Missing email</x:v>
      </x:c>
    </x:row>
    <x:row r="6268">
      <x:c r="A6268" s="16" t="n">
        <x:v>6265</x:v>
      </x:c>
      <x:c r="B6268" s="16" t="str">
        <x:v>Sharif Draja</x:v>
      </x:c>
      <x:c r="C6268" s="16" t="str"/>
      <x:c r="D6268" s="16" t="str"/>
      <x:c r="E6268" s="16" t="str">
        <x:v>* myContacts</x:v>
      </x:c>
      <x:c r="F6268" s="16" t="str">
        <x:v>+60172933154</x:v>
      </x:c>
      <x:c r="G6268" s="16" t="str">
        <x:v>+60172933154</x:v>
      </x:c>
      <x:c r="H6268" s="16" t="str">
        <x:v>Excluded</x:v>
      </x:c>
      <x:c r="I6268" s="16" t="str">
        <x:v>Missing email</x:v>
      </x:c>
    </x:row>
    <x:row r="6269">
      <x:c r="A6269" s="16" t="n">
        <x:v>6266</x:v>
      </x:c>
      <x:c r="B6269" s="16" t="str">
        <x:v>Sharifah Nur Aimi Fatihah</x:v>
      </x:c>
      <x:c r="C6269" s="16" t="str"/>
      <x:c r="D6269" s="16" t="str"/>
      <x:c r="E6269" s="16" t="str">
        <x:v>* myContacts</x:v>
      </x:c>
      <x:c r="F6269" s="16" t="str">
        <x:v>+60162959225</x:v>
      </x:c>
      <x:c r="G6269" s="16" t="str">
        <x:v>+60162959225</x:v>
      </x:c>
      <x:c r="H6269" s="16" t="str">
        <x:v>Excluded</x:v>
      </x:c>
      <x:c r="I6269" s="16" t="str">
        <x:v>Missing email</x:v>
      </x:c>
    </x:row>
    <x:row r="6270">
      <x:c r="A6270" s="16" t="n">
        <x:v>6267</x:v>
      </x:c>
      <x:c r="B6270" s="16" t="str">
        <x:v>Sharifah Saadiah Saadiah</x:v>
      </x:c>
      <x:c r="C6270" s="16" t="str"/>
      <x:c r="D6270" s="16" t="str"/>
      <x:c r="E6270" s="16" t="str">
        <x:v>* myContacts</x:v>
      </x:c>
      <x:c r="F6270" s="16" t="str">
        <x:v>+60132078552</x:v>
      </x:c>
      <x:c r="G6270" s="16" t="str">
        <x:v>+60132078552</x:v>
      </x:c>
      <x:c r="H6270" s="16" t="str">
        <x:v>Excluded</x:v>
      </x:c>
      <x:c r="I6270" s="16" t="str">
        <x:v>Missing email</x:v>
      </x:c>
    </x:row>
    <x:row r="6271">
      <x:c r="A6271" s="16" t="n">
        <x:v>6268</x:v>
      </x:c>
      <x:c r="B6271" s="16" t="str">
        <x:v>Shariman Mdec IM</x:v>
      </x:c>
      <x:c r="C6271" s="16" t="str"/>
      <x:c r="D6271" s="16" t="str"/>
      <x:c r="E6271" s="16" t="str">
        <x:v>* myContacts</x:v>
      </x:c>
      <x:c r="F6271" s="16" t="str">
        <x:v>+60 13-489 8009 | +60134898009</x:v>
      </x:c>
      <x:c r="G6271" s="16" t="str">
        <x:v>+60134898009 | +60134898009</x:v>
      </x:c>
      <x:c r="H6271" s="16" t="str">
        <x:v>Excluded</x:v>
      </x:c>
      <x:c r="I6271" s="16" t="str">
        <x:v>Missing email</x:v>
      </x:c>
    </x:row>
    <x:row r="6272">
      <x:c r="A6272" s="16" t="n">
        <x:v>6269</x:v>
      </x:c>
      <x:c r="B6272" s="16" t="str">
        <x:v>Sharina Mdec IM</x:v>
      </x:c>
      <x:c r="C6272" s="16" t="str"/>
      <x:c r="D6272" s="16" t="str"/>
      <x:c r="E6272" s="16" t="str">
        <x:v>* myContacts</x:v>
      </x:c>
      <x:c r="F6272" s="16" t="str">
        <x:v>+601139165492</x:v>
      </x:c>
      <x:c r="G6272" s="16" t="str">
        <x:v>+601139165492</x:v>
      </x:c>
      <x:c r="H6272" s="16" t="str">
        <x:v>Excluded</x:v>
      </x:c>
      <x:c r="I6272" s="16" t="str">
        <x:v>Missing email</x:v>
      </x:c>
    </x:row>
    <x:row r="6273">
      <x:c r="A6273" s="16" t="n">
        <x:v>6270</x:v>
      </x:c>
      <x:c r="B6273" s="16" t="str">
        <x:v>Sharizal Shariff</x:v>
      </x:c>
      <x:c r="C6273" s="16" t="str"/>
      <x:c r="D6273" s="16" t="str"/>
      <x:c r="E6273" s="16" t="str">
        <x:v>* myContacts</x:v>
      </x:c>
      <x:c r="F6273" s="16" t="str">
        <x:v>+60196557755</x:v>
      </x:c>
      <x:c r="G6273" s="16" t="str">
        <x:v>+60196557755</x:v>
      </x:c>
      <x:c r="H6273" s="16" t="str">
        <x:v>Excluded</x:v>
      </x:c>
      <x:c r="I6273" s="16" t="str">
        <x:v>Missing email</x:v>
      </x:c>
    </x:row>
    <x:row r="6274">
      <x:c r="A6274" s="16" t="n">
        <x:v>6271</x:v>
      </x:c>
      <x:c r="B6274" s="16" t="str">
        <x:v>Sharkawie Kawie</x:v>
      </x:c>
      <x:c r="C6274" s="16" t="str"/>
      <x:c r="D6274" s="16" t="str"/>
      <x:c r="E6274" s="16" t="str">
        <x:v>* myContacts</x:v>
      </x:c>
      <x:c r="F6274" s="16" t="str">
        <x:v>+60166091958</x:v>
      </x:c>
      <x:c r="G6274" s="16" t="str">
        <x:v>+60166091958</x:v>
      </x:c>
      <x:c r="H6274" s="16" t="str">
        <x:v>Excluded</x:v>
      </x:c>
      <x:c r="I6274" s="16" t="str">
        <x:v>Missing email</x:v>
      </x:c>
    </x:row>
    <x:row r="6275">
      <x:c r="A6275" s="16" t="n">
        <x:v>6272</x:v>
      </x:c>
      <x:c r="B6275" s="16" t="str">
        <x:v>Sharona IM</x:v>
      </x:c>
      <x:c r="C6275" s="16" t="str"/>
      <x:c r="D6275" s="16" t="str"/>
      <x:c r="E6275" s="16" t="str">
        <x:v>* myContacts</x:v>
      </x:c>
      <x:c r="F6275" s="16" t="str">
        <x:v>+60192259969</x:v>
      </x:c>
      <x:c r="G6275" s="16" t="str">
        <x:v>+60192259969</x:v>
      </x:c>
      <x:c r="H6275" s="16" t="str">
        <x:v>Excluded</x:v>
      </x:c>
      <x:c r="I6275" s="16" t="str">
        <x:v>Missing email</x:v>
      </x:c>
    </x:row>
    <x:row r="6276">
      <x:c r="A6276" s="16" t="n">
        <x:v>6273</x:v>
      </x:c>
      <x:c r="B6276" s="16" t="str">
        <x:v>Sharul Sk</x:v>
      </x:c>
      <x:c r="C6276" s="16" t="str"/>
      <x:c r="D6276" s="16" t="str"/>
      <x:c r="E6276" s="16" t="str">
        <x:v>* myContacts</x:v>
      </x:c>
      <x:c r="F6276" s="16" t="str">
        <x:v>+60175390035</x:v>
      </x:c>
      <x:c r="G6276" s="16" t="str">
        <x:v>+60175390035</x:v>
      </x:c>
      <x:c r="H6276" s="16" t="str">
        <x:v>Excluded</x:v>
      </x:c>
      <x:c r="I6276" s="16" t="str">
        <x:v>Missing email</x:v>
      </x:c>
    </x:row>
    <x:row r="6277">
      <x:c r="A6277" s="16" t="n">
        <x:v>6274</x:v>
      </x:c>
      <x:c r="B6277" s="16" t="str">
        <x:v>Shasya Nur Atiqah</x:v>
      </x:c>
      <x:c r="C6277" s="16" t="str"/>
      <x:c r="D6277" s="16" t="str"/>
      <x:c r="E6277" s="16" t="str">
        <x:v>* myContacts</x:v>
      </x:c>
      <x:c r="F6277" s="16" t="str">
        <x:v>+60193431109</x:v>
      </x:c>
      <x:c r="G6277" s="16" t="str">
        <x:v>+60193431109</x:v>
      </x:c>
      <x:c r="H6277" s="16" t="str">
        <x:v>Excluded</x:v>
      </x:c>
      <x:c r="I6277" s="16" t="str">
        <x:v>Missing email</x:v>
      </x:c>
    </x:row>
    <x:row r="6278">
      <x:c r="A6278" s="16" t="n">
        <x:v>6275</x:v>
      </x:c>
      <x:c r="B6278" s="16" t="str">
        <x:v>Shaz Shazzul Shaziana Zul</x:v>
      </x:c>
      <x:c r="C6278" s="16" t="str"/>
      <x:c r="D6278" s="16" t="str"/>
      <x:c r="E6278" s="16" t="str">
        <x:v>* myContacts</x:v>
      </x:c>
      <x:c r="F6278" s="16" t="str">
        <x:v>+60174591853</x:v>
      </x:c>
      <x:c r="G6278" s="16" t="str">
        <x:v>+60174591853</x:v>
      </x:c>
      <x:c r="H6278" s="16" t="str">
        <x:v>Excluded</x:v>
      </x:c>
      <x:c r="I6278" s="16" t="str">
        <x:v>Missing email</x:v>
      </x:c>
    </x:row>
    <x:row r="6279">
      <x:c r="A6279" s="16" t="n">
        <x:v>6276</x:v>
      </x:c>
      <x:c r="B6279" s="16" t="str">
        <x:v>Shaza Azlin Hassan</x:v>
      </x:c>
      <x:c r="C6279" s="16" t="str"/>
      <x:c r="D6279" s="16" t="str"/>
      <x:c r="E6279" s="16" t="str">
        <x:v>* myContacts</x:v>
      </x:c>
      <x:c r="F6279" s="16" t="str">
        <x:v>+60194079997</x:v>
      </x:c>
      <x:c r="G6279" s="16" t="str">
        <x:v>+60194079997</x:v>
      </x:c>
      <x:c r="H6279" s="16" t="str">
        <x:v>Excluded</x:v>
      </x:c>
      <x:c r="I6279" s="16" t="str">
        <x:v>Missing email</x:v>
      </x:c>
    </x:row>
    <x:row r="6280">
      <x:c r="A6280" s="16" t="n">
        <x:v>6277</x:v>
      </x:c>
      <x:c r="B6280" s="16" t="str">
        <x:v>Shaza Essens Serum</x:v>
      </x:c>
      <x:c r="C6280" s="16" t="str"/>
      <x:c r="D6280" s="16" t="str"/>
      <x:c r="E6280" s="16" t="str">
        <x:v>* myContacts</x:v>
      </x:c>
      <x:c r="F6280" s="16" t="str">
        <x:v>+60 12-975 6070 | +60129756070</x:v>
      </x:c>
      <x:c r="G6280" s="16" t="str">
        <x:v>+60129756070 | +60129756070</x:v>
      </x:c>
      <x:c r="H6280" s="16" t="str">
        <x:v>Excluded</x:v>
      </x:c>
      <x:c r="I6280" s="16" t="str">
        <x:v>Missing email</x:v>
      </x:c>
    </x:row>
    <x:row r="6281">
      <x:c r="A6281" s="16" t="n">
        <x:v>6278</x:v>
      </x:c>
      <x:c r="B6281" s="16" t="str">
        <x:v>Shaza Mdec</x:v>
      </x:c>
      <x:c r="C6281" s="16" t="str"/>
      <x:c r="D6281" s="16" t="str"/>
      <x:c r="E6281" s="16" t="str">
        <x:v>* myContacts</x:v>
      </x:c>
      <x:c r="F6281" s="16" t="str">
        <x:v>+60 12-969 2469 | +60129692469</x:v>
      </x:c>
      <x:c r="G6281" s="16" t="str">
        <x:v>+60129692469 | +60129692469</x:v>
      </x:c>
      <x:c r="H6281" s="16" t="str">
        <x:v>Excluded</x:v>
      </x:c>
      <x:c r="I6281" s="16" t="str">
        <x:v>Missing email</x:v>
      </x:c>
    </x:row>
    <x:row r="6282">
      <x:c r="A6282" s="16" t="n">
        <x:v>6279</x:v>
      </x:c>
      <x:c r="B6282" s="16" t="str">
        <x:v>Shazlin Rahman</x:v>
      </x:c>
      <x:c r="C6282" s="16" t="str"/>
      <x:c r="D6282" s="16" t="str"/>
      <x:c r="E6282" s="16" t="str">
        <x:v>* myContacts</x:v>
      </x:c>
      <x:c r="F6282" s="16" t="str">
        <x:v>+601128800657</x:v>
      </x:c>
      <x:c r="G6282" s="16" t="str">
        <x:v>+601128800657</x:v>
      </x:c>
      <x:c r="H6282" s="16" t="str">
        <x:v>Excluded</x:v>
      </x:c>
      <x:c r="I6282" s="16" t="str">
        <x:v>Missing email</x:v>
      </x:c>
    </x:row>
    <x:row r="6283">
      <x:c r="A6283" s="16" t="n">
        <x:v>6280</x:v>
      </x:c>
      <x:c r="B6283" s="16" t="str">
        <x:v>Shazmie Mohammad Nadziri Student</x:v>
      </x:c>
      <x:c r="C6283" s="16" t="str">
        <x:v>shazmie83@gmail.com</x:v>
      </x:c>
      <x:c r="D6283" s="16" t="str">
        <x:v>shazmie83@gmail.com</x:v>
      </x:c>
      <x:c r="E6283" s="16" t="str">
        <x:v>* myContacts</x:v>
      </x:c>
      <x:c r="F6283" s="16" t="str">
        <x:v>013-9044200 | +60139044200</x:v>
      </x:c>
      <x:c r="G6283" s="16" t="str">
        <x:v>+60139044200 | +60139044200</x:v>
      </x:c>
      <x:c r="H6283" s="16" t="str">
        <x:v>Eligible</x:v>
      </x:c>
      <x:c r="I6283" s="16" t="str"/>
    </x:row>
    <x:row r="6284">
      <x:c r="A6284" s="16" t="n">
        <x:v>6281</x:v>
      </x:c>
      <x:c r="B6284" s="16" t="str">
        <x:v>Shazril web developer</x:v>
      </x:c>
      <x:c r="C6284" s="16" t="str"/>
      <x:c r="D6284" s="16" t="str"/>
      <x:c r="E6284" s="16" t="str">
        <x:v>* myContacts</x:v>
      </x:c>
      <x:c r="F6284" s="16" t="str">
        <x:v>0129184856 | +60129184856</x:v>
      </x:c>
      <x:c r="G6284" s="16" t="str">
        <x:v>+60129184856 | +60129184856</x:v>
      </x:c>
      <x:c r="H6284" s="16" t="str">
        <x:v>Excluded</x:v>
      </x:c>
      <x:c r="I6284" s="16" t="str">
        <x:v>Missing email</x:v>
      </x:c>
    </x:row>
    <x:row r="6285">
      <x:c r="A6285" s="16" t="n">
        <x:v>6282</x:v>
      </x:c>
      <x:c r="B6285" s="16" t="str">
        <x:v>Shazrul Ell</x:v>
      </x:c>
      <x:c r="C6285" s="16" t="str"/>
      <x:c r="D6285" s="16" t="str"/>
      <x:c r="E6285" s="16" t="str">
        <x:v>* myContacts</x:v>
      </x:c>
      <x:c r="F6285" s="16" t="str">
        <x:v>+601123107059</x:v>
      </x:c>
      <x:c r="G6285" s="16" t="str">
        <x:v>+601123107059</x:v>
      </x:c>
      <x:c r="H6285" s="16" t="str">
        <x:v>Excluded</x:v>
      </x:c>
      <x:c r="I6285" s="16" t="str">
        <x:v>Missing email</x:v>
      </x:c>
    </x:row>
    <x:row r="6286">
      <x:c r="A6286" s="16" t="n">
        <x:v>6283</x:v>
      </x:c>
      <x:c r="B6286" s="16" t="str">
        <x:v>shazwan jnj</x:v>
      </x:c>
      <x:c r="C6286" s="16" t="str"/>
      <x:c r="D6286" s="16" t="str"/>
      <x:c r="E6286" s="16" t="str">
        <x:v>* myContacts</x:v>
      </x:c>
      <x:c r="F6286" s="16" t="str">
        <x:v>+60 12-528 0515 | +60125280515</x:v>
      </x:c>
      <x:c r="G6286" s="16" t="str">
        <x:v>+60125280515 | +60125280515</x:v>
      </x:c>
      <x:c r="H6286" s="16" t="str">
        <x:v>Excluded</x:v>
      </x:c>
      <x:c r="I6286" s="16" t="str">
        <x:v>Missing email</x:v>
      </x:c>
    </x:row>
    <x:row r="6287">
      <x:c r="A6287" s="16" t="n">
        <x:v>6284</x:v>
      </x:c>
      <x:c r="B6287" s="16" t="str">
        <x:v>Shazwani Zass</x:v>
      </x:c>
      <x:c r="C6287" s="16" t="str"/>
      <x:c r="D6287" s="16" t="str"/>
      <x:c r="E6287" s="16" t="str">
        <x:v>* myContacts</x:v>
      </x:c>
      <x:c r="F6287" s="16" t="str">
        <x:v>+60183575541</x:v>
      </x:c>
      <x:c r="G6287" s="16" t="str">
        <x:v>+60183575541</x:v>
      </x:c>
      <x:c r="H6287" s="16" t="str">
        <x:v>Excluded</x:v>
      </x:c>
      <x:c r="I6287" s="16" t="str">
        <x:v>Missing email</x:v>
      </x:c>
    </x:row>
    <x:row r="6288">
      <x:c r="A6288" s="16" t="n">
        <x:v>6285</x:v>
      </x:c>
      <x:c r="B6288" s="16" t="str">
        <x:v>Sheda Mzabidin</x:v>
      </x:c>
      <x:c r="C6288" s="16" t="str"/>
      <x:c r="D6288" s="16" t="str"/>
      <x:c r="E6288" s="16" t="str">
        <x:v>* myContacts</x:v>
      </x:c>
      <x:c r="F6288" s="16" t="str">
        <x:v>+60137140493</x:v>
      </x:c>
      <x:c r="G6288" s="16" t="str">
        <x:v>+60137140493</x:v>
      </x:c>
      <x:c r="H6288" s="16" t="str">
        <x:v>Excluded</x:v>
      </x:c>
      <x:c r="I6288" s="16" t="str">
        <x:v>Missing email</x:v>
      </x:c>
    </x:row>
    <x:row r="6289">
      <x:c r="A6289" s="16" t="n">
        <x:v>6286</x:v>
      </x:c>
      <x:c r="B6289" s="16" t="str">
        <x:v>Sherena Abd Hamid</x:v>
      </x:c>
      <x:c r="C6289" s="16" t="str"/>
      <x:c r="D6289" s="16" t="str"/>
      <x:c r="E6289" s="16" t="str">
        <x:v>* myContacts</x:v>
      </x:c>
      <x:c r="F6289" s="16" t="str">
        <x:v>+60125005847</x:v>
      </x:c>
      <x:c r="G6289" s="16" t="str">
        <x:v>+60125005847</x:v>
      </x:c>
      <x:c r="H6289" s="16" t="str">
        <x:v>Excluded</x:v>
      </x:c>
      <x:c r="I6289" s="16" t="str">
        <x:v>Missing email</x:v>
      </x:c>
    </x:row>
    <x:row r="6290">
      <x:c r="A6290" s="16" t="n">
        <x:v>6287</x:v>
      </x:c>
      <x:c r="B6290" s="16" t="str">
        <x:v>SHERMAN ONG</x:v>
      </x:c>
      <x:c r="C6290" s="16" t="str">
        <x:v>sherman.ong@freightmark.com.my</x:v>
      </x:c>
      <x:c r="D6290" s="16" t="str">
        <x:v>sherman.ong@freightmark.com.my</x:v>
      </x:c>
      <x:c r="E6290" s="16" t="str">
        <x:v>* myContacts</x:v>
      </x:c>
      <x:c r="F6290" s="16" t="str">
        <x:v>+60166611721 | 0196001932 | +60357408488 | +60357408836</x:v>
      </x:c>
      <x:c r="G6290" s="16" t="str">
        <x:v>+60166611721 | +60196001932 | +60357408488 | +60357408836</x:v>
      </x:c>
      <x:c r="H6290" s="16" t="str">
        <x:v>Eligible</x:v>
      </x:c>
      <x:c r="I6290" s="16" t="str"/>
    </x:row>
    <x:row r="6291">
      <x:c r="A6291" s="16" t="n">
        <x:v>6288</x:v>
      </x:c>
      <x:c r="B6291" s="16" t="str">
        <x:v>Shida Ida</x:v>
      </x:c>
      <x:c r="C6291" s="16" t="str"/>
      <x:c r="D6291" s="16" t="str"/>
      <x:c r="E6291" s="16" t="str">
        <x:v>* myContacts</x:v>
      </x:c>
      <x:c r="F6291" s="16" t="str">
        <x:v>+60148299054</x:v>
      </x:c>
      <x:c r="G6291" s="16" t="str">
        <x:v>+60148299054</x:v>
      </x:c>
      <x:c r="H6291" s="16" t="str">
        <x:v>Excluded</x:v>
      </x:c>
      <x:c r="I6291" s="16" t="str">
        <x:v>Missing email</x:v>
      </x:c>
    </x:row>
    <x:row r="6292">
      <x:c r="A6292" s="16" t="n">
        <x:v>6289</x:v>
      </x:c>
      <x:c r="B6292" s="16" t="str">
        <x:v>Shida Mat Shah Uitm Student Praktikal</x:v>
      </x:c>
      <x:c r="C6292" s="16" t="str">
        <x:v>adeihays@yahoo.com</x:v>
      </x:c>
      <x:c r="D6292" s="16" t="str">
        <x:v>adeihays@yahoo.com</x:v>
      </x:c>
      <x:c r="E6292" s="16" t="str">
        <x:v>* myContacts</x:v>
      </x:c>
      <x:c r="F6292" s="16" t="str">
        <x:v>+60196492576</x:v>
      </x:c>
      <x:c r="G6292" s="16" t="str">
        <x:v>+60196492576</x:v>
      </x:c>
      <x:c r="H6292" s="16" t="str">
        <x:v>Eligible</x:v>
      </x:c>
      <x:c r="I6292" s="16" t="str"/>
    </x:row>
    <x:row r="6293">
      <x:c r="A6293" s="16" t="n">
        <x:v>6290</x:v>
      </x:c>
      <x:c r="B6293" s="16" t="str">
        <x:v>Shida Rahman</x:v>
      </x:c>
      <x:c r="C6293" s="16" t="str"/>
      <x:c r="D6293" s="16" t="str"/>
      <x:c r="E6293" s="16" t="str">
        <x:v>* myContacts</x:v>
      </x:c>
      <x:c r="F6293" s="16" t="str">
        <x:v>+60162371595</x:v>
      </x:c>
      <x:c r="G6293" s="16" t="str">
        <x:v>+60162371595</x:v>
      </x:c>
      <x:c r="H6293" s="16" t="str">
        <x:v>Excluded</x:v>
      </x:c>
      <x:c r="I6293" s="16" t="str">
        <x:v>Missing email</x:v>
      </x:c>
    </x:row>
    <x:row r="6294">
      <x:c r="A6294" s="16" t="n">
        <x:v>6291</x:v>
      </x:c>
      <x:c r="B6294" s="16" t="str">
        <x:v>Shidah Khoo</x:v>
      </x:c>
      <x:c r="C6294" s="16" t="str"/>
      <x:c r="D6294" s="16" t="str"/>
      <x:c r="E6294" s="16" t="str">
        <x:v>* myContacts</x:v>
      </x:c>
      <x:c r="F6294" s="16" t="str">
        <x:v>+60127025148</x:v>
      </x:c>
      <x:c r="G6294" s="16" t="str">
        <x:v>+60127025148</x:v>
      </x:c>
      <x:c r="H6294" s="16" t="str">
        <x:v>Excluded</x:v>
      </x:c>
      <x:c r="I6294" s="16" t="str">
        <x:v>Missing email</x:v>
      </x:c>
    </x:row>
    <x:row r="6295">
      <x:c r="A6295" s="16" t="n">
        <x:v>6292</x:v>
      </x:c>
      <x:c r="B6295" s="16" t="str">
        <x:v>Shidi Otai Pancing</x:v>
      </x:c>
      <x:c r="C6295" s="16" t="str"/>
      <x:c r="D6295" s="16" t="str"/>
      <x:c r="E6295" s="16" t="str">
        <x:v>* myContacts</x:v>
      </x:c>
      <x:c r="F6295" s="16" t="str">
        <x:v>0192882730 | +60192882730</x:v>
      </x:c>
      <x:c r="G6295" s="16" t="str">
        <x:v>+60192882730 | +60192882730</x:v>
      </x:c>
      <x:c r="H6295" s="16" t="str">
        <x:v>Excluded</x:v>
      </x:c>
      <x:c r="I6295" s="16" t="str">
        <x:v>Missing email</x:v>
      </x:c>
    </x:row>
    <x:row r="6296">
      <x:c r="A6296" s="16" t="n">
        <x:v>6293</x:v>
      </x:c>
      <x:c r="B6296" s="16" t="str">
        <x:v>Shieyla Roslan</x:v>
      </x:c>
      <x:c r="C6296" s="16" t="str"/>
      <x:c r="D6296" s="16" t="str"/>
      <x:c r="E6296" s="16" t="str">
        <x:v>* myContacts</x:v>
      </x:c>
      <x:c r="F6296" s="16" t="str">
        <x:v>+60179997497</x:v>
      </x:c>
      <x:c r="G6296" s="16" t="str">
        <x:v>+60179997497</x:v>
      </x:c>
      <x:c r="H6296" s="16" t="str">
        <x:v>Excluded</x:v>
      </x:c>
      <x:c r="I6296" s="16" t="str">
        <x:v>Missing email</x:v>
      </x:c>
    </x:row>
    <x:row r="6297">
      <x:c r="A6297" s="16" t="n">
        <x:v>6294</x:v>
      </x:c>
      <x:c r="B6297" s="16" t="str">
        <x:v>Shikin Mazlan</x:v>
      </x:c>
      <x:c r="C6297" s="16" t="str"/>
      <x:c r="D6297" s="16" t="str"/>
      <x:c r="E6297" s="16" t="str">
        <x:v>* myContacts</x:v>
      </x:c>
      <x:c r="F6297" s="16" t="str">
        <x:v>+601115193066</x:v>
      </x:c>
      <x:c r="G6297" s="16" t="str">
        <x:v>+601115193066</x:v>
      </x:c>
      <x:c r="H6297" s="16" t="str">
        <x:v>Excluded</x:v>
      </x:c>
      <x:c r="I6297" s="16" t="str">
        <x:v>Missing email</x:v>
      </x:c>
    </x:row>
    <x:row r="6298">
      <x:c r="A6298" s="16" t="n">
        <x:v>6295</x:v>
      </x:c>
      <x:c r="B6298" s="16" t="str">
        <x:v>Shikin Mohd Noor</x:v>
      </x:c>
      <x:c r="C6298" s="16" t="str"/>
      <x:c r="D6298" s="16" t="str"/>
      <x:c r="E6298" s="16" t="str">
        <x:v>* myContacts</x:v>
      </x:c>
      <x:c r="F6298" s="16" t="str">
        <x:v>+60179193284</x:v>
      </x:c>
      <x:c r="G6298" s="16" t="str">
        <x:v>+60179193284</x:v>
      </x:c>
      <x:c r="H6298" s="16" t="str">
        <x:v>Excluded</x:v>
      </x:c>
      <x:c r="I6298" s="16" t="str">
        <x:v>Missing email</x:v>
      </x:c>
    </x:row>
    <x:row r="6299">
      <x:c r="A6299" s="16" t="n">
        <x:v>6296</x:v>
      </x:c>
      <x:c r="B6299" s="16" t="str">
        <x:v>Shila Mdec</x:v>
      </x:c>
      <x:c r="C6299" s="16" t="str"/>
      <x:c r="D6299" s="16" t="str"/>
      <x:c r="E6299" s="16" t="str">
        <x:v>* myContacts</x:v>
      </x:c>
      <x:c r="F6299" s="16" t="str">
        <x:v>+60 12-723 7477 | +60127237477</x:v>
      </x:c>
      <x:c r="G6299" s="16" t="str">
        <x:v>+60127237477 | +60127237477</x:v>
      </x:c>
      <x:c r="H6299" s="16" t="str">
        <x:v>Excluded</x:v>
      </x:c>
      <x:c r="I6299" s="16" t="str">
        <x:v>Missing email</x:v>
      </x:c>
    </x:row>
    <x:row r="6300">
      <x:c r="A6300" s="16" t="n">
        <x:v>6297</x:v>
      </x:c>
      <x:c r="B6300" s="16" t="str">
        <x:v>Shima Sameru</x:v>
      </x:c>
      <x:c r="C6300" s="16" t="str"/>
      <x:c r="D6300" s="16" t="str"/>
      <x:c r="E6300" s="16" t="str">
        <x:v>* myContacts</x:v>
      </x:c>
      <x:c r="F6300" s="16" t="str">
        <x:v>+60123162153</x:v>
      </x:c>
      <x:c r="G6300" s="16" t="str">
        <x:v>+60123162153</x:v>
      </x:c>
      <x:c r="H6300" s="16" t="str">
        <x:v>Excluded</x:v>
      </x:c>
      <x:c r="I6300" s="16" t="str">
        <x:v>Missing email</x:v>
      </x:c>
    </x:row>
    <x:row r="6301">
      <x:c r="A6301" s="16" t="n">
        <x:v>6298</x:v>
      </x:c>
      <x:c r="B6301" s="16" t="str">
        <x:v>Shiman OneXox</x:v>
      </x:c>
      <x:c r="C6301" s="16" t="str"/>
      <x:c r="D6301" s="16" t="str"/>
      <x:c r="E6301" s="16" t="str">
        <x:v>* myContacts</x:v>
      </x:c>
      <x:c r="F6301" s="16" t="str">
        <x:v>+601113635550</x:v>
      </x:c>
      <x:c r="G6301" s="16" t="str">
        <x:v>+601113635550</x:v>
      </x:c>
      <x:c r="H6301" s="16" t="str">
        <x:v>Excluded</x:v>
      </x:c>
      <x:c r="I6301" s="16" t="str">
        <x:v>Missing email</x:v>
      </x:c>
    </x:row>
    <x:row r="6302">
      <x:c r="A6302" s="16" t="n">
        <x:v>6299</x:v>
      </x:c>
      <x:c r="B6302" s="16" t="str">
        <x:v>Shira Qistina</x:v>
      </x:c>
      <x:c r="C6302" s="16" t="str"/>
      <x:c r="D6302" s="16" t="str"/>
      <x:c r="E6302" s="16" t="str">
        <x:v>* myContacts</x:v>
      </x:c>
      <x:c r="F6302" s="16" t="str">
        <x:v>+60145211054</x:v>
      </x:c>
      <x:c r="G6302" s="16" t="str">
        <x:v>+60145211054</x:v>
      </x:c>
      <x:c r="H6302" s="16" t="str">
        <x:v>Excluded</x:v>
      </x:c>
      <x:c r="I6302" s="16" t="str">
        <x:v>Missing email</x:v>
      </x:c>
    </x:row>
    <x:row r="6303">
      <x:c r="A6303" s="16" t="n">
        <x:v>6300</x:v>
      </x:c>
      <x:c r="B6303" s="16" t="str">
        <x:v>Shirley Ong</x:v>
      </x:c>
      <x:c r="C6303" s="16" t="str"/>
      <x:c r="D6303" s="16" t="str"/>
      <x:c r="E6303" s="16" t="str">
        <x:v>* myContacts</x:v>
      </x:c>
      <x:c r="F6303" s="16" t="str">
        <x:v>+6049666268</x:v>
      </x:c>
      <x:c r="G6303" s="16" t="str">
        <x:v>+6049666268</x:v>
      </x:c>
      <x:c r="H6303" s="16" t="str">
        <x:v>Excluded</x:v>
      </x:c>
      <x:c r="I6303" s="16" t="str">
        <x:v>Missing email</x:v>
      </x:c>
    </x:row>
    <x:row r="6304">
      <x:c r="A6304" s="16" t="n">
        <x:v>6301</x:v>
      </x:c>
      <x:c r="B6304" s="16" t="str">
        <x:v>Shokri Dropship</x:v>
      </x:c>
      <x:c r="C6304" s="16" t="str"/>
      <x:c r="D6304" s="16" t="str"/>
      <x:c r="E6304" s="16" t="str">
        <x:v>* myContacts</x:v>
      </x:c>
      <x:c r="F6304" s="16" t="str">
        <x:v>+60174444462</x:v>
      </x:c>
      <x:c r="G6304" s="16" t="str">
        <x:v>+60174444462</x:v>
      </x:c>
      <x:c r="H6304" s="16" t="str">
        <x:v>Excluded</x:v>
      </x:c>
      <x:c r="I6304" s="16" t="str">
        <x:v>Missing email</x:v>
      </x:c>
    </x:row>
    <x:row r="6305">
      <x:c r="A6305" s="16" t="n">
        <x:v>6302</x:v>
      </x:c>
      <x:c r="B6305" s="16" t="str">
        <x:v>Shopee Support Centre</x:v>
      </x:c>
      <x:c r="C6305" s="16" t="str"/>
      <x:c r="D6305" s="16" t="str"/>
      <x:c r="E6305" s="16" t="str">
        <x:v>* myContacts | * starred</x:v>
      </x:c>
      <x:c r="F6305" s="16" t="str">
        <x:v>+60 3-2777 9222 | +60327779222</x:v>
      </x:c>
      <x:c r="G6305" s="16" t="str">
        <x:v>+60327779222 | +60327779222</x:v>
      </x:c>
      <x:c r="H6305" s="16" t="str">
        <x:v>Excluded</x:v>
      </x:c>
      <x:c r="I6305" s="16" t="str">
        <x:v>Missing email</x:v>
      </x:c>
    </x:row>
    <x:row r="6306">
      <x:c r="A6306" s="16" t="n">
        <x:v>6303</x:v>
      </x:c>
      <x:c r="B6306" s="16" t="str">
        <x:v>Show Love</x:v>
      </x:c>
      <x:c r="C6306" s="16" t="str"/>
      <x:c r="D6306" s="16" t="str"/>
      <x:c r="E6306" s="16" t="str">
        <x:v>* myContacts</x:v>
      </x:c>
      <x:c r="F6306" s="16" t="str">
        <x:v>+60137103837</x:v>
      </x:c>
      <x:c r="G6306" s="16" t="str">
        <x:v>+60137103837</x:v>
      </x:c>
      <x:c r="H6306" s="16" t="str">
        <x:v>Excluded</x:v>
      </x:c>
      <x:c r="I6306" s="16" t="str">
        <x:v>Missing email</x:v>
      </x:c>
    </x:row>
    <x:row r="6307">
      <x:c r="A6307" s="16" t="n">
        <x:v>6304</x:v>
      </x:c>
      <x:c r="B6307" s="16" t="str">
        <x:v>Shuhada Zuraini</x:v>
      </x:c>
      <x:c r="C6307" s="16" t="str"/>
      <x:c r="D6307" s="16" t="str"/>
      <x:c r="E6307" s="16" t="str">
        <x:v>* myContacts</x:v>
      </x:c>
      <x:c r="F6307" s="16" t="str">
        <x:v>+60195162169</x:v>
      </x:c>
      <x:c r="G6307" s="16" t="str">
        <x:v>+60195162169</x:v>
      </x:c>
      <x:c r="H6307" s="16" t="str">
        <x:v>Excluded</x:v>
      </x:c>
      <x:c r="I6307" s="16" t="str">
        <x:v>Missing email</x:v>
      </x:c>
    </x:row>
    <x:row r="6308">
      <x:c r="A6308" s="16" t="n">
        <x:v>6305</x:v>
      </x:c>
      <x:c r="B6308" s="16" t="str">
        <x:v>Shuhaira Arifin</x:v>
      </x:c>
      <x:c r="C6308" s="16" t="str"/>
      <x:c r="D6308" s="16" t="str"/>
      <x:c r="E6308" s="16" t="str">
        <x:v>* myContacts</x:v>
      </x:c>
      <x:c r="F6308" s="16" t="str">
        <x:v>+601139157335</x:v>
      </x:c>
      <x:c r="G6308" s="16" t="str">
        <x:v>+601139157335</x:v>
      </x:c>
      <x:c r="H6308" s="16" t="str">
        <x:v>Excluded</x:v>
      </x:c>
      <x:c r="I6308" s="16" t="str">
        <x:v>Missing email</x:v>
      </x:c>
    </x:row>
    <x:row r="6309">
      <x:c r="A6309" s="16" t="n">
        <x:v>6306</x:v>
      </x:c>
      <x:c r="B6309" s="16" t="str">
        <x:v>Shuk Ryan</x:v>
      </x:c>
      <x:c r="C6309" s="16" t="str"/>
      <x:c r="D6309" s="16" t="str"/>
      <x:c r="E6309" s="16" t="str">
        <x:v>* myContacts</x:v>
      </x:c>
      <x:c r="F6309" s="16" t="str">
        <x:v>+601112340364</x:v>
      </x:c>
      <x:c r="G6309" s="16" t="str">
        <x:v>+601112340364</x:v>
      </x:c>
      <x:c r="H6309" s="16" t="str">
        <x:v>Excluded</x:v>
      </x:c>
      <x:c r="I6309" s="16" t="str">
        <x:v>Missing email</x:v>
      </x:c>
    </x:row>
    <x:row r="6310">
      <x:c r="A6310" s="16" t="n">
        <x:v>6307</x:v>
      </x:c>
      <x:c r="B6310" s="16" t="str">
        <x:v>shukran kanaz. marketing</x:v>
      </x:c>
      <x:c r="C6310" s="16" t="str"/>
      <x:c r="D6310" s="16" t="str"/>
      <x:c r="E6310" s="16" t="str">
        <x:v>* myContacts</x:v>
      </x:c>
      <x:c r="F6310" s="16" t="str">
        <x:v>+60 19-346 3326 | +60193463326</x:v>
      </x:c>
      <x:c r="G6310" s="16" t="str">
        <x:v>+60193463326 | +60193463326</x:v>
      </x:c>
      <x:c r="H6310" s="16" t="str">
        <x:v>Excluded</x:v>
      </x:c>
      <x:c r="I6310" s="16" t="str">
        <x:v>Missing email</x:v>
      </x:c>
    </x:row>
    <x:row r="6311">
      <x:c r="A6311" s="16" t="n">
        <x:v>6308</x:v>
      </x:c>
      <x:c r="B6311" s="16" t="str">
        <x:v>Shukri Azidan</x:v>
      </x:c>
      <x:c r="C6311" s="16" t="str"/>
      <x:c r="D6311" s="16" t="str"/>
      <x:c r="E6311" s="16" t="str">
        <x:v>* myContacts</x:v>
      </x:c>
      <x:c r="F6311" s="16" t="str">
        <x:v>+60125512890</x:v>
      </x:c>
      <x:c r="G6311" s="16" t="str">
        <x:v>+60125512890</x:v>
      </x:c>
      <x:c r="H6311" s="16" t="str">
        <x:v>Excluded</x:v>
      </x:c>
      <x:c r="I6311" s="16" t="str">
        <x:v>Missing email</x:v>
      </x:c>
    </x:row>
    <x:row r="6312">
      <x:c r="A6312" s="16" t="n">
        <x:v>6309</x:v>
      </x:c>
      <x:c r="B6312" s="16" t="str">
        <x:v>Shukri Saleh herbalife penang</x:v>
      </x:c>
      <x:c r="C6312" s="16" t="str">
        <x:v>syukrisalleh44@gmail.com</x:v>
      </x:c>
      <x:c r="D6312" s="16" t="str">
        <x:v>syukrisalleh44@gmail.com</x:v>
      </x:c>
      <x:c r="E6312" s="16" t="str">
        <x:v>* myContacts</x:v>
      </x:c>
      <x:c r="F6312" s="16" t="str">
        <x:v>+60194662307</x:v>
      </x:c>
      <x:c r="G6312" s="16" t="str">
        <x:v>+60194662307</x:v>
      </x:c>
      <x:c r="H6312" s="16" t="str">
        <x:v>Eligible</x:v>
      </x:c>
      <x:c r="I6312" s="16" t="str"/>
    </x:row>
    <x:row r="6313">
      <x:c r="A6313" s="16" t="n">
        <x:v>6310</x:v>
      </x:c>
      <x:c r="B6313" s="16" t="str">
        <x:v>Shukri Sewa Ofis WTW</x:v>
      </x:c>
      <x:c r="C6313" s="16" t="str"/>
      <x:c r="D6313" s="16" t="str"/>
      <x:c r="E6313" s="16" t="str">
        <x:v>* myContacts</x:v>
      </x:c>
      <x:c r="F6313" s="16" t="str">
        <x:v>+60 13-388 0353 | +60133880353</x:v>
      </x:c>
      <x:c r="G6313" s="16" t="str">
        <x:v>+60133880353 | +60133880353</x:v>
      </x:c>
      <x:c r="H6313" s="16" t="str">
        <x:v>Excluded</x:v>
      </x:c>
      <x:c r="I6313" s="16" t="str">
        <x:v>Missing email</x:v>
      </x:c>
    </x:row>
    <x:row r="6314">
      <x:c r="A6314" s="16" t="n">
        <x:v>6311</x:v>
      </x:c>
      <x:c r="B6314" s="16" t="str">
        <x:v>Shukri Supian</x:v>
      </x:c>
      <x:c r="C6314" s="16" t="str"/>
      <x:c r="D6314" s="16" t="str"/>
      <x:c r="E6314" s="16" t="str">
        <x:v>* myContacts</x:v>
      </x:c>
      <x:c r="F6314" s="16" t="str">
        <x:v>+60176130057</x:v>
      </x:c>
      <x:c r="G6314" s="16" t="str">
        <x:v>+60176130057</x:v>
      </x:c>
      <x:c r="H6314" s="16" t="str">
        <x:v>Excluded</x:v>
      </x:c>
      <x:c r="I6314" s="16" t="str">
        <x:v>Missing email</x:v>
      </x:c>
    </x:row>
    <x:row r="6315">
      <x:c r="A6315" s="16" t="n">
        <x:v>6312</x:v>
      </x:c>
      <x:c r="B6315" s="16" t="str">
        <x:v>Shyamsuddin HG</x:v>
      </x:c>
      <x:c r="C6315" s="16" t="str"/>
      <x:c r="D6315" s="16" t="str"/>
      <x:c r="E6315" s="16" t="str">
        <x:v>* myContacts</x:v>
      </x:c>
      <x:c r="F6315" s="16" t="str">
        <x:v>+60 16-841 1934 | +60168411934</x:v>
      </x:c>
      <x:c r="G6315" s="16" t="str">
        <x:v>+60168411934 | +60168411934</x:v>
      </x:c>
      <x:c r="H6315" s="16" t="str">
        <x:v>Excluded</x:v>
      </x:c>
      <x:c r="I6315" s="16" t="str">
        <x:v>Missing email</x:v>
      </x:c>
    </x:row>
    <x:row r="6316">
      <x:c r="A6316" s="16" t="n">
        <x:v>6313</x:v>
      </x:c>
      <x:c r="B6316" s="16" t="str">
        <x:v>Si Mell</x:v>
      </x:c>
      <x:c r="C6316" s="16" t="str"/>
      <x:c r="D6316" s="16" t="str"/>
      <x:c r="E6316" s="16" t="str">
        <x:v>* myContacts</x:v>
      </x:c>
      <x:c r="F6316" s="16" t="str">
        <x:v>+60166631091</x:v>
      </x:c>
      <x:c r="G6316" s="16" t="str">
        <x:v>+60166631091</x:v>
      </x:c>
      <x:c r="H6316" s="16" t="str">
        <x:v>Excluded</x:v>
      </x:c>
      <x:c r="I6316" s="16" t="str">
        <x:v>Missing email</x:v>
      </x:c>
    </x:row>
    <x:row r="6317">
      <x:c r="A6317" s="16" t="n">
        <x:v>6314</x:v>
      </x:c>
      <x:c r="B6317" s="16" t="str">
        <x:v>Sifoo Fadly</x:v>
      </x:c>
      <x:c r="C6317" s="16" t="str"/>
      <x:c r="D6317" s="16" t="str"/>
      <x:c r="E6317" s="16" t="str">
        <x:v>* myContacts</x:v>
      </x:c>
      <x:c r="F6317" s="16" t="str">
        <x:v>012-442 2610 | +60124422610</x:v>
      </x:c>
      <x:c r="G6317" s="16" t="str">
        <x:v>+60124422610 | +60124422610</x:v>
      </x:c>
      <x:c r="H6317" s="16" t="str">
        <x:v>Excluded</x:v>
      </x:c>
      <x:c r="I6317" s="16" t="str">
        <x:v>Missing email</x:v>
      </x:c>
    </x:row>
    <x:row r="6318">
      <x:c r="A6318" s="16" t="n">
        <x:v>6315</x:v>
      </x:c>
      <x:c r="B6318" s="16" t="str">
        <x:v>Sifoo Haziq</x:v>
      </x:c>
      <x:c r="C6318" s="16" t="str"/>
      <x:c r="D6318" s="16" t="str"/>
      <x:c r="E6318" s="16" t="str">
        <x:v>* myContacts</x:v>
      </x:c>
      <x:c r="F6318" s="16" t="str">
        <x:v>013-275 6432 | +60132756432</x:v>
      </x:c>
      <x:c r="G6318" s="16" t="str">
        <x:v>+60132756432 | +60132756432</x:v>
      </x:c>
      <x:c r="H6318" s="16" t="str">
        <x:v>Excluded</x:v>
      </x:c>
      <x:c r="I6318" s="16" t="str">
        <x:v>Missing email</x:v>
      </x:c>
    </x:row>
    <x:row r="6319">
      <x:c r="A6319" s="16" t="n">
        <x:v>6316</x:v>
      </x:c>
      <x:c r="B6319" s="16" t="str">
        <x:v>Sifu Aulis Uwais IM</x:v>
      </x:c>
      <x:c r="C6319" s="16" t="str"/>
      <x:c r="D6319" s="16" t="str"/>
      <x:c r="E6319" s="16" t="str">
        <x:v>Trainer | * myContacts</x:v>
      </x:c>
      <x:c r="F6319" s="16" t="str">
        <x:v>0187746324 | +60187746324</x:v>
      </x:c>
      <x:c r="G6319" s="16" t="str">
        <x:v>+60187746324 | +60187746324</x:v>
      </x:c>
      <x:c r="H6319" s="16" t="str">
        <x:v>Excluded</x:v>
      </x:c>
      <x:c r="I6319" s="16" t="str">
        <x:v>Missing email</x:v>
      </x:c>
    </x:row>
    <x:row r="6320">
      <x:c r="A6320" s="16" t="n">
        <x:v>6317</x:v>
      </x:c>
      <x:c r="B6320" s="16" t="str">
        <x:v>Sifu Balun Instagram</x:v>
      </x:c>
      <x:c r="C6320" s="16" t="str"/>
      <x:c r="D6320" s="16" t="str"/>
      <x:c r="E6320" s="16" t="str">
        <x:v>Trainer | * myContacts</x:v>
      </x:c>
      <x:c r="F6320" s="16" t="str">
        <x:v>0132035697 | +60132035697</x:v>
      </x:c>
      <x:c r="G6320" s="16" t="str">
        <x:v>+60132035697 | +60132035697</x:v>
      </x:c>
      <x:c r="H6320" s="16" t="str">
        <x:v>Excluded</x:v>
      </x:c>
      <x:c r="I6320" s="16" t="str">
        <x:v>Missing email</x:v>
      </x:c>
    </x:row>
    <x:row r="6321">
      <x:c r="A6321" s="16" t="n">
        <x:v>6318</x:v>
      </x:c>
      <x:c r="B6321" s="16" t="str">
        <x:v>Sifu Faris Osman</x:v>
      </x:c>
      <x:c r="C6321" s="16" t="str"/>
      <x:c r="D6321" s="16" t="str"/>
      <x:c r="E6321" s="16" t="str">
        <x:v>Trainer | * myContacts</x:v>
      </x:c>
      <x:c r="F6321" s="16" t="str">
        <x:v>+60137670983</x:v>
      </x:c>
      <x:c r="G6321" s="16" t="str">
        <x:v>+60137670983</x:v>
      </x:c>
      <x:c r="H6321" s="16" t="str">
        <x:v>Excluded</x:v>
      </x:c>
      <x:c r="I6321" s="16" t="str">
        <x:v>Missing email</x:v>
      </x:c>
    </x:row>
    <x:row r="6322">
      <x:c r="A6322" s="16" t="n">
        <x:v>6319</x:v>
      </x:c>
      <x:c r="B6322" s="16" t="str">
        <x:v>Sifu Firdaus</x:v>
      </x:c>
      <x:c r="C6322" s="16" t="str"/>
      <x:c r="D6322" s="16" t="str"/>
      <x:c r="E6322" s="16" t="str">
        <x:v>Trainer | * myContacts</x:v>
      </x:c>
      <x:c r="F6322" s="16" t="str">
        <x:v>+60 17-319 2618 | +60173192618</x:v>
      </x:c>
      <x:c r="G6322" s="16" t="str">
        <x:v>+60173192618 | +60173192618</x:v>
      </x:c>
      <x:c r="H6322" s="16" t="str">
        <x:v>Excluded</x:v>
      </x:c>
      <x:c r="I6322" s="16" t="str">
        <x:v>Missing email</x:v>
      </x:c>
    </x:row>
    <x:row r="6323">
      <x:c r="A6323" s="16" t="n">
        <x:v>6320</x:v>
      </x:c>
      <x:c r="B6323" s="16" t="str">
        <x:v>Sifu GB Media Coverage King</x:v>
      </x:c>
      <x:c r="C6323" s="16" t="str"/>
      <x:c r="D6323" s="16" t="str"/>
      <x:c r="E6323" s="16" t="str">
        <x:v>Trainer | * myContacts</x:v>
      </x:c>
      <x:c r="F6323" s="16" t="str">
        <x:v>017 7720966 | +60177720966</x:v>
      </x:c>
      <x:c r="G6323" s="16" t="str">
        <x:v>+60177720966 | +60177720966</x:v>
      </x:c>
      <x:c r="H6323" s="16" t="str">
        <x:v>Excluded</x:v>
      </x:c>
      <x:c r="I6323" s="16" t="str">
        <x:v>Missing email</x:v>
      </x:c>
    </x:row>
    <x:row r="6324">
      <x:c r="A6324" s="16" t="n">
        <x:v>6321</x:v>
      </x:c>
      <x:c r="B6324" s="16" t="str">
        <x:v>Sifu Grandmaster CK</x:v>
      </x:c>
      <x:c r="C6324" s="16" t="str"/>
      <x:c r="D6324" s="16" t="str"/>
      <x:c r="E6324" s="16" t="str">
        <x:v>Trainer | * myContacts</x:v>
      </x:c>
      <x:c r="F6324" s="16" t="str">
        <x:v>0123880332 | +60123880332</x:v>
      </x:c>
      <x:c r="G6324" s="16" t="str">
        <x:v>+60123880332 | +60123880332</x:v>
      </x:c>
      <x:c r="H6324" s="16" t="str">
        <x:v>Excluded</x:v>
      </x:c>
      <x:c r="I6324" s="16" t="str">
        <x:v>Missing email</x:v>
      </x:c>
    </x:row>
    <x:row r="6325">
      <x:c r="A6325" s="16" t="n">
        <x:v>6322</x:v>
      </x:c>
      <x:c r="B6325" s="16" t="str">
        <x:v>Sifu halim panji timur</x:v>
      </x:c>
      <x:c r="C6325" s="16" t="str"/>
      <x:c r="D6325" s="16" t="str"/>
      <x:c r="E6325" s="16" t="str">
        <x:v>Trainer | * myContacts</x:v>
      </x:c>
      <x:c r="F6325" s="16" t="str">
        <x:v>0122272658 | +60122272658</x:v>
      </x:c>
      <x:c r="G6325" s="16" t="str">
        <x:v>+60122272658 | +60122272658</x:v>
      </x:c>
      <x:c r="H6325" s="16" t="str">
        <x:v>Excluded</x:v>
      </x:c>
      <x:c r="I6325" s="16" t="str">
        <x:v>Missing email</x:v>
      </x:c>
    </x:row>
    <x:row r="6326">
      <x:c r="A6326" s="16" t="n">
        <x:v>6323</x:v>
      </x:c>
      <x:c r="B6326" s="16" t="str">
        <x:v>Sifu Imran</x:v>
      </x:c>
      <x:c r="C6326" s="16" t="str"/>
      <x:c r="D6326" s="16" t="str"/>
      <x:c r="E6326" s="16" t="str">
        <x:v>Trainer | * myContacts</x:v>
      </x:c>
      <x:c r="F6326" s="16" t="str">
        <x:v>+60 19-262 5156 | +60192625156</x:v>
      </x:c>
      <x:c r="G6326" s="16" t="str">
        <x:v>+60192625156 | +60192625156</x:v>
      </x:c>
      <x:c r="H6326" s="16" t="str">
        <x:v>Excluded</x:v>
      </x:c>
      <x:c r="I6326" s="16" t="str">
        <x:v>Missing email</x:v>
      </x:c>
    </x:row>
    <x:row r="6327">
      <x:c r="A6327" s="16" t="n">
        <x:v>6324</x:v>
      </x:c>
      <x:c r="B6327" s="16" t="str">
        <x:v>Sifu Jason Adword</x:v>
      </x:c>
      <x:c r="C6327" s="16" t="str"/>
      <x:c r="D6327" s="16" t="str"/>
      <x:c r="E6327" s="16" t="str">
        <x:v>Trainer | * myContacts</x:v>
      </x:c>
      <x:c r="F6327" s="16" t="str">
        <x:v>0163777267 | +60163777267</x:v>
      </x:c>
      <x:c r="G6327" s="16" t="str">
        <x:v>+60163777267 | +60163777267</x:v>
      </x:c>
      <x:c r="H6327" s="16" t="str">
        <x:v>Excluded</x:v>
      </x:c>
      <x:c r="I6327" s="16" t="str">
        <x:v>Missing email</x:v>
      </x:c>
    </x:row>
    <x:row r="6328">
      <x:c r="A6328" s="16" t="n">
        <x:v>6325</x:v>
      </x:c>
      <x:c r="B6328" s="16" t="str">
        <x:v>Sifu Khairul AI</x:v>
      </x:c>
      <x:c r="C6328" s="16" t="str"/>
      <x:c r="D6328" s="16" t="str"/>
      <x:c r="E6328" s="16" t="str">
        <x:v>Trainer | * myContacts</x:v>
      </x:c>
      <x:c r="F6328" s="16" t="str">
        <x:v>+60 18-574 4847 | +60185744847</x:v>
      </x:c>
      <x:c r="G6328" s="16" t="str">
        <x:v>+60185744847 | +60185744847</x:v>
      </x:c>
      <x:c r="H6328" s="16" t="str">
        <x:v>Excluded</x:v>
      </x:c>
      <x:c r="I6328" s="16" t="str">
        <x:v>Missing email</x:v>
      </x:c>
    </x:row>
    <x:row r="6329">
      <x:c r="A6329" s="16" t="n">
        <x:v>6326</x:v>
      </x:c>
      <x:c r="B6329" s="16" t="str">
        <x:v>Sifu khairul content</x:v>
      </x:c>
      <x:c r="C6329" s="16" t="str"/>
      <x:c r="D6329" s="16" t="str"/>
      <x:c r="E6329" s="16" t="str">
        <x:v>Trainer | * myContacts</x:v>
      </x:c>
      <x:c r="F6329" s="16" t="str">
        <x:v>+60 12-946 7994 | +60129467994</x:v>
      </x:c>
      <x:c r="G6329" s="16" t="str">
        <x:v>+60129467994 | +60129467994</x:v>
      </x:c>
      <x:c r="H6329" s="16" t="str">
        <x:v>Excluded</x:v>
      </x:c>
      <x:c r="I6329" s="16" t="str">
        <x:v>Missing email</x:v>
      </x:c>
    </x:row>
    <x:row r="6330">
      <x:c r="A6330" s="16" t="n">
        <x:v>6327</x:v>
      </x:c>
      <x:c r="B6330" s="16" t="str">
        <x:v>Sifu LOA master Jamal</x:v>
      </x:c>
      <x:c r="C6330" s="16" t="str"/>
      <x:c r="D6330" s="16" t="str"/>
      <x:c r="E6330" s="16" t="str">
        <x:v>Trainer | * myContacts</x:v>
      </x:c>
      <x:c r="F6330" s="16" t="str">
        <x:v>01155536831 | +601155536831</x:v>
      </x:c>
      <x:c r="G6330" s="16" t="str">
        <x:v>+601155536831 | +601155536831</x:v>
      </x:c>
      <x:c r="H6330" s="16" t="str">
        <x:v>Excluded</x:v>
      </x:c>
      <x:c r="I6330" s="16" t="str">
        <x:v>Missing email</x:v>
      </x:c>
    </x:row>
    <x:row r="6331">
      <x:c r="A6331" s="16" t="n">
        <x:v>6328</x:v>
      </x:c>
      <x:c r="B6331" s="16" t="str">
        <x:v>Sifu Magiey</x:v>
      </x:c>
      <x:c r="C6331" s="16" t="str">
        <x:v>espritt8@gmail.com</x:v>
      </x:c>
      <x:c r="D6331" s="16" t="str">
        <x:v>espritt8@gmail.com</x:v>
      </x:c>
      <x:c r="E6331" s="16" t="str">
        <x:v>Trainer | * myContacts</x:v>
      </x:c>
      <x:c r="F6331" s="16" t="str">
        <x:v>+60 13-867 3975 | +60138673975</x:v>
      </x:c>
      <x:c r="G6331" s="16" t="str">
        <x:v>+60138673975 | +60138673975</x:v>
      </x:c>
      <x:c r="H6331" s="16" t="str">
        <x:v>Eligible</x:v>
      </x:c>
      <x:c r="I6331" s="16" t="str"/>
    </x:row>
    <x:row r="6332">
      <x:c r="A6332" s="16" t="n">
        <x:v>6329</x:v>
      </x:c>
      <x:c r="B6332" s="16" t="str">
        <x:v>Sifu Maria</x:v>
      </x:c>
      <x:c r="C6332" s="16" t="str"/>
      <x:c r="D6332" s="16" t="str"/>
      <x:c r="E6332" s="16" t="str">
        <x:v>Trainer | * myContacts</x:v>
      </x:c>
      <x:c r="F6332" s="16" t="str">
        <x:v>+60 16-212 3894 | +60162123894</x:v>
      </x:c>
      <x:c r="G6332" s="16" t="str">
        <x:v>+60162123894 | +60162123894</x:v>
      </x:c>
      <x:c r="H6332" s="16" t="str">
        <x:v>Excluded</x:v>
      </x:c>
      <x:c r="I6332" s="16" t="str">
        <x:v>Missing email</x:v>
      </x:c>
    </x:row>
    <x:row r="6333">
      <x:c r="A6333" s="16" t="n">
        <x:v>6330</x:v>
      </x:c>
      <x:c r="B6333" s="16" t="str">
        <x:v>Sifu Mazlan IM</x:v>
      </x:c>
      <x:c r="C6333" s="16" t="str"/>
      <x:c r="D6333" s="16" t="str"/>
      <x:c r="E6333" s="16" t="str">
        <x:v>Trainer | * myContacts</x:v>
      </x:c>
      <x:c r="F6333" s="16" t="str">
        <x:v>+60 18-793 4977 | +60187934977</x:v>
      </x:c>
      <x:c r="G6333" s="16" t="str">
        <x:v>+60187934977 | +60187934977</x:v>
      </x:c>
      <x:c r="H6333" s="16" t="str">
        <x:v>Excluded</x:v>
      </x:c>
      <x:c r="I6333" s="16" t="str">
        <x:v>Missing email</x:v>
      </x:c>
    </x:row>
    <x:row r="6334">
      <x:c r="A6334" s="16" t="n">
        <x:v>6331</x:v>
      </x:c>
      <x:c r="B6334" s="16" t="str">
        <x:v>sifu noah im</x:v>
      </x:c>
      <x:c r="C6334" s="16" t="str"/>
      <x:c r="D6334" s="16" t="str"/>
      <x:c r="E6334" s="16" t="str">
        <x:v>* myContacts</x:v>
      </x:c>
      <x:c r="F6334" s="16" t="str">
        <x:v>0182108082</x:v>
      </x:c>
      <x:c r="G6334" s="16" t="str">
        <x:v>+60182108082</x:v>
      </x:c>
      <x:c r="H6334" s="16" t="str">
        <x:v>Excluded</x:v>
      </x:c>
      <x:c r="I6334" s="16" t="str">
        <x:v>Missing email</x:v>
      </x:c>
    </x:row>
    <x:row r="6335">
      <x:c r="A6335" s="16" t="n">
        <x:v>6332</x:v>
      </x:c>
      <x:c r="B6335" s="16" t="str">
        <x:v>Sifu Norlukmal Mat Ghani</x:v>
      </x:c>
      <x:c r="C6335" s="16" t="str"/>
      <x:c r="D6335" s="16" t="str"/>
      <x:c r="E6335" s="16" t="str">
        <x:v>Trainer | * myContacts</x:v>
      </x:c>
      <x:c r="F6335" s="16" t="str">
        <x:v>0124448352 | +60124448352</x:v>
      </x:c>
      <x:c r="G6335" s="16" t="str">
        <x:v>+60124448352 | +60124448352</x:v>
      </x:c>
      <x:c r="H6335" s="16" t="str">
        <x:v>Excluded</x:v>
      </x:c>
      <x:c r="I6335" s="16" t="str">
        <x:v>Missing email</x:v>
      </x:c>
    </x:row>
    <x:row r="6336">
      <x:c r="A6336" s="16" t="n">
        <x:v>6333</x:v>
      </x:c>
      <x:c r="B6336" s="16" t="str">
        <x:v>Sifu Rafiq Mobile Apps Expert</x:v>
      </x:c>
      <x:c r="C6336" s="16" t="str"/>
      <x:c r="D6336" s="16" t="str"/>
      <x:c r="E6336" s="16" t="str">
        <x:v>Trainer | * myContacts</x:v>
      </x:c>
      <x:c r="F6336" s="16" t="str">
        <x:v>+60125342435</x:v>
      </x:c>
      <x:c r="G6336" s="16" t="str">
        <x:v>+60125342435</x:v>
      </x:c>
      <x:c r="H6336" s="16" t="str">
        <x:v>Excluded</x:v>
      </x:c>
      <x:c r="I6336" s="16" t="str">
        <x:v>Missing email</x:v>
      </x:c>
    </x:row>
    <x:row r="6337">
      <x:c r="A6337" s="16" t="n">
        <x:v>6334</x:v>
      </x:c>
      <x:c r="B6337" s="16" t="str">
        <x:v>Sifu Ryzul MyIpo</x:v>
      </x:c>
      <x:c r="C6337" s="16" t="str"/>
      <x:c r="D6337" s="16" t="str"/>
      <x:c r="E6337" s="16" t="str">
        <x:v>Trainer | * myContacts</x:v>
      </x:c>
      <x:c r="F6337" s="16" t="str">
        <x:v>0173342980 | +60173342980</x:v>
      </x:c>
      <x:c r="G6337" s="16" t="str">
        <x:v>+60173342980 | +60173342980</x:v>
      </x:c>
      <x:c r="H6337" s="16" t="str">
        <x:v>Excluded</x:v>
      </x:c>
      <x:c r="I6337" s="16" t="str">
        <x:v>Missing email</x:v>
      </x:c>
    </x:row>
    <x:row r="6338">
      <x:c r="A6338" s="16" t="n">
        <x:v>6335</x:v>
      </x:c>
      <x:c r="B6338" s="16" t="str">
        <x:v>Sifu Safuan Borhan</x:v>
      </x:c>
      <x:c r="C6338" s="16" t="str"/>
      <x:c r="D6338" s="16" t="str"/>
      <x:c r="E6338" s="16" t="str">
        <x:v>Trainer | * myContacts</x:v>
      </x:c>
      <x:c r="F6338" s="16" t="str">
        <x:v>+60122195387</x:v>
      </x:c>
      <x:c r="G6338" s="16" t="str">
        <x:v>+60122195387</x:v>
      </x:c>
      <x:c r="H6338" s="16" t="str">
        <x:v>Excluded</x:v>
      </x:c>
      <x:c r="I6338" s="16" t="str">
        <x:v>Missing email</x:v>
      </x:c>
    </x:row>
    <x:row r="6339">
      <x:c r="A6339" s="16" t="n">
        <x:v>6336</x:v>
      </x:c>
      <x:c r="B6339" s="16" t="str">
        <x:v>Sifu Sales Azim</x:v>
      </x:c>
      <x:c r="C6339" s="16" t="str"/>
      <x:c r="D6339" s="16" t="str"/>
      <x:c r="E6339" s="16" t="str">
        <x:v>Trainer | * myContacts</x:v>
      </x:c>
      <x:c r="F6339" s="16" t="str">
        <x:v>0182040952 | +60182040952</x:v>
      </x:c>
      <x:c r="G6339" s="16" t="str">
        <x:v>+60182040952 | +60182040952</x:v>
      </x:c>
      <x:c r="H6339" s="16" t="str">
        <x:v>Excluded</x:v>
      </x:c>
      <x:c r="I6339" s="16" t="str">
        <x:v>Missing email</x:v>
      </x:c>
    </x:row>
    <x:row r="6340">
      <x:c r="A6340" s="16" t="n">
        <x:v>6337</x:v>
      </x:c>
      <x:c r="B6340" s="16" t="str">
        <x:v>Sifu Shahizam Ibrahim</x:v>
      </x:c>
      <x:c r="C6340" s="16" t="str"/>
      <x:c r="D6340" s="16" t="str"/>
      <x:c r="E6340" s="16" t="str">
        <x:v>Trainer | * myContacts</x:v>
      </x:c>
      <x:c r="F6340" s="16" t="str">
        <x:v>0177662335 | +60177662335</x:v>
      </x:c>
      <x:c r="G6340" s="16" t="str">
        <x:v>+60177662335 | +60177662335</x:v>
      </x:c>
      <x:c r="H6340" s="16" t="str">
        <x:v>Excluded</x:v>
      </x:c>
      <x:c r="I6340" s="16" t="str">
        <x:v>Missing email</x:v>
      </x:c>
    </x:row>
    <x:row r="6341">
      <x:c r="A6341" s="16" t="n">
        <x:v>6338</x:v>
      </x:c>
      <x:c r="B6341" s="16" t="str">
        <x:v>Sifu Syamsul Adlan Mahrim</x:v>
      </x:c>
      <x:c r="C6341" s="16" t="str"/>
      <x:c r="D6341" s="16" t="str"/>
      <x:c r="E6341" s="16" t="str">
        <x:v>Trainer | * myContacts</x:v>
      </x:c>
      <x:c r="F6341" s="16" t="str">
        <x:v>+60 17-301 3920 | +60173013920</x:v>
      </x:c>
      <x:c r="G6341" s="16" t="str">
        <x:v>+60173013920 | +60173013920</x:v>
      </x:c>
      <x:c r="H6341" s="16" t="str">
        <x:v>Excluded</x:v>
      </x:c>
      <x:c r="I6341" s="16" t="str">
        <x:v>Missing email</x:v>
      </x:c>
    </x:row>
    <x:row r="6342">
      <x:c r="A6342" s="16" t="n">
        <x:v>6339</x:v>
      </x:c>
      <x:c r="B6342" s="16" t="str">
        <x:v>Sifu Wan Nong</x:v>
      </x:c>
      <x:c r="C6342" s="16" t="str"/>
      <x:c r="D6342" s="16" t="str"/>
      <x:c r="E6342" s="16" t="str">
        <x:v>Trainer | * myContacts</x:v>
      </x:c>
      <x:c r="F6342" s="16" t="str">
        <x:v>+60193354707</x:v>
      </x:c>
      <x:c r="G6342" s="16" t="str">
        <x:v>+60193354707</x:v>
      </x:c>
      <x:c r="H6342" s="16" t="str">
        <x:v>Excluded</x:v>
      </x:c>
      <x:c r="I6342" s="16" t="str">
        <x:v>Missing email</x:v>
      </x:c>
    </x:row>
    <x:row r="6343">
      <x:c r="A6343" s="16" t="n">
        <x:v>6340</x:v>
      </x:c>
      <x:c r="B6343" s="16" t="str">
        <x:v>Silfara R. Dewi</x:v>
      </x:c>
      <x:c r="C6343" s="16" t="str"/>
      <x:c r="D6343" s="16" t="str"/>
      <x:c r="E6343" s="16" t="str">
        <x:v>* myContacts</x:v>
      </x:c>
      <x:c r="F6343" s="16" t="str">
        <x:v>+62 811-9041-414 | +628119041414</x:v>
      </x:c>
      <x:c r="G6343" s="16" t="str">
        <x:v>+628119041414 | +628119041414</x:v>
      </x:c>
      <x:c r="H6343" s="16" t="str">
        <x:v>Excluded</x:v>
      </x:c>
      <x:c r="I6343" s="16" t="str">
        <x:v>Missing email</x:v>
      </x:c>
    </x:row>
    <x:row r="6344">
      <x:c r="A6344" s="16" t="n">
        <x:v>6341</x:v>
      </x:c>
      <x:c r="B6344" s="16" t="str">
        <x:v>Sim Ameim</x:v>
      </x:c>
      <x:c r="C6344" s="16" t="str"/>
      <x:c r="D6344" s="16" t="str"/>
      <x:c r="E6344" s="16" t="str">
        <x:v>* myContacts</x:v>
      </x:c>
      <x:c r="F6344" s="16" t="str">
        <x:v>+60168565859</x:v>
      </x:c>
      <x:c r="G6344" s="16" t="str">
        <x:v>+60168565859</x:v>
      </x:c>
      <x:c r="H6344" s="16" t="str">
        <x:v>Excluded</x:v>
      </x:c>
      <x:c r="I6344" s="16" t="str">
        <x:v>Missing email</x:v>
      </x:c>
    </x:row>
    <x:row r="6345">
      <x:c r="A6345" s="16" t="n">
        <x:v>6342</x:v>
      </x:c>
      <x:c r="B6345" s="16" t="str">
        <x:v>Sima StokisJsd HuluLangat</x:v>
      </x:c>
      <x:c r="C6345" s="16" t="str"/>
      <x:c r="D6345" s="16" t="str"/>
      <x:c r="E6345" s="16" t="str">
        <x:v>* myContacts</x:v>
      </x:c>
      <x:c r="F6345" s="16" t="str">
        <x:v>+601124287884</x:v>
      </x:c>
      <x:c r="G6345" s="16" t="str">
        <x:v>+601124287884</x:v>
      </x:c>
      <x:c r="H6345" s="16" t="str">
        <x:v>Excluded</x:v>
      </x:c>
      <x:c r="I6345" s="16" t="str">
        <x:v>Missing email</x:v>
      </x:c>
    </x:row>
    <x:row r="6346">
      <x:c r="A6346" s="16" t="n">
        <x:v>6343</x:v>
      </x:c>
      <x:c r="B6346" s="16" t="str">
        <x:v>Sinar Cristal</x:v>
      </x:c>
      <x:c r="C6346" s="16" t="str"/>
      <x:c r="D6346" s="16" t="str"/>
      <x:c r="E6346" s="16" t="str">
        <x:v>* myContacts</x:v>
      </x:c>
      <x:c r="F6346" s="16" t="str">
        <x:v>+601131368038</x:v>
      </x:c>
      <x:c r="G6346" s="16" t="str">
        <x:v>+601131368038</x:v>
      </x:c>
      <x:c r="H6346" s="16" t="str">
        <x:v>Excluded</x:v>
      </x:c>
      <x:c r="I6346" s="16" t="str">
        <x:v>Missing email</x:v>
      </x:c>
    </x:row>
    <x:row r="6347">
      <x:c r="A6347" s="16" t="n">
        <x:v>6344</x:v>
      </x:c>
      <x:c r="B6347" s="16" t="str">
        <x:v>Sinar Elektrikal Servis</x:v>
      </x:c>
      <x:c r="C6347" s="16" t="str"/>
      <x:c r="D6347" s="16" t="str"/>
      <x:c r="E6347" s="16" t="str">
        <x:v>* myContacts</x:v>
      </x:c>
      <x:c r="F6347" s="16" t="str">
        <x:v>+60109151537</x:v>
      </x:c>
      <x:c r="G6347" s="16" t="str">
        <x:v>+60109151537</x:v>
      </x:c>
      <x:c r="H6347" s="16" t="str">
        <x:v>Excluded</x:v>
      </x:c>
      <x:c r="I6347" s="16" t="str">
        <x:v>Missing email</x:v>
      </x:c>
    </x:row>
    <x:row r="6348">
      <x:c r="A6348" s="16" t="n">
        <x:v>6345</x:v>
      </x:c>
      <x:c r="B6348" s="16" t="str">
        <x:v>SIP PPMM</x:v>
      </x:c>
      <x:c r="C6348" s="16" t="str"/>
      <x:c r="D6348" s="16" t="str"/>
      <x:c r="E6348" s="16" t="str">
        <x:v>* myContacts</x:v>
      </x:c>
      <x:c r="F6348" s="16" t="str">
        <x:v>+60 19-334 6578 | +60193346578</x:v>
      </x:c>
      <x:c r="G6348" s="16" t="str">
        <x:v>+60193346578 | +60193346578</x:v>
      </x:c>
      <x:c r="H6348" s="16" t="str">
        <x:v>Excluded</x:v>
      </x:c>
      <x:c r="I6348" s="16" t="str">
        <x:v>Missing email</x:v>
      </x:c>
    </x:row>
    <x:row r="6349">
      <x:c r="A6349" s="16" t="n">
        <x:v>6346</x:v>
      </x:c>
      <x:c r="B6349" s="16" t="str">
        <x:v>SIR AIZAT</x:v>
      </x:c>
      <x:c r="C6349" s="16" t="str"/>
      <x:c r="D6349" s="16" t="str"/>
      <x:c r="E6349" s="16" t="str">
        <x:v>* myContacts</x:v>
      </x:c>
      <x:c r="F6349" s="16" t="str">
        <x:v>+601137233796</x:v>
      </x:c>
      <x:c r="G6349" s="16" t="str">
        <x:v>+601137233796</x:v>
      </x:c>
      <x:c r="H6349" s="16" t="str">
        <x:v>Excluded</x:v>
      </x:c>
      <x:c r="I6349" s="16" t="str">
        <x:v>Missing email</x:v>
      </x:c>
    </x:row>
    <x:row r="6350">
      <x:c r="A6350" s="16" t="n">
        <x:v>6347</x:v>
      </x:c>
      <x:c r="B6350" s="16" t="str">
        <x:v>Sir Hafiz</x:v>
      </x:c>
      <x:c r="C6350" s="16" t="str"/>
      <x:c r="D6350" s="16" t="str"/>
      <x:c r="E6350" s="16" t="str">
        <x:v>* myContacts</x:v>
      </x:c>
      <x:c r="F6350" s="16" t="str">
        <x:v>01126434700 | +601126434700</x:v>
      </x:c>
      <x:c r="G6350" s="16" t="str">
        <x:v>+601126434700 | +601126434700</x:v>
      </x:c>
      <x:c r="H6350" s="16" t="str">
        <x:v>Excluded</x:v>
      </x:c>
      <x:c r="I6350" s="16" t="str">
        <x:v>Missing email</x:v>
      </x:c>
    </x:row>
    <x:row r="6351">
      <x:c r="A6351" s="16" t="n">
        <x:v>6348</x:v>
      </x:c>
      <x:c r="B6351" s="16" t="str">
        <x:v>Sir Lotfi Unisel Seni Visual</x:v>
      </x:c>
      <x:c r="C6351" s="16" t="str"/>
      <x:c r="D6351" s="16" t="str"/>
      <x:c r="E6351" s="16" t="str">
        <x:v>* myContacts</x:v>
      </x:c>
      <x:c r="F6351" s="16" t="str">
        <x:v>+60192621476</x:v>
      </x:c>
      <x:c r="G6351" s="16" t="str">
        <x:v>+60192621476</x:v>
      </x:c>
      <x:c r="H6351" s="16" t="str">
        <x:v>Excluded</x:v>
      </x:c>
      <x:c r="I6351" s="16" t="str">
        <x:v>Missing email</x:v>
      </x:c>
    </x:row>
    <x:row r="6352">
      <x:c r="A6352" s="16" t="n">
        <x:v>6349</x:v>
      </x:c>
      <x:c r="B6352" s="16" t="str">
        <x:v>Sis Lia MBM</x:v>
      </x:c>
      <x:c r="C6352" s="16" t="str"/>
      <x:c r="D6352" s="16" t="str"/>
      <x:c r="E6352" s="16" t="str">
        <x:v>* myContacts</x:v>
      </x:c>
      <x:c r="F6352" s="16" t="str">
        <x:v>013-928 5653 | +60139285653</x:v>
      </x:c>
      <x:c r="G6352" s="16" t="str">
        <x:v>+60139285653 | +60139285653</x:v>
      </x:c>
      <x:c r="H6352" s="16" t="str">
        <x:v>Excluded</x:v>
      </x:c>
      <x:c r="I6352" s="16" t="str">
        <x:v>Missing email</x:v>
      </x:c>
    </x:row>
    <x:row r="6353">
      <x:c r="A6353" s="16" t="n">
        <x:v>6350</x:v>
      </x:c>
      <x:c r="B6353" s="16" t="str">
        <x:v>Sis Yuyu</x:v>
      </x:c>
      <x:c r="C6353" s="16" t="str"/>
      <x:c r="D6353" s="16" t="str"/>
      <x:c r="E6353" s="16" t="str">
        <x:v>* myContacts</x:v>
      </x:c>
      <x:c r="F6353" s="16" t="str">
        <x:v>+60169577265</x:v>
      </x:c>
      <x:c r="G6353" s="16" t="str">
        <x:v>+60169577265</x:v>
      </x:c>
      <x:c r="H6353" s="16" t="str">
        <x:v>Excluded</x:v>
      </x:c>
      <x:c r="I6353" s="16" t="str">
        <x:v>Missing email</x:v>
      </x:c>
    </x:row>
    <x:row r="6354">
      <x:c r="A6354" s="16" t="n">
        <x:v>6351</x:v>
      </x:c>
      <x:c r="B6354" s="16" t="str">
        <x:v>Siti Afiqah</x:v>
      </x:c>
      <x:c r="C6354" s="16" t="str"/>
      <x:c r="D6354" s="16" t="str"/>
      <x:c r="E6354" s="16" t="str">
        <x:v>* myContacts</x:v>
      </x:c>
      <x:c r="F6354" s="16" t="str">
        <x:v>+60124620438</x:v>
      </x:c>
      <x:c r="G6354" s="16" t="str">
        <x:v>+60124620438</x:v>
      </x:c>
      <x:c r="H6354" s="16" t="str">
        <x:v>Excluded</x:v>
      </x:c>
      <x:c r="I6354" s="16" t="str">
        <x:v>Missing email</x:v>
      </x:c>
    </x:row>
    <x:row r="6355">
      <x:c r="A6355" s="16" t="n">
        <x:v>6352</x:v>
      </x:c>
      <x:c r="B6355" s="16" t="str">
        <x:v>Siti Aisah Afiesyah</x:v>
      </x:c>
      <x:c r="C6355" s="16" t="str"/>
      <x:c r="D6355" s="16" t="str"/>
      <x:c r="E6355" s="16" t="str">
        <x:v>* myContacts</x:v>
      </x:c>
      <x:c r="F6355" s="16" t="str">
        <x:v>+601131573057</x:v>
      </x:c>
      <x:c r="G6355" s="16" t="str">
        <x:v>+601131573057</x:v>
      </x:c>
      <x:c r="H6355" s="16" t="str">
        <x:v>Excluded</x:v>
      </x:c>
      <x:c r="I6355" s="16" t="str">
        <x:v>Missing email</x:v>
      </x:c>
    </x:row>
    <x:row r="6356">
      <x:c r="A6356" s="16" t="n">
        <x:v>6353</x:v>
      </x:c>
      <x:c r="B6356" s="16" t="str">
        <x:v>Siti Aishah Hanapi</x:v>
      </x:c>
      <x:c r="C6356" s="16" t="str"/>
      <x:c r="D6356" s="16" t="str"/>
      <x:c r="E6356" s="16" t="str">
        <x:v>* myContacts</x:v>
      </x:c>
      <x:c r="F6356" s="16" t="str">
        <x:v>+60173007597</x:v>
      </x:c>
      <x:c r="G6356" s="16" t="str">
        <x:v>+60173007597</x:v>
      </x:c>
      <x:c r="H6356" s="16" t="str">
        <x:v>Excluded</x:v>
      </x:c>
      <x:c r="I6356" s="16" t="str">
        <x:v>Missing email</x:v>
      </x:c>
    </x:row>
    <x:row r="6357">
      <x:c r="A6357" s="16" t="n">
        <x:v>6354</x:v>
      </x:c>
      <x:c r="B6357" s="16" t="str">
        <x:v>Siti Aisyah</x:v>
      </x:c>
      <x:c r="C6357" s="16" t="str"/>
      <x:c r="D6357" s="16" t="str"/>
      <x:c r="E6357" s="16" t="str">
        <x:v>* myContacts</x:v>
      </x:c>
      <x:c r="F6357" s="16" t="str">
        <x:v>+60125300755</x:v>
      </x:c>
      <x:c r="G6357" s="16" t="str">
        <x:v>+60125300755</x:v>
      </x:c>
      <x:c r="H6357" s="16" t="str">
        <x:v>Excluded</x:v>
      </x:c>
      <x:c r="I6357" s="16" t="str">
        <x:v>Missing email</x:v>
      </x:c>
    </x:row>
    <x:row r="6358">
      <x:c r="A6358" s="16" t="n">
        <x:v>6355</x:v>
      </x:c>
      <x:c r="B6358" s="16" t="str">
        <x:v>Siti Aleysa</x:v>
      </x:c>
      <x:c r="C6358" s="16" t="str"/>
      <x:c r="D6358" s="16" t="str"/>
      <x:c r="E6358" s="16" t="str">
        <x:v>* myContacts</x:v>
      </x:c>
      <x:c r="F6358" s="16" t="str">
        <x:v>+60139012462</x:v>
      </x:c>
      <x:c r="G6358" s="16" t="str">
        <x:v>+60139012462</x:v>
      </x:c>
      <x:c r="H6358" s="16" t="str">
        <x:v>Excluded</x:v>
      </x:c>
      <x:c r="I6358" s="16" t="str">
        <x:v>Missing email</x:v>
      </x:c>
    </x:row>
    <x:row r="6359">
      <x:c r="A6359" s="16" t="n">
        <x:v>6356</x:v>
      </x:c>
      <x:c r="B6359" s="16" t="str">
        <x:v>Siti Ayu Ayu</x:v>
      </x:c>
      <x:c r="C6359" s="16" t="str"/>
      <x:c r="D6359" s="16" t="str"/>
      <x:c r="E6359" s="16" t="str">
        <x:v>* myContacts</x:v>
      </x:c>
      <x:c r="F6359" s="16" t="str">
        <x:v>+60177486654</x:v>
      </x:c>
      <x:c r="G6359" s="16" t="str">
        <x:v>+60177486654</x:v>
      </x:c>
      <x:c r="H6359" s="16" t="str">
        <x:v>Excluded</x:v>
      </x:c>
      <x:c r="I6359" s="16" t="str">
        <x:v>Missing email</x:v>
      </x:c>
    </x:row>
    <x:row r="6360">
      <x:c r="A6360" s="16" t="n">
        <x:v>6357</x:v>
      </x:c>
      <x:c r="B6360" s="16" t="str">
        <x:v>Siti Azirah Abdul Wahab</x:v>
      </x:c>
      <x:c r="C6360" s="16" t="str"/>
      <x:c r="D6360" s="16" t="str"/>
      <x:c r="E6360" s="16" t="str">
        <x:v>* myContacts</x:v>
      </x:c>
      <x:c r="F6360" s="16" t="str">
        <x:v>+601115502000</x:v>
      </x:c>
      <x:c r="G6360" s="16" t="str">
        <x:v>+601115502000</x:v>
      </x:c>
      <x:c r="H6360" s="16" t="str">
        <x:v>Excluded</x:v>
      </x:c>
      <x:c r="I6360" s="16" t="str">
        <x:v>Missing email</x:v>
      </x:c>
    </x:row>
    <x:row r="6361">
      <x:c r="A6361" s="16" t="n">
        <x:v>6358</x:v>
      </x:c>
      <x:c r="B6361" s="16" t="str">
        <x:v>Siti Azlina Ismail</x:v>
      </x:c>
      <x:c r="C6361" s="16" t="str"/>
      <x:c r="D6361" s="16" t="str"/>
      <x:c r="E6361" s="16" t="str">
        <x:v>* myContacts</x:v>
      </x:c>
      <x:c r="F6361" s="16" t="str">
        <x:v>+60162745338</x:v>
      </x:c>
      <x:c r="G6361" s="16" t="str">
        <x:v>+60162745338</x:v>
      </x:c>
      <x:c r="H6361" s="16" t="str">
        <x:v>Excluded</x:v>
      </x:c>
      <x:c r="I6361" s="16" t="str">
        <x:v>Missing email</x:v>
      </x:c>
    </x:row>
    <x:row r="6362">
      <x:c r="A6362" s="16" t="n">
        <x:v>6359</x:v>
      </x:c>
      <x:c r="B6362" s="16" t="str">
        <x:v>Siti Azlina Nordin</x:v>
      </x:c>
      <x:c r="C6362" s="16" t="str"/>
      <x:c r="D6362" s="16" t="str"/>
      <x:c r="E6362" s="16" t="str">
        <x:v>* myContacts</x:v>
      </x:c>
      <x:c r="F6362" s="16" t="str">
        <x:v>+60173443913</x:v>
      </x:c>
      <x:c r="G6362" s="16" t="str">
        <x:v>+60173443913</x:v>
      </x:c>
      <x:c r="H6362" s="16" t="str">
        <x:v>Excluded</x:v>
      </x:c>
      <x:c r="I6362" s="16" t="str">
        <x:v>Missing email</x:v>
      </x:c>
    </x:row>
    <x:row r="6363">
      <x:c r="A6363" s="16" t="n">
        <x:v>6360</x:v>
      </x:c>
      <x:c r="B6363" s="16" t="str">
        <x:v>Siti Azura</x:v>
      </x:c>
      <x:c r="C6363" s="16" t="str"/>
      <x:c r="D6363" s="16" t="str"/>
      <x:c r="E6363" s="16" t="str">
        <x:v>* myContacts</x:v>
      </x:c>
      <x:c r="F6363" s="16" t="str">
        <x:v>+60199249363</x:v>
      </x:c>
      <x:c r="G6363" s="16" t="str">
        <x:v>+60199249363</x:v>
      </x:c>
      <x:c r="H6363" s="16" t="str">
        <x:v>Excluded</x:v>
      </x:c>
      <x:c r="I6363" s="16" t="str">
        <x:v>Missing email</x:v>
      </x:c>
    </x:row>
    <x:row r="6364">
      <x:c r="A6364" s="16" t="n">
        <x:v>6361</x:v>
      </x:c>
      <x:c r="B6364" s="16" t="str">
        <x:v>Siti Bashirah AGP</x:v>
      </x:c>
      <x:c r="C6364" s="16" t="str"/>
      <x:c r="D6364" s="16" t="str"/>
      <x:c r="E6364" s="16" t="str">
        <x:v>* myContacts</x:v>
      </x:c>
      <x:c r="F6364" s="16" t="str">
        <x:v>+60 13-255 8582 | +60132558582</x:v>
      </x:c>
      <x:c r="G6364" s="16" t="str">
        <x:v>+60132558582 | +60132558582</x:v>
      </x:c>
      <x:c r="H6364" s="16" t="str">
        <x:v>Excluded</x:v>
      </x:c>
      <x:c r="I6364" s="16" t="str">
        <x:v>Missing email</x:v>
      </x:c>
    </x:row>
    <x:row r="6365">
      <x:c r="A6365" s="16" t="n">
        <x:v>6362</x:v>
      </x:c>
      <x:c r="B6365" s="16" t="str">
        <x:v>Siti Edah</x:v>
      </x:c>
      <x:c r="C6365" s="16" t="str"/>
      <x:c r="D6365" s="16" t="str"/>
      <x:c r="E6365" s="16" t="str">
        <x:v>* myContacts</x:v>
      </x:c>
      <x:c r="F6365" s="16" t="str">
        <x:v>+60105288383</x:v>
      </x:c>
      <x:c r="G6365" s="16" t="str">
        <x:v>+60105288383</x:v>
      </x:c>
      <x:c r="H6365" s="16" t="str">
        <x:v>Excluded</x:v>
      </x:c>
      <x:c r="I6365" s="16" t="str">
        <x:v>Missing email</x:v>
      </x:c>
    </x:row>
    <x:row r="6366">
      <x:c r="A6366" s="16" t="n">
        <x:v>6363</x:v>
      </x:c>
      <x:c r="B6366" s="16" t="str">
        <x:v>Siti Fairuz Mohd Yusof</x:v>
      </x:c>
      <x:c r="C6366" s="16" t="str"/>
      <x:c r="D6366" s="16" t="str"/>
      <x:c r="E6366" s="16" t="str">
        <x:v>* myContacts</x:v>
      </x:c>
      <x:c r="F6366" s="16" t="str">
        <x:v>+60179371036</x:v>
      </x:c>
      <x:c r="G6366" s="16" t="str">
        <x:v>+60179371036</x:v>
      </x:c>
      <x:c r="H6366" s="16" t="str">
        <x:v>Excluded</x:v>
      </x:c>
      <x:c r="I6366" s="16" t="str">
        <x:v>Missing email</x:v>
      </x:c>
    </x:row>
    <x:row r="6367">
      <x:c r="A6367" s="16" t="n">
        <x:v>6364</x:v>
      </x:c>
      <x:c r="B6367" s="16" t="str">
        <x:v>Siti Fatimah</x:v>
      </x:c>
      <x:c r="C6367" s="16" t="str"/>
      <x:c r="D6367" s="16" t="str"/>
      <x:c r="E6367" s="16" t="str">
        <x:v>* myContacts</x:v>
      </x:c>
      <x:c r="F6367" s="16" t="str">
        <x:v>+60184356842 | +60195298142 | +60184356842 | +60195298142</x:v>
      </x:c>
      <x:c r="G6367" s="16" t="str">
        <x:v>+60184356842 | +60195298142 | +60184356842 | +60195298142</x:v>
      </x:c>
      <x:c r="H6367" s="16" t="str">
        <x:v>Excluded</x:v>
      </x:c>
      <x:c r="I6367" s="16" t="str">
        <x:v>Missing email</x:v>
      </x:c>
    </x:row>
    <x:row r="6368">
      <x:c r="A6368" s="16" t="n">
        <x:v>6365</x:v>
      </x:c>
      <x:c r="B6368" s="16" t="str">
        <x:v>Siti Fatimah Abdul Karim</x:v>
      </x:c>
      <x:c r="C6368" s="16" t="str"/>
      <x:c r="D6368" s="16" t="str"/>
      <x:c r="E6368" s="16" t="str">
        <x:v>* myContacts</x:v>
      </x:c>
      <x:c r="F6368" s="16" t="str">
        <x:v>+60183654482</x:v>
      </x:c>
      <x:c r="G6368" s="16" t="str">
        <x:v>+60183654482</x:v>
      </x:c>
      <x:c r="H6368" s="16" t="str">
        <x:v>Excluded</x:v>
      </x:c>
      <x:c r="I6368" s="16" t="str">
        <x:v>Missing email</x:v>
      </x:c>
    </x:row>
    <x:row r="6369">
      <x:c r="A6369" s="16" t="n">
        <x:v>6366</x:v>
      </x:c>
      <x:c r="B6369" s="16" t="str">
        <x:v>Siti Fatimah Che Awang</x:v>
      </x:c>
      <x:c r="C6369" s="16" t="str"/>
      <x:c r="D6369" s="16" t="str"/>
      <x:c r="E6369" s="16" t="str">
        <x:v>* myContacts</x:v>
      </x:c>
      <x:c r="F6369" s="16" t="str">
        <x:v>+60126851447</x:v>
      </x:c>
      <x:c r="G6369" s="16" t="str">
        <x:v>+60126851447</x:v>
      </x:c>
      <x:c r="H6369" s="16" t="str">
        <x:v>Excluded</x:v>
      </x:c>
      <x:c r="I6369" s="16" t="str">
        <x:v>Missing email</x:v>
      </x:c>
    </x:row>
    <x:row r="6370">
      <x:c r="A6370" s="16" t="n">
        <x:v>6367</x:v>
      </x:c>
      <x:c r="B6370" s="16" t="str">
        <x:v>Siti Fazira</x:v>
      </x:c>
      <x:c r="C6370" s="16" t="str"/>
      <x:c r="D6370" s="16" t="str"/>
      <x:c r="E6370" s="16" t="str">
        <x:v>* myContacts</x:v>
      </x:c>
      <x:c r="F6370" s="16" t="str">
        <x:v>+601124012226</x:v>
      </x:c>
      <x:c r="G6370" s="16" t="str">
        <x:v>+601124012226</x:v>
      </x:c>
      <x:c r="H6370" s="16" t="str">
        <x:v>Excluded</x:v>
      </x:c>
      <x:c r="I6370" s="16" t="str">
        <x:v>Missing email</x:v>
      </x:c>
    </x:row>
    <x:row r="6371">
      <x:c r="A6371" s="16" t="n">
        <x:v>6368</x:v>
      </x:c>
      <x:c r="B6371" s="16" t="str">
        <x:v>Siti Hairiah Cik Ya</x:v>
      </x:c>
      <x:c r="C6371" s="16" t="str"/>
      <x:c r="D6371" s="16" t="str"/>
      <x:c r="E6371" s="16" t="str">
        <x:v>* myContacts</x:v>
      </x:c>
      <x:c r="F6371" s="16" t="str">
        <x:v>+60172549230</x:v>
      </x:c>
      <x:c r="G6371" s="16" t="str">
        <x:v>+60172549230</x:v>
      </x:c>
      <x:c r="H6371" s="16" t="str">
        <x:v>Excluded</x:v>
      </x:c>
      <x:c r="I6371" s="16" t="str">
        <x:v>Missing email</x:v>
      </x:c>
    </x:row>
    <x:row r="6372">
      <x:c r="A6372" s="16" t="n">
        <x:v>6369</x:v>
      </x:c>
      <x:c r="B6372" s="16" t="str">
        <x:v>Siti Hajar Inqaidah VOC EU2023</x:v>
      </x:c>
      <x:c r="C6372" s="16" t="str"/>
      <x:c r="D6372" s="16" t="str"/>
      <x:c r="E6372" s="16" t="str">
        <x:v>* myContacts</x:v>
      </x:c>
      <x:c r="F6372" s="16" t="str">
        <x:v>+60 18-404 3018 | +60184043018</x:v>
      </x:c>
      <x:c r="G6372" s="16" t="str">
        <x:v>+60184043018 | +60184043018</x:v>
      </x:c>
      <x:c r="H6372" s="16" t="str">
        <x:v>Excluded</x:v>
      </x:c>
      <x:c r="I6372" s="16" t="str">
        <x:v>Missing email</x:v>
      </x:c>
    </x:row>
    <x:row r="6373">
      <x:c r="A6373" s="16" t="n">
        <x:v>6370</x:v>
      </x:c>
      <x:c r="B6373" s="16" t="str">
        <x:v>Siti Hajariah</x:v>
      </x:c>
      <x:c r="C6373" s="16" t="str"/>
      <x:c r="D6373" s="16" t="str"/>
      <x:c r="E6373" s="16" t="str">
        <x:v>* myContacts</x:v>
      </x:c>
      <x:c r="F6373" s="16" t="str">
        <x:v>+60129587338</x:v>
      </x:c>
      <x:c r="G6373" s="16" t="str">
        <x:v>+60129587338</x:v>
      </x:c>
      <x:c r="H6373" s="16" t="str">
        <x:v>Excluded</x:v>
      </x:c>
      <x:c r="I6373" s="16" t="str">
        <x:v>Missing email</x:v>
      </x:c>
    </x:row>
    <x:row r="6374">
      <x:c r="A6374" s="16" t="n">
        <x:v>6371</x:v>
      </x:c>
      <x:c r="B6374" s="16" t="str">
        <x:v>Siti Halijah Mdec Officer</x:v>
      </x:c>
      <x:c r="C6374" s="16" t="str"/>
      <x:c r="D6374" s="16" t="str"/>
      <x:c r="E6374" s="16" t="str">
        <x:v>* myContacts</x:v>
      </x:c>
      <x:c r="F6374" s="16" t="str">
        <x:v>+60 10-810 9544 | +60108109544</x:v>
      </x:c>
      <x:c r="G6374" s="16" t="str">
        <x:v>+60108109544 | +60108109544</x:v>
      </x:c>
      <x:c r="H6374" s="16" t="str">
        <x:v>Excluded</x:v>
      </x:c>
      <x:c r="I6374" s="16" t="str">
        <x:v>Missing email</x:v>
      </x:c>
    </x:row>
    <x:row r="6375">
      <x:c r="A6375" s="16" t="n">
        <x:v>6372</x:v>
      </x:c>
      <x:c r="B6375" s="16" t="str">
        <x:v>Siti Hamizah Aspin Agent AGP</x:v>
      </x:c>
      <x:c r="C6375" s="16" t="str"/>
      <x:c r="D6375" s="16" t="str"/>
      <x:c r="E6375" s="16" t="str">
        <x:v>* myContacts</x:v>
      </x:c>
      <x:c r="F6375" s="16" t="str">
        <x:v>014-609 1857 | 01118796120 | +60146091857 | 01118796120</x:v>
      </x:c>
      <x:c r="G6375" s="16" t="str">
        <x:v>+60146091857 | +601118796120 | +60146091857 | +601118796120</x:v>
      </x:c>
      <x:c r="H6375" s="16" t="str">
        <x:v>Excluded</x:v>
      </x:c>
      <x:c r="I6375" s="16" t="str">
        <x:v>Missing email</x:v>
      </x:c>
    </x:row>
    <x:row r="6376">
      <x:c r="A6376" s="16" t="n">
        <x:v>6373</x:v>
      </x:c>
      <x:c r="B6376" s="16" t="str">
        <x:v>Siti Hawa</x:v>
      </x:c>
      <x:c r="C6376" s="16" t="str"/>
      <x:c r="D6376" s="16" t="str"/>
      <x:c r="E6376" s="16" t="str">
        <x:v>* myContacts</x:v>
      </x:c>
      <x:c r="F6376" s="16" t="str">
        <x:v>+60182829517 | +60107056650 | +60177656954</x:v>
      </x:c>
      <x:c r="G6376" s="16" t="str">
        <x:v>+60182829517 | +60107056650 | +60177656954</x:v>
      </x:c>
      <x:c r="H6376" s="16" t="str">
        <x:v>Excluded</x:v>
      </x:c>
      <x:c r="I6376" s="16" t="str">
        <x:v>Missing email</x:v>
      </x:c>
    </x:row>
    <x:row r="6377">
      <x:c r="A6377" s="16" t="n">
        <x:v>6374</x:v>
      </x:c>
      <x:c r="B6377" s="16" t="str">
        <x:v>Siti Hawa</x:v>
      </x:c>
      <x:c r="C6377" s="16" t="str"/>
      <x:c r="D6377" s="16" t="str"/>
      <x:c r="E6377" s="16" t="str">
        <x:v>* myContacts</x:v>
      </x:c>
      <x:c r="F6377" s="16" t="str">
        <x:v>+60182829517 | +60107056650 | +60177656954</x:v>
      </x:c>
      <x:c r="G6377" s="16" t="str">
        <x:v>+60182829517 | +60107056650 | +60177656954</x:v>
      </x:c>
      <x:c r="H6377" s="16" t="str">
        <x:v>Excluded</x:v>
      </x:c>
      <x:c r="I6377" s="16" t="str">
        <x:v>Missing email</x:v>
      </x:c>
    </x:row>
    <x:row r="6378">
      <x:c r="A6378" s="16" t="n">
        <x:v>6375</x:v>
      </x:c>
      <x:c r="B6378" s="16" t="str">
        <x:v>Siti JohAri</x:v>
      </x:c>
      <x:c r="C6378" s="16" t="str"/>
      <x:c r="D6378" s="16" t="str"/>
      <x:c r="E6378" s="16" t="str">
        <x:v>* myContacts</x:v>
      </x:c>
      <x:c r="F6378" s="16" t="str">
        <x:v>+60138009350</x:v>
      </x:c>
      <x:c r="G6378" s="16" t="str">
        <x:v>+60138009350</x:v>
      </x:c>
      <x:c r="H6378" s="16" t="str">
        <x:v>Excluded</x:v>
      </x:c>
      <x:c r="I6378" s="16" t="str">
        <x:v>Missing email</x:v>
      </x:c>
    </x:row>
    <x:row r="6379">
      <x:c r="A6379" s="16" t="n">
        <x:v>6376</x:v>
      </x:c>
      <x:c r="B6379" s="16" t="str">
        <x:v>Siti Khadijah</x:v>
      </x:c>
      <x:c r="C6379" s="16" t="str"/>
      <x:c r="D6379" s="16" t="str"/>
      <x:c r="E6379" s="16" t="str">
        <x:v>* myContacts</x:v>
      </x:c>
      <x:c r="F6379" s="16" t="str">
        <x:v>+601113349937</x:v>
      </x:c>
      <x:c r="G6379" s="16" t="str">
        <x:v>+601113349937</x:v>
      </x:c>
      <x:c r="H6379" s="16" t="str">
        <x:v>Excluded</x:v>
      </x:c>
      <x:c r="I6379" s="16" t="str">
        <x:v>Missing email</x:v>
      </x:c>
    </x:row>
    <x:row r="6380">
      <x:c r="A6380" s="16" t="n">
        <x:v>6377</x:v>
      </x:c>
      <x:c r="B6380" s="16" t="str">
        <x:v>Siti Khadinah Ghazali</x:v>
      </x:c>
      <x:c r="C6380" s="16" t="str">
        <x:v>katniico@gmail.com</x:v>
      </x:c>
      <x:c r="D6380" s="16" t="str">
        <x:v>katniico@gmail.com</x:v>
      </x:c>
      <x:c r="E6380" s="16" t="str">
        <x:v>* myContacts</x:v>
      </x:c>
      <x:c r="F6380" s="16" t="str">
        <x:v>+60193462693</x:v>
      </x:c>
      <x:c r="G6380" s="16" t="str">
        <x:v>+60193462693</x:v>
      </x:c>
      <x:c r="H6380" s="16" t="str">
        <x:v>Eligible</x:v>
      </x:c>
      <x:c r="I6380" s="16" t="str"/>
    </x:row>
    <x:row r="6381">
      <x:c r="A6381" s="16" t="n">
        <x:v>6378</x:v>
      </x:c>
      <x:c r="B6381" s="16" t="str">
        <x:v>Siti Khalijah Siti Sitisidi</x:v>
      </x:c>
      <x:c r="C6381" s="16" t="str"/>
      <x:c r="D6381" s="16" t="str"/>
      <x:c r="E6381" s="16" t="str">
        <x:v>* myContacts</x:v>
      </x:c>
      <x:c r="F6381" s="16" t="str">
        <x:v>+60193476225</x:v>
      </x:c>
      <x:c r="G6381" s="16" t="str">
        <x:v>+60193476225</x:v>
      </x:c>
      <x:c r="H6381" s="16" t="str">
        <x:v>Excluded</x:v>
      </x:c>
      <x:c r="I6381" s="16" t="str">
        <x:v>Missing email</x:v>
      </x:c>
    </x:row>
    <x:row r="6382">
      <x:c r="A6382" s="16" t="n">
        <x:v>6379</x:v>
      </x:c>
      <x:c r="B6382" s="16" t="str">
        <x:v>Siti Khuzaimah</x:v>
      </x:c>
      <x:c r="C6382" s="16" t="str"/>
      <x:c r="D6382" s="16" t="str"/>
      <x:c r="E6382" s="16" t="str">
        <x:v>* myContacts</x:v>
      </x:c>
      <x:c r="F6382" s="16" t="str">
        <x:v>+601136861572</x:v>
      </x:c>
      <x:c r="G6382" s="16" t="str">
        <x:v>+601136861572</x:v>
      </x:c>
      <x:c r="H6382" s="16" t="str">
        <x:v>Excluded</x:v>
      </x:c>
      <x:c r="I6382" s="16" t="str">
        <x:v>Missing email</x:v>
      </x:c>
    </x:row>
    <x:row r="6383">
      <x:c r="A6383" s="16" t="n">
        <x:v>6380</x:v>
      </x:c>
      <x:c r="B6383" s="16" t="str">
        <x:v>Siti Lela</x:v>
      </x:c>
      <x:c r="C6383" s="16" t="str"/>
      <x:c r="D6383" s="16" t="str"/>
      <x:c r="E6383" s="16" t="str">
        <x:v>* myContacts</x:v>
      </x:c>
      <x:c r="F6383" s="16" t="str">
        <x:v>+60128115052</x:v>
      </x:c>
      <x:c r="G6383" s="16" t="str">
        <x:v>+60128115052</x:v>
      </x:c>
      <x:c r="H6383" s="16" t="str">
        <x:v>Excluded</x:v>
      </x:c>
      <x:c r="I6383" s="16" t="str">
        <x:v>Missing email</x:v>
      </x:c>
    </x:row>
    <x:row r="6384">
      <x:c r="A6384" s="16" t="n">
        <x:v>6381</x:v>
      </x:c>
      <x:c r="B6384" s="16" t="str">
        <x:v>Siti Mariam Agent AGP</x:v>
      </x:c>
      <x:c r="C6384" s="16" t="str"/>
      <x:c r="D6384" s="16" t="str"/>
      <x:c r="E6384" s="16" t="str">
        <x:v>* myContacts</x:v>
      </x:c>
      <x:c r="F6384" s="16" t="str">
        <x:v>+60 17-422 3036 | +60174223036</x:v>
      </x:c>
      <x:c r="G6384" s="16" t="str">
        <x:v>+60174223036 | +60174223036</x:v>
      </x:c>
      <x:c r="H6384" s="16" t="str">
        <x:v>Excluded</x:v>
      </x:c>
      <x:c r="I6384" s="16" t="str">
        <x:v>Missing email</x:v>
      </x:c>
    </x:row>
    <x:row r="6385">
      <x:c r="A6385" s="16" t="n">
        <x:v>6382</x:v>
      </x:c>
      <x:c r="B6385" s="16" t="str">
        <x:v>siti mazni shakor student</x:v>
      </x:c>
      <x:c r="C6385" s="16" t="str">
        <x:v>maznishakor@hotmail.com</x:v>
      </x:c>
      <x:c r="D6385" s="16" t="str">
        <x:v>maznishakor@hotmail.com</x:v>
      </x:c>
      <x:c r="E6385" s="16" t="str">
        <x:v>* myContacts</x:v>
      </x:c>
      <x:c r="F6385" s="16" t="str">
        <x:v>0192828076</x:v>
      </x:c>
      <x:c r="G6385" s="16" t="str">
        <x:v>+60192828076</x:v>
      </x:c>
      <x:c r="H6385" s="16" t="str">
        <x:v>Eligible</x:v>
      </x:c>
      <x:c r="I6385" s="16" t="str"/>
    </x:row>
    <x:row r="6386">
      <x:c r="A6386" s="16" t="n">
        <x:v>6383</x:v>
      </x:c>
      <x:c r="B6386" s="16" t="str">
        <x:v>Siti Mazura Kip</x:v>
      </x:c>
      <x:c r="C6386" s="16" t="str"/>
      <x:c r="D6386" s="16" t="str"/>
      <x:c r="E6386" s="16" t="str">
        <x:v>* myContacts</x:v>
      </x:c>
      <x:c r="F6386" s="16" t="str">
        <x:v>+60138405004</x:v>
      </x:c>
      <x:c r="G6386" s="16" t="str">
        <x:v>+60138405004</x:v>
      </x:c>
      <x:c r="H6386" s="16" t="str">
        <x:v>Excluded</x:v>
      </x:c>
      <x:c r="I6386" s="16" t="str">
        <x:v>Missing email</x:v>
      </x:c>
    </x:row>
    <x:row r="6387">
      <x:c r="A6387" s="16" t="n">
        <x:v>6384</x:v>
      </x:c>
      <x:c r="B6387" s="16" t="str">
        <x:v>Siti N Sheikh Abdullah</x:v>
      </x:c>
      <x:c r="C6387" s="16" t="str"/>
      <x:c r="D6387" s="16" t="str"/>
      <x:c r="E6387" s="16" t="str">
        <x:v>* myContacts</x:v>
      </x:c>
      <x:c r="F6387" s="16" t="str">
        <x:v>+60195146495</x:v>
      </x:c>
      <x:c r="G6387" s="16" t="str">
        <x:v>+60195146495</x:v>
      </x:c>
      <x:c r="H6387" s="16" t="str">
        <x:v>Excluded</x:v>
      </x:c>
      <x:c r="I6387" s="16" t="str">
        <x:v>Missing email</x:v>
      </x:c>
    </x:row>
    <x:row r="6388">
      <x:c r="A6388" s="16" t="n">
        <x:v>6385</x:v>
      </x:c>
      <x:c r="B6388" s="16" t="str">
        <x:v>Siti NGO Jnj</x:v>
      </x:c>
      <x:c r="C6388" s="16" t="str"/>
      <x:c r="D6388" s="16" t="str"/>
      <x:c r="E6388" s="16" t="str">
        <x:v>* myContacts</x:v>
      </x:c>
      <x:c r="F6388" s="16" t="str">
        <x:v>012-373 6304 | +60123736304</x:v>
      </x:c>
      <x:c r="G6388" s="16" t="str">
        <x:v>+60123736304 | +60123736304</x:v>
      </x:c>
      <x:c r="H6388" s="16" t="str">
        <x:v>Excluded</x:v>
      </x:c>
      <x:c r="I6388" s="16" t="str">
        <x:v>Missing email</x:v>
      </x:c>
    </x:row>
    <x:row r="6389">
      <x:c r="A6389" s="16" t="n">
        <x:v>6386</x:v>
      </x:c>
      <x:c r="B6389" s="16" t="str">
        <x:v>Siti Noor Arni</x:v>
      </x:c>
      <x:c r="C6389" s="16" t="str"/>
      <x:c r="D6389" s="16" t="str"/>
      <x:c r="E6389" s="16" t="str">
        <x:v>* myContacts</x:v>
      </x:c>
      <x:c r="F6389" s="16" t="str">
        <x:v>+60164444314</x:v>
      </x:c>
      <x:c r="G6389" s="16" t="str">
        <x:v>+60164444314</x:v>
      </x:c>
      <x:c r="H6389" s="16" t="str">
        <x:v>Excluded</x:v>
      </x:c>
      <x:c r="I6389" s="16" t="str">
        <x:v>Missing email</x:v>
      </x:c>
    </x:row>
    <x:row r="6390">
      <x:c r="A6390" s="16" t="n">
        <x:v>6387</x:v>
      </x:c>
      <x:c r="B6390" s="16" t="str">
        <x:v>Siti Nooryani Yani</x:v>
      </x:c>
      <x:c r="C6390" s="16" t="str"/>
      <x:c r="D6390" s="16" t="str"/>
      <x:c r="E6390" s="16" t="str">
        <x:v>* myContacts</x:v>
      </x:c>
      <x:c r="F6390" s="16" t="str">
        <x:v>+601125852475</x:v>
      </x:c>
      <x:c r="G6390" s="16" t="str">
        <x:v>+601125852475</x:v>
      </x:c>
      <x:c r="H6390" s="16" t="str">
        <x:v>Excluded</x:v>
      </x:c>
      <x:c r="I6390" s="16" t="str">
        <x:v>Missing email</x:v>
      </x:c>
    </x:row>
    <x:row r="6391">
      <x:c r="A6391" s="16" t="n">
        <x:v>6388</x:v>
      </x:c>
      <x:c r="B6391" s="16" t="str">
        <x:v>Siti Nor Wahida</x:v>
      </x:c>
      <x:c r="C6391" s="16" t="str"/>
      <x:c r="D6391" s="16" t="str"/>
      <x:c r="E6391" s="16" t="str">
        <x:v>* myContacts</x:v>
      </x:c>
      <x:c r="F6391" s="16" t="str">
        <x:v>+60138734184</x:v>
      </x:c>
      <x:c r="G6391" s="16" t="str">
        <x:v>+60138734184</x:v>
      </x:c>
      <x:c r="H6391" s="16" t="str">
        <x:v>Excluded</x:v>
      </x:c>
      <x:c r="I6391" s="16" t="str">
        <x:v>Missing email</x:v>
      </x:c>
    </x:row>
    <x:row r="6392">
      <x:c r="A6392" s="16" t="n">
        <x:v>6389</x:v>
      </x:c>
      <x:c r="B6392" s="16" t="str">
        <x:v>Siti Nor ZainolAbidin</x:v>
      </x:c>
      <x:c r="C6392" s="16" t="str"/>
      <x:c r="D6392" s="16" t="str"/>
      <x:c r="E6392" s="16" t="str">
        <x:v>* myContacts</x:v>
      </x:c>
      <x:c r="F6392" s="16" t="str">
        <x:v>+601119933062</x:v>
      </x:c>
      <x:c r="G6392" s="16" t="str">
        <x:v>+601119933062</x:v>
      </x:c>
      <x:c r="H6392" s="16" t="str">
        <x:v>Excluded</x:v>
      </x:c>
      <x:c r="I6392" s="16" t="str">
        <x:v>Missing email</x:v>
      </x:c>
    </x:row>
    <x:row r="6393">
      <x:c r="A6393" s="16" t="n">
        <x:v>6390</x:v>
      </x:c>
      <x:c r="B6393" s="16" t="str">
        <x:v>Siti Norddiana</x:v>
      </x:c>
      <x:c r="C6393" s="16" t="str"/>
      <x:c r="D6393" s="16" t="str"/>
      <x:c r="E6393" s="16" t="str">
        <x:v>* myContacts</x:v>
      </x:c>
      <x:c r="F6393" s="16" t="str">
        <x:v>+60173057680</x:v>
      </x:c>
      <x:c r="G6393" s="16" t="str">
        <x:v>+60173057680</x:v>
      </x:c>
      <x:c r="H6393" s="16" t="str">
        <x:v>Excluded</x:v>
      </x:c>
      <x:c r="I6393" s="16" t="str">
        <x:v>Missing email</x:v>
      </x:c>
    </x:row>
    <x:row r="6394">
      <x:c r="A6394" s="16" t="n">
        <x:v>6391</x:v>
      </x:c>
      <x:c r="B6394" s="16" t="str">
        <x:v>Siti Nordiah INSPEN</x:v>
      </x:c>
      <x:c r="C6394" s="16" t="str"/>
      <x:c r="D6394" s="16" t="str"/>
      <x:c r="E6394" s="16" t="str">
        <x:v>* myContacts</x:v>
      </x:c>
      <x:c r="F6394" s="16" t="str">
        <x:v>0195266900 | +60195266900</x:v>
      </x:c>
      <x:c r="G6394" s="16" t="str">
        <x:v>+60195266900 | +60195266900</x:v>
      </x:c>
      <x:c r="H6394" s="16" t="str">
        <x:v>Excluded</x:v>
      </x:c>
      <x:c r="I6394" s="16" t="str">
        <x:v>Missing email</x:v>
      </x:c>
    </x:row>
    <x:row r="6395">
      <x:c r="A6395" s="16" t="n">
        <x:v>6392</x:v>
      </x:c>
      <x:c r="B6395" s="16" t="str">
        <x:v>Siti Norhadhinah Hijrah Sepang</x:v>
      </x:c>
      <x:c r="C6395" s="16" t="str"/>
      <x:c r="D6395" s="16" t="str"/>
      <x:c r="E6395" s="16" t="str">
        <x:v>Alumni eUsahawan | * myContacts</x:v>
      </x:c>
      <x:c r="F6395" s="16" t="str">
        <x:v>+60 13-927 8827 | +60139278827</x:v>
      </x:c>
      <x:c r="G6395" s="16" t="str">
        <x:v>+60139278827 | +60139278827</x:v>
      </x:c>
      <x:c r="H6395" s="16" t="str">
        <x:v>Excluded</x:v>
      </x:c>
      <x:c r="I6395" s="16" t="str">
        <x:v>Missing email</x:v>
      </x:c>
    </x:row>
    <x:row r="6396">
      <x:c r="A6396" s="16" t="n">
        <x:v>6393</x:v>
      </x:c>
      <x:c r="B6396" s="16" t="str">
        <x:v>Siti Nur Aishah</x:v>
      </x:c>
      <x:c r="C6396" s="16" t="str"/>
      <x:c r="D6396" s="16" t="str"/>
      <x:c r="E6396" s="16" t="str">
        <x:v>* myContacts</x:v>
      </x:c>
      <x:c r="F6396" s="16" t="str">
        <x:v>+60127509369</x:v>
      </x:c>
      <x:c r="G6396" s="16" t="str">
        <x:v>+60127509369</x:v>
      </x:c>
      <x:c r="H6396" s="16" t="str">
        <x:v>Excluded</x:v>
      </x:c>
      <x:c r="I6396" s="16" t="str">
        <x:v>Missing email</x:v>
      </x:c>
    </x:row>
    <x:row r="6397">
      <x:c r="A6397" s="16" t="n">
        <x:v>6394</x:v>
      </x:c>
      <x:c r="B6397" s="16" t="str">
        <x:v>Siti Nur Faizah</x:v>
      </x:c>
      <x:c r="C6397" s="16" t="str"/>
      <x:c r="D6397" s="16" t="str"/>
      <x:c r="E6397" s="16" t="str">
        <x:v>* myContacts</x:v>
      </x:c>
      <x:c r="F6397" s="16" t="str">
        <x:v>+60197874932</x:v>
      </x:c>
      <x:c r="G6397" s="16" t="str">
        <x:v>+60197874932</x:v>
      </x:c>
      <x:c r="H6397" s="16" t="str">
        <x:v>Excluded</x:v>
      </x:c>
      <x:c r="I6397" s="16" t="str">
        <x:v>Missing email</x:v>
      </x:c>
    </x:row>
    <x:row r="6398">
      <x:c r="A6398" s="16" t="n">
        <x:v>6395</x:v>
      </x:c>
      <x:c r="B6398" s="16" t="str">
        <x:v>Siti Nur Zulaiha</x:v>
      </x:c>
      <x:c r="C6398" s="16" t="str"/>
      <x:c r="D6398" s="16" t="str"/>
      <x:c r="E6398" s="16" t="str">
        <x:v>* myContacts</x:v>
      </x:c>
      <x:c r="F6398" s="16" t="str">
        <x:v>+60124641709</x:v>
      </x:c>
      <x:c r="G6398" s="16" t="str">
        <x:v>+60124641709</x:v>
      </x:c>
      <x:c r="H6398" s="16" t="str">
        <x:v>Excluded</x:v>
      </x:c>
      <x:c r="I6398" s="16" t="str">
        <x:v>Missing email</x:v>
      </x:c>
    </x:row>
    <x:row r="6399">
      <x:c r="A6399" s="16" t="n">
        <x:v>6396</x:v>
      </x:c>
      <x:c r="B6399" s="16" t="str">
        <x:v>Siti Nurain Abdullah</x:v>
      </x:c>
      <x:c r="C6399" s="16" t="str"/>
      <x:c r="D6399" s="16" t="str"/>
      <x:c r="E6399" s="16" t="str">
        <x:v>* myContacts</x:v>
      </x:c>
      <x:c r="F6399" s="16" t="str">
        <x:v>+60189498281</x:v>
      </x:c>
      <x:c r="G6399" s="16" t="str">
        <x:v>+60189498281</x:v>
      </x:c>
      <x:c r="H6399" s="16" t="str">
        <x:v>Excluded</x:v>
      </x:c>
      <x:c r="I6399" s="16" t="str">
        <x:v>Missing email</x:v>
      </x:c>
    </x:row>
    <x:row r="6400">
      <x:c r="A6400" s="16" t="n">
        <x:v>6397</x:v>
      </x:c>
      <x:c r="B6400" s="16" t="str">
        <x:v>Siti Nurain Angah</x:v>
      </x:c>
      <x:c r="C6400" s="16" t="str"/>
      <x:c r="D6400" s="16" t="str"/>
      <x:c r="E6400" s="16" t="str">
        <x:v>* myContacts</x:v>
      </x:c>
      <x:c r="F6400" s="16" t="str">
        <x:v>+60172447130</x:v>
      </x:c>
      <x:c r="G6400" s="16" t="str">
        <x:v>+60172447130</x:v>
      </x:c>
      <x:c r="H6400" s="16" t="str">
        <x:v>Excluded</x:v>
      </x:c>
      <x:c r="I6400" s="16" t="str">
        <x:v>Missing email</x:v>
      </x:c>
    </x:row>
    <x:row r="6401">
      <x:c r="A6401" s="16" t="n">
        <x:v>6398</x:v>
      </x:c>
      <x:c r="B6401" s="16" t="str">
        <x:v>Siti Nuratifah Ahmat Tajidin</x:v>
      </x:c>
      <x:c r="C6401" s="16" t="str"/>
      <x:c r="D6401" s="16" t="str"/>
      <x:c r="E6401" s="16" t="str">
        <x:v>* myContacts</x:v>
      </x:c>
      <x:c r="F6401" s="16" t="str">
        <x:v>+60178452528</x:v>
      </x:c>
      <x:c r="G6401" s="16" t="str">
        <x:v>+60178452528</x:v>
      </x:c>
      <x:c r="H6401" s="16" t="str">
        <x:v>Excluded</x:v>
      </x:c>
      <x:c r="I6401" s="16" t="str">
        <x:v>Missing email</x:v>
      </x:c>
    </x:row>
    <x:row r="6402">
      <x:c r="A6402" s="16" t="n">
        <x:v>6399</x:v>
      </x:c>
      <x:c r="B6402" s="16" t="str">
        <x:v>Siti Nurhairiza RJB</x:v>
      </x:c>
      <x:c r="C6402" s="16" t="str"/>
      <x:c r="D6402" s="16" t="str"/>
      <x:c r="E6402" s="16" t="str">
        <x:v>* myContacts</x:v>
      </x:c>
      <x:c r="F6402" s="16" t="str">
        <x:v>+60 19-322 3002 | +60193223002</x:v>
      </x:c>
      <x:c r="G6402" s="16" t="str">
        <x:v>+60193223002 | +60193223002</x:v>
      </x:c>
      <x:c r="H6402" s="16" t="str">
        <x:v>Excluded</x:v>
      </x:c>
      <x:c r="I6402" s="16" t="str">
        <x:v>Missing email</x:v>
      </x:c>
    </x:row>
    <x:row r="6403">
      <x:c r="A6403" s="16" t="n">
        <x:v>6400</x:v>
      </x:c>
      <x:c r="B6403" s="16" t="str">
        <x:v>Siti Nursabariah Mohd Redwan</x:v>
      </x:c>
      <x:c r="C6403" s="16" t="str"/>
      <x:c r="D6403" s="16" t="str"/>
      <x:c r="E6403" s="16" t="str">
        <x:v>* myContacts</x:v>
      </x:c>
      <x:c r="F6403" s="16" t="str">
        <x:v>+60185728276</x:v>
      </x:c>
      <x:c r="G6403" s="16" t="str">
        <x:v>+60185728276</x:v>
      </x:c>
      <x:c r="H6403" s="16" t="str">
        <x:v>Excluded</x:v>
      </x:c>
      <x:c r="I6403" s="16" t="str">
        <x:v>Missing email</x:v>
      </x:c>
    </x:row>
    <x:row r="6404">
      <x:c r="A6404" s="16" t="n">
        <x:v>6401</x:v>
      </x:c>
      <x:c r="B6404" s="16" t="str">
        <x:v>Siti Ratna Azhreen</x:v>
      </x:c>
      <x:c r="C6404" s="16" t="str"/>
      <x:c r="D6404" s="16" t="str"/>
      <x:c r="E6404" s="16" t="str">
        <x:v>* myContacts</x:v>
      </x:c>
      <x:c r="F6404" s="16" t="str">
        <x:v>+60146969353</x:v>
      </x:c>
      <x:c r="G6404" s="16" t="str">
        <x:v>+60146969353</x:v>
      </x:c>
      <x:c r="H6404" s="16" t="str">
        <x:v>Excluded</x:v>
      </x:c>
      <x:c r="I6404" s="16" t="str">
        <x:v>Missing email</x:v>
      </x:c>
    </x:row>
    <x:row r="6405">
      <x:c r="A6405" s="16" t="n">
        <x:v>6402</x:v>
      </x:c>
      <x:c r="B6405" s="16" t="str">
        <x:v>Siti Rohani E-Shop</x:v>
      </x:c>
      <x:c r="C6405" s="16" t="str"/>
      <x:c r="D6405" s="16" t="str"/>
      <x:c r="E6405" s="16" t="str">
        <x:v>* myContacts</x:v>
      </x:c>
      <x:c r="F6405" s="16" t="str">
        <x:v>+60168023432</x:v>
      </x:c>
      <x:c r="G6405" s="16" t="str">
        <x:v>+60168023432</x:v>
      </x:c>
      <x:c r="H6405" s="16" t="str">
        <x:v>Excluded</x:v>
      </x:c>
      <x:c r="I6405" s="16" t="str">
        <x:v>Missing email</x:v>
      </x:c>
    </x:row>
    <x:row r="6406">
      <x:c r="A6406" s="16" t="n">
        <x:v>6403</x:v>
      </x:c>
      <x:c r="B6406" s="16" t="str">
        <x:v>Siti Rohaya IM</x:v>
      </x:c>
      <x:c r="C6406" s="16" t="str"/>
      <x:c r="D6406" s="16" t="str"/>
      <x:c r="E6406" s="16" t="str">
        <x:v>* myContacts</x:v>
      </x:c>
      <x:c r="F6406" s="16" t="str">
        <x:v>+60 12-603 1690 | +60126031690</x:v>
      </x:c>
      <x:c r="G6406" s="16" t="str">
        <x:v>+60126031690 | +60126031690</x:v>
      </x:c>
      <x:c r="H6406" s="16" t="str">
        <x:v>Excluded</x:v>
      </x:c>
      <x:c r="I6406" s="16" t="str">
        <x:v>Missing email</x:v>
      </x:c>
    </x:row>
    <x:row r="6407">
      <x:c r="A6407" s="16" t="n">
        <x:v>6404</x:v>
      </x:c>
      <x:c r="B6407" s="16" t="str">
        <x:v>Siti Safiera</x:v>
      </x:c>
      <x:c r="C6407" s="16" t="str"/>
      <x:c r="D6407" s="16" t="str"/>
      <x:c r="E6407" s="16" t="str">
        <x:v>* myContacts</x:v>
      </x:c>
      <x:c r="F6407" s="16" t="str">
        <x:v>+601136081028</x:v>
      </x:c>
      <x:c r="G6407" s="16" t="str">
        <x:v>+601136081028</x:v>
      </x:c>
      <x:c r="H6407" s="16" t="str">
        <x:v>Excluded</x:v>
      </x:c>
      <x:c r="I6407" s="16" t="str">
        <x:v>Missing email</x:v>
      </x:c>
    </x:row>
    <x:row r="6408">
      <x:c r="A6408" s="16" t="n">
        <x:v>6405</x:v>
      </x:c>
      <x:c r="B6408" s="16" t="str">
        <x:v>Siti Sahira</x:v>
      </x:c>
      <x:c r="C6408" s="16" t="str"/>
      <x:c r="D6408" s="16" t="str"/>
      <x:c r="E6408" s="16" t="str">
        <x:v>* myContacts</x:v>
      </x:c>
      <x:c r="F6408" s="16" t="str">
        <x:v>+601114247877</x:v>
      </x:c>
      <x:c r="G6408" s="16" t="str">
        <x:v>+601114247877</x:v>
      </x:c>
      <x:c r="H6408" s="16" t="str">
        <x:v>Excluded</x:v>
      </x:c>
      <x:c r="I6408" s="16" t="str">
        <x:v>Missing email</x:v>
      </x:c>
    </x:row>
    <x:row r="6409">
      <x:c r="A6409" s="16" t="n">
        <x:v>6406</x:v>
      </x:c>
      <x:c r="B6409" s="16" t="str">
        <x:v>Siti Salwaa Mohd Saleh</x:v>
      </x:c>
      <x:c r="C6409" s="16" t="str"/>
      <x:c r="D6409" s="16" t="str"/>
      <x:c r="E6409" s="16" t="str">
        <x:v>* myContacts</x:v>
      </x:c>
      <x:c r="F6409" s="16" t="str">
        <x:v>+60166063654</x:v>
      </x:c>
      <x:c r="G6409" s="16" t="str">
        <x:v>+60166063654</x:v>
      </x:c>
      <x:c r="H6409" s="16" t="str">
        <x:v>Excluded</x:v>
      </x:c>
      <x:c r="I6409" s="16" t="str">
        <x:v>Missing email</x:v>
      </x:c>
    </x:row>
    <x:row r="6410">
      <x:c r="A6410" s="16" t="n">
        <x:v>6407</x:v>
      </x:c>
      <x:c r="B6410" s="16" t="str">
        <x:v>Siti Saudah Bt Amri</x:v>
      </x:c>
      <x:c r="C6410" s="16" t="str"/>
      <x:c r="D6410" s="16" t="str"/>
      <x:c r="E6410" s="16" t="str">
        <x:v>* myContacts</x:v>
      </x:c>
      <x:c r="F6410" s="16" t="str">
        <x:v>+60176343749</x:v>
      </x:c>
      <x:c r="G6410" s="16" t="str">
        <x:v>+60176343749</x:v>
      </x:c>
      <x:c r="H6410" s="16" t="str">
        <x:v>Excluded</x:v>
      </x:c>
      <x:c r="I6410" s="16" t="str">
        <x:v>Missing email</x:v>
      </x:c>
    </x:row>
    <x:row r="6411">
      <x:c r="A6411" s="16" t="n">
        <x:v>6408</x:v>
      </x:c>
      <x:c r="B6411" s="16" t="str">
        <x:v>Siti Shafariza</x:v>
      </x:c>
      <x:c r="C6411" s="16" t="str"/>
      <x:c r="D6411" s="16" t="str"/>
      <x:c r="E6411" s="16" t="str">
        <x:v>* myContacts</x:v>
      </x:c>
      <x:c r="F6411" s="16" t="str">
        <x:v>+60105959589</x:v>
      </x:c>
      <x:c r="G6411" s="16" t="str">
        <x:v>+60105959589</x:v>
      </x:c>
      <x:c r="H6411" s="16" t="str">
        <x:v>Excluded</x:v>
      </x:c>
      <x:c r="I6411" s="16" t="str">
        <x:v>Missing email</x:v>
      </x:c>
    </x:row>
    <x:row r="6412">
      <x:c r="A6412" s="16" t="n">
        <x:v>6409</x:v>
      </x:c>
      <x:c r="B6412" s="16" t="str">
        <x:v>Siti Sofrah Khasiballah</x:v>
      </x:c>
      <x:c r="C6412" s="16" t="str"/>
      <x:c r="D6412" s="16" t="str"/>
      <x:c r="E6412" s="16" t="str">
        <x:v>* myContacts</x:v>
      </x:c>
      <x:c r="F6412" s="16" t="str">
        <x:v>+60195127331</x:v>
      </x:c>
      <x:c r="G6412" s="16" t="str">
        <x:v>+60195127331</x:v>
      </x:c>
      <x:c r="H6412" s="16" t="str">
        <x:v>Excluded</x:v>
      </x:c>
      <x:c r="I6412" s="16" t="str">
        <x:v>Missing email</x:v>
      </x:c>
    </x:row>
    <x:row r="6413">
      <x:c r="A6413" s="16" t="n">
        <x:v>6410</x:v>
      </x:c>
      <x:c r="B6413" s="16" t="str">
        <x:v>Siti Soleha</x:v>
      </x:c>
      <x:c r="C6413" s="16" t="str"/>
      <x:c r="D6413" s="16" t="str"/>
      <x:c r="E6413" s="16" t="str">
        <x:v>* myContacts</x:v>
      </x:c>
      <x:c r="F6413" s="16" t="str">
        <x:v>+601133885384</x:v>
      </x:c>
      <x:c r="G6413" s="16" t="str">
        <x:v>+601133885384</x:v>
      </x:c>
      <x:c r="H6413" s="16" t="str">
        <x:v>Excluded</x:v>
      </x:c>
      <x:c r="I6413" s="16" t="str">
        <x:v>Missing email</x:v>
      </x:c>
    </x:row>
    <x:row r="6414">
      <x:c r="A6414" s="16" t="n">
        <x:v>6411</x:v>
      </x:c>
      <x:c r="B6414" s="16" t="str">
        <x:v>Siti Sue Hassan</x:v>
      </x:c>
      <x:c r="C6414" s="16" t="str"/>
      <x:c r="D6414" s="16" t="str"/>
      <x:c r="E6414" s="16" t="str">
        <x:v>* myContacts</x:v>
      </x:c>
      <x:c r="F6414" s="16" t="str">
        <x:v>+601126090491</x:v>
      </x:c>
      <x:c r="G6414" s="16" t="str">
        <x:v>+601126090491</x:v>
      </x:c>
      <x:c r="H6414" s="16" t="str">
        <x:v>Excluded</x:v>
      </x:c>
      <x:c r="I6414" s="16" t="str">
        <x:v>Missing email</x:v>
      </x:c>
    </x:row>
    <x:row r="6415">
      <x:c r="A6415" s="16" t="n">
        <x:v>6412</x:v>
      </x:c>
      <x:c r="B6415" s="16" t="str">
        <x:v>Siti Suhaibah Awang</x:v>
      </x:c>
      <x:c r="C6415" s="16" t="str"/>
      <x:c r="D6415" s="16" t="str"/>
      <x:c r="E6415" s="16" t="str">
        <x:v>* myContacts</x:v>
      </x:c>
      <x:c r="F6415" s="16" t="str">
        <x:v>+60177708600</x:v>
      </x:c>
      <x:c r="G6415" s="16" t="str">
        <x:v>+60177708600</x:v>
      </x:c>
      <x:c r="H6415" s="16" t="str">
        <x:v>Excluded</x:v>
      </x:c>
      <x:c r="I6415" s="16" t="str">
        <x:v>Missing email</x:v>
      </x:c>
    </x:row>
    <x:row r="6416">
      <x:c r="A6416" s="16" t="n">
        <x:v>6413</x:v>
      </x:c>
      <x:c r="B6416" s="16" t="str">
        <x:v>Siti Suhainee Che Haris</x:v>
      </x:c>
      <x:c r="C6416" s="16" t="str"/>
      <x:c r="D6416" s="16" t="str"/>
      <x:c r="E6416" s="16" t="str">
        <x:v>* myContacts</x:v>
      </x:c>
      <x:c r="F6416" s="16" t="str">
        <x:v>+60125298988</x:v>
      </x:c>
      <x:c r="G6416" s="16" t="str">
        <x:v>+60125298988</x:v>
      </x:c>
      <x:c r="H6416" s="16" t="str">
        <x:v>Excluded</x:v>
      </x:c>
      <x:c r="I6416" s="16" t="str">
        <x:v>Missing email</x:v>
      </x:c>
    </x:row>
    <x:row r="6417">
      <x:c r="A6417" s="16" t="n">
        <x:v>6414</x:v>
      </x:c>
      <x:c r="B6417" s="16" t="str">
        <x:v>Siti Syahrmila Janna</x:v>
      </x:c>
      <x:c r="C6417" s="16" t="str"/>
      <x:c r="D6417" s="16" t="str"/>
      <x:c r="E6417" s="16" t="str">
        <x:v>* myContacts</x:v>
      </x:c>
      <x:c r="F6417" s="16" t="str">
        <x:v>+60149993074</x:v>
      </x:c>
      <x:c r="G6417" s="16" t="str">
        <x:v>+60149993074</x:v>
      </x:c>
      <x:c r="H6417" s="16" t="str">
        <x:v>Excluded</x:v>
      </x:c>
      <x:c r="I6417" s="16" t="str">
        <x:v>Missing email</x:v>
      </x:c>
    </x:row>
    <x:row r="6418">
      <x:c r="A6418" s="16" t="n">
        <x:v>6415</x:v>
      </x:c>
      <x:c r="B6418" s="16" t="str">
        <x:v>siti wan hainina Customer AGP</x:v>
      </x:c>
      <x:c r="C6418" s="16" t="str"/>
      <x:c r="D6418" s="16" t="str"/>
      <x:c r="E6418" s="16" t="str">
        <x:v>* myContacts</x:v>
      </x:c>
      <x:c r="F6418" s="16" t="str">
        <x:v>+60 16-950 7029 | +60169507029</x:v>
      </x:c>
      <x:c r="G6418" s="16" t="str">
        <x:v>+60169507029 | +60169507029</x:v>
      </x:c>
      <x:c r="H6418" s="16" t="str">
        <x:v>Excluded</x:v>
      </x:c>
      <x:c r="I6418" s="16" t="str">
        <x:v>Missing email</x:v>
      </x:c>
    </x:row>
    <x:row r="6419">
      <x:c r="A6419" s="16" t="n">
        <x:v>6416</x:v>
      </x:c>
      <x:c r="B6419" s="16" t="str">
        <x:v>Siti Zainab</x:v>
      </x:c>
      <x:c r="C6419" s="16" t="str"/>
      <x:c r="D6419" s="16" t="str"/>
      <x:c r="E6419" s="16" t="str">
        <x:v>* myContacts</x:v>
      </x:c>
      <x:c r="F6419" s="16" t="str">
        <x:v>+60188731915</x:v>
      </x:c>
      <x:c r="G6419" s="16" t="str">
        <x:v>+60188731915</x:v>
      </x:c>
      <x:c r="H6419" s="16" t="str">
        <x:v>Excluded</x:v>
      </x:c>
      <x:c r="I6419" s="16" t="str">
        <x:v>Missing email</x:v>
      </x:c>
    </x:row>
    <x:row r="6420">
      <x:c r="A6420" s="16" t="n">
        <x:v>6417</x:v>
      </x:c>
      <x:c r="B6420" s="16" t="str">
        <x:v>Siti Zubaidah Bahari</x:v>
      </x:c>
      <x:c r="C6420" s="16" t="str"/>
      <x:c r="D6420" s="16" t="str"/>
      <x:c r="E6420" s="16" t="str">
        <x:v>* myContacts</x:v>
      </x:c>
      <x:c r="F6420" s="16" t="str">
        <x:v>+60174074038</x:v>
      </x:c>
      <x:c r="G6420" s="16" t="str">
        <x:v>+60174074038</x:v>
      </x:c>
      <x:c r="H6420" s="16" t="str">
        <x:v>Excluded</x:v>
      </x:c>
      <x:c r="I6420" s="16" t="str">
        <x:v>Missing email</x:v>
      </x:c>
    </x:row>
    <x:row r="6421">
      <x:c r="A6421" s="16" t="n">
        <x:v>6418</x:v>
      </x:c>
      <x:c r="B6421" s="16" t="str">
        <x:v>Siti Zulaiha</x:v>
      </x:c>
      <x:c r="C6421" s="16" t="str"/>
      <x:c r="D6421" s="16" t="str"/>
      <x:c r="E6421" s="16" t="str">
        <x:v>* myContacts</x:v>
      </x:c>
      <x:c r="F6421" s="16" t="str">
        <x:v>+601111166480</x:v>
      </x:c>
      <x:c r="G6421" s="16" t="str">
        <x:v>+601111166480</x:v>
      </x:c>
      <x:c r="H6421" s="16" t="str">
        <x:v>Excluded</x:v>
      </x:c>
      <x:c r="I6421" s="16" t="str">
        <x:v>Missing email</x:v>
      </x:c>
    </x:row>
    <x:row r="6422">
      <x:c r="A6422" s="16" t="n">
        <x:v>6419</x:v>
      </x:c>
      <x:c r="B6422" s="16" t="str">
        <x:v>Siti Zuraida Kadir student</x:v>
      </x:c>
      <x:c r="C6422" s="16" t="str">
        <x:v>sitizuraidakadir@gmail.com</x:v>
      </x:c>
      <x:c r="D6422" s="16" t="str">
        <x:v>sitizuraidakadir@gmail.com</x:v>
      </x:c>
      <x:c r="E6422" s="16" t="str">
        <x:v>* myContacts</x:v>
      </x:c>
      <x:c r="F6422" s="16" t="str">
        <x:v>012-5928861 | +60125928861</x:v>
      </x:c>
      <x:c r="G6422" s="16" t="str">
        <x:v>+60125928861 | +60125928861</x:v>
      </x:c>
      <x:c r="H6422" s="16" t="str">
        <x:v>Eligible</x:v>
      </x:c>
      <x:c r="I6422" s="16" t="str"/>
    </x:row>
    <x:row r="6423">
      <x:c r="A6423" s="16" t="n">
        <x:v>6420</x:v>
      </x:c>
      <x:c r="B6423" s="16" t="str">
        <x:v>Siti Zuraidah</x:v>
      </x:c>
      <x:c r="C6423" s="16" t="str"/>
      <x:c r="D6423" s="16" t="str"/>
      <x:c r="E6423" s="16" t="str">
        <x:v>* myContacts</x:v>
      </x:c>
      <x:c r="F6423" s="16" t="str">
        <x:v>+60142324564</x:v>
      </x:c>
      <x:c r="G6423" s="16" t="str">
        <x:v>+60142324564</x:v>
      </x:c>
      <x:c r="H6423" s="16" t="str">
        <x:v>Excluded</x:v>
      </x:c>
      <x:c r="I6423" s="16" t="str">
        <x:v>Missing email</x:v>
      </x:c>
    </x:row>
    <x:row r="6424">
      <x:c r="A6424" s="16" t="n">
        <x:v>6421</x:v>
      </x:c>
      <x:c r="B6424" s="16" t="str">
        <x:v>Sitiey 'CT'</x:v>
      </x:c>
      <x:c r="C6424" s="16" t="str"/>
      <x:c r="D6424" s="16" t="str"/>
      <x:c r="E6424" s="16" t="str">
        <x:v>* myContacts</x:v>
      </x:c>
      <x:c r="F6424" s="16" t="str">
        <x:v>+601114888044</x:v>
      </x:c>
      <x:c r="G6424" s="16" t="str">
        <x:v>+601114888044</x:v>
      </x:c>
      <x:c r="H6424" s="16" t="str">
        <x:v>Excluded</x:v>
      </x:c>
      <x:c r="I6424" s="16" t="str">
        <x:v>Missing email</x:v>
      </x:c>
    </x:row>
    <x:row r="6425">
      <x:c r="A6425" s="16" t="n">
        <x:v>6422</x:v>
      </x:c>
      <x:c r="B6425" s="16" t="str">
        <x:v>Siutt Mat Jiwang</x:v>
      </x:c>
      <x:c r="C6425" s="16" t="str"/>
      <x:c r="D6425" s="16" t="str"/>
      <x:c r="E6425" s="16" t="str">
        <x:v>* myContacts</x:v>
      </x:c>
      <x:c r="F6425" s="16" t="str">
        <x:v>+60178732589</x:v>
      </x:c>
      <x:c r="G6425" s="16" t="str">
        <x:v>+60178732589</x:v>
      </x:c>
      <x:c r="H6425" s="16" t="str">
        <x:v>Excluded</x:v>
      </x:c>
      <x:c r="I6425" s="16" t="str">
        <x:v>Missing email</x:v>
      </x:c>
    </x:row>
    <x:row r="6426">
      <x:c r="A6426" s="16" t="n">
        <x:v>6423</x:v>
      </x:c>
      <x:c r="B6426" s="16" t="str">
        <x:v>Sketchers Sickkers</x:v>
      </x:c>
      <x:c r="C6426" s="16" t="str"/>
      <x:c r="D6426" s="16" t="str"/>
      <x:c r="E6426" s="16" t="str">
        <x:v>* myContacts</x:v>
      </x:c>
      <x:c r="F6426" s="16" t="str">
        <x:v>+60193154026</x:v>
      </x:c>
      <x:c r="G6426" s="16" t="str">
        <x:v>+60193154026</x:v>
      </x:c>
      <x:c r="H6426" s="16" t="str">
        <x:v>Excluded</x:v>
      </x:c>
      <x:c r="I6426" s="16" t="str">
        <x:v>Missing email</x:v>
      </x:c>
    </x:row>
    <x:row r="6427">
      <x:c r="A6427" s="16" t="n">
        <x:v>6424</x:v>
      </x:c>
      <x:c r="B6427" s="16" t="str">
        <x:v>Skyline Gtr</x:v>
      </x:c>
      <x:c r="C6427" s="16" t="str"/>
      <x:c r="D6427" s="16" t="str"/>
      <x:c r="E6427" s="16" t="str">
        <x:v>* myContacts</x:v>
      </x:c>
      <x:c r="F6427" s="16" t="str">
        <x:v>+60143932129</x:v>
      </x:c>
      <x:c r="G6427" s="16" t="str">
        <x:v>+60143932129</x:v>
      </x:c>
      <x:c r="H6427" s="16" t="str">
        <x:v>Excluded</x:v>
      </x:c>
      <x:c r="I6427" s="16" t="str">
        <x:v>Missing email</x:v>
      </x:c>
    </x:row>
    <x:row r="6428">
      <x:c r="A6428" s="16" t="n">
        <x:v>6425</x:v>
      </x:c>
      <x:c r="B6428" s="16" t="str">
        <x:v>smart adv</x:v>
      </x:c>
      <x:c r="C6428" s="16" t="str"/>
      <x:c r="D6428" s="16" t="str"/>
      <x:c r="E6428" s="16" t="str">
        <x:v>* myContacts</x:v>
      </x:c>
      <x:c r="F6428" s="16" t="str">
        <x:v>081250744300 | +6081250744300 | 085283000900</x:v>
      </x:c>
      <x:c r="G6428" s="16" t="str">
        <x:v>+6081250744300</x:v>
      </x:c>
      <x:c r="H6428" s="16" t="str">
        <x:v>Excluded</x:v>
      </x:c>
      <x:c r="I6428" s="16" t="str">
        <x:v>Missing email</x:v>
      </x:c>
    </x:row>
    <x:row r="6429">
      <x:c r="A6429" s="16" t="n">
        <x:v>6426</x:v>
      </x:c>
      <x:c r="B6429" s="16" t="str">
        <x:v>Smash Fb Ads Jual Account</x:v>
      </x:c>
      <x:c r="C6429" s="16" t="str"/>
      <x:c r="D6429" s="16" t="str"/>
      <x:c r="E6429" s="16" t="str">
        <x:v>* myContacts</x:v>
      </x:c>
      <x:c r="F6429" s="16" t="str">
        <x:v>+7 931 315-26-78 | +79313152678</x:v>
      </x:c>
      <x:c r="G6429" s="16" t="str">
        <x:v>+79313152678 | +79313152678</x:v>
      </x:c>
      <x:c r="H6429" s="16" t="str">
        <x:v>Excluded</x:v>
      </x:c>
      <x:c r="I6429" s="16" t="str">
        <x:v>Missing email</x:v>
      </x:c>
    </x:row>
    <x:row r="6430">
      <x:c r="A6430" s="16" t="n">
        <x:v>6427</x:v>
      </x:c>
      <x:c r="B6430" s="16" t="str">
        <x:v>SN Farihan Ghazali</x:v>
      </x:c>
      <x:c r="C6430" s="16" t="str"/>
      <x:c r="D6430" s="16" t="str"/>
      <x:c r="E6430" s="16" t="str">
        <x:v>* myContacts</x:v>
      </x:c>
      <x:c r="F6430" s="16" t="str">
        <x:v>+60174882009</x:v>
      </x:c>
      <x:c r="G6430" s="16" t="str">
        <x:v>+60174882009</x:v>
      </x:c>
      <x:c r="H6430" s="16" t="str">
        <x:v>Excluded</x:v>
      </x:c>
      <x:c r="I6430" s="16" t="str">
        <x:v>Missing email</x:v>
      </x:c>
    </x:row>
    <x:row r="6431">
      <x:c r="A6431" s="16" t="n">
        <x:v>6428</x:v>
      </x:c>
      <x:c r="B6431" s="16" t="str">
        <x:v>Sobri Misyan</x:v>
      </x:c>
      <x:c r="C6431" s="16" t="str"/>
      <x:c r="D6431" s="16" t="str"/>
      <x:c r="E6431" s="16" t="str">
        <x:v>* myContacts</x:v>
      </x:c>
      <x:c r="F6431" s="16" t="str">
        <x:v>+60177677228</x:v>
      </x:c>
      <x:c r="G6431" s="16" t="str">
        <x:v>+60177677228</x:v>
      </x:c>
      <x:c r="H6431" s="16" t="str">
        <x:v>Excluded</x:v>
      </x:c>
      <x:c r="I6431" s="16" t="str">
        <x:v>Missing email</x:v>
      </x:c>
    </x:row>
    <x:row r="6432">
      <x:c r="A6432" s="16" t="n">
        <x:v>6429</x:v>
      </x:c>
      <x:c r="B6432" s="16" t="str">
        <x:v>Soefi Halal Mart</x:v>
      </x:c>
      <x:c r="C6432" s="16" t="str"/>
      <x:c r="D6432" s="16" t="str"/>
      <x:c r="E6432" s="16" t="str">
        <x:v>* myContacts</x:v>
      </x:c>
      <x:c r="F6432" s="16" t="str">
        <x:v>+60196559881</x:v>
      </x:c>
      <x:c r="G6432" s="16" t="str">
        <x:v>+60196559881</x:v>
      </x:c>
      <x:c r="H6432" s="16" t="str">
        <x:v>Excluded</x:v>
      </x:c>
      <x:c r="I6432" s="16" t="str">
        <x:v>Missing email</x:v>
      </x:c>
    </x:row>
    <x:row r="6433">
      <x:c r="A6433" s="16" t="n">
        <x:v>6430</x:v>
      </x:c>
      <x:c r="B6433" s="16" t="str">
        <x:v>Sofea Ashikin</x:v>
      </x:c>
      <x:c r="C6433" s="16" t="str"/>
      <x:c r="D6433" s="16" t="str"/>
      <x:c r="E6433" s="16" t="str">
        <x:v>* myContacts</x:v>
      </x:c>
      <x:c r="F6433" s="16" t="str">
        <x:v>+60132253140</x:v>
      </x:c>
      <x:c r="G6433" s="16" t="str">
        <x:v>+60132253140</x:v>
      </x:c>
      <x:c r="H6433" s="16" t="str">
        <x:v>Excluded</x:v>
      </x:c>
      <x:c r="I6433" s="16" t="str">
        <x:v>Missing email</x:v>
      </x:c>
    </x:row>
    <x:row r="6434">
      <x:c r="A6434" s="16" t="n">
        <x:v>6431</x:v>
      </x:c>
      <x:c r="B6434" s="16" t="str">
        <x:v>Sofea Seramik</x:v>
      </x:c>
      <x:c r="C6434" s="16" t="str"/>
      <x:c r="D6434" s="16" t="str"/>
      <x:c r="E6434" s="16" t="str">
        <x:v>* myContacts</x:v>
      </x:c>
      <x:c r="F6434" s="16" t="str">
        <x:v>+6049244810</x:v>
      </x:c>
      <x:c r="G6434" s="16" t="str">
        <x:v>+6049244810</x:v>
      </x:c>
      <x:c r="H6434" s="16" t="str">
        <x:v>Excluded</x:v>
      </x:c>
      <x:c r="I6434" s="16" t="str">
        <x:v>Missing email</x:v>
      </x:c>
    </x:row>
    <x:row r="6435">
      <x:c r="A6435" s="16" t="n">
        <x:v>6432</x:v>
      </x:c>
      <x:c r="B6435" s="16" t="str">
        <x:v>Sofia Arie</x:v>
      </x:c>
      <x:c r="C6435" s="16" t="str"/>
      <x:c r="D6435" s="16" t="str"/>
      <x:c r="E6435" s="16" t="str">
        <x:v>* myContacts</x:v>
      </x:c>
      <x:c r="F6435" s="16" t="str">
        <x:v>+60174852431</x:v>
      </x:c>
      <x:c r="G6435" s="16" t="str">
        <x:v>+60174852431</x:v>
      </x:c>
      <x:c r="H6435" s="16" t="str">
        <x:v>Excluded</x:v>
      </x:c>
      <x:c r="I6435" s="16" t="str">
        <x:v>Missing email</x:v>
      </x:c>
    </x:row>
    <x:row r="6436">
      <x:c r="A6436" s="16" t="n">
        <x:v>6433</x:v>
      </x:c>
      <x:c r="B6436" s="16" t="str">
        <x:v>Sofia Burhan</x:v>
      </x:c>
      <x:c r="C6436" s="16" t="str"/>
      <x:c r="D6436" s="16" t="str"/>
      <x:c r="E6436" s="16" t="str">
        <x:v>* myContacts</x:v>
      </x:c>
      <x:c r="F6436" s="16" t="str">
        <x:v>+60105792568</x:v>
      </x:c>
      <x:c r="G6436" s="16" t="str">
        <x:v>+60105792568</x:v>
      </x:c>
      <x:c r="H6436" s="16" t="str">
        <x:v>Excluded</x:v>
      </x:c>
      <x:c r="I6436" s="16" t="str">
        <x:v>Missing email</x:v>
      </x:c>
    </x:row>
    <x:row r="6437">
      <x:c r="A6437" s="16" t="n">
        <x:v>6434</x:v>
      </x:c>
      <x:c r="B6437" s="16" t="str">
        <x:v>Sofiah Ibrahim</x:v>
      </x:c>
      <x:c r="C6437" s="16" t="str"/>
      <x:c r="D6437" s="16" t="str"/>
      <x:c r="E6437" s="16" t="str">
        <x:v>* myContacts</x:v>
      </x:c>
      <x:c r="F6437" s="16" t="str">
        <x:v>+601116540521</x:v>
      </x:c>
      <x:c r="G6437" s="16" t="str">
        <x:v>+601116540521</x:v>
      </x:c>
      <x:c r="H6437" s="16" t="str">
        <x:v>Excluded</x:v>
      </x:c>
      <x:c r="I6437" s="16" t="str">
        <x:v>Missing email</x:v>
      </x:c>
    </x:row>
    <x:row r="6438">
      <x:c r="A6438" s="16" t="n">
        <x:v>6435</x:v>
      </x:c>
      <x:c r="B6438" s="16" t="str">
        <x:v>Sofie Dodife</x:v>
      </x:c>
      <x:c r="C6438" s="16" t="str"/>
      <x:c r="D6438" s="16" t="str"/>
      <x:c r="E6438" s="16" t="str">
        <x:v>* myContacts</x:v>
      </x:c>
      <x:c r="F6438" s="16" t="str">
        <x:v>+60163133531</x:v>
      </x:c>
      <x:c r="G6438" s="16" t="str">
        <x:v>+60163133531</x:v>
      </x:c>
      <x:c r="H6438" s="16" t="str">
        <x:v>Excluded</x:v>
      </x:c>
      <x:c r="I6438" s="16" t="str">
        <x:v>Missing email</x:v>
      </x:c>
    </x:row>
    <x:row r="6439">
      <x:c r="A6439" s="16" t="n">
        <x:v>6436</x:v>
      </x:c>
      <x:c r="B6439" s="16" t="str">
        <x:v>Sofiyuddin Yusoff</x:v>
      </x:c>
      <x:c r="C6439" s="16" t="str"/>
      <x:c r="D6439" s="16" t="str"/>
      <x:c r="E6439" s="16" t="str">
        <x:v>* myContacts</x:v>
      </x:c>
      <x:c r="F6439" s="16" t="str">
        <x:v>+60172930955</x:v>
      </x:c>
      <x:c r="G6439" s="16" t="str">
        <x:v>+60172930955</x:v>
      </x:c>
      <x:c r="H6439" s="16" t="str">
        <x:v>Excluded</x:v>
      </x:c>
      <x:c r="I6439" s="16" t="str">
        <x:v>Missing email</x:v>
      </x:c>
    </x:row>
    <x:row r="6440">
      <x:c r="A6440" s="16" t="n">
        <x:v>6437</x:v>
      </x:c>
      <x:c r="B6440" s="16" t="str">
        <x:v>Sofwan Razak Remizer Junior</x:v>
      </x:c>
      <x:c r="C6440" s="16" t="str"/>
      <x:c r="D6440" s="16" t="str"/>
      <x:c r="E6440" s="16" t="str">
        <x:v>* myContacts</x:v>
      </x:c>
      <x:c r="F6440" s="16" t="str">
        <x:v>+60 11-1505 9160 | +601115059160</x:v>
      </x:c>
      <x:c r="G6440" s="16" t="str">
        <x:v>+601115059160 | +601115059160</x:v>
      </x:c>
      <x:c r="H6440" s="16" t="str">
        <x:v>Excluded</x:v>
      </x:c>
      <x:c r="I6440" s="16" t="str">
        <x:v>Missing email</x:v>
      </x:c>
    </x:row>
    <x:row r="6441">
      <x:c r="A6441" s="16" t="n">
        <x:v>6438</x:v>
      </x:c>
      <x:c r="B6441" s="16" t="str">
        <x:v>Sohaib Sabri</x:v>
      </x:c>
      <x:c r="C6441" s="16" t="str"/>
      <x:c r="D6441" s="16" t="str"/>
      <x:c r="E6441" s="16" t="str">
        <x:v>* myContacts</x:v>
      </x:c>
      <x:c r="F6441" s="16" t="str">
        <x:v>+60176277759</x:v>
      </x:c>
      <x:c r="G6441" s="16" t="str">
        <x:v>+60176277759</x:v>
      </x:c>
      <x:c r="H6441" s="16" t="str">
        <x:v>Excluded</x:v>
      </x:c>
      <x:c r="I6441" s="16" t="str">
        <x:v>Missing email</x:v>
      </x:c>
    </x:row>
    <x:row r="6442">
      <x:c r="A6442" s="16" t="n">
        <x:v>6439</x:v>
      </x:c>
      <x:c r="B6442" s="16" t="str">
        <x:v>Sohaimi A Hamid AGP</x:v>
      </x:c>
      <x:c r="C6442" s="16" t="str"/>
      <x:c r="D6442" s="16" t="str"/>
      <x:c r="E6442" s="16" t="str">
        <x:v>* myContacts</x:v>
      </x:c>
      <x:c r="F6442" s="16" t="str">
        <x:v>+60 11-3551 5540 | +601135515540</x:v>
      </x:c>
      <x:c r="G6442" s="16" t="str">
        <x:v>+601135515540 | +601135515540</x:v>
      </x:c>
      <x:c r="H6442" s="16" t="str">
        <x:v>Excluded</x:v>
      </x:c>
      <x:c r="I6442" s="16" t="str">
        <x:v>Missing email</x:v>
      </x:c>
    </x:row>
    <x:row r="6443">
      <x:c r="A6443" s="16" t="n">
        <x:v>6440</x:v>
      </x:c>
      <x:c r="B6443" s="16" t="str">
        <x:v>Soleyha Sha'ari</x:v>
      </x:c>
      <x:c r="C6443" s="16" t="str"/>
      <x:c r="D6443" s="16" t="str"/>
      <x:c r="E6443" s="16" t="str">
        <x:v>* myContacts</x:v>
      </x:c>
      <x:c r="F6443" s="16" t="str">
        <x:v>+60134165725</x:v>
      </x:c>
      <x:c r="G6443" s="16" t="str">
        <x:v>+60134165725</x:v>
      </x:c>
      <x:c r="H6443" s="16" t="str">
        <x:v>Excluded</x:v>
      </x:c>
      <x:c r="I6443" s="16" t="str">
        <x:v>Missing email</x:v>
      </x:c>
    </x:row>
    <x:row r="6444">
      <x:c r="A6444" s="16" t="n">
        <x:v>6441</x:v>
      </x:c>
      <x:c r="B6444" s="16" t="str">
        <x:v>Solihah Omar</x:v>
      </x:c>
      <x:c r="C6444" s="16" t="str"/>
      <x:c r="D6444" s="16" t="str"/>
      <x:c r="E6444" s="16" t="str">
        <x:v>* myContacts</x:v>
      </x:c>
      <x:c r="F6444" s="16" t="str">
        <x:v>+60139765514</x:v>
      </x:c>
      <x:c r="G6444" s="16" t="str">
        <x:v>+60139765514</x:v>
      </x:c>
      <x:c r="H6444" s="16" t="str">
        <x:v>Excluded</x:v>
      </x:c>
      <x:c r="I6444" s="16" t="str">
        <x:v>Missing email</x:v>
      </x:c>
    </x:row>
    <x:row r="6445">
      <x:c r="A6445" s="16" t="n">
        <x:v>6442</x:v>
      </x:c>
      <x:c r="B6445" s="16" t="str">
        <x:v>Solihin Lukmansyah Mahmudin</x:v>
      </x:c>
      <x:c r="C6445" s="16" t="str"/>
      <x:c r="D6445" s="16" t="str"/>
      <x:c r="E6445" s="16" t="str">
        <x:v>* myContacts</x:v>
      </x:c>
      <x:c r="F6445" s="16" t="str">
        <x:v>+60169765626</x:v>
      </x:c>
      <x:c r="G6445" s="16" t="str">
        <x:v>+60169765626</x:v>
      </x:c>
      <x:c r="H6445" s="16" t="str">
        <x:v>Excluded</x:v>
      </x:c>
      <x:c r="I6445" s="16" t="str">
        <x:v>Missing email</x:v>
      </x:c>
    </x:row>
    <x:row r="6446">
      <x:c r="A6446" s="16" t="n">
        <x:v>6443</x:v>
      </x:c>
      <x:c r="B6446" s="16" t="str">
        <x:v>Solleh Indah SecretVee</x:v>
      </x:c>
      <x:c r="C6446" s="16" t="str"/>
      <x:c r="D6446" s="16" t="str"/>
      <x:c r="E6446" s="16" t="str">
        <x:v>* myContacts</x:v>
      </x:c>
      <x:c r="F6446" s="16" t="str">
        <x:v>+60148483060</x:v>
      </x:c>
      <x:c r="G6446" s="16" t="str">
        <x:v>+60148483060</x:v>
      </x:c>
      <x:c r="H6446" s="16" t="str">
        <x:v>Excluded</x:v>
      </x:c>
      <x:c r="I6446" s="16" t="str">
        <x:v>Missing email</x:v>
      </x:c>
    </x:row>
    <x:row r="6447">
      <x:c r="A6447" s="16" t="n">
        <x:v>6444</x:v>
      </x:c>
      <x:c r="B6447" s="16" t="str">
        <x:v>Son Novarex</x:v>
      </x:c>
      <x:c r="C6447" s="16" t="str"/>
      <x:c r="D6447" s="16" t="str"/>
      <x:c r="E6447" s="16" t="str">
        <x:v>* myContacts</x:v>
      </x:c>
      <x:c r="F6447" s="16" t="str">
        <x:v>+821083661270</x:v>
      </x:c>
      <x:c r="G6447" s="16" t="str">
        <x:v>+821083661270</x:v>
      </x:c>
      <x:c r="H6447" s="16" t="str">
        <x:v>Excluded</x:v>
      </x:c>
      <x:c r="I6447" s="16" t="str">
        <x:v>Missing email</x:v>
      </x:c>
    </x:row>
    <x:row r="6448">
      <x:c r="A6448" s="16" t="n">
        <x:v>6445</x:v>
      </x:c>
      <x:c r="B6448" s="16" t="str">
        <x:v>Song Hock Kc</x:v>
      </x:c>
      <x:c r="C6448" s="16" t="str">
        <x:v>song@yoolk.com</x:v>
      </x:c>
      <x:c r="D6448" s="16" t="str">
        <x:v>song@yoolk.com</x:v>
      </x:c>
      <x:c r="E6448" s="16" t="str">
        <x:v>* myContacts</x:v>
      </x:c>
      <x:c r="F6448" s="16" t="str">
        <x:v>+60122985960</x:v>
      </x:c>
      <x:c r="G6448" s="16" t="str">
        <x:v>+60122985960</x:v>
      </x:c>
      <x:c r="H6448" s="16" t="str">
        <x:v>Eligible</x:v>
      </x:c>
      <x:c r="I6448" s="16" t="str"/>
    </x:row>
    <x:row r="6449">
      <x:c r="A6449" s="16" t="n">
        <x:v>6446</x:v>
      </x:c>
      <x:c r="B6449" s="16" t="str">
        <x:v>Sopian BDA</x:v>
      </x:c>
      <x:c r="C6449" s="16" t="str">
        <x:v>my.offhegoes@gmail.com</x:v>
      </x:c>
      <x:c r="D6449" s="16" t="str">
        <x:v>my.offhegoes@gmail.com</x:v>
      </x:c>
      <x:c r="E6449" s="16" t="str">
        <x:v>* myContacts</x:v>
      </x:c>
      <x:c r="F6449" s="16" t="str">
        <x:v>+60167760824 | +60 11-1021 0824</x:v>
      </x:c>
      <x:c r="G6449" s="16" t="str">
        <x:v>+60167760824 | +601110210824</x:v>
      </x:c>
      <x:c r="H6449" s="16" t="str">
        <x:v>Eligible</x:v>
      </x:c>
      <x:c r="I6449" s="16" t="str"/>
    </x:row>
    <x:row r="6450">
      <x:c r="A6450" s="16" t="n">
        <x:v>6447</x:v>
      </x:c>
      <x:c r="B6450" s="16" t="str">
        <x:v>Sopian Sales Team2</x:v>
      </x:c>
      <x:c r="C6450" s="16" t="str"/>
      <x:c r="D6450" s="16" t="str"/>
      <x:c r="E6450" s="16" t="str">
        <x:v>* myContacts</x:v>
      </x:c>
      <x:c r="F6450" s="16" t="str">
        <x:v>+60 13-333 0824 | +60133330824</x:v>
      </x:c>
      <x:c r="G6450" s="16" t="str">
        <x:v>+60133330824 | +60133330824</x:v>
      </x:c>
      <x:c r="H6450" s="16" t="str">
        <x:v>Excluded</x:v>
      </x:c>
      <x:c r="I6450" s="16" t="str">
        <x:v>Missing email</x:v>
      </x:c>
    </x:row>
    <x:row r="6451">
      <x:c r="A6451" s="16" t="n">
        <x:v>6448</x:v>
      </x:c>
      <x:c r="B6451" s="16" t="str">
        <x:v>Sou Nek Wa Bui</x:v>
      </x:c>
      <x:c r="C6451" s="16" t="str"/>
      <x:c r="D6451" s="16" t="str"/>
      <x:c r="E6451" s="16" t="str">
        <x:v>* myContacts</x:v>
      </x:c>
      <x:c r="F6451" s="16" t="str">
        <x:v>+60176677522</x:v>
      </x:c>
      <x:c r="G6451" s="16" t="str">
        <x:v>+60176677522</x:v>
      </x:c>
      <x:c r="H6451" s="16" t="str">
        <x:v>Excluded</x:v>
      </x:c>
      <x:c r="I6451" s="16" t="str">
        <x:v>Missing email</x:v>
      </x:c>
    </x:row>
    <x:row r="6452">
      <x:c r="A6452" s="16" t="n">
        <x:v>6449</x:v>
      </x:c>
      <x:c r="B6452" s="16" t="str">
        <x:v>Soyet Khan</x:v>
      </x:c>
      <x:c r="C6452" s="16" t="str"/>
      <x:c r="D6452" s="16" t="str"/>
      <x:c r="E6452" s="16" t="str">
        <x:v>* myContacts</x:v>
      </x:c>
      <x:c r="F6452" s="16" t="str">
        <x:v>+601123001870</x:v>
      </x:c>
      <x:c r="G6452" s="16" t="str">
        <x:v>+601123001870</x:v>
      </x:c>
      <x:c r="H6452" s="16" t="str">
        <x:v>Excluded</x:v>
      </x:c>
      <x:c r="I6452" s="16" t="str">
        <x:v>Missing email</x:v>
      </x:c>
    </x:row>
    <x:row r="6453">
      <x:c r="A6453" s="16" t="n">
        <x:v>6450</x:v>
      </x:c>
      <x:c r="B6453" s="16" t="str">
        <x:v>Sree Mantra</x:v>
      </x:c>
      <x:c r="C6453" s="16" t="str"/>
      <x:c r="D6453" s="16" t="str"/>
      <x:c r="E6453" s="16" t="str">
        <x:v>* myContacts</x:v>
      </x:c>
      <x:c r="F6453" s="16" t="str">
        <x:v>+918758719222</x:v>
      </x:c>
      <x:c r="G6453" s="16" t="str">
        <x:v>+918758719222</x:v>
      </x:c>
      <x:c r="H6453" s="16" t="str">
        <x:v>Excluded</x:v>
      </x:c>
      <x:c r="I6453" s="16" t="str">
        <x:v>Missing email</x:v>
      </x:c>
    </x:row>
    <x:row r="6454">
      <x:c r="A6454" s="16" t="n">
        <x:v>6451</x:v>
      </x:c>
      <x:c r="B6454" s="16" t="str">
        <x:v>Sriwahyuni Shope</x:v>
      </x:c>
      <x:c r="C6454" s="16" t="str"/>
      <x:c r="D6454" s="16" t="str"/>
      <x:c r="E6454" s="16" t="str">
        <x:v>* myContacts</x:v>
      </x:c>
      <x:c r="F6454" s="16" t="str">
        <x:v>+6282283921425</x:v>
      </x:c>
      <x:c r="G6454" s="16" t="str">
        <x:v>+6282283921425</x:v>
      </x:c>
      <x:c r="H6454" s="16" t="str">
        <x:v>Excluded</x:v>
      </x:c>
      <x:c r="I6454" s="16" t="str">
        <x:v>Missing email</x:v>
      </x:c>
    </x:row>
    <x:row r="6455">
      <x:c r="A6455" s="16" t="n">
        <x:v>6452</x:v>
      </x:c>
      <x:c r="B6455" s="16" t="str">
        <x:v>Staf AFK Mukram Husaini</x:v>
      </x:c>
      <x:c r="C6455" s="16" t="str"/>
      <x:c r="D6455" s="16" t="str"/>
      <x:c r="E6455" s="16" t="str">
        <x:v>* myContacts</x:v>
      </x:c>
      <x:c r="F6455" s="16" t="str">
        <x:v>+60 14-315 8051 | +60143158051</x:v>
      </x:c>
      <x:c r="G6455" s="16" t="str">
        <x:v>+60143158051 | +60143158051</x:v>
      </x:c>
      <x:c r="H6455" s="16" t="str">
        <x:v>Excluded</x:v>
      </x:c>
      <x:c r="I6455" s="16" t="str">
        <x:v>Missing email</x:v>
      </x:c>
    </x:row>
    <x:row r="6456">
      <x:c r="A6456" s="16" t="n">
        <x:v>6453</x:v>
      </x:c>
      <x:c r="B6456" s="16" t="str">
        <x:v>staf garmin setia alam</x:v>
      </x:c>
      <x:c r="C6456" s="16" t="str"/>
      <x:c r="D6456" s="16" t="str"/>
      <x:c r="E6456" s="16" t="str">
        <x:v>* myContacts</x:v>
      </x:c>
      <x:c r="F6456" s="16" t="str">
        <x:v>+60 3-3358 1618 | +60333581618</x:v>
      </x:c>
      <x:c r="G6456" s="16" t="str">
        <x:v>+60333581618 | +60333581618</x:v>
      </x:c>
      <x:c r="H6456" s="16" t="str">
        <x:v>Excluded</x:v>
      </x:c>
      <x:c r="I6456" s="16" t="str">
        <x:v>Missing email</x:v>
      </x:c>
    </x:row>
    <x:row r="6457">
      <x:c r="A6457" s="16" t="n">
        <x:v>6454</x:v>
      </x:c>
      <x:c r="B6457" s="16" t="str">
        <x:v>Stavic Zaha Shah Alam</x:v>
      </x:c>
      <x:c r="C6457" s="16" t="str"/>
      <x:c r="D6457" s="16" t="str"/>
      <x:c r="E6457" s="16" t="str">
        <x:v>* myContacts</x:v>
      </x:c>
      <x:c r="F6457" s="16" t="str">
        <x:v>+60189674746</x:v>
      </x:c>
      <x:c r="G6457" s="16" t="str">
        <x:v>+60189674746</x:v>
      </x:c>
      <x:c r="H6457" s="16" t="str">
        <x:v>Excluded</x:v>
      </x:c>
      <x:c r="I6457" s="16" t="str">
        <x:v>Missing email</x:v>
      </x:c>
    </x:row>
    <x:row r="6458">
      <x:c r="A6458" s="16" t="n">
        <x:v>6455</x:v>
      </x:c>
      <x:c r="B6458" s="16" t="str">
        <x:v>Stella Agent Essens</x:v>
      </x:c>
      <x:c r="C6458" s="16" t="str"/>
      <x:c r="D6458" s="16" t="str"/>
      <x:c r="E6458" s="16" t="str">
        <x:v>* myContacts</x:v>
      </x:c>
      <x:c r="F6458" s="16" t="str">
        <x:v>+60 16-953 3193 | +60169533193</x:v>
      </x:c>
      <x:c r="G6458" s="16" t="str">
        <x:v>+60169533193 | +60169533193</x:v>
      </x:c>
      <x:c r="H6458" s="16" t="str">
        <x:v>Excluded</x:v>
      </x:c>
      <x:c r="I6458" s="16" t="str">
        <x:v>Missing email</x:v>
      </x:c>
    </x:row>
    <x:row r="6459">
      <x:c r="A6459" s="16" t="n">
        <x:v>6456</x:v>
      </x:c>
      <x:c r="B6459" s="16" t="str">
        <x:v>Steven Yeow</x:v>
      </x:c>
      <x:c r="C6459" s="16" t="str"/>
      <x:c r="D6459" s="16" t="str"/>
      <x:c r="E6459" s="16" t="str">
        <x:v>* myContacts</x:v>
      </x:c>
      <x:c r="F6459" s="16" t="str">
        <x:v>+60122970300</x:v>
      </x:c>
      <x:c r="G6459" s="16" t="str">
        <x:v>+60122970300</x:v>
      </x:c>
      <x:c r="H6459" s="16" t="str">
        <x:v>Excluded</x:v>
      </x:c>
      <x:c r="I6459" s="16" t="str">
        <x:v>Missing email</x:v>
      </x:c>
    </x:row>
    <x:row r="6460">
      <x:c r="A6460" s="16" t="n">
        <x:v>6457</x:v>
      </x:c>
      <x:c r="B6460" s="16" t="str">
        <x:v>Stevenz Stevenz</x:v>
      </x:c>
      <x:c r="C6460" s="16" t="str"/>
      <x:c r="D6460" s="16" t="str"/>
      <x:c r="E6460" s="16" t="str">
        <x:v>* myContacts</x:v>
      </x:c>
      <x:c r="F6460" s="16" t="str">
        <x:v>+601114077648</x:v>
      </x:c>
      <x:c r="G6460" s="16" t="str">
        <x:v>+601114077648</x:v>
      </x:c>
      <x:c r="H6460" s="16" t="str">
        <x:v>Excluded</x:v>
      </x:c>
      <x:c r="I6460" s="16" t="str">
        <x:v>Missing email</x:v>
      </x:c>
    </x:row>
    <x:row r="6461">
      <x:c r="A6461" s="16" t="n">
        <x:v>6458</x:v>
      </x:c>
      <x:c r="B6461" s="16" t="str">
        <x:v>Sticker Mudah</x:v>
      </x:c>
      <x:c r="C6461" s="16" t="str"/>
      <x:c r="D6461" s="16" t="str"/>
      <x:c r="E6461" s="16" t="str">
        <x:v>* myContacts</x:v>
      </x:c>
      <x:c r="F6461" s="16" t="str">
        <x:v>+60186685734</x:v>
      </x:c>
      <x:c r="G6461" s="16" t="str">
        <x:v>+60186685734</x:v>
      </x:c>
      <x:c r="H6461" s="16" t="str">
        <x:v>Excluded</x:v>
      </x:c>
      <x:c r="I6461" s="16" t="str">
        <x:v>Missing email</x:v>
      </x:c>
    </x:row>
    <x:row r="6462">
      <x:c r="A6462" s="16" t="n">
        <x:v>6459</x:v>
      </x:c>
      <x:c r="B6462" s="16" t="str">
        <x:v>Stokis Jsd Maziah Mohamad</x:v>
      </x:c>
      <x:c r="C6462" s="16" t="str"/>
      <x:c r="D6462" s="16" t="str"/>
      <x:c r="E6462" s="16" t="str">
        <x:v>* myContacts</x:v>
      </x:c>
      <x:c r="F6462" s="16" t="str">
        <x:v>+60189174145</x:v>
      </x:c>
      <x:c r="G6462" s="16" t="str">
        <x:v>+60189174145</x:v>
      </x:c>
      <x:c r="H6462" s="16" t="str">
        <x:v>Excluded</x:v>
      </x:c>
      <x:c r="I6462" s="16" t="str">
        <x:v>Missing email</x:v>
      </x:c>
    </x:row>
    <x:row r="6463">
      <x:c r="A6463" s="16" t="n">
        <x:v>6460</x:v>
      </x:c>
      <x:c r="B6463" s="16" t="str">
        <x:v>Studio Akmal</x:v>
      </x:c>
      <x:c r="C6463" s="16" t="str"/>
      <x:c r="D6463" s="16" t="str"/>
      <x:c r="E6463" s="16" t="str">
        <x:v>* myContacts</x:v>
      </x:c>
      <x:c r="F6463" s="16" t="str">
        <x:v>+60 13-457 7522 | +60134577522</x:v>
      </x:c>
      <x:c r="G6463" s="16" t="str">
        <x:v>+60134577522 | +60134577522</x:v>
      </x:c>
      <x:c r="H6463" s="16" t="str">
        <x:v>Excluded</x:v>
      </x:c>
      <x:c r="I6463" s="16" t="str">
        <x:v>Missing email</x:v>
      </x:c>
    </x:row>
    <x:row r="6464">
      <x:c r="A6464" s="16" t="n">
        <x:v>6461</x:v>
      </x:c>
      <x:c r="B6464" s="16" t="str">
        <x:v>SuÄ›haÃ­da Abu Bakar</x:v>
      </x:c>
      <x:c r="C6464" s="16" t="str"/>
      <x:c r="D6464" s="16" t="str"/>
      <x:c r="E6464" s="16" t="str">
        <x:v>* myContacts</x:v>
      </x:c>
      <x:c r="F6464" s="16" t="str">
        <x:v>+60188721102</x:v>
      </x:c>
      <x:c r="G6464" s="16" t="str">
        <x:v>+60188721102</x:v>
      </x:c>
      <x:c r="H6464" s="16" t="str">
        <x:v>Excluded</x:v>
      </x:c>
      <x:c r="I6464" s="16" t="str">
        <x:v>Missing email</x:v>
      </x:c>
    </x:row>
    <x:row r="6465">
      <x:c r="A6465" s="16" t="n">
        <x:v>6462</x:v>
      </x:c>
      <x:c r="B6465" s="16" t="str">
        <x:v>Suanit Shaari Dms</x:v>
      </x:c>
      <x:c r="C6465" s="16" t="str"/>
      <x:c r="D6465" s="16" t="str"/>
      <x:c r="E6465" s="16" t="str">
        <x:v>* myContacts</x:v>
      </x:c>
      <x:c r="F6465" s="16" t="str">
        <x:v>+60194047509</x:v>
      </x:c>
      <x:c r="G6465" s="16" t="str">
        <x:v>+60194047509</x:v>
      </x:c>
      <x:c r="H6465" s="16" t="str">
        <x:v>Excluded</x:v>
      </x:c>
      <x:c r="I6465" s="16" t="str">
        <x:v>Missing email</x:v>
      </x:c>
    </x:row>
    <x:row r="6466">
      <x:c r="A6466" s="16" t="n">
        <x:v>6463</x:v>
      </x:c>
      <x:c r="B6466" s="16" t="str">
        <x:v>Subaidah Agp Customer</x:v>
      </x:c>
      <x:c r="C6466" s="16" t="str"/>
      <x:c r="D6466" s="16" t="str"/>
      <x:c r="E6466" s="16" t="str">
        <x:v>* myContacts</x:v>
      </x:c>
      <x:c r="F6466" s="16" t="str">
        <x:v>+60104005793</x:v>
      </x:c>
      <x:c r="G6466" s="16" t="str">
        <x:v>+60104005793</x:v>
      </x:c>
      <x:c r="H6466" s="16" t="str">
        <x:v>Excluded</x:v>
      </x:c>
      <x:c r="I6466" s="16" t="str">
        <x:v>Missing email</x:v>
      </x:c>
    </x:row>
    <x:row r="6467">
      <x:c r="A6467" s="16" t="n">
        <x:v>6464</x:v>
      </x:c>
      <x:c r="B6467" s="16" t="str">
        <x:v>Mr Subra Qijang</x:v>
      </x:c>
      <x:c r="C6467" s="16" t="str"/>
      <x:c r="D6467" s="16" t="str"/>
      <x:c r="E6467" s="16" t="str">
        <x:v>* myContacts</x:v>
      </x:c>
      <x:c r="F6467" s="16" t="str">
        <x:v>+60 12-331 4430</x:v>
      </x:c>
      <x:c r="G6467" s="16" t="str">
        <x:v>+60123314430</x:v>
      </x:c>
      <x:c r="H6467" s="16" t="str">
        <x:v>Excluded</x:v>
      </x:c>
      <x:c r="I6467" s="16" t="str">
        <x:v>Missing email</x:v>
      </x:c>
    </x:row>
    <x:row r="6468">
      <x:c r="A6468" s="16" t="n">
        <x:v>6465</x:v>
      </x:c>
      <x:c r="B6468" s="16" t="str">
        <x:v>Subri Contractor</x:v>
      </x:c>
      <x:c r="C6468" s="16" t="str"/>
      <x:c r="D6468" s="16" t="str"/>
      <x:c r="E6468" s="16" t="str">
        <x:v>* myContacts</x:v>
      </x:c>
      <x:c r="F6468" s="16" t="str">
        <x:v>+601160945712</x:v>
      </x:c>
      <x:c r="G6468" s="16" t="str">
        <x:v>+601160945712</x:v>
      </x:c>
      <x:c r="H6468" s="16" t="str">
        <x:v>Excluded</x:v>
      </x:c>
      <x:c r="I6468" s="16" t="str">
        <x:v>Missing email</x:v>
      </x:c>
    </x:row>
    <x:row r="6469">
      <x:c r="A6469" s="16" t="n">
        <x:v>6466</x:v>
      </x:c>
      <x:c r="B6469" s="16" t="str">
        <x:v>Suci Mardiah</x:v>
      </x:c>
      <x:c r="C6469" s="16" t="str"/>
      <x:c r="D6469" s="16" t="str"/>
      <x:c r="E6469" s="16" t="str">
        <x:v>* myContacts</x:v>
      </x:c>
      <x:c r="F6469" s="16" t="str">
        <x:v>+60172680146</x:v>
      </x:c>
      <x:c r="G6469" s="16" t="str">
        <x:v>+60172680146</x:v>
      </x:c>
      <x:c r="H6469" s="16" t="str">
        <x:v>Excluded</x:v>
      </x:c>
      <x:c r="I6469" s="16" t="str">
        <x:v>Missing email</x:v>
      </x:c>
    </x:row>
    <x:row r="6470">
      <x:c r="A6470" s="16" t="n">
        <x:v>6467</x:v>
      </x:c>
      <x:c r="B6470" s="16" t="str">
        <x:v>Sue AR</x:v>
      </x:c>
      <x:c r="C6470" s="16" t="str"/>
      <x:c r="D6470" s="16" t="str"/>
      <x:c r="E6470" s="16" t="str">
        <x:v>* myContacts</x:v>
      </x:c>
      <x:c r="F6470" s="16" t="str">
        <x:v>+601139893123</x:v>
      </x:c>
      <x:c r="G6470" s="16" t="str">
        <x:v>+601139893123</x:v>
      </x:c>
      <x:c r="H6470" s="16" t="str">
        <x:v>Excluded</x:v>
      </x:c>
      <x:c r="I6470" s="16" t="str">
        <x:v>Missing email</x:v>
      </x:c>
    </x:row>
    <x:row r="6471">
      <x:c r="A6471" s="16" t="n">
        <x:v>6468</x:v>
      </x:c>
      <x:c r="B6471" s="16" t="str">
        <x:v>Sue Hairul</x:v>
      </x:c>
      <x:c r="C6471" s="16" t="str"/>
      <x:c r="D6471" s="16" t="str"/>
      <x:c r="E6471" s="16" t="str">
        <x:v>* myContacts</x:v>
      </x:c>
      <x:c r="F6471" s="16" t="str">
        <x:v>+60148339267</x:v>
      </x:c>
      <x:c r="G6471" s="16" t="str">
        <x:v>+60148339267</x:v>
      </x:c>
      <x:c r="H6471" s="16" t="str">
        <x:v>Excluded</x:v>
      </x:c>
      <x:c r="I6471" s="16" t="str">
        <x:v>Missing email</x:v>
      </x:c>
    </x:row>
    <x:row r="6472">
      <x:c r="A6472" s="16" t="n">
        <x:v>6469</x:v>
      </x:c>
      <x:c r="B6472" s="16" t="str">
        <x:v>Sue Nilam HB</x:v>
      </x:c>
      <x:c r="C6472" s="16" t="str"/>
      <x:c r="D6472" s="16" t="str"/>
      <x:c r="E6472" s="16" t="str">
        <x:v>* myContacts</x:v>
      </x:c>
      <x:c r="F6472" s="16" t="str">
        <x:v>+601112257283</x:v>
      </x:c>
      <x:c r="G6472" s="16" t="str">
        <x:v>+601112257283</x:v>
      </x:c>
      <x:c r="H6472" s="16" t="str">
        <x:v>Excluded</x:v>
      </x:c>
      <x:c r="I6472" s="16" t="str">
        <x:v>Missing email</x:v>
      </x:c>
    </x:row>
    <x:row r="6473">
      <x:c r="A6473" s="16" t="n">
        <x:v>6470</x:v>
      </x:c>
      <x:c r="B6473" s="16" t="str">
        <x:v>Sue Ryana K'zaman</x:v>
      </x:c>
      <x:c r="C6473" s="16" t="str"/>
      <x:c r="D6473" s="16" t="str"/>
      <x:c r="E6473" s="16" t="str">
        <x:v>* myContacts</x:v>
      </x:c>
      <x:c r="F6473" s="16" t="str">
        <x:v>+601125227941</x:v>
      </x:c>
      <x:c r="G6473" s="16" t="str">
        <x:v>+601125227941</x:v>
      </x:c>
      <x:c r="H6473" s="16" t="str">
        <x:v>Excluded</x:v>
      </x:c>
      <x:c r="I6473" s="16" t="str">
        <x:v>Missing email</x:v>
      </x:c>
    </x:row>
    <x:row r="6474">
      <x:c r="A6474" s="16" t="n">
        <x:v>6471</x:v>
      </x:c>
      <x:c r="B6474" s="16" t="str">
        <x:v>Sueraya Suremin</x:v>
      </x:c>
      <x:c r="C6474" s="16" t="str"/>
      <x:c r="D6474" s="16" t="str"/>
      <x:c r="E6474" s="16" t="str">
        <x:v>* myContacts</x:v>
      </x:c>
      <x:c r="F6474" s="16" t="str">
        <x:v>+601115071012</x:v>
      </x:c>
      <x:c r="G6474" s="16" t="str">
        <x:v>+601115071012</x:v>
      </x:c>
      <x:c r="H6474" s="16" t="str">
        <x:v>Excluded</x:v>
      </x:c>
      <x:c r="I6474" s="16" t="str">
        <x:v>Missing email</x:v>
      </x:c>
    </x:row>
    <x:row r="6475">
      <x:c r="A6475" s="16" t="n">
        <x:v>6472</x:v>
      </x:c>
      <x:c r="B6475" s="16" t="str">
        <x:v>Suey Mimi Suey Mimi</x:v>
      </x:c>
      <x:c r="C6475" s="16" t="str"/>
      <x:c r="D6475" s="16" t="str"/>
      <x:c r="E6475" s="16" t="str">
        <x:v>* myContacts</x:v>
      </x:c>
      <x:c r="F6475" s="16" t="str">
        <x:v>+601125609753</x:v>
      </x:c>
      <x:c r="G6475" s="16" t="str">
        <x:v>+601125609753</x:v>
      </x:c>
      <x:c r="H6475" s="16" t="str">
        <x:v>Excluded</x:v>
      </x:c>
      <x:c r="I6475" s="16" t="str">
        <x:v>Missing email</x:v>
      </x:c>
    </x:row>
    <x:row r="6476">
      <x:c r="A6476" s="16" t="n">
        <x:v>6473</x:v>
      </x:c>
      <x:c r="B6476" s="16" t="str">
        <x:v>sufi designer power</x:v>
      </x:c>
      <x:c r="C6476" s="16" t="str"/>
      <x:c r="D6476" s="16" t="str"/>
      <x:c r="E6476" s="16" t="str">
        <x:v>* myContacts</x:v>
      </x:c>
      <x:c r="F6476" s="16" t="str">
        <x:v>013-212 2421 | +60132122421</x:v>
      </x:c>
      <x:c r="G6476" s="16" t="str">
        <x:v>+60132122421 | +60132122421</x:v>
      </x:c>
      <x:c r="H6476" s="16" t="str">
        <x:v>Excluded</x:v>
      </x:c>
      <x:c r="I6476" s="16" t="str">
        <x:v>Missing email</x:v>
      </x:c>
    </x:row>
    <x:row r="6477">
      <x:c r="A6477" s="16" t="n">
        <x:v>6474</x:v>
      </x:c>
      <x:c r="B6477" s="16" t="str">
        <x:v>Sufiyan Insken</x:v>
      </x:c>
      <x:c r="C6477" s="16" t="str"/>
      <x:c r="D6477" s="16" t="str"/>
      <x:c r="E6477" s="16" t="str">
        <x:v>Alumni INSKEN | * myContacts</x:v>
      </x:c>
      <x:c r="F6477" s="16" t="str">
        <x:v>+60 12-308 1906 | +60123081906</x:v>
      </x:c>
      <x:c r="G6477" s="16" t="str">
        <x:v>+60123081906 | +60123081906</x:v>
      </x:c>
      <x:c r="H6477" s="16" t="str">
        <x:v>Excluded</x:v>
      </x:c>
      <x:c r="I6477" s="16" t="str">
        <x:v>Missing email</x:v>
      </x:c>
    </x:row>
    <x:row r="6478">
      <x:c r="A6478" s="16" t="n">
        <x:v>6475</x:v>
      </x:c>
      <x:c r="B6478" s="16" t="str">
        <x:v>Suh Wei Teang (sherly jiran kati apak)</x:v>
      </x:c>
      <x:c r="C6478" s="16" t="str">
        <x:v>shirs.ding@gmail.com</x:v>
      </x:c>
      <x:c r="D6478" s="16" t="str">
        <x:v>shirs.ding@gmail.com</x:v>
      </x:c>
      <x:c r="E6478" s="16" t="str">
        <x:v>* myContacts</x:v>
      </x:c>
      <x:c r="F6478" s="16" t="str">
        <x:v>+60122147226</x:v>
      </x:c>
      <x:c r="G6478" s="16" t="str">
        <x:v>+60122147226</x:v>
      </x:c>
      <x:c r="H6478" s="16" t="str">
        <x:v>Eligible</x:v>
      </x:c>
      <x:c r="I6478" s="16" t="str"/>
    </x:row>
    <x:row r="6479">
      <x:c r="A6479" s="16" t="n">
        <x:v>6476</x:v>
      </x:c>
      <x:c r="B6479" s="16" t="str">
        <x:v>Suhaida Hassan IM</x:v>
      </x:c>
      <x:c r="C6479" s="16" t="str"/>
      <x:c r="D6479" s="16" t="str"/>
      <x:c r="E6479" s="16" t="str">
        <x:v>* myContacts</x:v>
      </x:c>
      <x:c r="F6479" s="16" t="str">
        <x:v>014-539 6080 | +60145396080</x:v>
      </x:c>
      <x:c r="G6479" s="16" t="str">
        <x:v>+60145396080 | +60145396080</x:v>
      </x:c>
      <x:c r="H6479" s="16" t="str">
        <x:v>Excluded</x:v>
      </x:c>
      <x:c r="I6479" s="16" t="str">
        <x:v>Missing email</x:v>
      </x:c>
    </x:row>
    <x:row r="6480">
      <x:c r="A6480" s="16" t="n">
        <x:v>6477</x:v>
      </x:c>
      <x:c r="B6480" s="16" t="str">
        <x:v>Suhaila Agent Kbbc</x:v>
      </x:c>
      <x:c r="C6480" s="16" t="str"/>
      <x:c r="D6480" s="16" t="str"/>
      <x:c r="E6480" s="16" t="str">
        <x:v>* myContacts</x:v>
      </x:c>
      <x:c r="F6480" s="16" t="str">
        <x:v>+60 14-667 7619 | +60146677619</x:v>
      </x:c>
      <x:c r="G6480" s="16" t="str">
        <x:v>+60146677619 | +60146677619</x:v>
      </x:c>
      <x:c r="H6480" s="16" t="str">
        <x:v>Excluded</x:v>
      </x:c>
      <x:c r="I6480" s="16" t="str">
        <x:v>Missing email</x:v>
      </x:c>
    </x:row>
    <x:row r="6481">
      <x:c r="A6481" s="16" t="n">
        <x:v>6478</x:v>
      </x:c>
      <x:c r="B6481" s="16" t="str">
        <x:v>Suhaila Ismail</x:v>
      </x:c>
      <x:c r="C6481" s="16" t="str"/>
      <x:c r="D6481" s="16" t="str"/>
      <x:c r="E6481" s="16" t="str">
        <x:v>* myContacts</x:v>
      </x:c>
      <x:c r="F6481" s="16" t="str">
        <x:v>+60172550405</x:v>
      </x:c>
      <x:c r="G6481" s="16" t="str">
        <x:v>+60172550405</x:v>
      </x:c>
      <x:c r="H6481" s="16" t="str">
        <x:v>Excluded</x:v>
      </x:c>
      <x:c r="I6481" s="16" t="str">
        <x:v>Missing email</x:v>
      </x:c>
    </x:row>
    <x:row r="6482">
      <x:c r="A6482" s="16" t="n">
        <x:v>6479</x:v>
      </x:c>
      <x:c r="B6482" s="16" t="str">
        <x:v>Suhaila Sah Nufah</x:v>
      </x:c>
      <x:c r="C6482" s="16" t="str"/>
      <x:c r="D6482" s="16" t="str"/>
      <x:c r="E6482" s="16" t="str">
        <x:v>* myContacts</x:v>
      </x:c>
      <x:c r="F6482" s="16" t="str">
        <x:v>+60146444896</x:v>
      </x:c>
      <x:c r="G6482" s="16" t="str">
        <x:v>+60146444896</x:v>
      </x:c>
      <x:c r="H6482" s="16" t="str">
        <x:v>Excluded</x:v>
      </x:c>
      <x:c r="I6482" s="16" t="str">
        <x:v>Missing email</x:v>
      </x:c>
    </x:row>
    <x:row r="6483">
      <x:c r="A6483" s="16" t="n">
        <x:v>6480</x:v>
      </x:c>
      <x:c r="B6483" s="16" t="str">
        <x:v>Suhailah Kamal Agent AGP</x:v>
      </x:c>
      <x:c r="C6483" s="16" t="str"/>
      <x:c r="D6483" s="16" t="str"/>
      <x:c r="E6483" s="16" t="str">
        <x:v>* myContacts</x:v>
      </x:c>
      <x:c r="F6483" s="16" t="str">
        <x:v>+60 19-771 9972 | +60197719972</x:v>
      </x:c>
      <x:c r="G6483" s="16" t="str">
        <x:v>+60197719972 | +60197719972</x:v>
      </x:c>
      <x:c r="H6483" s="16" t="str">
        <x:v>Excluded</x:v>
      </x:c>
      <x:c r="I6483" s="16" t="str">
        <x:v>Missing email</x:v>
      </x:c>
    </x:row>
    <x:row r="6484">
      <x:c r="A6484" s="16" t="n">
        <x:v>6481</x:v>
      </x:c>
      <x:c r="B6484" s="16" t="str">
        <x:v>Suhaili AGP</x:v>
      </x:c>
      <x:c r="C6484" s="16" t="str"/>
      <x:c r="D6484" s="16" t="str"/>
      <x:c r="E6484" s="16" t="str">
        <x:v>* myContacts</x:v>
      </x:c>
      <x:c r="F6484" s="16" t="str">
        <x:v>+60 13-892 2848 | +60138922848</x:v>
      </x:c>
      <x:c r="G6484" s="16" t="str">
        <x:v>+60138922848 | +60138922848</x:v>
      </x:c>
      <x:c r="H6484" s="16" t="str">
        <x:v>Excluded</x:v>
      </x:c>
      <x:c r="I6484" s="16" t="str">
        <x:v>Missing email</x:v>
      </x:c>
    </x:row>
    <x:row r="6485">
      <x:c r="A6485" s="16" t="n">
        <x:v>6482</x:v>
      </x:c>
      <x:c r="B6485" s="16" t="str">
        <x:v>Suhaili Aili</x:v>
      </x:c>
      <x:c r="C6485" s="16" t="str"/>
      <x:c r="D6485" s="16" t="str"/>
      <x:c r="E6485" s="16" t="str">
        <x:v>* myContacts</x:v>
      </x:c>
      <x:c r="F6485" s="16" t="str">
        <x:v>+60135698675</x:v>
      </x:c>
      <x:c r="G6485" s="16" t="str">
        <x:v>+60135698675</x:v>
      </x:c>
      <x:c r="H6485" s="16" t="str">
        <x:v>Excluded</x:v>
      </x:c>
      <x:c r="I6485" s="16" t="str">
        <x:v>Missing email</x:v>
      </x:c>
    </x:row>
    <x:row r="6486">
      <x:c r="A6486" s="16" t="n">
        <x:v>6483</x:v>
      </x:c>
      <x:c r="B6486" s="16" t="str">
        <x:v>Suhaime Mat Rasul</x:v>
      </x:c>
      <x:c r="C6486" s="16" t="str"/>
      <x:c r="D6486" s="16" t="str"/>
      <x:c r="E6486" s="16" t="str">
        <x:v>* myContacts</x:v>
      </x:c>
      <x:c r="F6486" s="16" t="str">
        <x:v>+60194972988</x:v>
      </x:c>
      <x:c r="G6486" s="16" t="str">
        <x:v>+60194972988</x:v>
      </x:c>
      <x:c r="H6486" s="16" t="str">
        <x:v>Excluded</x:v>
      </x:c>
      <x:c r="I6486" s="16" t="str">
        <x:v>Missing email</x:v>
      </x:c>
    </x:row>
    <x:row r="6487">
      <x:c r="A6487" s="16" t="n">
        <x:v>6484</x:v>
      </x:c>
      <x:c r="B6487" s="16" t="str">
        <x:v>Suhaimi Abdul Karim</x:v>
      </x:c>
      <x:c r="C6487" s="16" t="str"/>
      <x:c r="D6487" s="16" t="str"/>
      <x:c r="E6487" s="16" t="str">
        <x:v>* myContacts</x:v>
      </x:c>
      <x:c r="F6487" s="16" t="str">
        <x:v>+60133447846</x:v>
      </x:c>
      <x:c r="G6487" s="16" t="str">
        <x:v>+60133447846</x:v>
      </x:c>
      <x:c r="H6487" s="16" t="str">
        <x:v>Excluded</x:v>
      </x:c>
      <x:c r="I6487" s="16" t="str">
        <x:v>Missing email</x:v>
      </x:c>
    </x:row>
    <x:row r="6488">
      <x:c r="A6488" s="16" t="n">
        <x:v>6485</x:v>
      </x:c>
      <x:c r="B6488" s="16" t="str">
        <x:v>Suhaimi AGP</x:v>
      </x:c>
      <x:c r="C6488" s="16" t="str"/>
      <x:c r="D6488" s="16" t="str"/>
      <x:c r="E6488" s="16" t="str">
        <x:v>* myContacts</x:v>
      </x:c>
      <x:c r="F6488" s="16" t="str">
        <x:v>0123910792 | +60123910792</x:v>
      </x:c>
      <x:c r="G6488" s="16" t="str">
        <x:v>+60123910792 | +60123910792</x:v>
      </x:c>
      <x:c r="H6488" s="16" t="str">
        <x:v>Excluded</x:v>
      </x:c>
      <x:c r="I6488" s="16" t="str">
        <x:v>Missing email</x:v>
      </x:c>
    </x:row>
    <x:row r="6489">
      <x:c r="A6489" s="16" t="n">
        <x:v>6486</x:v>
      </x:c>
      <x:c r="B6489" s="16" t="str">
        <x:v>suhaimi IM Otai</x:v>
      </x:c>
      <x:c r="C6489" s="16" t="str"/>
      <x:c r="D6489" s="16" t="str"/>
      <x:c r="E6489" s="16" t="str">
        <x:v>* myContacts</x:v>
      </x:c>
      <x:c r="F6489" s="16" t="str">
        <x:v>+60 19-222 1002 | +60192221002</x:v>
      </x:c>
      <x:c r="G6489" s="16" t="str">
        <x:v>+60192221002 | +60192221002</x:v>
      </x:c>
      <x:c r="H6489" s="16" t="str">
        <x:v>Excluded</x:v>
      </x:c>
      <x:c r="I6489" s="16" t="str">
        <x:v>Missing email</x:v>
      </x:c>
    </x:row>
    <x:row r="6490">
      <x:c r="A6490" s="16" t="n">
        <x:v>6487</x:v>
      </x:c>
      <x:c r="B6490" s="16" t="str">
        <x:v>Suhaimi kawan di UTM</x:v>
      </x:c>
      <x:c r="C6490" s="16" t="str"/>
      <x:c r="D6490" s="16" t="str"/>
      <x:c r="E6490" s="16" t="str">
        <x:v>* myContacts</x:v>
      </x:c>
      <x:c r="F6490" s="16" t="str">
        <x:v>+60 13-533 5919 | +60135335919</x:v>
      </x:c>
      <x:c r="G6490" s="16" t="str">
        <x:v>+60135335919 | +60135335919</x:v>
      </x:c>
      <x:c r="H6490" s="16" t="str">
        <x:v>Excluded</x:v>
      </x:c>
      <x:c r="I6490" s="16" t="str">
        <x:v>Missing email</x:v>
      </x:c>
    </x:row>
    <x:row r="6491">
      <x:c r="A6491" s="16" t="n">
        <x:v>6488</x:v>
      </x:c>
      <x:c r="B6491" s="16" t="str">
        <x:v>suhaimi utm</x:v>
      </x:c>
      <x:c r="C6491" s="16" t="str"/>
      <x:c r="D6491" s="16" t="str"/>
      <x:c r="E6491" s="16" t="str">
        <x:v>* myContacts</x:v>
      </x:c>
      <x:c r="F6491" s="16" t="str">
        <x:v>0197920869 | +60197920869</x:v>
      </x:c>
      <x:c r="G6491" s="16" t="str">
        <x:v>+60197920869 | +60197920869</x:v>
      </x:c>
      <x:c r="H6491" s="16" t="str">
        <x:v>Excluded</x:v>
      </x:c>
      <x:c r="I6491" s="16" t="str">
        <x:v>Missing email</x:v>
      </x:c>
    </x:row>
    <x:row r="6492">
      <x:c r="A6492" s="16" t="n">
        <x:v>6489</x:v>
      </x:c>
      <x:c r="B6492" s="16" t="str">
        <x:v>Suhaimie Pak Long</x:v>
      </x:c>
      <x:c r="C6492" s="16" t="str"/>
      <x:c r="D6492" s="16" t="str"/>
      <x:c r="E6492" s="16" t="str">
        <x:v>* myContacts</x:v>
      </x:c>
      <x:c r="F6492" s="16" t="str">
        <x:v>+60195567524</x:v>
      </x:c>
      <x:c r="G6492" s="16" t="str">
        <x:v>+60195567524</x:v>
      </x:c>
      <x:c r="H6492" s="16" t="str">
        <x:v>Excluded</x:v>
      </x:c>
      <x:c r="I6492" s="16" t="str">
        <x:v>Missing email</x:v>
      </x:c>
    </x:row>
    <x:row r="6493">
      <x:c r="A6493" s="16" t="n">
        <x:v>6490</x:v>
      </x:c>
      <x:c r="B6493" s="16" t="str">
        <x:v>Suhaini Mohd Zain Su</x:v>
      </x:c>
      <x:c r="C6493" s="16" t="str"/>
      <x:c r="D6493" s="16" t="str"/>
      <x:c r="E6493" s="16" t="str">
        <x:v>* myContacts</x:v>
      </x:c>
      <x:c r="F6493" s="16" t="str">
        <x:v>+60145313022</x:v>
      </x:c>
      <x:c r="G6493" s="16" t="str">
        <x:v>+60145313022</x:v>
      </x:c>
      <x:c r="H6493" s="16" t="str">
        <x:v>Excluded</x:v>
      </x:c>
      <x:c r="I6493" s="16" t="str">
        <x:v>Missing email</x:v>
      </x:c>
    </x:row>
    <x:row r="6494">
      <x:c r="A6494" s="16" t="n">
        <x:v>6491</x:v>
      </x:c>
      <x:c r="B6494" s="16" t="str">
        <x:v>Suhairi Emarketplace Penang</x:v>
      </x:c>
      <x:c r="C6494" s="16" t="str"/>
      <x:c r="D6494" s="16" t="str"/>
      <x:c r="E6494" s="16" t="str">
        <x:v>* myContacts</x:v>
      </x:c>
      <x:c r="F6494" s="16" t="str">
        <x:v>019-445 6456 | +60194456456</x:v>
      </x:c>
      <x:c r="G6494" s="16" t="str">
        <x:v>+60194456456 | +60194456456</x:v>
      </x:c>
      <x:c r="H6494" s="16" t="str">
        <x:v>Excluded</x:v>
      </x:c>
      <x:c r="I6494" s="16" t="str">
        <x:v>Missing email</x:v>
      </x:c>
    </x:row>
    <x:row r="6495">
      <x:c r="A6495" s="16" t="n">
        <x:v>6492</x:v>
      </x:c>
      <x:c r="B6495" s="16" t="str">
        <x:v>Suhairi Hery</x:v>
      </x:c>
      <x:c r="C6495" s="16" t="str"/>
      <x:c r="D6495" s="16" t="str"/>
      <x:c r="E6495" s="16" t="str">
        <x:v>* myContacts</x:v>
      </x:c>
      <x:c r="F6495" s="16" t="str">
        <x:v>+60139801553</x:v>
      </x:c>
      <x:c r="G6495" s="16" t="str">
        <x:v>+60139801553</x:v>
      </x:c>
      <x:c r="H6495" s="16" t="str">
        <x:v>Excluded</x:v>
      </x:c>
      <x:c r="I6495" s="16" t="str">
        <x:v>Missing email</x:v>
      </x:c>
    </x:row>
    <x:row r="6496">
      <x:c r="A6496" s="16" t="n">
        <x:v>6493</x:v>
      </x:c>
      <x:c r="B6496" s="16" t="str">
        <x:v>Suhaiza Mohd Ali</x:v>
      </x:c>
      <x:c r="C6496" s="16" t="str"/>
      <x:c r="D6496" s="16" t="str"/>
      <x:c r="E6496" s="16" t="str">
        <x:v>* myContacts</x:v>
      </x:c>
      <x:c r="F6496" s="16" t="str">
        <x:v>+60129251385</x:v>
      </x:c>
      <x:c r="G6496" s="16" t="str">
        <x:v>+60129251385</x:v>
      </x:c>
      <x:c r="H6496" s="16" t="str">
        <x:v>Excluded</x:v>
      </x:c>
      <x:c r="I6496" s="16" t="str">
        <x:v>Missing email</x:v>
      </x:c>
    </x:row>
    <x:row r="6497">
      <x:c r="A6497" s="16" t="n">
        <x:v>6494</x:v>
      </x:c>
      <x:c r="B6497" s="16" t="str">
        <x:v>Suhaizal Pdp</x:v>
      </x:c>
      <x:c r="C6497" s="16" t="str"/>
      <x:c r="D6497" s="16" t="str"/>
      <x:c r="E6497" s="16" t="str">
        <x:v>* myContacts</x:v>
      </x:c>
      <x:c r="F6497" s="16" t="str">
        <x:v>+60 19-211 2112 | +60192112112</x:v>
      </x:c>
      <x:c r="G6497" s="16" t="str">
        <x:v>+60192112112 | +60192112112</x:v>
      </x:c>
      <x:c r="H6497" s="16" t="str">
        <x:v>Excluded</x:v>
      </x:c>
      <x:c r="I6497" s="16" t="str">
        <x:v>Missing email</x:v>
      </x:c>
    </x:row>
    <x:row r="6498">
      <x:c r="A6498" s="16" t="n">
        <x:v>6495</x:v>
      </x:c>
      <x:c r="B6498" s="16" t="str">
        <x:v>Suhaizreen Sauti</x:v>
      </x:c>
      <x:c r="C6498" s="16" t="str"/>
      <x:c r="D6498" s="16" t="str"/>
      <x:c r="E6498" s="16" t="str">
        <x:v>* myContacts</x:v>
      </x:c>
      <x:c r="F6498" s="16" t="str">
        <x:v>+601114323898</x:v>
      </x:c>
      <x:c r="G6498" s="16" t="str">
        <x:v>+601114323898</x:v>
      </x:c>
      <x:c r="H6498" s="16" t="str">
        <x:v>Excluded</x:v>
      </x:c>
      <x:c r="I6498" s="16" t="str">
        <x:v>Missing email</x:v>
      </x:c>
    </x:row>
    <x:row r="6499">
      <x:c r="A6499" s="16" t="n">
        <x:v>6496</x:v>
      </x:c>
      <x:c r="B6499" s="16" t="str">
        <x:v>Suhana Yatim Awie</x:v>
      </x:c>
      <x:c r="C6499" s="16" t="str"/>
      <x:c r="D6499" s="16" t="str"/>
      <x:c r="E6499" s="16" t="str">
        <x:v>* myContacts</x:v>
      </x:c>
      <x:c r="F6499" s="16" t="str">
        <x:v>+60148206074</x:v>
      </x:c>
      <x:c r="G6499" s="16" t="str">
        <x:v>+60148206074</x:v>
      </x:c>
      <x:c r="H6499" s="16" t="str">
        <x:v>Excluded</x:v>
      </x:c>
      <x:c r="I6499" s="16" t="str">
        <x:v>Missing email</x:v>
      </x:c>
    </x:row>
    <x:row r="6500">
      <x:c r="A6500" s="16" t="n">
        <x:v>6497</x:v>
      </x:c>
      <x:c r="B6500" s="16" t="str">
        <x:v>Suhanna Hameed</x:v>
      </x:c>
      <x:c r="C6500" s="16" t="str"/>
      <x:c r="D6500" s="16" t="str"/>
      <x:c r="E6500" s="16" t="str">
        <x:v>* myContacts</x:v>
      </x:c>
      <x:c r="F6500" s="16" t="str">
        <x:v>+60197654321</x:v>
      </x:c>
      <x:c r="G6500" s="16" t="str">
        <x:v>+60197654321</x:v>
      </x:c>
      <x:c r="H6500" s="16" t="str">
        <x:v>Excluded</x:v>
      </x:c>
      <x:c r="I6500" s="16" t="str">
        <x:v>Missing email</x:v>
      </x:c>
    </x:row>
    <x:row r="6501">
      <x:c r="A6501" s="16" t="n">
        <x:v>6498</x:v>
      </x:c>
      <x:c r="B6501" s="16" t="str">
        <x:v>Suhardi Coach</x:v>
      </x:c>
      <x:c r="C6501" s="16" t="str"/>
      <x:c r="D6501" s="16" t="str"/>
      <x:c r="E6501" s="16" t="str">
        <x:v>Trainer | * myContacts</x:v>
      </x:c>
      <x:c r="F6501" s="16" t="str">
        <x:v>+60 13-224 8058 | +60132248058</x:v>
      </x:c>
      <x:c r="G6501" s="16" t="str">
        <x:v>+60132248058 | +60132248058</x:v>
      </x:c>
      <x:c r="H6501" s="16" t="str">
        <x:v>Excluded</x:v>
      </x:c>
      <x:c r="I6501" s="16" t="str">
        <x:v>Missing email</x:v>
      </x:c>
    </x:row>
    <x:row r="6502">
      <x:c r="A6502" s="16" t="n">
        <x:v>6499</x:v>
      </x:c>
      <x:c r="B6502" s="16" t="str">
        <x:v>Suhardi Telkong Suha Telkong</x:v>
      </x:c>
      <x:c r="C6502" s="16" t="str"/>
      <x:c r="D6502" s="16" t="str"/>
      <x:c r="E6502" s="16" t="str">
        <x:v>* myContacts</x:v>
      </x:c>
      <x:c r="F6502" s="16" t="str">
        <x:v>+60193716397</x:v>
      </x:c>
      <x:c r="G6502" s="16" t="str">
        <x:v>+60193716397</x:v>
      </x:c>
      <x:c r="H6502" s="16" t="str">
        <x:v>Excluded</x:v>
      </x:c>
      <x:c r="I6502" s="16" t="str">
        <x:v>Missing email</x:v>
      </x:c>
    </x:row>
    <x:row r="6503">
      <x:c r="A6503" s="16" t="n">
        <x:v>6500</x:v>
      </x:c>
      <x:c r="B6503" s="16" t="str">
        <x:v>Sul Hazzan</x:v>
      </x:c>
      <x:c r="C6503" s="16" t="str"/>
      <x:c r="D6503" s="16" t="str"/>
      <x:c r="E6503" s="16" t="str">
        <x:v>* myContacts</x:v>
      </x:c>
      <x:c r="F6503" s="16" t="str">
        <x:v>+601160906884</x:v>
      </x:c>
      <x:c r="G6503" s="16" t="str">
        <x:v>+601160906884</x:v>
      </x:c>
      <x:c r="H6503" s="16" t="str">
        <x:v>Excluded</x:v>
      </x:c>
      <x:c r="I6503" s="16" t="str">
        <x:v>Missing email</x:v>
      </x:c>
    </x:row>
    <x:row r="6504">
      <x:c r="A6504" s="16" t="n">
        <x:v>6501</x:v>
      </x:c>
      <x:c r="B6504" s="16" t="str">
        <x:v>Sulaiman Avana</x:v>
      </x:c>
      <x:c r="C6504" s="16" t="str">
        <x:v>superslaymo@gmail.com</x:v>
      </x:c>
      <x:c r="D6504" s="16" t="str">
        <x:v>superslaymo@gmail.com</x:v>
      </x:c>
      <x:c r="E6504" s="16" t="str">
        <x:v>* myContacts</x:v>
      </x:c>
      <x:c r="F6504" s="16" t="str">
        <x:v>+60123460531</x:v>
      </x:c>
      <x:c r="G6504" s="16" t="str">
        <x:v>+60123460531</x:v>
      </x:c>
      <x:c r="H6504" s="16" t="str">
        <x:v>Eligible</x:v>
      </x:c>
      <x:c r="I6504" s="16" t="str"/>
    </x:row>
    <x:row r="6505">
      <x:c r="A6505" s="16" t="n">
        <x:v>6502</x:v>
      </x:c>
      <x:c r="B6505" s="16" t="str">
        <x:v>Sulham Tron</x:v>
      </x:c>
      <x:c r="C6505" s="16" t="str"/>
      <x:c r="D6505" s="16" t="str"/>
      <x:c r="E6505" s="16" t="str">
        <x:v>* myContacts</x:v>
      </x:c>
      <x:c r="F6505" s="16" t="str">
        <x:v>+601125309693</x:v>
      </x:c>
      <x:c r="G6505" s="16" t="str">
        <x:v>+601125309693</x:v>
      </x:c>
      <x:c r="H6505" s="16" t="str">
        <x:v>Excluded</x:v>
      </x:c>
      <x:c r="I6505" s="16" t="str">
        <x:v>Missing email</x:v>
      </x:c>
    </x:row>
    <x:row r="6506">
      <x:c r="A6506" s="16" t="n">
        <x:v>6503</x:v>
      </x:c>
      <x:c r="B6506" s="16" t="str">
        <x:v>Sulhan Hakka</x:v>
      </x:c>
      <x:c r="C6506" s="16" t="str"/>
      <x:c r="D6506" s="16" t="str"/>
      <x:c r="E6506" s="16" t="str">
        <x:v>* myContacts</x:v>
      </x:c>
      <x:c r="F6506" s="16" t="str">
        <x:v>+60173862071</x:v>
      </x:c>
      <x:c r="G6506" s="16" t="str">
        <x:v>+60173862071</x:v>
      </x:c>
      <x:c r="H6506" s="16" t="str">
        <x:v>Excluded</x:v>
      </x:c>
      <x:c r="I6506" s="16" t="str">
        <x:v>Missing email</x:v>
      </x:c>
    </x:row>
    <x:row r="6507">
      <x:c r="A6507" s="16" t="n">
        <x:v>6504</x:v>
      </x:c>
      <x:c r="B6507" s="16" t="str">
        <x:v>Suliza Misyam</x:v>
      </x:c>
      <x:c r="C6507" s="16" t="str"/>
      <x:c r="D6507" s="16" t="str"/>
      <x:c r="E6507" s="16" t="str">
        <x:v>* myContacts</x:v>
      </x:c>
      <x:c r="F6507" s="16" t="str">
        <x:v>+60127156468</x:v>
      </x:c>
      <x:c r="G6507" s="16" t="str">
        <x:v>+60127156468</x:v>
      </x:c>
      <x:c r="H6507" s="16" t="str">
        <x:v>Excluded</x:v>
      </x:c>
      <x:c r="I6507" s="16" t="str">
        <x:v>Missing email</x:v>
      </x:c>
    </x:row>
    <x:row r="6508">
      <x:c r="A6508" s="16" t="n">
        <x:v>6505</x:v>
      </x:c>
      <x:c r="B6508" s="16" t="str">
        <x:v>Sumatboh Kkm</x:v>
      </x:c>
      <x:c r="C6508" s="16" t="str"/>
      <x:c r="D6508" s="16" t="str"/>
      <x:c r="E6508" s="16" t="str">
        <x:v>* myContacts</x:v>
      </x:c>
      <x:c r="F6508" s="16" t="str">
        <x:v>+60139533541</x:v>
      </x:c>
      <x:c r="G6508" s="16" t="str">
        <x:v>+60139533541</x:v>
      </x:c>
      <x:c r="H6508" s="16" t="str">
        <x:v>Excluded</x:v>
      </x:c>
      <x:c r="I6508" s="16" t="str">
        <x:v>Missing email</x:v>
      </x:c>
    </x:row>
    <x:row r="6509">
      <x:c r="A6509" s="16" t="n">
        <x:v>6506</x:v>
      </x:c>
      <x:c r="B6509" s="16" t="str">
        <x:v>Sumathy Ratnam AGP</x:v>
      </x:c>
      <x:c r="C6509" s="16" t="str"/>
      <x:c r="D6509" s="16" t="str"/>
      <x:c r="E6509" s="16" t="str">
        <x:v>* myContacts</x:v>
      </x:c>
      <x:c r="F6509" s="16" t="str">
        <x:v>+60 12-210 5336 | +60122105336</x:v>
      </x:c>
      <x:c r="G6509" s="16" t="str">
        <x:v>+60122105336 | +60122105336</x:v>
      </x:c>
      <x:c r="H6509" s="16" t="str">
        <x:v>Excluded</x:v>
      </x:c>
      <x:c r="I6509" s="16" t="str">
        <x:v>Missing email</x:v>
      </x:c>
    </x:row>
    <x:row r="6510">
      <x:c r="A6510" s="16" t="n">
        <x:v>6507</x:v>
      </x:c>
      <x:c r="B6510" s="16" t="str">
        <x:v>Sumi Phone Specialist</x:v>
      </x:c>
      <x:c r="C6510" s="16" t="str"/>
      <x:c r="D6510" s="16" t="str"/>
      <x:c r="E6510" s="16" t="str">
        <x:v>* myContacts</x:v>
      </x:c>
      <x:c r="F6510" s="16" t="str">
        <x:v>+60 19-493 8520 | +60194938520</x:v>
      </x:c>
      <x:c r="G6510" s="16" t="str">
        <x:v>+60194938520 | +60194938520</x:v>
      </x:c>
      <x:c r="H6510" s="16" t="str">
        <x:v>Excluded</x:v>
      </x:c>
      <x:c r="I6510" s="16" t="str">
        <x:v>Missing email</x:v>
      </x:c>
    </x:row>
    <x:row r="6511">
      <x:c r="A6511" s="16" t="n">
        <x:v>6508</x:v>
      </x:c>
      <x:c r="B6511" s="16" t="str">
        <x:v>Summit Capital</x:v>
      </x:c>
      <x:c r="C6511" s="16" t="str">
        <x:v>info.my@summitmy.net</x:v>
      </x:c>
      <x:c r="D6511" s="16" t="str">
        <x:v>info.my@summitmy.net</x:v>
      </x:c>
      <x:c r="E6511" s="16" t="str">
        <x:v>* myContacts</x:v>
      </x:c>
      <x:c r="F6511" s="16" t="str"/>
      <x:c r="G6511" s="16" t="str"/>
      <x:c r="H6511" s="16" t="str">
        <x:v>Eligible</x:v>
      </x:c>
      <x:c r="I6511" s="16" t="str"/>
    </x:row>
    <x:row r="6512">
      <x:c r="A6512" s="16" t="n">
        <x:v>6509</x:v>
      </x:c>
      <x:c r="B6512" s="16" t="str">
        <x:v>Sunny Verma</x:v>
      </x:c>
      <x:c r="C6512" s="16" t="str"/>
      <x:c r="D6512" s="16" t="str"/>
      <x:c r="E6512" s="16" t="str">
        <x:v>* myContacts</x:v>
      </x:c>
      <x:c r="F6512" s="16" t="str">
        <x:v>+919510953707</x:v>
      </x:c>
      <x:c r="G6512" s="16" t="str">
        <x:v>+919510953707</x:v>
      </x:c>
      <x:c r="H6512" s="16" t="str">
        <x:v>Excluded</x:v>
      </x:c>
      <x:c r="I6512" s="16" t="str">
        <x:v>Missing email</x:v>
      </x:c>
    </x:row>
    <x:row r="6513">
      <x:c r="A6513" s="16" t="n">
        <x:v>6510</x:v>
      </x:c>
      <x:c r="B6513" s="16" t="str">
        <x:v>Superb Mutiara Ville Cyberjaya</x:v>
      </x:c>
      <x:c r="C6513" s="16" t="str"/>
      <x:c r="D6513" s="16" t="str"/>
      <x:c r="E6513" s="16" t="str">
        <x:v>* myContacts</x:v>
      </x:c>
      <x:c r="F6513" s="16" t="str">
        <x:v>+60 17-643 0486 | +60176430486</x:v>
      </x:c>
      <x:c r="G6513" s="16" t="str">
        <x:v>+60176430486 | +60176430486</x:v>
      </x:c>
      <x:c r="H6513" s="16" t="str">
        <x:v>Excluded</x:v>
      </x:c>
      <x:c r="I6513" s="16" t="str">
        <x:v>Missing email</x:v>
      </x:c>
    </x:row>
    <x:row r="6514">
      <x:c r="A6514" s="16" t="n">
        <x:v>6511</x:v>
      </x:c>
      <x:c r="B6514" s="16" t="str">
        <x:v>Supinar Mohd</x:v>
      </x:c>
      <x:c r="C6514" s="16" t="str"/>
      <x:c r="D6514" s="16" t="str"/>
      <x:c r="E6514" s="16" t="str">
        <x:v>* myContacts</x:v>
      </x:c>
      <x:c r="F6514" s="16" t="str">
        <x:v>+60193723049</x:v>
      </x:c>
      <x:c r="G6514" s="16" t="str">
        <x:v>+60193723049</x:v>
      </x:c>
      <x:c r="H6514" s="16" t="str">
        <x:v>Excluded</x:v>
      </x:c>
      <x:c r="I6514" s="16" t="str">
        <x:v>Missing email</x:v>
      </x:c>
    </x:row>
    <x:row r="6515">
      <x:c r="A6515" s="16" t="n">
        <x:v>6512</x:v>
      </x:c>
      <x:c r="B6515" s="16" t="str">
        <x:v>Suppiah McCurry</x:v>
      </x:c>
      <x:c r="C6515" s="16" t="str"/>
      <x:c r="D6515" s="16" t="str"/>
      <x:c r="E6515" s="16" t="str">
        <x:v>* myContacts</x:v>
      </x:c>
      <x:c r="F6515" s="16" t="str">
        <x:v>0178702766 | +60178702766</x:v>
      </x:c>
      <x:c r="G6515" s="16" t="str">
        <x:v>+60178702766 | +60178702766</x:v>
      </x:c>
      <x:c r="H6515" s="16" t="str">
        <x:v>Excluded</x:v>
      </x:c>
      <x:c r="I6515" s="16" t="str">
        <x:v>Missing email</x:v>
      </x:c>
    </x:row>
    <x:row r="6516">
      <x:c r="A6516" s="16" t="n">
        <x:v>6513</x:v>
      </x:c>
      <x:c r="B6516" s="16" t="str">
        <x:v>Support Billpliz</x:v>
      </x:c>
      <x:c r="C6516" s="16" t="str"/>
      <x:c r="D6516" s="16" t="str"/>
      <x:c r="E6516" s="16" t="str">
        <x:v>* myContacts</x:v>
      </x:c>
      <x:c r="F6516" s="16" t="str">
        <x:v>0107989480 | +60107989480</x:v>
      </x:c>
      <x:c r="G6516" s="16" t="str">
        <x:v>+60107989480 | +60107989480</x:v>
      </x:c>
      <x:c r="H6516" s="16" t="str">
        <x:v>Excluded</x:v>
      </x:c>
      <x:c r="I6516" s="16" t="str">
        <x:v>Missing email</x:v>
      </x:c>
    </x:row>
    <x:row r="6517">
      <x:c r="A6517" s="16" t="n">
        <x:v>6514</x:v>
      </x:c>
      <x:c r="B6517" s="16" t="str">
        <x:v>Support Internet Webhosting</x:v>
      </x:c>
      <x:c r="C6517" s="16" t="str"/>
      <x:c r="D6517" s="16" t="str"/>
      <x:c r="E6517" s="16" t="str">
        <x:v>* myContacts</x:v>
      </x:c>
      <x:c r="F6517" s="16" t="str">
        <x:v>0320969121 | +60320969121</x:v>
      </x:c>
      <x:c r="G6517" s="16" t="str">
        <x:v>+60320969121 | +60320969121</x:v>
      </x:c>
      <x:c r="H6517" s="16" t="str">
        <x:v>Excluded</x:v>
      </x:c>
      <x:c r="I6517" s="16" t="str">
        <x:v>Missing email</x:v>
      </x:c>
    </x:row>
    <x:row r="6518">
      <x:c r="A6518" s="16" t="n">
        <x:v>6515</x:v>
      </x:c>
      <x:c r="B6518" s="16" t="str">
        <x:v>Support Onpay</x:v>
      </x:c>
      <x:c r="C6518" s="16" t="str"/>
      <x:c r="D6518" s="16" t="str"/>
      <x:c r="E6518" s="16" t="str">
        <x:v>* myContacts</x:v>
      </x:c>
      <x:c r="F6518" s="16" t="str">
        <x:v>012-655 5446 | +60126555446 | +60 12-377 4621</x:v>
      </x:c>
      <x:c r="G6518" s="16" t="str">
        <x:v>+60126555446 | +60126555446 | +60123774621</x:v>
      </x:c>
      <x:c r="H6518" s="16" t="str">
        <x:v>Excluded</x:v>
      </x:c>
      <x:c r="I6518" s="16" t="str">
        <x:v>Missing email</x:v>
      </x:c>
    </x:row>
    <x:row r="6519">
      <x:c r="A6519" s="16" t="n">
        <x:v>6516</x:v>
      </x:c>
      <x:c r="B6519" s="16" t="str">
        <x:v>Support Revo Hosting</x:v>
      </x:c>
      <x:c r="C6519" s="16" t="str"/>
      <x:c r="D6519" s="16" t="str"/>
      <x:c r="E6519" s="16" t="str">
        <x:v>* myContacts</x:v>
      </x:c>
      <x:c r="F6519" s="16" t="str">
        <x:v>+60 10-869 9938 | +60108699938</x:v>
      </x:c>
      <x:c r="G6519" s="16" t="str">
        <x:v>+60108699938 | +60108699938</x:v>
      </x:c>
      <x:c r="H6519" s="16" t="str">
        <x:v>Excluded</x:v>
      </x:c>
      <x:c r="I6519" s="16" t="str">
        <x:v>Missing email</x:v>
      </x:c>
    </x:row>
    <x:row r="6520">
      <x:c r="A6520" s="16" t="n">
        <x:v>6517</x:v>
      </x:c>
      <x:c r="B6520" s="16" t="str">
        <x:v>Suprianto Gheruk</x:v>
      </x:c>
      <x:c r="C6520" s="16" t="str"/>
      <x:c r="D6520" s="16" t="str"/>
      <x:c r="E6520" s="16" t="str">
        <x:v>* myContacts</x:v>
      </x:c>
      <x:c r="F6520" s="16" t="str">
        <x:v>+628998341019</x:v>
      </x:c>
      <x:c r="G6520" s="16" t="str">
        <x:v>+628998341019</x:v>
      </x:c>
      <x:c r="H6520" s="16" t="str">
        <x:v>Excluded</x:v>
      </x:c>
      <x:c r="I6520" s="16" t="str">
        <x:v>Missing email</x:v>
      </x:c>
    </x:row>
    <x:row r="6521">
      <x:c r="A6521" s="16" t="n">
        <x:v>6518</x:v>
      </x:c>
      <x:c r="B6521" s="16" t="str">
        <x:v>Suprise Delivery Elle Senrose</x:v>
      </x:c>
      <x:c r="C6521" s="16" t="str"/>
      <x:c r="D6521" s="16" t="str"/>
      <x:c r="E6521" s="16" t="str">
        <x:v>* myContacts</x:v>
      </x:c>
      <x:c r="F6521" s="16" t="str">
        <x:v>+60127578978</x:v>
      </x:c>
      <x:c r="G6521" s="16" t="str">
        <x:v>+60127578978</x:v>
      </x:c>
      <x:c r="H6521" s="16" t="str">
        <x:v>Excluded</x:v>
      </x:c>
      <x:c r="I6521" s="16" t="str">
        <x:v>Missing email</x:v>
      </x:c>
    </x:row>
    <x:row r="6522">
      <x:c r="A6522" s="16" t="n">
        <x:v>6519</x:v>
      </x:c>
      <x:c r="B6522" s="16" t="str">
        <x:v>Suraya Ali</x:v>
      </x:c>
      <x:c r="C6522" s="16" t="str"/>
      <x:c r="D6522" s="16" t="str"/>
      <x:c r="E6522" s="16" t="str">
        <x:v>* myContacts</x:v>
      </x:c>
      <x:c r="F6522" s="16" t="str">
        <x:v>+60 17-510 4515 | +60175104515</x:v>
      </x:c>
      <x:c r="G6522" s="16" t="str">
        <x:v>+60175104515 | +60175104515</x:v>
      </x:c>
      <x:c r="H6522" s="16" t="str">
        <x:v>Excluded</x:v>
      </x:c>
      <x:c r="I6522" s="16" t="str">
        <x:v>Missing email</x:v>
      </x:c>
    </x:row>
    <x:row r="6523">
      <x:c r="A6523" s="16" t="n">
        <x:v>6520</x:v>
      </x:c>
      <x:c r="B6523" s="16" t="str">
        <x:v>Suraya Mdec</x:v>
      </x:c>
      <x:c r="C6523" s="16" t="str"/>
      <x:c r="D6523" s="16" t="str"/>
      <x:c r="E6523" s="16" t="str">
        <x:v>* myContacts</x:v>
      </x:c>
      <x:c r="F6523" s="16" t="str">
        <x:v>+60 12-588 0515 | +60125880515</x:v>
      </x:c>
      <x:c r="G6523" s="16" t="str">
        <x:v>+60125880515 | +60125880515</x:v>
      </x:c>
      <x:c r="H6523" s="16" t="str">
        <x:v>Excluded</x:v>
      </x:c>
      <x:c r="I6523" s="16" t="str">
        <x:v>Missing email</x:v>
      </x:c>
    </x:row>
    <x:row r="6524">
      <x:c r="A6524" s="16" t="n">
        <x:v>6521</x:v>
      </x:c>
      <x:c r="B6524" s="16" t="str">
        <x:v>Suri HQC</x:v>
      </x:c>
      <x:c r="C6524" s="16" t="str"/>
      <x:c r="D6524" s="16" t="str"/>
      <x:c r="E6524" s="16" t="str">
        <x:v>* myContacts</x:v>
      </x:c>
      <x:c r="F6524" s="16" t="str">
        <x:v>+60 11-2708 7564 | +601127087564</x:v>
      </x:c>
      <x:c r="G6524" s="16" t="str">
        <x:v>+601127087564 | +601127087564</x:v>
      </x:c>
      <x:c r="H6524" s="16" t="str">
        <x:v>Excluded</x:v>
      </x:c>
      <x:c r="I6524" s="16" t="str">
        <x:v>Missing email</x:v>
      </x:c>
    </x:row>
    <x:row r="6525">
      <x:c r="A6525" s="16" t="n">
        <x:v>6522</x:v>
      </x:c>
      <x:c r="B6525" s="16" t="str">
        <x:v>Suri Ishak</x:v>
      </x:c>
      <x:c r="C6525" s="16" t="str"/>
      <x:c r="D6525" s="16" t="str"/>
      <x:c r="E6525" s="16" t="str">
        <x:v>* myContacts</x:v>
      </x:c>
      <x:c r="F6525" s="16" t="str">
        <x:v>+601116506469</x:v>
      </x:c>
      <x:c r="G6525" s="16" t="str">
        <x:v>+601116506469</x:v>
      </x:c>
      <x:c r="H6525" s="16" t="str">
        <x:v>Excluded</x:v>
      </x:c>
      <x:c r="I6525" s="16" t="str">
        <x:v>Missing email</x:v>
      </x:c>
    </x:row>
    <x:row r="6526">
      <x:c r="A6526" s="16" t="n">
        <x:v>6523</x:v>
      </x:c>
      <x:c r="B6526" s="16" t="str">
        <x:v>Suria Afendi</x:v>
      </x:c>
      <x:c r="C6526" s="16" t="str"/>
      <x:c r="D6526" s="16" t="str"/>
      <x:c r="E6526" s="16" t="str">
        <x:v>* myContacts</x:v>
      </x:c>
      <x:c r="F6526" s="16" t="str">
        <x:v>+60126310224</x:v>
      </x:c>
      <x:c r="G6526" s="16" t="str">
        <x:v>+60126310224</x:v>
      </x:c>
      <x:c r="H6526" s="16" t="str">
        <x:v>Excluded</x:v>
      </x:c>
      <x:c r="I6526" s="16" t="str">
        <x:v>Missing email</x:v>
      </x:c>
    </x:row>
    <x:row r="6527">
      <x:c r="A6527" s="16" t="n">
        <x:v>6524</x:v>
      </x:c>
      <x:c r="B6527" s="16" t="str">
        <x:v>Suria Shop</x:v>
      </x:c>
      <x:c r="C6527" s="16" t="str"/>
      <x:c r="D6527" s="16" t="str"/>
      <x:c r="E6527" s="16" t="str">
        <x:v>* myContacts</x:v>
      </x:c>
      <x:c r="F6527" s="16" t="str">
        <x:v>+60199514911</x:v>
      </x:c>
      <x:c r="G6527" s="16" t="str">
        <x:v>+60199514911</x:v>
      </x:c>
      <x:c r="H6527" s="16" t="str">
        <x:v>Excluded</x:v>
      </x:c>
      <x:c r="I6527" s="16" t="str">
        <x:v>Missing email</x:v>
      </x:c>
    </x:row>
    <x:row r="6528">
      <x:c r="A6528" s="16" t="n">
        <x:v>6525</x:v>
      </x:c>
      <x:c r="B6528" s="16" t="str">
        <x:v>Suria Warisan</x:v>
      </x:c>
      <x:c r="C6528" s="16" t="str"/>
      <x:c r="D6528" s="16" t="str"/>
      <x:c r="E6528" s="16" t="str">
        <x:v>* myContacts</x:v>
      </x:c>
      <x:c r="F6528" s="16" t="str">
        <x:v>+60194466506</x:v>
      </x:c>
      <x:c r="G6528" s="16" t="str">
        <x:v>+60194466506</x:v>
      </x:c>
      <x:c r="H6528" s="16" t="str">
        <x:v>Excluded</x:v>
      </x:c>
      <x:c r="I6528" s="16" t="str">
        <x:v>Missing email</x:v>
      </x:c>
    </x:row>
    <x:row r="6529">
      <x:c r="A6529" s="16" t="n">
        <x:v>6526</x:v>
      </x:c>
      <x:c r="B6529" s="16" t="str">
        <x:v>Suriana Ya</x:v>
      </x:c>
      <x:c r="C6529" s="16" t="str"/>
      <x:c r="D6529" s="16" t="str"/>
      <x:c r="E6529" s="16" t="str">
        <x:v>* myContacts</x:v>
      </x:c>
      <x:c r="F6529" s="16" t="str">
        <x:v>+60193174417</x:v>
      </x:c>
      <x:c r="G6529" s="16" t="str">
        <x:v>+60193174417</x:v>
      </x:c>
      <x:c r="H6529" s="16" t="str">
        <x:v>Excluded</x:v>
      </x:c>
      <x:c r="I6529" s="16" t="str">
        <x:v>Missing email</x:v>
      </x:c>
    </x:row>
    <x:row r="6530">
      <x:c r="A6530" s="16" t="n">
        <x:v>6527</x:v>
      </x:c>
      <x:c r="B6530" s="16" t="str">
        <x:v>Suriyani Hashim</x:v>
      </x:c>
      <x:c r="C6530" s="16" t="str"/>
      <x:c r="D6530" s="16" t="str"/>
      <x:c r="E6530" s="16" t="str">
        <x:v>* myContacts</x:v>
      </x:c>
      <x:c r="F6530" s="16" t="str">
        <x:v>+60179381092</x:v>
      </x:c>
      <x:c r="G6530" s="16" t="str">
        <x:v>+60179381092</x:v>
      </x:c>
      <x:c r="H6530" s="16" t="str">
        <x:v>Excluded</x:v>
      </x:c>
      <x:c r="I6530" s="16" t="str">
        <x:v>Missing email</x:v>
      </x:c>
    </x:row>
    <x:row r="6531">
      <x:c r="A6531" s="16" t="n">
        <x:v>6528</x:v>
      </x:c>
      <x:c r="B6531" s="16" t="str">
        <x:v>Surnan Yusoh</x:v>
      </x:c>
      <x:c r="C6531" s="16" t="str"/>
      <x:c r="D6531" s="16" t="str"/>
      <x:c r="E6531" s="16" t="str">
        <x:v>* myContacts</x:v>
      </x:c>
      <x:c r="F6531" s="16" t="str">
        <x:v>+66879676750</x:v>
      </x:c>
      <x:c r="G6531" s="16" t="str">
        <x:v>+66879676750</x:v>
      </x:c>
      <x:c r="H6531" s="16" t="str">
        <x:v>Excluded</x:v>
      </x:c>
      <x:c r="I6531" s="16" t="str">
        <x:v>Missing email</x:v>
      </x:c>
    </x:row>
    <x:row r="6532">
      <x:c r="A6532" s="16" t="n">
        <x:v>6529</x:v>
      </x:c>
      <x:c r="B6532" s="16" t="str">
        <x:v>Surya Dlombok</x:v>
      </x:c>
      <x:c r="C6532" s="16" t="str"/>
      <x:c r="D6532" s="16" t="str"/>
      <x:c r="E6532" s="16" t="str">
        <x:v>* myContacts</x:v>
      </x:c>
      <x:c r="F6532" s="16" t="str">
        <x:v>+6285337798686</x:v>
      </x:c>
      <x:c r="G6532" s="16" t="str">
        <x:v>+6285337798686</x:v>
      </x:c>
      <x:c r="H6532" s="16" t="str">
        <x:v>Excluded</x:v>
      </x:c>
      <x:c r="I6532" s="16" t="str">
        <x:v>Missing email</x:v>
      </x:c>
    </x:row>
    <x:row r="6533">
      <x:c r="A6533" s="16" t="n">
        <x:v>6530</x:v>
      </x:c>
      <x:c r="B6533" s="16" t="str">
        <x:v>Surya Zakaria AGP</x:v>
      </x:c>
      <x:c r="C6533" s="16" t="str"/>
      <x:c r="D6533" s="16" t="str"/>
      <x:c r="E6533" s="16" t="str">
        <x:v>* myContacts</x:v>
      </x:c>
      <x:c r="F6533" s="16" t="str">
        <x:v>+60 16-943 1377 | +60169431377</x:v>
      </x:c>
      <x:c r="G6533" s="16" t="str">
        <x:v>+60169431377 | +60169431377</x:v>
      </x:c>
      <x:c r="H6533" s="16" t="str">
        <x:v>Excluded</x:v>
      </x:c>
      <x:c r="I6533" s="16" t="str">
        <x:v>Missing email</x:v>
      </x:c>
    </x:row>
    <x:row r="6534">
      <x:c r="A6534" s="16" t="n">
        <x:v>6531</x:v>
      </x:c>
      <x:c r="B6534" s="16" t="str">
        <x:v>Susi Candra</x:v>
      </x:c>
      <x:c r="C6534" s="16" t="str"/>
      <x:c r="D6534" s="16" t="str"/>
      <x:c r="E6534" s="16" t="str">
        <x:v>* myContacts</x:v>
      </x:c>
      <x:c r="F6534" s="16" t="str">
        <x:v>+601115253324</x:v>
      </x:c>
      <x:c r="G6534" s="16" t="str">
        <x:v>+601115253324</x:v>
      </x:c>
      <x:c r="H6534" s="16" t="str">
        <x:v>Excluded</x:v>
      </x:c>
      <x:c r="I6534" s="16" t="str">
        <x:v>Missing email</x:v>
      </x:c>
    </x:row>
    <x:row r="6535">
      <x:c r="A6535" s="16" t="n">
        <x:v>6532</x:v>
      </x:c>
      <x:c r="B6535" s="16" t="str">
        <x:v>Susu Kambing Segar Sunnah</x:v>
      </x:c>
      <x:c r="C6535" s="16" t="str"/>
      <x:c r="D6535" s="16" t="str"/>
      <x:c r="E6535" s="16" t="str">
        <x:v>* myContacts</x:v>
      </x:c>
      <x:c r="F6535" s="16" t="str">
        <x:v>+60123379089</x:v>
      </x:c>
      <x:c r="G6535" s="16" t="str">
        <x:v>+60123379089</x:v>
      </x:c>
      <x:c r="H6535" s="16" t="str">
        <x:v>Excluded</x:v>
      </x:c>
      <x:c r="I6535" s="16" t="str">
        <x:v>Missing email</x:v>
      </x:c>
    </x:row>
    <x:row r="6536">
      <x:c r="A6536" s="16" t="n">
        <x:v>6533</x:v>
      </x:c>
      <x:c r="B6536" s="16" t="str">
        <x:v>Sutera Merah</x:v>
      </x:c>
      <x:c r="C6536" s="16" t="str"/>
      <x:c r="D6536" s="16" t="str"/>
      <x:c r="E6536" s="16" t="str">
        <x:v>* myContacts</x:v>
      </x:c>
      <x:c r="F6536" s="16" t="str">
        <x:v>+60195105597</x:v>
      </x:c>
      <x:c r="G6536" s="16" t="str">
        <x:v>+60195105597</x:v>
      </x:c>
      <x:c r="H6536" s="16" t="str">
        <x:v>Excluded</x:v>
      </x:c>
      <x:c r="I6536" s="16" t="str">
        <x:v>Missing email</x:v>
      </x:c>
    </x:row>
    <x:row r="6537">
      <x:c r="A6537" s="16" t="n">
        <x:v>6534</x:v>
      </x:c>
      <x:c r="B6537" s="16" t="str">
        <x:v>Suwaidah Idrus</x:v>
      </x:c>
      <x:c r="C6537" s="16" t="str"/>
      <x:c r="D6537" s="16" t="str"/>
      <x:c r="E6537" s="16" t="str">
        <x:v>* myContacts</x:v>
      </x:c>
      <x:c r="F6537" s="16" t="str">
        <x:v>+60134146493</x:v>
      </x:c>
      <x:c r="G6537" s="16" t="str">
        <x:v>+60134146493</x:v>
      </x:c>
      <x:c r="H6537" s="16" t="str">
        <x:v>Excluded</x:v>
      </x:c>
      <x:c r="I6537" s="16" t="str">
        <x:v>Missing email</x:v>
      </x:c>
    </x:row>
    <x:row r="6538">
      <x:c r="A6538" s="16" t="n">
        <x:v>6535</x:v>
      </x:c>
      <x:c r="B6538" s="16" t="str">
        <x:v>Suzaima Shamsuddin</x:v>
      </x:c>
      <x:c r="C6538" s="16" t="str"/>
      <x:c r="D6538" s="16" t="str"/>
      <x:c r="E6538" s="16" t="str">
        <x:v>* myContacts</x:v>
      </x:c>
      <x:c r="F6538" s="16" t="str">
        <x:v>+60139030466</x:v>
      </x:c>
      <x:c r="G6538" s="16" t="str">
        <x:v>+60139030466</x:v>
      </x:c>
      <x:c r="H6538" s="16" t="str">
        <x:v>Excluded</x:v>
      </x:c>
      <x:c r="I6538" s="16" t="str">
        <x:v>Missing email</x:v>
      </x:c>
    </x:row>
    <x:row r="6539">
      <x:c r="A6539" s="16" t="n">
        <x:v>6536</x:v>
      </x:c>
      <x:c r="B6539" s="16" t="str">
        <x:v>Suzana Auditor</x:v>
      </x:c>
      <x:c r="C6539" s="16" t="str"/>
      <x:c r="D6539" s="16" t="str"/>
      <x:c r="E6539" s="16" t="str">
        <x:v>* myContacts</x:v>
      </x:c>
      <x:c r="F6539" s="16" t="str">
        <x:v>011-1285 8486 | +601112858486</x:v>
      </x:c>
      <x:c r="G6539" s="16" t="str">
        <x:v>+601112858486 | +601112858486</x:v>
      </x:c>
      <x:c r="H6539" s="16" t="str">
        <x:v>Excluded</x:v>
      </x:c>
      <x:c r="I6539" s="16" t="str">
        <x:v>Missing email</x:v>
      </x:c>
    </x:row>
    <x:row r="6540">
      <x:c r="A6540" s="16" t="n">
        <x:v>6537</x:v>
      </x:c>
      <x:c r="B6540" s="16" t="str">
        <x:v>Suzana Salim</x:v>
      </x:c>
      <x:c r="C6540" s="16" t="str"/>
      <x:c r="D6540" s="16" t="str"/>
      <x:c r="E6540" s="16" t="str">
        <x:v>* myContacts</x:v>
      </x:c>
      <x:c r="F6540" s="16" t="str">
        <x:v>+60126946933</x:v>
      </x:c>
      <x:c r="G6540" s="16" t="str">
        <x:v>+60126946933</x:v>
      </x:c>
      <x:c r="H6540" s="16" t="str">
        <x:v>Excluded</x:v>
      </x:c>
      <x:c r="I6540" s="16" t="str">
        <x:v>Missing email</x:v>
      </x:c>
    </x:row>
    <x:row r="6541">
      <x:c r="A6541" s="16" t="n">
        <x:v>6538</x:v>
      </x:c>
      <x:c r="B6541" s="16" t="str">
        <x:v>Suzana Sukor</x:v>
      </x:c>
      <x:c r="C6541" s="16" t="str"/>
      <x:c r="D6541" s="16" t="str"/>
      <x:c r="E6541" s="16" t="str">
        <x:v>* myContacts</x:v>
      </x:c>
      <x:c r="F6541" s="16" t="str">
        <x:v>+60177139975</x:v>
      </x:c>
      <x:c r="G6541" s="16" t="str">
        <x:v>+60177139975</x:v>
      </x:c>
      <x:c r="H6541" s="16" t="str">
        <x:v>Excluded</x:v>
      </x:c>
      <x:c r="I6541" s="16" t="str">
        <x:v>Missing email</x:v>
      </x:c>
    </x:row>
    <x:row r="6542">
      <x:c r="A6542" s="16" t="n">
        <x:v>6539</x:v>
      </x:c>
      <x:c r="B6542" s="16" t="str">
        <x:v>Suzana Sulaiman</x:v>
      </x:c>
      <x:c r="C6542" s="16" t="str"/>
      <x:c r="D6542" s="16" t="str"/>
      <x:c r="E6542" s="16" t="str">
        <x:v>* myContacts</x:v>
      </x:c>
      <x:c r="F6542" s="16" t="str">
        <x:v>+60102901934</x:v>
      </x:c>
      <x:c r="G6542" s="16" t="str">
        <x:v>+60102901934</x:v>
      </x:c>
      <x:c r="H6542" s="16" t="str">
        <x:v>Excluded</x:v>
      </x:c>
      <x:c r="I6542" s="16" t="str">
        <x:v>Missing email</x:v>
      </x:c>
    </x:row>
    <x:row r="6543">
      <x:c r="A6543" s="16" t="n">
        <x:v>6540</x:v>
      </x:c>
      <x:c r="B6543" s="16" t="str">
        <x:v>Suzana Yaakub</x:v>
      </x:c>
      <x:c r="C6543" s="16" t="str"/>
      <x:c r="D6543" s="16" t="str"/>
      <x:c r="E6543" s="16" t="str">
        <x:v>* myContacts</x:v>
      </x:c>
      <x:c r="F6543" s="16" t="str">
        <x:v>+60198039681</x:v>
      </x:c>
      <x:c r="G6543" s="16" t="str">
        <x:v>+60198039681</x:v>
      </x:c>
      <x:c r="H6543" s="16" t="str">
        <x:v>Excluded</x:v>
      </x:c>
      <x:c r="I6543" s="16" t="str">
        <x:v>Missing email</x:v>
      </x:c>
    </x:row>
    <x:row r="6544">
      <x:c r="A6544" s="16" t="n">
        <x:v>6541</x:v>
      </x:c>
      <x:c r="B6544" s="16" t="str">
        <x:v>Suziatie Jukey</x:v>
      </x:c>
      <x:c r="C6544" s="16" t="str"/>
      <x:c r="D6544" s="16" t="str"/>
      <x:c r="E6544" s="16" t="str">
        <x:v>* myContacts</x:v>
      </x:c>
      <x:c r="F6544" s="16" t="str">
        <x:v>+60138886489</x:v>
      </x:c>
      <x:c r="G6544" s="16" t="str">
        <x:v>+60138886489</x:v>
      </x:c>
      <x:c r="H6544" s="16" t="str">
        <x:v>Excluded</x:v>
      </x:c>
      <x:c r="I6544" s="16" t="str">
        <x:v>Missing email</x:v>
      </x:c>
    </x:row>
    <x:row r="6545">
      <x:c r="A6545" s="16" t="n">
        <x:v>6542</x:v>
      </x:c>
      <x:c r="B6545" s="16" t="str">
        <x:v>Suzila Zakaria</x:v>
      </x:c>
      <x:c r="C6545" s="16" t="str"/>
      <x:c r="D6545" s="16" t="str"/>
      <x:c r="E6545" s="16" t="str">
        <x:v>* myContacts</x:v>
      </x:c>
      <x:c r="F6545" s="16" t="str">
        <x:v>+60165935184</x:v>
      </x:c>
      <x:c r="G6545" s="16" t="str">
        <x:v>+60165935184</x:v>
      </x:c>
      <x:c r="H6545" s="16" t="str">
        <x:v>Excluded</x:v>
      </x:c>
      <x:c r="I6545" s="16" t="str">
        <x:v>Missing email</x:v>
      </x:c>
    </x:row>
    <x:row r="6546">
      <x:c r="A6546" s="16" t="n">
        <x:v>6543</x:v>
      </x:c>
      <x:c r="B6546" s="16" t="str">
        <x:v>Suziyana Ahmad</x:v>
      </x:c>
      <x:c r="C6546" s="16" t="str"/>
      <x:c r="D6546" s="16" t="str"/>
      <x:c r="E6546" s="16" t="str">
        <x:v>* myContacts</x:v>
      </x:c>
      <x:c r="F6546" s="16" t="str">
        <x:v>+60126343732</x:v>
      </x:c>
      <x:c r="G6546" s="16" t="str">
        <x:v>+60126343732</x:v>
      </x:c>
      <x:c r="H6546" s="16" t="str">
        <x:v>Excluded</x:v>
      </x:c>
      <x:c r="I6546" s="16" t="str">
        <x:v>Missing email</x:v>
      </x:c>
    </x:row>
    <x:row r="6547">
      <x:c r="A6547" s="16" t="n">
        <x:v>6544</x:v>
      </x:c>
      <x:c r="B6547" s="16" t="str">
        <x:v>Suzliyana Mustapha</x:v>
      </x:c>
      <x:c r="C6547" s="16" t="str"/>
      <x:c r="D6547" s="16" t="str"/>
      <x:c r="E6547" s="16" t="str">
        <x:v>* myContacts</x:v>
      </x:c>
      <x:c r="F6547" s="16" t="str">
        <x:v>+60192342806</x:v>
      </x:c>
      <x:c r="G6547" s="16" t="str">
        <x:v>+60192342806</x:v>
      </x:c>
      <x:c r="H6547" s="16" t="str">
        <x:v>Excluded</x:v>
      </x:c>
      <x:c r="I6547" s="16" t="str">
        <x:v>Missing email</x:v>
      </x:c>
    </x:row>
    <x:row r="6548">
      <x:c r="A6548" s="16" t="n">
        <x:v>6545</x:v>
      </x:c>
      <x:c r="B6548" s="16" t="str">
        <x:v>Suzylawati Che Otheman</x:v>
      </x:c>
      <x:c r="C6548" s="16" t="str"/>
      <x:c r="D6548" s="16" t="str"/>
      <x:c r="E6548" s="16" t="str">
        <x:v>* myContacts</x:v>
      </x:c>
      <x:c r="F6548" s="16" t="str">
        <x:v>+60148421041</x:v>
      </x:c>
      <x:c r="G6548" s="16" t="str">
        <x:v>+60148421041</x:v>
      </x:c>
      <x:c r="H6548" s="16" t="str">
        <x:v>Excluded</x:v>
      </x:c>
      <x:c r="I6548" s="16" t="str">
        <x:v>Missing email</x:v>
      </x:c>
    </x:row>
    <x:row r="6549">
      <x:c r="A6549" s="16" t="n">
        <x:v>6546</x:v>
      </x:c>
      <x:c r="B6549" s="16" t="str">
        <x:v>Sweetie Blue Door Gift</x:v>
      </x:c>
      <x:c r="C6549" s="16" t="str"/>
      <x:c r="D6549" s="16" t="str"/>
      <x:c r="E6549" s="16" t="str">
        <x:v>* myContacts</x:v>
      </x:c>
      <x:c r="F6549" s="16" t="str">
        <x:v>+60195836958</x:v>
      </x:c>
      <x:c r="G6549" s="16" t="str">
        <x:v>+60195836958</x:v>
      </x:c>
      <x:c r="H6549" s="16" t="str">
        <x:v>Excluded</x:v>
      </x:c>
      <x:c r="I6549" s="16" t="str">
        <x:v>Missing email</x:v>
      </x:c>
    </x:row>
    <x:row r="6550">
      <x:c r="A6550" s="16" t="n">
        <x:v>6547</x:v>
      </x:c>
      <x:c r="B6550" s="16" t="str">
        <x:v>Sya Hid</x:v>
      </x:c>
      <x:c r="C6550" s="16" t="str"/>
      <x:c r="D6550" s="16" t="str"/>
      <x:c r="E6550" s="16" t="str">
        <x:v>* myContacts</x:v>
      </x:c>
      <x:c r="F6550" s="16" t="str">
        <x:v>+601116295672</x:v>
      </x:c>
      <x:c r="G6550" s="16" t="str">
        <x:v>+601116295672</x:v>
      </x:c>
      <x:c r="H6550" s="16" t="str">
        <x:v>Excluded</x:v>
      </x:c>
      <x:c r="I6550" s="16" t="str">
        <x:v>Missing email</x:v>
      </x:c>
    </x:row>
    <x:row r="6551">
      <x:c r="A6551" s="16" t="n">
        <x:v>6548</x:v>
      </x:c>
      <x:c r="B6551" s="16" t="str">
        <x:v>Syaeza Fendy</x:v>
      </x:c>
      <x:c r="C6551" s="16" t="str"/>
      <x:c r="D6551" s="16" t="str"/>
      <x:c r="E6551" s="16" t="str">
        <x:v>* myContacts</x:v>
      </x:c>
      <x:c r="F6551" s="16" t="str">
        <x:v>+60108908854</x:v>
      </x:c>
      <x:c r="G6551" s="16" t="str">
        <x:v>+60108908854</x:v>
      </x:c>
      <x:c r="H6551" s="16" t="str">
        <x:v>Excluded</x:v>
      </x:c>
      <x:c r="I6551" s="16" t="str">
        <x:v>Missing email</x:v>
      </x:c>
    </x:row>
    <x:row r="6552">
      <x:c r="A6552" s="16" t="n">
        <x:v>6549</x:v>
      </x:c>
      <x:c r="B6552" s="16" t="str">
        <x:v>Syaf Ultra Bro</x:v>
      </x:c>
      <x:c r="C6552" s="16" t="str"/>
      <x:c r="D6552" s="16" t="str"/>
      <x:c r="E6552" s="16" t="str">
        <x:v>* myContacts</x:v>
      </x:c>
      <x:c r="F6552" s="16" t="str">
        <x:v>0186628791 | +60186628791</x:v>
      </x:c>
      <x:c r="G6552" s="16" t="str">
        <x:v>+60186628791 | +60186628791</x:v>
      </x:c>
      <x:c r="H6552" s="16" t="str">
        <x:v>Excluded</x:v>
      </x:c>
      <x:c r="I6552" s="16" t="str">
        <x:v>Missing email</x:v>
      </x:c>
    </x:row>
    <x:row r="6553">
      <x:c r="A6553" s="16" t="n">
        <x:v>6550</x:v>
      </x:c>
      <x:c r="B6553" s="16" t="str">
        <x:v>SyafapOetry Njawanie</x:v>
      </x:c>
      <x:c r="C6553" s="16" t="str"/>
      <x:c r="D6553" s="16" t="str"/>
      <x:c r="E6553" s="16" t="str">
        <x:v>* myContacts</x:v>
      </x:c>
      <x:c r="F6553" s="16" t="str">
        <x:v>+60105411269</x:v>
      </x:c>
      <x:c r="G6553" s="16" t="str">
        <x:v>+60105411269</x:v>
      </x:c>
      <x:c r="H6553" s="16" t="str">
        <x:v>Excluded</x:v>
      </x:c>
      <x:c r="I6553" s="16" t="str">
        <x:v>Missing email</x:v>
      </x:c>
    </x:row>
    <x:row r="6554">
      <x:c r="A6554" s="16" t="n">
        <x:v>6551</x:v>
      </x:c>
      <x:c r="B6554" s="16" t="str">
        <x:v>SYAFI Eusahawan 2023</x:v>
      </x:c>
      <x:c r="C6554" s="16" t="str"/>
      <x:c r="D6554" s="16" t="str"/>
      <x:c r="E6554" s="16" t="str">
        <x:v>* myContacts</x:v>
      </x:c>
      <x:c r="F6554" s="16" t="str">
        <x:v>+60 16-964 2991 | +60169642991</x:v>
      </x:c>
      <x:c r="G6554" s="16" t="str">
        <x:v>+60169642991 | +60169642991</x:v>
      </x:c>
      <x:c r="H6554" s="16" t="str">
        <x:v>Excluded</x:v>
      </x:c>
      <x:c r="I6554" s="16" t="str">
        <x:v>Missing email</x:v>
      </x:c>
    </x:row>
    <x:row r="6555">
      <x:c r="A6555" s="16" t="n">
        <x:v>6552</x:v>
      </x:c>
      <x:c r="B6555" s="16" t="str">
        <x:v>Syafi'ain Rahiman</x:v>
      </x:c>
      <x:c r="C6555" s="16" t="str"/>
      <x:c r="D6555" s="16" t="str"/>
      <x:c r="E6555" s="16" t="str">
        <x:v>* myContacts</x:v>
      </x:c>
      <x:c r="F6555" s="16" t="str">
        <x:v>+60133254624</x:v>
      </x:c>
      <x:c r="G6555" s="16" t="str">
        <x:v>+60133254624</x:v>
      </x:c>
      <x:c r="H6555" s="16" t="str">
        <x:v>Excluded</x:v>
      </x:c>
      <x:c r="I6555" s="16" t="str">
        <x:v>Missing email</x:v>
      </x:c>
    </x:row>
    <x:row r="6556">
      <x:c r="A6556" s="16" t="n">
        <x:v>6553</x:v>
      </x:c>
      <x:c r="B6556" s="16" t="str">
        <x:v>Syafie Nassar II</x:v>
      </x:c>
      <x:c r="C6556" s="16" t="str"/>
      <x:c r="D6556" s="16" t="str"/>
      <x:c r="E6556" s="16" t="str">
        <x:v>* myContacts</x:v>
      </x:c>
      <x:c r="F6556" s="16" t="str">
        <x:v>+60138509090</x:v>
      </x:c>
      <x:c r="G6556" s="16" t="str">
        <x:v>+60138509090</x:v>
      </x:c>
      <x:c r="H6556" s="16" t="str">
        <x:v>Excluded</x:v>
      </x:c>
      <x:c r="I6556" s="16" t="str">
        <x:v>Missing email</x:v>
      </x:c>
    </x:row>
    <x:row r="6557">
      <x:c r="A6557" s="16" t="n">
        <x:v>6554</x:v>
      </x:c>
      <x:c r="B6557" s="16" t="str">
        <x:v>Syafik Sapik Ikwan</x:v>
      </x:c>
      <x:c r="C6557" s="16" t="str"/>
      <x:c r="D6557" s="16" t="str"/>
      <x:c r="E6557" s="16" t="str">
        <x:v>* myContacts</x:v>
      </x:c>
      <x:c r="F6557" s="16" t="str">
        <x:v>+601131712507</x:v>
      </x:c>
      <x:c r="G6557" s="16" t="str">
        <x:v>+601131712507</x:v>
      </x:c>
      <x:c r="H6557" s="16" t="str">
        <x:v>Excluded</x:v>
      </x:c>
      <x:c r="I6557" s="16" t="str">
        <x:v>Missing email</x:v>
      </x:c>
    </x:row>
    <x:row r="6558">
      <x:c r="A6558" s="16" t="n">
        <x:v>6555</x:v>
      </x:c>
      <x:c r="B6558" s="16" t="str">
        <x:v>Syafikah IShak</x:v>
      </x:c>
      <x:c r="C6558" s="16" t="str"/>
      <x:c r="D6558" s="16" t="str"/>
      <x:c r="E6558" s="16" t="str">
        <x:v>* myContacts</x:v>
      </x:c>
      <x:c r="F6558" s="16" t="str">
        <x:v>+601123894930</x:v>
      </x:c>
      <x:c r="G6558" s="16" t="str">
        <x:v>+601123894930</x:v>
      </x:c>
      <x:c r="H6558" s="16" t="str">
        <x:v>Excluded</x:v>
      </x:c>
      <x:c r="I6558" s="16" t="str">
        <x:v>Missing email</x:v>
      </x:c>
    </x:row>
    <x:row r="6559">
      <x:c r="A6559" s="16" t="n">
        <x:v>6556</x:v>
      </x:c>
      <x:c r="B6559" s="16" t="str">
        <x:v>Syafiq Afiq</x:v>
      </x:c>
      <x:c r="C6559" s="16" t="str"/>
      <x:c r="D6559" s="16" t="str"/>
      <x:c r="E6559" s="16" t="str">
        <x:v>* myContacts</x:v>
      </x:c>
      <x:c r="F6559" s="16" t="str">
        <x:v>+60145221309</x:v>
      </x:c>
      <x:c r="G6559" s="16" t="str">
        <x:v>+60145221309</x:v>
      </x:c>
      <x:c r="H6559" s="16" t="str">
        <x:v>Excluded</x:v>
      </x:c>
      <x:c r="I6559" s="16" t="str">
        <x:v>Missing email</x:v>
      </x:c>
    </x:row>
    <x:row r="6560">
      <x:c r="A6560" s="16" t="n">
        <x:v>6557</x:v>
      </x:c>
      <x:c r="B6560" s="16" t="str">
        <x:v>Syafiq boss ultra mahad</x:v>
      </x:c>
      <x:c r="C6560" s="16" t="str"/>
      <x:c r="D6560" s="16" t="str"/>
      <x:c r="E6560" s="16" t="str">
        <x:v>* myContacts</x:v>
      </x:c>
      <x:c r="F6560" s="16" t="str">
        <x:v>013-209 9344 | +60132099344</x:v>
      </x:c>
      <x:c r="G6560" s="16" t="str">
        <x:v>+60132099344 | +60132099344</x:v>
      </x:c>
      <x:c r="H6560" s="16" t="str">
        <x:v>Excluded</x:v>
      </x:c>
      <x:c r="I6560" s="16" t="str">
        <x:v>Missing email</x:v>
      </x:c>
    </x:row>
    <x:row r="6561">
      <x:c r="A6561" s="16" t="n">
        <x:v>6558</x:v>
      </x:c>
      <x:c r="B6561" s="16" t="str">
        <x:v>Syafiq HALUAN</x:v>
      </x:c>
      <x:c r="C6561" s="16" t="str"/>
      <x:c r="D6561" s="16" t="str"/>
      <x:c r="E6561" s="16" t="str">
        <x:v>* myContacts</x:v>
      </x:c>
      <x:c r="F6561" s="16" t="str">
        <x:v>+60 18-372 3473 | +60183723473</x:v>
      </x:c>
      <x:c r="G6561" s="16" t="str">
        <x:v>+60183723473 | +60183723473</x:v>
      </x:c>
      <x:c r="H6561" s="16" t="str">
        <x:v>Excluded</x:v>
      </x:c>
      <x:c r="I6561" s="16" t="str">
        <x:v>Missing email</x:v>
      </x:c>
    </x:row>
    <x:row r="6562">
      <x:c r="A6562" s="16" t="n">
        <x:v>6559</x:v>
      </x:c>
      <x:c r="B6562" s="16" t="str">
        <x:v>Syafiq Izwan</x:v>
      </x:c>
      <x:c r="C6562" s="16" t="str"/>
      <x:c r="D6562" s="16" t="str"/>
      <x:c r="E6562" s="16" t="str">
        <x:v>* myContacts</x:v>
      </x:c>
      <x:c r="F6562" s="16" t="str">
        <x:v>+601129607377</x:v>
      </x:c>
      <x:c r="G6562" s="16" t="str">
        <x:v>+601129607377</x:v>
      </x:c>
      <x:c r="H6562" s="16" t="str">
        <x:v>Excluded</x:v>
      </x:c>
      <x:c r="I6562" s="16" t="str">
        <x:v>Missing email</x:v>
      </x:c>
    </x:row>
    <x:row r="6563">
      <x:c r="A6563" s="16" t="n">
        <x:v>6560</x:v>
      </x:c>
      <x:c r="B6563" s="16" t="str">
        <x:v>syafiq mais selangor</x:v>
      </x:c>
      <x:c r="C6563" s="16" t="str"/>
      <x:c r="D6563" s="16" t="str"/>
      <x:c r="E6563" s="16" t="str">
        <x:v>* myContacts</x:v>
      </x:c>
      <x:c r="F6563" s="16" t="str">
        <x:v>+60 13-362 0108 | +60133620108</x:v>
      </x:c>
      <x:c r="G6563" s="16" t="str">
        <x:v>+60133620108 | +60133620108</x:v>
      </x:c>
      <x:c r="H6563" s="16" t="str">
        <x:v>Excluded</x:v>
      </x:c>
      <x:c r="I6563" s="16" t="str">
        <x:v>Missing email</x:v>
      </x:c>
    </x:row>
    <x:row r="6564">
      <x:c r="A6564" s="16" t="n">
        <x:v>6561</x:v>
      </x:c>
      <x:c r="B6564" s="16" t="str">
        <x:v>Syafiq Roslan</x:v>
      </x:c>
      <x:c r="C6564" s="16" t="str"/>
      <x:c r="D6564" s="16" t="str"/>
      <x:c r="E6564" s="16" t="str">
        <x:v>* myContacts</x:v>
      </x:c>
      <x:c r="F6564" s="16" t="str">
        <x:v>+60176300295</x:v>
      </x:c>
      <x:c r="G6564" s="16" t="str">
        <x:v>+60176300295</x:v>
      </x:c>
      <x:c r="H6564" s="16" t="str">
        <x:v>Excluded</x:v>
      </x:c>
      <x:c r="I6564" s="16" t="str">
        <x:v>Missing email</x:v>
      </x:c>
    </x:row>
    <x:row r="6565">
      <x:c r="A6565" s="16" t="n">
        <x:v>6562</x:v>
      </x:c>
      <x:c r="B6565" s="16" t="str">
        <x:v>Syafiq Synthesys</x:v>
      </x:c>
      <x:c r="C6565" s="16" t="str"/>
      <x:c r="D6565" s="16" t="str"/>
      <x:c r="E6565" s="16" t="str">
        <x:v>* myContacts</x:v>
      </x:c>
      <x:c r="F6565" s="16" t="str">
        <x:v>+60333922336</x:v>
      </x:c>
      <x:c r="G6565" s="16" t="str">
        <x:v>+60333922336</x:v>
      </x:c>
      <x:c r="H6565" s="16" t="str">
        <x:v>Excluded</x:v>
      </x:c>
      <x:c r="I6565" s="16" t="str">
        <x:v>Missing email</x:v>
      </x:c>
    </x:row>
    <x:row r="6566">
      <x:c r="A6566" s="16" t="n">
        <x:v>6563</x:v>
      </x:c>
      <x:c r="B6566" s="16" t="str">
        <x:v>Syafiq Vidmill</x:v>
      </x:c>
      <x:c r="C6566" s="16" t="str"/>
      <x:c r="D6566" s="16" t="str"/>
      <x:c r="E6566" s="16" t="str">
        <x:v>* myContacts</x:v>
      </x:c>
      <x:c r="F6566" s="16" t="str">
        <x:v>+60199566827</x:v>
      </x:c>
      <x:c r="G6566" s="16" t="str">
        <x:v>+60199566827</x:v>
      </x:c>
      <x:c r="H6566" s="16" t="str">
        <x:v>Excluded</x:v>
      </x:c>
      <x:c r="I6566" s="16" t="str">
        <x:v>Missing email</x:v>
      </x:c>
    </x:row>
    <x:row r="6567">
      <x:c r="A6567" s="16" t="n">
        <x:v>6564</x:v>
      </x:c>
      <x:c r="B6567" s="16" t="str">
        <x:v>Syafiq Zawawi</x:v>
      </x:c>
      <x:c r="C6567" s="16" t="str"/>
      <x:c r="D6567" s="16" t="str"/>
      <x:c r="E6567" s="16" t="str">
        <x:v>* myContacts</x:v>
      </x:c>
      <x:c r="F6567" s="16" t="str">
        <x:v>+60143442794</x:v>
      </x:c>
      <x:c r="G6567" s="16" t="str">
        <x:v>+60143442794</x:v>
      </x:c>
      <x:c r="H6567" s="16" t="str">
        <x:v>Excluded</x:v>
      </x:c>
      <x:c r="I6567" s="16" t="str">
        <x:v>Missing email</x:v>
      </x:c>
    </x:row>
    <x:row r="6568">
      <x:c r="A6568" s="16" t="n">
        <x:v>6565</x:v>
      </x:c>
      <x:c r="B6568" s="16" t="str">
        <x:v>Syafiqah Evieyy</x:v>
      </x:c>
      <x:c r="C6568" s="16" t="str"/>
      <x:c r="D6568" s="16" t="str"/>
      <x:c r="E6568" s="16" t="str">
        <x:v>* myContacts</x:v>
      </x:c>
      <x:c r="F6568" s="16" t="str">
        <x:v>+60122778291</x:v>
      </x:c>
      <x:c r="G6568" s="16" t="str">
        <x:v>+60122778291</x:v>
      </x:c>
      <x:c r="H6568" s="16" t="str">
        <x:v>Excluded</x:v>
      </x:c>
      <x:c r="I6568" s="16" t="str">
        <x:v>Missing email</x:v>
      </x:c>
    </x:row>
    <x:row r="6569">
      <x:c r="A6569" s="16" t="n">
        <x:v>6566</x:v>
      </x:c>
      <x:c r="B6569" s="16" t="str">
        <x:v>Syafiqah Fisioterapi Ipoh</x:v>
      </x:c>
      <x:c r="C6569" s="16" t="str"/>
      <x:c r="D6569" s="16" t="str"/>
      <x:c r="E6569" s="16" t="str">
        <x:v>* myContacts</x:v>
      </x:c>
      <x:c r="F6569" s="16" t="str">
        <x:v>0123078195 | +60123078195</x:v>
      </x:c>
      <x:c r="G6569" s="16" t="str">
        <x:v>+60123078195 | +60123078195</x:v>
      </x:c>
      <x:c r="H6569" s="16" t="str">
        <x:v>Excluded</x:v>
      </x:c>
      <x:c r="I6569" s="16" t="str">
        <x:v>Missing email</x:v>
      </x:c>
    </x:row>
    <x:row r="6570">
      <x:c r="A6570" s="16" t="n">
        <x:v>6567</x:v>
      </x:c>
      <x:c r="B6570" s="16" t="str">
        <x:v>SyAh Mi</x:v>
      </x:c>
      <x:c r="C6570" s="16" t="str"/>
      <x:c r="D6570" s="16" t="str"/>
      <x:c r="E6570" s="16" t="str">
        <x:v>* myContacts</x:v>
      </x:c>
      <x:c r="F6570" s="16" t="str">
        <x:v>+60139331910</x:v>
      </x:c>
      <x:c r="G6570" s="16" t="str">
        <x:v>+60139331910</x:v>
      </x:c>
      <x:c r="H6570" s="16" t="str">
        <x:v>Excluded</x:v>
      </x:c>
      <x:c r="I6570" s="16" t="str">
        <x:v>Missing email</x:v>
      </x:c>
    </x:row>
    <x:row r="6571">
      <x:c r="A6571" s="16" t="n">
        <x:v>6568</x:v>
      </x:c>
      <x:c r="B6571" s="16" t="str">
        <x:v>Syah Mohd Brand Consultant</x:v>
      </x:c>
      <x:c r="C6571" s="16" t="str"/>
      <x:c r="D6571" s="16" t="str"/>
      <x:c r="E6571" s="16" t="str">
        <x:v>* myContacts</x:v>
      </x:c>
      <x:c r="F6571" s="16" t="str">
        <x:v>019-618 1780 | +60196181780</x:v>
      </x:c>
      <x:c r="G6571" s="16" t="str">
        <x:v>+60196181780 | +60196181780</x:v>
      </x:c>
      <x:c r="H6571" s="16" t="str">
        <x:v>Excluded</x:v>
      </x:c>
      <x:c r="I6571" s="16" t="str">
        <x:v>Missing email</x:v>
      </x:c>
    </x:row>
    <x:row r="6572">
      <x:c r="A6572" s="16" t="n">
        <x:v>6569</x:v>
      </x:c>
      <x:c r="B6572" s="16" t="str">
        <x:v>Syahfiq Yusof</x:v>
      </x:c>
      <x:c r="C6572" s="16" t="str"/>
      <x:c r="D6572" s="16" t="str"/>
      <x:c r="E6572" s="16" t="str">
        <x:v>* myContacts</x:v>
      </x:c>
      <x:c r="F6572" s="16" t="str">
        <x:v>+60142181194</x:v>
      </x:c>
      <x:c r="G6572" s="16" t="str">
        <x:v>+60142181194</x:v>
      </x:c>
      <x:c r="H6572" s="16" t="str">
        <x:v>Excluded</x:v>
      </x:c>
      <x:c r="I6572" s="16" t="str">
        <x:v>Missing email</x:v>
      </x:c>
    </x:row>
    <x:row r="6573">
      <x:c r="A6573" s="16" t="n">
        <x:v>6570</x:v>
      </x:c>
      <x:c r="B6573" s="16" t="str">
        <x:v>Syahid Gmc</x:v>
      </x:c>
      <x:c r="C6573" s="16" t="str"/>
      <x:c r="D6573" s="16" t="str"/>
      <x:c r="E6573" s="16" t="str">
        <x:v>* myContacts</x:v>
      </x:c>
      <x:c r="F6573" s="16" t="str">
        <x:v>+60148191078</x:v>
      </x:c>
      <x:c r="G6573" s="16" t="str">
        <x:v>+60148191078</x:v>
      </x:c>
      <x:c r="H6573" s="16" t="str">
        <x:v>Excluded</x:v>
      </x:c>
      <x:c r="I6573" s="16" t="str">
        <x:v>Missing email</x:v>
      </x:c>
    </x:row>
    <x:row r="6574">
      <x:c r="A6574" s="16" t="n">
        <x:v>6571</x:v>
      </x:c>
      <x:c r="B6574" s="16" t="str">
        <x:v>Syahida Maaroff</x:v>
      </x:c>
      <x:c r="C6574" s="16" t="str"/>
      <x:c r="D6574" s="16" t="str"/>
      <x:c r="E6574" s="16" t="str">
        <x:v>* myContacts</x:v>
      </x:c>
      <x:c r="F6574" s="16" t="str">
        <x:v>+60139900615</x:v>
      </x:c>
      <x:c r="G6574" s="16" t="str">
        <x:v>+60139900615</x:v>
      </x:c>
      <x:c r="H6574" s="16" t="str">
        <x:v>Excluded</x:v>
      </x:c>
      <x:c r="I6574" s="16" t="str">
        <x:v>Missing email</x:v>
      </x:c>
    </x:row>
    <x:row r="6575">
      <x:c r="A6575" s="16" t="n">
        <x:v>6572</x:v>
      </x:c>
      <x:c r="B6575" s="16" t="str">
        <x:v>Syahida Perodua Syahida Perodua</x:v>
      </x:c>
      <x:c r="C6575" s="16" t="str"/>
      <x:c r="D6575" s="16" t="str"/>
      <x:c r="E6575" s="16" t="str">
        <x:v>* myContacts</x:v>
      </x:c>
      <x:c r="F6575" s="16" t="str">
        <x:v>+60195715170</x:v>
      </x:c>
      <x:c r="G6575" s="16" t="str">
        <x:v>+60195715170</x:v>
      </x:c>
      <x:c r="H6575" s="16" t="str">
        <x:v>Excluded</x:v>
      </x:c>
      <x:c r="I6575" s="16" t="str">
        <x:v>Missing email</x:v>
      </x:c>
    </x:row>
    <x:row r="6576">
      <x:c r="A6576" s="16" t="n">
        <x:v>6573</x:v>
      </x:c>
      <x:c r="B6576" s="16" t="str">
        <x:v>Syahiey Solyman</x:v>
      </x:c>
      <x:c r="C6576" s="16" t="str"/>
      <x:c r="D6576" s="16" t="str"/>
      <x:c r="E6576" s="16" t="str">
        <x:v>* myContacts</x:v>
      </x:c>
      <x:c r="F6576" s="16" t="str">
        <x:v>+601112533493</x:v>
      </x:c>
      <x:c r="G6576" s="16" t="str">
        <x:v>+601112533493</x:v>
      </x:c>
      <x:c r="H6576" s="16" t="str">
        <x:v>Excluded</x:v>
      </x:c>
      <x:c r="I6576" s="16" t="str">
        <x:v>Missing email</x:v>
      </x:c>
    </x:row>
    <x:row r="6577">
      <x:c r="A6577" s="16" t="n">
        <x:v>6574</x:v>
      </x:c>
      <x:c r="B6577" s="16" t="str">
        <x:v>syahir kawan zakwan</x:v>
      </x:c>
      <x:c r="C6577" s="16" t="str"/>
      <x:c r="D6577" s="16" t="str"/>
      <x:c r="E6577" s="16" t="str">
        <x:v>* myContacts</x:v>
      </x:c>
      <x:c r="F6577" s="16" t="str">
        <x:v>0103081577 | +60103081577</x:v>
      </x:c>
      <x:c r="G6577" s="16" t="str">
        <x:v>+60103081577 | +60103081577</x:v>
      </x:c>
      <x:c r="H6577" s="16" t="str">
        <x:v>Excluded</x:v>
      </x:c>
      <x:c r="I6577" s="16" t="str">
        <x:v>Missing email</x:v>
      </x:c>
    </x:row>
    <x:row r="6578">
      <x:c r="A6578" s="16" t="n">
        <x:v>6575</x:v>
      </x:c>
      <x:c r="B6578" s="16" t="str">
        <x:v>Syahirah Bakhri</x:v>
      </x:c>
      <x:c r="C6578" s="16" t="str"/>
      <x:c r="D6578" s="16" t="str"/>
      <x:c r="E6578" s="16" t="str">
        <x:v>* myContacts</x:v>
      </x:c>
      <x:c r="F6578" s="16" t="str">
        <x:v>+60132995236</x:v>
      </x:c>
      <x:c r="G6578" s="16" t="str">
        <x:v>+60132995236</x:v>
      </x:c>
      <x:c r="H6578" s="16" t="str">
        <x:v>Excluded</x:v>
      </x:c>
      <x:c r="I6578" s="16" t="str">
        <x:v>Missing email</x:v>
      </x:c>
    </x:row>
    <x:row r="6579">
      <x:c r="A6579" s="16" t="n">
        <x:v>6576</x:v>
      </x:c>
      <x:c r="B6579" s="16" t="str">
        <x:v>SyaHirah Fikri</x:v>
      </x:c>
      <x:c r="C6579" s="16" t="str"/>
      <x:c r="D6579" s="16" t="str"/>
      <x:c r="E6579" s="16" t="str">
        <x:v>* myContacts</x:v>
      </x:c>
      <x:c r="F6579" s="16" t="str">
        <x:v>+60139670702</x:v>
      </x:c>
      <x:c r="G6579" s="16" t="str">
        <x:v>+60139670702</x:v>
      </x:c>
      <x:c r="H6579" s="16" t="str">
        <x:v>Excluded</x:v>
      </x:c>
      <x:c r="I6579" s="16" t="str">
        <x:v>Missing email</x:v>
      </x:c>
    </x:row>
    <x:row r="6580">
      <x:c r="A6580" s="16" t="n">
        <x:v>6577</x:v>
      </x:c>
      <x:c r="B6580" s="16" t="str">
        <x:v>Syahirah Surani Student</x:v>
      </x:c>
      <x:c r="C6580" s="16" t="str">
        <x:v>surani.syahirah@gmail.com</x:v>
      </x:c>
      <x:c r="D6580" s="16" t="str">
        <x:v>surani.syahirah@gmail.com</x:v>
      </x:c>
      <x:c r="E6580" s="16" t="str">
        <x:v>* myContacts</x:v>
      </x:c>
      <x:c r="F6580" s="16" t="str">
        <x:v>601123519190 | +601123519190</x:v>
      </x:c>
      <x:c r="G6580" s="16" t="str">
        <x:v>+601123519190 | +601123519190</x:v>
      </x:c>
      <x:c r="H6580" s="16" t="str">
        <x:v>Eligible</x:v>
      </x:c>
      <x:c r="I6580" s="16" t="str"/>
    </x:row>
    <x:row r="6581">
      <x:c r="A6581" s="16" t="n">
        <x:v>6578</x:v>
      </x:c>
      <x:c r="B6581" s="16" t="str">
        <x:v>Syahman RJB</x:v>
      </x:c>
      <x:c r="C6581" s="16" t="str"/>
      <x:c r="D6581" s="16" t="str"/>
      <x:c r="E6581" s="16" t="str">
        <x:v>* myContacts</x:v>
      </x:c>
      <x:c r="F6581" s="16" t="str">
        <x:v>+60 19-201 0107 | +60192010107</x:v>
      </x:c>
      <x:c r="G6581" s="16" t="str">
        <x:v>+60192010107 | +60192010107</x:v>
      </x:c>
      <x:c r="H6581" s="16" t="str">
        <x:v>Excluded</x:v>
      </x:c>
      <x:c r="I6581" s="16" t="str">
        <x:v>Missing email</x:v>
      </x:c>
    </x:row>
    <x:row r="6582">
      <x:c r="A6582" s="16" t="n">
        <x:v>6579</x:v>
      </x:c>
      <x:c r="B6582" s="16" t="str">
        <x:v>Syahman Trainer</x:v>
      </x:c>
      <x:c r="C6582" s="16" t="str">
        <x:v>swastaglobal@gmail.com</x:v>
      </x:c>
      <x:c r="D6582" s="16" t="str">
        <x:v>swastaglobal@gmail.com</x:v>
      </x:c>
      <x:c r="E6582" s="16" t="str">
        <x:v>Trainer | * myContacts</x:v>
      </x:c>
      <x:c r="F6582" s="16" t="str">
        <x:v>011-2371 2935 | +601123712935</x:v>
      </x:c>
      <x:c r="G6582" s="16" t="str">
        <x:v>+601123712935 | +601123712935</x:v>
      </x:c>
      <x:c r="H6582" s="16" t="str">
        <x:v>Eligible</x:v>
      </x:c>
      <x:c r="I6582" s="16" t="str"/>
    </x:row>
    <x:row r="6583">
      <x:c r="A6583" s="16" t="n">
        <x:v>6580</x:v>
      </x:c>
      <x:c r="B6583" s="16" t="str">
        <x:v>Syahmi MyNeF</x:v>
      </x:c>
      <x:c r="C6583" s="16" t="str"/>
      <x:c r="D6583" s="16" t="str"/>
      <x:c r="E6583" s="16" t="str">
        <x:v>* myContacts</x:v>
      </x:c>
      <x:c r="F6583" s="16" t="str">
        <x:v>019-228 3132 | +60192283132</x:v>
      </x:c>
      <x:c r="G6583" s="16" t="str">
        <x:v>+60192283132 | +60192283132</x:v>
      </x:c>
      <x:c r="H6583" s="16" t="str">
        <x:v>Excluded</x:v>
      </x:c>
      <x:c r="I6583" s="16" t="str">
        <x:v>Missing email</x:v>
      </x:c>
    </x:row>
    <x:row r="6584">
      <x:c r="A6584" s="16" t="n">
        <x:v>6581</x:v>
      </x:c>
      <x:c r="B6584" s="16" t="str">
        <x:v>Syahmohdradzi Radzi</x:v>
      </x:c>
      <x:c r="C6584" s="16" t="str"/>
      <x:c r="D6584" s="16" t="str"/>
      <x:c r="E6584" s="16" t="str">
        <x:v>* myContacts</x:v>
      </x:c>
      <x:c r="F6584" s="16" t="str">
        <x:v>+60189775916</x:v>
      </x:c>
      <x:c r="G6584" s="16" t="str">
        <x:v>+60189775916</x:v>
      </x:c>
      <x:c r="H6584" s="16" t="str">
        <x:v>Excluded</x:v>
      </x:c>
      <x:c r="I6584" s="16" t="str">
        <x:v>Missing email</x:v>
      </x:c>
    </x:row>
    <x:row r="6585">
      <x:c r="A6585" s="16" t="n">
        <x:v>6582</x:v>
      </x:c>
      <x:c r="B6585" s="16" t="str">
        <x:v>Syahril Hj Kurdus Wcb</x:v>
      </x:c>
      <x:c r="C6585" s="16" t="str"/>
      <x:c r="D6585" s="16" t="str"/>
      <x:c r="E6585" s="16" t="str">
        <x:v>* myContacts</x:v>
      </x:c>
      <x:c r="F6585" s="16" t="str">
        <x:v>+60167577319</x:v>
      </x:c>
      <x:c r="G6585" s="16" t="str">
        <x:v>+60167577319</x:v>
      </x:c>
      <x:c r="H6585" s="16" t="str">
        <x:v>Excluded</x:v>
      </x:c>
      <x:c r="I6585" s="16" t="str">
        <x:v>Missing email</x:v>
      </x:c>
    </x:row>
    <x:row r="6586">
      <x:c r="A6586" s="16" t="n">
        <x:v>6583</x:v>
      </x:c>
      <x:c r="B6586" s="16" t="str">
        <x:v>Syahrul Syazmin</x:v>
      </x:c>
      <x:c r="C6586" s="16" t="str"/>
      <x:c r="D6586" s="16" t="str"/>
      <x:c r="E6586" s="16" t="str">
        <x:v>* myContacts</x:v>
      </x:c>
      <x:c r="F6586" s="16" t="str">
        <x:v>+601126569796</x:v>
      </x:c>
      <x:c r="G6586" s="16" t="str">
        <x:v>+601126569796</x:v>
      </x:c>
      <x:c r="H6586" s="16" t="str">
        <x:v>Excluded</x:v>
      </x:c>
      <x:c r="I6586" s="16" t="str">
        <x:v>Missing email</x:v>
      </x:c>
    </x:row>
    <x:row r="6587">
      <x:c r="A6587" s="16" t="n">
        <x:v>6584</x:v>
      </x:c>
      <x:c r="B6587" s="16" t="str">
        <x:v>syaidi it programer</x:v>
      </x:c>
      <x:c r="C6587" s="16" t="str"/>
      <x:c r="D6587" s="16" t="str"/>
      <x:c r="E6587" s="16" t="str">
        <x:v>* myContacts</x:v>
      </x:c>
      <x:c r="F6587" s="16" t="str">
        <x:v>017-238 8058 | +60172388058</x:v>
      </x:c>
      <x:c r="G6587" s="16" t="str">
        <x:v>+60172388058 | +60172388058</x:v>
      </x:c>
      <x:c r="H6587" s="16" t="str">
        <x:v>Excluded</x:v>
      </x:c>
      <x:c r="I6587" s="16" t="str">
        <x:v>Missing email</x:v>
      </x:c>
    </x:row>
    <x:row r="6588">
      <x:c r="A6588" s="16" t="n">
        <x:v>6585</x:v>
      </x:c>
      <x:c r="B6588" s="16" t="str">
        <x:v>Syaiful Naim BDA</x:v>
      </x:c>
      <x:c r="C6588" s="16" t="str">
        <x:v>syaiful@amilin.tv</x:v>
      </x:c>
      <x:c r="D6588" s="16" t="str">
        <x:v>syaiful@amilin.tv</x:v>
      </x:c>
      <x:c r="E6588" s="16" t="str">
        <x:v>* myContacts</x:v>
      </x:c>
      <x:c r="F6588" s="16" t="str">
        <x:v>019-637 0007 | +60196370007</x:v>
      </x:c>
      <x:c r="G6588" s="16" t="str">
        <x:v>+60196370007 | +60196370007</x:v>
      </x:c>
      <x:c r="H6588" s="16" t="str">
        <x:v>Eligible</x:v>
      </x:c>
      <x:c r="I6588" s="16" t="str"/>
    </x:row>
    <x:row r="6589">
      <x:c r="A6589" s="16" t="n">
        <x:v>6586</x:v>
      </x:c>
      <x:c r="B6589" s="16" t="str">
        <x:v>Syakila Amani</x:v>
      </x:c>
      <x:c r="C6589" s="16" t="str"/>
      <x:c r="D6589" s="16" t="str"/>
      <x:c r="E6589" s="16" t="str">
        <x:v>* myContacts</x:v>
      </x:c>
      <x:c r="F6589" s="16" t="str">
        <x:v>+60133697112</x:v>
      </x:c>
      <x:c r="G6589" s="16" t="str">
        <x:v>+60133697112</x:v>
      </x:c>
      <x:c r="H6589" s="16" t="str">
        <x:v>Excluded</x:v>
      </x:c>
      <x:c r="I6589" s="16" t="str">
        <x:v>Missing email</x:v>
      </x:c>
    </x:row>
    <x:row r="6590">
      <x:c r="A6590" s="16" t="n">
        <x:v>6587</x:v>
      </x:c>
      <x:c r="B6590" s="16" t="str">
        <x:v>Syakila Fadzil</x:v>
      </x:c>
      <x:c r="C6590" s="16" t="str"/>
      <x:c r="D6590" s="16" t="str"/>
      <x:c r="E6590" s="16" t="str">
        <x:v>* myContacts</x:v>
      </x:c>
      <x:c r="F6590" s="16" t="str">
        <x:v>+60183102857</x:v>
      </x:c>
      <x:c r="G6590" s="16" t="str">
        <x:v>+60183102857</x:v>
      </x:c>
      <x:c r="H6590" s="16" t="str">
        <x:v>Excluded</x:v>
      </x:c>
      <x:c r="I6590" s="16" t="str">
        <x:v>Missing email</x:v>
      </x:c>
    </x:row>
    <x:row r="6591">
      <x:c r="A6591" s="16" t="n">
        <x:v>6588</x:v>
      </x:c>
      <x:c r="B6591" s="16" t="str">
        <x:v>Syakira Ismail</x:v>
      </x:c>
      <x:c r="C6591" s="16" t="str"/>
      <x:c r="D6591" s="16" t="str"/>
      <x:c r="E6591" s="16" t="str">
        <x:v>* myContacts</x:v>
      </x:c>
      <x:c r="F6591" s="16" t="str">
        <x:v>+60149837190</x:v>
      </x:c>
      <x:c r="G6591" s="16" t="str">
        <x:v>+60149837190</x:v>
      </x:c>
      <x:c r="H6591" s="16" t="str">
        <x:v>Excluded</x:v>
      </x:c>
      <x:c r="I6591" s="16" t="str">
        <x:v>Missing email</x:v>
      </x:c>
    </x:row>
    <x:row r="6592">
      <x:c r="A6592" s="16" t="n">
        <x:v>6589</x:v>
      </x:c>
      <x:c r="B6592" s="16" t="str">
        <x:v>Syakirin Bin Ismail</x:v>
      </x:c>
      <x:c r="C6592" s="16" t="str"/>
      <x:c r="D6592" s="16" t="str"/>
      <x:c r="E6592" s="16" t="str">
        <x:v>* myContacts</x:v>
      </x:c>
      <x:c r="F6592" s="16" t="str">
        <x:v>+60136773008</x:v>
      </x:c>
      <x:c r="G6592" s="16" t="str">
        <x:v>+60136773008</x:v>
      </x:c>
      <x:c r="H6592" s="16" t="str">
        <x:v>Excluded</x:v>
      </x:c>
      <x:c r="I6592" s="16" t="str">
        <x:v>Missing email</x:v>
      </x:c>
    </x:row>
    <x:row r="6593">
      <x:c r="A6593" s="16" t="n">
        <x:v>6590</x:v>
      </x:c>
      <x:c r="B6593" s="16" t="str">
        <x:v>Syalafol Mohd</x:v>
      </x:c>
      <x:c r="C6593" s="16" t="str"/>
      <x:c r="D6593" s="16" t="str"/>
      <x:c r="E6593" s="16" t="str">
        <x:v>* myContacts</x:v>
      </x:c>
      <x:c r="F6593" s="16" t="str">
        <x:v>+60109073612</x:v>
      </x:c>
      <x:c r="G6593" s="16" t="str">
        <x:v>+60109073612</x:v>
      </x:c>
      <x:c r="H6593" s="16" t="str">
        <x:v>Excluded</x:v>
      </x:c>
      <x:c r="I6593" s="16" t="str">
        <x:v>Missing email</x:v>
      </x:c>
    </x:row>
    <x:row r="6594">
      <x:c r="A6594" s="16" t="n">
        <x:v>6591</x:v>
      </x:c>
      <x:c r="B6594" s="16" t="str">
        <x:v>Syam Swiss</x:v>
      </x:c>
      <x:c r="C6594" s="16" t="str"/>
      <x:c r="D6594" s="16" t="str"/>
      <x:c r="E6594" s="16" t="str">
        <x:v>* myContacts</x:v>
      </x:c>
      <x:c r="F6594" s="16" t="str">
        <x:v>+60183564348</x:v>
      </x:c>
      <x:c r="G6594" s="16" t="str">
        <x:v>+60183564348</x:v>
      </x:c>
      <x:c r="H6594" s="16" t="str">
        <x:v>Excluded</x:v>
      </x:c>
      <x:c r="I6594" s="16" t="str">
        <x:v>Missing email</x:v>
      </x:c>
    </x:row>
    <x:row r="6595">
      <x:c r="A6595" s="16" t="n">
        <x:v>6592</x:v>
      </x:c>
      <x:c r="B6595" s="16" t="str">
        <x:v>Syamhussin Syamct</x:v>
      </x:c>
      <x:c r="C6595" s="16" t="str"/>
      <x:c r="D6595" s="16" t="str"/>
      <x:c r="E6595" s="16" t="str">
        <x:v>* myContacts</x:v>
      </x:c>
      <x:c r="F6595" s="16" t="str">
        <x:v>+601115101799</x:v>
      </x:c>
      <x:c r="G6595" s="16" t="str">
        <x:v>+601115101799</x:v>
      </x:c>
      <x:c r="H6595" s="16" t="str">
        <x:v>Excluded</x:v>
      </x:c>
      <x:c r="I6595" s="16" t="str">
        <x:v>Missing email</x:v>
      </x:c>
    </x:row>
    <x:row r="6596">
      <x:c r="A6596" s="16" t="n">
        <x:v>6593</x:v>
      </x:c>
      <x:c r="B6596" s="16" t="str">
        <x:v>Syamil Syam</x:v>
      </x:c>
      <x:c r="C6596" s="16" t="str"/>
      <x:c r="D6596" s="16" t="str"/>
      <x:c r="E6596" s="16" t="str">
        <x:v>* myContacts</x:v>
      </x:c>
      <x:c r="F6596" s="16" t="str">
        <x:v>+60124165799</x:v>
      </x:c>
      <x:c r="G6596" s="16" t="str">
        <x:v>+60124165799</x:v>
      </x:c>
      <x:c r="H6596" s="16" t="str">
        <x:v>Excluded</x:v>
      </x:c>
      <x:c r="I6596" s="16" t="str">
        <x:v>Missing email</x:v>
      </x:c>
    </x:row>
    <x:row r="6597">
      <x:c r="A6597" s="16" t="n">
        <x:v>6594</x:v>
      </x:c>
      <x:c r="B6597" s="16" t="str">
        <x:v>Syamim Shukor</x:v>
      </x:c>
      <x:c r="C6597" s="16" t="str"/>
      <x:c r="D6597" s="16" t="str"/>
      <x:c r="E6597" s="16" t="str">
        <x:v>* myContacts</x:v>
      </x:c>
      <x:c r="F6597" s="16" t="str">
        <x:v>+60133100320</x:v>
      </x:c>
      <x:c r="G6597" s="16" t="str">
        <x:v>+60133100320</x:v>
      </x:c>
      <x:c r="H6597" s="16" t="str">
        <x:v>Excluded</x:v>
      </x:c>
      <x:c r="I6597" s="16" t="str">
        <x:v>Missing email</x:v>
      </x:c>
    </x:row>
    <x:row r="6598">
      <x:c r="A6598" s="16" t="n">
        <x:v>6595</x:v>
      </x:c>
      <x:c r="B6598" s="16" t="str">
        <x:v>Syamira Suffri JAIS</x:v>
      </x:c>
      <x:c r="C6598" s="16" t="str"/>
      <x:c r="D6598" s="16" t="str"/>
      <x:c r="E6598" s="16" t="str">
        <x:v>* myContacts</x:v>
      </x:c>
      <x:c r="F6598" s="16" t="str">
        <x:v>+60 18-321 4927 | +60183214927</x:v>
      </x:c>
      <x:c r="G6598" s="16" t="str">
        <x:v>+60183214927 | +60183214927</x:v>
      </x:c>
      <x:c r="H6598" s="16" t="str">
        <x:v>Excluded</x:v>
      </x:c>
      <x:c r="I6598" s="16" t="str">
        <x:v>Missing email</x:v>
      </x:c>
    </x:row>
    <x:row r="6599">
      <x:c r="A6599" s="16" t="n">
        <x:v>6596</x:v>
      </x:c>
      <x:c r="B6599" s="16" t="str">
        <x:v>Syamiza Ahmad</x:v>
      </x:c>
      <x:c r="C6599" s="16" t="str"/>
      <x:c r="D6599" s="16" t="str"/>
      <x:c r="E6599" s="16" t="str">
        <x:v>* myContacts</x:v>
      </x:c>
      <x:c r="F6599" s="16" t="str">
        <x:v>+60194492198</x:v>
      </x:c>
      <x:c r="G6599" s="16" t="str">
        <x:v>+60194492198</x:v>
      </x:c>
      <x:c r="H6599" s="16" t="str">
        <x:v>Excluded</x:v>
      </x:c>
      <x:c r="I6599" s="16" t="str">
        <x:v>Missing email</x:v>
      </x:c>
    </x:row>
    <x:row r="6600">
      <x:c r="A6600" s="16" t="n">
        <x:v>6597</x:v>
      </x:c>
      <x:c r="B6600" s="16" t="str">
        <x:v>Syanon Kumoten</x:v>
      </x:c>
      <x:c r="C6600" s="16" t="str"/>
      <x:c r="D6600" s="16" t="str"/>
      <x:c r="E6600" s="16" t="str">
        <x:v>* myContacts</x:v>
      </x:c>
      <x:c r="F6600" s="16" t="str">
        <x:v>+60 17-325 7931 | +60173257931</x:v>
      </x:c>
      <x:c r="G6600" s="16" t="str">
        <x:v>+60173257931 | +60173257931</x:v>
      </x:c>
      <x:c r="H6600" s="16" t="str">
        <x:v>Excluded</x:v>
      </x:c>
      <x:c r="I6600" s="16" t="str">
        <x:v>Missing email</x:v>
      </x:c>
    </x:row>
    <x:row r="6601">
      <x:c r="A6601" s="16" t="n">
        <x:v>6598</x:v>
      </x:c>
      <x:c r="B6601" s="16" t="str">
        <x:v>Syarfiqar Amirah Zaini</x:v>
      </x:c>
      <x:c r="C6601" s="16" t="str"/>
      <x:c r="D6601" s="16" t="str"/>
      <x:c r="E6601" s="16" t="str">
        <x:v>* myContacts</x:v>
      </x:c>
      <x:c r="F6601" s="16" t="str">
        <x:v>+60193176065</x:v>
      </x:c>
      <x:c r="G6601" s="16" t="str">
        <x:v>+60193176065</x:v>
      </x:c>
      <x:c r="H6601" s="16" t="str">
        <x:v>Excluded</x:v>
      </x:c>
      <x:c r="I6601" s="16" t="str">
        <x:v>Missing email</x:v>
      </x:c>
    </x:row>
    <x:row r="6602">
      <x:c r="A6602" s="16" t="n">
        <x:v>6599</x:v>
      </x:c>
      <x:c r="B6602" s="16" t="str">
        <x:v>Syarif Muhammad Abdelkhan</x:v>
      </x:c>
      <x:c r="C6602" s="16" t="str"/>
      <x:c r="D6602" s="16" t="str"/>
      <x:c r="E6602" s="16" t="str">
        <x:v>* myContacts</x:v>
      </x:c>
      <x:c r="F6602" s="16" t="str">
        <x:v>+601114026396</x:v>
      </x:c>
      <x:c r="G6602" s="16" t="str">
        <x:v>+601114026396</x:v>
      </x:c>
      <x:c r="H6602" s="16" t="str">
        <x:v>Excluded</x:v>
      </x:c>
      <x:c r="I6602" s="16" t="str">
        <x:v>Missing email</x:v>
      </x:c>
    </x:row>
    <x:row r="6603">
      <x:c r="A6603" s="16" t="n">
        <x:v>6600</x:v>
      </x:c>
      <x:c r="B6603" s="16" t="str">
        <x:v>Syarizul Mohamad Ihsan Zulkaffly</x:v>
      </x:c>
      <x:c r="C6603" s="16" t="str"/>
      <x:c r="D6603" s="16" t="str"/>
      <x:c r="E6603" s="16" t="str">
        <x:v>* myContacts</x:v>
      </x:c>
      <x:c r="F6603" s="16" t="str">
        <x:v>+60193503642</x:v>
      </x:c>
      <x:c r="G6603" s="16" t="str">
        <x:v>+60193503642</x:v>
      </x:c>
      <x:c r="H6603" s="16" t="str">
        <x:v>Excluded</x:v>
      </x:c>
      <x:c r="I6603" s="16" t="str">
        <x:v>Missing email</x:v>
      </x:c>
    </x:row>
    <x:row r="6604">
      <x:c r="A6604" s="16" t="n">
        <x:v>6601</x:v>
      </x:c>
      <x:c r="B6604" s="16" t="str">
        <x:v>Syawal Evoing</x:v>
      </x:c>
      <x:c r="C6604" s="16" t="str"/>
      <x:c r="D6604" s="16" t="str"/>
      <x:c r="E6604" s="16" t="str">
        <x:v>* myContacts</x:v>
      </x:c>
      <x:c r="F6604" s="16" t="str">
        <x:v>+60 12-790 7477 | +60127907477</x:v>
      </x:c>
      <x:c r="G6604" s="16" t="str">
        <x:v>+60127907477 | +60127907477</x:v>
      </x:c>
      <x:c r="H6604" s="16" t="str">
        <x:v>Excluded</x:v>
      </x:c>
      <x:c r="I6604" s="16" t="str">
        <x:v>Missing email</x:v>
      </x:c>
    </x:row>
    <x:row r="6605">
      <x:c r="A6605" s="16" t="n">
        <x:v>6602</x:v>
      </x:c>
      <x:c r="B6605" s="16" t="str">
        <x:v>Syawalieza Fathia</x:v>
      </x:c>
      <x:c r="C6605" s="16" t="str"/>
      <x:c r="D6605" s="16" t="str"/>
      <x:c r="E6605" s="16" t="str">
        <x:v>* myContacts</x:v>
      </x:c>
      <x:c r="F6605" s="16" t="str">
        <x:v>+601131209650</x:v>
      </x:c>
      <x:c r="G6605" s="16" t="str">
        <x:v>+601131209650</x:v>
      </x:c>
      <x:c r="H6605" s="16" t="str">
        <x:v>Excluded</x:v>
      </x:c>
      <x:c r="I6605" s="16" t="str">
        <x:v>Missing email</x:v>
      </x:c>
    </x:row>
    <x:row r="6606">
      <x:c r="A6606" s="16" t="n">
        <x:v>6603</x:v>
      </x:c>
      <x:c r="B6606" s="16" t="str">
        <x:v>Syaz Ika</x:v>
      </x:c>
      <x:c r="C6606" s="16" t="str"/>
      <x:c r="D6606" s="16" t="str"/>
      <x:c r="E6606" s="16" t="str">
        <x:v>* myContacts</x:v>
      </x:c>
      <x:c r="F6606" s="16" t="str">
        <x:v>+60142659809</x:v>
      </x:c>
      <x:c r="G6606" s="16" t="str">
        <x:v>+60142659809</x:v>
      </x:c>
      <x:c r="H6606" s="16" t="str">
        <x:v>Excluded</x:v>
      </x:c>
      <x:c r="I6606" s="16" t="str">
        <x:v>Missing email</x:v>
      </x:c>
    </x:row>
    <x:row r="6607">
      <x:c r="A6607" s="16" t="n">
        <x:v>6604</x:v>
      </x:c>
      <x:c r="B6607" s="16" t="str">
        <x:v>Syaz Khalil Finanshere</x:v>
      </x:c>
      <x:c r="C6607" s="16" t="str">
        <x:v>syazali@gmail.com</x:v>
      </x:c>
      <x:c r="D6607" s="16" t="str">
        <x:v>syazali@gmail.com</x:v>
      </x:c>
      <x:c r="E6607" s="16" t="str">
        <x:v>* myContacts</x:v>
      </x:c>
      <x:c r="F6607" s="16" t="str">
        <x:v>+60124527969</x:v>
      </x:c>
      <x:c r="G6607" s="16" t="str">
        <x:v>+60124527969</x:v>
      </x:c>
      <x:c r="H6607" s="16" t="str">
        <x:v>Eligible</x:v>
      </x:c>
      <x:c r="I6607" s="16" t="str"/>
    </x:row>
    <x:row r="6608">
      <x:c r="A6608" s="16" t="n">
        <x:v>6605</x:v>
      </x:c>
      <x:c r="B6608" s="16" t="str">
        <x:v>Syazana Sulaiman</x:v>
      </x:c>
      <x:c r="C6608" s="16" t="str"/>
      <x:c r="D6608" s="16" t="str"/>
      <x:c r="E6608" s="16" t="str">
        <x:v>* myContacts</x:v>
      </x:c>
      <x:c r="F6608" s="16" t="str">
        <x:v>+60104444444</x:v>
      </x:c>
      <x:c r="G6608" s="16" t="str">
        <x:v>+60104444444</x:v>
      </x:c>
      <x:c r="H6608" s="16" t="str">
        <x:v>Excluded</x:v>
      </x:c>
      <x:c r="I6608" s="16" t="str">
        <x:v>Missing email</x:v>
      </x:c>
    </x:row>
    <x:row r="6609">
      <x:c r="A6609" s="16" t="n">
        <x:v>6606</x:v>
      </x:c>
      <x:c r="B6609" s="16" t="str">
        <x:v>Syazrina Shazali</x:v>
      </x:c>
      <x:c r="C6609" s="16" t="str"/>
      <x:c r="D6609" s="16" t="str"/>
      <x:c r="E6609" s="16" t="str">
        <x:v>* myContacts</x:v>
      </x:c>
      <x:c r="F6609" s="16" t="str">
        <x:v>+60192595414</x:v>
      </x:c>
      <x:c r="G6609" s="16" t="str">
        <x:v>+60192595414</x:v>
      </x:c>
      <x:c r="H6609" s="16" t="str">
        <x:v>Excluded</x:v>
      </x:c>
      <x:c r="I6609" s="16" t="str">
        <x:v>Missing email</x:v>
      </x:c>
    </x:row>
    <x:row r="6610">
      <x:c r="A6610" s="16" t="n">
        <x:v>6607</x:v>
      </x:c>
      <x:c r="B6610" s="16" t="str">
        <x:v>Syazwan Ramlee</x:v>
      </x:c>
      <x:c r="C6610" s="16" t="str"/>
      <x:c r="D6610" s="16" t="str"/>
      <x:c r="E6610" s="16" t="str">
        <x:v>* myContacts</x:v>
      </x:c>
      <x:c r="F6610" s="16" t="str">
        <x:v>+60 17-649 1442 | +60176491442</x:v>
      </x:c>
      <x:c r="G6610" s="16" t="str">
        <x:v>+60176491442 | +60176491442</x:v>
      </x:c>
      <x:c r="H6610" s="16" t="str">
        <x:v>Excluded</x:v>
      </x:c>
      <x:c r="I6610" s="16" t="str">
        <x:v>Missing email</x:v>
      </x:c>
    </x:row>
    <x:row r="6611">
      <x:c r="A6611" s="16" t="n">
        <x:v>6608</x:v>
      </x:c>
      <x:c r="B6611" s="16" t="str">
        <x:v>Syazwana Sarian</x:v>
      </x:c>
      <x:c r="C6611" s="16" t="str"/>
      <x:c r="D6611" s="16" t="str"/>
      <x:c r="E6611" s="16" t="str">
        <x:v>* myContacts</x:v>
      </x:c>
      <x:c r="F6611" s="16" t="str">
        <x:v>+60102404945</x:v>
      </x:c>
      <x:c r="G6611" s="16" t="str">
        <x:v>+60102404945</x:v>
      </x:c>
      <x:c r="H6611" s="16" t="str">
        <x:v>Excluded</x:v>
      </x:c>
      <x:c r="I6611" s="16" t="str">
        <x:v>Missing email</x:v>
      </x:c>
    </x:row>
    <x:row r="6612">
      <x:c r="A6612" s="16" t="n">
        <x:v>6609</x:v>
      </x:c>
      <x:c r="B6612" s="16" t="str">
        <x:v>Syazwani Shabudin</x:v>
      </x:c>
      <x:c r="C6612" s="16" t="str"/>
      <x:c r="D6612" s="16" t="str"/>
      <x:c r="E6612" s="16" t="str">
        <x:v>* myContacts</x:v>
      </x:c>
      <x:c r="F6612" s="16" t="str">
        <x:v>+60192822178</x:v>
      </x:c>
      <x:c r="G6612" s="16" t="str">
        <x:v>+60192822178</x:v>
      </x:c>
      <x:c r="H6612" s="16" t="str">
        <x:v>Excluded</x:v>
      </x:c>
      <x:c r="I6612" s="16" t="str">
        <x:v>Missing email</x:v>
      </x:c>
    </x:row>
    <x:row r="6613">
      <x:c r="A6613" s="16" t="n">
        <x:v>6610</x:v>
      </x:c>
      <x:c r="B6613" s="16" t="str">
        <x:v>Syazwani Shamsuddin</x:v>
      </x:c>
      <x:c r="C6613" s="16" t="str"/>
      <x:c r="D6613" s="16" t="str"/>
      <x:c r="E6613" s="16" t="str">
        <x:v>* myContacts</x:v>
      </x:c>
      <x:c r="F6613" s="16" t="str">
        <x:v>+60128379574</x:v>
      </x:c>
      <x:c r="G6613" s="16" t="str">
        <x:v>+60128379574</x:v>
      </x:c>
      <x:c r="H6613" s="16" t="str">
        <x:v>Excluded</x:v>
      </x:c>
      <x:c r="I6613" s="16" t="str">
        <x:v>Missing email</x:v>
      </x:c>
    </x:row>
    <x:row r="6614">
      <x:c r="A6614" s="16" t="n">
        <x:v>6611</x:v>
      </x:c>
      <x:c r="B6614" s="16" t="str">
        <x:v>Syazwanie Jailani</x:v>
      </x:c>
      <x:c r="C6614" s="16" t="str"/>
      <x:c r="D6614" s="16" t="str"/>
      <x:c r="E6614" s="16" t="str">
        <x:v>* myContacts</x:v>
      </x:c>
      <x:c r="F6614" s="16" t="str">
        <x:v>+60134774504</x:v>
      </x:c>
      <x:c r="G6614" s="16" t="str">
        <x:v>+60134774504</x:v>
      </x:c>
      <x:c r="H6614" s="16" t="str">
        <x:v>Excluded</x:v>
      </x:c>
      <x:c r="I6614" s="16" t="str">
        <x:v>Missing email</x:v>
      </x:c>
    </x:row>
    <x:row r="6615">
      <x:c r="A6615" s="16" t="n">
        <x:v>6612</x:v>
      </x:c>
      <x:c r="B6615" s="16" t="str">
        <x:v>Syazwanie Shaari</x:v>
      </x:c>
      <x:c r="C6615" s="16" t="str"/>
      <x:c r="D6615" s="16" t="str"/>
      <x:c r="E6615" s="16" t="str">
        <x:v>* myContacts</x:v>
      </x:c>
      <x:c r="F6615" s="16" t="str">
        <x:v>+60184643523</x:v>
      </x:c>
      <x:c r="G6615" s="16" t="str">
        <x:v>+60184643523</x:v>
      </x:c>
      <x:c r="H6615" s="16" t="str">
        <x:v>Excluded</x:v>
      </x:c>
      <x:c r="I6615" s="16" t="str">
        <x:v>Missing email</x:v>
      </x:c>
    </x:row>
    <x:row r="6616">
      <x:c r="A6616" s="16" t="n">
        <x:v>6613</x:v>
      </x:c>
      <x:c r="B6616" s="16" t="str">
        <x:v>Syed</x:v>
      </x:c>
      <x:c r="C6616" s="16" t="str"/>
      <x:c r="D6616" s="16" t="str"/>
      <x:c r="E6616" s="16" t="str">
        <x:v>* myContacts</x:v>
      </x:c>
      <x:c r="F6616" s="16" t="str">
        <x:v>+60124229326</x:v>
      </x:c>
      <x:c r="G6616" s="16" t="str">
        <x:v>+60124229326</x:v>
      </x:c>
      <x:c r="H6616" s="16" t="str">
        <x:v>Excluded</x:v>
      </x:c>
      <x:c r="I6616" s="16" t="str">
        <x:v>Missing email</x:v>
      </x:c>
    </x:row>
    <x:row r="6617">
      <x:c r="A6617" s="16" t="n">
        <x:v>6614</x:v>
      </x:c>
      <x:c r="B6617" s="16" t="str">
        <x:v>Syed Bahri Master Blaster</x:v>
      </x:c>
      <x:c r="C6617" s="16" t="str"/>
      <x:c r="D6617" s="16" t="str"/>
      <x:c r="E6617" s="16" t="str">
        <x:v>* myContacts</x:v>
      </x:c>
      <x:c r="F6617" s="16" t="str">
        <x:v>0182205112 | +60182205112</x:v>
      </x:c>
      <x:c r="G6617" s="16" t="str">
        <x:v>+60182205112 | +60182205112</x:v>
      </x:c>
      <x:c r="H6617" s="16" t="str">
        <x:v>Excluded</x:v>
      </x:c>
      <x:c r="I6617" s="16" t="str">
        <x:v>Missing email</x:v>
      </x:c>
    </x:row>
    <x:row r="6618">
      <x:c r="A6618" s="16" t="n">
        <x:v>6615</x:v>
      </x:c>
      <x:c r="B6618" s="16" t="str">
        <x:v>Syed Ecommerce Geng Ultra</x:v>
      </x:c>
      <x:c r="C6618" s="16" t="str"/>
      <x:c r="D6618" s="16" t="str"/>
      <x:c r="E6618" s="16" t="str">
        <x:v>* myContacts</x:v>
      </x:c>
      <x:c r="F6618" s="16" t="str">
        <x:v>+60 13-925 4088 | +60139254088</x:v>
      </x:c>
      <x:c r="G6618" s="16" t="str">
        <x:v>+60139254088 | +60139254088</x:v>
      </x:c>
      <x:c r="H6618" s="16" t="str">
        <x:v>Excluded</x:v>
      </x:c>
      <x:c r="I6618" s="16" t="str">
        <x:v>Missing email</x:v>
      </x:c>
    </x:row>
    <x:row r="6619">
      <x:c r="A6619" s="16" t="n">
        <x:v>6616</x:v>
      </x:c>
      <x:c r="B6619" s="16" t="str">
        <x:v>Syed Expert Financial Projection</x:v>
      </x:c>
      <x:c r="C6619" s="16" t="str"/>
      <x:c r="D6619" s="16" t="str"/>
      <x:c r="E6619" s="16" t="str">
        <x:v>* myContacts</x:v>
      </x:c>
      <x:c r="F6619" s="16" t="str">
        <x:v>+601161994688</x:v>
      </x:c>
      <x:c r="G6619" s="16" t="str">
        <x:v>+601161994688</x:v>
      </x:c>
      <x:c r="H6619" s="16" t="str">
        <x:v>Excluded</x:v>
      </x:c>
      <x:c r="I6619" s="16" t="str">
        <x:v>Missing email</x:v>
      </x:c>
    </x:row>
    <x:row r="6620">
      <x:c r="A6620" s="16" t="n">
        <x:v>6617</x:v>
      </x:c>
      <x:c r="B6620" s="16" t="str">
        <x:v>syed fauzi</x:v>
      </x:c>
      <x:c r="C6620" s="16" t="str"/>
      <x:c r="D6620" s="16" t="str"/>
      <x:c r="E6620" s="16" t="str">
        <x:v>* myContacts</x:v>
      </x:c>
      <x:c r="F6620" s="16" t="str">
        <x:v>+60 19-367 4197 | +60193674197</x:v>
      </x:c>
      <x:c r="G6620" s="16" t="str">
        <x:v>+60193674197 | +60193674197</x:v>
      </x:c>
      <x:c r="H6620" s="16" t="str">
        <x:v>Excluded</x:v>
      </x:c>
      <x:c r="I6620" s="16" t="str">
        <x:v>Missing email</x:v>
      </x:c>
    </x:row>
    <x:row r="6621">
      <x:c r="A6621" s="16" t="n">
        <x:v>6618</x:v>
      </x:c>
      <x:c r="B6621" s="16" t="str">
        <x:v>Syed JB student PPMM</x:v>
      </x:c>
      <x:c r="C6621" s="16" t="str"/>
      <x:c r="D6621" s="16" t="str"/>
      <x:c r="E6621" s="16" t="str">
        <x:v>* myContacts</x:v>
      </x:c>
      <x:c r="F6621" s="16" t="str">
        <x:v>01117563461 | +601117563461</x:v>
      </x:c>
      <x:c r="G6621" s="16" t="str">
        <x:v>+601117563461 | +601117563461</x:v>
      </x:c>
      <x:c r="H6621" s="16" t="str">
        <x:v>Excluded</x:v>
      </x:c>
      <x:c r="I6621" s="16" t="str">
        <x:v>Missing email</x:v>
      </x:c>
    </x:row>
    <x:row r="6622">
      <x:c r="A6622" s="16" t="n">
        <x:v>6619</x:v>
      </x:c>
      <x:c r="B6622" s="16" t="str">
        <x:v>Syed Nasir Syed Mahther</x:v>
      </x:c>
      <x:c r="C6622" s="16" t="str"/>
      <x:c r="D6622" s="16" t="str"/>
      <x:c r="E6622" s="16" t="str">
        <x:v>* myContacts</x:v>
      </x:c>
      <x:c r="F6622" s="16" t="str">
        <x:v>+601120607889</x:v>
      </x:c>
      <x:c r="G6622" s="16" t="str">
        <x:v>+601120607889</x:v>
      </x:c>
      <x:c r="H6622" s="16" t="str">
        <x:v>Excluded</x:v>
      </x:c>
      <x:c r="I6622" s="16" t="str">
        <x:v>Missing email</x:v>
      </x:c>
    </x:row>
    <x:row r="6623">
      <x:c r="A6623" s="16" t="n">
        <x:v>6620</x:v>
      </x:c>
      <x:c r="B6623" s="16" t="str">
        <x:v>Syed Nawaz DPIM</x:v>
      </x:c>
      <x:c r="C6623" s="16" t="str"/>
      <x:c r="D6623" s="16" t="str"/>
      <x:c r="E6623" s="16" t="str">
        <x:v>* myContacts</x:v>
      </x:c>
      <x:c r="F6623" s="16" t="str">
        <x:v>+60 12-666 7536 | +60126667536</x:v>
      </x:c>
      <x:c r="G6623" s="16" t="str">
        <x:v>+60126667536 | +60126667536</x:v>
      </x:c>
      <x:c r="H6623" s="16" t="str">
        <x:v>Excluded</x:v>
      </x:c>
      <x:c r="I6623" s="16" t="str">
        <x:v>Missing email</x:v>
      </x:c>
    </x:row>
    <x:row r="6624">
      <x:c r="A6624" s="16" t="n">
        <x:v>6621</x:v>
      </x:c>
      <x:c r="B6624" s="16" t="str">
        <x:v>Syed Nawaz RJB</x:v>
      </x:c>
      <x:c r="C6624" s="16" t="str"/>
      <x:c r="D6624" s="16" t="str"/>
      <x:c r="E6624" s="16" t="str">
        <x:v>* myContacts</x:v>
      </x:c>
      <x:c r="F6624" s="16" t="str">
        <x:v>+60 13-719 5334 | +60137195334</x:v>
      </x:c>
      <x:c r="G6624" s="16" t="str">
        <x:v>+60137195334 | +60137195334</x:v>
      </x:c>
      <x:c r="H6624" s="16" t="str">
        <x:v>Excluded</x:v>
      </x:c>
      <x:c r="I6624" s="16" t="str">
        <x:v>Missing email</x:v>
      </x:c>
    </x:row>
    <x:row r="6625">
      <x:c r="A6625" s="16" t="n">
        <x:v>6622</x:v>
      </x:c>
      <x:c r="B6625" s="16" t="str">
        <x:v>Syed Rusdi Agent (MDEC)</x:v>
      </x:c>
      <x:c r="C6625" s="16" t="str"/>
      <x:c r="D6625" s="16" t="str"/>
      <x:c r="E6625" s="16" t="str">
        <x:v>* myContacts</x:v>
      </x:c>
      <x:c r="F6625" s="16" t="str">
        <x:v>+60199408963</x:v>
      </x:c>
      <x:c r="G6625" s="16" t="str">
        <x:v>+60199408963</x:v>
      </x:c>
      <x:c r="H6625" s="16" t="str">
        <x:v>Excluded</x:v>
      </x:c>
      <x:c r="I6625" s="16" t="str">
        <x:v>Missing email</x:v>
      </x:c>
    </x:row>
    <x:row r="6626">
      <x:c r="A6626" s="16" t="n">
        <x:v>6623</x:v>
      </x:c>
      <x:c r="B6626" s="16" t="str">
        <x:v>Syed Saiful Al Jufri</x:v>
      </x:c>
      <x:c r="C6626" s="16" t="str"/>
      <x:c r="D6626" s="16" t="str"/>
      <x:c r="E6626" s="16" t="str">
        <x:v>* myContacts</x:v>
      </x:c>
      <x:c r="F6626" s="16" t="str">
        <x:v>+66622273724</x:v>
      </x:c>
      <x:c r="G6626" s="16" t="str">
        <x:v>+66622273724</x:v>
      </x:c>
      <x:c r="H6626" s="16" t="str">
        <x:v>Excluded</x:v>
      </x:c>
      <x:c r="I6626" s="16" t="str">
        <x:v>Missing email</x:v>
      </x:c>
    </x:row>
    <x:row r="6627">
      <x:c r="A6627" s="16" t="n">
        <x:v>6624</x:v>
      </x:c>
      <x:c r="B6627" s="16" t="str">
        <x:v>Syed Sudin Trainer</x:v>
      </x:c>
      <x:c r="C6627" s="16" t="str"/>
      <x:c r="D6627" s="16" t="str"/>
      <x:c r="E6627" s="16" t="str">
        <x:v>Trainer | * myContacts</x:v>
      </x:c>
      <x:c r="F6627" s="16" t="str">
        <x:v>+60 12-274 7498 | +60122747498</x:v>
      </x:c>
      <x:c r="G6627" s="16" t="str">
        <x:v>+60122747498 | +60122747498</x:v>
      </x:c>
      <x:c r="H6627" s="16" t="str">
        <x:v>Excluded</x:v>
      </x:c>
      <x:c r="I6627" s="16" t="str">
        <x:v>Missing email</x:v>
      </x:c>
    </x:row>
    <x:row r="6628">
      <x:c r="A6628" s="16" t="n">
        <x:v>6625</x:v>
      </x:c>
      <x:c r="B6628" s="16" t="str">
        <x:v>Syeda</x:v>
      </x:c>
      <x:c r="C6628" s="16" t="str"/>
      <x:c r="D6628" s="16" t="str"/>
      <x:c r="E6628" s="16" t="str">
        <x:v>* myContacts</x:v>
      </x:c>
      <x:c r="F6628" s="16" t="str">
        <x:v>0126656262 | +60126656262</x:v>
      </x:c>
      <x:c r="G6628" s="16" t="str">
        <x:v>+60126656262 | +60126656262</x:v>
      </x:c>
      <x:c r="H6628" s="16" t="str">
        <x:v>Excluded</x:v>
      </x:c>
      <x:c r="I6628" s="16" t="str">
        <x:v>Missing email</x:v>
      </x:c>
    </x:row>
    <x:row r="6629">
      <x:c r="A6629" s="16" t="n">
        <x:v>6626</x:v>
      </x:c>
      <x:c r="B6629" s="16" t="str">
        <x:v>Syemi Klinik Kesihatan Kuantan</x:v>
      </x:c>
      <x:c r="C6629" s="16" t="str"/>
      <x:c r="D6629" s="16" t="str"/>
      <x:c r="E6629" s="16" t="str">
        <x:v>* myContacts</x:v>
      </x:c>
      <x:c r="F6629" s="16" t="str">
        <x:v>+60 10-405 9891 | +60104059891</x:v>
      </x:c>
      <x:c r="G6629" s="16" t="str">
        <x:v>+60104059891 | +60104059891</x:v>
      </x:c>
      <x:c r="H6629" s="16" t="str">
        <x:v>Excluded</x:v>
      </x:c>
      <x:c r="I6629" s="16" t="str">
        <x:v>Missing email</x:v>
      </x:c>
    </x:row>
    <x:row r="6630">
      <x:c r="A6630" s="16" t="n">
        <x:v>6627</x:v>
      </x:c>
      <x:c r="B6630" s="16" t="str">
        <x:v>Syieda Suyot</x:v>
      </x:c>
      <x:c r="C6630" s="16" t="str"/>
      <x:c r="D6630" s="16" t="str"/>
      <x:c r="E6630" s="16" t="str">
        <x:v>* myContacts</x:v>
      </x:c>
      <x:c r="F6630" s="16" t="str">
        <x:v>+60189184481</x:v>
      </x:c>
      <x:c r="G6630" s="16" t="str">
        <x:v>+60189184481</x:v>
      </x:c>
      <x:c r="H6630" s="16" t="str">
        <x:v>Excluded</x:v>
      </x:c>
      <x:c r="I6630" s="16" t="str">
        <x:v>Missing email</x:v>
      </x:c>
    </x:row>
    <x:row r="6631">
      <x:c r="A6631" s="16" t="n">
        <x:v>6628</x:v>
      </x:c>
      <x:c r="B6631" s="16" t="str">
        <x:v>Syifa Adik Abang Abu</x:v>
      </x:c>
      <x:c r="C6631" s="16" t="str"/>
      <x:c r="D6631" s="16" t="str"/>
      <x:c r="E6631" s="16" t="str">
        <x:v>* myContacts</x:v>
      </x:c>
      <x:c r="F6631" s="16" t="str">
        <x:v>019-223 2721</x:v>
      </x:c>
      <x:c r="G6631" s="16" t="str">
        <x:v>+60192232721</x:v>
      </x:c>
      <x:c r="H6631" s="16" t="str">
        <x:v>Excluded</x:v>
      </x:c>
      <x:c r="I6631" s="16" t="str">
        <x:v>Missing email</x:v>
      </x:c>
    </x:row>
    <x:row r="6632">
      <x:c r="A6632" s="16" t="n">
        <x:v>6629</x:v>
      </x:c>
      <x:c r="B6632" s="16" t="str">
        <x:v>Syifa Adik Abang Abu</x:v>
      </x:c>
      <x:c r="C6632" s="16" t="str"/>
      <x:c r="D6632" s="16" t="str"/>
      <x:c r="E6632" s="16" t="str">
        <x:v>* myContacts</x:v>
      </x:c>
      <x:c r="F6632" s="16" t="str">
        <x:v>+60192232721</x:v>
      </x:c>
      <x:c r="G6632" s="16" t="str">
        <x:v>+60192232721</x:v>
      </x:c>
      <x:c r="H6632" s="16" t="str">
        <x:v>Excluded</x:v>
      </x:c>
      <x:c r="I6632" s="16" t="str">
        <x:v>Missing email</x:v>
      </x:c>
    </x:row>
    <x:row r="6633">
      <x:c r="A6633" s="16" t="n">
        <x:v>6630</x:v>
      </x:c>
      <x:c r="B6633" s="16" t="str">
        <x:v>Syifa Ahmadi</x:v>
      </x:c>
      <x:c r="C6633" s="16" t="str"/>
      <x:c r="D6633" s="16" t="str"/>
      <x:c r="E6633" s="16" t="str">
        <x:v>* myContacts</x:v>
      </x:c>
      <x:c r="F6633" s="16" t="str">
        <x:v>+60148855505</x:v>
      </x:c>
      <x:c r="G6633" s="16" t="str">
        <x:v>+60148855505</x:v>
      </x:c>
      <x:c r="H6633" s="16" t="str">
        <x:v>Excluded</x:v>
      </x:c>
      <x:c r="I6633" s="16" t="str">
        <x:v>Missing email</x:v>
      </x:c>
    </x:row>
    <x:row r="6634">
      <x:c r="A6634" s="16" t="n">
        <x:v>6631</x:v>
      </x:c>
      <x:c r="B6634" s="16" t="str">
        <x:v>Syifa Ketua Puteri Bagan</x:v>
      </x:c>
      <x:c r="C6634" s="16" t="str"/>
      <x:c r="D6634" s="16" t="str"/>
      <x:c r="E6634" s="16" t="str">
        <x:v>* myContacts</x:v>
      </x:c>
      <x:c r="F6634" s="16" t="str">
        <x:v>+60134926363</x:v>
      </x:c>
      <x:c r="G6634" s="16" t="str">
        <x:v>+60134926363</x:v>
      </x:c>
      <x:c r="H6634" s="16" t="str">
        <x:v>Excluded</x:v>
      </x:c>
      <x:c r="I6634" s="16" t="str">
        <x:v>Missing email</x:v>
      </x:c>
    </x:row>
    <x:row r="6635">
      <x:c r="A6635" s="16" t="n">
        <x:v>6632</x:v>
      </x:c>
      <x:c r="B6635" s="16" t="str">
        <x:v>Syikin Abd Khalim</x:v>
      </x:c>
      <x:c r="C6635" s="16" t="str"/>
      <x:c r="D6635" s="16" t="str"/>
      <x:c r="E6635" s="16" t="str">
        <x:v>* myContacts</x:v>
      </x:c>
      <x:c r="F6635" s="16" t="str">
        <x:v>+60129557514</x:v>
      </x:c>
      <x:c r="G6635" s="16" t="str">
        <x:v>+60129557514</x:v>
      </x:c>
      <x:c r="H6635" s="16" t="str">
        <x:v>Excluded</x:v>
      </x:c>
      <x:c r="I6635" s="16" t="str">
        <x:v>Missing email</x:v>
      </x:c>
    </x:row>
    <x:row r="6636">
      <x:c r="A6636" s="16" t="n">
        <x:v>6633</x:v>
      </x:c>
      <x:c r="B6636" s="16" t="str">
        <x:v>Syikin Hasan</x:v>
      </x:c>
      <x:c r="C6636" s="16" t="str"/>
      <x:c r="D6636" s="16" t="str"/>
      <x:c r="E6636" s="16" t="str">
        <x:v>* myContacts</x:v>
      </x:c>
      <x:c r="F6636" s="16" t="str">
        <x:v>+60145239820</x:v>
      </x:c>
      <x:c r="G6636" s="16" t="str">
        <x:v>+60145239820</x:v>
      </x:c>
      <x:c r="H6636" s="16" t="str">
        <x:v>Excluded</x:v>
      </x:c>
      <x:c r="I6636" s="16" t="str">
        <x:v>Missing email</x:v>
      </x:c>
    </x:row>
    <x:row r="6637">
      <x:c r="A6637" s="16" t="n">
        <x:v>6634</x:v>
      </x:c>
      <x:c r="B6637" s="16" t="str">
        <x:v>Syikin Ppmm</x:v>
      </x:c>
      <x:c r="C6637" s="16" t="str"/>
      <x:c r="D6637" s="16" t="str"/>
      <x:c r="E6637" s="16" t="str">
        <x:v>* myContacts</x:v>
      </x:c>
      <x:c r="F6637" s="16" t="str">
        <x:v>+60192655433</x:v>
      </x:c>
      <x:c r="G6637" s="16" t="str">
        <x:v>+60192655433</x:v>
      </x:c>
      <x:c r="H6637" s="16" t="str">
        <x:v>Excluded</x:v>
      </x:c>
      <x:c r="I6637" s="16" t="str">
        <x:v>Missing email</x:v>
      </x:c>
    </x:row>
    <x:row r="6638">
      <x:c r="A6638" s="16" t="n">
        <x:v>6635</x:v>
      </x:c>
      <x:c r="B6638" s="16" t="str">
        <x:v>Syima Mohd Saharuddin</x:v>
      </x:c>
      <x:c r="C6638" s="16" t="str"/>
      <x:c r="D6638" s="16" t="str"/>
      <x:c r="E6638" s="16" t="str">
        <x:v>* myContacts</x:v>
      </x:c>
      <x:c r="F6638" s="16" t="str">
        <x:v>+60182530298</x:v>
      </x:c>
      <x:c r="G6638" s="16" t="str">
        <x:v>+60182530298</x:v>
      </x:c>
      <x:c r="H6638" s="16" t="str">
        <x:v>Excluded</x:v>
      </x:c>
      <x:c r="I6638" s="16" t="str">
        <x:v>Missing email</x:v>
      </x:c>
    </x:row>
    <x:row r="6639">
      <x:c r="A6639" s="16" t="n">
        <x:v>6636</x:v>
      </x:c>
      <x:c r="B6639" s="16" t="str">
        <x:v>Syuhada Furmon Hamil</x:v>
      </x:c>
      <x:c r="C6639" s="16" t="str"/>
      <x:c r="D6639" s="16" t="str"/>
      <x:c r="E6639" s="16" t="str">
        <x:v>* myContacts</x:v>
      </x:c>
      <x:c r="F6639" s="16" t="str">
        <x:v>+60176165510</x:v>
      </x:c>
      <x:c r="G6639" s="16" t="str">
        <x:v>+60176165510</x:v>
      </x:c>
      <x:c r="H6639" s="16" t="str">
        <x:v>Excluded</x:v>
      </x:c>
      <x:c r="I6639" s="16" t="str">
        <x:v>Missing email</x:v>
      </x:c>
    </x:row>
    <x:row r="6640">
      <x:c r="A6640" s="16" t="n">
        <x:v>6637</x:v>
      </x:c>
      <x:c r="B6640" s="16" t="str">
        <x:v>Syuhada Ismail</x:v>
      </x:c>
      <x:c r="C6640" s="16" t="str"/>
      <x:c r="D6640" s="16" t="str"/>
      <x:c r="E6640" s="16" t="str">
        <x:v>* myContacts</x:v>
      </x:c>
      <x:c r="F6640" s="16" t="str">
        <x:v>+60139212009</x:v>
      </x:c>
      <x:c r="G6640" s="16" t="str">
        <x:v>+60139212009</x:v>
      </x:c>
      <x:c r="H6640" s="16" t="str">
        <x:v>Excluded</x:v>
      </x:c>
      <x:c r="I6640" s="16" t="str">
        <x:v>Missing email</x:v>
      </x:c>
    </x:row>
    <x:row r="6641">
      <x:c r="A6641" s="16" t="n">
        <x:v>6638</x:v>
      </x:c>
      <x:c r="B6641" s="16" t="str">
        <x:v>Syuhada TV3</x:v>
      </x:c>
      <x:c r="C6641" s="16" t="str"/>
      <x:c r="D6641" s="16" t="str"/>
      <x:c r="E6641" s="16" t="str">
        <x:v>* myContacts</x:v>
      </x:c>
      <x:c r="F6641" s="16" t="str">
        <x:v>+60177125251</x:v>
      </x:c>
      <x:c r="G6641" s="16" t="str">
        <x:v>+60177125251</x:v>
      </x:c>
      <x:c r="H6641" s="16" t="str">
        <x:v>Excluded</x:v>
      </x:c>
      <x:c r="I6641" s="16" t="str">
        <x:v>Missing email</x:v>
      </x:c>
    </x:row>
    <x:row r="6642">
      <x:c r="A6642" s="16" t="n">
        <x:v>6639</x:v>
      </x:c>
      <x:c r="B6642" s="16" t="str">
        <x:v>Syuk Best IM</x:v>
      </x:c>
      <x:c r="C6642" s="16" t="str"/>
      <x:c r="D6642" s="16" t="str"/>
      <x:c r="E6642" s="16" t="str">
        <x:v>* myContacts</x:v>
      </x:c>
      <x:c r="F6642" s="16" t="str">
        <x:v>0126451364 | +60126451364</x:v>
      </x:c>
      <x:c r="G6642" s="16" t="str">
        <x:v>+60126451364 | +60126451364</x:v>
      </x:c>
      <x:c r="H6642" s="16" t="str">
        <x:v>Excluded</x:v>
      </x:c>
      <x:c r="I6642" s="16" t="str">
        <x:v>Missing email</x:v>
      </x:c>
    </x:row>
    <x:row r="6643">
      <x:c r="A6643" s="16" t="n">
        <x:v>6640</x:v>
      </x:c>
      <x:c r="B6643" s="16" t="str">
        <x:v>Syuk Coach</x:v>
      </x:c>
      <x:c r="C6643" s="16" t="str">
        <x:v>syukrihh@ppmm.com.my</x:v>
      </x:c>
      <x:c r="D6643" s="16" t="str">
        <x:v>syukrihh@ppmm.com.my</x:v>
      </x:c>
      <x:c r="E6643" s="16" t="str">
        <x:v>Trainer | * myContacts</x:v>
      </x:c>
      <x:c r="F6643" s="16" t="str">
        <x:v>019-222 8315 | +60192228315</x:v>
      </x:c>
      <x:c r="G6643" s="16" t="str">
        <x:v>+60192228315 | +60192228315</x:v>
      </x:c>
      <x:c r="H6643" s="16" t="str">
        <x:v>Eligible</x:v>
      </x:c>
      <x:c r="I6643" s="16" t="str"/>
    </x:row>
    <x:row r="6644">
      <x:c r="A6644" s="16" t="n">
        <x:v>6641</x:v>
      </x:c>
      <x:c r="B6644" s="16" t="str">
        <x:v>Syukri hijrah</x:v>
      </x:c>
      <x:c r="C6644" s="16" t="str"/>
      <x:c r="D6644" s="16" t="str"/>
      <x:c r="E6644" s="16" t="str">
        <x:v>Alumni eUsahawan | * myContacts</x:v>
      </x:c>
      <x:c r="F6644" s="16" t="str">
        <x:v>017-225 5868 | +60172255868</x:v>
      </x:c>
      <x:c r="G6644" s="16" t="str">
        <x:v>+60172255868 | +60172255868</x:v>
      </x:c>
      <x:c r="H6644" s="16" t="str">
        <x:v>Excluded</x:v>
      </x:c>
      <x:c r="I6644" s="16" t="str">
        <x:v>Missing email</x:v>
      </x:c>
    </x:row>
    <x:row r="6645">
      <x:c r="A6645" s="16" t="n">
        <x:v>6642</x:v>
      </x:c>
      <x:c r="B6645" s="16" t="str">
        <x:v>Syukri Otai Pancing</x:v>
      </x:c>
      <x:c r="C6645" s="16" t="str"/>
      <x:c r="D6645" s="16" t="str"/>
      <x:c r="E6645" s="16" t="str">
        <x:v>* myContacts</x:v>
      </x:c>
      <x:c r="F6645" s="16" t="str">
        <x:v>0172450805 | +60172450805</x:v>
      </x:c>
      <x:c r="G6645" s="16" t="str">
        <x:v>+60172450805 | +60172450805</x:v>
      </x:c>
      <x:c r="H6645" s="16" t="str">
        <x:v>Excluded</x:v>
      </x:c>
      <x:c r="I6645" s="16" t="str">
        <x:v>Missing email</x:v>
      </x:c>
    </x:row>
    <x:row r="6646">
      <x:c r="A6646" s="16" t="n">
        <x:v>6643</x:v>
      </x:c>
      <x:c r="B6646" s="16" t="str">
        <x:v>Syukri Trip Borong China</x:v>
      </x:c>
      <x:c r="C6646" s="16" t="str"/>
      <x:c r="D6646" s="16" t="str"/>
      <x:c r="E6646" s="16" t="str">
        <x:v>* myContacts</x:v>
      </x:c>
      <x:c r="F6646" s="16" t="str">
        <x:v>013-643 4498 | +60136434498</x:v>
      </x:c>
      <x:c r="G6646" s="16" t="str">
        <x:v>+60136434498 | +60136434498</x:v>
      </x:c>
      <x:c r="H6646" s="16" t="str">
        <x:v>Excluded</x:v>
      </x:c>
      <x:c r="I6646" s="16" t="str">
        <x:v>Missing email</x:v>
      </x:c>
    </x:row>
    <x:row r="6647">
      <x:c r="A6647" s="16" t="n">
        <x:v>6644</x:v>
      </x:c>
      <x:c r="B6647" s="16" t="str">
        <x:v>Syura Qistina</x:v>
      </x:c>
      <x:c r="C6647" s="16" t="str"/>
      <x:c r="D6647" s="16" t="str"/>
      <x:c r="E6647" s="16" t="str">
        <x:v>* myContacts</x:v>
      </x:c>
      <x:c r="F6647" s="16" t="str">
        <x:v>+60361875913</x:v>
      </x:c>
      <x:c r="G6647" s="16" t="str">
        <x:v>+60361875913</x:v>
      </x:c>
      <x:c r="H6647" s="16" t="str">
        <x:v>Excluded</x:v>
      </x:c>
      <x:c r="I6647" s="16" t="str">
        <x:v>Missing email</x:v>
      </x:c>
    </x:row>
    <x:row r="6648">
      <x:c r="A6648" s="16" t="n">
        <x:v>6645</x:v>
      </x:c>
      <x:c r="B6648" s="16" t="str">
        <x:v>TaawunrizqiBarakah Trb</x:v>
      </x:c>
      <x:c r="C6648" s="16" t="str"/>
      <x:c r="D6648" s="16" t="str"/>
      <x:c r="E6648" s="16" t="str">
        <x:v>* myContacts</x:v>
      </x:c>
      <x:c r="F6648" s="16" t="str">
        <x:v>+60134778680</x:v>
      </x:c>
      <x:c r="G6648" s="16" t="str">
        <x:v>+60134778680</x:v>
      </x:c>
      <x:c r="H6648" s="16" t="str">
        <x:v>Excluded</x:v>
      </x:c>
      <x:c r="I6648" s="16" t="str">
        <x:v>Missing email</x:v>
      </x:c>
    </x:row>
    <x:row r="6649">
      <x:c r="A6649" s="16" t="n">
        <x:v>6646</x:v>
      </x:c>
      <x:c r="B6649" s="16" t="str">
        <x:v>Tabib Hamrie</x:v>
      </x:c>
      <x:c r="C6649" s="16" t="str"/>
      <x:c r="D6649" s="16" t="str"/>
      <x:c r="E6649" s="16" t="str">
        <x:v>* myContacts</x:v>
      </x:c>
      <x:c r="F6649" s="16" t="str">
        <x:v>60165944177 | +60165944177</x:v>
      </x:c>
      <x:c r="G6649" s="16" t="str">
        <x:v>+60165944177 | +60165944177</x:v>
      </x:c>
      <x:c r="H6649" s="16" t="str">
        <x:v>Excluded</x:v>
      </x:c>
      <x:c r="I6649" s="16" t="str">
        <x:v>Missing email</x:v>
      </x:c>
    </x:row>
    <x:row r="6650">
      <x:c r="A6650" s="16" t="n">
        <x:v>6647</x:v>
      </x:c>
      <x:c r="B6650" s="16" t="str">
        <x:v>Tablet Sebelah</x:v>
      </x:c>
      <x:c r="C6650" s="16" t="str"/>
      <x:c r="D6650" s="16" t="str"/>
      <x:c r="E6650" s="16" t="str">
        <x:v>* myContacts</x:v>
      </x:c>
      <x:c r="F6650" s="16" t="str">
        <x:v>+60 11-1423 1095 | +601114231095</x:v>
      </x:c>
      <x:c r="G6650" s="16" t="str">
        <x:v>+601114231095 | +601114231095</x:v>
      </x:c>
      <x:c r="H6650" s="16" t="str">
        <x:v>Excluded</x:v>
      </x:c>
      <x:c r="I6650" s="16" t="str">
        <x:v>Missing email</x:v>
      </x:c>
    </x:row>
    <x:row r="6651">
      <x:c r="A6651" s="16" t="n">
        <x:v>6648</x:v>
      </x:c>
      <x:c r="B6651" s="16" t="str">
        <x:v>Tahir Awais</x:v>
      </x:c>
      <x:c r="C6651" s="16" t="str"/>
      <x:c r="D6651" s="16" t="str"/>
      <x:c r="E6651" s="16" t="str">
        <x:v>* myContacts</x:v>
      </x:c>
      <x:c r="F6651" s="16" t="str">
        <x:v>+923005619236</x:v>
      </x:c>
      <x:c r="G6651" s="16" t="str">
        <x:v>+923005619236</x:v>
      </x:c>
      <x:c r="H6651" s="16" t="str">
        <x:v>Excluded</x:v>
      </x:c>
      <x:c r="I6651" s="16" t="str">
        <x:v>Missing email</x:v>
      </x:c>
    </x:row>
    <x:row r="6652">
      <x:c r="A6652" s="16" t="n">
        <x:v>6649</x:v>
      </x:c>
      <x:c r="B6652" s="16" t="str">
        <x:v>Tahir Berahima</x:v>
      </x:c>
      <x:c r="C6652" s="16" t="str"/>
      <x:c r="D6652" s="16" t="str"/>
      <x:c r="E6652" s="16" t="str">
        <x:v>* myContacts</x:v>
      </x:c>
      <x:c r="F6652" s="16" t="str">
        <x:v>+60128168255</x:v>
      </x:c>
      <x:c r="G6652" s="16" t="str">
        <x:v>+60128168255</x:v>
      </x:c>
      <x:c r="H6652" s="16" t="str">
        <x:v>Excluded</x:v>
      </x:c>
      <x:c r="I6652" s="16" t="str">
        <x:v>Missing email</x:v>
      </x:c>
    </x:row>
    <x:row r="6653">
      <x:c r="A6653" s="16" t="n">
        <x:v>6650</x:v>
      </x:c>
      <x:c r="B6653" s="16" t="str">
        <x:v>Mr Tai Logistic</x:v>
      </x:c>
      <x:c r="C6653" s="16" t="str"/>
      <x:c r="D6653" s="16" t="str"/>
      <x:c r="E6653" s="16" t="str">
        <x:v>* myContacts</x:v>
      </x:c>
      <x:c r="F6653" s="16" t="str">
        <x:v>+60162277688</x:v>
      </x:c>
      <x:c r="G6653" s="16" t="str">
        <x:v>+60162277688</x:v>
      </x:c>
      <x:c r="H6653" s="16" t="str">
        <x:v>Excluded</x:v>
      </x:c>
      <x:c r="I6653" s="16" t="str">
        <x:v>Missing email</x:v>
      </x:c>
    </x:row>
    <x:row r="6654">
      <x:c r="A6654" s="16" t="n">
        <x:v>6651</x:v>
      </x:c>
      <x:c r="B6654" s="16" t="str">
        <x:v>TAJUDIN BIN MOHD SAP</x:v>
      </x:c>
      <x:c r="C6654" s="16" t="str">
        <x:v>pertubuhanmts@gmail.com</x:v>
      </x:c>
      <x:c r="D6654" s="16" t="str">
        <x:v>pertubuhanmts@gmail.com</x:v>
      </x:c>
      <x:c r="E6654" s="16" t="str">
        <x:v>* myContacts</x:v>
      </x:c>
      <x:c r="F6654" s="16" t="str">
        <x:v>+60162255270 | +60333411261</x:v>
      </x:c>
      <x:c r="G6654" s="16" t="str">
        <x:v>+60162255270 | +60333411261</x:v>
      </x:c>
      <x:c r="H6654" s="16" t="str">
        <x:v>Eligible</x:v>
      </x:c>
      <x:c r="I6654" s="16" t="str"/>
    </x:row>
    <x:row r="6655">
      <x:c r="A6655" s="16" t="n">
        <x:v>6652</x:v>
      </x:c>
      <x:c r="B6655" s="16" t="str">
        <x:v>TUAN TAJUDIN BIN MOHD SAP</x:v>
      </x:c>
      <x:c r="C6655" s="16" t="str">
        <x:v>pertubuhanmts@gmail.com</x:v>
      </x:c>
      <x:c r="D6655" s="16" t="str">
        <x:v>pertubuhanmts@gmail.com</x:v>
      </x:c>
      <x:c r="E6655" s="16" t="str">
        <x:v>* myContacts</x:v>
      </x:c>
      <x:c r="F6655" s="16" t="str">
        <x:v>016-225 5270 | +60333411261</x:v>
      </x:c>
      <x:c r="G6655" s="16" t="str">
        <x:v>+60162255270 | +60333411261</x:v>
      </x:c>
      <x:c r="H6655" s="16" t="str">
        <x:v>Eligible</x:v>
      </x:c>
      <x:c r="I6655" s="16" t="str"/>
    </x:row>
    <x:row r="6656">
      <x:c r="A6656" s="16" t="n">
        <x:v>6653</x:v>
      </x:c>
      <x:c r="B6656" s="16" t="str">
        <x:v>Tajul otai</x:v>
      </x:c>
      <x:c r="C6656" s="16" t="str"/>
      <x:c r="D6656" s="16" t="str"/>
      <x:c r="E6656" s="16" t="str">
        <x:v>* myContacts</x:v>
      </x:c>
      <x:c r="F6656" s="16" t="str">
        <x:v>012-327 1719 | +60123271719</x:v>
      </x:c>
      <x:c r="G6656" s="16" t="str">
        <x:v>+60123271719 | +60123271719</x:v>
      </x:c>
      <x:c r="H6656" s="16" t="str">
        <x:v>Excluded</x:v>
      </x:c>
      <x:c r="I6656" s="16" t="str">
        <x:v>Missing email</x:v>
      </x:c>
    </x:row>
    <x:row r="6657">
      <x:c r="A6657" s="16" t="n">
        <x:v>6654</x:v>
      </x:c>
      <x:c r="B6657" s="16" t="str">
        <x:v>Takashi Nara</x:v>
      </x:c>
      <x:c r="C6657" s="16" t="str"/>
      <x:c r="D6657" s="16" t="str"/>
      <x:c r="E6657" s="16" t="str">
        <x:v>* myContacts</x:v>
      </x:c>
      <x:c r="F6657" s="16" t="str">
        <x:v>+60142268569</x:v>
      </x:c>
      <x:c r="G6657" s="16" t="str">
        <x:v>+60142268569</x:v>
      </x:c>
      <x:c r="H6657" s="16" t="str">
        <x:v>Excluded</x:v>
      </x:c>
      <x:c r="I6657" s="16" t="str">
        <x:v>Missing email</x:v>
      </x:c>
    </x:row>
    <x:row r="6658">
      <x:c r="A6658" s="16" t="n">
        <x:v>6655</x:v>
      </x:c>
      <x:c r="B6658" s="16" t="str">
        <x:v>Talib Dpim perak</x:v>
      </x:c>
      <x:c r="C6658" s="16" t="str"/>
      <x:c r="D6658" s="16" t="str"/>
      <x:c r="E6658" s="16" t="str">
        <x:v>* myContacts</x:v>
      </x:c>
      <x:c r="F6658" s="16" t="str">
        <x:v>016-597 0490 | +60165970490</x:v>
      </x:c>
      <x:c r="G6658" s="16" t="str">
        <x:v>+60165970490 | +60165970490</x:v>
      </x:c>
      <x:c r="H6658" s="16" t="str">
        <x:v>Excluded</x:v>
      </x:c>
      <x:c r="I6658" s="16" t="str">
        <x:v>Missing email</x:v>
      </x:c>
    </x:row>
    <x:row r="6659">
      <x:c r="A6659" s="16" t="n">
        <x:v>6656</x:v>
      </x:c>
      <x:c r="B6659" s="16" t="str">
        <x:v>Talma Mohammad</x:v>
      </x:c>
      <x:c r="C6659" s="16" t="str"/>
      <x:c r="D6659" s="16" t="str"/>
      <x:c r="E6659" s="16" t="str">
        <x:v>* myContacts</x:v>
      </x:c>
      <x:c r="F6659" s="16" t="str">
        <x:v>+60166454151</x:v>
      </x:c>
      <x:c r="G6659" s="16" t="str">
        <x:v>+60166454151</x:v>
      </x:c>
      <x:c r="H6659" s="16" t="str">
        <x:v>Excluded</x:v>
      </x:c>
      <x:c r="I6659" s="16" t="str">
        <x:v>Missing email</x:v>
      </x:c>
    </x:row>
    <x:row r="6660">
      <x:c r="A6660" s="16" t="n">
        <x:v>6657</x:v>
      </x:c>
      <x:c r="B6660" s="16" t="str">
        <x:v>Taman Negara Pahang</x:v>
      </x:c>
      <x:c r="C6660" s="16" t="str"/>
      <x:c r="D6660" s="16" t="str"/>
      <x:c r="E6660" s="16" t="str">
        <x:v>* myContacts</x:v>
      </x:c>
      <x:c r="F6660" s="16" t="str">
        <x:v>+60192912210</x:v>
      </x:c>
      <x:c r="G6660" s="16" t="str">
        <x:v>+60192912210</x:v>
      </x:c>
      <x:c r="H6660" s="16" t="str">
        <x:v>Excluded</x:v>
      </x:c>
      <x:c r="I6660" s="16" t="str">
        <x:v>Missing email</x:v>
      </x:c>
    </x:row>
    <x:row r="6661">
      <x:c r="A6661" s="16" t="n">
        <x:v>6658</x:v>
      </x:c>
      <x:c r="B6661" s="16" t="str">
        <x:v>Tamao Akief</x:v>
      </x:c>
      <x:c r="C6661" s="16" t="str"/>
      <x:c r="D6661" s="16" t="str"/>
      <x:c r="E6661" s="16" t="str">
        <x:v>* myContacts</x:v>
      </x:c>
      <x:c r="F6661" s="16" t="str">
        <x:v>+60129671971</x:v>
      </x:c>
      <x:c r="G6661" s="16" t="str">
        <x:v>+60129671971</x:v>
      </x:c>
      <x:c r="H6661" s="16" t="str">
        <x:v>Excluded</x:v>
      </x:c>
      <x:c r="I6661" s="16" t="str">
        <x:v>Missing email</x:v>
      </x:c>
    </x:row>
    <x:row r="6662">
      <x:c r="A6662" s="16" t="n">
        <x:v>6659</x:v>
      </x:c>
      <x:c r="B6662" s="16" t="str">
        <x:v>Tamil Pushpa</x:v>
      </x:c>
      <x:c r="C6662" s="16" t="str"/>
      <x:c r="D6662" s="16" t="str"/>
      <x:c r="E6662" s="16" t="str">
        <x:v>* myContacts</x:v>
      </x:c>
      <x:c r="F6662" s="16" t="str">
        <x:v>+601111421809</x:v>
      </x:c>
      <x:c r="G6662" s="16" t="str">
        <x:v>+601111421809</x:v>
      </x:c>
      <x:c r="H6662" s="16" t="str">
        <x:v>Excluded</x:v>
      </x:c>
      <x:c r="I6662" s="16" t="str">
        <x:v>Missing email</x:v>
      </x:c>
    </x:row>
    <x:row r="6663">
      <x:c r="A6663" s="16" t="n">
        <x:v>6660</x:v>
      </x:c>
      <x:c r="B6663" s="16" t="str">
        <x:v>Tan Are Lee</x:v>
      </x:c>
      <x:c r="C6663" s="16" t="str"/>
      <x:c r="D6663" s="16" t="str"/>
      <x:c r="E6663" s="16" t="str">
        <x:v>* myContacts</x:v>
      </x:c>
      <x:c r="F6663" s="16" t="str">
        <x:v>+60177730691</x:v>
      </x:c>
      <x:c r="G6663" s="16" t="str">
        <x:v>+60177730691</x:v>
      </x:c>
      <x:c r="H6663" s="16" t="str">
        <x:v>Excluded</x:v>
      </x:c>
      <x:c r="I6663" s="16" t="str">
        <x:v>Missing email</x:v>
      </x:c>
    </x:row>
    <x:row r="6664">
      <x:c r="A6664" s="16" t="n">
        <x:v>6661</x:v>
      </x:c>
      <x:c r="B6664" s="16" t="str">
        <x:v>Tan Chong Service Kuala Selangor</x:v>
      </x:c>
      <x:c r="C6664" s="16" t="str"/>
      <x:c r="D6664" s="16" t="str"/>
      <x:c r="E6664" s="16" t="str">
        <x:v>* myContacts</x:v>
      </x:c>
      <x:c r="F6664" s="16" t="str">
        <x:v>0162238725 | +60162238725</x:v>
      </x:c>
      <x:c r="G6664" s="16" t="str">
        <x:v>+60162238725 | +60162238725</x:v>
      </x:c>
      <x:c r="H6664" s="16" t="str">
        <x:v>Excluded</x:v>
      </x:c>
      <x:c r="I6664" s="16" t="str">
        <x:v>Missing email</x:v>
      </x:c>
    </x:row>
    <x:row r="6665">
      <x:c r="A6665" s="16" t="n">
        <x:v>6662</x:v>
      </x:c>
      <x:c r="B6665" s="16" t="str">
        <x:v>Tan Genius</x:v>
      </x:c>
      <x:c r="C6665" s="16" t="str"/>
      <x:c r="D6665" s="16" t="str"/>
      <x:c r="E6665" s="16" t="str">
        <x:v>* myContacts</x:v>
      </x:c>
      <x:c r="F6665" s="16" t="str">
        <x:v>+60162340776</x:v>
      </x:c>
      <x:c r="G6665" s="16" t="str">
        <x:v>+60162340776</x:v>
      </x:c>
      <x:c r="H6665" s="16" t="str">
        <x:v>Excluded</x:v>
      </x:c>
      <x:c r="I6665" s="16" t="str">
        <x:v>Missing email</x:v>
      </x:c>
    </x:row>
    <x:row r="6666">
      <x:c r="A6666" s="16" t="n">
        <x:v>6663</x:v>
      </x:c>
      <x:c r="B6666" s="16" t="str">
        <x:v>Mr Tan Genius</x:v>
      </x:c>
      <x:c r="C6666" s="16" t="str"/>
      <x:c r="D6666" s="16" t="str"/>
      <x:c r="E6666" s="16" t="str">
        <x:v>* myContacts</x:v>
      </x:c>
      <x:c r="F6666" s="16" t="str">
        <x:v>0162340776</x:v>
      </x:c>
      <x:c r="G6666" s="16" t="str">
        <x:v>+60162340776</x:v>
      </x:c>
      <x:c r="H6666" s="16" t="str">
        <x:v>Excluded</x:v>
      </x:c>
      <x:c r="I6666" s="16" t="str">
        <x:v>Missing email</x:v>
      </x:c>
    </x:row>
    <x:row r="6667">
      <x:c r="A6667" s="16" t="n">
        <x:v>6664</x:v>
      </x:c>
      <x:c r="B6667" s="16" t="str">
        <x:v>Tan Sri Ali Hashim</x:v>
      </x:c>
      <x:c r="C6667" s="16" t="str"/>
      <x:c r="D6667" s="16" t="str"/>
      <x:c r="E6667" s="16" t="str">
        <x:v>* myContacts</x:v>
      </x:c>
      <x:c r="F6667" s="16" t="str">
        <x:v>+60197172692</x:v>
      </x:c>
      <x:c r="G6667" s="16" t="str">
        <x:v>+60197172692</x:v>
      </x:c>
      <x:c r="H6667" s="16" t="str">
        <x:v>Excluded</x:v>
      </x:c>
      <x:c r="I6667" s="16" t="str">
        <x:v>Missing email</x:v>
      </x:c>
    </x:row>
    <x:row r="6668">
      <x:c r="A6668" s="16" t="n">
        <x:v>6665</x:v>
      </x:c>
      <x:c r="B6668" s="16" t="str">
        <x:v>Tan Sri Anas Think Quran And Lazada EXPERT</x:v>
      </x:c>
      <x:c r="C6668" s="16" t="str"/>
      <x:c r="D6668" s="16" t="str"/>
      <x:c r="E6668" s="16" t="str">
        <x:v>* myContacts</x:v>
      </x:c>
      <x:c r="F6668" s="16" t="str">
        <x:v>0137907606 | +60137907606</x:v>
      </x:c>
      <x:c r="G6668" s="16" t="str">
        <x:v>+60137907606 | +60137907606</x:v>
      </x:c>
      <x:c r="H6668" s="16" t="str">
        <x:v>Excluded</x:v>
      </x:c>
      <x:c r="I6668" s="16" t="str">
        <x:v>Missing email</x:v>
      </x:c>
    </x:row>
    <x:row r="6669">
      <x:c r="A6669" s="16" t="n">
        <x:v>6666</x:v>
      </x:c>
      <x:c r="B6669" s="16" t="str">
        <x:v>Tania Samad</x:v>
      </x:c>
      <x:c r="C6669" s="16" t="str"/>
      <x:c r="D6669" s="16" t="str"/>
      <x:c r="E6669" s="16" t="str">
        <x:v>* myContacts</x:v>
      </x:c>
      <x:c r="F6669" s="16" t="str">
        <x:v>+60176865630</x:v>
      </x:c>
      <x:c r="G6669" s="16" t="str">
        <x:v>+60176865630</x:v>
      </x:c>
      <x:c r="H6669" s="16" t="str">
        <x:v>Excluded</x:v>
      </x:c>
      <x:c r="I6669" s="16" t="str">
        <x:v>Missing email</x:v>
      </x:c>
    </x:row>
    <x:row r="6670">
      <x:c r="A6670" s="16" t="n">
        <x:v>6667</x:v>
      </x:c>
      <x:c r="B6670" s="16" t="str">
        <x:v>Tanti TIR BDA</x:v>
      </x:c>
      <x:c r="C6670" s="16" t="str">
        <x:v>tanti@tir.com.my</x:v>
      </x:c>
      <x:c r="D6670" s="16" t="str">
        <x:v>tanti@tir.com.my</x:v>
      </x:c>
      <x:c r="E6670" s="16" t="str">
        <x:v>* myContacts</x:v>
      </x:c>
      <x:c r="F6670" s="16" t="str">
        <x:v>+60 19-280 2434 | +60192802434</x:v>
      </x:c>
      <x:c r="G6670" s="16" t="str">
        <x:v>+60192802434 | +60192802434</x:v>
      </x:c>
      <x:c r="H6670" s="16" t="str">
        <x:v>Eligible</x:v>
      </x:c>
      <x:c r="I6670" s="16" t="str"/>
    </x:row>
    <x:row r="6671">
      <x:c r="A6671" s="16" t="n">
        <x:v>6668</x:v>
      </x:c>
      <x:c r="B6671" s="16" t="str">
        <x:v>Taranjeet Kaur</x:v>
      </x:c>
      <x:c r="C6671" s="16" t="str"/>
      <x:c r="D6671" s="16" t="str"/>
      <x:c r="E6671" s="16" t="str">
        <x:v>* myContacts</x:v>
      </x:c>
      <x:c r="F6671" s="16" t="str">
        <x:v>012-902 2740 | +60129022740</x:v>
      </x:c>
      <x:c r="G6671" s="16" t="str">
        <x:v>+60129022740 | +60129022740</x:v>
      </x:c>
      <x:c r="H6671" s="16" t="str">
        <x:v>Excluded</x:v>
      </x:c>
      <x:c r="I6671" s="16" t="str">
        <x:v>Missing email</x:v>
      </x:c>
    </x:row>
    <x:row r="6672">
      <x:c r="A6672" s="16" t="n">
        <x:v>6669</x:v>
      </x:c>
      <x:c r="B6672" s="16" t="str">
        <x:v>Tariq HRDF</x:v>
      </x:c>
      <x:c r="C6672" s="16" t="str"/>
      <x:c r="D6672" s="16" t="str"/>
      <x:c r="E6672" s="16" t="str">
        <x:v>* myContacts</x:v>
      </x:c>
      <x:c r="F6672" s="16" t="str">
        <x:v>0123780559 | +60123780559</x:v>
      </x:c>
      <x:c r="G6672" s="16" t="str">
        <x:v>+60123780559 | +60123780559</x:v>
      </x:c>
      <x:c r="H6672" s="16" t="str">
        <x:v>Excluded</x:v>
      </x:c>
      <x:c r="I6672" s="16" t="str">
        <x:v>Missing email</x:v>
      </x:c>
    </x:row>
    <x:row r="6673">
      <x:c r="A6673" s="16" t="n">
        <x:v>6670</x:v>
      </x:c>
      <x:c r="B6673" s="16" t="str">
        <x:v>Tarong Support</x:v>
      </x:c>
      <x:c r="C6673" s="16" t="str"/>
      <x:c r="D6673" s="16" t="str"/>
      <x:c r="E6673" s="16" t="str">
        <x:v>* myContacts</x:v>
      </x:c>
      <x:c r="F6673" s="16" t="str">
        <x:v>0132236447 | +60132236447</x:v>
      </x:c>
      <x:c r="G6673" s="16" t="str">
        <x:v>+60132236447 | +60132236447</x:v>
      </x:c>
      <x:c r="H6673" s="16" t="str">
        <x:v>Excluded</x:v>
      </x:c>
      <x:c r="I6673" s="16" t="str">
        <x:v>Missing email</x:v>
      </x:c>
    </x:row>
    <x:row r="6674">
      <x:c r="A6674" s="16" t="n">
        <x:v>6671</x:v>
      </x:c>
      <x:c r="B6674" s="16" t="str">
        <x:v>Tasha Marican</x:v>
      </x:c>
      <x:c r="C6674" s="16" t="str"/>
      <x:c r="D6674" s="16" t="str"/>
      <x:c r="E6674" s="16" t="str">
        <x:v>* myContacts</x:v>
      </x:c>
      <x:c r="F6674" s="16" t="str">
        <x:v>+60168600066</x:v>
      </x:c>
      <x:c r="G6674" s="16" t="str">
        <x:v>+60168600066</x:v>
      </x:c>
      <x:c r="H6674" s="16" t="str">
        <x:v>Excluded</x:v>
      </x:c>
      <x:c r="I6674" s="16" t="str">
        <x:v>Missing email</x:v>
      </x:c>
    </x:row>
    <x:row r="6675">
      <x:c r="A6675" s="16" t="n">
        <x:v>6672</x:v>
      </x:c>
      <x:c r="B6675" s="16" t="str">
        <x:v>Tasik Villa Reservation</x:v>
      </x:c>
      <x:c r="C6675" s="16" t="str"/>
      <x:c r="D6675" s="16" t="str"/>
      <x:c r="E6675" s="16" t="str">
        <x:v>* myContacts</x:v>
      </x:c>
      <x:c r="F6675" s="16" t="str">
        <x:v>+60122555688</x:v>
      </x:c>
      <x:c r="G6675" s="16" t="str">
        <x:v>+60122555688</x:v>
      </x:c>
      <x:c r="H6675" s="16" t="str">
        <x:v>Excluded</x:v>
      </x:c>
      <x:c r="I6675" s="16" t="str">
        <x:v>Missing email</x:v>
      </x:c>
    </x:row>
    <x:row r="6676">
      <x:c r="A6676" s="16" t="n">
        <x:v>6673</x:v>
      </x:c>
      <x:c r="B6676" s="16" t="str">
        <x:v>Taska Hanney</x:v>
      </x:c>
      <x:c r="C6676" s="16" t="str"/>
      <x:c r="D6676" s="16" t="str"/>
      <x:c r="E6676" s="16" t="str">
        <x:v>* myContacts</x:v>
      </x:c>
      <x:c r="F6676" s="16" t="str">
        <x:v>+60123782162</x:v>
      </x:c>
      <x:c r="G6676" s="16" t="str">
        <x:v>+60123782162</x:v>
      </x:c>
      <x:c r="H6676" s="16" t="str">
        <x:v>Excluded</x:v>
      </x:c>
      <x:c r="I6676" s="16" t="str">
        <x:v>Missing email</x:v>
      </x:c>
    </x:row>
    <x:row r="6677">
      <x:c r="A6677" s="16" t="n">
        <x:v>6674</x:v>
      </x:c>
      <x:c r="B6677" s="16" t="str">
        <x:v>Taufik Kamaruddin</x:v>
      </x:c>
      <x:c r="C6677" s="16" t="str"/>
      <x:c r="D6677" s="16" t="str"/>
      <x:c r="E6677" s="16" t="str">
        <x:v>* myContacts</x:v>
      </x:c>
      <x:c r="F6677" s="16" t="str">
        <x:v>+601115650835</x:v>
      </x:c>
      <x:c r="G6677" s="16" t="str">
        <x:v>+601115650835</x:v>
      </x:c>
      <x:c r="H6677" s="16" t="str">
        <x:v>Excluded</x:v>
      </x:c>
      <x:c r="I6677" s="16" t="str">
        <x:v>Missing email</x:v>
      </x:c>
    </x:row>
    <x:row r="6678">
      <x:c r="A6678" s="16" t="n">
        <x:v>6675</x:v>
      </x:c>
      <x:c r="B6678" s="16" t="str">
        <x:v>Taufiq JNJ</x:v>
      </x:c>
      <x:c r="C6678" s="16" t="str"/>
      <x:c r="D6678" s="16" t="str"/>
      <x:c r="E6678" s="16" t="str">
        <x:v>* myContacts</x:v>
      </x:c>
      <x:c r="F6678" s="16" t="str">
        <x:v>+60 17-517 8467</x:v>
      </x:c>
      <x:c r="G6678" s="16" t="str">
        <x:v>+60175178467</x:v>
      </x:c>
      <x:c r="H6678" s="16" t="str">
        <x:v>Excluded</x:v>
      </x:c>
      <x:c r="I6678" s="16" t="str">
        <x:v>Missing email</x:v>
      </x:c>
    </x:row>
    <x:row r="6679">
      <x:c r="A6679" s="16" t="n">
        <x:v>6676</x:v>
      </x:c>
      <x:c r="B6679" s="16" t="str">
        <x:v>taufiq kontractor taiping</x:v>
      </x:c>
      <x:c r="C6679" s="16" t="str"/>
      <x:c r="D6679" s="16" t="str"/>
      <x:c r="E6679" s="16" t="str">
        <x:v>* myContacts</x:v>
      </x:c>
      <x:c r="F6679" s="16" t="str">
        <x:v>017-552 0802 | +60175520802</x:v>
      </x:c>
      <x:c r="G6679" s="16" t="str">
        <x:v>+60175520802 | +60175520802</x:v>
      </x:c>
      <x:c r="H6679" s="16" t="str">
        <x:v>Excluded</x:v>
      </x:c>
      <x:c r="I6679" s="16" t="str">
        <x:v>Missing email</x:v>
      </x:c>
    </x:row>
    <x:row r="6680">
      <x:c r="A6680" s="16" t="n">
        <x:v>6677</x:v>
      </x:c>
      <x:c r="B6680" s="16" t="str">
        <x:v>Taufiq pakar tarik duit</x:v>
      </x:c>
      <x:c r="C6680" s="16" t="str"/>
      <x:c r="D6680" s="16" t="str"/>
      <x:c r="E6680" s="16" t="str">
        <x:v>* myContacts</x:v>
      </x:c>
      <x:c r="F6680" s="16" t="str">
        <x:v>017-517 8467 | +60175178467</x:v>
      </x:c>
      <x:c r="G6680" s="16" t="str">
        <x:v>+60175178467 | +60175178467</x:v>
      </x:c>
      <x:c r="H6680" s="16" t="str">
        <x:v>Excluded</x:v>
      </x:c>
      <x:c r="I6680" s="16" t="str">
        <x:v>Missing email</x:v>
      </x:c>
    </x:row>
    <x:row r="6681">
      <x:c r="A6681" s="16" t="n">
        <x:v>6678</x:v>
      </x:c>
      <x:c r="B6681" s="16" t="str">
        <x:v>Taufiqil Najihah</x:v>
      </x:c>
      <x:c r="C6681" s="16" t="str"/>
      <x:c r="D6681" s="16" t="str"/>
      <x:c r="E6681" s="16" t="str">
        <x:v>* myContacts</x:v>
      </x:c>
      <x:c r="F6681" s="16" t="str">
        <x:v>+60145168327</x:v>
      </x:c>
      <x:c r="G6681" s="16" t="str">
        <x:v>+60145168327</x:v>
      </x:c>
      <x:c r="H6681" s="16" t="str">
        <x:v>Excluded</x:v>
      </x:c>
      <x:c r="I6681" s="16" t="str">
        <x:v>Missing email</x:v>
      </x:c>
    </x:row>
    <x:row r="6682">
      <x:c r="A6682" s="16" t="n">
        <x:v>6679</x:v>
      </x:c>
      <x:c r="B6682" s="16" t="str">
        <x:v>Tauke Berani King</x:v>
      </x:c>
      <x:c r="C6682" s="16" t="str"/>
      <x:c r="D6682" s="16" t="str"/>
      <x:c r="E6682" s="16" t="str">
        <x:v>* myContacts</x:v>
      </x:c>
      <x:c r="F6682" s="16" t="str">
        <x:v>+60168019614</x:v>
      </x:c>
      <x:c r="G6682" s="16" t="str">
        <x:v>+60168019614</x:v>
      </x:c>
      <x:c r="H6682" s="16" t="str">
        <x:v>Excluded</x:v>
      </x:c>
      <x:c r="I6682" s="16" t="str">
        <x:v>Missing email</x:v>
      </x:c>
    </x:row>
    <x:row r="6683">
      <x:c r="A6683" s="16" t="n">
        <x:v>6680</x:v>
      </x:c>
      <x:c r="B6683" s="16" t="str">
        <x:v>Tauke Faizul Lee</x:v>
      </x:c>
      <x:c r="C6683" s="16" t="str"/>
      <x:c r="D6683" s="16" t="str"/>
      <x:c r="E6683" s="16" t="str">
        <x:v>* myContacts</x:v>
      </x:c>
      <x:c r="F6683" s="16" t="str">
        <x:v>+60 16-652 0201 | +60166520201</x:v>
      </x:c>
      <x:c r="G6683" s="16" t="str">
        <x:v>+60166520201 | +60166520201</x:v>
      </x:c>
      <x:c r="H6683" s="16" t="str">
        <x:v>Excluded</x:v>
      </x:c>
      <x:c r="I6683" s="16" t="str">
        <x:v>Missing email</x:v>
      </x:c>
    </x:row>
    <x:row r="6684">
      <x:c r="A6684" s="16" t="n">
        <x:v>6681</x:v>
      </x:c>
      <x:c r="B6684" s="16" t="str">
        <x:v>Tauke Homestay Cameron</x:v>
      </x:c>
      <x:c r="C6684" s="16" t="str"/>
      <x:c r="D6684" s="16" t="str"/>
      <x:c r="E6684" s="16" t="str">
        <x:v>* myContacts</x:v>
      </x:c>
      <x:c r="F6684" s="16" t="str">
        <x:v>+60132556955</x:v>
      </x:c>
      <x:c r="G6684" s="16" t="str">
        <x:v>+60132556955</x:v>
      </x:c>
      <x:c r="H6684" s="16" t="str">
        <x:v>Excluded</x:v>
      </x:c>
      <x:c r="I6684" s="16" t="str">
        <x:v>Missing email</x:v>
      </x:c>
    </x:row>
    <x:row r="6685">
      <x:c r="A6685" s="16" t="n">
        <x:v>6682</x:v>
      </x:c>
      <x:c r="B6685" s="16" t="str">
        <x:v>Tauke Jam Azan Diana</x:v>
      </x:c>
      <x:c r="C6685" s="16" t="str"/>
      <x:c r="D6685" s="16" t="str"/>
      <x:c r="E6685" s="16" t="str">
        <x:v>* myContacts</x:v>
      </x:c>
      <x:c r="F6685" s="16" t="str">
        <x:v>01127382879 | +601127382879</x:v>
      </x:c>
      <x:c r="G6685" s="16" t="str">
        <x:v>+601127382879 | +601127382879</x:v>
      </x:c>
      <x:c r="H6685" s="16" t="str">
        <x:v>Excluded</x:v>
      </x:c>
      <x:c r="I6685" s="16" t="str">
        <x:v>Missing email</x:v>
      </x:c>
    </x:row>
    <x:row r="6686">
      <x:c r="A6686" s="16" t="n">
        <x:v>6683</x:v>
      </x:c>
      <x:c r="B6686" s="16" t="str">
        <x:v>Tauke Johar Jaafat</x:v>
      </x:c>
      <x:c r="C6686" s="16" t="str"/>
      <x:c r="D6686" s="16" t="str"/>
      <x:c r="E6686" s="16" t="str">
        <x:v>* myContacts</x:v>
      </x:c>
      <x:c r="F6686" s="16" t="str">
        <x:v>+60 19-288 0209 | +60192880209</x:v>
      </x:c>
      <x:c r="G6686" s="16" t="str">
        <x:v>+60192880209 | +60192880209</x:v>
      </x:c>
      <x:c r="H6686" s="16" t="str">
        <x:v>Excluded</x:v>
      </x:c>
      <x:c r="I6686" s="16" t="str">
        <x:v>Missing email</x:v>
      </x:c>
    </x:row>
    <x:row r="6687">
      <x:c r="A6687" s="16" t="n">
        <x:v>6684</x:v>
      </x:c>
      <x:c r="B6687" s="16" t="str">
        <x:v>Tauke Kereta Abg Hamka</x:v>
      </x:c>
      <x:c r="C6687" s="16" t="str"/>
      <x:c r="D6687" s="16" t="str"/>
      <x:c r="E6687" s="16" t="str">
        <x:v>* myContacts</x:v>
      </x:c>
      <x:c r="F6687" s="16" t="str">
        <x:v>+60 16-765 1316 | +60167651316</x:v>
      </x:c>
      <x:c r="G6687" s="16" t="str">
        <x:v>+60167651316 | +60167651316</x:v>
      </x:c>
      <x:c r="H6687" s="16" t="str">
        <x:v>Excluded</x:v>
      </x:c>
      <x:c r="I6687" s="16" t="str">
        <x:v>Missing email</x:v>
      </x:c>
    </x:row>
    <x:row r="6688">
      <x:c r="A6688" s="16" t="n">
        <x:v>6685</x:v>
      </x:c>
      <x:c r="B6688" s="16" t="str">
        <x:v>tauke runner yip</x:v>
      </x:c>
      <x:c r="C6688" s="16" t="str"/>
      <x:c r="D6688" s="16" t="str"/>
      <x:c r="E6688" s="16" t="str">
        <x:v>* myContacts</x:v>
      </x:c>
      <x:c r="F6688" s="16" t="str">
        <x:v>0183938542 | +60183938542</x:v>
      </x:c>
      <x:c r="G6688" s="16" t="str">
        <x:v>+60183938542 | +60183938542</x:v>
      </x:c>
      <x:c r="H6688" s="16" t="str">
        <x:v>Excluded</x:v>
      </x:c>
      <x:c r="I6688" s="16" t="str">
        <x:v>Missing email</x:v>
      </x:c>
    </x:row>
    <x:row r="6689">
      <x:c r="A6689" s="16" t="n">
        <x:v>6686</x:v>
      </x:c>
      <x:c r="B6689" s="16" t="str">
        <x:v>Taukey Ezieypay Enteprise</x:v>
      </x:c>
      <x:c r="C6689" s="16" t="str"/>
      <x:c r="D6689" s="16" t="str"/>
      <x:c r="E6689" s="16" t="str">
        <x:v>* myContacts</x:v>
      </x:c>
      <x:c r="F6689" s="16" t="str">
        <x:v>+60139428435</x:v>
      </x:c>
      <x:c r="G6689" s="16" t="str">
        <x:v>+60139428435</x:v>
      </x:c>
      <x:c r="H6689" s="16" t="str">
        <x:v>Excluded</x:v>
      </x:c>
      <x:c r="I6689" s="16" t="str">
        <x:v>Missing email</x:v>
      </x:c>
    </x:row>
    <x:row r="6690">
      <x:c r="A6690" s="16" t="n">
        <x:v>6687</x:v>
      </x:c>
      <x:c r="B6690" s="16" t="str">
        <x:v>Tazlimatuliza Wan Din</x:v>
      </x:c>
      <x:c r="C6690" s="16" t="str"/>
      <x:c r="D6690" s="16" t="str"/>
      <x:c r="E6690" s="16" t="str">
        <x:v>* myContacts</x:v>
      </x:c>
      <x:c r="F6690" s="16" t="str">
        <x:v>+60132289534</x:v>
      </x:c>
      <x:c r="G6690" s="16" t="str">
        <x:v>+60132289534</x:v>
      </x:c>
      <x:c r="H6690" s="16" t="str">
        <x:v>Excluded</x:v>
      </x:c>
      <x:c r="I6690" s="16" t="str">
        <x:v>Missing email</x:v>
      </x:c>
    </x:row>
    <x:row r="6691">
      <x:c r="A6691" s="16" t="n">
        <x:v>6688</x:v>
      </x:c>
      <x:c r="B6691" s="16" t="str">
        <x:v>Teah abang abu</x:v>
      </x:c>
      <x:c r="C6691" s="16" t="str"/>
      <x:c r="D6691" s="16" t="str"/>
      <x:c r="E6691" s="16" t="str">
        <x:v>* myContacts</x:v>
      </x:c>
      <x:c r="F6691" s="16" t="str">
        <x:v>+601156515058</x:v>
      </x:c>
      <x:c r="G6691" s="16" t="str">
        <x:v>+601156515058</x:v>
      </x:c>
      <x:c r="H6691" s="16" t="str">
        <x:v>Excluded</x:v>
      </x:c>
      <x:c r="I6691" s="16" t="str">
        <x:v>Missing email</x:v>
      </x:c>
    </x:row>
    <x:row r="6692">
      <x:c r="A6692" s="16" t="n">
        <x:v>6689</x:v>
      </x:c>
      <x:c r="B6692" s="16" t="str">
        <x:v>Technical June Kmedia</x:v>
      </x:c>
      <x:c r="C6692" s="16" t="str"/>
      <x:c r="D6692" s="16" t="str"/>
      <x:c r="E6692" s="16" t="str">
        <x:v>* myContacts</x:v>
      </x:c>
      <x:c r="F6692" s="16" t="str">
        <x:v>+60 13-393 1667 | +60133931667</x:v>
      </x:c>
      <x:c r="G6692" s="16" t="str">
        <x:v>+60133931667 | +60133931667</x:v>
      </x:c>
      <x:c r="H6692" s="16" t="str">
        <x:v>Excluded</x:v>
      </x:c>
      <x:c r="I6692" s="16" t="str">
        <x:v>Missing email</x:v>
      </x:c>
    </x:row>
    <x:row r="6693">
      <x:c r="A6693" s="16" t="n">
        <x:v>6690</x:v>
      </x:c>
      <x:c r="B6693" s="16" t="str">
        <x:v>Technician Komputer Pinjam</x:v>
      </x:c>
      <x:c r="C6693" s="16" t="str"/>
      <x:c r="D6693" s="16" t="str"/>
      <x:c r="E6693" s="16" t="str">
        <x:v>* myContacts</x:v>
      </x:c>
      <x:c r="F6693" s="16" t="str">
        <x:v>0104495167 | +60104495167</x:v>
      </x:c>
      <x:c r="G6693" s="16" t="str">
        <x:v>+60104495167 | +60104495167</x:v>
      </x:c>
      <x:c r="H6693" s="16" t="str">
        <x:v>Excluded</x:v>
      </x:c>
      <x:c r="I6693" s="16" t="str">
        <x:v>Missing email</x:v>
      </x:c>
    </x:row>
    <x:row r="6694">
      <x:c r="A6694" s="16" t="n">
        <x:v>6691</x:v>
      </x:c>
      <x:c r="B6694" s="16" t="str">
        <x:v>Technician Tabung Haji</x:v>
      </x:c>
      <x:c r="C6694" s="16" t="str"/>
      <x:c r="D6694" s="16" t="str"/>
      <x:c r="E6694" s="16" t="str">
        <x:v>* myContacts</x:v>
      </x:c>
      <x:c r="F6694" s="16" t="str">
        <x:v>019-227 0733 | +60192270733</x:v>
      </x:c>
      <x:c r="G6694" s="16" t="str">
        <x:v>+60192270733 | +60192270733</x:v>
      </x:c>
      <x:c r="H6694" s="16" t="str">
        <x:v>Excluded</x:v>
      </x:c>
      <x:c r="I6694" s="16" t="str">
        <x:v>Missing email</x:v>
      </x:c>
    </x:row>
    <x:row r="6695">
      <x:c r="A6695" s="16" t="n">
        <x:v>6692</x:v>
      </x:c>
      <x:c r="B6695" s="16" t="str">
        <x:v>Teddy Ishiro</x:v>
      </x:c>
      <x:c r="C6695" s="16" t="str"/>
      <x:c r="D6695" s="16" t="str"/>
      <x:c r="E6695" s="16" t="str">
        <x:v>* myContacts</x:v>
      </x:c>
      <x:c r="F6695" s="16" t="str">
        <x:v>+601119113705</x:v>
      </x:c>
      <x:c r="G6695" s="16" t="str">
        <x:v>+601119113705</x:v>
      </x:c>
      <x:c r="H6695" s="16" t="str">
        <x:v>Excluded</x:v>
      </x:c>
      <x:c r="I6695" s="16" t="str">
        <x:v>Missing email</x:v>
      </x:c>
    </x:row>
    <x:row r="6696">
      <x:c r="A6696" s="16" t="n">
        <x:v>6693</x:v>
      </x:c>
      <x:c r="B6696" s="16" t="str">
        <x:v>Teddy Mdec IM</x:v>
      </x:c>
      <x:c r="C6696" s="16" t="str"/>
      <x:c r="D6696" s="16" t="str"/>
      <x:c r="E6696" s="16" t="str">
        <x:v>* myContacts</x:v>
      </x:c>
      <x:c r="F6696" s="16" t="str">
        <x:v>0139597604 | +601161296790 | +60 11-2707 9268 | +60139597604 | +601161296790 | +601127079268</x:v>
      </x:c>
      <x:c r="G6696" s="16" t="str">
        <x:v>+60139597604 | +601161296790 | +601127079268 | +60139597604 | +601161296790 | +601127079268</x:v>
      </x:c>
      <x:c r="H6696" s="16" t="str">
        <x:v>Excluded</x:v>
      </x:c>
      <x:c r="I6696" s="16" t="str">
        <x:v>Missing email</x:v>
      </x:c>
    </x:row>
    <x:row r="6697">
      <x:c r="A6697" s="16" t="n">
        <x:v>6694</x:v>
      </x:c>
      <x:c r="B6697" s="16" t="str">
        <x:v>Teha Myfriend. fm</x:v>
      </x:c>
      <x:c r="C6697" s="16" t="str"/>
      <x:c r="D6697" s="16" t="str"/>
      <x:c r="E6697" s="16" t="str">
        <x:v>* myContacts</x:v>
      </x:c>
      <x:c r="F6697" s="16" t="str">
        <x:v>+60 19-453 5091 | +60194535091</x:v>
      </x:c>
      <x:c r="G6697" s="16" t="str">
        <x:v>+60194535091 | +60194535091</x:v>
      </x:c>
      <x:c r="H6697" s="16" t="str">
        <x:v>Excluded</x:v>
      </x:c>
      <x:c r="I6697" s="16" t="str">
        <x:v>Missing email</x:v>
      </x:c>
    </x:row>
    <x:row r="6698">
      <x:c r="A6698" s="16" t="n">
        <x:v>6695</x:v>
      </x:c>
      <x:c r="B6698" s="16" t="str">
        <x:v>Teknik Mudah Tarik Rezeki</x:v>
      </x:c>
      <x:c r="C6698" s="16" t="str"/>
      <x:c r="D6698" s="16" t="str"/>
      <x:c r="E6698" s="16" t="str">
        <x:v>* myContacts</x:v>
      </x:c>
      <x:c r="F6698" s="16" t="str">
        <x:v>+60187638545</x:v>
      </x:c>
      <x:c r="G6698" s="16" t="str">
        <x:v>+60187638545</x:v>
      </x:c>
      <x:c r="H6698" s="16" t="str">
        <x:v>Excluded</x:v>
      </x:c>
      <x:c r="I6698" s="16" t="str">
        <x:v>Missing email</x:v>
      </x:c>
    </x:row>
    <x:row r="6699">
      <x:c r="A6699" s="16" t="n">
        <x:v>6696</x:v>
      </x:c>
      <x:c r="B6699" s="16" t="str">
        <x:v>Teksi Kota Kinabalu Sabah</x:v>
      </x:c>
      <x:c r="C6699" s="16" t="str"/>
      <x:c r="D6699" s="16" t="str"/>
      <x:c r="E6699" s="16" t="str">
        <x:v>* myContacts</x:v>
      </x:c>
      <x:c r="F6699" s="16" t="str">
        <x:v>+60149550124</x:v>
      </x:c>
      <x:c r="G6699" s="16" t="str">
        <x:v>+60149550124</x:v>
      </x:c>
      <x:c r="H6699" s="16" t="str">
        <x:v>Excluded</x:v>
      </x:c>
      <x:c r="I6699" s="16" t="str">
        <x:v>Missing email</x:v>
      </x:c>
    </x:row>
    <x:row r="6700">
      <x:c r="A6700" s="16" t="n">
        <x:v>6697</x:v>
      </x:c>
      <x:c r="B6700" s="16" t="str">
        <x:v>Tekun Nasional Hq</x:v>
      </x:c>
      <x:c r="C6700" s="16" t="str"/>
      <x:c r="D6700" s="16" t="str"/>
      <x:c r="E6700" s="16" t="str">
        <x:v>* myContacts</x:v>
      </x:c>
      <x:c r="F6700" s="16" t="str">
        <x:v>+60 3-9059 8888 | +60390598888</x:v>
      </x:c>
      <x:c r="G6700" s="16" t="str">
        <x:v>+60390598888 | +60390598888</x:v>
      </x:c>
      <x:c r="H6700" s="16" t="str">
        <x:v>Excluded</x:v>
      </x:c>
      <x:c r="I6700" s="16" t="str">
        <x:v>Missing email</x:v>
      </x:c>
    </x:row>
    <x:row r="6701">
      <x:c r="A6701" s="16" t="n">
        <x:v>6698</x:v>
      </x:c>
      <x:c r="B6701" s="16" t="str">
        <x:v>Tempa Kirana</x:v>
      </x:c>
      <x:c r="C6701" s="16" t="str"/>
      <x:c r="D6701" s="16" t="str"/>
      <x:c r="E6701" s="16" t="str">
        <x:v>* myContacts</x:v>
      </x:c>
      <x:c r="F6701" s="16" t="str">
        <x:v>+60135305254</x:v>
      </x:c>
      <x:c r="G6701" s="16" t="str">
        <x:v>+60135305254</x:v>
      </x:c>
      <x:c r="H6701" s="16" t="str">
        <x:v>Excluded</x:v>
      </x:c>
      <x:c r="I6701" s="16" t="str">
        <x:v>Missing email</x:v>
      </x:c>
    </x:row>
    <x:row r="6702">
      <x:c r="A6702" s="16" t="n">
        <x:v>6699</x:v>
      </x:c>
      <x:c r="B6702" s="16" t="str">
        <x:v>Teng Ming Insurance Tanjong Karang</x:v>
      </x:c>
      <x:c r="C6702" s="16" t="str"/>
      <x:c r="D6702" s="16" t="str"/>
      <x:c r="E6702" s="16" t="str">
        <x:v>* myContacts</x:v>
      </x:c>
      <x:c r="F6702" s="16" t="str">
        <x:v>+60 12-299 1369 | +60122991369</x:v>
      </x:c>
      <x:c r="G6702" s="16" t="str">
        <x:v>+60122991369 | +60122991369</x:v>
      </x:c>
      <x:c r="H6702" s="16" t="str">
        <x:v>Excluded</x:v>
      </x:c>
      <x:c r="I6702" s="16" t="str">
        <x:v>Missing email</x:v>
      </x:c>
    </x:row>
    <x:row r="6703">
      <x:c r="A6703" s="16" t="n">
        <x:v>6700</x:v>
      </x:c>
      <x:c r="B6703" s="16" t="str">
        <x:v>Tengku Adri</x:v>
      </x:c>
      <x:c r="C6703" s="16" t="str"/>
      <x:c r="D6703" s="16" t="str"/>
      <x:c r="E6703" s="16" t="str">
        <x:v>* myContacts</x:v>
      </x:c>
      <x:c r="F6703" s="16" t="str">
        <x:v>+60199186878</x:v>
      </x:c>
      <x:c r="G6703" s="16" t="str">
        <x:v>+60199186878</x:v>
      </x:c>
      <x:c r="H6703" s="16" t="str">
        <x:v>Excluded</x:v>
      </x:c>
      <x:c r="I6703" s="16" t="str">
        <x:v>Missing email</x:v>
      </x:c>
    </x:row>
    <x:row r="6704">
      <x:c r="A6704" s="16" t="n">
        <x:v>6701</x:v>
      </x:c>
      <x:c r="B6704" s="16" t="str">
        <x:v>TenGku AQim</x:v>
      </x:c>
      <x:c r="C6704" s="16" t="str"/>
      <x:c r="D6704" s="16" t="str"/>
      <x:c r="E6704" s="16" t="str">
        <x:v>* myContacts</x:v>
      </x:c>
      <x:c r="F6704" s="16" t="str">
        <x:v>+60167463970</x:v>
      </x:c>
      <x:c r="G6704" s="16" t="str">
        <x:v>+60167463970</x:v>
      </x:c>
      <x:c r="H6704" s="16" t="str">
        <x:v>Excluded</x:v>
      </x:c>
      <x:c r="I6704" s="16" t="str">
        <x:v>Missing email</x:v>
      </x:c>
    </x:row>
    <x:row r="6705">
      <x:c r="A6705" s="16" t="n">
        <x:v>6702</x:v>
      </x:c>
      <x:c r="B6705" s="16" t="str">
        <x:v>Tengku Asmadi AGP Agent</x:v>
      </x:c>
      <x:c r="C6705" s="16" t="str"/>
      <x:c r="D6705" s="16" t="str"/>
      <x:c r="E6705" s="16" t="str">
        <x:v>* myContacts</x:v>
      </x:c>
      <x:c r="F6705" s="16" t="str">
        <x:v>016-955 0465 | +60169550465</x:v>
      </x:c>
      <x:c r="G6705" s="16" t="str">
        <x:v>+60169550465 | +60169550465</x:v>
      </x:c>
      <x:c r="H6705" s="16" t="str">
        <x:v>Excluded</x:v>
      </x:c>
      <x:c r="I6705" s="16" t="str">
        <x:v>Missing email</x:v>
      </x:c>
    </x:row>
    <x:row r="6706">
      <x:c r="A6706" s="16" t="n">
        <x:v>6703</x:v>
      </x:c>
      <x:c r="B6706" s="16" t="str">
        <x:v>Tengku Faisal</x:v>
      </x:c>
      <x:c r="C6706" s="16" t="str"/>
      <x:c r="D6706" s="16" t="str"/>
      <x:c r="E6706" s="16" t="str">
        <x:v>* myContacts</x:v>
      </x:c>
      <x:c r="F6706" s="16" t="str">
        <x:v>+60148415035</x:v>
      </x:c>
      <x:c r="G6706" s="16" t="str">
        <x:v>+60148415035</x:v>
      </x:c>
      <x:c r="H6706" s="16" t="str">
        <x:v>Excluded</x:v>
      </x:c>
      <x:c r="I6706" s="16" t="str">
        <x:v>Missing email</x:v>
      </x:c>
    </x:row>
    <x:row r="6707">
      <x:c r="A6707" s="16" t="n">
        <x:v>6704</x:v>
      </x:c>
      <x:c r="B6707" s="16" t="str">
        <x:v>Tengku Isma Faiz</x:v>
      </x:c>
      <x:c r="C6707" s="16" t="str"/>
      <x:c r="D6707" s="16" t="str"/>
      <x:c r="E6707" s="16" t="str">
        <x:v>* myContacts</x:v>
      </x:c>
      <x:c r="F6707" s="16" t="str">
        <x:v>+60174903052</x:v>
      </x:c>
      <x:c r="G6707" s="16" t="str">
        <x:v>+60174903052</x:v>
      </x:c>
      <x:c r="H6707" s="16" t="str">
        <x:v>Excluded</x:v>
      </x:c>
      <x:c r="I6707" s="16" t="str">
        <x:v>Missing email</x:v>
      </x:c>
    </x:row>
    <x:row r="6708">
      <x:c r="A6708" s="16" t="n">
        <x:v>6705</x:v>
      </x:c>
      <x:c r="B6708" s="16" t="str">
        <x:v>Tengku Muidz Jhaill</x:v>
      </x:c>
      <x:c r="C6708" s="16" t="str"/>
      <x:c r="D6708" s="16" t="str"/>
      <x:c r="E6708" s="16" t="str">
        <x:v>* myContacts</x:v>
      </x:c>
      <x:c r="F6708" s="16" t="str">
        <x:v>+60149224288</x:v>
      </x:c>
      <x:c r="G6708" s="16" t="str">
        <x:v>+60149224288</x:v>
      </x:c>
      <x:c r="H6708" s="16" t="str">
        <x:v>Excluded</x:v>
      </x:c>
      <x:c r="I6708" s="16" t="str">
        <x:v>Missing email</x:v>
      </x:c>
    </x:row>
    <x:row r="6709">
      <x:c r="A6709" s="16" t="n">
        <x:v>6706</x:v>
      </x:c>
      <x:c r="B6709" s="16" t="str">
        <x:v>Tengku Putra Ahmad Dany</x:v>
      </x:c>
      <x:c r="C6709" s="16" t="str"/>
      <x:c r="D6709" s="16" t="str"/>
      <x:c r="E6709" s="16" t="str">
        <x:v>* myContacts</x:v>
      </x:c>
      <x:c r="F6709" s="16" t="str">
        <x:v>+60199966894</x:v>
      </x:c>
      <x:c r="G6709" s="16" t="str">
        <x:v>+60199966894</x:v>
      </x:c>
      <x:c r="H6709" s="16" t="str">
        <x:v>Excluded</x:v>
      </x:c>
      <x:c r="I6709" s="16" t="str">
        <x:v>Missing email</x:v>
      </x:c>
    </x:row>
    <x:row r="6710">
      <x:c r="A6710" s="16" t="n">
        <x:v>6707</x:v>
      </x:c>
      <x:c r="B6710" s="16" t="str">
        <x:v>Tengku Shahriman Aizat</x:v>
      </x:c>
      <x:c r="C6710" s="16" t="str"/>
      <x:c r="D6710" s="16" t="str"/>
      <x:c r="E6710" s="16" t="str">
        <x:v>* myContacts</x:v>
      </x:c>
      <x:c r="F6710" s="16" t="str">
        <x:v>+60109225937</x:v>
      </x:c>
      <x:c r="G6710" s="16" t="str">
        <x:v>+60109225937</x:v>
      </x:c>
      <x:c r="H6710" s="16" t="str">
        <x:v>Excluded</x:v>
      </x:c>
      <x:c r="I6710" s="16" t="str">
        <x:v>Missing email</x:v>
      </x:c>
    </x:row>
    <x:row r="6711">
      <x:c r="A6711" s="16" t="n">
        <x:v>6708</x:v>
      </x:c>
      <x:c r="B6711" s="16" t="str">
        <x:v>Tengku Topix Komputer</x:v>
      </x:c>
      <x:c r="C6711" s="16" t="str"/>
      <x:c r="D6711" s="16" t="str"/>
      <x:c r="E6711" s="16" t="str">
        <x:v>* myContacts</x:v>
      </x:c>
      <x:c r="F6711" s="16" t="str">
        <x:v>+60 12-285 5152 | +60122855152</x:v>
      </x:c>
      <x:c r="G6711" s="16" t="str">
        <x:v>+60122855152 | +60122855152</x:v>
      </x:c>
      <x:c r="H6711" s="16" t="str">
        <x:v>Excluded</x:v>
      </x:c>
      <x:c r="I6711" s="16" t="str">
        <x:v>Missing email</x:v>
      </x:c>
    </x:row>
    <x:row r="6712">
      <x:c r="A6712" s="16" t="n">
        <x:v>6709</x:v>
      </x:c>
      <x:c r="B6712" s="16" t="str">
        <x:v>teo tuan xiang</x:v>
      </x:c>
      <x:c r="C6712" s="16" t="str"/>
      <x:c r="D6712" s="16" t="str"/>
      <x:c r="E6712" s="16" t="str">
        <x:v>* myContacts</x:v>
      </x:c>
      <x:c r="F6712" s="16" t="str">
        <x:v>0102532636 | +60102532636</x:v>
      </x:c>
      <x:c r="G6712" s="16" t="str">
        <x:v>+60102532636 | +60102532636</x:v>
      </x:c>
      <x:c r="H6712" s="16" t="str">
        <x:v>Excluded</x:v>
      </x:c>
      <x:c r="I6712" s="16" t="str">
        <x:v>Missing email</x:v>
      </x:c>
    </x:row>
    <x:row r="6713">
      <x:c r="A6713" s="16" t="n">
        <x:v>6710</x:v>
      </x:c>
      <x:c r="B6713" s="16" t="str">
        <x:v>Teratak Impian</x:v>
      </x:c>
      <x:c r="C6713" s="16" t="str"/>
      <x:c r="D6713" s="16" t="str"/>
      <x:c r="E6713" s="16" t="str">
        <x:v>* myContacts</x:v>
      </x:c>
      <x:c r="F6713" s="16" t="str">
        <x:v>+60199336535</x:v>
      </x:c>
      <x:c r="G6713" s="16" t="str">
        <x:v>+60199336535</x:v>
      </x:c>
      <x:c r="H6713" s="16" t="str">
        <x:v>Excluded</x:v>
      </x:c>
      <x:c r="I6713" s="16" t="str">
        <x:v>Missing email</x:v>
      </x:c>
    </x:row>
    <x:row r="6714">
      <x:c r="A6714" s="16" t="n">
        <x:v>6711</x:v>
      </x:c>
      <x:c r="B6714" s="16" t="str">
        <x:v>Terkukur Teragung</x:v>
      </x:c>
      <x:c r="C6714" s="16" t="str"/>
      <x:c r="D6714" s="16" t="str"/>
      <x:c r="E6714" s="16" t="str">
        <x:v>* myContacts</x:v>
      </x:c>
      <x:c r="F6714" s="16" t="str">
        <x:v>+60197145441</x:v>
      </x:c>
      <x:c r="G6714" s="16" t="str">
        <x:v>+60197145441</x:v>
      </x:c>
      <x:c r="H6714" s="16" t="str">
        <x:v>Excluded</x:v>
      </x:c>
      <x:c r="I6714" s="16" t="str">
        <x:v>Missing email</x:v>
      </x:c>
    </x:row>
    <x:row r="6715">
      <x:c r="A6715" s="16" t="n">
        <x:v>6712</x:v>
      </x:c>
      <x:c r="B6715" s="16" t="str">
        <x:v>Terrence Ren</x:v>
      </x:c>
      <x:c r="C6715" s="16" t="str"/>
      <x:c r="D6715" s="16" t="str"/>
      <x:c r="E6715" s="16" t="str">
        <x:v>* myContacts</x:v>
      </x:c>
      <x:c r="F6715" s="16" t="str">
        <x:v>+601115227374</x:v>
      </x:c>
      <x:c r="G6715" s="16" t="str">
        <x:v>+601115227374</x:v>
      </x:c>
      <x:c r="H6715" s="16" t="str">
        <x:v>Excluded</x:v>
      </x:c>
      <x:c r="I6715" s="16" t="str">
        <x:v>Missing email</x:v>
      </x:c>
    </x:row>
    <x:row r="6716">
      <x:c r="A6716" s="16" t="n">
        <x:v>6713</x:v>
      </x:c>
      <x:c r="B6716" s="16" t="str">
        <x:v>Teruna Desaku</x:v>
      </x:c>
      <x:c r="C6716" s="16" t="str"/>
      <x:c r="D6716" s="16" t="str"/>
      <x:c r="E6716" s="16" t="str">
        <x:v>* myContacts</x:v>
      </x:c>
      <x:c r="F6716" s="16" t="str">
        <x:v>+60142448426</x:v>
      </x:c>
      <x:c r="G6716" s="16" t="str">
        <x:v>+60142448426</x:v>
      </x:c>
      <x:c r="H6716" s="16" t="str">
        <x:v>Excluded</x:v>
      </x:c>
      <x:c r="I6716" s="16" t="str">
        <x:v>Missing email</x:v>
      </x:c>
    </x:row>
    <x:row r="6717">
      <x:c r="A6717" s="16" t="n">
        <x:v>6714</x:v>
      </x:c>
      <x:c r="B6717" s="16" t="str">
        <x:v>Tetuan Shah</x:v>
      </x:c>
      <x:c r="C6717" s="16" t="str"/>
      <x:c r="D6717" s="16" t="str"/>
      <x:c r="E6717" s="16" t="str">
        <x:v>* myContacts</x:v>
      </x:c>
      <x:c r="F6717" s="16" t="str">
        <x:v>+60149092909</x:v>
      </x:c>
      <x:c r="G6717" s="16" t="str">
        <x:v>+60149092909</x:v>
      </x:c>
      <x:c r="H6717" s="16" t="str">
        <x:v>Excluded</x:v>
      </x:c>
      <x:c r="I6717" s="16" t="str">
        <x:v>Missing email</x:v>
      </x:c>
    </x:row>
    <x:row r="6718">
      <x:c r="A6718" s="16" t="n">
        <x:v>6715</x:v>
      </x:c>
      <x:c r="B6718" s="16" t="str">
        <x:v>Teva Luwe Boss Tunetalk</x:v>
      </x:c>
      <x:c r="C6718" s="16" t="str">
        <x:v>tevaluwe@gmail.com</x:v>
      </x:c>
      <x:c r="D6718" s="16" t="str">
        <x:v>tevaluwe@gmail.com</x:v>
      </x:c>
      <x:c r="E6718" s="16" t="str">
        <x:v>* myContacts</x:v>
      </x:c>
      <x:c r="F6718" s="16" t="str">
        <x:v>+601110999933</x:v>
      </x:c>
      <x:c r="G6718" s="16" t="str">
        <x:v>+601110999933</x:v>
      </x:c>
      <x:c r="H6718" s="16" t="str">
        <x:v>Eligible</x:v>
      </x:c>
      <x:c r="I6718" s="16" t="str"/>
    </x:row>
    <x:row r="6719">
      <x:c r="A6719" s="16" t="n">
        <x:v>6716</x:v>
      </x:c>
      <x:c r="B6719" s="16" t="str">
        <x:v>Thangaraju Raju</x:v>
      </x:c>
      <x:c r="C6719" s="16" t="str"/>
      <x:c r="D6719" s="16" t="str"/>
      <x:c r="E6719" s="16" t="str">
        <x:v>* myContacts</x:v>
      </x:c>
      <x:c r="F6719" s="16" t="str">
        <x:v>+60165607003</x:v>
      </x:c>
      <x:c r="G6719" s="16" t="str">
        <x:v>+60165607003</x:v>
      </x:c>
      <x:c r="H6719" s="16" t="str">
        <x:v>Excluded</x:v>
      </x:c>
      <x:c r="I6719" s="16" t="str">
        <x:v>Missing email</x:v>
      </x:c>
    </x:row>
    <x:row r="6720">
      <x:c r="A6720" s="16" t="n">
        <x:v>6717</x:v>
      </x:c>
      <x:c r="B6720" s="16" t="str">
        <x:v>the printqr studio</x:v>
      </x:c>
      <x:c r="C6720" s="16" t="str"/>
      <x:c r="D6720" s="16" t="str"/>
      <x:c r="E6720" s="16" t="str">
        <x:v>* myContacts</x:v>
      </x:c>
      <x:c r="F6720" s="16" t="str">
        <x:v>0129519337 | +60129519337</x:v>
      </x:c>
      <x:c r="G6720" s="16" t="str">
        <x:v>+60129519337 | +60129519337</x:v>
      </x:c>
      <x:c r="H6720" s="16" t="str">
        <x:v>Excluded</x:v>
      </x:c>
      <x:c r="I6720" s="16" t="str">
        <x:v>Missing email</x:v>
      </x:c>
    </x:row>
    <x:row r="6721">
      <x:c r="A6721" s="16" t="n">
        <x:v>6718</x:v>
      </x:c>
      <x:c r="B6721" s="16" t="str">
        <x:v>Thea Technician Dr Komputer</x:v>
      </x:c>
      <x:c r="C6721" s="16" t="str"/>
      <x:c r="D6721" s="16" t="str"/>
      <x:c r="E6721" s="16" t="str">
        <x:v>* myContacts</x:v>
      </x:c>
      <x:c r="F6721" s="16" t="str">
        <x:v>+60 18-579 2023 | +60185792023</x:v>
      </x:c>
      <x:c r="G6721" s="16" t="str">
        <x:v>+60185792023 | +60185792023</x:v>
      </x:c>
      <x:c r="H6721" s="16" t="str">
        <x:v>Excluded</x:v>
      </x:c>
      <x:c r="I6721" s="16" t="str">
        <x:v>Missing email</x:v>
      </x:c>
    </x:row>
    <x:row r="6722">
      <x:c r="A6722" s="16" t="n">
        <x:v>6719</x:v>
      </x:c>
      <x:c r="B6722" s="16" t="str">
        <x:v>Thishee Mine</x:v>
      </x:c>
      <x:c r="C6722" s="16" t="str"/>
      <x:c r="D6722" s="16" t="str"/>
      <x:c r="E6722" s="16" t="str">
        <x:v>* myContacts</x:v>
      </x:c>
      <x:c r="F6722" s="16" t="str">
        <x:v>+601123409256</x:v>
      </x:c>
      <x:c r="G6722" s="16" t="str">
        <x:v>+601123409256</x:v>
      </x:c>
      <x:c r="H6722" s="16" t="str">
        <x:v>Excluded</x:v>
      </x:c>
      <x:c r="I6722" s="16" t="str">
        <x:v>Missing email</x:v>
      </x:c>
    </x:row>
    <x:row r="6723">
      <x:c r="A6723" s="16" t="n">
        <x:v>6720</x:v>
      </x:c>
      <x:c r="B6723" s="16" t="str">
        <x:v>Tie Hawa</x:v>
      </x:c>
      <x:c r="C6723" s="16" t="str"/>
      <x:c r="D6723" s="16" t="str"/>
      <x:c r="E6723" s="16" t="str">
        <x:v>* myContacts</x:v>
      </x:c>
      <x:c r="F6723" s="16" t="str">
        <x:v>+60199599403</x:v>
      </x:c>
      <x:c r="G6723" s="16" t="str">
        <x:v>+60199599403</x:v>
      </x:c>
      <x:c r="H6723" s="16" t="str">
        <x:v>Excluded</x:v>
      </x:c>
      <x:c r="I6723" s="16" t="str">
        <x:v>Missing email</x:v>
      </x:c>
    </x:row>
    <x:row r="6724">
      <x:c r="A6724" s="16" t="n">
        <x:v>6721</x:v>
      </x:c>
      <x:c r="B6724" s="16" t="str">
        <x:v>Tieka Atika</x:v>
      </x:c>
      <x:c r="C6724" s="16" t="str"/>
      <x:c r="D6724" s="16" t="str"/>
      <x:c r="E6724" s="16" t="str">
        <x:v>* myContacts</x:v>
      </x:c>
      <x:c r="F6724" s="16" t="str">
        <x:v>+60177819745</x:v>
      </x:c>
      <x:c r="G6724" s="16" t="str">
        <x:v>+60177819745</x:v>
      </x:c>
      <x:c r="H6724" s="16" t="str">
        <x:v>Excluded</x:v>
      </x:c>
      <x:c r="I6724" s="16" t="str">
        <x:v>Missing email</x:v>
      </x:c>
    </x:row>
    <x:row r="6725">
      <x:c r="A6725" s="16" t="n">
        <x:v>6722</x:v>
      </x:c>
      <x:c r="B6725" s="16" t="str">
        <x:v>Tiesya Mohd</x:v>
      </x:c>
      <x:c r="C6725" s="16" t="str"/>
      <x:c r="D6725" s="16" t="str"/>
      <x:c r="E6725" s="16" t="str">
        <x:v>* myContacts</x:v>
      </x:c>
      <x:c r="F6725" s="16" t="str">
        <x:v>+601115019234</x:v>
      </x:c>
      <x:c r="G6725" s="16" t="str">
        <x:v>+601115019234</x:v>
      </x:c>
      <x:c r="H6725" s="16" t="str">
        <x:v>Excluded</x:v>
      </x:c>
      <x:c r="I6725" s="16" t="str">
        <x:v>Missing email</x:v>
      </x:c>
    </x:row>
    <x:row r="6726">
      <x:c r="A6726" s="16" t="n">
        <x:v>6723</x:v>
      </x:c>
      <x:c r="B6726" s="16" t="str">
        <x:v>Tiffany Nufairy Printing</x:v>
      </x:c>
      <x:c r="C6726" s="16" t="str"/>
      <x:c r="D6726" s="16" t="str"/>
      <x:c r="E6726" s="16" t="str">
        <x:v>* myContacts</x:v>
      </x:c>
      <x:c r="F6726" s="16" t="str">
        <x:v>+60125203833</x:v>
      </x:c>
      <x:c r="G6726" s="16" t="str">
        <x:v>+60125203833</x:v>
      </x:c>
      <x:c r="H6726" s="16" t="str">
        <x:v>Excluded</x:v>
      </x:c>
      <x:c r="I6726" s="16" t="str">
        <x:v>Missing email</x:v>
      </x:c>
    </x:row>
    <x:row r="6727">
      <x:c r="A6727" s="16" t="n">
        <x:v>6724</x:v>
      </x:c>
      <x:c r="B6727" s="16" t="str">
        <x:v>Tiger Bone</x:v>
      </x:c>
      <x:c r="C6727" s="16" t="str"/>
      <x:c r="D6727" s="16" t="str"/>
      <x:c r="E6727" s="16" t="str">
        <x:v>* myContacts</x:v>
      </x:c>
      <x:c r="F6727" s="16" t="str">
        <x:v>+60105619671</x:v>
      </x:c>
      <x:c r="G6727" s="16" t="str">
        <x:v>+60105619671</x:v>
      </x:c>
      <x:c r="H6727" s="16" t="str">
        <x:v>Excluded</x:v>
      </x:c>
      <x:c r="I6727" s="16" t="str">
        <x:v>Missing email</x:v>
      </x:c>
    </x:row>
    <x:row r="6728">
      <x:c r="A6728" s="16" t="n">
        <x:v>6725</x:v>
      </x:c>
      <x:c r="B6728" s="16" t="str">
        <x:v>Tiger Felix</x:v>
      </x:c>
      <x:c r="C6728" s="16" t="str"/>
      <x:c r="D6728" s="16" t="str"/>
      <x:c r="E6728" s="16" t="str">
        <x:v>* myContacts</x:v>
      </x:c>
      <x:c r="F6728" s="16" t="str">
        <x:v>+60173610806</x:v>
      </x:c>
      <x:c r="G6728" s="16" t="str">
        <x:v>+60173610806</x:v>
      </x:c>
      <x:c r="H6728" s="16" t="str">
        <x:v>Excluded</x:v>
      </x:c>
      <x:c r="I6728" s="16" t="str">
        <x:v>Missing email</x:v>
      </x:c>
    </x:row>
    <x:row r="6729">
      <x:c r="A6729" s="16" t="n">
        <x:v>6726</x:v>
      </x:c>
      <x:c r="B6729" s="16" t="str">
        <x:v>Tika Nasaha</x:v>
      </x:c>
      <x:c r="C6729" s="16" t="str"/>
      <x:c r="D6729" s="16" t="str"/>
      <x:c r="E6729" s="16" t="str">
        <x:v>* myContacts</x:v>
      </x:c>
      <x:c r="F6729" s="16" t="str">
        <x:v>+60177182987</x:v>
      </x:c>
      <x:c r="G6729" s="16" t="str">
        <x:v>+60177182987</x:v>
      </x:c>
      <x:c r="H6729" s="16" t="str">
        <x:v>Excluded</x:v>
      </x:c>
      <x:c r="I6729" s="16" t="str">
        <x:v>Missing email</x:v>
      </x:c>
    </x:row>
    <x:row r="6730">
      <x:c r="A6730" s="16" t="n">
        <x:v>6727</x:v>
      </x:c>
      <x:c r="B6730" s="16" t="str">
        <x:v>Tiktok Shop Live Hub x Tekun Kl</x:v>
      </x:c>
      <x:c r="C6730" s="16" t="str"/>
      <x:c r="D6730" s="16" t="str"/>
      <x:c r="E6730" s="16" t="str">
        <x:v>* myContacts</x:v>
      </x:c>
      <x:c r="F6730" s="16" t="str">
        <x:v>+60179739663</x:v>
      </x:c>
      <x:c r="G6730" s="16" t="str">
        <x:v>+60179739663</x:v>
      </x:c>
      <x:c r="H6730" s="16" t="str">
        <x:v>Excluded</x:v>
      </x:c>
      <x:c r="I6730" s="16" t="str">
        <x:v>Missing email</x:v>
      </x:c>
    </x:row>
    <x:row r="6731">
      <x:c r="A6731" s="16" t="n">
        <x:v>6728</x:v>
      </x:c>
      <x:c r="B6731" s="16" t="str">
        <x:v>Tiktok Verfication</x:v>
      </x:c>
      <x:c r="C6731" s="16" t="str"/>
      <x:c r="D6731" s="16" t="str"/>
      <x:c r="E6731" s="16" t="str">
        <x:v>* myContacts</x:v>
      </x:c>
      <x:c r="F6731" s="16" t="str">
        <x:v>+852 3575 7572 | +85235757572</x:v>
      </x:c>
      <x:c r="G6731" s="16" t="str">
        <x:v>+85235757572 | +85235757572</x:v>
      </x:c>
      <x:c r="H6731" s="16" t="str">
        <x:v>Excluded</x:v>
      </x:c>
      <x:c r="I6731" s="16" t="str">
        <x:v>Missing email</x:v>
      </x:c>
    </x:row>
    <x:row r="6732">
      <x:c r="A6732" s="16" t="n">
        <x:v>6729</x:v>
      </x:c>
      <x:c r="B6732" s="16" t="str">
        <x:v>Timothy Lim Sinn Min</x:v>
      </x:c>
      <x:c r="C6732" s="16" t="str"/>
      <x:c r="D6732" s="16" t="str"/>
      <x:c r="E6732" s="16" t="str">
        <x:v>* myContacts</x:v>
      </x:c>
      <x:c r="F6732" s="16" t="str">
        <x:v>+601137095289</x:v>
      </x:c>
      <x:c r="G6732" s="16" t="str">
        <x:v>+601137095289</x:v>
      </x:c>
      <x:c r="H6732" s="16" t="str">
        <x:v>Excluded</x:v>
      </x:c>
      <x:c r="I6732" s="16" t="str">
        <x:v>Missing email</x:v>
      </x:c>
    </x:row>
    <x:row r="6733">
      <x:c r="A6733" s="16" t="n">
        <x:v>6730</x:v>
      </x:c>
      <x:c r="B6733" s="16" t="str">
        <x:v>Tiyaa Rahim</x:v>
      </x:c>
      <x:c r="C6733" s="16" t="str"/>
      <x:c r="D6733" s="16" t="str"/>
      <x:c r="E6733" s="16" t="str">
        <x:v>* myContacts</x:v>
      </x:c>
      <x:c r="F6733" s="16" t="str">
        <x:v>+60185794410</x:v>
      </x:c>
      <x:c r="G6733" s="16" t="str">
        <x:v>+60185794410</x:v>
      </x:c>
      <x:c r="H6733" s="16" t="str">
        <x:v>Excluded</x:v>
      </x:c>
      <x:c r="I6733" s="16" t="str">
        <x:v>Missing email</x:v>
      </x:c>
    </x:row>
    <x:row r="6734">
      <x:c r="A6734" s="16" t="n">
        <x:v>6731</x:v>
      </x:c>
      <x:c r="B6734" s="16" t="str">
        <x:v>Tmb Management</x:v>
      </x:c>
      <x:c r="C6734" s="16" t="str"/>
      <x:c r="D6734" s="16" t="str"/>
      <x:c r="E6734" s="16" t="str">
        <x:v>* myContacts</x:v>
      </x:c>
      <x:c r="F6734" s="16" t="str">
        <x:v>+60 10-791 3943 | +60107913943</x:v>
      </x:c>
      <x:c r="G6734" s="16" t="str">
        <x:v>+60107913943 | +60107913943</x:v>
      </x:c>
      <x:c r="H6734" s="16" t="str">
        <x:v>Excluded</x:v>
      </x:c>
      <x:c r="I6734" s="16" t="str">
        <x:v>Missing email</x:v>
      </x:c>
    </x:row>
    <x:row r="6735">
      <x:c r="A6735" s="16" t="n">
        <x:v>6732</x:v>
      </x:c>
      <x:c r="B6735" s="16" t="str">
        <x:v>tn haji hariz pengelola kem tamu</x:v>
      </x:c>
      <x:c r="C6735" s="16" t="str"/>
      <x:c r="D6735" s="16" t="str"/>
      <x:c r="E6735" s="16" t="str">
        <x:v>* myContacts</x:v>
      </x:c>
      <x:c r="F6735" s="16" t="str">
        <x:v>0194041911 | +60194041911</x:v>
      </x:c>
      <x:c r="G6735" s="16" t="str">
        <x:v>+60194041911 | +60194041911</x:v>
      </x:c>
      <x:c r="H6735" s="16" t="str">
        <x:v>Excluded</x:v>
      </x:c>
      <x:c r="I6735" s="16" t="str">
        <x:v>Missing email</x:v>
      </x:c>
    </x:row>
    <x:row r="6736">
      <x:c r="A6736" s="16" t="n">
        <x:v>6733</x:v>
      </x:c>
      <x:c r="B6736" s="16" t="str">
        <x:v>Tn Haji Wan Abdullah Student Insken Tauke Serunding</x:v>
      </x:c>
      <x:c r="C6736" s="16" t="str"/>
      <x:c r="D6736" s="16" t="str"/>
      <x:c r="E6736" s="16" t="str">
        <x:v>Alumni INSKEN | * myContacts</x:v>
      </x:c>
      <x:c r="F6736" s="16" t="str">
        <x:v>+60 13-330 8552 | +60133308552</x:v>
      </x:c>
      <x:c r="G6736" s="16" t="str">
        <x:v>+60133308552 | +60133308552</x:v>
      </x:c>
      <x:c r="H6736" s="16" t="str">
        <x:v>Excluded</x:v>
      </x:c>
      <x:c r="I6736" s="16" t="str">
        <x:v>Missing email</x:v>
      </x:c>
    </x:row>
    <x:row r="6737">
      <x:c r="A6737" s="16" t="n">
        <x:v>6734</x:v>
      </x:c>
      <x:c r="B6737" s="16" t="str">
        <x:v>Tn Hj Ibrahim HALUAN</x:v>
      </x:c>
      <x:c r="C6737" s="16" t="str"/>
      <x:c r="D6737" s="16" t="str"/>
      <x:c r="E6737" s="16" t="str">
        <x:v>* myContacts</x:v>
      </x:c>
      <x:c r="F6737" s="16" t="str">
        <x:v>+60 18-229 2869 | +60182292869</x:v>
      </x:c>
      <x:c r="G6737" s="16" t="str">
        <x:v>+60182292869 | +60182292869</x:v>
      </x:c>
      <x:c r="H6737" s="16" t="str">
        <x:v>Excluded</x:v>
      </x:c>
      <x:c r="I6737" s="16" t="str">
        <x:v>Missing email</x:v>
      </x:c>
    </x:row>
    <x:row r="6738">
      <x:c r="A6738" s="16" t="n">
        <x:v>6735</x:v>
      </x:c>
      <x:c r="B6738" s="16" t="str">
        <x:v>Tn Hj Saypol</x:v>
      </x:c>
      <x:c r="C6738" s="16" t="str"/>
      <x:c r="D6738" s="16" t="str"/>
      <x:c r="E6738" s="16" t="str">
        <x:v>* myContacts</x:v>
      </x:c>
      <x:c r="F6738" s="16" t="str">
        <x:v>+60 10-365 9294 | +60103659294</x:v>
      </x:c>
      <x:c r="G6738" s="16" t="str">
        <x:v>+60103659294 | +60103659294</x:v>
      </x:c>
      <x:c r="H6738" s="16" t="str">
        <x:v>Excluded</x:v>
      </x:c>
      <x:c r="I6738" s="16" t="str">
        <x:v>Missing email</x:v>
      </x:c>
    </x:row>
    <x:row r="6739">
      <x:c r="A6739" s="16" t="n">
        <x:v>6736</x:v>
      </x:c>
      <x:c r="B6739" s="16" t="str">
        <x:v>Tn Jamhur Kelulut</x:v>
      </x:c>
      <x:c r="C6739" s="16" t="str"/>
      <x:c r="D6739" s="16" t="str"/>
      <x:c r="E6739" s="16" t="str">
        <x:v>* myContacts</x:v>
      </x:c>
      <x:c r="F6739" s="16" t="str">
        <x:v>01129022609 | +601129022609</x:v>
      </x:c>
      <x:c r="G6739" s="16" t="str">
        <x:v>+601129022609 | +601129022609</x:v>
      </x:c>
      <x:c r="H6739" s="16" t="str">
        <x:v>Excluded</x:v>
      </x:c>
      <x:c r="I6739" s="16" t="str">
        <x:v>Missing email</x:v>
      </x:c>
    </x:row>
    <x:row r="6740">
      <x:c r="A6740" s="16" t="n">
        <x:v>6737</x:v>
      </x:c>
      <x:c r="B6740" s="16" t="str">
        <x:v>Tn Najib SSM</x:v>
      </x:c>
      <x:c r="C6740" s="16" t="str"/>
      <x:c r="D6740" s="16" t="str"/>
      <x:c r="E6740" s="16" t="str">
        <x:v>* myContacts</x:v>
      </x:c>
      <x:c r="F6740" s="16" t="str">
        <x:v>+60173116890</x:v>
      </x:c>
      <x:c r="G6740" s="16" t="str">
        <x:v>+60173116890</x:v>
      </x:c>
      <x:c r="H6740" s="16" t="str">
        <x:v>Excluded</x:v>
      </x:c>
      <x:c r="I6740" s="16" t="str">
        <x:v>Missing email</x:v>
      </x:c>
    </x:row>
    <x:row r="6741">
      <x:c r="A6741" s="16" t="n">
        <x:v>6738</x:v>
      </x:c>
      <x:c r="B6741" s="16" t="str">
        <x:v>Todoshidota Kaarimeikatoki</x:v>
      </x:c>
      <x:c r="C6741" s="16" t="str"/>
      <x:c r="D6741" s="16" t="str"/>
      <x:c r="E6741" s="16" t="str">
        <x:v>* myContacts</x:v>
      </x:c>
      <x:c r="F6741" s="16" t="str">
        <x:v>+60176680902</x:v>
      </x:c>
      <x:c r="G6741" s="16" t="str">
        <x:v>+60176680902</x:v>
      </x:c>
      <x:c r="H6741" s="16" t="str">
        <x:v>Excluded</x:v>
      </x:c>
      <x:c r="I6741" s="16" t="str">
        <x:v>Missing email</x:v>
      </x:c>
    </x:row>
    <x:row r="6742">
      <x:c r="A6742" s="16" t="n">
        <x:v>6739</x:v>
      </x:c>
      <x:c r="B6742" s="16" t="str">
        <x:v>Tofik Nasa</x:v>
      </x:c>
      <x:c r="C6742" s="16" t="str"/>
      <x:c r="D6742" s="16" t="str"/>
      <x:c r="E6742" s="16" t="str">
        <x:v>* myContacts</x:v>
      </x:c>
      <x:c r="F6742" s="16" t="str">
        <x:v>+6287715332398</x:v>
      </x:c>
      <x:c r="G6742" s="16" t="str">
        <x:v>+6287715332398</x:v>
      </x:c>
      <x:c r="H6742" s="16" t="str">
        <x:v>Excluded</x:v>
      </x:c>
      <x:c r="I6742" s="16" t="str">
        <x:v>Missing email</x:v>
      </x:c>
    </x:row>
    <x:row r="6743">
      <x:c r="A6743" s="16" t="n">
        <x:v>6740</x:v>
      </x:c>
      <x:c r="B6743" s="16" t="str">
        <x:v>tok kk awang kampung bambangan</x:v>
      </x:c>
      <x:c r="C6743" s="16" t="str"/>
      <x:c r="D6743" s="16" t="str"/>
      <x:c r="E6743" s="16" t="str">
        <x:v>* myContacts</x:v>
      </x:c>
      <x:c r="F6743" s="16" t="str">
        <x:v>0168301557 | +60168301557 | 0149587995</x:v>
      </x:c>
      <x:c r="G6743" s="16" t="str">
        <x:v>+60168301557 | +60168301557 | +60149587995</x:v>
      </x:c>
      <x:c r="H6743" s="16" t="str">
        <x:v>Excluded</x:v>
      </x:c>
      <x:c r="I6743" s="16" t="str">
        <x:v>Missing email</x:v>
      </x:c>
    </x:row>
    <x:row r="6744">
      <x:c r="A6744" s="16" t="n">
        <x:v>6741</x:v>
      </x:c>
      <x:c r="B6744" s="16" t="str">
        <x:v>Tok Meor IM</x:v>
      </x:c>
      <x:c r="C6744" s="16" t="str"/>
      <x:c r="D6744" s="16" t="str"/>
      <x:c r="E6744" s="16" t="str">
        <x:v>* myContacts</x:v>
      </x:c>
      <x:c r="F6744" s="16" t="str">
        <x:v>+60178704040</x:v>
      </x:c>
      <x:c r="G6744" s="16" t="str">
        <x:v>+60178704040</x:v>
      </x:c>
      <x:c r="H6744" s="16" t="str">
        <x:v>Excluded</x:v>
      </x:c>
      <x:c r="I6744" s="16" t="str">
        <x:v>Missing email</x:v>
      </x:c>
    </x:row>
    <x:row r="6745">
      <x:c r="A6745" s="16" t="n">
        <x:v>6742</x:v>
      </x:c>
      <x:c r="B6745" s="16" t="str">
        <x:v>tokey</x:v>
      </x:c>
      <x:c r="C6745" s="16" t="str"/>
      <x:c r="D6745" s="16" t="str"/>
      <x:c r="E6745" s="16" t="str">
        <x:v>* myContacts</x:v>
      </x:c>
      <x:c r="F6745" s="16" t="str">
        <x:v>0163315251 | +60163315251</x:v>
      </x:c>
      <x:c r="G6745" s="16" t="str">
        <x:v>+60163315251 | +60163315251</x:v>
      </x:c>
      <x:c r="H6745" s="16" t="str">
        <x:v>Excluded</x:v>
      </x:c>
      <x:c r="I6745" s="16" t="str">
        <x:v>Missing email</x:v>
      </x:c>
    </x:row>
    <x:row r="6746">
      <x:c r="A6746" s="16" t="n">
        <x:v>6743</x:v>
      </x:c>
      <x:c r="B6746" s="16" t="str">
        <x:v>Tokey Pekan Rabu</x:v>
      </x:c>
      <x:c r="C6746" s="16" t="str"/>
      <x:c r="D6746" s="16" t="str"/>
      <x:c r="E6746" s="16" t="str">
        <x:v>* myContacts</x:v>
      </x:c>
      <x:c r="F6746" s="16" t="str">
        <x:v>+60195601133</x:v>
      </x:c>
      <x:c r="G6746" s="16" t="str">
        <x:v>+60195601133</x:v>
      </x:c>
      <x:c r="H6746" s="16" t="str">
        <x:v>Excluded</x:v>
      </x:c>
      <x:c r="I6746" s="16" t="str">
        <x:v>Missing email</x:v>
      </x:c>
    </x:row>
    <x:row r="6747">
      <x:c r="A6747" s="16" t="n">
        <x:v>6744</x:v>
      </x:c>
      <x:c r="B6747" s="16" t="str">
        <x:v>Tokkie Sohor V'Village</x:v>
      </x:c>
      <x:c r="C6747" s="16" t="str"/>
      <x:c r="D6747" s="16" t="str"/>
      <x:c r="E6747" s="16" t="str">
        <x:v>* myContacts</x:v>
      </x:c>
      <x:c r="F6747" s="16" t="str">
        <x:v>+60176446055</x:v>
      </x:c>
      <x:c r="G6747" s="16" t="str">
        <x:v>+60176446055</x:v>
      </x:c>
      <x:c r="H6747" s="16" t="str">
        <x:v>Excluded</x:v>
      </x:c>
      <x:c r="I6747" s="16" t="str">
        <x:v>Missing email</x:v>
      </x:c>
    </x:row>
    <x:row r="6748">
      <x:c r="A6748" s="16" t="n">
        <x:v>6745</x:v>
      </x:c>
      <x:c r="B6748" s="16" t="str">
        <x:v>Tokman Jstudio BDA</x:v>
      </x:c>
      <x:c r="C6748" s="16" t="str"/>
      <x:c r="D6748" s="16" t="str"/>
      <x:c r="E6748" s="16" t="str">
        <x:v>* myContacts</x:v>
      </x:c>
      <x:c r="F6748" s="16" t="str">
        <x:v>+60163851535</x:v>
      </x:c>
      <x:c r="G6748" s="16" t="str">
        <x:v>+60163851535</x:v>
      </x:c>
      <x:c r="H6748" s="16" t="str">
        <x:v>Excluded</x:v>
      </x:c>
      <x:c r="I6748" s="16" t="str">
        <x:v>Missing email</x:v>
      </x:c>
    </x:row>
    <x:row r="6749">
      <x:c r="A6749" s="16" t="n">
        <x:v>6746</x:v>
      </x:c>
      <x:c r="B6749" s="16" t="str">
        <x:v>Toko Jamu Kemaman</x:v>
      </x:c>
      <x:c r="C6749" s="16" t="str"/>
      <x:c r="D6749" s="16" t="str"/>
      <x:c r="E6749" s="16" t="str">
        <x:v>* myContacts</x:v>
      </x:c>
      <x:c r="F6749" s="16" t="str">
        <x:v>+60199121735</x:v>
      </x:c>
      <x:c r="G6749" s="16" t="str">
        <x:v>+60199121735</x:v>
      </x:c>
      <x:c r="H6749" s="16" t="str">
        <x:v>Excluded</x:v>
      </x:c>
      <x:c r="I6749" s="16" t="str">
        <x:v>Missing email</x:v>
      </x:c>
    </x:row>
    <x:row r="6750">
      <x:c r="A6750" s="16" t="n">
        <x:v>6747</x:v>
      </x:c>
      <x:c r="B6750" s="16" t="str">
        <x:v>Tone Asri Wahid</x:v>
      </x:c>
      <x:c r="C6750" s="16" t="str"/>
      <x:c r="D6750" s="16" t="str"/>
      <x:c r="E6750" s="16" t="str">
        <x:v>* myContacts</x:v>
      </x:c>
      <x:c r="F6750" s="16" t="str">
        <x:v>+601135234047</x:v>
      </x:c>
      <x:c r="G6750" s="16" t="str">
        <x:v>+601135234047</x:v>
      </x:c>
      <x:c r="H6750" s="16" t="str">
        <x:v>Excluded</x:v>
      </x:c>
      <x:c r="I6750" s="16" t="str">
        <x:v>Missing email</x:v>
      </x:c>
    </x:row>
    <x:row r="6751">
      <x:c r="A6751" s="16" t="n">
        <x:v>6748</x:v>
      </x:c>
      <x:c r="B6751" s="16" t="str">
        <x:v>Toneexcel Sarawak</x:v>
      </x:c>
      <x:c r="C6751" s="16" t="str"/>
      <x:c r="D6751" s="16" t="str"/>
      <x:c r="E6751" s="16" t="str">
        <x:v>* myContacts</x:v>
      </x:c>
      <x:c r="F6751" s="16" t="str">
        <x:v>+601118878087</x:v>
      </x:c>
      <x:c r="G6751" s="16" t="str">
        <x:v>+601118878087</x:v>
      </x:c>
      <x:c r="H6751" s="16" t="str">
        <x:v>Excluded</x:v>
      </x:c>
      <x:c r="I6751" s="16" t="str">
        <x:v>Missing email</x:v>
      </x:c>
    </x:row>
    <x:row r="6752">
      <x:c r="A6752" s="16" t="n">
        <x:v>6749</x:v>
      </x:c>
      <x:c r="B6752" s="16" t="str">
        <x:v>Mr Tong Nursery Pahang Karak</x:v>
      </x:c>
      <x:c r="C6752" s="16" t="str"/>
      <x:c r="D6752" s="16" t="str"/>
      <x:c r="E6752" s="16" t="str">
        <x:v>* myContacts</x:v>
      </x:c>
      <x:c r="F6752" s="16" t="str">
        <x:v>019-922 0678 | +60199220678</x:v>
      </x:c>
      <x:c r="G6752" s="16" t="str">
        <x:v>+60199220678 | +60199220678</x:v>
      </x:c>
      <x:c r="H6752" s="16" t="str">
        <x:v>Excluded</x:v>
      </x:c>
      <x:c r="I6752" s="16" t="str">
        <x:v>Missing email</x:v>
      </x:c>
    </x:row>
    <x:row r="6753">
      <x:c r="A6753" s="16" t="n">
        <x:v>6750</x:v>
      </x:c>
      <x:c r="B6753" s="16" t="str">
        <x:v>Topek Pomen</x:v>
      </x:c>
      <x:c r="C6753" s="16" t="str"/>
      <x:c r="D6753" s="16" t="str"/>
      <x:c r="E6753" s="16" t="str">
        <x:v>* myContacts</x:v>
      </x:c>
      <x:c r="F6753" s="16" t="str">
        <x:v>+60 12-904 4472 | +60129044472</x:v>
      </x:c>
      <x:c r="G6753" s="16" t="str">
        <x:v>+60129044472 | +60129044472</x:v>
      </x:c>
      <x:c r="H6753" s="16" t="str">
        <x:v>Excluded</x:v>
      </x:c>
      <x:c r="I6753" s="16" t="str">
        <x:v>Missing email</x:v>
      </x:c>
    </x:row>
    <x:row r="6754">
      <x:c r="A6754" s="16" t="n">
        <x:v>6751</x:v>
      </x:c>
      <x:c r="B6754" s="16" t="str">
        <x:v>Topex Tjm</x:v>
      </x:c>
      <x:c r="C6754" s="16" t="str"/>
      <x:c r="D6754" s="16" t="str"/>
      <x:c r="E6754" s="16" t="str">
        <x:v>* myContacts</x:v>
      </x:c>
      <x:c r="F6754" s="16" t="str">
        <x:v>+60145144513</x:v>
      </x:c>
      <x:c r="G6754" s="16" t="str">
        <x:v>+60145144513</x:v>
      </x:c>
      <x:c r="H6754" s="16" t="str">
        <x:v>Excluded</x:v>
      </x:c>
      <x:c r="I6754" s="16" t="str">
        <x:v>Missing email</x:v>
      </x:c>
    </x:row>
    <x:row r="6755">
      <x:c r="A6755" s="16" t="n">
        <x:v>6752</x:v>
      </x:c>
      <x:c r="B6755" s="16" t="str">
        <x:v>topix computer</x:v>
      </x:c>
      <x:c r="C6755" s="16" t="str"/>
      <x:c r="D6755" s="16" t="str"/>
      <x:c r="E6755" s="16" t="str">
        <x:v>* myContacts</x:v>
      </x:c>
      <x:c r="F6755" s="16" t="str">
        <x:v>+60103367788</x:v>
      </x:c>
      <x:c r="G6755" s="16" t="str">
        <x:v>+60103367788</x:v>
      </x:c>
      <x:c r="H6755" s="16" t="str">
        <x:v>Excluded</x:v>
      </x:c>
      <x:c r="I6755" s="16" t="str">
        <x:v>Missing email</x:v>
      </x:c>
    </x:row>
    <x:row r="6756">
      <x:c r="A6756" s="16" t="n">
        <x:v>6753</x:v>
      </x:c>
      <x:c r="B6756" s="16" t="str">
        <x:v>TopupEload Trading</x:v>
      </x:c>
      <x:c r="C6756" s="16" t="str"/>
      <x:c r="D6756" s="16" t="str"/>
      <x:c r="E6756" s="16" t="str">
        <x:v>* myContacts</x:v>
      </x:c>
      <x:c r="F6756" s="16" t="str">
        <x:v>+60149049761</x:v>
      </x:c>
      <x:c r="G6756" s="16" t="str">
        <x:v>+60149049761</x:v>
      </x:c>
      <x:c r="H6756" s="16" t="str">
        <x:v>Excluded</x:v>
      </x:c>
      <x:c r="I6756" s="16" t="str">
        <x:v>Missing email</x:v>
      </x:c>
    </x:row>
    <x:row r="6757">
      <x:c r="A6757" s="16" t="n">
        <x:v>6754</x:v>
      </x:c>
      <x:c r="B6757" s="16" t="str">
        <x:v>Tow Truck Nazim Umi</x:v>
      </x:c>
      <x:c r="C6757" s="16" t="str">
        <x:v>nazimumi97@gmail.com</x:v>
      </x:c>
      <x:c r="D6757" s="16" t="str">
        <x:v>nazimumi97@gmail.com</x:v>
      </x:c>
      <x:c r="E6757" s="16" t="str">
        <x:v>* myContacts</x:v>
      </x:c>
      <x:c r="F6757" s="16" t="str">
        <x:v>+601137902883</x:v>
      </x:c>
      <x:c r="G6757" s="16" t="str">
        <x:v>+601137902883</x:v>
      </x:c>
      <x:c r="H6757" s="16" t="str">
        <x:v>Eligible</x:v>
      </x:c>
      <x:c r="I6757" s="16" t="str"/>
    </x:row>
    <x:row r="6758">
      <x:c r="A6758" s="16" t="n">
        <x:v>6755</x:v>
      </x:c>
      <x:c r="B6758" s="16" t="str">
        <x:v>TOWING KUANG</x:v>
      </x:c>
      <x:c r="C6758" s="16" t="str"/>
      <x:c r="D6758" s="16" t="str"/>
      <x:c r="E6758" s="16" t="str">
        <x:v>* myContacts</x:v>
      </x:c>
      <x:c r="F6758" s="16" t="str">
        <x:v>+601126174408</x:v>
      </x:c>
      <x:c r="G6758" s="16" t="str">
        <x:v>+601126174408</x:v>
      </x:c>
      <x:c r="H6758" s="16" t="str">
        <x:v>Excluded</x:v>
      </x:c>
      <x:c r="I6758" s="16" t="str">
        <x:v>Missing email</x:v>
      </x:c>
    </x:row>
    <x:row r="6759">
      <x:c r="A6759" s="16" t="n">
        <x:v>6756</x:v>
      </x:c>
      <x:c r="B6759" s="16" t="str">
        <x:v>Toys Kingdoms Eli's</x:v>
      </x:c>
      <x:c r="C6759" s="16" t="str"/>
      <x:c r="D6759" s="16" t="str"/>
      <x:c r="E6759" s="16" t="str">
        <x:v>* myContacts</x:v>
      </x:c>
      <x:c r="F6759" s="16" t="str">
        <x:v>+601133751381</x:v>
      </x:c>
      <x:c r="G6759" s="16" t="str">
        <x:v>+601133751381</x:v>
      </x:c>
      <x:c r="H6759" s="16" t="str">
        <x:v>Excluded</x:v>
      </x:c>
      <x:c r="I6759" s="16" t="str">
        <x:v>Missing email</x:v>
      </x:c>
    </x:row>
    <x:row r="6760">
      <x:c r="A6760" s="16" t="n">
        <x:v>6757</x:v>
      </x:c>
      <x:c r="B6760" s="16" t="str">
        <x:v>Tree tent campsite</x:v>
      </x:c>
      <x:c r="C6760" s="16" t="str"/>
      <x:c r="D6760" s="16" t="str"/>
      <x:c r="E6760" s="16" t="str">
        <x:v>* myContacts</x:v>
      </x:c>
      <x:c r="F6760" s="16" t="str">
        <x:v>0194604612 | +60194604612</x:v>
      </x:c>
      <x:c r="G6760" s="16" t="str">
        <x:v>+60194604612 | +60194604612</x:v>
      </x:c>
      <x:c r="H6760" s="16" t="str">
        <x:v>Excluded</x:v>
      </x:c>
      <x:c r="I6760" s="16" t="str">
        <x:v>Missing email</x:v>
      </x:c>
    </x:row>
    <x:row r="6761">
      <x:c r="A6761" s="16" t="n">
        <x:v>6758</x:v>
      </x:c>
      <x:c r="B6761" s="16" t="str">
        <x:v>Trie Adler</x:v>
      </x:c>
      <x:c r="C6761" s="16" t="str"/>
      <x:c r="D6761" s="16" t="str"/>
      <x:c r="E6761" s="16" t="str">
        <x:v>* myContacts</x:v>
      </x:c>
      <x:c r="F6761" s="16" t="str">
        <x:v>+628982883319</x:v>
      </x:c>
      <x:c r="G6761" s="16" t="str">
        <x:v>+628982883319</x:v>
      </x:c>
      <x:c r="H6761" s="16" t="str">
        <x:v>Excluded</x:v>
      </x:c>
      <x:c r="I6761" s="16" t="str">
        <x:v>Missing email</x:v>
      </x:c>
    </x:row>
    <x:row r="6762">
      <x:c r="A6762" s="16" t="n">
        <x:v>6759</x:v>
      </x:c>
      <x:c r="B6762" s="16" t="str">
        <x:v>Trisya Alvis Tristan</x:v>
      </x:c>
      <x:c r="C6762" s="16" t="str"/>
      <x:c r="D6762" s="16" t="str"/>
      <x:c r="E6762" s="16" t="str">
        <x:v>* myContacts</x:v>
      </x:c>
      <x:c r="F6762" s="16" t="str">
        <x:v>+60142083859</x:v>
      </x:c>
      <x:c r="G6762" s="16" t="str">
        <x:v>+60142083859</x:v>
      </x:c>
      <x:c r="H6762" s="16" t="str">
        <x:v>Excluded</x:v>
      </x:c>
      <x:c r="I6762" s="16" t="str">
        <x:v>Missing email</x:v>
      </x:c>
    </x:row>
    <x:row r="6763">
      <x:c r="A6763" s="16" t="n">
        <x:v>6760</x:v>
      </x:c>
      <x:c r="B6763" s="16" t="str">
        <x:v>Tronexus Simkad</x:v>
      </x:c>
      <x:c r="C6763" s="16" t="str"/>
      <x:c r="D6763" s="16" t="str"/>
      <x:c r="E6763" s="16" t="str">
        <x:v>* myContacts</x:v>
      </x:c>
      <x:c r="F6763" s="16" t="str">
        <x:v>+601120016777</x:v>
      </x:c>
      <x:c r="G6763" s="16" t="str">
        <x:v>+601120016777</x:v>
      </x:c>
      <x:c r="H6763" s="16" t="str">
        <x:v>Excluded</x:v>
      </x:c>
      <x:c r="I6763" s="16" t="str">
        <x:v>Missing email</x:v>
      </x:c>
    </x:row>
    <x:row r="6764">
      <x:c r="A6764" s="16" t="n">
        <x:v>6761</x:v>
      </x:c>
      <x:c r="B6764" s="16" t="str">
        <x:v>Ts Olya Dollah</x:v>
      </x:c>
      <x:c r="C6764" s="16" t="str"/>
      <x:c r="D6764" s="16" t="str"/>
      <x:c r="E6764" s="16" t="str">
        <x:v>* myContacts</x:v>
      </x:c>
      <x:c r="F6764" s="16" t="str">
        <x:v>+60 11-3614 3942 | +601136143942</x:v>
      </x:c>
      <x:c r="G6764" s="16" t="str">
        <x:v>+601136143942 | +601136143942</x:v>
      </x:c>
      <x:c r="H6764" s="16" t="str">
        <x:v>Excluded</x:v>
      </x:c>
      <x:c r="I6764" s="16" t="str">
        <x:v>Missing email</x:v>
      </x:c>
    </x:row>
    <x:row r="6765">
      <x:c r="A6765" s="16" t="n">
        <x:v>6762</x:v>
      </x:c>
      <x:c r="B6765" s="16" t="str">
        <x:v>Tuaj Noraeffendy FAMA SABAH</x:v>
      </x:c>
      <x:c r="C6765" s="16" t="str"/>
      <x:c r="D6765" s="16" t="str"/>
      <x:c r="E6765" s="16" t="str">
        <x:v>* myContacts</x:v>
      </x:c>
      <x:c r="F6765" s="16" t="str">
        <x:v>+60138683800</x:v>
      </x:c>
      <x:c r="G6765" s="16" t="str">
        <x:v>+60138683800</x:v>
      </x:c>
      <x:c r="H6765" s="16" t="str">
        <x:v>Excluded</x:v>
      </x:c>
      <x:c r="I6765" s="16" t="str">
        <x:v>Missing email</x:v>
      </x:c>
    </x:row>
    <x:row r="6766">
      <x:c r="A6766" s="16" t="n">
        <x:v>6763</x:v>
      </x:c>
      <x:c r="B6766" s="16" t="str">
        <x:v>Tuan A. Bakar Futurist Ir4. 0</x:v>
      </x:c>
      <x:c r="C6766" s="16" t="str"/>
      <x:c r="D6766" s="16" t="str"/>
      <x:c r="E6766" s="16" t="str">
        <x:v>* myContacts</x:v>
      </x:c>
      <x:c r="F6766" s="16" t="str">
        <x:v>+60 12-232 5670 | +60122325670</x:v>
      </x:c>
      <x:c r="G6766" s="16" t="str">
        <x:v>+60122325670 | +60122325670</x:v>
      </x:c>
      <x:c r="H6766" s="16" t="str">
        <x:v>Excluded</x:v>
      </x:c>
      <x:c r="I6766" s="16" t="str">
        <x:v>Missing email</x:v>
      </x:c>
    </x:row>
    <x:row r="6767">
      <x:c r="A6767" s="16" t="n">
        <x:v>6764</x:v>
      </x:c>
      <x:c r="B6767" s="16" t="str">
        <x:v>Tuan Abdul Hajis Unikeb</x:v>
      </x:c>
      <x:c r="C6767" s="16" t="str"/>
      <x:c r="D6767" s="16" t="str"/>
      <x:c r="E6767" s="16" t="str">
        <x:v>* myContacts</x:v>
      </x:c>
      <x:c r="F6767" s="16" t="str">
        <x:v>0177400700 | +60177400700</x:v>
      </x:c>
      <x:c r="G6767" s="16" t="str">
        <x:v>+60177400700 | +60177400700</x:v>
      </x:c>
      <x:c r="H6767" s="16" t="str">
        <x:v>Excluded</x:v>
      </x:c>
      <x:c r="I6767" s="16" t="str">
        <x:v>Missing email</x:v>
      </x:c>
    </x:row>
    <x:row r="6768">
      <x:c r="A6768" s="16" t="n">
        <x:v>6765</x:v>
      </x:c>
      <x:c r="B6768" s="16" t="str">
        <x:v>Tuan Abdullah AGP</x:v>
      </x:c>
      <x:c r="C6768" s="16" t="str">
        <x:v>abdullah@terasaki.com.my</x:v>
      </x:c>
      <x:c r="D6768" s="16" t="str">
        <x:v>abdullah@terasaki.com.my</x:v>
      </x:c>
      <x:c r="E6768" s="16" t="str">
        <x:v>* myContacts</x:v>
      </x:c>
      <x:c r="F6768" s="16" t="str">
        <x:v>0172943248 | +60172943248</x:v>
      </x:c>
      <x:c r="G6768" s="16" t="str">
        <x:v>+60172943248 | +60172943248</x:v>
      </x:c>
      <x:c r="H6768" s="16" t="str">
        <x:v>Eligible</x:v>
      </x:c>
      <x:c r="I6768" s="16" t="str"/>
    </x:row>
    <x:row r="6769">
      <x:c r="A6769" s="16" t="n">
        <x:v>6766</x:v>
      </x:c>
      <x:c r="B6769" s="16" t="str">
        <x:v>Tuan Adam Anak Pak Habib</x:v>
      </x:c>
      <x:c r="C6769" s="16" t="str"/>
      <x:c r="D6769" s="16" t="str"/>
      <x:c r="E6769" s="16" t="str">
        <x:v>* myContacts</x:v>
      </x:c>
      <x:c r="F6769" s="16" t="str">
        <x:v>+60176663466</x:v>
      </x:c>
      <x:c r="G6769" s="16" t="str">
        <x:v>+60176663466</x:v>
      </x:c>
      <x:c r="H6769" s="16" t="str">
        <x:v>Excluded</x:v>
      </x:c>
      <x:c r="I6769" s="16" t="str">
        <x:v>Missing email</x:v>
      </x:c>
    </x:row>
    <x:row r="6770">
      <x:c r="A6770" s="16" t="n">
        <x:v>6767</x:v>
      </x:c>
      <x:c r="B6770" s="16" t="str">
        <x:v>tuan ahmad mahyudin</x:v>
      </x:c>
      <x:c r="C6770" s="16" t="str"/>
      <x:c r="D6770" s="16" t="str"/>
      <x:c r="E6770" s="16" t="str">
        <x:v>* myContacts</x:v>
      </x:c>
      <x:c r="F6770" s="16" t="str">
        <x:v>0195064949</x:v>
      </x:c>
      <x:c r="G6770" s="16" t="str">
        <x:v>+60195064949</x:v>
      </x:c>
      <x:c r="H6770" s="16" t="str">
        <x:v>Excluded</x:v>
      </x:c>
      <x:c r="I6770" s="16" t="str">
        <x:v>Missing email</x:v>
      </x:c>
    </x:row>
    <x:row r="6771">
      <x:c r="A6771" s="16" t="n">
        <x:v>6768</x:v>
      </x:c>
      <x:c r="B6771" s="16" t="str">
        <x:v>Tuan Akmal DPIM Putrajaya</x:v>
      </x:c>
      <x:c r="C6771" s="16" t="str"/>
      <x:c r="D6771" s="16" t="str"/>
      <x:c r="E6771" s="16" t="str">
        <x:v>* myContacts</x:v>
      </x:c>
      <x:c r="F6771" s="16" t="str">
        <x:v>+60 10-551 6165 | +60105516165</x:v>
      </x:c>
      <x:c r="G6771" s="16" t="str">
        <x:v>+60105516165 | +60105516165</x:v>
      </x:c>
      <x:c r="H6771" s="16" t="str">
        <x:v>Excluded</x:v>
      </x:c>
      <x:c r="I6771" s="16" t="str">
        <x:v>Missing email</x:v>
      </x:c>
    </x:row>
    <x:row r="6772">
      <x:c r="A6772" s="16" t="n">
        <x:v>6769</x:v>
      </x:c>
      <x:c r="B6772" s="16" t="str">
        <x:v>Tuan Al Hadee Website Expert</x:v>
      </x:c>
      <x:c r="C6772" s="16" t="str"/>
      <x:c r="D6772" s="16" t="str"/>
      <x:c r="E6772" s="16" t="str">
        <x:v>* myContacts</x:v>
      </x:c>
      <x:c r="F6772" s="16" t="str">
        <x:v>+60 11-6575 5151 | +601165755151</x:v>
      </x:c>
      <x:c r="G6772" s="16" t="str">
        <x:v>+601165755151 | +601165755151</x:v>
      </x:c>
      <x:c r="H6772" s="16" t="str">
        <x:v>Excluded</x:v>
      </x:c>
      <x:c r="I6772" s="16" t="str">
        <x:v>Missing email</x:v>
      </x:c>
    </x:row>
    <x:row r="6773">
      <x:c r="A6773" s="16" t="n">
        <x:v>6770</x:v>
      </x:c>
      <x:c r="B6773" s="16" t="str">
        <x:v>Tuan Amin Faudzi Ceo Toyyibpay</x:v>
      </x:c>
      <x:c r="C6773" s="16" t="str"/>
      <x:c r="D6773" s="16" t="str"/>
      <x:c r="E6773" s="16" t="str">
        <x:v>* myContacts</x:v>
      </x:c>
      <x:c r="F6773" s="16" t="str">
        <x:v>0184633273 | +60184633273</x:v>
      </x:c>
      <x:c r="G6773" s="16" t="str">
        <x:v>+60184633273 | +60184633273</x:v>
      </x:c>
      <x:c r="H6773" s="16" t="str">
        <x:v>Excluded</x:v>
      </x:c>
      <x:c r="I6773" s="16" t="str">
        <x:v>Missing email</x:v>
      </x:c>
    </x:row>
    <x:row r="6774">
      <x:c r="A6774" s="16" t="n">
        <x:v>6771</x:v>
      </x:c>
      <x:c r="B6774" s="16" t="str">
        <x:v>Tuan Anas AR Skuad Drone</x:v>
      </x:c>
      <x:c r="C6774" s="16" t="str"/>
      <x:c r="D6774" s="16" t="str"/>
      <x:c r="E6774" s="16" t="str">
        <x:v>* myContacts</x:v>
      </x:c>
      <x:c r="F6774" s="16" t="str">
        <x:v>+60196432373</x:v>
      </x:c>
      <x:c r="G6774" s="16" t="str">
        <x:v>+60196432373</x:v>
      </x:c>
      <x:c r="H6774" s="16" t="str">
        <x:v>Excluded</x:v>
      </x:c>
      <x:c r="I6774" s="16" t="str">
        <x:v>Missing email</x:v>
      </x:c>
    </x:row>
    <x:row r="6775">
      <x:c r="A6775" s="16" t="n">
        <x:v>6772</x:v>
      </x:c>
      <x:c r="B6775" s="16" t="str">
        <x:v>tuan anuar khusar</x:v>
      </x:c>
      <x:c r="C6775" s="16" t="str"/>
      <x:c r="D6775" s="16" t="str"/>
      <x:c r="E6775" s="16" t="str">
        <x:v>* myContacts</x:v>
      </x:c>
      <x:c r="F6775" s="16" t="str">
        <x:v>0189122250 | +60189122250 | 0143323490</x:v>
      </x:c>
      <x:c r="G6775" s="16" t="str">
        <x:v>+60189122250 | +60189122250 | +60143323490</x:v>
      </x:c>
      <x:c r="H6775" s="16" t="str">
        <x:v>Excluded</x:v>
      </x:c>
      <x:c r="I6775" s="16" t="str">
        <x:v>Missing email</x:v>
      </x:c>
    </x:row>
    <x:row r="6776">
      <x:c r="A6776" s="16" t="n">
        <x:v>6773</x:v>
      </x:c>
      <x:c r="B6776" s="16" t="str">
        <x:v>Tuan Ariffin OTAI china</x:v>
      </x:c>
      <x:c r="C6776" s="16" t="str"/>
      <x:c r="D6776" s="16" t="str"/>
      <x:c r="E6776" s="16" t="str">
        <x:v>* myContacts</x:v>
      </x:c>
      <x:c r="F6776" s="16" t="str">
        <x:v>+60 16-665 7560 | +60166657560</x:v>
      </x:c>
      <x:c r="G6776" s="16" t="str">
        <x:v>+60166657560 | +60166657560</x:v>
      </x:c>
      <x:c r="H6776" s="16" t="str">
        <x:v>Excluded</x:v>
      </x:c>
      <x:c r="I6776" s="16" t="str">
        <x:v>Missing email</x:v>
      </x:c>
    </x:row>
    <x:row r="6777">
      <x:c r="A6777" s="16" t="n">
        <x:v>6774</x:v>
      </x:c>
      <x:c r="B6777" s="16" t="str">
        <x:v>Tuan Asmadi TEKUN</x:v>
      </x:c>
      <x:c r="C6777" s="16" t="str"/>
      <x:c r="D6777" s="16" t="str"/>
      <x:c r="E6777" s="16" t="str">
        <x:v>* myContacts</x:v>
      </x:c>
      <x:c r="F6777" s="16" t="str">
        <x:v>0192348475 | +60192348475</x:v>
      </x:c>
      <x:c r="G6777" s="16" t="str">
        <x:v>+60192348475 | +60192348475</x:v>
      </x:c>
      <x:c r="H6777" s="16" t="str">
        <x:v>Excluded</x:v>
      </x:c>
      <x:c r="I6777" s="16" t="str">
        <x:v>Missing email</x:v>
      </x:c>
    </x:row>
    <x:row r="6778">
      <x:c r="A6778" s="16" t="n">
        <x:v>6775</x:v>
      </x:c>
      <x:c r="B6778" s="16" t="str">
        <x:v>Tuan Asrul Kuskop</x:v>
      </x:c>
      <x:c r="C6778" s="16" t="str"/>
      <x:c r="D6778" s="16" t="str"/>
      <x:c r="E6778" s="16" t="str">
        <x:v>* myContacts</x:v>
      </x:c>
      <x:c r="F6778" s="16" t="str">
        <x:v>+60 19-293 1592 | +60192931592</x:v>
      </x:c>
      <x:c r="G6778" s="16" t="str">
        <x:v>+60192931592 | +60192931592</x:v>
      </x:c>
      <x:c r="H6778" s="16" t="str">
        <x:v>Excluded</x:v>
      </x:c>
      <x:c r="I6778" s="16" t="str">
        <x:v>Missing email</x:v>
      </x:c>
    </x:row>
    <x:row r="6779">
      <x:c r="A6779" s="16" t="n">
        <x:v>6776</x:v>
      </x:c>
      <x:c r="B6779" s="16" t="str">
        <x:v>Tuan Azam JEM Inspen</x:v>
      </x:c>
      <x:c r="C6779" s="16" t="str"/>
      <x:c r="D6779" s="16" t="str"/>
      <x:c r="E6779" s="16" t="str">
        <x:v>* myContacts</x:v>
      </x:c>
      <x:c r="F6779" s="16" t="str">
        <x:v>+60197734437</x:v>
      </x:c>
      <x:c r="G6779" s="16" t="str">
        <x:v>+60197734437</x:v>
      </x:c>
      <x:c r="H6779" s="16" t="str">
        <x:v>Excluded</x:v>
      </x:c>
      <x:c r="I6779" s="16" t="str">
        <x:v>Missing email</x:v>
      </x:c>
    </x:row>
    <x:row r="6780">
      <x:c r="A6780" s="16" t="n">
        <x:v>6777</x:v>
      </x:c>
      <x:c r="B6780" s="16" t="str">
        <x:v>TUAN AZIM HIJRAH SELANGOR KAJANG</x:v>
      </x:c>
      <x:c r="C6780" s="16" t="str"/>
      <x:c r="D6780" s="16" t="str"/>
      <x:c r="E6780" s="16" t="str">
        <x:v>Alumni eUsahawan | * myContacts</x:v>
      </x:c>
      <x:c r="F6780" s="16" t="str">
        <x:v>+60 11-2127 6980 | +601121276980</x:v>
      </x:c>
      <x:c r="G6780" s="16" t="str">
        <x:v>+601121276980 | +601121276980</x:v>
      </x:c>
      <x:c r="H6780" s="16" t="str">
        <x:v>Excluded</x:v>
      </x:c>
      <x:c r="I6780" s="16" t="str">
        <x:v>Missing email</x:v>
      </x:c>
    </x:row>
    <x:row r="6781">
      <x:c r="A6781" s="16" t="n">
        <x:v>6778</x:v>
      </x:c>
      <x:c r="B6781" s="16" t="str">
        <x:v>Tuan azizi hotel kucing</x:v>
      </x:c>
      <x:c r="C6781" s="16" t="str"/>
      <x:c r="D6781" s="16" t="str"/>
      <x:c r="E6781" s="16" t="str">
        <x:v>* myContacts</x:v>
      </x:c>
      <x:c r="F6781" s="16" t="str">
        <x:v>017-204 1096 | +60172041096</x:v>
      </x:c>
      <x:c r="G6781" s="16" t="str">
        <x:v>+60172041096 | +60172041096</x:v>
      </x:c>
      <x:c r="H6781" s="16" t="str">
        <x:v>Excluded</x:v>
      </x:c>
      <x:c r="I6781" s="16" t="str">
        <x:v>Missing email</x:v>
      </x:c>
    </x:row>
    <x:row r="6782">
      <x:c r="A6782" s="16" t="n">
        <x:v>6779</x:v>
      </x:c>
      <x:c r="B6782" s="16" t="str">
        <x:v>tuan azlan sales power rangers</x:v>
      </x:c>
      <x:c r="C6782" s="16" t="str"/>
      <x:c r="D6782" s="16" t="str"/>
      <x:c r="E6782" s="16" t="str">
        <x:v>* myContacts</x:v>
      </x:c>
      <x:c r="F6782" s="16" t="str">
        <x:v>018-761 9524 | +60187619524</x:v>
      </x:c>
      <x:c r="G6782" s="16" t="str">
        <x:v>+60187619524 | +60187619524</x:v>
      </x:c>
      <x:c r="H6782" s="16" t="str">
        <x:v>Excluded</x:v>
      </x:c>
      <x:c r="I6782" s="16" t="str">
        <x:v>Missing email</x:v>
      </x:c>
    </x:row>
    <x:row r="6783">
      <x:c r="A6783" s="16" t="n">
        <x:v>6780</x:v>
      </x:c>
      <x:c r="B6783" s="16" t="str">
        <x:v>Tuan Azman KWSP</x:v>
      </x:c>
      <x:c r="C6783" s="16" t="str"/>
      <x:c r="D6783" s="16" t="str"/>
      <x:c r="E6783" s="16" t="str">
        <x:v>* myContacts</x:v>
      </x:c>
      <x:c r="F6783" s="16" t="str">
        <x:v>+60 12-378 0349 | +60123780349</x:v>
      </x:c>
      <x:c r="G6783" s="16" t="str">
        <x:v>+60123780349 | +60123780349</x:v>
      </x:c>
      <x:c r="H6783" s="16" t="str">
        <x:v>Excluded</x:v>
      </x:c>
      <x:c r="I6783" s="16" t="str">
        <x:v>Missing email</x:v>
      </x:c>
    </x:row>
    <x:row r="6784">
      <x:c r="A6784" s="16" t="n">
        <x:v>6781</x:v>
      </x:c>
      <x:c r="B6784" s="16" t="str">
        <x:v>Tuan Azmi Mustapha</x:v>
      </x:c>
      <x:c r="C6784" s="16" t="str"/>
      <x:c r="D6784" s="16" t="str"/>
      <x:c r="E6784" s="16" t="str">
        <x:v>* myContacts</x:v>
      </x:c>
      <x:c r="F6784" s="16" t="str">
        <x:v>+60182323065</x:v>
      </x:c>
      <x:c r="G6784" s="16" t="str">
        <x:v>+60182323065</x:v>
      </x:c>
      <x:c r="H6784" s="16" t="str">
        <x:v>Excluded</x:v>
      </x:c>
      <x:c r="I6784" s="16" t="str">
        <x:v>Missing email</x:v>
      </x:c>
    </x:row>
    <x:row r="6785">
      <x:c r="A6785" s="16" t="n">
        <x:v>6782</x:v>
      </x:c>
      <x:c r="B6785" s="16" t="str">
        <x:v>Tuan azmil Perodua 8</x:v>
      </x:c>
      <x:c r="C6785" s="16" t="str"/>
      <x:c r="D6785" s="16" t="str"/>
      <x:c r="E6785" s="16" t="str">
        <x:v>* myContacts</x:v>
      </x:c>
      <x:c r="F6785" s="16" t="str">
        <x:v>012-359 1515 | +60123591515</x:v>
      </x:c>
      <x:c r="G6785" s="16" t="str">
        <x:v>+60123591515 | +60123591515</x:v>
      </x:c>
      <x:c r="H6785" s="16" t="str">
        <x:v>Excluded</x:v>
      </x:c>
      <x:c r="I6785" s="16" t="str">
        <x:v>Missing email</x:v>
      </x:c>
    </x:row>
    <x:row r="6786">
      <x:c r="A6786" s="16" t="n">
        <x:v>6783</x:v>
      </x:c>
      <x:c r="B6786" s="16" t="str">
        <x:v>Tuan Azroy Fahmi</x:v>
      </x:c>
      <x:c r="C6786" s="16" t="str"/>
      <x:c r="D6786" s="16" t="str"/>
      <x:c r="E6786" s="16" t="str">
        <x:v>* myContacts</x:v>
      </x:c>
      <x:c r="F6786" s="16" t="str">
        <x:v>+60179384118</x:v>
      </x:c>
      <x:c r="G6786" s="16" t="str">
        <x:v>+60179384118</x:v>
      </x:c>
      <x:c r="H6786" s="16" t="str">
        <x:v>Excluded</x:v>
      </x:c>
      <x:c r="I6786" s="16" t="str">
        <x:v>Missing email</x:v>
      </x:c>
    </x:row>
    <x:row r="6787">
      <x:c r="A6787" s="16" t="n">
        <x:v>6784</x:v>
      </x:c>
      <x:c r="B6787" s="16" t="str">
        <x:v>Tuan Azrul Tauke Homestay INSKEN Temerloh</x:v>
      </x:c>
      <x:c r="C6787" s="16" t="str"/>
      <x:c r="D6787" s="16" t="str"/>
      <x:c r="E6787" s="16" t="str">
        <x:v>* myContacts</x:v>
      </x:c>
      <x:c r="F6787" s="16" t="str">
        <x:v>+60 17-985 2056 | +60179852056</x:v>
      </x:c>
      <x:c r="G6787" s="16" t="str">
        <x:v>+60179852056 | +60179852056</x:v>
      </x:c>
      <x:c r="H6787" s="16" t="str">
        <x:v>Excluded</x:v>
      </x:c>
      <x:c r="I6787" s="16" t="str">
        <x:v>Missing email</x:v>
      </x:c>
    </x:row>
    <x:row r="6788">
      <x:c r="A6788" s="16" t="n">
        <x:v>6785</x:v>
      </x:c>
      <x:c r="B6788" s="16" t="str">
        <x:v>Tuan Don Yayasan Katil Ayahku</x:v>
      </x:c>
      <x:c r="C6788" s="16" t="str"/>
      <x:c r="D6788" s="16" t="str"/>
      <x:c r="E6788" s="16" t="str">
        <x:v>* myContacts</x:v>
      </x:c>
      <x:c r="F6788" s="16" t="str">
        <x:v>+60125371061</x:v>
      </x:c>
      <x:c r="G6788" s="16" t="str">
        <x:v>+60125371061</x:v>
      </x:c>
      <x:c r="H6788" s="16" t="str">
        <x:v>Excluded</x:v>
      </x:c>
      <x:c r="I6788" s="16" t="str">
        <x:v>Missing email</x:v>
      </x:c>
    </x:row>
    <x:row r="6789">
      <x:c r="A6789" s="16" t="n">
        <x:v>6786</x:v>
      </x:c>
      <x:c r="B6789" s="16" t="str">
        <x:v>tuan edika yusof</x:v>
      </x:c>
      <x:c r="C6789" s="16" t="str"/>
      <x:c r="D6789" s="16" t="str"/>
      <x:c r="E6789" s="16" t="str">
        <x:v>* myContacts</x:v>
      </x:c>
      <x:c r="F6789" s="16" t="str">
        <x:v>0192241099 | +60192241099</x:v>
      </x:c>
      <x:c r="G6789" s="16" t="str">
        <x:v>+60192241099 | +60192241099</x:v>
      </x:c>
      <x:c r="H6789" s="16" t="str">
        <x:v>Excluded</x:v>
      </x:c>
      <x:c r="I6789" s="16" t="str">
        <x:v>Missing email</x:v>
      </x:c>
    </x:row>
    <x:row r="6790">
      <x:c r="A6790" s="16" t="n">
        <x:v>6787</x:v>
      </x:c>
      <x:c r="B6790" s="16" t="str">
        <x:v>Tuan Fahmi Training Department</x:v>
      </x:c>
      <x:c r="C6790" s="16" t="str">
        <x:v>fahmi@fama.gov.ny</x:v>
      </x:c>
      <x:c r="D6790" s="16" t="str">
        <x:v>fahmi@fama.gov.ny</x:v>
      </x:c>
      <x:c r="E6790" s="16" t="str">
        <x:v>* myContacts</x:v>
      </x:c>
      <x:c r="F6790" s="16" t="str">
        <x:v>012-692 5644 | +60126925644</x:v>
      </x:c>
      <x:c r="G6790" s="16" t="str">
        <x:v>+60126925644 | +60126925644</x:v>
      </x:c>
      <x:c r="H6790" s="16" t="str">
        <x:v>Eligible</x:v>
      </x:c>
      <x:c r="I6790" s="16" t="str"/>
    </x:row>
    <x:row r="6791">
      <x:c r="A6791" s="16" t="n">
        <x:v>6788</x:v>
      </x:c>
      <x:c r="B6791" s="16" t="str">
        <x:v>Tuan Faizal Manager Dtandoor</x:v>
      </x:c>
      <x:c r="C6791" s="16" t="str"/>
      <x:c r="D6791" s="16" t="str"/>
      <x:c r="E6791" s="16" t="str">
        <x:v>* myContacts</x:v>
      </x:c>
      <x:c r="F6791" s="16" t="str">
        <x:v>+60127880355</x:v>
      </x:c>
      <x:c r="G6791" s="16" t="str">
        <x:v>+60127880355</x:v>
      </x:c>
      <x:c r="H6791" s="16" t="str">
        <x:v>Excluded</x:v>
      </x:c>
      <x:c r="I6791" s="16" t="str">
        <x:v>Missing email</x:v>
      </x:c>
    </x:row>
    <x:row r="6792">
      <x:c r="A6792" s="16" t="n">
        <x:v>6789</x:v>
      </x:c>
      <x:c r="B6792" s="16" t="str">
        <x:v>Tuan Farid Wmn</x:v>
      </x:c>
      <x:c r="C6792" s="16" t="str">
        <x:v>faridklang@gmail.com</x:v>
      </x:c>
      <x:c r="D6792" s="16" t="str">
        <x:v>faridklang@gmail.com</x:v>
      </x:c>
      <x:c r="E6792" s="16" t="str">
        <x:v>* myContacts</x:v>
      </x:c>
      <x:c r="F6792" s="16" t="str">
        <x:v>+60126371987</x:v>
      </x:c>
      <x:c r="G6792" s="16" t="str">
        <x:v>+60126371987</x:v>
      </x:c>
      <x:c r="H6792" s="16" t="str">
        <x:v>Eligible</x:v>
      </x:c>
      <x:c r="I6792" s="16" t="str"/>
    </x:row>
    <x:row r="6793">
      <x:c r="A6793" s="16" t="n">
        <x:v>6790</x:v>
      </x:c>
      <x:c r="B6793" s="16" t="str">
        <x:v>Tuan Faris Destinasi TV</x:v>
      </x:c>
      <x:c r="C6793" s="16" t="str"/>
      <x:c r="D6793" s="16" t="str"/>
      <x:c r="E6793" s="16" t="str">
        <x:v>* myContacts</x:v>
      </x:c>
      <x:c r="F6793" s="16" t="str">
        <x:v>60123453211 | +60123453211</x:v>
      </x:c>
      <x:c r="G6793" s="16" t="str">
        <x:v>+60123453211 | +60123453211</x:v>
      </x:c>
      <x:c r="H6793" s="16" t="str">
        <x:v>Excluded</x:v>
      </x:c>
      <x:c r="I6793" s="16" t="str">
        <x:v>Missing email</x:v>
      </x:c>
    </x:row>
    <x:row r="6794">
      <x:c r="A6794" s="16" t="n">
        <x:v>6791</x:v>
      </x:c>
      <x:c r="B6794" s="16" t="str">
        <x:v>Tuan Faris INSKEN</x:v>
      </x:c>
      <x:c r="C6794" s="16" t="str"/>
      <x:c r="D6794" s="16" t="str"/>
      <x:c r="E6794" s="16" t="str">
        <x:v>Alumni INSKEN | * myContacts</x:v>
      </x:c>
      <x:c r="F6794" s="16" t="str">
        <x:v>+60 19-963 5036 | +60199635036</x:v>
      </x:c>
      <x:c r="G6794" s="16" t="str">
        <x:v>+60199635036 | +60199635036</x:v>
      </x:c>
      <x:c r="H6794" s="16" t="str">
        <x:v>Excluded</x:v>
      </x:c>
      <x:c r="I6794" s="16" t="str">
        <x:v>Missing email</x:v>
      </x:c>
    </x:row>
    <x:row r="6795">
      <x:c r="A6795" s="16" t="n">
        <x:v>6792</x:v>
      </x:c>
      <x:c r="B6795" s="16" t="str">
        <x:v>Tuan Fauzee Unikl</x:v>
      </x:c>
      <x:c r="C6795" s="16" t="str"/>
      <x:c r="D6795" s="16" t="str"/>
      <x:c r="E6795" s="16" t="str">
        <x:v>* myContacts</x:v>
      </x:c>
      <x:c r="F6795" s="16" t="str">
        <x:v>+60 12-224 4813 | +60122244813</x:v>
      </x:c>
      <x:c r="G6795" s="16" t="str">
        <x:v>+60122244813 | +60122244813</x:v>
      </x:c>
      <x:c r="H6795" s="16" t="str">
        <x:v>Excluded</x:v>
      </x:c>
      <x:c r="I6795" s="16" t="str">
        <x:v>Missing email</x:v>
      </x:c>
    </x:row>
    <x:row r="6796">
      <x:c r="A6796" s="16" t="n">
        <x:v>6793</x:v>
      </x:c>
      <x:c r="B6796" s="16" t="str">
        <x:v>Tuan Firdaus Fama Training Department</x:v>
      </x:c>
      <x:c r="C6796" s="16" t="str">
        <x:v>firdaus.mnoor@fama.gov.my</x:v>
      </x:c>
      <x:c r="D6796" s="16" t="str">
        <x:v>firdaus.mnoor@fama.gov.my</x:v>
      </x:c>
      <x:c r="E6796" s="16" t="str">
        <x:v>* myContacts</x:v>
      </x:c>
      <x:c r="F6796" s="16" t="str">
        <x:v>013-203 6345 | +60132036345</x:v>
      </x:c>
      <x:c r="G6796" s="16" t="str">
        <x:v>+60132036345 | +60132036345</x:v>
      </x:c>
      <x:c r="H6796" s="16" t="str">
        <x:v>Eligible</x:v>
      </x:c>
      <x:c r="I6796" s="16" t="str"/>
    </x:row>
    <x:row r="6797">
      <x:c r="A6797" s="16" t="n">
        <x:v>6794</x:v>
      </x:c>
      <x:c r="B6797" s="16" t="str">
        <x:v>tuan firdaus uitm iceps kelantan</x:v>
      </x:c>
      <x:c r="C6797" s="16" t="str"/>
      <x:c r="D6797" s="16" t="str"/>
      <x:c r="E6797" s="16" t="str">
        <x:v>* myContacts</x:v>
      </x:c>
      <x:c r="F6797" s="16" t="str">
        <x:v>+601110881431</x:v>
      </x:c>
      <x:c r="G6797" s="16" t="str">
        <x:v>+601110881431</x:v>
      </x:c>
      <x:c r="H6797" s="16" t="str">
        <x:v>Excluded</x:v>
      </x:c>
      <x:c r="I6797" s="16" t="str">
        <x:v>Missing email</x:v>
      </x:c>
    </x:row>
    <x:row r="6798">
      <x:c r="A6798" s="16" t="n">
        <x:v>6795</x:v>
      </x:c>
      <x:c r="B6798" s="16" t="str">
        <x:v>tuan hafiz homeophathy</x:v>
      </x:c>
      <x:c r="C6798" s="16" t="str"/>
      <x:c r="D6798" s="16" t="str"/>
      <x:c r="E6798" s="16" t="str">
        <x:v>* myContacts</x:v>
      </x:c>
      <x:c r="F6798" s="16" t="str">
        <x:v>014-316 6565 | +60143166565</x:v>
      </x:c>
      <x:c r="G6798" s="16" t="str">
        <x:v>+60143166565 | +60143166565</x:v>
      </x:c>
      <x:c r="H6798" s="16" t="str">
        <x:v>Excluded</x:v>
      </x:c>
      <x:c r="I6798" s="16" t="str">
        <x:v>Missing email</x:v>
      </x:c>
    </x:row>
    <x:row r="6799">
      <x:c r="A6799" s="16" t="n">
        <x:v>6796</x:v>
      </x:c>
      <x:c r="B6799" s="16" t="str">
        <x:v>Tuan Hafiz Shezali</x:v>
      </x:c>
      <x:c r="C6799" s="16" t="str"/>
      <x:c r="D6799" s="16" t="str"/>
      <x:c r="E6799" s="16" t="str">
        <x:v>* myContacts</x:v>
      </x:c>
      <x:c r="F6799" s="16" t="str">
        <x:v>+60145075722</x:v>
      </x:c>
      <x:c r="G6799" s="16" t="str">
        <x:v>+60145075722</x:v>
      </x:c>
      <x:c r="H6799" s="16" t="str">
        <x:v>Excluded</x:v>
      </x:c>
      <x:c r="I6799" s="16" t="str">
        <x:v>Missing email</x:v>
      </x:c>
    </x:row>
    <x:row r="6800">
      <x:c r="A6800" s="16" t="n">
        <x:v>6797</x:v>
      </x:c>
      <x:c r="B6800" s="16" t="str">
        <x:v>tuan hafiz uitm seri iskandar</x:v>
      </x:c>
      <x:c r="C6800" s="16" t="str"/>
      <x:c r="D6800" s="16" t="str"/>
      <x:c r="E6800" s="16" t="str">
        <x:v>* myContacts</x:v>
      </x:c>
      <x:c r="F6800" s="16" t="str">
        <x:v>+60 12-502 0546 | +60125020546</x:v>
      </x:c>
      <x:c r="G6800" s="16" t="str">
        <x:v>+60125020546 | +60125020546</x:v>
      </x:c>
      <x:c r="H6800" s="16" t="str">
        <x:v>Excluded</x:v>
      </x:c>
      <x:c r="I6800" s="16" t="str">
        <x:v>Missing email</x:v>
      </x:c>
    </x:row>
    <x:row r="6801">
      <x:c r="A6801" s="16" t="n">
        <x:v>6798</x:v>
      </x:c>
      <x:c r="B6801" s="16" t="str">
        <x:v>Tuan Hairum DPIM</x:v>
      </x:c>
      <x:c r="C6801" s="16" t="str"/>
      <x:c r="D6801" s="16" t="str"/>
      <x:c r="E6801" s="16" t="str">
        <x:v>* myContacts</x:v>
      </x:c>
      <x:c r="F6801" s="16" t="str">
        <x:v>+60 17-366 1958 | +60173661958</x:v>
      </x:c>
      <x:c r="G6801" s="16" t="str">
        <x:v>+60173661958 | +60173661958</x:v>
      </x:c>
      <x:c r="H6801" s="16" t="str">
        <x:v>Excluded</x:v>
      </x:c>
      <x:c r="I6801" s="16" t="str">
        <x:v>Missing email</x:v>
      </x:c>
    </x:row>
    <x:row r="6802">
      <x:c r="A6802" s="16" t="n">
        <x:v>6799</x:v>
      </x:c>
      <x:c r="B6802" s="16" t="str">
        <x:v>Tuan Haji Muhibah Ardani</x:v>
      </x:c>
      <x:c r="C6802" s="16" t="str"/>
      <x:c r="D6802" s="16" t="str"/>
      <x:c r="E6802" s="16" t="str">
        <x:v>* myContacts</x:v>
      </x:c>
      <x:c r="F6802" s="16" t="str">
        <x:v>+60 17-882 6514 | +60178826514</x:v>
      </x:c>
      <x:c r="G6802" s="16" t="str">
        <x:v>+60178826514 | +60178826514</x:v>
      </x:c>
      <x:c r="H6802" s="16" t="str">
        <x:v>Excluded</x:v>
      </x:c>
      <x:c r="I6802" s="16" t="str">
        <x:v>Missing email</x:v>
      </x:c>
    </x:row>
    <x:row r="6803">
      <x:c r="A6803" s="16" t="n">
        <x:v>6800</x:v>
      </x:c>
      <x:c r="B6803" s="16" t="str">
        <x:v>tuan haji saypol dpim</x:v>
      </x:c>
      <x:c r="C6803" s="16" t="str"/>
      <x:c r="D6803" s="16" t="str"/>
      <x:c r="E6803" s="16" t="str">
        <x:v>* myContacts</x:v>
      </x:c>
      <x:c r="F6803" s="16" t="str">
        <x:v>+60 11-3197 4870 | +601131974870</x:v>
      </x:c>
      <x:c r="G6803" s="16" t="str">
        <x:v>+601131974870 | +601131974870</x:v>
      </x:c>
      <x:c r="H6803" s="16" t="str">
        <x:v>Excluded</x:v>
      </x:c>
      <x:c r="I6803" s="16" t="str">
        <x:v>Missing email</x:v>
      </x:c>
    </x:row>
    <x:row r="6804">
      <x:c r="A6804" s="16" t="n">
        <x:v>6801</x:v>
      </x:c>
      <x:c r="B6804" s="16" t="str">
        <x:v>Tuan Haji Zakaria Tauke Cuka Kayu</x:v>
      </x:c>
      <x:c r="C6804" s="16" t="str"/>
      <x:c r="D6804" s="16" t="str"/>
      <x:c r="E6804" s="16" t="str">
        <x:v>* myContacts</x:v>
      </x:c>
      <x:c r="F6804" s="16" t="str">
        <x:v>+60192862819</x:v>
      </x:c>
      <x:c r="G6804" s="16" t="str">
        <x:v>+60192862819</x:v>
      </x:c>
      <x:c r="H6804" s="16" t="str">
        <x:v>Excluded</x:v>
      </x:c>
      <x:c r="I6804" s="16" t="str">
        <x:v>Missing email</x:v>
      </x:c>
    </x:row>
    <x:row r="6805">
      <x:c r="A6805" s="16" t="n">
        <x:v>6802</x:v>
      </x:c>
      <x:c r="B6805" s="16" t="str">
        <x:v>Tuan Halmi Yusoff Thinker PENGKAJI</x:v>
      </x:c>
      <x:c r="C6805" s="16" t="str"/>
      <x:c r="D6805" s="16" t="str"/>
      <x:c r="E6805" s="16" t="str">
        <x:v>* myContacts</x:v>
      </x:c>
      <x:c r="F6805" s="16" t="str">
        <x:v>+60193888684</x:v>
      </x:c>
      <x:c r="G6805" s="16" t="str">
        <x:v>+60193888684</x:v>
      </x:c>
      <x:c r="H6805" s="16" t="str">
        <x:v>Excluded</x:v>
      </x:c>
      <x:c r="I6805" s="16" t="str">
        <x:v>Missing email</x:v>
      </x:c>
    </x:row>
    <x:row r="6806">
      <x:c r="A6806" s="16" t="n">
        <x:v>6803</x:v>
      </x:c>
      <x:c r="B6806" s="16" t="str">
        <x:v>Tuan Hasnawi</x:v>
      </x:c>
      <x:c r="C6806" s="16" t="str"/>
      <x:c r="D6806" s="16" t="str"/>
      <x:c r="E6806" s="16" t="str">
        <x:v>* myContacts</x:v>
      </x:c>
      <x:c r="F6806" s="16" t="str">
        <x:v>+6282161925619</x:v>
      </x:c>
      <x:c r="G6806" s="16" t="str">
        <x:v>+6282161925619</x:v>
      </x:c>
      <x:c r="H6806" s="16" t="str">
        <x:v>Excluded</x:v>
      </x:c>
      <x:c r="I6806" s="16" t="str">
        <x:v>Missing email</x:v>
      </x:c>
    </x:row>
    <x:row r="6807">
      <x:c r="A6807" s="16" t="n">
        <x:v>6804</x:v>
      </x:c>
      <x:c r="B6807" s="16" t="str">
        <x:v>Tuan Hazirman Tuan Pua'ad</x:v>
      </x:c>
      <x:c r="C6807" s="16" t="str"/>
      <x:c r="D6807" s="16" t="str"/>
      <x:c r="E6807" s="16" t="str">
        <x:v>* myContacts</x:v>
      </x:c>
      <x:c r="F6807" s="16" t="str">
        <x:v>+60173287365</x:v>
      </x:c>
      <x:c r="G6807" s="16" t="str">
        <x:v>+60173287365</x:v>
      </x:c>
      <x:c r="H6807" s="16" t="str">
        <x:v>Excluded</x:v>
      </x:c>
      <x:c r="I6807" s="16" t="str">
        <x:v>Missing email</x:v>
      </x:c>
    </x:row>
    <x:row r="6808">
      <x:c r="A6808" s="16" t="n">
        <x:v>6805</x:v>
      </x:c>
      <x:c r="B6808" s="16" t="str">
        <x:v>Tuan Helmi Komunikasi</x:v>
      </x:c>
      <x:c r="C6808" s="16" t="str"/>
      <x:c r="D6808" s="16" t="str"/>
      <x:c r="E6808" s="16" t="str">
        <x:v>* myContacts</x:v>
      </x:c>
      <x:c r="F6808" s="16" t="str">
        <x:v>0162192219 | +60162192219</x:v>
      </x:c>
      <x:c r="G6808" s="16" t="str">
        <x:v>+60162192219 | +60162192219</x:v>
      </x:c>
      <x:c r="H6808" s="16" t="str">
        <x:v>Excluded</x:v>
      </x:c>
      <x:c r="I6808" s="16" t="str">
        <x:v>Missing email</x:v>
      </x:c>
    </x:row>
    <x:row r="6809">
      <x:c r="A6809" s="16" t="n">
        <x:v>6806</x:v>
      </x:c>
      <x:c r="B6809" s="16" t="str">
        <x:v>Tuan Helmi MC</x:v>
      </x:c>
      <x:c r="C6809" s="16" t="str"/>
      <x:c r="D6809" s="16" t="str"/>
      <x:c r="E6809" s="16" t="str">
        <x:v>* myContacts</x:v>
      </x:c>
      <x:c r="F6809" s="16" t="str">
        <x:v>+60 19-574 8106 | +60195748106</x:v>
      </x:c>
      <x:c r="G6809" s="16" t="str">
        <x:v>+60195748106 | +60195748106</x:v>
      </x:c>
      <x:c r="H6809" s="16" t="str">
        <x:v>Excluded</x:v>
      </x:c>
      <x:c r="I6809" s="16" t="str">
        <x:v>Missing email</x:v>
      </x:c>
    </x:row>
    <x:row r="6810">
      <x:c r="A6810" s="16" t="n">
        <x:v>6807</x:v>
      </x:c>
      <x:c r="B6810" s="16" t="str">
        <x:v>Tuan Hj Coach Badrul Sani</x:v>
      </x:c>
      <x:c r="C6810" s="16" t="str"/>
      <x:c r="D6810" s="16" t="str"/>
      <x:c r="E6810" s="16" t="str">
        <x:v>* myContacts</x:v>
      </x:c>
      <x:c r="F6810" s="16" t="str">
        <x:v>0124123305</x:v>
      </x:c>
      <x:c r="G6810" s="16" t="str">
        <x:v>+60124123305</x:v>
      </x:c>
      <x:c r="H6810" s="16" t="str">
        <x:v>Excluded</x:v>
      </x:c>
      <x:c r="I6810" s="16" t="str">
        <x:v>Missing email</x:v>
      </x:c>
    </x:row>
    <x:row r="6811">
      <x:c r="A6811" s="16" t="n">
        <x:v>6808</x:v>
      </x:c>
      <x:c r="B6811" s="16" t="str">
        <x:v>Tuan Hj Sahar RJB</x:v>
      </x:c>
      <x:c r="C6811" s="16" t="str"/>
      <x:c r="D6811" s="16" t="str"/>
      <x:c r="E6811" s="16" t="str">
        <x:v>* myContacts</x:v>
      </x:c>
      <x:c r="F6811" s="16" t="str">
        <x:v>+60 19-216 4144 | +60192164144</x:v>
      </x:c>
      <x:c r="G6811" s="16" t="str">
        <x:v>+60192164144 | +60192164144</x:v>
      </x:c>
      <x:c r="H6811" s="16" t="str">
        <x:v>Excluded</x:v>
      </x:c>
      <x:c r="I6811" s="16" t="str">
        <x:v>Missing email</x:v>
      </x:c>
    </x:row>
    <x:row r="6812">
      <x:c r="A6812" s="16" t="n">
        <x:v>6809</x:v>
      </x:c>
      <x:c r="B6812" s="16" t="str">
        <x:v>Tuan ihram poliklinik</x:v>
      </x:c>
      <x:c r="C6812" s="16" t="str"/>
      <x:c r="D6812" s="16" t="str"/>
      <x:c r="E6812" s="16" t="str">
        <x:v>* myContacts</x:v>
      </x:c>
      <x:c r="F6812" s="16" t="str">
        <x:v>+60 10-506 3920 | +60105063920</x:v>
      </x:c>
      <x:c r="G6812" s="16" t="str">
        <x:v>+60105063920 | +60105063920</x:v>
      </x:c>
      <x:c r="H6812" s="16" t="str">
        <x:v>Excluded</x:v>
      </x:c>
      <x:c r="I6812" s="16" t="str">
        <x:v>Missing email</x:v>
      </x:c>
    </x:row>
    <x:row r="6813">
      <x:c r="A6813" s="16" t="n">
        <x:v>6810</x:v>
      </x:c>
      <x:c r="B6813" s="16" t="str">
        <x:v>Tuan Imran Bda</x:v>
      </x:c>
      <x:c r="C6813" s="16" t="str"/>
      <x:c r="D6813" s="16" t="str"/>
      <x:c r="E6813" s="16" t="str">
        <x:v>* myContacts</x:v>
      </x:c>
      <x:c r="F6813" s="16" t="str">
        <x:v>0192632632 | +60192632632</x:v>
      </x:c>
      <x:c r="G6813" s="16" t="str">
        <x:v>+60192632632 | +60192632632</x:v>
      </x:c>
      <x:c r="H6813" s="16" t="str">
        <x:v>Excluded</x:v>
      </x:c>
      <x:c r="I6813" s="16" t="str">
        <x:v>Missing email</x:v>
      </x:c>
    </x:row>
    <x:row r="6814">
      <x:c r="A6814" s="16" t="n">
        <x:v>6811</x:v>
      </x:c>
      <x:c r="B6814" s="16" t="str">
        <x:v>Tuan Iskandar Danial ARIQ Training Centre Klang</x:v>
      </x:c>
      <x:c r="C6814" s="16" t="str"/>
      <x:c r="D6814" s="16" t="str"/>
      <x:c r="E6814" s="16" t="str">
        <x:v>* myContacts</x:v>
      </x:c>
      <x:c r="F6814" s="16" t="str">
        <x:v>+60 16-610 5111 | +60166105111</x:v>
      </x:c>
      <x:c r="G6814" s="16" t="str">
        <x:v>+60166105111 | +60166105111</x:v>
      </x:c>
      <x:c r="H6814" s="16" t="str">
        <x:v>Excluded</x:v>
      </x:c>
      <x:c r="I6814" s="16" t="str">
        <x:v>Missing email</x:v>
      </x:c>
    </x:row>
    <x:row r="6815">
      <x:c r="A6815" s="16" t="n">
        <x:v>6812</x:v>
      </x:c>
      <x:c r="B6815" s="16" t="str">
        <x:v>Tuan Ismail Kamarudin AFK Along Academy</x:v>
      </x:c>
      <x:c r="C6815" s="16" t="str"/>
      <x:c r="D6815" s="16" t="str"/>
      <x:c r="E6815" s="16" t="str">
        <x:v>* myContacts</x:v>
      </x:c>
      <x:c r="F6815" s="16" t="str">
        <x:v>+60 19-281 4138 | +60192814138</x:v>
      </x:c>
      <x:c r="G6815" s="16" t="str">
        <x:v>+60192814138 | +60192814138</x:v>
      </x:c>
      <x:c r="H6815" s="16" t="str">
        <x:v>Excluded</x:v>
      </x:c>
      <x:c r="I6815" s="16" t="str">
        <x:v>Missing email</x:v>
      </x:c>
    </x:row>
    <x:row r="6816">
      <x:c r="A6816" s="16" t="n">
        <x:v>6813</x:v>
      </x:c>
      <x:c r="B6816" s="16" t="str">
        <x:v>Tuan Ismaliza</x:v>
      </x:c>
      <x:c r="C6816" s="16" t="str"/>
      <x:c r="D6816" s="16" t="str"/>
      <x:c r="E6816" s="16" t="str">
        <x:v>* myContacts</x:v>
      </x:c>
      <x:c r="F6816" s="16" t="str">
        <x:v>+601152396393</x:v>
      </x:c>
      <x:c r="G6816" s="16" t="str">
        <x:v>+601152396393</x:v>
      </x:c>
      <x:c r="H6816" s="16" t="str">
        <x:v>Excluded</x:v>
      </x:c>
      <x:c r="I6816" s="16" t="str">
        <x:v>Missing email</x:v>
      </x:c>
    </x:row>
    <x:row r="6817">
      <x:c r="A6817" s="16" t="n">
        <x:v>6814</x:v>
      </x:c>
      <x:c r="B6817" s="16" t="str">
        <x:v>tuan izan</x:v>
      </x:c>
      <x:c r="C6817" s="16" t="str"/>
      <x:c r="D6817" s="16" t="str"/>
      <x:c r="E6817" s="16" t="str">
        <x:v>* myContacts</x:v>
      </x:c>
      <x:c r="F6817" s="16" t="str">
        <x:v>016-564 4399 | +60165644399</x:v>
      </x:c>
      <x:c r="G6817" s="16" t="str">
        <x:v>+60165644399 | +60165644399</x:v>
      </x:c>
      <x:c r="H6817" s="16" t="str">
        <x:v>Excluded</x:v>
      </x:c>
      <x:c r="I6817" s="16" t="str">
        <x:v>Missing email</x:v>
      </x:c>
    </x:row>
    <x:row r="6818">
      <x:c r="A6818" s="16" t="n">
        <x:v>6815</x:v>
      </x:c>
      <x:c r="B6818" s="16" t="str">
        <x:v>Tuan Izwan Vps Expert</x:v>
      </x:c>
      <x:c r="C6818" s="16" t="str"/>
      <x:c r="D6818" s="16" t="str"/>
      <x:c r="E6818" s="16" t="str">
        <x:v>* myContacts</x:v>
      </x:c>
      <x:c r="F6818" s="16" t="str">
        <x:v>+60 19-934 0012 | +60199340012</x:v>
      </x:c>
      <x:c r="G6818" s="16" t="str">
        <x:v>+60199340012 | +60199340012</x:v>
      </x:c>
      <x:c r="H6818" s="16" t="str">
        <x:v>Excluded</x:v>
      </x:c>
      <x:c r="I6818" s="16" t="str">
        <x:v>Missing email</x:v>
      </x:c>
    </x:row>
    <x:row r="6819">
      <x:c r="A6819" s="16" t="n">
        <x:v>6816</x:v>
      </x:c>
      <x:c r="B6819" s="16" t="str">
        <x:v>Tuan Izzat Epf</x:v>
      </x:c>
      <x:c r="C6819" s="16" t="str"/>
      <x:c r="D6819" s="16" t="str"/>
      <x:c r="E6819" s="16" t="str">
        <x:v>* myContacts</x:v>
      </x:c>
      <x:c r="F6819" s="16" t="str">
        <x:v>+60 17-539 1324 | +60175391324</x:v>
      </x:c>
      <x:c r="G6819" s="16" t="str">
        <x:v>+60175391324 | +60175391324</x:v>
      </x:c>
      <x:c r="H6819" s="16" t="str">
        <x:v>Excluded</x:v>
      </x:c>
      <x:c r="I6819" s="16" t="str">
        <x:v>Missing email</x:v>
      </x:c>
    </x:row>
    <x:row r="6820">
      <x:c r="A6820" s="16" t="n">
        <x:v>6817</x:v>
      </x:c>
      <x:c r="B6820" s="16" t="str">
        <x:v>Tuan Jamil Flexis Printing And Stationery</x:v>
      </x:c>
      <x:c r="C6820" s="16" t="str"/>
      <x:c r="D6820" s="16" t="str"/>
      <x:c r="E6820" s="16" t="str">
        <x:v>* myContacts</x:v>
      </x:c>
      <x:c r="F6820" s="16" t="str">
        <x:v>+60192701922</x:v>
      </x:c>
      <x:c r="G6820" s="16" t="str">
        <x:v>+60192701922</x:v>
      </x:c>
      <x:c r="H6820" s="16" t="str">
        <x:v>Excluded</x:v>
      </x:c>
      <x:c r="I6820" s="16" t="str">
        <x:v>Missing email</x:v>
      </x:c>
    </x:row>
    <x:row r="6821">
      <x:c r="A6821" s="16" t="n">
        <x:v>6818</x:v>
      </x:c>
      <x:c r="B6821" s="16" t="str">
        <x:v>Tuan Kamil Training Provider</x:v>
      </x:c>
      <x:c r="C6821" s="16" t="str"/>
      <x:c r="D6821" s="16" t="str"/>
      <x:c r="E6821" s="16" t="str">
        <x:v>* myContacts</x:v>
      </x:c>
      <x:c r="F6821" s="16" t="str">
        <x:v>+60 19-333 3746 | +60193333746</x:v>
      </x:c>
      <x:c r="G6821" s="16" t="str">
        <x:v>+60193333746 | +60193333746</x:v>
      </x:c>
      <x:c r="H6821" s="16" t="str">
        <x:v>Excluded</x:v>
      </x:c>
      <x:c r="I6821" s="16" t="str">
        <x:v>Missing email</x:v>
      </x:c>
    </x:row>
    <x:row r="6822">
      <x:c r="A6822" s="16" t="n">
        <x:v>6819</x:v>
      </x:c>
      <x:c r="B6822" s="16" t="str">
        <x:v>Tuan Khairy TmNET</x:v>
      </x:c>
      <x:c r="C6822" s="16" t="str"/>
      <x:c r="D6822" s="16" t="str"/>
      <x:c r="E6822" s="16" t="str">
        <x:v>* myContacts</x:v>
      </x:c>
      <x:c r="F6822" s="16" t="str">
        <x:v>+60 12-360 9920 | +60123609920</x:v>
      </x:c>
      <x:c r="G6822" s="16" t="str">
        <x:v>+60123609920 | +60123609920</x:v>
      </x:c>
      <x:c r="H6822" s="16" t="str">
        <x:v>Excluded</x:v>
      </x:c>
      <x:c r="I6822" s="16" t="str">
        <x:v>Missing email</x:v>
      </x:c>
    </x:row>
    <x:row r="6823">
      <x:c r="A6823" s="16" t="n">
        <x:v>6820</x:v>
      </x:c>
      <x:c r="B6823" s="16" t="str">
        <x:v>Tuan Mohamad Nizam Pakar Packaging</x:v>
      </x:c>
      <x:c r="C6823" s="16" t="str"/>
      <x:c r="D6823" s="16" t="str"/>
      <x:c r="E6823" s="16" t="str">
        <x:v>* myContacts</x:v>
      </x:c>
      <x:c r="F6823" s="16" t="str">
        <x:v>0176288571 | +60176288571</x:v>
      </x:c>
      <x:c r="G6823" s="16" t="str">
        <x:v>+60176288571 | +60176288571</x:v>
      </x:c>
      <x:c r="H6823" s="16" t="str">
        <x:v>Excluded</x:v>
      </x:c>
      <x:c r="I6823" s="16" t="str">
        <x:v>Missing email</x:v>
      </x:c>
    </x:row>
    <x:row r="6824">
      <x:c r="A6824" s="16" t="n">
        <x:v>6821</x:v>
      </x:c>
      <x:c r="B6824" s="16" t="str">
        <x:v>tuan mohd azila uitm fakulti perniagaan</x:v>
      </x:c>
      <x:c r="C6824" s="16" t="str"/>
      <x:c r="D6824" s="16" t="str"/>
      <x:c r="E6824" s="16" t="str">
        <x:v>* myContacts</x:v>
      </x:c>
      <x:c r="F6824" s="16" t="str">
        <x:v>+60102323470</x:v>
      </x:c>
      <x:c r="G6824" s="16" t="str">
        <x:v>+60102323470</x:v>
      </x:c>
      <x:c r="H6824" s="16" t="str">
        <x:v>Excluded</x:v>
      </x:c>
      <x:c r="I6824" s="16" t="str">
        <x:v>Missing email</x:v>
      </x:c>
    </x:row>
    <x:row r="6825">
      <x:c r="A6825" s="16" t="n">
        <x:v>6822</x:v>
      </x:c>
      <x:c r="B6825" s="16" t="str">
        <x:v>Tuan Muaz PUIM</x:v>
      </x:c>
      <x:c r="C6825" s="16" t="str"/>
      <x:c r="D6825" s="16" t="str"/>
      <x:c r="E6825" s="16" t="str">
        <x:v>* myContacts</x:v>
      </x:c>
      <x:c r="F6825" s="16" t="str">
        <x:v>019-262 0609 | +60192620609</x:v>
      </x:c>
      <x:c r="G6825" s="16" t="str">
        <x:v>+60192620609 | +60192620609</x:v>
      </x:c>
      <x:c r="H6825" s="16" t="str">
        <x:v>Excluded</x:v>
      </x:c>
      <x:c r="I6825" s="16" t="str">
        <x:v>Missing email</x:v>
      </x:c>
    </x:row>
    <x:row r="6826">
      <x:c r="A6826" s="16" t="n">
        <x:v>6823</x:v>
      </x:c>
      <x:c r="B6826" s="16" t="str">
        <x:v>Tuan MV Shankar</x:v>
      </x:c>
      <x:c r="C6826" s="16" t="str"/>
      <x:c r="D6826" s="16" t="str"/>
      <x:c r="E6826" s="16" t="str">
        <x:v>* myContacts</x:v>
      </x:c>
      <x:c r="F6826" s="16" t="str">
        <x:v>0122717776 | +60122717776</x:v>
      </x:c>
      <x:c r="G6826" s="16" t="str">
        <x:v>+60122717776 | +60122717776</x:v>
      </x:c>
      <x:c r="H6826" s="16" t="str">
        <x:v>Excluded</x:v>
      </x:c>
      <x:c r="I6826" s="16" t="str">
        <x:v>Missing email</x:v>
      </x:c>
    </x:row>
    <x:row r="6827">
      <x:c r="A6827" s="16" t="n">
        <x:v>6824</x:v>
      </x:c>
      <x:c r="B6827" s="16" t="str">
        <x:v>Tuan Nazrin TI</x:v>
      </x:c>
      <x:c r="C6827" s="16" t="str"/>
      <x:c r="D6827" s="16" t="str"/>
      <x:c r="E6827" s="16" t="str">
        <x:v>* myContacts</x:v>
      </x:c>
      <x:c r="F6827" s="16" t="str">
        <x:v>0126346969</x:v>
      </x:c>
      <x:c r="G6827" s="16" t="str">
        <x:v>+60126346969</x:v>
      </x:c>
      <x:c r="H6827" s="16" t="str">
        <x:v>Excluded</x:v>
      </x:c>
      <x:c r="I6827" s="16" t="str">
        <x:v>Missing email</x:v>
      </x:c>
    </x:row>
    <x:row r="6828">
      <x:c r="A6828" s="16" t="n">
        <x:v>6825</x:v>
      </x:c>
      <x:c r="B6828" s="16" t="str">
        <x:v>Tuan Nordin mohd Projaya Board</x:v>
      </x:c>
      <x:c r="C6828" s="16" t="str"/>
      <x:c r="D6828" s="16" t="str"/>
      <x:c r="E6828" s="16" t="str">
        <x:v>* myContacts</x:v>
      </x:c>
      <x:c r="F6828" s="16" t="str">
        <x:v>+60 12-770 8171 | +60127708171</x:v>
      </x:c>
      <x:c r="G6828" s="16" t="str">
        <x:v>+60127708171 | +60127708171</x:v>
      </x:c>
      <x:c r="H6828" s="16" t="str">
        <x:v>Excluded</x:v>
      </x:c>
      <x:c r="I6828" s="16" t="str">
        <x:v>Missing email</x:v>
      </x:c>
    </x:row>
    <x:row r="6829">
      <x:c r="A6829" s="16" t="n">
        <x:v>6826</x:v>
      </x:c>
      <x:c r="B6829" s="16" t="str">
        <x:v>Tuan Onn DPIM</x:v>
      </x:c>
      <x:c r="C6829" s="16" t="str"/>
      <x:c r="D6829" s="16" t="str"/>
      <x:c r="E6829" s="16" t="str">
        <x:v>* myContacts</x:v>
      </x:c>
      <x:c r="F6829" s="16" t="str">
        <x:v>+60 12-220 5282 | +60122205282</x:v>
      </x:c>
      <x:c r="G6829" s="16" t="str">
        <x:v>+60122205282 | +60122205282</x:v>
      </x:c>
      <x:c r="H6829" s="16" t="str">
        <x:v>Excluded</x:v>
      </x:c>
      <x:c r="I6829" s="16" t="str">
        <x:v>Missing email</x:v>
      </x:c>
    </x:row>
    <x:row r="6830">
      <x:c r="A6830" s="16" t="n">
        <x:v>6827</x:v>
      </x:c>
      <x:c r="B6830" s="16" t="str">
        <x:v>Tuan Ra</x:v>
      </x:c>
      <x:c r="C6830" s="16" t="str"/>
      <x:c r="D6830" s="16" t="str"/>
      <x:c r="E6830" s="16" t="str">
        <x:v>* myContacts</x:v>
      </x:c>
      <x:c r="F6830" s="16" t="str">
        <x:v>+60174203368</x:v>
      </x:c>
      <x:c r="G6830" s="16" t="str">
        <x:v>+60174203368</x:v>
      </x:c>
      <x:c r="H6830" s="16" t="str">
        <x:v>Excluded</x:v>
      </x:c>
      <x:c r="I6830" s="16" t="str">
        <x:v>Missing email</x:v>
      </x:c>
    </x:row>
    <x:row r="6831">
      <x:c r="A6831" s="16" t="n">
        <x:v>6828</x:v>
      </x:c>
      <x:c r="B6831" s="16" t="str">
        <x:v>Tuan Radin Erus Uitm Puncak Perdana</x:v>
      </x:c>
      <x:c r="C6831" s="16" t="str"/>
      <x:c r="D6831" s="16" t="str"/>
      <x:c r="E6831" s="16" t="str">
        <x:v>* myContacts</x:v>
      </x:c>
      <x:c r="F6831" s="16" t="str">
        <x:v>+60196240016</x:v>
      </x:c>
      <x:c r="G6831" s="16" t="str">
        <x:v>+60196240016</x:v>
      </x:c>
      <x:c r="H6831" s="16" t="str">
        <x:v>Excluded</x:v>
      </x:c>
      <x:c r="I6831" s="16" t="str">
        <x:v>Missing email</x:v>
      </x:c>
    </x:row>
    <x:row r="6832">
      <x:c r="A6832" s="16" t="n">
        <x:v>6829</x:v>
      </x:c>
      <x:c r="B6832" s="16" t="str">
        <x:v>Tuan Rahiemi Uitm</x:v>
      </x:c>
      <x:c r="C6832" s="16" t="str"/>
      <x:c r="D6832" s="16" t="str"/>
      <x:c r="E6832" s="16" t="str">
        <x:v>* myContacts</x:v>
      </x:c>
      <x:c r="F6832" s="16" t="str">
        <x:v>+60 12-336 5192 | +60123365192</x:v>
      </x:c>
      <x:c r="G6832" s="16" t="str">
        <x:v>+60123365192 | +60123365192</x:v>
      </x:c>
      <x:c r="H6832" s="16" t="str">
        <x:v>Excluded</x:v>
      </x:c>
      <x:c r="I6832" s="16" t="str">
        <x:v>Missing email</x:v>
      </x:c>
    </x:row>
    <x:row r="6833">
      <x:c r="A6833" s="16" t="n">
        <x:v>6830</x:v>
      </x:c>
      <x:c r="B6833" s="16" t="str">
        <x:v>Tuan Razib ESQ</x:v>
      </x:c>
      <x:c r="C6833" s="16" t="str"/>
      <x:c r="D6833" s="16" t="str"/>
      <x:c r="E6833" s="16" t="str">
        <x:v>* myContacts</x:v>
      </x:c>
      <x:c r="F6833" s="16" t="str">
        <x:v>+60 19-222 5222 | +60192225222</x:v>
      </x:c>
      <x:c r="G6833" s="16" t="str">
        <x:v>+60192225222 | +60192225222</x:v>
      </x:c>
      <x:c r="H6833" s="16" t="str">
        <x:v>Excluded</x:v>
      </x:c>
      <x:c r="I6833" s="16" t="str">
        <x:v>Missing email</x:v>
      </x:c>
    </x:row>
    <x:row r="6834">
      <x:c r="A6834" s="16" t="n">
        <x:v>6831</x:v>
      </x:c>
      <x:c r="B6834" s="16" t="str">
        <x:v>Tuan Razin Mdec</x:v>
      </x:c>
      <x:c r="C6834" s="16" t="str"/>
      <x:c r="D6834" s="16" t="str"/>
      <x:c r="E6834" s="16" t="str">
        <x:v>* myContacts</x:v>
      </x:c>
      <x:c r="F6834" s="16" t="str">
        <x:v>+60 19-243 9515 | +60192439515</x:v>
      </x:c>
      <x:c r="G6834" s="16" t="str">
        <x:v>+60192439515 | +60192439515</x:v>
      </x:c>
      <x:c r="H6834" s="16" t="str">
        <x:v>Excluded</x:v>
      </x:c>
      <x:c r="I6834" s="16" t="str">
        <x:v>Missing email</x:v>
      </x:c>
    </x:row>
    <x:row r="6835">
      <x:c r="A6835" s="16" t="n">
        <x:v>6832</x:v>
      </x:c>
      <x:c r="B6835" s="16" t="str">
        <x:v>Tuan Reen Meatech Studio</x:v>
      </x:c>
      <x:c r="C6835" s="16" t="str"/>
      <x:c r="D6835" s="16" t="str"/>
      <x:c r="E6835" s="16" t="str">
        <x:v>* myContacts</x:v>
      </x:c>
      <x:c r="F6835" s="16" t="str">
        <x:v>+60197618016</x:v>
      </x:c>
      <x:c r="G6835" s="16" t="str">
        <x:v>+60197618016</x:v>
      </x:c>
      <x:c r="H6835" s="16" t="str">
        <x:v>Excluded</x:v>
      </x:c>
      <x:c r="I6835" s="16" t="str">
        <x:v>Missing email</x:v>
      </x:c>
    </x:row>
    <x:row r="6836">
      <x:c r="A6836" s="16" t="n">
        <x:v>6833</x:v>
      </x:c>
      <x:c r="B6836" s="16" t="str">
        <x:v>Tuan Rezza Trainer</x:v>
      </x:c>
      <x:c r="C6836" s="16" t="str"/>
      <x:c r="D6836" s="16" t="str"/>
      <x:c r="E6836" s="16" t="str">
        <x:v>Trainer | * myContacts</x:v>
      </x:c>
      <x:c r="F6836" s="16" t="str">
        <x:v>+60 12-672 1004 | +60126721004</x:v>
      </x:c>
      <x:c r="G6836" s="16" t="str">
        <x:v>+60126721004 | +60126721004</x:v>
      </x:c>
      <x:c r="H6836" s="16" t="str">
        <x:v>Excluded</x:v>
      </x:c>
      <x:c r="I6836" s="16" t="str">
        <x:v>Missing email</x:v>
      </x:c>
    </x:row>
    <x:row r="6837">
      <x:c r="A6837" s="16" t="n">
        <x:v>6834</x:v>
      </x:c>
      <x:c r="B6837" s="16" t="str">
        <x:v>Tuan Rizal Mahaguru Plf</x:v>
      </x:c>
      <x:c r="C6837" s="16" t="str"/>
      <x:c r="D6837" s="16" t="str"/>
      <x:c r="E6837" s="16" t="str">
        <x:v>* myContacts</x:v>
      </x:c>
      <x:c r="F6837" s="16" t="str">
        <x:v>+60 12-328 4135 | +60123284135</x:v>
      </x:c>
      <x:c r="G6837" s="16" t="str">
        <x:v>+60123284135 | +60123284135</x:v>
      </x:c>
      <x:c r="H6837" s="16" t="str">
        <x:v>Excluded</x:v>
      </x:c>
      <x:c r="I6837" s="16" t="str">
        <x:v>Missing email</x:v>
      </x:c>
    </x:row>
    <x:row r="6838">
      <x:c r="A6838" s="16" t="n">
        <x:v>6835</x:v>
      </x:c>
      <x:c r="B6838" s="16" t="str">
        <x:v>Tuan Sableh Pakar Zero Kos Marketing</x:v>
      </x:c>
      <x:c r="C6838" s="16" t="str"/>
      <x:c r="D6838" s="16" t="str"/>
      <x:c r="E6838" s="16" t="str">
        <x:v>* myContacts</x:v>
      </x:c>
      <x:c r="F6838" s="16" t="str">
        <x:v>+60 17-355 7858 | +60 13-243 0399 | +60173557858 | +60132430399</x:v>
      </x:c>
      <x:c r="G6838" s="16" t="str">
        <x:v>+60173557858 | +60132430399 | +60173557858 | +60132430399</x:v>
      </x:c>
      <x:c r="H6838" s="16" t="str">
        <x:v>Excluded</x:v>
      </x:c>
      <x:c r="I6838" s="16" t="str">
        <x:v>Missing email</x:v>
      </x:c>
    </x:row>
    <x:row r="6839">
      <x:c r="A6839" s="16" t="n">
        <x:v>6836</x:v>
      </x:c>
      <x:c r="B6839" s="16" t="str">
        <x:v>Tuan Saiful</x:v>
      </x:c>
      <x:c r="C6839" s="16" t="str"/>
      <x:c r="D6839" s="16" t="str"/>
      <x:c r="E6839" s="16" t="str">
        <x:v>* myContacts</x:v>
      </x:c>
      <x:c r="F6839" s="16" t="str">
        <x:v>012-369 8910 | +60 17-588 6683 | +60123698910 | +60175886683</x:v>
      </x:c>
      <x:c r="G6839" s="16" t="str">
        <x:v>+60123698910 | +60175886683 | +60123698910 | +60175886683</x:v>
      </x:c>
      <x:c r="H6839" s="16" t="str">
        <x:v>Excluded</x:v>
      </x:c>
      <x:c r="I6839" s="16" t="str">
        <x:v>Missing email</x:v>
      </x:c>
    </x:row>
    <x:row r="6840">
      <x:c r="A6840" s="16" t="n">
        <x:v>6837</x:v>
      </x:c>
      <x:c r="B6840" s="16" t="str">
        <x:v>Tuan Saiful Mbm</x:v>
      </x:c>
      <x:c r="C6840" s="16" t="str"/>
      <x:c r="D6840" s="16" t="str"/>
      <x:c r="E6840" s="16" t="str">
        <x:v>* myContacts</x:v>
      </x:c>
      <x:c r="F6840" s="16" t="str">
        <x:v>013-398 5857 | +60133985857</x:v>
      </x:c>
      <x:c r="G6840" s="16" t="str">
        <x:v>+60133985857 | +60133985857</x:v>
      </x:c>
      <x:c r="H6840" s="16" t="str">
        <x:v>Excluded</x:v>
      </x:c>
      <x:c r="I6840" s="16" t="str">
        <x:v>Missing email</x:v>
      </x:c>
    </x:row>
    <x:row r="6841">
      <x:c r="A6841" s="16" t="n">
        <x:v>6838</x:v>
      </x:c>
      <x:c r="B6841" s="16" t="str">
        <x:v>Tuan Saiful Pegawai jaga Hijrah Shah Alam</x:v>
      </x:c>
      <x:c r="C6841" s="16" t="str"/>
      <x:c r="D6841" s="16" t="str"/>
      <x:c r="E6841" s="16" t="str">
        <x:v>Alumni eUsahawan | * myContacts</x:v>
      </x:c>
      <x:c r="F6841" s="16" t="str">
        <x:v>+60 11-1217 8684 | +601112178684</x:v>
      </x:c>
      <x:c r="G6841" s="16" t="str">
        <x:v>+601112178684 | +601112178684</x:v>
      </x:c>
      <x:c r="H6841" s="16" t="str">
        <x:v>Excluded</x:v>
      </x:c>
      <x:c r="I6841" s="16" t="str">
        <x:v>Missing email</x:v>
      </x:c>
    </x:row>
    <x:row r="6842">
      <x:c r="A6842" s="16" t="n">
        <x:v>6839</x:v>
      </x:c>
      <x:c r="B6842" s="16" t="str">
        <x:v>Tuan Saifulzaman</x:v>
      </x:c>
      <x:c r="C6842" s="16" t="str"/>
      <x:c r="D6842" s="16" t="str"/>
      <x:c r="E6842" s="16" t="str">
        <x:v>* myContacts</x:v>
      </x:c>
      <x:c r="F6842" s="16" t="str">
        <x:v>+60 13-349 7823 | +60133497823</x:v>
      </x:c>
      <x:c r="G6842" s="16" t="str">
        <x:v>+60133497823 | +60133497823</x:v>
      </x:c>
      <x:c r="H6842" s="16" t="str">
        <x:v>Excluded</x:v>
      </x:c>
      <x:c r="I6842" s="16" t="str">
        <x:v>Missing email</x:v>
      </x:c>
    </x:row>
    <x:row r="6843">
      <x:c r="A6843" s="16" t="n">
        <x:v>6840</x:v>
      </x:c>
      <x:c r="B6843" s="16" t="str">
        <x:v>Tuan Salmi</x:v>
      </x:c>
      <x:c r="C6843" s="16" t="str"/>
      <x:c r="D6843" s="16" t="str"/>
      <x:c r="E6843" s="16" t="str">
        <x:v>* myContacts</x:v>
      </x:c>
      <x:c r="F6843" s="16" t="str">
        <x:v>+60 19-322 7604 | +60193227604</x:v>
      </x:c>
      <x:c r="G6843" s="16" t="str">
        <x:v>+60193227604 | +60193227604</x:v>
      </x:c>
      <x:c r="H6843" s="16" t="str">
        <x:v>Excluded</x:v>
      </x:c>
      <x:c r="I6843" s="16" t="str">
        <x:v>Missing email</x:v>
      </x:c>
    </x:row>
    <x:row r="6844">
      <x:c r="A6844" s="16" t="n">
        <x:v>6841</x:v>
      </x:c>
      <x:c r="B6844" s="16" t="str">
        <x:v>Tuan Shahril Sudin Pakar Copywriting</x:v>
      </x:c>
      <x:c r="C6844" s="16" t="str"/>
      <x:c r="D6844" s="16" t="str"/>
      <x:c r="E6844" s="16" t="str">
        <x:v>* myContacts</x:v>
      </x:c>
      <x:c r="F6844" s="16" t="str">
        <x:v>+60 10-451 9926 | +60104519926</x:v>
      </x:c>
      <x:c r="G6844" s="16" t="str">
        <x:v>+60104519926 | +60104519926</x:v>
      </x:c>
      <x:c r="H6844" s="16" t="str">
        <x:v>Excluded</x:v>
      </x:c>
      <x:c r="I6844" s="16" t="str">
        <x:v>Missing email</x:v>
      </x:c>
    </x:row>
    <x:row r="6845">
      <x:c r="A6845" s="16" t="n">
        <x:v>6842</x:v>
      </x:c>
      <x:c r="B6845" s="16" t="str">
        <x:v>Tuan Sifu Sam Khudd</x:v>
      </x:c>
      <x:c r="C6845" s="16" t="str"/>
      <x:c r="D6845" s="16" t="str"/>
      <x:c r="E6845" s="16" t="str">
        <x:v>Trainer | * myContacts</x:v>
      </x:c>
      <x:c r="F6845" s="16" t="str">
        <x:v>+60 17-359 1461 | +60173591461</x:v>
      </x:c>
      <x:c r="G6845" s="16" t="str">
        <x:v>+60173591461 | +60173591461</x:v>
      </x:c>
      <x:c r="H6845" s="16" t="str">
        <x:v>Excluded</x:v>
      </x:c>
      <x:c r="I6845" s="16" t="str">
        <x:v>Missing email</x:v>
      </x:c>
    </x:row>
    <x:row r="6846">
      <x:c r="A6846" s="16" t="n">
        <x:v>6843</x:v>
      </x:c>
      <x:c r="B6846" s="16" t="str">
        <x:v>Tuan Sulaiman Trainer Eusahawan</x:v>
      </x:c>
      <x:c r="C6846" s="16" t="str"/>
      <x:c r="D6846" s="16" t="str"/>
      <x:c r="E6846" s="16" t="str">
        <x:v>Alumni eUsahawan | * myContacts</x:v>
      </x:c>
      <x:c r="F6846" s="16" t="str">
        <x:v>+60 11-3219 3296 | +601132193296</x:v>
      </x:c>
      <x:c r="G6846" s="16" t="str">
        <x:v>+601132193296 | +601132193296</x:v>
      </x:c>
      <x:c r="H6846" s="16" t="str">
        <x:v>Excluded</x:v>
      </x:c>
      <x:c r="I6846" s="16" t="str">
        <x:v>Missing email</x:v>
      </x:c>
    </x:row>
    <x:row r="6847">
      <x:c r="A6847" s="16" t="n">
        <x:v>6844</x:v>
      </x:c>
      <x:c r="B6847" s="16" t="str">
        <x:v>Tuan Syah</x:v>
      </x:c>
      <x:c r="C6847" s="16" t="str"/>
      <x:c r="D6847" s="16" t="str"/>
      <x:c r="E6847" s="16" t="str">
        <x:v>* myContacts</x:v>
      </x:c>
      <x:c r="F6847" s="16" t="str">
        <x:v>+60149438350</x:v>
      </x:c>
      <x:c r="G6847" s="16" t="str">
        <x:v>+60149438350</x:v>
      </x:c>
      <x:c r="H6847" s="16" t="str">
        <x:v>Excluded</x:v>
      </x:c>
      <x:c r="I6847" s="16" t="str">
        <x:v>Missing email</x:v>
      </x:c>
    </x:row>
    <x:row r="6848">
      <x:c r="A6848" s="16" t="n">
        <x:v>6845</x:v>
      </x:c>
      <x:c r="B6848" s="16" t="str">
        <x:v>Tuan Syed Azril BDA</x:v>
      </x:c>
      <x:c r="C6848" s="16" t="str"/>
      <x:c r="D6848" s="16" t="str"/>
      <x:c r="E6848" s="16" t="str">
        <x:v>* myContacts</x:v>
      </x:c>
      <x:c r="F6848" s="16" t="str">
        <x:v>019-222 2632 | +60192222632</x:v>
      </x:c>
      <x:c r="G6848" s="16" t="str">
        <x:v>+60192222632 | +60192222632</x:v>
      </x:c>
      <x:c r="H6848" s="16" t="str">
        <x:v>Excluded</x:v>
      </x:c>
      <x:c r="I6848" s="16" t="str">
        <x:v>Missing email</x:v>
      </x:c>
    </x:row>
    <x:row r="6849">
      <x:c r="A6849" s="16" t="n">
        <x:v>6846</x:v>
      </x:c>
      <x:c r="B6849" s="16" t="str">
        <x:v>Tuan Trainer Fahmie Abu Bakar</x:v>
      </x:c>
      <x:c r="C6849" s="16" t="str"/>
      <x:c r="D6849" s="16" t="str"/>
      <x:c r="E6849" s="16" t="str">
        <x:v>Trainer | * myContacts</x:v>
      </x:c>
      <x:c r="F6849" s="16" t="str">
        <x:v>012-644 2000 | +60126442000</x:v>
      </x:c>
      <x:c r="G6849" s="16" t="str">
        <x:v>+60126442000 | +60126442000</x:v>
      </x:c>
      <x:c r="H6849" s="16" t="str">
        <x:v>Excluded</x:v>
      </x:c>
      <x:c r="I6849" s="16" t="str">
        <x:v>Missing email</x:v>
      </x:c>
    </x:row>
    <x:row r="6850">
      <x:c r="A6850" s="16" t="n">
        <x:v>6847</x:v>
      </x:c>
      <x:c r="B6850" s="16" t="str">
        <x:v>tuan yahya tauke facemask</x:v>
      </x:c>
      <x:c r="C6850" s="16" t="str"/>
      <x:c r="D6850" s="16" t="str"/>
      <x:c r="E6850" s="16" t="str">
        <x:v>* myContacts</x:v>
      </x:c>
      <x:c r="F6850" s="16" t="str">
        <x:v>+60 19-699 6902 | +60196996902</x:v>
      </x:c>
      <x:c r="G6850" s="16" t="str">
        <x:v>+60196996902 | +60196996902</x:v>
      </x:c>
      <x:c r="H6850" s="16" t="str">
        <x:v>Excluded</x:v>
      </x:c>
      <x:c r="I6850" s="16" t="str">
        <x:v>Missing email</x:v>
      </x:c>
    </x:row>
    <x:row r="6851">
      <x:c r="A6851" s="16" t="n">
        <x:v>6848</x:v>
      </x:c>
      <x:c r="B6851" s="16" t="str">
        <x:v>Tuan Yusri FAMA MUKAH</x:v>
      </x:c>
      <x:c r="C6851" s="16" t="str"/>
      <x:c r="D6851" s="16" t="str"/>
      <x:c r="E6851" s="16" t="str">
        <x:v>* myContacts</x:v>
      </x:c>
      <x:c r="F6851" s="16" t="str">
        <x:v>0168732982 | +60168732982</x:v>
      </x:c>
      <x:c r="G6851" s="16" t="str">
        <x:v>+60168732982 | +60168732982</x:v>
      </x:c>
      <x:c r="H6851" s="16" t="str">
        <x:v>Excluded</x:v>
      </x:c>
      <x:c r="I6851" s="16" t="str">
        <x:v>Missing email</x:v>
      </x:c>
    </x:row>
    <x:row r="6852">
      <x:c r="A6852" s="16" t="n">
        <x:v>6849</x:v>
      </x:c>
      <x:c r="B6852" s="16" t="str">
        <x:v>Tuan Zaif AMD GROUP</x:v>
      </x:c>
      <x:c r="C6852" s="16" t="str"/>
      <x:c r="D6852" s="16" t="str"/>
      <x:c r="E6852" s="16" t="str">
        <x:v>* myContacts</x:v>
      </x:c>
      <x:c r="F6852" s="16" t="str">
        <x:v>+6281228175574</x:v>
      </x:c>
      <x:c r="G6852" s="16" t="str">
        <x:v>+6281228175574</x:v>
      </x:c>
      <x:c r="H6852" s="16" t="str">
        <x:v>Excluded</x:v>
      </x:c>
      <x:c r="I6852" s="16" t="str">
        <x:v>Missing email</x:v>
      </x:c>
    </x:row>
    <x:row r="6853">
      <x:c r="A6853" s="16" t="n">
        <x:v>6850</x:v>
      </x:c>
      <x:c r="B6853" s="16" t="str">
        <x:v>Tuan Zainal Rexton</x:v>
      </x:c>
      <x:c r="C6853" s="16" t="str"/>
      <x:c r="D6853" s="16" t="str"/>
      <x:c r="E6853" s="16" t="str">
        <x:v>* myContacts</x:v>
      </x:c>
      <x:c r="F6853" s="16" t="str">
        <x:v>+60 17-688 9978 | +60176889978</x:v>
      </x:c>
      <x:c r="G6853" s="16" t="str">
        <x:v>+60176889978 | +60176889978</x:v>
      </x:c>
      <x:c r="H6853" s="16" t="str">
        <x:v>Excluded</x:v>
      </x:c>
      <x:c r="I6853" s="16" t="str">
        <x:v>Missing email</x:v>
      </x:c>
    </x:row>
    <x:row r="6854">
      <x:c r="A6854" s="16" t="n">
        <x:v>6851</x:v>
      </x:c>
      <x:c r="B6854" s="16" t="str">
        <x:v>Tuan Zaini Fama</x:v>
      </x:c>
      <x:c r="C6854" s="16" t="str"/>
      <x:c r="D6854" s="16" t="str"/>
      <x:c r="E6854" s="16" t="str">
        <x:v>* myContacts</x:v>
      </x:c>
      <x:c r="F6854" s="16" t="str">
        <x:v>+60 12-330 4941 | +60123304941</x:v>
      </x:c>
      <x:c r="G6854" s="16" t="str">
        <x:v>+60123304941 | +60123304941</x:v>
      </x:c>
      <x:c r="H6854" s="16" t="str">
        <x:v>Excluded</x:v>
      </x:c>
      <x:c r="I6854" s="16" t="str">
        <x:v>Missing email</x:v>
      </x:c>
    </x:row>
    <x:row r="6855">
      <x:c r="A6855" s="16" t="n">
        <x:v>6852</x:v>
      </x:c>
      <x:c r="B6855" s="16" t="str">
        <x:v>Tuan Zaki Internet Marketeer</x:v>
      </x:c>
      <x:c r="C6855" s="16" t="str"/>
      <x:c r="D6855" s="16" t="str"/>
      <x:c r="E6855" s="16" t="str">
        <x:v>* myContacts</x:v>
      </x:c>
      <x:c r="F6855" s="16" t="str">
        <x:v>11-1664 9439 | 1116649439</x:v>
      </x:c>
      <x:c r="G6855" s="16" t="str"/>
      <x:c r="H6855" s="16" t="str">
        <x:v>Excluded</x:v>
      </x:c>
      <x:c r="I6855" s="16" t="str">
        <x:v>Missing email</x:v>
      </x:c>
    </x:row>
    <x:row r="6856">
      <x:c r="A6856" s="16" t="n">
        <x:v>6853</x:v>
      </x:c>
      <x:c r="B6856" s="16" t="str">
        <x:v>Tuan Zul Ultimate CEO</x:v>
      </x:c>
      <x:c r="C6856" s="16" t="str"/>
      <x:c r="D6856" s="16" t="str"/>
      <x:c r="E6856" s="16" t="str">
        <x:v>* myContacts</x:v>
      </x:c>
      <x:c r="F6856" s="16" t="str">
        <x:v>+60 11-1087 3769 | +601110873769</x:v>
      </x:c>
      <x:c r="G6856" s="16" t="str">
        <x:v>+601110873769 | +601110873769</x:v>
      </x:c>
      <x:c r="H6856" s="16" t="str">
        <x:v>Excluded</x:v>
      </x:c>
      <x:c r="I6856" s="16" t="str">
        <x:v>Missing email</x:v>
      </x:c>
    </x:row>
    <x:row r="6857">
      <x:c r="A6857" s="16" t="n">
        <x:v>6854</x:v>
      </x:c>
      <x:c r="B6857" s="16" t="str">
        <x:v>TuanDin ToneExcel</x:v>
      </x:c>
      <x:c r="C6857" s="16" t="str"/>
      <x:c r="D6857" s="16" t="str"/>
      <x:c r="E6857" s="16" t="str">
        <x:v>* myContacts</x:v>
      </x:c>
      <x:c r="F6857" s="16" t="str">
        <x:v>+60105274808</x:v>
      </x:c>
      <x:c r="G6857" s="16" t="str">
        <x:v>+60105274808</x:v>
      </x:c>
      <x:c r="H6857" s="16" t="str">
        <x:v>Excluded</x:v>
      </x:c>
      <x:c r="I6857" s="16" t="str">
        <x:v>Missing email</x:v>
      </x:c>
    </x:row>
    <x:row r="6858">
      <x:c r="A6858" s="16" t="n">
        <x:v>6855</x:v>
      </x:c>
      <x:c r="B6858" s="16" t="str">
        <x:v>Tukang urut ipoh</x:v>
      </x:c>
      <x:c r="C6858" s="16" t="str"/>
      <x:c r="D6858" s="16" t="str"/>
      <x:c r="E6858" s="16" t="str">
        <x:v>* myContacts</x:v>
      </x:c>
      <x:c r="F6858" s="16" t="str">
        <x:v>+60 19-413 5490 | +60194135490</x:v>
      </x:c>
      <x:c r="G6858" s="16" t="str">
        <x:v>+60194135490 | +60194135490</x:v>
      </x:c>
      <x:c r="H6858" s="16" t="str">
        <x:v>Excluded</x:v>
      </x:c>
      <x:c r="I6858" s="16" t="str">
        <x:v>Missing email</x:v>
      </x:c>
    </x:row>
    <x:row r="6859">
      <x:c r="A6859" s="16" t="n">
        <x:v>6856</x:v>
      </x:c>
      <x:c r="B6859" s="16" t="str">
        <x:v>tukang urut ipoh 2</x:v>
      </x:c>
      <x:c r="C6859" s="16" t="str"/>
      <x:c r="D6859" s="16" t="str"/>
      <x:c r="E6859" s="16" t="str">
        <x:v>* myContacts</x:v>
      </x:c>
      <x:c r="F6859" s="16" t="str">
        <x:v>+60 11-2648 6142 | +601126486142</x:v>
      </x:c>
      <x:c r="G6859" s="16" t="str">
        <x:v>+601126486142 | +601126486142</x:v>
      </x:c>
      <x:c r="H6859" s="16" t="str">
        <x:v>Excluded</x:v>
      </x:c>
      <x:c r="I6859" s="16" t="str">
        <x:v>Missing email</x:v>
      </x:c>
    </x:row>
    <x:row r="6860">
      <x:c r="A6860" s="16" t="n">
        <x:v>6857</x:v>
      </x:c>
      <x:c r="B6860" s="16" t="str">
        <x:v>Tun Mohd Rizal</x:v>
      </x:c>
      <x:c r="C6860" s="16" t="str"/>
      <x:c r="D6860" s="16" t="str"/>
      <x:c r="E6860" s="16" t="str">
        <x:v>* myContacts</x:v>
      </x:c>
      <x:c r="F6860" s="16" t="str">
        <x:v>+6096572060</x:v>
      </x:c>
      <x:c r="G6860" s="16" t="str">
        <x:v>+6096572060</x:v>
      </x:c>
      <x:c r="H6860" s="16" t="str">
        <x:v>Excluded</x:v>
      </x:c>
      <x:c r="I6860" s="16" t="str">
        <x:v>Missing email</x:v>
      </x:c>
    </x:row>
    <x:row r="6861">
      <x:c r="A6861" s="16" t="n">
        <x:v>6858</x:v>
      </x:c>
      <x:c r="B6861" s="16" t="str">
        <x:v>Tun Syafiq Tun Baharum Terengganu Digital</x:v>
      </x:c>
      <x:c r="C6861" s="16" t="str"/>
      <x:c r="D6861" s="16" t="str"/>
      <x:c r="E6861" s="16" t="str">
        <x:v>* myContacts</x:v>
      </x:c>
      <x:c r="F6861" s="16" t="str">
        <x:v>+60 17-979 9698 | +60179799698</x:v>
      </x:c>
      <x:c r="G6861" s="16" t="str">
        <x:v>+60179799698 | +60179799698</x:v>
      </x:c>
      <x:c r="H6861" s="16" t="str">
        <x:v>Excluded</x:v>
      </x:c>
      <x:c r="I6861" s="16" t="str">
        <x:v>Missing email</x:v>
      </x:c>
    </x:row>
    <x:row r="6862">
      <x:c r="A6862" s="16" t="n">
        <x:v>6859</x:v>
      </x:c>
      <x:c r="B6862" s="16" t="str">
        <x:v>Tunai Zakat Selangor</x:v>
      </x:c>
      <x:c r="C6862" s="16" t="str"/>
      <x:c r="D6862" s="16" t="str"/>
      <x:c r="E6862" s="16" t="str">
        <x:v>* myContacts</x:v>
      </x:c>
      <x:c r="F6862" s="16" t="str">
        <x:v>+601112382766</x:v>
      </x:c>
      <x:c r="G6862" s="16" t="str">
        <x:v>+601112382766</x:v>
      </x:c>
      <x:c r="H6862" s="16" t="str">
        <x:v>Excluded</x:v>
      </x:c>
      <x:c r="I6862" s="16" t="str">
        <x:v>Missing email</x:v>
      </x:c>
    </x:row>
    <x:row r="6863">
      <x:c r="A6863" s="16" t="n">
        <x:v>6860</x:v>
      </x:c>
      <x:c r="B6863" s="16" t="str">
        <x:v>Tvern Recycle Besi Buruk Bestari Jaya</x:v>
      </x:c>
      <x:c r="C6863" s="16" t="str"/>
      <x:c r="D6863" s="16" t="str"/>
      <x:c r="E6863" s="16" t="str">
        <x:v>* myContacts</x:v>
      </x:c>
      <x:c r="F6863" s="16" t="str">
        <x:v>0103703704 | +60103703704</x:v>
      </x:c>
      <x:c r="G6863" s="16" t="str">
        <x:v>+60103703704 | +60103703704</x:v>
      </x:c>
      <x:c r="H6863" s="16" t="str">
        <x:v>Excluded</x:v>
      </x:c>
      <x:c r="I6863" s="16" t="str">
        <x:v>Missing email</x:v>
      </x:c>
    </x:row>
    <x:row r="6864">
      <x:c r="A6864" s="16" t="n">
        <x:v>6861</x:v>
      </x:c>
      <x:c r="B6864" s="16" t="str">
        <x:v>Twinter Winx Twinter Winx</x:v>
      </x:c>
      <x:c r="C6864" s="16" t="str"/>
      <x:c r="D6864" s="16" t="str"/>
      <x:c r="E6864" s="16" t="str">
        <x:v>* myContacts</x:v>
      </x:c>
      <x:c r="F6864" s="16" t="str">
        <x:v>+60109781580</x:v>
      </x:c>
      <x:c r="G6864" s="16" t="str">
        <x:v>+60109781580</x:v>
      </x:c>
      <x:c r="H6864" s="16" t="str">
        <x:v>Excluded</x:v>
      </x:c>
      <x:c r="I6864" s="16" t="str">
        <x:v>Missing email</x:v>
      </x:c>
    </x:row>
    <x:row r="6865">
      <x:c r="A6865" s="16" t="n">
        <x:v>6862</x:v>
      </x:c>
      <x:c r="B6865" s="16" t="str">
        <x:v>Tyre Sumec</x:v>
      </x:c>
      <x:c r="C6865" s="16" t="str"/>
      <x:c r="D6865" s="16" t="str"/>
      <x:c r="E6865" s="16" t="str">
        <x:v>* myContacts</x:v>
      </x:c>
      <x:c r="F6865" s="16" t="str">
        <x:v>+60196550092</x:v>
      </x:c>
      <x:c r="G6865" s="16" t="str">
        <x:v>+60196550092</x:v>
      </x:c>
      <x:c r="H6865" s="16" t="str">
        <x:v>Excluded</x:v>
      </x:c>
      <x:c r="I6865" s="16" t="str">
        <x:v>Missing email</x:v>
      </x:c>
    </x:row>
    <x:row r="6866">
      <x:c r="A6866" s="16" t="n">
        <x:v>6863</x:v>
      </x:c>
      <x:c r="B6866" s="16" t="str">
        <x:v>U'jerydxbc</x:v>
      </x:c>
      <x:c r="C6866" s="16" t="str"/>
      <x:c r="D6866" s="16" t="str"/>
      <x:c r="E6866" s="16" t="str">
        <x:v>* myContacts</x:v>
      </x:c>
      <x:c r="F6866" s="16" t="str">
        <x:v>+6282211010323</x:v>
      </x:c>
      <x:c r="G6866" s="16" t="str">
        <x:v>+6282211010323</x:v>
      </x:c>
      <x:c r="H6866" s="16" t="str">
        <x:v>Excluded</x:v>
      </x:c>
      <x:c r="I6866" s="16" t="str">
        <x:v>Missing email</x:v>
      </x:c>
    </x:row>
    <x:row r="6867">
      <x:c r="A6867" s="16" t="n">
        <x:v>6864</x:v>
      </x:c>
      <x:c r="B6867" s="16" t="str">
        <x:v>UB Wong</x:v>
      </x:c>
      <x:c r="C6867" s="16" t="str"/>
      <x:c r="D6867" s="16" t="str"/>
      <x:c r="E6867" s="16" t="str">
        <x:v>* myContacts</x:v>
      </x:c>
      <x:c r="F6867" s="16" t="str">
        <x:v>+60109556252</x:v>
      </x:c>
      <x:c r="G6867" s="16" t="str">
        <x:v>+60109556252</x:v>
      </x:c>
      <x:c r="H6867" s="16" t="str">
        <x:v>Excluded</x:v>
      </x:c>
      <x:c r="I6867" s="16" t="str">
        <x:v>Missing email</x:v>
      </x:c>
    </x:row>
    <x:row r="6868">
      <x:c r="A6868" s="16" t="n">
        <x:v>6865</x:v>
      </x:c>
      <x:c r="B6868" s="16" t="str">
        <x:v>Ubahsuai Rumah</x:v>
      </x:c>
      <x:c r="C6868" s="16" t="str"/>
      <x:c r="D6868" s="16" t="str"/>
      <x:c r="E6868" s="16" t="str">
        <x:v>* myContacts</x:v>
      </x:c>
      <x:c r="F6868" s="16" t="str">
        <x:v>+60166852670</x:v>
      </x:c>
      <x:c r="G6868" s="16" t="str">
        <x:v>+60166852670</x:v>
      </x:c>
      <x:c r="H6868" s="16" t="str">
        <x:v>Excluded</x:v>
      </x:c>
      <x:c r="I6868" s="16" t="str">
        <x:v>Missing email</x:v>
      </x:c>
    </x:row>
    <x:row r="6869">
      <x:c r="A6869" s="16" t="n">
        <x:v>6866</x:v>
      </x:c>
      <x:c r="B6869" s="16" t="str">
        <x:v>Ubai Internet Marketeer</x:v>
      </x:c>
      <x:c r="C6869" s="16" t="str"/>
      <x:c r="D6869" s="16" t="str"/>
      <x:c r="E6869" s="16" t="str">
        <x:v>* myContacts</x:v>
      </x:c>
      <x:c r="F6869" s="16" t="str">
        <x:v>+60 10-858 4541 | +60108584541</x:v>
      </x:c>
      <x:c r="G6869" s="16" t="str">
        <x:v>+60108584541 | +60108584541</x:v>
      </x:c>
      <x:c r="H6869" s="16" t="str">
        <x:v>Excluded</x:v>
      </x:c>
      <x:c r="I6869" s="16" t="str">
        <x:v>Missing email</x:v>
      </x:c>
    </x:row>
    <x:row r="6870">
      <x:c r="A6870" s="16" t="n">
        <x:v>6867</x:v>
      </x:c>
      <x:c r="B6870" s="16" t="str">
        <x:v>Ubat Kuat Power Booster</x:v>
      </x:c>
      <x:c r="C6870" s="16" t="str"/>
      <x:c r="D6870" s="16" t="str"/>
      <x:c r="E6870" s="16" t="str">
        <x:v>* myContacts</x:v>
      </x:c>
      <x:c r="F6870" s="16" t="str">
        <x:v>+601121194070</x:v>
      </x:c>
      <x:c r="G6870" s="16" t="str">
        <x:v>+601121194070</x:v>
      </x:c>
      <x:c r="H6870" s="16" t="str">
        <x:v>Excluded</x:v>
      </x:c>
      <x:c r="I6870" s="16" t="str">
        <x:v>Missing email</x:v>
      </x:c>
    </x:row>
    <x:row r="6871">
      <x:c r="A6871" s="16" t="n">
        <x:v>6868</x:v>
      </x:c>
      <x:c r="B6871" s="16" t="str">
        <x:v>Ubat Pesaka</x:v>
      </x:c>
      <x:c r="C6871" s="16" t="str"/>
      <x:c r="D6871" s="16" t="str"/>
      <x:c r="E6871" s="16" t="str">
        <x:v>* myContacts</x:v>
      </x:c>
      <x:c r="F6871" s="16" t="str">
        <x:v>+60194333302</x:v>
      </x:c>
      <x:c r="G6871" s="16" t="str">
        <x:v>+60194333302</x:v>
      </x:c>
      <x:c r="H6871" s="16" t="str">
        <x:v>Excluded</x:v>
      </x:c>
      <x:c r="I6871" s="16" t="str">
        <x:v>Missing email</x:v>
      </x:c>
    </x:row>
    <x:row r="6872">
      <x:c r="A6872" s="16" t="n">
        <x:v>6869</x:v>
      </x:c>
      <x:c r="B6872" s="16" t="str">
        <x:v>Ubi TT SHOP Affiliate</x:v>
      </x:c>
      <x:c r="C6872" s="16" t="str"/>
      <x:c r="D6872" s="16" t="str"/>
      <x:c r="E6872" s="16" t="str">
        <x:v>* myContacts</x:v>
      </x:c>
      <x:c r="F6872" s="16" t="str">
        <x:v>+60 18-911 6042 | +60189116042</x:v>
      </x:c>
      <x:c r="G6872" s="16" t="str">
        <x:v>+60189116042 | +60189116042</x:v>
      </x:c>
      <x:c r="H6872" s="16" t="str">
        <x:v>Excluded</x:v>
      </x:c>
      <x:c r="I6872" s="16" t="str">
        <x:v>Missing email</x:v>
      </x:c>
    </x:row>
    <x:row r="6873">
      <x:c r="A6873" s="16" t="n">
        <x:v>6870</x:v>
      </x:c>
      <x:c r="B6873" s="16" t="str">
        <x:v>UChantek Flowers</x:v>
      </x:c>
      <x:c r="C6873" s="16" t="str"/>
      <x:c r="D6873" s="16" t="str"/>
      <x:c r="E6873" s="16" t="str">
        <x:v>* myContacts</x:v>
      </x:c>
      <x:c r="F6873" s="16" t="str">
        <x:v>+60173257434</x:v>
      </x:c>
      <x:c r="G6873" s="16" t="str">
        <x:v>+60173257434</x:v>
      </x:c>
      <x:c r="H6873" s="16" t="str">
        <x:v>Excluded</x:v>
      </x:c>
      <x:c r="I6873" s="16" t="str">
        <x:v>Missing email</x:v>
      </x:c>
    </x:row>
    <x:row r="6874">
      <x:c r="A6874" s="16" t="n">
        <x:v>6871</x:v>
      </x:c>
      <x:c r="B6874" s="16" t="str">
        <x:v>Uchiha Qristal</x:v>
      </x:c>
      <x:c r="C6874" s="16" t="str"/>
      <x:c r="D6874" s="16" t="str"/>
      <x:c r="E6874" s="16" t="str">
        <x:v>* myContacts</x:v>
      </x:c>
      <x:c r="F6874" s="16" t="str">
        <x:v>+60133898895</x:v>
      </x:c>
      <x:c r="G6874" s="16" t="str">
        <x:v>+60133898895</x:v>
      </x:c>
      <x:c r="H6874" s="16" t="str">
        <x:v>Excluded</x:v>
      </x:c>
      <x:c r="I6874" s="16" t="str">
        <x:v>Missing email</x:v>
      </x:c>
    </x:row>
    <x:row r="6875">
      <x:c r="A6875" s="16" t="n">
        <x:v>6872</x:v>
      </x:c>
      <x:c r="B6875" s="16" t="str">
        <x:v>Uda Naeim Abd Rahim</x:v>
      </x:c>
      <x:c r="C6875" s="16" t="str"/>
      <x:c r="D6875" s="16" t="str"/>
      <x:c r="E6875" s="16" t="str">
        <x:v>* myContacts</x:v>
      </x:c>
      <x:c r="F6875" s="16" t="str">
        <x:v>+60174622642</x:v>
      </x:c>
      <x:c r="G6875" s="16" t="str">
        <x:v>+60174622642</x:v>
      </x:c>
      <x:c r="H6875" s="16" t="str">
        <x:v>Excluded</x:v>
      </x:c>
      <x:c r="I6875" s="16" t="str">
        <x:v>Missing email</x:v>
      </x:c>
    </x:row>
    <x:row r="6876">
      <x:c r="A6876" s="16" t="n">
        <x:v>6873</x:v>
      </x:c>
      <x:c r="B6876" s="16" t="str">
        <x:v>Udanis DPIM Kuantan</x:v>
      </x:c>
      <x:c r="C6876" s="16" t="str"/>
      <x:c r="D6876" s="16" t="str"/>
      <x:c r="E6876" s="16" t="str">
        <x:v>* myContacts</x:v>
      </x:c>
      <x:c r="F6876" s="16" t="str">
        <x:v>+60 11-5350 0015 | +601153500015</x:v>
      </x:c>
      <x:c r="G6876" s="16" t="str">
        <x:v>+601153500015 | +601153500015</x:v>
      </x:c>
      <x:c r="H6876" s="16" t="str">
        <x:v>Excluded</x:v>
      </x:c>
      <x:c r="I6876" s="16" t="str">
        <x:v>Missing email</x:v>
      </x:c>
    </x:row>
    <x:row r="6877">
      <x:c r="A6877" s="16" t="n">
        <x:v>6874</x:v>
      </x:c>
      <x:c r="B6877" s="16" t="str">
        <x:v>Udax Kechik</x:v>
      </x:c>
      <x:c r="C6877" s="16" t="str"/>
      <x:c r="D6877" s="16" t="str"/>
      <x:c r="E6877" s="16" t="str">
        <x:v>* myContacts</x:v>
      </x:c>
      <x:c r="F6877" s="16" t="str">
        <x:v>+60179787734</x:v>
      </x:c>
      <x:c r="G6877" s="16" t="str">
        <x:v>+60179787734</x:v>
      </x:c>
      <x:c r="H6877" s="16" t="str">
        <x:v>Excluded</x:v>
      </x:c>
      <x:c r="I6877" s="16" t="str">
        <x:v>Missing email</x:v>
      </x:c>
    </x:row>
    <x:row r="6878">
      <x:c r="A6878" s="16" t="n">
        <x:v>6875</x:v>
      </x:c>
      <x:c r="B6878" s="16" t="str">
        <x:v>Udin Najmuddin</x:v>
      </x:c>
      <x:c r="C6878" s="16" t="str"/>
      <x:c r="D6878" s="16" t="str"/>
      <x:c r="E6878" s="16" t="str">
        <x:v>* myContacts</x:v>
      </x:c>
      <x:c r="F6878" s="16" t="str">
        <x:v>+601135900290</x:v>
      </x:c>
      <x:c r="G6878" s="16" t="str">
        <x:v>+601135900290</x:v>
      </x:c>
      <x:c r="H6878" s="16" t="str">
        <x:v>Excluded</x:v>
      </x:c>
      <x:c r="I6878" s="16" t="str">
        <x:v>Missing email</x:v>
      </x:c>
    </x:row>
    <x:row r="6879">
      <x:c r="A6879" s="16" t="n">
        <x:v>6876</x:v>
      </x:c>
      <x:c r="B6879" s="16" t="str">
        <x:v>Ugie Tawau</x:v>
      </x:c>
      <x:c r="C6879" s="16" t="str"/>
      <x:c r="D6879" s="16" t="str"/>
      <x:c r="E6879" s="16" t="str">
        <x:v>* myContacts</x:v>
      </x:c>
      <x:c r="F6879" s="16" t="str">
        <x:v>+6089755942</x:v>
      </x:c>
      <x:c r="G6879" s="16" t="str">
        <x:v>+6089755942</x:v>
      </x:c>
      <x:c r="H6879" s="16" t="str">
        <x:v>Excluded</x:v>
      </x:c>
      <x:c r="I6879" s="16" t="str">
        <x:v>Missing email</x:v>
      </x:c>
    </x:row>
    <x:row r="6880">
      <x:c r="A6880" s="16" t="n">
        <x:v>6877</x:v>
      </x:c>
      <x:c r="B6880" s="16" t="str">
        <x:v>UITM Akila P Alam</x:v>
      </x:c>
      <x:c r="C6880" s="16" t="str"/>
      <x:c r="D6880" s="16" t="str"/>
      <x:c r="E6880" s="16" t="str">
        <x:v>* myContacts</x:v>
      </x:c>
      <x:c r="F6880" s="16" t="str">
        <x:v>+60 19-380 9553 | +60193809553</x:v>
      </x:c>
      <x:c r="G6880" s="16" t="str">
        <x:v>+60193809553 | +60193809553</x:v>
      </x:c>
      <x:c r="H6880" s="16" t="str">
        <x:v>Excluded</x:v>
      </x:c>
      <x:c r="I6880" s="16" t="str">
        <x:v>Missing email</x:v>
      </x:c>
    </x:row>
    <x:row r="6881">
      <x:c r="A6881" s="16" t="n">
        <x:v>6878</x:v>
      </x:c>
      <x:c r="B6881" s="16" t="str">
        <x:v>Ujang Hajjar</x:v>
      </x:c>
      <x:c r="C6881" s="16" t="str"/>
      <x:c r="D6881" s="16" t="str"/>
      <x:c r="E6881" s="16" t="str">
        <x:v>* myContacts</x:v>
      </x:c>
      <x:c r="F6881" s="16" t="str">
        <x:v>+60129298302</x:v>
      </x:c>
      <x:c r="G6881" s="16" t="str">
        <x:v>+60129298302</x:v>
      </x:c>
      <x:c r="H6881" s="16" t="str">
        <x:v>Excluded</x:v>
      </x:c>
      <x:c r="I6881" s="16" t="str">
        <x:v>Missing email</x:v>
      </x:c>
    </x:row>
    <x:row r="6882">
      <x:c r="A6882" s="16" t="n">
        <x:v>6879</x:v>
      </x:c>
      <x:c r="B6882" s="16" t="str">
        <x:v>Ullah Perabot</x:v>
      </x:c>
      <x:c r="C6882" s="16" t="str"/>
      <x:c r="D6882" s="16" t="str"/>
      <x:c r="E6882" s="16" t="str">
        <x:v>* myContacts</x:v>
      </x:c>
      <x:c r="F6882" s="16" t="str">
        <x:v>01119474647 | +601119474647</x:v>
      </x:c>
      <x:c r="G6882" s="16" t="str">
        <x:v>+601119474647 | +601119474647</x:v>
      </x:c>
      <x:c r="H6882" s="16" t="str">
        <x:v>Excluded</x:v>
      </x:c>
      <x:c r="I6882" s="16" t="str">
        <x:v>Missing email</x:v>
      </x:c>
    </x:row>
    <x:row r="6883">
      <x:c r="A6883" s="16" t="n">
        <x:v>6880</x:v>
      </x:c>
      <x:c r="B6883" s="16" t="str">
        <x:v>Umaira Uitm</x:v>
      </x:c>
      <x:c r="C6883" s="16" t="str"/>
      <x:c r="D6883" s="16" t="str"/>
      <x:c r="E6883" s="16" t="str">
        <x:v>* myContacts</x:v>
      </x:c>
      <x:c r="F6883" s="16" t="str">
        <x:v>+60 13-465 1031 | +60134651031</x:v>
      </x:c>
      <x:c r="G6883" s="16" t="str">
        <x:v>+60134651031 | +60134651031</x:v>
      </x:c>
      <x:c r="H6883" s="16" t="str">
        <x:v>Excluded</x:v>
      </x:c>
      <x:c r="I6883" s="16" t="str">
        <x:v>Missing email</x:v>
      </x:c>
    </x:row>
    <x:row r="6884">
      <x:c r="A6884" s="16" t="n">
        <x:v>6881</x:v>
      </x:c>
      <x:c r="B6884" s="16" t="str">
        <x:v>Umairra Razali</x:v>
      </x:c>
      <x:c r="C6884" s="16" t="str"/>
      <x:c r="D6884" s="16" t="str"/>
      <x:c r="E6884" s="16" t="str">
        <x:v>* myContacts</x:v>
      </x:c>
      <x:c r="F6884" s="16" t="str">
        <x:v>+60145124370</x:v>
      </x:c>
      <x:c r="G6884" s="16" t="str">
        <x:v>+60145124370</x:v>
      </x:c>
      <x:c r="H6884" s="16" t="str">
        <x:v>Excluded</x:v>
      </x:c>
      <x:c r="I6884" s="16" t="str">
        <x:v>Missing email</x:v>
      </x:c>
    </x:row>
    <x:row r="6885">
      <x:c r="A6885" s="16" t="n">
        <x:v>6882</x:v>
      </x:c>
      <x:c r="B6885" s="16" t="str">
        <x:v>Umar Khairan</x:v>
      </x:c>
      <x:c r="C6885" s="16" t="str"/>
      <x:c r="D6885" s="16" t="str"/>
      <x:c r="E6885" s="16" t="str">
        <x:v>* myContacts</x:v>
      </x:c>
      <x:c r="F6885" s="16" t="str">
        <x:v>+60149556325</x:v>
      </x:c>
      <x:c r="G6885" s="16" t="str">
        <x:v>+60149556325</x:v>
      </x:c>
      <x:c r="H6885" s="16" t="str">
        <x:v>Excluded</x:v>
      </x:c>
      <x:c r="I6885" s="16" t="str">
        <x:v>Missing email</x:v>
      </x:c>
    </x:row>
    <x:row r="6886">
      <x:c r="A6886" s="16" t="n">
        <x:v>6883</x:v>
      </x:c>
      <x:c r="B6886" s="16" t="str">
        <x:v>Umar Nlp Kajang</x:v>
      </x:c>
      <x:c r="C6886" s="16" t="str"/>
      <x:c r="D6886" s="16" t="str"/>
      <x:c r="E6886" s="16" t="str">
        <x:v>* myContacts</x:v>
      </x:c>
      <x:c r="F6886" s="16" t="str">
        <x:v>0196629789 | +60196629789</x:v>
      </x:c>
      <x:c r="G6886" s="16" t="str">
        <x:v>+60196629789 | +60196629789</x:v>
      </x:c>
      <x:c r="H6886" s="16" t="str">
        <x:v>Excluded</x:v>
      </x:c>
      <x:c r="I6886" s="16" t="str">
        <x:v>Missing email</x:v>
      </x:c>
    </x:row>
    <x:row r="6887">
      <x:c r="A6887" s="16" t="n">
        <x:v>6884</x:v>
      </x:c>
      <x:c r="B6887" s="16" t="str">
        <x:v>Umar Taib Mudah IM</x:v>
      </x:c>
      <x:c r="C6887" s="16" t="str"/>
      <x:c r="D6887" s="16" t="str"/>
      <x:c r="E6887" s="16" t="str">
        <x:v>* myContacts</x:v>
      </x:c>
      <x:c r="F6887" s="16" t="str">
        <x:v>012-217 1761 | +60122171761</x:v>
      </x:c>
      <x:c r="G6887" s="16" t="str">
        <x:v>+60122171761 | +60122171761</x:v>
      </x:c>
      <x:c r="H6887" s="16" t="str">
        <x:v>Excluded</x:v>
      </x:c>
      <x:c r="I6887" s="16" t="str">
        <x:v>Missing email</x:v>
      </x:c>
    </x:row>
    <x:row r="6888">
      <x:c r="A6888" s="16" t="n">
        <x:v>6885</x:v>
      </x:c>
      <x:c r="B6888" s="16" t="str">
        <x:v>Umesh tech mahendra class assistant</x:v>
      </x:c>
      <x:c r="C6888" s="16" t="str"/>
      <x:c r="D6888" s="16" t="str"/>
      <x:c r="E6888" s="16" t="str">
        <x:v>* myContacts</x:v>
      </x:c>
      <x:c r="F6888" s="16" t="str">
        <x:v>0173917142 | +60173917142</x:v>
      </x:c>
      <x:c r="G6888" s="16" t="str">
        <x:v>+60173917142 | +60173917142</x:v>
      </x:c>
      <x:c r="H6888" s="16" t="str">
        <x:v>Excluded</x:v>
      </x:c>
      <x:c r="I6888" s="16" t="str">
        <x:v>Missing email</x:v>
      </x:c>
    </x:row>
    <x:row r="6889">
      <x:c r="A6889" s="16" t="n">
        <x:v>6886</x:v>
      </x:c>
      <x:c r="B6889" s="16" t="str">
        <x:v>Umi Abi Nurul</x:v>
      </x:c>
      <x:c r="C6889" s="16" t="str"/>
      <x:c r="D6889" s="16" t="str"/>
      <x:c r="E6889" s="16" t="str">
        <x:v>* myContacts</x:v>
      </x:c>
      <x:c r="F6889" s="16" t="str">
        <x:v>+60126770174</x:v>
      </x:c>
      <x:c r="G6889" s="16" t="str">
        <x:v>+60126770174</x:v>
      </x:c>
      <x:c r="H6889" s="16" t="str">
        <x:v>Excluded</x:v>
      </x:c>
      <x:c r="I6889" s="16" t="str">
        <x:v>Missing email</x:v>
      </x:c>
    </x:row>
    <x:row r="6890">
      <x:c r="A6890" s="16" t="n">
        <x:v>6887</x:v>
      </x:c>
      <x:c r="B6890" s="16" t="str">
        <x:v>Umi Fatin Amirah AGP</x:v>
      </x:c>
      <x:c r="C6890" s="16" t="str"/>
      <x:c r="D6890" s="16" t="str"/>
      <x:c r="E6890" s="16" t="str">
        <x:v>* myContacts</x:v>
      </x:c>
      <x:c r="F6890" s="16" t="str">
        <x:v>+60169606712</x:v>
      </x:c>
      <x:c r="G6890" s="16" t="str">
        <x:v>+60169606712</x:v>
      </x:c>
      <x:c r="H6890" s="16" t="str">
        <x:v>Excluded</x:v>
      </x:c>
      <x:c r="I6890" s="16" t="str">
        <x:v>Missing email</x:v>
      </x:c>
    </x:row>
    <x:row r="6891">
      <x:c r="A6891" s="16" t="n">
        <x:v>6888</x:v>
      </x:c>
      <x:c r="B6891" s="16" t="str">
        <x:v>Umie Asyraf Arsyad</x:v>
      </x:c>
      <x:c r="C6891" s="16" t="str"/>
      <x:c r="D6891" s="16" t="str"/>
      <x:c r="E6891" s="16" t="str">
        <x:v>* myContacts</x:v>
      </x:c>
      <x:c r="F6891" s="16" t="str">
        <x:v>+201017024902</x:v>
      </x:c>
      <x:c r="G6891" s="16" t="str">
        <x:v>+201017024902</x:v>
      </x:c>
      <x:c r="H6891" s="16" t="str">
        <x:v>Excluded</x:v>
      </x:c>
      <x:c r="I6891" s="16" t="str">
        <x:v>Missing email</x:v>
      </x:c>
    </x:row>
    <x:row r="6892">
      <x:c r="A6892" s="16" t="n">
        <x:v>6889</x:v>
      </x:c>
      <x:c r="B6892" s="16" t="str">
        <x:v>Umie Md Zain</x:v>
      </x:c>
      <x:c r="C6892" s="16" t="str"/>
      <x:c r="D6892" s="16" t="str"/>
      <x:c r="E6892" s="16" t="str">
        <x:v>* myContacts</x:v>
      </x:c>
      <x:c r="F6892" s="16" t="str">
        <x:v>+60165332063</x:v>
      </x:c>
      <x:c r="G6892" s="16" t="str">
        <x:v>+60165332063</x:v>
      </x:c>
      <x:c r="H6892" s="16" t="str">
        <x:v>Excluded</x:v>
      </x:c>
      <x:c r="I6892" s="16" t="str">
        <x:v>Missing email</x:v>
      </x:c>
    </x:row>
    <x:row r="6893">
      <x:c r="A6893" s="16" t="n">
        <x:v>6890</x:v>
      </x:c>
      <x:c r="B6893" s="16" t="str">
        <x:v>Umie N Abie Ukail</x:v>
      </x:c>
      <x:c r="C6893" s="16" t="str"/>
      <x:c r="D6893" s="16" t="str"/>
      <x:c r="E6893" s="16" t="str">
        <x:v>* myContacts</x:v>
      </x:c>
      <x:c r="F6893" s="16" t="str">
        <x:v>+60122357621</x:v>
      </x:c>
      <x:c r="G6893" s="16" t="str">
        <x:v>+60122357621</x:v>
      </x:c>
      <x:c r="H6893" s="16" t="str">
        <x:v>Excluded</x:v>
      </x:c>
      <x:c r="I6893" s="16" t="str">
        <x:v>Missing email</x:v>
      </x:c>
    </x:row>
    <x:row r="6894">
      <x:c r="A6894" s="16" t="n">
        <x:v>6891</x:v>
      </x:c>
      <x:c r="B6894" s="16" t="str">
        <x:v>Umie Sakura Hijrah Sabak Bernam</x:v>
      </x:c>
      <x:c r="C6894" s="16" t="str">
        <x:v>umiefatimah@gmail.com</x:v>
      </x:c>
      <x:c r="D6894" s="16" t="str">
        <x:v>umiefatimah@gmail.com</x:v>
      </x:c>
      <x:c r="E6894" s="16" t="str">
        <x:v>Alumni eUsahawan | * myContacts</x:v>
      </x:c>
      <x:c r="F6894" s="16" t="str">
        <x:v>+60176787122</x:v>
      </x:c>
      <x:c r="G6894" s="16" t="str">
        <x:v>+60176787122</x:v>
      </x:c>
      <x:c r="H6894" s="16" t="str">
        <x:v>Eligible</x:v>
      </x:c>
      <x:c r="I6894" s="16" t="str"/>
    </x:row>
    <x:row r="6895">
      <x:c r="A6895" s="16" t="n">
        <x:v>6892</x:v>
      </x:c>
      <x:c r="B6895" s="16" t="str">
        <x:v>Umiek Salman</x:v>
      </x:c>
      <x:c r="C6895" s="16" t="str"/>
      <x:c r="D6895" s="16" t="str"/>
      <x:c r="E6895" s="16" t="str">
        <x:v>* myContacts</x:v>
      </x:c>
      <x:c r="F6895" s="16" t="str">
        <x:v>+60148781581</x:v>
      </x:c>
      <x:c r="G6895" s="16" t="str">
        <x:v>+60148781581</x:v>
      </x:c>
      <x:c r="H6895" s="16" t="str">
        <x:v>Excluded</x:v>
      </x:c>
      <x:c r="I6895" s="16" t="str">
        <x:v>Missing email</x:v>
      </x:c>
    </x:row>
    <x:row r="6896">
      <x:c r="A6896" s="16" t="n">
        <x:v>6893</x:v>
      </x:c>
      <x:c r="B6896" s="16" t="str">
        <x:v>Ummi Cyg</x:v>
      </x:c>
      <x:c r="C6896" s="16" t="str"/>
      <x:c r="D6896" s="16" t="str"/>
      <x:c r="E6896" s="16" t="str">
        <x:v>* myContacts</x:v>
      </x:c>
      <x:c r="F6896" s="16" t="str">
        <x:v>+60195283964</x:v>
      </x:c>
      <x:c r="G6896" s="16" t="str">
        <x:v>+60195283964</x:v>
      </x:c>
      <x:c r="H6896" s="16" t="str">
        <x:v>Excluded</x:v>
      </x:c>
      <x:c r="I6896" s="16" t="str">
        <x:v>Missing email</x:v>
      </x:c>
    </x:row>
    <x:row r="6897">
      <x:c r="A6897" s="16" t="n">
        <x:v>6894</x:v>
      </x:c>
      <x:c r="B6897" s="16" t="str">
        <x:v>Uncle Amir STP</x:v>
      </x:c>
      <x:c r="C6897" s="16" t="str"/>
      <x:c r="D6897" s="16" t="str"/>
      <x:c r="E6897" s="16" t="str">
        <x:v>* myContacts</x:v>
      </x:c>
      <x:c r="F6897" s="16" t="str">
        <x:v>+60123100335</x:v>
      </x:c>
      <x:c r="G6897" s="16" t="str">
        <x:v>+60123100335</x:v>
      </x:c>
      <x:c r="H6897" s="16" t="str">
        <x:v>Excluded</x:v>
      </x:c>
      <x:c r="I6897" s="16" t="str">
        <x:v>Missing email</x:v>
      </x:c>
    </x:row>
    <x:row r="6898">
      <x:c r="A6898" s="16" t="n">
        <x:v>6895</x:v>
      </x:c>
      <x:c r="B6898" s="16" t="str">
        <x:v>Uncle JO</x:v>
      </x:c>
      <x:c r="C6898" s="16" t="str"/>
      <x:c r="D6898" s="16" t="str"/>
      <x:c r="E6898" s="16" t="str">
        <x:v>* myContacts</x:v>
      </x:c>
      <x:c r="F6898" s="16" t="str">
        <x:v>0126163565 | +60126163565 | 0132590368</x:v>
      </x:c>
      <x:c r="G6898" s="16" t="str">
        <x:v>+60126163565 | +60126163565 | +60132590368</x:v>
      </x:c>
      <x:c r="H6898" s="16" t="str">
        <x:v>Excluded</x:v>
      </x:c>
      <x:c r="I6898" s="16" t="str">
        <x:v>Missing email</x:v>
      </x:c>
    </x:row>
    <x:row r="6899">
      <x:c r="A6899" s="16" t="n">
        <x:v>6896</x:v>
      </x:c>
      <x:c r="B6899" s="16" t="str">
        <x:v>Ungku Ubaidillah Ungku Farouk</x:v>
      </x:c>
      <x:c r="C6899" s="16" t="str"/>
      <x:c r="D6899" s="16" t="str"/>
      <x:c r="E6899" s="16" t="str">
        <x:v>* myContacts</x:v>
      </x:c>
      <x:c r="F6899" s="16" t="str">
        <x:v>+60197837111</x:v>
      </x:c>
      <x:c r="G6899" s="16" t="str">
        <x:v>+60197837111</x:v>
      </x:c>
      <x:c r="H6899" s="16" t="str">
        <x:v>Excluded</x:v>
      </x:c>
      <x:c r="I6899" s="16" t="str">
        <x:v>Missing email</x:v>
      </x:c>
    </x:row>
    <x:row r="6900">
      <x:c r="A6900" s="16" t="n">
        <x:v>6897</x:v>
      </x:c>
      <x:c r="B6900" s="16" t="str">
        <x:v>UniKL Shafiq</x:v>
      </x:c>
      <x:c r="C6900" s="16" t="str"/>
      <x:c r="D6900" s="16" t="str"/>
      <x:c r="E6900" s="16" t="str">
        <x:v>* myContacts</x:v>
      </x:c>
      <x:c r="F6900" s="16" t="str">
        <x:v>+60 10-889 4879 | +60108894879</x:v>
      </x:c>
      <x:c r="G6900" s="16" t="str">
        <x:v>+60108894879 | +60108894879</x:v>
      </x:c>
      <x:c r="H6900" s="16" t="str">
        <x:v>Excluded</x:v>
      </x:c>
      <x:c r="I6900" s="16" t="str">
        <x:v>Missing email</x:v>
      </x:c>
    </x:row>
    <x:row r="6901">
      <x:c r="A6901" s="16" t="n">
        <x:v>6898</x:v>
      </x:c>
      <x:c r="B6901" s="16" t="str">
        <x:v>Unisel Faiz Pembangunan</x:v>
      </x:c>
      <x:c r="C6901" s="16" t="str"/>
      <x:c r="D6901" s="16" t="str"/>
      <x:c r="E6901" s="16" t="str">
        <x:v>* myContacts</x:v>
      </x:c>
      <x:c r="F6901" s="16" t="str">
        <x:v>+60 17-664 6313 | +60176646313</x:v>
      </x:c>
      <x:c r="G6901" s="16" t="str">
        <x:v>+60176646313 | +60176646313</x:v>
      </x:c>
      <x:c r="H6901" s="16" t="str">
        <x:v>Excluded</x:v>
      </x:c>
      <x:c r="I6901" s="16" t="str">
        <x:v>Missing email</x:v>
      </x:c>
    </x:row>
    <x:row r="6902">
      <x:c r="A6902" s="16" t="n">
        <x:v>6899</x:v>
      </x:c>
      <x:c r="B6902" s="16" t="str">
        <x:v>UnitechSolution Unitech</x:v>
      </x:c>
      <x:c r="C6902" s="16" t="str"/>
      <x:c r="D6902" s="16" t="str"/>
      <x:c r="E6902" s="16" t="str">
        <x:v>* myContacts</x:v>
      </x:c>
      <x:c r="F6902" s="16" t="str">
        <x:v>+601131735245</x:v>
      </x:c>
      <x:c r="G6902" s="16" t="str">
        <x:v>+601131735245</x:v>
      </x:c>
      <x:c r="H6902" s="16" t="str">
        <x:v>Excluded</x:v>
      </x:c>
      <x:c r="I6902" s="16" t="str">
        <x:v>Missing email</x:v>
      </x:c>
    </x:row>
    <x:row r="6903">
      <x:c r="A6903" s="16" t="n">
        <x:v>6900</x:v>
      </x:c>
      <x:c r="B6903" s="16" t="str">
        <x:v>Unqle Reza</x:v>
      </x:c>
      <x:c r="C6903" s="16" t="str"/>
      <x:c r="D6903" s="16" t="str"/>
      <x:c r="E6903" s="16" t="str">
        <x:v>* myContacts</x:v>
      </x:c>
      <x:c r="F6903" s="16" t="str">
        <x:v>+60177319879</x:v>
      </x:c>
      <x:c r="G6903" s="16" t="str">
        <x:v>+60177319879</x:v>
      </x:c>
      <x:c r="H6903" s="16" t="str">
        <x:v>Excluded</x:v>
      </x:c>
      <x:c r="I6903" s="16" t="str">
        <x:v>Missing email</x:v>
      </x:c>
    </x:row>
    <x:row r="6904">
      <x:c r="A6904" s="16" t="n">
        <x:v>6901</x:v>
      </x:c>
      <x:c r="B6904" s="16" t="str">
        <x:v>upm hainizawati</x:v>
      </x:c>
      <x:c r="C6904" s="16" t="str"/>
      <x:c r="D6904" s="16" t="str"/>
      <x:c r="E6904" s="16" t="str">
        <x:v>* myContacts</x:v>
      </x:c>
      <x:c r="F6904" s="16" t="str">
        <x:v>0104081727 | +60104081727</x:v>
      </x:c>
      <x:c r="G6904" s="16" t="str">
        <x:v>+60104081727 | +60104081727</x:v>
      </x:c>
      <x:c r="H6904" s="16" t="str">
        <x:v>Excluded</x:v>
      </x:c>
      <x:c r="I6904" s="16" t="str">
        <x:v>Missing email</x:v>
      </x:c>
    </x:row>
    <x:row r="6905">
      <x:c r="A6905" s="16" t="n">
        <x:v>6902</x:v>
      </x:c>
      <x:c r="B6905" s="16" t="str">
        <x:v>upm khairul hisham</x:v>
      </x:c>
      <x:c r="C6905" s="16" t="str"/>
      <x:c r="D6905" s="16" t="str"/>
      <x:c r="E6905" s="16" t="str">
        <x:v>* myContacts</x:v>
      </x:c>
      <x:c r="F6905" s="16" t="str">
        <x:v>0192722855 | +60192722855</x:v>
      </x:c>
      <x:c r="G6905" s="16" t="str">
        <x:v>+60192722855 | +60192722855</x:v>
      </x:c>
      <x:c r="H6905" s="16" t="str">
        <x:v>Excluded</x:v>
      </x:c>
      <x:c r="I6905" s="16" t="str">
        <x:v>Missing email</x:v>
      </x:c>
    </x:row>
    <x:row r="6906">
      <x:c r="A6906" s="16" t="n">
        <x:v>6903</x:v>
      </x:c>
      <x:c r="B6906" s="16" t="str">
        <x:v>upm khalil imran kamarudin</x:v>
      </x:c>
      <x:c r="C6906" s="16" t="str"/>
      <x:c r="D6906" s="16" t="str"/>
      <x:c r="E6906" s="16" t="str">
        <x:v>* myContacts</x:v>
      </x:c>
      <x:c r="F6906" s="16" t="str">
        <x:v>0107668021 | +60107668021 | 0107668020</x:v>
      </x:c>
      <x:c r="G6906" s="16" t="str">
        <x:v>+60107668021 | +60107668021 | +60107668020</x:v>
      </x:c>
      <x:c r="H6906" s="16" t="str">
        <x:v>Excluded</x:v>
      </x:c>
      <x:c r="I6906" s="16" t="str">
        <x:v>Missing email</x:v>
      </x:c>
    </x:row>
    <x:row r="6907">
      <x:c r="A6907" s="16" t="n">
        <x:v>6904</x:v>
      </x:c>
      <x:c r="B6907" s="16" t="str">
        <x:v>upm maznizazura man</x:v>
      </x:c>
      <x:c r="C6907" s="16" t="str"/>
      <x:c r="D6907" s="16" t="str"/>
      <x:c r="E6907" s="16" t="str">
        <x:v>* myContacts</x:v>
      </x:c>
      <x:c r="F6907" s="16" t="str">
        <x:v>0127443981 | +60127443981</x:v>
      </x:c>
      <x:c r="G6907" s="16" t="str">
        <x:v>+60127443981 | +60127443981</x:v>
      </x:c>
      <x:c r="H6907" s="16" t="str">
        <x:v>Excluded</x:v>
      </x:c>
      <x:c r="I6907" s="16" t="str">
        <x:v>Missing email</x:v>
      </x:c>
    </x:row>
    <x:row r="6908">
      <x:c r="A6908" s="16" t="n">
        <x:v>6905</x:v>
      </x:c>
      <x:c r="B6908" s="16" t="str">
        <x:v>upm Mislan Bin Jamri</x:v>
      </x:c>
      <x:c r="C6908" s="16" t="str"/>
      <x:c r="D6908" s="16" t="str"/>
      <x:c r="E6908" s="16" t="str">
        <x:v>* myContacts</x:v>
      </x:c>
      <x:c r="F6908" s="16" t="str">
        <x:v>0133352119 | +60133352119</x:v>
      </x:c>
      <x:c r="G6908" s="16" t="str">
        <x:v>+60133352119 | +60133352119</x:v>
      </x:c>
      <x:c r="H6908" s="16" t="str">
        <x:v>Excluded</x:v>
      </x:c>
      <x:c r="I6908" s="16" t="str">
        <x:v>Missing email</x:v>
      </x:c>
    </x:row>
    <x:row r="6909">
      <x:c r="A6909" s="16" t="n">
        <x:v>6906</x:v>
      </x:c>
      <x:c r="B6909" s="16" t="str">
        <x:v>upm mohd shaifulnizam</x:v>
      </x:c>
      <x:c r="C6909" s="16" t="str"/>
      <x:c r="D6909" s="16" t="str"/>
      <x:c r="E6909" s="16" t="str">
        <x:v>* myContacts</x:v>
      </x:c>
      <x:c r="F6909" s="16" t="str">
        <x:v>0193338553 | +60193338553</x:v>
      </x:c>
      <x:c r="G6909" s="16" t="str">
        <x:v>+60193338553 | +60193338553</x:v>
      </x:c>
      <x:c r="H6909" s="16" t="str">
        <x:v>Excluded</x:v>
      </x:c>
      <x:c r="I6909" s="16" t="str">
        <x:v>Missing email</x:v>
      </x:c>
    </x:row>
    <x:row r="6910">
      <x:c r="A6910" s="16" t="n">
        <x:v>6907</x:v>
      </x:c>
      <x:c r="B6910" s="16" t="str">
        <x:v>Upm Nik Muhammad Sadri</x:v>
      </x:c>
      <x:c r="C6910" s="16" t="str"/>
      <x:c r="D6910" s="16" t="str"/>
      <x:c r="E6910" s="16" t="str">
        <x:v>* myContacts</x:v>
      </x:c>
      <x:c r="F6910" s="16" t="str">
        <x:v>0136575558 | +60136575558</x:v>
      </x:c>
      <x:c r="G6910" s="16" t="str">
        <x:v>+60136575558 | +60136575558</x:v>
      </x:c>
      <x:c r="H6910" s="16" t="str">
        <x:v>Excluded</x:v>
      </x:c>
      <x:c r="I6910" s="16" t="str">
        <x:v>Missing email</x:v>
      </x:c>
    </x:row>
    <x:row r="6911">
      <x:c r="A6911" s="16" t="n">
        <x:v>6908</x:v>
      </x:c>
      <x:c r="B6911" s="16" t="str">
        <x:v>upm nor azwan bin sarbani</x:v>
      </x:c>
      <x:c r="C6911" s="16" t="str"/>
      <x:c r="D6911" s="16" t="str"/>
      <x:c r="E6911" s="16" t="str">
        <x:v>* myContacts</x:v>
      </x:c>
      <x:c r="F6911" s="16" t="str">
        <x:v>0182987363 | +60182987363</x:v>
      </x:c>
      <x:c r="G6911" s="16" t="str">
        <x:v>+60182987363 | +60182987363</x:v>
      </x:c>
      <x:c r="H6911" s="16" t="str">
        <x:v>Excluded</x:v>
      </x:c>
      <x:c r="I6911" s="16" t="str">
        <x:v>Missing email</x:v>
      </x:c>
    </x:row>
    <x:row r="6912">
      <x:c r="A6912" s="16" t="n">
        <x:v>6909</x:v>
      </x:c>
      <x:c r="B6912" s="16" t="str">
        <x:v>upm nor razliana</x:v>
      </x:c>
      <x:c r="C6912" s="16" t="str"/>
      <x:c r="D6912" s="16" t="str"/>
      <x:c r="E6912" s="16" t="str">
        <x:v>* myContacts</x:v>
      </x:c>
      <x:c r="F6912" s="16" t="str">
        <x:v>0122119330 | +60122119330</x:v>
      </x:c>
      <x:c r="G6912" s="16" t="str">
        <x:v>+60122119330 | +60122119330</x:v>
      </x:c>
      <x:c r="H6912" s="16" t="str">
        <x:v>Excluded</x:v>
      </x:c>
      <x:c r="I6912" s="16" t="str">
        <x:v>Missing email</x:v>
      </x:c>
    </x:row>
    <x:row r="6913">
      <x:c r="A6913" s="16" t="n">
        <x:v>6910</x:v>
      </x:c>
      <x:c r="B6913" s="16" t="str">
        <x:v>upm norazfaniza abdullah</x:v>
      </x:c>
      <x:c r="C6913" s="16" t="str"/>
      <x:c r="D6913" s="16" t="str"/>
      <x:c r="E6913" s="16" t="str">
        <x:v>* myContacts</x:v>
      </x:c>
      <x:c r="F6913" s="16" t="str">
        <x:v>0193747258 | +60193747258</x:v>
      </x:c>
      <x:c r="G6913" s="16" t="str">
        <x:v>+60193747258 | +60193747258</x:v>
      </x:c>
      <x:c r="H6913" s="16" t="str">
        <x:v>Excluded</x:v>
      </x:c>
      <x:c r="I6913" s="16" t="str">
        <x:v>Missing email</x:v>
      </x:c>
    </x:row>
    <x:row r="6914">
      <x:c r="A6914" s="16" t="n">
        <x:v>6911</x:v>
      </x:c>
      <x:c r="B6914" s="16" t="str">
        <x:v>upm norizan bte yaacob</x:v>
      </x:c>
      <x:c r="C6914" s="16" t="str"/>
      <x:c r="D6914" s="16" t="str"/>
      <x:c r="E6914" s="16" t="str">
        <x:v>* myContacts</x:v>
      </x:c>
      <x:c r="F6914" s="16" t="str">
        <x:v>0133566788 | +60133566788</x:v>
      </x:c>
      <x:c r="G6914" s="16" t="str">
        <x:v>+60133566788 | +60133566788</x:v>
      </x:c>
      <x:c r="H6914" s="16" t="str">
        <x:v>Excluded</x:v>
      </x:c>
      <x:c r="I6914" s="16" t="str">
        <x:v>Missing email</x:v>
      </x:c>
    </x:row>
    <x:row r="6915">
      <x:c r="A6915" s="16" t="n">
        <x:v>6912</x:v>
      </x:c>
      <x:c r="B6915" s="16" t="str">
        <x:v>upm rahimah mohd razali</x:v>
      </x:c>
      <x:c r="C6915" s="16" t="str"/>
      <x:c r="D6915" s="16" t="str"/>
      <x:c r="E6915" s="16" t="str">
        <x:v>* myContacts</x:v>
      </x:c>
      <x:c r="F6915" s="16" t="str">
        <x:v>0192089572 | +60192089572</x:v>
      </x:c>
      <x:c r="G6915" s="16" t="str">
        <x:v>+60192089572 | +60192089572</x:v>
      </x:c>
      <x:c r="H6915" s="16" t="str">
        <x:v>Excluded</x:v>
      </x:c>
      <x:c r="I6915" s="16" t="str">
        <x:v>Missing email</x:v>
      </x:c>
    </x:row>
    <x:row r="6916">
      <x:c r="A6916" s="16" t="n">
        <x:v>6913</x:v>
      </x:c>
      <x:c r="B6916" s="16" t="str">
        <x:v>upm zinazman bin mustafa</x:v>
      </x:c>
      <x:c r="C6916" s="16" t="str"/>
      <x:c r="D6916" s="16" t="str"/>
      <x:c r="E6916" s="16" t="str">
        <x:v>* myContacts</x:v>
      </x:c>
      <x:c r="F6916" s="16" t="str">
        <x:v>0123267479 | +60123267479</x:v>
      </x:c>
      <x:c r="G6916" s="16" t="str">
        <x:v>+60123267479 | +60123267479</x:v>
      </x:c>
      <x:c r="H6916" s="16" t="str">
        <x:v>Excluded</x:v>
      </x:c>
      <x:c r="I6916" s="16" t="str">
        <x:v>Missing email</x:v>
      </x:c>
    </x:row>
    <x:row r="6917">
      <x:c r="A6917" s="16" t="n">
        <x:v>6914</x:v>
      </x:c>
      <x:c r="B6917" s="16" t="str">
        <x:v>Uqbah Abdul Rahman</x:v>
      </x:c>
      <x:c r="C6917" s="16" t="str"/>
      <x:c r="D6917" s="16" t="str"/>
      <x:c r="E6917" s="16" t="str">
        <x:v>* myContacts</x:v>
      </x:c>
      <x:c r="F6917" s="16" t="str">
        <x:v>+60193915891</x:v>
      </x:c>
      <x:c r="G6917" s="16" t="str">
        <x:v>+60193915891</x:v>
      </x:c>
      <x:c r="H6917" s="16" t="str">
        <x:v>Excluded</x:v>
      </x:c>
      <x:c r="I6917" s="16" t="str">
        <x:v>Missing email</x:v>
      </x:c>
    </x:row>
    <x:row r="6918">
      <x:c r="A6918" s="16" t="n">
        <x:v>6915</x:v>
      </x:c>
      <x:c r="B6918" s="16" t="str">
        <x:v>Urusan Pembiayaan Perumahan DanTakaful</x:v>
      </x:c>
      <x:c r="C6918" s="16" t="str"/>
      <x:c r="D6918" s="16" t="str"/>
      <x:c r="E6918" s="16" t="str">
        <x:v>* myContacts</x:v>
      </x:c>
      <x:c r="F6918" s="16" t="str">
        <x:v>+60162072728</x:v>
      </x:c>
      <x:c r="G6918" s="16" t="str">
        <x:v>+60162072728</x:v>
      </x:c>
      <x:c r="H6918" s="16" t="str">
        <x:v>Excluded</x:v>
      </x:c>
      <x:c r="I6918" s="16" t="str">
        <x:v>Missing email</x:v>
      </x:c>
    </x:row>
    <x:row r="6919">
      <x:c r="A6919" s="16" t="n">
        <x:v>6916</x:v>
      </x:c>
      <x:c r="B6919" s="16" t="str">
        <x:v>urusetia ahmad tabib stroke</x:v>
      </x:c>
      <x:c r="C6919" s="16" t="str"/>
      <x:c r="D6919" s="16" t="str"/>
      <x:c r="E6919" s="16" t="str">
        <x:v>* myContacts</x:v>
      </x:c>
      <x:c r="F6919" s="16" t="str">
        <x:v>60175237489 | +60175237489</x:v>
      </x:c>
      <x:c r="G6919" s="16" t="str">
        <x:v>+60175237489 | +60175237489</x:v>
      </x:c>
      <x:c r="H6919" s="16" t="str">
        <x:v>Excluded</x:v>
      </x:c>
      <x:c r="I6919" s="16" t="str">
        <x:v>Missing email</x:v>
      </x:c>
    </x:row>
    <x:row r="6920">
      <x:c r="A6920" s="16" t="n">
        <x:v>6917</x:v>
      </x:c>
      <x:c r="B6920" s="16" t="str">
        <x:v>Urut M Kenet</x:v>
      </x:c>
      <x:c r="C6920" s="16" t="str"/>
      <x:c r="D6920" s="16" t="str"/>
      <x:c r="E6920" s="16" t="str">
        <x:v>* myContacts</x:v>
      </x:c>
      <x:c r="F6920" s="16" t="str">
        <x:v>+60 17-607 4745 | +60176074745</x:v>
      </x:c>
      <x:c r="G6920" s="16" t="str">
        <x:v>+60176074745 | +60176074745</x:v>
      </x:c>
      <x:c r="H6920" s="16" t="str">
        <x:v>Excluded</x:v>
      </x:c>
      <x:c r="I6920" s="16" t="str">
        <x:v>Missing email</x:v>
      </x:c>
    </x:row>
    <x:row r="6921">
      <x:c r="A6921" s="16" t="n">
        <x:v>6918</x:v>
      </x:c>
      <x:c r="B6921" s="16" t="str">
        <x:v>Urut Mat Sufi</x:v>
      </x:c>
      <x:c r="C6921" s="16" t="str"/>
      <x:c r="D6921" s="16" t="str"/>
      <x:c r="E6921" s="16" t="str">
        <x:v>* myContacts</x:v>
      </x:c>
      <x:c r="F6921" s="16" t="str">
        <x:v>+60 17-566 2750</x:v>
      </x:c>
      <x:c r="G6921" s="16" t="str">
        <x:v>+60175662750</x:v>
      </x:c>
      <x:c r="H6921" s="16" t="str">
        <x:v>Excluded</x:v>
      </x:c>
      <x:c r="I6921" s="16" t="str">
        <x:v>Missing email</x:v>
      </x:c>
    </x:row>
    <x:row r="6922">
      <x:c r="A6922" s="16" t="n">
        <x:v>6919</x:v>
      </x:c>
      <x:c r="B6922" s="16" t="str">
        <x:v>urut tradisional ipoh ar razzi</x:v>
      </x:c>
      <x:c r="C6922" s="16" t="str"/>
      <x:c r="D6922" s="16" t="str"/>
      <x:c r="E6922" s="16" t="str">
        <x:v>* myContacts</x:v>
      </x:c>
      <x:c r="F6922" s="16" t="str">
        <x:v>601126486142 | +601126486142</x:v>
      </x:c>
      <x:c r="G6922" s="16" t="str">
        <x:v>+601126486142 | +601126486142</x:v>
      </x:c>
      <x:c r="H6922" s="16" t="str">
        <x:v>Excluded</x:v>
      </x:c>
      <x:c r="I6922" s="16" t="str">
        <x:v>Missing email</x:v>
      </x:c>
    </x:row>
    <x:row r="6923">
      <x:c r="A6923" s="16" t="n">
        <x:v>6920</x:v>
      </x:c>
      <x:c r="B6923" s="16" t="str">
        <x:v>ustaz areal mohd bakhair</x:v>
      </x:c>
      <x:c r="C6923" s="16" t="str"/>
      <x:c r="D6923" s="16" t="str"/>
      <x:c r="E6923" s="16" t="str">
        <x:v>* myContacts</x:v>
      </x:c>
      <x:c r="F6923" s="16" t="str">
        <x:v>+60 17-628 3772 | +60176283772</x:v>
      </x:c>
      <x:c r="G6923" s="16" t="str">
        <x:v>+60176283772 | +60176283772</x:v>
      </x:c>
      <x:c r="H6923" s="16" t="str">
        <x:v>Excluded</x:v>
      </x:c>
      <x:c r="I6923" s="16" t="str">
        <x:v>Missing email</x:v>
      </x:c>
    </x:row>
    <x:row r="6924">
      <x:c r="A6924" s="16" t="n">
        <x:v>6921</x:v>
      </x:c>
      <x:c r="B6924" s="16" t="str">
        <x:v>ustaz aznil</x:v>
      </x:c>
      <x:c r="C6924" s="16" t="str"/>
      <x:c r="D6924" s="16" t="str"/>
      <x:c r="E6924" s="16" t="str">
        <x:v>* myContacts</x:v>
      </x:c>
      <x:c r="F6924" s="16" t="str">
        <x:v>019-216 9174 | +60192169174</x:v>
      </x:c>
      <x:c r="G6924" s="16" t="str">
        <x:v>+60192169174 | +60192169174</x:v>
      </x:c>
      <x:c r="H6924" s="16" t="str">
        <x:v>Excluded</x:v>
      </x:c>
      <x:c r="I6924" s="16" t="str">
        <x:v>Missing email</x:v>
      </x:c>
    </x:row>
    <x:row r="6925">
      <x:c r="A6925" s="16" t="n">
        <x:v>6922</x:v>
      </x:c>
      <x:c r="B6925" s="16" t="str">
        <x:v>Ustaz Ezriq</x:v>
      </x:c>
      <x:c r="C6925" s="16" t="str"/>
      <x:c r="D6925" s="16" t="str"/>
      <x:c r="E6925" s="16" t="str">
        <x:v>* myContacts</x:v>
      </x:c>
      <x:c r="F6925" s="16" t="str">
        <x:v>+60 13-636 1748 | +60136361748</x:v>
      </x:c>
      <x:c r="G6925" s="16" t="str">
        <x:v>+60136361748 | +60136361748</x:v>
      </x:c>
      <x:c r="H6925" s="16" t="str">
        <x:v>Excluded</x:v>
      </x:c>
      <x:c r="I6925" s="16" t="str">
        <x:v>Missing email</x:v>
      </x:c>
    </x:row>
    <x:row r="6926">
      <x:c r="A6926" s="16" t="n">
        <x:v>6923</x:v>
      </x:c>
      <x:c r="B6926" s="16" t="str">
        <x:v>ustaz fajharuddin dpim perlis</x:v>
      </x:c>
      <x:c r="C6926" s="16" t="str"/>
      <x:c r="D6926" s="16" t="str"/>
      <x:c r="E6926" s="16" t="str">
        <x:v>* myContacts</x:v>
      </x:c>
      <x:c r="F6926" s="16" t="str">
        <x:v>017-518 6941 | +60175186941</x:v>
      </x:c>
      <x:c r="G6926" s="16" t="str">
        <x:v>+60175186941 | +60175186941</x:v>
      </x:c>
      <x:c r="H6926" s="16" t="str">
        <x:v>Excluded</x:v>
      </x:c>
      <x:c r="I6926" s="16" t="str">
        <x:v>Missing email</x:v>
      </x:c>
    </x:row>
    <x:row r="6927">
      <x:c r="A6927" s="16" t="n">
        <x:v>6924</x:v>
      </x:c>
      <x:c r="B6927" s="16" t="str">
        <x:v>ustaz gallery ilmu</x:v>
      </x:c>
      <x:c r="C6927" s="16" t="str"/>
      <x:c r="D6927" s="16" t="str"/>
      <x:c r="E6927" s="16" t="str">
        <x:v>* myContacts</x:v>
      </x:c>
      <x:c r="F6927" s="16" t="str">
        <x:v>+60142710598</x:v>
      </x:c>
      <x:c r="G6927" s="16" t="str">
        <x:v>+60142710598</x:v>
      </x:c>
      <x:c r="H6927" s="16" t="str">
        <x:v>Excluded</x:v>
      </x:c>
      <x:c r="I6927" s="16" t="str">
        <x:v>Missing email</x:v>
      </x:c>
    </x:row>
    <x:row r="6928">
      <x:c r="A6928" s="16" t="n">
        <x:v>6925</x:v>
      </x:c>
      <x:c r="B6928" s="16" t="str">
        <x:v>Ustaz Ghazali</x:v>
      </x:c>
      <x:c r="C6928" s="16" t="str"/>
      <x:c r="D6928" s="16" t="str"/>
      <x:c r="E6928" s="16" t="str">
        <x:v>* myContacts</x:v>
      </x:c>
      <x:c r="F6928" s="16" t="str">
        <x:v>0127770495 | +60127770495</x:v>
      </x:c>
      <x:c r="G6928" s="16" t="str">
        <x:v>+60127770495 | +60127770495</x:v>
      </x:c>
      <x:c r="H6928" s="16" t="str">
        <x:v>Excluded</x:v>
      </x:c>
      <x:c r="I6928" s="16" t="str">
        <x:v>Missing email</x:v>
      </x:c>
    </x:row>
    <x:row r="6929">
      <x:c r="A6929" s="16" t="n">
        <x:v>6926</x:v>
      </x:c>
      <x:c r="B6929" s="16" t="str">
        <x:v>ustaz hamdan soif</x:v>
      </x:c>
      <x:c r="C6929" s="16" t="str"/>
      <x:c r="D6929" s="16" t="str"/>
      <x:c r="E6929" s="16" t="str">
        <x:v>* myContacts</x:v>
      </x:c>
      <x:c r="F6929" s="16" t="str">
        <x:v>+60 19-567 0361 | +60195670361</x:v>
      </x:c>
      <x:c r="G6929" s="16" t="str">
        <x:v>+60195670361 | +60195670361</x:v>
      </x:c>
      <x:c r="H6929" s="16" t="str">
        <x:v>Excluded</x:v>
      </x:c>
      <x:c r="I6929" s="16" t="str">
        <x:v>Missing email</x:v>
      </x:c>
    </x:row>
    <x:row r="6930">
      <x:c r="A6930" s="16" t="n">
        <x:v>6927</x:v>
      </x:c>
      <x:c r="B6930" s="16" t="str">
        <x:v>Ustaz Muhammad Amir Hafiz</x:v>
      </x:c>
      <x:c r="C6930" s="16" t="str"/>
      <x:c r="D6930" s="16" t="str"/>
      <x:c r="E6930" s="16" t="str">
        <x:v>* myContacts</x:v>
      </x:c>
      <x:c r="F6930" s="16" t="str">
        <x:v>+60 13-392 0902 | +60133920902</x:v>
      </x:c>
      <x:c r="G6930" s="16" t="str">
        <x:v>+60133920902 | +60133920902</x:v>
      </x:c>
      <x:c r="H6930" s="16" t="str">
        <x:v>Excluded</x:v>
      </x:c>
      <x:c r="I6930" s="16" t="str">
        <x:v>Missing email</x:v>
      </x:c>
    </x:row>
    <x:row r="6931">
      <x:c r="A6931" s="16" t="n">
        <x:v>6928</x:v>
      </x:c>
      <x:c r="B6931" s="16" t="str">
        <x:v>USTAZ MUHAMMAD KKQ</x:v>
      </x:c>
      <x:c r="C6931" s="16" t="str"/>
      <x:c r="D6931" s="16" t="str"/>
      <x:c r="E6931" s="16" t="str">
        <x:v>* myContacts</x:v>
      </x:c>
      <x:c r="F6931" s="16" t="str">
        <x:v>+60132007089</x:v>
      </x:c>
      <x:c r="G6931" s="16" t="str">
        <x:v>+60132007089</x:v>
      </x:c>
      <x:c r="H6931" s="16" t="str">
        <x:v>Excluded</x:v>
      </x:c>
      <x:c r="I6931" s="16" t="str">
        <x:v>Missing email</x:v>
      </x:c>
    </x:row>
    <x:row r="6932">
      <x:c r="A6932" s="16" t="n">
        <x:v>6929</x:v>
      </x:c>
      <x:c r="B6932" s="16" t="str">
        <x:v>ustaz naim</x:v>
      </x:c>
      <x:c r="C6932" s="16" t="str"/>
      <x:c r="D6932" s="16" t="str"/>
      <x:c r="E6932" s="16" t="str">
        <x:v>* myContacts</x:v>
      </x:c>
      <x:c r="F6932" s="16" t="str">
        <x:v>+601156813952</x:v>
      </x:c>
      <x:c r="G6932" s="16" t="str">
        <x:v>+601156813952</x:v>
      </x:c>
      <x:c r="H6932" s="16" t="str">
        <x:v>Excluded</x:v>
      </x:c>
      <x:c r="I6932" s="16" t="str">
        <x:v>Missing email</x:v>
      </x:c>
    </x:row>
    <x:row r="6933">
      <x:c r="A6933" s="16" t="n">
        <x:v>6930</x:v>
      </x:c>
      <x:c r="B6933" s="16" t="str">
        <x:v>Ustaz Nazir</x:v>
      </x:c>
      <x:c r="C6933" s="16" t="str"/>
      <x:c r="D6933" s="16" t="str"/>
      <x:c r="E6933" s="16" t="str">
        <x:v>* myContacts</x:v>
      </x:c>
      <x:c r="F6933" s="16" t="str">
        <x:v>0133972610 | +60133972610</x:v>
      </x:c>
      <x:c r="G6933" s="16" t="str">
        <x:v>+60133972610 | +60133972610</x:v>
      </x:c>
      <x:c r="H6933" s="16" t="str">
        <x:v>Excluded</x:v>
      </x:c>
      <x:c r="I6933" s="16" t="str">
        <x:v>Missing email</x:v>
      </x:c>
    </x:row>
    <x:row r="6934">
      <x:c r="A6934" s="16" t="n">
        <x:v>6931</x:v>
      </x:c>
      <x:c r="B6934" s="16" t="str">
        <x:v>Ustaz Nordin Bn</x:v>
      </x:c>
      <x:c r="C6934" s="16" t="str"/>
      <x:c r="D6934" s="16" t="str"/>
      <x:c r="E6934" s="16" t="str">
        <x:v>* myContacts</x:v>
      </x:c>
      <x:c r="F6934" s="16" t="str">
        <x:v>+60135443243</x:v>
      </x:c>
      <x:c r="G6934" s="16" t="str">
        <x:v>+60135443243</x:v>
      </x:c>
      <x:c r="H6934" s="16" t="str">
        <x:v>Excluded</x:v>
      </x:c>
      <x:c r="I6934" s="16" t="str">
        <x:v>Missing email</x:v>
      </x:c>
    </x:row>
    <x:row r="6935">
      <x:c r="A6935" s="16" t="n">
        <x:v>6932</x:v>
      </x:c>
      <x:c r="B6935" s="16" t="str">
        <x:v>Ustaz Rahim</x:v>
      </x:c>
      <x:c r="C6935" s="16" t="str"/>
      <x:c r="D6935" s="16" t="str"/>
      <x:c r="E6935" s="16" t="str">
        <x:v>* myContacts</x:v>
      </x:c>
      <x:c r="F6935" s="16" t="str">
        <x:v>+60 13-515 1152 | +60135151152</x:v>
      </x:c>
      <x:c r="G6935" s="16" t="str">
        <x:v>+60135151152 | +60135151152</x:v>
      </x:c>
      <x:c r="H6935" s="16" t="str">
        <x:v>Excluded</x:v>
      </x:c>
      <x:c r="I6935" s="16" t="str">
        <x:v>Missing email</x:v>
      </x:c>
    </x:row>
    <x:row r="6936">
      <x:c r="A6936" s="16" t="n">
        <x:v>6933</x:v>
      </x:c>
      <x:c r="B6936" s="16" t="str">
        <x:v>Ustaz Razali Nasir</x:v>
      </x:c>
      <x:c r="C6936" s="16" t="str"/>
      <x:c r="D6936" s="16" t="str"/>
      <x:c r="E6936" s="16" t="str">
        <x:v>* myContacts</x:v>
      </x:c>
      <x:c r="F6936" s="16" t="str">
        <x:v>017-917 1977 | +60179171977</x:v>
      </x:c>
      <x:c r="G6936" s="16" t="str">
        <x:v>+60179171977 | +60179171977</x:v>
      </x:c>
      <x:c r="H6936" s="16" t="str">
        <x:v>Excluded</x:v>
      </x:c>
      <x:c r="I6936" s="16" t="str">
        <x:v>Missing email</x:v>
      </x:c>
    </x:row>
    <x:row r="6937">
      <x:c r="A6937" s="16" t="n">
        <x:v>6934</x:v>
      </x:c>
      <x:c r="B6937" s="16" t="str">
        <x:v>ustaz roza</x:v>
      </x:c>
      <x:c r="C6937" s="16" t="str"/>
      <x:c r="D6937" s="16" t="str"/>
      <x:c r="E6937" s="16" t="str">
        <x:v>* myContacts</x:v>
      </x:c>
      <x:c r="F6937" s="16" t="str">
        <x:v>0107726427 | +60107726427</x:v>
      </x:c>
      <x:c r="G6937" s="16" t="str">
        <x:v>+60107726427 | +60107726427</x:v>
      </x:c>
      <x:c r="H6937" s="16" t="str">
        <x:v>Excluded</x:v>
      </x:c>
      <x:c r="I6937" s="16" t="str">
        <x:v>Missing email</x:v>
      </x:c>
    </x:row>
    <x:row r="6938">
      <x:c r="A6938" s="16" t="n">
        <x:v>6935</x:v>
      </x:c>
      <x:c r="B6938" s="16" t="str">
        <x:v>Ustaz Rozaly Adam</x:v>
      </x:c>
      <x:c r="C6938" s="16" t="str"/>
      <x:c r="D6938" s="16" t="str"/>
      <x:c r="E6938" s="16" t="str">
        <x:v>* myContacts</x:v>
      </x:c>
      <x:c r="F6938" s="16" t="str">
        <x:v>+60 11-3927 4671 | +601139274671</x:v>
      </x:c>
      <x:c r="G6938" s="16" t="str">
        <x:v>+601139274671 | +601139274671</x:v>
      </x:c>
      <x:c r="H6938" s="16" t="str">
        <x:v>Excluded</x:v>
      </x:c>
      <x:c r="I6938" s="16" t="str">
        <x:v>Missing email</x:v>
      </x:c>
    </x:row>
    <x:row r="6939">
      <x:c r="A6939" s="16" t="n">
        <x:v>6936</x:v>
      </x:c>
      <x:c r="B6939" s="16" t="str">
        <x:v>Ustaz saiful tahfiz</x:v>
      </x:c>
      <x:c r="C6939" s="16" t="str"/>
      <x:c r="D6939" s="16" t="str"/>
      <x:c r="E6939" s="16" t="str">
        <x:v>* myContacts</x:v>
      </x:c>
      <x:c r="F6939" s="16" t="str">
        <x:v>014-392 1515 | +60143921515 | 0133706442</x:v>
      </x:c>
      <x:c r="G6939" s="16" t="str">
        <x:v>+60143921515 | +60143921515 | +60133706442</x:v>
      </x:c>
      <x:c r="H6939" s="16" t="str">
        <x:v>Excluded</x:v>
      </x:c>
      <x:c r="I6939" s="16" t="str">
        <x:v>Missing email</x:v>
      </x:c>
    </x:row>
    <x:row r="6940">
      <x:c r="A6940" s="16" t="n">
        <x:v>6937</x:v>
      </x:c>
      <x:c r="B6940" s="16" t="str">
        <x:v>Ustaz Suhaidi Nlp</x:v>
      </x:c>
      <x:c r="C6940" s="16" t="str"/>
      <x:c r="D6940" s="16" t="str"/>
      <x:c r="E6940" s="16" t="str">
        <x:v>* myContacts</x:v>
      </x:c>
      <x:c r="F6940" s="16" t="str">
        <x:v>0194192980 | +60194192980</x:v>
      </x:c>
      <x:c r="G6940" s="16" t="str">
        <x:v>+60194192980 | +60194192980</x:v>
      </x:c>
      <x:c r="H6940" s="16" t="str">
        <x:v>Excluded</x:v>
      </x:c>
      <x:c r="I6940" s="16" t="str">
        <x:v>Missing email</x:v>
      </x:c>
    </x:row>
    <x:row r="6941">
      <x:c r="A6941" s="16" t="n">
        <x:v>6938</x:v>
      </x:c>
      <x:c r="B6941" s="16" t="str">
        <x:v>Ustaz Uda Kassim</x:v>
      </x:c>
      <x:c r="C6941" s="16" t="str"/>
      <x:c r="D6941" s="16" t="str"/>
      <x:c r="E6941" s="16" t="str">
        <x:v>* myContacts</x:v>
      </x:c>
      <x:c r="F6941" s="16" t="str">
        <x:v>+60 11-2366 9761 | +601123669761</x:v>
      </x:c>
      <x:c r="G6941" s="16" t="str">
        <x:v>+601123669761 | +601123669761</x:v>
      </x:c>
      <x:c r="H6941" s="16" t="str">
        <x:v>Excluded</x:v>
      </x:c>
      <x:c r="I6941" s="16" t="str">
        <x:v>Missing email</x:v>
      </x:c>
    </x:row>
    <x:row r="6942">
      <x:c r="A6942" s="16" t="n">
        <x:v>6939</x:v>
      </x:c>
      <x:c r="B6942" s="16" t="str">
        <x:v>Ustaz Ustazah Fund Rising</x:v>
      </x:c>
      <x:c r="C6942" s="16" t="str"/>
      <x:c r="D6942" s="16" t="str"/>
      <x:c r="E6942" s="16" t="str">
        <x:v>* myContacts</x:v>
      </x:c>
      <x:c r="F6942" s="16" t="str">
        <x:v>+60 11-1153 7919 | +601111537919</x:v>
      </x:c>
      <x:c r="G6942" s="16" t="str">
        <x:v>+601111537919 | +601111537919</x:v>
      </x:c>
      <x:c r="H6942" s="16" t="str">
        <x:v>Excluded</x:v>
      </x:c>
      <x:c r="I6942" s="16" t="str">
        <x:v>Missing email</x:v>
      </x:c>
    </x:row>
    <x:row r="6943">
      <x:c r="A6943" s="16" t="n">
        <x:v>6940</x:v>
      </x:c>
      <x:c r="B6943" s="16" t="str">
        <x:v>Ustaz Yusri Maahad Addiniah</x:v>
      </x:c>
      <x:c r="C6943" s="16" t="str"/>
      <x:c r="D6943" s="16" t="str"/>
      <x:c r="E6943" s="16" t="str">
        <x:v>* myContacts</x:v>
      </x:c>
      <x:c r="F6943" s="16" t="str">
        <x:v>+60 11-2136 4598 | +601121364598</x:v>
      </x:c>
      <x:c r="G6943" s="16" t="str">
        <x:v>+601121364598 | +601121364598</x:v>
      </x:c>
      <x:c r="H6943" s="16" t="str">
        <x:v>Excluded</x:v>
      </x:c>
      <x:c r="I6943" s="16" t="str">
        <x:v>Missing email</x:v>
      </x:c>
    </x:row>
    <x:row r="6944">
      <x:c r="A6944" s="16" t="n">
        <x:v>6941</x:v>
      </x:c>
      <x:c r="B6944" s="16" t="str">
        <x:v>Ustaz zainal hanif tukang urut</x:v>
      </x:c>
      <x:c r="C6944" s="16" t="str"/>
      <x:c r="D6944" s="16" t="str"/>
      <x:c r="E6944" s="16" t="str">
        <x:v>* myContacts</x:v>
      </x:c>
      <x:c r="F6944" s="16" t="str">
        <x:v>+60165040152</x:v>
      </x:c>
      <x:c r="G6944" s="16" t="str">
        <x:v>+60165040152</x:v>
      </x:c>
      <x:c r="H6944" s="16" t="str">
        <x:v>Excluded</x:v>
      </x:c>
      <x:c r="I6944" s="16" t="str">
        <x:v>Missing email</x:v>
      </x:c>
    </x:row>
    <x:row r="6945">
      <x:c r="A6945" s="16" t="n">
        <x:v>6942</x:v>
      </x:c>
      <x:c r="B6945" s="16" t="str">
        <x:v>Ustaz Zaini</x:v>
      </x:c>
      <x:c r="C6945" s="16" t="str"/>
      <x:c r="D6945" s="16" t="str"/>
      <x:c r="E6945" s="16" t="str">
        <x:v>* myContacts</x:v>
      </x:c>
      <x:c r="F6945" s="16" t="str">
        <x:v>+60 19-946 4741 | +60199464741</x:v>
      </x:c>
      <x:c r="G6945" s="16" t="str">
        <x:v>+60199464741 | +60199464741</x:v>
      </x:c>
      <x:c r="H6945" s="16" t="str">
        <x:v>Excluded</x:v>
      </x:c>
      <x:c r="I6945" s="16" t="str">
        <x:v>Missing email</x:v>
      </x:c>
    </x:row>
    <x:row r="6946">
      <x:c r="A6946" s="16" t="n">
        <x:v>6943</x:v>
      </x:c>
      <x:c r="B6946" s="16" t="str">
        <x:v>Ustaz Zhofran DPIM</x:v>
      </x:c>
      <x:c r="C6946" s="16" t="str"/>
      <x:c r="D6946" s="16" t="str"/>
      <x:c r="E6946" s="16" t="str">
        <x:v>* myContacts</x:v>
      </x:c>
      <x:c r="F6946" s="16" t="str">
        <x:v>+60 13-370 4710 | +60133704710</x:v>
      </x:c>
      <x:c r="G6946" s="16" t="str">
        <x:v>+60133704710 | +60133704710</x:v>
      </x:c>
      <x:c r="H6946" s="16" t="str">
        <x:v>Excluded</x:v>
      </x:c>
      <x:c r="I6946" s="16" t="str">
        <x:v>Missing email</x:v>
      </x:c>
    </x:row>
    <x:row r="6947">
      <x:c r="A6947" s="16" t="n">
        <x:v>6944</x:v>
      </x:c>
      <x:c r="B6947" s="16" t="str">
        <x:v>Ustaz Zul Ramli</x:v>
      </x:c>
      <x:c r="C6947" s="16" t="str"/>
      <x:c r="D6947" s="16" t="str"/>
      <x:c r="E6947" s="16" t="str">
        <x:v>* myContacts</x:v>
      </x:c>
      <x:c r="F6947" s="16" t="str">
        <x:v>+60 13-226 0018 | +60132260018</x:v>
      </x:c>
      <x:c r="G6947" s="16" t="str">
        <x:v>+60132260018 | +60132260018</x:v>
      </x:c>
      <x:c r="H6947" s="16" t="str">
        <x:v>Excluded</x:v>
      </x:c>
      <x:c r="I6947" s="16" t="str">
        <x:v>Missing email</x:v>
      </x:c>
    </x:row>
    <x:row r="6948">
      <x:c r="A6948" s="16" t="n">
        <x:v>6945</x:v>
      </x:c>
      <x:c r="B6948" s="16" t="str">
        <x:v>USTAZAH NABILAH</x:v>
      </x:c>
      <x:c r="C6948" s="16" t="str"/>
      <x:c r="D6948" s="16" t="str"/>
      <x:c r="E6948" s="16" t="str">
        <x:v>* myContacts</x:v>
      </x:c>
      <x:c r="F6948" s="16" t="str">
        <x:v>+60183753537</x:v>
      </x:c>
      <x:c r="G6948" s="16" t="str">
        <x:v>+60183753537</x:v>
      </x:c>
      <x:c r="H6948" s="16" t="str">
        <x:v>Excluded</x:v>
      </x:c>
      <x:c r="I6948" s="16" t="str">
        <x:v>Missing email</x:v>
      </x:c>
    </x:row>
    <x:row r="6949">
      <x:c r="A6949" s="16" t="n">
        <x:v>6946</x:v>
      </x:c>
      <x:c r="B6949" s="16" t="str">
        <x:v>Ustazah Nina</x:v>
      </x:c>
      <x:c r="C6949" s="16" t="str"/>
      <x:c r="D6949" s="16" t="str"/>
      <x:c r="E6949" s="16" t="str">
        <x:v>* myContacts</x:v>
      </x:c>
      <x:c r="F6949" s="16" t="str">
        <x:v>+60 13-204 4314 | +60132044314</x:v>
      </x:c>
      <x:c r="G6949" s="16" t="str">
        <x:v>+60132044314 | +60132044314</x:v>
      </x:c>
      <x:c r="H6949" s="16" t="str">
        <x:v>Excluded</x:v>
      </x:c>
      <x:c r="I6949" s="16" t="str">
        <x:v>Missing email</x:v>
      </x:c>
    </x:row>
    <x:row r="6950">
      <x:c r="A6950" s="16" t="n">
        <x:v>6947</x:v>
      </x:c>
      <x:c r="B6950" s="16" t="str">
        <x:v>Utak Herry Saied</x:v>
      </x:c>
      <x:c r="C6950" s="16" t="str"/>
      <x:c r="D6950" s="16" t="str"/>
      <x:c r="E6950" s="16" t="str">
        <x:v>* myContacts</x:v>
      </x:c>
      <x:c r="F6950" s="16" t="str">
        <x:v>+601123268403</x:v>
      </x:c>
      <x:c r="G6950" s="16" t="str">
        <x:v>+601123268403</x:v>
      </x:c>
      <x:c r="H6950" s="16" t="str">
        <x:v>Excluded</x:v>
      </x:c>
      <x:c r="I6950" s="16" t="str">
        <x:v>Missing email</x:v>
      </x:c>
    </x:row>
    <x:row r="6951">
      <x:c r="A6951" s="16" t="n">
        <x:v>6948</x:v>
      </x:c>
      <x:c r="B6951" s="16" t="str">
        <x:v>Uzair Forex</x:v>
      </x:c>
      <x:c r="C6951" s="16" t="str"/>
      <x:c r="D6951" s="16" t="str"/>
      <x:c r="E6951" s="16" t="str">
        <x:v>* myContacts</x:v>
      </x:c>
      <x:c r="F6951" s="16" t="str">
        <x:v>+60 14-698 5063 | +60146985063</x:v>
      </x:c>
      <x:c r="G6951" s="16" t="str">
        <x:v>+60146985063 | +60146985063</x:v>
      </x:c>
      <x:c r="H6951" s="16" t="str">
        <x:v>Excluded</x:v>
      </x:c>
      <x:c r="I6951" s="16" t="str">
        <x:v>Missing email</x:v>
      </x:c>
    </x:row>
    <x:row r="6952">
      <x:c r="A6952" s="16" t="n">
        <x:v>6949</x:v>
      </x:c>
      <x:c r="B6952" s="16" t="str">
        <x:v>VÃ¬Ã±Ã‡Ã¨Ã±t Ã‡hÃ¸Ã±g</x:v>
      </x:c>
      <x:c r="C6952" s="16" t="str"/>
      <x:c r="D6952" s="16" t="str"/>
      <x:c r="E6952" s="16" t="str">
        <x:v>* myContacts</x:v>
      </x:c>
      <x:c r="F6952" s="16" t="str">
        <x:v>+60163383638</x:v>
      </x:c>
      <x:c r="G6952" s="16" t="str">
        <x:v>+60163383638</x:v>
      </x:c>
      <x:c r="H6952" s="16" t="str">
        <x:v>Excluded</x:v>
      </x:c>
      <x:c r="I6952" s="16" t="str">
        <x:v>Missing email</x:v>
      </x:c>
    </x:row>
    <x:row r="6953">
      <x:c r="A6953" s="16" t="n">
        <x:v>6950</x:v>
      </x:c>
      <x:c r="B6953" s="16" t="str">
        <x:v>Veeramani Subramanian</x:v>
      </x:c>
      <x:c r="C6953" s="16" t="str"/>
      <x:c r="D6953" s="16" t="str"/>
      <x:c r="E6953" s="16" t="str">
        <x:v>* myContacts</x:v>
      </x:c>
      <x:c r="F6953" s="16" t="str">
        <x:v>0177110169 | +60177110169</x:v>
      </x:c>
      <x:c r="G6953" s="16" t="str">
        <x:v>+60177110169 | +60177110169</x:v>
      </x:c>
      <x:c r="H6953" s="16" t="str">
        <x:v>Excluded</x:v>
      </x:c>
      <x:c r="I6953" s="16" t="str">
        <x:v>Missing email</x:v>
      </x:c>
    </x:row>
    <x:row r="6954">
      <x:c r="A6954" s="16" t="n">
        <x:v>6951</x:v>
      </x:c>
      <x:c r="B6954" s="16" t="str">
        <x:v>Victoria Vicky Jayanathan</x:v>
      </x:c>
      <x:c r="C6954" s="16" t="str"/>
      <x:c r="D6954" s="16" t="str"/>
      <x:c r="E6954" s="16" t="str">
        <x:v>* myContacts</x:v>
      </x:c>
      <x:c r="F6954" s="16" t="str">
        <x:v>+60172987216</x:v>
      </x:c>
      <x:c r="G6954" s="16" t="str">
        <x:v>+60172987216</x:v>
      </x:c>
      <x:c r="H6954" s="16" t="str">
        <x:v>Excluded</x:v>
      </x:c>
      <x:c r="I6954" s="16" t="str">
        <x:v>Missing email</x:v>
      </x:c>
    </x:row>
    <x:row r="6955">
      <x:c r="A6955" s="16" t="n">
        <x:v>6952</x:v>
      </x:c>
      <x:c r="B6955" s="16" t="str">
        <x:v>Vie Ariffin Assitant Tuan Hazril Hafiz</x:v>
      </x:c>
      <x:c r="C6955" s="16" t="str"/>
      <x:c r="D6955" s="16" t="str"/>
      <x:c r="E6955" s="16" t="str">
        <x:v>* myContacts</x:v>
      </x:c>
      <x:c r="F6955" s="16" t="str">
        <x:v>+60145466081</x:v>
      </x:c>
      <x:c r="G6955" s="16" t="str">
        <x:v>+60145466081</x:v>
      </x:c>
      <x:c r="H6955" s="16" t="str">
        <x:v>Excluded</x:v>
      </x:c>
      <x:c r="I6955" s="16" t="str">
        <x:v>Missing email</x:v>
      </x:c>
    </x:row>
    <x:row r="6956">
      <x:c r="A6956" s="16" t="n">
        <x:v>6953</x:v>
      </x:c>
      <x:c r="B6956" s="16" t="str">
        <x:v>Vienna's Eyna</x:v>
      </x:c>
      <x:c r="C6956" s="16" t="str"/>
      <x:c r="D6956" s="16" t="str"/>
      <x:c r="E6956" s="16" t="str">
        <x:v>* myContacts</x:v>
      </x:c>
      <x:c r="F6956" s="16" t="str">
        <x:v>+601131757517</x:v>
      </x:c>
      <x:c r="G6956" s="16" t="str">
        <x:v>+601131757517</x:v>
      </x:c>
      <x:c r="H6956" s="16" t="str">
        <x:v>Excluded</x:v>
      </x:c>
      <x:c r="I6956" s="16" t="str">
        <x:v>Missing email</x:v>
      </x:c>
    </x:row>
    <x:row r="6957">
      <x:c r="A6957" s="16" t="n">
        <x:v>6954</x:v>
      </x:c>
      <x:c r="B6957" s="16" t="str">
        <x:v>Vijay Bin Loganathan</x:v>
      </x:c>
      <x:c r="C6957" s="16" t="str"/>
      <x:c r="D6957" s="16" t="str"/>
      <x:c r="E6957" s="16" t="str">
        <x:v>* myContacts</x:v>
      </x:c>
      <x:c r="F6957" s="16" t="str">
        <x:v>+601131892205</x:v>
      </x:c>
      <x:c r="G6957" s="16" t="str">
        <x:v>+601131892205</x:v>
      </x:c>
      <x:c r="H6957" s="16" t="str">
        <x:v>Excluded</x:v>
      </x:c>
      <x:c r="I6957" s="16" t="str">
        <x:v>Missing email</x:v>
      </x:c>
    </x:row>
    <x:row r="6958">
      <x:c r="A6958" s="16" t="n">
        <x:v>6955</x:v>
      </x:c>
      <x:c r="B6958" s="16" t="str">
        <x:v>Vincent BBC</x:v>
      </x:c>
      <x:c r="C6958" s="16" t="str"/>
      <x:c r="D6958" s="16" t="str"/>
      <x:c r="E6958" s="16" t="str">
        <x:v>* myContacts</x:v>
      </x:c>
      <x:c r="F6958" s="16" t="str">
        <x:v>+60 16-249 0490 | +60162490490</x:v>
      </x:c>
      <x:c r="G6958" s="16" t="str">
        <x:v>+60162490490 | +60162490490</x:v>
      </x:c>
      <x:c r="H6958" s="16" t="str">
        <x:v>Excluded</x:v>
      </x:c>
      <x:c r="I6958" s="16" t="str">
        <x:v>Missing email</x:v>
      </x:c>
    </x:row>
    <x:row r="6959">
      <x:c r="A6959" s="16" t="n">
        <x:v>6956</x:v>
      </x:c>
      <x:c r="B6959" s="16" t="str">
        <x:v>Vivian</x:v>
      </x:c>
      <x:c r="C6959" s="16" t="str"/>
      <x:c r="D6959" s="16" t="str"/>
      <x:c r="E6959" s="16" t="str">
        <x:v>* myContacts</x:v>
      </x:c>
      <x:c r="F6959" s="16" t="str">
        <x:v>+60 12-985 3885 | +60129853885</x:v>
      </x:c>
      <x:c r="G6959" s="16" t="str">
        <x:v>+60129853885 | +60129853885</x:v>
      </x:c>
      <x:c r="H6959" s="16" t="str">
        <x:v>Excluded</x:v>
      </x:c>
      <x:c r="I6959" s="16" t="str">
        <x:v>Missing email</x:v>
      </x:c>
    </x:row>
    <x:row r="6960">
      <x:c r="A6960" s="16" t="n">
        <x:v>6957</x:v>
      </x:c>
      <x:c r="B6960" s="16" t="str">
        <x:v>Vivian Tan Wellness Concept -</x:v>
      </x:c>
      <x:c r="C6960" s="16" t="str"/>
      <x:c r="D6960" s="16" t="str"/>
      <x:c r="E6960" s="16" t="str">
        <x:v>* myContacts</x:v>
      </x:c>
      <x:c r="F6960" s="16" t="str">
        <x:v>+60 16-227 2110 | +60162272110</x:v>
      </x:c>
      <x:c r="G6960" s="16" t="str">
        <x:v>+60162272110 | +60162272110</x:v>
      </x:c>
      <x:c r="H6960" s="16" t="str">
        <x:v>Excluded</x:v>
      </x:c>
      <x:c r="I6960" s="16" t="str">
        <x:v>Missing email</x:v>
      </x:c>
    </x:row>
    <x:row r="6961">
      <x:c r="A6961" s="16" t="n">
        <x:v>6958</x:v>
      </x:c>
      <x:c r="B6961" s="16" t="str">
        <x:v>Vladamir Gonzales</x:v>
      </x:c>
      <x:c r="C6961" s="16" t="str"/>
      <x:c r="D6961" s="16" t="str"/>
      <x:c r="E6961" s="16" t="str">
        <x:v>* myContacts</x:v>
      </x:c>
      <x:c r="F6961" s="16" t="str">
        <x:v>0123018278 | +60123018278</x:v>
      </x:c>
      <x:c r="G6961" s="16" t="str">
        <x:v>+60123018278 | +60123018278</x:v>
      </x:c>
      <x:c r="H6961" s="16" t="str">
        <x:v>Excluded</x:v>
      </x:c>
      <x:c r="I6961" s="16" t="str">
        <x:v>Missing email</x:v>
      </x:c>
    </x:row>
    <x:row r="6962">
      <x:c r="A6962" s="16" t="n">
        <x:v>6959</x:v>
      </x:c>
      <x:c r="B6962" s="16" t="str">
        <x:v>W. Rusli W Awang AGP</x:v>
      </x:c>
      <x:c r="C6962" s="16" t="str"/>
      <x:c r="D6962" s="16" t="str"/>
      <x:c r="E6962" s="16" t="str">
        <x:v>* myContacts</x:v>
      </x:c>
      <x:c r="F6962" s="16" t="str">
        <x:v>+60 11-1179 7119 | +601111797119</x:v>
      </x:c>
      <x:c r="G6962" s="16" t="str">
        <x:v>+601111797119 | +601111797119</x:v>
      </x:c>
      <x:c r="H6962" s="16" t="str">
        <x:v>Excluded</x:v>
      </x:c>
      <x:c r="I6962" s="16" t="str">
        <x:v>Missing email</x:v>
      </x:c>
    </x:row>
    <x:row r="6963">
      <x:c r="A6963" s="16" t="n">
        <x:v>6960</x:v>
      </x:c>
      <x:c r="B6963" s="16" t="str">
        <x:v>Wabot AI Redibit Tester</x:v>
      </x:c>
      <x:c r="C6963" s="16" t="str"/>
      <x:c r="D6963" s="16" t="str"/>
      <x:c r="E6963" s="16" t="str">
        <x:v>* myContacts</x:v>
      </x:c>
      <x:c r="F6963" s="16" t="str">
        <x:v>+60 11-5457 5400 | +601154575400</x:v>
      </x:c>
      <x:c r="G6963" s="16" t="str">
        <x:v>+601154575400 | +601154575400</x:v>
      </x:c>
      <x:c r="H6963" s="16" t="str">
        <x:v>Excluded</x:v>
      </x:c>
      <x:c r="I6963" s="16" t="str">
        <x:v>Missing email</x:v>
      </x:c>
    </x:row>
    <x:row r="6964">
      <x:c r="A6964" s="16" t="n">
        <x:v>6961</x:v>
      </x:c>
      <x:c r="B6964" s="16" t="str">
        <x:v>wabot support</x:v>
      </x:c>
      <x:c r="C6964" s="16" t="str"/>
      <x:c r="D6964" s="16" t="str"/>
      <x:c r="E6964" s="16" t="str">
        <x:v>* myContacts</x:v>
      </x:c>
      <x:c r="F6964" s="16" t="str">
        <x:v>+60 19-619 5886 | +60196195886</x:v>
      </x:c>
      <x:c r="G6964" s="16" t="str">
        <x:v>+60196195886 | +60196195886</x:v>
      </x:c>
      <x:c r="H6964" s="16" t="str">
        <x:v>Excluded</x:v>
      </x:c>
      <x:c r="I6964" s="16" t="str">
        <x:v>Missing email</x:v>
      </x:c>
    </x:row>
    <x:row r="6965">
      <x:c r="A6965" s="16" t="n">
        <x:v>6962</x:v>
      </x:c>
      <x:c r="B6965" s="16" t="str">
        <x:v>Wabot Support</x:v>
      </x:c>
      <x:c r="C6965" s="16" t="str"/>
      <x:c r="D6965" s="16" t="str"/>
      <x:c r="E6965" s="16" t="str">
        <x:v>* myContacts</x:v>
      </x:c>
      <x:c r="F6965" s="16" t="str">
        <x:v>+60 12-515 3307 | +60125153307</x:v>
      </x:c>
      <x:c r="G6965" s="16" t="str">
        <x:v>+60125153307 | +60125153307</x:v>
      </x:c>
      <x:c r="H6965" s="16" t="str">
        <x:v>Excluded</x:v>
      </x:c>
      <x:c r="I6965" s="16" t="str">
        <x:v>Missing email</x:v>
      </x:c>
    </x:row>
    <x:row r="6966">
      <x:c r="A6966" s="16" t="n">
        <x:v>6963</x:v>
      </x:c>
      <x:c r="B6966" s="16" t="str">
        <x:v>Wadah Fazlini Bt Durami</x:v>
      </x:c>
      <x:c r="C6966" s="16" t="str"/>
      <x:c r="D6966" s="16" t="str"/>
      <x:c r="E6966" s="16" t="str">
        <x:v>* myContacts</x:v>
      </x:c>
      <x:c r="F6966" s="16" t="str">
        <x:v>+60145690921</x:v>
      </x:c>
      <x:c r="G6966" s="16" t="str">
        <x:v>+60145690921</x:v>
      </x:c>
      <x:c r="H6966" s="16" t="str">
        <x:v>Excluded</x:v>
      </x:c>
      <x:c r="I6966" s="16" t="str">
        <x:v>Missing email</x:v>
      </x:c>
    </x:row>
    <x:row r="6967">
      <x:c r="A6967" s="16" t="n">
        <x:v>6964</x:v>
      </x:c>
      <x:c r="B6967" s="16" t="str">
        <x:v>wadi transporter</x:v>
      </x:c>
      <x:c r="C6967" s="16" t="str"/>
      <x:c r="D6967" s="16" t="str"/>
      <x:c r="E6967" s="16" t="str">
        <x:v>* myContacts</x:v>
      </x:c>
      <x:c r="F6967" s="16" t="str">
        <x:v>0192233909 | +60192233909</x:v>
      </x:c>
      <x:c r="G6967" s="16" t="str">
        <x:v>+60192233909 | +60192233909</x:v>
      </x:c>
      <x:c r="H6967" s="16" t="str">
        <x:v>Excluded</x:v>
      </x:c>
      <x:c r="I6967" s="16" t="str">
        <x:v>Missing email</x:v>
      </x:c>
    </x:row>
    <x:row r="6968">
      <x:c r="A6968" s="16" t="n">
        <x:v>6965</x:v>
      </x:c>
      <x:c r="B6968" s="16" t="str">
        <x:v>Wafi Trainer Sifu Branding</x:v>
      </x:c>
      <x:c r="C6968" s="16" t="str"/>
      <x:c r="D6968" s="16" t="str"/>
      <x:c r="E6968" s="16" t="str">
        <x:v>Trainer | * myContacts</x:v>
      </x:c>
      <x:c r="F6968" s="16" t="str">
        <x:v>+60 19-399 5288 | +60193995288</x:v>
      </x:c>
      <x:c r="G6968" s="16" t="str">
        <x:v>+60193995288 | +60193995288</x:v>
      </x:c>
      <x:c r="H6968" s="16" t="str">
        <x:v>Excluded</x:v>
      </x:c>
      <x:c r="I6968" s="16" t="str">
        <x:v>Missing email</x:v>
      </x:c>
    </x:row>
    <x:row r="6969">
      <x:c r="A6969" s="16" t="n">
        <x:v>6966</x:v>
      </x:c>
      <x:c r="B6969" s="16" t="str">
        <x:v>Wahab Driver</x:v>
      </x:c>
      <x:c r="C6969" s="16" t="str"/>
      <x:c r="D6969" s="16" t="str"/>
      <x:c r="E6969" s="16" t="str">
        <x:v>* myContacts</x:v>
      </x:c>
      <x:c r="F6969" s="16" t="str">
        <x:v>+60 19-570 6212 | +60195706212</x:v>
      </x:c>
      <x:c r="G6969" s="16" t="str">
        <x:v>+60195706212 | +60195706212</x:v>
      </x:c>
      <x:c r="H6969" s="16" t="str">
        <x:v>Excluded</x:v>
      </x:c>
      <x:c r="I6969" s="16" t="str">
        <x:v>Missing email</x:v>
      </x:c>
    </x:row>
    <x:row r="6970">
      <x:c r="A6970" s="16" t="n">
        <x:v>6967</x:v>
      </x:c>
      <x:c r="B6970" s="16" t="str">
        <x:v>Wahida Abdul Samad</x:v>
      </x:c>
      <x:c r="C6970" s="16" t="str"/>
      <x:c r="D6970" s="16" t="str"/>
      <x:c r="E6970" s="16" t="str">
        <x:v>* myContacts</x:v>
      </x:c>
      <x:c r="F6970" s="16" t="str">
        <x:v>+60174099071</x:v>
      </x:c>
      <x:c r="G6970" s="16" t="str">
        <x:v>+60174099071</x:v>
      </x:c>
      <x:c r="H6970" s="16" t="str">
        <x:v>Excluded</x:v>
      </x:c>
      <x:c r="I6970" s="16" t="str">
        <x:v>Missing email</x:v>
      </x:c>
    </x:row>
    <x:row r="6971">
      <x:c r="A6971" s="16" t="n">
        <x:v>6968</x:v>
      </x:c>
      <x:c r="B6971" s="16" t="str">
        <x:v>Wahyu Farhan</x:v>
      </x:c>
      <x:c r="C6971" s="16" t="str"/>
      <x:c r="D6971" s="16" t="str"/>
      <x:c r="E6971" s="16" t="str">
        <x:v>* myContacts</x:v>
      </x:c>
      <x:c r="F6971" s="16" t="str">
        <x:v>+60137736646</x:v>
      </x:c>
      <x:c r="G6971" s="16" t="str">
        <x:v>+60137736646</x:v>
      </x:c>
      <x:c r="H6971" s="16" t="str">
        <x:v>Excluded</x:v>
      </x:c>
      <x:c r="I6971" s="16" t="str">
        <x:v>Missing email</x:v>
      </x:c>
    </x:row>
    <x:row r="6972">
      <x:c r="A6972" s="16" t="n">
        <x:v>6969</x:v>
      </x:c>
      <x:c r="B6972" s="16" t="str">
        <x:v>Wahyu Mirage</x:v>
      </x:c>
      <x:c r="C6972" s="16" t="str"/>
      <x:c r="D6972" s="16" t="str"/>
      <x:c r="E6972" s="16" t="str">
        <x:v>* myContacts</x:v>
      </x:c>
      <x:c r="F6972" s="16" t="str">
        <x:v>+60179949461</x:v>
      </x:c>
      <x:c r="G6972" s="16" t="str">
        <x:v>+60179949461</x:v>
      </x:c>
      <x:c r="H6972" s="16" t="str">
        <x:v>Excluded</x:v>
      </x:c>
      <x:c r="I6972" s="16" t="str">
        <x:v>Missing email</x:v>
      </x:c>
    </x:row>
    <x:row r="6973">
      <x:c r="A6973" s="16" t="n">
        <x:v>6970</x:v>
      </x:c>
      <x:c r="B6973" s="16" t="str">
        <x:v>Wai Hoe Chia AV Export</x:v>
      </x:c>
      <x:c r="C6973" s="16" t="str"/>
      <x:c r="D6973" s="16" t="str"/>
      <x:c r="E6973" s="16" t="str">
        <x:v>* myContacts</x:v>
      </x:c>
      <x:c r="F6973" s="16" t="str">
        <x:v>+60 16-322 3561 | +60163223561</x:v>
      </x:c>
      <x:c r="G6973" s="16" t="str">
        <x:v>+60163223561 | +60163223561</x:v>
      </x:c>
      <x:c r="H6973" s="16" t="str">
        <x:v>Excluded</x:v>
      </x:c>
      <x:c r="I6973" s="16" t="str">
        <x:v>Missing email</x:v>
      </x:c>
    </x:row>
    <x:row r="6974">
      <x:c r="A6974" s="16" t="n">
        <x:v>6971</x:v>
      </x:c>
      <x:c r="B6974" s="16" t="str">
        <x:v>Wai M. Nor</x:v>
      </x:c>
      <x:c r="C6974" s="16" t="str"/>
      <x:c r="D6974" s="16" t="str"/>
      <x:c r="E6974" s="16" t="str">
        <x:v>* myContacts</x:v>
      </x:c>
      <x:c r="F6974" s="16" t="str">
        <x:v>+60177242008</x:v>
      </x:c>
      <x:c r="G6974" s="16" t="str">
        <x:v>+60177242008</x:v>
      </x:c>
      <x:c r="H6974" s="16" t="str">
        <x:v>Excluded</x:v>
      </x:c>
      <x:c r="I6974" s="16" t="str">
        <x:v>Missing email</x:v>
      </x:c>
    </x:row>
    <x:row r="6975">
      <x:c r="A6975" s="16" t="n">
        <x:v>6972</x:v>
      </x:c>
      <x:c r="B6975" s="16" t="str">
        <x:v>wajid umar</x:v>
      </x:c>
      <x:c r="C6975" s="16" t="str"/>
      <x:c r="D6975" s="16" t="str"/>
      <x:c r="E6975" s="16" t="str">
        <x:v>* myContacts</x:v>
      </x:c>
      <x:c r="F6975" s="16" t="str">
        <x:v>010-382 4614</x:v>
      </x:c>
      <x:c r="G6975" s="16" t="str">
        <x:v>+60103824614</x:v>
      </x:c>
      <x:c r="H6975" s="16" t="str">
        <x:v>Excluded</x:v>
      </x:c>
      <x:c r="I6975" s="16" t="str">
        <x:v>Missing email</x:v>
      </x:c>
    </x:row>
    <x:row r="6976">
      <x:c r="A6976" s="16" t="n">
        <x:v>6973</x:v>
      </x:c>
      <x:c r="B6976" s="16" t="str">
        <x:v>Wak Kontrak Umah</x:v>
      </x:c>
      <x:c r="C6976" s="16" t="str"/>
      <x:c r="D6976" s="16" t="str"/>
      <x:c r="E6976" s="16" t="str">
        <x:v>* myContacts</x:v>
      </x:c>
      <x:c r="F6976" s="16" t="str">
        <x:v>+60 14-629 1026 | +60146291026</x:v>
      </x:c>
      <x:c r="G6976" s="16" t="str">
        <x:v>+60146291026 | +60146291026</x:v>
      </x:c>
      <x:c r="H6976" s="16" t="str">
        <x:v>Excluded</x:v>
      </x:c>
      <x:c r="I6976" s="16" t="str">
        <x:v>Missing email</x:v>
      </x:c>
    </x:row>
    <x:row r="6977">
      <x:c r="A6977" s="16" t="n">
        <x:v>6974</x:v>
      </x:c>
      <x:c r="B6977" s="16" t="str">
        <x:v>Wak Mazli</x:v>
      </x:c>
      <x:c r="C6977" s="16" t="str"/>
      <x:c r="D6977" s="16" t="str"/>
      <x:c r="E6977" s="16" t="str">
        <x:v>* myContacts</x:v>
      </x:c>
      <x:c r="F6977" s="16" t="str">
        <x:v>+60 12-341 1800 | +60123411800</x:v>
      </x:c>
      <x:c r="G6977" s="16" t="str">
        <x:v>+60123411800 | +60123411800</x:v>
      </x:c>
      <x:c r="H6977" s="16" t="str">
        <x:v>Excluded</x:v>
      </x:c>
      <x:c r="I6977" s="16" t="str">
        <x:v>Missing email</x:v>
      </x:c>
    </x:row>
    <x:row r="6978">
      <x:c r="A6978" s="16" t="n">
        <x:v>6975</x:v>
      </x:c>
      <x:c r="B6978" s="16" t="str">
        <x:v>Wak Saripan</x:v>
      </x:c>
      <x:c r="C6978" s="16" t="str"/>
      <x:c r="D6978" s="16" t="str"/>
      <x:c r="E6978" s="16" t="str">
        <x:v>* myContacts</x:v>
      </x:c>
      <x:c r="F6978" s="16" t="str">
        <x:v>+60 12-492 3136 | +60 17-547 9306 | +60124923136 | +60175479306</x:v>
      </x:c>
      <x:c r="G6978" s="16" t="str">
        <x:v>+60124923136 | +60175479306 | +60124923136 | +60175479306</x:v>
      </x:c>
      <x:c r="H6978" s="16" t="str">
        <x:v>Excluded</x:v>
      </x:c>
      <x:c r="I6978" s="16" t="str">
        <x:v>Missing email</x:v>
      </x:c>
    </x:row>
    <x:row r="6979">
      <x:c r="A6979" s="16" t="n">
        <x:v>6976</x:v>
      </x:c>
      <x:c r="B6979" s="16" t="str">
        <x:v>Wak Urut</x:v>
      </x:c>
      <x:c r="C6979" s="16" t="str"/>
      <x:c r="D6979" s="16" t="str"/>
      <x:c r="E6979" s="16" t="str">
        <x:v>* myContacts</x:v>
      </x:c>
      <x:c r="F6979" s="16" t="str">
        <x:v>+60176565009</x:v>
      </x:c>
      <x:c r="G6979" s="16" t="str">
        <x:v>+60176565009</x:v>
      </x:c>
      <x:c r="H6979" s="16" t="str">
        <x:v>Excluded</x:v>
      </x:c>
      <x:c r="I6979" s="16" t="str">
        <x:v>Missing email</x:v>
      </x:c>
    </x:row>
    <x:row r="6980">
      <x:c r="A6980" s="16" t="n">
        <x:v>6977</x:v>
      </x:c>
      <x:c r="B6980" s="16" t="str">
        <x:v>Wak Zod IM</x:v>
      </x:c>
      <x:c r="C6980" s="16" t="str"/>
      <x:c r="D6980" s="16" t="str"/>
      <x:c r="E6980" s="16" t="str">
        <x:v>* myContacts</x:v>
      </x:c>
      <x:c r="F6980" s="16" t="str">
        <x:v>+60 14-715 1891 | +60147151891</x:v>
      </x:c>
      <x:c r="G6980" s="16" t="str">
        <x:v>+60147151891 | +60147151891</x:v>
      </x:c>
      <x:c r="H6980" s="16" t="str">
        <x:v>Excluded</x:v>
      </x:c>
      <x:c r="I6980" s="16" t="str">
        <x:v>Missing email</x:v>
      </x:c>
    </x:row>
    <x:row r="6981">
      <x:c r="A6981" s="16" t="n">
        <x:v>6978</x:v>
      </x:c>
      <x:c r="B6981" s="16" t="str">
        <x:v>WaKrun SB</x:v>
      </x:c>
      <x:c r="C6981" s="16" t="str"/>
      <x:c r="D6981" s="16" t="str"/>
      <x:c r="E6981" s="16" t="str">
        <x:v>* myContacts</x:v>
      </x:c>
      <x:c r="F6981" s="16" t="str">
        <x:v>+60192522359</x:v>
      </x:c>
      <x:c r="G6981" s="16" t="str">
        <x:v>+60192522359</x:v>
      </x:c>
      <x:c r="H6981" s="16" t="str">
        <x:v>Excluded</x:v>
      </x:c>
      <x:c r="I6981" s="16" t="str">
        <x:v>Missing email</x:v>
      </x:c>
    </x:row>
    <x:row r="6982">
      <x:c r="A6982" s="16" t="n">
        <x:v>6979</x:v>
      </x:c>
      <x:c r="B6982" s="16" t="str">
        <x:v>WalidCreative Printing</x:v>
      </x:c>
      <x:c r="C6982" s="16" t="str"/>
      <x:c r="D6982" s="16" t="str"/>
      <x:c r="E6982" s="16" t="str">
        <x:v>* myContacts</x:v>
      </x:c>
      <x:c r="F6982" s="16" t="str">
        <x:v>+60129577055</x:v>
      </x:c>
      <x:c r="G6982" s="16" t="str">
        <x:v>+60129577055</x:v>
      </x:c>
      <x:c r="H6982" s="16" t="str">
        <x:v>Excluded</x:v>
      </x:c>
      <x:c r="I6982" s="16" t="str">
        <x:v>Missing email</x:v>
      </x:c>
    </x:row>
    <x:row r="6983">
      <x:c r="A6983" s="16" t="n">
        <x:v>6980</x:v>
      </x:c>
      <x:c r="B6983" s="16" t="str">
        <x:v>Wallpaper Ezy</x:v>
      </x:c>
      <x:c r="C6983" s="16" t="str"/>
      <x:c r="D6983" s="16" t="str"/>
      <x:c r="E6983" s="16" t="str">
        <x:v>* myContacts</x:v>
      </x:c>
      <x:c r="F6983" s="16" t="str">
        <x:v>+60169467335</x:v>
      </x:c>
      <x:c r="G6983" s="16" t="str">
        <x:v>+60169467335</x:v>
      </x:c>
      <x:c r="H6983" s="16" t="str">
        <x:v>Excluded</x:v>
      </x:c>
      <x:c r="I6983" s="16" t="str">
        <x:v>Missing email</x:v>
      </x:c>
    </x:row>
    <x:row r="6984">
      <x:c r="A6984" s="16" t="n">
        <x:v>6981</x:v>
      </x:c>
      <x:c r="B6984" s="16" t="str">
        <x:v>Wan Adam</x:v>
      </x:c>
      <x:c r="C6984" s="16" t="str"/>
      <x:c r="D6984" s="16" t="str"/>
      <x:c r="E6984" s="16" t="str">
        <x:v>* myContacts</x:v>
      </x:c>
      <x:c r="F6984" s="16" t="str">
        <x:v>+60192684299</x:v>
      </x:c>
      <x:c r="G6984" s="16" t="str">
        <x:v>+60192684299</x:v>
      </x:c>
      <x:c r="H6984" s="16" t="str">
        <x:v>Excluded</x:v>
      </x:c>
      <x:c r="I6984" s="16" t="str">
        <x:v>Missing email</x:v>
      </x:c>
    </x:row>
    <x:row r="6985">
      <x:c r="A6985" s="16" t="n">
        <x:v>6982</x:v>
      </x:c>
      <x:c r="B6985" s="16" t="str">
        <x:v>Wan Adib Yusof Islam</x:v>
      </x:c>
      <x:c r="C6985" s="16" t="str"/>
      <x:c r="D6985" s="16" t="str"/>
      <x:c r="E6985" s="16" t="str">
        <x:v>* myContacts</x:v>
      </x:c>
      <x:c r="F6985" s="16" t="str">
        <x:v>+60194705462</x:v>
      </x:c>
      <x:c r="G6985" s="16" t="str">
        <x:v>+60194705462</x:v>
      </x:c>
      <x:c r="H6985" s="16" t="str">
        <x:v>Excluded</x:v>
      </x:c>
      <x:c r="I6985" s="16" t="str">
        <x:v>Missing email</x:v>
      </x:c>
    </x:row>
    <x:row r="6986">
      <x:c r="A6986" s="16" t="n">
        <x:v>6983</x:v>
      </x:c>
      <x:c r="B6986" s="16" t="str">
        <x:v>wan afifah politeknik behrang</x:v>
      </x:c>
      <x:c r="C6986" s="16" t="str"/>
      <x:c r="D6986" s="16" t="str"/>
      <x:c r="E6986" s="16" t="str">
        <x:v>* myContacts</x:v>
      </x:c>
      <x:c r="F6986" s="16" t="str">
        <x:v>+60 13-933 8545 | +60139338545</x:v>
      </x:c>
      <x:c r="G6986" s="16" t="str">
        <x:v>+60139338545 | +60139338545</x:v>
      </x:c>
      <x:c r="H6986" s="16" t="str">
        <x:v>Excluded</x:v>
      </x:c>
      <x:c r="I6986" s="16" t="str">
        <x:v>Missing email</x:v>
      </x:c>
    </x:row>
    <x:row r="6987">
      <x:c r="A6987" s="16" t="n">
        <x:v>6984</x:v>
      </x:c>
      <x:c r="B6987" s="16" t="str">
        <x:v>Wan Aishah AGP</x:v>
      </x:c>
      <x:c r="C6987" s="16" t="str"/>
      <x:c r="D6987" s="16" t="str"/>
      <x:c r="E6987" s="16" t="str">
        <x:v>* myContacts</x:v>
      </x:c>
      <x:c r="F6987" s="16" t="str">
        <x:v>+60 19-981 3630 | +60199813630</x:v>
      </x:c>
      <x:c r="G6987" s="16" t="str">
        <x:v>+60199813630 | +60199813630</x:v>
      </x:c>
      <x:c r="H6987" s="16" t="str">
        <x:v>Excluded</x:v>
      </x:c>
      <x:c r="I6987" s="16" t="str">
        <x:v>Missing email</x:v>
      </x:c>
    </x:row>
    <x:row r="6988">
      <x:c r="A6988" s="16" t="n">
        <x:v>6985</x:v>
      </x:c>
      <x:c r="B6988" s="16" t="str">
        <x:v>wan boss ultra</x:v>
      </x:c>
      <x:c r="C6988" s="16" t="str"/>
      <x:c r="D6988" s="16" t="str"/>
      <x:c r="E6988" s="16" t="str">
        <x:v>* myContacts</x:v>
      </x:c>
      <x:c r="F6988" s="16" t="str">
        <x:v>019-288 9482 | +60192889482</x:v>
      </x:c>
      <x:c r="G6988" s="16" t="str">
        <x:v>+60192889482 | +60192889482</x:v>
      </x:c>
      <x:c r="H6988" s="16" t="str">
        <x:v>Excluded</x:v>
      </x:c>
      <x:c r="I6988" s="16" t="str">
        <x:v>Missing email</x:v>
      </x:c>
    </x:row>
    <x:row r="6989">
      <x:c r="A6989" s="16" t="n">
        <x:v>6986</x:v>
      </x:c>
      <x:c r="B6989" s="16" t="str">
        <x:v>Wan Ceramic Coating</x:v>
      </x:c>
      <x:c r="C6989" s="16" t="str"/>
      <x:c r="D6989" s="16" t="str"/>
      <x:c r="E6989" s="16" t="str">
        <x:v>* myContacts</x:v>
      </x:c>
      <x:c r="F6989" s="16" t="str">
        <x:v>+60 17-798 4636 | +60177984636</x:v>
      </x:c>
      <x:c r="G6989" s="16" t="str">
        <x:v>+60177984636 | +60177984636</x:v>
      </x:c>
      <x:c r="H6989" s="16" t="str">
        <x:v>Excluded</x:v>
      </x:c>
      <x:c r="I6989" s="16" t="str">
        <x:v>Missing email</x:v>
      </x:c>
    </x:row>
    <x:row r="6990">
      <x:c r="A6990" s="16" t="n">
        <x:v>6987</x:v>
      </x:c>
      <x:c r="B6990" s="16" t="str">
        <x:v>Wan Chai</x:v>
      </x:c>
      <x:c r="C6990" s="16" t="str"/>
      <x:c r="D6990" s="16" t="str"/>
      <x:c r="E6990" s="16" t="str">
        <x:v>* myContacts</x:v>
      </x:c>
      <x:c r="F6990" s="16" t="str">
        <x:v>+60139838269</x:v>
      </x:c>
      <x:c r="G6990" s="16" t="str">
        <x:v>+60139838269</x:v>
      </x:c>
      <x:c r="H6990" s="16" t="str">
        <x:v>Excluded</x:v>
      </x:c>
      <x:c r="I6990" s="16" t="str">
        <x:v>Missing email</x:v>
      </x:c>
    </x:row>
    <x:row r="6991">
      <x:c r="A6991" s="16" t="n">
        <x:v>6988</x:v>
      </x:c>
      <x:c r="B6991" s="16" t="str">
        <x:v>wan designer</x:v>
      </x:c>
      <x:c r="C6991" s="16" t="str"/>
      <x:c r="D6991" s="16" t="str"/>
      <x:c r="E6991" s="16" t="str">
        <x:v>* myContacts</x:v>
      </x:c>
      <x:c r="F6991" s="16" t="str">
        <x:v>0175351074 | +60175351074</x:v>
      </x:c>
      <x:c r="G6991" s="16" t="str">
        <x:v>+60175351074 | +60175351074</x:v>
      </x:c>
      <x:c r="H6991" s="16" t="str">
        <x:v>Excluded</x:v>
      </x:c>
      <x:c r="I6991" s="16" t="str">
        <x:v>Missing email</x:v>
      </x:c>
    </x:row>
    <x:row r="6992">
      <x:c r="A6992" s="16" t="n">
        <x:v>6989</x:v>
      </x:c>
      <x:c r="B6992" s="16" t="str">
        <x:v>Wan Faizah Ghapar</x:v>
      </x:c>
      <x:c r="C6992" s="16" t="str"/>
      <x:c r="D6992" s="16" t="str"/>
      <x:c r="E6992" s="16" t="str">
        <x:v>* myContacts</x:v>
      </x:c>
      <x:c r="F6992" s="16" t="str">
        <x:v>+60129808144</x:v>
      </x:c>
      <x:c r="G6992" s="16" t="str">
        <x:v>+60129808144</x:v>
      </x:c>
      <x:c r="H6992" s="16" t="str">
        <x:v>Excluded</x:v>
      </x:c>
      <x:c r="I6992" s="16" t="str">
        <x:v>Missing email</x:v>
      </x:c>
    </x:row>
    <x:row r="6993">
      <x:c r="A6993" s="16" t="n">
        <x:v>6990</x:v>
      </x:c>
      <x:c r="B6993" s="16" t="str">
        <x:v>Wan Faris Umi</x:v>
      </x:c>
      <x:c r="C6993" s="16" t="str"/>
      <x:c r="D6993" s="16" t="str"/>
      <x:c r="E6993" s="16" t="str">
        <x:v>* myContacts</x:v>
      </x:c>
      <x:c r="F6993" s="16" t="str">
        <x:v>+60136240542</x:v>
      </x:c>
      <x:c r="G6993" s="16" t="str">
        <x:v>+60136240542</x:v>
      </x:c>
      <x:c r="H6993" s="16" t="str">
        <x:v>Excluded</x:v>
      </x:c>
      <x:c r="I6993" s="16" t="str">
        <x:v>Missing email</x:v>
      </x:c>
    </x:row>
    <x:row r="6994">
      <x:c r="A6994" s="16" t="n">
        <x:v>6991</x:v>
      </x:c>
      <x:c r="B6994" s="16" t="str">
        <x:v>Wan Fatma IM</x:v>
      </x:c>
      <x:c r="C6994" s="16" t="str"/>
      <x:c r="D6994" s="16" t="str"/>
      <x:c r="E6994" s="16" t="str">
        <x:v>* myContacts</x:v>
      </x:c>
      <x:c r="F6994" s="16" t="str">
        <x:v>+60192112178</x:v>
      </x:c>
      <x:c r="G6994" s="16" t="str">
        <x:v>+60192112178</x:v>
      </x:c>
      <x:c r="H6994" s="16" t="str">
        <x:v>Excluded</x:v>
      </x:c>
      <x:c r="I6994" s="16" t="str">
        <x:v>Missing email</x:v>
      </x:c>
    </x:row>
    <x:row r="6995">
      <x:c r="A6995" s="16" t="n">
        <x:v>6992</x:v>
      </x:c>
      <x:c r="B6995" s="16" t="str">
        <x:v>Wan Fikr</x:v>
      </x:c>
      <x:c r="C6995" s="16" t="str"/>
      <x:c r="D6995" s="16" t="str"/>
      <x:c r="E6995" s="16" t="str">
        <x:v>* myContacts</x:v>
      </x:c>
      <x:c r="F6995" s="16" t="str">
        <x:v>01110672696 | +601110672696</x:v>
      </x:c>
      <x:c r="G6995" s="16" t="str">
        <x:v>+601110672696 | +601110672696</x:v>
      </x:c>
      <x:c r="H6995" s="16" t="str">
        <x:v>Excluded</x:v>
      </x:c>
      <x:c r="I6995" s="16" t="str">
        <x:v>Missing email</x:v>
      </x:c>
    </x:row>
    <x:row r="6996">
      <x:c r="A6996" s="16" t="n">
        <x:v>6993</x:v>
      </x:c>
      <x:c r="B6996" s="16" t="str">
        <x:v>Wan Fitness Coach</x:v>
      </x:c>
      <x:c r="C6996" s="16" t="str"/>
      <x:c r="D6996" s="16" t="str"/>
      <x:c r="E6996" s="16" t="str">
        <x:v>Trainer | * myContacts</x:v>
      </x:c>
      <x:c r="F6996" s="16" t="str">
        <x:v>+60 16-664 2911 | +60166642911</x:v>
      </x:c>
      <x:c r="G6996" s="16" t="str">
        <x:v>+60166642911 | +60166642911</x:v>
      </x:c>
      <x:c r="H6996" s="16" t="str">
        <x:v>Excluded</x:v>
      </x:c>
      <x:c r="I6996" s="16" t="str">
        <x:v>Missing email</x:v>
      </x:c>
    </x:row>
    <x:row r="6997">
      <x:c r="A6997" s="16" t="n">
        <x:v>6994</x:v>
      </x:c>
      <x:c r="B6997" s="16" t="str">
        <x:v>Wan Hafiz Wan Samsudin</x:v>
      </x:c>
      <x:c r="C6997" s="16" t="str"/>
      <x:c r="D6997" s="16" t="str"/>
      <x:c r="E6997" s="16" t="str">
        <x:v>* myContacts</x:v>
      </x:c>
      <x:c r="F6997" s="16" t="str">
        <x:v>+60134677600</x:v>
      </x:c>
      <x:c r="G6997" s="16" t="str">
        <x:v>+60134677600</x:v>
      </x:c>
      <x:c r="H6997" s="16" t="str">
        <x:v>Excluded</x:v>
      </x:c>
      <x:c r="I6997" s="16" t="str">
        <x:v>Missing email</x:v>
      </x:c>
    </x:row>
    <x:row r="6998">
      <x:c r="A6998" s="16" t="n">
        <x:v>6995</x:v>
      </x:c>
      <x:c r="B6998" s="16" t="str">
        <x:v>Wan Hanee Agent Essens</x:v>
      </x:c>
      <x:c r="C6998" s="16" t="str"/>
      <x:c r="D6998" s="16" t="str"/>
      <x:c r="E6998" s="16" t="str">
        <x:v>* myContacts</x:v>
      </x:c>
      <x:c r="F6998" s="16" t="str">
        <x:v>+60 16-442 0557 | +60164420557</x:v>
      </x:c>
      <x:c r="G6998" s="16" t="str">
        <x:v>+60164420557 | +60164420557</x:v>
      </x:c>
      <x:c r="H6998" s="16" t="str">
        <x:v>Excluded</x:v>
      </x:c>
      <x:c r="I6998" s="16" t="str">
        <x:v>Missing email</x:v>
      </x:c>
    </x:row>
    <x:row r="6999">
      <x:c r="A6999" s="16" t="n">
        <x:v>6996</x:v>
      </x:c>
      <x:c r="B6999" s="16" t="str">
        <x:v>Wan Hasbullah Mobile Apps Designer Harga rm4500 ajer</x:v>
      </x:c>
      <x:c r="C6999" s="16" t="str"/>
      <x:c r="D6999" s="16" t="str"/>
      <x:c r="E6999" s="16" t="str">
        <x:v>* myContacts</x:v>
      </x:c>
      <x:c r="F6999" s="16" t="str">
        <x:v>+60 12-953 2348 | +60129532348</x:v>
      </x:c>
      <x:c r="G6999" s="16" t="str">
        <x:v>+60129532348 | +60129532348</x:v>
      </x:c>
      <x:c r="H6999" s="16" t="str">
        <x:v>Excluded</x:v>
      </x:c>
      <x:c r="I6999" s="16" t="str">
        <x:v>Missing email</x:v>
      </x:c>
    </x:row>
    <x:row r="7000">
      <x:c r="A7000" s="16" t="n">
        <x:v>6997</x:v>
      </x:c>
      <x:c r="B7000" s="16" t="str">
        <x:v>Wan Ima</x:v>
      </x:c>
      <x:c r="C7000" s="16" t="str"/>
      <x:c r="D7000" s="16" t="str"/>
      <x:c r="E7000" s="16" t="str">
        <x:v>* myContacts</x:v>
      </x:c>
      <x:c r="F7000" s="16" t="str">
        <x:v>+60147251410</x:v>
      </x:c>
      <x:c r="G7000" s="16" t="str">
        <x:v>+60147251410</x:v>
      </x:c>
      <x:c r="H7000" s="16" t="str">
        <x:v>Excluded</x:v>
      </x:c>
      <x:c r="I7000" s="16" t="str">
        <x:v>Missing email</x:v>
      </x:c>
    </x:row>
    <x:row r="7001">
      <x:c r="A7001" s="16" t="n">
        <x:v>6998</x:v>
      </x:c>
      <x:c r="B7001" s="16" t="str">
        <x:v>Wan Izwan Is</x:v>
      </x:c>
      <x:c r="C7001" s="16" t="str"/>
      <x:c r="D7001" s="16" t="str"/>
      <x:c r="E7001" s="16" t="str">
        <x:v>* myContacts</x:v>
      </x:c>
      <x:c r="F7001" s="16" t="str">
        <x:v>+601135356833</x:v>
      </x:c>
      <x:c r="G7001" s="16" t="str">
        <x:v>+601135356833</x:v>
      </x:c>
      <x:c r="H7001" s="16" t="str">
        <x:v>Excluded</x:v>
      </x:c>
      <x:c r="I7001" s="16" t="str">
        <x:v>Missing email</x:v>
      </x:c>
    </x:row>
    <x:row r="7002">
      <x:c r="A7002" s="16" t="n">
        <x:v>6999</x:v>
      </x:c>
      <x:c r="B7002" s="16" t="str">
        <x:v>Wan Jetski</x:v>
      </x:c>
      <x:c r="C7002" s="16" t="str"/>
      <x:c r="D7002" s="16" t="str"/>
      <x:c r="E7002" s="16" t="str">
        <x:v>* myContacts</x:v>
      </x:c>
      <x:c r="F7002" s="16" t="str">
        <x:v>0193328050 | +60193328050</x:v>
      </x:c>
      <x:c r="G7002" s="16" t="str">
        <x:v>+60193328050 | +60193328050</x:v>
      </x:c>
      <x:c r="H7002" s="16" t="str">
        <x:v>Excluded</x:v>
      </x:c>
      <x:c r="I7002" s="16" t="str">
        <x:v>Missing email</x:v>
      </x:c>
    </x:row>
    <x:row r="7003">
      <x:c r="A7003" s="16" t="n">
        <x:v>7000</x:v>
      </x:c>
      <x:c r="B7003" s="16" t="str">
        <x:v>Wan Kecik Pmd</x:v>
      </x:c>
      <x:c r="C7003" s="16" t="str"/>
      <x:c r="D7003" s="16" t="str"/>
      <x:c r="E7003" s="16" t="str">
        <x:v>* myContacts</x:v>
      </x:c>
      <x:c r="F7003" s="16" t="str">
        <x:v>+60 12-601 7100 | +60126017100</x:v>
      </x:c>
      <x:c r="G7003" s="16" t="str">
        <x:v>+60126017100 | +60126017100</x:v>
      </x:c>
      <x:c r="H7003" s="16" t="str">
        <x:v>Excluded</x:v>
      </x:c>
      <x:c r="I7003" s="16" t="str">
        <x:v>Missing email</x:v>
      </x:c>
    </x:row>
    <x:row r="7004">
      <x:c r="A7004" s="16" t="n">
        <x:v>7001</x:v>
      </x:c>
      <x:c r="B7004" s="16" t="str">
        <x:v>Wan Khairunnisa Wan Daud</x:v>
      </x:c>
      <x:c r="C7004" s="16" t="str"/>
      <x:c r="D7004" s="16" t="str"/>
      <x:c r="E7004" s="16" t="str">
        <x:v>* myContacts</x:v>
      </x:c>
      <x:c r="F7004" s="16" t="str">
        <x:v>+60102166146</x:v>
      </x:c>
      <x:c r="G7004" s="16" t="str">
        <x:v>+60102166146</x:v>
      </x:c>
      <x:c r="H7004" s="16" t="str">
        <x:v>Excluded</x:v>
      </x:c>
      <x:c r="I7004" s="16" t="str">
        <x:v>Missing email</x:v>
      </x:c>
    </x:row>
    <x:row r="7005">
      <x:c r="A7005" s="16" t="n">
        <x:v>7002</x:v>
      </x:c>
      <x:c r="B7005" s="16" t="str">
        <x:v>Wan Ku Sayang</x:v>
      </x:c>
      <x:c r="C7005" s="16" t="str"/>
      <x:c r="D7005" s="16" t="str"/>
      <x:c r="E7005" s="16" t="str">
        <x:v>* myContacts</x:v>
      </x:c>
      <x:c r="F7005" s="16" t="str">
        <x:v>+601112867899 | +601112867899 | +601112867899 | +601112867899</x:v>
      </x:c>
      <x:c r="G7005" s="16" t="str">
        <x:v>+601112867899 | +601112867899 | +601112867899 | +601112867899</x:v>
      </x:c>
      <x:c r="H7005" s="16" t="str">
        <x:v>Excluded</x:v>
      </x:c>
      <x:c r="I7005" s="16" t="str">
        <x:v>Missing email</x:v>
      </x:c>
    </x:row>
    <x:row r="7006">
      <x:c r="A7006" s="16" t="n">
        <x:v>7003</x:v>
      </x:c>
      <x:c r="B7006" s="16" t="str">
        <x:v>Wan maisarah usahawan penjana kuantan</x:v>
      </x:c>
      <x:c r="C7006" s="16" t="str"/>
      <x:c r="D7006" s="16" t="str"/>
      <x:c r="E7006" s="16" t="str">
        <x:v>* myContacts</x:v>
      </x:c>
      <x:c r="F7006" s="16" t="str">
        <x:v>+60 17-904 5119 | +60179045119</x:v>
      </x:c>
      <x:c r="G7006" s="16" t="str">
        <x:v>+60179045119 | +60179045119</x:v>
      </x:c>
      <x:c r="H7006" s="16" t="str">
        <x:v>Excluded</x:v>
      </x:c>
      <x:c r="I7006" s="16" t="str">
        <x:v>Missing email</x:v>
      </x:c>
    </x:row>
    <x:row r="7007">
      <x:c r="A7007" s="16" t="n">
        <x:v>7004</x:v>
      </x:c>
      <x:c r="B7007" s="16" t="str">
        <x:v>Wan Man</x:v>
      </x:c>
      <x:c r="C7007" s="16" t="str"/>
      <x:c r="D7007" s="16" t="str"/>
      <x:c r="E7007" s="16" t="str">
        <x:v>* myContacts</x:v>
      </x:c>
      <x:c r="F7007" s="16" t="str">
        <x:v>+60107101170</x:v>
      </x:c>
      <x:c r="G7007" s="16" t="str">
        <x:v>+60107101170</x:v>
      </x:c>
      <x:c r="H7007" s="16" t="str">
        <x:v>Excluded</x:v>
      </x:c>
      <x:c r="I7007" s="16" t="str">
        <x:v>Missing email</x:v>
      </x:c>
    </x:row>
    <x:row r="7008">
      <x:c r="A7008" s="16" t="n">
        <x:v>7005</x:v>
      </x:c>
      <x:c r="B7008" s="16" t="str">
        <x:v>Wan Mdec</x:v>
      </x:c>
      <x:c r="C7008" s="16" t="str"/>
      <x:c r="D7008" s="16" t="str"/>
      <x:c r="E7008" s="16" t="str">
        <x:v>* myContacts</x:v>
      </x:c>
      <x:c r="F7008" s="16" t="str">
        <x:v>0102208137 | +60102208137</x:v>
      </x:c>
      <x:c r="G7008" s="16" t="str">
        <x:v>+60102208137 | +60102208137</x:v>
      </x:c>
      <x:c r="H7008" s="16" t="str">
        <x:v>Excluded</x:v>
      </x:c>
      <x:c r="I7008" s="16" t="str">
        <x:v>Missing email</x:v>
      </x:c>
    </x:row>
    <x:row r="7009">
      <x:c r="A7009" s="16" t="n">
        <x:v>7006</x:v>
      </x:c>
      <x:c r="B7009" s="16" t="str">
        <x:v>Wan Milah</x:v>
      </x:c>
      <x:c r="C7009" s="16" t="str"/>
      <x:c r="D7009" s="16" t="str"/>
      <x:c r="E7009" s="16" t="str">
        <x:v>* myContacts</x:v>
      </x:c>
      <x:c r="F7009" s="16" t="str">
        <x:v>+601131278680</x:v>
      </x:c>
      <x:c r="G7009" s="16" t="str">
        <x:v>+601131278680</x:v>
      </x:c>
      <x:c r="H7009" s="16" t="str">
        <x:v>Excluded</x:v>
      </x:c>
      <x:c r="I7009" s="16" t="str">
        <x:v>Missing email</x:v>
      </x:c>
    </x:row>
    <x:row r="7010">
      <x:c r="A7010" s="16" t="n">
        <x:v>7007</x:v>
      </x:c>
      <x:c r="B7010" s="16" t="str">
        <x:v>Wan Mohammad</x:v>
      </x:c>
      <x:c r="C7010" s="16" t="str"/>
      <x:c r="D7010" s="16" t="str"/>
      <x:c r="E7010" s="16" t="str">
        <x:v>* myContacts</x:v>
      </x:c>
      <x:c r="F7010" s="16" t="str">
        <x:v>+60173740451</x:v>
      </x:c>
      <x:c r="G7010" s="16" t="str">
        <x:v>+60173740451</x:v>
      </x:c>
      <x:c r="H7010" s="16" t="str">
        <x:v>Excluded</x:v>
      </x:c>
      <x:c r="I7010" s="16" t="str">
        <x:v>Missing email</x:v>
      </x:c>
    </x:row>
    <x:row r="7011">
      <x:c r="A7011" s="16" t="n">
        <x:v>7008</x:v>
      </x:c>
      <x:c r="B7011" s="16" t="str">
        <x:v>Wan Mohd Izz Izzan</x:v>
      </x:c>
      <x:c r="C7011" s="16" t="str"/>
      <x:c r="D7011" s="16" t="str"/>
      <x:c r="E7011" s="16" t="str">
        <x:v>* myContacts</x:v>
      </x:c>
      <x:c r="F7011" s="16" t="str">
        <x:v>+60165766704</x:v>
      </x:c>
      <x:c r="G7011" s="16" t="str">
        <x:v>+60165766704</x:v>
      </x:c>
      <x:c r="H7011" s="16" t="str">
        <x:v>Excluded</x:v>
      </x:c>
      <x:c r="I7011" s="16" t="str">
        <x:v>Missing email</x:v>
      </x:c>
    </x:row>
    <x:row r="7012">
      <x:c r="A7012" s="16" t="n">
        <x:v>7009</x:v>
      </x:c>
      <x:c r="B7012" s="16" t="str">
        <x:v>Wan Mohd Nazwandy Othman Student</x:v>
      </x:c>
      <x:c r="C7012" s="16" t="str"/>
      <x:c r="D7012" s="16" t="str"/>
      <x:c r="E7012" s="16" t="str">
        <x:v>* myContacts</x:v>
      </x:c>
      <x:c r="F7012" s="16" t="str">
        <x:v>60134435281 | +60134435281</x:v>
      </x:c>
      <x:c r="G7012" s="16" t="str">
        <x:v>+60134435281 | +60134435281</x:v>
      </x:c>
      <x:c r="H7012" s="16" t="str">
        <x:v>Excluded</x:v>
      </x:c>
      <x:c r="I7012" s="16" t="str">
        <x:v>Missing email</x:v>
      </x:c>
    </x:row>
    <x:row r="7013">
      <x:c r="A7013" s="16" t="n">
        <x:v>7010</x:v>
      </x:c>
      <x:c r="B7013" s="16" t="str">
        <x:v>Wan Mohd Zulkifli</x:v>
      </x:c>
      <x:c r="C7013" s="16" t="str"/>
      <x:c r="D7013" s="16" t="str"/>
      <x:c r="E7013" s="16" t="str">
        <x:v>* myContacts</x:v>
      </x:c>
      <x:c r="F7013" s="16" t="str">
        <x:v>01135572623 | +601135572623</x:v>
      </x:c>
      <x:c r="G7013" s="16" t="str">
        <x:v>+601135572623 | +601135572623</x:v>
      </x:c>
      <x:c r="H7013" s="16" t="str">
        <x:v>Excluded</x:v>
      </x:c>
      <x:c r="I7013" s="16" t="str">
        <x:v>Missing email</x:v>
      </x:c>
    </x:row>
    <x:row r="7014">
      <x:c r="A7014" s="16" t="n">
        <x:v>7011</x:v>
      </x:c>
      <x:c r="B7014" s="16" t="str">
        <x:v>Wan Mus IM</x:v>
      </x:c>
      <x:c r="C7014" s="16" t="str"/>
      <x:c r="D7014" s="16" t="str"/>
      <x:c r="E7014" s="16" t="str">
        <x:v>* myContacts</x:v>
      </x:c>
      <x:c r="F7014" s="16" t="str">
        <x:v>+60 19-986 9556 | +60199869556</x:v>
      </x:c>
      <x:c r="G7014" s="16" t="str">
        <x:v>+60199869556 | +60199869556</x:v>
      </x:c>
      <x:c r="H7014" s="16" t="str">
        <x:v>Excluded</x:v>
      </x:c>
      <x:c r="I7014" s="16" t="str">
        <x:v>Missing email</x:v>
      </x:c>
    </x:row>
    <x:row r="7015">
      <x:c r="A7015" s="16" t="n">
        <x:v>7012</x:v>
      </x:c>
      <x:c r="B7015" s="16" t="str">
        <x:v>Wan Najib Mdec</x:v>
      </x:c>
      <x:c r="C7015" s="16" t="str"/>
      <x:c r="D7015" s="16" t="str"/>
      <x:c r="E7015" s="16" t="str">
        <x:v>* myContacts</x:v>
      </x:c>
      <x:c r="F7015" s="16" t="str">
        <x:v>+60 13-874 8677 | +60138748677</x:v>
      </x:c>
      <x:c r="G7015" s="16" t="str">
        <x:v>+60138748677 | +60138748677</x:v>
      </x:c>
      <x:c r="H7015" s="16" t="str">
        <x:v>Excluded</x:v>
      </x:c>
      <x:c r="I7015" s="16" t="str">
        <x:v>Missing email</x:v>
      </x:c>
    </x:row>
    <x:row r="7016">
      <x:c r="A7016" s="16" t="n">
        <x:v>7013</x:v>
      </x:c>
      <x:c r="B7016" s="16" t="str">
        <x:v>Wan Nor Asiah</x:v>
      </x:c>
      <x:c r="C7016" s="16" t="str"/>
      <x:c r="D7016" s="16" t="str"/>
      <x:c r="E7016" s="16" t="str">
        <x:v>* myContacts</x:v>
      </x:c>
      <x:c r="F7016" s="16" t="str">
        <x:v>+60199298204</x:v>
      </x:c>
      <x:c r="G7016" s="16" t="str">
        <x:v>+60199298204</x:v>
      </x:c>
      <x:c r="H7016" s="16" t="str">
        <x:v>Excluded</x:v>
      </x:c>
      <x:c r="I7016" s="16" t="str">
        <x:v>Missing email</x:v>
      </x:c>
    </x:row>
    <x:row r="7017">
      <x:c r="A7017" s="16" t="n">
        <x:v>7014</x:v>
      </x:c>
      <x:c r="B7017" s="16" t="str">
        <x:v>Wan Norafiqah</x:v>
      </x:c>
      <x:c r="C7017" s="16" t="str"/>
      <x:c r="D7017" s="16" t="str"/>
      <x:c r="E7017" s="16" t="str">
        <x:v>* myContacts</x:v>
      </x:c>
      <x:c r="F7017" s="16" t="str">
        <x:v>+60109000000</x:v>
      </x:c>
      <x:c r="G7017" s="16" t="str">
        <x:v>+60109000000</x:v>
      </x:c>
      <x:c r="H7017" s="16" t="str">
        <x:v>Excluded</x:v>
      </x:c>
      <x:c r="I7017" s="16" t="str">
        <x:v>Missing email</x:v>
      </x:c>
    </x:row>
    <x:row r="7018">
      <x:c r="A7018" s="16" t="n">
        <x:v>7015</x:v>
      </x:c>
      <x:c r="B7018" s="16" t="str">
        <x:v>Wan Nur Shazleen Aida</x:v>
      </x:c>
      <x:c r="C7018" s="16" t="str"/>
      <x:c r="D7018" s="16" t="str"/>
      <x:c r="E7018" s="16" t="str">
        <x:v>* myContacts</x:v>
      </x:c>
      <x:c r="F7018" s="16" t="str">
        <x:v>+601117802847</x:v>
      </x:c>
      <x:c r="G7018" s="16" t="str">
        <x:v>+601117802847</x:v>
      </x:c>
      <x:c r="H7018" s="16" t="str">
        <x:v>Excluded</x:v>
      </x:c>
      <x:c r="I7018" s="16" t="str">
        <x:v>Missing email</x:v>
      </x:c>
    </x:row>
    <x:row r="7019">
      <x:c r="A7019" s="16" t="n">
        <x:v>7016</x:v>
      </x:c>
      <x:c r="B7019" s="16" t="str">
        <x:v>Wan Nurul Afiqah</x:v>
      </x:c>
      <x:c r="C7019" s="16" t="str"/>
      <x:c r="D7019" s="16" t="str"/>
      <x:c r="E7019" s="16" t="str">
        <x:v>* myContacts</x:v>
      </x:c>
      <x:c r="F7019" s="16" t="str">
        <x:v>+60127104269</x:v>
      </x:c>
      <x:c r="G7019" s="16" t="str">
        <x:v>+60127104269</x:v>
      </x:c>
      <x:c r="H7019" s="16" t="str">
        <x:v>Excluded</x:v>
      </x:c>
      <x:c r="I7019" s="16" t="str">
        <x:v>Missing email</x:v>
      </x:c>
    </x:row>
    <x:row r="7020">
      <x:c r="A7020" s="16" t="n">
        <x:v>7017</x:v>
      </x:c>
      <x:c r="B7020" s="16" t="str">
        <x:v>Wan Rohani</x:v>
      </x:c>
      <x:c r="C7020" s="16" t="str"/>
      <x:c r="D7020" s="16" t="str"/>
      <x:c r="E7020" s="16" t="str">
        <x:v>* myContacts</x:v>
      </x:c>
      <x:c r="F7020" s="16" t="str">
        <x:v>+60148434060</x:v>
      </x:c>
      <x:c r="G7020" s="16" t="str">
        <x:v>+60148434060</x:v>
      </x:c>
      <x:c r="H7020" s="16" t="str">
        <x:v>Excluded</x:v>
      </x:c>
      <x:c r="I7020" s="16" t="str">
        <x:v>Missing email</x:v>
      </x:c>
    </x:row>
    <x:row r="7021">
      <x:c r="A7021" s="16" t="n">
        <x:v>7018</x:v>
      </x:c>
      <x:c r="B7021" s="16" t="str">
        <x:v>Wan Rohayani Wan Mansor</x:v>
      </x:c>
      <x:c r="C7021" s="16" t="str"/>
      <x:c r="D7021" s="16" t="str"/>
      <x:c r="E7021" s="16" t="str">
        <x:v>* myContacts</x:v>
      </x:c>
      <x:c r="F7021" s="16" t="str">
        <x:v>+60195981389</x:v>
      </x:c>
      <x:c r="G7021" s="16" t="str">
        <x:v>+60195981389</x:v>
      </x:c>
      <x:c r="H7021" s="16" t="str">
        <x:v>Excluded</x:v>
      </x:c>
      <x:c r="I7021" s="16" t="str">
        <x:v>Missing email</x:v>
      </x:c>
    </x:row>
    <x:row r="7022">
      <x:c r="A7022" s="16" t="n">
        <x:v>7019</x:v>
      </x:c>
      <x:c r="B7022" s="16" t="str">
        <x:v>Wan Rosli AGP</x:v>
      </x:c>
      <x:c r="C7022" s="16" t="str"/>
      <x:c r="D7022" s="16" t="str"/>
      <x:c r="E7022" s="16" t="str">
        <x:v>* myContacts</x:v>
      </x:c>
      <x:c r="F7022" s="16" t="str">
        <x:v>+60164181506</x:v>
      </x:c>
      <x:c r="G7022" s="16" t="str">
        <x:v>+60164181506</x:v>
      </x:c>
      <x:c r="H7022" s="16" t="str">
        <x:v>Excluded</x:v>
      </x:c>
      <x:c r="I7022" s="16" t="str">
        <x:v>Missing email</x:v>
      </x:c>
    </x:row>
    <x:row r="7023">
      <x:c r="A7023" s="16" t="n">
        <x:v>7020</x:v>
      </x:c>
      <x:c r="B7023" s="16" t="str">
        <x:v>Wan Shabariah Saliny</x:v>
      </x:c>
      <x:c r="C7023" s="16" t="str"/>
      <x:c r="D7023" s="16" t="str"/>
      <x:c r="E7023" s="16" t="str">
        <x:v>* myContacts</x:v>
      </x:c>
      <x:c r="F7023" s="16" t="str">
        <x:v>+60107914328</x:v>
      </x:c>
      <x:c r="G7023" s="16" t="str">
        <x:v>+60107914328</x:v>
      </x:c>
      <x:c r="H7023" s="16" t="str">
        <x:v>Excluded</x:v>
      </x:c>
      <x:c r="I7023" s="16" t="str">
        <x:v>Missing email</x:v>
      </x:c>
    </x:row>
    <x:row r="7024">
      <x:c r="A7024" s="16" t="n">
        <x:v>7021</x:v>
      </x:c>
      <x:c r="B7024" s="16" t="str">
        <x:v>Wan Sport</x:v>
      </x:c>
      <x:c r="C7024" s="16" t="str"/>
      <x:c r="D7024" s="16" t="str"/>
      <x:c r="E7024" s="16" t="str">
        <x:v>* myContacts</x:v>
      </x:c>
      <x:c r="F7024" s="16" t="str">
        <x:v>+60133361669</x:v>
      </x:c>
      <x:c r="G7024" s="16" t="str">
        <x:v>+60133361669</x:v>
      </x:c>
      <x:c r="H7024" s="16" t="str">
        <x:v>Excluded</x:v>
      </x:c>
      <x:c r="I7024" s="16" t="str">
        <x:v>Missing email</x:v>
      </x:c>
    </x:row>
    <x:row r="7025">
      <x:c r="A7025" s="16" t="n">
        <x:v>7022</x:v>
      </x:c>
      <x:c r="B7025" s="16" t="str">
        <x:v>Wan Student Fb Ads</x:v>
      </x:c>
      <x:c r="C7025" s="16" t="str"/>
      <x:c r="D7025" s="16" t="str"/>
      <x:c r="E7025" s="16" t="str">
        <x:v>* myContacts</x:v>
      </x:c>
      <x:c r="F7025" s="16" t="str">
        <x:v>+60 13-443 5251 | +60134435251</x:v>
      </x:c>
      <x:c r="G7025" s="16" t="str">
        <x:v>+60134435251 | +60134435251</x:v>
      </x:c>
      <x:c r="H7025" s="16" t="str">
        <x:v>Excluded</x:v>
      </x:c>
      <x:c r="I7025" s="16" t="str">
        <x:v>Missing email</x:v>
      </x:c>
    </x:row>
    <x:row r="7026">
      <x:c r="A7026" s="16" t="n">
        <x:v>7023</x:v>
      </x:c>
      <x:c r="B7026" s="16" t="str">
        <x:v>Wan Tukang Cari Maid</x:v>
      </x:c>
      <x:c r="C7026" s="16" t="str"/>
      <x:c r="D7026" s="16" t="str"/>
      <x:c r="E7026" s="16" t="str">
        <x:v>* myContacts</x:v>
      </x:c>
      <x:c r="F7026" s="16" t="str">
        <x:v>0143646352 | +60143646352</x:v>
      </x:c>
      <x:c r="G7026" s="16" t="str">
        <x:v>+60143646352 | +60143646352</x:v>
      </x:c>
      <x:c r="H7026" s="16" t="str">
        <x:v>Excluded</x:v>
      </x:c>
      <x:c r="I7026" s="16" t="str">
        <x:v>Missing email</x:v>
      </x:c>
    </x:row>
    <x:row r="7027">
      <x:c r="A7027" s="16" t="n">
        <x:v>7024</x:v>
      </x:c>
      <x:c r="B7027" s="16" t="str">
        <x:v>Wan's Homestay i-City</x:v>
      </x:c>
      <x:c r="C7027" s="16" t="str"/>
      <x:c r="D7027" s="16" t="str"/>
      <x:c r="E7027" s="16" t="str">
        <x:v>* myContacts</x:v>
      </x:c>
      <x:c r="F7027" s="16" t="str">
        <x:v>+60 10-284 1014 | +60102841014</x:v>
      </x:c>
      <x:c r="G7027" s="16" t="str">
        <x:v>+60102841014 | +60102841014</x:v>
      </x:c>
      <x:c r="H7027" s="16" t="str">
        <x:v>Excluded</x:v>
      </x:c>
      <x:c r="I7027" s="16" t="str">
        <x:v>Missing email</x:v>
      </x:c>
    </x:row>
    <x:row r="7028">
      <x:c r="A7028" s="16" t="n">
        <x:v>7025</x:v>
      </x:c>
      <x:c r="B7028" s="16" t="str">
        <x:v>wanchu</x:v>
      </x:c>
      <x:c r="C7028" s="16" t="str"/>
      <x:c r="D7028" s="16" t="str"/>
      <x:c r="E7028" s="16" t="str">
        <x:v>* myContacts</x:v>
      </x:c>
      <x:c r="F7028" s="16" t="str">
        <x:v>+60 12-945 6365 | +60129456365</x:v>
      </x:c>
      <x:c r="G7028" s="16" t="str">
        <x:v>+60129456365 | +60129456365</x:v>
      </x:c>
      <x:c r="H7028" s="16" t="str">
        <x:v>Excluded</x:v>
      </x:c>
      <x:c r="I7028" s="16" t="str">
        <x:v>Missing email</x:v>
      </x:c>
    </x:row>
    <x:row r="7029">
      <x:c r="A7029" s="16" t="n">
        <x:v>7026</x:v>
      </x:c>
      <x:c r="B7029" s="16" t="str">
        <x:v>wanchu Mdec Trainer Team Leader</x:v>
      </x:c>
      <x:c r="C7029" s="16" t="str">
        <x:v>wanchu.pmo3@gmail.com</x:v>
      </x:c>
      <x:c r="D7029" s="16" t="str">
        <x:v>wanchu.pmo3@gmail.com</x:v>
      </x:c>
      <x:c r="E7029" s="16" t="str">
        <x:v>Trainer | * myContacts</x:v>
      </x:c>
      <x:c r="F7029" s="16" t="str">
        <x:v>0179246365 | +60179246365</x:v>
      </x:c>
      <x:c r="G7029" s="16" t="str">
        <x:v>+60179246365 | +60179246365</x:v>
      </x:c>
      <x:c r="H7029" s="16" t="str">
        <x:v>Eligible</x:v>
      </x:c>
      <x:c r="I7029" s="16" t="str"/>
    </x:row>
    <x:row r="7030">
      <x:c r="A7030" s="16" t="n">
        <x:v>7027</x:v>
      </x:c>
      <x:c r="B7030" s="16" t="str">
        <x:v>Wanda Wan Sulaiman</x:v>
      </x:c>
      <x:c r="C7030" s="16" t="str"/>
      <x:c r="D7030" s="16" t="str"/>
      <x:c r="E7030" s="16" t="str">
        <x:v>* myContacts</x:v>
      </x:c>
      <x:c r="F7030" s="16" t="str">
        <x:v>+60189085311</x:v>
      </x:c>
      <x:c r="G7030" s="16" t="str">
        <x:v>+60189085311</x:v>
      </x:c>
      <x:c r="H7030" s="16" t="str">
        <x:v>Excluded</x:v>
      </x:c>
      <x:c r="I7030" s="16" t="str">
        <x:v>Missing email</x:v>
      </x:c>
    </x:row>
    <x:row r="7031">
      <x:c r="A7031" s="16" t="n">
        <x:v>7028</x:v>
      </x:c>
      <x:c r="B7031" s="16" t="str">
        <x:v>Wani Rohani</x:v>
      </x:c>
      <x:c r="C7031" s="16" t="str"/>
      <x:c r="D7031" s="16" t="str"/>
      <x:c r="E7031" s="16" t="str">
        <x:v>* myContacts</x:v>
      </x:c>
      <x:c r="F7031" s="16" t="str">
        <x:v>+60176984344</x:v>
      </x:c>
      <x:c r="G7031" s="16" t="str">
        <x:v>+60176984344</x:v>
      </x:c>
      <x:c r="H7031" s="16" t="str">
        <x:v>Excluded</x:v>
      </x:c>
      <x:c r="I7031" s="16" t="str">
        <x:v>Missing email</x:v>
      </x:c>
    </x:row>
    <x:row r="7032">
      <x:c r="A7032" s="16" t="n">
        <x:v>7029</x:v>
      </x:c>
      <x:c r="B7032" s="16" t="str">
        <x:v>Wani Sari</x:v>
      </x:c>
      <x:c r="C7032" s="16" t="str"/>
      <x:c r="D7032" s="16" t="str"/>
      <x:c r="E7032" s="16" t="str">
        <x:v>* myContacts</x:v>
      </x:c>
      <x:c r="F7032" s="16" t="str">
        <x:v>+60195867755</x:v>
      </x:c>
      <x:c r="G7032" s="16" t="str">
        <x:v>+60195867755</x:v>
      </x:c>
      <x:c r="H7032" s="16" t="str">
        <x:v>Excluded</x:v>
      </x:c>
      <x:c r="I7032" s="16" t="str">
        <x:v>Missing email</x:v>
      </x:c>
    </x:row>
    <x:row r="7033">
      <x:c r="A7033" s="16" t="n">
        <x:v>7030</x:v>
      </x:c>
      <x:c r="B7033" s="16" t="str">
        <x:v>Wanida Wahid MK</x:v>
      </x:c>
      <x:c r="C7033" s="16" t="str"/>
      <x:c r="D7033" s="16" t="str"/>
      <x:c r="E7033" s="16" t="str">
        <x:v>* myContacts</x:v>
      </x:c>
      <x:c r="F7033" s="16" t="str">
        <x:v>+60164159497</x:v>
      </x:c>
      <x:c r="G7033" s="16" t="str">
        <x:v>+60164159497</x:v>
      </x:c>
      <x:c r="H7033" s="16" t="str">
        <x:v>Excluded</x:v>
      </x:c>
      <x:c r="I7033" s="16" t="str">
        <x:v>Missing email</x:v>
      </x:c>
    </x:row>
    <x:row r="7034">
      <x:c r="A7034" s="16" t="n">
        <x:v>7031</x:v>
      </x:c>
      <x:c r="B7034" s="16" t="str">
        <x:v>Wanie Nanie</x:v>
      </x:c>
      <x:c r="C7034" s="16" t="str"/>
      <x:c r="D7034" s="16" t="str"/>
      <x:c r="E7034" s="16" t="str">
        <x:v>* myContacts</x:v>
      </x:c>
      <x:c r="F7034" s="16" t="str">
        <x:v>+60132968135</x:v>
      </x:c>
      <x:c r="G7034" s="16" t="str">
        <x:v>+60132968135</x:v>
      </x:c>
      <x:c r="H7034" s="16" t="str">
        <x:v>Excluded</x:v>
      </x:c>
      <x:c r="I7034" s="16" t="str">
        <x:v>Missing email</x:v>
      </x:c>
    </x:row>
    <x:row r="7035">
      <x:c r="A7035" s="16" t="n">
        <x:v>7032</x:v>
      </x:c>
      <x:c r="B7035" s="16" t="str">
        <x:v>Wankk Pdboysworkshop</x:v>
      </x:c>
      <x:c r="C7035" s="16" t="str"/>
      <x:c r="D7035" s="16" t="str"/>
      <x:c r="E7035" s="16" t="str">
        <x:v>* myContacts</x:v>
      </x:c>
      <x:c r="F7035" s="16" t="str">
        <x:v>+60175597224</x:v>
      </x:c>
      <x:c r="G7035" s="16" t="str">
        <x:v>+60175597224</x:v>
      </x:c>
      <x:c r="H7035" s="16" t="str">
        <x:v>Excluded</x:v>
      </x:c>
      <x:c r="I7035" s="16" t="str">
        <x:v>Missing email</x:v>
      </x:c>
    </x:row>
    <x:row r="7036">
      <x:c r="A7036" s="16" t="n">
        <x:v>7033</x:v>
      </x:c>
      <x:c r="B7036" s="16" t="str">
        <x:v>Wanmaisarah Wanmaisarah</x:v>
      </x:c>
      <x:c r="C7036" s="16" t="str"/>
      <x:c r="D7036" s="16" t="str"/>
      <x:c r="E7036" s="16" t="str">
        <x:v>* myContacts</x:v>
      </x:c>
      <x:c r="F7036" s="16" t="str">
        <x:v>+601155351736</x:v>
      </x:c>
      <x:c r="G7036" s="16" t="str">
        <x:v>+601155351736</x:v>
      </x:c>
      <x:c r="H7036" s="16" t="str">
        <x:v>Excluded</x:v>
      </x:c>
      <x:c r="I7036" s="16" t="str">
        <x:v>Missing email</x:v>
      </x:c>
    </x:row>
    <x:row r="7037">
      <x:c r="A7037" s="16" t="n">
        <x:v>7034</x:v>
      </x:c>
      <x:c r="B7037" s="16" t="str">
        <x:v>Wann Hassan</x:v>
      </x:c>
      <x:c r="C7037" s="16" t="str"/>
      <x:c r="D7037" s="16" t="str"/>
      <x:c r="E7037" s="16" t="str">
        <x:v>* myContacts</x:v>
      </x:c>
      <x:c r="F7037" s="16" t="str">
        <x:v>+60135657050</x:v>
      </x:c>
      <x:c r="G7037" s="16" t="str">
        <x:v>+60135657050</x:v>
      </x:c>
      <x:c r="H7037" s="16" t="str">
        <x:v>Excluded</x:v>
      </x:c>
      <x:c r="I7037" s="16" t="str">
        <x:v>Missing email</x:v>
      </x:c>
    </x:row>
    <x:row r="7038">
      <x:c r="A7038" s="16" t="n">
        <x:v>7035</x:v>
      </x:c>
      <x:c r="B7038" s="16" t="str">
        <x:v>Wann Natuwrel Perlis</x:v>
      </x:c>
      <x:c r="C7038" s="16" t="str"/>
      <x:c r="D7038" s="16" t="str"/>
      <x:c r="E7038" s="16" t="str">
        <x:v>* myContacts</x:v>
      </x:c>
      <x:c r="F7038" s="16" t="str">
        <x:v>+60126143540</x:v>
      </x:c>
      <x:c r="G7038" s="16" t="str">
        <x:v>+60126143540</x:v>
      </x:c>
      <x:c r="H7038" s="16" t="str">
        <x:v>Excluded</x:v>
      </x:c>
      <x:c r="I7038" s="16" t="str">
        <x:v>Missing email</x:v>
      </x:c>
    </x:row>
    <x:row r="7039">
      <x:c r="A7039" s="16" t="n">
        <x:v>7036</x:v>
      </x:c>
      <x:c r="B7039" s="16" t="str">
        <x:v>Wany Rafi</x:v>
      </x:c>
      <x:c r="C7039" s="16" t="str"/>
      <x:c r="D7039" s="16" t="str"/>
      <x:c r="E7039" s="16" t="str">
        <x:v>* myContacts</x:v>
      </x:c>
      <x:c r="F7039" s="16" t="str">
        <x:v>+60182366339</x:v>
      </x:c>
      <x:c r="G7039" s="16" t="str">
        <x:v>+60182366339</x:v>
      </x:c>
      <x:c r="H7039" s="16" t="str">
        <x:v>Excluded</x:v>
      </x:c>
      <x:c r="I7039" s="16" t="str">
        <x:v>Missing email</x:v>
      </x:c>
    </x:row>
    <x:row r="7040">
      <x:c r="A7040" s="16" t="n">
        <x:v>7037</x:v>
      </x:c>
      <x:c r="B7040" s="16" t="str">
        <x:v>Waqas Azmi</x:v>
      </x:c>
      <x:c r="C7040" s="16" t="str"/>
      <x:c r="D7040" s="16" t="str"/>
      <x:c r="E7040" s="16" t="str">
        <x:v>* myContacts</x:v>
      </x:c>
      <x:c r="F7040" s="16" t="str">
        <x:v>+60146172907</x:v>
      </x:c>
      <x:c r="G7040" s="16" t="str">
        <x:v>+60146172907</x:v>
      </x:c>
      <x:c r="H7040" s="16" t="str">
        <x:v>Excluded</x:v>
      </x:c>
      <x:c r="I7040" s="16" t="str">
        <x:v>Missing email</x:v>
      </x:c>
    </x:row>
    <x:row r="7041">
      <x:c r="A7041" s="16" t="n">
        <x:v>7038</x:v>
      </x:c>
      <x:c r="B7041" s="16" t="str">
        <x:v>Warie IM</x:v>
      </x:c>
      <x:c r="C7041" s="16" t="str"/>
      <x:c r="D7041" s="16" t="str"/>
      <x:c r="E7041" s="16" t="str">
        <x:v>* myContacts</x:v>
      </x:c>
      <x:c r="F7041" s="16" t="str">
        <x:v>+60 19-512 9696 | +60 10-332 6003 | +60195129696 | +60103326003</x:v>
      </x:c>
      <x:c r="G7041" s="16" t="str">
        <x:v>+60195129696 | +60103326003 | +60195129696 | +60103326003</x:v>
      </x:c>
      <x:c r="H7041" s="16" t="str">
        <x:v>Excluded</x:v>
      </x:c>
      <x:c r="I7041" s="16" t="str">
        <x:v>Missing email</x:v>
      </x:c>
    </x:row>
    <x:row r="7042">
      <x:c r="A7042" s="16" t="n">
        <x:v>7039</x:v>
      </x:c>
      <x:c r="B7042" s="16" t="str">
        <x:v>Watashi Watashi</x:v>
      </x:c>
      <x:c r="C7042" s="16" t="str"/>
      <x:c r="D7042" s="16" t="str"/>
      <x:c r="E7042" s="16" t="str">
        <x:v>* myContacts</x:v>
      </x:c>
      <x:c r="F7042" s="16" t="str">
        <x:v>+60187785979</x:v>
      </x:c>
      <x:c r="G7042" s="16" t="str">
        <x:v>+60187785979</x:v>
      </x:c>
      <x:c r="H7042" s="16" t="str">
        <x:v>Excluded</x:v>
      </x:c>
      <x:c r="I7042" s="16" t="str">
        <x:v>Missing email</x:v>
      </x:c>
    </x:row>
    <x:row r="7043">
      <x:c r="A7043" s="16" t="n">
        <x:v>7040</x:v>
      </x:c>
      <x:c r="B7043" s="16" t="str">
        <x:v>water filter</x:v>
      </x:c>
      <x:c r="C7043" s="16" t="str"/>
      <x:c r="D7043" s="16" t="str"/>
      <x:c r="E7043" s="16" t="str">
        <x:v>* myContacts</x:v>
      </x:c>
      <x:c r="F7043" s="16" t="str">
        <x:v>60133888317 | +60133888317</x:v>
      </x:c>
      <x:c r="G7043" s="16" t="str">
        <x:v>+60133888317 | +60133888317</x:v>
      </x:c>
      <x:c r="H7043" s="16" t="str">
        <x:v>Excluded</x:v>
      </x:c>
      <x:c r="I7043" s="16" t="str">
        <x:v>Missing email</x:v>
      </x:c>
    </x:row>
    <x:row r="7044">
      <x:c r="A7044" s="16" t="n">
        <x:v>7041</x:v>
      </x:c>
      <x:c r="B7044" s="16" t="str">
        <x:v>Watie Zali</x:v>
      </x:c>
      <x:c r="C7044" s="16" t="str"/>
      <x:c r="D7044" s="16" t="str"/>
      <x:c r="E7044" s="16" t="str">
        <x:v>* myContacts</x:v>
      </x:c>
      <x:c r="F7044" s="16" t="str">
        <x:v>+60173670488</x:v>
      </x:c>
      <x:c r="G7044" s="16" t="str">
        <x:v>+60173670488</x:v>
      </x:c>
      <x:c r="H7044" s="16" t="str">
        <x:v>Excluded</x:v>
      </x:c>
      <x:c r="I7044" s="16" t="str">
        <x:v>Missing email</x:v>
      </x:c>
    </x:row>
    <x:row r="7045">
      <x:c r="A7045" s="16" t="n">
        <x:v>7042</x:v>
      </x:c>
      <x:c r="B7045" s="16" t="str">
        <x:v>Wawa Khanaz Creative</x:v>
      </x:c>
      <x:c r="C7045" s="16" t="str"/>
      <x:c r="D7045" s="16" t="str"/>
      <x:c r="E7045" s="16" t="str">
        <x:v>* myContacts</x:v>
      </x:c>
      <x:c r="F7045" s="16" t="str">
        <x:v>+60 11-3621 2678 | +601136212678</x:v>
      </x:c>
      <x:c r="G7045" s="16" t="str">
        <x:v>+601136212678 | +601136212678</x:v>
      </x:c>
      <x:c r="H7045" s="16" t="str">
        <x:v>Excluded</x:v>
      </x:c>
      <x:c r="I7045" s="16" t="str">
        <x:v>Missing email</x:v>
      </x:c>
    </x:row>
    <x:row r="7046">
      <x:c r="A7046" s="16" t="n">
        <x:v>7043</x:v>
      </x:c>
      <x:c r="B7046" s="16" t="str">
        <x:v>Wawa Lieya</x:v>
      </x:c>
      <x:c r="C7046" s="16" t="str"/>
      <x:c r="D7046" s="16" t="str"/>
      <x:c r="E7046" s="16" t="str">
        <x:v>* myContacts</x:v>
      </x:c>
      <x:c r="F7046" s="16" t="str">
        <x:v>+601116917805</x:v>
      </x:c>
      <x:c r="G7046" s="16" t="str">
        <x:v>+601116917805</x:v>
      </x:c>
      <x:c r="H7046" s="16" t="str">
        <x:v>Excluded</x:v>
      </x:c>
      <x:c r="I7046" s="16" t="str">
        <x:v>Missing email</x:v>
      </x:c>
    </x:row>
    <x:row r="7047">
      <x:c r="A7047" s="16" t="n">
        <x:v>7044</x:v>
      </x:c>
      <x:c r="B7047" s="16" t="str">
        <x:v>Wawan Kren</x:v>
      </x:c>
      <x:c r="C7047" s="16" t="str"/>
      <x:c r="D7047" s="16" t="str"/>
      <x:c r="E7047" s="16" t="str">
        <x:v>* myContacts</x:v>
      </x:c>
      <x:c r="F7047" s="16" t="str">
        <x:v>+60182199967</x:v>
      </x:c>
      <x:c r="G7047" s="16" t="str">
        <x:v>+60182199967</x:v>
      </x:c>
      <x:c r="H7047" s="16" t="str">
        <x:v>Excluded</x:v>
      </x:c>
      <x:c r="I7047" s="16" t="str">
        <x:v>Missing email</x:v>
      </x:c>
    </x:row>
    <x:row r="7048">
      <x:c r="A7048" s="16" t="n">
        <x:v>7045</x:v>
      </x:c>
      <x:c r="B7048" s="16" t="str">
        <x:v>WeeBiker Sdn Bhd</x:v>
      </x:c>
      <x:c r="C7048" s="16" t="str"/>
      <x:c r="D7048" s="16" t="str"/>
      <x:c r="E7048" s="16" t="str">
        <x:v>* myContacts</x:v>
      </x:c>
      <x:c r="F7048" s="16" t="str">
        <x:v>+60355103146</x:v>
      </x:c>
      <x:c r="G7048" s="16" t="str">
        <x:v>+60355103146</x:v>
      </x:c>
      <x:c r="H7048" s="16" t="str">
        <x:v>Excluded</x:v>
      </x:c>
      <x:c r="I7048" s="16" t="str">
        <x:v>Missing email</x:v>
      </x:c>
    </x:row>
    <x:row r="7049">
      <x:c r="A7049" s="16" t="n">
        <x:v>7046</x:v>
      </x:c>
      <x:c r="B7049" s="16" t="str">
        <x:v>Whosend Log</x:v>
      </x:c>
      <x:c r="C7049" s="16" t="str"/>
      <x:c r="D7049" s="16" t="str"/>
      <x:c r="E7049" s="16" t="str">
        <x:v>* myContacts</x:v>
      </x:c>
      <x:c r="F7049" s="16" t="str">
        <x:v>+6082445877</x:v>
      </x:c>
      <x:c r="G7049" s="16" t="str">
        <x:v>+6082445877</x:v>
      </x:c>
      <x:c r="H7049" s="16" t="str">
        <x:v>Excluded</x:v>
      </x:c>
      <x:c r="I7049" s="16" t="str">
        <x:v>Missing email</x:v>
      </x:c>
    </x:row>
    <x:row r="7050">
      <x:c r="A7050" s="16" t="n">
        <x:v>7047</x:v>
      </x:c>
      <x:c r="B7050" s="16" t="str">
        <x:v>WiaGazebo Bina Rumah Viral</x:v>
      </x:c>
      <x:c r="C7050" s="16" t="str"/>
      <x:c r="D7050" s="16" t="str"/>
      <x:c r="E7050" s="16" t="str">
        <x:v>* myContacts</x:v>
      </x:c>
      <x:c r="F7050" s="16" t="str">
        <x:v>+60174001447</x:v>
      </x:c>
      <x:c r="G7050" s="16" t="str">
        <x:v>+60174001447</x:v>
      </x:c>
      <x:c r="H7050" s="16" t="str">
        <x:v>Excluded</x:v>
      </x:c>
      <x:c r="I7050" s="16" t="str">
        <x:v>Missing email</x:v>
      </x:c>
    </x:row>
    <x:row r="7051">
      <x:c r="A7051" s="16" t="n">
        <x:v>7048</x:v>
      </x:c>
      <x:c r="B7051" s="16" t="str">
        <x:v>Wife Aishah</x:v>
      </x:c>
      <x:c r="C7051" s="16" t="str">
        <x:v>nwaishah-mh@unisel.edu.my</x:v>
      </x:c>
      <x:c r="D7051" s="16" t="str">
        <x:v>nwaishah-mh@unisel.edu.my</x:v>
      </x:c>
      <x:c r="E7051" s="16" t="str">
        <x:v>* family | * myContacts</x:v>
      </x:c>
      <x:c r="F7051" s="16" t="str">
        <x:v>+60 13-370 0200</x:v>
      </x:c>
      <x:c r="G7051" s="16" t="str">
        <x:v>+60133700200</x:v>
      </x:c>
      <x:c r="H7051" s="16" t="str">
        <x:v>Eligible</x:v>
      </x:c>
      <x:c r="I7051" s="16" t="str"/>
    </x:row>
    <x:row r="7052">
      <x:c r="A7052" s="16" t="n">
        <x:v>7049</x:v>
      </x:c>
      <x:c r="B7052" s="16" t="str">
        <x:v>Willie Shim HG</x:v>
      </x:c>
      <x:c r="C7052" s="16" t="str"/>
      <x:c r="D7052" s="16" t="str"/>
      <x:c r="E7052" s="16" t="str">
        <x:v>* myContacts</x:v>
      </x:c>
      <x:c r="F7052" s="16" t="str">
        <x:v>+60 16-831 0874 | +60168310874</x:v>
      </x:c>
      <x:c r="G7052" s="16" t="str">
        <x:v>+60168310874 | +60168310874</x:v>
      </x:c>
      <x:c r="H7052" s="16" t="str">
        <x:v>Excluded</x:v>
      </x:c>
      <x:c r="I7052" s="16" t="str">
        <x:v>Missing email</x:v>
      </x:c>
    </x:row>
    <x:row r="7053">
      <x:c r="A7053" s="16" t="n">
        <x:v>7050</x:v>
      </x:c>
      <x:c r="B7053" s="16" t="str">
        <x:v>Wisy Ayumie</x:v>
      </x:c>
      <x:c r="C7053" s="16" t="str"/>
      <x:c r="D7053" s="16" t="str"/>
      <x:c r="E7053" s="16" t="str">
        <x:v>* myContacts</x:v>
      </x:c>
      <x:c r="F7053" s="16" t="str">
        <x:v>+60165794926</x:v>
      </x:c>
      <x:c r="G7053" s="16" t="str">
        <x:v>+60165794926</x:v>
      </x:c>
      <x:c r="H7053" s="16" t="str">
        <x:v>Excluded</x:v>
      </x:c>
      <x:c r="I7053" s="16" t="str">
        <x:v>Missing email</x:v>
      </x:c>
    </x:row>
    <x:row r="7054">
      <x:c r="A7054" s="16" t="n">
        <x:v>7051</x:v>
      </x:c>
      <x:c r="B7054" s="16" t="str">
        <x:v>WL Chong</x:v>
      </x:c>
      <x:c r="C7054" s="16" t="str"/>
      <x:c r="D7054" s="16" t="str"/>
      <x:c r="E7054" s="16" t="str">
        <x:v>* myContacts</x:v>
      </x:c>
      <x:c r="F7054" s="16" t="str">
        <x:v>+60127210675</x:v>
      </x:c>
      <x:c r="G7054" s="16" t="str">
        <x:v>+60127210675</x:v>
      </x:c>
      <x:c r="H7054" s="16" t="str">
        <x:v>Excluded</x:v>
      </x:c>
      <x:c r="I7054" s="16" t="str">
        <x:v>Missing email</x:v>
      </x:c>
    </x:row>
    <x:row r="7055">
      <x:c r="A7055" s="16" t="n">
        <x:v>7052</x:v>
      </x:c>
      <x:c r="B7055" s="16" t="str">
        <x:v>Wma Azmi</x:v>
      </x:c>
      <x:c r="C7055" s="16" t="str"/>
      <x:c r="D7055" s="16" t="str"/>
      <x:c r="E7055" s="16" t="str">
        <x:v>* myContacts</x:v>
      </x:c>
      <x:c r="F7055" s="16" t="str">
        <x:v>+601125744358</x:v>
      </x:c>
      <x:c r="G7055" s="16" t="str">
        <x:v>+601125744358</x:v>
      </x:c>
      <x:c r="H7055" s="16" t="str">
        <x:v>Excluded</x:v>
      </x:c>
      <x:c r="I7055" s="16" t="str">
        <x:v>Missing email</x:v>
      </x:c>
    </x:row>
    <x:row r="7056">
      <x:c r="A7056" s="16" t="n">
        <x:v>7053</x:v>
      </x:c>
      <x:c r="B7056" s="16" t="str">
        <x:v>Wong Kok Yen</x:v>
      </x:c>
      <x:c r="C7056" s="16" t="str"/>
      <x:c r="D7056" s="16" t="str"/>
      <x:c r="E7056" s="16" t="str">
        <x:v>* myContacts</x:v>
      </x:c>
      <x:c r="F7056" s="16" t="str">
        <x:v>+6046461357</x:v>
      </x:c>
      <x:c r="G7056" s="16" t="str">
        <x:v>+6046461357</x:v>
      </x:c>
      <x:c r="H7056" s="16" t="str">
        <x:v>Excluded</x:v>
      </x:c>
      <x:c r="I7056" s="16" t="str">
        <x:v>Missing email</x:v>
      </x:c>
    </x:row>
    <x:row r="7057">
      <x:c r="A7057" s="16" t="n">
        <x:v>7054</x:v>
      </x:c>
      <x:c r="B7057" s="16" t="str">
        <x:v>Woodwork HarrisDesign</x:v>
      </x:c>
      <x:c r="C7057" s="16" t="str"/>
      <x:c r="D7057" s="16" t="str"/>
      <x:c r="E7057" s="16" t="str">
        <x:v>* myContacts</x:v>
      </x:c>
      <x:c r="F7057" s="16" t="str">
        <x:v>+6738997135</x:v>
      </x:c>
      <x:c r="G7057" s="16" t="str">
        <x:v>+6738997135</x:v>
      </x:c>
      <x:c r="H7057" s="16" t="str">
        <x:v>Excluded</x:v>
      </x:c>
      <x:c r="I7057" s="16" t="str">
        <x:v>Missing email</x:v>
      </x:c>
    </x:row>
    <x:row r="7058">
      <x:c r="A7058" s="16" t="n">
        <x:v>7055</x:v>
      </x:c>
      <x:c r="B7058" s="16" t="str">
        <x:v>Workshop Saliza</x:v>
      </x:c>
      <x:c r="C7058" s="16" t="str">
        <x:v>saliza2u@yahoo.com | mamajeem.ss@gmail.com</x:v>
      </x:c>
      <x:c r="D7058" s="16" t="str">
        <x:v>saliza2u@yahoo.com | mamajeem.ss@gmail.com</x:v>
      </x:c>
      <x:c r="E7058" s="16" t="str">
        <x:v>* myContacts</x:v>
      </x:c>
      <x:c r="F7058" s="16" t="str">
        <x:v>+60 12-232 9405 | +60122329405</x:v>
      </x:c>
      <x:c r="G7058" s="16" t="str">
        <x:v>+60122329405 | +60122329405</x:v>
      </x:c>
      <x:c r="H7058" s="16" t="str">
        <x:v>Eligible</x:v>
      </x:c>
      <x:c r="I7058" s="16" t="str"/>
    </x:row>
    <x:row r="7059">
      <x:c r="A7059" s="16" t="n">
        <x:v>7056</x:v>
      </x:c>
      <x:c r="B7059" s="16" t="str">
        <x:v>Wuslah Almumathalah</x:v>
      </x:c>
      <x:c r="C7059" s="16" t="str"/>
      <x:c r="D7059" s="16" t="str"/>
      <x:c r="E7059" s="16" t="str">
        <x:v>* myContacts</x:v>
      </x:c>
      <x:c r="F7059" s="16" t="str">
        <x:v>+601128862520</x:v>
      </x:c>
      <x:c r="G7059" s="16" t="str">
        <x:v>+601128862520</x:v>
      </x:c>
      <x:c r="H7059" s="16" t="str">
        <x:v>Excluded</x:v>
      </x:c>
      <x:c r="I7059" s="16" t="str">
        <x:v>Missing email</x:v>
      </x:c>
    </x:row>
    <x:row r="7060">
      <x:c r="A7060" s="16" t="n">
        <x:v>7057</x:v>
      </x:c>
      <x:c r="B7060" s="16" t="str">
        <x:v>X Nikkei Pro</x:v>
      </x:c>
      <x:c r="C7060" s="16" t="str"/>
      <x:c r="D7060" s="16" t="str"/>
      <x:c r="E7060" s="16" t="str">
        <x:v>* myContacts</x:v>
      </x:c>
      <x:c r="F7060" s="16" t="str">
        <x:v>+60164326001</x:v>
      </x:c>
      <x:c r="G7060" s="16" t="str">
        <x:v>+60164326001</x:v>
      </x:c>
      <x:c r="H7060" s="16" t="str">
        <x:v>Excluded</x:v>
      </x:c>
      <x:c r="I7060" s="16" t="str">
        <x:v>Missing email</x:v>
      </x:c>
    </x:row>
    <x:row r="7061">
      <x:c r="A7061" s="16" t="n">
        <x:v>7058</x:v>
      </x:c>
      <x:c r="B7061" s="16" t="str">
        <x:v>Xhar Xzan</x:v>
      </x:c>
      <x:c r="C7061" s="16" t="str"/>
      <x:c r="D7061" s="16" t="str"/>
      <x:c r="E7061" s="16" t="str">
        <x:v>* myContacts</x:v>
      </x:c>
      <x:c r="F7061" s="16" t="str">
        <x:v>+60179628910</x:v>
      </x:c>
      <x:c r="G7061" s="16" t="str">
        <x:v>+60179628910</x:v>
      </x:c>
      <x:c r="H7061" s="16" t="str">
        <x:v>Excluded</x:v>
      </x:c>
      <x:c r="I7061" s="16" t="str">
        <x:v>Missing email</x:v>
      </x:c>
    </x:row>
    <x:row r="7062">
      <x:c r="A7062" s="16" t="n">
        <x:v>7059</x:v>
      </x:c>
      <x:c r="B7062" s="16" t="str">
        <x:v>Xpah Starang</x:v>
      </x:c>
      <x:c r="C7062" s="16" t="str"/>
      <x:c r="D7062" s="16" t="str"/>
      <x:c r="E7062" s="16" t="str">
        <x:v>* myContacts</x:v>
      </x:c>
      <x:c r="F7062" s="16" t="str">
        <x:v>+60142121731</x:v>
      </x:c>
      <x:c r="G7062" s="16" t="str">
        <x:v>+60142121731</x:v>
      </x:c>
      <x:c r="H7062" s="16" t="str">
        <x:v>Excluded</x:v>
      </x:c>
      <x:c r="I7062" s="16" t="str">
        <x:v>Missing email</x:v>
      </x:c>
    </x:row>
    <x:row r="7063">
      <x:c r="A7063" s="16" t="n">
        <x:v>7060</x:v>
      </x:c>
      <x:c r="B7063" s="16" t="str">
        <x:v>Yadi Shaari</x:v>
      </x:c>
      <x:c r="C7063" s="16" t="str"/>
      <x:c r="D7063" s="16" t="str"/>
      <x:c r="E7063" s="16" t="str">
        <x:v>* myContacts</x:v>
      </x:c>
      <x:c r="F7063" s="16" t="str">
        <x:v>+60133080660</x:v>
      </x:c>
      <x:c r="G7063" s="16" t="str">
        <x:v>+60133080660</x:v>
      </x:c>
      <x:c r="H7063" s="16" t="str">
        <x:v>Excluded</x:v>
      </x:c>
      <x:c r="I7063" s="16" t="str">
        <x:v>Missing email</x:v>
      </x:c>
    </x:row>
    <x:row r="7064">
      <x:c r="A7064" s="16" t="n">
        <x:v>7061</x:v>
      </x:c>
      <x:c r="B7064" s="16" t="str">
        <x:v>Yahna Mohd Nor</x:v>
      </x:c>
      <x:c r="C7064" s="16" t="str"/>
      <x:c r="D7064" s="16" t="str"/>
      <x:c r="E7064" s="16" t="str">
        <x:v>* myContacts</x:v>
      </x:c>
      <x:c r="F7064" s="16" t="str">
        <x:v>+60109313407</x:v>
      </x:c>
      <x:c r="G7064" s="16" t="str">
        <x:v>+60109313407</x:v>
      </x:c>
      <x:c r="H7064" s="16" t="str">
        <x:v>Excluded</x:v>
      </x:c>
      <x:c r="I7064" s="16" t="str">
        <x:v>Missing email</x:v>
      </x:c>
    </x:row>
    <x:row r="7065">
      <x:c r="A7065" s="16" t="n">
        <x:v>7062</x:v>
      </x:c>
      <x:c r="B7065" s="16" t="str">
        <x:v>Yahya Haidrus</x:v>
      </x:c>
      <x:c r="C7065" s="16" t="str"/>
      <x:c r="D7065" s="16" t="str"/>
      <x:c r="E7065" s="16" t="str">
        <x:v>* myContacts</x:v>
      </x:c>
      <x:c r="F7065" s="16" t="str">
        <x:v>+60177464706</x:v>
      </x:c>
      <x:c r="G7065" s="16" t="str">
        <x:v>+60177464706</x:v>
      </x:c>
      <x:c r="H7065" s="16" t="str">
        <x:v>Excluded</x:v>
      </x:c>
      <x:c r="I7065" s="16" t="str">
        <x:v>Missing email</x:v>
      </x:c>
    </x:row>
    <x:row r="7066">
      <x:c r="A7066" s="16" t="n">
        <x:v>7063</x:v>
      </x:c>
      <x:c r="B7066" s="16" t="str">
        <x:v>Yahya Welder</x:v>
      </x:c>
      <x:c r="C7066" s="16" t="str"/>
      <x:c r="D7066" s="16" t="str"/>
      <x:c r="E7066" s="16" t="str">
        <x:v>* myContacts</x:v>
      </x:c>
      <x:c r="F7066" s="16" t="str">
        <x:v>+60175137707</x:v>
      </x:c>
      <x:c r="G7066" s="16" t="str">
        <x:v>+60175137707</x:v>
      </x:c>
      <x:c r="H7066" s="16" t="str">
        <x:v>Excluded</x:v>
      </x:c>
      <x:c r="I7066" s="16" t="str">
        <x:v>Missing email</x:v>
      </x:c>
    </x:row>
    <x:row r="7067">
      <x:c r="A7067" s="16" t="n">
        <x:v>7064</x:v>
      </x:c>
      <x:c r="B7067" s="16" t="str">
        <x:v>Yan Marina</x:v>
      </x:c>
      <x:c r="C7067" s="16" t="str"/>
      <x:c r="D7067" s="16" t="str"/>
      <x:c r="E7067" s="16" t="str">
        <x:v>* myContacts</x:v>
      </x:c>
      <x:c r="F7067" s="16" t="str">
        <x:v>+60195339525</x:v>
      </x:c>
      <x:c r="G7067" s="16" t="str">
        <x:v>+60195339525</x:v>
      </x:c>
      <x:c r="H7067" s="16" t="str">
        <x:v>Excluded</x:v>
      </x:c>
      <x:c r="I7067" s="16" t="str">
        <x:v>Missing email</x:v>
      </x:c>
    </x:row>
    <x:row r="7068">
      <x:c r="A7068" s="16" t="n">
        <x:v>7065</x:v>
      </x:c>
      <x:c r="B7068" s="16" t="str">
        <x:v>Yan Raja</x:v>
      </x:c>
      <x:c r="C7068" s="16" t="str"/>
      <x:c r="D7068" s="16" t="str"/>
      <x:c r="E7068" s="16" t="str">
        <x:v>* myContacts</x:v>
      </x:c>
      <x:c r="F7068" s="16" t="str">
        <x:v>+601111253958</x:v>
      </x:c>
      <x:c r="G7068" s="16" t="str">
        <x:v>+601111253958</x:v>
      </x:c>
      <x:c r="H7068" s="16" t="str">
        <x:v>Excluded</x:v>
      </x:c>
      <x:c r="I7068" s="16" t="str">
        <x:v>Missing email</x:v>
      </x:c>
    </x:row>
    <x:row r="7069">
      <x:c r="A7069" s="16" t="n">
        <x:v>7066</x:v>
      </x:c>
      <x:c r="B7069" s="16" t="str">
        <x:v>Yana</x:v>
      </x:c>
      <x:c r="C7069" s="16" t="str"/>
      <x:c r="D7069" s="16" t="str"/>
      <x:c r="E7069" s="16" t="str">
        <x:v>* myContacts</x:v>
      </x:c>
      <x:c r="F7069" s="16" t="str">
        <x:v>+60133395908</x:v>
      </x:c>
      <x:c r="G7069" s="16" t="str">
        <x:v>+60133395908</x:v>
      </x:c>
      <x:c r="H7069" s="16" t="str">
        <x:v>Excluded</x:v>
      </x:c>
      <x:c r="I7069" s="16" t="str">
        <x:v>Missing email</x:v>
      </x:c>
    </x:row>
    <x:row r="7070">
      <x:c r="A7070" s="16" t="n">
        <x:v>7067</x:v>
      </x:c>
      <x:c r="B7070" s="16" t="str">
        <x:v>Yana Bambam Cafe</x:v>
      </x:c>
      <x:c r="C7070" s="16" t="str"/>
      <x:c r="D7070" s="16" t="str"/>
      <x:c r="E7070" s="16" t="str">
        <x:v>* myContacts</x:v>
      </x:c>
      <x:c r="F7070" s="16" t="str">
        <x:v>+60 17-418 1434 | +60174181434</x:v>
      </x:c>
      <x:c r="G7070" s="16" t="str">
        <x:v>+60174181434 | +60174181434</x:v>
      </x:c>
      <x:c r="H7070" s="16" t="str">
        <x:v>Excluded</x:v>
      </x:c>
      <x:c r="I7070" s="16" t="str">
        <x:v>Missing email</x:v>
      </x:c>
    </x:row>
    <x:row r="7071">
      <x:c r="A7071" s="16" t="n">
        <x:v>7068</x:v>
      </x:c>
      <x:c r="B7071" s="16" t="str">
        <x:v>Yana Ceng</x:v>
      </x:c>
      <x:c r="C7071" s="16" t="str"/>
      <x:c r="D7071" s="16" t="str"/>
      <x:c r="E7071" s="16" t="str">
        <x:v>* myContacts</x:v>
      </x:c>
      <x:c r="F7071" s="16" t="str">
        <x:v>+60168454779</x:v>
      </x:c>
      <x:c r="G7071" s="16" t="str">
        <x:v>+60168454779</x:v>
      </x:c>
      <x:c r="H7071" s="16" t="str">
        <x:v>Excluded</x:v>
      </x:c>
      <x:c r="I7071" s="16" t="str">
        <x:v>Missing email</x:v>
      </x:c>
    </x:row>
    <x:row r="7072">
      <x:c r="A7072" s="16" t="n">
        <x:v>7069</x:v>
      </x:c>
      <x:c r="B7072" s="16" t="str">
        <x:v>yana CM homemade (biskut kek</x:v>
      </x:c>
      <x:c r="C7072" s="16" t="str"/>
      <x:c r="D7072" s="16" t="str"/>
      <x:c r="E7072" s="16" t="str">
        <x:v>* myContacts</x:v>
      </x:c>
      <x:c r="F7072" s="16" t="str">
        <x:v>+60134764091 | +60 11-3128 2562</x:v>
      </x:c>
      <x:c r="G7072" s="16" t="str">
        <x:v>+60134764091 | +601131282562</x:v>
      </x:c>
      <x:c r="H7072" s="16" t="str">
        <x:v>Excluded</x:v>
      </x:c>
      <x:c r="I7072" s="16" t="str">
        <x:v>Missing email</x:v>
      </x:c>
    </x:row>
    <x:row r="7073">
      <x:c r="A7073" s="16" t="n">
        <x:v>7070</x:v>
      </x:c>
      <x:c r="B7073" s="16" t="str">
        <x:v>yana CM homemade (biskut kek roti)</x:v>
      </x:c>
      <x:c r="C7073" s="16" t="str"/>
      <x:c r="D7073" s="16" t="str"/>
      <x:c r="E7073" s="16" t="str">
        <x:v>* myContacts</x:v>
      </x:c>
      <x:c r="F7073" s="16" t="str">
        <x:v>+60 13-476 4091 | +60 11-3128 2562</x:v>
      </x:c>
      <x:c r="G7073" s="16" t="str">
        <x:v>+60134764091 | +601131282562</x:v>
      </x:c>
      <x:c r="H7073" s="16" t="str">
        <x:v>Excluded</x:v>
      </x:c>
      <x:c r="I7073" s="16" t="str">
        <x:v>Missing email</x:v>
      </x:c>
    </x:row>
    <x:row r="7074">
      <x:c r="A7074" s="16" t="n">
        <x:v>7071</x:v>
      </x:c>
      <x:c r="B7074" s="16" t="str">
        <x:v>Yana Dpim</x:v>
      </x:c>
      <x:c r="C7074" s="16" t="str"/>
      <x:c r="D7074" s="16" t="str"/>
      <x:c r="E7074" s="16" t="str">
        <x:v>* myContacts</x:v>
      </x:c>
      <x:c r="F7074" s="16" t="str">
        <x:v>+60 13-322 2315 | +60133222315</x:v>
      </x:c>
      <x:c r="G7074" s="16" t="str">
        <x:v>+60133222315 | +60133222315</x:v>
      </x:c>
      <x:c r="H7074" s="16" t="str">
        <x:v>Excluded</x:v>
      </x:c>
      <x:c r="I7074" s="16" t="str">
        <x:v>Missing email</x:v>
      </x:c>
    </x:row>
    <x:row r="7075">
      <x:c r="A7075" s="16" t="n">
        <x:v>7072</x:v>
      </x:c>
      <x:c r="B7075" s="16" t="str">
        <x:v>Yana Nuar</x:v>
      </x:c>
      <x:c r="C7075" s="16" t="str"/>
      <x:c r="D7075" s="16" t="str"/>
      <x:c r="E7075" s="16" t="str">
        <x:v>* myContacts</x:v>
      </x:c>
      <x:c r="F7075" s="16" t="str">
        <x:v>+60 12-513 0071 | +60125130071</x:v>
      </x:c>
      <x:c r="G7075" s="16" t="str">
        <x:v>+60125130071 | +60125130071</x:v>
      </x:c>
      <x:c r="H7075" s="16" t="str">
        <x:v>Excluded</x:v>
      </x:c>
      <x:c r="I7075" s="16" t="str">
        <x:v>Missing email</x:v>
      </x:c>
    </x:row>
    <x:row r="7076">
      <x:c r="A7076" s="16" t="n">
        <x:v>7073</x:v>
      </x:c>
      <x:c r="B7076" s="16" t="str">
        <x:v>Yana Yusof</x:v>
      </x:c>
      <x:c r="C7076" s="16" t="str"/>
      <x:c r="D7076" s="16" t="str"/>
      <x:c r="E7076" s="16" t="str">
        <x:v>* myContacts</x:v>
      </x:c>
      <x:c r="F7076" s="16" t="str">
        <x:v>+60126556191</x:v>
      </x:c>
      <x:c r="G7076" s="16" t="str">
        <x:v>+60126556191</x:v>
      </x:c>
      <x:c r="H7076" s="16" t="str">
        <x:v>Excluded</x:v>
      </x:c>
      <x:c r="I7076" s="16" t="str">
        <x:v>Missing email</x:v>
      </x:c>
    </x:row>
    <x:row r="7077">
      <x:c r="A7077" s="16" t="n">
        <x:v>7074</x:v>
      </x:c>
      <x:c r="B7077" s="16" t="str">
        <x:v>Yanaa Hamzah</x:v>
      </x:c>
      <x:c r="C7077" s="16" t="str"/>
      <x:c r="D7077" s="16" t="str"/>
      <x:c r="E7077" s="16" t="str">
        <x:v>* myContacts</x:v>
      </x:c>
      <x:c r="F7077" s="16" t="str">
        <x:v>+60179293410</x:v>
      </x:c>
      <x:c r="G7077" s="16" t="str">
        <x:v>+60179293410</x:v>
      </x:c>
      <x:c r="H7077" s="16" t="str">
        <x:v>Excluded</x:v>
      </x:c>
      <x:c r="I7077" s="16" t="str">
        <x:v>Missing email</x:v>
      </x:c>
    </x:row>
    <x:row r="7078">
      <x:c r="A7078" s="16" t="n">
        <x:v>7075</x:v>
      </x:c>
      <x:c r="B7078" s="16" t="str">
        <x:v>Yani Stokis Nurraysa</x:v>
      </x:c>
      <x:c r="C7078" s="16" t="str"/>
      <x:c r="D7078" s="16" t="str"/>
      <x:c r="E7078" s="16" t="str">
        <x:v>* myContacts</x:v>
      </x:c>
      <x:c r="F7078" s="16" t="str">
        <x:v>+60134555204</x:v>
      </x:c>
      <x:c r="G7078" s="16" t="str">
        <x:v>+60134555204</x:v>
      </x:c>
      <x:c r="H7078" s="16" t="str">
        <x:v>Excluded</x:v>
      </x:c>
      <x:c r="I7078" s="16" t="str">
        <x:v>Missing email</x:v>
      </x:c>
    </x:row>
    <x:row r="7079">
      <x:c r="A7079" s="16" t="n">
        <x:v>7076</x:v>
      </x:c>
      <x:c r="B7079" s="16" t="str">
        <x:v>YaNy Property Negotiator</x:v>
      </x:c>
      <x:c r="C7079" s="16" t="str"/>
      <x:c r="D7079" s="16" t="str"/>
      <x:c r="E7079" s="16" t="str">
        <x:v>* myContacts</x:v>
      </x:c>
      <x:c r="F7079" s="16" t="str">
        <x:v>+60105329792</x:v>
      </x:c>
      <x:c r="G7079" s="16" t="str">
        <x:v>+60105329792</x:v>
      </x:c>
      <x:c r="H7079" s="16" t="str">
        <x:v>Excluded</x:v>
      </x:c>
      <x:c r="I7079" s="16" t="str">
        <x:v>Missing email</x:v>
      </x:c>
    </x:row>
    <x:row r="7080">
      <x:c r="A7080" s="16" t="n">
        <x:v>7077</x:v>
      </x:c>
      <x:c r="B7080" s="16" t="str">
        <x:v>Yarsir Gaddafi</x:v>
      </x:c>
      <x:c r="C7080" s="16" t="str"/>
      <x:c r="D7080" s="16" t="str"/>
      <x:c r="E7080" s="16" t="str">
        <x:v>* myContacts</x:v>
      </x:c>
      <x:c r="F7080" s="16" t="str">
        <x:v>+60173727599</x:v>
      </x:c>
      <x:c r="G7080" s="16" t="str">
        <x:v>+60173727599</x:v>
      </x:c>
      <x:c r="H7080" s="16" t="str">
        <x:v>Excluded</x:v>
      </x:c>
      <x:c r="I7080" s="16" t="str">
        <x:v>Missing email</x:v>
      </x:c>
    </x:row>
    <x:row r="7081">
      <x:c r="A7081" s="16" t="n">
        <x:v>7078</x:v>
      </x:c>
      <x:c r="B7081" s="16" t="str">
        <x:v>Yasir Mary Jardin</x:v>
      </x:c>
      <x:c r="C7081" s="16" t="str">
        <x:v>yasir.ayeop@gmail.com</x:v>
      </x:c>
      <x:c r="D7081" s="16" t="str">
        <x:v>yasir.ayeop@gmail.com</x:v>
      </x:c>
      <x:c r="E7081" s="16" t="str">
        <x:v>* myContacts</x:v>
      </x:c>
      <x:c r="F7081" s="16" t="str">
        <x:v>0142625159 | +60142625159</x:v>
      </x:c>
      <x:c r="G7081" s="16" t="str">
        <x:v>+60142625159 | +60142625159</x:v>
      </x:c>
      <x:c r="H7081" s="16" t="str">
        <x:v>Eligible</x:v>
      </x:c>
      <x:c r="I7081" s="16" t="str"/>
    </x:row>
    <x:row r="7082">
      <x:c r="A7082" s="16" t="n">
        <x:v>7079</x:v>
      </x:c>
      <x:c r="B7082" s="16" t="str">
        <x:v>Yasmeen Humaira</x:v>
      </x:c>
      <x:c r="C7082" s="16" t="str"/>
      <x:c r="D7082" s="16" t="str"/>
      <x:c r="E7082" s="16" t="str">
        <x:v>* myContacts</x:v>
      </x:c>
      <x:c r="F7082" s="16" t="str">
        <x:v>+60176493477</x:v>
      </x:c>
      <x:c r="G7082" s="16" t="str">
        <x:v>+60176493477</x:v>
      </x:c>
      <x:c r="H7082" s="16" t="str">
        <x:v>Excluded</x:v>
      </x:c>
      <x:c r="I7082" s="16" t="str">
        <x:v>Missing email</x:v>
      </x:c>
    </x:row>
    <x:row r="7083">
      <x:c r="A7083" s="16" t="n">
        <x:v>7080</x:v>
      </x:c>
      <x:c r="B7083" s="16" t="str">
        <x:v>Yasmine Student Ttdi</x:v>
      </x:c>
      <x:c r="C7083" s="16" t="str"/>
      <x:c r="D7083" s="16" t="str"/>
      <x:c r="E7083" s="16" t="str">
        <x:v>* myContacts</x:v>
      </x:c>
      <x:c r="F7083" s="16" t="str">
        <x:v>012-730 0850 | +60127300850</x:v>
      </x:c>
      <x:c r="G7083" s="16" t="str">
        <x:v>+60127300850 | +60127300850</x:v>
      </x:c>
      <x:c r="H7083" s="16" t="str">
        <x:v>Excluded</x:v>
      </x:c>
      <x:c r="I7083" s="16" t="str">
        <x:v>Missing email</x:v>
      </x:c>
    </x:row>
    <x:row r="7084">
      <x:c r="A7084" s="16" t="n">
        <x:v>7081</x:v>
      </x:c>
      <x:c r="B7084" s="16" t="str">
        <x:v>Yasnita Yasnita</x:v>
      </x:c>
      <x:c r="C7084" s="16" t="str"/>
      <x:c r="D7084" s="16" t="str"/>
      <x:c r="E7084" s="16" t="str">
        <x:v>* myContacts</x:v>
      </x:c>
      <x:c r="F7084" s="16" t="str">
        <x:v>+60133395075</x:v>
      </x:c>
      <x:c r="G7084" s="16" t="str">
        <x:v>+60133395075</x:v>
      </x:c>
      <x:c r="H7084" s="16" t="str">
        <x:v>Excluded</x:v>
      </x:c>
      <x:c r="I7084" s="16" t="str">
        <x:v>Missing email</x:v>
      </x:c>
    </x:row>
    <x:row r="7085">
      <x:c r="A7085" s="16" t="n">
        <x:v>7082</x:v>
      </x:c>
      <x:c r="B7085" s="16" t="str">
        <x:v>Yaso toastmaster</x:v>
      </x:c>
      <x:c r="C7085" s="16" t="str"/>
      <x:c r="D7085" s="16" t="str"/>
      <x:c r="E7085" s="16" t="str">
        <x:v>* myContacts</x:v>
      </x:c>
      <x:c r="F7085" s="16" t="str">
        <x:v>+60 12-699 2912 | +60126992912</x:v>
      </x:c>
      <x:c r="G7085" s="16" t="str">
        <x:v>+60126992912 | +60126992912</x:v>
      </x:c>
      <x:c r="H7085" s="16" t="str">
        <x:v>Excluded</x:v>
      </x:c>
      <x:c r="I7085" s="16" t="str">
        <x:v>Missing email</x:v>
      </x:c>
    </x:row>
    <x:row r="7086">
      <x:c r="A7086" s="16" t="n">
        <x:v>7083</x:v>
      </x:c>
      <x:c r="B7086" s="16" t="str">
        <x:v>Yastieyrah Ayzah Shaz</x:v>
      </x:c>
      <x:c r="C7086" s="16" t="str"/>
      <x:c r="D7086" s="16" t="str"/>
      <x:c r="E7086" s="16" t="str">
        <x:v>* myContacts</x:v>
      </x:c>
      <x:c r="F7086" s="16" t="str">
        <x:v>+60142249811</x:v>
      </x:c>
      <x:c r="G7086" s="16" t="str">
        <x:v>+60142249811</x:v>
      </x:c>
      <x:c r="H7086" s="16" t="str">
        <x:v>Excluded</x:v>
      </x:c>
      <x:c r="I7086" s="16" t="str">
        <x:v>Missing email</x:v>
      </x:c>
    </x:row>
    <x:row r="7087">
      <x:c r="A7087" s="16" t="n">
        <x:v>7084</x:v>
      </x:c>
      <x:c r="B7087" s="16" t="str">
        <x:v>Yat Rasid</x:v>
      </x:c>
      <x:c r="C7087" s="16" t="str"/>
      <x:c r="D7087" s="16" t="str"/>
      <x:c r="E7087" s="16" t="str">
        <x:v>* myContacts</x:v>
      </x:c>
      <x:c r="F7087" s="16" t="str">
        <x:v>+60132956537</x:v>
      </x:c>
      <x:c r="G7087" s="16" t="str">
        <x:v>+60132956537</x:v>
      </x:c>
      <x:c r="H7087" s="16" t="str">
        <x:v>Excluded</x:v>
      </x:c>
      <x:c r="I7087" s="16" t="str">
        <x:v>Missing email</x:v>
      </x:c>
    </x:row>
    <x:row r="7088">
      <x:c r="A7088" s="16" t="n">
        <x:v>7085</x:v>
      </x:c>
      <x:c r="B7088" s="16" t="str">
        <x:v>Yati Lgk</x:v>
      </x:c>
      <x:c r="C7088" s="16" t="str"/>
      <x:c r="D7088" s="16" t="str"/>
      <x:c r="E7088" s="16" t="str">
        <x:v>* myContacts</x:v>
      </x:c>
      <x:c r="F7088" s="16" t="str">
        <x:v>+60174256193</x:v>
      </x:c>
      <x:c r="G7088" s="16" t="str">
        <x:v>+60174256193</x:v>
      </x:c>
      <x:c r="H7088" s="16" t="str">
        <x:v>Excluded</x:v>
      </x:c>
      <x:c r="I7088" s="16" t="str">
        <x:v>Missing email</x:v>
      </x:c>
    </x:row>
    <x:row r="7089">
      <x:c r="A7089" s="16" t="n">
        <x:v>7086</x:v>
      </x:c>
      <x:c r="B7089" s="16" t="str">
        <x:v>Yati Prospect Minta Kerja</x:v>
      </x:c>
      <x:c r="C7089" s="16" t="str"/>
      <x:c r="D7089" s="16" t="str"/>
      <x:c r="E7089" s="16" t="str">
        <x:v>* myContacts</x:v>
      </x:c>
      <x:c r="F7089" s="16" t="str">
        <x:v>+60 18-250 0548 | +60182500548</x:v>
      </x:c>
      <x:c r="G7089" s="16" t="str">
        <x:v>+60182500548 | +60182500548</x:v>
      </x:c>
      <x:c r="H7089" s="16" t="str">
        <x:v>Excluded</x:v>
      </x:c>
      <x:c r="I7089" s="16" t="str">
        <x:v>Missing email</x:v>
      </x:c>
    </x:row>
    <x:row r="7090">
      <x:c r="A7090" s="16" t="n">
        <x:v>7087</x:v>
      </x:c>
      <x:c r="B7090" s="16" t="str">
        <x:v>Yatt Abd</x:v>
      </x:c>
      <x:c r="C7090" s="16" t="str"/>
      <x:c r="D7090" s="16" t="str"/>
      <x:c r="E7090" s="16" t="str">
        <x:v>* myContacts</x:v>
      </x:c>
      <x:c r="F7090" s="16" t="str">
        <x:v>+60193231106</x:v>
      </x:c>
      <x:c r="G7090" s="16" t="str">
        <x:v>+60193231106</x:v>
      </x:c>
      <x:c r="H7090" s="16" t="str">
        <x:v>Excluded</x:v>
      </x:c>
      <x:c r="I7090" s="16" t="str">
        <x:v>Missing email</x:v>
      </x:c>
    </x:row>
    <x:row r="7091">
      <x:c r="A7091" s="16" t="n">
        <x:v>7088</x:v>
      </x:c>
      <x:c r="B7091" s="16" t="str">
        <x:v>Yazid Razali</x:v>
      </x:c>
      <x:c r="C7091" s="16" t="str"/>
      <x:c r="D7091" s="16" t="str"/>
      <x:c r="E7091" s="16" t="str">
        <x:v>* myContacts</x:v>
      </x:c>
      <x:c r="F7091" s="16" t="str">
        <x:v>+60124334444</x:v>
      </x:c>
      <x:c r="G7091" s="16" t="str">
        <x:v>+60124334444</x:v>
      </x:c>
      <x:c r="H7091" s="16" t="str">
        <x:v>Excluded</x:v>
      </x:c>
      <x:c r="I7091" s="16" t="str">
        <x:v>Missing email</x:v>
      </x:c>
    </x:row>
    <x:row r="7092">
      <x:c r="A7092" s="16" t="n">
        <x:v>7089</x:v>
      </x:c>
      <x:c r="B7092" s="16" t="str">
        <x:v>Yb Yahya Saari</x:v>
      </x:c>
      <x:c r="C7092" s="16" t="str"/>
      <x:c r="D7092" s="16" t="str"/>
      <x:c r="E7092" s="16" t="str">
        <x:v>* myContacts</x:v>
      </x:c>
      <x:c r="F7092" s="16" t="str">
        <x:v>019-322 3737 | +60193223737</x:v>
      </x:c>
      <x:c r="G7092" s="16" t="str">
        <x:v>+60193223737 | +60193223737</x:v>
      </x:c>
      <x:c r="H7092" s="16" t="str">
        <x:v>Excluded</x:v>
      </x:c>
      <x:c r="I7092" s="16" t="str">
        <x:v>Missing email</x:v>
      </x:c>
    </x:row>
    <x:row r="7093">
      <x:c r="A7093" s="16" t="n">
        <x:v>7090</x:v>
      </x:c>
      <x:c r="B7093" s="16" t="str">
        <x:v>Yiienn Macho</x:v>
      </x:c>
      <x:c r="C7093" s="16" t="str"/>
      <x:c r="D7093" s="16" t="str"/>
      <x:c r="E7093" s="16" t="str">
        <x:v>* myContacts</x:v>
      </x:c>
      <x:c r="F7093" s="16" t="str">
        <x:v>+60128408539</x:v>
      </x:c>
      <x:c r="G7093" s="16" t="str">
        <x:v>+60128408539</x:v>
      </x:c>
      <x:c r="H7093" s="16" t="str">
        <x:v>Excluded</x:v>
      </x:c>
      <x:c r="I7093" s="16" t="str">
        <x:v>Missing email</x:v>
      </x:c>
    </x:row>
    <x:row r="7094">
      <x:c r="A7094" s="16" t="n">
        <x:v>7091</x:v>
      </x:c>
      <x:c r="B7094" s="16" t="str">
        <x:v>Yob Nuar</x:v>
      </x:c>
      <x:c r="C7094" s="16" t="str"/>
      <x:c r="D7094" s="16" t="str"/>
      <x:c r="E7094" s="16" t="str">
        <x:v>* myContacts</x:v>
      </x:c>
      <x:c r="F7094" s="16" t="str">
        <x:v>+60 12-434 3885 | +60124343885</x:v>
      </x:c>
      <x:c r="G7094" s="16" t="str">
        <x:v>+60124343885 | +60124343885</x:v>
      </x:c>
      <x:c r="H7094" s="16" t="str">
        <x:v>Excluded</x:v>
      </x:c>
      <x:c r="I7094" s="16" t="str">
        <x:v>Missing email</x:v>
      </x:c>
    </x:row>
    <x:row r="7095">
      <x:c r="A7095" s="16" t="n">
        <x:v>7092</x:v>
      </x:c>
      <x:c r="B7095" s="16" t="str">
        <x:v>Yoga Regare Paste</x:v>
      </x:c>
      <x:c r="C7095" s="16" t="str"/>
      <x:c r="D7095" s="16" t="str"/>
      <x:c r="E7095" s="16" t="str">
        <x:v>* myContacts</x:v>
      </x:c>
      <x:c r="F7095" s="16" t="str">
        <x:v>+6285261332799</x:v>
      </x:c>
      <x:c r="G7095" s="16" t="str">
        <x:v>+6285261332799</x:v>
      </x:c>
      <x:c r="H7095" s="16" t="str">
        <x:v>Excluded</x:v>
      </x:c>
      <x:c r="I7095" s="16" t="str">
        <x:v>Missing email</x:v>
      </x:c>
    </x:row>
    <x:row r="7096">
      <x:c r="A7096" s="16" t="n">
        <x:v>7093</x:v>
      </x:c>
      <x:c r="B7096" s="16" t="str">
        <x:v>Yol</x:v>
      </x:c>
      <x:c r="C7096" s="16" t="str"/>
      <x:c r="D7096" s="16" t="str"/>
      <x:c r="E7096" s="16" t="str">
        <x:v>* myContacts</x:v>
      </x:c>
      <x:c r="F7096" s="16" t="str">
        <x:v>+60 18-317 5446 | +60183175446</x:v>
      </x:c>
      <x:c r="G7096" s="16" t="str">
        <x:v>+60183175446 | +60183175446</x:v>
      </x:c>
      <x:c r="H7096" s="16" t="str">
        <x:v>Excluded</x:v>
      </x:c>
      <x:c r="I7096" s="16" t="str">
        <x:v>Missing email</x:v>
      </x:c>
    </x:row>
    <x:row r="7097">
      <x:c r="A7097" s="16" t="n">
        <x:v>7094</x:v>
      </x:c>
      <x:c r="B7097" s="16" t="str">
        <x:v>Yukarmi AGP</x:v>
      </x:c>
      <x:c r="C7097" s="16" t="str"/>
      <x:c r="D7097" s="16" t="str"/>
      <x:c r="E7097" s="16" t="str">
        <x:v>* myContacts</x:v>
      </x:c>
      <x:c r="F7097" s="16" t="str">
        <x:v>+60 10-918 6647 | +60109186647</x:v>
      </x:c>
      <x:c r="G7097" s="16" t="str">
        <x:v>+60109186647 | +60109186647</x:v>
      </x:c>
      <x:c r="H7097" s="16" t="str">
        <x:v>Excluded</x:v>
      </x:c>
      <x:c r="I7097" s="16" t="str">
        <x:v>Missing email</x:v>
      </x:c>
    </x:row>
    <x:row r="7098">
      <x:c r="A7098" s="16" t="n">
        <x:v>7095</x:v>
      </x:c>
      <x:c r="B7098" s="16" t="str">
        <x:v>Yulaeha Haris</x:v>
      </x:c>
      <x:c r="C7098" s="16" t="str"/>
      <x:c r="D7098" s="16" t="str"/>
      <x:c r="E7098" s="16" t="str">
        <x:v>* myContacts</x:v>
      </x:c>
      <x:c r="F7098" s="16" t="str">
        <x:v>+60123404482</x:v>
      </x:c>
      <x:c r="G7098" s="16" t="str">
        <x:v>+60123404482</x:v>
      </x:c>
      <x:c r="H7098" s="16" t="str">
        <x:v>Excluded</x:v>
      </x:c>
      <x:c r="I7098" s="16" t="str">
        <x:v>Missing email</x:v>
      </x:c>
    </x:row>
    <x:row r="7099">
      <x:c r="A7099" s="16" t="n">
        <x:v>7096</x:v>
      </x:c>
      <x:c r="B7099" s="16" t="str">
        <x:v>Yuliza Boru Panggoaran</x:v>
      </x:c>
      <x:c r="C7099" s="16" t="str"/>
      <x:c r="D7099" s="16" t="str"/>
      <x:c r="E7099" s="16" t="str">
        <x:v>* myContacts</x:v>
      </x:c>
      <x:c r="F7099" s="16" t="str">
        <x:v>+60149708550</x:v>
      </x:c>
      <x:c r="G7099" s="16" t="str">
        <x:v>+60149708550</x:v>
      </x:c>
      <x:c r="H7099" s="16" t="str">
        <x:v>Excluded</x:v>
      </x:c>
      <x:c r="I7099" s="16" t="str">
        <x:v>Missing email</x:v>
      </x:c>
    </x:row>
    <x:row r="7100">
      <x:c r="A7100" s="16" t="n">
        <x:v>7097</x:v>
      </x:c>
      <x:c r="B7100" s="16" t="str">
        <x:v>Yullinafirdous Kamarudin</x:v>
      </x:c>
      <x:c r="C7100" s="16" t="str"/>
      <x:c r="D7100" s="16" t="str"/>
      <x:c r="E7100" s="16" t="str">
        <x:v>* myContacts</x:v>
      </x:c>
      <x:c r="F7100" s="16" t="str">
        <x:v>+60193917736</x:v>
      </x:c>
      <x:c r="G7100" s="16" t="str">
        <x:v>+60193917736</x:v>
      </x:c>
      <x:c r="H7100" s="16" t="str">
        <x:v>Excluded</x:v>
      </x:c>
      <x:c r="I7100" s="16" t="str">
        <x:v>Missing email</x:v>
      </x:c>
    </x:row>
    <x:row r="7101">
      <x:c r="A7101" s="16" t="n">
        <x:v>7098</x:v>
      </x:c>
      <x:c r="B7101" s="16" t="str">
        <x:v>Yuniees Pretty</x:v>
      </x:c>
      <x:c r="C7101" s="16" t="str"/>
      <x:c r="D7101" s="16" t="str"/>
      <x:c r="E7101" s="16" t="str">
        <x:v>* myContacts</x:v>
      </x:c>
      <x:c r="F7101" s="16" t="str">
        <x:v>+60193365640</x:v>
      </x:c>
      <x:c r="G7101" s="16" t="str">
        <x:v>+60193365640</x:v>
      </x:c>
      <x:c r="H7101" s="16" t="str">
        <x:v>Excluded</x:v>
      </x:c>
      <x:c r="I7101" s="16" t="str">
        <x:v>Missing email</x:v>
      </x:c>
    </x:row>
    <x:row r="7102">
      <x:c r="A7102" s="16" t="n">
        <x:v>7099</x:v>
      </x:c>
      <x:c r="B7102" s="16" t="str">
        <x:v>Yunus Safuan Soleh Wakaf Penang</x:v>
      </x:c>
      <x:c r="C7102" s="16" t="str"/>
      <x:c r="D7102" s="16" t="str"/>
      <x:c r="E7102" s="16" t="str">
        <x:v>* myContacts</x:v>
      </x:c>
      <x:c r="F7102" s="16" t="str">
        <x:v>+60 19-373 3285 | +60193733285</x:v>
      </x:c>
      <x:c r="G7102" s="16" t="str">
        <x:v>+60193733285 | +60193733285</x:v>
      </x:c>
      <x:c r="H7102" s="16" t="str">
        <x:v>Excluded</x:v>
      </x:c>
      <x:c r="I7102" s="16" t="str">
        <x:v>Missing email</x:v>
      </x:c>
    </x:row>
    <x:row r="7103">
      <x:c r="A7103" s="16" t="n">
        <x:v>7100</x:v>
      </x:c>
      <x:c r="B7103" s="16" t="str">
        <x:v>Yus dari syarikat label sendiri</x:v>
      </x:c>
      <x:c r="C7103" s="16" t="str"/>
      <x:c r="D7103" s="16" t="str"/>
      <x:c r="E7103" s="16" t="str">
        <x:v>* myContacts</x:v>
      </x:c>
      <x:c r="F7103" s="16" t="str">
        <x:v>+60 11-2118 4156 | +601121184156</x:v>
      </x:c>
      <x:c r="G7103" s="16" t="str">
        <x:v>+601121184156 | +601121184156</x:v>
      </x:c>
      <x:c r="H7103" s="16" t="str">
        <x:v>Excluded</x:v>
      </x:c>
      <x:c r="I7103" s="16" t="str">
        <x:v>Missing email</x:v>
      </x:c>
    </x:row>
    <x:row r="7104">
      <x:c r="A7104" s="16" t="n">
        <x:v>7101</x:v>
      </x:c>
      <x:c r="B7104" s="16" t="str">
        <x:v>Yus Dewan</x:v>
      </x:c>
      <x:c r="C7104" s="16" t="str"/>
      <x:c r="D7104" s="16" t="str"/>
      <x:c r="E7104" s="16" t="str">
        <x:v>* myContacts</x:v>
      </x:c>
      <x:c r="F7104" s="16" t="str">
        <x:v>0199897006 | +60199897006</x:v>
      </x:c>
      <x:c r="G7104" s="16" t="str">
        <x:v>+60199897006 | +60199897006</x:v>
      </x:c>
      <x:c r="H7104" s="16" t="str">
        <x:v>Excluded</x:v>
      </x:c>
      <x:c r="I7104" s="16" t="str">
        <x:v>Missing email</x:v>
      </x:c>
    </x:row>
    <x:row r="7105">
      <x:c r="A7105" s="16" t="n">
        <x:v>7102</x:v>
      </x:c>
      <x:c r="B7105" s="16" t="str">
        <x:v>Yus e world Trade Bda</x:v>
      </x:c>
      <x:c r="C7105" s="16" t="str"/>
      <x:c r="D7105" s="16" t="str"/>
      <x:c r="E7105" s="16" t="str">
        <x:v>* myContacts</x:v>
      </x:c>
      <x:c r="F7105" s="16" t="str">
        <x:v>019-304 0606 | +60193040606</x:v>
      </x:c>
      <x:c r="G7105" s="16" t="str">
        <x:v>+60193040606 | +60193040606</x:v>
      </x:c>
      <x:c r="H7105" s="16" t="str">
        <x:v>Excluded</x:v>
      </x:c>
      <x:c r="I7105" s="16" t="str">
        <x:v>Missing email</x:v>
      </x:c>
    </x:row>
    <x:row r="7106">
      <x:c r="A7106" s="16" t="n">
        <x:v>7103</x:v>
      </x:c>
      <x:c r="B7106" s="16" t="str">
        <x:v>Yuslan Bidi</x:v>
      </x:c>
      <x:c r="C7106" s="16" t="str"/>
      <x:c r="D7106" s="16" t="str"/>
      <x:c r="E7106" s="16" t="str">
        <x:v>* myContacts</x:v>
      </x:c>
      <x:c r="F7106" s="16" t="str">
        <x:v>+60168169729</x:v>
      </x:c>
      <x:c r="G7106" s="16" t="str">
        <x:v>+60168169729</x:v>
      </x:c>
      <x:c r="H7106" s="16" t="str">
        <x:v>Excluded</x:v>
      </x:c>
      <x:c r="I7106" s="16" t="str">
        <x:v>Missing email</x:v>
      </x:c>
    </x:row>
    <x:row r="7107">
      <x:c r="A7107" s="16" t="n">
        <x:v>7104</x:v>
      </x:c>
      <x:c r="B7107" s="16" t="str">
        <x:v>Yusliana Yusof</x:v>
      </x:c>
      <x:c r="C7107" s="16" t="str"/>
      <x:c r="D7107" s="16" t="str"/>
      <x:c r="E7107" s="16" t="str">
        <x:v>* myContacts</x:v>
      </x:c>
      <x:c r="F7107" s="16" t="str">
        <x:v>+60125179736</x:v>
      </x:c>
      <x:c r="G7107" s="16" t="str">
        <x:v>+60125179736</x:v>
      </x:c>
      <x:c r="H7107" s="16" t="str">
        <x:v>Excluded</x:v>
      </x:c>
      <x:c r="I7107" s="16" t="str">
        <x:v>Missing email</x:v>
      </x:c>
    </x:row>
    <x:row r="7108">
      <x:c r="A7108" s="16" t="n">
        <x:v>7105</x:v>
      </x:c>
      <x:c r="B7108" s="16" t="str">
        <x:v>Yusmarianti Yusop</x:v>
      </x:c>
      <x:c r="C7108" s="16" t="str"/>
      <x:c r="D7108" s="16" t="str"/>
      <x:c r="E7108" s="16" t="str">
        <x:v>* myContacts</x:v>
      </x:c>
      <x:c r="F7108" s="16" t="str">
        <x:v>+60168809493</x:v>
      </x:c>
      <x:c r="G7108" s="16" t="str">
        <x:v>+60168809493</x:v>
      </x:c>
      <x:c r="H7108" s="16" t="str">
        <x:v>Excluded</x:v>
      </x:c>
      <x:c r="I7108" s="16" t="str">
        <x:v>Missing email</x:v>
      </x:c>
    </x:row>
    <x:row r="7109">
      <x:c r="A7109" s="16" t="n">
        <x:v>7106</x:v>
      </x:c>
      <x:c r="B7109" s="16" t="str">
        <x:v>Yusni Labbang</x:v>
      </x:c>
      <x:c r="C7109" s="16" t="str"/>
      <x:c r="D7109" s="16" t="str"/>
      <x:c r="E7109" s="16" t="str">
        <x:v>* myContacts</x:v>
      </x:c>
      <x:c r="F7109" s="16" t="str">
        <x:v>+60178333673</x:v>
      </x:c>
      <x:c r="G7109" s="16" t="str">
        <x:v>+60178333673</x:v>
      </x:c>
      <x:c r="H7109" s="16" t="str">
        <x:v>Excluded</x:v>
      </x:c>
      <x:c r="I7109" s="16" t="str">
        <x:v>Missing email</x:v>
      </x:c>
    </x:row>
    <x:row r="7110">
      <x:c r="A7110" s="16" t="n">
        <x:v>7107</x:v>
      </x:c>
      <x:c r="B7110" s="16" t="str">
        <x:v>Yusnimasita Abd Hamid</x:v>
      </x:c>
      <x:c r="C7110" s="16" t="str"/>
      <x:c r="D7110" s="16" t="str"/>
      <x:c r="E7110" s="16" t="str">
        <x:v>* myContacts</x:v>
      </x:c>
      <x:c r="F7110" s="16" t="str">
        <x:v>+60195571794</x:v>
      </x:c>
      <x:c r="G7110" s="16" t="str">
        <x:v>+60195571794</x:v>
      </x:c>
      <x:c r="H7110" s="16" t="str">
        <x:v>Excluded</x:v>
      </x:c>
      <x:c r="I7110" s="16" t="str">
        <x:v>Missing email</x:v>
      </x:c>
    </x:row>
    <x:row r="7111">
      <x:c r="A7111" s="16" t="n">
        <x:v>7108</x:v>
      </x:c>
      <x:c r="B7111" s="16" t="str">
        <x:v>Yusof IM</x:v>
      </x:c>
      <x:c r="C7111" s="16" t="str"/>
      <x:c r="D7111" s="16" t="str"/>
      <x:c r="E7111" s="16" t="str">
        <x:v>* myContacts</x:v>
      </x:c>
      <x:c r="F7111" s="16" t="str">
        <x:v>019-953 3453 | +60199533453</x:v>
      </x:c>
      <x:c r="G7111" s="16" t="str">
        <x:v>+60199533453 | +60199533453</x:v>
      </x:c>
      <x:c r="H7111" s="16" t="str">
        <x:v>Excluded</x:v>
      </x:c>
      <x:c r="I7111" s="16" t="str">
        <x:v>Missing email</x:v>
      </x:c>
    </x:row>
    <x:row r="7112">
      <x:c r="A7112" s="16" t="n">
        <x:v>7109</x:v>
      </x:c>
      <x:c r="B7112" s="16" t="str">
        <x:v>Yusof Yusri</x:v>
      </x:c>
      <x:c r="C7112" s="16" t="str"/>
      <x:c r="D7112" s="16" t="str"/>
      <x:c r="E7112" s="16" t="str">
        <x:v>* myContacts</x:v>
      </x:c>
      <x:c r="F7112" s="16" t="str">
        <x:v>+60122565360</x:v>
      </x:c>
      <x:c r="G7112" s="16" t="str">
        <x:v>+60122565360</x:v>
      </x:c>
      <x:c r="H7112" s="16" t="str">
        <x:v>Excluded</x:v>
      </x:c>
      <x:c r="I7112" s="16" t="str">
        <x:v>Missing email</x:v>
      </x:c>
    </x:row>
    <x:row r="7113">
      <x:c r="A7113" s="16" t="n">
        <x:v>7110</x:v>
      </x:c>
      <x:c r="B7113" s="16" t="str">
        <x:v>Yusran Abdullah</x:v>
      </x:c>
      <x:c r="C7113" s="16" t="str"/>
      <x:c r="D7113" s="16" t="str"/>
      <x:c r="E7113" s="16" t="str">
        <x:v>* myContacts</x:v>
      </x:c>
      <x:c r="F7113" s="16" t="str">
        <x:v>+60139979228</x:v>
      </x:c>
      <x:c r="G7113" s="16" t="str">
        <x:v>+60139979228</x:v>
      </x:c>
      <x:c r="H7113" s="16" t="str">
        <x:v>Excluded</x:v>
      </x:c>
      <x:c r="I7113" s="16" t="str">
        <x:v>Missing email</x:v>
      </x:c>
    </x:row>
    <x:row r="7114">
      <x:c r="A7114" s="16" t="n">
        <x:v>7111</x:v>
      </x:c>
      <x:c r="B7114" s="16" t="str">
        <x:v>Yusriah Awal</x:v>
      </x:c>
      <x:c r="C7114" s="16" t="str"/>
      <x:c r="D7114" s="16" t="str"/>
      <x:c r="E7114" s="16" t="str">
        <x:v>* myContacts</x:v>
      </x:c>
      <x:c r="F7114" s="16" t="str">
        <x:v>+60173370280</x:v>
      </x:c>
      <x:c r="G7114" s="16" t="str">
        <x:v>+60173370280</x:v>
      </x:c>
      <x:c r="H7114" s="16" t="str">
        <x:v>Excluded</x:v>
      </x:c>
      <x:c r="I7114" s="16" t="str">
        <x:v>Missing email</x:v>
      </x:c>
    </x:row>
    <x:row r="7115">
      <x:c r="A7115" s="16" t="n">
        <x:v>7112</x:v>
      </x:c>
      <x:c r="B7115" s="16" t="str">
        <x:v>Yusry Hafiz</x:v>
      </x:c>
      <x:c r="C7115" s="16" t="str"/>
      <x:c r="D7115" s="16" t="str"/>
      <x:c r="E7115" s="16" t="str">
        <x:v>* myContacts</x:v>
      </x:c>
      <x:c r="F7115" s="16" t="str">
        <x:v>+601117882019</x:v>
      </x:c>
      <x:c r="G7115" s="16" t="str">
        <x:v>+601117882019</x:v>
      </x:c>
      <x:c r="H7115" s="16" t="str">
        <x:v>Excluded</x:v>
      </x:c>
      <x:c r="I7115" s="16" t="str">
        <x:v>Missing email</x:v>
      </x:c>
    </x:row>
    <x:row r="7116">
      <x:c r="A7116" s="16" t="n">
        <x:v>7113</x:v>
      </x:c>
      <x:c r="B7116" s="16" t="str">
        <x:v>Yusuf Amad</x:v>
      </x:c>
      <x:c r="C7116" s="16" t="str"/>
      <x:c r="D7116" s="16" t="str"/>
      <x:c r="E7116" s="16" t="str">
        <x:v>* myContacts</x:v>
      </x:c>
      <x:c r="F7116" s="16" t="str">
        <x:v>+6282357706577</x:v>
      </x:c>
      <x:c r="G7116" s="16" t="str">
        <x:v>+6282357706577</x:v>
      </x:c>
      <x:c r="H7116" s="16" t="str">
        <x:v>Excluded</x:v>
      </x:c>
      <x:c r="I7116" s="16" t="str">
        <x:v>Missing email</x:v>
      </x:c>
    </x:row>
    <x:row r="7117">
      <x:c r="A7117" s="16" t="n">
        <x:v>7114</x:v>
      </x:c>
      <x:c r="B7117" s="16" t="str">
        <x:v>Yuya Yusra</x:v>
      </x:c>
      <x:c r="C7117" s="16" t="str"/>
      <x:c r="D7117" s="16" t="str"/>
      <x:c r="E7117" s="16" t="str">
        <x:v>* myContacts</x:v>
      </x:c>
      <x:c r="F7117" s="16" t="str">
        <x:v>+60173010182</x:v>
      </x:c>
      <x:c r="G7117" s="16" t="str">
        <x:v>+60173010182</x:v>
      </x:c>
      <x:c r="H7117" s="16" t="str">
        <x:v>Excluded</x:v>
      </x:c>
      <x:c r="I7117" s="16" t="str">
        <x:v>Missing email</x:v>
      </x:c>
    </x:row>
    <x:row r="7118">
      <x:c r="A7118" s="16" t="n">
        <x:v>7115</x:v>
      </x:c>
      <x:c r="B7118" s="16" t="str">
        <x:v>Yuzaini Jujai</x:v>
      </x:c>
      <x:c r="C7118" s="16" t="str"/>
      <x:c r="D7118" s="16" t="str"/>
      <x:c r="E7118" s="16" t="str">
        <x:v>* myContacts</x:v>
      </x:c>
      <x:c r="F7118" s="16" t="str">
        <x:v>+60194363459</x:v>
      </x:c>
      <x:c r="G7118" s="16" t="str">
        <x:v>+60194363459</x:v>
      </x:c>
      <x:c r="H7118" s="16" t="str">
        <x:v>Excluded</x:v>
      </x:c>
      <x:c r="I7118" s="16" t="str">
        <x:v>Missing email</x:v>
      </x:c>
    </x:row>
    <x:row r="7119">
      <x:c r="A7119" s="16" t="n">
        <x:v>7116</x:v>
      </x:c>
      <x:c r="B7119" s="16" t="str">
        <x:v>Yuzrihairul MY</x:v>
      </x:c>
      <x:c r="C7119" s="16" t="str"/>
      <x:c r="D7119" s="16" t="str"/>
      <x:c r="E7119" s="16" t="str">
        <x:v>* myContacts</x:v>
      </x:c>
      <x:c r="F7119" s="16" t="str">
        <x:v>+60123951944</x:v>
      </x:c>
      <x:c r="G7119" s="16" t="str">
        <x:v>+60123951944</x:v>
      </x:c>
      <x:c r="H7119" s="16" t="str">
        <x:v>Excluded</x:v>
      </x:c>
      <x:c r="I7119" s="16" t="str">
        <x:v>Missing email</x:v>
      </x:c>
    </x:row>
    <x:row r="7120">
      <x:c r="A7120" s="16" t="n">
        <x:v>7117</x:v>
      </x:c>
      <x:c r="B7120" s="16" t="str">
        <x:v>Yvonne Sky Loh</x:v>
      </x:c>
      <x:c r="C7120" s="16" t="str"/>
      <x:c r="D7120" s="16" t="str"/>
      <x:c r="E7120" s="16" t="str">
        <x:v>* myContacts</x:v>
      </x:c>
      <x:c r="F7120" s="16" t="str">
        <x:v>+60189024368</x:v>
      </x:c>
      <x:c r="G7120" s="16" t="str">
        <x:v>+60189024368</x:v>
      </x:c>
      <x:c r="H7120" s="16" t="str">
        <x:v>Excluded</x:v>
      </x:c>
      <x:c r="I7120" s="16" t="str">
        <x:v>Missing email</x:v>
      </x:c>
    </x:row>
    <x:row r="7121">
      <x:c r="A7121" s="16" t="n">
        <x:v>7118</x:v>
      </x:c>
      <x:c r="B7121" s="16" t="str">
        <x:v>Z At'tin</x:v>
      </x:c>
      <x:c r="C7121" s="16" t="str"/>
      <x:c r="D7121" s="16" t="str"/>
      <x:c r="E7121" s="16" t="str">
        <x:v>* myContacts</x:v>
      </x:c>
      <x:c r="F7121" s="16" t="str">
        <x:v>+6281572843284</x:v>
      </x:c>
      <x:c r="G7121" s="16" t="str">
        <x:v>+6281572843284</x:v>
      </x:c>
      <x:c r="H7121" s="16" t="str">
        <x:v>Excluded</x:v>
      </x:c>
      <x:c r="I7121" s="16" t="str">
        <x:v>Missing email</x:v>
      </x:c>
    </x:row>
    <x:row r="7122">
      <x:c r="A7122" s="16" t="n">
        <x:v>7119</x:v>
      </x:c>
      <x:c r="B7122" s="16" t="str">
        <x:v>Zaama Mdec im</x:v>
      </x:c>
      <x:c r="C7122" s="16" t="str"/>
      <x:c r="D7122" s="16" t="str"/>
      <x:c r="E7122" s="16" t="str">
        <x:v>* myContacts</x:v>
      </x:c>
      <x:c r="F7122" s="16" t="str">
        <x:v>0162219769 | +60162219769</x:v>
      </x:c>
      <x:c r="G7122" s="16" t="str">
        <x:v>+60162219769 | +60162219769</x:v>
      </x:c>
      <x:c r="H7122" s="16" t="str">
        <x:v>Excluded</x:v>
      </x:c>
      <x:c r="I7122" s="16" t="str">
        <x:v>Missing email</x:v>
      </x:c>
    </x:row>
    <x:row r="7123">
      <x:c r="A7123" s="16" t="n">
        <x:v>7120</x:v>
      </x:c>
      <x:c r="B7123" s="16" t="str">
        <x:v>Zabur CAR SELLER</x:v>
      </x:c>
      <x:c r="C7123" s="16" t="str"/>
      <x:c r="D7123" s="16" t="str"/>
      <x:c r="E7123" s="16" t="str">
        <x:v>* myContacts</x:v>
      </x:c>
      <x:c r="F7123" s="16" t="str">
        <x:v>+60173887723</x:v>
      </x:c>
      <x:c r="G7123" s="16" t="str">
        <x:v>+60173887723</x:v>
      </x:c>
      <x:c r="H7123" s="16" t="str">
        <x:v>Excluded</x:v>
      </x:c>
      <x:c r="I7123" s="16" t="str">
        <x:v>Missing email</x:v>
      </x:c>
    </x:row>
    <x:row r="7124">
      <x:c r="A7124" s="16" t="n">
        <x:v>7121</x:v>
      </x:c>
      <x:c r="B7124" s="16" t="str">
        <x:v>ZaCk Dzeko</x:v>
      </x:c>
      <x:c r="C7124" s="16" t="str"/>
      <x:c r="D7124" s="16" t="str"/>
      <x:c r="E7124" s="16" t="str">
        <x:v>* myContacts</x:v>
      </x:c>
      <x:c r="F7124" s="16" t="str">
        <x:v>+60139742527</x:v>
      </x:c>
      <x:c r="G7124" s="16" t="str">
        <x:v>+60139742527</x:v>
      </x:c>
      <x:c r="H7124" s="16" t="str">
        <x:v>Excluded</x:v>
      </x:c>
      <x:c r="I7124" s="16" t="str">
        <x:v>Missing email</x:v>
      </x:c>
    </x:row>
    <x:row r="7125">
      <x:c r="A7125" s="16" t="n">
        <x:v>7122</x:v>
      </x:c>
      <x:c r="B7125" s="16" t="str">
        <x:v>Mr Zack Graphic Designer</x:v>
      </x:c>
      <x:c r="C7125" s="16" t="str"/>
      <x:c r="D7125" s="16" t="str"/>
      <x:c r="E7125" s="16" t="str">
        <x:v>* myContacts</x:v>
      </x:c>
      <x:c r="F7125" s="16" t="str">
        <x:v>+60102405158</x:v>
      </x:c>
      <x:c r="G7125" s="16" t="str">
        <x:v>+60102405158</x:v>
      </x:c>
      <x:c r="H7125" s="16" t="str">
        <x:v>Excluded</x:v>
      </x:c>
      <x:c r="I7125" s="16" t="str">
        <x:v>Missing email</x:v>
      </x:c>
    </x:row>
    <x:row r="7126">
      <x:c r="A7126" s="16" t="n">
        <x:v>7123</x:v>
      </x:c>
      <x:c r="B7126" s="16" t="str">
        <x:v>Zack Mal</x:v>
      </x:c>
      <x:c r="C7126" s="16" t="str"/>
      <x:c r="D7126" s="16" t="str"/>
      <x:c r="E7126" s="16" t="str">
        <x:v>* myContacts</x:v>
      </x:c>
      <x:c r="F7126" s="16" t="str">
        <x:v>+60192021630</x:v>
      </x:c>
      <x:c r="G7126" s="16" t="str">
        <x:v>+60192021630</x:v>
      </x:c>
      <x:c r="H7126" s="16" t="str">
        <x:v>Excluded</x:v>
      </x:c>
      <x:c r="I7126" s="16" t="str">
        <x:v>Missing email</x:v>
      </x:c>
    </x:row>
    <x:row r="7127">
      <x:c r="A7127" s="16" t="n">
        <x:v>7124</x:v>
      </x:c>
      <x:c r="B7127" s="16" t="str">
        <x:v>Zack Seven</x:v>
      </x:c>
      <x:c r="C7127" s="16" t="str"/>
      <x:c r="D7127" s="16" t="str"/>
      <x:c r="E7127" s="16" t="str">
        <x:v>* myContacts</x:v>
      </x:c>
      <x:c r="F7127" s="16" t="str">
        <x:v>+60175858200</x:v>
      </x:c>
      <x:c r="G7127" s="16" t="str">
        <x:v>+60175858200</x:v>
      </x:c>
      <x:c r="H7127" s="16" t="str">
        <x:v>Excluded</x:v>
      </x:c>
      <x:c r="I7127" s="16" t="str">
        <x:v>Missing email</x:v>
      </x:c>
    </x:row>
    <x:row r="7128">
      <x:c r="A7128" s="16" t="n">
        <x:v>7125</x:v>
      </x:c>
      <x:c r="B7128" s="16" t="str">
        <x:v>Zack Zulkifli</x:v>
      </x:c>
      <x:c r="C7128" s="16" t="str"/>
      <x:c r="D7128" s="16" t="str"/>
      <x:c r="E7128" s="16" t="str">
        <x:v>* myContacts</x:v>
      </x:c>
      <x:c r="F7128" s="16" t="str">
        <x:v>+60374969664</x:v>
      </x:c>
      <x:c r="G7128" s="16" t="str">
        <x:v>+60374969664</x:v>
      </x:c>
      <x:c r="H7128" s="16" t="str">
        <x:v>Excluded</x:v>
      </x:c>
      <x:c r="I7128" s="16" t="str">
        <x:v>Missing email</x:v>
      </x:c>
    </x:row>
    <x:row r="7129">
      <x:c r="A7129" s="16" t="n">
        <x:v>7126</x:v>
      </x:c>
      <x:c r="B7129" s="16" t="str">
        <x:v>Zackwan Zainal</x:v>
      </x:c>
      <x:c r="C7129" s="16" t="str"/>
      <x:c r="D7129" s="16" t="str"/>
      <x:c r="E7129" s="16" t="str">
        <x:v>* myContacts</x:v>
      </x:c>
      <x:c r="F7129" s="16" t="str">
        <x:v>+60145246932</x:v>
      </x:c>
      <x:c r="G7129" s="16" t="str">
        <x:v>+60145246932</x:v>
      </x:c>
      <x:c r="H7129" s="16" t="str">
        <x:v>Excluded</x:v>
      </x:c>
      <x:c r="I7129" s="16" t="str">
        <x:v>Missing email</x:v>
      </x:c>
    </x:row>
    <x:row r="7130">
      <x:c r="A7130" s="16" t="n">
        <x:v>7127</x:v>
      </x:c>
      <x:c r="B7130" s="16" t="str">
        <x:v>ZaFa Zf</x:v>
      </x:c>
      <x:c r="C7130" s="16" t="str"/>
      <x:c r="D7130" s="16" t="str"/>
      <x:c r="E7130" s="16" t="str">
        <x:v>* myContacts</x:v>
      </x:c>
      <x:c r="F7130" s="16" t="str">
        <x:v>+60125610509</x:v>
      </x:c>
      <x:c r="G7130" s="16" t="str">
        <x:v>+60125610509</x:v>
      </x:c>
      <x:c r="H7130" s="16" t="str">
        <x:v>Excluded</x:v>
      </x:c>
      <x:c r="I7130" s="16" t="str">
        <x:v>Missing email</x:v>
      </x:c>
    </x:row>
    <x:row r="7131">
      <x:c r="A7131" s="16" t="n">
        <x:v>7128</x:v>
      </x:c>
      <x:c r="B7131" s="16" t="str">
        <x:v>Zafar Media Putri</x:v>
      </x:c>
      <x:c r="C7131" s="16" t="str"/>
      <x:c r="D7131" s="16" t="str"/>
      <x:c r="E7131" s="16" t="str">
        <x:v>* myContacts</x:v>
      </x:c>
      <x:c r="F7131" s="16" t="str">
        <x:v>0122357862 | +60122357862</x:v>
      </x:c>
      <x:c r="G7131" s="16" t="str">
        <x:v>+60122357862 | +60122357862</x:v>
      </x:c>
      <x:c r="H7131" s="16" t="str">
        <x:v>Excluded</x:v>
      </x:c>
      <x:c r="I7131" s="16" t="str">
        <x:v>Missing email</x:v>
      </x:c>
    </x:row>
    <x:row r="7132">
      <x:c r="A7132" s="16" t="n">
        <x:v>7129</x:v>
      </x:c>
      <x:c r="B7132" s="16" t="str">
        <x:v>Zaff Lan Maarof</x:v>
      </x:c>
      <x:c r="C7132" s="16" t="str"/>
      <x:c r="D7132" s="16" t="str"/>
      <x:c r="E7132" s="16" t="str">
        <x:v>* myContacts</x:v>
      </x:c>
      <x:c r="F7132" s="16" t="str">
        <x:v>+60126680621</x:v>
      </x:c>
      <x:c r="G7132" s="16" t="str">
        <x:v>+60126680621</x:v>
      </x:c>
      <x:c r="H7132" s="16" t="str">
        <x:v>Excluded</x:v>
      </x:c>
      <x:c r="I7132" s="16" t="str">
        <x:v>Missing email</x:v>
      </x:c>
    </x:row>
    <x:row r="7133">
      <x:c r="A7133" s="16" t="n">
        <x:v>7130</x:v>
      </x:c>
      <x:c r="B7133" s="16" t="str">
        <x:v>Zaffran Norizam</x:v>
      </x:c>
      <x:c r="C7133" s="16" t="str"/>
      <x:c r="D7133" s="16" t="str"/>
      <x:c r="E7133" s="16" t="str">
        <x:v>* myContacts</x:v>
      </x:c>
      <x:c r="F7133" s="16" t="str">
        <x:v>+60137351705</x:v>
      </x:c>
      <x:c r="G7133" s="16" t="str">
        <x:v>+60137351705</x:v>
      </x:c>
      <x:c r="H7133" s="16" t="str">
        <x:v>Excluded</x:v>
      </x:c>
      <x:c r="I7133" s="16" t="str">
        <x:v>Missing email</x:v>
      </x:c>
    </x:row>
    <x:row r="7134">
      <x:c r="A7134" s="16" t="n">
        <x:v>7131</x:v>
      </x:c>
      <x:c r="B7134" s="16" t="str">
        <x:v>Zafi C5 SHOPEE EBOARDING STUDENT</x:v>
      </x:c>
      <x:c r="C7134" s="16" t="str"/>
      <x:c r="D7134" s="16" t="str"/>
      <x:c r="E7134" s="16" t="str">
        <x:v>* myContacts</x:v>
      </x:c>
      <x:c r="F7134" s="16" t="str">
        <x:v>+60 10-570 7860 | +60105707860</x:v>
      </x:c>
      <x:c r="G7134" s="16" t="str">
        <x:v>+60105707860 | +60105707860</x:v>
      </x:c>
      <x:c r="H7134" s="16" t="str">
        <x:v>Excluded</x:v>
      </x:c>
      <x:c r="I7134" s="16" t="str">
        <x:v>Missing email</x:v>
      </x:c>
    </x:row>
    <x:row r="7135">
      <x:c r="A7135" s="16" t="n">
        <x:v>7132</x:v>
      </x:c>
      <x:c r="B7135" s="16" t="str">
        <x:v>zafida AGP</x:v>
      </x:c>
      <x:c r="C7135" s="16" t="str"/>
      <x:c r="D7135" s="16" t="str"/>
      <x:c r="E7135" s="16" t="str">
        <x:v>* myContacts</x:v>
      </x:c>
      <x:c r="F7135" s="16" t="str">
        <x:v>+60 17-779 2067 | +60177792067</x:v>
      </x:c>
      <x:c r="G7135" s="16" t="str">
        <x:v>+60177792067 | +60177792067</x:v>
      </x:c>
      <x:c r="H7135" s="16" t="str">
        <x:v>Excluded</x:v>
      </x:c>
      <x:c r="I7135" s="16" t="str">
        <x:v>Missing email</x:v>
      </x:c>
    </x:row>
    <x:row r="7136">
      <x:c r="A7136" s="16" t="n">
        <x:v>7133</x:v>
      </x:c>
      <x:c r="B7136" s="16" t="str">
        <x:v>Zafri Pkns</x:v>
      </x:c>
      <x:c r="C7136" s="16" t="str">
        <x:v>zhafri@pkns.gov.my</x:v>
      </x:c>
      <x:c r="D7136" s="16" t="str">
        <x:v>zhafri@pkns.gov.my</x:v>
      </x:c>
      <x:c r="E7136" s="16" t="str">
        <x:v>* myContacts</x:v>
      </x:c>
      <x:c r="F7136" s="16" t="str">
        <x:v>01133874266 | +601133874266</x:v>
      </x:c>
      <x:c r="G7136" s="16" t="str">
        <x:v>+601133874266 | +601133874266</x:v>
      </x:c>
      <x:c r="H7136" s="16" t="str">
        <x:v>Eligible</x:v>
      </x:c>
      <x:c r="I7136" s="16" t="str"/>
    </x:row>
    <x:row r="7137">
      <x:c r="A7137" s="16" t="n">
        <x:v>7134</x:v>
      </x:c>
      <x:c r="B7137" s="16" t="str">
        <x:v>Zaha Bin Yasin</x:v>
      </x:c>
      <x:c r="C7137" s="16" t="str"/>
      <x:c r="D7137" s="16" t="str"/>
      <x:c r="E7137" s="16" t="str">
        <x:v>* myContacts</x:v>
      </x:c>
      <x:c r="F7137" s="16" t="str">
        <x:v>+6094852515</x:v>
      </x:c>
      <x:c r="G7137" s="16" t="str">
        <x:v>+6094852515</x:v>
      </x:c>
      <x:c r="H7137" s="16" t="str">
        <x:v>Excluded</x:v>
      </x:c>
      <x:c r="I7137" s="16" t="str">
        <x:v>Missing email</x:v>
      </x:c>
    </x:row>
    <x:row r="7138">
      <x:c r="A7138" s="16" t="n">
        <x:v>7135</x:v>
      </x:c>
      <x:c r="B7138" s="16" t="str">
        <x:v>Zahar Awang Noh</x:v>
      </x:c>
      <x:c r="C7138" s="16" t="str"/>
      <x:c r="D7138" s="16" t="str"/>
      <x:c r="E7138" s="16" t="str">
        <x:v>* myContacts</x:v>
      </x:c>
      <x:c r="F7138" s="16" t="str">
        <x:v>+60179301359</x:v>
      </x:c>
      <x:c r="G7138" s="16" t="str">
        <x:v>+60179301359</x:v>
      </x:c>
      <x:c r="H7138" s="16" t="str">
        <x:v>Excluded</x:v>
      </x:c>
      <x:c r="I7138" s="16" t="str">
        <x:v>Missing email</x:v>
      </x:c>
    </x:row>
    <x:row r="7139">
      <x:c r="A7139" s="16" t="n">
        <x:v>7136</x:v>
      </x:c>
      <x:c r="B7139" s="16" t="str">
        <x:v>Zaharah Bt Mohamad AGP</x:v>
      </x:c>
      <x:c r="C7139" s="16" t="str"/>
      <x:c r="D7139" s="16" t="str"/>
      <x:c r="E7139" s="16" t="str">
        <x:v>* myContacts</x:v>
      </x:c>
      <x:c r="F7139" s="16" t="str">
        <x:v>+601129487845</x:v>
      </x:c>
      <x:c r="G7139" s="16" t="str">
        <x:v>+601129487845</x:v>
      </x:c>
      <x:c r="H7139" s="16" t="str">
        <x:v>Excluded</x:v>
      </x:c>
      <x:c r="I7139" s="16" t="str">
        <x:v>Missing email</x:v>
      </x:c>
    </x:row>
    <x:row r="7140">
      <x:c r="A7140" s="16" t="n">
        <x:v>7137</x:v>
      </x:c>
      <x:c r="B7140" s="16" t="str">
        <x:v>Zaharatulaili Mokhtar</x:v>
      </x:c>
      <x:c r="C7140" s="16" t="str"/>
      <x:c r="D7140" s="16" t="str"/>
      <x:c r="E7140" s="16" t="str">
        <x:v>* myContacts</x:v>
      </x:c>
      <x:c r="F7140" s="16" t="str">
        <x:v>+60166665094</x:v>
      </x:c>
      <x:c r="G7140" s="16" t="str">
        <x:v>+60166665094</x:v>
      </x:c>
      <x:c r="H7140" s="16" t="str">
        <x:v>Excluded</x:v>
      </x:c>
      <x:c r="I7140" s="16" t="str">
        <x:v>Missing email</x:v>
      </x:c>
    </x:row>
    <x:row r="7141">
      <x:c r="A7141" s="16" t="n">
        <x:v>7138</x:v>
      </x:c>
      <x:c r="B7141" s="16" t="str">
        <x:v>Zahari Ahmad</x:v>
      </x:c>
      <x:c r="C7141" s="16" t="str"/>
      <x:c r="D7141" s="16" t="str"/>
      <x:c r="E7141" s="16" t="str">
        <x:v>* myContacts</x:v>
      </x:c>
      <x:c r="F7141" s="16" t="str">
        <x:v>+60195197073</x:v>
      </x:c>
      <x:c r="G7141" s="16" t="str">
        <x:v>+60195197073</x:v>
      </x:c>
      <x:c r="H7141" s="16" t="str">
        <x:v>Excluded</x:v>
      </x:c>
      <x:c r="I7141" s="16" t="str">
        <x:v>Missing email</x:v>
      </x:c>
    </x:row>
    <x:row r="7142">
      <x:c r="A7142" s="16" t="n">
        <x:v>7139</x:v>
      </x:c>
      <x:c r="B7142" s="16" t="str">
        <x:v>Dr Zahib Utm</x:v>
      </x:c>
      <x:c r="C7142" s="16" t="str"/>
      <x:c r="D7142" s="16" t="str"/>
      <x:c r="E7142" s="16" t="str">
        <x:v>* myContacts</x:v>
      </x:c>
      <x:c r="F7142" s="16" t="str">
        <x:v>+60127268540</x:v>
      </x:c>
      <x:c r="G7142" s="16" t="str">
        <x:v>+60127268540</x:v>
      </x:c>
      <x:c r="H7142" s="16" t="str">
        <x:v>Excluded</x:v>
      </x:c>
      <x:c r="I7142" s="16" t="str">
        <x:v>Missing email</x:v>
      </x:c>
    </x:row>
    <x:row r="7143">
      <x:c r="A7143" s="16" t="n">
        <x:v>7140</x:v>
      </x:c>
      <x:c r="B7143" s="16" t="str">
        <x:v>zahidan IM</x:v>
      </x:c>
      <x:c r="C7143" s="16" t="str"/>
      <x:c r="D7143" s="16" t="str"/>
      <x:c r="E7143" s="16" t="str">
        <x:v>* myContacts</x:v>
      </x:c>
      <x:c r="F7143" s="16" t="str">
        <x:v>+60 19-564 9016 | +60195649016</x:v>
      </x:c>
      <x:c r="G7143" s="16" t="str">
        <x:v>+60195649016 | +60195649016</x:v>
      </x:c>
      <x:c r="H7143" s="16" t="str">
        <x:v>Excluded</x:v>
      </x:c>
      <x:c r="I7143" s="16" t="str">
        <x:v>Missing email</x:v>
      </x:c>
    </x:row>
    <x:row r="7144">
      <x:c r="A7144" s="16" t="n">
        <x:v>7141</x:v>
      </x:c>
      <x:c r="B7144" s="16" t="str">
        <x:v>Zahirah Ahmad</x:v>
      </x:c>
      <x:c r="C7144" s="16" t="str"/>
      <x:c r="D7144" s="16" t="str"/>
      <x:c r="E7144" s="16" t="str">
        <x:v>* myContacts</x:v>
      </x:c>
      <x:c r="F7144" s="16" t="str">
        <x:v>+60103434433</x:v>
      </x:c>
      <x:c r="G7144" s="16" t="str">
        <x:v>+60103434433</x:v>
      </x:c>
      <x:c r="H7144" s="16" t="str">
        <x:v>Excluded</x:v>
      </x:c>
      <x:c r="I7144" s="16" t="str">
        <x:v>Missing email</x:v>
      </x:c>
    </x:row>
    <x:row r="7145">
      <x:c r="A7145" s="16" t="n">
        <x:v>7142</x:v>
      </x:c>
      <x:c r="B7145" s="16" t="str">
        <x:v>zahirul Toyyibpay. com Sales</x:v>
      </x:c>
      <x:c r="C7145" s="16" t="str"/>
      <x:c r="D7145" s="16" t="str"/>
      <x:c r="E7145" s="16" t="str">
        <x:v>* myContacts</x:v>
      </x:c>
      <x:c r="F7145" s="16" t="str">
        <x:v>+60182500452</x:v>
      </x:c>
      <x:c r="G7145" s="16" t="str">
        <x:v>+60182500452</x:v>
      </x:c>
      <x:c r="H7145" s="16" t="str">
        <x:v>Excluded</x:v>
      </x:c>
      <x:c r="I7145" s="16" t="str">
        <x:v>Missing email</x:v>
      </x:c>
    </x:row>
    <x:row r="7146">
      <x:c r="A7146" s="16" t="n">
        <x:v>7143</x:v>
      </x:c>
      <x:c r="B7146" s="16" t="str">
        <x:v>zahrul im</x:v>
      </x:c>
      <x:c r="C7146" s="16" t="str"/>
      <x:c r="D7146" s="16" t="str"/>
      <x:c r="E7146" s="16" t="str">
        <x:v>* myContacts</x:v>
      </x:c>
      <x:c r="F7146" s="16" t="str">
        <x:v>013-624 2803 | +60136242803</x:v>
      </x:c>
      <x:c r="G7146" s="16" t="str">
        <x:v>+60136242803 | +60136242803</x:v>
      </x:c>
      <x:c r="H7146" s="16" t="str">
        <x:v>Excluded</x:v>
      </x:c>
      <x:c r="I7146" s="16" t="str">
        <x:v>Missing email</x:v>
      </x:c>
    </x:row>
    <x:row r="7147">
      <x:c r="A7147" s="16" t="n">
        <x:v>7144</x:v>
      </x:c>
      <x:c r="B7147" s="16" t="str">
        <x:v>Zaid Zakaria AGP</x:v>
      </x:c>
      <x:c r="C7147" s="16" t="str"/>
      <x:c r="D7147" s="16" t="str"/>
      <x:c r="E7147" s="16" t="str">
        <x:v>* myContacts</x:v>
      </x:c>
      <x:c r="F7147" s="16" t="str">
        <x:v>+60 17-343 1942 | +60173431942</x:v>
      </x:c>
      <x:c r="G7147" s="16" t="str">
        <x:v>+60173431942 | +60173431942</x:v>
      </x:c>
      <x:c r="H7147" s="16" t="str">
        <x:v>Excluded</x:v>
      </x:c>
      <x:c r="I7147" s="16" t="str">
        <x:v>Missing email</x:v>
      </x:c>
    </x:row>
    <x:row r="7148">
      <x:c r="A7148" s="16" t="n">
        <x:v>7145</x:v>
      </x:c>
      <x:c r="B7148" s="16" t="str">
        <x:v>Zaidah Wonderlab</x:v>
      </x:c>
      <x:c r="C7148" s="16" t="str"/>
      <x:c r="D7148" s="16" t="str"/>
      <x:c r="E7148" s="16" t="str">
        <x:v>* myContacts</x:v>
      </x:c>
      <x:c r="F7148" s="16" t="str">
        <x:v>+60 16-828 4979 | +60168284979</x:v>
      </x:c>
      <x:c r="G7148" s="16" t="str">
        <x:v>+60168284979 | +60168284979</x:v>
      </x:c>
      <x:c r="H7148" s="16" t="str">
        <x:v>Excluded</x:v>
      </x:c>
      <x:c r="I7148" s="16" t="str">
        <x:v>Missing email</x:v>
      </x:c>
    </x:row>
    <x:row r="7149">
      <x:c r="A7149" s="16" t="n">
        <x:v>7146</x:v>
      </x:c>
      <x:c r="B7149" s="16" t="str">
        <x:v>Zaidi Agent Essens</x:v>
      </x:c>
      <x:c r="C7149" s="16" t="str"/>
      <x:c r="D7149" s="16" t="str"/>
      <x:c r="E7149" s="16" t="str">
        <x:v>* myContacts</x:v>
      </x:c>
      <x:c r="F7149" s="16" t="str">
        <x:v>+60 18-311 3261 | +60183113261</x:v>
      </x:c>
      <x:c r="G7149" s="16" t="str">
        <x:v>+60183113261 | +60183113261</x:v>
      </x:c>
      <x:c r="H7149" s="16" t="str">
        <x:v>Excluded</x:v>
      </x:c>
      <x:c r="I7149" s="16" t="str">
        <x:v>Missing email</x:v>
      </x:c>
    </x:row>
    <x:row r="7150">
      <x:c r="A7150" s="16" t="n">
        <x:v>7147</x:v>
      </x:c>
      <x:c r="B7150" s="16" t="str">
        <x:v>Zaidi Badri</x:v>
      </x:c>
      <x:c r="C7150" s="16" t="str"/>
      <x:c r="D7150" s="16" t="str"/>
      <x:c r="E7150" s="16" t="str">
        <x:v>* myContacts</x:v>
      </x:c>
      <x:c r="F7150" s="16" t="str">
        <x:v>+60199947769</x:v>
      </x:c>
      <x:c r="G7150" s="16" t="str">
        <x:v>+60199947769</x:v>
      </x:c>
      <x:c r="H7150" s="16" t="str">
        <x:v>Excluded</x:v>
      </x:c>
      <x:c r="I7150" s="16" t="str">
        <x:v>Missing email</x:v>
      </x:c>
    </x:row>
    <x:row r="7151">
      <x:c r="A7151" s="16" t="n">
        <x:v>7148</x:v>
      </x:c>
      <x:c r="B7151" s="16" t="str">
        <x:v>Zaidi Hussain</x:v>
      </x:c>
      <x:c r="C7151" s="16" t="str"/>
      <x:c r="D7151" s="16" t="str"/>
      <x:c r="E7151" s="16" t="str">
        <x:v>* myContacts</x:v>
      </x:c>
      <x:c r="F7151" s="16" t="str">
        <x:v>+60179690011</x:v>
      </x:c>
      <x:c r="G7151" s="16" t="str">
        <x:v>+60179690011</x:v>
      </x:c>
      <x:c r="H7151" s="16" t="str">
        <x:v>Excluded</x:v>
      </x:c>
      <x:c r="I7151" s="16" t="str">
        <x:v>Missing email</x:v>
      </x:c>
    </x:row>
    <x:row r="7152">
      <x:c r="A7152" s="16" t="n">
        <x:v>7149</x:v>
      </x:c>
      <x:c r="B7152" s="16" t="str">
        <x:v>Zaidi Kernai</x:v>
      </x:c>
      <x:c r="C7152" s="16" t="str"/>
      <x:c r="D7152" s="16" t="str"/>
      <x:c r="E7152" s="16" t="str">
        <x:v>* myContacts</x:v>
      </x:c>
      <x:c r="F7152" s="16" t="str">
        <x:v>+60192555455</x:v>
      </x:c>
      <x:c r="G7152" s="16" t="str">
        <x:v>+60192555455</x:v>
      </x:c>
      <x:c r="H7152" s="16" t="str">
        <x:v>Excluded</x:v>
      </x:c>
      <x:c r="I7152" s="16" t="str">
        <x:v>Missing email</x:v>
      </x:c>
    </x:row>
    <x:row r="7153">
      <x:c r="A7153" s="16" t="n">
        <x:v>7150</x:v>
      </x:c>
      <x:c r="B7153" s="16" t="str">
        <x:v>ZaiDi Lah</x:v>
      </x:c>
      <x:c r="C7153" s="16" t="str"/>
      <x:c r="D7153" s="16" t="str"/>
      <x:c r="E7153" s="16" t="str">
        <x:v>* myContacts</x:v>
      </x:c>
      <x:c r="F7153" s="16" t="str">
        <x:v>+60176416695</x:v>
      </x:c>
      <x:c r="G7153" s="16" t="str">
        <x:v>+60176416695</x:v>
      </x:c>
      <x:c r="H7153" s="16" t="str">
        <x:v>Excluded</x:v>
      </x:c>
      <x:c r="I7153" s="16" t="str">
        <x:v>Missing email</x:v>
      </x:c>
    </x:row>
    <x:row r="7154">
      <x:c r="A7154" s="16" t="n">
        <x:v>7151</x:v>
      </x:c>
      <x:c r="B7154" s="16" t="str">
        <x:v>ZAIDI MOHAMED</x:v>
      </x:c>
      <x:c r="C7154" s="16" t="str">
        <x:v>zaidi@ppmm.com.my</x:v>
      </x:c>
      <x:c r="D7154" s="16" t="str">
        <x:v>zaidi@ppmm.com.my</x:v>
      </x:c>
      <x:c r="E7154" s="16" t="str">
        <x:v>* myContacts</x:v>
      </x:c>
      <x:c r="F7154" s="16" t="str">
        <x:v>+60104339946 | 011-32007455</x:v>
      </x:c>
      <x:c r="G7154" s="16" t="str">
        <x:v>+60104339946 | +601132007455</x:v>
      </x:c>
      <x:c r="H7154" s="16" t="str">
        <x:v>Eligible</x:v>
      </x:c>
      <x:c r="I7154" s="16" t="str"/>
    </x:row>
    <x:row r="7155">
      <x:c r="A7155" s="16" t="n">
        <x:v>7152</x:v>
      </x:c>
      <x:c r="B7155" s="16" t="str">
        <x:v>Zaidi Mohd Supiah</x:v>
      </x:c>
      <x:c r="C7155" s="16" t="str"/>
      <x:c r="D7155" s="16" t="str"/>
      <x:c r="E7155" s="16" t="str">
        <x:v>* myContacts</x:v>
      </x:c>
      <x:c r="F7155" s="16" t="str">
        <x:v>+60172345656</x:v>
      </x:c>
      <x:c r="G7155" s="16" t="str">
        <x:v>+60172345656</x:v>
      </x:c>
      <x:c r="H7155" s="16" t="str">
        <x:v>Excluded</x:v>
      </x:c>
      <x:c r="I7155" s="16" t="str">
        <x:v>Missing email</x:v>
      </x:c>
    </x:row>
    <x:row r="7156">
      <x:c r="A7156" s="16" t="n">
        <x:v>7153</x:v>
      </x:c>
      <x:c r="B7156" s="16" t="str">
        <x:v>Zaidi Ppmm</x:v>
      </x:c>
      <x:c r="C7156" s="16" t="str"/>
      <x:c r="D7156" s="16" t="str"/>
      <x:c r="E7156" s="16" t="str">
        <x:v>* myContacts</x:v>
      </x:c>
      <x:c r="F7156" s="16" t="str">
        <x:v>+60124071103</x:v>
      </x:c>
      <x:c r="G7156" s="16" t="str">
        <x:v>+60124071103</x:v>
      </x:c>
      <x:c r="H7156" s="16" t="str">
        <x:v>Excluded</x:v>
      </x:c>
      <x:c r="I7156" s="16" t="str">
        <x:v>Missing email</x:v>
      </x:c>
    </x:row>
    <x:row r="7157">
      <x:c r="A7157" s="16" t="n">
        <x:v>7154</x:v>
      </x:c>
      <x:c r="B7157" s="16" t="str">
        <x:v>Zaiem Ibrahim</x:v>
      </x:c>
      <x:c r="C7157" s="16" t="str"/>
      <x:c r="D7157" s="16" t="str"/>
      <x:c r="E7157" s="16" t="str">
        <x:v>* myContacts</x:v>
      </x:c>
      <x:c r="F7157" s="16" t="str">
        <x:v>+60135602433</x:v>
      </x:c>
      <x:c r="G7157" s="16" t="str">
        <x:v>+60135602433</x:v>
      </x:c>
      <x:c r="H7157" s="16" t="str">
        <x:v>Excluded</x:v>
      </x:c>
      <x:c r="I7157" s="16" t="str">
        <x:v>Missing email</x:v>
      </x:c>
    </x:row>
    <x:row r="7158">
      <x:c r="A7158" s="16" t="n">
        <x:v>7155</x:v>
      </x:c>
      <x:c r="B7158" s="16" t="str">
        <x:v>Zaifol Lori Abanglori</x:v>
      </x:c>
      <x:c r="C7158" s="16" t="str"/>
      <x:c r="D7158" s="16" t="str"/>
      <x:c r="E7158" s="16" t="str">
        <x:v>* myContacts</x:v>
      </x:c>
      <x:c r="F7158" s="16" t="str">
        <x:v>+60133737892</x:v>
      </x:c>
      <x:c r="G7158" s="16" t="str">
        <x:v>+60133737892</x:v>
      </x:c>
      <x:c r="H7158" s="16" t="str">
        <x:v>Excluded</x:v>
      </x:c>
      <x:c r="I7158" s="16" t="str">
        <x:v>Missing email</x:v>
      </x:c>
    </x:row>
    <x:row r="7159">
      <x:c r="A7159" s="16" t="n">
        <x:v>7156</x:v>
      </x:c>
      <x:c r="B7159" s="16" t="str">
        <x:v>Zaihan Nod</x:v>
      </x:c>
      <x:c r="C7159" s="16" t="str"/>
      <x:c r="D7159" s="16" t="str"/>
      <x:c r="E7159" s="16" t="str">
        <x:v>* myContacts</x:v>
      </x:c>
      <x:c r="F7159" s="16" t="str">
        <x:v>+60 12-969 1036 | +60129691036</x:v>
      </x:c>
      <x:c r="G7159" s="16" t="str">
        <x:v>+60129691036 | +60129691036</x:v>
      </x:c>
      <x:c r="H7159" s="16" t="str">
        <x:v>Excluded</x:v>
      </x:c>
      <x:c r="I7159" s="16" t="str">
        <x:v>Missing email</x:v>
      </x:c>
    </x:row>
    <x:row r="7160">
      <x:c r="A7160" s="16" t="n">
        <x:v>7157</x:v>
      </x:c>
      <x:c r="B7160" s="16" t="str">
        <x:v>Zailatulaspa Daud</x:v>
      </x:c>
      <x:c r="C7160" s="16" t="str"/>
      <x:c r="D7160" s="16" t="str"/>
      <x:c r="E7160" s="16" t="str">
        <x:v>* myContacts</x:v>
      </x:c>
      <x:c r="F7160" s="16" t="str">
        <x:v>+60199774380</x:v>
      </x:c>
      <x:c r="G7160" s="16" t="str">
        <x:v>+60199774380</x:v>
      </x:c>
      <x:c r="H7160" s="16" t="str">
        <x:v>Excluded</x:v>
      </x:c>
      <x:c r="I7160" s="16" t="str">
        <x:v>Missing email</x:v>
      </x:c>
    </x:row>
    <x:row r="7161">
      <x:c r="A7161" s="16" t="n">
        <x:v>7158</x:v>
      </x:c>
      <x:c r="B7161" s="16" t="str">
        <x:v>Zailiana Yahya</x:v>
      </x:c>
      <x:c r="C7161" s="16" t="str"/>
      <x:c r="D7161" s="16" t="str"/>
      <x:c r="E7161" s="16" t="str">
        <x:v>* myContacts</x:v>
      </x:c>
      <x:c r="F7161" s="16" t="str">
        <x:v>+60122299374</x:v>
      </x:c>
      <x:c r="G7161" s="16" t="str">
        <x:v>+60122299374</x:v>
      </x:c>
      <x:c r="H7161" s="16" t="str">
        <x:v>Excluded</x:v>
      </x:c>
      <x:c r="I7161" s="16" t="str">
        <x:v>Missing email</x:v>
      </x:c>
    </x:row>
    <x:row r="7162">
      <x:c r="A7162" s="16" t="n">
        <x:v>7159</x:v>
      </x:c>
      <x:c r="B7162" s="16" t="str">
        <x:v>zaim cat litter</x:v>
      </x:c>
      <x:c r="C7162" s="16" t="str"/>
      <x:c r="D7162" s="16" t="str"/>
      <x:c r="E7162" s="16" t="str">
        <x:v>* myContacts</x:v>
      </x:c>
      <x:c r="F7162" s="16" t="str">
        <x:v>+60 12-349 9322 | +60123499322</x:v>
      </x:c>
      <x:c r="G7162" s="16" t="str">
        <x:v>+60123499322 | +60123499322</x:v>
      </x:c>
      <x:c r="H7162" s="16" t="str">
        <x:v>Excluded</x:v>
      </x:c>
      <x:c r="I7162" s="16" t="str">
        <x:v>Missing email</x:v>
      </x:c>
    </x:row>
    <x:row r="7163">
      <x:c r="A7163" s="16" t="n">
        <x:v>7160</x:v>
      </x:c>
      <x:c r="B7163" s="16" t="str">
        <x:v>Zaim Mustaffa</x:v>
      </x:c>
      <x:c r="C7163" s="16" t="str"/>
      <x:c r="D7163" s="16" t="str"/>
      <x:c r="E7163" s="16" t="str">
        <x:v>* myContacts</x:v>
      </x:c>
      <x:c r="F7163" s="16" t="str">
        <x:v>+60129799338</x:v>
      </x:c>
      <x:c r="G7163" s="16" t="str">
        <x:v>+60129799338</x:v>
      </x:c>
      <x:c r="H7163" s="16" t="str">
        <x:v>Excluded</x:v>
      </x:c>
      <x:c r="I7163" s="16" t="str">
        <x:v>Missing email</x:v>
      </x:c>
    </x:row>
    <x:row r="7164">
      <x:c r="A7164" s="16" t="n">
        <x:v>7161</x:v>
      </x:c>
      <x:c r="B7164" s="16" t="str">
        <x:v>Zain Samoin</x:v>
      </x:c>
      <x:c r="C7164" s="16" t="str"/>
      <x:c r="D7164" s="16" t="str"/>
      <x:c r="E7164" s="16" t="str">
        <x:v>* myContacts</x:v>
      </x:c>
      <x:c r="F7164" s="16" t="str">
        <x:v>+60182165300</x:v>
      </x:c>
      <x:c r="G7164" s="16" t="str">
        <x:v>+60182165300</x:v>
      </x:c>
      <x:c r="H7164" s="16" t="str">
        <x:v>Excluded</x:v>
      </x:c>
      <x:c r="I7164" s="16" t="str">
        <x:v>Missing email</x:v>
      </x:c>
    </x:row>
    <x:row r="7165">
      <x:c r="A7165" s="16" t="n">
        <x:v>7162</x:v>
      </x:c>
      <x:c r="B7165" s="16" t="str">
        <x:v>Zainal Ardi AGP</x:v>
      </x:c>
      <x:c r="C7165" s="16" t="str"/>
      <x:c r="D7165" s="16" t="str"/>
      <x:c r="E7165" s="16" t="str">
        <x:v>* myContacts</x:v>
      </x:c>
      <x:c r="F7165" s="16" t="str">
        <x:v>+60 13-751 0272 | +60137510272</x:v>
      </x:c>
      <x:c r="G7165" s="16" t="str">
        <x:v>+60137510272 | +60137510272</x:v>
      </x:c>
      <x:c r="H7165" s="16" t="str">
        <x:v>Excluded</x:v>
      </x:c>
      <x:c r="I7165" s="16" t="str">
        <x:v>Missing email</x:v>
      </x:c>
    </x:row>
    <x:row r="7166">
      <x:c r="A7166" s="16" t="n">
        <x:v>7163</x:v>
      </x:c>
      <x:c r="B7166" s="16" t="str">
        <x:v>Zainal Ibrahim</x:v>
      </x:c>
      <x:c r="C7166" s="16" t="str"/>
      <x:c r="D7166" s="16" t="str"/>
      <x:c r="E7166" s="16" t="str">
        <x:v>* myContacts</x:v>
      </x:c>
      <x:c r="F7166" s="16" t="str">
        <x:v>+601119896739</x:v>
      </x:c>
      <x:c r="G7166" s="16" t="str">
        <x:v>+601119896739</x:v>
      </x:c>
      <x:c r="H7166" s="16" t="str">
        <x:v>Excluded</x:v>
      </x:c>
      <x:c r="I7166" s="16" t="str">
        <x:v>Missing email</x:v>
      </x:c>
    </x:row>
    <x:row r="7167">
      <x:c r="A7167" s="16" t="n">
        <x:v>7164</x:v>
      </x:c>
      <x:c r="B7167" s="16" t="str">
        <x:v>zainal ppim</x:v>
      </x:c>
      <x:c r="C7167" s="16" t="str"/>
      <x:c r="D7167" s="16" t="str"/>
      <x:c r="E7167" s="16" t="str">
        <x:v>* myContacts</x:v>
      </x:c>
      <x:c r="F7167" s="16" t="str">
        <x:v>013-228 1014 | +60132281014</x:v>
      </x:c>
      <x:c r="G7167" s="16" t="str">
        <x:v>+60132281014 | +60132281014</x:v>
      </x:c>
      <x:c r="H7167" s="16" t="str">
        <x:v>Excluded</x:v>
      </x:c>
      <x:c r="I7167" s="16" t="str">
        <x:v>Missing email</x:v>
      </x:c>
    </x:row>
    <x:row r="7168">
      <x:c r="A7168" s="16" t="n">
        <x:v>7165</x:v>
      </x:c>
      <x:c r="B7168" s="16" t="str">
        <x:v>Zaini Amar Pakar Printing</x:v>
      </x:c>
      <x:c r="C7168" s="16" t="str"/>
      <x:c r="D7168" s="16" t="str"/>
      <x:c r="E7168" s="16" t="str">
        <x:v>* myContacts</x:v>
      </x:c>
      <x:c r="F7168" s="16" t="str">
        <x:v>+60 19-603 8607 | +60196038607</x:v>
      </x:c>
      <x:c r="G7168" s="16" t="str">
        <x:v>+60196038607 | +60196038607</x:v>
      </x:c>
      <x:c r="H7168" s="16" t="str">
        <x:v>Excluded</x:v>
      </x:c>
      <x:c r="I7168" s="16" t="str">
        <x:v>Missing email</x:v>
      </x:c>
    </x:row>
    <x:row r="7169">
      <x:c r="A7169" s="16" t="n">
        <x:v>7166</x:v>
      </x:c>
      <x:c r="B7169" s="16" t="str">
        <x:v>Zaini Lecturer Politeknik Sabak Bernam</x:v>
      </x:c>
      <x:c r="C7169" s="16" t="str"/>
      <x:c r="D7169" s="16" t="str"/>
      <x:c r="E7169" s="16" t="str">
        <x:v>* myContacts</x:v>
      </x:c>
      <x:c r="F7169" s="16" t="str">
        <x:v>+60 13-270 7004 | +60132707004</x:v>
      </x:c>
      <x:c r="G7169" s="16" t="str">
        <x:v>+60132707004 | +60132707004</x:v>
      </x:c>
      <x:c r="H7169" s="16" t="str">
        <x:v>Excluded</x:v>
      </x:c>
      <x:c r="I7169" s="16" t="str">
        <x:v>Missing email</x:v>
      </x:c>
    </x:row>
    <x:row r="7170">
      <x:c r="A7170" s="16" t="n">
        <x:v>7167</x:v>
      </x:c>
      <x:c r="B7170" s="16" t="str">
        <x:v>zaini zan 2</x:v>
      </x:c>
      <x:c r="C7170" s="16" t="str"/>
      <x:c r="D7170" s="16" t="str"/>
      <x:c r="E7170" s="16" t="str">
        <x:v>* myContacts</x:v>
      </x:c>
      <x:c r="F7170" s="16" t="str">
        <x:v>+60 19-343 6110 | +60193436110</x:v>
      </x:c>
      <x:c r="G7170" s="16" t="str">
        <x:v>+60193436110 | +60193436110</x:v>
      </x:c>
      <x:c r="H7170" s="16" t="str">
        <x:v>Excluded</x:v>
      </x:c>
      <x:c r="I7170" s="16" t="str">
        <x:v>Missing email</x:v>
      </x:c>
    </x:row>
    <x:row r="7171">
      <x:c r="A7171" s="16" t="n">
        <x:v>7168</x:v>
      </x:c>
      <x:c r="B7171" s="16" t="str">
        <x:v>Zaini Zan Kbbc Agent</x:v>
      </x:c>
      <x:c r="C7171" s="16" t="str"/>
      <x:c r="D7171" s="16" t="str"/>
      <x:c r="E7171" s="16" t="str">
        <x:v>* myContacts</x:v>
      </x:c>
      <x:c r="F7171" s="16" t="str">
        <x:v>+60 16-690 8048 | +60146018048 | +60166908048 | +60146018048</x:v>
      </x:c>
      <x:c r="G7171" s="16" t="str">
        <x:v>+60166908048 | +60146018048 | +60166908048 | +60146018048</x:v>
      </x:c>
      <x:c r="H7171" s="16" t="str">
        <x:v>Excluded</x:v>
      </x:c>
      <x:c r="I7171" s="16" t="str">
        <x:v>Missing email</x:v>
      </x:c>
    </x:row>
    <x:row r="7172">
      <x:c r="A7172" s="16" t="n">
        <x:v>7169</x:v>
      </x:c>
      <x:c r="B7172" s="16" t="str">
        <x:v>Zainol Effandy Matrasidin</x:v>
      </x:c>
      <x:c r="C7172" s="16" t="str"/>
      <x:c r="D7172" s="16" t="str"/>
      <x:c r="E7172" s="16" t="str">
        <x:v>* myContacts</x:v>
      </x:c>
      <x:c r="F7172" s="16" t="str">
        <x:v>+60126105840</x:v>
      </x:c>
      <x:c r="G7172" s="16" t="str">
        <x:v>+60126105840</x:v>
      </x:c>
      <x:c r="H7172" s="16" t="str">
        <x:v>Excluded</x:v>
      </x:c>
      <x:c r="I7172" s="16" t="str">
        <x:v>Missing email</x:v>
      </x:c>
    </x:row>
    <x:row r="7173">
      <x:c r="A7173" s="16" t="n">
        <x:v>7170</x:v>
      </x:c>
      <x:c r="B7173" s="16" t="str">
        <x:v>Zainuddin Agent AGP Tier 1</x:v>
      </x:c>
      <x:c r="C7173" s="16" t="str"/>
      <x:c r="D7173" s="16" t="str"/>
      <x:c r="E7173" s="16" t="str">
        <x:v>* myContacts</x:v>
      </x:c>
      <x:c r="F7173" s="16" t="str">
        <x:v>019-450 8424 | +60194508424</x:v>
      </x:c>
      <x:c r="G7173" s="16" t="str">
        <x:v>+60194508424 | +60194508424</x:v>
      </x:c>
      <x:c r="H7173" s="16" t="str">
        <x:v>Excluded</x:v>
      </x:c>
      <x:c r="I7173" s="16" t="str">
        <x:v>Missing email</x:v>
      </x:c>
    </x:row>
    <x:row r="7174">
      <x:c r="A7174" s="16" t="n">
        <x:v>7171</x:v>
      </x:c>
      <x:c r="B7174" s="16" t="str">
        <x:v>Zainul Abiddin</x:v>
      </x:c>
      <x:c r="C7174" s="16" t="str"/>
      <x:c r="D7174" s="16" t="str"/>
      <x:c r="E7174" s="16" t="str">
        <x:v>* myContacts</x:v>
      </x:c>
      <x:c r="F7174" s="16" t="str">
        <x:v>+601121364270</x:v>
      </x:c>
      <x:c r="G7174" s="16" t="str">
        <x:v>+601121364270</x:v>
      </x:c>
      <x:c r="H7174" s="16" t="str">
        <x:v>Excluded</x:v>
      </x:c>
      <x:c r="I7174" s="16" t="str">
        <x:v>Missing email</x:v>
      </x:c>
    </x:row>
    <x:row r="7175">
      <x:c r="A7175" s="16" t="n">
        <x:v>7172</x:v>
      </x:c>
      <x:c r="B7175" s="16" t="str">
        <x:v>Zairin Kbbc Agent</x:v>
      </x:c>
      <x:c r="C7175" s="16" t="str"/>
      <x:c r="D7175" s="16" t="str"/>
      <x:c r="E7175" s="16" t="str">
        <x:v>* myContacts</x:v>
      </x:c>
      <x:c r="F7175" s="16" t="str">
        <x:v>+60 19-673 4740 | +60196734740</x:v>
      </x:c>
      <x:c r="G7175" s="16" t="str">
        <x:v>+60196734740 | +60196734740</x:v>
      </x:c>
      <x:c r="H7175" s="16" t="str">
        <x:v>Excluded</x:v>
      </x:c>
      <x:c r="I7175" s="16" t="str">
        <x:v>Missing email</x:v>
      </x:c>
    </x:row>
    <x:row r="7176">
      <x:c r="A7176" s="16" t="n">
        <x:v>7173</x:v>
      </x:c>
      <x:c r="B7176" s="16" t="str">
        <x:v>Zairudin Meatech College</x:v>
      </x:c>
      <x:c r="C7176" s="16" t="str"/>
      <x:c r="D7176" s="16" t="str"/>
      <x:c r="E7176" s="16" t="str">
        <x:v>* myContacts</x:v>
      </x:c>
      <x:c r="F7176" s="16" t="str">
        <x:v>+60 13-398 9022 | +60133989022</x:v>
      </x:c>
      <x:c r="G7176" s="16" t="str">
        <x:v>+60133989022 | +60133989022</x:v>
      </x:c>
      <x:c r="H7176" s="16" t="str">
        <x:v>Excluded</x:v>
      </x:c>
      <x:c r="I7176" s="16" t="str">
        <x:v>Missing email</x:v>
      </x:c>
    </x:row>
    <x:row r="7177">
      <x:c r="A7177" s="16" t="n">
        <x:v>7174</x:v>
      </x:c>
      <x:c r="B7177" s="16" t="str">
        <x:v>Zaiton Azaboys</x:v>
      </x:c>
      <x:c r="C7177" s="16" t="str"/>
      <x:c r="D7177" s="16" t="str"/>
      <x:c r="E7177" s="16" t="str">
        <x:v>* myContacts</x:v>
      </x:c>
      <x:c r="F7177" s="16" t="str">
        <x:v>+60199226681</x:v>
      </x:c>
      <x:c r="G7177" s="16" t="str">
        <x:v>+60199226681</x:v>
      </x:c>
      <x:c r="H7177" s="16" t="str">
        <x:v>Excluded</x:v>
      </x:c>
      <x:c r="I7177" s="16" t="str">
        <x:v>Missing email</x:v>
      </x:c>
    </x:row>
    <x:row r="7178">
      <x:c r="A7178" s="16" t="n">
        <x:v>7175</x:v>
      </x:c>
      <x:c r="B7178" s="16" t="str">
        <x:v>Zaiton Md Daud AGP</x:v>
      </x:c>
      <x:c r="C7178" s="16" t="str"/>
      <x:c r="D7178" s="16" t="str"/>
      <x:c r="E7178" s="16" t="str">
        <x:v>* myContacts</x:v>
      </x:c>
      <x:c r="F7178" s="16" t="str">
        <x:v>+60194516676</x:v>
      </x:c>
      <x:c r="G7178" s="16" t="str">
        <x:v>+60194516676</x:v>
      </x:c>
      <x:c r="H7178" s="16" t="str">
        <x:v>Excluded</x:v>
      </x:c>
      <x:c r="I7178" s="16" t="str">
        <x:v>Missing email</x:v>
      </x:c>
    </x:row>
    <x:row r="7179">
      <x:c r="A7179" s="16" t="n">
        <x:v>7176</x:v>
      </x:c>
      <x:c r="B7179" s="16" t="str">
        <x:v>Zaitun Bahtiar</x:v>
      </x:c>
      <x:c r="C7179" s="16" t="str"/>
      <x:c r="D7179" s="16" t="str"/>
      <x:c r="E7179" s="16" t="str">
        <x:v>* myContacts</x:v>
      </x:c>
      <x:c r="F7179" s="16" t="str">
        <x:v>+60106671759</x:v>
      </x:c>
      <x:c r="G7179" s="16" t="str">
        <x:v>+60106671759</x:v>
      </x:c>
      <x:c r="H7179" s="16" t="str">
        <x:v>Excluded</x:v>
      </x:c>
      <x:c r="I7179" s="16" t="str">
        <x:v>Missing email</x:v>
      </x:c>
    </x:row>
    <x:row r="7180">
      <x:c r="A7180" s="16" t="n">
        <x:v>7177</x:v>
      </x:c>
      <x:c r="B7180" s="16" t="str">
        <x:v>Zakaria Baharom AGP</x:v>
      </x:c>
      <x:c r="C7180" s="16" t="str"/>
      <x:c r="D7180" s="16" t="str"/>
      <x:c r="E7180" s="16" t="str">
        <x:v>* myContacts</x:v>
      </x:c>
      <x:c r="F7180" s="16" t="str">
        <x:v>+60 19-253 0447 | +60192530447</x:v>
      </x:c>
      <x:c r="G7180" s="16" t="str">
        <x:v>+60192530447 | +60192530447</x:v>
      </x:c>
      <x:c r="H7180" s="16" t="str">
        <x:v>Excluded</x:v>
      </x:c>
      <x:c r="I7180" s="16" t="str">
        <x:v>Missing email</x:v>
      </x:c>
    </x:row>
    <x:row r="7181">
      <x:c r="A7181" s="16" t="n">
        <x:v>7178</x:v>
      </x:c>
      <x:c r="B7181" s="16" t="str">
        <x:v>Zaki Coway</x:v>
      </x:c>
      <x:c r="C7181" s="16" t="str"/>
      <x:c r="D7181" s="16" t="str"/>
      <x:c r="E7181" s="16" t="str">
        <x:v>* myContacts</x:v>
      </x:c>
      <x:c r="F7181" s="16" t="str">
        <x:v>+601123362736</x:v>
      </x:c>
      <x:c r="G7181" s="16" t="str">
        <x:v>+601123362736</x:v>
      </x:c>
      <x:c r="H7181" s="16" t="str">
        <x:v>Excluded</x:v>
      </x:c>
      <x:c r="I7181" s="16" t="str">
        <x:v>Missing email</x:v>
      </x:c>
    </x:row>
    <x:row r="7182">
      <x:c r="A7182" s="16" t="n">
        <x:v>7179</x:v>
      </x:c>
      <x:c r="B7182" s="16" t="str">
        <x:v>Zakiah Ismail</x:v>
      </x:c>
      <x:c r="C7182" s="16" t="str"/>
      <x:c r="D7182" s="16" t="str"/>
      <x:c r="E7182" s="16" t="str">
        <x:v>* myContacts</x:v>
      </x:c>
      <x:c r="F7182" s="16" t="str">
        <x:v>+601133464535</x:v>
      </x:c>
      <x:c r="G7182" s="16" t="str">
        <x:v>+601133464535</x:v>
      </x:c>
      <x:c r="H7182" s="16" t="str">
        <x:v>Excluded</x:v>
      </x:c>
      <x:c r="I7182" s="16" t="str">
        <x:v>Missing email</x:v>
      </x:c>
    </x:row>
    <x:row r="7183">
      <x:c r="A7183" s="16" t="n">
        <x:v>7180</x:v>
      </x:c>
      <x:c r="B7183" s="16" t="str">
        <x:v>Zakiyah Rasmin</x:v>
      </x:c>
      <x:c r="C7183" s="16" t="str"/>
      <x:c r="D7183" s="16" t="str"/>
      <x:c r="E7183" s="16" t="str">
        <x:v>* myContacts</x:v>
      </x:c>
      <x:c r="F7183" s="16" t="str">
        <x:v>+60133383120</x:v>
      </x:c>
      <x:c r="G7183" s="16" t="str">
        <x:v>+60133383120</x:v>
      </x:c>
      <x:c r="H7183" s="16" t="str">
        <x:v>Excluded</x:v>
      </x:c>
      <x:c r="I7183" s="16" t="str">
        <x:v>Missing email</x:v>
      </x:c>
    </x:row>
    <x:row r="7184">
      <x:c r="A7184" s="16" t="n">
        <x:v>7181</x:v>
      </x:c>
      <x:c r="B7184" s="16" t="str">
        <x:v>Zakwan Syakir</x:v>
      </x:c>
      <x:c r="C7184" s="16" t="str"/>
      <x:c r="D7184" s="16" t="str"/>
      <x:c r="E7184" s="16" t="str">
        <x:v>* myContacts</x:v>
      </x:c>
      <x:c r="F7184" s="16" t="str">
        <x:v>+601158566088</x:v>
      </x:c>
      <x:c r="G7184" s="16" t="str">
        <x:v>+601158566088</x:v>
      </x:c>
      <x:c r="H7184" s="16" t="str">
        <x:v>Excluded</x:v>
      </x:c>
      <x:c r="I7184" s="16" t="str">
        <x:v>Missing email</x:v>
      </x:c>
    </x:row>
    <x:row r="7185">
      <x:c r="A7185" s="16" t="n">
        <x:v>7182</x:v>
      </x:c>
      <x:c r="B7185" s="16" t="str">
        <x:v>zal sea walking</x:v>
      </x:c>
      <x:c r="C7185" s="16" t="str"/>
      <x:c r="D7185" s="16" t="str"/>
      <x:c r="E7185" s="16" t="str">
        <x:v>* myContacts</x:v>
      </x:c>
      <x:c r="F7185" s="16" t="str">
        <x:v>+60137426455</x:v>
      </x:c>
      <x:c r="G7185" s="16" t="str">
        <x:v>+60137426455</x:v>
      </x:c>
      <x:c r="H7185" s="16" t="str">
        <x:v>Excluded</x:v>
      </x:c>
      <x:c r="I7185" s="16" t="str">
        <x:v>Missing email</x:v>
      </x:c>
    </x:row>
    <x:row r="7186">
      <x:c r="A7186" s="16" t="n">
        <x:v>7183</x:v>
      </x:c>
      <x:c r="B7186" s="16" t="str">
        <x:v>Zalaikha Eika</x:v>
      </x:c>
      <x:c r="C7186" s="16" t="str"/>
      <x:c r="D7186" s="16" t="str"/>
      <x:c r="E7186" s="16" t="str">
        <x:v>* myContacts</x:v>
      </x:c>
      <x:c r="F7186" s="16" t="str">
        <x:v>+60175252453</x:v>
      </x:c>
      <x:c r="G7186" s="16" t="str">
        <x:v>+60175252453</x:v>
      </x:c>
      <x:c r="H7186" s="16" t="str">
        <x:v>Excluded</x:v>
      </x:c>
      <x:c r="I7186" s="16" t="str">
        <x:v>Missing email</x:v>
      </x:c>
    </x:row>
    <x:row r="7187">
      <x:c r="A7187" s="16" t="n">
        <x:v>7184</x:v>
      </x:c>
      <x:c r="B7187" s="16" t="str">
        <x:v>Zali Razali</x:v>
      </x:c>
      <x:c r="C7187" s="16" t="str"/>
      <x:c r="D7187" s="16" t="str"/>
      <x:c r="E7187" s="16" t="str">
        <x:v>* myContacts</x:v>
      </x:c>
      <x:c r="F7187" s="16" t="str">
        <x:v>+60124532523</x:v>
      </x:c>
      <x:c r="G7187" s="16" t="str">
        <x:v>+60124532523</x:v>
      </x:c>
      <x:c r="H7187" s="16" t="str">
        <x:v>Excluded</x:v>
      </x:c>
      <x:c r="I7187" s="16" t="str">
        <x:v>Missing email</x:v>
      </x:c>
    </x:row>
    <x:row r="7188">
      <x:c r="A7188" s="16" t="n">
        <x:v>7185</x:v>
      </x:c>
      <x:c r="B7188" s="16" t="str">
        <x:v>Zaliah PID Tg. Malim</x:v>
      </x:c>
      <x:c r="C7188" s="16" t="str"/>
      <x:c r="D7188" s="16" t="str"/>
      <x:c r="E7188" s="16" t="str">
        <x:v>* myContacts</x:v>
      </x:c>
      <x:c r="F7188" s="16" t="str">
        <x:v>+60 12-586 5752 | +60125865752</x:v>
      </x:c>
      <x:c r="G7188" s="16" t="str">
        <x:v>+60125865752 | +60125865752</x:v>
      </x:c>
      <x:c r="H7188" s="16" t="str">
        <x:v>Excluded</x:v>
      </x:c>
      <x:c r="I7188" s="16" t="str">
        <x:v>Missing email</x:v>
      </x:c>
    </x:row>
    <x:row r="7189">
      <x:c r="A7189" s="16" t="n">
        <x:v>7186</x:v>
      </x:c>
      <x:c r="B7189" s="16" t="str">
        <x:v>Zalieynaimza Ieyza Lieyza</x:v>
      </x:c>
      <x:c r="C7189" s="16" t="str"/>
      <x:c r="D7189" s="16" t="str"/>
      <x:c r="E7189" s="16" t="str">
        <x:v>* myContacts</x:v>
      </x:c>
      <x:c r="F7189" s="16" t="str">
        <x:v>+60175203795</x:v>
      </x:c>
      <x:c r="G7189" s="16" t="str">
        <x:v>+60175203795</x:v>
      </x:c>
      <x:c r="H7189" s="16" t="str">
        <x:v>Excluded</x:v>
      </x:c>
      <x:c r="I7189" s="16" t="str">
        <x:v>Missing email</x:v>
      </x:c>
    </x:row>
    <x:row r="7190">
      <x:c r="A7190" s="16" t="n">
        <x:v>7187</x:v>
      </x:c>
      <x:c r="B7190" s="16" t="str">
        <x:v>Zalika Sauddi</x:v>
      </x:c>
      <x:c r="C7190" s="16" t="str"/>
      <x:c r="D7190" s="16" t="str"/>
      <x:c r="E7190" s="16" t="str">
        <x:v>* myContacts</x:v>
      </x:c>
      <x:c r="F7190" s="16" t="str">
        <x:v>+60192486573</x:v>
      </x:c>
      <x:c r="G7190" s="16" t="str">
        <x:v>+60192486573</x:v>
      </x:c>
      <x:c r="H7190" s="16" t="str">
        <x:v>Excluded</x:v>
      </x:c>
      <x:c r="I7190" s="16" t="str">
        <x:v>Missing email</x:v>
      </x:c>
    </x:row>
    <x:row r="7191">
      <x:c r="A7191" s="16" t="n">
        <x:v>7188</x:v>
      </x:c>
      <x:c r="B7191" s="16" t="str">
        <x:v>Zalikha Kerani Kbbc</x:v>
      </x:c>
      <x:c r="C7191" s="16" t="str"/>
      <x:c r="D7191" s="16" t="str"/>
      <x:c r="E7191" s="16" t="str">
        <x:v>* myContacts</x:v>
      </x:c>
      <x:c r="F7191" s="16" t="str">
        <x:v>0173136890 | +60173136890</x:v>
      </x:c>
      <x:c r="G7191" s="16" t="str">
        <x:v>+60173136890 | +60173136890</x:v>
      </x:c>
      <x:c r="H7191" s="16" t="str">
        <x:v>Excluded</x:v>
      </x:c>
      <x:c r="I7191" s="16" t="str">
        <x:v>Missing email</x:v>
      </x:c>
    </x:row>
    <x:row r="7192">
      <x:c r="A7192" s="16" t="n">
        <x:v>7189</x:v>
      </x:c>
      <x:c r="B7192" s="16" t="str">
        <x:v>Zalina Zabri</x:v>
      </x:c>
      <x:c r="C7192" s="16" t="str"/>
      <x:c r="D7192" s="16" t="str"/>
      <x:c r="E7192" s="16" t="str">
        <x:v>* myContacts</x:v>
      </x:c>
      <x:c r="F7192" s="16" t="str">
        <x:v>+60125790476</x:v>
      </x:c>
      <x:c r="G7192" s="16" t="str">
        <x:v>+60125790476</x:v>
      </x:c>
      <x:c r="H7192" s="16" t="str">
        <x:v>Excluded</x:v>
      </x:c>
      <x:c r="I7192" s="16" t="str">
        <x:v>Missing email</x:v>
      </x:c>
    </x:row>
    <x:row r="7193">
      <x:c r="A7193" s="16" t="n">
        <x:v>7190</x:v>
      </x:c>
      <x:c r="B7193" s="16" t="str">
        <x:v>Zam Abd Rahman</x:v>
      </x:c>
      <x:c r="C7193" s="16" t="str"/>
      <x:c r="D7193" s="16" t="str"/>
      <x:c r="E7193" s="16" t="str">
        <x:v>* myContacts</x:v>
      </x:c>
      <x:c r="F7193" s="16" t="str">
        <x:v>+601116668786</x:v>
      </x:c>
      <x:c r="G7193" s="16" t="str">
        <x:v>+601116668786</x:v>
      </x:c>
      <x:c r="H7193" s="16" t="str">
        <x:v>Excluded</x:v>
      </x:c>
      <x:c r="I7193" s="16" t="str">
        <x:v>Missing email</x:v>
      </x:c>
    </x:row>
    <x:row r="7194">
      <x:c r="A7194" s="16" t="n">
        <x:v>7191</x:v>
      </x:c>
      <x:c r="B7194" s="16" t="str">
        <x:v>Zam Ngo Politic</x:v>
      </x:c>
      <x:c r="C7194" s="16" t="str"/>
      <x:c r="D7194" s="16" t="str"/>
      <x:c r="E7194" s="16" t="str">
        <x:v>* myContacts</x:v>
      </x:c>
      <x:c r="F7194" s="16" t="str">
        <x:v>0123466450 | +60123466450</x:v>
      </x:c>
      <x:c r="G7194" s="16" t="str">
        <x:v>+60123466450 | +60123466450</x:v>
      </x:c>
      <x:c r="H7194" s="16" t="str">
        <x:v>Excluded</x:v>
      </x:c>
      <x:c r="I7194" s="16" t="str">
        <x:v>Missing email</x:v>
      </x:c>
    </x:row>
    <x:row r="7195">
      <x:c r="A7195" s="16" t="n">
        <x:v>7192</x:v>
      </x:c>
      <x:c r="B7195" s="16" t="str">
        <x:v>Zam Ry AGP</x:v>
      </x:c>
      <x:c r="C7195" s="16" t="str"/>
      <x:c r="D7195" s="16" t="str"/>
      <x:c r="E7195" s="16" t="str">
        <x:v>* myContacts</x:v>
      </x:c>
      <x:c r="F7195" s="16" t="str">
        <x:v>+60126629695</x:v>
      </x:c>
      <x:c r="G7195" s="16" t="str">
        <x:v>+60126629695</x:v>
      </x:c>
      <x:c r="H7195" s="16" t="str">
        <x:v>Excluded</x:v>
      </x:c>
      <x:c r="I7195" s="16" t="str">
        <x:v>Missing email</x:v>
      </x:c>
    </x:row>
    <x:row r="7196">
      <x:c r="A7196" s="16" t="n">
        <x:v>7193</x:v>
      </x:c>
      <x:c r="B7196" s="16" t="str">
        <x:v>Zam Zam Printing SB</x:v>
      </x:c>
      <x:c r="C7196" s="16" t="str"/>
      <x:c r="D7196" s="16" t="str"/>
      <x:c r="E7196" s="16" t="str">
        <x:v>* myContacts</x:v>
      </x:c>
      <x:c r="F7196" s="16" t="str">
        <x:v>+60389122746</x:v>
      </x:c>
      <x:c r="G7196" s="16" t="str">
        <x:v>+60389122746</x:v>
      </x:c>
      <x:c r="H7196" s="16" t="str">
        <x:v>Excluded</x:v>
      </x:c>
      <x:c r="I7196" s="16" t="str">
        <x:v>Missing email</x:v>
      </x:c>
    </x:row>
    <x:row r="7197">
      <x:c r="A7197" s="16" t="n">
        <x:v>7194</x:v>
      </x:c>
      <x:c r="B7197" s="16" t="str">
        <x:v>Zamiah Burhan</x:v>
      </x:c>
      <x:c r="C7197" s="16" t="str"/>
      <x:c r="D7197" s="16" t="str"/>
      <x:c r="E7197" s="16" t="str">
        <x:v>* myContacts</x:v>
      </x:c>
      <x:c r="F7197" s="16" t="str">
        <x:v>+601115709253</x:v>
      </x:c>
      <x:c r="G7197" s="16" t="str">
        <x:v>+601115709253</x:v>
      </x:c>
      <x:c r="H7197" s="16" t="str">
        <x:v>Excluded</x:v>
      </x:c>
      <x:c r="I7197" s="16" t="str">
        <x:v>Missing email</x:v>
      </x:c>
    </x:row>
    <x:row r="7198">
      <x:c r="A7198" s="16" t="n">
        <x:v>7195</x:v>
      </x:c>
      <x:c r="B7198" s="16" t="str">
        <x:v>Zamri Forklift</x:v>
      </x:c>
      <x:c r="C7198" s="16" t="str"/>
      <x:c r="D7198" s="16" t="str"/>
      <x:c r="E7198" s="16" t="str">
        <x:v>* myContacts</x:v>
      </x:c>
      <x:c r="F7198" s="16" t="str">
        <x:v>+601139351269</x:v>
      </x:c>
      <x:c r="G7198" s="16" t="str">
        <x:v>+601139351269</x:v>
      </x:c>
      <x:c r="H7198" s="16" t="str">
        <x:v>Excluded</x:v>
      </x:c>
      <x:c r="I7198" s="16" t="str">
        <x:v>Missing email</x:v>
      </x:c>
    </x:row>
    <x:row r="7199">
      <x:c r="A7199" s="16" t="n">
        <x:v>7196</x:v>
      </x:c>
      <x:c r="B7199" s="16" t="str">
        <x:v>Zamri Jamaludin</x:v>
      </x:c>
      <x:c r="C7199" s="16" t="str"/>
      <x:c r="D7199" s="16" t="str"/>
      <x:c r="E7199" s="16" t="str">
        <x:v>* myContacts</x:v>
      </x:c>
      <x:c r="F7199" s="16" t="str">
        <x:v>+601596158475</x:v>
      </x:c>
      <x:c r="G7199" s="16" t="str">
        <x:v>+601596158475</x:v>
      </x:c>
      <x:c r="H7199" s="16" t="str">
        <x:v>Excluded</x:v>
      </x:c>
      <x:c r="I7199" s="16" t="str">
        <x:v>Missing email</x:v>
      </x:c>
    </x:row>
    <x:row r="7200">
      <x:c r="A7200" s="16" t="n">
        <x:v>7197</x:v>
      </x:c>
      <x:c r="B7200" s="16" t="str">
        <x:v>Zamri JPJ Wangsa Maju</x:v>
      </x:c>
      <x:c r="C7200" s="16" t="str"/>
      <x:c r="D7200" s="16" t="str"/>
      <x:c r="E7200" s="16" t="str">
        <x:v>* myContacts</x:v>
      </x:c>
      <x:c r="F7200" s="16" t="str">
        <x:v>0136832999 | +60136832999</x:v>
      </x:c>
      <x:c r="G7200" s="16" t="str">
        <x:v>+60136832999 | +60136832999</x:v>
      </x:c>
      <x:c r="H7200" s="16" t="str">
        <x:v>Excluded</x:v>
      </x:c>
      <x:c r="I7200" s="16" t="str">
        <x:v>Missing email</x:v>
      </x:c>
    </x:row>
    <x:row r="7201">
      <x:c r="A7201" s="16" t="n">
        <x:v>7198</x:v>
      </x:c>
      <x:c r="B7201" s="16" t="str">
        <x:v>zamri kasi jadi web</x:v>
      </x:c>
      <x:c r="C7201" s="16" t="str"/>
      <x:c r="D7201" s="16" t="str"/>
      <x:c r="E7201" s="16" t="str">
        <x:v>* myContacts</x:v>
      </x:c>
      <x:c r="F7201" s="16" t="str">
        <x:v>019-281 6779 | +60192816779</x:v>
      </x:c>
      <x:c r="G7201" s="16" t="str">
        <x:v>+60192816779 | +60192816779</x:v>
      </x:c>
      <x:c r="H7201" s="16" t="str">
        <x:v>Excluded</x:v>
      </x:c>
      <x:c r="I7201" s="16" t="str">
        <x:v>Missing email</x:v>
      </x:c>
    </x:row>
    <x:row r="7202">
      <x:c r="A7202" s="16" t="n">
        <x:v>7199</x:v>
      </x:c>
      <x:c r="B7202" s="16" t="str">
        <x:v>Zamri Meri</x:v>
      </x:c>
      <x:c r="C7202" s="16" t="str"/>
      <x:c r="D7202" s="16" t="str"/>
      <x:c r="E7202" s="16" t="str">
        <x:v>* myContacts</x:v>
      </x:c>
      <x:c r="F7202" s="16" t="str">
        <x:v>+601119295966</x:v>
      </x:c>
      <x:c r="G7202" s="16" t="str">
        <x:v>+601119295966</x:v>
      </x:c>
      <x:c r="H7202" s="16" t="str">
        <x:v>Excluded</x:v>
      </x:c>
      <x:c r="I7202" s="16" t="str">
        <x:v>Missing email</x:v>
      </x:c>
    </x:row>
    <x:row r="7203">
      <x:c r="A7203" s="16" t="n">
        <x:v>7200</x:v>
      </x:c>
      <x:c r="B7203" s="16" t="str">
        <x:v>Zamri Romaniaga Tangkak</x:v>
      </x:c>
      <x:c r="C7203" s="16" t="str"/>
      <x:c r="D7203" s="16" t="str"/>
      <x:c r="E7203" s="16" t="str">
        <x:v>* myContacts</x:v>
      </x:c>
      <x:c r="F7203" s="16" t="str">
        <x:v>+60196076763</x:v>
      </x:c>
      <x:c r="G7203" s="16" t="str">
        <x:v>+60196076763</x:v>
      </x:c>
      <x:c r="H7203" s="16" t="str">
        <x:v>Excluded</x:v>
      </x:c>
      <x:c r="I7203" s="16" t="str">
        <x:v>Missing email</x:v>
      </x:c>
    </x:row>
    <x:row r="7204">
      <x:c r="A7204" s="16" t="n">
        <x:v>7201</x:v>
      </x:c>
      <x:c r="B7204" s="16" t="str">
        <x:v>Zamzulaika Kassim</x:v>
      </x:c>
      <x:c r="C7204" s="16" t="str"/>
      <x:c r="D7204" s="16" t="str"/>
      <x:c r="E7204" s="16" t="str">
        <x:v>* myContacts</x:v>
      </x:c>
      <x:c r="F7204" s="16" t="str">
        <x:v>+601126540970</x:v>
      </x:c>
      <x:c r="G7204" s="16" t="str">
        <x:v>+601126540970</x:v>
      </x:c>
      <x:c r="H7204" s="16" t="str">
        <x:v>Excluded</x:v>
      </x:c>
      <x:c r="I7204" s="16" t="str">
        <x:v>Missing email</x:v>
      </x:c>
    </x:row>
    <x:row r="7205">
      <x:c r="A7205" s="16" t="n">
        <x:v>7202</x:v>
      </x:c>
      <x:c r="B7205" s="16" t="str">
        <x:v>zamzulia Meatech</x:v>
      </x:c>
      <x:c r="C7205" s="16" t="str"/>
      <x:c r="D7205" s="16" t="str"/>
      <x:c r="E7205" s="16" t="str">
        <x:v>* myContacts</x:v>
      </x:c>
      <x:c r="F7205" s="16" t="str">
        <x:v>+60 19-632 0146 | +60196320146</x:v>
      </x:c>
      <x:c r="G7205" s="16" t="str">
        <x:v>+60196320146 | +60196320146</x:v>
      </x:c>
      <x:c r="H7205" s="16" t="str">
        <x:v>Excluded</x:v>
      </x:c>
      <x:c r="I7205" s="16" t="str">
        <x:v>Missing email</x:v>
      </x:c>
    </x:row>
    <x:row r="7206">
      <x:c r="A7206" s="16" t="n">
        <x:v>7203</x:v>
      </x:c>
      <x:c r="B7206" s="16" t="str">
        <x:v>Zamzuri Aia Takaful</x:v>
      </x:c>
      <x:c r="C7206" s="16" t="str"/>
      <x:c r="D7206" s="16" t="str"/>
      <x:c r="E7206" s="16" t="str">
        <x:v>* myContacts</x:v>
      </x:c>
      <x:c r="F7206" s="16" t="str">
        <x:v>+60134118926</x:v>
      </x:c>
      <x:c r="G7206" s="16" t="str">
        <x:v>+60134118926</x:v>
      </x:c>
      <x:c r="H7206" s="16" t="str">
        <x:v>Excluded</x:v>
      </x:c>
      <x:c r="I7206" s="16" t="str">
        <x:v>Missing email</x:v>
      </x:c>
    </x:row>
    <x:row r="7207">
      <x:c r="A7207" s="16" t="n">
        <x:v>7204</x:v>
      </x:c>
      <x:c r="B7207" s="16" t="str">
        <x:v>ZAMZURIMAN Tekun Nasional</x:v>
      </x:c>
      <x:c r="C7207" s="16" t="str"/>
      <x:c r="D7207" s="16" t="str"/>
      <x:c r="E7207" s="16" t="str">
        <x:v>* myContacts</x:v>
      </x:c>
      <x:c r="F7207" s="16" t="str">
        <x:v>+60 17-319 8048 | +60173198048</x:v>
      </x:c>
      <x:c r="G7207" s="16" t="str">
        <x:v>+60173198048 | +60173198048</x:v>
      </x:c>
      <x:c r="H7207" s="16" t="str">
        <x:v>Excluded</x:v>
      </x:c>
      <x:c r="I7207" s="16" t="str">
        <x:v>Missing email</x:v>
      </x:c>
    </x:row>
    <x:row r="7208">
      <x:c r="A7208" s="16" t="n">
        <x:v>7205</x:v>
      </x:c>
      <x:c r="B7208" s="16" t="str">
        <x:v>Zana Ruzanna Rahim</x:v>
      </x:c>
      <x:c r="C7208" s="16" t="str"/>
      <x:c r="D7208" s="16" t="str"/>
      <x:c r="E7208" s="16" t="str">
        <x:v>* myContacts</x:v>
      </x:c>
      <x:c r="F7208" s="16" t="str">
        <x:v>+601132285861</x:v>
      </x:c>
      <x:c r="G7208" s="16" t="str">
        <x:v>+601132285861</x:v>
      </x:c>
      <x:c r="H7208" s="16" t="str">
        <x:v>Excluded</x:v>
      </x:c>
      <x:c r="I7208" s="16" t="str">
        <x:v>Missing email</x:v>
      </x:c>
    </x:row>
    <x:row r="7209">
      <x:c r="A7209" s="16" t="n">
        <x:v>7206</x:v>
      </x:c>
      <x:c r="B7209" s="16" t="str">
        <x:v>Zana Student</x:v>
      </x:c>
      <x:c r="C7209" s="16" t="str"/>
      <x:c r="D7209" s="16" t="str"/>
      <x:c r="E7209" s="16" t="str">
        <x:v>* myContacts</x:v>
      </x:c>
      <x:c r="F7209" s="16" t="str">
        <x:v>0173784441 | +60173784441</x:v>
      </x:c>
      <x:c r="G7209" s="16" t="str">
        <x:v>+60173784441 | +60173784441</x:v>
      </x:c>
      <x:c r="H7209" s="16" t="str">
        <x:v>Excluded</x:v>
      </x:c>
      <x:c r="I7209" s="16" t="str">
        <x:v>Missing email</x:v>
      </x:c>
    </x:row>
    <x:row r="7210">
      <x:c r="A7210" s="16" t="n">
        <x:v>7207</x:v>
      </x:c>
      <x:c r="B7210" s="16" t="str">
        <x:v>Zanarita Mat Lazi</x:v>
      </x:c>
      <x:c r="C7210" s="16" t="str"/>
      <x:c r="D7210" s="16" t="str"/>
      <x:c r="E7210" s="16" t="str">
        <x:v>* myContacts</x:v>
      </x:c>
      <x:c r="F7210" s="16" t="str">
        <x:v>+60179129891</x:v>
      </x:c>
      <x:c r="G7210" s="16" t="str">
        <x:v>+60179129891</x:v>
      </x:c>
      <x:c r="H7210" s="16" t="str">
        <x:v>Excluded</x:v>
      </x:c>
      <x:c r="I7210" s="16" t="str">
        <x:v>Missing email</x:v>
      </x:c>
    </x:row>
    <x:row r="7211">
      <x:c r="A7211" s="16" t="n">
        <x:v>7208</x:v>
      </x:c>
      <x:c r="B7211" s="16" t="str">
        <x:v>Zarak Amjad</x:v>
      </x:c>
      <x:c r="C7211" s="16" t="str"/>
      <x:c r="D7211" s="16" t="str"/>
      <x:c r="E7211" s="16" t="str">
        <x:v>* myContacts</x:v>
      </x:c>
      <x:c r="F7211" s="16" t="str">
        <x:v>+923429843300</x:v>
      </x:c>
      <x:c r="G7211" s="16" t="str">
        <x:v>+923429843300</x:v>
      </x:c>
      <x:c r="H7211" s="16" t="str">
        <x:v>Excluded</x:v>
      </x:c>
      <x:c r="I7211" s="16" t="str">
        <x:v>Missing email</x:v>
      </x:c>
    </x:row>
    <x:row r="7212">
      <x:c r="A7212" s="16" t="n">
        <x:v>7209</x:v>
      </x:c>
      <x:c r="B7212" s="16" t="str">
        <x:v>Zarep IM</x:v>
      </x:c>
      <x:c r="C7212" s="16" t="str"/>
      <x:c r="D7212" s="16" t="str"/>
      <x:c r="E7212" s="16" t="str">
        <x:v>* myContacts</x:v>
      </x:c>
      <x:c r="F7212" s="16" t="str">
        <x:v>+60 18-914 7212 | +60189147212</x:v>
      </x:c>
      <x:c r="G7212" s="16" t="str">
        <x:v>+60189147212 | +60189147212</x:v>
      </x:c>
      <x:c r="H7212" s="16" t="str">
        <x:v>Excluded</x:v>
      </x:c>
      <x:c r="I7212" s="16" t="str">
        <x:v>Missing email</x:v>
      </x:c>
    </x:row>
    <x:row r="7213">
      <x:c r="A7213" s="16" t="n">
        <x:v>7210</x:v>
      </x:c>
      <x:c r="B7213" s="16" t="str">
        <x:v>Zari Dropship Operator</x:v>
      </x:c>
      <x:c r="C7213" s="16" t="str"/>
      <x:c r="D7213" s="16" t="str"/>
      <x:c r="E7213" s="16" t="str">
        <x:v>* myContacts</x:v>
      </x:c>
      <x:c r="F7213" s="16" t="str">
        <x:v>0178802488 | +60178802488</x:v>
      </x:c>
      <x:c r="G7213" s="16" t="str">
        <x:v>+60178802488 | +60178802488</x:v>
      </x:c>
      <x:c r="H7213" s="16" t="str">
        <x:v>Excluded</x:v>
      </x:c>
      <x:c r="I7213" s="16" t="str">
        <x:v>Missing email</x:v>
      </x:c>
    </x:row>
    <x:row r="7214">
      <x:c r="A7214" s="16" t="n">
        <x:v>7211</x:v>
      </x:c>
      <x:c r="B7214" s="16" t="str">
        <x:v>Zarif</x:v>
      </x:c>
      <x:c r="C7214" s="16" t="str"/>
      <x:c r="D7214" s="16" t="str"/>
      <x:c r="E7214" s="16" t="str">
        <x:v>* myContacts</x:v>
      </x:c>
      <x:c r="F7214" s="16" t="str">
        <x:v>+60 11-3350 8505 | +601133508505</x:v>
      </x:c>
      <x:c r="G7214" s="16" t="str">
        <x:v>+601133508505 | +601133508505</x:v>
      </x:c>
      <x:c r="H7214" s="16" t="str">
        <x:v>Excluded</x:v>
      </x:c>
      <x:c r="I7214" s="16" t="str">
        <x:v>Missing email</x:v>
      </x:c>
    </x:row>
    <x:row r="7215">
      <x:c r="A7215" s="16" t="n">
        <x:v>7212</x:v>
      </x:c>
      <x:c r="B7215" s="16" t="str">
        <x:v>Tuan Zarif Fikri</x:v>
      </x:c>
      <x:c r="C7215" s="16" t="str"/>
      <x:c r="D7215" s="16" t="str"/>
      <x:c r="E7215" s="16" t="str">
        <x:v>* myContacts</x:v>
      </x:c>
      <x:c r="F7215" s="16" t="str">
        <x:v>+60 17-911 1562</x:v>
      </x:c>
      <x:c r="G7215" s="16" t="str">
        <x:v>+60179111562</x:v>
      </x:c>
      <x:c r="H7215" s="16" t="str">
        <x:v>Excluded</x:v>
      </x:c>
      <x:c r="I7215" s="16" t="str">
        <x:v>Missing email</x:v>
      </x:c>
    </x:row>
    <x:row r="7216">
      <x:c r="A7216" s="16" t="n">
        <x:v>7213</x:v>
      </x:c>
      <x:c r="B7216" s="16" t="str">
        <x:v>Zariha Opecks II</x:v>
      </x:c>
      <x:c r="C7216" s="16" t="str"/>
      <x:c r="D7216" s="16" t="str"/>
      <x:c r="E7216" s="16" t="str">
        <x:v>* myContacts</x:v>
      </x:c>
      <x:c r="F7216" s="16" t="str">
        <x:v>+601136820641</x:v>
      </x:c>
      <x:c r="G7216" s="16" t="str">
        <x:v>+601136820641</x:v>
      </x:c>
      <x:c r="H7216" s="16" t="str">
        <x:v>Excluded</x:v>
      </x:c>
      <x:c r="I7216" s="16" t="str">
        <x:v>Missing email</x:v>
      </x:c>
    </x:row>
    <x:row r="7217">
      <x:c r="A7217" s="16" t="n">
        <x:v>7214</x:v>
      </x:c>
      <x:c r="B7217" s="16" t="str">
        <x:v>Zarin Empayar Kotak</x:v>
      </x:c>
      <x:c r="C7217" s="16" t="str"/>
      <x:c r="D7217" s="16" t="str"/>
      <x:c r="E7217" s="16" t="str">
        <x:v>* myContacts</x:v>
      </x:c>
      <x:c r="F7217" s="16" t="str">
        <x:v>0198439656 | +60198439656</x:v>
      </x:c>
      <x:c r="G7217" s="16" t="str">
        <x:v>+60198439656 | +60198439656</x:v>
      </x:c>
      <x:c r="H7217" s="16" t="str">
        <x:v>Excluded</x:v>
      </x:c>
      <x:c r="I7217" s="16" t="str">
        <x:v>Missing email</x:v>
      </x:c>
    </x:row>
    <x:row r="7218">
      <x:c r="A7218" s="16" t="n">
        <x:v>7215</x:v>
      </x:c>
      <x:c r="B7218" s="16" t="str">
        <x:v>Zarina Anis</x:v>
      </x:c>
      <x:c r="C7218" s="16" t="str"/>
      <x:c r="D7218" s="16" t="str"/>
      <x:c r="E7218" s="16" t="str">
        <x:v>* myContacts</x:v>
      </x:c>
      <x:c r="F7218" s="16" t="str">
        <x:v>+60139911641</x:v>
      </x:c>
      <x:c r="G7218" s="16" t="str">
        <x:v>+60139911641</x:v>
      </x:c>
      <x:c r="H7218" s="16" t="str">
        <x:v>Excluded</x:v>
      </x:c>
      <x:c r="I7218" s="16" t="str">
        <x:v>Missing email</x:v>
      </x:c>
    </x:row>
    <x:row r="7219">
      <x:c r="A7219" s="16" t="n">
        <x:v>7216</x:v>
      </x:c>
      <x:c r="B7219" s="16" t="str">
        <x:v>Zarinah Jin</x:v>
      </x:c>
      <x:c r="C7219" s="16" t="str"/>
      <x:c r="D7219" s="16" t="str"/>
      <x:c r="E7219" s="16" t="str">
        <x:v>* myContacts</x:v>
      </x:c>
      <x:c r="F7219" s="16" t="str">
        <x:v>+60129023119</x:v>
      </x:c>
      <x:c r="G7219" s="16" t="str">
        <x:v>+60129023119</x:v>
      </x:c>
      <x:c r="H7219" s="16" t="str">
        <x:v>Excluded</x:v>
      </x:c>
      <x:c r="I7219" s="16" t="str">
        <x:v>Missing email</x:v>
      </x:c>
    </x:row>
    <x:row r="7220">
      <x:c r="A7220" s="16" t="n">
        <x:v>7217</x:v>
      </x:c>
      <x:c r="B7220" s="16" t="str">
        <x:v>Zarmi Zaibal Abidin</x:v>
      </x:c>
      <x:c r="C7220" s="16" t="str"/>
      <x:c r="D7220" s="16" t="str"/>
      <x:c r="E7220" s="16" t="str">
        <x:v>* myContacts</x:v>
      </x:c>
      <x:c r="F7220" s="16" t="str">
        <x:v>+60143999313</x:v>
      </x:c>
      <x:c r="G7220" s="16" t="str">
        <x:v>+60143999313</x:v>
      </x:c>
      <x:c r="H7220" s="16" t="str">
        <x:v>Excluded</x:v>
      </x:c>
      <x:c r="I7220" s="16" t="str">
        <x:v>Missing email</x:v>
      </x:c>
    </x:row>
    <x:row r="7221">
      <x:c r="A7221" s="16" t="n">
        <x:v>7218</x:v>
      </x:c>
      <x:c r="B7221" s="16" t="str">
        <x:v>Zarra Lavender</x:v>
      </x:c>
      <x:c r="C7221" s="16" t="str"/>
      <x:c r="D7221" s="16" t="str"/>
      <x:c r="E7221" s="16" t="str">
        <x:v>* myContacts</x:v>
      </x:c>
      <x:c r="F7221" s="16" t="str">
        <x:v>+60172472534</x:v>
      </x:c>
      <x:c r="G7221" s="16" t="str">
        <x:v>+60172472534</x:v>
      </x:c>
      <x:c r="H7221" s="16" t="str">
        <x:v>Excluded</x:v>
      </x:c>
      <x:c r="I7221" s="16" t="str">
        <x:v>Missing email</x:v>
      </x:c>
    </x:row>
    <x:row r="7222">
      <x:c r="A7222" s="16" t="n">
        <x:v>7219</x:v>
      </x:c>
      <x:c r="B7222" s="16" t="str">
        <x:v>Zarra Lawalah</x:v>
      </x:c>
      <x:c r="C7222" s="16" t="str"/>
      <x:c r="D7222" s="16" t="str"/>
      <x:c r="E7222" s="16" t="str">
        <x:v>* myContacts</x:v>
      </x:c>
      <x:c r="F7222" s="16" t="str">
        <x:v>+60175559480</x:v>
      </x:c>
      <x:c r="G7222" s="16" t="str">
        <x:v>+60175559480</x:v>
      </x:c>
      <x:c r="H7222" s="16" t="str">
        <x:v>Excluded</x:v>
      </x:c>
      <x:c r="I7222" s="16" t="str">
        <x:v>Missing email</x:v>
      </x:c>
    </x:row>
    <x:row r="7223">
      <x:c r="A7223" s="16" t="n">
        <x:v>7220</x:v>
      </x:c>
      <x:c r="B7223" s="16" t="str">
        <x:v>Zati Azhani Abdul Rahman</x:v>
      </x:c>
      <x:c r="C7223" s="16" t="str"/>
      <x:c r="D7223" s="16" t="str"/>
      <x:c r="E7223" s="16" t="str">
        <x:v>* myContacts</x:v>
      </x:c>
      <x:c r="F7223" s="16" t="str">
        <x:v>+60149876484</x:v>
      </x:c>
      <x:c r="G7223" s="16" t="str">
        <x:v>+60149876484</x:v>
      </x:c>
      <x:c r="H7223" s="16" t="str">
        <x:v>Excluded</x:v>
      </x:c>
      <x:c r="I7223" s="16" t="str">
        <x:v>Missing email</x:v>
      </x:c>
    </x:row>
    <x:row r="7224">
      <x:c r="A7224" s="16" t="n">
        <x:v>7221</x:v>
      </x:c>
      <x:c r="B7224" s="16" t="str">
        <x:v>Zati Shafie</x:v>
      </x:c>
      <x:c r="C7224" s="16" t="str"/>
      <x:c r="D7224" s="16" t="str"/>
      <x:c r="E7224" s="16" t="str">
        <x:v>* myContacts</x:v>
      </x:c>
      <x:c r="F7224" s="16" t="str">
        <x:v>+60163594788</x:v>
      </x:c>
      <x:c r="G7224" s="16" t="str">
        <x:v>+60163594788</x:v>
      </x:c>
      <x:c r="H7224" s="16" t="str">
        <x:v>Excluded</x:v>
      </x:c>
      <x:c r="I7224" s="16" t="str">
        <x:v>Missing email</x:v>
      </x:c>
    </x:row>
    <x:row r="7225">
      <x:c r="A7225" s="16" t="n">
        <x:v>7222</x:v>
      </x:c>
      <x:c r="B7225" s="16" t="str">
        <x:v>Zaty Zaly</x:v>
      </x:c>
      <x:c r="C7225" s="16" t="str"/>
      <x:c r="D7225" s="16" t="str"/>
      <x:c r="E7225" s="16" t="str">
        <x:v>* myContacts</x:v>
      </x:c>
      <x:c r="F7225" s="16" t="str">
        <x:v>+60136970203</x:v>
      </x:c>
      <x:c r="G7225" s="16" t="str">
        <x:v>+60136970203</x:v>
      </x:c>
      <x:c r="H7225" s="16" t="str">
        <x:v>Excluded</x:v>
      </x:c>
      <x:c r="I7225" s="16" t="str">
        <x:v>Missing email</x:v>
      </x:c>
    </x:row>
    <x:row r="7226">
      <x:c r="A7226" s="16" t="n">
        <x:v>7223</x:v>
      </x:c>
      <x:c r="B7226" s="16" t="str">
        <x:v>Zawanis Idris</x:v>
      </x:c>
      <x:c r="C7226" s="16" t="str"/>
      <x:c r="D7226" s="16" t="str"/>
      <x:c r="E7226" s="16" t="str">
        <x:v>* myContacts</x:v>
      </x:c>
      <x:c r="F7226" s="16" t="str">
        <x:v>+60169531315</x:v>
      </x:c>
      <x:c r="G7226" s="16" t="str">
        <x:v>+60169531315</x:v>
      </x:c>
      <x:c r="H7226" s="16" t="str">
        <x:v>Excluded</x:v>
      </x:c>
      <x:c r="I7226" s="16" t="str">
        <x:v>Missing email</x:v>
      </x:c>
    </x:row>
    <x:row r="7227">
      <x:c r="A7227" s="16" t="n">
        <x:v>7224</x:v>
      </x:c>
      <x:c r="B7227" s="16" t="str">
        <x:v>Zeck Zaiddy</x:v>
      </x:c>
      <x:c r="C7227" s="16" t="str"/>
      <x:c r="D7227" s="16" t="str"/>
      <x:c r="E7227" s="16" t="str">
        <x:v>* myContacts</x:v>
      </x:c>
      <x:c r="F7227" s="16" t="str">
        <x:v>+60162787854</x:v>
      </x:c>
      <x:c r="G7227" s="16" t="str">
        <x:v>+60162787854</x:v>
      </x:c>
      <x:c r="H7227" s="16" t="str">
        <x:v>Excluded</x:v>
      </x:c>
      <x:c r="I7227" s="16" t="str">
        <x:v>Missing email</x:v>
      </x:c>
    </x:row>
    <x:row r="7228">
      <x:c r="A7228" s="16" t="n">
        <x:v>7225</x:v>
      </x:c>
      <x:c r="B7228" s="16" t="str">
        <x:v>Zehan Siti</x:v>
      </x:c>
      <x:c r="C7228" s="16" t="str"/>
      <x:c r="D7228" s="16" t="str"/>
      <x:c r="E7228" s="16" t="str">
        <x:v>* myContacts</x:v>
      </x:c>
      <x:c r="F7228" s="16" t="str">
        <x:v>+60176161890</x:v>
      </x:c>
      <x:c r="G7228" s="16" t="str">
        <x:v>+60176161890</x:v>
      </x:c>
      <x:c r="H7228" s="16" t="str">
        <x:v>Excluded</x:v>
      </x:c>
      <x:c r="I7228" s="16" t="str">
        <x:v>Missing email</x:v>
      </x:c>
    </x:row>
    <x:row r="7229">
      <x:c r="A7229" s="16" t="n">
        <x:v>7226</x:v>
      </x:c>
      <x:c r="B7229" s="16" t="str">
        <x:v>Zeti Khalid</x:v>
      </x:c>
      <x:c r="C7229" s="16" t="str"/>
      <x:c r="D7229" s="16" t="str"/>
      <x:c r="E7229" s="16" t="str">
        <x:v>* myContacts</x:v>
      </x:c>
      <x:c r="F7229" s="16" t="str">
        <x:v>+60133330194</x:v>
      </x:c>
      <x:c r="G7229" s="16" t="str">
        <x:v>+60133330194</x:v>
      </x:c>
      <x:c r="H7229" s="16" t="str">
        <x:v>Excluded</x:v>
      </x:c>
      <x:c r="I7229" s="16" t="str">
        <x:v>Missing email</x:v>
      </x:c>
    </x:row>
    <x:row r="7230">
      <x:c r="A7230" s="16" t="n">
        <x:v>7227</x:v>
      </x:c>
      <x:c r="B7230" s="16" t="str">
        <x:v>Zetty Trainer Mdec Johor</x:v>
      </x:c>
      <x:c r="C7230" s="16" t="str"/>
      <x:c r="D7230" s="16" t="str"/>
      <x:c r="E7230" s="16" t="str">
        <x:v>Trainer | * myContacts</x:v>
      </x:c>
      <x:c r="F7230" s="16" t="str">
        <x:v>+60177161772</x:v>
      </x:c>
      <x:c r="G7230" s="16" t="str">
        <x:v>+60177161772</x:v>
      </x:c>
      <x:c r="H7230" s="16" t="str">
        <x:v>Excluded</x:v>
      </x:c>
      <x:c r="I7230" s="16" t="str">
        <x:v>Missing email</x:v>
      </x:c>
    </x:row>
    <x:row r="7231">
      <x:c r="A7231" s="16" t="n">
        <x:v>7228</x:v>
      </x:c>
      <x:c r="B7231" s="16" t="str">
        <x:v>𝒁𝒉𝒂𝒇𝒊𝒓 𝒀𝒂𝒛𝒊𝒌 Upsi</x:v>
      </x:c>
      <x:c r="C7231" s="16" t="str"/>
      <x:c r="D7231" s="16" t="str"/>
      <x:c r="E7231" s="16" t="str">
        <x:v>* myContacts</x:v>
      </x:c>
      <x:c r="F7231" s="16" t="str">
        <x:v>+60 11-1070 2804 | +601110702804</x:v>
      </x:c>
      <x:c r="G7231" s="16" t="str">
        <x:v>+601110702804 | +601110702804</x:v>
      </x:c>
      <x:c r="H7231" s="16" t="str">
        <x:v>Excluded</x:v>
      </x:c>
      <x:c r="I7231" s="16" t="str">
        <x:v>Missing email</x:v>
      </x:c>
    </x:row>
    <x:row r="7232">
      <x:c r="A7232" s="16" t="n">
        <x:v>7229</x:v>
      </x:c>
      <x:c r="B7232" s="16" t="str">
        <x:v>Zhafran Fazren</x:v>
      </x:c>
      <x:c r="C7232" s="16" t="str"/>
      <x:c r="D7232" s="16" t="str"/>
      <x:c r="E7232" s="16" t="str">
        <x:v>* myContacts</x:v>
      </x:c>
      <x:c r="F7232" s="16" t="str">
        <x:v>+60174022248</x:v>
      </x:c>
      <x:c r="G7232" s="16" t="str">
        <x:v>+60174022248</x:v>
      </x:c>
      <x:c r="H7232" s="16" t="str">
        <x:v>Excluded</x:v>
      </x:c>
      <x:c r="I7232" s="16" t="str">
        <x:v>Missing email</x:v>
      </x:c>
    </x:row>
    <x:row r="7233">
      <x:c r="A7233" s="16" t="n">
        <x:v>7230</x:v>
      </x:c>
      <x:c r="B7233" s="16" t="str">
        <x:v>zhulan jpj</x:v>
      </x:c>
      <x:c r="C7233" s="16" t="str"/>
      <x:c r="D7233" s="16" t="str"/>
      <x:c r="E7233" s="16" t="str">
        <x:v>* myContacts</x:v>
      </x:c>
      <x:c r="F7233" s="16" t="str">
        <x:v>+60 19-555 9388 | +60195559388</x:v>
      </x:c>
      <x:c r="G7233" s="16" t="str">
        <x:v>+60195559388 | +60195559388</x:v>
      </x:c>
      <x:c r="H7233" s="16" t="str">
        <x:v>Excluded</x:v>
      </x:c>
      <x:c r="I7233" s="16" t="str">
        <x:v>Missing email</x:v>
      </x:c>
    </x:row>
    <x:row r="7234">
      <x:c r="A7234" s="16" t="n">
        <x:v>7231</x:v>
      </x:c>
      <x:c r="B7234" s="16" t="str">
        <x:v>Zi Sha</x:v>
      </x:c>
      <x:c r="C7234" s="16" t="str"/>
      <x:c r="D7234" s="16" t="str"/>
      <x:c r="E7234" s="16" t="str">
        <x:v>* myContacts</x:v>
      </x:c>
      <x:c r="F7234" s="16" t="str">
        <x:v>+601110794478</x:v>
      </x:c>
      <x:c r="G7234" s="16" t="str">
        <x:v>+601110794478</x:v>
      </x:c>
      <x:c r="H7234" s="16" t="str">
        <x:v>Excluded</x:v>
      </x:c>
      <x:c r="I7234" s="16" t="str">
        <x:v>Missing email</x:v>
      </x:c>
    </x:row>
    <x:row r="7235">
      <x:c r="A7235" s="16" t="n">
        <x:v>7232</x:v>
      </x:c>
      <x:c r="B7235" s="16" t="str">
        <x:v>Zie Zie</x:v>
      </x:c>
      <x:c r="C7235" s="16" t="str"/>
      <x:c r="D7235" s="16" t="str"/>
      <x:c r="E7235" s="16" t="str">
        <x:v>* myContacts</x:v>
      </x:c>
      <x:c r="F7235" s="16" t="str">
        <x:v>+60133456250</x:v>
      </x:c>
      <x:c r="G7235" s="16" t="str">
        <x:v>+60133456250</x:v>
      </x:c>
      <x:c r="H7235" s="16" t="str">
        <x:v>Excluded</x:v>
      </x:c>
      <x:c r="I7235" s="16" t="str">
        <x:v>Missing email</x:v>
      </x:c>
    </x:row>
    <x:row r="7236">
      <x:c r="A7236" s="16" t="n">
        <x:v>7233</x:v>
      </x:c>
      <x:c r="B7236" s="16" t="str">
        <x:v>Ziera founder girlsscarves2018</x:v>
      </x:c>
      <x:c r="C7236" s="16" t="str"/>
      <x:c r="D7236" s="16" t="str"/>
      <x:c r="E7236" s="16" t="str">
        <x:v>* myContacts</x:v>
      </x:c>
      <x:c r="F7236" s="16" t="str">
        <x:v>+60 13-822 6553 | +60138226553</x:v>
      </x:c>
      <x:c r="G7236" s="16" t="str">
        <x:v>+60138226553 | +60138226553</x:v>
      </x:c>
      <x:c r="H7236" s="16" t="str">
        <x:v>Excluded</x:v>
      </x:c>
      <x:c r="I7236" s="16" t="str">
        <x:v>Missing email</x:v>
      </x:c>
    </x:row>
    <x:row r="7237">
      <x:c r="A7237" s="16" t="n">
        <x:v>7234</x:v>
      </x:c>
      <x:c r="B7237" s="16" t="str">
        <x:v>Zigov Apprl</x:v>
      </x:c>
      <x:c r="C7237" s="16" t="str"/>
      <x:c r="D7237" s="16" t="str"/>
      <x:c r="E7237" s="16" t="str">
        <x:v>* myContacts</x:v>
      </x:c>
      <x:c r="F7237" s="16" t="str">
        <x:v>+601110108585</x:v>
      </x:c>
      <x:c r="G7237" s="16" t="str">
        <x:v>+601110108585</x:v>
      </x:c>
      <x:c r="H7237" s="16" t="str">
        <x:v>Excluded</x:v>
      </x:c>
      <x:c r="I7237" s="16" t="str">
        <x:v>Missing email</x:v>
      </x:c>
    </x:row>
    <x:row r="7238">
      <x:c r="A7238" s="16" t="n">
        <x:v>7235</x:v>
      </x:c>
      <x:c r="B7238" s="16" t="str">
        <x:v>Zikri Aimi Academy</x:v>
      </x:c>
      <x:c r="C7238" s="16" t="str"/>
      <x:c r="D7238" s="16" t="str"/>
      <x:c r="E7238" s="16" t="str">
        <x:v>* myContacts</x:v>
      </x:c>
      <x:c r="F7238" s="16" t="str">
        <x:v>0196824854 | +60196824854</x:v>
      </x:c>
      <x:c r="G7238" s="16" t="str">
        <x:v>+60196824854 | +60196824854</x:v>
      </x:c>
      <x:c r="H7238" s="16" t="str">
        <x:v>Excluded</x:v>
      </x:c>
      <x:c r="I7238" s="16" t="str">
        <x:v>Missing email</x:v>
      </x:c>
    </x:row>
    <x:row r="7239">
      <x:c r="A7239" s="16" t="n">
        <x:v>7236</x:v>
      </x:c>
      <x:c r="B7239" s="16" t="str">
        <x:v>ZilFahriza Ru Khairil</x:v>
      </x:c>
      <x:c r="C7239" s="16" t="str"/>
      <x:c r="D7239" s="16" t="str"/>
      <x:c r="E7239" s="16" t="str">
        <x:v>* myContacts</x:v>
      </x:c>
      <x:c r="F7239" s="16" t="str">
        <x:v>+60192822778</x:v>
      </x:c>
      <x:c r="G7239" s="16" t="str">
        <x:v>+60192822778</x:v>
      </x:c>
      <x:c r="H7239" s="16" t="str">
        <x:v>Excluded</x:v>
      </x:c>
      <x:c r="I7239" s="16" t="str">
        <x:v>Missing email</x:v>
      </x:c>
    </x:row>
    <x:row r="7240">
      <x:c r="A7240" s="16" t="n">
        <x:v>7237</x:v>
      </x:c>
      <x:c r="B7240" s="16" t="str">
        <x:v>Zilla Sweetsorpresa Bn</x:v>
      </x:c>
      <x:c r="C7240" s="16" t="str"/>
      <x:c r="D7240" s="16" t="str"/>
      <x:c r="E7240" s="16" t="str">
        <x:v>* myContacts</x:v>
      </x:c>
      <x:c r="F7240" s="16" t="str">
        <x:v>+6737115872</x:v>
      </x:c>
      <x:c r="G7240" s="16" t="str">
        <x:v>+6737115872</x:v>
      </x:c>
      <x:c r="H7240" s="16" t="str">
        <x:v>Excluded</x:v>
      </x:c>
      <x:c r="I7240" s="16" t="str">
        <x:v>Missing email</x:v>
      </x:c>
    </x:row>
    <x:row r="7241">
      <x:c r="A7241" s="16" t="n">
        <x:v>7238</x:v>
      </x:c>
      <x:c r="B7241" s="16" t="str">
        <x:v>Zizulumie Lias</x:v>
      </x:c>
      <x:c r="C7241" s="16" t="str"/>
      <x:c r="D7241" s="16" t="str"/>
      <x:c r="E7241" s="16" t="str">
        <x:v>* myContacts</x:v>
      </x:c>
      <x:c r="F7241" s="16" t="str">
        <x:v>+60197397746</x:v>
      </x:c>
      <x:c r="G7241" s="16" t="str">
        <x:v>+60197397746</x:v>
      </x:c>
      <x:c r="H7241" s="16" t="str">
        <x:v>Excluded</x:v>
      </x:c>
      <x:c r="I7241" s="16" t="str">
        <x:v>Missing email</x:v>
      </x:c>
    </x:row>
    <x:row r="7242">
      <x:c r="A7242" s="16" t="n">
        <x:v>7239</x:v>
      </x:c>
      <x:c r="B7242" s="16" t="str">
        <x:v>Zlzaidi Addy</x:v>
      </x:c>
      <x:c r="C7242" s="16" t="str"/>
      <x:c r="D7242" s="16" t="str"/>
      <x:c r="E7242" s="16" t="str">
        <x:v>* myContacts</x:v>
      </x:c>
      <x:c r="F7242" s="16" t="str">
        <x:v>+601126100542</x:v>
      </x:c>
      <x:c r="G7242" s="16" t="str">
        <x:v>+601126100542</x:v>
      </x:c>
      <x:c r="H7242" s="16" t="str">
        <x:v>Excluded</x:v>
      </x:c>
      <x:c r="I7242" s="16" t="str">
        <x:v>Missing email</x:v>
      </x:c>
    </x:row>
    <x:row r="7243">
      <x:c r="A7243" s="16" t="n">
        <x:v>7240</x:v>
      </x:c>
      <x:c r="B7243" s="16" t="str">
        <x:v>Zmz Nur</x:v>
      </x:c>
      <x:c r="C7243" s="16" t="str"/>
      <x:c r="D7243" s="16" t="str"/>
      <x:c r="E7243" s="16" t="str">
        <x:v>* myContacts</x:v>
      </x:c>
      <x:c r="F7243" s="16" t="str">
        <x:v>+60197748681</x:v>
      </x:c>
      <x:c r="G7243" s="16" t="str">
        <x:v>+60197748681</x:v>
      </x:c>
      <x:c r="H7243" s="16" t="str">
        <x:v>Excluded</x:v>
      </x:c>
      <x:c r="I7243" s="16" t="str">
        <x:v>Missing email</x:v>
      </x:c>
    </x:row>
    <x:row r="7244">
      <x:c r="A7244" s="16" t="n">
        <x:v>7241</x:v>
      </x:c>
      <x:c r="B7244" s="16" t="str">
        <x:v>Zoel hilmi</x:v>
      </x:c>
      <x:c r="C7244" s="16" t="str"/>
      <x:c r="D7244" s="16" t="str"/>
      <x:c r="E7244" s="16" t="str">
        <x:v>* myContacts</x:v>
      </x:c>
      <x:c r="F7244" s="16" t="str">
        <x:v>+6019-676 7099 | +60196767099</x:v>
      </x:c>
      <x:c r="G7244" s="16" t="str">
        <x:v>+60196767099 | +60196767099</x:v>
      </x:c>
      <x:c r="H7244" s="16" t="str">
        <x:v>Excluded</x:v>
      </x:c>
      <x:c r="I7244" s="16" t="str">
        <x:v>Missing email</x:v>
      </x:c>
    </x:row>
    <x:row r="7245">
      <x:c r="A7245" s="16" t="n">
        <x:v>7242</x:v>
      </x:c>
      <x:c r="B7245" s="16" t="str">
        <x:v>Zoer Kang</x:v>
      </x:c>
      <x:c r="C7245" s="16" t="str"/>
      <x:c r="D7245" s="16" t="str"/>
      <x:c r="E7245" s="16" t="str">
        <x:v>* myContacts</x:v>
      </x:c>
      <x:c r="F7245" s="16" t="str">
        <x:v>+60167654321</x:v>
      </x:c>
      <x:c r="G7245" s="16" t="str">
        <x:v>+60167654321</x:v>
      </x:c>
      <x:c r="H7245" s="16" t="str">
        <x:v>Excluded</x:v>
      </x:c>
      <x:c r="I7245" s="16" t="str">
        <x:v>Missing email</x:v>
      </x:c>
    </x:row>
    <x:row r="7246">
      <x:c r="A7246" s="16" t="n">
        <x:v>7243</x:v>
      </x:c>
      <x:c r="B7246" s="16" t="str">
        <x:v>Zol Baidy</x:v>
      </x:c>
      <x:c r="C7246" s="16" t="str"/>
      <x:c r="D7246" s="16" t="str"/>
      <x:c r="E7246" s="16" t="str">
        <x:v>* myContacts</x:v>
      </x:c>
      <x:c r="F7246" s="16" t="str">
        <x:v>+601111757136</x:v>
      </x:c>
      <x:c r="G7246" s="16" t="str">
        <x:v>+601111757136</x:v>
      </x:c>
      <x:c r="H7246" s="16" t="str">
        <x:v>Excluded</x:v>
      </x:c>
      <x:c r="I7246" s="16" t="str">
        <x:v>Missing email</x:v>
      </x:c>
    </x:row>
    <x:row r="7247">
      <x:c r="A7247" s="16" t="n">
        <x:v>7244</x:v>
      </x:c>
      <x:c r="B7247" s="16" t="str">
        <x:v>Zreef Silver</x:v>
      </x:c>
      <x:c r="C7247" s="16" t="str"/>
      <x:c r="D7247" s="16" t="str"/>
      <x:c r="E7247" s="16" t="str">
        <x:v>* myContacts</x:v>
      </x:c>
      <x:c r="F7247" s="16" t="str">
        <x:v>+60128549191</x:v>
      </x:c>
      <x:c r="G7247" s="16" t="str">
        <x:v>+60128549191</x:v>
      </x:c>
      <x:c r="H7247" s="16" t="str">
        <x:v>Excluded</x:v>
      </x:c>
      <x:c r="I7247" s="16" t="str">
        <x:v>Missing email</x:v>
      </x:c>
    </x:row>
    <x:row r="7248">
      <x:c r="A7248" s="16" t="n">
        <x:v>7245</x:v>
      </x:c>
      <x:c r="B7248" s="16" t="str">
        <x:v>Zu Ibrahim</x:v>
      </x:c>
      <x:c r="C7248" s="16" t="str"/>
      <x:c r="D7248" s="16" t="str"/>
      <x:c r="E7248" s="16" t="str">
        <x:v>* myContacts</x:v>
      </x:c>
      <x:c r="F7248" s="16" t="str">
        <x:v>+60109240973</x:v>
      </x:c>
      <x:c r="G7248" s="16" t="str">
        <x:v>+60109240973</x:v>
      </x:c>
      <x:c r="H7248" s="16" t="str">
        <x:v>Excluded</x:v>
      </x:c>
      <x:c r="I7248" s="16" t="str">
        <x:v>Missing email</x:v>
      </x:c>
    </x:row>
    <x:row r="7249">
      <x:c r="A7249" s="16" t="n">
        <x:v>7246</x:v>
      </x:c>
      <x:c r="B7249" s="16" t="str">
        <x:v>Zubair Ahmad Aby</x:v>
      </x:c>
      <x:c r="C7249" s="16" t="str"/>
      <x:c r="D7249" s="16" t="str"/>
      <x:c r="E7249" s="16" t="str">
        <x:v>* myContacts</x:v>
      </x:c>
      <x:c r="F7249" s="16" t="str">
        <x:v>+6285654096072</x:v>
      </x:c>
      <x:c r="G7249" s="16" t="str">
        <x:v>+6285654096072</x:v>
      </x:c>
      <x:c r="H7249" s="16" t="str">
        <x:v>Excluded</x:v>
      </x:c>
      <x:c r="I7249" s="16" t="str">
        <x:v>Missing email</x:v>
      </x:c>
    </x:row>
    <x:row r="7250">
      <x:c r="A7250" s="16" t="n">
        <x:v>7247</x:v>
      </x:c>
      <x:c r="B7250" s="16" t="str">
        <x:v>zue dpim</x:v>
      </x:c>
      <x:c r="C7250" s="16" t="str"/>
      <x:c r="D7250" s="16" t="str"/>
      <x:c r="E7250" s="16" t="str">
        <x:v>* myContacts</x:v>
      </x:c>
      <x:c r="F7250" s="16" t="str">
        <x:v>+60 18-208 3997 | +60182083997</x:v>
      </x:c>
      <x:c r="G7250" s="16" t="str">
        <x:v>+60182083997 | +60182083997</x:v>
      </x:c>
      <x:c r="H7250" s="16" t="str">
        <x:v>Excluded</x:v>
      </x:c>
      <x:c r="I7250" s="16" t="str">
        <x:v>Missing email</x:v>
      </x:c>
    </x:row>
    <x:row r="7251">
      <x:c r="A7251" s="16" t="n">
        <x:v>7248</x:v>
      </x:c>
      <x:c r="B7251" s="16" t="str">
        <x:v>Zue Hassim DPIM</x:v>
      </x:c>
      <x:c r="C7251" s="16" t="str"/>
      <x:c r="D7251" s="16" t="str"/>
      <x:c r="E7251" s="16" t="str">
        <x:v>* myContacts</x:v>
      </x:c>
      <x:c r="F7251" s="16" t="str">
        <x:v>0182241311 | +60182241311</x:v>
      </x:c>
      <x:c r="G7251" s="16" t="str">
        <x:v>+60182241311 | +60182241311</x:v>
      </x:c>
      <x:c r="H7251" s="16" t="str">
        <x:v>Excluded</x:v>
      </x:c>
      <x:c r="I7251" s="16" t="str">
        <x:v>Missing email</x:v>
      </x:c>
    </x:row>
    <x:row r="7252">
      <x:c r="A7252" s="16" t="n">
        <x:v>7249</x:v>
      </x:c>
      <x:c r="B7252" s="16" t="str">
        <x:v>Zue Mobipay</x:v>
      </x:c>
      <x:c r="C7252" s="16" t="str"/>
      <x:c r="D7252" s="16" t="str"/>
      <x:c r="E7252" s="16" t="str">
        <x:v>* myContacts</x:v>
      </x:c>
      <x:c r="F7252" s="16" t="str">
        <x:v>+60192212188</x:v>
      </x:c>
      <x:c r="G7252" s="16" t="str">
        <x:v>+60192212188</x:v>
      </x:c>
      <x:c r="H7252" s="16" t="str">
        <x:v>Excluded</x:v>
      </x:c>
      <x:c r="I7252" s="16" t="str">
        <x:v>Missing email</x:v>
      </x:c>
    </x:row>
    <x:row r="7253">
      <x:c r="A7253" s="16" t="n">
        <x:v>7250</x:v>
      </x:c>
      <x:c r="B7253" s="16" t="str">
        <x:v>Zue Wati</x:v>
      </x:c>
      <x:c r="C7253" s="16" t="str"/>
      <x:c r="D7253" s="16" t="str"/>
      <x:c r="E7253" s="16" t="str">
        <x:v>* myContacts</x:v>
      </x:c>
      <x:c r="F7253" s="16" t="str">
        <x:v>+60138976647</x:v>
      </x:c>
      <x:c r="G7253" s="16" t="str">
        <x:v>+60138976647</x:v>
      </x:c>
      <x:c r="H7253" s="16" t="str">
        <x:v>Excluded</x:v>
      </x:c>
      <x:c r="I7253" s="16" t="str">
        <x:v>Missing email</x:v>
      </x:c>
    </x:row>
    <x:row r="7254">
      <x:c r="A7254" s="16" t="n">
        <x:v>7251</x:v>
      </x:c>
      <x:c r="B7254" s="16" t="str">
        <x:v>Zue Zulkipli</x:v>
      </x:c>
      <x:c r="C7254" s="16" t="str"/>
      <x:c r="D7254" s="16" t="str"/>
      <x:c r="E7254" s="16" t="str">
        <x:v>* myContacts</x:v>
      </x:c>
      <x:c r="F7254" s="16" t="str">
        <x:v>+60176390363</x:v>
      </x:c>
      <x:c r="G7254" s="16" t="str">
        <x:v>+60176390363</x:v>
      </x:c>
      <x:c r="H7254" s="16" t="str">
        <x:v>Excluded</x:v>
      </x:c>
      <x:c r="I7254" s="16" t="str">
        <x:v>Missing email</x:v>
      </x:c>
    </x:row>
    <x:row r="7255">
      <x:c r="A7255" s="16" t="n">
        <x:v>7252</x:v>
      </x:c>
      <x:c r="B7255" s="16" t="str">
        <x:v>Zuhaidi Alc Sg Ara</x:v>
      </x:c>
      <x:c r="C7255" s="16" t="str"/>
      <x:c r="D7255" s="16" t="str"/>
      <x:c r="E7255" s="16" t="str">
        <x:v>* myContacts</x:v>
      </x:c>
      <x:c r="F7255" s="16" t="str">
        <x:v>+60165088544</x:v>
      </x:c>
      <x:c r="G7255" s="16" t="str">
        <x:v>+60165088544</x:v>
      </x:c>
      <x:c r="H7255" s="16" t="str">
        <x:v>Excluded</x:v>
      </x:c>
      <x:c r="I7255" s="16" t="str">
        <x:v>Missing email</x:v>
      </x:c>
    </x:row>
    <x:row r="7256">
      <x:c r="A7256" s="16" t="n">
        <x:v>7253</x:v>
      </x:c>
      <x:c r="B7256" s="16" t="str">
        <x:v>Zuhaili Assisttant PakYa first time registration</x:v>
      </x:c>
      <x:c r="C7256" s="16" t="str"/>
      <x:c r="D7256" s="16" t="str"/>
      <x:c r="E7256" s="16" t="str">
        <x:v>* myContacts</x:v>
      </x:c>
      <x:c r="F7256" s="16" t="str">
        <x:v>+60 14-674 1467 | +60146741467</x:v>
      </x:c>
      <x:c r="G7256" s="16" t="str">
        <x:v>+60146741467 | +60146741467</x:v>
      </x:c>
      <x:c r="H7256" s="16" t="str">
        <x:v>Excluded</x:v>
      </x:c>
      <x:c r="I7256" s="16" t="str">
        <x:v>Missing email</x:v>
      </x:c>
    </x:row>
    <x:row r="7257">
      <x:c r="A7257" s="16" t="n">
        <x:v>7254</x:v>
      </x:c>
      <x:c r="B7257" s="16" t="str">
        <x:v>Zuhaili Nasir</x:v>
      </x:c>
      <x:c r="C7257" s="16" t="str"/>
      <x:c r="D7257" s="16" t="str"/>
      <x:c r="E7257" s="16" t="str">
        <x:v>* myContacts</x:v>
      </x:c>
      <x:c r="F7257" s="16" t="str">
        <x:v>+60137475815</x:v>
      </x:c>
      <x:c r="G7257" s="16" t="str">
        <x:v>+60137475815</x:v>
      </x:c>
      <x:c r="H7257" s="16" t="str">
        <x:v>Excluded</x:v>
      </x:c>
      <x:c r="I7257" s="16" t="str">
        <x:v>Missing email</x:v>
      </x:c>
    </x:row>
    <x:row r="7258">
      <x:c r="A7258" s="16" t="n">
        <x:v>7255</x:v>
      </x:c>
      <x:c r="B7258" s="16" t="str">
        <x:v>zuhaini santan perak imkk</x:v>
      </x:c>
      <x:c r="C7258" s="16" t="str"/>
      <x:c r="D7258" s="16" t="str"/>
      <x:c r="E7258" s="16" t="str">
        <x:v>* myContacts</x:v>
      </x:c>
      <x:c r="F7258" s="16" t="str">
        <x:v>017-533 8589 | +60175338589</x:v>
      </x:c>
      <x:c r="G7258" s="16" t="str">
        <x:v>+60175338589 | +60175338589</x:v>
      </x:c>
      <x:c r="H7258" s="16" t="str">
        <x:v>Excluded</x:v>
      </x:c>
      <x:c r="I7258" s="16" t="str">
        <x:v>Missing email</x:v>
      </x:c>
    </x:row>
    <x:row r="7259">
      <x:c r="A7259" s="16" t="n">
        <x:v>7256</x:v>
      </x:c>
      <x:c r="B7259" s="16" t="str">
        <x:v>Zuhairi Razi Insken</x:v>
      </x:c>
      <x:c r="C7259" s="16" t="str"/>
      <x:c r="D7259" s="16" t="str"/>
      <x:c r="E7259" s="16" t="str">
        <x:v>Alumni INSKEN | * myContacts</x:v>
      </x:c>
      <x:c r="F7259" s="16" t="str">
        <x:v>+60 19-326 8655 | +60193268655</x:v>
      </x:c>
      <x:c r="G7259" s="16" t="str">
        <x:v>+60193268655 | +60193268655</x:v>
      </x:c>
      <x:c r="H7259" s="16" t="str">
        <x:v>Excluded</x:v>
      </x:c>
      <x:c r="I7259" s="16" t="str">
        <x:v>Missing email</x:v>
      </x:c>
    </x:row>
    <x:row r="7260">
      <x:c r="A7260" s="16" t="n">
        <x:v>7257</x:v>
      </x:c>
      <x:c r="B7260" s="16" t="str">
        <x:v>Zul blogger utm</x:v>
      </x:c>
      <x:c r="C7260" s="16" t="str"/>
      <x:c r="D7260" s="16" t="str"/>
      <x:c r="E7260" s="16" t="str">
        <x:v>* myContacts</x:v>
      </x:c>
      <x:c r="F7260" s="16" t="str">
        <x:v>01120807679 | +601120807679</x:v>
      </x:c>
      <x:c r="G7260" s="16" t="str">
        <x:v>+601120807679 | +601120807679</x:v>
      </x:c>
      <x:c r="H7260" s="16" t="str">
        <x:v>Excluded</x:v>
      </x:c>
      <x:c r="I7260" s="16" t="str">
        <x:v>Missing email</x:v>
      </x:c>
    </x:row>
    <x:row r="7261">
      <x:c r="A7261" s="16" t="n">
        <x:v>7258</x:v>
      </x:c>
      <x:c r="B7261" s="16" t="str">
        <x:v>Zul Hadi NLP</x:v>
      </x:c>
      <x:c r="C7261" s="16" t="str"/>
      <x:c r="D7261" s="16" t="str"/>
      <x:c r="E7261" s="16" t="str">
        <x:v>* myContacts</x:v>
      </x:c>
      <x:c r="F7261" s="16" t="str">
        <x:v>0127165818 | +60127165818</x:v>
      </x:c>
      <x:c r="G7261" s="16" t="str">
        <x:v>+60127165818 | +60127165818</x:v>
      </x:c>
      <x:c r="H7261" s="16" t="str">
        <x:v>Excluded</x:v>
      </x:c>
      <x:c r="I7261" s="16" t="str">
        <x:v>Missing email</x:v>
      </x:c>
    </x:row>
    <x:row r="7262">
      <x:c r="A7262" s="16" t="n">
        <x:v>7259</x:v>
      </x:c>
      <x:c r="B7262" s="16" t="str">
        <x:v>Zul Haikal Haikal</x:v>
      </x:c>
      <x:c r="C7262" s="16" t="str"/>
      <x:c r="D7262" s="16" t="str"/>
      <x:c r="E7262" s="16" t="str">
        <x:v>* myContacts</x:v>
      </x:c>
      <x:c r="F7262" s="16" t="str">
        <x:v>+60134488565</x:v>
      </x:c>
      <x:c r="G7262" s="16" t="str">
        <x:v>+60134488565</x:v>
      </x:c>
      <x:c r="H7262" s="16" t="str">
        <x:v>Excluded</x:v>
      </x:c>
      <x:c r="I7262" s="16" t="str">
        <x:v>Missing email</x:v>
      </x:c>
    </x:row>
    <x:row r="7263">
      <x:c r="A7263" s="16" t="n">
        <x:v>7260</x:v>
      </x:c>
      <x:c r="B7263" s="16" t="str">
        <x:v>zul it programing</x:v>
      </x:c>
      <x:c r="C7263" s="16" t="str"/>
      <x:c r="D7263" s="16" t="str"/>
      <x:c r="E7263" s="16" t="str">
        <x:v>* myContacts</x:v>
      </x:c>
      <x:c r="F7263" s="16" t="str">
        <x:v>019-354 1109 | +60193541109</x:v>
      </x:c>
      <x:c r="G7263" s="16" t="str">
        <x:v>+60193541109 | +60193541109</x:v>
      </x:c>
      <x:c r="H7263" s="16" t="str">
        <x:v>Excluded</x:v>
      </x:c>
      <x:c r="I7263" s="16" t="str">
        <x:v>Missing email</x:v>
      </x:c>
    </x:row>
    <x:row r="7264">
      <x:c r="A7264" s="16" t="n">
        <x:v>7261</x:v>
      </x:c>
      <x:c r="B7264" s="16" t="str">
        <x:v>zul kindness</x:v>
      </x:c>
      <x:c r="C7264" s="16" t="str"/>
      <x:c r="D7264" s="16" t="str"/>
      <x:c r="E7264" s="16" t="str">
        <x:v>* myContacts</x:v>
      </x:c>
      <x:c r="F7264" s="16" t="str">
        <x:v>0172696775 | +60172696775</x:v>
      </x:c>
      <x:c r="G7264" s="16" t="str">
        <x:v>+60172696775 | +60172696775</x:v>
      </x:c>
      <x:c r="H7264" s="16" t="str">
        <x:v>Excluded</x:v>
      </x:c>
      <x:c r="I7264" s="16" t="str">
        <x:v>Missing email</x:v>
      </x:c>
    </x:row>
    <x:row r="7265">
      <x:c r="A7265" s="16" t="n">
        <x:v>7262</x:v>
      </x:c>
      <x:c r="B7265" s="16" t="str">
        <x:v>Zul Mdec IM</x:v>
      </x:c>
      <x:c r="C7265" s="16" t="str"/>
      <x:c r="D7265" s="16" t="str"/>
      <x:c r="E7265" s="16" t="str">
        <x:v>* myContacts</x:v>
      </x:c>
      <x:c r="F7265" s="16" t="str">
        <x:v>+60139903323 | +60103553323</x:v>
      </x:c>
      <x:c r="G7265" s="16" t="str">
        <x:v>+60139903323 | +60103553323</x:v>
      </x:c>
      <x:c r="H7265" s="16" t="str">
        <x:v>Excluded</x:v>
      </x:c>
      <x:c r="I7265" s="16" t="str">
        <x:v>Missing email</x:v>
      </x:c>
    </x:row>
    <x:row r="7266">
      <x:c r="A7266" s="16" t="n">
        <x:v>7263</x:v>
      </x:c>
      <x:c r="B7266" s="16" t="str">
        <x:v>Zul Pimpin Eusahawan</x:v>
      </x:c>
      <x:c r="C7266" s="16" t="str"/>
      <x:c r="D7266" s="16" t="str"/>
      <x:c r="E7266" s="16" t="str">
        <x:v>Alumni eUsahawan | * myContacts</x:v>
      </x:c>
      <x:c r="F7266" s="16" t="str">
        <x:v>012-615 0302 | +60126150302</x:v>
      </x:c>
      <x:c r="G7266" s="16" t="str">
        <x:v>+60126150302 | +60126150302</x:v>
      </x:c>
      <x:c r="H7266" s="16" t="str">
        <x:v>Excluded</x:v>
      </x:c>
      <x:c r="I7266" s="16" t="str">
        <x:v>Missing email</x:v>
      </x:c>
    </x:row>
    <x:row r="7267">
      <x:c r="A7267" s="16" t="n">
        <x:v>7264</x:v>
      </x:c>
      <x:c r="B7267" s="16" t="str">
        <x:v>Zul Printing Baju Murah</x:v>
      </x:c>
      <x:c r="C7267" s="16" t="str"/>
      <x:c r="D7267" s="16" t="str"/>
      <x:c r="E7267" s="16" t="str">
        <x:v>* myContacts</x:v>
      </x:c>
      <x:c r="F7267" s="16" t="str">
        <x:v>+60132850982</x:v>
      </x:c>
      <x:c r="G7267" s="16" t="str">
        <x:v>+60132850982</x:v>
      </x:c>
      <x:c r="H7267" s="16" t="str">
        <x:v>Excluded</x:v>
      </x:c>
      <x:c r="I7267" s="16" t="str">
        <x:v>Missing email</x:v>
      </x:c>
    </x:row>
    <x:row r="7268">
      <x:c r="A7268" s="16" t="n">
        <x:v>7265</x:v>
      </x:c>
      <x:c r="B7268" s="16" t="str">
        <x:v>Zul Putra Shulunk</x:v>
      </x:c>
      <x:c r="C7268" s="16" t="str"/>
      <x:c r="D7268" s="16" t="str"/>
      <x:c r="E7268" s="16" t="str">
        <x:v>* myContacts</x:v>
      </x:c>
      <x:c r="F7268" s="16" t="str">
        <x:v>+6283850101028</x:v>
      </x:c>
      <x:c r="G7268" s="16" t="str">
        <x:v>+6283850101028</x:v>
      </x:c>
      <x:c r="H7268" s="16" t="str">
        <x:v>Excluded</x:v>
      </x:c>
      <x:c r="I7268" s="16" t="str">
        <x:v>Missing email</x:v>
      </x:c>
    </x:row>
    <x:row r="7269">
      <x:c r="A7269" s="16" t="n">
        <x:v>7266</x:v>
      </x:c>
      <x:c r="B7269" s="16" t="str">
        <x:v>Zul Zareena</x:v>
      </x:c>
      <x:c r="C7269" s="16" t="str"/>
      <x:c r="D7269" s="16" t="str"/>
      <x:c r="E7269" s="16" t="str">
        <x:v>* myContacts</x:v>
      </x:c>
      <x:c r="F7269" s="16" t="str">
        <x:v>+60179447944</x:v>
      </x:c>
      <x:c r="G7269" s="16" t="str">
        <x:v>+60179447944</x:v>
      </x:c>
      <x:c r="H7269" s="16" t="str">
        <x:v>Excluded</x:v>
      </x:c>
      <x:c r="I7269" s="16" t="str">
        <x:v>Missing email</x:v>
      </x:c>
    </x:row>
    <x:row r="7270">
      <x:c r="A7270" s="16" t="n">
        <x:v>7267</x:v>
      </x:c>
      <x:c r="B7270" s="16" t="str">
        <x:v>Zul Zela</x:v>
      </x:c>
      <x:c r="C7270" s="16" t="str"/>
      <x:c r="D7270" s="16" t="str"/>
      <x:c r="E7270" s="16" t="str">
        <x:v>* myContacts</x:v>
      </x:c>
      <x:c r="F7270" s="16" t="str">
        <x:v>+60169605362</x:v>
      </x:c>
      <x:c r="G7270" s="16" t="str">
        <x:v>+60169605362</x:v>
      </x:c>
      <x:c r="H7270" s="16" t="str">
        <x:v>Excluded</x:v>
      </x:c>
      <x:c r="I7270" s="16" t="str">
        <x:v>Missing email</x:v>
      </x:c>
    </x:row>
    <x:row r="7271">
      <x:c r="A7271" s="16" t="n">
        <x:v>7268</x:v>
      </x:c>
      <x:c r="B7271" s="16" t="str">
        <x:v>Zul'izzi Ady</x:v>
      </x:c>
      <x:c r="C7271" s="16" t="str"/>
      <x:c r="D7271" s="16" t="str"/>
      <x:c r="E7271" s="16" t="str">
        <x:v>* myContacts</x:v>
      </x:c>
      <x:c r="F7271" s="16" t="str">
        <x:v>+60124457834</x:v>
      </x:c>
      <x:c r="G7271" s="16" t="str">
        <x:v>+60124457834</x:v>
      </x:c>
      <x:c r="H7271" s="16" t="str">
        <x:v>Excluded</x:v>
      </x:c>
      <x:c r="I7271" s="16" t="str">
        <x:v>Missing email</x:v>
      </x:c>
    </x:row>
    <x:row r="7272">
      <x:c r="A7272" s="16" t="n">
        <x:v>7269</x:v>
      </x:c>
      <x:c r="B7272" s="16" t="str">
        <x:v>Zulaikha Nurdilaya</x:v>
      </x:c>
      <x:c r="C7272" s="16" t="str"/>
      <x:c r="D7272" s="16" t="str"/>
      <x:c r="E7272" s="16" t="str">
        <x:v>* myContacts</x:v>
      </x:c>
      <x:c r="F7272" s="16" t="str">
        <x:v>+601126847029</x:v>
      </x:c>
      <x:c r="G7272" s="16" t="str">
        <x:v>+601126847029</x:v>
      </x:c>
      <x:c r="H7272" s="16" t="str">
        <x:v>Excluded</x:v>
      </x:c>
      <x:c r="I7272" s="16" t="str">
        <x:v>Missing email</x:v>
      </x:c>
    </x:row>
    <x:row r="7273">
      <x:c r="A7273" s="16" t="n">
        <x:v>7270</x:v>
      </x:c>
      <x:c r="B7273" s="16" t="str">
        <x:v>Zulaikha Payroll Panda</x:v>
      </x:c>
      <x:c r="C7273" s="16" t="str"/>
      <x:c r="D7273" s="16" t="str"/>
      <x:c r="E7273" s="16" t="str">
        <x:v>* myContacts</x:v>
      </x:c>
      <x:c r="F7273" s="16" t="str">
        <x:v>+60 12-634 5163 | +60126345163</x:v>
      </x:c>
      <x:c r="G7273" s="16" t="str">
        <x:v>+60126345163 | +60126345163</x:v>
      </x:c>
      <x:c r="H7273" s="16" t="str">
        <x:v>Excluded</x:v>
      </x:c>
      <x:c r="I7273" s="16" t="str">
        <x:v>Missing email</x:v>
      </x:c>
    </x:row>
    <x:row r="7274">
      <x:c r="A7274" s="16" t="n">
        <x:v>7271</x:v>
      </x:c>
      <x:c r="B7274" s="16" t="str">
        <x:v>Zulasnizam</x:v>
      </x:c>
      <x:c r="C7274" s="16" t="str"/>
      <x:c r="D7274" s="16" t="str"/>
      <x:c r="E7274" s="16" t="str">
        <x:v>* myContacts</x:v>
      </x:c>
      <x:c r="F7274" s="16" t="str">
        <x:v>+60 19-333 9965 | +60193339965</x:v>
      </x:c>
      <x:c r="G7274" s="16" t="str">
        <x:v>+60193339965 | +60193339965</x:v>
      </x:c>
      <x:c r="H7274" s="16" t="str">
        <x:v>Excluded</x:v>
      </x:c>
      <x:c r="I7274" s="16" t="str">
        <x:v>Missing email</x:v>
      </x:c>
    </x:row>
    <x:row r="7275">
      <x:c r="A7275" s="16" t="n">
        <x:v>7272</x:v>
      </x:c>
      <x:c r="B7275" s="16" t="str">
        <x:v>Zulazmi Hj Latib</x:v>
      </x:c>
      <x:c r="C7275" s="16" t="str"/>
      <x:c r="D7275" s="16" t="str"/>
      <x:c r="E7275" s="16" t="str">
        <x:v>* myContacts</x:v>
      </x:c>
      <x:c r="F7275" s="16" t="str">
        <x:v>+60183886376</x:v>
      </x:c>
      <x:c r="G7275" s="16" t="str">
        <x:v>+60183886376</x:v>
      </x:c>
      <x:c r="H7275" s="16" t="str">
        <x:v>Excluded</x:v>
      </x:c>
      <x:c r="I7275" s="16" t="str">
        <x:v>Missing email</x:v>
      </x:c>
    </x:row>
    <x:row r="7276">
      <x:c r="A7276" s="16" t="n">
        <x:v>7273</x:v>
      </x:c>
      <x:c r="B7276" s="16" t="str">
        <x:v>Zulfadli Student Shopee</x:v>
      </x:c>
      <x:c r="C7276" s="16" t="str"/>
      <x:c r="D7276" s="16" t="str"/>
      <x:c r="E7276" s="16" t="str">
        <x:v>* myContacts</x:v>
      </x:c>
      <x:c r="F7276" s="16" t="str">
        <x:v>0129868754 | +60129868754</x:v>
      </x:c>
      <x:c r="G7276" s="16" t="str">
        <x:v>+60129868754 | +60129868754</x:v>
      </x:c>
      <x:c r="H7276" s="16" t="str">
        <x:v>Excluded</x:v>
      </x:c>
      <x:c r="I7276" s="16" t="str">
        <x:v>Missing email</x:v>
      </x:c>
    </x:row>
    <x:row r="7277">
      <x:c r="A7277" s="16" t="n">
        <x:v>7274</x:v>
      </x:c>
      <x:c r="B7277" s="16" t="str">
        <x:v>Zulfifly Said AGP</x:v>
      </x:c>
      <x:c r="C7277" s="16" t="str"/>
      <x:c r="D7277" s="16" t="str"/>
      <x:c r="E7277" s="16" t="str">
        <x:v>* myContacts</x:v>
      </x:c>
      <x:c r="F7277" s="16" t="str">
        <x:v>0164215526 | +60164215526</x:v>
      </x:c>
      <x:c r="G7277" s="16" t="str">
        <x:v>+60164215526 | +60164215526</x:v>
      </x:c>
      <x:c r="H7277" s="16" t="str">
        <x:v>Excluded</x:v>
      </x:c>
      <x:c r="I7277" s="16" t="str">
        <x:v>Missing email</x:v>
      </x:c>
    </x:row>
    <x:row r="7278">
      <x:c r="A7278" s="16" t="n">
        <x:v>7275</x:v>
      </x:c>
      <x:c r="B7278" s="16" t="str">
        <x:v>Zulfikri Hma</x:v>
      </x:c>
      <x:c r="C7278" s="16" t="str"/>
      <x:c r="D7278" s="16" t="str"/>
      <x:c r="E7278" s="16" t="str">
        <x:v>* myContacts</x:v>
      </x:c>
      <x:c r="F7278" s="16" t="str">
        <x:v>+60109766389</x:v>
      </x:c>
      <x:c r="G7278" s="16" t="str">
        <x:v>+60109766389</x:v>
      </x:c>
      <x:c r="H7278" s="16" t="str">
        <x:v>Excluded</x:v>
      </x:c>
      <x:c r="I7278" s="16" t="str">
        <x:v>Missing email</x:v>
      </x:c>
    </x:row>
    <x:row r="7279">
      <x:c r="A7279" s="16" t="n">
        <x:v>7276</x:v>
      </x:c>
      <x:c r="B7279" s="16" t="str">
        <x:v>Zulhafidz Desinger</x:v>
      </x:c>
      <x:c r="C7279" s="16" t="str"/>
      <x:c r="D7279" s="16" t="str"/>
      <x:c r="E7279" s="16" t="str">
        <x:v>* myContacts</x:v>
      </x:c>
      <x:c r="F7279" s="16" t="str">
        <x:v>0136160551 | +60136160551</x:v>
      </x:c>
      <x:c r="G7279" s="16" t="str">
        <x:v>+60136160551 | +60136160551</x:v>
      </x:c>
      <x:c r="H7279" s="16" t="str">
        <x:v>Excluded</x:v>
      </x:c>
      <x:c r="I7279" s="16" t="str">
        <x:v>Missing email</x:v>
      </x:c>
    </x:row>
    <x:row r="7280">
      <x:c r="A7280" s="16" t="n">
        <x:v>7277</x:v>
      </x:c>
      <x:c r="B7280" s="16" t="str">
        <x:v>Zulhaya AGP</x:v>
      </x:c>
      <x:c r="C7280" s="16" t="str"/>
      <x:c r="D7280" s="16" t="str"/>
      <x:c r="E7280" s="16" t="str">
        <x:v>* myContacts</x:v>
      </x:c>
      <x:c r="F7280" s="16" t="str">
        <x:v>+60 16-478 0072 | +60164780072</x:v>
      </x:c>
      <x:c r="G7280" s="16" t="str">
        <x:v>+60164780072 | +60164780072</x:v>
      </x:c>
      <x:c r="H7280" s="16" t="str">
        <x:v>Excluded</x:v>
      </x:c>
      <x:c r="I7280" s="16" t="str">
        <x:v>Missing email</x:v>
      </x:c>
    </x:row>
    <x:row r="7281">
      <x:c r="A7281" s="16" t="n">
        <x:v>7278</x:v>
      </x:c>
      <x:c r="B7281" s="16" t="str">
        <x:v>Zulhelmi Bob</x:v>
      </x:c>
      <x:c r="C7281" s="16" t="str"/>
      <x:c r="D7281" s="16" t="str"/>
      <x:c r="E7281" s="16" t="str">
        <x:v>* myContacts</x:v>
      </x:c>
      <x:c r="F7281" s="16" t="str">
        <x:v>+60122051730</x:v>
      </x:c>
      <x:c r="G7281" s="16" t="str">
        <x:v>+60122051730</x:v>
      </x:c>
      <x:c r="H7281" s="16" t="str">
        <x:v>Excluded</x:v>
      </x:c>
      <x:c r="I7281" s="16" t="str">
        <x:v>Missing email</x:v>
      </x:c>
    </x:row>
    <x:row r="7282">
      <x:c r="A7282" s="16" t="n">
        <x:v>7279</x:v>
      </x:c>
      <x:c r="B7282" s="16" t="str">
        <x:v>Zulhelmi Hakim</x:v>
      </x:c>
      <x:c r="C7282" s="16" t="str"/>
      <x:c r="D7282" s="16" t="str"/>
      <x:c r="E7282" s="16" t="str">
        <x:v>* myContacts</x:v>
      </x:c>
      <x:c r="F7282" s="16" t="str">
        <x:v>+601129227190</x:v>
      </x:c>
      <x:c r="G7282" s="16" t="str">
        <x:v>+601129227190</x:v>
      </x:c>
      <x:c r="H7282" s="16" t="str">
        <x:v>Excluded</x:v>
      </x:c>
      <x:c r="I7282" s="16" t="str">
        <x:v>Missing email</x:v>
      </x:c>
    </x:row>
    <x:row r="7283">
      <x:c r="A7283" s="16" t="n">
        <x:v>7280</x:v>
      </x:c>
      <x:c r="B7283" s="16" t="str">
        <x:v>Zuliana Isa Training Provider</x:v>
      </x:c>
      <x:c r="C7283" s="16" t="str"/>
      <x:c r="D7283" s="16" t="str"/>
      <x:c r="E7283" s="16" t="str">
        <x:v>* myContacts</x:v>
      </x:c>
      <x:c r="F7283" s="16" t="str">
        <x:v>+60 17-347 1914 | +60173471914</x:v>
      </x:c>
      <x:c r="G7283" s="16" t="str">
        <x:v>+60173471914 | +60173471914</x:v>
      </x:c>
      <x:c r="H7283" s="16" t="str">
        <x:v>Excluded</x:v>
      </x:c>
      <x:c r="I7283" s="16" t="str">
        <x:v>Missing email</x:v>
      </x:c>
    </x:row>
    <x:row r="7284">
      <x:c r="A7284" s="16" t="n">
        <x:v>7281</x:v>
      </x:c>
      <x:c r="B7284" s="16" t="str">
        <x:v>Zulitahayani Baharuddin</x:v>
      </x:c>
      <x:c r="C7284" s="16" t="str"/>
      <x:c r="D7284" s="16" t="str"/>
      <x:c r="E7284" s="16" t="str">
        <x:v>* myContacts</x:v>
      </x:c>
      <x:c r="F7284" s="16" t="str">
        <x:v>+60137266520</x:v>
      </x:c>
      <x:c r="G7284" s="16" t="str">
        <x:v>+60137266520</x:v>
      </x:c>
      <x:c r="H7284" s="16" t="str">
        <x:v>Excluded</x:v>
      </x:c>
      <x:c r="I7284" s="16" t="str">
        <x:v>Missing email</x:v>
      </x:c>
    </x:row>
    <x:row r="7285">
      <x:c r="A7285" s="16" t="n">
        <x:v>7282</x:v>
      </x:c>
      <x:c r="B7285" s="16" t="str">
        <x:v>Zulkarnain AGP</x:v>
      </x:c>
      <x:c r="C7285" s="16" t="str"/>
      <x:c r="D7285" s="16" t="str"/>
      <x:c r="E7285" s="16" t="str">
        <x:v>* myContacts</x:v>
      </x:c>
      <x:c r="F7285" s="16" t="str">
        <x:v>+60 17-232 0210 | +60172320210</x:v>
      </x:c>
      <x:c r="G7285" s="16" t="str">
        <x:v>+60172320210 | +60172320210</x:v>
      </x:c>
      <x:c r="H7285" s="16" t="str">
        <x:v>Excluded</x:v>
      </x:c>
      <x:c r="I7285" s="16" t="str">
        <x:v>Missing email</x:v>
      </x:c>
    </x:row>
    <x:row r="7286">
      <x:c r="A7286" s="16" t="n">
        <x:v>7283</x:v>
      </x:c>
      <x:c r="B7286" s="16" t="str">
        <x:v>Zulkarnain Atau Joe</x:v>
      </x:c>
      <x:c r="C7286" s="16" t="str"/>
      <x:c r="D7286" s="16" t="str"/>
      <x:c r="E7286" s="16" t="str">
        <x:v>* myContacts</x:v>
      </x:c>
      <x:c r="F7286" s="16" t="str">
        <x:v>+60199040792</x:v>
      </x:c>
      <x:c r="G7286" s="16" t="str">
        <x:v>+60199040792</x:v>
      </x:c>
      <x:c r="H7286" s="16" t="str">
        <x:v>Excluded</x:v>
      </x:c>
      <x:c r="I7286" s="16" t="str">
        <x:v>Missing email</x:v>
      </x:c>
    </x:row>
    <x:row r="7287">
      <x:c r="A7287" s="16" t="n">
        <x:v>7284</x:v>
      </x:c>
      <x:c r="B7287" s="16" t="str">
        <x:v>Zulkarnain Tanjak</x:v>
      </x:c>
      <x:c r="C7287" s="16" t="str"/>
      <x:c r="D7287" s="16" t="str"/>
      <x:c r="E7287" s="16" t="str">
        <x:v>* myContacts</x:v>
      </x:c>
      <x:c r="F7287" s="16" t="str">
        <x:v>+60 17-299 7992 | +60172997992</x:v>
      </x:c>
      <x:c r="G7287" s="16" t="str">
        <x:v>+60172997992 | +60172997992</x:v>
      </x:c>
      <x:c r="H7287" s="16" t="str">
        <x:v>Excluded</x:v>
      </x:c>
      <x:c r="I7287" s="16" t="str">
        <x:v>Missing email</x:v>
      </x:c>
    </x:row>
    <x:row r="7288">
      <x:c r="A7288" s="16" t="n">
        <x:v>7285</x:v>
      </x:c>
      <x:c r="B7288" s="16" t="str">
        <x:v>Zulkhairi AGP</x:v>
      </x:c>
      <x:c r="C7288" s="16" t="str"/>
      <x:c r="D7288" s="16" t="str"/>
      <x:c r="E7288" s="16" t="str">
        <x:v>* myContacts</x:v>
      </x:c>
      <x:c r="F7288" s="16" t="str">
        <x:v>+60 13-471 1022 | +60134711022</x:v>
      </x:c>
      <x:c r="G7288" s="16" t="str">
        <x:v>+60134711022 | +60134711022</x:v>
      </x:c>
      <x:c r="H7288" s="16" t="str">
        <x:v>Excluded</x:v>
      </x:c>
      <x:c r="I7288" s="16" t="str">
        <x:v>Missing email</x:v>
      </x:c>
    </x:row>
    <x:row r="7289">
      <x:c r="A7289" s="16" t="n">
        <x:v>7286</x:v>
      </x:c>
      <x:c r="B7289" s="16" t="str">
        <x:v>Zulkifli Abu Bakar</x:v>
      </x:c>
      <x:c r="C7289" s="16" t="str"/>
      <x:c r="D7289" s="16" t="str"/>
      <x:c r="E7289" s="16" t="str">
        <x:v>* myContacts</x:v>
      </x:c>
      <x:c r="F7289" s="16" t="str">
        <x:v>+60175607739</x:v>
      </x:c>
      <x:c r="G7289" s="16" t="str">
        <x:v>+60175607739</x:v>
      </x:c>
      <x:c r="H7289" s="16" t="str">
        <x:v>Excluded</x:v>
      </x:c>
      <x:c r="I7289" s="16" t="str">
        <x:v>Missing email</x:v>
      </x:c>
    </x:row>
    <x:row r="7290">
      <x:c r="A7290" s="16" t="n">
        <x:v>7287</x:v>
      </x:c>
      <x:c r="B7290" s="16" t="str">
        <x:v>Zulleggs Leggs Joe</x:v>
      </x:c>
      <x:c r="C7290" s="16" t="str"/>
      <x:c r="D7290" s="16" t="str"/>
      <x:c r="E7290" s="16" t="str">
        <x:v>* myContacts</x:v>
      </x:c>
      <x:c r="F7290" s="16" t="str">
        <x:v>+60129895192</x:v>
      </x:c>
      <x:c r="G7290" s="16" t="str">
        <x:v>+60129895192</x:v>
      </x:c>
      <x:c r="H7290" s="16" t="str">
        <x:v>Excluded</x:v>
      </x:c>
      <x:c r="I7290" s="16" t="str">
        <x:v>Missing email</x:v>
      </x:c>
    </x:row>
    <x:row r="7291">
      <x:c r="A7291" s="16" t="n">
        <x:v>7288</x:v>
      </x:c>
      <x:c r="B7291" s="16" t="str">
        <x:v>Zumaida Sanderi</x:v>
      </x:c>
      <x:c r="C7291" s="16" t="str"/>
      <x:c r="D7291" s="16" t="str"/>
      <x:c r="E7291" s="16" t="str">
        <x:v>* myContacts</x:v>
      </x:c>
      <x:c r="F7291" s="16" t="str">
        <x:v>+60123730046</x:v>
      </x:c>
      <x:c r="G7291" s="16" t="str">
        <x:v>+60123730046</x:v>
      </x:c>
      <x:c r="H7291" s="16" t="str">
        <x:v>Excluded</x:v>
      </x:c>
      <x:c r="I7291" s="16" t="str">
        <x:v>Missing email</x:v>
      </x:c>
    </x:row>
    <x:row r="7292">
      <x:c r="A7292" s="16" t="n">
        <x:v>7289</x:v>
      </x:c>
      <x:c r="B7292" s="16" t="str">
        <x:v>Zumaidi Zukri</x:v>
      </x:c>
      <x:c r="C7292" s="16" t="str"/>
      <x:c r="D7292" s="16" t="str"/>
      <x:c r="E7292" s="16" t="str">
        <x:v>* myContacts</x:v>
      </x:c>
      <x:c r="F7292" s="16" t="str">
        <x:v>+60126406575</x:v>
      </x:c>
      <x:c r="G7292" s="16" t="str">
        <x:v>+60126406575</x:v>
      </x:c>
      <x:c r="H7292" s="16" t="str">
        <x:v>Excluded</x:v>
      </x:c>
      <x:c r="I7292" s="16" t="str">
        <x:v>Missing email</x:v>
      </x:c>
    </x:row>
    <x:row r="7293">
      <x:c r="A7293" s="16" t="n">
        <x:v>7290</x:v>
      </x:c>
      <x:c r="B7293" s="16" t="str">
        <x:v>Zumiry Marry Sokon</x:v>
      </x:c>
      <x:c r="C7293" s="16" t="str"/>
      <x:c r="D7293" s="16" t="str"/>
      <x:c r="E7293" s="16" t="str">
        <x:v>* myContacts</x:v>
      </x:c>
      <x:c r="F7293" s="16" t="str">
        <x:v>+60128561998</x:v>
      </x:c>
      <x:c r="G7293" s="16" t="str">
        <x:v>+60128561998</x:v>
      </x:c>
      <x:c r="H7293" s="16" t="str">
        <x:v>Excluded</x:v>
      </x:c>
      <x:c r="I7293" s="16" t="str">
        <x:v>Missing email</x:v>
      </x:c>
    </x:row>
    <x:row r="7294">
      <x:c r="A7294" s="16" t="n">
        <x:v>7291</x:v>
      </x:c>
      <x:c r="B7294" s="16" t="str">
        <x:v>zunaitai AGP</x:v>
      </x:c>
      <x:c r="C7294" s="16" t="str"/>
      <x:c r="D7294" s="16" t="str"/>
      <x:c r="E7294" s="16" t="str">
        <x:v>* myContacts</x:v>
      </x:c>
      <x:c r="F7294" s="16" t="str">
        <x:v>+60 19-944 3412 | +60199443412</x:v>
      </x:c>
      <x:c r="G7294" s="16" t="str">
        <x:v>+60199443412 | +60199443412</x:v>
      </x:c>
      <x:c r="H7294" s="16" t="str">
        <x:v>Excluded</x:v>
      </x:c>
      <x:c r="I7294" s="16" t="str">
        <x:v>Missing email</x:v>
      </x:c>
    </x:row>
    <x:row r="7295">
      <x:c r="A7295" s="16" t="n">
        <x:v>7292</x:v>
      </x:c>
      <x:c r="B7295" s="16" t="str">
        <x:v>Zur Matlen</x:v>
      </x:c>
      <x:c r="C7295" s="16" t="str"/>
      <x:c r="D7295" s="16" t="str"/>
      <x:c r="E7295" s="16" t="str">
        <x:v>* myContacts</x:v>
      </x:c>
      <x:c r="F7295" s="16" t="str">
        <x:v>+60169458121</x:v>
      </x:c>
      <x:c r="G7295" s="16" t="str">
        <x:v>+60169458121</x:v>
      </x:c>
      <x:c r="H7295" s="16" t="str">
        <x:v>Excluded</x:v>
      </x:c>
      <x:c r="I7295" s="16" t="str">
        <x:v>Missing email</x:v>
      </x:c>
    </x:row>
    <x:row r="7296">
      <x:c r="A7296" s="16" t="n">
        <x:v>7293</x:v>
      </x:c>
      <x:c r="B7296" s="16" t="str">
        <x:v>Zura Ampang</x:v>
      </x:c>
      <x:c r="C7296" s="16" t="str"/>
      <x:c r="D7296" s="16" t="str"/>
      <x:c r="E7296" s="16" t="str">
        <x:v>* myContacts</x:v>
      </x:c>
      <x:c r="F7296" s="16" t="str">
        <x:v>+60 18-292 8587 | +60182928587</x:v>
      </x:c>
      <x:c r="G7296" s="16" t="str">
        <x:v>+60182928587 | +60182928587</x:v>
      </x:c>
      <x:c r="H7296" s="16" t="str">
        <x:v>Excluded</x:v>
      </x:c>
      <x:c r="I7296" s="16" t="str">
        <x:v>Missing email</x:v>
      </x:c>
    </x:row>
    <x:row r="7297">
      <x:c r="A7297" s="16" t="n">
        <x:v>7294</x:v>
      </x:c>
      <x:c r="B7297" s="16" t="str">
        <x:v>Zura Qaseh</x:v>
      </x:c>
      <x:c r="C7297" s="16" t="str"/>
      <x:c r="D7297" s="16" t="str"/>
      <x:c r="E7297" s="16" t="str">
        <x:v>* myContacts</x:v>
      </x:c>
      <x:c r="F7297" s="16" t="str">
        <x:v>+60199927404</x:v>
      </x:c>
      <x:c r="G7297" s="16" t="str">
        <x:v>+60199927404</x:v>
      </x:c>
      <x:c r="H7297" s="16" t="str">
        <x:v>Excluded</x:v>
      </x:c>
      <x:c r="I7297" s="16" t="str">
        <x:v>Missing email</x:v>
      </x:c>
    </x:row>
    <x:row r="7298">
      <x:c r="A7298" s="16" t="n">
        <x:v>7295</x:v>
      </x:c>
      <x:c r="B7298" s="16" t="str">
        <x:v>Zura Staff Ash Dan Abu</x:v>
      </x:c>
      <x:c r="C7298" s="16" t="str"/>
      <x:c r="D7298" s="16" t="str"/>
      <x:c r="E7298" s="16" t="str">
        <x:v>* myContacts</x:v>
      </x:c>
      <x:c r="F7298" s="16" t="str">
        <x:v>+60 17-877 5991 | +60178775991</x:v>
      </x:c>
      <x:c r="G7298" s="16" t="str">
        <x:v>+60178775991 | +60178775991</x:v>
      </x:c>
      <x:c r="H7298" s="16" t="str">
        <x:v>Excluded</x:v>
      </x:c>
      <x:c r="I7298" s="16" t="str">
        <x:v>Missing email</x:v>
      </x:c>
    </x:row>
    <x:row r="7299">
      <x:c r="A7299" s="16" t="n">
        <x:v>7296</x:v>
      </x:c>
      <x:c r="B7299" s="16" t="str">
        <x:v>Zura Wqy</x:v>
      </x:c>
      <x:c r="C7299" s="16" t="str"/>
      <x:c r="D7299" s="16" t="str"/>
      <x:c r="E7299" s="16" t="str">
        <x:v>* myContacts</x:v>
      </x:c>
      <x:c r="F7299" s="16" t="str">
        <x:v>+60199133004</x:v>
      </x:c>
      <x:c r="G7299" s="16" t="str">
        <x:v>+60199133004</x:v>
      </x:c>
      <x:c r="H7299" s="16" t="str">
        <x:v>Excluded</x:v>
      </x:c>
      <x:c r="I7299" s="16" t="str">
        <x:v>Missing email</x:v>
      </x:c>
    </x:row>
    <x:row r="7300">
      <x:c r="A7300" s="16" t="n">
        <x:v>7297</x:v>
      </x:c>
      <x:c r="B7300" s="16" t="str">
        <x:v>Zura Zuriati</x:v>
      </x:c>
      <x:c r="C7300" s="16" t="str"/>
      <x:c r="D7300" s="16" t="str"/>
      <x:c r="E7300" s="16" t="str">
        <x:v>* myContacts</x:v>
      </x:c>
      <x:c r="F7300" s="16" t="str">
        <x:v>+601139667560</x:v>
      </x:c>
      <x:c r="G7300" s="16" t="str">
        <x:v>+601139667560</x:v>
      </x:c>
      <x:c r="H7300" s="16" t="str">
        <x:v>Excluded</x:v>
      </x:c>
      <x:c r="I7300" s="16" t="str">
        <x:v>Missing email</x:v>
      </x:c>
    </x:row>
    <x:row r="7301">
      <x:c r="A7301" s="16" t="n">
        <x:v>7298</x:v>
      </x:c>
      <x:c r="B7301" s="16" t="str">
        <x:v>ZURAI BINTI ABD RAZAK</x:v>
      </x:c>
      <x:c r="C7301" s="16" t="str">
        <x:v>zurai_razak@yahoo.com</x:v>
      </x:c>
      <x:c r="D7301" s="16" t="str">
        <x:v>zurai_razak@yahoo.com</x:v>
      </x:c>
      <x:c r="E7301" s="16" t="str">
        <x:v>* myContacts</x:v>
      </x:c>
      <x:c r="F7301" s="16" t="str">
        <x:v>60195558797 | +60195558797</x:v>
      </x:c>
      <x:c r="G7301" s="16" t="str">
        <x:v>+60195558797 | +60195558797</x:v>
      </x:c>
      <x:c r="H7301" s="16" t="str">
        <x:v>Eligible</x:v>
      </x:c>
      <x:c r="I7301" s="16" t="str"/>
    </x:row>
    <x:row r="7302">
      <x:c r="A7302" s="16" t="n">
        <x:v>7299</x:v>
      </x:c>
      <x:c r="B7302" s="16" t="str">
        <x:v>Zuraida Zakaria</x:v>
      </x:c>
      <x:c r="C7302" s="16" t="str"/>
      <x:c r="D7302" s="16" t="str"/>
      <x:c r="E7302" s="16" t="str">
        <x:v>* myContacts</x:v>
      </x:c>
      <x:c r="F7302" s="16" t="str">
        <x:v>+60179437424</x:v>
      </x:c>
      <x:c r="G7302" s="16" t="str">
        <x:v>+60179437424</x:v>
      </x:c>
      <x:c r="H7302" s="16" t="str">
        <x:v>Excluded</x:v>
      </x:c>
      <x:c r="I7302" s="16" t="str">
        <x:v>Missing email</x:v>
      </x:c>
    </x:row>
    <x:row r="7303">
      <x:c r="A7303" s="16" t="n">
        <x:v>7300</x:v>
      </x:c>
      <x:c r="B7303" s="16" t="str">
        <x:v>Zuraidah Chick Richworks</x:v>
      </x:c>
      <x:c r="C7303" s="16" t="str"/>
      <x:c r="D7303" s="16" t="str"/>
      <x:c r="E7303" s="16" t="str">
        <x:v>* myContacts</x:v>
      </x:c>
      <x:c r="F7303" s="16" t="str">
        <x:v>+60 16-344 7450 | +60163447450</x:v>
      </x:c>
      <x:c r="G7303" s="16" t="str">
        <x:v>+60163447450 | +60163447450</x:v>
      </x:c>
      <x:c r="H7303" s="16" t="str">
        <x:v>Excluded</x:v>
      </x:c>
      <x:c r="I7303" s="16" t="str">
        <x:v>Missing email</x:v>
      </x:c>
    </x:row>
    <x:row r="7304">
      <x:c r="A7304" s="16" t="n">
        <x:v>7301</x:v>
      </x:c>
      <x:c r="B7304" s="16" t="str">
        <x:v>Zuraidah Yaacob</x:v>
      </x:c>
      <x:c r="C7304" s="16" t="str"/>
      <x:c r="D7304" s="16" t="str"/>
      <x:c r="E7304" s="16" t="str">
        <x:v>* myContacts</x:v>
      </x:c>
      <x:c r="F7304" s="16" t="str">
        <x:v>+60139005638</x:v>
      </x:c>
      <x:c r="G7304" s="16" t="str">
        <x:v>+60139005638</x:v>
      </x:c>
      <x:c r="H7304" s="16" t="str">
        <x:v>Excluded</x:v>
      </x:c>
      <x:c r="I7304" s="16" t="str">
        <x:v>Missing email</x:v>
      </x:c>
    </x:row>
    <x:row r="7305">
      <x:c r="A7305" s="16" t="n">
        <x:v>7302</x:v>
      </x:c>
      <x:c r="B7305" s="16" t="str">
        <x:v>Zuraini AGP</x:v>
      </x:c>
      <x:c r="C7305" s="16" t="str"/>
      <x:c r="D7305" s="16" t="str"/>
      <x:c r="E7305" s="16" t="str">
        <x:v>* myContacts</x:v>
      </x:c>
      <x:c r="F7305" s="16" t="str">
        <x:v>+60 10-501 8555 | +60105018555</x:v>
      </x:c>
      <x:c r="G7305" s="16" t="str">
        <x:v>+60105018555 | +60105018555</x:v>
      </x:c>
      <x:c r="H7305" s="16" t="str">
        <x:v>Excluded</x:v>
      </x:c>
      <x:c r="I7305" s="16" t="str">
        <x:v>Missing email</x:v>
      </x:c>
    </x:row>
    <x:row r="7306">
      <x:c r="A7306" s="16" t="n">
        <x:v>7303</x:v>
      </x:c>
      <x:c r="B7306" s="16" t="str">
        <x:v>Zuraini Awang</x:v>
      </x:c>
      <x:c r="C7306" s="16" t="str"/>
      <x:c r="D7306" s="16" t="str"/>
      <x:c r="E7306" s="16" t="str">
        <x:v>* myContacts</x:v>
      </x:c>
      <x:c r="F7306" s="16" t="str">
        <x:v>+60195190161</x:v>
      </x:c>
      <x:c r="G7306" s="16" t="str">
        <x:v>+60195190161</x:v>
      </x:c>
      <x:c r="H7306" s="16" t="str">
        <x:v>Excluded</x:v>
      </x:c>
      <x:c r="I7306" s="16" t="str">
        <x:v>Missing email</x:v>
      </x:c>
    </x:row>
    <x:row r="7307">
      <x:c r="A7307" s="16" t="n">
        <x:v>7304</x:v>
      </x:c>
      <x:c r="B7307" s="16" t="str">
        <x:v>Zuraini Mat Arshad</x:v>
      </x:c>
      <x:c r="C7307" s="16" t="str"/>
      <x:c r="D7307" s="16" t="str"/>
      <x:c r="E7307" s="16" t="str">
        <x:v>* myContacts</x:v>
      </x:c>
      <x:c r="F7307" s="16" t="str">
        <x:v>+60123845464</x:v>
      </x:c>
      <x:c r="G7307" s="16" t="str">
        <x:v>+60123845464</x:v>
      </x:c>
      <x:c r="H7307" s="16" t="str">
        <x:v>Excluded</x:v>
      </x:c>
      <x:c r="I7307" s="16" t="str">
        <x:v>Missing email</x:v>
      </x:c>
    </x:row>
    <x:row r="7308">
      <x:c r="A7308" s="16" t="n">
        <x:v>7305</x:v>
      </x:c>
      <x:c r="B7308" s="16" t="str">
        <x:v>Zurfarine Zura</x:v>
      </x:c>
      <x:c r="C7308" s="16" t="str"/>
      <x:c r="D7308" s="16" t="str"/>
      <x:c r="E7308" s="16" t="str">
        <x:v>* myContacts</x:v>
      </x:c>
      <x:c r="F7308" s="16" t="str">
        <x:v>+60138718360</x:v>
      </x:c>
      <x:c r="G7308" s="16" t="str">
        <x:v>+60138718360</x:v>
      </x:c>
      <x:c r="H7308" s="16" t="str">
        <x:v>Excluded</x:v>
      </x:c>
      <x:c r="I7308" s="16" t="str">
        <x:v>Missing email</x:v>
      </x:c>
    </x:row>
    <x:row r="7309">
      <x:c r="A7309" s="16" t="n">
        <x:v>7306</x:v>
      </x:c>
      <x:c r="B7309" s="16" t="str">
        <x:v>Zuria Fatmi</x:v>
      </x:c>
      <x:c r="C7309" s="16" t="str"/>
      <x:c r="D7309" s="16" t="str"/>
      <x:c r="E7309" s="16" t="str">
        <x:v>* myContacts</x:v>
      </x:c>
      <x:c r="F7309" s="16" t="str">
        <x:v>+60179870075</x:v>
      </x:c>
      <x:c r="G7309" s="16" t="str">
        <x:v>+60179870075</x:v>
      </x:c>
      <x:c r="H7309" s="16" t="str">
        <x:v>Excluded</x:v>
      </x:c>
      <x:c r="I7309" s="16" t="str">
        <x:v>Missing email</x:v>
      </x:c>
    </x:row>
    <x:row r="7310">
      <x:c r="A7310" s="16" t="n">
        <x:v>7307</x:v>
      </x:c>
      <x:c r="B7310" s="16" t="str">
        <x:v>Zuriah AGP</x:v>
      </x:c>
      <x:c r="C7310" s="16" t="str"/>
      <x:c r="D7310" s="16" t="str"/>
      <x:c r="E7310" s="16" t="str">
        <x:v>* myContacts</x:v>
      </x:c>
      <x:c r="F7310" s="16" t="str">
        <x:v>+60 11-5241 4225 | +601152414225</x:v>
      </x:c>
      <x:c r="G7310" s="16" t="str">
        <x:v>+601152414225 | +601152414225</x:v>
      </x:c>
      <x:c r="H7310" s="16" t="str">
        <x:v>Excluded</x:v>
      </x:c>
      <x:c r="I7310" s="16" t="str">
        <x:v>Missing email</x:v>
      </x:c>
    </x:row>
    <x:row r="7311">
      <x:c r="A7311" s="16" t="n">
        <x:v>7308</x:v>
      </x:c>
      <x:c r="B7311" s="16" t="str">
        <x:v>Zuriana Yahya</x:v>
      </x:c>
      <x:c r="C7311" s="16" t="str"/>
      <x:c r="D7311" s="16" t="str"/>
      <x:c r="E7311" s="16" t="str">
        <x:v>* myContacts</x:v>
      </x:c>
      <x:c r="F7311" s="16" t="str">
        <x:v>+60199646430</x:v>
      </x:c>
      <x:c r="G7311" s="16" t="str">
        <x:v>+60199646430</x:v>
      </x:c>
      <x:c r="H7311" s="16" t="str">
        <x:v>Excluded</x:v>
      </x:c>
      <x:c r="I7311" s="16" t="str">
        <x:v>Missing email</x:v>
      </x:c>
    </x:row>
    <x:row r="7312">
      <x:c r="A7312" s="16" t="n">
        <x:v>7309</x:v>
      </x:c>
      <x:c r="B7312" s="16" t="str">
        <x:v>Zuriati Rasyid</x:v>
      </x:c>
      <x:c r="C7312" s="16" t="str"/>
      <x:c r="D7312" s="16" t="str"/>
      <x:c r="E7312" s="16" t="str">
        <x:v>* myContacts</x:v>
      </x:c>
      <x:c r="F7312" s="16" t="str">
        <x:v>+60192553377</x:v>
      </x:c>
      <x:c r="G7312" s="16" t="str">
        <x:v>+60192553377</x:v>
      </x:c>
      <x:c r="H7312" s="16" t="str">
        <x:v>Excluded</x:v>
      </x:c>
      <x:c r="I7312" s="16" t="str">
        <x:v>Missing email</x:v>
      </x:c>
    </x:row>
    <x:row r="7313">
      <x:c r="A7313" s="16" t="n">
        <x:v>7310</x:v>
      </x:c>
      <x:c r="B7313" s="16" t="str">
        <x:v>Zurina Flp</x:v>
      </x:c>
      <x:c r="C7313" s="16" t="str"/>
      <x:c r="D7313" s="16" t="str"/>
      <x:c r="E7313" s="16" t="str">
        <x:v>* myContacts</x:v>
      </x:c>
      <x:c r="F7313" s="16" t="str">
        <x:v>+601110559889</x:v>
      </x:c>
      <x:c r="G7313" s="16" t="str">
        <x:v>+601110559889</x:v>
      </x:c>
      <x:c r="H7313" s="16" t="str">
        <x:v>Excluded</x:v>
      </x:c>
      <x:c r="I7313" s="16" t="str">
        <x:v>Missing email</x:v>
      </x:c>
    </x:row>
    <x:row r="7314">
      <x:c r="A7314" s="16" t="n">
        <x:v>7311</x:v>
      </x:c>
      <x:c r="B7314" s="16" t="str">
        <x:v>Zurisuraizawati Mohd Zain</x:v>
      </x:c>
      <x:c r="C7314" s="16" t="str"/>
      <x:c r="D7314" s="16" t="str"/>
      <x:c r="E7314" s="16" t="str">
        <x:v>* myContacts</x:v>
      </x:c>
      <x:c r="F7314" s="16" t="str">
        <x:v>+60179352006</x:v>
      </x:c>
      <x:c r="G7314" s="16" t="str">
        <x:v>+60179352006</x:v>
      </x:c>
      <x:c r="H7314" s="16" t="str">
        <x:v>Excluded</x:v>
      </x:c>
      <x:c r="I7314" s="16" t="str">
        <x:v>Missing email</x:v>
      </x:c>
    </x:row>
    <x:row r="7315">
      <x:c r="A7315" s="16" t="n">
        <x:v>7312</x:v>
      </x:c>
      <x:c r="B7315" s="16" t="str">
        <x:v>ຸMusfirah Perkim Media</x:v>
      </x:c>
      <x:c r="C7315" s="16" t="str"/>
      <x:c r="D7315" s="16" t="str"/>
      <x:c r="E7315" s="16" t="str">
        <x:v>* myContacts</x:v>
      </x:c>
      <x:c r="F7315" s="16" t="str">
        <x:v>+60 13-601 5492 | +60136015492</x:v>
      </x:c>
      <x:c r="G7315" s="16" t="str">
        <x:v>+60136015492 | +60136015492</x:v>
      </x:c>
      <x:c r="H7315" s="16" t="str">
        <x:v>Excluded</x:v>
      </x:c>
      <x:c r="I7315" s="16" t="str">
        <x:v>Missing email</x:v>
      </x:c>
    </x:row>
  </x:sheetData>
  <x:mergeCells>
    <x:mergeCell ref="A1:I1"/>
    <x:mergeCell ref="A2:I2"/>
  </x:mergeCells>
  <x:pageMargins left="0.7" right="0.7" top="0.75" bottom="0.75" header="0.3" footer="0.3"/>
</x:worksheet>
</file>