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a08cf06b014a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2cd8981a106406c"/>
    <x:sheet xmlns:r="http://schemas.openxmlformats.org/officeDocument/2006/relationships" name="Master List" sheetId="2" r:id="R2d93dfef66354caa"/>
    <x:sheet xmlns:r="http://schemas.openxmlformats.org/officeDocument/2006/relationships" name="Excluded" sheetId="3" r:id="Rc4834e3efde74f7d"/>
    <x:sheet xmlns:r="http://schemas.openxmlformats.org/officeDocument/2006/relationships" name="Duplicates" sheetId="4" r:id="R2667379d8a2246f3"/>
    <x:sheet xmlns:r="http://schemas.openxmlformats.org/officeDocument/2006/relationships" name="Review" sheetId="5" r:id="R5643440270bd4bfa"/>
    <x:sheet xmlns:r="http://schemas.openxmlformats.org/officeDocument/2006/relationships" name="Source Data" sheetId="6" r:id="R5b5674b8300a410b"/>
    <x:sheet xmlns:r="http://schemas.openxmlformats.org/officeDocument/2006/relationships" name="Rules" sheetId="7" r:id="R9f215c86307842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475569"/>
      <x:name val="Carlito"/>
    </x:font>
    <x:font>
      <x:b/>
      <x:sz val="11"/>
      <x:color rgb="FFFFFFFF"/>
      <x:name val="Carlito"/>
    </x:font>
    <x:font>
      <x:sz val="10"/>
      <x:color rgb="FF0F172A"/>
      <x:name val="Carlito"/>
    </x:font>
    <x:font>
      <x:b/>
      <x:sz val="11"/>
      <x:color rgb="FF134E4A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34E4A"/>
      </x:patternFill>
    </x:fill>
    <x:fill>
      <x:patternFill patternType="solid">
        <x:fgColor rgb="FFF0FDFA"/>
      </x:patternFill>
    </x:fill>
    <x:fill>
      <x:patternFill patternType="solid">
        <x:fgColor rgb="FF0F766E"/>
      </x:patternFill>
    </x:fill>
    <x:fill>
      <x:patternFill patternType="solid">
        <x:fgColor rgb="FFFFFFFF"/>
      </x:patternFill>
    </x:fill>
    <x:fill>
      <x:patternFill patternType="solid">
        <x:fgColor rgb="FFFEE2E2"/>
      </x:patternFill>
    </x:fill>
    <x:fill>
      <x:patternFill patternType="solid">
        <x:fgColor rgb="FFFEF3C7"/>
      </x:patternFill>
    </x:fill>
    <x:fill>
      <x:patternFill patternType="solid">
        <x:fgColor rgb="FFCCFBF1"/>
      </x:patternFill>
    </x:fill>
  </x:fills>
  <x:borders count="4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</x:borders>
  <x:cellStyleXfs count="1">
    <x:xf numFmtId="0" fontId="0" fillId="0" borderId="0"/>
  </x:cellStyleXfs>
  <x:cellXfs count="8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2" xfId="0" applyNumberFormat="1" applyFont="1" applyFill="1" applyBorder="1"/>
    <x:xf numFmtId="0" fontId="4" fillId="6" borderId="3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2" xfId="0" applyNumberFormat="1" applyFont="1" applyFill="1" applyBorder="1" applyAlignment="1">
      <x:alignment wrapText="1"/>
    </x:xf>
    <x:xf numFmtId="0" fontId="4" fillId="6" borderId="3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vertical="top" wrapText="1"/>
    </x:xf>
    <x:xf numFmtId="0" fontId="4" fillId="6" borderId="2" xfId="0" applyNumberFormat="1" applyFont="1" applyFill="1" applyBorder="1" applyAlignment="1">
      <x:alignment vertical="top" wrapText="1"/>
    </x:xf>
    <x:xf numFmtId="0" fontId="4" fillId="6" borderId="3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1" xfId="0" applyNumberFormat="1" applyFont="1" applyFill="1" applyBorder="1"/>
    <x:xf numFmtId="0" fontId="4" fillId="7" borderId="2" xfId="0" applyNumberFormat="1" applyFont="1" applyFill="1" applyBorder="1"/>
    <x:xf numFmtId="0" fontId="4" fillId="7" borderId="3" xfId="0" applyNumberFormat="1" applyFont="1" applyFill="1" applyBorder="1"/>
    <x:xf numFmtId="0" fontId="4" fillId="7" borderId="1" xfId="0" applyNumberFormat="1" applyFont="1" applyFill="1" applyBorder="1" applyAlignment="1">
      <x:alignment wrapText="1"/>
    </x:xf>
    <x:xf numFmtId="0" fontId="4" fillId="7" borderId="2" xfId="0" applyNumberFormat="1" applyFont="1" applyFill="1" applyBorder="1" applyAlignment="1">
      <x:alignment wrapText="1"/>
    </x:xf>
    <x:xf numFmtId="0" fontId="4" fillId="7" borderId="3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vertical="top" wrapText="1"/>
    </x:xf>
    <x:xf numFmtId="0" fontId="4" fillId="7" borderId="2" xfId="0" applyNumberFormat="1" applyFont="1" applyFill="1" applyBorder="1" applyAlignment="1">
      <x:alignment vertical="top" wrapText="1"/>
    </x:xf>
    <x:xf numFmtId="0" fontId="4" fillId="7" borderId="3" xfId="0" applyNumberFormat="1" applyFont="1" applyFill="1" applyBorder="1" applyAlignment="1">
      <x:alignment vertical="top" wrapText="1"/>
    </x:xf>
    <x:xf numFmtId="200" fontId="4" fillId="5" borderId="1" xfId="0" applyNumberFormat="1" applyFont="1" applyFill="1" applyBorder="1" applyAlignment="1">
      <x:alignment vertical="top" wrapText="1"/>
    </x:xf>
    <x:xf numFmtId="200" fontId="4" fillId="5" borderId="2" xfId="0" applyNumberFormat="1" applyFont="1" applyFill="1" applyBorder="1" applyAlignment="1">
      <x:alignment vertical="top" wrapText="1"/>
    </x:xf>
    <x:xf numFmtId="200" fontId="4" fillId="5" borderId="3" xfId="0" applyNumberFormat="1" applyFont="1" applyFill="1" applyBorder="1" applyAlignment="1">
      <x:alignment vertical="top" wrapText="1"/>
    </x:xf>
    <x:xf numFmtId="200" fontId="4" fillId="6" borderId="1" xfId="0" applyNumberFormat="1" applyFont="1" applyFill="1" applyBorder="1" applyAlignment="1">
      <x:alignment vertical="top" wrapText="1"/>
    </x:xf>
    <x:xf numFmtId="200" fontId="4" fillId="6" borderId="2" xfId="0" applyNumberFormat="1" applyFont="1" applyFill="1" applyBorder="1" applyAlignment="1">
      <x:alignment vertical="top" wrapText="1"/>
    </x:xf>
    <x:xf numFmtId="200" fontId="4" fillId="6" borderId="3" xfId="0" applyNumberFormat="1" applyFont="1" applyFill="1" applyBorder="1" applyAlignment="1">
      <x:alignment vertical="top" wrapText="1"/>
    </x:xf>
    <x:xf numFmtId="200" fontId="4" fillId="7" borderId="1" xfId="0" applyNumberFormat="1" applyFont="1" applyFill="1" applyBorder="1" applyAlignment="1">
      <x:alignment vertical="top" wrapText="1"/>
    </x:xf>
    <x:xf numFmtId="200" fontId="4" fillId="7" borderId="2" xfId="0" applyNumberFormat="1" applyFont="1" applyFill="1" applyBorder="1" applyAlignment="1">
      <x:alignment vertical="top" wrapText="1"/>
    </x:xf>
    <x:xf numFmtId="200" fontId="4" fillId="7" borderId="3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8" borderId="1" xfId="0" applyNumberFormat="1" applyFont="1" applyFill="1" applyBorder="1"/>
    <x:xf numFmtId="0" fontId="0" fillId="8" borderId="2" xfId="0" applyNumberFormat="1" applyFont="1" applyFill="1" applyBorder="1"/>
    <x:xf numFmtId="0" fontId="0" fillId="8" borderId="3" xfId="0" applyNumberFormat="1" applyFont="1" applyFill="1" applyBorder="1"/>
    <x:xf numFmtId="0" fontId="5" fillId="8" borderId="1" xfId="0" applyNumberFormat="1" applyFont="1" applyFill="1" applyBorder="1"/>
    <x:xf numFmtId="0" fontId="5" fillId="8" borderId="2" xfId="0" applyNumberFormat="1" applyFont="1" applyFill="1" applyBorder="1"/>
    <x:xf numFmtId="0" fontId="5" fillId="8" borderId="3" xfId="0" applyNumberFormat="1" applyFont="1" applyFill="1" applyBorder="1"/>
    <x:xf numFmtId="201" fontId="5" fillId="8" borderId="1" xfId="0" applyNumberFormat="1" applyFont="1" applyFill="1" applyBorder="1"/>
    <x:xf numFmtId="201" fontId="5" fillId="8" borderId="2" xfId="0" applyNumberFormat="1" applyFont="1" applyFill="1" applyBorder="1"/>
    <x:xf numFmtId="201" fontId="5" fillId="8" borderId="3" xfId="0" applyNumberFormat="1" applyFont="1" applyFill="1" applyBorder="1"/>
    <x:xf numFmtId="201" fontId="5" fillId="8" borderId="1" xfId="0" applyNumberFormat="1" applyFont="1" applyFill="1" applyBorder="1" applyAlignment="1">
      <x:alignment horizontal="right"/>
    </x:xf>
    <x:xf numFmtId="201" fontId="5" fillId="8" borderId="2" xfId="0" applyNumberFormat="1" applyFont="1" applyFill="1" applyBorder="1" applyAlignment="1">
      <x:alignment horizontal="right"/>
    </x:xf>
    <x:xf numFmtId="201" fontId="5" fillId="8" borderId="3" xfId="0" applyNumberFormat="1" applyFont="1" applyFill="1" applyBorder="1" applyAlignment="1">
      <x:alignment horizontal="right"/>
    </x:xf>
    <x:xf numFmtId="0" fontId="0" fillId="5" borderId="1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6" borderId="0" xfId="0" applyNumberFormat="1" applyFont="1" applyFill="1" applyBorder="1"/>
    <x:xf numFmtId="200" fontId="0" fillId="6" borderId="1" xfId="0" applyNumberFormat="1" applyFont="1" applyFill="1" applyBorder="1"/>
    <x:xf numFmtId="0" fontId="0" fillId="6" borderId="1" xfId="0" applyNumberFormat="1" applyFont="1" applyFill="1" applyBorder="1"/>
    <x:xf numFmtId="200" fontId="0" fillId="6" borderId="2" xfId="0" applyNumberFormat="1" applyFont="1" applyFill="1" applyBorder="1"/>
    <x:xf numFmtId="0" fontId="0" fillId="6" borderId="2" xfId="0" applyNumberFormat="1" applyFont="1" applyFill="1" applyBorder="1"/>
    <x:xf numFmtId="200" fontId="0" fillId="6" borderId="3" xfId="0" applyNumberFormat="1" applyFont="1" applyFill="1" applyBorder="1"/>
    <x:xf numFmtId="0" fontId="0" fillId="6" borderId="3" xfId="0" applyNumberFormat="1" applyFont="1" applyFill="1" applyBorder="1"/>
    <x:xf numFmtId="20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200" fontId="0" fillId="6" borderId="2" xfId="0" applyNumberFormat="1" applyFont="1" applyFill="1" applyBorder="1" applyAlignment="1">
      <x:alignment wrapText="1"/>
    </x:xf>
    <x:xf numFmtId="0" fontId="0" fillId="6" borderId="2" xfId="0" applyNumberFormat="1" applyFont="1" applyFill="1" applyBorder="1" applyAlignment="1">
      <x:alignment wrapText="1"/>
    </x:xf>
    <x:xf numFmtId="200" fontId="0" fillId="6" borderId="3" xfId="0" applyNumberFormat="1" applyFont="1" applyFill="1" applyBorder="1" applyAlignment="1">
      <x:alignment wrapText="1"/>
    </x:xf>
    <x:xf numFmtId="0" fontId="0" fillId="6" borderId="3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244051e1404c01" /><Relationship Type="http://schemas.openxmlformats.org/officeDocument/2006/relationships/theme" Target="/xl/theme/theme1.xml" Id="R587c8e905e214361" /><Relationship Type="http://schemas.openxmlformats.org/officeDocument/2006/relationships/sharedStrings" Target="/xl/sharedStrings.xml" Id="Rb6f87c0528f64f0a" /><Relationship Type="http://schemas.openxmlformats.org/officeDocument/2006/relationships/worksheet" Target="/xl/worksheets/sheet1.xml" Id="Rf2cd8981a106406c" /><Relationship Type="http://schemas.openxmlformats.org/officeDocument/2006/relationships/worksheet" Target="/xl/worksheets/sheet2.xml" Id="R2d93dfef66354caa" /><Relationship Type="http://schemas.openxmlformats.org/officeDocument/2006/relationships/worksheet" Target="/xl/worksheets/sheet3.xml" Id="Rc4834e3efde74f7d" /><Relationship Type="http://schemas.openxmlformats.org/officeDocument/2006/relationships/worksheet" Target="/xl/worksheets/sheet4.xml" Id="R2667379d8a2246f3" /><Relationship Type="http://schemas.openxmlformats.org/officeDocument/2006/relationships/worksheet" Target="/xl/worksheets/sheet5.xml" Id="R5643440270bd4bfa" /><Relationship Type="http://schemas.openxmlformats.org/officeDocument/2006/relationships/worksheet" Target="/xl/worksheets/sheet6.xml" Id="R5b5674b8300a410b" /><Relationship Type="http://schemas.openxmlformats.org/officeDocument/2006/relationships/worksheet" Target="/xl/worksheets/sheet7.xml" Id="R9f215c86307842ea" /></Relationships>
</file>

<file path=xl/tables/table1.xml><?xml version="1.0" encoding="utf-8"?>
<x:table xmlns:x="http://schemas.openxmlformats.org/spreadsheetml/2006/main" id="1" name="MasterListTable" displayName="MasterListTable" ref="A4:E591" headerRowCount="1" totalsRowCount="0" totalsRowShown="0">
  <x:autoFilter ref="A4:E591"/>
  <x:tableColumns count="5">
    <x:tableColumn id="1" name="phone"/>
    <x:tableColumn id="2" name="name"/>
    <x:tableColumn id="3" name="source_group"/>
    <x:tableColumn id="4" name="group_count"/>
    <x:tableColumn id="5" name="occurrenc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cludedTable" displayName="ExcludedTable" ref="A4:G42" headerRowCount="1" totalsRowCount="0" totalsRowShown="0">
  <x:autoFilter ref="A4:G42"/>
  <x:tableColumns count="7">
    <x:tableColumn id="1" name="phone"/>
    <x:tableColumn id="2" name="best_name"/>
    <x:tableColumn id="3" name="all_names"/>
    <x:tableColumn id="4" name="exclusion_reason"/>
    <x:tableColumn id="5" name="source_groups"/>
    <x:tableColumn id="6" name="group_count"/>
    <x:tableColumn id="7" name="occurrenc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uplicatesTable" displayName="DuplicatesTable" ref="A4:G45" headerRowCount="1" totalsRowCount="0" totalsRowShown="0">
  <x:autoFilter ref="A4:G45"/>
  <x:tableColumns count="7">
    <x:tableColumn id="1" name="phone"/>
    <x:tableColumn id="2" name="best_name"/>
    <x:tableColumn id="3" name="occurrences"/>
    <x:tableColumn id="4" name="group_count"/>
    <x:tableColumn id="5" name="source_groups"/>
    <x:tableColumn id="6" name="final_status"/>
    <x:tableColumn id="7" name="reas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viewTable" displayName="ReviewTable" ref="A4:G9" headerRowCount="1" totalsRowCount="0" totalsRowShown="0">
  <x:autoFilter ref="A4:G9"/>
  <x:tableColumns count="7">
    <x:tableColumn id="1" name="phone"/>
    <x:tableColumn id="2" name="best_name"/>
    <x:tableColumn id="3" name="all_names"/>
    <x:tableColumn id="4" name="review_reason"/>
    <x:tableColumn id="5" name="source_groups"/>
    <x:tableColumn id="6" name="group_count"/>
    <x:tableColumn id="7" name="occurrenc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ourceDataTable" displayName="SourceDataTable" ref="A4:L742" headerRowCount="1" totalsRowCount="0" totalsRowShown="0">
  <x:autoFilter ref="A4:L742"/>
  <x:tableColumns count="12">
    <x:tableColumn id="1" name="source_file"/>
    <x:tableColumn id="2" name="source_group"/>
    <x:tableColumn id="3" name="source_row"/>
    <x:tableColumn id="4" name="raw_phone"/>
    <x:tableColumn id="5" name="raw_name"/>
    <x:tableColumn id="6" name="raw_status"/>
    <x:tableColumn id="7" name="normalized_phone"/>
    <x:tableColumn id="8" name="valid_phone"/>
    <x:tableColumn id="9" name="admin_status"/>
    <x:tableColumn id="10" name="insken_name"/>
    <x:tableColumn id="11" name="decision"/>
    <x:tableColumn id="12" name="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60c3c6e50ee45b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9c1e56dd332435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a3446d98b514ac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cf17c86b088457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b7a03a002274ea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22" hidden="0" customWidth="1"/>
    <x:col min="4" max="4" width="52" hidden="0" customWidth="1"/>
  </x:cols>
  <x:sheetData>
    <x:row r="1" ht="30" customHeight="1">
      <x:c r="A1" s="3" t="str">
        <x:v>INSKEN — Master List Summary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Diproses daripada 37 fail CSV di C:/Users/user/Downloads/insken. Fail asal tidak diubah.</x:v>
      </x:c>
      <x:c r="B2" s="7"/>
      <x:c r="C2" s="7"/>
      <x:c r="D2" s="7"/>
      <x:c r="E2" s="7"/>
      <x:c r="F2" s="7"/>
      <x:c r="G2" s="7"/>
      <x:c r="H2" s="7"/>
    </x:row>
    <x:row r="4" ht="24" customHeight="1">
      <x:c r="A4" s="9" t="str">
        <x:v>Metrik</x:v>
      </x:c>
      <x:c r="B4" s="9" t="str">
        <x:v>Jumlah</x:v>
      </x:c>
    </x:row>
    <x:row r="5" ht="22" customHeight="1">
      <x:c r="A5" s="54" t="str">
        <x:v>Fail sumber</x:v>
      </x:c>
      <x:c r="B5" s="66" t="n">
        <x:v>37</x:v>
      </x:c>
    </x:row>
    <x:row r="6" ht="22" customHeight="1">
      <x:c r="A6" s="55" t="str">
        <x:v>Rekod asal</x:v>
      </x:c>
      <x:c r="B6" s="67" t="n">
        <x:f>COUNTA('Source Data'!A5:A742)</x:f>
        <x:v>738</x:v>
      </x:c>
    </x:row>
    <x:row r="7" ht="22" customHeight="1">
      <x:c r="A7" s="55" t="str">
        <x:v>Nombor unik asal</x:v>
      </x:c>
      <x:c r="B7" s="67" t="n">
        <x:v>625</x:v>
      </x:c>
    </x:row>
    <x:row r="8" ht="22" customHeight="1">
      <x:c r="A8" s="55" t="str">
        <x:v>Peserta bersih unik</x:v>
      </x:c>
      <x:c r="B8" s="67" t="n">
        <x:f>COUNTA('Master List'!A5:A591)</x:f>
        <x:v>587</x:v>
      </x:c>
    </x:row>
    <x:row r="9" ht="22" customHeight="1">
      <x:c r="A9" s="55" t="str">
        <x:v>Nombor dikecualikan</x:v>
      </x:c>
      <x:c r="B9" s="67" t="n">
        <x:f>COUNTA('Excluded'!A5:A42)</x:f>
        <x:v>38</x:v>
      </x:c>
    </x:row>
    <x:row r="10" ht="22" customHeight="1">
      <x:c r="A10" s="55" t="str">
        <x:v>Nombor berulang</x:v>
      </x:c>
      <x:c r="B10" s="67" t="n">
        <x:f>COUNTA('Duplicates'!A5:A45)</x:f>
        <x:v>41</x:v>
      </x:c>
    </x:row>
    <x:row r="11" ht="22" customHeight="1">
      <x:c r="A11" s="56" t="str">
        <x:v>Calon semakan</x:v>
      </x:c>
      <x:c r="B11" s="68" t="n">
        <x:f>COUNTA('Review'!A5:A9)</x:f>
        <x:v>5</x:v>
      </x:c>
    </x:row>
    <x:row r="13" ht="24" customHeight="1">
      <x:c r="A13" s="9" t="str">
        <x:v>Aliran</x:v>
      </x:c>
      <x:c r="B13" s="9" t="str">
        <x:v>Aturan</x:v>
      </x:c>
      <x:c r="C13" s="9" t="str">
        <x:v>Tindakan</x:v>
      </x:c>
      <x:c r="D13" s="9" t="str">
        <x:v>Nota</x:v>
      </x:c>
    </x:row>
    <x:row r="14" ht="28" customHeight="1">
      <x:c r="A14" s="69" t="str">
        <x:v>1</x:v>
      </x:c>
      <x:c r="B14" s="69" t="str">
        <x:v>Admin</x:v>
      </x:c>
      <x:c r="C14" s="69" t="str">
        <x:v>Buang</x:v>
      </x:c>
      <x:c r="D14" s="69" t="str">
        <x:v>Status admin/superadmin jika tersedia</x:v>
      </x:c>
    </x:row>
    <x:row r="15" ht="28" customHeight="1">
      <x:c r="A15" s="70" t="str">
        <x:v>2</x:v>
      </x:c>
      <x:c r="B15" s="70" t="str">
        <x:v>INSKEN / INKSEN</x:v>
      </x:c>
      <x:c r="C15" s="70" t="str">
        <x:v>Buang</x:v>
      </x:c>
      <x:c r="D15" s="70" t="str">
        <x:v>Nama atau nombor yang dikenal pasti melalui kata kunci</x:v>
      </x:c>
    </x:row>
    <x:row r="16" ht="28" customHeight="1">
      <x:c r="A16" s="70" t="str">
        <x:v>3</x:v>
      </x:c>
      <x:c r="B16" s="70" t="str">
        <x:v>Pemilik/trainer</x:v>
      </x:c>
      <x:c r="C16" s="70" t="str">
        <x:v>Buang</x:v>
      </x:c>
      <x:c r="D16" s="70" t="str">
        <x:v>Nombor 60133815817</x:v>
      </x:c>
    </x:row>
    <x:row r="17" ht="28" customHeight="1">
      <x:c r="A17" s="70" t="str">
        <x:v>4</x:v>
      </x:c>
      <x:c r="B17" s="70" t="str">
        <x:v>Pengecualian manual</x:v>
      </x:c>
      <x:c r="C17" s="70" t="str">
        <x:v>Buang</x:v>
      </x:c>
      <x:c r="D17" s="70" t="str">
        <x:v>21 nama yang diarahkan oleh pengguna</x:v>
      </x:c>
    </x:row>
    <x:row r="18" ht="28" customHeight="1">
      <x:c r="A18" s="70" t="str">
        <x:v>5</x:v>
      </x:c>
      <x:c r="B18" s="70" t="str">
        <x:v>Pendua</x:v>
      </x:c>
      <x:c r="C18" s="70" t="str">
        <x:v>Gabung</x:v>
      </x:c>
      <x:c r="D18" s="70" t="str">
        <x:v>Satu nombor unik; semua grup sumber dikekalkan</x:v>
      </x:c>
    </x:row>
    <x:row r="19" ht="28" customHeight="1">
      <x:c r="A19" s="71" t="str">
        <x:v>6</x:v>
      </x:c>
      <x:c r="B19" s="71" t="str">
        <x:v>Coach/trainer/MDEC atau 3+ grup</x:v>
      </x:c>
      <x:c r="C19" s="71" t="str">
        <x:v>Semak</x:v>
      </x:c>
      <x:c r="D19" s="71" t="str">
        <x:v>Kekal dalam master sehingga disahkan secara manual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55" hidden="0" customWidth="1"/>
    <x:col min="4" max="4" width="12" hidden="0" customWidth="1"/>
    <x:col min="5" max="5" width="12" hidden="0" customWidth="1"/>
  </x:cols>
  <x:sheetData>
    <x:row r="1" ht="30" customHeight="1">
      <x:c r="A1" s="3" t="str">
        <x:v>INSKEN Master List</x:v>
      </x:c>
      <x:c r="B1" s="3"/>
      <x:c r="C1" s="3"/>
      <x:c r="D1" s="3"/>
      <x:c r="E1" s="3"/>
    </x:row>
    <x:row r="2" ht="28" customHeight="1">
      <x:c r="A2" s="7" t="str">
        <x:v>Senarai unik yang telah dibersihkan dan sedia untuk blaster one-to-one. Nombor disimpan tanpa simbol +.</x:v>
      </x:c>
      <x:c r="B2" s="7"/>
      <x:c r="C2" s="7"/>
      <x:c r="D2" s="7"/>
      <x:c r="E2" s="7"/>
    </x:row>
    <x:row r="4" ht="24" customHeight="1">
      <x:c r="A4" s="11" t="str">
        <x:v>phone</x:v>
      </x:c>
      <x:c r="B4" s="11" t="str">
        <x:v>name</x:v>
      </x:c>
      <x:c r="C4" s="11" t="str">
        <x:v>source_group</x:v>
      </x:c>
      <x:c r="D4" s="11" t="str">
        <x:v>group_count</x:v>
      </x:c>
      <x:c r="E4" s="11" t="str">
        <x:v>occurrences</x:v>
      </x:c>
    </x:row>
    <x:row r="5">
      <x:c r="A5" s="45" t="str">
        <x:f>"60102609457"</x:f>
        <x:v>60102609457</x:v>
      </x:c>
      <x:c r="B5" s="20" t="str">
        <x:v>Najiah Enterprise</x:v>
      </x:c>
      <x:c r="C5" s="20" t="str">
        <x:v>eusahawan28 April</x:v>
      </x:c>
      <x:c r="D5" s="20" t="n">
        <x:v>1</x:v>
      </x:c>
      <x:c r="E5" s="20" t="n">
        <x:v>1</x:v>
      </x:c>
    </x:row>
    <x:row r="6">
      <x:c r="A6" s="46" t="str">
        <x:f>"60102711661"</x:f>
        <x:v>60102711661</x:v>
      </x:c>
      <x:c r="B6" s="21" t="str"/>
      <x:c r="C6" s="21" t="str">
        <x:v>TDAG12</x:v>
      </x:c>
      <x:c r="D6" s="21" t="n">
        <x:v>1</x:v>
      </x:c>
      <x:c r="E6" s="21" t="n">
        <x:v>1</x:v>
      </x:c>
    </x:row>
    <x:row r="7">
      <x:c r="A7" s="46" t="str">
        <x:f>"60103004557"</x:f>
        <x:v>60103004557</x:v>
      </x:c>
      <x:c r="B7" s="21" t="str">
        <x:v>Mohd Hafiz Bin Nordin</x:v>
      </x:c>
      <x:c r="C7" s="21" t="str">
        <x:v>EBOARD C8 SP; lazada 5-6</x:v>
      </x:c>
      <x:c r="D7" s="21" t="n">
        <x:v>2</x:v>
      </x:c>
      <x:c r="E7" s="21" t="n">
        <x:v>2</x:v>
      </x:c>
    </x:row>
    <x:row r="8">
      <x:c r="A8" s="46" t="str">
        <x:f>"60103194319"</x:f>
        <x:v>60103194319</x:v>
      </x:c>
      <x:c r="B8" s="21" t="str">
        <x:v>MZ Travel Malaysia - Thailand Tours</x:v>
      </x:c>
      <x:c r="C8" s="21" t="str">
        <x:v>td32</x:v>
      </x:c>
      <x:c r="D8" s="21" t="n">
        <x:v>1</x:v>
      </x:c>
      <x:c r="E8" s="21" t="n">
        <x:v>1</x:v>
      </x:c>
    </x:row>
    <x:row r="9">
      <x:c r="A9" s="46" t="str">
        <x:f>"60103222523"</x:f>
        <x:v>60103222523</x:v>
      </x:c>
      <x:c r="B9" s="21" t="str"/>
      <x:c r="C9" s="21" t="str">
        <x:v>DIGITAL PRODUCT MASTERY</x:v>
      </x:c>
      <x:c r="D9" s="21" t="n">
        <x:v>1</x:v>
      </x:c>
      <x:c r="E9" s="21" t="n">
        <x:v>1</x:v>
      </x:c>
    </x:row>
    <x:row r="10">
      <x:c r="A10" s="46" t="str">
        <x:f>"60103642771"</x:f>
        <x:v>60103642771</x:v>
      </x:c>
      <x:c r="B10" s="21" t="str"/>
      <x:c r="C10" s="21" t="str">
        <x:v>eusahawan28 April</x:v>
      </x:c>
      <x:c r="D10" s="21" t="n">
        <x:v>1</x:v>
      </x:c>
      <x:c r="E10" s="21" t="n">
        <x:v>1</x:v>
      </x:c>
    </x:row>
    <x:row r="11">
      <x:c r="A11" s="46" t="str">
        <x:f>"60103819272"</x:f>
        <x:v>60103819272</x:v>
      </x:c>
      <x:c r="B11" s="21" t="str"/>
      <x:c r="C11" s="21" t="str">
        <x:v>tiktok sahanita</x:v>
      </x:c>
      <x:c r="D11" s="21" t="n">
        <x:v>1</x:v>
      </x:c>
      <x:c r="E11" s="21" t="n">
        <x:v>1</x:v>
      </x:c>
    </x:row>
    <x:row r="12">
      <x:c r="A12" s="46" t="str">
        <x:f>"60104012756"</x:f>
        <x:v>60104012756</x:v>
      </x:c>
      <x:c r="B12" s="21" t="str"/>
      <x:c r="C12" s="21" t="str">
        <x:v>tiktok cz</x:v>
      </x:c>
      <x:c r="D12" s="21" t="n">
        <x:v>1</x:v>
      </x:c>
      <x:c r="E12" s="21" t="n">
        <x:v>1</x:v>
      </x:c>
    </x:row>
    <x:row r="13">
      <x:c r="A13" s="46" t="str">
        <x:f>"60104061774"</x:f>
        <x:v>60104061774</x:v>
      </x:c>
      <x:c r="B13" s="21" t="str"/>
      <x:c r="C13" s="21" t="str">
        <x:v>mcbr02</x:v>
      </x:c>
      <x:c r="D13" s="21" t="n">
        <x:v>1</x:v>
      </x:c>
      <x:c r="E13" s="21" t="n">
        <x:v>1</x:v>
      </x:c>
    </x:row>
    <x:row r="14">
      <x:c r="A14" s="46" t="str">
        <x:f>"60104347093"</x:f>
        <x:v>60104347093</x:v>
      </x:c>
      <x:c r="B14" s="21" t="str">
        <x:v>Tarmizi Nirmat</x:v>
      </x:c>
      <x:c r="C14" s="21" t="str">
        <x:v>mcbr02</x:v>
      </x:c>
      <x:c r="D14" s="21" t="n">
        <x:v>1</x:v>
      </x:c>
      <x:c r="E14" s="21" t="n">
        <x:v>1</x:v>
      </x:c>
    </x:row>
    <x:row r="15">
      <x:c r="A15" s="46" t="str">
        <x:f>"60104404313"</x:f>
        <x:v>60104404313</x:v>
      </x:c>
      <x:c r="B15" s="21" t="str"/>
      <x:c r="C15" s="21" t="str">
        <x:v>Td21 emkrt</x:v>
      </x:c>
      <x:c r="D15" s="21" t="n">
        <x:v>1</x:v>
      </x:c>
      <x:c r="E15" s="21" t="n">
        <x:v>1</x:v>
      </x:c>
    </x:row>
    <x:row r="16">
      <x:c r="A16" s="46" t="str">
        <x:f>"60104411708"</x:f>
        <x:v>60104411708</x:v>
      </x:c>
      <x:c r="B16" s="21" t="str"/>
      <x:c r="C16" s="21" t="str">
        <x:v>TD35 Eposter</x:v>
      </x:c>
      <x:c r="D16" s="21" t="n">
        <x:v>1</x:v>
      </x:c>
      <x:c r="E16" s="21" t="n">
        <x:v>1</x:v>
      </x:c>
    </x:row>
    <x:row r="17">
      <x:c r="A17" s="46" t="str">
        <x:f>"60104548410"</x:f>
        <x:v>60104548410</x:v>
      </x:c>
      <x:c r="B17" s="21" t="str"/>
      <x:c r="C17" s="21" t="str">
        <x:v>shopee laz 25-26 Ogos</x:v>
      </x:c>
      <x:c r="D17" s="21" t="n">
        <x:v>1</x:v>
      </x:c>
      <x:c r="E17" s="21" t="n">
        <x:v>1</x:v>
      </x:c>
    </x:row>
    <x:row r="18">
      <x:c r="A18" s="46" t="str">
        <x:f>"60104676353"</x:f>
        <x:v>60104676353</x:v>
      </x:c>
      <x:c r="B18" s="21" t="str"/>
      <x:c r="C18" s="21" t="str">
        <x:v>cohort 3 B2</x:v>
      </x:c>
      <x:c r="D18" s="21" t="n">
        <x:v>1</x:v>
      </x:c>
      <x:c r="E18" s="21" t="n">
        <x:v>1</x:v>
      </x:c>
    </x:row>
    <x:row r="19">
      <x:c r="A19" s="46" t="str">
        <x:f>"60105249765"</x:f>
        <x:v>60105249765</x:v>
      </x:c>
      <x:c r="B19" s="21" t="str"/>
      <x:c r="C19" s="21" t="str">
        <x:v>mcbr02</x:v>
      </x:c>
      <x:c r="D19" s="21" t="n">
        <x:v>1</x:v>
      </x:c>
      <x:c r="E19" s="21" t="n">
        <x:v>1</x:v>
      </x:c>
    </x:row>
    <x:row r="20">
      <x:c r="A20" s="46" t="str">
        <x:f>"60105447245"</x:f>
        <x:v>60105447245</x:v>
      </x:c>
      <x:c r="B20" s="21" t="str"/>
      <x:c r="C20" s="21" t="str">
        <x:v>TD119 Zero CM; TD137; TD160; Td21 emkrt; TD35 Eposter; TD47 Shopee; tiktok 12-13 Jan 2026</x:v>
      </x:c>
      <x:c r="D20" s="21" t="n">
        <x:v>7</x:v>
      </x:c>
      <x:c r="E20" s="21" t="n">
        <x:v>7</x:v>
      </x:c>
    </x:row>
    <x:row r="21">
      <x:c r="A21" s="46" t="str">
        <x:f>"60105702576"</x:f>
        <x:v>60105702576</x:v>
      </x:c>
      <x:c r="B21" s="21" t="str"/>
      <x:c r="C21" s="21" t="str">
        <x:v>cohort 3 B2</x:v>
      </x:c>
      <x:c r="D21" s="21" t="n">
        <x:v>1</x:v>
      </x:c>
      <x:c r="E21" s="21" t="n">
        <x:v>1</x:v>
      </x:c>
    </x:row>
    <x:row r="22">
      <x:c r="A22" s="46" t="str">
        <x:f>"60107756278"</x:f>
        <x:v>60107756278</x:v>
      </x:c>
      <x:c r="B22" s="21" t="str">
        <x:v>B Bella Food</x:v>
      </x:c>
      <x:c r="C22" s="21" t="str">
        <x:v>tiktok sahanita</x:v>
      </x:c>
      <x:c r="D22" s="21" t="n">
        <x:v>1</x:v>
      </x:c>
      <x:c r="E22" s="21" t="n">
        <x:v>1</x:v>
      </x:c>
    </x:row>
    <x:row r="23">
      <x:c r="A23" s="46" t="str">
        <x:f>"60107833032"</x:f>
        <x:v>60107833032</x:v>
      </x:c>
      <x:c r="B23" s="21" t="str">
        <x:v>Hasbullah Yunus</x:v>
      </x:c>
      <x:c r="C23" s="21" t="str">
        <x:v>TD35 Eposter; Tidak Dinamakan</x:v>
      </x:c>
      <x:c r="D23" s="21" t="n">
        <x:v>2</x:v>
      </x:c>
      <x:c r="E23" s="21" t="n">
        <x:v>2</x:v>
      </x:c>
    </x:row>
    <x:row r="24">
      <x:c r="A24" s="46" t="str">
        <x:f>"60107899672"</x:f>
        <x:v>60107899672</x:v>
      </x:c>
      <x:c r="B24" s="21" t="str"/>
      <x:c r="C24" s="21" t="str">
        <x:v>UPM</x:v>
      </x:c>
      <x:c r="D24" s="21" t="n">
        <x:v>1</x:v>
      </x:c>
      <x:c r="E24" s="21" t="n">
        <x:v>1</x:v>
      </x:c>
    </x:row>
    <x:row r="25">
      <x:c r="A25" s="46" t="str">
        <x:f>"60107920072"</x:f>
        <x:v>60107920072</x:v>
      </x:c>
      <x:c r="B25" s="21" t="str"/>
      <x:c r="C25" s="21" t="str">
        <x:v>Julai 17</x:v>
      </x:c>
      <x:c r="D25" s="21" t="n">
        <x:v>1</x:v>
      </x:c>
      <x:c r="E25" s="21" t="n">
        <x:v>1</x:v>
      </x:c>
    </x:row>
    <x:row r="26">
      <x:c r="A26" s="46" t="str">
        <x:f>"60108230234"</x:f>
        <x:v>60108230234</x:v>
      </x:c>
      <x:c r="B26" s="21" t="str"/>
      <x:c r="C26" s="21" t="str">
        <x:v>Tidak Dinamakan</x:v>
      </x:c>
      <x:c r="D26" s="21" t="n">
        <x:v>1</x:v>
      </x:c>
      <x:c r="E26" s="21" t="n">
        <x:v>1</x:v>
      </x:c>
    </x:row>
    <x:row r="27">
      <x:c r="A27" s="46" t="str">
        <x:f>"60108488498"</x:f>
        <x:v>60108488498</x:v>
      </x:c>
      <x:c r="B27" s="21" t="str">
        <x:v>fnz print</x:v>
      </x:c>
      <x:c r="C27" s="21" t="str">
        <x:v>mcbr02</x:v>
      </x:c>
      <x:c r="D27" s="21" t="n">
        <x:v>1</x:v>
      </x:c>
      <x:c r="E27" s="21" t="n">
        <x:v>1</x:v>
      </x:c>
    </x:row>
    <x:row r="28">
      <x:c r="A28" s="46" t="str">
        <x:f>"60108802317"</x:f>
        <x:v>60108802317</x:v>
      </x:c>
      <x:c r="B28" s="21" t="str">
        <x:v>Madam MARINA</x:v>
      </x:c>
      <x:c r="C28" s="21" t="str">
        <x:v>C8 TT</x:v>
      </x:c>
      <x:c r="D28" s="21" t="n">
        <x:v>1</x:v>
      </x:c>
      <x:c r="E28" s="21" t="n">
        <x:v>1</x:v>
      </x:c>
    </x:row>
    <x:row r="29">
      <x:c r="A29" s="46" t="str">
        <x:f>"60109205013"</x:f>
        <x:v>60109205013</x:v>
      </x:c>
      <x:c r="B29" s="21" t="str"/>
      <x:c r="C29" s="21" t="str">
        <x:v>C1TT</x:v>
      </x:c>
      <x:c r="D29" s="21" t="n">
        <x:v>1</x:v>
      </x:c>
      <x:c r="E29" s="21" t="n">
        <x:v>1</x:v>
      </x:c>
    </x:row>
    <x:row r="30">
      <x:c r="A30" s="46" t="str">
        <x:f>"60109333543"</x:f>
        <x:v>60109333543</x:v>
      </x:c>
      <x:c r="B30" s="21" t="str"/>
      <x:c r="C30" s="21" t="str">
        <x:v>emarket11-12</x:v>
      </x:c>
      <x:c r="D30" s="21" t="n">
        <x:v>1</x:v>
      </x:c>
      <x:c r="E30" s="21" t="n">
        <x:v>1</x:v>
      </x:c>
    </x:row>
    <x:row r="31">
      <x:c r="A31" s="46" t="str">
        <x:f>"60109833892"</x:f>
        <x:v>60109833892</x:v>
      </x:c>
      <x:c r="B31" s="21" t="str">
        <x:v>Kak Fara</x:v>
      </x:c>
      <x:c r="C31" s="21" t="str">
        <x:v>C8 TT</x:v>
      </x:c>
      <x:c r="D31" s="21" t="n">
        <x:v>1</x:v>
      </x:c>
      <x:c r="E31" s="21" t="n">
        <x:v>1</x:v>
      </x:c>
    </x:row>
    <x:row r="32">
      <x:c r="A32" s="46" t="str">
        <x:f>"601110018816"</x:f>
        <x:v>601110018816</x:v>
      </x:c>
      <x:c r="B32" s="21" t="str"/>
      <x:c r="C32" s="21" t="str">
        <x:v>TD119 Zero CM</x:v>
      </x:c>
      <x:c r="D32" s="21" t="n">
        <x:v>1</x:v>
      </x:c>
      <x:c r="E32" s="21" t="n">
        <x:v>1</x:v>
      </x:c>
    </x:row>
    <x:row r="33">
      <x:c r="A33" s="46" t="str">
        <x:f>"601110122034"</x:f>
        <x:v>601110122034</x:v>
      </x:c>
      <x:c r="B33" s="21" t="str">
        <x:v>diamitulebihbaik</x:v>
      </x:c>
      <x:c r="C33" s="21" t="str">
        <x:v>tiktok mana ns</x:v>
      </x:c>
      <x:c r="D33" s="21" t="n">
        <x:v>1</x:v>
      </x:c>
      <x:c r="E33" s="21" t="n">
        <x:v>1</x:v>
      </x:c>
    </x:row>
    <x:row r="34">
      <x:c r="A34" s="46" t="str">
        <x:f>"601110196067"</x:f>
        <x:v>601110196067</x:v>
      </x:c>
      <x:c r="B34" s="21" t="str"/>
      <x:c r="C34" s="21" t="str">
        <x:v>Tidak Dinamakan</x:v>
      </x:c>
      <x:c r="D34" s="21" t="n">
        <x:v>1</x:v>
      </x:c>
      <x:c r="E34" s="21" t="n">
        <x:v>1</x:v>
      </x:c>
    </x:row>
    <x:row r="35">
      <x:c r="A35" s="46" t="str">
        <x:f>"601110703110"</x:f>
        <x:v>601110703110</x:v>
      </x:c>
      <x:c r="B35" s="21" t="str"/>
      <x:c r="C35" s="21" t="str">
        <x:v>tdag79</x:v>
      </x:c>
      <x:c r="D35" s="21" t="n">
        <x:v>1</x:v>
      </x:c>
      <x:c r="E35" s="21" t="n">
        <x:v>1</x:v>
      </x:c>
    </x:row>
    <x:row r="36">
      <x:c r="A36" s="46" t="str">
        <x:f>"601110782097"</x:f>
        <x:v>601110782097</x:v>
      </x:c>
      <x:c r="B36" s="21" t="str">
        <x:v>madamfss</x:v>
      </x:c>
      <x:c r="C36" s="21" t="str">
        <x:v>TD47 Shopee</x:v>
      </x:c>
      <x:c r="D36" s="21" t="n">
        <x:v>1</x:v>
      </x:c>
      <x:c r="E36" s="21" t="n">
        <x:v>1</x:v>
      </x:c>
    </x:row>
    <x:row r="37">
      <x:c r="A37" s="46" t="str">
        <x:f>"601110866750"</x:f>
        <x:v>601110866750</x:v>
      </x:c>
      <x:c r="B37" s="21" t="str"/>
      <x:c r="C37" s="21" t="str">
        <x:v>TDAG12</x:v>
      </x:c>
      <x:c r="D37" s="21" t="n">
        <x:v>1</x:v>
      </x:c>
      <x:c r="E37" s="21" t="n">
        <x:v>1</x:v>
      </x:c>
    </x:row>
    <x:row r="38">
      <x:c r="A38" s="46" t="str">
        <x:f>"601110887267"</x:f>
        <x:v>601110887267</x:v>
      </x:c>
      <x:c r="B38" s="21" t="str">
        <x:v>Ku nawra</x:v>
      </x:c>
      <x:c r="C38" s="21" t="str">
        <x:v>TDAG12</x:v>
      </x:c>
      <x:c r="D38" s="21" t="n">
        <x:v>1</x:v>
      </x:c>
      <x:c r="E38" s="21" t="n">
        <x:v>1</x:v>
      </x:c>
    </x:row>
    <x:row r="39">
      <x:c r="A39" s="46" t="str">
        <x:f>"601110917798"</x:f>
        <x:v>601110917798</x:v>
      </x:c>
      <x:c r="B39" s="21" t="str"/>
      <x:c r="C39" s="21" t="str">
        <x:v>Td21 emkrt</x:v>
      </x:c>
      <x:c r="D39" s="21" t="n">
        <x:v>1</x:v>
      </x:c>
      <x:c r="E39" s="21" t="n">
        <x:v>1</x:v>
      </x:c>
    </x:row>
    <x:row r="40">
      <x:c r="A40" s="46" t="str">
        <x:f>"601111444562"</x:f>
        <x:v>601111444562</x:v>
      </x:c>
      <x:c r="B40" s="21" t="str"/>
      <x:c r="C40" s="21" t="str">
        <x:v>laz 25-26</x:v>
      </x:c>
      <x:c r="D40" s="21" t="n">
        <x:v>1</x:v>
      </x:c>
      <x:c r="E40" s="21" t="n">
        <x:v>1</x:v>
      </x:c>
    </x:row>
    <x:row r="41">
      <x:c r="A41" s="46" t="str">
        <x:f>"601111489036"</x:f>
        <x:v>601111489036</x:v>
      </x:c>
      <x:c r="B41" s="21" t="str"/>
      <x:c r="C41" s="21" t="str">
        <x:v>EBOARD C8 SP; TD7 emkt</x:v>
      </x:c>
      <x:c r="D41" s="21" t="n">
        <x:v>2</x:v>
      </x:c>
      <x:c r="E41" s="21" t="n">
        <x:v>2</x:v>
      </x:c>
    </x:row>
    <x:row r="42">
      <x:c r="A42" s="46" t="str">
        <x:f>"601111929605"</x:f>
        <x:v>601111929605</x:v>
      </x:c>
      <x:c r="B42" s="21" t="str">
        <x:v>~ROY~</x:v>
      </x:c>
      <x:c r="C42" s="21" t="str">
        <x:v>eusahawan28 April</x:v>
      </x:c>
      <x:c r="D42" s="21" t="n">
        <x:v>1</x:v>
      </x:c>
      <x:c r="E42" s="21" t="n">
        <x:v>1</x:v>
      </x:c>
    </x:row>
    <x:row r="43">
      <x:c r="A43" s="46" t="str">
        <x:f>"601112185623"</x:f>
        <x:v>601112185623</x:v>
      </x:c>
      <x:c r="B43" s="21" t="str">
        <x:v>KLINIK FAMILI</x:v>
      </x:c>
      <x:c r="C43" s="21" t="str">
        <x:v>cohort 3 B2</x:v>
      </x:c>
      <x:c r="D43" s="21" t="n">
        <x:v>1</x:v>
      </x:c>
      <x:c r="E43" s="21" t="n">
        <x:v>1</x:v>
      </x:c>
    </x:row>
    <x:row r="44">
      <x:c r="A44" s="46" t="str">
        <x:f>"601112186846"</x:f>
        <x:v>601112186846</x:v>
      </x:c>
      <x:c r="B44" s="21" t="str">
        <x:v>Syafiq Mansor</x:v>
      </x:c>
      <x:c r="C44" s="21" t="str">
        <x:v>TD47 Shopee</x:v>
      </x:c>
      <x:c r="D44" s="21" t="n">
        <x:v>1</x:v>
      </x:c>
      <x:c r="E44" s="21" t="n">
        <x:v>1</x:v>
      </x:c>
    </x:row>
    <x:row r="45">
      <x:c r="A45" s="46" t="str">
        <x:f>"601112197298"</x:f>
        <x:v>601112197298</x:v>
      </x:c>
      <x:c r="B45" s="21" t="str"/>
      <x:c r="C45" s="21" t="str">
        <x:v>tiktok cz</x:v>
      </x:c>
      <x:c r="D45" s="21" t="n">
        <x:v>1</x:v>
      </x:c>
      <x:c r="E45" s="21" t="n">
        <x:v>1</x:v>
      </x:c>
    </x:row>
    <x:row r="46">
      <x:c r="A46" s="46" t="str">
        <x:f>"601112221343"</x:f>
        <x:v>601112221343</x:v>
      </x:c>
      <x:c r="B46" s="21" t="str"/>
      <x:c r="C46" s="21" t="str">
        <x:v>TD119 Zero CM</x:v>
      </x:c>
      <x:c r="D46" s="21" t="n">
        <x:v>1</x:v>
      </x:c>
      <x:c r="E46" s="21" t="n">
        <x:v>1</x:v>
      </x:c>
    </x:row>
    <x:row r="47">
      <x:c r="A47" s="46" t="str">
        <x:f>"601112994813"</x:f>
        <x:v>601112994813</x:v>
      </x:c>
      <x:c r="B47" s="21" t="str">
        <x:v>eu adibah z 060823</x:v>
      </x:c>
      <x:c r="C47" s="21" t="str">
        <x:v>Td21 emkrt</x:v>
      </x:c>
      <x:c r="D47" s="21" t="n">
        <x:v>1</x:v>
      </x:c>
      <x:c r="E47" s="21" t="n">
        <x:v>1</x:v>
      </x:c>
    </x:row>
    <x:row r="48">
      <x:c r="A48" s="46" t="str">
        <x:f>"601114033722"</x:f>
        <x:v>601114033722</x:v>
      </x:c>
      <x:c r="B48" s="21" t="str"/>
      <x:c r="C48" s="21" t="str">
        <x:v>Td21 emkrt; TD35 Eposter</x:v>
      </x:c>
      <x:c r="D48" s="21" t="n">
        <x:v>2</x:v>
      </x:c>
      <x:c r="E48" s="21" t="n">
        <x:v>2</x:v>
      </x:c>
    </x:row>
    <x:row r="49">
      <x:c r="A49" s="46" t="str">
        <x:f>"601114411064"</x:f>
        <x:v>601114411064</x:v>
      </x:c>
      <x:c r="B49" s="21" t="str"/>
      <x:c r="C49" s="21" t="str">
        <x:v>ti9596</x:v>
      </x:c>
      <x:c r="D49" s="21" t="n">
        <x:v>1</x:v>
      </x:c>
      <x:c r="E49" s="21" t="n">
        <x:v>1</x:v>
      </x:c>
    </x:row>
    <x:row r="50">
      <x:c r="A50" s="46" t="str">
        <x:f>"601114919589"</x:f>
        <x:v>601114919589</x:v>
      </x:c>
      <x:c r="B50" s="21" t="str"/>
      <x:c r="C50" s="21" t="str">
        <x:v>laz 25-26</x:v>
      </x:c>
      <x:c r="D50" s="21" t="n">
        <x:v>1</x:v>
      </x:c>
      <x:c r="E50" s="21" t="n">
        <x:v>1</x:v>
      </x:c>
    </x:row>
    <x:row r="51">
      <x:c r="A51" s="46" t="str">
        <x:f>"601115567644"</x:f>
        <x:v>601115567644</x:v>
      </x:c>
      <x:c r="B51" s="21" t="str"/>
      <x:c r="C51" s="21" t="str">
        <x:v>C1TT</x:v>
      </x:c>
      <x:c r="D51" s="21" t="n">
        <x:v>1</x:v>
      </x:c>
      <x:c r="E51" s="21" t="n">
        <x:v>1</x:v>
      </x:c>
    </x:row>
    <x:row r="52">
      <x:c r="A52" s="46" t="str">
        <x:f>"601115737599"</x:f>
        <x:v>601115737599</x:v>
      </x:c>
      <x:c r="B52" s="21" t="str"/>
      <x:c r="C52" s="21" t="str">
        <x:v>tiktok sahanita</x:v>
      </x:c>
      <x:c r="D52" s="21" t="n">
        <x:v>1</x:v>
      </x:c>
      <x:c r="E52" s="21" t="n">
        <x:v>1</x:v>
      </x:c>
    </x:row>
    <x:row r="53">
      <x:c r="A53" s="46" t="str">
        <x:f>"601116199791"</x:f>
        <x:v>601116199791</x:v>
      </x:c>
      <x:c r="B53" s="21" t="str">
        <x:v>Мoʜᴀммᴀᴅ ᴍᴀʟɪᴋ</x:v>
      </x:c>
      <x:c r="C53" s="21" t="str">
        <x:v>tiktok mana ns</x:v>
      </x:c>
      <x:c r="D53" s="21" t="n">
        <x:v>1</x:v>
      </x:c>
      <x:c r="E53" s="21" t="n">
        <x:v>1</x:v>
      </x:c>
    </x:row>
    <x:row r="54">
      <x:c r="A54" s="46" t="str">
        <x:f>"601116252721"</x:f>
        <x:v>601116252721</x:v>
      </x:c>
      <x:c r="B54" s="21" t="str">
        <x:v>Nizamiyyah Publications</x:v>
      </x:c>
      <x:c r="C54" s="21" t="str">
        <x:v>TD35 Eposter</x:v>
      </x:c>
      <x:c r="D54" s="21" t="n">
        <x:v>1</x:v>
      </x:c>
      <x:c r="E54" s="21" t="n">
        <x:v>1</x:v>
      </x:c>
    </x:row>
    <x:row r="55">
      <x:c r="A55" s="46" t="str">
        <x:f>"601116549667"</x:f>
        <x:v>601116549667</x:v>
      </x:c>
      <x:c r="B55" s="21" t="str"/>
      <x:c r="C55" s="21" t="str">
        <x:v>tiktok sahanita</x:v>
      </x:c>
      <x:c r="D55" s="21" t="n">
        <x:v>1</x:v>
      </x:c>
      <x:c r="E55" s="21" t="n">
        <x:v>1</x:v>
      </x:c>
    </x:row>
    <x:row r="56">
      <x:c r="A56" s="46" t="str">
        <x:f>"601118751678"</x:f>
        <x:v>601118751678</x:v>
      </x:c>
      <x:c r="B56" s="21" t="str">
        <x:v>ANEES Cosmetics Spa</x:v>
      </x:c>
      <x:c r="C56" s="21" t="str">
        <x:v>EBOARD C8 SP</x:v>
      </x:c>
      <x:c r="D56" s="21" t="n">
        <x:v>1</x:v>
      </x:c>
      <x:c r="E56" s="21" t="n">
        <x:v>1</x:v>
      </x:c>
    </x:row>
    <x:row r="57">
      <x:c r="A57" s="46" t="str">
        <x:f>"601118981901"</x:f>
        <x:v>601118981901</x:v>
      </x:c>
      <x:c r="B57" s="21" t="str">
        <x:v>Tastech Sdn Bhd</x:v>
      </x:c>
      <x:c r="C57" s="21" t="str">
        <x:v>TD7 emkt</x:v>
      </x:c>
      <x:c r="D57" s="21" t="n">
        <x:v>1</x:v>
      </x:c>
      <x:c r="E57" s="21" t="n">
        <x:v>1</x:v>
      </x:c>
    </x:row>
    <x:row r="58">
      <x:c r="A58" s="46" t="str">
        <x:f>"601118981934"</x:f>
        <x:v>601118981934</x:v>
      </x:c>
      <x:c r="B58" s="21" t="str">
        <x:v>Sa'adiah binti Khalid</x:v>
      </x:c>
      <x:c r="C58" s="21" t="str">
        <x:v>tiktok mana ns</x:v>
      </x:c>
      <x:c r="D58" s="21" t="n">
        <x:v>1</x:v>
      </x:c>
      <x:c r="E58" s="21" t="n">
        <x:v>1</x:v>
      </x:c>
    </x:row>
    <x:row r="59">
      <x:c r="A59" s="46" t="str">
        <x:f>"601119424294"</x:f>
        <x:v>601119424294</x:v>
      </x:c>
      <x:c r="B59" s="21" t="str"/>
      <x:c r="C59" s="21" t="str">
        <x:v>TD137</x:v>
      </x:c>
      <x:c r="D59" s="21" t="n">
        <x:v>1</x:v>
      </x:c>
      <x:c r="E59" s="21" t="n">
        <x:v>1</x:v>
      </x:c>
    </x:row>
    <x:row r="60">
      <x:c r="A60" s="46" t="str">
        <x:f>"601119511599"</x:f>
        <x:v>601119511599</x:v>
      </x:c>
      <x:c r="B60" s="21" t="str">
        <x:v>Mohd Isham Razali</x:v>
      </x:c>
      <x:c r="C60" s="21" t="str">
        <x:v>tiktok sahanita</x:v>
      </x:c>
      <x:c r="D60" s="21" t="n">
        <x:v>1</x:v>
      </x:c>
      <x:c r="E60" s="21" t="n">
        <x:v>1</x:v>
      </x:c>
    </x:row>
    <x:row r="61">
      <x:c r="A61" s="46" t="str">
        <x:f>"601119577342"</x:f>
        <x:v>601119577342</x:v>
      </x:c>
      <x:c r="B61" s="21" t="str">
        <x:v>lukman C6 Shopee</x:v>
      </x:c>
      <x:c r="C61" s="21" t="str">
        <x:v>Tidak Dinamakan</x:v>
      </x:c>
      <x:c r="D61" s="21" t="n">
        <x:v>1</x:v>
      </x:c>
      <x:c r="E61" s="21" t="n">
        <x:v>1</x:v>
      </x:c>
    </x:row>
    <x:row r="62">
      <x:c r="A62" s="46" t="str">
        <x:f>"601119808620"</x:f>
        <x:v>601119808620</x:v>
      </x:c>
      <x:c r="B62" s="21" t="str"/>
      <x:c r="C62" s="21" t="str">
        <x:v>laz 25-26</x:v>
      </x:c>
      <x:c r="D62" s="21" t="n">
        <x:v>1</x:v>
      </x:c>
      <x:c r="E62" s="21" t="n">
        <x:v>1</x:v>
      </x:c>
    </x:row>
    <x:row r="63">
      <x:c r="A63" s="46" t="str">
        <x:f>"601119944582"</x:f>
        <x:v>601119944582</x:v>
      </x:c>
      <x:c r="B63" s="21" t="str"/>
      <x:c r="C63" s="21" t="str">
        <x:v>laz 25-26</x:v>
      </x:c>
      <x:c r="D63" s="21" t="n">
        <x:v>1</x:v>
      </x:c>
      <x:c r="E63" s="21" t="n">
        <x:v>1</x:v>
      </x:c>
    </x:row>
    <x:row r="64">
      <x:c r="A64" s="46" t="str">
        <x:f>"601120625178"</x:f>
        <x:v>601120625178</x:v>
      </x:c>
      <x:c r="B64" s="21" t="str">
        <x:v>Coach Anis Digital marketing Academy</x:v>
      </x:c>
      <x:c r="C64" s="21" t="str">
        <x:v>tiktok mana ns</x:v>
      </x:c>
      <x:c r="D64" s="21" t="n">
        <x:v>1</x:v>
      </x:c>
      <x:c r="E64" s="21" t="n">
        <x:v>1</x:v>
      </x:c>
    </x:row>
    <x:row r="65">
      <x:c r="A65" s="46" t="str">
        <x:f>"601120849918"</x:f>
        <x:v>601120849918</x:v>
      </x:c>
      <x:c r="B65" s="21" t="str"/>
      <x:c r="C65" s="21" t="str">
        <x:v>TD1 eMkt</x:v>
      </x:c>
      <x:c r="D65" s="21" t="n">
        <x:v>1</x:v>
      </x:c>
      <x:c r="E65" s="21" t="n">
        <x:v>1</x:v>
      </x:c>
    </x:row>
    <x:row r="66">
      <x:c r="A66" s="46" t="str">
        <x:f>"601123647601"</x:f>
        <x:v>601123647601</x:v>
      </x:c>
      <x:c r="B66" s="21" t="str"/>
      <x:c r="C66" s="21" t="str">
        <x:v>tiktok 12-13 Jan 2026</x:v>
      </x:c>
      <x:c r="D66" s="21" t="n">
        <x:v>1</x:v>
      </x:c>
      <x:c r="E66" s="21" t="n">
        <x:v>1</x:v>
      </x:c>
    </x:row>
    <x:row r="67">
      <x:c r="A67" s="46" t="str">
        <x:f>"601124376242"</x:f>
        <x:v>601124376242</x:v>
      </x:c>
      <x:c r="B67" s="21" t="str"/>
      <x:c r="C67" s="21" t="str">
        <x:v>Td21 emkrt</x:v>
      </x:c>
      <x:c r="D67" s="21" t="n">
        <x:v>1</x:v>
      </x:c>
      <x:c r="E67" s="21" t="n">
        <x:v>1</x:v>
      </x:c>
    </x:row>
    <x:row r="68">
      <x:c r="A68" s="46" t="str">
        <x:f>"601125065986"</x:f>
        <x:v>601125065986</x:v>
      </x:c>
      <x:c r="B68" s="21" t="str"/>
      <x:c r="C68" s="21" t="str">
        <x:v>UPM</x:v>
      </x:c>
      <x:c r="D68" s="21" t="n">
        <x:v>1</x:v>
      </x:c>
      <x:c r="E68" s="21" t="n">
        <x:v>1</x:v>
      </x:c>
    </x:row>
    <x:row r="69">
      <x:c r="A69" s="46" t="str">
        <x:f>"601125442584"</x:f>
        <x:v>601125442584</x:v>
      </x:c>
      <x:c r="B69" s="21" t="str"/>
      <x:c r="C69" s="21" t="str">
        <x:v>tiktok sahanita</x:v>
      </x:c>
      <x:c r="D69" s="21" t="n">
        <x:v>1</x:v>
      </x:c>
      <x:c r="E69" s="21" t="n">
        <x:v>1</x:v>
      </x:c>
    </x:row>
    <x:row r="70">
      <x:c r="A70" s="46" t="str">
        <x:f>"601126255742"</x:f>
        <x:v>601126255742</x:v>
      </x:c>
      <x:c r="B70" s="21" t="str"/>
      <x:c r="C70" s="21" t="str">
        <x:v>lazada 5-6</x:v>
      </x:c>
      <x:c r="D70" s="21" t="n">
        <x:v>1</x:v>
      </x:c>
      <x:c r="E70" s="21" t="n">
        <x:v>1</x:v>
      </x:c>
    </x:row>
    <x:row r="71">
      <x:c r="A71" s="46" t="str">
        <x:f>"601126380151"</x:f>
        <x:v>601126380151</x:v>
      </x:c>
      <x:c r="B71" s="21" t="str"/>
      <x:c r="C71" s="21" t="str">
        <x:v>tiktok mana ns</x:v>
      </x:c>
      <x:c r="D71" s="21" t="n">
        <x:v>1</x:v>
      </x:c>
      <x:c r="E71" s="21" t="n">
        <x:v>1</x:v>
      </x:c>
    </x:row>
    <x:row r="72">
      <x:c r="A72" s="46" t="str">
        <x:f>"601126390538"</x:f>
        <x:v>601126390538</x:v>
      </x:c>
      <x:c r="B72" s="21" t="str"/>
      <x:c r="C72" s="21" t="str">
        <x:v>tiktok cz</x:v>
      </x:c>
      <x:c r="D72" s="21" t="n">
        <x:v>1</x:v>
      </x:c>
      <x:c r="E72" s="21" t="n">
        <x:v>1</x:v>
      </x:c>
    </x:row>
    <x:row r="73">
      <x:c r="A73" s="46" t="str">
        <x:f>"601126852836"</x:f>
        <x:v>601126852836</x:v>
      </x:c>
      <x:c r="B73" s="21" t="str">
        <x:v>Scoops N Smiles Catering</x:v>
      </x:c>
      <x:c r="C73" s="21" t="str">
        <x:v>eusahawan28 April</x:v>
      </x:c>
      <x:c r="D73" s="21" t="n">
        <x:v>1</x:v>
      </x:c>
      <x:c r="E73" s="21" t="n">
        <x:v>1</x:v>
      </x:c>
    </x:row>
    <x:row r="74">
      <x:c r="A74" s="46" t="str">
        <x:f>"601127109906"</x:f>
        <x:v>601127109906</x:v>
      </x:c>
      <x:c r="B74" s="21" t="str">
        <x:v>Faronefoodgalore</x:v>
      </x:c>
      <x:c r="C74" s="21" t="str">
        <x:v>Tidak Dinamakan</x:v>
      </x:c>
      <x:c r="D74" s="21" t="n">
        <x:v>1</x:v>
      </x:c>
      <x:c r="E74" s="21" t="n">
        <x:v>1</x:v>
      </x:c>
    </x:row>
    <x:row r="75">
      <x:c r="A75" s="46" t="str">
        <x:f>"601128513842"</x:f>
        <x:v>601128513842</x:v>
      </x:c>
      <x:c r="B75" s="21" t="str"/>
      <x:c r="C75" s="21" t="str">
        <x:v>cohort 3 B2</x:v>
      </x:c>
      <x:c r="D75" s="21" t="n">
        <x:v>1</x:v>
      </x:c>
      <x:c r="E75" s="21" t="n">
        <x:v>1</x:v>
      </x:c>
    </x:row>
    <x:row r="76">
      <x:c r="A76" s="46" t="str">
        <x:f>"601128537598"</x:f>
        <x:v>601128537598</x:v>
      </x:c>
      <x:c r="B76" s="21" t="str">
        <x:v>De Zara Creation</x:v>
      </x:c>
      <x:c r="C76" s="21" t="str">
        <x:v>TD119 Zero CM</x:v>
      </x:c>
      <x:c r="D76" s="21" t="n">
        <x:v>1</x:v>
      </x:c>
      <x:c r="E76" s="21" t="n">
        <x:v>1</x:v>
      </x:c>
    </x:row>
    <x:row r="77">
      <x:c r="A77" s="46" t="str">
        <x:f>"601128704548"</x:f>
        <x:v>601128704548</x:v>
      </x:c>
      <x:c r="B77" s="21" t="str"/>
      <x:c r="C77" s="21" t="str">
        <x:v>cohort3TT</x:v>
      </x:c>
      <x:c r="D77" s="21" t="n">
        <x:v>1</x:v>
      </x:c>
      <x:c r="E77" s="21" t="n">
        <x:v>1</x:v>
      </x:c>
    </x:row>
    <x:row r="78">
      <x:c r="A78" s="46" t="str">
        <x:f>"601129576914"</x:f>
        <x:v>601129576914</x:v>
      </x:c>
      <x:c r="B78" s="21" t="str"/>
      <x:c r="C78" s="21" t="str">
        <x:v>TD47 Shopee</x:v>
      </x:c>
      <x:c r="D78" s="21" t="n">
        <x:v>1</x:v>
      </x:c>
      <x:c r="E78" s="21" t="n">
        <x:v>1</x:v>
      </x:c>
    </x:row>
    <x:row r="79">
      <x:c r="A79" s="46" t="str">
        <x:f>"601129828342"</x:f>
        <x:v>601129828342</x:v>
      </x:c>
      <x:c r="B79" s="21" t="str"/>
      <x:c r="C79" s="21" t="str">
        <x:v>eusahawan28 April</x:v>
      </x:c>
      <x:c r="D79" s="21" t="n">
        <x:v>1</x:v>
      </x:c>
      <x:c r="E79" s="21" t="n">
        <x:v>1</x:v>
      </x:c>
    </x:row>
    <x:row r="80">
      <x:c r="A80" s="46" t="str">
        <x:f>"601132564403"</x:f>
        <x:v>601132564403</x:v>
      </x:c>
      <x:c r="B80" s="21" t="str">
        <x:v>tempatanmakan</x:v>
      </x:c>
      <x:c r="C80" s="21" t="str">
        <x:v>2TT</x:v>
      </x:c>
      <x:c r="D80" s="21" t="n">
        <x:v>1</x:v>
      </x:c>
      <x:c r="E80" s="21" t="n">
        <x:v>1</x:v>
      </x:c>
    </x:row>
    <x:row r="81">
      <x:c r="A81" s="46" t="str">
        <x:f>"601132914367"</x:f>
        <x:v>601132914367</x:v>
      </x:c>
      <x:c r="B81" s="21" t="str">
        <x:v>norafendeyaznorrizal</x:v>
      </x:c>
      <x:c r="C81" s="21" t="str">
        <x:v>cohort 3 B2</x:v>
      </x:c>
      <x:c r="D81" s="21" t="n">
        <x:v>1</x:v>
      </x:c>
      <x:c r="E81" s="21" t="n">
        <x:v>1</x:v>
      </x:c>
    </x:row>
    <x:row r="82">
      <x:c r="A82" s="46" t="str">
        <x:f>"601133024529"</x:f>
        <x:v>601133024529</x:v>
      </x:c>
      <x:c r="B82" s="21" t="str"/>
      <x:c r="C82" s="21" t="str">
        <x:v>Td21 emkrt</x:v>
      </x:c>
      <x:c r="D82" s="21" t="n">
        <x:v>1</x:v>
      </x:c>
      <x:c r="E82" s="21" t="n">
        <x:v>1</x:v>
      </x:c>
    </x:row>
    <x:row r="83">
      <x:c r="A83" s="46" t="str">
        <x:f>"601133558803"</x:f>
        <x:v>601133558803</x:v>
      </x:c>
      <x:c r="B83" s="21" t="str">
        <x:v>syakirah Ibrahim</x:v>
      </x:c>
      <x:c r="C83" s="21" t="str">
        <x:v>C8 TT</x:v>
      </x:c>
      <x:c r="D83" s="21" t="n">
        <x:v>1</x:v>
      </x:c>
      <x:c r="E83" s="21" t="n">
        <x:v>1</x:v>
      </x:c>
    </x:row>
    <x:row r="84">
      <x:c r="A84" s="46" t="str">
        <x:f>"601133868849"</x:f>
        <x:v>601133868849</x:v>
      </x:c>
      <x:c r="B84" s="21" t="str">
        <x:v>Vee Bj Catering Vee Bj Car Rental</x:v>
      </x:c>
      <x:c r="C84" s="21" t="str">
        <x:v>2TT</x:v>
      </x:c>
      <x:c r="D84" s="21" t="n">
        <x:v>1</x:v>
      </x:c>
      <x:c r="E84" s="21" t="n">
        <x:v>1</x:v>
      </x:c>
    </x:row>
    <x:row r="85">
      <x:c r="A85" s="46" t="str">
        <x:f>"601135142769"</x:f>
        <x:v>601135142769</x:v>
      </x:c>
      <x:c r="B85" s="21" t="str">
        <x:v>Auradaa769</x:v>
      </x:c>
      <x:c r="C85" s="21" t="str">
        <x:v>tiktok cz</x:v>
      </x:c>
      <x:c r="D85" s="21" t="n">
        <x:v>1</x:v>
      </x:c>
      <x:c r="E85" s="21" t="n">
        <x:v>1</x:v>
      </x:c>
    </x:row>
    <x:row r="86">
      <x:c r="A86" s="46" t="str">
        <x:f>"601136187714"</x:f>
        <x:v>601136187714</x:v>
      </x:c>
      <x:c r="B86" s="21" t="str">
        <x:v>XYZ</x:v>
      </x:c>
      <x:c r="C86" s="21" t="str">
        <x:v>Tidak Dinamakan</x:v>
      </x:c>
      <x:c r="D86" s="21" t="n">
        <x:v>1</x:v>
      </x:c>
      <x:c r="E86" s="21" t="n">
        <x:v>1</x:v>
      </x:c>
    </x:row>
    <x:row r="87">
      <x:c r="A87" s="46" t="str">
        <x:f>"601136617882"</x:f>
        <x:v>601136617882</x:v>
      </x:c>
      <x:c r="B87" s="21" t="str">
        <x:v>Omma Ohsem</x:v>
      </x:c>
      <x:c r="C87" s="21" t="str">
        <x:v>EBOARD C8 SP</x:v>
      </x:c>
      <x:c r="D87" s="21" t="n">
        <x:v>1</x:v>
      </x:c>
      <x:c r="E87" s="21" t="n">
        <x:v>1</x:v>
      </x:c>
    </x:row>
    <x:row r="88">
      <x:c r="A88" s="46" t="str">
        <x:f>"601136647246"</x:f>
        <x:v>601136647246</x:v>
      </x:c>
      <x:c r="B88" s="21" t="str"/>
      <x:c r="C88" s="21" t="str">
        <x:v>shopee laz 25-26 Ogos</x:v>
      </x:c>
      <x:c r="D88" s="21" t="n">
        <x:v>1</x:v>
      </x:c>
      <x:c r="E88" s="21" t="n">
        <x:v>1</x:v>
      </x:c>
    </x:row>
    <x:row r="89">
      <x:c r="A89" s="46" t="str">
        <x:f>"601136733855"</x:f>
        <x:v>601136733855</x:v>
      </x:c>
      <x:c r="B89" s="21" t="str"/>
      <x:c r="C89" s="21" t="str">
        <x:v>DIGITAL PRODUCT MASTERY</x:v>
      </x:c>
      <x:c r="D89" s="21" t="n">
        <x:v>1</x:v>
      </x:c>
      <x:c r="E89" s="21" t="n">
        <x:v>1</x:v>
      </x:c>
    </x:row>
    <x:row r="90">
      <x:c r="A90" s="46" t="str">
        <x:f>"601136867314"</x:f>
        <x:v>601136867314</x:v>
      </x:c>
      <x:c r="B90" s="21" t="str"/>
      <x:c r="C90" s="21" t="str">
        <x:v>tiktok cz</x:v>
      </x:c>
      <x:c r="D90" s="21" t="n">
        <x:v>1</x:v>
      </x:c>
      <x:c r="E90" s="21" t="n">
        <x:v>1</x:v>
      </x:c>
    </x:row>
    <x:row r="91">
      <x:c r="A91" s="46" t="str">
        <x:f>"601137437308"</x:f>
        <x:v>601137437308</x:v>
      </x:c>
      <x:c r="B91" s="21" t="str"/>
      <x:c r="C91" s="21" t="str">
        <x:v>GROUP SEMBANG MALAM</x:v>
      </x:c>
      <x:c r="D91" s="21" t="n">
        <x:v>1</x:v>
      </x:c>
      <x:c r="E91" s="21" t="n">
        <x:v>1</x:v>
      </x:c>
    </x:row>
    <x:row r="92">
      <x:c r="A92" s="46" t="str">
        <x:f>"601137520992"</x:f>
        <x:v>601137520992</x:v>
      </x:c>
      <x:c r="B92" s="21" t="str"/>
      <x:c r="C92" s="21" t="str">
        <x:v>shopee laz 25-26 Ogos</x:v>
      </x:c>
      <x:c r="D92" s="21" t="n">
        <x:v>1</x:v>
      </x:c>
      <x:c r="E92" s="21" t="n">
        <x:v>1</x:v>
      </x:c>
    </x:row>
    <x:row r="93">
      <x:c r="A93" s="46" t="str">
        <x:f>"601137633906"</x:f>
        <x:v>601137633906</x:v>
      </x:c>
      <x:c r="B93" s="21" t="str"/>
      <x:c r="C93" s="21" t="str">
        <x:v>tiktok sahanita</x:v>
      </x:c>
      <x:c r="D93" s="21" t="n">
        <x:v>1</x:v>
      </x:c>
      <x:c r="E93" s="21" t="n">
        <x:v>1</x:v>
      </x:c>
    </x:row>
    <x:row r="94">
      <x:c r="A94" s="46" t="str">
        <x:f>"601139284525"</x:f>
        <x:v>601139284525</x:v>
      </x:c>
      <x:c r="B94" s="21" t="str"/>
      <x:c r="C94" s="21" t="str">
        <x:v>TD35 Eposter</x:v>
      </x:c>
      <x:c r="D94" s="21" t="n">
        <x:v>1</x:v>
      </x:c>
      <x:c r="E94" s="21" t="n">
        <x:v>1</x:v>
      </x:c>
    </x:row>
    <x:row r="95">
      <x:c r="A95" s="46" t="str">
        <x:f>"601154030866"</x:f>
        <x:v>601154030866</x:v>
      </x:c>
      <x:c r="B95" s="21" t="str"/>
      <x:c r="C95" s="21" t="str">
        <x:v>TDAG12</x:v>
      </x:c>
      <x:c r="D95" s="21" t="n">
        <x:v>1</x:v>
      </x:c>
      <x:c r="E95" s="21" t="n">
        <x:v>1</x:v>
      </x:c>
    </x:row>
    <x:row r="96">
      <x:c r="A96" s="46" t="str">
        <x:f>"601155041394"</x:f>
        <x:v>601155041394</x:v>
      </x:c>
      <x:c r="B96" s="21" t="str"/>
      <x:c r="C96" s="21" t="str">
        <x:v>TD47 Shopee</x:v>
      </x:c>
      <x:c r="D96" s="21" t="n">
        <x:v>1</x:v>
      </x:c>
      <x:c r="E96" s="21" t="n">
        <x:v>1</x:v>
      </x:c>
    </x:row>
    <x:row r="97">
      <x:c r="A97" s="46" t="str">
        <x:f>"601157771994"</x:f>
        <x:v>601157771994</x:v>
      </x:c>
      <x:c r="B97" s="21" t="str"/>
      <x:c r="C97" s="21" t="str">
        <x:v>mcbr02</x:v>
      </x:c>
      <x:c r="D97" s="21" t="n">
        <x:v>1</x:v>
      </x:c>
      <x:c r="E97" s="21" t="n">
        <x:v>1</x:v>
      </x:c>
    </x:row>
    <x:row r="98">
      <x:c r="A98" s="46" t="str">
        <x:f>"601158778601"</x:f>
        <x:v>601158778601</x:v>
      </x:c>
      <x:c r="B98" s="21" t="str">
        <x:v>akademiprosilat</x:v>
      </x:c>
      <x:c r="C98" s="21" t="str">
        <x:v>Tidak Dinamakan</x:v>
      </x:c>
      <x:c r="D98" s="21" t="n">
        <x:v>1</x:v>
      </x:c>
      <x:c r="E98" s="21" t="n">
        <x:v>1</x:v>
      </x:c>
    </x:row>
    <x:row r="99">
      <x:c r="A99" s="46" t="str">
        <x:f>"601159691234"</x:f>
        <x:v>601159691234</x:v>
      </x:c>
      <x:c r="B99" s="21" t="str">
        <x:v>Hood Madinah</x:v>
      </x:c>
      <x:c r="C99" s="21" t="str">
        <x:v>tiktok mana ns</x:v>
      </x:c>
      <x:c r="D99" s="21" t="n">
        <x:v>1</x:v>
      </x:c>
      <x:c r="E99" s="21" t="n">
        <x:v>1</x:v>
      </x:c>
    </x:row>
    <x:row r="100">
      <x:c r="A100" s="46" t="str">
        <x:f>"601160614689"</x:f>
        <x:v>601160614689</x:v>
      </x:c>
      <x:c r="B100" s="21" t="str">
        <x:v>Amira Omar</x:v>
      </x:c>
      <x:c r="C100" s="21" t="str">
        <x:v>lazada 5-6</x:v>
      </x:c>
      <x:c r="D100" s="21" t="n">
        <x:v>1</x:v>
      </x:c>
      <x:c r="E100" s="21" t="n">
        <x:v>1</x:v>
      </x:c>
    </x:row>
    <x:row r="101">
      <x:c r="A101" s="46" t="str">
        <x:f>"601162136265"</x:f>
        <x:v>601162136265</x:v>
      </x:c>
      <x:c r="B101" s="21" t="str"/>
      <x:c r="C101" s="21" t="str">
        <x:v>tdag79</x:v>
      </x:c>
      <x:c r="D101" s="21" t="n">
        <x:v>1</x:v>
      </x:c>
      <x:c r="E101" s="21" t="n">
        <x:v>1</x:v>
      </x:c>
    </x:row>
    <x:row r="102">
      <x:c r="A102" s="46" t="str">
        <x:f>"601162271213"</x:f>
        <x:v>601162271213</x:v>
      </x:c>
      <x:c r="B102" s="21" t="str"/>
      <x:c r="C102" s="21" t="str">
        <x:v>tdag79</x:v>
      </x:c>
      <x:c r="D102" s="21" t="n">
        <x:v>1</x:v>
      </x:c>
      <x:c r="E102" s="21" t="n">
        <x:v>1</x:v>
      </x:c>
    </x:row>
    <x:row r="103">
      <x:c r="A103" s="46" t="str">
        <x:f>"601163367170"</x:f>
        <x:v>601163367170</x:v>
      </x:c>
      <x:c r="B103" s="21" t="str">
        <x:v>FBO@Laziaframo</x:v>
      </x:c>
      <x:c r="C103" s="21" t="str">
        <x:v>2TT</x:v>
      </x:c>
      <x:c r="D103" s="21" t="n">
        <x:v>1</x:v>
      </x:c>
      <x:c r="E103" s="21" t="n">
        <x:v>1</x:v>
      </x:c>
    </x:row>
    <x:row r="104">
      <x:c r="A104" s="46" t="str">
        <x:f>"601165568118"</x:f>
        <x:v>601165568118</x:v>
      </x:c>
      <x:c r="B104" s="21" t="str"/>
      <x:c r="C104" s="21" t="str">
        <x:v>mcbr02</x:v>
      </x:c>
      <x:c r="D104" s="21" t="n">
        <x:v>1</x:v>
      </x:c>
      <x:c r="E104" s="21" t="n">
        <x:v>1</x:v>
      </x:c>
    </x:row>
    <x:row r="105">
      <x:c r="A105" s="46" t="str">
        <x:f>"601165608188"</x:f>
        <x:v>601165608188</x:v>
      </x:c>
      <x:c r="B105" s="21" t="str"/>
      <x:c r="C105" s="21" t="str">
        <x:v>tiktok 12-13 Jan 2026</x:v>
      </x:c>
      <x:c r="D105" s="21" t="n">
        <x:v>1</x:v>
      </x:c>
      <x:c r="E105" s="21" t="n">
        <x:v>1</x:v>
      </x:c>
    </x:row>
    <x:row r="106">
      <x:c r="A106" s="46" t="str">
        <x:f>"601169341808"</x:f>
        <x:v>601169341808</x:v>
      </x:c>
      <x:c r="B106" s="21" t="str"/>
      <x:c r="C106" s="21" t="str">
        <x:v>tiktok sahanita</x:v>
      </x:c>
      <x:c r="D106" s="21" t="n">
        <x:v>1</x:v>
      </x:c>
      <x:c r="E106" s="21" t="n">
        <x:v>1</x:v>
      </x:c>
    </x:row>
    <x:row r="107">
      <x:c r="A107" s="46" t="str">
        <x:f>"601169370867"</x:f>
        <x:v>601169370867</x:v>
      </x:c>
      <x:c r="B107" s="21" t="str"/>
      <x:c r="C107" s="21" t="str">
        <x:v>mcbr02</x:v>
      </x:c>
      <x:c r="D107" s="21" t="n">
        <x:v>1</x:v>
      </x:c>
      <x:c r="E107" s="21" t="n">
        <x:v>1</x:v>
      </x:c>
    </x:row>
    <x:row r="108">
      <x:c r="A108" s="46" t="str">
        <x:f>"60122032124"</x:f>
        <x:v>60122032124</x:v>
      </x:c>
      <x:c r="B108" s="21" t="str"/>
      <x:c r="C108" s="21" t="str">
        <x:v>laz 25-26</x:v>
      </x:c>
      <x:c r="D108" s="21" t="n">
        <x:v>1</x:v>
      </x:c>
      <x:c r="E108" s="21" t="n">
        <x:v>1</x:v>
      </x:c>
    </x:row>
    <x:row r="109">
      <x:c r="A109" s="46" t="str">
        <x:f>"60122041655"</x:f>
        <x:v>60122041655</x:v>
      </x:c>
      <x:c r="B109" s="21" t="str"/>
      <x:c r="C109" s="21" t="str">
        <x:v>td32</x:v>
      </x:c>
      <x:c r="D109" s="21" t="n">
        <x:v>1</x:v>
      </x:c>
      <x:c r="E109" s="21" t="n">
        <x:v>1</x:v>
      </x:c>
    </x:row>
    <x:row r="110">
      <x:c r="A110" s="46" t="str">
        <x:f>"60122095948"</x:f>
        <x:v>60122095948</x:v>
      </x:c>
      <x:c r="B110" s="21" t="str"/>
      <x:c r="C110" s="21" t="str">
        <x:v>cohort 3 B2</x:v>
      </x:c>
      <x:c r="D110" s="21" t="n">
        <x:v>1</x:v>
      </x:c>
      <x:c r="E110" s="21" t="n">
        <x:v>1</x:v>
      </x:c>
    </x:row>
    <x:row r="111">
      <x:c r="A111" s="46" t="str">
        <x:f>"60122234992"</x:f>
        <x:v>60122234992</x:v>
      </x:c>
      <x:c r="B111" s="21" t="str"/>
      <x:c r="C111" s="21" t="str">
        <x:v>tiktok cz</x:v>
      </x:c>
      <x:c r="D111" s="21" t="n">
        <x:v>1</x:v>
      </x:c>
      <x:c r="E111" s="21" t="n">
        <x:v>1</x:v>
      </x:c>
    </x:row>
    <x:row r="112">
      <x:c r="A112" s="46" t="str">
        <x:f>"60122377993"</x:f>
        <x:v>60122377993</x:v>
      </x:c>
      <x:c r="B112" s="21" t="str"/>
      <x:c r="C112" s="21" t="str">
        <x:v>TD47 Shopee</x:v>
      </x:c>
      <x:c r="D112" s="21" t="n">
        <x:v>1</x:v>
      </x:c>
      <x:c r="E112" s="21" t="n">
        <x:v>1</x:v>
      </x:c>
    </x:row>
    <x:row r="113">
      <x:c r="A113" s="46" t="str">
        <x:f>"60122475799"</x:f>
        <x:v>60122475799</x:v>
      </x:c>
      <x:c r="B113" s="21" t="str"/>
      <x:c r="C113" s="21" t="str">
        <x:v>ti9596</x:v>
      </x:c>
      <x:c r="D113" s="21" t="n">
        <x:v>1</x:v>
      </x:c>
      <x:c r="E113" s="21" t="n">
        <x:v>1</x:v>
      </x:c>
    </x:row>
    <x:row r="114">
      <x:c r="A114" s="46" t="str">
        <x:f>"60122504977"</x:f>
        <x:v>60122504977</x:v>
      </x:c>
      <x:c r="B114" s="21" t="str"/>
      <x:c r="C114" s="21" t="str">
        <x:v>TDAG12</x:v>
      </x:c>
      <x:c r="D114" s="21" t="n">
        <x:v>1</x:v>
      </x:c>
      <x:c r="E114" s="21" t="n">
        <x:v>1</x:v>
      </x:c>
    </x:row>
    <x:row r="115">
      <x:c r="A115" s="46" t="str">
        <x:f>"60122522602"</x:f>
        <x:v>60122522602</x:v>
      </x:c>
      <x:c r="B115" s="21" t="str"/>
      <x:c r="C115" s="21" t="str">
        <x:v>tiktok cz</x:v>
      </x:c>
      <x:c r="D115" s="21" t="n">
        <x:v>1</x:v>
      </x:c>
      <x:c r="E115" s="21" t="n">
        <x:v>1</x:v>
      </x:c>
    </x:row>
    <x:row r="116">
      <x:c r="A116" s="46" t="str">
        <x:f>"60122611099"</x:f>
        <x:v>60122611099</x:v>
      </x:c>
      <x:c r="B116" s="21" t="str"/>
      <x:c r="C116" s="21" t="str">
        <x:v>Julai 17</x:v>
      </x:c>
      <x:c r="D116" s="21" t="n">
        <x:v>1</x:v>
      </x:c>
      <x:c r="E116" s="21" t="n">
        <x:v>1</x:v>
      </x:c>
    </x:row>
    <x:row r="117">
      <x:c r="A117" s="46" t="str">
        <x:f>"60122671342"</x:f>
        <x:v>60122671342</x:v>
      </x:c>
      <x:c r="B117" s="21" t="str">
        <x:v>kak iera yusoff ghost writer</x:v>
      </x:c>
      <x:c r="C117" s="21" t="str">
        <x:v>C1TT</x:v>
      </x:c>
      <x:c r="D117" s="21" t="n">
        <x:v>1</x:v>
      </x:c>
      <x:c r="E117" s="21" t="n">
        <x:v>1</x:v>
      </x:c>
    </x:row>
    <x:row r="118">
      <x:c r="A118" s="46" t="str">
        <x:f>"60122683455"</x:f>
        <x:v>60122683455</x:v>
      </x:c>
      <x:c r="B118" s="21" t="str"/>
      <x:c r="C118" s="21" t="str">
        <x:v>lazada 5-6</x:v>
      </x:c>
      <x:c r="D118" s="21" t="n">
        <x:v>1</x:v>
      </x:c>
      <x:c r="E118" s="21" t="n">
        <x:v>1</x:v>
      </x:c>
    </x:row>
    <x:row r="119">
      <x:c r="A119" s="46" t="str">
        <x:f>"60122689608"</x:f>
        <x:v>60122689608</x:v>
      </x:c>
      <x:c r="B119" s="21" t="str"/>
      <x:c r="C119" s="21" t="str">
        <x:v>group digital products</x:v>
      </x:c>
      <x:c r="D119" s="21" t="n">
        <x:v>1</x:v>
      </x:c>
      <x:c r="E119" s="21" t="n">
        <x:v>1</x:v>
      </x:c>
    </x:row>
    <x:row r="120">
      <x:c r="A120" s="46" t="str">
        <x:f>"60122715250"</x:f>
        <x:v>60122715250</x:v>
      </x:c>
      <x:c r="B120" s="21" t="str"/>
      <x:c r="C120" s="21" t="str">
        <x:v>tdag79</x:v>
      </x:c>
      <x:c r="D120" s="21" t="n">
        <x:v>1</x:v>
      </x:c>
      <x:c r="E120" s="21" t="n">
        <x:v>1</x:v>
      </x:c>
    </x:row>
    <x:row r="121">
      <x:c r="A121" s="46" t="str">
        <x:f>"60122727607"</x:f>
        <x:v>60122727607</x:v>
      </x:c>
      <x:c r="B121" s="21" t="str"/>
      <x:c r="C121" s="21" t="str">
        <x:v>EBOARD C8 SP</x:v>
      </x:c>
      <x:c r="D121" s="21" t="n">
        <x:v>1</x:v>
      </x:c>
      <x:c r="E121" s="21" t="n">
        <x:v>1</x:v>
      </x:c>
    </x:row>
    <x:row r="122">
      <x:c r="A122" s="46" t="str">
        <x:f>"60122764117"</x:f>
        <x:v>60122764117</x:v>
      </x:c>
      <x:c r="B122" s="21" t="str"/>
      <x:c r="C122" s="21" t="str">
        <x:v>emarket11-12</x:v>
      </x:c>
      <x:c r="D122" s="21" t="n">
        <x:v>1</x:v>
      </x:c>
      <x:c r="E122" s="21" t="n">
        <x:v>1</x:v>
      </x:c>
    </x:row>
    <x:row r="123">
      <x:c r="A123" s="46" t="str">
        <x:f>"60122845978"</x:f>
        <x:v>60122845978</x:v>
      </x:c>
      <x:c r="B123" s="21" t="str"/>
      <x:c r="C123" s="21" t="str">
        <x:v>laz 25-26</x:v>
      </x:c>
      <x:c r="D123" s="21" t="n">
        <x:v>1</x:v>
      </x:c>
      <x:c r="E123" s="21" t="n">
        <x:v>1</x:v>
      </x:c>
    </x:row>
    <x:row r="124">
      <x:c r="A124" s="46" t="str">
        <x:f>"60122919620"</x:f>
        <x:v>60122919620</x:v>
      </x:c>
      <x:c r="B124" s="21" t="str">
        <x:v>Rushda Hadzira</x:v>
      </x:c>
      <x:c r="C124" s="21" t="str">
        <x:v>TD47 Shopee</x:v>
      </x:c>
      <x:c r="D124" s="21" t="n">
        <x:v>1</x:v>
      </x:c>
      <x:c r="E124" s="21" t="n">
        <x:v>1</x:v>
      </x:c>
    </x:row>
    <x:row r="125">
      <x:c r="A125" s="46" t="str">
        <x:f>"60122988786"</x:f>
        <x:v>60122988786</x:v>
      </x:c>
      <x:c r="B125" s="21" t="str"/>
      <x:c r="C125" s="21" t="str">
        <x:v>DIGITAL PRODUCT MASTERY</x:v>
      </x:c>
      <x:c r="D125" s="21" t="n">
        <x:v>1</x:v>
      </x:c>
      <x:c r="E125" s="21" t="n">
        <x:v>1</x:v>
      </x:c>
    </x:row>
    <x:row r="126">
      <x:c r="A126" s="46" t="str">
        <x:f>"60123105158"</x:f>
        <x:v>60123105158</x:v>
      </x:c>
      <x:c r="B126" s="21" t="str"/>
      <x:c r="C126" s="21" t="str">
        <x:v>lazada 5-6</x:v>
      </x:c>
      <x:c r="D126" s="21" t="n">
        <x:v>1</x:v>
      </x:c>
      <x:c r="E126" s="21" t="n">
        <x:v>1</x:v>
      </x:c>
    </x:row>
    <x:row r="127">
      <x:c r="A127" s="46" t="str">
        <x:f>"60123114040"</x:f>
        <x:v>60123114040</x:v>
      </x:c>
      <x:c r="B127" s="21" t="str">
        <x:v>Nina Salleh</x:v>
      </x:c>
      <x:c r="C127" s="21" t="str">
        <x:v>GARAJ WANG</x:v>
      </x:c>
      <x:c r="D127" s="21" t="n">
        <x:v>1</x:v>
      </x:c>
      <x:c r="E127" s="21" t="n">
        <x:v>1</x:v>
      </x:c>
    </x:row>
    <x:row r="128">
      <x:c r="A128" s="46" t="str">
        <x:f>"60123232144"</x:f>
        <x:v>60123232144</x:v>
      </x:c>
      <x:c r="B128" s="21" t="str">
        <x:v>Nanie Rahayu</x:v>
      </x:c>
      <x:c r="C128" s="21" t="str">
        <x:v>cohort 3 B2; cohort3TT</x:v>
      </x:c>
      <x:c r="D128" s="21" t="n">
        <x:v>2</x:v>
      </x:c>
      <x:c r="E128" s="21" t="n">
        <x:v>2</x:v>
      </x:c>
    </x:row>
    <x:row r="129">
      <x:c r="A129" s="46" t="str">
        <x:f>"60123282834"</x:f>
        <x:v>60123282834</x:v>
      </x:c>
      <x:c r="B129" s="21" t="str">
        <x:v>Munirah Md Saleh</x:v>
      </x:c>
      <x:c r="C129" s="21" t="str">
        <x:v>TD35 Eposter</x:v>
      </x:c>
      <x:c r="D129" s="21" t="n">
        <x:v>1</x:v>
      </x:c>
      <x:c r="E129" s="21" t="n">
        <x:v>1</x:v>
      </x:c>
    </x:row>
    <x:row r="130">
      <x:c r="A130" s="46" t="str">
        <x:f>"60123290967"</x:f>
        <x:v>60123290967</x:v>
      </x:c>
      <x:c r="B130" s="21" t="str"/>
      <x:c r="C130" s="21" t="str">
        <x:v>2TT</x:v>
      </x:c>
      <x:c r="D130" s="21" t="n">
        <x:v>1</x:v>
      </x:c>
      <x:c r="E130" s="21" t="n">
        <x:v>1</x:v>
      </x:c>
    </x:row>
    <x:row r="131">
      <x:c r="A131" s="46" t="str">
        <x:f>"60123305896"</x:f>
        <x:v>60123305896</x:v>
      </x:c>
      <x:c r="B131" s="21" t="str"/>
      <x:c r="C131" s="21" t="str">
        <x:v>TD160</x:v>
      </x:c>
      <x:c r="D131" s="21" t="n">
        <x:v>1</x:v>
      </x:c>
      <x:c r="E131" s="21" t="n">
        <x:v>1</x:v>
      </x:c>
    </x:row>
    <x:row r="132">
      <x:c r="A132" s="46" t="str">
        <x:f>"60123310349"</x:f>
        <x:v>60123310349</x:v>
      </x:c>
      <x:c r="B132" s="21" t="str"/>
      <x:c r="C132" s="21" t="str">
        <x:v>TD35 Eposter</x:v>
      </x:c>
      <x:c r="D132" s="21" t="n">
        <x:v>1</x:v>
      </x:c>
      <x:c r="E132" s="21" t="n">
        <x:v>1</x:v>
      </x:c>
    </x:row>
    <x:row r="133">
      <x:c r="A133" s="46" t="str">
        <x:f>"60123583998"</x:f>
        <x:v>60123583998</x:v>
      </x:c>
      <x:c r="B133" s="21" t="str"/>
      <x:c r="C133" s="21" t="str">
        <x:v>tiktok mana ns</x:v>
      </x:c>
      <x:c r="D133" s="21" t="n">
        <x:v>1</x:v>
      </x:c>
      <x:c r="E133" s="21" t="n">
        <x:v>1</x:v>
      </x:c>
    </x:row>
    <x:row r="134">
      <x:c r="A134" s="46" t="str">
        <x:f>"60123820014"</x:f>
        <x:v>60123820014</x:v>
      </x:c>
      <x:c r="B134" s="21" t="str">
        <x:v>‎Unknown</x:v>
      </x:c>
      <x:c r="C134" s="21" t="str">
        <x:v>Tidak Dinamakan</x:v>
      </x:c>
      <x:c r="D134" s="21" t="n">
        <x:v>1</x:v>
      </x:c>
      <x:c r="E134" s="21" t="n">
        <x:v>1</x:v>
      </x:c>
    </x:row>
    <x:row r="135">
      <x:c r="A135" s="46" t="str">
        <x:f>"60123896039"</x:f>
        <x:v>60123896039</x:v>
      </x:c>
      <x:c r="B135" s="21" t="str"/>
      <x:c r="C135" s="21" t="str">
        <x:v>TD35 Eposter</x:v>
      </x:c>
      <x:c r="D135" s="21" t="n">
        <x:v>1</x:v>
      </x:c>
      <x:c r="E135" s="21" t="n">
        <x:v>1</x:v>
      </x:c>
    </x:row>
    <x:row r="136">
      <x:c r="A136" s="46" t="str">
        <x:f>"60124051236"</x:f>
        <x:v>60124051236</x:v>
      </x:c>
      <x:c r="B136" s="21" t="str"/>
      <x:c r="C136" s="21" t="str">
        <x:v>TD160</x:v>
      </x:c>
      <x:c r="D136" s="21" t="n">
        <x:v>1</x:v>
      </x:c>
      <x:c r="E136" s="21" t="n">
        <x:v>1</x:v>
      </x:c>
    </x:row>
    <x:row r="137">
      <x:c r="A137" s="46" t="str">
        <x:f>"60124080722"</x:f>
        <x:v>60124080722</x:v>
      </x:c>
      <x:c r="B137" s="21" t="str"/>
      <x:c r="C137" s="21" t="str">
        <x:v>TD47 Shopee</x:v>
      </x:c>
      <x:c r="D137" s="21" t="n">
        <x:v>1</x:v>
      </x:c>
      <x:c r="E137" s="21" t="n">
        <x:v>1</x:v>
      </x:c>
    </x:row>
    <x:row r="138">
      <x:c r="A138" s="46" t="str">
        <x:f>"60124135634"</x:f>
        <x:v>60124135634</x:v>
      </x:c>
      <x:c r="B138" s="21" t="str"/>
      <x:c r="C138" s="21" t="str">
        <x:v>ti9596</x:v>
      </x:c>
      <x:c r="D138" s="21" t="n">
        <x:v>1</x:v>
      </x:c>
      <x:c r="E138" s="21" t="n">
        <x:v>1</x:v>
      </x:c>
    </x:row>
    <x:row r="139">
      <x:c r="A139" s="46" t="str">
        <x:f>"60124138886"</x:f>
        <x:v>60124138886</x:v>
      </x:c>
      <x:c r="B139" s="21" t="str"/>
      <x:c r="C139" s="21" t="str">
        <x:v>EBOARD C8 SP; mcbr02</x:v>
      </x:c>
      <x:c r="D139" s="21" t="n">
        <x:v>2</x:v>
      </x:c>
      <x:c r="E139" s="21" t="n">
        <x:v>2</x:v>
      </x:c>
    </x:row>
    <x:row r="140">
      <x:c r="A140" s="46" t="str">
        <x:f>"60124182455"</x:f>
        <x:v>60124182455</x:v>
      </x:c>
      <x:c r="B140" s="21" t="str"/>
      <x:c r="C140" s="21" t="str">
        <x:v>lazada 5-6</x:v>
      </x:c>
      <x:c r="D140" s="21" t="n">
        <x:v>1</x:v>
      </x:c>
      <x:c r="E140" s="21" t="n">
        <x:v>1</x:v>
      </x:c>
    </x:row>
    <x:row r="141">
      <x:c r="A141" s="46" t="str">
        <x:f>"60124212403"</x:f>
        <x:v>60124212403</x:v>
      </x:c>
      <x:c r="B141" s="21" t="str"/>
      <x:c r="C141" s="21" t="str">
        <x:v>mcbr02</x:v>
      </x:c>
      <x:c r="D141" s="21" t="n">
        <x:v>1</x:v>
      </x:c>
      <x:c r="E141" s="21" t="n">
        <x:v>1</x:v>
      </x:c>
    </x:row>
    <x:row r="142">
      <x:c r="A142" s="46" t="str">
        <x:f>"60124220215"</x:f>
        <x:v>60124220215</x:v>
      </x:c>
      <x:c r="B142" s="21" t="str"/>
      <x:c r="C142" s="21" t="str">
        <x:v>mcbr02</x:v>
      </x:c>
      <x:c r="D142" s="21" t="n">
        <x:v>1</x:v>
      </x:c>
      <x:c r="E142" s="21" t="n">
        <x:v>1</x:v>
      </x:c>
    </x:row>
    <x:row r="143">
      <x:c r="A143" s="46" t="str">
        <x:f>"60124229784"</x:f>
        <x:v>60124229784</x:v>
      </x:c>
      <x:c r="B143" s="21" t="str">
        <x:v>Azlina Bα𝗄er</x:v>
      </x:c>
      <x:c r="C143" s="21" t="str">
        <x:v>EBOARD C8 SP</x:v>
      </x:c>
      <x:c r="D143" s="21" t="n">
        <x:v>1</x:v>
      </x:c>
      <x:c r="E143" s="21" t="n">
        <x:v>1</x:v>
      </x:c>
    </x:row>
    <x:row r="144">
      <x:c r="A144" s="46" t="str">
        <x:f>"60124315349"</x:f>
        <x:v>60124315349</x:v>
      </x:c>
      <x:c r="B144" s="21" t="str"/>
      <x:c r="C144" s="21" t="str">
        <x:v>group digital products</x:v>
      </x:c>
      <x:c r="D144" s="21" t="n">
        <x:v>1</x:v>
      </x:c>
      <x:c r="E144" s="21" t="n">
        <x:v>1</x:v>
      </x:c>
    </x:row>
    <x:row r="145">
      <x:c r="A145" s="46" t="str">
        <x:f>"60124350540"</x:f>
        <x:v>60124350540</x:v>
      </x:c>
      <x:c r="B145" s="21" t="str">
        <x:v>Marina Hamzah</x:v>
      </x:c>
      <x:c r="C145" s="21" t="str">
        <x:v>TD119 Zero CM</x:v>
      </x:c>
      <x:c r="D145" s="21" t="n">
        <x:v>1</x:v>
      </x:c>
      <x:c r="E145" s="21" t="n">
        <x:v>1</x:v>
      </x:c>
    </x:row>
    <x:row r="146">
      <x:c r="A146" s="46" t="str">
        <x:f>"60124357753"</x:f>
        <x:v>60124357753</x:v>
      </x:c>
      <x:c r="B146" s="21" t="str"/>
      <x:c r="C146" s="21" t="str">
        <x:v>ti9596</x:v>
      </x:c>
      <x:c r="D146" s="21" t="n">
        <x:v>1</x:v>
      </x:c>
      <x:c r="E146" s="21" t="n">
        <x:v>1</x:v>
      </x:c>
    </x:row>
    <x:row r="147">
      <x:c r="A147" s="46" t="str">
        <x:f>"60124493443"</x:f>
        <x:v>60124493443</x:v>
      </x:c>
      <x:c r="B147" s="21" t="str"/>
      <x:c r="C147" s="21" t="str">
        <x:v>TD47 Shopee</x:v>
      </x:c>
      <x:c r="D147" s="21" t="n">
        <x:v>1</x:v>
      </x:c>
      <x:c r="E147" s="21" t="n">
        <x:v>1</x:v>
      </x:c>
    </x:row>
    <x:row r="148">
      <x:c r="A148" s="46" t="str">
        <x:f>"60124496609"</x:f>
        <x:v>60124496609</x:v>
      </x:c>
      <x:c r="B148" s="21" t="str"/>
      <x:c r="C148" s="21" t="str">
        <x:v>TD119 Zero CM</x:v>
      </x:c>
      <x:c r="D148" s="21" t="n">
        <x:v>1</x:v>
      </x:c>
      <x:c r="E148" s="21" t="n">
        <x:v>1</x:v>
      </x:c>
    </x:row>
    <x:row r="149">
      <x:c r="A149" s="46" t="str">
        <x:f>"60124747040"</x:f>
        <x:v>60124747040</x:v>
      </x:c>
      <x:c r="B149" s="21" t="str"/>
      <x:c r="C149" s="21" t="str">
        <x:v>ti9596</x:v>
      </x:c>
      <x:c r="D149" s="21" t="n">
        <x:v>1</x:v>
      </x:c>
      <x:c r="E149" s="21" t="n">
        <x:v>1</x:v>
      </x:c>
    </x:row>
    <x:row r="150">
      <x:c r="A150" s="46" t="str">
        <x:f>"60124803159"</x:f>
        <x:v>60124803159</x:v>
      </x:c>
      <x:c r="B150" s="21" t="str"/>
      <x:c r="C150" s="21" t="str">
        <x:v>tiktok mana ns</x:v>
      </x:c>
      <x:c r="D150" s="21" t="n">
        <x:v>1</x:v>
      </x:c>
      <x:c r="E150" s="21" t="n">
        <x:v>1</x:v>
      </x:c>
    </x:row>
    <x:row r="151">
      <x:c r="A151" s="46" t="str">
        <x:f>"60124905350"</x:f>
        <x:v>60124905350</x:v>
      </x:c>
      <x:c r="B151" s="21" t="str"/>
      <x:c r="C151" s="21" t="str">
        <x:v>ti9596</x:v>
      </x:c>
      <x:c r="D151" s="21" t="n">
        <x:v>1</x:v>
      </x:c>
      <x:c r="E151" s="21" t="n">
        <x:v>1</x:v>
      </x:c>
    </x:row>
    <x:row r="152">
      <x:c r="A152" s="46" t="str">
        <x:f>"60124913454"</x:f>
        <x:v>60124913454</x:v>
      </x:c>
      <x:c r="B152" s="21" t="str"/>
      <x:c r="C152" s="21" t="str">
        <x:v>group digital products; GROUP SEMBANG MALAM</x:v>
      </x:c>
      <x:c r="D152" s="21" t="n">
        <x:v>2</x:v>
      </x:c>
      <x:c r="E152" s="21" t="n">
        <x:v>2</x:v>
      </x:c>
    </x:row>
    <x:row r="153">
      <x:c r="A153" s="46" t="str">
        <x:f>"60124999579"</x:f>
        <x:v>60124999579</x:v>
      </x:c>
      <x:c r="B153" s="21" t="str"/>
      <x:c r="C153" s="21" t="str">
        <x:v>Tidak Dinamakan</x:v>
      </x:c>
      <x:c r="D153" s="21" t="n">
        <x:v>1</x:v>
      </x:c>
      <x:c r="E153" s="21" t="n">
        <x:v>1</x:v>
      </x:c>
    </x:row>
    <x:row r="154">
      <x:c r="A154" s="46" t="str">
        <x:f>"60125043809"</x:f>
        <x:v>60125043809</x:v>
      </x:c>
      <x:c r="B154" s="21" t="str">
        <x:v>Saada @Kak Aura</x:v>
      </x:c>
      <x:c r="C154" s="21" t="str">
        <x:v>tiktok cz</x:v>
      </x:c>
      <x:c r="D154" s="21" t="n">
        <x:v>1</x:v>
      </x:c>
      <x:c r="E154" s="21" t="n">
        <x:v>1</x:v>
      </x:c>
    </x:row>
    <x:row r="155">
      <x:c r="A155" s="46" t="str">
        <x:f>"60125058200"</x:f>
        <x:v>60125058200</x:v>
      </x:c>
      <x:c r="B155" s="21" t="str">
        <x:v>Eatzy Bites</x:v>
      </x:c>
      <x:c r="C155" s="21" t="str">
        <x:v>Tidak Dinamakan</x:v>
      </x:c>
      <x:c r="D155" s="21" t="n">
        <x:v>1</x:v>
      </x:c>
      <x:c r="E155" s="21" t="n">
        <x:v>1</x:v>
      </x:c>
    </x:row>
    <x:row r="156">
      <x:c r="A156" s="46" t="str">
        <x:f>"60125080969"</x:f>
        <x:v>60125080969</x:v>
      </x:c>
      <x:c r="B156" s="21" t="str">
        <x:v>Careline Internal Communication</x:v>
      </x:c>
      <x:c r="C156" s="21" t="str">
        <x:v>TD7 emkt</x:v>
      </x:c>
      <x:c r="D156" s="21" t="n">
        <x:v>1</x:v>
      </x:c>
      <x:c r="E156" s="21" t="n">
        <x:v>1</x:v>
      </x:c>
    </x:row>
    <x:row r="157">
      <x:c r="A157" s="46" t="str">
        <x:f>"60125200026"</x:f>
        <x:v>60125200026</x:v>
      </x:c>
      <x:c r="B157" s="21" t="str"/>
      <x:c r="C157" s="21" t="str">
        <x:v>td32</x:v>
      </x:c>
      <x:c r="D157" s="21" t="n">
        <x:v>1</x:v>
      </x:c>
      <x:c r="E157" s="21" t="n">
        <x:v>1</x:v>
      </x:c>
    </x:row>
    <x:row r="158">
      <x:c r="A158" s="46" t="str">
        <x:f>"60125238531"</x:f>
        <x:v>60125238531</x:v>
      </x:c>
      <x:c r="B158" s="21" t="str"/>
      <x:c r="C158" s="21" t="str">
        <x:v>ti9596</x:v>
      </x:c>
      <x:c r="D158" s="21" t="n">
        <x:v>1</x:v>
      </x:c>
      <x:c r="E158" s="21" t="n">
        <x:v>1</x:v>
      </x:c>
    </x:row>
    <x:row r="159">
      <x:c r="A159" s="46" t="str">
        <x:f>"60125271704"</x:f>
        <x:v>60125271704</x:v>
      </x:c>
      <x:c r="B159" s="21" t="str"/>
      <x:c r="C159" s="21" t="str">
        <x:v>TD137</x:v>
      </x:c>
      <x:c r="D159" s="21" t="n">
        <x:v>1</x:v>
      </x:c>
      <x:c r="E159" s="21" t="n">
        <x:v>1</x:v>
      </x:c>
    </x:row>
    <x:row r="160">
      <x:c r="A160" s="46" t="str">
        <x:f>"60125292210"</x:f>
        <x:v>60125292210</x:v>
      </x:c>
      <x:c r="B160" s="21" t="str"/>
      <x:c r="C160" s="21" t="str">
        <x:v>tiktok mana ns</x:v>
      </x:c>
      <x:c r="D160" s="21" t="n">
        <x:v>1</x:v>
      </x:c>
      <x:c r="E160" s="21" t="n">
        <x:v>1</x:v>
      </x:c>
    </x:row>
    <x:row r="161">
      <x:c r="A161" s="46" t="str">
        <x:f>"60125366534"</x:f>
        <x:v>60125366534</x:v>
      </x:c>
      <x:c r="B161" s="21" t="str"/>
      <x:c r="C161" s="21" t="str">
        <x:v>TD35 Eposter</x:v>
      </x:c>
      <x:c r="D161" s="21" t="n">
        <x:v>1</x:v>
      </x:c>
      <x:c r="E161" s="21" t="n">
        <x:v>1</x:v>
      </x:c>
    </x:row>
    <x:row r="162">
      <x:c r="A162" s="46" t="str">
        <x:f>"60125542121"</x:f>
        <x:v>60125542121</x:v>
      </x:c>
      <x:c r="B162" s="21" t="str">
        <x:v>Ashary</x:v>
      </x:c>
      <x:c r="C162" s="21" t="str">
        <x:v>mcbr02</x:v>
      </x:c>
      <x:c r="D162" s="21" t="n">
        <x:v>1</x:v>
      </x:c>
      <x:c r="E162" s="21" t="n">
        <x:v>1</x:v>
      </x:c>
    </x:row>
    <x:row r="163">
      <x:c r="A163" s="46" t="str">
        <x:f>"60125556854"</x:f>
        <x:v>60125556854</x:v>
      </x:c>
      <x:c r="B163" s="21" t="str"/>
      <x:c r="C163" s="21" t="str">
        <x:v>ti9596</x:v>
      </x:c>
      <x:c r="D163" s="21" t="n">
        <x:v>1</x:v>
      </x:c>
      <x:c r="E163" s="21" t="n">
        <x:v>1</x:v>
      </x:c>
    </x:row>
    <x:row r="164">
      <x:c r="A164" s="46" t="str">
        <x:f>"60125577732"</x:f>
        <x:v>60125577732</x:v>
      </x:c>
      <x:c r="B164" s="21" t="str"/>
      <x:c r="C164" s="21" t="str">
        <x:v>GROUP SEMBANG MALAM</x:v>
      </x:c>
      <x:c r="D164" s="21" t="n">
        <x:v>1</x:v>
      </x:c>
      <x:c r="E164" s="21" t="n">
        <x:v>1</x:v>
      </x:c>
    </x:row>
    <x:row r="165">
      <x:c r="A165" s="46" t="str">
        <x:f>"60125589684"</x:f>
        <x:v>60125589684</x:v>
      </x:c>
      <x:c r="B165" s="21" t="str">
        <x:v>Azlina Lynn</x:v>
      </x:c>
      <x:c r="C165" s="21" t="str">
        <x:v>tiktok mana ns</x:v>
      </x:c>
      <x:c r="D165" s="21" t="n">
        <x:v>1</x:v>
      </x:c>
      <x:c r="E165" s="21" t="n">
        <x:v>1</x:v>
      </x:c>
    </x:row>
    <x:row r="166">
      <x:c r="A166" s="46" t="str">
        <x:f>"60125603900"</x:f>
        <x:v>60125603900</x:v>
      </x:c>
      <x:c r="B166" s="21" t="str"/>
      <x:c r="C166" s="21" t="str">
        <x:v>TD7 emkt</x:v>
      </x:c>
      <x:c r="D166" s="21" t="n">
        <x:v>1</x:v>
      </x:c>
      <x:c r="E166" s="21" t="n">
        <x:v>1</x:v>
      </x:c>
    </x:row>
    <x:row r="167">
      <x:c r="A167" s="46" t="str">
        <x:f>"60125653379"</x:f>
        <x:v>60125653379</x:v>
      </x:c>
      <x:c r="B167" s="21" t="str"/>
      <x:c r="C167" s="21" t="str">
        <x:v>TD160</x:v>
      </x:c>
      <x:c r="D167" s="21" t="n">
        <x:v>1</x:v>
      </x:c>
      <x:c r="E167" s="21" t="n">
        <x:v>1</x:v>
      </x:c>
    </x:row>
    <x:row r="168">
      <x:c r="A168" s="46" t="str">
        <x:f>"60125758964"</x:f>
        <x:v>60125758964</x:v>
      </x:c>
      <x:c r="B168" s="21" t="str"/>
      <x:c r="C168" s="21" t="str">
        <x:v>ti9596</x:v>
      </x:c>
      <x:c r="D168" s="21" t="n">
        <x:v>1</x:v>
      </x:c>
      <x:c r="E168" s="21" t="n">
        <x:v>1</x:v>
      </x:c>
    </x:row>
    <x:row r="169">
      <x:c r="A169" s="46" t="str">
        <x:f>"60126077335"</x:f>
        <x:v>60126077335</x:v>
      </x:c>
      <x:c r="B169" s="21" t="str"/>
      <x:c r="C169" s="21" t="str">
        <x:v>lazada 5-6; mcbr02; TD47 Shopee</x:v>
      </x:c>
      <x:c r="D169" s="21" t="n">
        <x:v>3</x:v>
      </x:c>
      <x:c r="E169" s="21" t="n">
        <x:v>3</x:v>
      </x:c>
    </x:row>
    <x:row r="170">
      <x:c r="A170" s="46" t="str">
        <x:f>"60126120779"</x:f>
        <x:v>60126120779</x:v>
      </x:c>
      <x:c r="B170" s="21" t="str"/>
      <x:c r="C170" s="21" t="str">
        <x:v>emarket11-12</x:v>
      </x:c>
      <x:c r="D170" s="21" t="n">
        <x:v>1</x:v>
      </x:c>
      <x:c r="E170" s="21" t="n">
        <x:v>1</x:v>
      </x:c>
    </x:row>
    <x:row r="171">
      <x:c r="A171" s="46" t="str">
        <x:f>"60126165227"</x:f>
        <x:v>60126165227</x:v>
      </x:c>
      <x:c r="B171" s="21" t="str">
        <x:v>Maria Hastuti Bachtiar</x:v>
      </x:c>
      <x:c r="C171" s="21" t="str">
        <x:v>TD35 Eposter</x:v>
      </x:c>
      <x:c r="D171" s="21" t="n">
        <x:v>1</x:v>
      </x:c>
      <x:c r="E171" s="21" t="n">
        <x:v>1</x:v>
      </x:c>
    </x:row>
    <x:row r="172">
      <x:c r="A172" s="46" t="str">
        <x:f>"60126173491"</x:f>
        <x:v>60126173491</x:v>
      </x:c>
      <x:c r="B172" s="21" t="str"/>
      <x:c r="C172" s="21" t="str">
        <x:v>ti9596</x:v>
      </x:c>
      <x:c r="D172" s="21" t="n">
        <x:v>1</x:v>
      </x:c>
      <x:c r="E172" s="21" t="n">
        <x:v>1</x:v>
      </x:c>
    </x:row>
    <x:row r="173">
      <x:c r="A173" s="46" t="str">
        <x:f>"60126174424"</x:f>
        <x:v>60126174424</x:v>
      </x:c>
      <x:c r="B173" s="21" t="str">
        <x:v>Ezutronik Enterprise</x:v>
      </x:c>
      <x:c r="C173" s="21" t="str">
        <x:v>cohort 3 B2</x:v>
      </x:c>
      <x:c r="D173" s="21" t="n">
        <x:v>1</x:v>
      </x:c>
      <x:c r="E173" s="21" t="n">
        <x:v>1</x:v>
      </x:c>
    </x:row>
    <x:row r="174">
      <x:c r="A174" s="46" t="str">
        <x:f>"60126207906"</x:f>
        <x:v>60126207906</x:v>
      </x:c>
      <x:c r="B174" s="21" t="str">
        <x:v>Farly Burhan Sifu Website</x:v>
      </x:c>
      <x:c r="C174" s="21" t="str">
        <x:v>group digital products</x:v>
      </x:c>
      <x:c r="D174" s="21" t="n">
        <x:v>1</x:v>
      </x:c>
      <x:c r="E174" s="21" t="n">
        <x:v>1</x:v>
      </x:c>
    </x:row>
    <x:row r="175">
      <x:c r="A175" s="46" t="str">
        <x:f>"60126274743"</x:f>
        <x:v>60126274743</x:v>
      </x:c>
      <x:c r="B175" s="21" t="str">
        <x:v>Hazian Ghazali</x:v>
      </x:c>
      <x:c r="C175" s="21" t="str">
        <x:v>mcbr02</x:v>
      </x:c>
      <x:c r="D175" s="21" t="n">
        <x:v>1</x:v>
      </x:c>
      <x:c r="E175" s="21" t="n">
        <x:v>1</x:v>
      </x:c>
    </x:row>
    <x:row r="176">
      <x:c r="A176" s="46" t="str">
        <x:f>"60126306457"</x:f>
        <x:v>60126306457</x:v>
      </x:c>
      <x:c r="B176" s="21" t="str">
        <x:v>Syamsul N K J</x:v>
      </x:c>
      <x:c r="C176" s="21" t="str">
        <x:v>tiktok cz</x:v>
      </x:c>
      <x:c r="D176" s="21" t="n">
        <x:v>1</x:v>
      </x:c>
      <x:c r="E176" s="21" t="n">
        <x:v>1</x:v>
      </x:c>
    </x:row>
    <x:row r="177">
      <x:c r="A177" s="46" t="str">
        <x:f>"60126343473"</x:f>
        <x:v>60126343473</x:v>
      </x:c>
      <x:c r="B177" s="21" t="str"/>
      <x:c r="C177" s="21" t="str">
        <x:v>tiktok cz</x:v>
      </x:c>
      <x:c r="D177" s="21" t="n">
        <x:v>1</x:v>
      </x:c>
      <x:c r="E177" s="21" t="n">
        <x:v>1</x:v>
      </x:c>
    </x:row>
    <x:row r="178">
      <x:c r="A178" s="46" t="str">
        <x:f>"60126521997"</x:f>
        <x:v>60126521997</x:v>
      </x:c>
      <x:c r="B178" s="21" t="str">
        <x:v>Al Husna Ventures</x:v>
      </x:c>
      <x:c r="C178" s="21" t="str">
        <x:v>cohort 3 B2</x:v>
      </x:c>
      <x:c r="D178" s="21" t="n">
        <x:v>1</x:v>
      </x:c>
      <x:c r="E178" s="21" t="n">
        <x:v>1</x:v>
      </x:c>
    </x:row>
    <x:row r="179">
      <x:c r="A179" s="46" t="str">
        <x:f>"60126534569"</x:f>
        <x:v>60126534569</x:v>
      </x:c>
      <x:c r="B179" s="21" t="str"/>
      <x:c r="C179" s="21" t="str">
        <x:v>emarket11-12</x:v>
      </x:c>
      <x:c r="D179" s="21" t="n">
        <x:v>1</x:v>
      </x:c>
      <x:c r="E179" s="21" t="n">
        <x:v>1</x:v>
      </x:c>
    </x:row>
    <x:row r="180">
      <x:c r="A180" s="46" t="str">
        <x:f>"60126543790"</x:f>
        <x:v>60126543790</x:v>
      </x:c>
      <x:c r="B180" s="21" t="str">
        <x:v>marini</x:v>
      </x:c>
      <x:c r="C180" s="21" t="str">
        <x:v>TD35 Eposter; Tidak Dinamakan</x:v>
      </x:c>
      <x:c r="D180" s="21" t="n">
        <x:v>2</x:v>
      </x:c>
      <x:c r="E180" s="21" t="n">
        <x:v>2</x:v>
      </x:c>
    </x:row>
    <x:row r="181">
      <x:c r="A181" s="46" t="str">
        <x:f>"60126582016"</x:f>
        <x:v>60126582016</x:v>
      </x:c>
      <x:c r="B181" s="21" t="str"/>
      <x:c r="C181" s="21" t="str">
        <x:v>TDAG12</x:v>
      </x:c>
      <x:c r="D181" s="21" t="n">
        <x:v>1</x:v>
      </x:c>
      <x:c r="E181" s="21" t="n">
        <x:v>1</x:v>
      </x:c>
    </x:row>
    <x:row r="182">
      <x:c r="A182" s="46" t="str">
        <x:f>"60126587523"</x:f>
        <x:v>60126587523</x:v>
      </x:c>
      <x:c r="B182" s="21" t="str"/>
      <x:c r="C182" s="21" t="str">
        <x:v>EBOARD C8 SP</x:v>
      </x:c>
      <x:c r="D182" s="21" t="n">
        <x:v>1</x:v>
      </x:c>
      <x:c r="E182" s="21" t="n">
        <x:v>1</x:v>
      </x:c>
    </x:row>
    <x:row r="183">
      <x:c r="A183" s="46" t="str">
        <x:f>"60126598567"</x:f>
        <x:v>60126598567</x:v>
      </x:c>
      <x:c r="B183" s="21" t="str"/>
      <x:c r="C183" s="21" t="str">
        <x:v>EBOARD C8 SP</x:v>
      </x:c>
      <x:c r="D183" s="21" t="n">
        <x:v>1</x:v>
      </x:c>
      <x:c r="E183" s="21" t="n">
        <x:v>1</x:v>
      </x:c>
    </x:row>
    <x:row r="184">
      <x:c r="A184" s="46" t="str">
        <x:f>"60126787574"</x:f>
        <x:v>60126787574</x:v>
      </x:c>
      <x:c r="B184" s="21" t="str">
        <x:v>Ashley</x:v>
      </x:c>
      <x:c r="C184" s="21" t="str">
        <x:v>TD47 Shopee</x:v>
      </x:c>
      <x:c r="D184" s="21" t="n">
        <x:v>1</x:v>
      </x:c>
      <x:c r="E184" s="21" t="n">
        <x:v>1</x:v>
      </x:c>
    </x:row>
    <x:row r="185">
      <x:c r="A185" s="46" t="str">
        <x:f>"60126874561"</x:f>
        <x:v>60126874561</x:v>
      </x:c>
      <x:c r="B185" s="21" t="str">
        <x:v>MR ROGER @ Doktor Wiring &amp; Aircond Anda</x:v>
      </x:c>
      <x:c r="C185" s="21" t="str">
        <x:v>cohort 3 B2</x:v>
      </x:c>
      <x:c r="D185" s="21" t="n">
        <x:v>1</x:v>
      </x:c>
      <x:c r="E185" s="21" t="n">
        <x:v>1</x:v>
      </x:c>
    </x:row>
    <x:row r="186">
      <x:c r="A186" s="46" t="str">
        <x:f>"60126961018"</x:f>
        <x:v>60126961018</x:v>
      </x:c>
      <x:c r="B186" s="21" t="str"/>
      <x:c r="C186" s="21" t="str">
        <x:v>Td21 emkrt</x:v>
      </x:c>
      <x:c r="D186" s="21" t="n">
        <x:v>1</x:v>
      </x:c>
      <x:c r="E186" s="21" t="n">
        <x:v>1</x:v>
      </x:c>
    </x:row>
    <x:row r="187">
      <x:c r="A187" s="46" t="str">
        <x:f>"60126991842"</x:f>
        <x:v>60126991842</x:v>
      </x:c>
      <x:c r="B187" s="21" t="str"/>
      <x:c r="C187" s="21" t="str">
        <x:v>TD160</x:v>
      </x:c>
      <x:c r="D187" s="21" t="n">
        <x:v>1</x:v>
      </x:c>
      <x:c r="E187" s="21" t="n">
        <x:v>1</x:v>
      </x:c>
    </x:row>
    <x:row r="188">
      <x:c r="A188" s="46" t="str">
        <x:f>"60127082500"</x:f>
        <x:v>60127082500</x:v>
      </x:c>
      <x:c r="B188" s="21" t="str">
        <x:v>Nizamuddin AR</x:v>
      </x:c>
      <x:c r="C188" s="21" t="str">
        <x:v>TD35 Eposter</x:v>
      </x:c>
      <x:c r="D188" s="21" t="n">
        <x:v>1</x:v>
      </x:c>
      <x:c r="E188" s="21" t="n">
        <x:v>1</x:v>
      </x:c>
    </x:row>
    <x:row r="189">
      <x:c r="A189" s="46" t="str">
        <x:f>"60127082728"</x:f>
        <x:v>60127082728</x:v>
      </x:c>
      <x:c r="B189" s="21" t="str">
        <x:v>Abdul Rahman</x:v>
      </x:c>
      <x:c r="C189" s="21" t="str">
        <x:v>mcbr02</x:v>
      </x:c>
      <x:c r="D189" s="21" t="n">
        <x:v>1</x:v>
      </x:c>
      <x:c r="E189" s="21" t="n">
        <x:v>1</x:v>
      </x:c>
    </x:row>
    <x:row r="190">
      <x:c r="A190" s="46" t="str">
        <x:f>"60127229634"</x:f>
        <x:v>60127229634</x:v>
      </x:c>
      <x:c r="B190" s="21" t="str">
        <x:v>@SfynHady</x:v>
      </x:c>
      <x:c r="C190" s="21" t="str">
        <x:v>ti9596</x:v>
      </x:c>
      <x:c r="D190" s="21" t="n">
        <x:v>1</x:v>
      </x:c>
      <x:c r="E190" s="21" t="n">
        <x:v>1</x:v>
      </x:c>
    </x:row>
    <x:row r="191">
      <x:c r="A191" s="46" t="str">
        <x:f>"60127472363"</x:f>
        <x:v>60127472363</x:v>
      </x:c>
      <x:c r="B191" s="21" t="str"/>
      <x:c r="C191" s="21" t="str">
        <x:v>DIGITAL PRODUCT MASTERY</x:v>
      </x:c>
      <x:c r="D191" s="21" t="n">
        <x:v>1</x:v>
      </x:c>
      <x:c r="E191" s="21" t="n">
        <x:v>1</x:v>
      </x:c>
    </x:row>
    <x:row r="192">
      <x:c r="A192" s="46" t="str">
        <x:f>"60127832481"</x:f>
        <x:v>60127832481</x:v>
      </x:c>
      <x:c r="B192" s="21" t="str">
        <x:v>aidilakmal007</x:v>
      </x:c>
      <x:c r="C192" s="21" t="str">
        <x:v>cohort 3 B2</x:v>
      </x:c>
      <x:c r="D192" s="21" t="n">
        <x:v>1</x:v>
      </x:c>
      <x:c r="E192" s="21" t="n">
        <x:v>1</x:v>
      </x:c>
    </x:row>
    <x:row r="193">
      <x:c r="A193" s="46" t="str">
        <x:f>"60127885358"</x:f>
        <x:v>60127885358</x:v>
      </x:c>
      <x:c r="B193" s="21" t="str"/>
      <x:c r="C193" s="21" t="str">
        <x:v>TD35 Eposter</x:v>
      </x:c>
      <x:c r="D193" s="21" t="n">
        <x:v>1</x:v>
      </x:c>
      <x:c r="E193" s="21" t="n">
        <x:v>1</x:v>
      </x:c>
    </x:row>
    <x:row r="194">
      <x:c r="A194" s="46" t="str">
        <x:f>"60127949799"</x:f>
        <x:v>60127949799</x:v>
      </x:c>
      <x:c r="B194" s="21" t="str"/>
      <x:c r="C194" s="21" t="str">
        <x:v>laz 25-26</x:v>
      </x:c>
      <x:c r="D194" s="21" t="n">
        <x:v>1</x:v>
      </x:c>
      <x:c r="E194" s="21" t="n">
        <x:v>1</x:v>
      </x:c>
    </x:row>
    <x:row r="195">
      <x:c r="A195" s="46" t="str">
        <x:f>"60127999908"</x:f>
        <x:v>60127999908</x:v>
      </x:c>
      <x:c r="B195" s="21" t="str">
        <x:v>Angah Property</x:v>
      </x:c>
      <x:c r="C195" s="21" t="str">
        <x:v>Tidak Dinamakan</x:v>
      </x:c>
      <x:c r="D195" s="21" t="n">
        <x:v>1</x:v>
      </x:c>
      <x:c r="E195" s="21" t="n">
        <x:v>1</x:v>
      </x:c>
    </x:row>
    <x:row r="196">
      <x:c r="A196" s="46" t="str">
        <x:f>"60128227103"</x:f>
        <x:v>60128227103</x:v>
      </x:c>
      <x:c r="B196" s="21" t="str">
        <x:v>Syarifah</x:v>
      </x:c>
      <x:c r="C196" s="21" t="str">
        <x:v>2TT</x:v>
      </x:c>
      <x:c r="D196" s="21" t="n">
        <x:v>1</x:v>
      </x:c>
      <x:c r="E196" s="21" t="n">
        <x:v>1</x:v>
      </x:c>
    </x:row>
    <x:row r="197">
      <x:c r="A197" s="46" t="str">
        <x:f>"60128301622"</x:f>
        <x:v>60128301622</x:v>
      </x:c>
      <x:c r="B197" s="21" t="str"/>
      <x:c r="C197" s="21" t="str">
        <x:v>Tidak Dinamakan</x:v>
      </x:c>
      <x:c r="D197" s="21" t="n">
        <x:v>1</x:v>
      </x:c>
      <x:c r="E197" s="21" t="n">
        <x:v>1</x:v>
      </x:c>
    </x:row>
    <x:row r="198">
      <x:c r="A198" s="46" t="str">
        <x:f>"60128415536"</x:f>
        <x:v>60128415536</x:v>
      </x:c>
      <x:c r="B198" s="21" t="str"/>
      <x:c r="C198" s="21" t="str">
        <x:v>UPM</x:v>
      </x:c>
      <x:c r="D198" s="21" t="n">
        <x:v>1</x:v>
      </x:c>
      <x:c r="E198" s="21" t="n">
        <x:v>1</x:v>
      </x:c>
    </x:row>
    <x:row r="199">
      <x:c r="A199" s="46" t="str">
        <x:f>"60128737738"</x:f>
        <x:v>60128737738</x:v>
      </x:c>
      <x:c r="B199" s="21" t="str"/>
      <x:c r="C199" s="21" t="str">
        <x:v>shopee laz 25-26 Ogos</x:v>
      </x:c>
      <x:c r="D199" s="21" t="n">
        <x:v>1</x:v>
      </x:c>
      <x:c r="E199" s="21" t="n">
        <x:v>1</x:v>
      </x:c>
    </x:row>
    <x:row r="200">
      <x:c r="A200" s="46" t="str">
        <x:f>"60128874955"</x:f>
        <x:v>60128874955</x:v>
      </x:c>
      <x:c r="B200" s="21" t="str">
        <x:v>ebahkota1961</x:v>
      </x:c>
      <x:c r="C200" s="21" t="str">
        <x:v>UPM</x:v>
      </x:c>
      <x:c r="D200" s="21" t="n">
        <x:v>1</x:v>
      </x:c>
      <x:c r="E200" s="21" t="n">
        <x:v>1</x:v>
      </x:c>
    </x:row>
    <x:row r="201">
      <x:c r="A201" s="46" t="str">
        <x:f>"60129112033"</x:f>
        <x:v>60129112033</x:v>
      </x:c>
      <x:c r="B201" s="21" t="str"/>
      <x:c r="C201" s="21" t="str">
        <x:v>cohort 3 B2</x:v>
      </x:c>
      <x:c r="D201" s="21" t="n">
        <x:v>1</x:v>
      </x:c>
      <x:c r="E201" s="21" t="n">
        <x:v>1</x:v>
      </x:c>
    </x:row>
    <x:row r="202">
      <x:c r="A202" s="46" t="str">
        <x:f>"60129141359"</x:f>
        <x:v>60129141359</x:v>
      </x:c>
      <x:c r="B202" s="21" t="str">
        <x:v>Mdm Nurul | Car &amp; Home Advisor</x:v>
      </x:c>
      <x:c r="C202" s="21" t="str">
        <x:v>tiktok cz</x:v>
      </x:c>
      <x:c r="D202" s="21" t="n">
        <x:v>1</x:v>
      </x:c>
      <x:c r="E202" s="21" t="n">
        <x:v>1</x:v>
      </x:c>
    </x:row>
    <x:row r="203">
      <x:c r="A203" s="46" t="str">
        <x:f>"60129180574"</x:f>
        <x:v>60129180574</x:v>
      </x:c>
      <x:c r="B203" s="21" t="str">
        <x:v>Khairunnisa Liyana (Dealer Public Gold &amp;Zanns Catering)</x:v>
      </x:c>
      <x:c r="C203" s="21" t="str">
        <x:v>TD119 Zero CM</x:v>
      </x:c>
      <x:c r="D203" s="21" t="n">
        <x:v>1</x:v>
      </x:c>
      <x:c r="E203" s="21" t="n">
        <x:v>1</x:v>
      </x:c>
    </x:row>
    <x:row r="204">
      <x:c r="A204" s="46" t="str">
        <x:f>"60129194574"</x:f>
        <x:v>60129194574</x:v>
      </x:c>
      <x:c r="B204" s="21" t="str"/>
      <x:c r="C204" s="21" t="str">
        <x:v>emarket11-12</x:v>
      </x:c>
      <x:c r="D204" s="21" t="n">
        <x:v>1</x:v>
      </x:c>
      <x:c r="E204" s="21" t="n">
        <x:v>1</x:v>
      </x:c>
    </x:row>
    <x:row r="205">
      <x:c r="A205" s="46" t="str">
        <x:f>"60129363780"</x:f>
        <x:v>60129363780</x:v>
      </x:c>
      <x:c r="B205" s="21" t="str">
        <x:v>DALAM Event and Catering, Seremban 2</x:v>
      </x:c>
      <x:c r="C205" s="21" t="str">
        <x:v>tiktok 12-13 Jan 2026</x:v>
      </x:c>
      <x:c r="D205" s="21" t="n">
        <x:v>1</x:v>
      </x:c>
      <x:c r="E205" s="21" t="n">
        <x:v>1</x:v>
      </x:c>
    </x:row>
    <x:row r="206">
      <x:c r="A206" s="46" t="str">
        <x:f>"60129378833"</x:f>
        <x:v>60129378833</x:v>
      </x:c>
      <x:c r="B206" s="21" t="str">
        <x:v>Top Supplier Home Surveillance and Security</x:v>
      </x:c>
      <x:c r="C206" s="21" t="str">
        <x:v>TD35 Eposter</x:v>
      </x:c>
      <x:c r="D206" s="21" t="n">
        <x:v>1</x:v>
      </x:c>
      <x:c r="E206" s="21" t="n">
        <x:v>1</x:v>
      </x:c>
    </x:row>
    <x:row r="207">
      <x:c r="A207" s="46" t="str">
        <x:f>"60129393668"</x:f>
        <x:v>60129393668</x:v>
      </x:c>
      <x:c r="B207" s="21" t="str"/>
      <x:c r="C207" s="21" t="str">
        <x:v>tiktok 12-13 Jan 2026</x:v>
      </x:c>
      <x:c r="D207" s="21" t="n">
        <x:v>1</x:v>
      </x:c>
      <x:c r="E207" s="21" t="n">
        <x:v>1</x:v>
      </x:c>
    </x:row>
    <x:row r="208">
      <x:c r="A208" s="46" t="str">
        <x:f>"60129497152"</x:f>
        <x:v>60129497152</x:v>
      </x:c>
      <x:c r="B208" s="21" t="str"/>
      <x:c r="C208" s="21" t="str">
        <x:v>EBOARD C8 SP</x:v>
      </x:c>
      <x:c r="D208" s="21" t="n">
        <x:v>1</x:v>
      </x:c>
      <x:c r="E208" s="21" t="n">
        <x:v>1</x:v>
      </x:c>
    </x:row>
    <x:row r="209">
      <x:c r="A209" s="46" t="str">
        <x:f>"60129608843"</x:f>
        <x:v>60129608843</x:v>
      </x:c>
      <x:c r="B209" s="21" t="str"/>
      <x:c r="C209" s="21" t="str">
        <x:v>tiktok 12-13 Jan 2026</x:v>
      </x:c>
      <x:c r="D209" s="21" t="n">
        <x:v>1</x:v>
      </x:c>
      <x:c r="E209" s="21" t="n">
        <x:v>1</x:v>
      </x:c>
    </x:row>
    <x:row r="210">
      <x:c r="A210" s="46" t="str">
        <x:f>"60129676648"</x:f>
        <x:v>60129676648</x:v>
      </x:c>
      <x:c r="B210" s="21" t="str"/>
      <x:c r="C210" s="21" t="str">
        <x:v>tiktok sahanita</x:v>
      </x:c>
      <x:c r="D210" s="21" t="n">
        <x:v>1</x:v>
      </x:c>
      <x:c r="E210" s="21" t="n">
        <x:v>1</x:v>
      </x:c>
    </x:row>
    <x:row r="211">
      <x:c r="A211" s="46" t="str">
        <x:f>"60129700100"</x:f>
        <x:v>60129700100</x:v>
      </x:c>
      <x:c r="B211" s="21" t="str"/>
      <x:c r="C211" s="21" t="str">
        <x:v>Tidak Dinamakan</x:v>
      </x:c>
      <x:c r="D211" s="21" t="n">
        <x:v>1</x:v>
      </x:c>
      <x:c r="E211" s="21" t="n">
        <x:v>1</x:v>
      </x:c>
    </x:row>
    <x:row r="212">
      <x:c r="A212" s="46" t="str">
        <x:f>"60129758160"</x:f>
        <x:v>60129758160</x:v>
      </x:c>
      <x:c r="B212" s="21" t="str"/>
      <x:c r="C212" s="21" t="str">
        <x:v>TD160</x:v>
      </x:c>
      <x:c r="D212" s="21" t="n">
        <x:v>1</x:v>
      </x:c>
      <x:c r="E212" s="21" t="n">
        <x:v>1</x:v>
      </x:c>
    </x:row>
    <x:row r="213">
      <x:c r="A213" s="46" t="str">
        <x:f>"60129841711"</x:f>
        <x:v>60129841711</x:v>
      </x:c>
      <x:c r="B213" s="21" t="str">
        <x:v>Z U H R A H</x:v>
      </x:c>
      <x:c r="C213" s="21" t="str">
        <x:v>TD7 emkt</x:v>
      </x:c>
      <x:c r="D213" s="21" t="n">
        <x:v>1</x:v>
      </x:c>
      <x:c r="E213" s="21" t="n">
        <x:v>1</x:v>
      </x:c>
    </x:row>
    <x:row r="214">
      <x:c r="A214" s="46" t="str">
        <x:f>"60132003377"</x:f>
        <x:v>60132003377</x:v>
      </x:c>
      <x:c r="B214" s="21" t="str">
        <x:v>LAhmad</x:v>
      </x:c>
      <x:c r="C214" s="21" t="str">
        <x:v>C8 TT</x:v>
      </x:c>
      <x:c r="D214" s="21" t="n">
        <x:v>1</x:v>
      </x:c>
      <x:c r="E214" s="21" t="n">
        <x:v>1</x:v>
      </x:c>
    </x:row>
    <x:row r="215">
      <x:c r="A215" s="46" t="str">
        <x:f>"60132054198"</x:f>
        <x:v>60132054198</x:v>
      </x:c>
      <x:c r="B215" s="21" t="str">
        <x:v>Ungku Hazwan Kamarudin</x:v>
      </x:c>
      <x:c r="C215" s="21" t="str">
        <x:v>cohort 3 B2</x:v>
      </x:c>
      <x:c r="D215" s="21" t="n">
        <x:v>1</x:v>
      </x:c>
      <x:c r="E215" s="21" t="n">
        <x:v>1</x:v>
      </x:c>
    </x:row>
    <x:row r="216">
      <x:c r="A216" s="46" t="str">
        <x:f>"60132066200"</x:f>
        <x:v>60132066200</x:v>
      </x:c>
      <x:c r="B216" s="21" t="str">
        <x:v>Mukhlis Ghazi</x:v>
      </x:c>
      <x:c r="C216" s="21" t="str">
        <x:v>laz 25-26</x:v>
      </x:c>
      <x:c r="D216" s="21" t="n">
        <x:v>1</x:v>
      </x:c>
      <x:c r="E216" s="21" t="n">
        <x:v>1</x:v>
      </x:c>
    </x:row>
    <x:row r="217">
      <x:c r="A217" s="46" t="str">
        <x:f>"60132252542"</x:f>
        <x:v>60132252542</x:v>
      </x:c>
      <x:c r="B217" s="21" t="str">
        <x:v>Faz</x:v>
      </x:c>
      <x:c r="C217" s="21" t="str">
        <x:v>tiktok 12-13 Jan 2026</x:v>
      </x:c>
      <x:c r="D217" s="21" t="n">
        <x:v>1</x:v>
      </x:c>
      <x:c r="E217" s="21" t="n">
        <x:v>1</x:v>
      </x:c>
    </x:row>
    <x:row r="218">
      <x:c r="A218" s="46" t="str">
        <x:f>"60132331859"</x:f>
        <x:v>60132331859</x:v>
      </x:c>
      <x:c r="B218" s="21" t="str"/>
      <x:c r="C218" s="21" t="str">
        <x:v>TD119 Zero CM</x:v>
      </x:c>
      <x:c r="D218" s="21" t="n">
        <x:v>1</x:v>
      </x:c>
      <x:c r="E218" s="21" t="n">
        <x:v>1</x:v>
      </x:c>
    </x:row>
    <x:row r="219">
      <x:c r="A219" s="46" t="str">
        <x:f>"60132368335"</x:f>
        <x:v>60132368335</x:v>
      </x:c>
      <x:c r="B219" s="21" t="str"/>
      <x:c r="C219" s="21" t="str">
        <x:v>cohort 3 B2</x:v>
      </x:c>
      <x:c r="D219" s="21" t="n">
        <x:v>1</x:v>
      </x:c>
      <x:c r="E219" s="21" t="n">
        <x:v>1</x:v>
      </x:c>
    </x:row>
    <x:row r="220">
      <x:c r="A220" s="46" t="str">
        <x:f>"60132425788"</x:f>
        <x:v>60132425788</x:v>
      </x:c>
      <x:c r="B220" s="21" t="str"/>
      <x:c r="C220" s="21" t="str">
        <x:v>TD1 eMkt</x:v>
      </x:c>
      <x:c r="D220" s="21" t="n">
        <x:v>1</x:v>
      </x:c>
      <x:c r="E220" s="21" t="n">
        <x:v>1</x:v>
      </x:c>
    </x:row>
    <x:row r="221">
      <x:c r="A221" s="46" t="str">
        <x:f>"60132779551"</x:f>
        <x:v>60132779551</x:v>
      </x:c>
      <x:c r="B221" s="21" t="str"/>
      <x:c r="C221" s="21" t="str">
        <x:v>tiktok 12-13 Jan 2026</x:v>
      </x:c>
      <x:c r="D221" s="21" t="n">
        <x:v>1</x:v>
      </x:c>
      <x:c r="E221" s="21" t="n">
        <x:v>1</x:v>
      </x:c>
    </x:row>
    <x:row r="222">
      <x:c r="A222" s="46" t="str">
        <x:f>"60132806462"</x:f>
        <x:v>60132806462</x:v>
      </x:c>
      <x:c r="B222" s="21" t="str">
        <x:v>Zureen Hasan</x:v>
      </x:c>
      <x:c r="C222" s="21" t="str">
        <x:v>tiktok mana ns</x:v>
      </x:c>
      <x:c r="D222" s="21" t="n">
        <x:v>1</x:v>
      </x:c>
      <x:c r="E222" s="21" t="n">
        <x:v>1</x:v>
      </x:c>
    </x:row>
    <x:row r="223">
      <x:c r="A223" s="46" t="str">
        <x:f>"60132887800"</x:f>
        <x:v>60132887800</x:v>
      </x:c>
      <x:c r="B223" s="21" t="str"/>
      <x:c r="C223" s="21" t="str">
        <x:v>TD47 Shopee</x:v>
      </x:c>
      <x:c r="D223" s="21" t="n">
        <x:v>1</x:v>
      </x:c>
      <x:c r="E223" s="21" t="n">
        <x:v>1</x:v>
      </x:c>
    </x:row>
    <x:row r="224">
      <x:c r="A224" s="46" t="str">
        <x:f>"60132898995"</x:f>
        <x:v>60132898995</x:v>
      </x:c>
      <x:c r="B224" s="21" t="str">
        <x:v>Beriani dan Salai</x:v>
      </x:c>
      <x:c r="C224" s="21" t="str">
        <x:v>Tidak Dinamakan</x:v>
      </x:c>
      <x:c r="D224" s="21" t="n">
        <x:v>1</x:v>
      </x:c>
      <x:c r="E224" s="21" t="n">
        <x:v>1</x:v>
      </x:c>
    </x:row>
    <x:row r="225">
      <x:c r="A225" s="46" t="str">
        <x:f>"60132906105"</x:f>
        <x:v>60132906105</x:v>
      </x:c>
      <x:c r="B225" s="21" t="str"/>
      <x:c r="C225" s="21" t="str">
        <x:v>shopee laz 25-26 Ogos</x:v>
      </x:c>
      <x:c r="D225" s="21" t="n">
        <x:v>1</x:v>
      </x:c>
      <x:c r="E225" s="21" t="n">
        <x:v>1</x:v>
      </x:c>
    </x:row>
    <x:row r="226">
      <x:c r="A226" s="46" t="str">
        <x:f>"60133023316"</x:f>
        <x:v>60133023316</x:v>
      </x:c>
      <x:c r="B226" s="21" t="str">
        <x:v>Syihabudin Ahmad</x:v>
      </x:c>
      <x:c r="C226" s="21" t="str">
        <x:v>td32</x:v>
      </x:c>
      <x:c r="D226" s="21" t="n">
        <x:v>1</x:v>
      </x:c>
      <x:c r="E226" s="21" t="n">
        <x:v>1</x:v>
      </x:c>
    </x:row>
    <x:row r="227">
      <x:c r="A227" s="46" t="str">
        <x:f>"60133029375"</x:f>
        <x:v>60133029375</x:v>
      </x:c>
      <x:c r="B227" s="21" t="str">
        <x:v>Norell</x:v>
      </x:c>
      <x:c r="C227" s="21" t="str">
        <x:v>TD119 Zero CM</x:v>
      </x:c>
      <x:c r="D227" s="21" t="n">
        <x:v>1</x:v>
      </x:c>
      <x:c r="E227" s="21" t="n">
        <x:v>1</x:v>
      </x:c>
    </x:row>
    <x:row r="228">
      <x:c r="A228" s="46" t="str">
        <x:f>"60133112079"</x:f>
        <x:v>60133112079</x:v>
      </x:c>
      <x:c r="B228" s="21" t="str"/>
      <x:c r="C228" s="21" t="str">
        <x:v>mcbr02; td32</x:v>
      </x:c>
      <x:c r="D228" s="21" t="n">
        <x:v>2</x:v>
      </x:c>
      <x:c r="E228" s="21" t="n">
        <x:v>2</x:v>
      </x:c>
    </x:row>
    <x:row r="229">
      <x:c r="A229" s="46" t="str">
        <x:f>"60133246742"</x:f>
        <x:v>60133246742</x:v>
      </x:c>
      <x:c r="B229" s="21" t="str">
        <x:v>MukminMajuTrading</x:v>
      </x:c>
      <x:c r="C229" s="21" t="str">
        <x:v>TD35 Eposter</x:v>
      </x:c>
      <x:c r="D229" s="21" t="n">
        <x:v>1</x:v>
      </x:c>
      <x:c r="E229" s="21" t="n">
        <x:v>1</x:v>
      </x:c>
    </x:row>
    <x:row r="230">
      <x:c r="A230" s="46" t="str">
        <x:f>"60133333461"</x:f>
        <x:v>60133333461</x:v>
      </x:c>
      <x:c r="B230" s="21" t="str"/>
      <x:c r="C230" s="21" t="str">
        <x:v>tiktok mana ns</x:v>
      </x:c>
      <x:c r="D230" s="21" t="n">
        <x:v>1</x:v>
      </x:c>
      <x:c r="E230" s="21" t="n">
        <x:v>1</x:v>
      </x:c>
    </x:row>
    <x:row r="231">
      <x:c r="A231" s="46" t="str">
        <x:f>"60133337883"</x:f>
        <x:v>60133337883</x:v>
      </x:c>
      <x:c r="B231" s="21" t="str"/>
      <x:c r="C231" s="21" t="str">
        <x:v>TD47 Shopee</x:v>
      </x:c>
      <x:c r="D231" s="21" t="n">
        <x:v>1</x:v>
      </x:c>
      <x:c r="E231" s="21" t="n">
        <x:v>1</x:v>
      </x:c>
    </x:row>
    <x:row r="232">
      <x:c r="A232" s="46" t="str">
        <x:f>"60133349966"</x:f>
        <x:v>60133349966</x:v>
      </x:c>
      <x:c r="B232" s="21" t="str"/>
      <x:c r="C232" s="21" t="str">
        <x:v>TDAG12</x:v>
      </x:c>
      <x:c r="D232" s="21" t="n">
        <x:v>1</x:v>
      </x:c>
      <x:c r="E232" s="21" t="n">
        <x:v>1</x:v>
      </x:c>
    </x:row>
    <x:row r="233">
      <x:c r="A233" s="46" t="str">
        <x:f>"60133361417"</x:f>
        <x:v>60133361417</x:v>
      </x:c>
      <x:c r="B233" s="21" t="str"/>
      <x:c r="C233" s="21" t="str">
        <x:v>TD160</x:v>
      </x:c>
      <x:c r="D233" s="21" t="n">
        <x:v>1</x:v>
      </x:c>
      <x:c r="E233" s="21" t="n">
        <x:v>1</x:v>
      </x:c>
    </x:row>
    <x:row r="234">
      <x:c r="A234" s="46" t="str">
        <x:f>"60133361440"</x:f>
        <x:v>60133361440</x:v>
      </x:c>
      <x:c r="B234" s="21" t="str"/>
      <x:c r="C234" s="21" t="str">
        <x:v>EBOARD C8 SP</x:v>
      </x:c>
      <x:c r="D234" s="21" t="n">
        <x:v>1</x:v>
      </x:c>
      <x:c r="E234" s="21" t="n">
        <x:v>1</x:v>
      </x:c>
    </x:row>
    <x:row r="235">
      <x:c r="A235" s="46" t="str">
        <x:f>"60133377947"</x:f>
        <x:v>60133377947</x:v>
      </x:c>
      <x:c r="B235" s="21" t="str">
        <x:v>Hartini Garden Spa</x:v>
      </x:c>
      <x:c r="C235" s="21" t="str">
        <x:v>tiktok mana ns</x:v>
      </x:c>
      <x:c r="D235" s="21" t="n">
        <x:v>1</x:v>
      </x:c>
      <x:c r="E235" s="21" t="n">
        <x:v>1</x:v>
      </x:c>
    </x:row>
    <x:row r="236">
      <x:c r="A236" s="46" t="str">
        <x:f>"60133390972"</x:f>
        <x:v>60133390972</x:v>
      </x:c>
      <x:c r="B236" s="21" t="str"/>
      <x:c r="C236" s="21" t="str">
        <x:v>TD35 Eposter</x:v>
      </x:c>
      <x:c r="D236" s="21" t="n">
        <x:v>1</x:v>
      </x:c>
      <x:c r="E236" s="21" t="n">
        <x:v>1</x:v>
      </x:c>
    </x:row>
    <x:row r="237">
      <x:c r="A237" s="46" t="str">
        <x:f>"60133406549"</x:f>
        <x:v>60133406549</x:v>
      </x:c>
      <x:c r="B237" s="21" t="str">
        <x:v>NORA RICHEST</x:v>
      </x:c>
      <x:c r="C237" s="21" t="str">
        <x:v>td32</x:v>
      </x:c>
      <x:c r="D237" s="21" t="n">
        <x:v>1</x:v>
      </x:c>
      <x:c r="E237" s="21" t="n">
        <x:v>1</x:v>
      </x:c>
    </x:row>
    <x:row r="238">
      <x:c r="A238" s="46" t="str">
        <x:f>"60133417484"</x:f>
        <x:v>60133417484</x:v>
      </x:c>
      <x:c r="B238" s="21" t="str"/>
      <x:c r="C238" s="21" t="str">
        <x:v>cohort 3 B2; cohort3TT</x:v>
      </x:c>
      <x:c r="D238" s="21" t="n">
        <x:v>2</x:v>
      </x:c>
      <x:c r="E238" s="21" t="n">
        <x:v>2</x:v>
      </x:c>
    </x:row>
    <x:row r="239">
      <x:c r="A239" s="46" t="str">
        <x:f>"60133519870"</x:f>
        <x:v>60133519870</x:v>
      </x:c>
      <x:c r="B239" s="21" t="str"/>
      <x:c r="C239" s="21" t="str">
        <x:v>lazada 5-6</x:v>
      </x:c>
      <x:c r="D239" s="21" t="n">
        <x:v>1</x:v>
      </x:c>
      <x:c r="E239" s="21" t="n">
        <x:v>1</x:v>
      </x:c>
    </x:row>
    <x:row r="240">
      <x:c r="A240" s="46" t="str">
        <x:f>"60133731191"</x:f>
        <x:v>60133731191</x:v>
      </x:c>
      <x:c r="B240" s="21" t="str">
        <x:v>Aminah Heng</x:v>
      </x:c>
      <x:c r="C240" s="21" t="str">
        <x:v>C8 TT</x:v>
      </x:c>
      <x:c r="D240" s="21" t="n">
        <x:v>1</x:v>
      </x:c>
      <x:c r="E240" s="21" t="n">
        <x:v>1</x:v>
      </x:c>
    </x:row>
    <x:row r="241">
      <x:c r="A241" s="46" t="str">
        <x:f>"60133776773"</x:f>
        <x:v>60133776773</x:v>
      </x:c>
      <x:c r="B241" s="21" t="str"/>
      <x:c r="C241" s="21" t="str">
        <x:v>Julai 17</x:v>
      </x:c>
      <x:c r="D241" s="21" t="n">
        <x:v>1</x:v>
      </x:c>
      <x:c r="E241" s="21" t="n">
        <x:v>1</x:v>
      </x:c>
    </x:row>
    <x:row r="242">
      <x:c r="A242" s="46" t="str">
        <x:f>"60133934121"</x:f>
        <x:v>60133934121</x:v>
      </x:c>
      <x:c r="B242" s="21" t="str">
        <x:v>eu hanee harun z 060823</x:v>
      </x:c>
      <x:c r="C242" s="21" t="str">
        <x:v>GROUP SEMBANG MALAM</x:v>
      </x:c>
      <x:c r="D242" s="21" t="n">
        <x:v>1</x:v>
      </x:c>
      <x:c r="E242" s="21" t="n">
        <x:v>1</x:v>
      </x:c>
    </x:row>
    <x:row r="243">
      <x:c r="A243" s="46" t="str">
        <x:f>"60133972610"</x:f>
        <x:v>60133972610</x:v>
      </x:c>
      <x:c r="B243" s="21" t="str">
        <x:v>Ustaz Nazir</x:v>
      </x:c>
      <x:c r="C243" s="21" t="str">
        <x:v>ti9596</x:v>
      </x:c>
      <x:c r="D243" s="21" t="n">
        <x:v>1</x:v>
      </x:c>
      <x:c r="E243" s="21" t="n">
        <x:v>1</x:v>
      </x:c>
    </x:row>
    <x:row r="244">
      <x:c r="A244" s="46" t="str">
        <x:f>"60133977710"</x:f>
        <x:v>60133977710</x:v>
      </x:c>
      <x:c r="B244" s="21" t="str">
        <x:v>Wan Haslim (Hibah Wasiat Faraid)</x:v>
      </x:c>
      <x:c r="C244" s="21" t="str">
        <x:v>Tidak Dinamakan</x:v>
      </x:c>
      <x:c r="D244" s="21" t="n">
        <x:v>1</x:v>
      </x:c>
      <x:c r="E244" s="21" t="n">
        <x:v>1</x:v>
      </x:c>
    </x:row>
    <x:row r="245">
      <x:c r="A245" s="46" t="str">
        <x:f>"60133997317"</x:f>
        <x:v>60133997317</x:v>
      </x:c>
      <x:c r="B245" s="21" t="str">
        <x:v>Ina</x:v>
      </x:c>
      <x:c r="C245" s="21" t="str">
        <x:v>tiktok mana ns</x:v>
      </x:c>
      <x:c r="D245" s="21" t="n">
        <x:v>1</x:v>
      </x:c>
      <x:c r="E245" s="21" t="n">
        <x:v>1</x:v>
      </x:c>
    </x:row>
    <x:row r="246">
      <x:c r="A246" s="46" t="str">
        <x:f>"60134087810"</x:f>
        <x:v>60134087810</x:v>
      </x:c>
      <x:c r="B246" s="21" t="str"/>
      <x:c r="C246" s="21" t="str">
        <x:v>emarket11-12</x:v>
      </x:c>
      <x:c r="D246" s="21" t="n">
        <x:v>1</x:v>
      </x:c>
      <x:c r="E246" s="21" t="n">
        <x:v>1</x:v>
      </x:c>
    </x:row>
    <x:row r="247">
      <x:c r="A247" s="46" t="str">
        <x:f>"60134687429"</x:f>
        <x:v>60134687429</x:v>
      </x:c>
      <x:c r="B247" s="21" t="str">
        <x:v>Haikal Zulkifli</x:v>
      </x:c>
      <x:c r="C247" s="21" t="str">
        <x:v>TD35 Eposter</x:v>
      </x:c>
      <x:c r="D247" s="21" t="n">
        <x:v>1</x:v>
      </x:c>
      <x:c r="E247" s="21" t="n">
        <x:v>1</x:v>
      </x:c>
    </x:row>
    <x:row r="248">
      <x:c r="A248" s="46" t="str">
        <x:f>"60134895052"</x:f>
        <x:v>60134895052</x:v>
      </x:c>
      <x:c r="B248" s="21" t="str"/>
      <x:c r="C248" s="21" t="str">
        <x:v>laz 25-26</x:v>
      </x:c>
      <x:c r="D248" s="21" t="n">
        <x:v>1</x:v>
      </x:c>
      <x:c r="E248" s="21" t="n">
        <x:v>1</x:v>
      </x:c>
    </x:row>
    <x:row r="249">
      <x:c r="A249" s="46" t="str">
        <x:f>"60134951662"</x:f>
        <x:v>60134951662</x:v>
      </x:c>
      <x:c r="B249" s="21" t="str"/>
      <x:c r="C249" s="21" t="str">
        <x:v>ZKM 7-8 Sept</x:v>
      </x:c>
      <x:c r="D249" s="21" t="n">
        <x:v>1</x:v>
      </x:c>
      <x:c r="E249" s="21" t="n">
        <x:v>1</x:v>
      </x:c>
    </x:row>
    <x:row r="250">
      <x:c r="A250" s="46" t="str">
        <x:f>"60135065825"</x:f>
        <x:v>60135065825</x:v>
      </x:c>
      <x:c r="B250" s="21" t="str"/>
      <x:c r="C250" s="21" t="str">
        <x:v>laz 25-26</x:v>
      </x:c>
      <x:c r="D250" s="21" t="n">
        <x:v>1</x:v>
      </x:c>
      <x:c r="E250" s="21" t="n">
        <x:v>1</x:v>
      </x:c>
    </x:row>
    <x:row r="251">
      <x:c r="A251" s="46" t="str">
        <x:f>"60135111713"</x:f>
        <x:v>60135111713</x:v>
      </x:c>
      <x:c r="B251" s="21" t="str"/>
      <x:c r="C251" s="21" t="str">
        <x:v>GROUP SEMBANG MALAM</x:v>
      </x:c>
      <x:c r="D251" s="21" t="n">
        <x:v>1</x:v>
      </x:c>
      <x:c r="E251" s="21" t="n">
        <x:v>1</x:v>
      </x:c>
    </x:row>
    <x:row r="252">
      <x:c r="A252" s="46" t="str">
        <x:f>"60135671120"</x:f>
        <x:v>60135671120</x:v>
      </x:c>
      <x:c r="B252" s="21" t="str">
        <x:v>Afza Shalqimie</x:v>
      </x:c>
      <x:c r="C252" s="21" t="str">
        <x:v>eusahawan28 April</x:v>
      </x:c>
      <x:c r="D252" s="21" t="n">
        <x:v>1</x:v>
      </x:c>
      <x:c r="E252" s="21" t="n">
        <x:v>1</x:v>
      </x:c>
    </x:row>
    <x:row r="253">
      <x:c r="A253" s="46" t="str">
        <x:f>"60135768691"</x:f>
        <x:v>60135768691</x:v>
      </x:c>
      <x:c r="B253" s="21" t="str"/>
      <x:c r="C253" s="21" t="str">
        <x:v>UPM</x:v>
      </x:c>
      <x:c r="D253" s="21" t="n">
        <x:v>1</x:v>
      </x:c>
      <x:c r="E253" s="21" t="n">
        <x:v>1</x:v>
      </x:c>
    </x:row>
    <x:row r="254">
      <x:c r="A254" s="46" t="str">
        <x:f>"60136024189"</x:f>
        <x:v>60136024189</x:v>
      </x:c>
      <x:c r="B254" s="21" t="str"/>
      <x:c r="C254" s="21" t="str">
        <x:v>Julai 17</x:v>
      </x:c>
      <x:c r="D254" s="21" t="n">
        <x:v>1</x:v>
      </x:c>
      <x:c r="E254" s="21" t="n">
        <x:v>1</x:v>
      </x:c>
    </x:row>
    <x:row r="255">
      <x:c r="A255" s="46" t="str">
        <x:f>"60136060733"</x:f>
        <x:v>60136060733</x:v>
      </x:c>
      <x:c r="B255" s="21" t="str"/>
      <x:c r="C255" s="21" t="str">
        <x:v>TDAG12</x:v>
      </x:c>
      <x:c r="D255" s="21" t="n">
        <x:v>1</x:v>
      </x:c>
      <x:c r="E255" s="21" t="n">
        <x:v>1</x:v>
      </x:c>
    </x:row>
    <x:row r="256">
      <x:c r="A256" s="46" t="str">
        <x:f>"60136116286"</x:f>
        <x:v>60136116286</x:v>
      </x:c>
      <x:c r="B256" s="21" t="str">
        <x:v>Che Khairuleffendi</x:v>
      </x:c>
      <x:c r="C256" s="21" t="str">
        <x:v>TD47 Shopee</x:v>
      </x:c>
      <x:c r="D256" s="21" t="n">
        <x:v>1</x:v>
      </x:c>
      <x:c r="E256" s="21" t="n">
        <x:v>1</x:v>
      </x:c>
    </x:row>
    <x:row r="257">
      <x:c r="A257" s="46" t="str">
        <x:f>"60136177679"</x:f>
        <x:v>60136177679</x:v>
      </x:c>
      <x:c r="B257" s="21" t="str"/>
      <x:c r="C257" s="21" t="str">
        <x:v>mcbr02</x:v>
      </x:c>
      <x:c r="D257" s="21" t="n">
        <x:v>1</x:v>
      </x:c>
      <x:c r="E257" s="21" t="n">
        <x:v>1</x:v>
      </x:c>
    </x:row>
    <x:row r="258">
      <x:c r="A258" s="46" t="str">
        <x:f>"60136239877"</x:f>
        <x:v>60136239877</x:v>
      </x:c>
      <x:c r="B258" s="21" t="str">
        <x:v>Yusof Johan</x:v>
      </x:c>
      <x:c r="C258" s="21" t="str">
        <x:v>C8 TT</x:v>
      </x:c>
      <x:c r="D258" s="21" t="n">
        <x:v>1</x:v>
      </x:c>
      <x:c r="E258" s="21" t="n">
        <x:v>1</x:v>
      </x:c>
    </x:row>
    <x:row r="259">
      <x:c r="A259" s="46" t="str">
        <x:f>"60136278446"</x:f>
        <x:v>60136278446</x:v>
      </x:c>
      <x:c r="B259" s="21" t="str"/>
      <x:c r="C259" s="21" t="str">
        <x:v>tiktok 12-13 Jan 2026</x:v>
      </x:c>
      <x:c r="D259" s="21" t="n">
        <x:v>1</x:v>
      </x:c>
      <x:c r="E259" s="21" t="n">
        <x:v>1</x:v>
      </x:c>
    </x:row>
    <x:row r="260">
      <x:c r="A260" s="46" t="str">
        <x:f>"60136282624"</x:f>
        <x:v>60136282624</x:v>
      </x:c>
      <x:c r="B260" s="21" t="str">
        <x:v>mohza</x:v>
      </x:c>
      <x:c r="C260" s="21" t="str">
        <x:v>tiktok 12-13 Jan 2026</x:v>
      </x:c>
      <x:c r="D260" s="21" t="n">
        <x:v>1</x:v>
      </x:c>
      <x:c r="E260" s="21" t="n">
        <x:v>1</x:v>
      </x:c>
    </x:row>
    <x:row r="261">
      <x:c r="A261" s="46" t="str">
        <x:f>"60136603455"</x:f>
        <x:v>60136603455</x:v>
      </x:c>
      <x:c r="B261" s="21" t="str"/>
      <x:c r="C261" s="21" t="str">
        <x:v>TDAG12</x:v>
      </x:c>
      <x:c r="D261" s="21" t="n">
        <x:v>1</x:v>
      </x:c>
      <x:c r="E261" s="21" t="n">
        <x:v>1</x:v>
      </x:c>
    </x:row>
    <x:row r="262">
      <x:c r="A262" s="46" t="str">
        <x:f>"60136641204"</x:f>
        <x:v>60136641204</x:v>
      </x:c>
      <x:c r="B262" s="21" t="str">
        <x:v>Exclusive Muslimah Spa&amp;salon</x:v>
      </x:c>
      <x:c r="C262" s="21" t="str">
        <x:v>shopee laz 25-26 Ogos</x:v>
      </x:c>
      <x:c r="D262" s="21" t="n">
        <x:v>1</x:v>
      </x:c>
      <x:c r="E262" s="21" t="n">
        <x:v>1</x:v>
      </x:c>
    </x:row>
    <x:row r="263">
      <x:c r="A263" s="46" t="str">
        <x:f>"60136825205"</x:f>
        <x:v>60136825205</x:v>
      </x:c>
      <x:c r="B263" s="21" t="str"/>
      <x:c r="C263" s="21" t="str">
        <x:v>TD35 Eposter</x:v>
      </x:c>
      <x:c r="D263" s="21" t="n">
        <x:v>1</x:v>
      </x:c>
      <x:c r="E263" s="21" t="n">
        <x:v>1</x:v>
      </x:c>
    </x:row>
    <x:row r="264">
      <x:c r="A264" s="46" t="str">
        <x:f>"60136923997"</x:f>
        <x:v>60136923997</x:v>
      </x:c>
      <x:c r="B264" s="21" t="str"/>
      <x:c r="C264" s="21" t="str">
        <x:v>2TT</x:v>
      </x:c>
      <x:c r="D264" s="21" t="n">
        <x:v>1</x:v>
      </x:c>
      <x:c r="E264" s="21" t="n">
        <x:v>1</x:v>
      </x:c>
    </x:row>
    <x:row r="265">
      <x:c r="A265" s="46" t="str">
        <x:f>"60137002878"</x:f>
        <x:v>60137002878</x:v>
      </x:c>
      <x:c r="B265" s="21" t="str"/>
      <x:c r="C265" s="21" t="str">
        <x:v>cohort 3 B2</x:v>
      </x:c>
      <x:c r="D265" s="21" t="n">
        <x:v>1</x:v>
      </x:c>
      <x:c r="E265" s="21" t="n">
        <x:v>1</x:v>
      </x:c>
    </x:row>
    <x:row r="266">
      <x:c r="A266" s="46" t="str">
        <x:f>"60137033719"</x:f>
        <x:v>60137033719</x:v>
      </x:c>
      <x:c r="B266" s="21" t="str">
        <x:v>Fahmi Survey</x:v>
      </x:c>
      <x:c r="C266" s="21" t="str">
        <x:v>lazada 5-6</x:v>
      </x:c>
      <x:c r="D266" s="21" t="n">
        <x:v>1</x:v>
      </x:c>
      <x:c r="E266" s="21" t="n">
        <x:v>1</x:v>
      </x:c>
    </x:row>
    <x:row r="267">
      <x:c r="A267" s="46" t="str">
        <x:f>"60137178414"</x:f>
        <x:v>60137178414</x:v>
      </x:c>
      <x:c r="B267" s="21" t="str"/>
      <x:c r="C267" s="21" t="str">
        <x:v>eusahawan28 April</x:v>
      </x:c>
      <x:c r="D267" s="21" t="n">
        <x:v>1</x:v>
      </x:c>
      <x:c r="E267" s="21" t="n">
        <x:v>1</x:v>
      </x:c>
    </x:row>
    <x:row r="268">
      <x:c r="A268" s="46" t="str">
        <x:f>"60137179282"</x:f>
        <x:v>60137179282</x:v>
      </x:c>
      <x:c r="B268" s="21" t="str">
        <x:v>Khalish Barbershop</x:v>
      </x:c>
      <x:c r="C268" s="21" t="str">
        <x:v>2TT</x:v>
      </x:c>
      <x:c r="D268" s="21" t="n">
        <x:v>1</x:v>
      </x:c>
      <x:c r="E268" s="21" t="n">
        <x:v>1</x:v>
      </x:c>
    </x:row>
    <x:row r="269">
      <x:c r="A269" s="46" t="str">
        <x:f>"60137202171"</x:f>
        <x:v>60137202171</x:v>
      </x:c>
      <x:c r="B269" s="21" t="str"/>
      <x:c r="C269" s="21" t="str">
        <x:v>mcbr02; TD35 Eposter</x:v>
      </x:c>
      <x:c r="D269" s="21" t="n">
        <x:v>2</x:v>
      </x:c>
      <x:c r="E269" s="21" t="n">
        <x:v>2</x:v>
      </x:c>
    </x:row>
    <x:row r="270">
      <x:c r="A270" s="46" t="str">
        <x:f>"60137483699"</x:f>
        <x:v>60137483699</x:v>
      </x:c>
      <x:c r="B270" s="21" t="str"/>
      <x:c r="C270" s="21" t="str">
        <x:v>TD137</x:v>
      </x:c>
      <x:c r="D270" s="21" t="n">
        <x:v>1</x:v>
      </x:c>
      <x:c r="E270" s="21" t="n">
        <x:v>1</x:v>
      </x:c>
    </x:row>
    <x:row r="271">
      <x:c r="A271" s="46" t="str">
        <x:f>"60137696827"</x:f>
        <x:v>60137696827</x:v>
      </x:c>
      <x:c r="B271" s="21" t="str"/>
      <x:c r="C271" s="21" t="str">
        <x:v>Td21 emkrt</x:v>
      </x:c>
      <x:c r="D271" s="21" t="n">
        <x:v>1</x:v>
      </x:c>
      <x:c r="E271" s="21" t="n">
        <x:v>1</x:v>
      </x:c>
    </x:row>
    <x:row r="272">
      <x:c r="A272" s="46" t="str">
        <x:f>"60137750664"</x:f>
        <x:v>60137750664</x:v>
      </x:c>
      <x:c r="B272" s="21" t="str"/>
      <x:c r="C272" s="21" t="str">
        <x:v>emarket11-12</x:v>
      </x:c>
      <x:c r="D272" s="21" t="n">
        <x:v>1</x:v>
      </x:c>
      <x:c r="E272" s="21" t="n">
        <x:v>1</x:v>
      </x:c>
    </x:row>
    <x:row r="273">
      <x:c r="A273" s="46" t="str">
        <x:f>"60137777035"</x:f>
        <x:v>60137777035</x:v>
      </x:c>
      <x:c r="B273" s="21" t="str">
        <x:v>GUTS EMPIRE</x:v>
      </x:c>
      <x:c r="C273" s="21" t="str">
        <x:v>eusahawan28 April</x:v>
      </x:c>
      <x:c r="D273" s="21" t="n">
        <x:v>1</x:v>
      </x:c>
      <x:c r="E273" s="21" t="n">
        <x:v>1</x:v>
      </x:c>
    </x:row>
    <x:row r="274">
      <x:c r="A274" s="46" t="str">
        <x:f>"60137777245"</x:f>
        <x:v>60137777245</x:v>
      </x:c>
      <x:c r="B274" s="21" t="str"/>
      <x:c r="C274" s="21" t="str">
        <x:v>ti9596</x:v>
      </x:c>
      <x:c r="D274" s="21" t="n">
        <x:v>1</x:v>
      </x:c>
      <x:c r="E274" s="21" t="n">
        <x:v>1</x:v>
      </x:c>
    </x:row>
    <x:row r="275">
      <x:c r="A275" s="46" t="str">
        <x:f>"60137970783"</x:f>
        <x:v>60137970783</x:v>
      </x:c>
      <x:c r="B275" s="21" t="str"/>
      <x:c r="C275" s="21" t="str">
        <x:v>tdag79</x:v>
      </x:c>
      <x:c r="D275" s="21" t="n">
        <x:v>1</x:v>
      </x:c>
      <x:c r="E275" s="21" t="n">
        <x:v>1</x:v>
      </x:c>
    </x:row>
    <x:row r="276">
      <x:c r="A276" s="46" t="str">
        <x:f>"60138049710"</x:f>
        <x:v>60138049710</x:v>
      </x:c>
      <x:c r="B276" s="21" t="str"/>
      <x:c r="C276" s="21" t="str">
        <x:v>ZKM 7-8 Sept</x:v>
      </x:c>
      <x:c r="D276" s="21" t="n">
        <x:v>1</x:v>
      </x:c>
      <x:c r="E276" s="21" t="n">
        <x:v>1</x:v>
      </x:c>
    </x:row>
    <x:row r="277">
      <x:c r="A277" s="46" t="str">
        <x:f>"60138260554"</x:f>
        <x:v>60138260554</x:v>
      </x:c>
      <x:c r="B277" s="21" t="str"/>
      <x:c r="C277" s="21" t="str">
        <x:v>cohort 3 B2; cohort3TT</x:v>
      </x:c>
      <x:c r="D277" s="21" t="n">
        <x:v>2</x:v>
      </x:c>
      <x:c r="E277" s="21" t="n">
        <x:v>2</x:v>
      </x:c>
    </x:row>
    <x:row r="278">
      <x:c r="A278" s="46" t="str">
        <x:f>"60138401513"</x:f>
        <x:v>60138401513</x:v>
      </x:c>
      <x:c r="B278" s="21" t="str"/>
      <x:c r="C278" s="21" t="str">
        <x:v>UPM</x:v>
      </x:c>
      <x:c r="D278" s="21" t="n">
        <x:v>1</x:v>
      </x:c>
      <x:c r="E278" s="21" t="n">
        <x:v>1</x:v>
      </x:c>
    </x:row>
    <x:row r="279">
      <x:c r="A279" s="46" t="str">
        <x:f>"60138813582"</x:f>
        <x:v>60138813582</x:v>
      </x:c>
      <x:c r="B279" s="21" t="str">
        <x:v>iza Othman</x:v>
      </x:c>
      <x:c r="C279" s="21" t="str">
        <x:v>tiktok mana ns</x:v>
      </x:c>
      <x:c r="D279" s="21" t="n">
        <x:v>1</x:v>
      </x:c>
      <x:c r="E279" s="21" t="n">
        <x:v>1</x:v>
      </x:c>
    </x:row>
    <x:row r="280">
      <x:c r="A280" s="46" t="str">
        <x:f>"60138813774"</x:f>
        <x:v>60138813774</x:v>
      </x:c>
      <x:c r="B280" s="21" t="str"/>
      <x:c r="C280" s="21" t="str">
        <x:v>eusahawan28 April</x:v>
      </x:c>
      <x:c r="D280" s="21" t="n">
        <x:v>1</x:v>
      </x:c>
      <x:c r="E280" s="21" t="n">
        <x:v>1</x:v>
      </x:c>
    </x:row>
    <x:row r="281">
      <x:c r="A281" s="46" t="str">
        <x:f>"60138891426"</x:f>
        <x:v>60138891426</x:v>
      </x:c>
      <x:c r="B281" s="21" t="str">
        <x:v>El-Ofya</x:v>
      </x:c>
      <x:c r="C281" s="21" t="str">
        <x:v>mcbr02</x:v>
      </x:c>
      <x:c r="D281" s="21" t="n">
        <x:v>1</x:v>
      </x:c>
      <x:c r="E281" s="21" t="n">
        <x:v>1</x:v>
      </x:c>
    </x:row>
    <x:row r="282">
      <x:c r="A282" s="46" t="str">
        <x:f>"60139062969"</x:f>
        <x:v>60139062969</x:v>
      </x:c>
      <x:c r="B282" s="21" t="str">
        <x:v>mex comel #roselthy</x:v>
      </x:c>
      <x:c r="C282" s="21" t="str">
        <x:v>C8 TT</x:v>
      </x:c>
      <x:c r="D282" s="21" t="n">
        <x:v>1</x:v>
      </x:c>
      <x:c r="E282" s="21" t="n">
        <x:v>1</x:v>
      </x:c>
    </x:row>
    <x:row r="283">
      <x:c r="A283" s="46" t="str">
        <x:f>"60139068259"</x:f>
        <x:v>60139068259</x:v>
      </x:c>
      <x:c r="B283" s="21" t="str">
        <x:v>Tengku Helmieza Raihan</x:v>
      </x:c>
      <x:c r="C283" s="21" t="str">
        <x:v>tiktok 12-13 Jan 2026</x:v>
      </x:c>
      <x:c r="D283" s="21" t="n">
        <x:v>1</x:v>
      </x:c>
      <x:c r="E283" s="21" t="n">
        <x:v>1</x:v>
      </x:c>
    </x:row>
    <x:row r="284">
      <x:c r="A284" s="46" t="str">
        <x:f>"60139102630"</x:f>
        <x:v>60139102630</x:v>
      </x:c>
      <x:c r="B284" s="21" t="str"/>
      <x:c r="C284" s="21" t="str">
        <x:v>TD137</x:v>
      </x:c>
      <x:c r="D284" s="21" t="n">
        <x:v>1</x:v>
      </x:c>
      <x:c r="E284" s="21" t="n">
        <x:v>1</x:v>
      </x:c>
    </x:row>
    <x:row r="285">
      <x:c r="A285" s="46" t="str">
        <x:f>"60139304197"</x:f>
        <x:v>60139304197</x:v>
      </x:c>
      <x:c r="B285" s="21" t="str"/>
      <x:c r="C285" s="21" t="str">
        <x:v>tiktok sahanita</x:v>
      </x:c>
      <x:c r="D285" s="21" t="n">
        <x:v>1</x:v>
      </x:c>
      <x:c r="E285" s="21" t="n">
        <x:v>1</x:v>
      </x:c>
    </x:row>
    <x:row r="286">
      <x:c r="A286" s="46" t="str">
        <x:f>"60139333770"</x:f>
        <x:v>60139333770</x:v>
      </x:c>
      <x:c r="B286" s="21" t="str"/>
      <x:c r="C286" s="21" t="str">
        <x:v>EBOARD C8 SP</x:v>
      </x:c>
      <x:c r="D286" s="21" t="n">
        <x:v>1</x:v>
      </x:c>
      <x:c r="E286" s="21" t="n">
        <x:v>1</x:v>
      </x:c>
    </x:row>
    <x:row r="287">
      <x:c r="A287" s="46" t="str">
        <x:f>"60139337971"</x:f>
        <x:v>60139337971</x:v>
      </x:c>
      <x:c r="B287" s="21" t="str"/>
      <x:c r="C287" s="21" t="str">
        <x:v>tiktok sahanita</x:v>
      </x:c>
      <x:c r="D287" s="21" t="n">
        <x:v>1</x:v>
      </x:c>
      <x:c r="E287" s="21" t="n">
        <x:v>1</x:v>
      </x:c>
    </x:row>
    <x:row r="288">
      <x:c r="A288" s="46" t="str">
        <x:f>"60139355197"</x:f>
        <x:v>60139355197</x:v>
      </x:c>
      <x:c r="B288" s="21" t="str"/>
      <x:c r="C288" s="21" t="str">
        <x:v>TD35 Eposter</x:v>
      </x:c>
      <x:c r="D288" s="21" t="n">
        <x:v>1</x:v>
      </x:c>
      <x:c r="E288" s="21" t="n">
        <x:v>1</x:v>
      </x:c>
    </x:row>
    <x:row r="289">
      <x:c r="A289" s="46" t="str">
        <x:f>"60139448360"</x:f>
        <x:v>60139448360</x:v>
      </x:c>
      <x:c r="B289" s="21" t="str"/>
      <x:c r="C289" s="21" t="str">
        <x:v>lazada 5-6</x:v>
      </x:c>
      <x:c r="D289" s="21" t="n">
        <x:v>1</x:v>
      </x:c>
      <x:c r="E289" s="21" t="n">
        <x:v>1</x:v>
      </x:c>
    </x:row>
    <x:row r="290">
      <x:c r="A290" s="46" t="str">
        <x:f>"60139487228"</x:f>
        <x:v>60139487228</x:v>
      </x:c>
      <x:c r="B290" s="21" t="str"/>
      <x:c r="C290" s="21" t="str">
        <x:v>Tidak Dinamakan</x:v>
      </x:c>
      <x:c r="D290" s="21" t="n">
        <x:v>1</x:v>
      </x:c>
      <x:c r="E290" s="21" t="n">
        <x:v>1</x:v>
      </x:c>
    </x:row>
    <x:row r="291">
      <x:c r="A291" s="46" t="str">
        <x:f>"60139489283"</x:f>
        <x:v>60139489283</x:v>
      </x:c>
      <x:c r="B291" s="21" t="str"/>
      <x:c r="C291" s="21" t="str">
        <x:v>tiktok cz</x:v>
      </x:c>
      <x:c r="D291" s="21" t="n">
        <x:v>1</x:v>
      </x:c>
      <x:c r="E291" s="21" t="n">
        <x:v>1</x:v>
      </x:c>
    </x:row>
    <x:row r="292">
      <x:c r="A292" s="46" t="str">
        <x:f>"60139574534"</x:f>
        <x:v>60139574534</x:v>
      </x:c>
      <x:c r="B292" s="21" t="str"/>
      <x:c r="C292" s="21" t="str">
        <x:v>TDAG12</x:v>
      </x:c>
      <x:c r="D292" s="21" t="n">
        <x:v>1</x:v>
      </x:c>
      <x:c r="E292" s="21" t="n">
        <x:v>1</x:v>
      </x:c>
    </x:row>
    <x:row r="293">
      <x:c r="A293" s="46" t="str">
        <x:f>"60139654382"</x:f>
        <x:v>60139654382</x:v>
      </x:c>
      <x:c r="B293" s="21" t="str">
        <x:v>Sufaz Collection by SujaihahLiey</x:v>
      </x:c>
      <x:c r="C293" s="21" t="str">
        <x:v>tiktok sahanita</x:v>
      </x:c>
      <x:c r="D293" s="21" t="n">
        <x:v>1</x:v>
      </x:c>
      <x:c r="E293" s="21" t="n">
        <x:v>1</x:v>
      </x:c>
    </x:row>
    <x:row r="294">
      <x:c r="A294" s="46" t="str">
        <x:f>"60139695279"</x:f>
        <x:v>60139695279</x:v>
      </x:c>
      <x:c r="B294" s="21" t="str"/>
      <x:c r="C294" s="21" t="str">
        <x:v>TD35 Eposter</x:v>
      </x:c>
      <x:c r="D294" s="21" t="n">
        <x:v>1</x:v>
      </x:c>
      <x:c r="E294" s="21" t="n">
        <x:v>1</x:v>
      </x:c>
    </x:row>
    <x:row r="295">
      <x:c r="A295" s="46" t="str">
        <x:f>"60139709450"</x:f>
        <x:v>60139709450</x:v>
      </x:c>
      <x:c r="B295" s="21" t="str">
        <x:v>E_N_Amalina</x:v>
      </x:c>
      <x:c r="C295" s="21" t="str">
        <x:v>EBOARD C8 SP</x:v>
      </x:c>
      <x:c r="D295" s="21" t="n">
        <x:v>1</x:v>
      </x:c>
      <x:c r="E295" s="21" t="n">
        <x:v>1</x:v>
      </x:c>
    </x:row>
    <x:row r="296">
      <x:c r="A296" s="46" t="str">
        <x:f>"60139751653"</x:f>
        <x:v>60139751653</x:v>
      </x:c>
      <x:c r="B296" s="21" t="str"/>
      <x:c r="C296" s="21" t="str">
        <x:v>tiktok 12-13 Jan 2026</x:v>
      </x:c>
      <x:c r="D296" s="21" t="n">
        <x:v>1</x:v>
      </x:c>
      <x:c r="E296" s="21" t="n">
        <x:v>1</x:v>
      </x:c>
    </x:row>
    <x:row r="297">
      <x:c r="A297" s="46" t="str">
        <x:f>"60139800993"</x:f>
        <x:v>60139800993</x:v>
      </x:c>
      <x:c r="B297" s="21" t="str"/>
      <x:c r="C297" s="21" t="str">
        <x:v>laz 25-26</x:v>
      </x:c>
      <x:c r="D297" s="21" t="n">
        <x:v>1</x:v>
      </x:c>
      <x:c r="E297" s="21" t="n">
        <x:v>1</x:v>
      </x:c>
    </x:row>
    <x:row r="298">
      <x:c r="A298" s="46" t="str">
        <x:f>"60142598652"</x:f>
        <x:v>60142598652</x:v>
      </x:c>
      <x:c r="B298" s="21" t="str">
        <x:v>‎Qanas florist</x:v>
      </x:c>
      <x:c r="C298" s="21" t="str">
        <x:v>EBOARD C8 SP</x:v>
      </x:c>
      <x:c r="D298" s="21" t="n">
        <x:v>1</x:v>
      </x:c>
      <x:c r="E298" s="21" t="n">
        <x:v>1</x:v>
      </x:c>
    </x:row>
    <x:row r="299">
      <x:c r="A299" s="46" t="str">
        <x:f>"60142688704"</x:f>
        <x:v>60142688704</x:v>
      </x:c>
      <x:c r="B299" s="21" t="str"/>
      <x:c r="C299" s="21" t="str">
        <x:v>td32</x:v>
      </x:c>
      <x:c r="D299" s="21" t="n">
        <x:v>1</x:v>
      </x:c>
      <x:c r="E299" s="21" t="n">
        <x:v>1</x:v>
      </x:c>
    </x:row>
    <x:row r="300">
      <x:c r="A300" s="46" t="str">
        <x:f>"60143142796"</x:f>
        <x:v>60143142796</x:v>
      </x:c>
      <x:c r="B300" s="21" t="str">
        <x:v>Hidayah Mat Isrin</x:v>
      </x:c>
      <x:c r="C300" s="21" t="str">
        <x:v>Td21 emkrt</x:v>
      </x:c>
      <x:c r="D300" s="21" t="n">
        <x:v>1</x:v>
      </x:c>
      <x:c r="E300" s="21" t="n">
        <x:v>1</x:v>
      </x:c>
    </x:row>
    <x:row r="301">
      <x:c r="A301" s="46" t="str">
        <x:f>"60143219146"</x:f>
        <x:v>60143219146</x:v>
      </x:c>
      <x:c r="B301" s="21" t="str">
        <x:v>Taqyuddin Al Jundiy</x:v>
      </x:c>
      <x:c r="C301" s="21" t="str">
        <x:v>td32</x:v>
      </x:c>
      <x:c r="D301" s="21" t="n">
        <x:v>1</x:v>
      </x:c>
      <x:c r="E301" s="21" t="n">
        <x:v>1</x:v>
      </x:c>
    </x:row>
    <x:row r="302">
      <x:c r="A302" s="46" t="str">
        <x:f>"60143511009"</x:f>
        <x:v>60143511009</x:v>
      </x:c>
      <x:c r="B302" s="21" t="str">
        <x:v>Hahahahabib</x:v>
      </x:c>
      <x:c r="C302" s="21" t="str">
        <x:v>Tidak Dinamakan</x:v>
      </x:c>
      <x:c r="D302" s="21" t="n">
        <x:v>1</x:v>
      </x:c>
      <x:c r="E302" s="21" t="n">
        <x:v>1</x:v>
      </x:c>
    </x:row>
    <x:row r="303">
      <x:c r="A303" s="46" t="str">
        <x:f>"60144009206"</x:f>
        <x:v>60144009206</x:v>
      </x:c>
      <x:c r="B303" s="21" t="str">
        <x:v>Noor Atikah</x:v>
      </x:c>
      <x:c r="C303" s="21" t="str">
        <x:v>Tidak Dinamakan</x:v>
      </x:c>
      <x:c r="D303" s="21" t="n">
        <x:v>1</x:v>
      </x:c>
      <x:c r="E303" s="21" t="n">
        <x:v>1</x:v>
      </x:c>
    </x:row>
    <x:row r="304">
      <x:c r="A304" s="46" t="str">
        <x:f>"60145076278"</x:f>
        <x:v>60145076278</x:v>
      </x:c>
      <x:c r="B304" s="21" t="str">
        <x:v>Asma Wahap Kangen Water</x:v>
      </x:c>
      <x:c r="C304" s="21" t="str">
        <x:v>tiktok sahanita</x:v>
      </x:c>
      <x:c r="D304" s="21" t="n">
        <x:v>1</x:v>
      </x:c>
      <x:c r="E304" s="21" t="n">
        <x:v>1</x:v>
      </x:c>
    </x:row>
    <x:row r="305">
      <x:c r="A305" s="46" t="str">
        <x:f>"60145080519"</x:f>
        <x:v>60145080519</x:v>
      </x:c>
      <x:c r="B305" s="21" t="str"/>
      <x:c r="C305" s="21" t="str">
        <x:v>DIGITAL PRODUCT MASTERY</x:v>
      </x:c>
      <x:c r="D305" s="21" t="n">
        <x:v>1</x:v>
      </x:c>
      <x:c r="E305" s="21" t="n">
        <x:v>1</x:v>
      </x:c>
    </x:row>
    <x:row r="306">
      <x:c r="A306" s="46" t="str">
        <x:f>"60145409450"</x:f>
        <x:v>60145409450</x:v>
      </x:c>
      <x:c r="B306" s="21" t="str"/>
      <x:c r="C306" s="21" t="str">
        <x:v>emarket11-12</x:v>
      </x:c>
      <x:c r="D306" s="21" t="n">
        <x:v>1</x:v>
      </x:c>
      <x:c r="E306" s="21" t="n">
        <x:v>1</x:v>
      </x:c>
    </x:row>
    <x:row r="307">
      <x:c r="A307" s="46" t="str">
        <x:f>"60146098585"</x:f>
        <x:v>60146098585</x:v>
      </x:c>
      <x:c r="B307" s="21" t="str"/>
      <x:c r="C307" s="21" t="str">
        <x:v>lazada 5-6</x:v>
      </x:c>
      <x:c r="D307" s="21" t="n">
        <x:v>1</x:v>
      </x:c>
      <x:c r="E307" s="21" t="n">
        <x:v>1</x:v>
      </x:c>
    </x:row>
    <x:row r="308">
      <x:c r="A308" s="46" t="str">
        <x:f>"60146188916"</x:f>
        <x:v>60146188916</x:v>
      </x:c>
      <x:c r="B308" s="21" t="str"/>
      <x:c r="C308" s="21" t="str">
        <x:v>cohort 3 B2</x:v>
      </x:c>
      <x:c r="D308" s="21" t="n">
        <x:v>1</x:v>
      </x:c>
      <x:c r="E308" s="21" t="n">
        <x:v>1</x:v>
      </x:c>
    </x:row>
    <x:row r="309">
      <x:c r="A309" s="46" t="str">
        <x:f>"60146856086"</x:f>
        <x:v>60146856086</x:v>
      </x:c>
      <x:c r="B309" s="21" t="str"/>
      <x:c r="C309" s="21" t="str">
        <x:v>UPM</x:v>
      </x:c>
      <x:c r="D309" s="21" t="n">
        <x:v>1</x:v>
      </x:c>
      <x:c r="E309" s="21" t="n">
        <x:v>1</x:v>
      </x:c>
    </x:row>
    <x:row r="310">
      <x:c r="A310" s="46" t="str">
        <x:f>"60146932171"</x:f>
        <x:v>60146932171</x:v>
      </x:c>
      <x:c r="B310" s="21" t="str"/>
      <x:c r="C310" s="21" t="str">
        <x:v>ZKM 7-8 Sept</x:v>
      </x:c>
      <x:c r="D310" s="21" t="n">
        <x:v>1</x:v>
      </x:c>
      <x:c r="E310" s="21" t="n">
        <x:v>1</x:v>
      </x:c>
    </x:row>
    <x:row r="311">
      <x:c r="A311" s="46" t="str">
        <x:f>"60147766375"</x:f>
        <x:v>60147766375</x:v>
      </x:c>
      <x:c r="B311" s="21" t="str">
        <x:v>Abg Cherry | ACW GARAGE</x:v>
      </x:c>
      <x:c r="C311" s="21" t="str">
        <x:v>2TT</x:v>
      </x:c>
      <x:c r="D311" s="21" t="n">
        <x:v>1</x:v>
      </x:c>
      <x:c r="E311" s="21" t="n">
        <x:v>1</x:v>
      </x:c>
    </x:row>
    <x:row r="312">
      <x:c r="A312" s="46" t="str">
        <x:f>"60148076368"</x:f>
        <x:v>60148076368</x:v>
      </x:c>
      <x:c r="B312" s="21" t="str"/>
      <x:c r="C312" s="21" t="str">
        <x:v>tiktok sahanita</x:v>
      </x:c>
      <x:c r="D312" s="21" t="n">
        <x:v>1</x:v>
      </x:c>
      <x:c r="E312" s="21" t="n">
        <x:v>1</x:v>
      </x:c>
    </x:row>
    <x:row r="313">
      <x:c r="A313" s="46" t="str">
        <x:f>"60148294351"</x:f>
        <x:v>60148294351</x:v>
      </x:c>
      <x:c r="B313" s="21" t="str"/>
      <x:c r="C313" s="21" t="str">
        <x:v>TD35 Eposter</x:v>
      </x:c>
      <x:c r="D313" s="21" t="n">
        <x:v>1</x:v>
      </x:c>
      <x:c r="E313" s="21" t="n">
        <x:v>1</x:v>
      </x:c>
    </x:row>
    <x:row r="314">
      <x:c r="A314" s="46" t="str">
        <x:f>"60148451484"</x:f>
        <x:v>60148451484</x:v>
      </x:c>
      <x:c r="B314" s="21" t="str"/>
      <x:c r="C314" s="21" t="str">
        <x:v>tiktok 12-13 Jan 2026</x:v>
      </x:c>
      <x:c r="D314" s="21" t="n">
        <x:v>1</x:v>
      </x:c>
      <x:c r="E314" s="21" t="n">
        <x:v>1</x:v>
      </x:c>
    </x:row>
    <x:row r="315">
      <x:c r="A315" s="46" t="str">
        <x:f>"60148475593"</x:f>
        <x:v>60148475593</x:v>
      </x:c>
      <x:c r="B315" s="21" t="str"/>
      <x:c r="C315" s="21" t="str">
        <x:v>tiktok sahanita</x:v>
      </x:c>
      <x:c r="D315" s="21" t="n">
        <x:v>1</x:v>
      </x:c>
      <x:c r="E315" s="21" t="n">
        <x:v>1</x:v>
      </x:c>
    </x:row>
    <x:row r="316">
      <x:c r="A316" s="46" t="str">
        <x:f>"60148761982"</x:f>
        <x:v>60148761982</x:v>
      </x:c>
      <x:c r="B316" s="21" t="str"/>
      <x:c r="C316" s="21" t="str">
        <x:v>ti9596</x:v>
      </x:c>
      <x:c r="D316" s="21" t="n">
        <x:v>1</x:v>
      </x:c>
      <x:c r="E316" s="21" t="n">
        <x:v>1</x:v>
      </x:c>
    </x:row>
    <x:row r="317">
      <x:c r="A317" s="46" t="str">
        <x:f>"60149016760"</x:f>
        <x:v>60149016760</x:v>
      </x:c>
      <x:c r="B317" s="21" t="str"/>
      <x:c r="C317" s="21" t="str">
        <x:v>td32</x:v>
      </x:c>
      <x:c r="D317" s="21" t="n">
        <x:v>1</x:v>
      </x:c>
      <x:c r="E317" s="21" t="n">
        <x:v>1</x:v>
      </x:c>
    </x:row>
    <x:row r="318">
      <x:c r="A318" s="46" t="str">
        <x:f>"60149073494"</x:f>
        <x:v>60149073494</x:v>
      </x:c>
      <x:c r="B318" s="21" t="str"/>
      <x:c r="C318" s="21" t="str">
        <x:v>ZKM 7-8 Sept</x:v>
      </x:c>
      <x:c r="D318" s="21" t="n">
        <x:v>1</x:v>
      </x:c>
      <x:c r="E318" s="21" t="n">
        <x:v>1</x:v>
      </x:c>
    </x:row>
    <x:row r="319">
      <x:c r="A319" s="46" t="str">
        <x:f>"60149383028"</x:f>
        <x:v>60149383028</x:v>
      </x:c>
      <x:c r="B319" s="21" t="str"/>
      <x:c r="C319" s="21" t="str">
        <x:v>eusahawan28 April</x:v>
      </x:c>
      <x:c r="D319" s="21" t="n">
        <x:v>1</x:v>
      </x:c>
      <x:c r="E319" s="21" t="n">
        <x:v>1</x:v>
      </x:c>
    </x:row>
    <x:row r="320">
      <x:c r="A320" s="46" t="str">
        <x:f>"60149462426"</x:f>
        <x:v>60149462426</x:v>
      </x:c>
      <x:c r="B320" s="21" t="str">
        <x:v>HAFIZ</x:v>
      </x:c>
      <x:c r="C320" s="21" t="str">
        <x:v>EBOARD C8 SP</x:v>
      </x:c>
      <x:c r="D320" s="21" t="n">
        <x:v>1</x:v>
      </x:c>
      <x:c r="E320" s="21" t="n">
        <x:v>1</x:v>
      </x:c>
    </x:row>
    <x:row r="321">
      <x:c r="A321" s="46" t="str">
        <x:f>"60149660887"</x:f>
        <x:v>60149660887</x:v>
      </x:c>
      <x:c r="B321" s="21" t="str"/>
      <x:c r="C321" s="21" t="str">
        <x:v>UPM</x:v>
      </x:c>
      <x:c r="D321" s="21" t="n">
        <x:v>1</x:v>
      </x:c>
      <x:c r="E321" s="21" t="n">
        <x:v>1</x:v>
      </x:c>
    </x:row>
    <x:row r="322">
      <x:c r="A322" s="46" t="str">
        <x:f>"60149900753"</x:f>
        <x:v>60149900753</x:v>
      </x:c>
      <x:c r="B322" s="21" t="str">
        <x:v>Christina Blone</x:v>
      </x:c>
      <x:c r="C322" s="21" t="str">
        <x:v>TD119 Zero CM</x:v>
      </x:c>
      <x:c r="D322" s="21" t="n">
        <x:v>1</x:v>
      </x:c>
      <x:c r="E322" s="21" t="n">
        <x:v>1</x:v>
      </x:c>
    </x:row>
    <x:row r="323">
      <x:c r="A323" s="46" t="str">
        <x:f>"60162036654"</x:f>
        <x:v>60162036654</x:v>
      </x:c>
      <x:c r="B323" s="21" t="str"/>
      <x:c r="C323" s="21" t="str">
        <x:v>laz 25-26</x:v>
      </x:c>
      <x:c r="D323" s="21" t="n">
        <x:v>1</x:v>
      </x:c>
      <x:c r="E323" s="21" t="n">
        <x:v>1</x:v>
      </x:c>
    </x:row>
    <x:row r="324">
      <x:c r="A324" s="46" t="str">
        <x:f>"60162061321"</x:f>
        <x:v>60162061321</x:v>
      </x:c>
      <x:c r="B324" s="21" t="str">
        <x:v>azie3210</x:v>
      </x:c>
      <x:c r="C324" s="21" t="str">
        <x:v>TD35 Eposter</x:v>
      </x:c>
      <x:c r="D324" s="21" t="n">
        <x:v>1</x:v>
      </x:c>
      <x:c r="E324" s="21" t="n">
        <x:v>1</x:v>
      </x:c>
    </x:row>
    <x:row r="325">
      <x:c r="A325" s="46" t="str">
        <x:f>"60162117692"</x:f>
        <x:v>60162117692</x:v>
      </x:c>
      <x:c r="B325" s="21" t="str"/>
      <x:c r="C325" s="21" t="str">
        <x:v>ti9596</x:v>
      </x:c>
      <x:c r="D325" s="21" t="n">
        <x:v>1</x:v>
      </x:c>
      <x:c r="E325" s="21" t="n">
        <x:v>1</x:v>
      </x:c>
    </x:row>
    <x:row r="326">
      <x:c r="A326" s="46" t="str">
        <x:f>"60162157374"</x:f>
        <x:v>60162157374</x:v>
      </x:c>
      <x:c r="B326" s="21" t="str">
        <x:v>Puan Umi Khlsom dari Kausar Group untuk Perancangan Harta Islam</x:v>
      </x:c>
      <x:c r="C326" s="21" t="str">
        <x:v>Tidak Dinamakan</x:v>
      </x:c>
      <x:c r="D326" s="21" t="n">
        <x:v>1</x:v>
      </x:c>
      <x:c r="E326" s="21" t="n">
        <x:v>1</x:v>
      </x:c>
    </x:row>
    <x:row r="327">
      <x:c r="A327" s="46" t="str">
        <x:f>"60162232477"</x:f>
        <x:v>60162232477</x:v>
      </x:c>
      <x:c r="B327" s="21" t="str">
        <x:v>Rain</x:v>
      </x:c>
      <x:c r="C327" s="21" t="str">
        <x:v>td32; Tidak Dinamakan</x:v>
      </x:c>
      <x:c r="D327" s="21" t="n">
        <x:v>2</x:v>
      </x:c>
      <x:c r="E327" s="21" t="n">
        <x:v>2</x:v>
      </x:c>
    </x:row>
    <x:row r="328">
      <x:c r="A328" s="46" t="str">
        <x:f>"60162609252"</x:f>
        <x:v>60162609252</x:v>
      </x:c>
      <x:c r="B328" s="21" t="str"/>
      <x:c r="C328" s="21" t="str">
        <x:v>TD35 Eposter</x:v>
      </x:c>
      <x:c r="D328" s="21" t="n">
        <x:v>1</x:v>
      </x:c>
      <x:c r="E328" s="21" t="n">
        <x:v>1</x:v>
      </x:c>
    </x:row>
    <x:row r="329">
      <x:c r="A329" s="46" t="str">
        <x:f>"60162814595"</x:f>
        <x:v>60162814595</x:v>
      </x:c>
      <x:c r="B329" s="21" t="str">
        <x:v>sue</x:v>
      </x:c>
      <x:c r="C329" s="21" t="str">
        <x:v>shopee laz 25-26 Ogos</x:v>
      </x:c>
      <x:c r="D329" s="21" t="n">
        <x:v>1</x:v>
      </x:c>
      <x:c r="E329" s="21" t="n">
        <x:v>1</x:v>
      </x:c>
    </x:row>
    <x:row r="330">
      <x:c r="A330" s="46" t="str">
        <x:f>"60163113384"</x:f>
        <x:v>60163113384</x:v>
      </x:c>
      <x:c r="B330" s="21" t="str"/>
      <x:c r="C330" s="21" t="str">
        <x:v>ti9596</x:v>
      </x:c>
      <x:c r="D330" s="21" t="n">
        <x:v>1</x:v>
      </x:c>
      <x:c r="E330" s="21" t="n">
        <x:v>1</x:v>
      </x:c>
    </x:row>
    <x:row r="331">
      <x:c r="A331" s="46" t="str">
        <x:f>"60163174356"</x:f>
        <x:v>60163174356</x:v>
      </x:c>
      <x:c r="B331" s="21" t="str"/>
      <x:c r="C331" s="21" t="str">
        <x:v>mcbr02</x:v>
      </x:c>
      <x:c r="D331" s="21" t="n">
        <x:v>1</x:v>
      </x:c>
      <x:c r="E331" s="21" t="n">
        <x:v>1</x:v>
      </x:c>
    </x:row>
    <x:row r="332">
      <x:c r="A332" s="46" t="str">
        <x:f>"60163246243"</x:f>
        <x:v>60163246243</x:v>
      </x:c>
      <x:c r="B332" s="21" t="str"/>
      <x:c r="C332" s="21" t="str">
        <x:v>cohort 3 B2</x:v>
      </x:c>
      <x:c r="D332" s="21" t="n">
        <x:v>1</x:v>
      </x:c>
      <x:c r="E332" s="21" t="n">
        <x:v>1</x:v>
      </x:c>
    </x:row>
    <x:row r="333">
      <x:c r="A333" s="46" t="str">
        <x:f>"60163310272"</x:f>
        <x:v>60163310272</x:v>
      </x:c>
      <x:c r="B333" s="21" t="str">
        <x:v>Ryzal Hatta Your Trusted Partners</x:v>
      </x:c>
      <x:c r="C333" s="21" t="str">
        <x:v>lazada 5-6</x:v>
      </x:c>
      <x:c r="D333" s="21" t="n">
        <x:v>1</x:v>
      </x:c>
      <x:c r="E333" s="21" t="n">
        <x:v>1</x:v>
      </x:c>
    </x:row>
    <x:row r="334">
      <x:c r="A334" s="46" t="str">
        <x:f>"60163338609"</x:f>
        <x:v>60163338609</x:v>
      </x:c>
      <x:c r="B334" s="21" t="str"/>
      <x:c r="C334" s="21" t="str">
        <x:v>ZKM 7-8 Sept</x:v>
      </x:c>
      <x:c r="D334" s="21" t="n">
        <x:v>1</x:v>
      </x:c>
      <x:c r="E334" s="21" t="n">
        <x:v>1</x:v>
      </x:c>
    </x:row>
    <x:row r="335">
      <x:c r="A335" s="46" t="str">
        <x:f>"60163379678"</x:f>
        <x:v>60163379678</x:v>
      </x:c>
      <x:c r="B335" s="21" t="str">
        <x:v>Aini Shop</x:v>
      </x:c>
      <x:c r="C335" s="21" t="str">
        <x:v>laz 25-26</x:v>
      </x:c>
      <x:c r="D335" s="21" t="n">
        <x:v>1</x:v>
      </x:c>
      <x:c r="E335" s="21" t="n">
        <x:v>1</x:v>
      </x:c>
    </x:row>
    <x:row r="336">
      <x:c r="A336" s="46" t="str">
        <x:f>"60163811185"</x:f>
        <x:v>60163811185</x:v>
      </x:c>
      <x:c r="B336" s="21" t="str">
        <x:v>Teacher May</x:v>
      </x:c>
      <x:c r="C336" s="21" t="str">
        <x:v>TD1 eMkt</x:v>
      </x:c>
      <x:c r="D336" s="21" t="n">
        <x:v>1</x:v>
      </x:c>
      <x:c r="E336" s="21" t="n">
        <x:v>1</x:v>
      </x:c>
    </x:row>
    <x:row r="337">
      <x:c r="A337" s="46" t="str">
        <x:f>"60163905181"</x:f>
        <x:v>60163905181</x:v>
      </x:c>
      <x:c r="B337" s="21" t="str">
        <x:v>Putri Sha Financial Therapist</x:v>
      </x:c>
      <x:c r="C337" s="21" t="str">
        <x:v>tiktok 12-13 Jan 2026</x:v>
      </x:c>
      <x:c r="D337" s="21" t="n">
        <x:v>1</x:v>
      </x:c>
      <x:c r="E337" s="21" t="n">
        <x:v>1</x:v>
      </x:c>
    </x:row>
    <x:row r="338">
      <x:c r="A338" s="46" t="str">
        <x:f>"60163923932"</x:f>
        <x:v>60163923932</x:v>
      </x:c>
      <x:c r="B338" s="21" t="str"/>
      <x:c r="C338" s="21" t="str">
        <x:v>TDAG12</x:v>
      </x:c>
      <x:c r="D338" s="21" t="n">
        <x:v>1</x:v>
      </x:c>
      <x:c r="E338" s="21" t="n">
        <x:v>1</x:v>
      </x:c>
    </x:row>
    <x:row r="339">
      <x:c r="A339" s="46" t="str">
        <x:f>"60163945363"</x:f>
        <x:v>60163945363</x:v>
      </x:c>
      <x:c r="B339" s="21" t="str"/>
      <x:c r="C339" s="21" t="str">
        <x:v>eusahawan28 April</x:v>
      </x:c>
      <x:c r="D339" s="21" t="n">
        <x:v>1</x:v>
      </x:c>
      <x:c r="E339" s="21" t="n">
        <x:v>1</x:v>
      </x:c>
    </x:row>
    <x:row r="340">
      <x:c r="A340" s="46" t="str">
        <x:f>"60163954791"</x:f>
        <x:v>60163954791</x:v>
      </x:c>
      <x:c r="B340" s="21" t="str"/>
      <x:c r="C340" s="21" t="str">
        <x:v>tiktok mana ns</x:v>
      </x:c>
      <x:c r="D340" s="21" t="n">
        <x:v>1</x:v>
      </x:c>
      <x:c r="E340" s="21" t="n">
        <x:v>1</x:v>
      </x:c>
    </x:row>
    <x:row r="341">
      <x:c r="A341" s="46" t="str">
        <x:f>"60164002550"</x:f>
        <x:v>60164002550</x:v>
      </x:c>
      <x:c r="B341" s="21" t="str"/>
      <x:c r="C341" s="21" t="str">
        <x:v>tiktok 12-13 Jan 2026</x:v>
      </x:c>
      <x:c r="D341" s="21" t="n">
        <x:v>1</x:v>
      </x:c>
      <x:c r="E341" s="21" t="n">
        <x:v>1</x:v>
      </x:c>
    </x:row>
    <x:row r="342">
      <x:c r="A342" s="46" t="str">
        <x:f>"60164093239"</x:f>
        <x:v>60164093239</x:v>
      </x:c>
      <x:c r="B342" s="21" t="str">
        <x:v>إيما برهان</x:v>
      </x:c>
      <x:c r="C342" s="21" t="str">
        <x:v>mcbr02</x:v>
      </x:c>
      <x:c r="D342" s="21" t="n">
        <x:v>1</x:v>
      </x:c>
      <x:c r="E342" s="21" t="n">
        <x:v>1</x:v>
      </x:c>
    </x:row>
    <x:row r="343">
      <x:c r="A343" s="46" t="str">
        <x:f>"60164106940"</x:f>
        <x:v>60164106940</x:v>
      </x:c>
      <x:c r="B343" s="21" t="str"/>
      <x:c r="C343" s="21" t="str">
        <x:v>TD7 emkt</x:v>
      </x:c>
      <x:c r="D343" s="21" t="n">
        <x:v>1</x:v>
      </x:c>
      <x:c r="E343" s="21" t="n">
        <x:v>1</x:v>
      </x:c>
    </x:row>
    <x:row r="344">
      <x:c r="A344" s="46" t="str">
        <x:f>"60164222900"</x:f>
        <x:v>60164222900</x:v>
      </x:c>
      <x:c r="B344" s="21" t="str">
        <x:v>Renzo Ventures Sdn Bhd</x:v>
      </x:c>
      <x:c r="C344" s="21" t="str">
        <x:v>tiktok mana ns</x:v>
      </x:c>
      <x:c r="D344" s="21" t="n">
        <x:v>1</x:v>
      </x:c>
      <x:c r="E344" s="21" t="n">
        <x:v>1</x:v>
      </x:c>
    </x:row>
    <x:row r="345">
      <x:c r="A345" s="46" t="str">
        <x:f>"60164307976"</x:f>
        <x:v>60164307976</x:v>
      </x:c>
      <x:c r="B345" s="21" t="str">
        <x:v>S</x:v>
      </x:c>
      <x:c r="C345" s="21" t="str">
        <x:v>TD47 Shopee</x:v>
      </x:c>
      <x:c r="D345" s="21" t="n">
        <x:v>1</x:v>
      </x:c>
      <x:c r="E345" s="21" t="n">
        <x:v>1</x:v>
      </x:c>
    </x:row>
    <x:row r="346">
      <x:c r="A346" s="46" t="str">
        <x:f>"60164325438"</x:f>
        <x:v>60164325438</x:v>
      </x:c>
      <x:c r="B346" s="21" t="str"/>
      <x:c r="C346" s="21" t="str">
        <x:v>DIGITAL PRODUCT MASTERY</x:v>
      </x:c>
      <x:c r="D346" s="21" t="n">
        <x:v>1</x:v>
      </x:c>
      <x:c r="E346" s="21" t="n">
        <x:v>1</x:v>
      </x:c>
    </x:row>
    <x:row r="347">
      <x:c r="A347" s="46" t="str">
        <x:f>"60164460044"</x:f>
        <x:v>60164460044</x:v>
      </x:c>
      <x:c r="B347" s="21" t="str">
        <x:v>Seberang Utama Enterprise</x:v>
      </x:c>
      <x:c r="C347" s="21" t="str">
        <x:v>Td21 emkrt</x:v>
      </x:c>
      <x:c r="D347" s="21" t="n">
        <x:v>1</x:v>
      </x:c>
      <x:c r="E347" s="21" t="n">
        <x:v>1</x:v>
      </x:c>
    </x:row>
    <x:row r="348">
      <x:c r="A348" s="46" t="str">
        <x:f>"60164836717"</x:f>
        <x:v>60164836717</x:v>
      </x:c>
      <x:c r="B348" s="21" t="str"/>
      <x:c r="C348" s="21" t="str">
        <x:v>mcbr02; Td21 emkrt</x:v>
      </x:c>
      <x:c r="D348" s="21" t="n">
        <x:v>2</x:v>
      </x:c>
      <x:c r="E348" s="21" t="n">
        <x:v>2</x:v>
      </x:c>
    </x:row>
    <x:row r="349">
      <x:c r="A349" s="46" t="str">
        <x:f>"60164926394"</x:f>
        <x:v>60164926394</x:v>
      </x:c>
      <x:c r="B349" s="21" t="str"/>
      <x:c r="C349" s="21" t="str">
        <x:v>tiktok 12-13 Jan 2026</x:v>
      </x:c>
      <x:c r="D349" s="21" t="n">
        <x:v>1</x:v>
      </x:c>
      <x:c r="E349" s="21" t="n">
        <x:v>1</x:v>
      </x:c>
    </x:row>
    <x:row r="350">
      <x:c r="A350" s="46" t="str">
        <x:f>"60165172797"</x:f>
        <x:v>60165172797</x:v>
      </x:c>
      <x:c r="B350" s="21" t="str"/>
      <x:c r="C350" s="21" t="str">
        <x:v>tiktok mana ns</x:v>
      </x:c>
      <x:c r="D350" s="21" t="n">
        <x:v>1</x:v>
      </x:c>
      <x:c r="E350" s="21" t="n">
        <x:v>1</x:v>
      </x:c>
    </x:row>
    <x:row r="351">
      <x:c r="A351" s="46" t="str">
        <x:f>"60165181644"</x:f>
        <x:v>60165181644</x:v>
      </x:c>
      <x:c r="B351" s="21" t="str"/>
      <x:c r="C351" s="21" t="str">
        <x:v>Tidak Dinamakan; tiktok 12-13 Jan 2026</x:v>
      </x:c>
      <x:c r="D351" s="21" t="n">
        <x:v>2</x:v>
      </x:c>
      <x:c r="E351" s="21" t="n">
        <x:v>2</x:v>
      </x:c>
    </x:row>
    <x:row r="352">
      <x:c r="A352" s="46" t="str">
        <x:f>"60165443024"</x:f>
        <x:v>60165443024</x:v>
      </x:c>
      <x:c r="B352" s="21" t="str"/>
      <x:c r="C352" s="21" t="str">
        <x:v>Tidak Dinamakan</x:v>
      </x:c>
      <x:c r="D352" s="21" t="n">
        <x:v>1</x:v>
      </x:c>
      <x:c r="E352" s="21" t="n">
        <x:v>1</x:v>
      </x:c>
    </x:row>
    <x:row r="353">
      <x:c r="A353" s="46" t="str">
        <x:f>"60165994872"</x:f>
        <x:v>60165994872</x:v>
      </x:c>
      <x:c r="B353" s="21" t="str">
        <x:v>Cikgu Zabidi</x:v>
      </x:c>
      <x:c r="C353" s="21" t="str">
        <x:v>mcbr02</x:v>
      </x:c>
      <x:c r="D353" s="21" t="n">
        <x:v>1</x:v>
      </x:c>
      <x:c r="E353" s="21" t="n">
        <x:v>1</x:v>
      </x:c>
    </x:row>
    <x:row r="354">
      <x:c r="A354" s="46" t="str">
        <x:f>"60166180510"</x:f>
        <x:v>60166180510</x:v>
      </x:c>
      <x:c r="B354" s="21" t="str">
        <x:v>Shamsoul Fahimy Hassan</x:v>
      </x:c>
      <x:c r="C354" s="21" t="str">
        <x:v>Td21 emkrt</x:v>
      </x:c>
      <x:c r="D354" s="21" t="n">
        <x:v>1</x:v>
      </x:c>
      <x:c r="E354" s="21" t="n">
        <x:v>1</x:v>
      </x:c>
    </x:row>
    <x:row r="355">
      <x:c r="A355" s="46" t="str">
        <x:f>"60166267784"</x:f>
        <x:v>60166267784</x:v>
      </x:c>
      <x:c r="B355" s="21" t="str"/>
      <x:c r="C355" s="21" t="str">
        <x:v>ti9596; tiktok cz</x:v>
      </x:c>
      <x:c r="D355" s="21" t="n">
        <x:v>2</x:v>
      </x:c>
      <x:c r="E355" s="21" t="n">
        <x:v>2</x:v>
      </x:c>
    </x:row>
    <x:row r="356">
      <x:c r="A356" s="46" t="str">
        <x:f>"60166330803"</x:f>
        <x:v>60166330803</x:v>
      </x:c>
      <x:c r="B356" s="21" t="str"/>
      <x:c r="C356" s="21" t="str">
        <x:v>2TT</x:v>
      </x:c>
      <x:c r="D356" s="21" t="n">
        <x:v>1</x:v>
      </x:c>
      <x:c r="E356" s="21" t="n">
        <x:v>1</x:v>
      </x:c>
    </x:row>
    <x:row r="357">
      <x:c r="A357" s="46" t="str">
        <x:f>"60166499041"</x:f>
        <x:v>60166499041</x:v>
      </x:c>
      <x:c r="B357" s="21" t="str">
        <x:v>Umieaisy Resources</x:v>
      </x:c>
      <x:c r="C357" s="21" t="str">
        <x:v>shopee laz 25-26 Ogos</x:v>
      </x:c>
      <x:c r="D357" s="21" t="n">
        <x:v>1</x:v>
      </x:c>
      <x:c r="E357" s="21" t="n">
        <x:v>1</x:v>
      </x:c>
    </x:row>
    <x:row r="358">
      <x:c r="A358" s="46" t="str">
        <x:f>"60166667241"</x:f>
        <x:v>60166667241</x:v>
      </x:c>
      <x:c r="B358" s="21" t="str">
        <x:v>Khalid Steak Lid and Footy Collector</x:v>
      </x:c>
      <x:c r="C358" s="21" t="str">
        <x:v>lazada 5-6</x:v>
      </x:c>
      <x:c r="D358" s="21" t="n">
        <x:v>1</x:v>
      </x:c>
      <x:c r="E358" s="21" t="n">
        <x:v>1</x:v>
      </x:c>
    </x:row>
    <x:row r="359">
      <x:c r="A359" s="46" t="str">
        <x:f>"60167031314"</x:f>
        <x:v>60167031314</x:v>
      </x:c>
      <x:c r="B359" s="21" t="str"/>
      <x:c r="C359" s="21" t="str">
        <x:v>TD47 Shopee</x:v>
      </x:c>
      <x:c r="D359" s="21" t="n">
        <x:v>1</x:v>
      </x:c>
      <x:c r="E359" s="21" t="n">
        <x:v>1</x:v>
      </x:c>
    </x:row>
    <x:row r="360">
      <x:c r="A360" s="46" t="str">
        <x:f>"60168000823"</x:f>
        <x:v>60168000823</x:v>
      </x:c>
      <x:c r="B360" s="21" t="str"/>
      <x:c r="C360" s="21" t="str">
        <x:v>eusahawan28 April</x:v>
      </x:c>
      <x:c r="D360" s="21" t="n">
        <x:v>1</x:v>
      </x:c>
      <x:c r="E360" s="21" t="n">
        <x:v>1</x:v>
      </x:c>
    </x:row>
    <x:row r="361">
      <x:c r="A361" s="46" t="str">
        <x:f>"60168074275"</x:f>
        <x:v>60168074275</x:v>
      </x:c>
      <x:c r="B361" s="21" t="str"/>
      <x:c r="C361" s="21" t="str">
        <x:v>UPM</x:v>
      </x:c>
      <x:c r="D361" s="21" t="n">
        <x:v>1</x:v>
      </x:c>
      <x:c r="E361" s="21" t="n">
        <x:v>1</x:v>
      </x:c>
    </x:row>
    <x:row r="362">
      <x:c r="A362" s="46" t="str">
        <x:f>"60168299822"</x:f>
        <x:v>60168299822</x:v>
      </x:c>
      <x:c r="B362" s="21" t="str"/>
      <x:c r="C362" s="21" t="str">
        <x:v>TD47 Shopee</x:v>
      </x:c>
      <x:c r="D362" s="21" t="n">
        <x:v>1</x:v>
      </x:c>
      <x:c r="E362" s="21" t="n">
        <x:v>1</x:v>
      </x:c>
    </x:row>
    <x:row r="363">
      <x:c r="A363" s="46" t="str">
        <x:f>"60168366207"</x:f>
        <x:v>60168366207</x:v>
      </x:c>
      <x:c r="B363" s="21" t="str"/>
      <x:c r="C363" s="21" t="str">
        <x:v>TD160</x:v>
      </x:c>
      <x:c r="D363" s="21" t="n">
        <x:v>1</x:v>
      </x:c>
      <x:c r="E363" s="21" t="n">
        <x:v>1</x:v>
      </x:c>
    </x:row>
    <x:row r="364">
      <x:c r="A364" s="46" t="str">
        <x:f>"60168756088"</x:f>
        <x:v>60168756088</x:v>
      </x:c>
      <x:c r="B364" s="21" t="str"/>
      <x:c r="C364" s="21" t="str">
        <x:v>TD35 Eposter</x:v>
      </x:c>
      <x:c r="D364" s="21" t="n">
        <x:v>1</x:v>
      </x:c>
      <x:c r="E364" s="21" t="n">
        <x:v>1</x:v>
      </x:c>
    </x:row>
    <x:row r="365">
      <x:c r="A365" s="46" t="str">
        <x:f>"60168859638"</x:f>
        <x:v>60168859638</x:v>
      </x:c>
      <x:c r="B365" s="21" t="str"/>
      <x:c r="C365" s="21" t="str">
        <x:v>tiktok 12-13 Jan 2026</x:v>
      </x:c>
      <x:c r="D365" s="21" t="n">
        <x:v>1</x:v>
      </x:c>
      <x:c r="E365" s="21" t="n">
        <x:v>1</x:v>
      </x:c>
    </x:row>
    <x:row r="366">
      <x:c r="A366" s="46" t="str">
        <x:f>"60169342646"</x:f>
        <x:v>60169342646</x:v>
      </x:c>
      <x:c r="B366" s="21" t="str"/>
      <x:c r="C366" s="21" t="str">
        <x:v>tiktok sahanita</x:v>
      </x:c>
      <x:c r="D366" s="21" t="n">
        <x:v>1</x:v>
      </x:c>
      <x:c r="E366" s="21" t="n">
        <x:v>1</x:v>
      </x:c>
    </x:row>
    <x:row r="367">
      <x:c r="A367" s="46" t="str">
        <x:f>"60169475420"</x:f>
        <x:v>60169475420</x:v>
      </x:c>
      <x:c r="B367" s="21" t="str">
        <x:v>realtees enterprise</x:v>
      </x:c>
      <x:c r="C367" s="21" t="str">
        <x:v>TD1 eMkt</x:v>
      </x:c>
      <x:c r="D367" s="21" t="n">
        <x:v>1</x:v>
      </x:c>
      <x:c r="E367" s="21" t="n">
        <x:v>1</x:v>
      </x:c>
    </x:row>
    <x:row r="368">
      <x:c r="A368" s="46" t="str">
        <x:f>"60169861215"</x:f>
        <x:v>60169861215</x:v>
      </x:c>
      <x:c r="B368" s="21" t="str"/>
      <x:c r="C368" s="21" t="str">
        <x:v>tiktok sahanita</x:v>
      </x:c>
      <x:c r="D368" s="21" t="n">
        <x:v>1</x:v>
      </x:c>
      <x:c r="E368" s="21" t="n">
        <x:v>1</x:v>
      </x:c>
    </x:row>
    <x:row r="369">
      <x:c r="A369" s="46" t="str">
        <x:f>"60172007543"</x:f>
        <x:v>60172007543</x:v>
      </x:c>
      <x:c r="B369" s="21" t="str"/>
      <x:c r="C369" s="21" t="str">
        <x:v>TD160</x:v>
      </x:c>
      <x:c r="D369" s="21" t="n">
        <x:v>1</x:v>
      </x:c>
      <x:c r="E369" s="21" t="n">
        <x:v>1</x:v>
      </x:c>
    </x:row>
    <x:row r="370">
      <x:c r="A370" s="46" t="str">
        <x:f>"60172020271"</x:f>
        <x:v>60172020271</x:v>
      </x:c>
      <x:c r="B370" s="21" t="str"/>
      <x:c r="C370" s="21" t="str">
        <x:v>GROUP SEMBANG MALAM</x:v>
      </x:c>
      <x:c r="D370" s="21" t="n">
        <x:v>1</x:v>
      </x:c>
      <x:c r="E370" s="21" t="n">
        <x:v>1</x:v>
      </x:c>
    </x:row>
    <x:row r="371">
      <x:c r="A371" s="46" t="str">
        <x:f>"60172041231"</x:f>
        <x:v>60172041231</x:v>
      </x:c>
      <x:c r="B371" s="21" t="str">
        <x:v>Faizal Aziz</x:v>
      </x:c>
      <x:c r="C371" s="21" t="str">
        <x:v>mcbr02</x:v>
      </x:c>
      <x:c r="D371" s="21" t="n">
        <x:v>1</x:v>
      </x:c>
      <x:c r="E371" s="21" t="n">
        <x:v>1</x:v>
      </x:c>
    </x:row>
    <x:row r="372">
      <x:c r="A372" s="46" t="str">
        <x:f>"60172096122"</x:f>
        <x:v>60172096122</x:v>
      </x:c>
      <x:c r="B372" s="21" t="str">
        <x:v>Zetty Ezigo Travel</x:v>
      </x:c>
      <x:c r="C372" s="21" t="str">
        <x:v>cohort 3 B2</x:v>
      </x:c>
      <x:c r="D372" s="21" t="n">
        <x:v>1</x:v>
      </x:c>
      <x:c r="E372" s="21" t="n">
        <x:v>1</x:v>
      </x:c>
    </x:row>
    <x:row r="373">
      <x:c r="A373" s="46" t="str">
        <x:f>"60172210214"</x:f>
        <x:v>60172210214</x:v>
      </x:c>
      <x:c r="B373" s="21" t="str">
        <x:v>Aiman</x:v>
      </x:c>
      <x:c r="C373" s="21" t="str">
        <x:v>tdag79</x:v>
      </x:c>
      <x:c r="D373" s="21" t="n">
        <x:v>1</x:v>
      </x:c>
      <x:c r="E373" s="21" t="n">
        <x:v>1</x:v>
      </x:c>
    </x:row>
    <x:row r="374">
      <x:c r="A374" s="46" t="str">
        <x:f>"60172273935"</x:f>
        <x:v>60172273935</x:v>
      </x:c>
      <x:c r="B374" s="21" t="str"/>
      <x:c r="C374" s="21" t="str">
        <x:v>cohort 3 B2</x:v>
      </x:c>
      <x:c r="D374" s="21" t="n">
        <x:v>1</x:v>
      </x:c>
      <x:c r="E374" s="21" t="n">
        <x:v>1</x:v>
      </x:c>
    </x:row>
    <x:row r="375">
      <x:c r="A375" s="46" t="str">
        <x:f>"60172308241"</x:f>
        <x:v>60172308241</x:v>
      </x:c>
      <x:c r="B375" s="21" t="str"/>
      <x:c r="C375" s="21" t="str">
        <x:v>ZKM 7-8 Sept</x:v>
      </x:c>
      <x:c r="D375" s="21" t="n">
        <x:v>1</x:v>
      </x:c>
      <x:c r="E375" s="21" t="n">
        <x:v>1</x:v>
      </x:c>
    </x:row>
    <x:row r="376">
      <x:c r="A376" s="46" t="str">
        <x:f>"60172327007"</x:f>
        <x:v>60172327007</x:v>
      </x:c>
      <x:c r="B376" s="21" t="str">
        <x:v>Fyda Aznan</x:v>
      </x:c>
      <x:c r="C376" s="21" t="str">
        <x:v>lazada 5-6</x:v>
      </x:c>
      <x:c r="D376" s="21" t="n">
        <x:v>1</x:v>
      </x:c>
      <x:c r="E376" s="21" t="n">
        <x:v>1</x:v>
      </x:c>
    </x:row>
    <x:row r="377">
      <x:c r="A377" s="46" t="str">
        <x:f>"60172329269"</x:f>
        <x:v>60172329269</x:v>
      </x:c>
      <x:c r="B377" s="21" t="str"/>
      <x:c r="C377" s="21" t="str">
        <x:v>TD47 Shopee</x:v>
      </x:c>
      <x:c r="D377" s="21" t="n">
        <x:v>1</x:v>
      </x:c>
      <x:c r="E377" s="21" t="n">
        <x:v>1</x:v>
      </x:c>
    </x:row>
    <x:row r="378">
      <x:c r="A378" s="46" t="str">
        <x:f>"60172341766"</x:f>
        <x:v>60172341766</x:v>
      </x:c>
      <x:c r="B378" s="21" t="str">
        <x:v>BDI CLAIM ADVISOR</x:v>
      </x:c>
      <x:c r="C378" s="21" t="str">
        <x:v>eusahawan28 April</x:v>
      </x:c>
      <x:c r="D378" s="21" t="n">
        <x:v>1</x:v>
      </x:c>
      <x:c r="E378" s="21" t="n">
        <x:v>1</x:v>
      </x:c>
    </x:row>
    <x:row r="379">
      <x:c r="A379" s="46" t="str">
        <x:f>"60172572309"</x:f>
        <x:v>60172572309</x:v>
      </x:c>
      <x:c r="B379" s="21" t="str">
        <x:v>Qamia</x:v>
      </x:c>
      <x:c r="C379" s="21" t="str">
        <x:v>TD1 eMkt</x:v>
      </x:c>
      <x:c r="D379" s="21" t="n">
        <x:v>1</x:v>
      </x:c>
      <x:c r="E379" s="21" t="n">
        <x:v>1</x:v>
      </x:c>
    </x:row>
    <x:row r="380">
      <x:c r="A380" s="46" t="str">
        <x:f>"60172594327"</x:f>
        <x:v>60172594327</x:v>
      </x:c>
      <x:c r="B380" s="21" t="str"/>
      <x:c r="C380" s="21" t="str">
        <x:v>TD7 emkt</x:v>
      </x:c>
      <x:c r="D380" s="21" t="n">
        <x:v>1</x:v>
      </x:c>
      <x:c r="E380" s="21" t="n">
        <x:v>1</x:v>
      </x:c>
    </x:row>
    <x:row r="381">
      <x:c r="A381" s="46" t="str">
        <x:f>"60172605577"</x:f>
        <x:v>60172605577</x:v>
      </x:c>
      <x:c r="B381" s="21" t="str"/>
      <x:c r="C381" s="21" t="str">
        <x:v>laz 25-26</x:v>
      </x:c>
      <x:c r="D381" s="21" t="n">
        <x:v>1</x:v>
      </x:c>
      <x:c r="E381" s="21" t="n">
        <x:v>1</x:v>
      </x:c>
    </x:row>
    <x:row r="382">
      <x:c r="A382" s="46" t="str">
        <x:f>"60172628013"</x:f>
        <x:v>60172628013</x:v>
      </x:c>
      <x:c r="B382" s="21" t="str">
        <x:v>Freelancer~Teacher Ra@RaHamid</x:v>
      </x:c>
      <x:c r="C382" s="21" t="str">
        <x:v>tiktok sahanita</x:v>
      </x:c>
      <x:c r="D382" s="21" t="n">
        <x:v>1</x:v>
      </x:c>
      <x:c r="E382" s="21" t="n">
        <x:v>1</x:v>
      </x:c>
    </x:row>
    <x:row r="383">
      <x:c r="A383" s="46" t="str">
        <x:f>"60172693966"</x:f>
        <x:v>60172693966</x:v>
      </x:c>
      <x:c r="B383" s="21" t="str">
        <x:v>AIDALICIOUS</x:v>
      </x:c>
      <x:c r="C383" s="21" t="str">
        <x:v>shopee laz 25-26 Ogos</x:v>
      </x:c>
      <x:c r="D383" s="21" t="n">
        <x:v>1</x:v>
      </x:c>
      <x:c r="E383" s="21" t="n">
        <x:v>1</x:v>
      </x:c>
    </x:row>
    <x:row r="384">
      <x:c r="A384" s="46" t="str">
        <x:f>"60172727278"</x:f>
        <x:v>60172727278</x:v>
      </x:c>
      <x:c r="B384" s="21" t="str">
        <x:v>Kak Cun Opah Heritage</x:v>
      </x:c>
      <x:c r="C384" s="21" t="str">
        <x:v>C8 TT</x:v>
      </x:c>
      <x:c r="D384" s="21" t="n">
        <x:v>1</x:v>
      </x:c>
      <x:c r="E384" s="21" t="n">
        <x:v>1</x:v>
      </x:c>
    </x:row>
    <x:row r="385">
      <x:c r="A385" s="46" t="str">
        <x:f>"60172800394"</x:f>
        <x:v>60172800394</x:v>
      </x:c>
      <x:c r="B385" s="21" t="str"/>
      <x:c r="C385" s="21" t="str">
        <x:v>laz 25-26</x:v>
      </x:c>
      <x:c r="D385" s="21" t="n">
        <x:v>1</x:v>
      </x:c>
      <x:c r="E385" s="21" t="n">
        <x:v>1</x:v>
      </x:c>
    </x:row>
    <x:row r="386">
      <x:c r="A386" s="46" t="str">
        <x:f>"60172847909"</x:f>
        <x:v>60172847909</x:v>
      </x:c>
      <x:c r="B386" s="21" t="str"/>
      <x:c r="C386" s="21" t="str">
        <x:v>TD35 Eposter</x:v>
      </x:c>
      <x:c r="D386" s="21" t="n">
        <x:v>1</x:v>
      </x:c>
      <x:c r="E386" s="21" t="n">
        <x:v>1</x:v>
      </x:c>
    </x:row>
    <x:row r="387">
      <x:c r="A387" s="46" t="str">
        <x:f>"60172893391"</x:f>
        <x:v>60172893391</x:v>
      </x:c>
      <x:c r="B387" s="21" t="str"/>
      <x:c r="C387" s="21" t="str">
        <x:v>tiktok mana ns</x:v>
      </x:c>
      <x:c r="D387" s="21" t="n">
        <x:v>1</x:v>
      </x:c>
      <x:c r="E387" s="21" t="n">
        <x:v>1</x:v>
      </x:c>
    </x:row>
    <x:row r="388">
      <x:c r="A388" s="46" t="str">
        <x:f>"60173071803"</x:f>
        <x:v>60173071803</x:v>
      </x:c>
      <x:c r="B388" s="21" t="str"/>
      <x:c r="C388" s="21" t="str">
        <x:v>TD47 Shopee</x:v>
      </x:c>
      <x:c r="D388" s="21" t="n">
        <x:v>1</x:v>
      </x:c>
      <x:c r="E388" s="21" t="n">
        <x:v>1</x:v>
      </x:c>
    </x:row>
    <x:row r="389">
      <x:c r="A389" s="46" t="str">
        <x:f>"60173289572"</x:f>
        <x:v>60173289572</x:v>
      </x:c>
      <x:c r="B389" s="21" t="str"/>
      <x:c r="C389" s="21" t="str">
        <x:v>TD119 Zero CM</x:v>
      </x:c>
      <x:c r="D389" s="21" t="n">
        <x:v>1</x:v>
      </x:c>
      <x:c r="E389" s="21" t="n">
        <x:v>1</x:v>
      </x:c>
    </x:row>
    <x:row r="390">
      <x:c r="A390" s="46" t="str">
        <x:f>"60173355733"</x:f>
        <x:v>60173355733</x:v>
      </x:c>
      <x:c r="B390" s="21" t="str">
        <x:v>Mohd Basir Ahmad</x:v>
      </x:c>
      <x:c r="C390" s="21" t="str">
        <x:v>TD35 Eposter</x:v>
      </x:c>
      <x:c r="D390" s="21" t="n">
        <x:v>1</x:v>
      </x:c>
      <x:c r="E390" s="21" t="n">
        <x:v>1</x:v>
      </x:c>
    </x:row>
    <x:row r="391">
      <x:c r="A391" s="46" t="str">
        <x:f>"60173626555"</x:f>
        <x:v>60173626555</x:v>
      </x:c>
      <x:c r="B391" s="21" t="str"/>
      <x:c r="C391" s="21" t="str">
        <x:v>TD1 eMkt</x:v>
      </x:c>
      <x:c r="D391" s="21" t="n">
        <x:v>1</x:v>
      </x:c>
      <x:c r="E391" s="21" t="n">
        <x:v>1</x:v>
      </x:c>
    </x:row>
    <x:row r="392">
      <x:c r="A392" s="46" t="str">
        <x:f>"60173732743"</x:f>
        <x:v>60173732743</x:v>
      </x:c>
      <x:c r="B392" s="21" t="str"/>
      <x:c r="C392" s="21" t="str">
        <x:v>tiktok cz</x:v>
      </x:c>
      <x:c r="D392" s="21" t="n">
        <x:v>1</x:v>
      </x:c>
      <x:c r="E392" s="21" t="n">
        <x:v>1</x:v>
      </x:c>
    </x:row>
    <x:row r="393">
      <x:c r="A393" s="46" t="str">
        <x:f>"60173822117"</x:f>
        <x:v>60173822117</x:v>
      </x:c>
      <x:c r="B393" s="21" t="str">
        <x:v>azah sugar planet</x:v>
      </x:c>
      <x:c r="C393" s="21" t="str">
        <x:v>group digital products; GROUP SEMBANG MALAM</x:v>
      </x:c>
      <x:c r="D393" s="21" t="n">
        <x:v>2</x:v>
      </x:c>
      <x:c r="E393" s="21" t="n">
        <x:v>2</x:v>
      </x:c>
    </x:row>
    <x:row r="394">
      <x:c r="A394" s="46" t="str">
        <x:f>"60173861429"</x:f>
        <x:v>60173861429</x:v>
      </x:c>
      <x:c r="B394" s="21" t="str"/>
      <x:c r="C394" s="21" t="str">
        <x:v>shopee laz 25-26 Ogos</x:v>
      </x:c>
      <x:c r="D394" s="21" t="n">
        <x:v>1</x:v>
      </x:c>
      <x:c r="E394" s="21" t="n">
        <x:v>1</x:v>
      </x:c>
    </x:row>
    <x:row r="395">
      <x:c r="A395" s="46" t="str">
        <x:f>"60174029087"</x:f>
        <x:v>60174029087</x:v>
      </x:c>
      <x:c r="B395" s="21" t="str">
        <x:v>Stationery Souvenir RubberStamp Printing</x:v>
      </x:c>
      <x:c r="C395" s="21" t="str">
        <x:v>C8 TT</x:v>
      </x:c>
      <x:c r="D395" s="21" t="n">
        <x:v>1</x:v>
      </x:c>
      <x:c r="E395" s="21" t="n">
        <x:v>1</x:v>
      </x:c>
    </x:row>
    <x:row r="396">
      <x:c r="A396" s="46" t="str">
        <x:f>"60174152078"</x:f>
        <x:v>60174152078</x:v>
      </x:c>
      <x:c r="B396" s="21" t="str">
        <x:v>azriehusainy Trainer</x:v>
      </x:c>
      <x:c r="C396" s="21" t="str">
        <x:v>mcbr02</x:v>
      </x:c>
      <x:c r="D396" s="21" t="n">
        <x:v>1</x:v>
      </x:c>
      <x:c r="E396" s="21" t="n">
        <x:v>1</x:v>
      </x:c>
    </x:row>
    <x:row r="397">
      <x:c r="A397" s="46" t="str">
        <x:f>"60174243743"</x:f>
        <x:v>60174243743</x:v>
      </x:c>
      <x:c r="B397" s="21" t="str"/>
      <x:c r="C397" s="21" t="str">
        <x:v>lazada 5-6</x:v>
      </x:c>
      <x:c r="D397" s="21" t="n">
        <x:v>1</x:v>
      </x:c>
      <x:c r="E397" s="21" t="n">
        <x:v>1</x:v>
      </x:c>
    </x:row>
    <x:row r="398">
      <x:c r="A398" s="46" t="str">
        <x:f>"60174369495"</x:f>
        <x:v>60174369495</x:v>
      </x:c>
      <x:c r="B398" s="21" t="str"/>
      <x:c r="C398" s="21" t="str">
        <x:v>2TT</x:v>
      </x:c>
      <x:c r="D398" s="21" t="n">
        <x:v>1</x:v>
      </x:c>
      <x:c r="E398" s="21" t="n">
        <x:v>1</x:v>
      </x:c>
    </x:row>
    <x:row r="399">
      <x:c r="A399" s="46" t="str">
        <x:f>"60174402485"</x:f>
        <x:v>60174402485</x:v>
      </x:c>
      <x:c r="B399" s="21" t="str">
        <x:v>Adilla Mansor</x:v>
      </x:c>
      <x:c r="C399" s="21" t="str">
        <x:v>tiktok mana ns</x:v>
      </x:c>
      <x:c r="D399" s="21" t="n">
        <x:v>1</x:v>
      </x:c>
      <x:c r="E399" s="21" t="n">
        <x:v>1</x:v>
      </x:c>
    </x:row>
    <x:row r="400">
      <x:c r="A400" s="46" t="str">
        <x:f>"60174480501"</x:f>
        <x:v>60174480501</x:v>
      </x:c>
      <x:c r="B400" s="21" t="str">
        <x:v>Ahmad Zakariya</x:v>
      </x:c>
      <x:c r="C400" s="21" t="str">
        <x:v>Tidak Dinamakan</x:v>
      </x:c>
      <x:c r="D400" s="21" t="n">
        <x:v>1</x:v>
      </x:c>
      <x:c r="E400" s="21" t="n">
        <x:v>1</x:v>
      </x:c>
    </x:row>
    <x:row r="401">
      <x:c r="A401" s="46" t="str">
        <x:f>"60174556898"</x:f>
        <x:v>60174556898</x:v>
      </x:c>
      <x:c r="B401" s="21" t="str">
        <x:v>Effihafizza Tafar</x:v>
      </x:c>
      <x:c r="C401" s="21" t="str">
        <x:v>TD47 Shopee</x:v>
      </x:c>
      <x:c r="D401" s="21" t="n">
        <x:v>1</x:v>
      </x:c>
      <x:c r="E401" s="21" t="n">
        <x:v>1</x:v>
      </x:c>
    </x:row>
    <x:row r="402">
      <x:c r="A402" s="46" t="str">
        <x:f>"60174655674"</x:f>
        <x:v>60174655674</x:v>
      </x:c>
      <x:c r="B402" s="21" t="str"/>
      <x:c r="C402" s="21" t="str">
        <x:v>TD7 emkt</x:v>
      </x:c>
      <x:c r="D402" s="21" t="n">
        <x:v>1</x:v>
      </x:c>
      <x:c r="E402" s="21" t="n">
        <x:v>1</x:v>
      </x:c>
    </x:row>
    <x:row r="403">
      <x:c r="A403" s="46" t="str">
        <x:f>"60174809266"</x:f>
        <x:v>60174809266</x:v>
      </x:c>
      <x:c r="B403" s="21" t="str"/>
      <x:c r="C403" s="21" t="str">
        <x:v>DIGITAL PRODUCT MASTERY; Tidak Dinamakan</x:v>
      </x:c>
      <x:c r="D403" s="21" t="n">
        <x:v>2</x:v>
      </x:c>
      <x:c r="E403" s="21" t="n">
        <x:v>2</x:v>
      </x:c>
    </x:row>
    <x:row r="404">
      <x:c r="A404" s="46" t="str">
        <x:f>"60174819262"</x:f>
        <x:v>60174819262</x:v>
      </x:c>
      <x:c r="B404" s="21" t="str"/>
      <x:c r="C404" s="21" t="str">
        <x:v>td32</x:v>
      </x:c>
      <x:c r="D404" s="21" t="n">
        <x:v>1</x:v>
      </x:c>
      <x:c r="E404" s="21" t="n">
        <x:v>1</x:v>
      </x:c>
    </x:row>
    <x:row r="405">
      <x:c r="A405" s="46" t="str">
        <x:f>"60174868779"</x:f>
        <x:v>60174868779</x:v>
      </x:c>
      <x:c r="B405" s="21" t="str"/>
      <x:c r="C405" s="21" t="str">
        <x:v>Tidak Dinamakan</x:v>
      </x:c>
      <x:c r="D405" s="21" t="n">
        <x:v>1</x:v>
      </x:c>
      <x:c r="E405" s="21" t="n">
        <x:v>1</x:v>
      </x:c>
    </x:row>
    <x:row r="406">
      <x:c r="A406" s="46" t="str">
        <x:f>"60174977811"</x:f>
        <x:v>60174977811</x:v>
      </x:c>
      <x:c r="B406" s="21" t="str">
        <x:v>Azalea Cameron Muslim Homestay</x:v>
      </x:c>
      <x:c r="C406" s="21" t="str">
        <x:v>Tidak Dinamakan</x:v>
      </x:c>
      <x:c r="D406" s="21" t="n">
        <x:v>1</x:v>
      </x:c>
      <x:c r="E406" s="21" t="n">
        <x:v>1</x:v>
      </x:c>
    </x:row>
    <x:row r="407">
      <x:c r="A407" s="46" t="str">
        <x:f>"60175098908"</x:f>
        <x:v>60175098908</x:v>
      </x:c>
      <x:c r="B407" s="21" t="str">
        <x:v>fakharulnizam</x:v>
      </x:c>
      <x:c r="C407" s="21" t="str">
        <x:v>Td21 emkrt</x:v>
      </x:c>
      <x:c r="D407" s="21" t="n">
        <x:v>1</x:v>
      </x:c>
      <x:c r="E407" s="21" t="n">
        <x:v>1</x:v>
      </x:c>
    </x:row>
    <x:row r="408">
      <x:c r="A408" s="46" t="str">
        <x:f>"60175178621"</x:f>
        <x:v>60175178621</x:v>
      </x:c>
      <x:c r="B408" s="21" t="str"/>
      <x:c r="C408" s="21" t="str">
        <x:v>tiktok sahanita</x:v>
      </x:c>
      <x:c r="D408" s="21" t="n">
        <x:v>1</x:v>
      </x:c>
      <x:c r="E408" s="21" t="n">
        <x:v>1</x:v>
      </x:c>
    </x:row>
    <x:row r="409">
      <x:c r="A409" s="46" t="str">
        <x:f>"60175265614"</x:f>
        <x:v>60175265614</x:v>
      </x:c>
      <x:c r="B409" s="21" t="str"/>
      <x:c r="C409" s="21" t="str">
        <x:v>TD119 Zero CM</x:v>
      </x:c>
      <x:c r="D409" s="21" t="n">
        <x:v>1</x:v>
      </x:c>
      <x:c r="E409" s="21" t="n">
        <x:v>1</x:v>
      </x:c>
    </x:row>
    <x:row r="410">
      <x:c r="A410" s="46" t="str">
        <x:f>"60175549244"</x:f>
        <x:v>60175549244</x:v>
      </x:c>
      <x:c r="B410" s="21" t="str"/>
      <x:c r="C410" s="21" t="str">
        <x:v>C8 TT</x:v>
      </x:c>
      <x:c r="D410" s="21" t="n">
        <x:v>1</x:v>
      </x:c>
      <x:c r="E410" s="21" t="n">
        <x:v>1</x:v>
      </x:c>
    </x:row>
    <x:row r="411">
      <x:c r="A411" s="46" t="str">
        <x:f>"60175665630"</x:f>
        <x:v>60175665630</x:v>
      </x:c>
      <x:c r="B411" s="21" t="str">
        <x:v>Hanani’s kitchen</x:v>
      </x:c>
      <x:c r="C411" s="21" t="str">
        <x:v>tiktok 12-13 Jan 2026</x:v>
      </x:c>
      <x:c r="D411" s="21" t="n">
        <x:v>1</x:v>
      </x:c>
      <x:c r="E411" s="21" t="n">
        <x:v>1</x:v>
      </x:c>
    </x:row>
    <x:row r="412">
      <x:c r="A412" s="46" t="str">
        <x:f>"60175733421"</x:f>
        <x:v>60175733421</x:v>
      </x:c>
      <x:c r="B412" s="21" t="str"/>
      <x:c r="C412" s="21" t="str">
        <x:v>tdag79</x:v>
      </x:c>
      <x:c r="D412" s="21" t="n">
        <x:v>1</x:v>
      </x:c>
      <x:c r="E412" s="21" t="n">
        <x:v>1</x:v>
      </x:c>
    </x:row>
    <x:row r="413">
      <x:c r="A413" s="46" t="str">
        <x:f>"60175993573"</x:f>
        <x:v>60175993573</x:v>
      </x:c>
      <x:c r="B413" s="21" t="str"/>
      <x:c r="C413" s="21" t="str">
        <x:v>emarket11-12</x:v>
      </x:c>
      <x:c r="D413" s="21" t="n">
        <x:v>1</x:v>
      </x:c>
      <x:c r="E413" s="21" t="n">
        <x:v>1</x:v>
      </x:c>
    </x:row>
    <x:row r="414">
      <x:c r="A414" s="46" t="str">
        <x:f>"60176013641"</x:f>
        <x:v>60176013641</x:v>
      </x:c>
      <x:c r="B414" s="21" t="str"/>
      <x:c r="C414" s="21" t="str">
        <x:v>EBOARD C8 SP</x:v>
      </x:c>
      <x:c r="D414" s="21" t="n">
        <x:v>1</x:v>
      </x:c>
      <x:c r="E414" s="21" t="n">
        <x:v>1</x:v>
      </x:c>
    </x:row>
    <x:row r="415">
      <x:c r="A415" s="46" t="str">
        <x:f>"60176022960"</x:f>
        <x:v>60176022960</x:v>
      </x:c>
      <x:c r="B415" s="21" t="str"/>
      <x:c r="C415" s="21" t="str">
        <x:v>ZKM 7-8 Sept</x:v>
      </x:c>
      <x:c r="D415" s="21" t="n">
        <x:v>1</x:v>
      </x:c>
      <x:c r="E415" s="21" t="n">
        <x:v>1</x:v>
      </x:c>
    </x:row>
    <x:row r="416">
      <x:c r="A416" s="46" t="str">
        <x:f>"60176097960"</x:f>
        <x:v>60176097960</x:v>
      </x:c>
      <x:c r="B416" s="21" t="str"/>
      <x:c r="C416" s="21" t="str">
        <x:v>Tidak Dinamakan</x:v>
      </x:c>
      <x:c r="D416" s="21" t="n">
        <x:v>1</x:v>
      </x:c>
      <x:c r="E416" s="21" t="n">
        <x:v>1</x:v>
      </x:c>
    </x:row>
    <x:row r="417">
      <x:c r="A417" s="46" t="str">
        <x:f>"60176172585"</x:f>
        <x:v>60176172585</x:v>
      </x:c>
      <x:c r="B417" s="21" t="str"/>
      <x:c r="C417" s="21" t="str">
        <x:v>cohort 3 B2</x:v>
      </x:c>
      <x:c r="D417" s="21" t="n">
        <x:v>1</x:v>
      </x:c>
      <x:c r="E417" s="21" t="n">
        <x:v>1</x:v>
      </x:c>
    </x:row>
    <x:row r="418">
      <x:c r="A418" s="46" t="str">
        <x:f>"60176200788"</x:f>
        <x:v>60176200788</x:v>
      </x:c>
      <x:c r="B418" s="21" t="str"/>
      <x:c r="C418" s="21" t="str">
        <x:v>TD119 Zero CM</x:v>
      </x:c>
      <x:c r="D418" s="21" t="n">
        <x:v>1</x:v>
      </x:c>
      <x:c r="E418" s="21" t="n">
        <x:v>1</x:v>
      </x:c>
    </x:row>
    <x:row r="419">
      <x:c r="A419" s="46" t="str">
        <x:f>"60176319259"</x:f>
        <x:v>60176319259</x:v>
      </x:c>
      <x:c r="B419" s="21" t="str"/>
      <x:c r="C419" s="21" t="str">
        <x:v>ZKM 7-8 Sept</x:v>
      </x:c>
      <x:c r="D419" s="21" t="n">
        <x:v>1</x:v>
      </x:c>
      <x:c r="E419" s="21" t="n">
        <x:v>1</x:v>
      </x:c>
    </x:row>
    <x:row r="420">
      <x:c r="A420" s="46" t="str">
        <x:f>"60176324921"</x:f>
        <x:v>60176324921</x:v>
      </x:c>
      <x:c r="B420" s="21" t="str">
        <x:v>Adlee</x:v>
      </x:c>
      <x:c r="C420" s="21" t="str">
        <x:v>TD47 Shopee</x:v>
      </x:c>
      <x:c r="D420" s="21" t="n">
        <x:v>1</x:v>
      </x:c>
      <x:c r="E420" s="21" t="n">
        <x:v>1</x:v>
      </x:c>
    </x:row>
    <x:row r="421">
      <x:c r="A421" s="46" t="str">
        <x:f>"60176343427"</x:f>
        <x:v>60176343427</x:v>
      </x:c>
      <x:c r="B421" s="21" t="str"/>
      <x:c r="C421" s="21" t="str">
        <x:v>C8 TT</x:v>
      </x:c>
      <x:c r="D421" s="21" t="n">
        <x:v>1</x:v>
      </x:c>
      <x:c r="E421" s="21" t="n">
        <x:v>1</x:v>
      </x:c>
    </x:row>
    <x:row r="422">
      <x:c r="A422" s="46" t="str">
        <x:f>"60176476558"</x:f>
        <x:v>60176476558</x:v>
      </x:c>
      <x:c r="B422" s="21" t="str">
        <x:v>Pak Teh Oley2</x:v>
      </x:c>
      <x:c r="C422" s="21" t="str">
        <x:v>tiktok mana ns</x:v>
      </x:c>
      <x:c r="D422" s="21" t="n">
        <x:v>1</x:v>
      </x:c>
      <x:c r="E422" s="21" t="n">
        <x:v>1</x:v>
      </x:c>
    </x:row>
    <x:row r="423">
      <x:c r="A423" s="46" t="str">
        <x:f>"60176477837"</x:f>
        <x:v>60176477837</x:v>
      </x:c>
      <x:c r="B423" s="21" t="str">
        <x:v>Siti Aisah Mohd Ibrahim</x:v>
      </x:c>
      <x:c r="C423" s="21" t="str">
        <x:v>tiktok 12-13 Jan 2026</x:v>
      </x:c>
      <x:c r="D423" s="21" t="n">
        <x:v>1</x:v>
      </x:c>
      <x:c r="E423" s="21" t="n">
        <x:v>1</x:v>
      </x:c>
    </x:row>
    <x:row r="424">
      <x:c r="A424" s="46" t="str">
        <x:f>"60176528522"</x:f>
        <x:v>60176528522</x:v>
      </x:c>
      <x:c r="B424" s="21" t="str">
        <x:v>syafiqtaib</x:v>
      </x:c>
      <x:c r="C424" s="21" t="str">
        <x:v>tiktok 12-13 Jan 2026</x:v>
      </x:c>
      <x:c r="D424" s="21" t="n">
        <x:v>1</x:v>
      </x:c>
      <x:c r="E424" s="21" t="n">
        <x:v>1</x:v>
      </x:c>
    </x:row>
    <x:row r="425">
      <x:c r="A425" s="46" t="str">
        <x:f>"60176676785"</x:f>
        <x:v>60176676785</x:v>
      </x:c>
      <x:c r="B425" s="21" t="str"/>
      <x:c r="C425" s="21" t="str">
        <x:v>cohort 3 B2</x:v>
      </x:c>
      <x:c r="D425" s="21" t="n">
        <x:v>1</x:v>
      </x:c>
      <x:c r="E425" s="21" t="n">
        <x:v>1</x:v>
      </x:c>
    </x:row>
    <x:row r="426">
      <x:c r="A426" s="46" t="str">
        <x:f>"60176864075"</x:f>
        <x:v>60176864075</x:v>
      </x:c>
      <x:c r="B426" s="21" t="str"/>
      <x:c r="C426" s="21" t="str">
        <x:v>ZKM 7-8 Sept</x:v>
      </x:c>
      <x:c r="D426" s="21" t="n">
        <x:v>1</x:v>
      </x:c>
      <x:c r="E426" s="21" t="n">
        <x:v>1</x:v>
      </x:c>
    </x:row>
    <x:row r="427">
      <x:c r="A427" s="46" t="str">
        <x:f>"60176895341"</x:f>
        <x:v>60176895341</x:v>
      </x:c>
      <x:c r="B427" s="21" t="str">
        <x:v>Nur Insani</x:v>
      </x:c>
      <x:c r="C427" s="21" t="str">
        <x:v>TD1 eMkt</x:v>
      </x:c>
      <x:c r="D427" s="21" t="n">
        <x:v>1</x:v>
      </x:c>
      <x:c r="E427" s="21" t="n">
        <x:v>1</x:v>
      </x:c>
    </x:row>
    <x:row r="428">
      <x:c r="A428" s="46" t="str">
        <x:f>"60176928538"</x:f>
        <x:v>60176928538</x:v>
      </x:c>
      <x:c r="B428" s="21" t="str"/>
      <x:c r="C428" s="21" t="str">
        <x:v>cohort3TT</x:v>
      </x:c>
      <x:c r="D428" s="21" t="n">
        <x:v>1</x:v>
      </x:c>
      <x:c r="E428" s="21" t="n">
        <x:v>1</x:v>
      </x:c>
    </x:row>
    <x:row r="429">
      <x:c r="A429" s="46" t="str">
        <x:f>"60177027348"</x:f>
        <x:v>60177027348</x:v>
      </x:c>
      <x:c r="B429" s="21" t="str"/>
      <x:c r="C429" s="21" t="str">
        <x:v>TDAG12</x:v>
      </x:c>
      <x:c r="D429" s="21" t="n">
        <x:v>1</x:v>
      </x:c>
      <x:c r="E429" s="21" t="n">
        <x:v>1</x:v>
      </x:c>
    </x:row>
    <x:row r="430">
      <x:c r="A430" s="46" t="str">
        <x:f>"60177110169"</x:f>
        <x:v>60177110169</x:v>
      </x:c>
      <x:c r="B430" s="21" t="str">
        <x:v>Veeramani Subramanian</x:v>
      </x:c>
      <x:c r="C430" s="21" t="str">
        <x:v>cohort3TT</x:v>
      </x:c>
      <x:c r="D430" s="21" t="n">
        <x:v>1</x:v>
      </x:c>
      <x:c r="E430" s="21" t="n">
        <x:v>1</x:v>
      </x:c>
    </x:row>
    <x:row r="431">
      <x:c r="A431" s="46" t="str">
        <x:f>"60177522196"</x:f>
        <x:v>60177522196</x:v>
      </x:c>
      <x:c r="B431" s="21" t="str"/>
      <x:c r="C431" s="21" t="str">
        <x:v>ZKM 7-8 Sept</x:v>
      </x:c>
      <x:c r="D431" s="21" t="n">
        <x:v>1</x:v>
      </x:c>
      <x:c r="E431" s="21" t="n">
        <x:v>1</x:v>
      </x:c>
    </x:row>
    <x:row r="432">
      <x:c r="A432" s="46" t="str">
        <x:f>"60177714409"</x:f>
        <x:v>60177714409</x:v>
      </x:c>
      <x:c r="B432" s="21" t="str"/>
      <x:c r="C432" s="21" t="str">
        <x:v>TD7 emkt</x:v>
      </x:c>
      <x:c r="D432" s="21" t="n">
        <x:v>1</x:v>
      </x:c>
      <x:c r="E432" s="21" t="n">
        <x:v>1</x:v>
      </x:c>
    </x:row>
    <x:row r="433">
      <x:c r="A433" s="46" t="str">
        <x:f>"60177714490"</x:f>
        <x:v>60177714490</x:v>
      </x:c>
      <x:c r="B433" s="21" t="str"/>
      <x:c r="C433" s="21" t="str">
        <x:v>TD7 emkt</x:v>
      </x:c>
      <x:c r="D433" s="21" t="n">
        <x:v>1</x:v>
      </x:c>
      <x:c r="E433" s="21" t="n">
        <x:v>1</x:v>
      </x:c>
    </x:row>
    <x:row r="434">
      <x:c r="A434" s="46" t="str">
        <x:f>"60177737904"</x:f>
        <x:v>60177737904</x:v>
      </x:c>
      <x:c r="B434" s="21" t="str"/>
      <x:c r="C434" s="21" t="str">
        <x:v>2TT</x:v>
      </x:c>
      <x:c r="D434" s="21" t="n">
        <x:v>1</x:v>
      </x:c>
      <x:c r="E434" s="21" t="n">
        <x:v>1</x:v>
      </x:c>
    </x:row>
    <x:row r="435">
      <x:c r="A435" s="46" t="str">
        <x:f>"60177806027"</x:f>
        <x:v>60177806027</x:v>
      </x:c>
      <x:c r="B435" s="21" t="str"/>
      <x:c r="C435" s="21" t="str">
        <x:v>eusahawan28 April</x:v>
      </x:c>
      <x:c r="D435" s="21" t="n">
        <x:v>1</x:v>
      </x:c>
      <x:c r="E435" s="21" t="n">
        <x:v>1</x:v>
      </x:c>
    </x:row>
    <x:row r="436">
      <x:c r="A436" s="46" t="str">
        <x:f>"60177810146"</x:f>
        <x:v>60177810146</x:v>
      </x:c>
      <x:c r="B436" s="21" t="str"/>
      <x:c r="C436" s="21" t="str">
        <x:v>TDAG12</x:v>
      </x:c>
      <x:c r="D436" s="21" t="n">
        <x:v>1</x:v>
      </x:c>
      <x:c r="E436" s="21" t="n">
        <x:v>1</x:v>
      </x:c>
    </x:row>
    <x:row r="437">
      <x:c r="A437" s="46" t="str">
        <x:f>"60177881990"</x:f>
        <x:v>60177881990</x:v>
      </x:c>
      <x:c r="B437" s="21" t="str"/>
      <x:c r="C437" s="21" t="str">
        <x:v>ti9596</x:v>
      </x:c>
      <x:c r="D437" s="21" t="n">
        <x:v>1</x:v>
      </x:c>
      <x:c r="E437" s="21" t="n">
        <x:v>1</x:v>
      </x:c>
    </x:row>
    <x:row r="438">
      <x:c r="A438" s="46" t="str">
        <x:f>"60177978939"</x:f>
        <x:v>60177978939</x:v>
      </x:c>
      <x:c r="B438" s="21" t="str"/>
      <x:c r="C438" s="21" t="str">
        <x:v>tiktok mana ns</x:v>
      </x:c>
      <x:c r="D438" s="21" t="n">
        <x:v>1</x:v>
      </x:c>
      <x:c r="E438" s="21" t="n">
        <x:v>1</x:v>
      </x:c>
    </x:row>
    <x:row r="439">
      <x:c r="A439" s="46" t="str">
        <x:f>"60177997396"</x:f>
        <x:v>60177997396</x:v>
      </x:c>
      <x:c r="B439" s="21" t="str"/>
      <x:c r="C439" s="21" t="str">
        <x:v>TD1 eMkt</x:v>
      </x:c>
      <x:c r="D439" s="21" t="n">
        <x:v>1</x:v>
      </x:c>
      <x:c r="E439" s="21" t="n">
        <x:v>1</x:v>
      </x:c>
    </x:row>
    <x:row r="440">
      <x:c r="A440" s="46" t="str">
        <x:f>"60178187711"</x:f>
        <x:v>60178187711</x:v>
      </x:c>
      <x:c r="B440" s="21" t="str">
        <x:v>Tn.Irwin M D Ker</x:v>
      </x:c>
      <x:c r="C440" s="21" t="str">
        <x:v>Tidak Dinamakan</x:v>
      </x:c>
      <x:c r="D440" s="21" t="n">
        <x:v>1</x:v>
      </x:c>
      <x:c r="E440" s="21" t="n">
        <x:v>1</x:v>
      </x:c>
    </x:row>
    <x:row r="441">
      <x:c r="A441" s="46" t="str">
        <x:f>"60178434610"</x:f>
        <x:v>60178434610</x:v>
      </x:c>
      <x:c r="B441" s="21" t="str"/>
      <x:c r="C441" s="21" t="str">
        <x:v>tdag79</x:v>
      </x:c>
      <x:c r="D441" s="21" t="n">
        <x:v>1</x:v>
      </x:c>
      <x:c r="E441" s="21" t="n">
        <x:v>1</x:v>
      </x:c>
    </x:row>
    <x:row r="442">
      <x:c r="A442" s="46" t="str">
        <x:f>"60178544421"</x:f>
        <x:v>60178544421</x:v>
      </x:c>
      <x:c r="B442" s="21" t="str"/>
      <x:c r="C442" s="21" t="str">
        <x:v>EBOARD C8 SP; mcbr02</x:v>
      </x:c>
      <x:c r="D442" s="21" t="n">
        <x:v>2</x:v>
      </x:c>
      <x:c r="E442" s="21" t="n">
        <x:v>2</x:v>
      </x:c>
    </x:row>
    <x:row r="443">
      <x:c r="A443" s="46" t="str">
        <x:f>"60178652769"</x:f>
        <x:v>60178652769</x:v>
      </x:c>
      <x:c r="B443" s="21" t="str"/>
      <x:c r="C443" s="21" t="str">
        <x:v>TD47 Shopee</x:v>
      </x:c>
      <x:c r="D443" s="21" t="n">
        <x:v>1</x:v>
      </x:c>
      <x:c r="E443" s="21" t="n">
        <x:v>1</x:v>
      </x:c>
    </x:row>
    <x:row r="444">
      <x:c r="A444" s="46" t="str">
        <x:f>"60178661675"</x:f>
        <x:v>60178661675</x:v>
      </x:c>
      <x:c r="B444" s="21" t="str">
        <x:v>A.Z.A.M.</x:v>
      </x:c>
      <x:c r="C444" s="21" t="str">
        <x:v>mcbr02</x:v>
      </x:c>
      <x:c r="D444" s="21" t="n">
        <x:v>1</x:v>
      </x:c>
      <x:c r="E444" s="21" t="n">
        <x:v>1</x:v>
      </x:c>
    </x:row>
    <x:row r="445">
      <x:c r="A445" s="46" t="str">
        <x:f>"60178785657"</x:f>
        <x:v>60178785657</x:v>
      </x:c>
      <x:c r="B445" s="21" t="str"/>
      <x:c r="C445" s="21" t="str">
        <x:v>cohort3TT</x:v>
      </x:c>
      <x:c r="D445" s="21" t="n">
        <x:v>1</x:v>
      </x:c>
      <x:c r="E445" s="21" t="n">
        <x:v>1</x:v>
      </x:c>
    </x:row>
    <x:row r="446">
      <x:c r="A446" s="46" t="str">
        <x:f>"60178839176"</x:f>
        <x:v>60178839176</x:v>
      </x:c>
      <x:c r="B446" s="21" t="str">
        <x:v>Since 2014: Abdul Rahman Sunnah Enterprise Merangkap UsahawanBaitumalMaiwp</x:v>
      </x:c>
      <x:c r="C446" s="21" t="str">
        <x:v>TD1 eMkt</x:v>
      </x:c>
      <x:c r="D446" s="21" t="n">
        <x:v>1</x:v>
      </x:c>
      <x:c r="E446" s="21" t="n">
        <x:v>1</x:v>
      </x:c>
    </x:row>
    <x:row r="447">
      <x:c r="A447" s="46" t="str">
        <x:f>"60178888459"</x:f>
        <x:v>60178888459</x:v>
      </x:c>
      <x:c r="B447" s="21" t="str"/>
      <x:c r="C447" s="21" t="str">
        <x:v>mcbr02</x:v>
      </x:c>
      <x:c r="D447" s="21" t="n">
        <x:v>1</x:v>
      </x:c>
      <x:c r="E447" s="21" t="n">
        <x:v>1</x:v>
      </x:c>
    </x:row>
    <x:row r="448">
      <x:c r="A448" s="46" t="str">
        <x:f>"60179005284"</x:f>
        <x:v>60179005284</x:v>
      </x:c>
      <x:c r="B448" s="21" t="str"/>
      <x:c r="C448" s="21" t="str">
        <x:v>TD1 eMkt</x:v>
      </x:c>
      <x:c r="D448" s="21" t="n">
        <x:v>1</x:v>
      </x:c>
      <x:c r="E448" s="21" t="n">
        <x:v>1</x:v>
      </x:c>
    </x:row>
    <x:row r="449">
      <x:c r="A449" s="46" t="str">
        <x:f>"60179040047"</x:f>
        <x:v>60179040047</x:v>
      </x:c>
      <x:c r="B449" s="21" t="str"/>
      <x:c r="C449" s="21" t="str">
        <x:v>cohort3TT</x:v>
      </x:c>
      <x:c r="D449" s="21" t="n">
        <x:v>1</x:v>
      </x:c>
      <x:c r="E449" s="21" t="n">
        <x:v>1</x:v>
      </x:c>
    </x:row>
    <x:row r="450">
      <x:c r="A450" s="46" t="str">
        <x:f>"60179149882"</x:f>
        <x:v>60179149882</x:v>
      </x:c>
      <x:c r="B450" s="21" t="str">
        <x:v>ahmad hazwan</x:v>
      </x:c>
      <x:c r="C450" s="21" t="str">
        <x:v>TD137</x:v>
      </x:c>
      <x:c r="D450" s="21" t="n">
        <x:v>1</x:v>
      </x:c>
      <x:c r="E450" s="21" t="n">
        <x:v>1</x:v>
      </x:c>
    </x:row>
    <x:row r="451">
      <x:c r="A451" s="46" t="str">
        <x:f>"60179178524"</x:f>
        <x:v>60179178524</x:v>
      </x:c>
      <x:c r="B451" s="21" t="str"/>
      <x:c r="C451" s="21" t="str">
        <x:v>TD137</x:v>
      </x:c>
      <x:c r="D451" s="21" t="n">
        <x:v>1</x:v>
      </x:c>
      <x:c r="E451" s="21" t="n">
        <x:v>1</x:v>
      </x:c>
    </x:row>
    <x:row r="452">
      <x:c r="A452" s="46" t="str">
        <x:f>"60179401769"</x:f>
        <x:v>60179401769</x:v>
      </x:c>
      <x:c r="B452" s="21" t="str"/>
      <x:c r="C452" s="21" t="str">
        <x:v>tdag79</x:v>
      </x:c>
      <x:c r="D452" s="21" t="n">
        <x:v>1</x:v>
      </x:c>
      <x:c r="E452" s="21" t="n">
        <x:v>1</x:v>
      </x:c>
    </x:row>
    <x:row r="453">
      <x:c r="A453" s="46" t="str">
        <x:f>"60179548930"</x:f>
        <x:v>60179548930</x:v>
      </x:c>
      <x:c r="B453" s="21" t="str"/>
      <x:c r="C453" s="21" t="str">
        <x:v>C1TT</x:v>
      </x:c>
      <x:c r="D453" s="21" t="n">
        <x:v>1</x:v>
      </x:c>
      <x:c r="E453" s="21" t="n">
        <x:v>1</x:v>
      </x:c>
    </x:row>
    <x:row r="454">
      <x:c r="A454" s="46" t="str">
        <x:f>"60179731307"</x:f>
        <x:v>60179731307</x:v>
      </x:c>
      <x:c r="B454" s="21" t="str">
        <x:v>Suhaimi Uwais Al Qarni</x:v>
      </x:c>
      <x:c r="C454" s="21" t="str">
        <x:v>emarket11-12</x:v>
      </x:c>
      <x:c r="D454" s="21" t="n">
        <x:v>1</x:v>
      </x:c>
      <x:c r="E454" s="21" t="n">
        <x:v>1</x:v>
      </x:c>
    </x:row>
    <x:row r="455">
      <x:c r="A455" s="46" t="str">
        <x:f>"60179854190"</x:f>
        <x:v>60179854190</x:v>
      </x:c>
      <x:c r="B455" s="21" t="str"/>
      <x:c r="C455" s="21" t="str">
        <x:v>tiktok mana ns</x:v>
      </x:c>
      <x:c r="D455" s="21" t="n">
        <x:v>1</x:v>
      </x:c>
      <x:c r="E455" s="21" t="n">
        <x:v>1</x:v>
      </x:c>
    </x:row>
    <x:row r="456">
      <x:c r="A456" s="46" t="str">
        <x:f>"60182255542"</x:f>
        <x:v>60182255542</x:v>
      </x:c>
      <x:c r="B456" s="21" t="str"/>
      <x:c r="C456" s="21" t="str">
        <x:v>cohort 3 B2</x:v>
      </x:c>
      <x:c r="D456" s="21" t="n">
        <x:v>1</x:v>
      </x:c>
      <x:c r="E456" s="21" t="n">
        <x:v>1</x:v>
      </x:c>
    </x:row>
    <x:row r="457">
      <x:c r="A457" s="46" t="str">
        <x:f>"60182596562"</x:f>
        <x:v>60182596562</x:v>
      </x:c>
      <x:c r="B457" s="21" t="str">
        <x:v>RESTORAN AND ACCOMMODATION ASAM PEDAS</x:v>
      </x:c>
      <x:c r="C457" s="21" t="str">
        <x:v>2TT</x:v>
      </x:c>
      <x:c r="D457" s="21" t="n">
        <x:v>1</x:v>
      </x:c>
      <x:c r="E457" s="21" t="n">
        <x:v>1</x:v>
      </x:c>
    </x:row>
    <x:row r="458">
      <x:c r="A458" s="46" t="str">
        <x:f>"60182629202"</x:f>
        <x:v>60182629202</x:v>
      </x:c>
      <x:c r="B458" s="21" t="str"/>
      <x:c r="C458" s="21" t="str">
        <x:v>tiktok sahanita</x:v>
      </x:c>
      <x:c r="D458" s="21" t="n">
        <x:v>1</x:v>
      </x:c>
      <x:c r="E458" s="21" t="n">
        <x:v>1</x:v>
      </x:c>
    </x:row>
    <x:row r="459">
      <x:c r="A459" s="46" t="str">
        <x:f>"60182711939"</x:f>
        <x:v>60182711939</x:v>
      </x:c>
      <x:c r="B459" s="21" t="str"/>
      <x:c r="C459" s="21" t="str">
        <x:v>laz 25-26</x:v>
      </x:c>
      <x:c r="D459" s="21" t="n">
        <x:v>1</x:v>
      </x:c>
      <x:c r="E459" s="21" t="n">
        <x:v>1</x:v>
      </x:c>
    </x:row>
    <x:row r="460">
      <x:c r="A460" s="46" t="str">
        <x:f>"60183158957"</x:f>
        <x:v>60183158957</x:v>
      </x:c>
      <x:c r="B460" s="21" t="str"/>
      <x:c r="C460" s="21" t="str">
        <x:v>tiktok cz</x:v>
      </x:c>
      <x:c r="D460" s="21" t="n">
        <x:v>1</x:v>
      </x:c>
      <x:c r="E460" s="21" t="n">
        <x:v>1</x:v>
      </x:c>
    </x:row>
    <x:row r="461">
      <x:c r="A461" s="46" t="str">
        <x:f>"60183236769"</x:f>
        <x:v>60183236769</x:v>
      </x:c>
      <x:c r="B461" s="21" t="str">
        <x:v>zati d hati</x:v>
      </x:c>
      <x:c r="C461" s="21" t="str">
        <x:v>tiktok 12-13 Jan 2026</x:v>
      </x:c>
      <x:c r="D461" s="21" t="n">
        <x:v>1</x:v>
      </x:c>
      <x:c r="E461" s="21" t="n">
        <x:v>1</x:v>
      </x:c>
    </x:row>
    <x:row r="462">
      <x:c r="A462" s="46" t="str">
        <x:f>"60183534473"</x:f>
        <x:v>60183534473</x:v>
      </x:c>
      <x:c r="B462" s="21" t="str">
        <x:v>Bittersweet</x:v>
      </x:c>
      <x:c r="C462" s="21" t="str">
        <x:v>EBOARD C8 SP; mcbr02</x:v>
      </x:c>
      <x:c r="D462" s="21" t="n">
        <x:v>2</x:v>
      </x:c>
      <x:c r="E462" s="21" t="n">
        <x:v>2</x:v>
      </x:c>
    </x:row>
    <x:row r="463">
      <x:c r="A463" s="46" t="str">
        <x:f>"60183638964"</x:f>
        <x:v>60183638964</x:v>
      </x:c>
      <x:c r="B463" s="21" t="str">
        <x:v>RCI X HEDIYE</x:v>
      </x:c>
      <x:c r="C463" s="21" t="str">
        <x:v>mcbr02</x:v>
      </x:c>
      <x:c r="D463" s="21" t="n">
        <x:v>1</x:v>
      </x:c>
      <x:c r="E463" s="21" t="n">
        <x:v>1</x:v>
      </x:c>
    </x:row>
    <x:row r="464">
      <x:c r="A464" s="46" t="str">
        <x:f>"60183736964"</x:f>
        <x:v>60183736964</x:v>
      </x:c>
      <x:c r="B464" s="21" t="str"/>
      <x:c r="C464" s="21" t="str">
        <x:v>Td21 emkrt</x:v>
      </x:c>
      <x:c r="D464" s="21" t="n">
        <x:v>1</x:v>
      </x:c>
      <x:c r="E464" s="21" t="n">
        <x:v>1</x:v>
      </x:c>
    </x:row>
    <x:row r="465">
      <x:c r="A465" s="46" t="str">
        <x:f>"60183829686"</x:f>
        <x:v>60183829686</x:v>
      </x:c>
      <x:c r="B465" s="21" t="str">
        <x:v>Aida Hassan</x:v>
      </x:c>
      <x:c r="C465" s="21" t="str">
        <x:v>shopee laz 25-26 Ogos</x:v>
      </x:c>
      <x:c r="D465" s="21" t="n">
        <x:v>1</x:v>
      </x:c>
      <x:c r="E465" s="21" t="n">
        <x:v>1</x:v>
      </x:c>
    </x:row>
    <x:row r="466">
      <x:c r="A466" s="46" t="str">
        <x:f>"60184626786"</x:f>
        <x:v>60184626786</x:v>
      </x:c>
      <x:c r="B466" s="21" t="str">
        <x:v>Northern Property Best Solution</x:v>
      </x:c>
      <x:c r="C466" s="21" t="str">
        <x:v>EBOARD C8 SP</x:v>
      </x:c>
      <x:c r="D466" s="21" t="n">
        <x:v>1</x:v>
      </x:c>
      <x:c r="E466" s="21" t="n">
        <x:v>1</x:v>
      </x:c>
    </x:row>
    <x:row r="467">
      <x:c r="A467" s="46" t="str">
        <x:f>"60184641511"</x:f>
        <x:v>60184641511</x:v>
      </x:c>
      <x:c r="B467" s="21" t="str"/>
      <x:c r="C467" s="21" t="str">
        <x:v>TD7 emkt</x:v>
      </x:c>
      <x:c r="D467" s="21" t="n">
        <x:v>1</x:v>
      </x:c>
      <x:c r="E467" s="21" t="n">
        <x:v>1</x:v>
      </x:c>
    </x:row>
    <x:row r="468">
      <x:c r="A468" s="46" t="str">
        <x:f>"60184645236"</x:f>
        <x:v>60184645236</x:v>
      </x:c>
      <x:c r="B468" s="21" t="str">
        <x:v>Pakmaon Kitchen</x:v>
      </x:c>
      <x:c r="C468" s="21" t="str">
        <x:v>C8 TT</x:v>
      </x:c>
      <x:c r="D468" s="21" t="n">
        <x:v>1</x:v>
      </x:c>
      <x:c r="E468" s="21" t="n">
        <x:v>1</x:v>
      </x:c>
    </x:row>
    <x:row r="469">
      <x:c r="A469" s="46" t="str">
        <x:f>"60185734526"</x:f>
        <x:v>60185734526</x:v>
      </x:c>
      <x:c r="B469" s="21" t="str"/>
      <x:c r="C469" s="21" t="str">
        <x:v>cohort 3 B2</x:v>
      </x:c>
      <x:c r="D469" s="21" t="n">
        <x:v>1</x:v>
      </x:c>
      <x:c r="E469" s="21" t="n">
        <x:v>1</x:v>
      </x:c>
    </x:row>
    <x:row r="470">
      <x:c r="A470" s="46" t="str">
        <x:f>"60185779949"</x:f>
        <x:v>60185779949</x:v>
      </x:c>
      <x:c r="B470" s="21" t="str">
        <x:v>Farahinur</x:v>
      </x:c>
      <x:c r="C470" s="21" t="str">
        <x:v>TD7 emkt</x:v>
      </x:c>
      <x:c r="D470" s="21" t="n">
        <x:v>1</x:v>
      </x:c>
      <x:c r="E470" s="21" t="n">
        <x:v>1</x:v>
      </x:c>
    </x:row>
    <x:row r="471">
      <x:c r="A471" s="46" t="str">
        <x:f>"60186654805"</x:f>
        <x:v>60186654805</x:v>
      </x:c>
      <x:c r="B471" s="21" t="str"/>
      <x:c r="C471" s="21" t="str">
        <x:v>C8 TT; Td21 emkrt; td32</x:v>
      </x:c>
      <x:c r="D471" s="21" t="n">
        <x:v>3</x:v>
      </x:c>
      <x:c r="E471" s="21" t="n">
        <x:v>3</x:v>
      </x:c>
    </x:row>
    <x:row r="472">
      <x:c r="A472" s="46" t="str">
        <x:f>"60189144121"</x:f>
        <x:v>60189144121</x:v>
      </x:c>
      <x:c r="B472" s="21" t="str">
        <x:v>Nadia Mahadi</x:v>
      </x:c>
      <x:c r="C472" s="21" t="str">
        <x:v>tiktok 12-13 Jan 2026</x:v>
      </x:c>
      <x:c r="D472" s="21" t="n">
        <x:v>1</x:v>
      </x:c>
      <x:c r="E472" s="21" t="n">
        <x:v>1</x:v>
      </x:c>
    </x:row>
    <x:row r="473">
      <x:c r="A473" s="46" t="str">
        <x:f>"60189584566"</x:f>
        <x:v>60189584566</x:v>
      </x:c>
      <x:c r="B473" s="21" t="str">
        <x:v>Lot 8 kitchen</x:v>
      </x:c>
      <x:c r="C473" s="21" t="str">
        <x:v>EBOARD C8 SP</x:v>
      </x:c>
      <x:c r="D473" s="21" t="n">
        <x:v>1</x:v>
      </x:c>
      <x:c r="E473" s="21" t="n">
        <x:v>1</x:v>
      </x:c>
    </x:row>
    <x:row r="474">
      <x:c r="A474" s="46" t="str">
        <x:f>"60189813965"</x:f>
        <x:v>60189813965</x:v>
      </x:c>
      <x:c r="B474" s="21" t="str"/>
      <x:c r="C474" s="21" t="str">
        <x:v>ZKM 7-8 Sept</x:v>
      </x:c>
      <x:c r="D474" s="21" t="n">
        <x:v>1</x:v>
      </x:c>
      <x:c r="E474" s="21" t="n">
        <x:v>1</x:v>
      </x:c>
    </x:row>
    <x:row r="475">
      <x:c r="A475" s="46" t="str">
        <x:f>"60189846022"</x:f>
        <x:v>60189846022</x:v>
      </x:c>
      <x:c r="B475" s="21" t="str">
        <x:v>Pn Saidati C6 Eboard</x:v>
      </x:c>
      <x:c r="C475" s="21" t="str">
        <x:v>C8 TT</x:v>
      </x:c>
      <x:c r="D475" s="21" t="n">
        <x:v>1</x:v>
      </x:c>
      <x:c r="E475" s="21" t="n">
        <x:v>1</x:v>
      </x:c>
    </x:row>
    <x:row r="476">
      <x:c r="A476" s="46" t="str">
        <x:f>"60192025485"</x:f>
        <x:v>60192025485</x:v>
      </x:c>
      <x:c r="B476" s="21" t="str"/>
      <x:c r="C476" s="21" t="str">
        <x:v>shopee laz 25-26 Ogos</x:v>
      </x:c>
      <x:c r="D476" s="21" t="n">
        <x:v>1</x:v>
      </x:c>
      <x:c r="E476" s="21" t="n">
        <x:v>1</x:v>
      </x:c>
    </x:row>
    <x:row r="477">
      <x:c r="A477" s="46" t="str">
        <x:f>"60192044140"</x:f>
        <x:v>60192044140</x:v>
      </x:c>
      <x:c r="B477" s="21" t="str"/>
      <x:c r="C477" s="21" t="str">
        <x:v>mcbr02</x:v>
      </x:c>
      <x:c r="D477" s="21" t="n">
        <x:v>1</x:v>
      </x:c>
      <x:c r="E477" s="21" t="n">
        <x:v>1</x:v>
      </x:c>
    </x:row>
    <x:row r="478">
      <x:c r="A478" s="46" t="str">
        <x:f>"60192070310"</x:f>
        <x:v>60192070310</x:v>
      </x:c>
      <x:c r="B478" s="21" t="str"/>
      <x:c r="C478" s="21" t="str">
        <x:v>cohort 3 B2</x:v>
      </x:c>
      <x:c r="D478" s="21" t="n">
        <x:v>1</x:v>
      </x:c>
      <x:c r="E478" s="21" t="n">
        <x:v>1</x:v>
      </x:c>
    </x:row>
    <x:row r="479">
      <x:c r="A479" s="46" t="str">
        <x:f>"60192120926"</x:f>
        <x:v>60192120926</x:v>
      </x:c>
      <x:c r="B479" s="21" t="str">
        <x:v>Syafinas Roslan</x:v>
      </x:c>
      <x:c r="C479" s="21" t="str">
        <x:v>Tidak Dinamakan</x:v>
      </x:c>
      <x:c r="D479" s="21" t="n">
        <x:v>1</x:v>
      </x:c>
      <x:c r="E479" s="21" t="n">
        <x:v>1</x:v>
      </x:c>
    </x:row>
    <x:row r="480">
      <x:c r="A480" s="46" t="str">
        <x:f>"60192206780"</x:f>
        <x:v>60192206780</x:v>
      </x:c>
      <x:c r="B480" s="21" t="str"/>
      <x:c r="C480" s="21" t="str">
        <x:v>tiktok cz</x:v>
      </x:c>
      <x:c r="D480" s="21" t="n">
        <x:v>1</x:v>
      </x:c>
      <x:c r="E480" s="21" t="n">
        <x:v>1</x:v>
      </x:c>
    </x:row>
    <x:row r="481">
      <x:c r="A481" s="46" t="str">
        <x:f>"60192216858"</x:f>
        <x:v>60192216858</x:v>
      </x:c>
      <x:c r="B481" s="21" t="str">
        <x:v>Sis Rika Wardrobe Ummi</x:v>
      </x:c>
      <x:c r="C481" s="21" t="str">
        <x:v>cohort 3 B2</x:v>
      </x:c>
      <x:c r="D481" s="21" t="n">
        <x:v>1</x:v>
      </x:c>
      <x:c r="E481" s="21" t="n">
        <x:v>1</x:v>
      </x:c>
    </x:row>
    <x:row r="482">
      <x:c r="A482" s="46" t="str">
        <x:f>"60192231657"</x:f>
        <x:v>60192231657</x:v>
      </x:c>
      <x:c r="B482" s="21" t="str"/>
      <x:c r="C482" s="21" t="str">
        <x:v>emarket11-12</x:v>
      </x:c>
      <x:c r="D482" s="21" t="n">
        <x:v>1</x:v>
      </x:c>
      <x:c r="E482" s="21" t="n">
        <x:v>1</x:v>
      </x:c>
    </x:row>
    <x:row r="483">
      <x:c r="A483" s="46" t="str">
        <x:f>"60192252570"</x:f>
        <x:v>60192252570</x:v>
      </x:c>
      <x:c r="B483" s="21" t="str"/>
      <x:c r="C483" s="21" t="str">
        <x:v>mcbr02</x:v>
      </x:c>
      <x:c r="D483" s="21" t="n">
        <x:v>1</x:v>
      </x:c>
      <x:c r="E483" s="21" t="n">
        <x:v>1</x:v>
      </x:c>
    </x:row>
    <x:row r="484">
      <x:c r="A484" s="46" t="str">
        <x:f>"60192323711"</x:f>
        <x:v>60192323711</x:v>
      </x:c>
      <x:c r="B484" s="21" t="str"/>
      <x:c r="C484" s="21" t="str">
        <x:v>GARAJ WANG</x:v>
      </x:c>
      <x:c r="D484" s="21" t="n">
        <x:v>1</x:v>
      </x:c>
      <x:c r="E484" s="21" t="n">
        <x:v>1</x:v>
      </x:c>
    </x:row>
    <x:row r="485">
      <x:c r="A485" s="46" t="str">
        <x:f>"60192327212"</x:f>
        <x:v>60192327212</x:v>
      </x:c>
      <x:c r="B485" s="21" t="str">
        <x:v>Azfarhan</x:v>
      </x:c>
      <x:c r="C485" s="21" t="str">
        <x:v>TD35 Eposter</x:v>
      </x:c>
      <x:c r="D485" s="21" t="n">
        <x:v>1</x:v>
      </x:c>
      <x:c r="E485" s="21" t="n">
        <x:v>1</x:v>
      </x:c>
    </x:row>
    <x:row r="486">
      <x:c r="A486" s="46" t="str">
        <x:f>"60192350814"</x:f>
        <x:v>60192350814</x:v>
      </x:c>
      <x:c r="B486" s="21" t="str"/>
      <x:c r="C486" s="21" t="str">
        <x:v>group digital products</x:v>
      </x:c>
      <x:c r="D486" s="21" t="n">
        <x:v>1</x:v>
      </x:c>
      <x:c r="E486" s="21" t="n">
        <x:v>1</x:v>
      </x:c>
    </x:row>
    <x:row r="487">
      <x:c r="A487" s="46" t="str">
        <x:f>"60192402024"</x:f>
        <x:v>60192402024</x:v>
      </x:c>
      <x:c r="B487" s="21" t="str">
        <x:v>Syed Hussien Syed Mustafa</x:v>
      </x:c>
      <x:c r="C487" s="21" t="str">
        <x:v>TD119 Zero CM</x:v>
      </x:c>
      <x:c r="D487" s="21" t="n">
        <x:v>1</x:v>
      </x:c>
      <x:c r="E487" s="21" t="n">
        <x:v>1</x:v>
      </x:c>
    </x:row>
    <x:row r="488">
      <x:c r="A488" s="46" t="str">
        <x:f>"60192416053"</x:f>
        <x:v>60192416053</x:v>
      </x:c>
      <x:c r="B488" s="21" t="str"/>
      <x:c r="C488" s="21" t="str">
        <x:v>cohort 3 B2</x:v>
      </x:c>
      <x:c r="D488" s="21" t="n">
        <x:v>1</x:v>
      </x:c>
      <x:c r="E488" s="21" t="n">
        <x:v>1</x:v>
      </x:c>
    </x:row>
    <x:row r="489">
      <x:c r="A489" s="46" t="str">
        <x:f>"60192421911"</x:f>
        <x:v>60192421911</x:v>
      </x:c>
      <x:c r="B489" s="21" t="str"/>
      <x:c r="C489" s="21" t="str">
        <x:v>shopee laz 25-26 Ogos</x:v>
      </x:c>
      <x:c r="D489" s="21" t="n">
        <x:v>1</x:v>
      </x:c>
      <x:c r="E489" s="21" t="n">
        <x:v>1</x:v>
      </x:c>
    </x:row>
    <x:row r="490">
      <x:c r="A490" s="46" t="str">
        <x:f>"60192451236"</x:f>
        <x:v>60192451236</x:v>
      </x:c>
      <x:c r="B490" s="21" t="str"/>
      <x:c r="C490" s="21" t="str">
        <x:v>TD160</x:v>
      </x:c>
      <x:c r="D490" s="21" t="n">
        <x:v>1</x:v>
      </x:c>
      <x:c r="E490" s="21" t="n">
        <x:v>1</x:v>
      </x:c>
    </x:row>
    <x:row r="491">
      <x:c r="A491" s="46" t="str">
        <x:f>"60192486076"</x:f>
        <x:v>60192486076</x:v>
      </x:c>
      <x:c r="B491" s="21" t="str"/>
      <x:c r="C491" s="21" t="str">
        <x:v>emarket11-12</x:v>
      </x:c>
      <x:c r="D491" s="21" t="n">
        <x:v>1</x:v>
      </x:c>
      <x:c r="E491" s="21" t="n">
        <x:v>1</x:v>
      </x:c>
    </x:row>
    <x:row r="492">
      <x:c r="A492" s="46" t="str">
        <x:f>"60192501715"</x:f>
        <x:v>60192501715</x:v>
      </x:c>
      <x:c r="B492" s="21" t="str"/>
      <x:c r="C492" s="21" t="str">
        <x:v>shopee laz 25-26 Ogos</x:v>
      </x:c>
      <x:c r="D492" s="21" t="n">
        <x:v>1</x:v>
      </x:c>
      <x:c r="E492" s="21" t="n">
        <x:v>1</x:v>
      </x:c>
    </x:row>
    <x:row r="493">
      <x:c r="A493" s="46" t="str">
        <x:f>"60192507031"</x:f>
        <x:v>60192507031</x:v>
      </x:c>
      <x:c r="B493" s="21" t="str">
        <x:v>Baju Renang Muslimah</x:v>
      </x:c>
      <x:c r="C493" s="21" t="str">
        <x:v>TD119 Zero CM</x:v>
      </x:c>
      <x:c r="D493" s="21" t="n">
        <x:v>1</x:v>
      </x:c>
      <x:c r="E493" s="21" t="n">
        <x:v>1</x:v>
      </x:c>
    </x:row>
    <x:row r="494">
      <x:c r="A494" s="46" t="str">
        <x:f>"60192580152"</x:f>
        <x:v>60192580152</x:v>
      </x:c>
      <x:c r="B494" s="21" t="str"/>
      <x:c r="C494" s="21" t="str">
        <x:v>TDAG12</x:v>
      </x:c>
      <x:c r="D494" s="21" t="n">
        <x:v>1</x:v>
      </x:c>
      <x:c r="E494" s="21" t="n">
        <x:v>1</x:v>
      </x:c>
    </x:row>
    <x:row r="495">
      <x:c r="A495" s="46" t="str">
        <x:f>"60192621100"</x:f>
        <x:v>60192621100</x:v>
      </x:c>
      <x:c r="B495" s="21" t="str">
        <x:v>Kak Mel Jom Student Counsellor</x:v>
      </x:c>
      <x:c r="C495" s="21" t="str">
        <x:v>cohort 3 B2</x:v>
      </x:c>
      <x:c r="D495" s="21" t="n">
        <x:v>1</x:v>
      </x:c>
      <x:c r="E495" s="21" t="n">
        <x:v>1</x:v>
      </x:c>
    </x:row>
    <x:row r="496">
      <x:c r="A496" s="46" t="str">
        <x:f>"60192680607"</x:f>
        <x:v>60192680607</x:v>
      </x:c>
      <x:c r="B496" s="21" t="str"/>
      <x:c r="C496" s="21" t="str">
        <x:v>tiktok cz</x:v>
      </x:c>
      <x:c r="D496" s="21" t="n">
        <x:v>1</x:v>
      </x:c>
      <x:c r="E496" s="21" t="n">
        <x:v>1</x:v>
      </x:c>
    </x:row>
    <x:row r="497">
      <x:c r="A497" s="46" t="str">
        <x:f>"60192724225"</x:f>
        <x:v>60192724225</x:v>
      </x:c>
      <x:c r="B497" s="21" t="str">
        <x:v>Exile</x:v>
      </x:c>
      <x:c r="C497" s="21" t="str">
        <x:v>lazada 5-6</x:v>
      </x:c>
      <x:c r="D497" s="21" t="n">
        <x:v>1</x:v>
      </x:c>
      <x:c r="E497" s="21" t="n">
        <x:v>1</x:v>
      </x:c>
    </x:row>
    <x:row r="498">
      <x:c r="A498" s="46" t="str">
        <x:f>"60192732509"</x:f>
        <x:v>60192732509</x:v>
      </x:c>
      <x:c r="B498" s="21" t="str">
        <x:v>Ameen Shahrudin</x:v>
      </x:c>
      <x:c r="C498" s="21" t="str">
        <x:v>tiktok mana ns</x:v>
      </x:c>
      <x:c r="D498" s="21" t="n">
        <x:v>1</x:v>
      </x:c>
      <x:c r="E498" s="21" t="n">
        <x:v>1</x:v>
      </x:c>
    </x:row>
    <x:row r="499">
      <x:c r="A499" s="46" t="str">
        <x:f>"60192765752"</x:f>
        <x:v>60192765752</x:v>
      </x:c>
      <x:c r="B499" s="21" t="str"/>
      <x:c r="C499" s="21" t="str">
        <x:v>lazada 5-6</x:v>
      </x:c>
      <x:c r="D499" s="21" t="n">
        <x:v>1</x:v>
      </x:c>
      <x:c r="E499" s="21" t="n">
        <x:v>1</x:v>
      </x:c>
    </x:row>
    <x:row r="500">
      <x:c r="A500" s="46" t="str">
        <x:f>"60192774227"</x:f>
        <x:v>60192774227</x:v>
      </x:c>
      <x:c r="B500" s="21" t="str"/>
      <x:c r="C500" s="21" t="str">
        <x:v>tiktok 12-13 Jan 2026</x:v>
      </x:c>
      <x:c r="D500" s="21" t="n">
        <x:v>1</x:v>
      </x:c>
      <x:c r="E500" s="21" t="n">
        <x:v>1</x:v>
      </x:c>
    </x:row>
    <x:row r="501">
      <x:c r="A501" s="46" t="str">
        <x:f>"60192883332"</x:f>
        <x:v>60192883332</x:v>
      </x:c>
      <x:c r="B501" s="21" t="str"/>
      <x:c r="C501" s="21" t="str">
        <x:v>Tidak Dinamakan</x:v>
      </x:c>
      <x:c r="D501" s="21" t="n">
        <x:v>1</x:v>
      </x:c>
      <x:c r="E501" s="21" t="n">
        <x:v>1</x:v>
      </x:c>
    </x:row>
    <x:row r="502">
      <x:c r="A502" s="46" t="str">
        <x:f>"60193154251"</x:f>
        <x:v>60193154251</x:v>
      </x:c>
      <x:c r="B502" s="21" t="str"/>
      <x:c r="C502" s="21" t="str">
        <x:v>group digital products</x:v>
      </x:c>
      <x:c r="D502" s="21" t="n">
        <x:v>1</x:v>
      </x:c>
      <x:c r="E502" s="21" t="n">
        <x:v>1</x:v>
      </x:c>
    </x:row>
    <x:row r="503">
      <x:c r="A503" s="46" t="str">
        <x:f>"60193177658"</x:f>
        <x:v>60193177658</x:v>
      </x:c>
      <x:c r="B503" s="21" t="str">
        <x:v>Badrul Kulitas Pilot Taiwan</x:v>
      </x:c>
      <x:c r="C503" s="21" t="str">
        <x:v>mcbr02; TD160</x:v>
      </x:c>
      <x:c r="D503" s="21" t="n">
        <x:v>2</x:v>
      </x:c>
      <x:c r="E503" s="21" t="n">
        <x:v>2</x:v>
      </x:c>
    </x:row>
    <x:row r="504">
      <x:c r="A504" s="46" t="str">
        <x:f>"60193197976"</x:f>
        <x:v>60193197976</x:v>
      </x:c>
      <x:c r="B504" s="21" t="str">
        <x:v>Hazura Mek Hartanah</x:v>
      </x:c>
      <x:c r="C504" s="21" t="str">
        <x:v>TD119 Zero CM</x:v>
      </x:c>
      <x:c r="D504" s="21" t="n">
        <x:v>1</x:v>
      </x:c>
      <x:c r="E504" s="21" t="n">
        <x:v>1</x:v>
      </x:c>
    </x:row>
    <x:row r="505">
      <x:c r="A505" s="46" t="str">
        <x:f>"60193255471"</x:f>
        <x:v>60193255471</x:v>
      </x:c>
      <x:c r="B505" s="21" t="str">
        <x:v>Wan Noor Zamran</x:v>
      </x:c>
      <x:c r="C505" s="21" t="str">
        <x:v>C8 TT</x:v>
      </x:c>
      <x:c r="D505" s="21" t="n">
        <x:v>1</x:v>
      </x:c>
      <x:c r="E505" s="21" t="n">
        <x:v>1</x:v>
      </x:c>
    </x:row>
    <x:row r="506">
      <x:c r="A506" s="46" t="str">
        <x:f>"60193356700"</x:f>
        <x:v>60193356700</x:v>
      </x:c>
      <x:c r="B506" s="21" t="str">
        <x:v>Syahmun</x:v>
      </x:c>
      <x:c r="C506" s="21" t="str">
        <x:v>emarket11-12</x:v>
      </x:c>
      <x:c r="D506" s="21" t="n">
        <x:v>1</x:v>
      </x:c>
      <x:c r="E506" s="21" t="n">
        <x:v>1</x:v>
      </x:c>
    </x:row>
    <x:row r="507">
      <x:c r="A507" s="46" t="str">
        <x:f>"60193434856"</x:f>
        <x:v>60193434856</x:v>
      </x:c>
      <x:c r="B507" s="21" t="str">
        <x:v>Nik Azim</x:v>
      </x:c>
      <x:c r="C507" s="21" t="str">
        <x:v>group digital products; GROUP SEMBANG MALAM</x:v>
      </x:c>
      <x:c r="D507" s="21" t="n">
        <x:v>2</x:v>
      </x:c>
      <x:c r="E507" s="21" t="n">
        <x:v>2</x:v>
      </x:c>
    </x:row>
    <x:row r="508">
      <x:c r="A508" s="46" t="str">
        <x:f>"60193449232"</x:f>
        <x:v>60193449232</x:v>
      </x:c>
      <x:c r="B508" s="21" t="str"/>
      <x:c r="C508" s="21" t="str">
        <x:v>td32</x:v>
      </x:c>
      <x:c r="D508" s="21" t="n">
        <x:v>1</x:v>
      </x:c>
      <x:c r="E508" s="21" t="n">
        <x:v>1</x:v>
      </x:c>
    </x:row>
    <x:row r="509">
      <x:c r="A509" s="46" t="str">
        <x:f>"60193456758"</x:f>
        <x:v>60193456758</x:v>
      </x:c>
      <x:c r="B509" s="21" t="str">
        <x:v>Tadika Cahaya Raudhah</x:v>
      </x:c>
      <x:c r="C509" s="21" t="str">
        <x:v>TD119 Zero CM</x:v>
      </x:c>
      <x:c r="D509" s="21" t="n">
        <x:v>1</x:v>
      </x:c>
      <x:c r="E509" s="21" t="n">
        <x:v>1</x:v>
      </x:c>
    </x:row>
    <x:row r="510">
      <x:c r="A510" s="46" t="str">
        <x:f>"60193503566"</x:f>
        <x:v>60193503566</x:v>
      </x:c>
      <x:c r="B510" s="21" t="str"/>
      <x:c r="C510" s="21" t="str">
        <x:v>mcbr02</x:v>
      </x:c>
      <x:c r="D510" s="21" t="n">
        <x:v>1</x:v>
      </x:c>
      <x:c r="E510" s="21" t="n">
        <x:v>1</x:v>
      </x:c>
    </x:row>
    <x:row r="511">
      <x:c r="A511" s="46" t="str">
        <x:f>"60193532341"</x:f>
        <x:v>60193532341</x:v>
      </x:c>
      <x:c r="B511" s="21" t="str"/>
      <x:c r="C511" s="21" t="str">
        <x:v>TD1 eMkt</x:v>
      </x:c>
      <x:c r="D511" s="21" t="n">
        <x:v>1</x:v>
      </x:c>
      <x:c r="E511" s="21" t="n">
        <x:v>1</x:v>
      </x:c>
    </x:row>
    <x:row r="512">
      <x:c r="A512" s="46" t="str">
        <x:f>"60193750538"</x:f>
        <x:v>60193750538</x:v>
      </x:c>
      <x:c r="B512" s="21" t="str">
        <x:v>ROSNAH</x:v>
      </x:c>
      <x:c r="C512" s="21" t="str">
        <x:v>cohort3TT</x:v>
      </x:c>
      <x:c r="D512" s="21" t="n">
        <x:v>1</x:v>
      </x:c>
      <x:c r="E512" s="21" t="n">
        <x:v>1</x:v>
      </x:c>
    </x:row>
    <x:row r="513">
      <x:c r="A513" s="46" t="str">
        <x:f>"60193757542"</x:f>
        <x:v>60193757542</x:v>
      </x:c>
      <x:c r="B513" s="21" t="str">
        <x:v>Norafni A Shani</x:v>
      </x:c>
      <x:c r="C513" s="21" t="str">
        <x:v>group digital products</x:v>
      </x:c>
      <x:c r="D513" s="21" t="n">
        <x:v>1</x:v>
      </x:c>
      <x:c r="E513" s="21" t="n">
        <x:v>1</x:v>
      </x:c>
    </x:row>
    <x:row r="514">
      <x:c r="A514" s="46" t="str">
        <x:f>"60193788333"</x:f>
        <x:v>60193788333</x:v>
      </x:c>
      <x:c r="B514" s="21" t="str"/>
      <x:c r="C514" s="21" t="str">
        <x:v>shopee laz 25-26 Ogos</x:v>
      </x:c>
      <x:c r="D514" s="21" t="n">
        <x:v>1</x:v>
      </x:c>
      <x:c r="E514" s="21" t="n">
        <x:v>1</x:v>
      </x:c>
    </x:row>
    <x:row r="515">
      <x:c r="A515" s="46" t="str">
        <x:f>"60193838119"</x:f>
        <x:v>60193838119</x:v>
      </x:c>
      <x:c r="B515" s="21" t="str"/>
      <x:c r="C515" s="21" t="str">
        <x:v>tiktok mana ns</x:v>
      </x:c>
      <x:c r="D515" s="21" t="n">
        <x:v>1</x:v>
      </x:c>
      <x:c r="E515" s="21" t="n">
        <x:v>1</x:v>
      </x:c>
    </x:row>
    <x:row r="516">
      <x:c r="A516" s="46" t="str">
        <x:f>"60193838336"</x:f>
        <x:v>60193838336</x:v>
      </x:c>
      <x:c r="B516" s="21" t="str">
        <x:v>shakirahamzah</x:v>
      </x:c>
      <x:c r="C516" s="21" t="str">
        <x:v>Tidak Dinamakan</x:v>
      </x:c>
      <x:c r="D516" s="21" t="n">
        <x:v>1</x:v>
      </x:c>
      <x:c r="E516" s="21" t="n">
        <x:v>1</x:v>
      </x:c>
    </x:row>
    <x:row r="517">
      <x:c r="A517" s="46" t="str">
        <x:f>"60193849916"</x:f>
        <x:v>60193849916</x:v>
      </x:c>
      <x:c r="B517" s="21" t="str"/>
      <x:c r="C517" s="21" t="str">
        <x:v>tiktok mana ns</x:v>
      </x:c>
      <x:c r="D517" s="21" t="n">
        <x:v>1</x:v>
      </x:c>
      <x:c r="E517" s="21" t="n">
        <x:v>1</x:v>
      </x:c>
    </x:row>
    <x:row r="518">
      <x:c r="A518" s="46" t="str">
        <x:f>"60193870755"</x:f>
        <x:v>60193870755</x:v>
      </x:c>
      <x:c r="B518" s="21" t="str"/>
      <x:c r="C518" s="21" t="str">
        <x:v>ti9596</x:v>
      </x:c>
      <x:c r="D518" s="21" t="n">
        <x:v>1</x:v>
      </x:c>
      <x:c r="E518" s="21" t="n">
        <x:v>1</x:v>
      </x:c>
    </x:row>
    <x:row r="519">
      <x:c r="A519" s="46" t="str">
        <x:f>"60193905598"</x:f>
        <x:v>60193905598</x:v>
      </x:c>
      <x:c r="B519" s="21" t="str"/>
      <x:c r="C519" s="21" t="str">
        <x:v>TD1 eMkt</x:v>
      </x:c>
      <x:c r="D519" s="21" t="n">
        <x:v>1</x:v>
      </x:c>
      <x:c r="E519" s="21" t="n">
        <x:v>1</x:v>
      </x:c>
    </x:row>
    <x:row r="520">
      <x:c r="A520" s="46" t="str">
        <x:f>"60193909336"</x:f>
        <x:v>60193909336</x:v>
      </x:c>
      <x:c r="B520" s="21" t="str">
        <x:v>Eza Aziz</x:v>
      </x:c>
      <x:c r="C520" s="21" t="str">
        <x:v>tiktok 12-13 Jan 2026</x:v>
      </x:c>
      <x:c r="D520" s="21" t="n">
        <x:v>1</x:v>
      </x:c>
      <x:c r="E520" s="21" t="n">
        <x:v>1</x:v>
      </x:c>
    </x:row>
    <x:row r="521">
      <x:c r="A521" s="46" t="str">
        <x:f>"60194027572"</x:f>
        <x:v>60194027572</x:v>
      </x:c>
      <x:c r="B521" s="21" t="str"/>
      <x:c r="C521" s="21" t="str">
        <x:v>tiktok cz</x:v>
      </x:c>
      <x:c r="D521" s="21" t="n">
        <x:v>1</x:v>
      </x:c>
      <x:c r="E521" s="21" t="n">
        <x:v>1</x:v>
      </x:c>
    </x:row>
    <x:row r="522">
      <x:c r="A522" s="46" t="str">
        <x:f>"60194089799"</x:f>
        <x:v>60194089799</x:v>
      </x:c>
      <x:c r="B522" s="21" t="str"/>
      <x:c r="C522" s="21" t="str">
        <x:v>TD160</x:v>
      </x:c>
      <x:c r="D522" s="21" t="n">
        <x:v>1</x:v>
      </x:c>
      <x:c r="E522" s="21" t="n">
        <x:v>1</x:v>
      </x:c>
    </x:row>
    <x:row r="523">
      <x:c r="A523" s="46" t="str">
        <x:f>"60194187514"</x:f>
        <x:v>60194187514</x:v>
      </x:c>
      <x:c r="B523" s="21" t="str">
        <x:v>Shuhaimi MZ</x:v>
      </x:c>
      <x:c r="C523" s="21" t="str">
        <x:v>tiktok cz</x:v>
      </x:c>
      <x:c r="D523" s="21" t="n">
        <x:v>1</x:v>
      </x:c>
      <x:c r="E523" s="21" t="n">
        <x:v>1</x:v>
      </x:c>
    </x:row>
    <x:row r="524">
      <x:c r="A524" s="46" t="str">
        <x:f>"60194304430"</x:f>
        <x:v>60194304430</x:v>
      </x:c>
      <x:c r="B524" s="21" t="str"/>
      <x:c r="C524" s="21" t="str">
        <x:v>TD160</x:v>
      </x:c>
      <x:c r="D524" s="21" t="n">
        <x:v>1</x:v>
      </x:c>
      <x:c r="E524" s="21" t="n">
        <x:v>1</x:v>
      </x:c>
    </x:row>
    <x:row r="525">
      <x:c r="A525" s="46" t="str">
        <x:f>"60194340880"</x:f>
        <x:v>60194340880</x:v>
      </x:c>
      <x:c r="B525" s="21" t="str">
        <x:v>Ida Azhar</x:v>
      </x:c>
      <x:c r="C525" s="21" t="str">
        <x:v>lazada 5-6</x:v>
      </x:c>
      <x:c r="D525" s="21" t="n">
        <x:v>1</x:v>
      </x:c>
      <x:c r="E525" s="21" t="n">
        <x:v>1</x:v>
      </x:c>
    </x:row>
    <x:row r="526">
      <x:c r="A526" s="46" t="str">
        <x:f>"60194456456"</x:f>
        <x:v>60194456456</x:v>
      </x:c>
      <x:c r="B526" s="21" t="str">
        <x:v>Suhairi Emarketplace Penang</x:v>
      </x:c>
      <x:c r="C526" s="21" t="str">
        <x:v>TD7 emkt</x:v>
      </x:c>
      <x:c r="D526" s="21" t="n">
        <x:v>1</x:v>
      </x:c>
      <x:c r="E526" s="21" t="n">
        <x:v>1</x:v>
      </x:c>
    </x:row>
    <x:row r="527">
      <x:c r="A527" s="46" t="str">
        <x:f>"60194457345"</x:f>
        <x:v>60194457345</x:v>
      </x:c>
      <x:c r="B527" s="21" t="str"/>
      <x:c r="C527" s="21" t="str">
        <x:v>tiktok cz</x:v>
      </x:c>
      <x:c r="D527" s="21" t="n">
        <x:v>1</x:v>
      </x:c>
      <x:c r="E527" s="21" t="n">
        <x:v>1</x:v>
      </x:c>
    </x:row>
    <x:row r="528">
      <x:c r="A528" s="46" t="str">
        <x:f>"60194458455"</x:f>
        <x:v>60194458455</x:v>
      </x:c>
      <x:c r="B528" s="21" t="str"/>
      <x:c r="C528" s="21" t="str">
        <x:v>TD160; tiktok 12-13 Jan 2026</x:v>
      </x:c>
      <x:c r="D528" s="21" t="n">
        <x:v>2</x:v>
      </x:c>
      <x:c r="E528" s="21" t="n">
        <x:v>2</x:v>
      </x:c>
    </x:row>
    <x:row r="529">
      <x:c r="A529" s="46" t="str">
        <x:f>"60194570560"</x:f>
        <x:v>60194570560</x:v>
      </x:c>
      <x:c r="B529" s="21" t="str"/>
      <x:c r="C529" s="21" t="str">
        <x:v>emarket11-12</x:v>
      </x:c>
      <x:c r="D529" s="21" t="n">
        <x:v>1</x:v>
      </x:c>
      <x:c r="E529" s="21" t="n">
        <x:v>1</x:v>
      </x:c>
    </x:row>
    <x:row r="530">
      <x:c r="A530" s="46" t="str">
        <x:f>"60194723622"</x:f>
        <x:v>60194723622</x:v>
      </x:c>
      <x:c r="B530" s="21" t="str">
        <x:v>Dr Azhar</x:v>
      </x:c>
      <x:c r="C530" s="21" t="str">
        <x:v>TD1 eMkt</x:v>
      </x:c>
      <x:c r="D530" s="21" t="n">
        <x:v>1</x:v>
      </x:c>
      <x:c r="E530" s="21" t="n">
        <x:v>1</x:v>
      </x:c>
    </x:row>
    <x:row r="531">
      <x:c r="A531" s="46" t="str">
        <x:f>"60194763611"</x:f>
        <x:v>60194763611</x:v>
      </x:c>
      <x:c r="B531" s="21" t="str">
        <x:v>Marzuki Fadeeb Property</x:v>
      </x:c>
      <x:c r="C531" s="21" t="str">
        <x:v>TD119 Zero CM</x:v>
      </x:c>
      <x:c r="D531" s="21" t="n">
        <x:v>1</x:v>
      </x:c>
      <x:c r="E531" s="21" t="n">
        <x:v>1</x:v>
      </x:c>
    </x:row>
    <x:row r="532">
      <x:c r="A532" s="46" t="str">
        <x:f>"60194792511"</x:f>
        <x:v>60194792511</x:v>
      </x:c>
      <x:c r="B532" s="21" t="str">
        <x:v>Fahmi</x:v>
      </x:c>
      <x:c r="C532" s="21" t="str">
        <x:v>EBOARD C8 SP</x:v>
      </x:c>
      <x:c r="D532" s="21" t="n">
        <x:v>1</x:v>
      </x:c>
      <x:c r="E532" s="21" t="n">
        <x:v>1</x:v>
      </x:c>
    </x:row>
    <x:row r="533">
      <x:c r="A533" s="46" t="str">
        <x:f>"60194880706"</x:f>
        <x:v>60194880706</x:v>
      </x:c>
      <x:c r="B533" s="21" t="str"/>
      <x:c r="C533" s="21" t="str">
        <x:v>ti9596</x:v>
      </x:c>
      <x:c r="D533" s="21" t="n">
        <x:v>1</x:v>
      </x:c>
      <x:c r="E533" s="21" t="n">
        <x:v>1</x:v>
      </x:c>
    </x:row>
    <x:row r="534">
      <x:c r="A534" s="46" t="str">
        <x:f>"60194893324"</x:f>
        <x:v>60194893324</x:v>
      </x:c>
      <x:c r="B534" s="21" t="str"/>
      <x:c r="C534" s="21" t="str">
        <x:v>td32</x:v>
      </x:c>
      <x:c r="D534" s="21" t="n">
        <x:v>1</x:v>
      </x:c>
      <x:c r="E534" s="21" t="n">
        <x:v>1</x:v>
      </x:c>
    </x:row>
    <x:row r="535">
      <x:c r="A535" s="46" t="str">
        <x:f>"60195001218"</x:f>
        <x:v>60195001218</x:v>
      </x:c>
      <x:c r="B535" s="21" t="str"/>
      <x:c r="C535" s="21" t="str">
        <x:v>Julai 17</x:v>
      </x:c>
      <x:c r="D535" s="21" t="n">
        <x:v>1</x:v>
      </x:c>
      <x:c r="E535" s="21" t="n">
        <x:v>1</x:v>
      </x:c>
    </x:row>
    <x:row r="536">
      <x:c r="A536" s="46" t="str">
        <x:f>"60195258092"</x:f>
        <x:v>60195258092</x:v>
      </x:c>
      <x:c r="B536" s="21" t="str"/>
      <x:c r="C536" s="21" t="str">
        <x:v>EBOARD C8 SP</x:v>
      </x:c>
      <x:c r="D536" s="21" t="n">
        <x:v>1</x:v>
      </x:c>
      <x:c r="E536" s="21" t="n">
        <x:v>1</x:v>
      </x:c>
    </x:row>
    <x:row r="537">
      <x:c r="A537" s="46" t="str">
        <x:f>"60195309665"</x:f>
        <x:v>60195309665</x:v>
      </x:c>
      <x:c r="B537" s="21" t="str"/>
      <x:c r="C537" s="21" t="str">
        <x:v>tiktok cz</x:v>
      </x:c>
      <x:c r="D537" s="21" t="n">
        <x:v>1</x:v>
      </x:c>
      <x:c r="E537" s="21" t="n">
        <x:v>1</x:v>
      </x:c>
    </x:row>
    <x:row r="538">
      <x:c r="A538" s="46" t="str">
        <x:f>"60195479660"</x:f>
        <x:v>60195479660</x:v>
      </x:c>
      <x:c r="B538" s="21" t="str"/>
      <x:c r="C538" s="21" t="str">
        <x:v>TD35 Eposter</x:v>
      </x:c>
      <x:c r="D538" s="21" t="n">
        <x:v>1</x:v>
      </x:c>
      <x:c r="E538" s="21" t="n">
        <x:v>1</x:v>
      </x:c>
    </x:row>
    <x:row r="539">
      <x:c r="A539" s="46" t="str">
        <x:f>"60195909585"</x:f>
        <x:v>60195909585</x:v>
      </x:c>
      <x:c r="B539" s="21" t="str">
        <x:v>Fariz Abd Rani</x:v>
      </x:c>
      <x:c r="C539" s="21" t="str">
        <x:v>Tidak Dinamakan</x:v>
      </x:c>
      <x:c r="D539" s="21" t="n">
        <x:v>1</x:v>
      </x:c>
      <x:c r="E539" s="21" t="n">
        <x:v>1</x:v>
      </x:c>
    </x:row>
    <x:row r="540">
      <x:c r="A540" s="46" t="str">
        <x:f>"60196265918"</x:f>
        <x:v>60196265918</x:v>
      </x:c>
      <x:c r="B540" s="21" t="str"/>
      <x:c r="C540" s="21" t="str">
        <x:v>group digital products</x:v>
      </x:c>
      <x:c r="D540" s="21" t="n">
        <x:v>1</x:v>
      </x:c>
      <x:c r="E540" s="21" t="n">
        <x:v>1</x:v>
      </x:c>
    </x:row>
    <x:row r="541">
      <x:c r="A541" s="46" t="str">
        <x:f>"60196341774"</x:f>
        <x:v>60196341774</x:v>
      </x:c>
      <x:c r="B541" s="21" t="str"/>
      <x:c r="C541" s="21" t="str">
        <x:v>tiktok cz</x:v>
      </x:c>
      <x:c r="D541" s="21" t="n">
        <x:v>1</x:v>
      </x:c>
      <x:c r="E541" s="21" t="n">
        <x:v>1</x:v>
      </x:c>
    </x:row>
    <x:row r="542">
      <x:c r="A542" s="46" t="str">
        <x:f>"60196361936"</x:f>
        <x:v>60196361936</x:v>
      </x:c>
      <x:c r="B542" s="21" t="str"/>
      <x:c r="C542" s="21" t="str">
        <x:v>cohort 3 B2</x:v>
      </x:c>
      <x:c r="D542" s="21" t="n">
        <x:v>1</x:v>
      </x:c>
      <x:c r="E542" s="21" t="n">
        <x:v>1</x:v>
      </x:c>
    </x:row>
    <x:row r="543">
      <x:c r="A543" s="46" t="str">
        <x:f>"60196368200"</x:f>
        <x:v>60196368200</x:v>
      </x:c>
      <x:c r="B543" s="21" t="str">
        <x:v>Rasyiqah Noh</x:v>
      </x:c>
      <x:c r="C543" s="21" t="str">
        <x:v>TD35 Eposter</x:v>
      </x:c>
      <x:c r="D543" s="21" t="n">
        <x:v>1</x:v>
      </x:c>
      <x:c r="E543" s="21" t="n">
        <x:v>1</x:v>
      </x:c>
    </x:row>
    <x:row r="544">
      <x:c r="A544" s="46" t="str">
        <x:f>"60196526160"</x:f>
        <x:v>60196526160</x:v>
      </x:c>
      <x:c r="B544" s="21" t="str">
        <x:v>Nik Mahani</x:v>
      </x:c>
      <x:c r="C544" s="21" t="str">
        <x:v>shopee laz 25-26 Ogos</x:v>
      </x:c>
      <x:c r="D544" s="21" t="n">
        <x:v>1</x:v>
      </x:c>
      <x:c r="E544" s="21" t="n">
        <x:v>1</x:v>
      </x:c>
    </x:row>
    <x:row r="545">
      <x:c r="A545" s="46" t="str">
        <x:f>"60196581622"</x:f>
        <x:v>60196581622</x:v>
      </x:c>
      <x:c r="B545" s="21" t="str">
        <x:v>Pusat Servis Kereta Shukri</x:v>
      </x:c>
      <x:c r="C545" s="21" t="str">
        <x:v>cohort3TT</x:v>
      </x:c>
      <x:c r="D545" s="21" t="n">
        <x:v>1</x:v>
      </x:c>
      <x:c r="E545" s="21" t="n">
        <x:v>1</x:v>
      </x:c>
    </x:row>
    <x:row r="546">
      <x:c r="A546" s="46" t="str">
        <x:f>"60196596519"</x:f>
        <x:v>60196596519</x:v>
      </x:c>
      <x:c r="B546" s="21" t="str"/>
      <x:c r="C546" s="21" t="str">
        <x:v>Julai 17</x:v>
      </x:c>
      <x:c r="D546" s="21" t="n">
        <x:v>1</x:v>
      </x:c>
      <x:c r="E546" s="21" t="n">
        <x:v>1</x:v>
      </x:c>
    </x:row>
    <x:row r="547">
      <x:c r="A547" s="46" t="str">
        <x:f>"60196861063"</x:f>
        <x:v>60196861063</x:v>
      </x:c>
      <x:c r="B547" s="21" t="str"/>
      <x:c r="C547" s="21" t="str">
        <x:v>tiktok cz</x:v>
      </x:c>
      <x:c r="D547" s="21" t="n">
        <x:v>1</x:v>
      </x:c>
      <x:c r="E547" s="21" t="n">
        <x:v>1</x:v>
      </x:c>
    </x:row>
    <x:row r="548">
      <x:c r="A548" s="46" t="str">
        <x:f>"60196940001"</x:f>
        <x:v>60196940001</x:v>
      </x:c>
      <x:c r="B548" s="21" t="str"/>
      <x:c r="C548" s="21" t="str">
        <x:v>2TT</x:v>
      </x:c>
      <x:c r="D548" s="21" t="n">
        <x:v>1</x:v>
      </x:c>
      <x:c r="E548" s="21" t="n">
        <x:v>1</x:v>
      </x:c>
    </x:row>
    <x:row r="549">
      <x:c r="A549" s="46" t="str">
        <x:f>"60196996150"</x:f>
        <x:v>60196996150</x:v>
      </x:c>
      <x:c r="B549" s="21" t="str">
        <x:v>Muhammad Ghalik Yahaya</x:v>
      </x:c>
      <x:c r="C549" s="21" t="str">
        <x:v>TD1 eMkt</x:v>
      </x:c>
      <x:c r="D549" s="21" t="n">
        <x:v>1</x:v>
      </x:c>
      <x:c r="E549" s="21" t="n">
        <x:v>1</x:v>
      </x:c>
    </x:row>
    <x:row r="550">
      <x:c r="A550" s="46" t="str">
        <x:f>"60196996902"</x:f>
        <x:v>60196996902</x:v>
      </x:c>
      <x:c r="B550" s="21" t="str">
        <x:v>tuan yahya tauke facemask</x:v>
      </x:c>
      <x:c r="C550" s="21" t="str">
        <x:v>C8 LZ</x:v>
      </x:c>
      <x:c r="D550" s="21" t="n">
        <x:v>1</x:v>
      </x:c>
      <x:c r="E550" s="21" t="n">
        <x:v>1</x:v>
      </x:c>
    </x:row>
    <x:row r="551">
      <x:c r="A551" s="46" t="str">
        <x:f>"60196998698"</x:f>
        <x:v>60196998698</x:v>
      </x:c>
      <x:c r="B551" s="21" t="str">
        <x:v>saiful</x:v>
      </x:c>
      <x:c r="C551" s="21" t="str">
        <x:v>TD35 Eposter</x:v>
      </x:c>
      <x:c r="D551" s="21" t="n">
        <x:v>1</x:v>
      </x:c>
      <x:c r="E551" s="21" t="n">
        <x:v>1</x:v>
      </x:c>
    </x:row>
    <x:row r="552">
      <x:c r="A552" s="46" t="str">
        <x:f>"60197279486"</x:f>
        <x:v>60197279486</x:v>
      </x:c>
      <x:c r="B552" s="21" t="str">
        <x:v>Lin Florist Tunas Surprise</x:v>
      </x:c>
      <x:c r="C552" s="21" t="str">
        <x:v>tiktok mana ns</x:v>
      </x:c>
      <x:c r="D552" s="21" t="n">
        <x:v>1</x:v>
      </x:c>
      <x:c r="E552" s="21" t="n">
        <x:v>1</x:v>
      </x:c>
    </x:row>
    <x:row r="553">
      <x:c r="A553" s="46" t="str">
        <x:f>"60197311458"</x:f>
        <x:v>60197311458</x:v>
      </x:c>
      <x:c r="B553" s="21" t="str">
        <x:v>NurFazzLen1705</x:v>
      </x:c>
      <x:c r="C553" s="21" t="str">
        <x:v>mcbr02</x:v>
      </x:c>
      <x:c r="D553" s="21" t="n">
        <x:v>1</x:v>
      </x:c>
      <x:c r="E553" s="21" t="n">
        <x:v>1</x:v>
      </x:c>
    </x:row>
    <x:row r="554">
      <x:c r="A554" s="46" t="str">
        <x:f>"60197312359"</x:f>
        <x:v>60197312359</x:v>
      </x:c>
      <x:c r="B554" s="21" t="str"/>
      <x:c r="C554" s="21" t="str">
        <x:v>lazada 5-6</x:v>
      </x:c>
      <x:c r="D554" s="21" t="n">
        <x:v>1</x:v>
      </x:c>
      <x:c r="E554" s="21" t="n">
        <x:v>1</x:v>
      </x:c>
    </x:row>
    <x:row r="555">
      <x:c r="A555" s="46" t="str">
        <x:f>"60197316585"</x:f>
        <x:v>60197316585</x:v>
      </x:c>
      <x:c r="B555" s="21" t="str"/>
      <x:c r="C555" s="21" t="str">
        <x:v>tiktok 12-13 Jan 2026</x:v>
      </x:c>
      <x:c r="D555" s="21" t="n">
        <x:v>1</x:v>
      </x:c>
      <x:c r="E555" s="21" t="n">
        <x:v>1</x:v>
      </x:c>
    </x:row>
    <x:row r="556">
      <x:c r="A556" s="46" t="str">
        <x:f>"60197723075"</x:f>
        <x:v>60197723075</x:v>
      </x:c>
      <x:c r="B556" s="21" t="str"/>
      <x:c r="C556" s="21" t="str">
        <x:v>TD119 Zero CM</x:v>
      </x:c>
      <x:c r="D556" s="21" t="n">
        <x:v>1</x:v>
      </x:c>
      <x:c r="E556" s="21" t="n">
        <x:v>1</x:v>
      </x:c>
    </x:row>
    <x:row r="557">
      <x:c r="A557" s="46" t="str">
        <x:f>"60197724259"</x:f>
        <x:v>60197724259</x:v>
      </x:c>
      <x:c r="B557" s="21" t="str"/>
      <x:c r="C557" s="21" t="str">
        <x:v>td32</x:v>
      </x:c>
      <x:c r="D557" s="21" t="n">
        <x:v>1</x:v>
      </x:c>
      <x:c r="E557" s="21" t="n">
        <x:v>1</x:v>
      </x:c>
    </x:row>
    <x:row r="558">
      <x:c r="A558" s="46" t="str">
        <x:f>"60197890801"</x:f>
        <x:v>60197890801</x:v>
      </x:c>
      <x:c r="B558" s="21" t="str">
        <x:v>Ecotrac Adventure &amp; Ecotree Camp</x:v>
      </x:c>
      <x:c r="C558" s="21" t="str">
        <x:v>mcbr02</x:v>
      </x:c>
      <x:c r="D558" s="21" t="n">
        <x:v>1</x:v>
      </x:c>
      <x:c r="E558" s="21" t="n">
        <x:v>1</x:v>
      </x:c>
    </x:row>
    <x:row r="559">
      <x:c r="A559" s="46" t="str">
        <x:f>"60197909097"</x:f>
        <x:v>60197909097</x:v>
      </x:c>
      <x:c r="B559" s="21" t="str"/>
      <x:c r="C559" s="21" t="str">
        <x:v>tiktok mana ns</x:v>
      </x:c>
      <x:c r="D559" s="21" t="n">
        <x:v>1</x:v>
      </x:c>
      <x:c r="E559" s="21" t="n">
        <x:v>1</x:v>
      </x:c>
    </x:row>
    <x:row r="560">
      <x:c r="A560" s="46" t="str">
        <x:f>"60198159090"</x:f>
        <x:v>60198159090</x:v>
      </x:c>
      <x:c r="B560" s="21" t="str"/>
      <x:c r="C560" s="21" t="str">
        <x:v>UPM</x:v>
      </x:c>
      <x:c r="D560" s="21" t="n">
        <x:v>1</x:v>
      </x:c>
      <x:c r="E560" s="21" t="n">
        <x:v>1</x:v>
      </x:c>
    </x:row>
    <x:row r="561">
      <x:c r="A561" s="46" t="str">
        <x:f>"60198320212"</x:f>
        <x:v>60198320212</x:v>
      </x:c>
      <x:c r="B561" s="21" t="str">
        <x:v>Anak Orang</x:v>
      </x:c>
      <x:c r="C561" s="21" t="str">
        <x:v>laz 25-26</x:v>
      </x:c>
      <x:c r="D561" s="21" t="n">
        <x:v>1</x:v>
      </x:c>
      <x:c r="E561" s="21" t="n">
        <x:v>1</x:v>
      </x:c>
    </x:row>
    <x:row r="562">
      <x:c r="A562" s="46" t="str">
        <x:f>"60198405461"</x:f>
        <x:v>60198405461</x:v>
      </x:c>
      <x:c r="B562" s="21" t="str"/>
      <x:c r="C562" s="21" t="str">
        <x:v>TD160</x:v>
      </x:c>
      <x:c r="D562" s="21" t="n">
        <x:v>1</x:v>
      </x:c>
      <x:c r="E562" s="21" t="n">
        <x:v>1</x:v>
      </x:c>
    </x:row>
    <x:row r="563">
      <x:c r="A563" s="46" t="str">
        <x:f>"60198439093"</x:f>
        <x:v>60198439093</x:v>
      </x:c>
      <x:c r="B563" s="21" t="str"/>
      <x:c r="C563" s="21" t="str">
        <x:v>Td21 emkrt</x:v>
      </x:c>
      <x:c r="D563" s="21" t="n">
        <x:v>1</x:v>
      </x:c>
      <x:c r="E563" s="21" t="n">
        <x:v>1</x:v>
      </x:c>
    </x:row>
    <x:row r="564">
      <x:c r="A564" s="46" t="str">
        <x:f>"60198486307"</x:f>
        <x:v>60198486307</x:v>
      </x:c>
      <x:c r="B564" s="21" t="str"/>
      <x:c r="C564" s="21" t="str">
        <x:v>UPM</x:v>
      </x:c>
      <x:c r="D564" s="21" t="n">
        <x:v>1</x:v>
      </x:c>
      <x:c r="E564" s="21" t="n">
        <x:v>1</x:v>
      </x:c>
    </x:row>
    <x:row r="565">
      <x:c r="A565" s="46" t="str">
        <x:f>"60198754379"</x:f>
        <x:v>60198754379</x:v>
      </x:c>
      <x:c r="B565" s="21" t="str">
        <x:v>eu rahmat z 060823</x:v>
      </x:c>
      <x:c r="C565" s="21" t="str">
        <x:v>eusahawan28 April</x:v>
      </x:c>
      <x:c r="D565" s="21" t="n">
        <x:v>1</x:v>
      </x:c>
      <x:c r="E565" s="21" t="n">
        <x:v>1</x:v>
      </x:c>
    </x:row>
    <x:row r="566">
      <x:c r="A566" s="46" t="str">
        <x:f>"60198807810"</x:f>
        <x:v>60198807810</x:v>
      </x:c>
      <x:c r="B566" s="21" t="str"/>
      <x:c r="C566" s="21" t="str">
        <x:v>GARAJ WANG</x:v>
      </x:c>
      <x:c r="D566" s="21" t="n">
        <x:v>1</x:v>
      </x:c>
      <x:c r="E566" s="21" t="n">
        <x:v>1</x:v>
      </x:c>
    </x:row>
    <x:row r="567">
      <x:c r="A567" s="46" t="str">
        <x:f>"60199053113"</x:f>
        <x:v>60199053113</x:v>
      </x:c>
      <x:c r="B567" s="21" t="str"/>
      <x:c r="C567" s="21" t="str">
        <x:v>tiktok sahanita</x:v>
      </x:c>
      <x:c r="D567" s="21" t="n">
        <x:v>1</x:v>
      </x:c>
      <x:c r="E567" s="21" t="n">
        <x:v>1</x:v>
      </x:c>
    </x:row>
    <x:row r="568">
      <x:c r="A568" s="46" t="str">
        <x:f>"60199108510"</x:f>
        <x:v>60199108510</x:v>
      </x:c>
      <x:c r="B568" s="21" t="str"/>
      <x:c r="C568" s="21" t="str">
        <x:v>tiktok mana ns</x:v>
      </x:c>
      <x:c r="D568" s="21" t="n">
        <x:v>1</x:v>
      </x:c>
      <x:c r="E568" s="21" t="n">
        <x:v>1</x:v>
      </x:c>
    </x:row>
    <x:row r="569">
      <x:c r="A569" s="46" t="str">
        <x:f>"60199164266"</x:f>
        <x:v>60199164266</x:v>
      </x:c>
      <x:c r="B569" s="21" t="str">
        <x:v>hakkim</x:v>
      </x:c>
      <x:c r="C569" s="21" t="str">
        <x:v>TD160</x:v>
      </x:c>
      <x:c r="D569" s="21" t="n">
        <x:v>1</x:v>
      </x:c>
      <x:c r="E569" s="21" t="n">
        <x:v>1</x:v>
      </x:c>
    </x:row>
    <x:row r="570">
      <x:c r="A570" s="46" t="str">
        <x:f>"60199197114"</x:f>
        <x:v>60199197114</x:v>
      </x:c>
      <x:c r="B570" s="21" t="str">
        <x:v>2à2á</x:v>
      </x:c>
      <x:c r="C570" s="21" t="str">
        <x:v>tiktok cz</x:v>
      </x:c>
      <x:c r="D570" s="21" t="n">
        <x:v>1</x:v>
      </x:c>
      <x:c r="E570" s="21" t="n">
        <x:v>1</x:v>
      </x:c>
    </x:row>
    <x:row r="571">
      <x:c r="A571" s="46" t="str">
        <x:f>"60199255515"</x:f>
        <x:v>60199255515</x:v>
      </x:c>
      <x:c r="B571" s="21" t="str"/>
      <x:c r="C571" s="21" t="str">
        <x:v>group digital products</x:v>
      </x:c>
      <x:c r="D571" s="21" t="n">
        <x:v>1</x:v>
      </x:c>
      <x:c r="E571" s="21" t="n">
        <x:v>1</x:v>
      </x:c>
    </x:row>
    <x:row r="572">
      <x:c r="A572" s="46" t="str">
        <x:f>"60199268470"</x:f>
        <x:v>60199268470</x:v>
      </x:c>
      <x:c r="B572" s="21" t="str"/>
      <x:c r="C572" s="21" t="str">
        <x:v>tiktok sahanita</x:v>
      </x:c>
      <x:c r="D572" s="21" t="n">
        <x:v>1</x:v>
      </x:c>
      <x:c r="E572" s="21" t="n">
        <x:v>1</x:v>
      </x:c>
    </x:row>
    <x:row r="573">
      <x:c r="A573" s="46" t="str">
        <x:f>"60199312964"</x:f>
        <x:v>60199312964</x:v>
      </x:c>
      <x:c r="B573" s="21" t="str"/>
      <x:c r="C573" s="21" t="str">
        <x:v>tiktok sahanita</x:v>
      </x:c>
      <x:c r="D573" s="21" t="n">
        <x:v>1</x:v>
      </x:c>
      <x:c r="E573" s="21" t="n">
        <x:v>1</x:v>
      </x:c>
    </x:row>
    <x:row r="574">
      <x:c r="A574" s="46" t="str">
        <x:f>"60199347013"</x:f>
        <x:v>60199347013</x:v>
      </x:c>
      <x:c r="B574" s="21" t="str"/>
      <x:c r="C574" s="21" t="str">
        <x:v>TD119 Zero CM</x:v>
      </x:c>
      <x:c r="D574" s="21" t="n">
        <x:v>1</x:v>
      </x:c>
      <x:c r="E574" s="21" t="n">
        <x:v>1</x:v>
      </x:c>
    </x:row>
    <x:row r="575">
      <x:c r="A575" s="46" t="str">
        <x:f>"60199412990"</x:f>
        <x:v>60199412990</x:v>
      </x:c>
      <x:c r="B575" s="21" t="str">
        <x:v>Wan Shah</x:v>
      </x:c>
      <x:c r="C575" s="21" t="str">
        <x:v>tiktok sahanita</x:v>
      </x:c>
      <x:c r="D575" s="21" t="n">
        <x:v>1</x:v>
      </x:c>
      <x:c r="E575" s="21" t="n">
        <x:v>1</x:v>
      </x:c>
    </x:row>
    <x:row r="576">
      <x:c r="A576" s="46" t="str">
        <x:f>"60199478559"</x:f>
        <x:v>60199478559</x:v>
      </x:c>
      <x:c r="B576" s="21" t="str">
        <x:v>Pop MaleeAsla LEGACY TOYOTA</x:v>
      </x:c>
      <x:c r="C576" s="21" t="str">
        <x:v>tiktok sahanita</x:v>
      </x:c>
      <x:c r="D576" s="21" t="n">
        <x:v>1</x:v>
      </x:c>
      <x:c r="E576" s="21" t="n">
        <x:v>1</x:v>
      </x:c>
    </x:row>
    <x:row r="577">
      <x:c r="A577" s="46" t="str">
        <x:f>"60199516070"</x:f>
        <x:v>60199516070</x:v>
      </x:c>
      <x:c r="B577" s="21" t="str"/>
      <x:c r="C577" s="21" t="str">
        <x:v>C8 LZ</x:v>
      </x:c>
      <x:c r="D577" s="21" t="n">
        <x:v>1</x:v>
      </x:c>
      <x:c r="E577" s="21" t="n">
        <x:v>1</x:v>
      </x:c>
    </x:row>
    <x:row r="578">
      <x:c r="A578" s="46" t="str">
        <x:f>"60199596579"</x:f>
        <x:v>60199596579</x:v>
      </x:c>
      <x:c r="B578" s="21" t="str"/>
      <x:c r="C578" s="21" t="str">
        <x:v>ti9596</x:v>
      </x:c>
      <x:c r="D578" s="21" t="n">
        <x:v>1</x:v>
      </x:c>
      <x:c r="E578" s="21" t="n">
        <x:v>1</x:v>
      </x:c>
    </x:row>
    <x:row r="579">
      <x:c r="A579" s="46" t="str">
        <x:f>"60199697800"</x:f>
        <x:v>60199697800</x:v>
      </x:c>
      <x:c r="B579" s="21" t="str"/>
      <x:c r="C579" s="21" t="str">
        <x:v>cohort 3 B2</x:v>
      </x:c>
      <x:c r="D579" s="21" t="n">
        <x:v>1</x:v>
      </x:c>
      <x:c r="E579" s="21" t="n">
        <x:v>1</x:v>
      </x:c>
    </x:row>
    <x:row r="580">
      <x:c r="A580" s="46" t="str">
        <x:f>"60199704359"</x:f>
        <x:v>60199704359</x:v>
      </x:c>
      <x:c r="B580" s="21" t="str">
        <x:v>Pizza Medira</x:v>
      </x:c>
      <x:c r="C580" s="21" t="str">
        <x:v>cohort 3 B2</x:v>
      </x:c>
      <x:c r="D580" s="21" t="n">
        <x:v>1</x:v>
      </x:c>
      <x:c r="E580" s="21" t="n">
        <x:v>1</x:v>
      </x:c>
    </x:row>
    <x:row r="581">
      <x:c r="A581" s="46" t="str">
        <x:f>"60199749769"</x:f>
        <x:v>60199749769</x:v>
      </x:c>
      <x:c r="B581" s="21" t="str">
        <x:v>m adlu769</x:v>
      </x:c>
      <x:c r="C581" s="21" t="str">
        <x:v>tiktok cz</x:v>
      </x:c>
      <x:c r="D581" s="21" t="n">
        <x:v>1</x:v>
      </x:c>
      <x:c r="E581" s="21" t="n">
        <x:v>1</x:v>
      </x:c>
    </x:row>
    <x:row r="582">
      <x:c r="A582" s="46" t="str">
        <x:f>"60199752885"</x:f>
        <x:v>60199752885</x:v>
      </x:c>
      <x:c r="B582" s="21" t="str"/>
      <x:c r="C582" s="21" t="str">
        <x:v>tiktok sahanita</x:v>
      </x:c>
      <x:c r="D582" s="21" t="n">
        <x:v>1</x:v>
      </x:c>
      <x:c r="E582" s="21" t="n">
        <x:v>1</x:v>
      </x:c>
    </x:row>
    <x:row r="583">
      <x:c r="A583" s="46" t="str">
        <x:f>"60199773250"</x:f>
        <x:v>60199773250</x:v>
      </x:c>
      <x:c r="B583" s="21" t="str"/>
      <x:c r="C583" s="21" t="str">
        <x:v>laz 25-26</x:v>
      </x:c>
      <x:c r="D583" s="21" t="n">
        <x:v>1</x:v>
      </x:c>
      <x:c r="E583" s="21" t="n">
        <x:v>1</x:v>
      </x:c>
    </x:row>
    <x:row r="584">
      <x:c r="A584" s="46" t="str">
        <x:f>"60199773474"</x:f>
        <x:v>60199773474</x:v>
      </x:c>
      <x:c r="B584" s="21" t="str">
        <x:v>Syfa Aseri</x:v>
      </x:c>
      <x:c r="C584" s="21" t="str">
        <x:v>Td21 emkrt</x:v>
      </x:c>
      <x:c r="D584" s="21" t="n">
        <x:v>1</x:v>
      </x:c>
      <x:c r="E584" s="21" t="n">
        <x:v>1</x:v>
      </x:c>
    </x:row>
    <x:row r="585">
      <x:c r="A585" s="46" t="str">
        <x:f>"60199848123"</x:f>
        <x:v>60199848123</x:v>
      </x:c>
      <x:c r="B585" s="21" t="str"/>
      <x:c r="C585" s="21" t="str">
        <x:v>TD47 Shopee</x:v>
      </x:c>
      <x:c r="D585" s="21" t="n">
        <x:v>1</x:v>
      </x:c>
      <x:c r="E585" s="21" t="n">
        <x:v>1</x:v>
      </x:c>
    </x:row>
    <x:row r="586">
      <x:c r="A586" s="46" t="str">
        <x:f>"60199852375"</x:f>
        <x:v>60199852375</x:v>
      </x:c>
      <x:c r="B586" s="21" t="str">
        <x:v>Nurul Fathia Ayuni Fauzi</x:v>
      </x:c>
      <x:c r="C586" s="21" t="str">
        <x:v>tiktok sahanita</x:v>
      </x:c>
      <x:c r="D586" s="21" t="n">
        <x:v>1</x:v>
      </x:c>
      <x:c r="E586" s="21" t="n">
        <x:v>1</x:v>
      </x:c>
    </x:row>
    <x:row r="587">
      <x:c r="A587" s="46" t="str">
        <x:f>"60199880430"</x:f>
        <x:v>60199880430</x:v>
      </x:c>
      <x:c r="B587" s="21" t="str"/>
      <x:c r="C587" s="21" t="str">
        <x:v>mcbr02</x:v>
      </x:c>
      <x:c r="D587" s="21" t="n">
        <x:v>1</x:v>
      </x:c>
      <x:c r="E587" s="21" t="n">
        <x:v>1</x:v>
      </x:c>
    </x:row>
    <x:row r="588">
      <x:c r="A588" s="46" t="str">
        <x:f>"60199886864"</x:f>
        <x:v>60199886864</x:v>
      </x:c>
      <x:c r="B588" s="21" t="str"/>
      <x:c r="C588" s="21" t="str">
        <x:v>emarket11-12</x:v>
      </x:c>
      <x:c r="D588" s="21" t="n">
        <x:v>1</x:v>
      </x:c>
      <x:c r="E588" s="21" t="n">
        <x:v>1</x:v>
      </x:c>
    </x:row>
    <x:row r="589">
      <x:c r="A589" s="46" t="str">
        <x:f>"60199893360"</x:f>
        <x:v>60199893360</x:v>
      </x:c>
      <x:c r="B589" s="21" t="str"/>
      <x:c r="C589" s="21" t="str">
        <x:v>Julai 17</x:v>
      </x:c>
      <x:c r="D589" s="21" t="n">
        <x:v>1</x:v>
      </x:c>
      <x:c r="E589" s="21" t="n">
        <x:v>1</x:v>
      </x:c>
    </x:row>
    <x:row r="590">
      <x:c r="A590" s="46" t="str">
        <x:f>"60199914285"</x:f>
        <x:v>60199914285</x:v>
      </x:c>
      <x:c r="B590" s="21" t="str"/>
      <x:c r="C590" s="21" t="str">
        <x:v>tiktok cz</x:v>
      </x:c>
      <x:c r="D590" s="21" t="n">
        <x:v>1</x:v>
      </x:c>
      <x:c r="E590" s="21" t="n">
        <x:v>1</x:v>
      </x:c>
    </x:row>
    <x:row r="591">
      <x:c r="A591" s="47" t="str">
        <x:f>"60199929115"</x:f>
        <x:v>60199929115</x:v>
      </x:c>
      <x:c r="B591" s="22" t="str"/>
      <x:c r="C591" s="22" t="str">
        <x:v>mcbr02</x:v>
      </x:c>
      <x:c r="D591" s="22" t="n">
        <x:v>1</x:v>
      </x:c>
      <x:c r="E591" s="22" t="n">
        <x:v>1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360c3c6e50ee45b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5" hidden="0" customWidth="1"/>
    <x:col min="3" max="3" width="45" hidden="0" customWidth="1"/>
    <x:col min="4" max="4" width="32" hidden="0" customWidth="1"/>
    <x:col min="5" max="5" width="50" hidden="0" customWidth="1"/>
    <x:col min="6" max="6" width="12" hidden="0" customWidth="1"/>
    <x:col min="7" max="7" width="12" hidden="0" customWidth="1"/>
  </x:cols>
  <x:sheetData>
    <x:row r="1" ht="30" customHeight="1">
      <x:c r="A1" s="3" t="str">
        <x:v>Excluded — Admin &amp; Staf</x:v>
      </x:c>
      <x:c r="B1" s="3"/>
      <x:c r="C1" s="3"/>
      <x:c r="D1" s="3"/>
      <x:c r="E1" s="3"/>
      <x:c r="F1" s="3"/>
      <x:c r="G1" s="3"/>
    </x:row>
    <x:row r="2" ht="28" customHeight="1">
      <x:c r="A2" s="7" t="str">
        <x:v>Semua pengecualian direkodkan bersama sebab supaya keputusan boleh diaudit atau dipulihkan.</x:v>
      </x:c>
      <x:c r="B2" s="7"/>
      <x:c r="C2" s="7"/>
      <x:c r="D2" s="7"/>
      <x:c r="E2" s="7"/>
      <x:c r="F2" s="7"/>
      <x:c r="G2" s="7"/>
    </x:row>
    <x:row r="4" ht="24" customHeight="1">
      <x:c r="A4" s="11" t="str">
        <x:v>phone</x:v>
      </x:c>
      <x:c r="B4" s="11" t="str">
        <x:v>best_name</x:v>
      </x:c>
      <x:c r="C4" s="11" t="str">
        <x:v>all_names</x:v>
      </x:c>
      <x:c r="D4" s="11" t="str">
        <x:v>exclusion_reason</x:v>
      </x:c>
      <x:c r="E4" s="11" t="str">
        <x:v>source_groups</x:v>
      </x:c>
      <x:c r="F4" s="11" t="str">
        <x:v>group_count</x:v>
      </x:c>
      <x:c r="G4" s="11" t="str">
        <x:v>occurrences</x:v>
      </x:c>
    </x:row>
    <x:row r="5">
      <x:c r="A5" s="48" t="str">
        <x:f>"60103376956"</x:f>
        <x:v>60103376956</x:v>
      </x:c>
      <x:c r="B5" s="31" t="str">
        <x:v>coach rozek phone no 2</x:v>
      </x:c>
      <x:c r="C5" s="31" t="str">
        <x:v>coach rozek phone no 2</x:v>
      </x:c>
      <x:c r="D5" s="31" t="str">
        <x:v>Senarai pengecualian manual pengguna</x:v>
      </x:c>
      <x:c r="E5" s="31" t="str">
        <x:v>TD1 eMkt</x:v>
      </x:c>
      <x:c r="F5" s="31" t="n">
        <x:v>1</x:v>
      </x:c>
      <x:c r="G5" s="31" t="n">
        <x:v>1</x:v>
      </x:c>
    </x:row>
    <x:row r="6">
      <x:c r="A6" s="49" t="str">
        <x:f>"601112400806"</x:f>
        <x:v>601112400806</x:v>
      </x:c>
      <x:c r="B6" s="32" t="str">
        <x:v>Coach Husaini INSKEN</x:v>
      </x:c>
      <x:c r="C6" s="32" t="str">
        <x:v>Coach Husaini INSKEN</x:v>
      </x:c>
      <x:c r="D6" s="32" t="str">
        <x:v>Nama/nombor dikenal pasti sebagai INSKEN</x:v>
      </x:c>
      <x:c r="E6" s="32" t="str">
        <x:v>TD7 emkt</x:v>
      </x:c>
      <x:c r="F6" s="32" t="n">
        <x:v>1</x:v>
      </x:c>
      <x:c r="G6" s="32" t="n">
        <x:v>1</x:v>
      </x:c>
    </x:row>
    <x:row r="7">
      <x:c r="A7" s="49" t="str">
        <x:f>"601121235593"</x:f>
        <x:v>601121235593</x:v>
      </x:c>
      <x:c r="B7" s="32" t="str">
        <x:v>Irfan pa coach zul</x:v>
      </x:c>
      <x:c r="C7" s="32" t="str">
        <x:v>Irfan pa coach zul</x:v>
      </x:c>
      <x:c r="D7" s="32" t="str">
        <x:v>Senarai pengecualian manual pengguna</x:v>
      </x:c>
      <x:c r="E7" s="32" t="str">
        <x:v>Julai 17; UPM</x:v>
      </x:c>
      <x:c r="F7" s="32" t="n">
        <x:v>2</x:v>
      </x:c>
      <x:c r="G7" s="32" t="n">
        <x:v>2</x:v>
      </x:c>
    </x:row>
    <x:row r="8">
      <x:c r="A8" s="49" t="str">
        <x:f>"601126032061"</x:f>
        <x:v>601126032061</x:v>
      </x:c>
      <x:c r="B8" s="32" t="str">
        <x:v>Abang Muhammad MDEC</x:v>
      </x:c>
      <x:c r="C8" s="32" t="str">
        <x:v>Abang Muhammad MDEC</x:v>
      </x:c>
      <x:c r="D8" s="32" t="str">
        <x:v>Senarai pengecualian manual pengguna</x:v>
      </x:c>
      <x:c r="E8" s="32" t="str">
        <x:v>lazada 5-6; mcbr02</x:v>
      </x:c>
      <x:c r="F8" s="32" t="n">
        <x:v>2</x:v>
      </x:c>
      <x:c r="G8" s="32" t="n">
        <x:v>2</x:v>
      </x:c>
    </x:row>
    <x:row r="9">
      <x:c r="A9" s="49" t="str">
        <x:f>"601132960272"</x:f>
        <x:v>601132960272</x:v>
      </x:c>
      <x:c r="B9" s="32" t="str">
        <x:v>M Fattah Insken</x:v>
      </x:c>
      <x:c r="C9" s="32" t="str">
        <x:v>M Fattah Insken</x:v>
      </x:c>
      <x:c r="D9" s="32" t="str">
        <x:v>Nama/nombor dikenal pasti sebagai INSKEN</x:v>
      </x:c>
      <x:c r="E9" s="32" t="str">
        <x:v>C1TT</x:v>
      </x:c>
      <x:c r="F9" s="32" t="n">
        <x:v>1</x:v>
      </x:c>
      <x:c r="G9" s="32" t="n">
        <x:v>1</x:v>
      </x:c>
    </x:row>
    <x:row r="10">
      <x:c r="A10" s="49" t="str">
        <x:f>"601156433115"</x:f>
        <x:v>601156433115</x:v>
      </x:c>
      <x:c r="B10" s="32" t="str">
        <x:v>Adrian Webstar</x:v>
      </x:c>
      <x:c r="C10" s="32" t="str">
        <x:v>Adrian Webstar</x:v>
      </x:c>
      <x:c r="D10" s="32" t="str">
        <x:v>Senarai pengecualian manual pengguna</x:v>
      </x:c>
      <x:c r="E10" s="32" t="str">
        <x:v>DIGITAL PRODUCT MASTERY</x:v>
      </x:c>
      <x:c r="F10" s="32" t="n">
        <x:v>1</x:v>
      </x:c>
      <x:c r="G10" s="32" t="n">
        <x:v>1</x:v>
      </x:c>
    </x:row>
    <x:row r="11">
      <x:c r="A11" s="49" t="str">
        <x:f>"601156666400"</x:f>
        <x:v>601156666400</x:v>
      </x:c>
      <x:c r="B11" s="32" t="str">
        <x:v>Ayongzul Smart Solution</x:v>
      </x:c>
      <x:c r="C11" s="32" t="str">
        <x:v>Ayongzul Smart Solution</x:v>
      </x:c>
      <x:c r="D11" s="32" t="str">
        <x:v>Senarai pengecualian manual pengguna</x:v>
      </x:c>
      <x:c r="E11" s="32" t="str">
        <x:v>DIGITAL PRODUCT MASTERY</x:v>
      </x:c>
      <x:c r="F11" s="32" t="n">
        <x:v>1</x:v>
      </x:c>
      <x:c r="G11" s="32" t="n">
        <x:v>1</x:v>
      </x:c>
    </x:row>
    <x:row r="12">
      <x:c r="A12" s="49" t="str">
        <x:f>"601158626216"</x:f>
        <x:v>601158626216</x:v>
      </x:c>
      <x:c r="B12" s="32" t="str">
        <x:v>Coaching Training Consultant</x:v>
      </x:c>
      <x:c r="C12" s="32" t="str">
        <x:v>Coaching Training Consultant</x:v>
      </x:c>
      <x:c r="D12" s="32" t="str">
        <x:v>Senarai pengecualian manual pengguna</x:v>
      </x:c>
      <x:c r="E12" s="32" t="str">
        <x:v>tiktok cz</x:v>
      </x:c>
      <x:c r="F12" s="32" t="n">
        <x:v>1</x:v>
      </x:c>
      <x:c r="G12" s="32" t="n">
        <x:v>1</x:v>
      </x:c>
    </x:row>
    <x:row r="13">
      <x:c r="A13" s="49" t="str">
        <x:f>"60122874471"</x:f>
        <x:v>60122874471</x:v>
      </x:c>
      <x:c r="B13" s="32" t="str">
        <x:v>Pn Alya INKSEN</x:v>
      </x:c>
      <x:c r="C13" s="32" t="str">
        <x:v>Pn Alya INKSEN</x:v>
      </x:c>
      <x:c r="D13" s="32" t="str">
        <x:v>Nama/nombor dikenal pasti sebagai INSKEN</x:v>
      </x:c>
      <x:c r="E13" s="32" t="str">
        <x:v>C1TT; laz 25-26</x:v>
      </x:c>
      <x:c r="F13" s="32" t="n">
        <x:v>2</x:v>
      </x:c>
      <x:c r="G13" s="32" t="n">
        <x:v>2</x:v>
      </x:c>
    </x:row>
    <x:row r="14">
      <x:c r="A14" s="49" t="str">
        <x:f>"60123081906"</x:f>
        <x:v>60123081906</x:v>
      </x:c>
      <x:c r="B14" s="32" t="str">
        <x:v>Sufiyan Insken</x:v>
      </x:c>
      <x:c r="C14" s="32" t="str">
        <x:v>Sufiyan Insken</x:v>
      </x:c>
      <x:c r="D14" s="32" t="str">
        <x:v>Nama/nombor dikenal pasti sebagai INSKEN</x:v>
      </x:c>
      <x:c r="E14" s="32" t="str">
        <x:v>laz 25-26; TD1 eMkt; TD119 Zero CM; TD137; TD160; Td21 emkrt; TD35 Eposter; TD47 Shopee; tiktok 12-13 Jan 2026</x:v>
      </x:c>
      <x:c r="F14" s="32" t="n">
        <x:v>9</x:v>
      </x:c>
      <x:c r="G14" s="32" t="n">
        <x:v>9</x:v>
      </x:c>
    </x:row>
    <x:row r="15">
      <x:c r="A15" s="49" t="str">
        <x:f>"60123390943"</x:f>
        <x:v>60123390943</x:v>
      </x:c>
      <x:c r="B15" s="32" t="str">
        <x:v>Ahmad Fairuz Mdec</x:v>
      </x:c>
      <x:c r="C15" s="32" t="str">
        <x:v>Ahmad Fairuz Mdec</x:v>
      </x:c>
      <x:c r="D15" s="32" t="str">
        <x:v>Senarai pengecualian manual pengguna</x:v>
      </x:c>
      <x:c r="E15" s="32" t="str">
        <x:v>DIGITAL PRODUCT MASTERY</x:v>
      </x:c>
      <x:c r="F15" s="32" t="n">
        <x:v>1</x:v>
      </x:c>
      <x:c r="G15" s="32" t="n">
        <x:v>1</x:v>
      </x:c>
    </x:row>
    <x:row r="16">
      <x:c r="A16" s="49" t="str">
        <x:f>"60123678953"</x:f>
        <x:v>60123678953</x:v>
      </x:c>
      <x:c r="B16" s="32" t="str">
        <x:v>Allan Insken</x:v>
      </x:c>
      <x:c r="C16" s="32" t="str">
        <x:v>Allan Insken</x:v>
      </x:c>
      <x:c r="D16" s="32" t="str">
        <x:v>Nama/nombor dikenal pasti sebagai INSKEN</x:v>
      </x:c>
      <x:c r="E16" s="32" t="str">
        <x:v>C1TT</x:v>
      </x:c>
      <x:c r="F16" s="32" t="n">
        <x:v>1</x:v>
      </x:c>
      <x:c r="G16" s="32" t="n">
        <x:v>1</x:v>
      </x:c>
    </x:row>
    <x:row r="17">
      <x:c r="A17" s="49" t="str">
        <x:f>"60123809494"</x:f>
        <x:v>60123809494</x:v>
      </x:c>
      <x:c r="B17" s="32" t="str">
        <x:v>Abg Jepp Sifu Branding Training</x:v>
      </x:c>
      <x:c r="C17" s="32" t="str">
        <x:v>Abg Jepp Sifu Branding Training</x:v>
      </x:c>
      <x:c r="D17" s="32" t="str">
        <x:v>Senarai pengecualian manual pengguna</x:v>
      </x:c>
      <x:c r="E17" s="32" t="str">
        <x:v>TD7 emkt</x:v>
      </x:c>
      <x:c r="F17" s="32" t="n">
        <x:v>1</x:v>
      </x:c>
      <x:c r="G17" s="32" t="n">
        <x:v>1</x:v>
      </x:c>
    </x:row>
    <x:row r="18">
      <x:c r="A18" s="49" t="str">
        <x:f>"60127907477"</x:f>
        <x:v>60127907477</x:v>
      </x:c>
      <x:c r="B18" s="32" t="str">
        <x:v>Syawal Evoing</x:v>
      </x:c>
      <x:c r="C18" s="32" t="str">
        <x:v>Syawal Evoing</x:v>
      </x:c>
      <x:c r="D18" s="32" t="str">
        <x:v>Senarai pengecualian manual pengguna</x:v>
      </x:c>
      <x:c r="E18" s="32" t="str">
        <x:v>mcbr02</x:v>
      </x:c>
      <x:c r="F18" s="32" t="n">
        <x:v>1</x:v>
      </x:c>
      <x:c r="G18" s="32" t="n">
        <x:v>1</x:v>
      </x:c>
    </x:row>
    <x:row r="19">
      <x:c r="A19" s="49" t="str">
        <x:f>"60133308552"</x:f>
        <x:v>60133308552</x:v>
      </x:c>
      <x:c r="B19" s="32" t="str">
        <x:v>Tn Haji Wan Abdullah Student Insken Tauke Serunding</x:v>
      </x:c>
      <x:c r="C19" s="32" t="str">
        <x:v>Tn Haji Wan Abdullah Student Insken Tauke Serunding</x:v>
      </x:c>
      <x:c r="D19" s="32" t="str">
        <x:v>Senarai pengecualian manual pengguna</x:v>
      </x:c>
      <x:c r="E19" s="32" t="str">
        <x:v>TD1 eMkt</x:v>
      </x:c>
      <x:c r="F19" s="32" t="n">
        <x:v>1</x:v>
      </x:c>
      <x:c r="G19" s="32" t="n">
        <x:v>1</x:v>
      </x:c>
    </x:row>
    <x:row r="20">
      <x:c r="A20" s="49" t="str">
        <x:f>"60133332963"</x:f>
        <x:v>60133332963</x:v>
      </x:c>
      <x:c r="B20" s="32" t="str">
        <x:v>Coach Sam Suresh</x:v>
      </x:c>
      <x:c r="C20" s="32" t="str">
        <x:v>Coach Sam Suresh</x:v>
      </x:c>
      <x:c r="D20" s="32" t="str">
        <x:v>Senarai pengecualian manual pengguna</x:v>
      </x:c>
      <x:c r="E20" s="32" t="str">
        <x:v>tiktok 12-13 Jan 2026</x:v>
      </x:c>
      <x:c r="F20" s="32" t="n">
        <x:v>1</x:v>
      </x:c>
      <x:c r="G20" s="32" t="n">
        <x:v>1</x:v>
      </x:c>
    </x:row>
    <x:row r="21">
      <x:c r="A21" s="49" t="str">
        <x:f>"60133815817"</x:f>
        <x:v>60133815817</x:v>
      </x:c>
      <x:c r="B21" s="32" t="str">
        <x:v>Kamarul Bahareen Kamarudin</x:v>
      </x:c>
      <x:c r="C21" s="32" t="str">
        <x:v>Kamarul Bahareen Kamarudin</x:v>
      </x:c>
      <x:c r="D21" s="32" t="str">
        <x:v>Pemilik/trainer</x:v>
      </x:c>
      <x:c r="E21" s="32" t="str">
        <x:v>DIGITAL PRODUCT MASTERY; EBOARD C8 SP; GARAJ WANG; group digital products; GROUP SEMBANG MALAM; Julai 17; mcbr02; tdag79; ti9596; Tidak Dinamakan; tiktok 12-13 Jan 2026; tiktok cz; tiktok mana ns; tiktok sahanita; UPM</x:v>
      </x:c>
      <x:c r="F21" s="32" t="n">
        <x:v>15</x:v>
      </x:c>
      <x:c r="G21" s="32" t="n">
        <x:v>15</x:v>
      </x:c>
    </x:row>
    <x:row r="22">
      <x:c r="A22" s="49" t="str">
        <x:f>"60139903323"</x:f>
        <x:v>60139903323</x:v>
      </x:c>
      <x:c r="B22" s="32" t="str">
        <x:v>Zul Mdec IM</x:v>
      </x:c>
      <x:c r="C22" s="32" t="str">
        <x:v>Zul Mdec IM</x:v>
      </x:c>
      <x:c r="D22" s="32" t="str">
        <x:v>Senarai pengecualian manual pengguna</x:v>
      </x:c>
      <x:c r="E22" s="32" t="str">
        <x:v>tiktok mana ns</x:v>
      </x:c>
      <x:c r="F22" s="32" t="n">
        <x:v>1</x:v>
      </x:c>
      <x:c r="G22" s="32" t="n">
        <x:v>1</x:v>
      </x:c>
    </x:row>
    <x:row r="23">
      <x:c r="A23" s="49" t="str">
        <x:f>"60142576155"</x:f>
        <x:v>60142576155</x:v>
      </x:c>
      <x:c r="B23" s="32" t="str">
        <x:v>Akmal Pegawai Insken</x:v>
      </x:c>
      <x:c r="C23" s="32" t="str">
        <x:v>Akmal Pegawai Insken</x:v>
      </x:c>
      <x:c r="D23" s="32" t="str">
        <x:v>Nama/nombor dikenal pasti sebagai INSKEN</x:v>
      </x:c>
      <x:c r="E23" s="32" t="str">
        <x:v>TD119 Zero CM; TD137; TD160; TD35 Eposter; TD47 Shopee; Tidak Dinamakan; tiktok 12-13 Jan 2026</x:v>
      </x:c>
      <x:c r="F23" s="32" t="n">
        <x:v>7</x:v>
      </x:c>
      <x:c r="G23" s="32" t="n">
        <x:v>7</x:v>
      </x:c>
    </x:row>
    <x:row r="24">
      <x:c r="A24" s="49" t="str">
        <x:f>"60143251107"</x:f>
        <x:v>60143251107</x:v>
      </x:c>
      <x:c r="B24" s="32" t="str">
        <x:v>Natasha Hazlin INSKEN</x:v>
      </x:c>
      <x:c r="C24" s="32" t="str">
        <x:v>Natasha Hazlin INSKEN</x:v>
      </x:c>
      <x:c r="D24" s="32" t="str">
        <x:v>Nama/nombor dikenal pasti sebagai INSKEN</x:v>
      </x:c>
      <x:c r="E24" s="32" t="str">
        <x:v>TD119 Zero CM; TD137; TD160; TD35 Eposter; TD47 Shopee; Tidak Dinamakan; tiktok 12-13 Jan 2026</x:v>
      </x:c>
      <x:c r="F24" s="32" t="n">
        <x:v>7</x:v>
      </x:c>
      <x:c r="G24" s="32" t="n">
        <x:v>7</x:v>
      </x:c>
    </x:row>
    <x:row r="25">
      <x:c r="A25" s="49" t="str">
        <x:f>"60145086017"</x:f>
        <x:v>60145086017</x:v>
      </x:c>
      <x:c r="B25" s="32" t="str">
        <x:v>zms consultant and services</x:v>
      </x:c>
      <x:c r="C25" s="32" t="str">
        <x:v>zms consultant and services</x:v>
      </x:c>
      <x:c r="D25" s="32" t="str">
        <x:v>Senarai pengecualian manual pengguna</x:v>
      </x:c>
      <x:c r="E25" s="32" t="str">
        <x:v>td32</x:v>
      </x:c>
      <x:c r="F25" s="32" t="n">
        <x:v>1</x:v>
      </x:c>
      <x:c r="G25" s="32" t="n">
        <x:v>1</x:v>
      </x:c>
    </x:row>
    <x:row r="26">
      <x:c r="A26" s="49" t="str">
        <x:f>"60162335702"</x:f>
        <x:v>60162335702</x:v>
      </x:c>
      <x:c r="B26" s="32" t="str">
        <x:v>Elis Dpim Putrajaya</x:v>
      </x:c>
      <x:c r="C26" s="32" t="str">
        <x:v>Elis Dpim Putrajaya</x:v>
      </x:c>
      <x:c r="D26" s="32" t="str">
        <x:v>Senarai pengecualian manual pengguna</x:v>
      </x:c>
      <x:c r="E26" s="32" t="str">
        <x:v>mcbr02</x:v>
      </x:c>
      <x:c r="F26" s="32" t="n">
        <x:v>1</x:v>
      </x:c>
      <x:c r="G26" s="32" t="n">
        <x:v>1</x:v>
      </x:c>
    </x:row>
    <x:row r="27">
      <x:c r="A27" s="49" t="str">
        <x:f>"60164236116"</x:f>
        <x:v>60164236116</x:v>
      </x:c>
      <x:c r="B27" s="32" t="str">
        <x:v>Fazlu Trainer</x:v>
      </x:c>
      <x:c r="C27" s="32" t="str">
        <x:v>Fazlu Trainer</x:v>
      </x:c>
      <x:c r="D27" s="32" t="str">
        <x:v>Senarai pengecualian manual pengguna</x:v>
      </x:c>
      <x:c r="E27" s="32" t="str">
        <x:v>td32; tiktok 12-13 Jan 2026</x:v>
      </x:c>
      <x:c r="F27" s="32" t="n">
        <x:v>2</x:v>
      </x:c>
      <x:c r="G27" s="32" t="n">
        <x:v>2</x:v>
      </x:c>
    </x:row>
    <x:row r="28">
      <x:c r="A28" s="49" t="str">
        <x:f>"60174102530"</x:f>
        <x:v>60174102530</x:v>
      </x:c>
      <x:c r="B28" s="32" t="str">
        <x:v>shaeza INSKEN</x:v>
      </x:c>
      <x:c r="C28" s="32" t="str">
        <x:v>shaeza INSKEN</x:v>
      </x:c>
      <x:c r="D28" s="32" t="str">
        <x:v>Nama/nombor dikenal pasti sebagai INSKEN</x:v>
      </x:c>
      <x:c r="E28" s="32" t="str">
        <x:v>emarket11-12; lazada 5-6; TD1 eMkt; TD119 Zero CM; TD137; TD160; TD35 Eposter; TD47 Shopee; TDAG12; tiktok 12-13 Jan 2026; ZKM 7-8 Sept</x:v>
      </x:c>
      <x:c r="F28" s="32" t="n">
        <x:v>11</x:v>
      </x:c>
      <x:c r="G28" s="32" t="n">
        <x:v>11</x:v>
      </x:c>
    </x:row>
    <x:row r="29">
      <x:c r="A29" s="49" t="str">
        <x:f>"60174311215"</x:f>
        <x:v>60174311215</x:v>
      </x:c>
      <x:c r="B29" s="32" t="str">
        <x:v>Dr hariz Mdec Trainer</x:v>
      </x:c>
      <x:c r="C29" s="32" t="str">
        <x:v>Dr hariz Mdec Trainer</x:v>
      </x:c>
      <x:c r="D29" s="32" t="str">
        <x:v>Senarai pengecualian manual pengguna</x:v>
      </x:c>
      <x:c r="E29" s="32" t="str">
        <x:v>laz 25-26; tdag79</x:v>
      </x:c>
      <x:c r="F29" s="32" t="n">
        <x:v>2</x:v>
      </x:c>
      <x:c r="G29" s="32" t="n">
        <x:v>2</x:v>
      </x:c>
    </x:row>
    <x:row r="30">
      <x:c r="A30" s="49" t="str">
        <x:f>"60175545144"</x:f>
        <x:v>60175545144</x:v>
      </x:c>
      <x:c r="B30" s="32" t="str">
        <x:v>Pn Aishah INSKEN</x:v>
      </x:c>
      <x:c r="C30" s="32" t="str">
        <x:v>Pn Aishah INSKEN</x:v>
      </x:c>
      <x:c r="D30" s="32" t="str">
        <x:v>Nama/nombor dikenal pasti sebagai INSKEN</x:v>
      </x:c>
      <x:c r="E30" s="32" t="str">
        <x:v>TD119 Zero CM; TD137; TD160; Td21 emkrt; TD35 Eposter; TD47 Shopee; TDAG12; Tidak Dinamakan; tiktok 12-13 Jan 2026</x:v>
      </x:c>
      <x:c r="F30" s="32" t="n">
        <x:v>9</x:v>
      </x:c>
      <x:c r="G30" s="32" t="n">
        <x:v>9</x:v>
      </x:c>
    </x:row>
    <x:row r="31">
      <x:c r="A31" s="49" t="str">
        <x:f>"60176346448"</x:f>
        <x:v>60176346448</x:v>
      </x:c>
      <x:c r="B31" s="32" t="str">
        <x:v>Din Staff IQPS</x:v>
      </x:c>
      <x:c r="C31" s="32" t="str">
        <x:v>Din Staff IQPS</x:v>
      </x:c>
      <x:c r="D31" s="32" t="str">
        <x:v>Senarai pengecualian manual pengguna</x:v>
      </x:c>
      <x:c r="E31" s="32" t="str">
        <x:v>tiktok mana ns</x:v>
      </x:c>
      <x:c r="F31" s="32" t="n">
        <x:v>1</x:v>
      </x:c>
      <x:c r="G31" s="32" t="n">
        <x:v>1</x:v>
      </x:c>
    </x:row>
    <x:row r="32">
      <x:c r="A32" s="49" t="str">
        <x:f>"60176600326"</x:f>
        <x:v>60176600326</x:v>
      </x:c>
      <x:c r="B32" s="32" t="str">
        <x:v>insken shopee tan chor keng</x:v>
      </x:c>
      <x:c r="C32" s="32" t="str">
        <x:v>insken shopee tan chor keng</x:v>
      </x:c>
      <x:c r="D32" s="32" t="str">
        <x:v>Nama/nombor dikenal pasti sebagai INSKEN</x:v>
      </x:c>
      <x:c r="E32" s="32" t="str">
        <x:v>lazada 5-6</x:v>
      </x:c>
      <x:c r="F32" s="32" t="n">
        <x:v>1</x:v>
      </x:c>
      <x:c r="G32" s="32" t="n">
        <x:v>1</x:v>
      </x:c>
    </x:row>
    <x:row r="33">
      <x:c r="A33" s="49" t="str">
        <x:f>"60177670627"</x:f>
        <x:v>60177670627</x:v>
      </x:c>
      <x:c r="B33" s="32" t="str">
        <x:v>Nur Aqeela INSKEN</x:v>
      </x:c>
      <x:c r="C33" s="32" t="str">
        <x:v>Nur Aqeela INSKEN</x:v>
      </x:c>
      <x:c r="D33" s="32" t="str">
        <x:v>Nama/nombor dikenal pasti sebagai INSKEN</x:v>
      </x:c>
      <x:c r="E33" s="32" t="str">
        <x:v>TD119 Zero CM; TD137; TD160; Td21 emkrt; TD35 Eposter; TD47 Shopee; Tidak Dinamakan; tiktok 12-13 Jan 2026</x:v>
      </x:c>
      <x:c r="F33" s="32" t="n">
        <x:v>8</x:v>
      </x:c>
      <x:c r="G33" s="32" t="n">
        <x:v>8</x:v>
      </x:c>
    </x:row>
    <x:row r="34">
      <x:c r="A34" s="49" t="str">
        <x:f>"60192112178"</x:f>
        <x:v>60192112178</x:v>
      </x:c>
      <x:c r="B34" s="32" t="str">
        <x:v>Dekma Mdec IM</x:v>
      </x:c>
      <x:c r="C34" s="32" t="str">
        <x:v>Dekma Mdec IM</x:v>
      </x:c>
      <x:c r="D34" s="32" t="str">
        <x:v>Senarai pengecualian manual pengguna</x:v>
      </x:c>
      <x:c r="E34" s="32" t="str">
        <x:v>cohort 3 B2; td32; tdag79</x:v>
      </x:c>
      <x:c r="F34" s="32" t="n">
        <x:v>3</x:v>
      </x:c>
      <x:c r="G34" s="32" t="n">
        <x:v>3</x:v>
      </x:c>
    </x:row>
    <x:row r="35">
      <x:c r="A35" s="49" t="str">
        <x:f>"60192211209"</x:f>
        <x:v>60192211209</x:v>
      </x:c>
      <x:c r="B35" s="32" t="str">
        <x:v>Fais Insken Coach Coordinator</x:v>
      </x:c>
      <x:c r="C35" s="32" t="str">
        <x:v>Fais Insken Coach Coordinator</x:v>
      </x:c>
      <x:c r="D35" s="32" t="str">
        <x:v>Nama/nombor dikenal pasti sebagai INSKEN</x:v>
      </x:c>
      <x:c r="E35" s="32" t="str">
        <x:v>C1TT</x:v>
      </x:c>
      <x:c r="F35" s="32" t="n">
        <x:v>1</x:v>
      </x:c>
      <x:c r="G35" s="32" t="n">
        <x:v>1</x:v>
      </x:c>
    </x:row>
    <x:row r="36">
      <x:c r="A36" s="49" t="str">
        <x:f>"60193595900"</x:f>
        <x:v>60193595900</x:v>
      </x:c>
      <x:c r="B36" s="32" t="str">
        <x:v>Insken - Pn Nora</x:v>
      </x:c>
      <x:c r="C36" s="32" t="str">
        <x:v>Insken - Pn Nora</x:v>
      </x:c>
      <x:c r="D36" s="32" t="str">
        <x:v>Nama/nombor dikenal pasti sebagai INSKEN</x:v>
      </x:c>
      <x:c r="E36" s="32" t="str">
        <x:v>emarket11-12; lazada 5-6; TD119 Zero CM; TD137; TD160; TD35 Eposter; TD47 Shopee; TDAG12; ZKM 7-8 Sept</x:v>
      </x:c>
      <x:c r="F36" s="32" t="n">
        <x:v>9</x:v>
      </x:c>
      <x:c r="G36" s="32" t="n">
        <x:v>9</x:v>
      </x:c>
    </x:row>
    <x:row r="37">
      <x:c r="A37" s="49" t="str">
        <x:f>"60195710054"</x:f>
        <x:v>60195710054</x:v>
      </x:c>
      <x:c r="B37" s="32" t="str">
        <x:v>Abg Razak DPIM</x:v>
      </x:c>
      <x:c r="C37" s="32" t="str">
        <x:v>Abg Razak DPIM</x:v>
      </x:c>
      <x:c r="D37" s="32" t="str">
        <x:v>Senarai pengecualian manual pengguna</x:v>
      </x:c>
      <x:c r="E37" s="32" t="str">
        <x:v>TD1 eMkt</x:v>
      </x:c>
      <x:c r="F37" s="32" t="n">
        <x:v>1</x:v>
      </x:c>
      <x:c r="G37" s="32" t="n">
        <x:v>1</x:v>
      </x:c>
    </x:row>
    <x:row r="38">
      <x:c r="A38" s="49" t="str">
        <x:f>"60196634527"</x:f>
        <x:v>60196634527</x:v>
      </x:c>
      <x:c r="B38" s="32" t="str">
        <x:v>Dato Hifdzi Hamzah Al Qadiry</x:v>
      </x:c>
      <x:c r="C38" s="32" t="str">
        <x:v>Dato Hifdzi Hamzah Al Qadiry</x:v>
      </x:c>
      <x:c r="D38" s="32" t="str">
        <x:v>Senarai pengecualian manual pengguna</x:v>
      </x:c>
      <x:c r="E38" s="32" t="str">
        <x:v>group digital products</x:v>
      </x:c>
      <x:c r="F38" s="32" t="n">
        <x:v>1</x:v>
      </x:c>
      <x:c r="G38" s="32" t="n">
        <x:v>1</x:v>
      </x:c>
    </x:row>
    <x:row r="39">
      <x:c r="A39" s="49" t="str">
        <x:f>"60199635036"</x:f>
        <x:v>60199635036</x:v>
      </x:c>
      <x:c r="B39" s="32" t="str">
        <x:v>Tuan Faris INSKEN</x:v>
      </x:c>
      <x:c r="C39" s="32" t="str">
        <x:v>Tuan Faris INSKEN</x:v>
      </x:c>
      <x:c r="D39" s="32" t="str">
        <x:v>Nama/nombor dikenal pasti sebagai INSKEN</x:v>
      </x:c>
      <x:c r="E39" s="32" t="str">
        <x:v>TD1 eMkt; TD160; TD35 Eposter; TD47 Shopee; tdag79; Tidak Dinamakan; tiktok 12-13 Jan 2026</x:v>
      </x:c>
      <x:c r="F39" s="32" t="n">
        <x:v>7</x:v>
      </x:c>
      <x:c r="G39" s="32" t="n">
        <x:v>7</x:v>
      </x:c>
    </x:row>
    <x:row r="40">
      <x:c r="A40" s="49" t="str">
        <x:f>"60199805233"</x:f>
        <x:v>60199805233</x:v>
      </x:c>
      <x:c r="B40" s="32" t="str">
        <x:v>Pn Anisah INSKEN</x:v>
      </x:c>
      <x:c r="C40" s="32" t="str">
        <x:v>Pn Anisah INSKEN</x:v>
      </x:c>
      <x:c r="D40" s="32" t="str">
        <x:v>Nama/nombor dikenal pasti sebagai INSKEN</x:v>
      </x:c>
      <x:c r="E40" s="32" t="str">
        <x:v>C1TT</x:v>
      </x:c>
      <x:c r="F40" s="32" t="n">
        <x:v>1</x:v>
      </x:c>
      <x:c r="G40" s="32" t="n">
        <x:v>1</x:v>
      </x:c>
    </x:row>
    <x:row r="41">
      <x:c r="A41" s="49" t="str">
        <x:f>"60199888085"</x:f>
        <x:v>60199888085</x:v>
      </x:c>
      <x:c r="B41" s="32" t="str">
        <x:v>Coach Along Fadzil</x:v>
      </x:c>
      <x:c r="C41" s="32" t="str">
        <x:v>Coach Along Fadzil</x:v>
      </x:c>
      <x:c r="D41" s="32" t="str">
        <x:v>Senarai pengecualian manual pengguna</x:v>
      </x:c>
      <x:c r="E41" s="32" t="str">
        <x:v>mcbr02</x:v>
      </x:c>
      <x:c r="F41" s="32" t="n">
        <x:v>1</x:v>
      </x:c>
      <x:c r="G41" s="32" t="n">
        <x:v>1</x:v>
      </x:c>
    </x:row>
    <x:row r="42">
      <x:c r="A42" s="50" t="str">
        <x:f>"6598315891"</x:f>
        <x:v>6598315891</x:v>
      </x:c>
      <x:c r="B42" s="33" t="str"/>
      <x:c r="C42" s="33" t="str">
        <x:v>+6598315891</x:v>
      </x:c>
      <x:c r="D42" s="33" t="str">
        <x:v>Nombor tidak sah</x:v>
      </x:c>
      <x:c r="E42" s="33" t="str">
        <x:v>group digital products</x:v>
      </x:c>
      <x:c r="F42" s="33" t="n">
        <x:v>1</x:v>
      </x:c>
      <x:c r="G42" s="33" t="n">
        <x:v>1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a9c1e56dd332435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6" hidden="0" customWidth="1"/>
    <x:col min="3" max="3" width="12" hidden="0" customWidth="1"/>
    <x:col min="4" max="4" width="12" hidden="0" customWidth="1"/>
    <x:col min="5" max="5" width="55" hidden="0" customWidth="1"/>
    <x:col min="6" max="6" width="14" hidden="0" customWidth="1"/>
    <x:col min="7" max="7" width="30" hidden="0" customWidth="1"/>
  </x:cols>
  <x:sheetData>
    <x:row r="1" ht="30" customHeight="1">
      <x:c r="A1" s="3" t="str">
        <x:v>Duplicate Report</x:v>
      </x:c>
      <x:c r="B1" s="3"/>
      <x:c r="C1" s="3"/>
      <x:c r="D1" s="3"/>
      <x:c r="E1" s="3"/>
      <x:c r="F1" s="3"/>
      <x:c r="G1" s="3"/>
    </x:row>
    <x:row r="2" ht="28" customHeight="1">
      <x:c r="A2" s="7" t="str">
        <x:v>Satu baris bagi setiap nombor yang muncul lebih daripada sekali sebelum deduplikasi.</x:v>
      </x:c>
      <x:c r="B2" s="7"/>
      <x:c r="C2" s="7"/>
      <x:c r="D2" s="7"/>
      <x:c r="E2" s="7"/>
      <x:c r="F2" s="7"/>
      <x:c r="G2" s="7"/>
    </x:row>
    <x:row r="4" ht="24" customHeight="1">
      <x:c r="A4" s="11" t="str">
        <x:v>phone</x:v>
      </x:c>
      <x:c r="B4" s="11" t="str">
        <x:v>best_name</x:v>
      </x:c>
      <x:c r="C4" s="11" t="str">
        <x:v>occurrences</x:v>
      </x:c>
      <x:c r="D4" s="11" t="str">
        <x:v>group_count</x:v>
      </x:c>
      <x:c r="E4" s="11" t="str">
        <x:v>source_groups</x:v>
      </x:c>
      <x:c r="F4" s="11" t="str">
        <x:v>final_status</x:v>
      </x:c>
      <x:c r="G4" s="11" t="str">
        <x:v>reason</x:v>
      </x:c>
    </x:row>
    <x:row r="5">
      <x:c r="A5" s="45" t="str">
        <x:f>"60133815817"</x:f>
        <x:v>60133815817</x:v>
      </x:c>
      <x:c r="B5" s="20" t="str">
        <x:v>Kamarul Bahareen Kamarudin</x:v>
      </x:c>
      <x:c r="C5" s="20" t="n">
        <x:v>15</x:v>
      </x:c>
      <x:c r="D5" s="20" t="n">
        <x:v>15</x:v>
      </x:c>
      <x:c r="E5" s="20" t="str">
        <x:v>DIGITAL PRODUCT MASTERY; EBOARD C8 SP; GARAJ WANG; group digital products; GROUP SEMBANG MALAM; Julai 17; mcbr02; tdag79; ti9596; Tidak Dinamakan; tiktok 12-13 Jan 2026; tiktok cz; tiktok mana ns; tiktok sahanita; UPM</x:v>
      </x:c>
      <x:c r="F5" s="20" t="str">
        <x:v>Excluded</x:v>
      </x:c>
      <x:c r="G5" s="20" t="str">
        <x:v>Pemilik/trainer</x:v>
      </x:c>
    </x:row>
    <x:row r="6">
      <x:c r="A6" s="46" t="str">
        <x:f>"60174102530"</x:f>
        <x:v>60174102530</x:v>
      </x:c>
      <x:c r="B6" s="21" t="str">
        <x:v>shaeza INSKEN</x:v>
      </x:c>
      <x:c r="C6" s="21" t="n">
        <x:v>11</x:v>
      </x:c>
      <x:c r="D6" s="21" t="n">
        <x:v>11</x:v>
      </x:c>
      <x:c r="E6" s="21" t="str">
        <x:v>emarket11-12; lazada 5-6; TD1 eMkt; TD119 Zero CM; TD137; TD160; TD35 Eposter; TD47 Shopee; TDAG12; tiktok 12-13 Jan 2026; ZKM 7-8 Sept</x:v>
      </x:c>
      <x:c r="F6" s="21" t="str">
        <x:v>Excluded</x:v>
      </x:c>
      <x:c r="G6" s="21" t="str">
        <x:v>Nama/nombor dikenal pasti sebagai INSKEN</x:v>
      </x:c>
    </x:row>
    <x:row r="7">
      <x:c r="A7" s="46" t="str">
        <x:f>"60123081906"</x:f>
        <x:v>60123081906</x:v>
      </x:c>
      <x:c r="B7" s="21" t="str">
        <x:v>Sufiyan Insken</x:v>
      </x:c>
      <x:c r="C7" s="21" t="n">
        <x:v>9</x:v>
      </x:c>
      <x:c r="D7" s="21" t="n">
        <x:v>9</x:v>
      </x:c>
      <x:c r="E7" s="21" t="str">
        <x:v>laz 25-26; TD1 eMkt; TD119 Zero CM; TD137; TD160; Td21 emkrt; TD35 Eposter; TD47 Shopee; tiktok 12-13 Jan 2026</x:v>
      </x:c>
      <x:c r="F7" s="21" t="str">
        <x:v>Excluded</x:v>
      </x:c>
      <x:c r="G7" s="21" t="str">
        <x:v>Nama/nombor dikenal pasti sebagai INSKEN</x:v>
      </x:c>
    </x:row>
    <x:row r="8">
      <x:c r="A8" s="46" t="str">
        <x:f>"60175545144"</x:f>
        <x:v>60175545144</x:v>
      </x:c>
      <x:c r="B8" s="21" t="str">
        <x:v>Pn Aishah INSKEN</x:v>
      </x:c>
      <x:c r="C8" s="21" t="n">
        <x:v>9</x:v>
      </x:c>
      <x:c r="D8" s="21" t="n">
        <x:v>9</x:v>
      </x:c>
      <x:c r="E8" s="21" t="str">
        <x:v>TD119 Zero CM; TD137; TD160; Td21 emkrt; TD35 Eposter; TD47 Shopee; TDAG12; Tidak Dinamakan; tiktok 12-13 Jan 2026</x:v>
      </x:c>
      <x:c r="F8" s="21" t="str">
        <x:v>Excluded</x:v>
      </x:c>
      <x:c r="G8" s="21" t="str">
        <x:v>Nama/nombor dikenal pasti sebagai INSKEN</x:v>
      </x:c>
    </x:row>
    <x:row r="9">
      <x:c r="A9" s="46" t="str">
        <x:f>"60193595900"</x:f>
        <x:v>60193595900</x:v>
      </x:c>
      <x:c r="B9" s="21" t="str">
        <x:v>Insken - Pn Nora</x:v>
      </x:c>
      <x:c r="C9" s="21" t="n">
        <x:v>9</x:v>
      </x:c>
      <x:c r="D9" s="21" t="n">
        <x:v>9</x:v>
      </x:c>
      <x:c r="E9" s="21" t="str">
        <x:v>emarket11-12; lazada 5-6; TD119 Zero CM; TD137; TD160; TD35 Eposter; TD47 Shopee; TDAG12; ZKM 7-8 Sept</x:v>
      </x:c>
      <x:c r="F9" s="21" t="str">
        <x:v>Excluded</x:v>
      </x:c>
      <x:c r="G9" s="21" t="str">
        <x:v>Nama/nombor dikenal pasti sebagai INSKEN</x:v>
      </x:c>
    </x:row>
    <x:row r="10">
      <x:c r="A10" s="46" t="str">
        <x:f>"60177670627"</x:f>
        <x:v>60177670627</x:v>
      </x:c>
      <x:c r="B10" s="21" t="str">
        <x:v>Nur Aqeela INSKEN</x:v>
      </x:c>
      <x:c r="C10" s="21" t="n">
        <x:v>8</x:v>
      </x:c>
      <x:c r="D10" s="21" t="n">
        <x:v>8</x:v>
      </x:c>
      <x:c r="E10" s="21" t="str">
        <x:v>TD119 Zero CM; TD137; TD160; Td21 emkrt; TD35 Eposter; TD47 Shopee; Tidak Dinamakan; tiktok 12-13 Jan 2026</x:v>
      </x:c>
      <x:c r="F10" s="21" t="str">
        <x:v>Excluded</x:v>
      </x:c>
      <x:c r="G10" s="21" t="str">
        <x:v>Nama/nombor dikenal pasti sebagai INSKEN</x:v>
      </x:c>
    </x:row>
    <x:row r="11">
      <x:c r="A11" s="46" t="str">
        <x:f>"60105447245"</x:f>
        <x:v>60105447245</x:v>
      </x:c>
      <x:c r="B11" s="21" t="str"/>
      <x:c r="C11" s="21" t="n">
        <x:v>7</x:v>
      </x:c>
      <x:c r="D11" s="21" t="n">
        <x:v>7</x:v>
      </x:c>
      <x:c r="E11" s="21" t="str">
        <x:v>TD119 Zero CM; TD137; TD160; Td21 emkrt; TD35 Eposter; TD47 Shopee; tiktok 12-13 Jan 2026</x:v>
      </x:c>
      <x:c r="F11" s="21" t="str">
        <x:v>Included</x:v>
      </x:c>
      <x:c r="G11" s="21" t="str">
        <x:v>Peserta</x:v>
      </x:c>
    </x:row>
    <x:row r="12">
      <x:c r="A12" s="46" t="str">
        <x:f>"60142576155"</x:f>
        <x:v>60142576155</x:v>
      </x:c>
      <x:c r="B12" s="21" t="str">
        <x:v>Akmal Pegawai Insken</x:v>
      </x:c>
      <x:c r="C12" s="21" t="n">
        <x:v>7</x:v>
      </x:c>
      <x:c r="D12" s="21" t="n">
        <x:v>7</x:v>
      </x:c>
      <x:c r="E12" s="21" t="str">
        <x:v>TD119 Zero CM; TD137; TD160; TD35 Eposter; TD47 Shopee; Tidak Dinamakan; tiktok 12-13 Jan 2026</x:v>
      </x:c>
      <x:c r="F12" s="21" t="str">
        <x:v>Excluded</x:v>
      </x:c>
      <x:c r="G12" s="21" t="str">
        <x:v>Nama/nombor dikenal pasti sebagai INSKEN</x:v>
      </x:c>
    </x:row>
    <x:row r="13">
      <x:c r="A13" s="46" t="str">
        <x:f>"60143251107"</x:f>
        <x:v>60143251107</x:v>
      </x:c>
      <x:c r="B13" s="21" t="str">
        <x:v>Natasha Hazlin INSKEN</x:v>
      </x:c>
      <x:c r="C13" s="21" t="n">
        <x:v>7</x:v>
      </x:c>
      <x:c r="D13" s="21" t="n">
        <x:v>7</x:v>
      </x:c>
      <x:c r="E13" s="21" t="str">
        <x:v>TD119 Zero CM; TD137; TD160; TD35 Eposter; TD47 Shopee; Tidak Dinamakan; tiktok 12-13 Jan 2026</x:v>
      </x:c>
      <x:c r="F13" s="21" t="str">
        <x:v>Excluded</x:v>
      </x:c>
      <x:c r="G13" s="21" t="str">
        <x:v>Nama/nombor dikenal pasti sebagai INSKEN</x:v>
      </x:c>
    </x:row>
    <x:row r="14">
      <x:c r="A14" s="46" t="str">
        <x:f>"60199635036"</x:f>
        <x:v>60199635036</x:v>
      </x:c>
      <x:c r="B14" s="21" t="str">
        <x:v>Tuan Faris INSKEN</x:v>
      </x:c>
      <x:c r="C14" s="21" t="n">
        <x:v>7</x:v>
      </x:c>
      <x:c r="D14" s="21" t="n">
        <x:v>7</x:v>
      </x:c>
      <x:c r="E14" s="21" t="str">
        <x:v>TD1 eMkt; TD160; TD35 Eposter; TD47 Shopee; tdag79; Tidak Dinamakan; tiktok 12-13 Jan 2026</x:v>
      </x:c>
      <x:c r="F14" s="21" t="str">
        <x:v>Excluded</x:v>
      </x:c>
      <x:c r="G14" s="21" t="str">
        <x:v>Nama/nombor dikenal pasti sebagai INSKEN</x:v>
      </x:c>
    </x:row>
    <x:row r="15">
      <x:c r="A15" s="46" t="str">
        <x:f>"60126077335"</x:f>
        <x:v>60126077335</x:v>
      </x:c>
      <x:c r="B15" s="21" t="str"/>
      <x:c r="C15" s="21" t="n">
        <x:v>3</x:v>
      </x:c>
      <x:c r="D15" s="21" t="n">
        <x:v>3</x:v>
      </x:c>
      <x:c r="E15" s="21" t="str">
        <x:v>lazada 5-6; mcbr02; TD47 Shopee</x:v>
      </x:c>
      <x:c r="F15" s="21" t="str">
        <x:v>Included</x:v>
      </x:c>
      <x:c r="G15" s="21" t="str">
        <x:v>Peserta</x:v>
      </x:c>
    </x:row>
    <x:row r="16">
      <x:c r="A16" s="46" t="str">
        <x:f>"60186654805"</x:f>
        <x:v>60186654805</x:v>
      </x:c>
      <x:c r="B16" s="21" t="str"/>
      <x:c r="C16" s="21" t="n">
        <x:v>3</x:v>
      </x:c>
      <x:c r="D16" s="21" t="n">
        <x:v>3</x:v>
      </x:c>
      <x:c r="E16" s="21" t="str">
        <x:v>C8 TT; Td21 emkrt; td32</x:v>
      </x:c>
      <x:c r="F16" s="21" t="str">
        <x:v>Included</x:v>
      </x:c>
      <x:c r="G16" s="21" t="str">
        <x:v>Peserta</x:v>
      </x:c>
    </x:row>
    <x:row r="17">
      <x:c r="A17" s="46" t="str">
        <x:f>"60192112178"</x:f>
        <x:v>60192112178</x:v>
      </x:c>
      <x:c r="B17" s="21" t="str">
        <x:v>Dekma Mdec IM</x:v>
      </x:c>
      <x:c r="C17" s="21" t="n">
        <x:v>3</x:v>
      </x:c>
      <x:c r="D17" s="21" t="n">
        <x:v>3</x:v>
      </x:c>
      <x:c r="E17" s="21" t="str">
        <x:v>cohort 3 B2; td32; tdag79</x:v>
      </x:c>
      <x:c r="F17" s="21" t="str">
        <x:v>Excluded</x:v>
      </x:c>
      <x:c r="G17" s="21" t="str">
        <x:v>Senarai pengecualian manual pengguna</x:v>
      </x:c>
    </x:row>
    <x:row r="18">
      <x:c r="A18" s="46" t="str">
        <x:f>"60103004557"</x:f>
        <x:v>60103004557</x:v>
      </x:c>
      <x:c r="B18" s="21" t="str">
        <x:v>Mohd Hafiz Bin Nordin</x:v>
      </x:c>
      <x:c r="C18" s="21" t="n">
        <x:v>2</x:v>
      </x:c>
      <x:c r="D18" s="21" t="n">
        <x:v>2</x:v>
      </x:c>
      <x:c r="E18" s="21" t="str">
        <x:v>EBOARD C8 SP; lazada 5-6</x:v>
      </x:c>
      <x:c r="F18" s="21" t="str">
        <x:v>Included</x:v>
      </x:c>
      <x:c r="G18" s="21" t="str">
        <x:v>Peserta</x:v>
      </x:c>
    </x:row>
    <x:row r="19">
      <x:c r="A19" s="46" t="str">
        <x:f>"60107833032"</x:f>
        <x:v>60107833032</x:v>
      </x:c>
      <x:c r="B19" s="21" t="str">
        <x:v>Hasbullah Yunus</x:v>
      </x:c>
      <x:c r="C19" s="21" t="n">
        <x:v>2</x:v>
      </x:c>
      <x:c r="D19" s="21" t="n">
        <x:v>2</x:v>
      </x:c>
      <x:c r="E19" s="21" t="str">
        <x:v>TD35 Eposter; Tidak Dinamakan</x:v>
      </x:c>
      <x:c r="F19" s="21" t="str">
        <x:v>Included</x:v>
      </x:c>
      <x:c r="G19" s="21" t="str">
        <x:v>Peserta</x:v>
      </x:c>
    </x:row>
    <x:row r="20">
      <x:c r="A20" s="46" t="str">
        <x:f>"601111489036"</x:f>
        <x:v>601111489036</x:v>
      </x:c>
      <x:c r="B20" s="21" t="str"/>
      <x:c r="C20" s="21" t="n">
        <x:v>2</x:v>
      </x:c>
      <x:c r="D20" s="21" t="n">
        <x:v>2</x:v>
      </x:c>
      <x:c r="E20" s="21" t="str">
        <x:v>EBOARD C8 SP; TD7 emkt</x:v>
      </x:c>
      <x:c r="F20" s="21" t="str">
        <x:v>Included</x:v>
      </x:c>
      <x:c r="G20" s="21" t="str">
        <x:v>Peserta</x:v>
      </x:c>
    </x:row>
    <x:row r="21">
      <x:c r="A21" s="46" t="str">
        <x:f>"601114033722"</x:f>
        <x:v>601114033722</x:v>
      </x:c>
      <x:c r="B21" s="21" t="str"/>
      <x:c r="C21" s="21" t="n">
        <x:v>2</x:v>
      </x:c>
      <x:c r="D21" s="21" t="n">
        <x:v>2</x:v>
      </x:c>
      <x:c r="E21" s="21" t="str">
        <x:v>Td21 emkrt; TD35 Eposter</x:v>
      </x:c>
      <x:c r="F21" s="21" t="str">
        <x:v>Included</x:v>
      </x:c>
      <x:c r="G21" s="21" t="str">
        <x:v>Peserta</x:v>
      </x:c>
    </x:row>
    <x:row r="22">
      <x:c r="A22" s="46" t="str">
        <x:f>"601121235593"</x:f>
        <x:v>601121235593</x:v>
      </x:c>
      <x:c r="B22" s="21" t="str">
        <x:v>Irfan pa coach zul</x:v>
      </x:c>
      <x:c r="C22" s="21" t="n">
        <x:v>2</x:v>
      </x:c>
      <x:c r="D22" s="21" t="n">
        <x:v>2</x:v>
      </x:c>
      <x:c r="E22" s="21" t="str">
        <x:v>Julai 17; UPM</x:v>
      </x:c>
      <x:c r="F22" s="21" t="str">
        <x:v>Excluded</x:v>
      </x:c>
      <x:c r="G22" s="21" t="str">
        <x:v>Senarai pengecualian manual pengguna</x:v>
      </x:c>
    </x:row>
    <x:row r="23">
      <x:c r="A23" s="46" t="str">
        <x:f>"601126032061"</x:f>
        <x:v>601126032061</x:v>
      </x:c>
      <x:c r="B23" s="21" t="str">
        <x:v>Abang Muhammad MDEC</x:v>
      </x:c>
      <x:c r="C23" s="21" t="n">
        <x:v>2</x:v>
      </x:c>
      <x:c r="D23" s="21" t="n">
        <x:v>2</x:v>
      </x:c>
      <x:c r="E23" s="21" t="str">
        <x:v>lazada 5-6; mcbr02</x:v>
      </x:c>
      <x:c r="F23" s="21" t="str">
        <x:v>Excluded</x:v>
      </x:c>
      <x:c r="G23" s="21" t="str">
        <x:v>Senarai pengecualian manual pengguna</x:v>
      </x:c>
    </x:row>
    <x:row r="24">
      <x:c r="A24" s="46" t="str">
        <x:f>"60122874471"</x:f>
        <x:v>60122874471</x:v>
      </x:c>
      <x:c r="B24" s="21" t="str">
        <x:v>Pn Alya INKSEN</x:v>
      </x:c>
      <x:c r="C24" s="21" t="n">
        <x:v>2</x:v>
      </x:c>
      <x:c r="D24" s="21" t="n">
        <x:v>2</x:v>
      </x:c>
      <x:c r="E24" s="21" t="str">
        <x:v>C1TT; laz 25-26</x:v>
      </x:c>
      <x:c r="F24" s="21" t="str">
        <x:v>Excluded</x:v>
      </x:c>
      <x:c r="G24" s="21" t="str">
        <x:v>Nama/nombor dikenal pasti sebagai INSKEN</x:v>
      </x:c>
    </x:row>
    <x:row r="25">
      <x:c r="A25" s="46" t="str">
        <x:f>"60123232144"</x:f>
        <x:v>60123232144</x:v>
      </x:c>
      <x:c r="B25" s="21" t="str">
        <x:v>Nanie Rahayu</x:v>
      </x:c>
      <x:c r="C25" s="21" t="n">
        <x:v>2</x:v>
      </x:c>
      <x:c r="D25" s="21" t="n">
        <x:v>2</x:v>
      </x:c>
      <x:c r="E25" s="21" t="str">
        <x:v>cohort 3 B2; cohort3TT</x:v>
      </x:c>
      <x:c r="F25" s="21" t="str">
        <x:v>Included</x:v>
      </x:c>
      <x:c r="G25" s="21" t="str">
        <x:v>Peserta</x:v>
      </x:c>
    </x:row>
    <x:row r="26">
      <x:c r="A26" s="46" t="str">
        <x:f>"60124138886"</x:f>
        <x:v>60124138886</x:v>
      </x:c>
      <x:c r="B26" s="21" t="str"/>
      <x:c r="C26" s="21" t="n">
        <x:v>2</x:v>
      </x:c>
      <x:c r="D26" s="21" t="n">
        <x:v>2</x:v>
      </x:c>
      <x:c r="E26" s="21" t="str">
        <x:v>EBOARD C8 SP; mcbr02</x:v>
      </x:c>
      <x:c r="F26" s="21" t="str">
        <x:v>Included</x:v>
      </x:c>
      <x:c r="G26" s="21" t="str">
        <x:v>Peserta</x:v>
      </x:c>
    </x:row>
    <x:row r="27">
      <x:c r="A27" s="46" t="str">
        <x:f>"60124913454"</x:f>
        <x:v>60124913454</x:v>
      </x:c>
      <x:c r="B27" s="21" t="str"/>
      <x:c r="C27" s="21" t="n">
        <x:v>2</x:v>
      </x:c>
      <x:c r="D27" s="21" t="n">
        <x:v>2</x:v>
      </x:c>
      <x:c r="E27" s="21" t="str">
        <x:v>group digital products; GROUP SEMBANG MALAM</x:v>
      </x:c>
      <x:c r="F27" s="21" t="str">
        <x:v>Included</x:v>
      </x:c>
      <x:c r="G27" s="21" t="str">
        <x:v>Peserta</x:v>
      </x:c>
    </x:row>
    <x:row r="28">
      <x:c r="A28" s="46" t="str">
        <x:f>"60126543790"</x:f>
        <x:v>60126543790</x:v>
      </x:c>
      <x:c r="B28" s="21" t="str">
        <x:v>marini</x:v>
      </x:c>
      <x:c r="C28" s="21" t="n">
        <x:v>2</x:v>
      </x:c>
      <x:c r="D28" s="21" t="n">
        <x:v>2</x:v>
      </x:c>
      <x:c r="E28" s="21" t="str">
        <x:v>TD35 Eposter; Tidak Dinamakan</x:v>
      </x:c>
      <x:c r="F28" s="21" t="str">
        <x:v>Included</x:v>
      </x:c>
      <x:c r="G28" s="21" t="str">
        <x:v>Peserta</x:v>
      </x:c>
    </x:row>
    <x:row r="29">
      <x:c r="A29" s="46" t="str">
        <x:f>"60133112079"</x:f>
        <x:v>60133112079</x:v>
      </x:c>
      <x:c r="B29" s="21" t="str"/>
      <x:c r="C29" s="21" t="n">
        <x:v>2</x:v>
      </x:c>
      <x:c r="D29" s="21" t="n">
        <x:v>2</x:v>
      </x:c>
      <x:c r="E29" s="21" t="str">
        <x:v>mcbr02; td32</x:v>
      </x:c>
      <x:c r="F29" s="21" t="str">
        <x:v>Included</x:v>
      </x:c>
      <x:c r="G29" s="21" t="str">
        <x:v>Peserta</x:v>
      </x:c>
    </x:row>
    <x:row r="30">
      <x:c r="A30" s="46" t="str">
        <x:f>"60133417484"</x:f>
        <x:v>60133417484</x:v>
      </x:c>
      <x:c r="B30" s="21" t="str"/>
      <x:c r="C30" s="21" t="n">
        <x:v>2</x:v>
      </x:c>
      <x:c r="D30" s="21" t="n">
        <x:v>2</x:v>
      </x:c>
      <x:c r="E30" s="21" t="str">
        <x:v>cohort 3 B2; cohort3TT</x:v>
      </x:c>
      <x:c r="F30" s="21" t="str">
        <x:v>Included</x:v>
      </x:c>
      <x:c r="G30" s="21" t="str">
        <x:v>Peserta</x:v>
      </x:c>
    </x:row>
    <x:row r="31">
      <x:c r="A31" s="46" t="str">
        <x:f>"60137202171"</x:f>
        <x:v>60137202171</x:v>
      </x:c>
      <x:c r="B31" s="21" t="str"/>
      <x:c r="C31" s="21" t="n">
        <x:v>2</x:v>
      </x:c>
      <x:c r="D31" s="21" t="n">
        <x:v>2</x:v>
      </x:c>
      <x:c r="E31" s="21" t="str">
        <x:v>mcbr02; TD35 Eposter</x:v>
      </x:c>
      <x:c r="F31" s="21" t="str">
        <x:v>Included</x:v>
      </x:c>
      <x:c r="G31" s="21" t="str">
        <x:v>Peserta</x:v>
      </x:c>
    </x:row>
    <x:row r="32">
      <x:c r="A32" s="46" t="str">
        <x:f>"60138260554"</x:f>
        <x:v>60138260554</x:v>
      </x:c>
      <x:c r="B32" s="21" t="str"/>
      <x:c r="C32" s="21" t="n">
        <x:v>2</x:v>
      </x:c>
      <x:c r="D32" s="21" t="n">
        <x:v>2</x:v>
      </x:c>
      <x:c r="E32" s="21" t="str">
        <x:v>cohort 3 B2; cohort3TT</x:v>
      </x:c>
      <x:c r="F32" s="21" t="str">
        <x:v>Included</x:v>
      </x:c>
      <x:c r="G32" s="21" t="str">
        <x:v>Peserta</x:v>
      </x:c>
    </x:row>
    <x:row r="33">
      <x:c r="A33" s="46" t="str">
        <x:f>"60162232477"</x:f>
        <x:v>60162232477</x:v>
      </x:c>
      <x:c r="B33" s="21" t="str">
        <x:v>Rain</x:v>
      </x:c>
      <x:c r="C33" s="21" t="n">
        <x:v>2</x:v>
      </x:c>
      <x:c r="D33" s="21" t="n">
        <x:v>2</x:v>
      </x:c>
      <x:c r="E33" s="21" t="str">
        <x:v>td32; Tidak Dinamakan</x:v>
      </x:c>
      <x:c r="F33" s="21" t="str">
        <x:v>Included</x:v>
      </x:c>
      <x:c r="G33" s="21" t="str">
        <x:v>Peserta</x:v>
      </x:c>
    </x:row>
    <x:row r="34">
      <x:c r="A34" s="46" t="str">
        <x:f>"60164236116"</x:f>
        <x:v>60164236116</x:v>
      </x:c>
      <x:c r="B34" s="21" t="str">
        <x:v>Fazlu Trainer</x:v>
      </x:c>
      <x:c r="C34" s="21" t="n">
        <x:v>2</x:v>
      </x:c>
      <x:c r="D34" s="21" t="n">
        <x:v>2</x:v>
      </x:c>
      <x:c r="E34" s="21" t="str">
        <x:v>td32; tiktok 12-13 Jan 2026</x:v>
      </x:c>
      <x:c r="F34" s="21" t="str">
        <x:v>Excluded</x:v>
      </x:c>
      <x:c r="G34" s="21" t="str">
        <x:v>Senarai pengecualian manual pengguna</x:v>
      </x:c>
    </x:row>
    <x:row r="35">
      <x:c r="A35" s="46" t="str">
        <x:f>"60164836717"</x:f>
        <x:v>60164836717</x:v>
      </x:c>
      <x:c r="B35" s="21" t="str"/>
      <x:c r="C35" s="21" t="n">
        <x:v>2</x:v>
      </x:c>
      <x:c r="D35" s="21" t="n">
        <x:v>2</x:v>
      </x:c>
      <x:c r="E35" s="21" t="str">
        <x:v>mcbr02; Td21 emkrt</x:v>
      </x:c>
      <x:c r="F35" s="21" t="str">
        <x:v>Included</x:v>
      </x:c>
      <x:c r="G35" s="21" t="str">
        <x:v>Peserta</x:v>
      </x:c>
    </x:row>
    <x:row r="36">
      <x:c r="A36" s="46" t="str">
        <x:f>"60165181644"</x:f>
        <x:v>60165181644</x:v>
      </x:c>
      <x:c r="B36" s="21" t="str"/>
      <x:c r="C36" s="21" t="n">
        <x:v>2</x:v>
      </x:c>
      <x:c r="D36" s="21" t="n">
        <x:v>2</x:v>
      </x:c>
      <x:c r="E36" s="21" t="str">
        <x:v>Tidak Dinamakan; tiktok 12-13 Jan 2026</x:v>
      </x:c>
      <x:c r="F36" s="21" t="str">
        <x:v>Included</x:v>
      </x:c>
      <x:c r="G36" s="21" t="str">
        <x:v>Peserta</x:v>
      </x:c>
    </x:row>
    <x:row r="37">
      <x:c r="A37" s="46" t="str">
        <x:f>"60166267784"</x:f>
        <x:v>60166267784</x:v>
      </x:c>
      <x:c r="B37" s="21" t="str"/>
      <x:c r="C37" s="21" t="n">
        <x:v>2</x:v>
      </x:c>
      <x:c r="D37" s="21" t="n">
        <x:v>2</x:v>
      </x:c>
      <x:c r="E37" s="21" t="str">
        <x:v>ti9596; tiktok cz</x:v>
      </x:c>
      <x:c r="F37" s="21" t="str">
        <x:v>Included</x:v>
      </x:c>
      <x:c r="G37" s="21" t="str">
        <x:v>Peserta</x:v>
      </x:c>
    </x:row>
    <x:row r="38">
      <x:c r="A38" s="46" t="str">
        <x:f>"60173822117"</x:f>
        <x:v>60173822117</x:v>
      </x:c>
      <x:c r="B38" s="21" t="str">
        <x:v>azah sugar planet</x:v>
      </x:c>
      <x:c r="C38" s="21" t="n">
        <x:v>2</x:v>
      </x:c>
      <x:c r="D38" s="21" t="n">
        <x:v>2</x:v>
      </x:c>
      <x:c r="E38" s="21" t="str">
        <x:v>group digital products; GROUP SEMBANG MALAM</x:v>
      </x:c>
      <x:c r="F38" s="21" t="str">
        <x:v>Included</x:v>
      </x:c>
      <x:c r="G38" s="21" t="str">
        <x:v>Peserta</x:v>
      </x:c>
    </x:row>
    <x:row r="39">
      <x:c r="A39" s="46" t="str">
        <x:f>"60174311215"</x:f>
        <x:v>60174311215</x:v>
      </x:c>
      <x:c r="B39" s="21" t="str">
        <x:v>Dr hariz Mdec Trainer</x:v>
      </x:c>
      <x:c r="C39" s="21" t="n">
        <x:v>2</x:v>
      </x:c>
      <x:c r="D39" s="21" t="n">
        <x:v>2</x:v>
      </x:c>
      <x:c r="E39" s="21" t="str">
        <x:v>laz 25-26; tdag79</x:v>
      </x:c>
      <x:c r="F39" s="21" t="str">
        <x:v>Excluded</x:v>
      </x:c>
      <x:c r="G39" s="21" t="str">
        <x:v>Senarai pengecualian manual pengguna</x:v>
      </x:c>
    </x:row>
    <x:row r="40">
      <x:c r="A40" s="46" t="str">
        <x:f>"60174809266"</x:f>
        <x:v>60174809266</x:v>
      </x:c>
      <x:c r="B40" s="21" t="str"/>
      <x:c r="C40" s="21" t="n">
        <x:v>2</x:v>
      </x:c>
      <x:c r="D40" s="21" t="n">
        <x:v>2</x:v>
      </x:c>
      <x:c r="E40" s="21" t="str">
        <x:v>DIGITAL PRODUCT MASTERY; Tidak Dinamakan</x:v>
      </x:c>
      <x:c r="F40" s="21" t="str">
        <x:v>Included</x:v>
      </x:c>
      <x:c r="G40" s="21" t="str">
        <x:v>Peserta</x:v>
      </x:c>
    </x:row>
    <x:row r="41">
      <x:c r="A41" s="46" t="str">
        <x:f>"60178544421"</x:f>
        <x:v>60178544421</x:v>
      </x:c>
      <x:c r="B41" s="21" t="str"/>
      <x:c r="C41" s="21" t="n">
        <x:v>2</x:v>
      </x:c>
      <x:c r="D41" s="21" t="n">
        <x:v>2</x:v>
      </x:c>
      <x:c r="E41" s="21" t="str">
        <x:v>EBOARD C8 SP; mcbr02</x:v>
      </x:c>
      <x:c r="F41" s="21" t="str">
        <x:v>Included</x:v>
      </x:c>
      <x:c r="G41" s="21" t="str">
        <x:v>Peserta</x:v>
      </x:c>
    </x:row>
    <x:row r="42">
      <x:c r="A42" s="46" t="str">
        <x:f>"60183534473"</x:f>
        <x:v>60183534473</x:v>
      </x:c>
      <x:c r="B42" s="21" t="str">
        <x:v>Bittersweet</x:v>
      </x:c>
      <x:c r="C42" s="21" t="n">
        <x:v>2</x:v>
      </x:c>
      <x:c r="D42" s="21" t="n">
        <x:v>2</x:v>
      </x:c>
      <x:c r="E42" s="21" t="str">
        <x:v>EBOARD C8 SP; mcbr02</x:v>
      </x:c>
      <x:c r="F42" s="21" t="str">
        <x:v>Included</x:v>
      </x:c>
      <x:c r="G42" s="21" t="str">
        <x:v>Peserta</x:v>
      </x:c>
    </x:row>
    <x:row r="43">
      <x:c r="A43" s="46" t="str">
        <x:f>"60193177658"</x:f>
        <x:v>60193177658</x:v>
      </x:c>
      <x:c r="B43" s="21" t="str">
        <x:v>Badrul Kulitas Pilot Taiwan</x:v>
      </x:c>
      <x:c r="C43" s="21" t="n">
        <x:v>2</x:v>
      </x:c>
      <x:c r="D43" s="21" t="n">
        <x:v>2</x:v>
      </x:c>
      <x:c r="E43" s="21" t="str">
        <x:v>mcbr02; TD160</x:v>
      </x:c>
      <x:c r="F43" s="21" t="str">
        <x:v>Included</x:v>
      </x:c>
      <x:c r="G43" s="21" t="str">
        <x:v>Peserta</x:v>
      </x:c>
    </x:row>
    <x:row r="44">
      <x:c r="A44" s="46" t="str">
        <x:f>"60193434856"</x:f>
        <x:v>60193434856</x:v>
      </x:c>
      <x:c r="B44" s="21" t="str">
        <x:v>Nik Azim</x:v>
      </x:c>
      <x:c r="C44" s="21" t="n">
        <x:v>2</x:v>
      </x:c>
      <x:c r="D44" s="21" t="n">
        <x:v>2</x:v>
      </x:c>
      <x:c r="E44" s="21" t="str">
        <x:v>group digital products; GROUP SEMBANG MALAM</x:v>
      </x:c>
      <x:c r="F44" s="21" t="str">
        <x:v>Included</x:v>
      </x:c>
      <x:c r="G44" s="21" t="str">
        <x:v>Peserta</x:v>
      </x:c>
    </x:row>
    <x:row r="45">
      <x:c r="A45" s="47" t="str">
        <x:f>"60194458455"</x:f>
        <x:v>60194458455</x:v>
      </x:c>
      <x:c r="B45" s="22" t="str"/>
      <x:c r="C45" s="22" t="n">
        <x:v>2</x:v>
      </x:c>
      <x:c r="D45" s="22" t="n">
        <x:v>2</x:v>
      </x:c>
      <x:c r="E45" s="22" t="str">
        <x:v>TD160; tiktok 12-13 Jan 2026</x:v>
      </x:c>
      <x:c r="F45" s="22" t="str">
        <x:v>Included</x:v>
      </x:c>
      <x:c r="G45" s="22" t="str">
        <x:v>Peserta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ea3446d98b514ac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6" hidden="0" customWidth="1"/>
    <x:col min="3" max="3" width="44" hidden="0" customWidth="1"/>
    <x:col min="4" max="4" width="32" hidden="0" customWidth="1"/>
    <x:col min="5" max="5" width="50" hidden="0" customWidth="1"/>
    <x:col min="6" max="6" width="12" hidden="0" customWidth="1"/>
    <x:col min="7" max="7" width="12" hidden="0" customWidth="1"/>
  </x:cols>
  <x:sheetData>
    <x:row r="1" ht="30" customHeight="1">
      <x:c r="A1" s="3" t="str">
        <x:v>Review Candidates</x:v>
      </x:c>
      <x:c r="B1" s="3"/>
      <x:c r="C1" s="3"/>
      <x:c r="D1" s="3"/>
      <x:c r="E1" s="3"/>
      <x:c r="F1" s="3"/>
      <x:c r="G1" s="3"/>
    </x:row>
    <x:row r="2" ht="28" customHeight="1">
      <x:c r="A2" s="7" t="str">
        <x:v>Calon ini kekal dalam Master List, tetapi disorot untuk semakan manual kerana nama peranan atau kekerapan rentas grup.</x:v>
      </x:c>
      <x:c r="B2" s="7"/>
      <x:c r="C2" s="7"/>
      <x:c r="D2" s="7"/>
      <x:c r="E2" s="7"/>
      <x:c r="F2" s="7"/>
      <x:c r="G2" s="7"/>
    </x:row>
    <x:row r="4" ht="24" customHeight="1">
      <x:c r="A4" s="11" t="str">
        <x:v>phone</x:v>
      </x:c>
      <x:c r="B4" s="11" t="str">
        <x:v>best_name</x:v>
      </x:c>
      <x:c r="C4" s="11" t="str">
        <x:v>all_names</x:v>
      </x:c>
      <x:c r="D4" s="11" t="str">
        <x:v>review_reason</x:v>
      </x:c>
      <x:c r="E4" s="11" t="str">
        <x:v>source_groups</x:v>
      </x:c>
      <x:c r="F4" s="11" t="str">
        <x:v>group_count</x:v>
      </x:c>
      <x:c r="G4" s="11" t="str">
        <x:v>occurrences</x:v>
      </x:c>
    </x:row>
    <x:row r="5">
      <x:c r="A5" s="51" t="str">
        <x:f>"60105447245"</x:f>
        <x:v>60105447245</x:v>
      </x:c>
      <x:c r="B5" s="42" t="str"/>
      <x:c r="C5" s="42" t="str">
        <x:v>+60105447245</x:v>
      </x:c>
      <x:c r="D5" s="42" t="str">
        <x:v>Muncul dalam 3+ grup</x:v>
      </x:c>
      <x:c r="E5" s="42" t="str">
        <x:v>TD119 Zero CM; TD137; TD160; Td21 emkrt; TD35 Eposter; TD47 Shopee; tiktok 12-13 Jan 2026</x:v>
      </x:c>
      <x:c r="F5" s="42" t="n">
        <x:v>7</x:v>
      </x:c>
      <x:c r="G5" s="42" t="n">
        <x:v>7</x:v>
      </x:c>
    </x:row>
    <x:row r="6">
      <x:c r="A6" s="52" t="str">
        <x:f>"60126077335"</x:f>
        <x:v>60126077335</x:v>
      </x:c>
      <x:c r="B6" s="43" t="str"/>
      <x:c r="C6" s="43" t="str">
        <x:v>+60126077335</x:v>
      </x:c>
      <x:c r="D6" s="43" t="str">
        <x:v>Muncul dalam 3+ grup</x:v>
      </x:c>
      <x:c r="E6" s="43" t="str">
        <x:v>lazada 5-6; mcbr02; TD47 Shopee</x:v>
      </x:c>
      <x:c r="F6" s="43" t="n">
        <x:v>3</x:v>
      </x:c>
      <x:c r="G6" s="43" t="n">
        <x:v>3</x:v>
      </x:c>
    </x:row>
    <x:row r="7">
      <x:c r="A7" s="52" t="str">
        <x:f>"60186654805"</x:f>
        <x:v>60186654805</x:v>
      </x:c>
      <x:c r="B7" s="43" t="str"/>
      <x:c r="C7" s="43" t="str">
        <x:v>+60186654805</x:v>
      </x:c>
      <x:c r="D7" s="43" t="str">
        <x:v>Muncul dalam 3+ grup</x:v>
      </x:c>
      <x:c r="E7" s="43" t="str">
        <x:v>C8 TT; Td21 emkrt; td32</x:v>
      </x:c>
      <x:c r="F7" s="43" t="n">
        <x:v>3</x:v>
      </x:c>
      <x:c r="G7" s="43" t="n">
        <x:v>3</x:v>
      </x:c>
    </x:row>
    <x:row r="8">
      <x:c r="A8" s="52" t="str">
        <x:f>"601120625178"</x:f>
        <x:v>601120625178</x:v>
      </x:c>
      <x:c r="B8" s="43" t="str">
        <x:v>Coach Anis Digital marketing Academy</x:v>
      </x:c>
      <x:c r="C8" s="43" t="str">
        <x:v>Coach Anis Digital marketing Academy</x:v>
      </x:c>
      <x:c r="D8" s="43" t="str">
        <x:v>Nama mengandungi kata peranan</x:v>
      </x:c>
      <x:c r="E8" s="43" t="str">
        <x:v>tiktok mana ns</x:v>
      </x:c>
      <x:c r="F8" s="43" t="n">
        <x:v>1</x:v>
      </x:c>
      <x:c r="G8" s="43" t="n">
        <x:v>1</x:v>
      </x:c>
    </x:row>
    <x:row r="9">
      <x:c r="A9" s="53" t="str">
        <x:f>"60174152078"</x:f>
        <x:v>60174152078</x:v>
      </x:c>
      <x:c r="B9" s="44" t="str">
        <x:v>azriehusainy Trainer</x:v>
      </x:c>
      <x:c r="C9" s="44" t="str">
        <x:v>azriehusainy Trainer</x:v>
      </x:c>
      <x:c r="D9" s="44" t="str">
        <x:v>Nama mengandungi kata peranan</x:v>
      </x:c>
      <x:c r="E9" s="44" t="str">
        <x:v>mcbr02</x:v>
      </x:c>
      <x:c r="F9" s="44" t="n">
        <x:v>1</x:v>
      </x:c>
      <x:c r="G9" s="44" t="n">
        <x:v>1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9cf17c86b088457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5" hidden="0" customWidth="1"/>
    <x:col min="3" max="3" width="10" hidden="0" customWidth="1"/>
    <x:col min="4" max="4" width="18" hidden="0" customWidth="1"/>
    <x:col min="5" max="5" width="32" hidden="0" customWidth="1"/>
    <x:col min="6" max="6" width="14" hidden="0" customWidth="1"/>
    <x:col min="7" max="7" width="18" hidden="0" customWidth="1"/>
    <x:col min="8" max="8" width="12" hidden="0" customWidth="1"/>
    <x:col min="9" max="9" width="12" hidden="0" customWidth="1"/>
    <x:col min="10" max="10" width="12" hidden="0" customWidth="1"/>
    <x:col min="11" max="11" width="14" hidden="0" customWidth="1"/>
    <x:col min="12" max="12" width="32" hidden="0" customWidth="1"/>
  </x:cols>
  <x:sheetData>
    <x:row r="1" ht="30" customHeight="1">
      <x:c r="A1" s="3" t="str">
        <x:v>Source Data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8" customHeight="1">
      <x:c r="A2" s="7" t="str">
        <x:v>Salinan audit semua rekod asal daripada 37 CSV. Kolum keputusan ialah hasil aturan penapisan.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24" customHeight="1">
      <x:c r="A4" s="11" t="str">
        <x:v>source_file</x:v>
      </x:c>
      <x:c r="B4" s="11" t="str">
        <x:v>source_group</x:v>
      </x:c>
      <x:c r="C4" s="11" t="str">
        <x:v>source_row</x:v>
      </x:c>
      <x:c r="D4" s="11" t="str">
        <x:v>raw_phone</x:v>
      </x:c>
      <x:c r="E4" s="11" t="str">
        <x:v>raw_name</x:v>
      </x:c>
      <x:c r="F4" s="11" t="str">
        <x:v>raw_status</x:v>
      </x:c>
      <x:c r="G4" s="11" t="str">
        <x:v>normalized_phone</x:v>
      </x:c>
      <x:c r="H4" s="11" t="str">
        <x:v>valid_phone</x:v>
      </x:c>
      <x:c r="I4" s="11" t="str">
        <x:v>admin_status</x:v>
      </x:c>
      <x:c r="J4" s="11" t="str">
        <x:v>insken_name</x:v>
      </x:c>
      <x:c r="K4" s="11" t="str">
        <x:v>decision</x:v>
      </x:c>
      <x:c r="L4" s="11" t="str">
        <x:v>reason</x:v>
      </x:c>
    </x:row>
    <x:row r="5">
      <x:c r="A5" s="20" t="str">
        <x:v>whatsapp_group_numbers C1TT.csv</x:v>
      </x:c>
      <x:c r="B5" s="20" t="str">
        <x:v>C1TT</x:v>
      </x:c>
      <x:c r="C5" s="20" t="n">
        <x:v>1</x:v>
      </x:c>
      <x:c r="D5" s="45" t="str">
        <x:f>"+60123678953"</x:f>
        <x:v>+60123678953</x:v>
      </x:c>
      <x:c r="E5" s="20" t="str">
        <x:v>Allan Insken</x:v>
      </x:c>
      <x:c r="F5" s="20" t="str">
        <x:v>Member</x:v>
      </x:c>
      <x:c r="G5" s="45" t="str">
        <x:f>"60123678953"</x:f>
        <x:v>60123678953</x:v>
      </x:c>
      <x:c r="H5" s="20" t="str">
        <x:v>Yes</x:v>
      </x:c>
      <x:c r="I5" s="20" t="str">
        <x:v>No</x:v>
      </x:c>
      <x:c r="J5" s="20" t="str">
        <x:v>Yes</x:v>
      </x:c>
      <x:c r="K5" s="20" t="str">
        <x:v>Excluded</x:v>
      </x:c>
      <x:c r="L5" s="20" t="str">
        <x:v>Nama/nombor dikenal pasti sebagai INSKEN</x:v>
      </x:c>
    </x:row>
    <x:row r="6">
      <x:c r="A6" s="21" t="str">
        <x:v>whatsapp_group_numbers C1TT.csv</x:v>
      </x:c>
      <x:c r="B6" s="21" t="str">
        <x:v>C1TT</x:v>
      </x:c>
      <x:c r="C6" s="21" t="n">
        <x:v>2</x:v>
      </x:c>
      <x:c r="D6" s="46" t="str">
        <x:f>"+60192211209"</x:f>
        <x:v>+60192211209</x:v>
      </x:c>
      <x:c r="E6" s="21" t="str">
        <x:v>Fais Insken Coach Coordinator</x:v>
      </x:c>
      <x:c r="F6" s="21" t="str">
        <x:v>Member</x:v>
      </x:c>
      <x:c r="G6" s="46" t="str">
        <x:f>"60192211209"</x:f>
        <x:v>60192211209</x:v>
      </x:c>
      <x:c r="H6" s="21" t="str">
        <x:v>Yes</x:v>
      </x:c>
      <x:c r="I6" s="21" t="str">
        <x:v>No</x:v>
      </x:c>
      <x:c r="J6" s="21" t="str">
        <x:v>Yes</x:v>
      </x:c>
      <x:c r="K6" s="21" t="str">
        <x:v>Excluded</x:v>
      </x:c>
      <x:c r="L6" s="21" t="str">
        <x:v>Nama/nombor dikenal pasti sebagai INSKEN</x:v>
      </x:c>
    </x:row>
    <x:row r="7">
      <x:c r="A7" s="21" t="str">
        <x:v>whatsapp_group_numbers C1TT.csv</x:v>
      </x:c>
      <x:c r="B7" s="21" t="str">
        <x:v>C1TT</x:v>
      </x:c>
      <x:c r="C7" s="21" t="n">
        <x:v>3</x:v>
      </x:c>
      <x:c r="D7" s="46" t="str">
        <x:f>"+60122671342"</x:f>
        <x:v>+60122671342</x:v>
      </x:c>
      <x:c r="E7" s="21" t="str">
        <x:v>kak iera yusoff ghost writer</x:v>
      </x:c>
      <x:c r="F7" s="21" t="str">
        <x:v>Member</x:v>
      </x:c>
      <x:c r="G7" s="46" t="str">
        <x:f>"60122671342"</x:f>
        <x:v>60122671342</x:v>
      </x:c>
      <x:c r="H7" s="21" t="str">
        <x:v>Yes</x:v>
      </x:c>
      <x:c r="I7" s="21" t="str">
        <x:v>No</x:v>
      </x:c>
      <x:c r="J7" s="21" t="str">
        <x:v>No</x:v>
      </x:c>
      <x:c r="K7" s="21" t="str">
        <x:v>Included</x:v>
      </x:c>
      <x:c r="L7" s="21" t="str">
        <x:v>Peserta</x:v>
      </x:c>
    </x:row>
    <x:row r="8">
      <x:c r="A8" s="21" t="str">
        <x:v>whatsapp_group_numbers C1TT.csv</x:v>
      </x:c>
      <x:c r="B8" s="21" t="str">
        <x:v>C1TT</x:v>
      </x:c>
      <x:c r="C8" s="21" t="n">
        <x:v>4</x:v>
      </x:c>
      <x:c r="D8" s="46" t="str">
        <x:f>"+601132960272"</x:f>
        <x:v>+601132960272</x:v>
      </x:c>
      <x:c r="E8" s="21" t="str">
        <x:v>M Fattah Insken</x:v>
      </x:c>
      <x:c r="F8" s="21" t="str">
        <x:v>Member</x:v>
      </x:c>
      <x:c r="G8" s="46" t="str">
        <x:f>"601132960272"</x:f>
        <x:v>601132960272</x:v>
      </x:c>
      <x:c r="H8" s="21" t="str">
        <x:v>Yes</x:v>
      </x:c>
      <x:c r="I8" s="21" t="str">
        <x:v>No</x:v>
      </x:c>
      <x:c r="J8" s="21" t="str">
        <x:v>Yes</x:v>
      </x:c>
      <x:c r="K8" s="21" t="str">
        <x:v>Excluded</x:v>
      </x:c>
      <x:c r="L8" s="21" t="str">
        <x:v>Nama/nombor dikenal pasti sebagai INSKEN</x:v>
      </x:c>
    </x:row>
    <x:row r="9">
      <x:c r="A9" s="21" t="str">
        <x:v>whatsapp_group_numbers C1TT.csv</x:v>
      </x:c>
      <x:c r="B9" s="21" t="str">
        <x:v>C1TT</x:v>
      </x:c>
      <x:c r="C9" s="21" t="n">
        <x:v>5</x:v>
      </x:c>
      <x:c r="D9" s="46" t="str">
        <x:f>"+60122874471"</x:f>
        <x:v>+60122874471</x:v>
      </x:c>
      <x:c r="E9" s="21" t="str">
        <x:v>Pn Alya INKSEN</x:v>
      </x:c>
      <x:c r="F9" s="21" t="str">
        <x:v>Member</x:v>
      </x:c>
      <x:c r="G9" s="46" t="str">
        <x:f>"60122874471"</x:f>
        <x:v>60122874471</x:v>
      </x:c>
      <x:c r="H9" s="21" t="str">
        <x:v>Yes</x:v>
      </x:c>
      <x:c r="I9" s="21" t="str">
        <x:v>No</x:v>
      </x:c>
      <x:c r="J9" s="21" t="str">
        <x:v>Yes</x:v>
      </x:c>
      <x:c r="K9" s="21" t="str">
        <x:v>Excluded</x:v>
      </x:c>
      <x:c r="L9" s="21" t="str">
        <x:v>Nama/nombor dikenal pasti sebagai INSKEN</x:v>
      </x:c>
    </x:row>
    <x:row r="10">
      <x:c r="A10" s="21" t="str">
        <x:v>whatsapp_group_numbers C1TT.csv</x:v>
      </x:c>
      <x:c r="B10" s="21" t="str">
        <x:v>C1TT</x:v>
      </x:c>
      <x:c r="C10" s="21" t="n">
        <x:v>6</x:v>
      </x:c>
      <x:c r="D10" s="46" t="str">
        <x:f>"+60199805233"</x:f>
        <x:v>+60199805233</x:v>
      </x:c>
      <x:c r="E10" s="21" t="str">
        <x:v>Pn Anisah INSKEN</x:v>
      </x:c>
      <x:c r="F10" s="21" t="str">
        <x:v>Member</x:v>
      </x:c>
      <x:c r="G10" s="46" t="str">
        <x:f>"60199805233"</x:f>
        <x:v>60199805233</x:v>
      </x:c>
      <x:c r="H10" s="21" t="str">
        <x:v>Yes</x:v>
      </x:c>
      <x:c r="I10" s="21" t="str">
        <x:v>No</x:v>
      </x:c>
      <x:c r="J10" s="21" t="str">
        <x:v>Yes</x:v>
      </x:c>
      <x:c r="K10" s="21" t="str">
        <x:v>Excluded</x:v>
      </x:c>
      <x:c r="L10" s="21" t="str">
        <x:v>Nama/nombor dikenal pasti sebagai INSKEN</x:v>
      </x:c>
    </x:row>
    <x:row r="11">
      <x:c r="A11" s="21" t="str">
        <x:v>whatsapp_group_numbers C1TT.csv</x:v>
      </x:c>
      <x:c r="B11" s="21" t="str">
        <x:v>C1TT</x:v>
      </x:c>
      <x:c r="C11" s="21" t="n">
        <x:v>7</x:v>
      </x:c>
      <x:c r="D11" s="46" t="str">
        <x:f>"+60109205013"</x:f>
        <x:v>+60109205013</x:v>
      </x:c>
      <x:c r="E11" s="21" t="str">
        <x:v>+60109205013</x:v>
      </x:c>
      <x:c r="F11" s="21" t="str">
        <x:v>Member</x:v>
      </x:c>
      <x:c r="G11" s="46" t="str">
        <x:f>"60109205013"</x:f>
        <x:v>60109205013</x:v>
      </x:c>
      <x:c r="H11" s="21" t="str">
        <x:v>Yes</x:v>
      </x:c>
      <x:c r="I11" s="21" t="str">
        <x:v>No</x:v>
      </x:c>
      <x:c r="J11" s="21" t="str">
        <x:v>No</x:v>
      </x:c>
      <x:c r="K11" s="21" t="str">
        <x:v>Included</x:v>
      </x:c>
      <x:c r="L11" s="21" t="str">
        <x:v>Peserta</x:v>
      </x:c>
    </x:row>
    <x:row r="12">
      <x:c r="A12" s="21" t="str">
        <x:v>whatsapp_group_numbers C1TT.csv</x:v>
      </x:c>
      <x:c r="B12" s="21" t="str">
        <x:v>C1TT</x:v>
      </x:c>
      <x:c r="C12" s="21" t="n">
        <x:v>8</x:v>
      </x:c>
      <x:c r="D12" s="46" t="str">
        <x:f>"+60179548930"</x:f>
        <x:v>+60179548930</x:v>
      </x:c>
      <x:c r="E12" s="21" t="str">
        <x:v>+60179548930</x:v>
      </x:c>
      <x:c r="F12" s="21" t="str">
        <x:v>Member</x:v>
      </x:c>
      <x:c r="G12" s="46" t="str">
        <x:f>"60179548930"</x:f>
        <x:v>60179548930</x:v>
      </x:c>
      <x:c r="H12" s="21" t="str">
        <x:v>Yes</x:v>
      </x:c>
      <x:c r="I12" s="21" t="str">
        <x:v>No</x:v>
      </x:c>
      <x:c r="J12" s="21" t="str">
        <x:v>No</x:v>
      </x:c>
      <x:c r="K12" s="21" t="str">
        <x:v>Included</x:v>
      </x:c>
      <x:c r="L12" s="21" t="str">
        <x:v>Peserta</x:v>
      </x:c>
    </x:row>
    <x:row r="13">
      <x:c r="A13" s="21" t="str">
        <x:v>whatsapp_group_numbers C1TT.csv</x:v>
      </x:c>
      <x:c r="B13" s="21" t="str">
        <x:v>C1TT</x:v>
      </x:c>
      <x:c r="C13" s="21" t="n">
        <x:v>9</x:v>
      </x:c>
      <x:c r="D13" s="46" t="str">
        <x:f>"+601115567644"</x:f>
        <x:v>+601115567644</x:v>
      </x:c>
      <x:c r="E13" s="21" t="str">
        <x:v>+601115567644</x:v>
      </x:c>
      <x:c r="F13" s="21" t="str">
        <x:v>Member</x:v>
      </x:c>
      <x:c r="G13" s="46" t="str">
        <x:f>"601115567644"</x:f>
        <x:v>601115567644</x:v>
      </x:c>
      <x:c r="H13" s="21" t="str">
        <x:v>Yes</x:v>
      </x:c>
      <x:c r="I13" s="21" t="str">
        <x:v>No</x:v>
      </x:c>
      <x:c r="J13" s="21" t="str">
        <x:v>No</x:v>
      </x:c>
      <x:c r="K13" s="21" t="str">
        <x:v>Included</x:v>
      </x:c>
      <x:c r="L13" s="21" t="str">
        <x:v>Peserta</x:v>
      </x:c>
    </x:row>
    <x:row r="14">
      <x:c r="A14" s="21" t="str">
        <x:v>whatsapp_group_numbers C8 LZ.csv</x:v>
      </x:c>
      <x:c r="B14" s="21" t="str">
        <x:v>C8 LZ</x:v>
      </x:c>
      <x:c r="C14" s="21" t="n">
        <x:v>1</x:v>
      </x:c>
      <x:c r="D14" s="46" t="str">
        <x:f>"+60196996902"</x:f>
        <x:v>+60196996902</x:v>
      </x:c>
      <x:c r="E14" s="21" t="str">
        <x:v>tuan yahya tauke facemask</x:v>
      </x:c>
      <x:c r="F14" s="21" t="str">
        <x:v>Member</x:v>
      </x:c>
      <x:c r="G14" s="46" t="str">
        <x:f>"60196996902"</x:f>
        <x:v>60196996902</x:v>
      </x:c>
      <x:c r="H14" s="21" t="str">
        <x:v>Yes</x:v>
      </x:c>
      <x:c r="I14" s="21" t="str">
        <x:v>No</x:v>
      </x:c>
      <x:c r="J14" s="21" t="str">
        <x:v>No</x:v>
      </x:c>
      <x:c r="K14" s="21" t="str">
        <x:v>Included</x:v>
      </x:c>
      <x:c r="L14" s="21" t="str">
        <x:v>Peserta</x:v>
      </x:c>
    </x:row>
    <x:row r="15">
      <x:c r="A15" s="21" t="str">
        <x:v>whatsapp_group_numbers C8 LZ.csv</x:v>
      </x:c>
      <x:c r="B15" s="21" t="str">
        <x:v>C8 LZ</x:v>
      </x:c>
      <x:c r="C15" s="21" t="n">
        <x:v>2</x:v>
      </x:c>
      <x:c r="D15" s="46" t="str">
        <x:f>"+60199516070"</x:f>
        <x:v>+60199516070</x:v>
      </x:c>
      <x:c r="E15" s="21" t="str">
        <x:v>+60199516070</x:v>
      </x:c>
      <x:c r="F15" s="21" t="str">
        <x:v>Member</x:v>
      </x:c>
      <x:c r="G15" s="46" t="str">
        <x:f>"60199516070"</x:f>
        <x:v>60199516070</x:v>
      </x:c>
      <x:c r="H15" s="21" t="str">
        <x:v>Yes</x:v>
      </x:c>
      <x:c r="I15" s="21" t="str">
        <x:v>No</x:v>
      </x:c>
      <x:c r="J15" s="21" t="str">
        <x:v>No</x:v>
      </x:c>
      <x:c r="K15" s="21" t="str">
        <x:v>Included</x:v>
      </x:c>
      <x:c r="L15" s="21" t="str">
        <x:v>Peserta</x:v>
      </x:c>
    </x:row>
    <x:row r="16">
      <x:c r="A16" s="21" t="str">
        <x:v>whatsapp_group_numbers C8 TT.csv</x:v>
      </x:c>
      <x:c r="B16" s="21" t="str">
        <x:v>C8 TT</x:v>
      </x:c>
      <x:c r="C16" s="21" t="n">
        <x:v>1</x:v>
      </x:c>
      <x:c r="D16" s="46" t="str">
        <x:f>"+60189846022"</x:f>
        <x:v>+60189846022</x:v>
      </x:c>
      <x:c r="E16" s="21" t="str">
        <x:v>Pn Saidati C6 Eboard</x:v>
      </x:c>
      <x:c r="F16" s="21" t="str">
        <x:v>Member</x:v>
      </x:c>
      <x:c r="G16" s="46" t="str">
        <x:f>"60189846022"</x:f>
        <x:v>60189846022</x:v>
      </x:c>
      <x:c r="H16" s="21" t="str">
        <x:v>Yes</x:v>
      </x:c>
      <x:c r="I16" s="21" t="str">
        <x:v>No</x:v>
      </x:c>
      <x:c r="J16" s="21" t="str">
        <x:v>No</x:v>
      </x:c>
      <x:c r="K16" s="21" t="str">
        <x:v>Included</x:v>
      </x:c>
      <x:c r="L16" s="21" t="str">
        <x:v>Peserta</x:v>
      </x:c>
    </x:row>
    <x:row r="17">
      <x:c r="A17" s="21" t="str">
        <x:v>whatsapp_group_numbers C8 TT.csv</x:v>
      </x:c>
      <x:c r="B17" s="21" t="str">
        <x:v>C8 TT</x:v>
      </x:c>
      <x:c r="C17" s="21" t="n">
        <x:v>2</x:v>
      </x:c>
      <x:c r="D17" s="46" t="str">
        <x:f>"+60133731191"</x:f>
        <x:v>+60133731191</x:v>
      </x:c>
      <x:c r="E17" s="21" t="str">
        <x:v>Aminah Heng</x:v>
      </x:c>
      <x:c r="F17" s="21" t="str">
        <x:v>Member</x:v>
      </x:c>
      <x:c r="G17" s="46" t="str">
        <x:f>"60133731191"</x:f>
        <x:v>60133731191</x:v>
      </x:c>
      <x:c r="H17" s="21" t="str">
        <x:v>Yes</x:v>
      </x:c>
      <x:c r="I17" s="21" t="str">
        <x:v>No</x:v>
      </x:c>
      <x:c r="J17" s="21" t="str">
        <x:v>No</x:v>
      </x:c>
      <x:c r="K17" s="21" t="str">
        <x:v>Included</x:v>
      </x:c>
      <x:c r="L17" s="21" t="str">
        <x:v>Peserta</x:v>
      </x:c>
    </x:row>
    <x:row r="18">
      <x:c r="A18" s="21" t="str">
        <x:v>whatsapp_group_numbers C8 TT.csv</x:v>
      </x:c>
      <x:c r="B18" s="21" t="str">
        <x:v>C8 TT</x:v>
      </x:c>
      <x:c r="C18" s="21" t="n">
        <x:v>3</x:v>
      </x:c>
      <x:c r="D18" s="46" t="str">
        <x:f>"+60172727278"</x:f>
        <x:v>+60172727278</x:v>
      </x:c>
      <x:c r="E18" s="21" t="str">
        <x:v>Kak Cun Opah Heritage</x:v>
      </x:c>
      <x:c r="F18" s="21" t="str">
        <x:v>Member</x:v>
      </x:c>
      <x:c r="G18" s="46" t="str">
        <x:f>"60172727278"</x:f>
        <x:v>60172727278</x:v>
      </x:c>
      <x:c r="H18" s="21" t="str">
        <x:v>Yes</x:v>
      </x:c>
      <x:c r="I18" s="21" t="str">
        <x:v>No</x:v>
      </x:c>
      <x:c r="J18" s="21" t="str">
        <x:v>No</x:v>
      </x:c>
      <x:c r="K18" s="21" t="str">
        <x:v>Included</x:v>
      </x:c>
      <x:c r="L18" s="21" t="str">
        <x:v>Peserta</x:v>
      </x:c>
    </x:row>
    <x:row r="19">
      <x:c r="A19" s="21" t="str">
        <x:v>whatsapp_group_numbers C8 TT.csv</x:v>
      </x:c>
      <x:c r="B19" s="21" t="str">
        <x:v>C8 TT</x:v>
      </x:c>
      <x:c r="C19" s="21" t="n">
        <x:v>4</x:v>
      </x:c>
      <x:c r="D19" s="46" t="str">
        <x:f>"+60109833892"</x:f>
        <x:v>+60109833892</x:v>
      </x:c>
      <x:c r="E19" s="21" t="str">
        <x:v>Kak Fara</x:v>
      </x:c>
      <x:c r="F19" s="21" t="str">
        <x:v>Member</x:v>
      </x:c>
      <x:c r="G19" s="46" t="str">
        <x:f>"60109833892"</x:f>
        <x:v>60109833892</x:v>
      </x:c>
      <x:c r="H19" s="21" t="str">
        <x:v>Yes</x:v>
      </x:c>
      <x:c r="I19" s="21" t="str">
        <x:v>No</x:v>
      </x:c>
      <x:c r="J19" s="21" t="str">
        <x:v>No</x:v>
      </x:c>
      <x:c r="K19" s="21" t="str">
        <x:v>Included</x:v>
      </x:c>
      <x:c r="L19" s="21" t="str">
        <x:v>Peserta</x:v>
      </x:c>
    </x:row>
    <x:row r="20">
      <x:c r="A20" s="21" t="str">
        <x:v>whatsapp_group_numbers C8 TT.csv</x:v>
      </x:c>
      <x:c r="B20" s="21" t="str">
        <x:v>C8 TT</x:v>
      </x:c>
      <x:c r="C20" s="21" t="n">
        <x:v>5</x:v>
      </x:c>
      <x:c r="D20" s="46" t="str">
        <x:f>"+60132003377"</x:f>
        <x:v>+60132003377</x:v>
      </x:c>
      <x:c r="E20" s="21" t="str">
        <x:v>LAhmad</x:v>
      </x:c>
      <x:c r="F20" s="21" t="str">
        <x:v>Member</x:v>
      </x:c>
      <x:c r="G20" s="46" t="str">
        <x:f>"60132003377"</x:f>
        <x:v>60132003377</x:v>
      </x:c>
      <x:c r="H20" s="21" t="str">
        <x:v>Yes</x:v>
      </x:c>
      <x:c r="I20" s="21" t="str">
        <x:v>No</x:v>
      </x:c>
      <x:c r="J20" s="21" t="str">
        <x:v>No</x:v>
      </x:c>
      <x:c r="K20" s="21" t="str">
        <x:v>Included</x:v>
      </x:c>
      <x:c r="L20" s="21" t="str">
        <x:v>Peserta</x:v>
      </x:c>
    </x:row>
    <x:row r="21">
      <x:c r="A21" s="21" t="str">
        <x:v>whatsapp_group_numbers C8 TT.csv</x:v>
      </x:c>
      <x:c r="B21" s="21" t="str">
        <x:v>C8 TT</x:v>
      </x:c>
      <x:c r="C21" s="21" t="n">
        <x:v>6</x:v>
      </x:c>
      <x:c r="D21" s="46" t="str">
        <x:f>"+60108802317"</x:f>
        <x:v>+60108802317</x:v>
      </x:c>
      <x:c r="E21" s="21" t="str">
        <x:v>Madam MARINA</x:v>
      </x:c>
      <x:c r="F21" s="21" t="str">
        <x:v>Member</x:v>
      </x:c>
      <x:c r="G21" s="46" t="str">
        <x:f>"60108802317"</x:f>
        <x:v>60108802317</x:v>
      </x:c>
      <x:c r="H21" s="21" t="str">
        <x:v>Yes</x:v>
      </x:c>
      <x:c r="I21" s="21" t="str">
        <x:v>No</x:v>
      </x:c>
      <x:c r="J21" s="21" t="str">
        <x:v>No</x:v>
      </x:c>
      <x:c r="K21" s="21" t="str">
        <x:v>Included</x:v>
      </x:c>
      <x:c r="L21" s="21" t="str">
        <x:v>Peserta</x:v>
      </x:c>
    </x:row>
    <x:row r="22">
      <x:c r="A22" s="21" t="str">
        <x:v>whatsapp_group_numbers C8 TT.csv</x:v>
      </x:c>
      <x:c r="B22" s="21" t="str">
        <x:v>C8 TT</x:v>
      </x:c>
      <x:c r="C22" s="21" t="n">
        <x:v>7</x:v>
      </x:c>
      <x:c r="D22" s="46" t="str">
        <x:f>"+60139062969"</x:f>
        <x:v>+60139062969</x:v>
      </x:c>
      <x:c r="E22" s="21" t="str">
        <x:v>mex comel #roselthy</x:v>
      </x:c>
      <x:c r="F22" s="21" t="str">
        <x:v>Member</x:v>
      </x:c>
      <x:c r="G22" s="46" t="str">
        <x:f>"60139062969"</x:f>
        <x:v>60139062969</x:v>
      </x:c>
      <x:c r="H22" s="21" t="str">
        <x:v>Yes</x:v>
      </x:c>
      <x:c r="I22" s="21" t="str">
        <x:v>No</x:v>
      </x:c>
      <x:c r="J22" s="21" t="str">
        <x:v>No</x:v>
      </x:c>
      <x:c r="K22" s="21" t="str">
        <x:v>Included</x:v>
      </x:c>
      <x:c r="L22" s="21" t="str">
        <x:v>Peserta</x:v>
      </x:c>
    </x:row>
    <x:row r="23">
      <x:c r="A23" s="21" t="str">
        <x:v>whatsapp_group_numbers C8 TT.csv</x:v>
      </x:c>
      <x:c r="B23" s="21" t="str">
        <x:v>C8 TT</x:v>
      </x:c>
      <x:c r="C23" s="21" t="n">
        <x:v>8</x:v>
      </x:c>
      <x:c r="D23" s="46" t="str">
        <x:f>"+60184645236"</x:f>
        <x:v>+60184645236</x:v>
      </x:c>
      <x:c r="E23" s="21" t="str">
        <x:v>Pakmaon Kitchen</x:v>
      </x:c>
      <x:c r="F23" s="21" t="str">
        <x:v>Member</x:v>
      </x:c>
      <x:c r="G23" s="46" t="str">
        <x:f>"60184645236"</x:f>
        <x:v>60184645236</x:v>
      </x:c>
      <x:c r="H23" s="21" t="str">
        <x:v>Yes</x:v>
      </x:c>
      <x:c r="I23" s="21" t="str">
        <x:v>No</x:v>
      </x:c>
      <x:c r="J23" s="21" t="str">
        <x:v>No</x:v>
      </x:c>
      <x:c r="K23" s="21" t="str">
        <x:v>Included</x:v>
      </x:c>
      <x:c r="L23" s="21" t="str">
        <x:v>Peserta</x:v>
      </x:c>
    </x:row>
    <x:row r="24">
      <x:c r="A24" s="21" t="str">
        <x:v>whatsapp_group_numbers C8 TT.csv</x:v>
      </x:c>
      <x:c r="B24" s="21" t="str">
        <x:v>C8 TT</x:v>
      </x:c>
      <x:c r="C24" s="21" t="n">
        <x:v>9</x:v>
      </x:c>
      <x:c r="D24" s="46" t="str">
        <x:f>"+60174029087"</x:f>
        <x:v>+60174029087</x:v>
      </x:c>
      <x:c r="E24" s="21" t="str">
        <x:v>Stationery Souvenir RubberStamp Printing</x:v>
      </x:c>
      <x:c r="F24" s="21" t="str">
        <x:v>Member</x:v>
      </x:c>
      <x:c r="G24" s="46" t="str">
        <x:f>"60174029087"</x:f>
        <x:v>60174029087</x:v>
      </x:c>
      <x:c r="H24" s="21" t="str">
        <x:v>Yes</x:v>
      </x:c>
      <x:c r="I24" s="21" t="str">
        <x:v>No</x:v>
      </x:c>
      <x:c r="J24" s="21" t="str">
        <x:v>No</x:v>
      </x:c>
      <x:c r="K24" s="21" t="str">
        <x:v>Included</x:v>
      </x:c>
      <x:c r="L24" s="21" t="str">
        <x:v>Peserta</x:v>
      </x:c>
    </x:row>
    <x:row r="25">
      <x:c r="A25" s="21" t="str">
        <x:v>whatsapp_group_numbers C8 TT.csv</x:v>
      </x:c>
      <x:c r="B25" s="21" t="str">
        <x:v>C8 TT</x:v>
      </x:c>
      <x:c r="C25" s="21" t="n">
        <x:v>10</x:v>
      </x:c>
      <x:c r="D25" s="46" t="str">
        <x:f>"+601133558803"</x:f>
        <x:v>+601133558803</x:v>
      </x:c>
      <x:c r="E25" s="21" t="str">
        <x:v>syakirah Ibrahim</x:v>
      </x:c>
      <x:c r="F25" s="21" t="str">
        <x:v>Member</x:v>
      </x:c>
      <x:c r="G25" s="46" t="str">
        <x:f>"601133558803"</x:f>
        <x:v>601133558803</x:v>
      </x:c>
      <x:c r="H25" s="21" t="str">
        <x:v>Yes</x:v>
      </x:c>
      <x:c r="I25" s="21" t="str">
        <x:v>No</x:v>
      </x:c>
      <x:c r="J25" s="21" t="str">
        <x:v>No</x:v>
      </x:c>
      <x:c r="K25" s="21" t="str">
        <x:v>Included</x:v>
      </x:c>
      <x:c r="L25" s="21" t="str">
        <x:v>Peserta</x:v>
      </x:c>
    </x:row>
    <x:row r="26">
      <x:c r="A26" s="21" t="str">
        <x:v>whatsapp_group_numbers C8 TT.csv</x:v>
      </x:c>
      <x:c r="B26" s="21" t="str">
        <x:v>C8 TT</x:v>
      </x:c>
      <x:c r="C26" s="21" t="n">
        <x:v>11</x:v>
      </x:c>
      <x:c r="D26" s="46" t="str">
        <x:f>"+60193255471"</x:f>
        <x:v>+60193255471</x:v>
      </x:c>
      <x:c r="E26" s="21" t="str">
        <x:v>Wan Noor Zamran</x:v>
      </x:c>
      <x:c r="F26" s="21" t="str">
        <x:v>Member</x:v>
      </x:c>
      <x:c r="G26" s="46" t="str">
        <x:f>"60193255471"</x:f>
        <x:v>60193255471</x:v>
      </x:c>
      <x:c r="H26" s="21" t="str">
        <x:v>Yes</x:v>
      </x:c>
      <x:c r="I26" s="21" t="str">
        <x:v>No</x:v>
      </x:c>
      <x:c r="J26" s="21" t="str">
        <x:v>No</x:v>
      </x:c>
      <x:c r="K26" s="21" t="str">
        <x:v>Included</x:v>
      </x:c>
      <x:c r="L26" s="21" t="str">
        <x:v>Peserta</x:v>
      </x:c>
    </x:row>
    <x:row r="27">
      <x:c r="A27" s="21" t="str">
        <x:v>whatsapp_group_numbers C8 TT.csv</x:v>
      </x:c>
      <x:c r="B27" s="21" t="str">
        <x:v>C8 TT</x:v>
      </x:c>
      <x:c r="C27" s="21" t="n">
        <x:v>12</x:v>
      </x:c>
      <x:c r="D27" s="46" t="str">
        <x:f>"+60136239877"</x:f>
        <x:v>+60136239877</x:v>
      </x:c>
      <x:c r="E27" s="21" t="str">
        <x:v>Yusof Johan</x:v>
      </x:c>
      <x:c r="F27" s="21" t="str">
        <x:v>Member</x:v>
      </x:c>
      <x:c r="G27" s="46" t="str">
        <x:f>"60136239877"</x:f>
        <x:v>60136239877</x:v>
      </x:c>
      <x:c r="H27" s="21" t="str">
        <x:v>Yes</x:v>
      </x:c>
      <x:c r="I27" s="21" t="str">
        <x:v>No</x:v>
      </x:c>
      <x:c r="J27" s="21" t="str">
        <x:v>No</x:v>
      </x:c>
      <x:c r="K27" s="21" t="str">
        <x:v>Included</x:v>
      </x:c>
      <x:c r="L27" s="21" t="str">
        <x:v>Peserta</x:v>
      </x:c>
    </x:row>
    <x:row r="28">
      <x:c r="A28" s="21" t="str">
        <x:v>whatsapp_group_numbers C8 TT.csv</x:v>
      </x:c>
      <x:c r="B28" s="21" t="str">
        <x:v>C8 TT</x:v>
      </x:c>
      <x:c r="C28" s="21" t="n">
        <x:v>13</x:v>
      </x:c>
      <x:c r="D28" s="46" t="str">
        <x:f>"+60175549244"</x:f>
        <x:v>+60175549244</x:v>
      </x:c>
      <x:c r="E28" s="21" t="str">
        <x:v>+60175549244</x:v>
      </x:c>
      <x:c r="F28" s="21" t="str">
        <x:v>Member</x:v>
      </x:c>
      <x:c r="G28" s="46" t="str">
        <x:f>"60175549244"</x:f>
        <x:v>60175549244</x:v>
      </x:c>
      <x:c r="H28" s="21" t="str">
        <x:v>Yes</x:v>
      </x:c>
      <x:c r="I28" s="21" t="str">
        <x:v>No</x:v>
      </x:c>
      <x:c r="J28" s="21" t="str">
        <x:v>No</x:v>
      </x:c>
      <x:c r="K28" s="21" t="str">
        <x:v>Included</x:v>
      </x:c>
      <x:c r="L28" s="21" t="str">
        <x:v>Peserta</x:v>
      </x:c>
    </x:row>
    <x:row r="29">
      <x:c r="A29" s="21" t="str">
        <x:v>whatsapp_group_numbers C8 TT.csv</x:v>
      </x:c>
      <x:c r="B29" s="21" t="str">
        <x:v>C8 TT</x:v>
      </x:c>
      <x:c r="C29" s="21" t="n">
        <x:v>14</x:v>
      </x:c>
      <x:c r="D29" s="46" t="str">
        <x:f>"+60186654805"</x:f>
        <x:v>+60186654805</x:v>
      </x:c>
      <x:c r="E29" s="21" t="str">
        <x:v>+60186654805</x:v>
      </x:c>
      <x:c r="F29" s="21" t="str">
        <x:v>Member</x:v>
      </x:c>
      <x:c r="G29" s="46" t="str">
        <x:f>"60186654805"</x:f>
        <x:v>60186654805</x:v>
      </x:c>
      <x:c r="H29" s="21" t="str">
        <x:v>Yes</x:v>
      </x:c>
      <x:c r="I29" s="21" t="str">
        <x:v>No</x:v>
      </x:c>
      <x:c r="J29" s="21" t="str">
        <x:v>No</x:v>
      </x:c>
      <x:c r="K29" s="21" t="str">
        <x:v>Included</x:v>
      </x:c>
      <x:c r="L29" s="21" t="str">
        <x:v>Peserta</x:v>
      </x:c>
    </x:row>
    <x:row r="30">
      <x:c r="A30" s="21" t="str">
        <x:v>whatsapp_group_numbers C8 TT.csv</x:v>
      </x:c>
      <x:c r="B30" s="21" t="str">
        <x:v>C8 TT</x:v>
      </x:c>
      <x:c r="C30" s="21" t="n">
        <x:v>15</x:v>
      </x:c>
      <x:c r="D30" s="46" t="str">
        <x:f>"+60176343427"</x:f>
        <x:v>+60176343427</x:v>
      </x:c>
      <x:c r="E30" s="21" t="str">
        <x:v>+60176343427</x:v>
      </x:c>
      <x:c r="F30" s="21" t="str">
        <x:v>Member</x:v>
      </x:c>
      <x:c r="G30" s="46" t="str">
        <x:f>"60176343427"</x:f>
        <x:v>60176343427</x:v>
      </x:c>
      <x:c r="H30" s="21" t="str">
        <x:v>Yes</x:v>
      </x:c>
      <x:c r="I30" s="21" t="str">
        <x:v>No</x:v>
      </x:c>
      <x:c r="J30" s="21" t="str">
        <x:v>No</x:v>
      </x:c>
      <x:c r="K30" s="21" t="str">
        <x:v>Included</x:v>
      </x:c>
      <x:c r="L30" s="21" t="str">
        <x:v>Peserta</x:v>
      </x:c>
    </x:row>
    <x:row r="31">
      <x:c r="A31" s="21" t="str">
        <x:v>whatsapp_group_numbers cohort 3 B2.csv</x:v>
      </x:c>
      <x:c r="B31" s="21" t="str">
        <x:v>cohort 3 B2</x:v>
      </x:c>
      <x:c r="C31" s="21" t="n">
        <x:v>1</x:v>
      </x:c>
      <x:c r="D31" s="46" t="str">
        <x:f>"+60192112178"</x:f>
        <x:v>+60192112178</x:v>
      </x:c>
      <x:c r="E31" s="21" t="str">
        <x:v>Dekma Mdec IM</x:v>
      </x:c>
      <x:c r="F31" s="21" t="str">
        <x:v>Member</x:v>
      </x:c>
      <x:c r="G31" s="46" t="str">
        <x:f>"60192112178"</x:f>
        <x:v>60192112178</x:v>
      </x:c>
      <x:c r="H31" s="21" t="str">
        <x:v>Yes</x:v>
      </x:c>
      <x:c r="I31" s="21" t="str">
        <x:v>No</x:v>
      </x:c>
      <x:c r="J31" s="21" t="str">
        <x:v>No</x:v>
      </x:c>
      <x:c r="K31" s="21" t="str">
        <x:v>Excluded</x:v>
      </x:c>
      <x:c r="L31" s="21" t="str">
        <x:v>Senarai pengecualian manual pengguna</x:v>
      </x:c>
    </x:row>
    <x:row r="32">
      <x:c r="A32" s="21" t="str">
        <x:v>whatsapp_group_numbers cohort 3 B2.csv</x:v>
      </x:c>
      <x:c r="B32" s="21" t="str">
        <x:v>cohort 3 B2</x:v>
      </x:c>
      <x:c r="C32" s="21" t="n">
        <x:v>2</x:v>
      </x:c>
      <x:c r="D32" s="46" t="str">
        <x:f>"+60172096122"</x:f>
        <x:v>+60172096122</x:v>
      </x:c>
      <x:c r="E32" s="21" t="str">
        <x:v>Zetty Ezigo Travel</x:v>
      </x:c>
      <x:c r="F32" s="21" t="str">
        <x:v>Member</x:v>
      </x:c>
      <x:c r="G32" s="46" t="str">
        <x:f>"60172096122"</x:f>
        <x:v>60172096122</x:v>
      </x:c>
      <x:c r="H32" s="21" t="str">
        <x:v>Yes</x:v>
      </x:c>
      <x:c r="I32" s="21" t="str">
        <x:v>No</x:v>
      </x:c>
      <x:c r="J32" s="21" t="str">
        <x:v>No</x:v>
      </x:c>
      <x:c r="K32" s="21" t="str">
        <x:v>Included</x:v>
      </x:c>
      <x:c r="L32" s="21" t="str">
        <x:v>Peserta</x:v>
      </x:c>
    </x:row>
    <x:row r="33">
      <x:c r="A33" s="21" t="str">
        <x:v>whatsapp_group_numbers cohort 3 B2.csv</x:v>
      </x:c>
      <x:c r="B33" s="21" t="str">
        <x:v>cohort 3 B2</x:v>
      </x:c>
      <x:c r="C33" s="21" t="n">
        <x:v>3</x:v>
      </x:c>
      <x:c r="D33" s="46" t="str">
        <x:f>"+60127832481"</x:f>
        <x:v>+60127832481</x:v>
      </x:c>
      <x:c r="E33" s="21" t="str">
        <x:v>aidilakmal007</x:v>
      </x:c>
      <x:c r="F33" s="21" t="str">
        <x:v>Member</x:v>
      </x:c>
      <x:c r="G33" s="46" t="str">
        <x:f>"60127832481"</x:f>
        <x:v>60127832481</x:v>
      </x:c>
      <x:c r="H33" s="21" t="str">
        <x:v>Yes</x:v>
      </x:c>
      <x:c r="I33" s="21" t="str">
        <x:v>No</x:v>
      </x:c>
      <x:c r="J33" s="21" t="str">
        <x:v>No</x:v>
      </x:c>
      <x:c r="K33" s="21" t="str">
        <x:v>Included</x:v>
      </x:c>
      <x:c r="L33" s="21" t="str">
        <x:v>Peserta</x:v>
      </x:c>
    </x:row>
    <x:row r="34">
      <x:c r="A34" s="21" t="str">
        <x:v>whatsapp_group_numbers cohort 3 B2.csv</x:v>
      </x:c>
      <x:c r="B34" s="21" t="str">
        <x:v>cohort 3 B2</x:v>
      </x:c>
      <x:c r="C34" s="21" t="n">
        <x:v>4</x:v>
      </x:c>
      <x:c r="D34" s="46" t="str">
        <x:f>"+60126521997"</x:f>
        <x:v>+60126521997</x:v>
      </x:c>
      <x:c r="E34" s="21" t="str">
        <x:v>Al Husna Ventures</x:v>
      </x:c>
      <x:c r="F34" s="21" t="str">
        <x:v>Member</x:v>
      </x:c>
      <x:c r="G34" s="46" t="str">
        <x:f>"60126521997"</x:f>
        <x:v>60126521997</x:v>
      </x:c>
      <x:c r="H34" s="21" t="str">
        <x:v>Yes</x:v>
      </x:c>
      <x:c r="I34" s="21" t="str">
        <x:v>No</x:v>
      </x:c>
      <x:c r="J34" s="21" t="str">
        <x:v>No</x:v>
      </x:c>
      <x:c r="K34" s="21" t="str">
        <x:v>Included</x:v>
      </x:c>
      <x:c r="L34" s="21" t="str">
        <x:v>Peserta</x:v>
      </x:c>
    </x:row>
    <x:row r="35">
      <x:c r="A35" s="21" t="str">
        <x:v>whatsapp_group_numbers cohort 3 B2.csv</x:v>
      </x:c>
      <x:c r="B35" s="21" t="str">
        <x:v>cohort 3 B2</x:v>
      </x:c>
      <x:c r="C35" s="21" t="n">
        <x:v>5</x:v>
      </x:c>
      <x:c r="D35" s="46" t="str">
        <x:f>"+60126174424"</x:f>
        <x:v>+60126174424</x:v>
      </x:c>
      <x:c r="E35" s="21" t="str">
        <x:v>Ezutronik Enterprise</x:v>
      </x:c>
      <x:c r="F35" s="21" t="str">
        <x:v>Member</x:v>
      </x:c>
      <x:c r="G35" s="46" t="str">
        <x:f>"60126174424"</x:f>
        <x:v>60126174424</x:v>
      </x:c>
      <x:c r="H35" s="21" t="str">
        <x:v>Yes</x:v>
      </x:c>
      <x:c r="I35" s="21" t="str">
        <x:v>No</x:v>
      </x:c>
      <x:c r="J35" s="21" t="str">
        <x:v>No</x:v>
      </x:c>
      <x:c r="K35" s="21" t="str">
        <x:v>Included</x:v>
      </x:c>
      <x:c r="L35" s="21" t="str">
        <x:v>Peserta</x:v>
      </x:c>
    </x:row>
    <x:row r="36">
      <x:c r="A36" s="21" t="str">
        <x:v>whatsapp_group_numbers cohort 3 B2.csv</x:v>
      </x:c>
      <x:c r="B36" s="21" t="str">
        <x:v>cohort 3 B2</x:v>
      </x:c>
      <x:c r="C36" s="21" t="n">
        <x:v>6</x:v>
      </x:c>
      <x:c r="D36" s="46" t="str">
        <x:f>"+60192621100"</x:f>
        <x:v>+60192621100</x:v>
      </x:c>
      <x:c r="E36" s="21" t="str">
        <x:v>Kak Mel Jom Student Counsellor</x:v>
      </x:c>
      <x:c r="F36" s="21" t="str">
        <x:v>Member</x:v>
      </x:c>
      <x:c r="G36" s="46" t="str">
        <x:f>"60192621100"</x:f>
        <x:v>60192621100</x:v>
      </x:c>
      <x:c r="H36" s="21" t="str">
        <x:v>Yes</x:v>
      </x:c>
      <x:c r="I36" s="21" t="str">
        <x:v>No</x:v>
      </x:c>
      <x:c r="J36" s="21" t="str">
        <x:v>No</x:v>
      </x:c>
      <x:c r="K36" s="21" t="str">
        <x:v>Included</x:v>
      </x:c>
      <x:c r="L36" s="21" t="str">
        <x:v>Peserta</x:v>
      </x:c>
    </x:row>
    <x:row r="37">
      <x:c r="A37" s="21" t="str">
        <x:v>whatsapp_group_numbers cohort 3 B2.csv</x:v>
      </x:c>
      <x:c r="B37" s="21" t="str">
        <x:v>cohort 3 B2</x:v>
      </x:c>
      <x:c r="C37" s="21" t="n">
        <x:v>7</x:v>
      </x:c>
      <x:c r="D37" s="46" t="str">
        <x:f>"+601112185623"</x:f>
        <x:v>+601112185623</x:v>
      </x:c>
      <x:c r="E37" s="21" t="str">
        <x:v>KLINIK FAMILI</x:v>
      </x:c>
      <x:c r="F37" s="21" t="str">
        <x:v>Member</x:v>
      </x:c>
      <x:c r="G37" s="46" t="str">
        <x:f>"601112185623"</x:f>
        <x:v>601112185623</x:v>
      </x:c>
      <x:c r="H37" s="21" t="str">
        <x:v>Yes</x:v>
      </x:c>
      <x:c r="I37" s="21" t="str">
        <x:v>No</x:v>
      </x:c>
      <x:c r="J37" s="21" t="str">
        <x:v>No</x:v>
      </x:c>
      <x:c r="K37" s="21" t="str">
        <x:v>Included</x:v>
      </x:c>
      <x:c r="L37" s="21" t="str">
        <x:v>Peserta</x:v>
      </x:c>
    </x:row>
    <x:row r="38">
      <x:c r="A38" s="21" t="str">
        <x:v>whatsapp_group_numbers cohort 3 B2.csv</x:v>
      </x:c>
      <x:c r="B38" s="21" t="str">
        <x:v>cohort 3 B2</x:v>
      </x:c>
      <x:c r="C38" s="21" t="n">
        <x:v>8</x:v>
      </x:c>
      <x:c r="D38" s="46" t="str">
        <x:f>"+60126874561"</x:f>
        <x:v>+60126874561</x:v>
      </x:c>
      <x:c r="E38" s="21" t="str">
        <x:v>MR ROGER @ Doktor Wiring &amp; Aircond Anda</x:v>
      </x:c>
      <x:c r="F38" s="21" t="str">
        <x:v>Member</x:v>
      </x:c>
      <x:c r="G38" s="46" t="str">
        <x:f>"60126874561"</x:f>
        <x:v>60126874561</x:v>
      </x:c>
      <x:c r="H38" s="21" t="str">
        <x:v>Yes</x:v>
      </x:c>
      <x:c r="I38" s="21" t="str">
        <x:v>No</x:v>
      </x:c>
      <x:c r="J38" s="21" t="str">
        <x:v>No</x:v>
      </x:c>
      <x:c r="K38" s="21" t="str">
        <x:v>Included</x:v>
      </x:c>
      <x:c r="L38" s="21" t="str">
        <x:v>Peserta</x:v>
      </x:c>
    </x:row>
    <x:row r="39">
      <x:c r="A39" s="21" t="str">
        <x:v>whatsapp_group_numbers cohort 3 B2.csv</x:v>
      </x:c>
      <x:c r="B39" s="21" t="str">
        <x:v>cohort 3 B2</x:v>
      </x:c>
      <x:c r="C39" s="21" t="n">
        <x:v>9</x:v>
      </x:c>
      <x:c r="D39" s="46" t="str">
        <x:f>"+60123232144"</x:f>
        <x:v>+60123232144</x:v>
      </x:c>
      <x:c r="E39" s="21" t="str">
        <x:v>Nanie Rahayu</x:v>
      </x:c>
      <x:c r="F39" s="21" t="str">
        <x:v>Member</x:v>
      </x:c>
      <x:c r="G39" s="46" t="str">
        <x:f>"60123232144"</x:f>
        <x:v>60123232144</x:v>
      </x:c>
      <x:c r="H39" s="21" t="str">
        <x:v>Yes</x:v>
      </x:c>
      <x:c r="I39" s="21" t="str">
        <x:v>No</x:v>
      </x:c>
      <x:c r="J39" s="21" t="str">
        <x:v>No</x:v>
      </x:c>
      <x:c r="K39" s="21" t="str">
        <x:v>Included</x:v>
      </x:c>
      <x:c r="L39" s="21" t="str">
        <x:v>Peserta</x:v>
      </x:c>
    </x:row>
    <x:row r="40">
      <x:c r="A40" s="21" t="str">
        <x:v>whatsapp_group_numbers cohort 3 B2.csv</x:v>
      </x:c>
      <x:c r="B40" s="21" t="str">
        <x:v>cohort 3 B2</x:v>
      </x:c>
      <x:c r="C40" s="21" t="n">
        <x:v>10</x:v>
      </x:c>
      <x:c r="D40" s="46" t="str">
        <x:f>"+601132914367"</x:f>
        <x:v>+601132914367</x:v>
      </x:c>
      <x:c r="E40" s="21" t="str">
        <x:v>norafendeyaznorrizal</x:v>
      </x:c>
      <x:c r="F40" s="21" t="str">
        <x:v>Member</x:v>
      </x:c>
      <x:c r="G40" s="46" t="str">
        <x:f>"601132914367"</x:f>
        <x:v>601132914367</x:v>
      </x:c>
      <x:c r="H40" s="21" t="str">
        <x:v>Yes</x:v>
      </x:c>
      <x:c r="I40" s="21" t="str">
        <x:v>No</x:v>
      </x:c>
      <x:c r="J40" s="21" t="str">
        <x:v>No</x:v>
      </x:c>
      <x:c r="K40" s="21" t="str">
        <x:v>Included</x:v>
      </x:c>
      <x:c r="L40" s="21" t="str">
        <x:v>Peserta</x:v>
      </x:c>
    </x:row>
    <x:row r="41">
      <x:c r="A41" s="21" t="str">
        <x:v>whatsapp_group_numbers cohort 3 B2.csv</x:v>
      </x:c>
      <x:c r="B41" s="21" t="str">
        <x:v>cohort 3 B2</x:v>
      </x:c>
      <x:c r="C41" s="21" t="n">
        <x:v>11</x:v>
      </x:c>
      <x:c r="D41" s="46" t="str">
        <x:f>"+60199704359"</x:f>
        <x:v>+60199704359</x:v>
      </x:c>
      <x:c r="E41" s="21" t="str">
        <x:v>Pizza Medira</x:v>
      </x:c>
      <x:c r="F41" s="21" t="str">
        <x:v>Member</x:v>
      </x:c>
      <x:c r="G41" s="46" t="str">
        <x:f>"60199704359"</x:f>
        <x:v>60199704359</x:v>
      </x:c>
      <x:c r="H41" s="21" t="str">
        <x:v>Yes</x:v>
      </x:c>
      <x:c r="I41" s="21" t="str">
        <x:v>No</x:v>
      </x:c>
      <x:c r="J41" s="21" t="str">
        <x:v>No</x:v>
      </x:c>
      <x:c r="K41" s="21" t="str">
        <x:v>Included</x:v>
      </x:c>
      <x:c r="L41" s="21" t="str">
        <x:v>Peserta</x:v>
      </x:c>
    </x:row>
    <x:row r="42">
      <x:c r="A42" s="21" t="str">
        <x:v>whatsapp_group_numbers cohort 3 B2.csv</x:v>
      </x:c>
      <x:c r="B42" s="21" t="str">
        <x:v>cohort 3 B2</x:v>
      </x:c>
      <x:c r="C42" s="21" t="n">
        <x:v>12</x:v>
      </x:c>
      <x:c r="D42" s="46" t="str">
        <x:f>"+60192216858"</x:f>
        <x:v>+60192216858</x:v>
      </x:c>
      <x:c r="E42" s="21" t="str">
        <x:v>Sis Rika Wardrobe Ummi</x:v>
      </x:c>
      <x:c r="F42" s="21" t="str">
        <x:v>Member</x:v>
      </x:c>
      <x:c r="G42" s="46" t="str">
        <x:f>"60192216858"</x:f>
        <x:v>60192216858</x:v>
      </x:c>
      <x:c r="H42" s="21" t="str">
        <x:v>Yes</x:v>
      </x:c>
      <x:c r="I42" s="21" t="str">
        <x:v>No</x:v>
      </x:c>
      <x:c r="J42" s="21" t="str">
        <x:v>No</x:v>
      </x:c>
      <x:c r="K42" s="21" t="str">
        <x:v>Included</x:v>
      </x:c>
      <x:c r="L42" s="21" t="str">
        <x:v>Peserta</x:v>
      </x:c>
    </x:row>
    <x:row r="43">
      <x:c r="A43" s="21" t="str">
        <x:v>whatsapp_group_numbers cohort 3 B2.csv</x:v>
      </x:c>
      <x:c r="B43" s="21" t="str">
        <x:v>cohort 3 B2</x:v>
      </x:c>
      <x:c r="C43" s="21" t="n">
        <x:v>13</x:v>
      </x:c>
      <x:c r="D43" s="46" t="str">
        <x:f>"+60132054198"</x:f>
        <x:v>+60132054198</x:v>
      </x:c>
      <x:c r="E43" s="21" t="str">
        <x:v>Ungku Hazwan Kamarudin</x:v>
      </x:c>
      <x:c r="F43" s="21" t="str">
        <x:v>Member</x:v>
      </x:c>
      <x:c r="G43" s="46" t="str">
        <x:f>"60132054198"</x:f>
        <x:v>60132054198</x:v>
      </x:c>
      <x:c r="H43" s="21" t="str">
        <x:v>Yes</x:v>
      </x:c>
      <x:c r="I43" s="21" t="str">
        <x:v>No</x:v>
      </x:c>
      <x:c r="J43" s="21" t="str">
        <x:v>No</x:v>
      </x:c>
      <x:c r="K43" s="21" t="str">
        <x:v>Included</x:v>
      </x:c>
      <x:c r="L43" s="21" t="str">
        <x:v>Peserta</x:v>
      </x:c>
    </x:row>
    <x:row r="44">
      <x:c r="A44" s="21" t="str">
        <x:v>whatsapp_group_numbers cohort 3 B2.csv</x:v>
      </x:c>
      <x:c r="B44" s="21" t="str">
        <x:v>cohort 3 B2</x:v>
      </x:c>
      <x:c r="C44" s="21" t="n">
        <x:v>14</x:v>
      </x:c>
      <x:c r="D44" s="46" t="str">
        <x:f>"+60132368335"</x:f>
        <x:v>+60132368335</x:v>
      </x:c>
      <x:c r="E44" s="21" t="str">
        <x:v>+60132368335</x:v>
      </x:c>
      <x:c r="F44" s="21" t="str">
        <x:v>Member</x:v>
      </x:c>
      <x:c r="G44" s="46" t="str">
        <x:f>"60132368335"</x:f>
        <x:v>60132368335</x:v>
      </x:c>
      <x:c r="H44" s="21" t="str">
        <x:v>Yes</x:v>
      </x:c>
      <x:c r="I44" s="21" t="str">
        <x:v>No</x:v>
      </x:c>
      <x:c r="J44" s="21" t="str">
        <x:v>No</x:v>
      </x:c>
      <x:c r="K44" s="21" t="str">
        <x:v>Included</x:v>
      </x:c>
      <x:c r="L44" s="21" t="str">
        <x:v>Peserta</x:v>
      </x:c>
    </x:row>
    <x:row r="45">
      <x:c r="A45" s="21" t="str">
        <x:v>whatsapp_group_numbers cohort 3 B2.csv</x:v>
      </x:c>
      <x:c r="B45" s="21" t="str">
        <x:v>cohort 3 B2</x:v>
      </x:c>
      <x:c r="C45" s="21" t="n">
        <x:v>15</x:v>
      </x:c>
      <x:c r="D45" s="46" t="str">
        <x:f>"+60176676785"</x:f>
        <x:v>+60176676785</x:v>
      </x:c>
      <x:c r="E45" s="21" t="str">
        <x:v>+60176676785</x:v>
      </x:c>
      <x:c r="F45" s="21" t="str">
        <x:v>Member</x:v>
      </x:c>
      <x:c r="G45" s="46" t="str">
        <x:f>"60176676785"</x:f>
        <x:v>60176676785</x:v>
      </x:c>
      <x:c r="H45" s="21" t="str">
        <x:v>Yes</x:v>
      </x:c>
      <x:c r="I45" s="21" t="str">
        <x:v>No</x:v>
      </x:c>
      <x:c r="J45" s="21" t="str">
        <x:v>No</x:v>
      </x:c>
      <x:c r="K45" s="21" t="str">
        <x:v>Included</x:v>
      </x:c>
      <x:c r="L45" s="21" t="str">
        <x:v>Peserta</x:v>
      </x:c>
    </x:row>
    <x:row r="46">
      <x:c r="A46" s="21" t="str">
        <x:v>whatsapp_group_numbers cohort 3 B2.csv</x:v>
      </x:c>
      <x:c r="B46" s="21" t="str">
        <x:v>cohort 3 B2</x:v>
      </x:c>
      <x:c r="C46" s="21" t="n">
        <x:v>16</x:v>
      </x:c>
      <x:c r="D46" s="46" t="str">
        <x:f>"+60176172585"</x:f>
        <x:v>+60176172585</x:v>
      </x:c>
      <x:c r="E46" s="21" t="str">
        <x:v>+60176172585</x:v>
      </x:c>
      <x:c r="F46" s="21" t="str">
        <x:v>Member</x:v>
      </x:c>
      <x:c r="G46" s="46" t="str">
        <x:f>"60176172585"</x:f>
        <x:v>60176172585</x:v>
      </x:c>
      <x:c r="H46" s="21" t="str">
        <x:v>Yes</x:v>
      </x:c>
      <x:c r="I46" s="21" t="str">
        <x:v>No</x:v>
      </x:c>
      <x:c r="J46" s="21" t="str">
        <x:v>No</x:v>
      </x:c>
      <x:c r="K46" s="21" t="str">
        <x:v>Included</x:v>
      </x:c>
      <x:c r="L46" s="21" t="str">
        <x:v>Peserta</x:v>
      </x:c>
    </x:row>
    <x:row r="47">
      <x:c r="A47" s="21" t="str">
        <x:v>whatsapp_group_numbers cohort 3 B2.csv</x:v>
      </x:c>
      <x:c r="B47" s="21" t="str">
        <x:v>cohort 3 B2</x:v>
      </x:c>
      <x:c r="C47" s="21" t="n">
        <x:v>17</x:v>
      </x:c>
      <x:c r="D47" s="46" t="str">
        <x:f>"+60192416053"</x:f>
        <x:v>+60192416053</x:v>
      </x:c>
      <x:c r="E47" s="21" t="str">
        <x:v>+60192416053</x:v>
      </x:c>
      <x:c r="F47" s="21" t="str">
        <x:v>Member</x:v>
      </x:c>
      <x:c r="G47" s="46" t="str">
        <x:f>"60192416053"</x:f>
        <x:v>60192416053</x:v>
      </x:c>
      <x:c r="H47" s="21" t="str">
        <x:v>Yes</x:v>
      </x:c>
      <x:c r="I47" s="21" t="str">
        <x:v>No</x:v>
      </x:c>
      <x:c r="J47" s="21" t="str">
        <x:v>No</x:v>
      </x:c>
      <x:c r="K47" s="21" t="str">
        <x:v>Included</x:v>
      </x:c>
      <x:c r="L47" s="21" t="str">
        <x:v>Peserta</x:v>
      </x:c>
    </x:row>
    <x:row r="48">
      <x:c r="A48" s="21" t="str">
        <x:v>whatsapp_group_numbers cohort 3 B2.csv</x:v>
      </x:c>
      <x:c r="B48" s="21" t="str">
        <x:v>cohort 3 B2</x:v>
      </x:c>
      <x:c r="C48" s="21" t="n">
        <x:v>18</x:v>
      </x:c>
      <x:c r="D48" s="46" t="str">
        <x:f>"+60172273935"</x:f>
        <x:v>+60172273935</x:v>
      </x:c>
      <x:c r="E48" s="21" t="str">
        <x:v>+60172273935</x:v>
      </x:c>
      <x:c r="F48" s="21" t="str">
        <x:v>Member</x:v>
      </x:c>
      <x:c r="G48" s="46" t="str">
        <x:f>"60172273935"</x:f>
        <x:v>60172273935</x:v>
      </x:c>
      <x:c r="H48" s="21" t="str">
        <x:v>Yes</x:v>
      </x:c>
      <x:c r="I48" s="21" t="str">
        <x:v>No</x:v>
      </x:c>
      <x:c r="J48" s="21" t="str">
        <x:v>No</x:v>
      </x:c>
      <x:c r="K48" s="21" t="str">
        <x:v>Included</x:v>
      </x:c>
      <x:c r="L48" s="21" t="str">
        <x:v>Peserta</x:v>
      </x:c>
    </x:row>
    <x:row r="49">
      <x:c r="A49" s="21" t="str">
        <x:v>whatsapp_group_numbers cohort 3 B2.csv</x:v>
      </x:c>
      <x:c r="B49" s="21" t="str">
        <x:v>cohort 3 B2</x:v>
      </x:c>
      <x:c r="C49" s="21" t="n">
        <x:v>19</x:v>
      </x:c>
      <x:c r="D49" s="46" t="str">
        <x:f>"+60185734526"</x:f>
        <x:v>+60185734526</x:v>
      </x:c>
      <x:c r="E49" s="21" t="str">
        <x:v>+60185734526</x:v>
      </x:c>
      <x:c r="F49" s="21" t="str">
        <x:v>Member</x:v>
      </x:c>
      <x:c r="G49" s="46" t="str">
        <x:f>"60185734526"</x:f>
        <x:v>60185734526</x:v>
      </x:c>
      <x:c r="H49" s="21" t="str">
        <x:v>Yes</x:v>
      </x:c>
      <x:c r="I49" s="21" t="str">
        <x:v>No</x:v>
      </x:c>
      <x:c r="J49" s="21" t="str">
        <x:v>No</x:v>
      </x:c>
      <x:c r="K49" s="21" t="str">
        <x:v>Included</x:v>
      </x:c>
      <x:c r="L49" s="21" t="str">
        <x:v>Peserta</x:v>
      </x:c>
    </x:row>
    <x:row r="50">
      <x:c r="A50" s="21" t="str">
        <x:v>whatsapp_group_numbers cohort 3 B2.csv</x:v>
      </x:c>
      <x:c r="B50" s="21" t="str">
        <x:v>cohort 3 B2</x:v>
      </x:c>
      <x:c r="C50" s="21" t="n">
        <x:v>20</x:v>
      </x:c>
      <x:c r="D50" s="46" t="str">
        <x:f>"+60199697800"</x:f>
        <x:v>+60199697800</x:v>
      </x:c>
      <x:c r="E50" s="21" t="str">
        <x:v>+60199697800</x:v>
      </x:c>
      <x:c r="F50" s="21" t="str">
        <x:v>Member</x:v>
      </x:c>
      <x:c r="G50" s="46" t="str">
        <x:f>"60199697800"</x:f>
        <x:v>60199697800</x:v>
      </x:c>
      <x:c r="H50" s="21" t="str">
        <x:v>Yes</x:v>
      </x:c>
      <x:c r="I50" s="21" t="str">
        <x:v>No</x:v>
      </x:c>
      <x:c r="J50" s="21" t="str">
        <x:v>No</x:v>
      </x:c>
      <x:c r="K50" s="21" t="str">
        <x:v>Included</x:v>
      </x:c>
      <x:c r="L50" s="21" t="str">
        <x:v>Peserta</x:v>
      </x:c>
    </x:row>
    <x:row r="51">
      <x:c r="A51" s="21" t="str">
        <x:v>whatsapp_group_numbers cohort 3 B2.csv</x:v>
      </x:c>
      <x:c r="B51" s="21" t="str">
        <x:v>cohort 3 B2</x:v>
      </x:c>
      <x:c r="C51" s="21" t="n">
        <x:v>21</x:v>
      </x:c>
      <x:c r="D51" s="46" t="str">
        <x:f>"+60105702576"</x:f>
        <x:v>+60105702576</x:v>
      </x:c>
      <x:c r="E51" s="21" t="str">
        <x:v>+60105702576</x:v>
      </x:c>
      <x:c r="F51" s="21" t="str">
        <x:v>Member</x:v>
      </x:c>
      <x:c r="G51" s="46" t="str">
        <x:f>"60105702576"</x:f>
        <x:v>60105702576</x:v>
      </x:c>
      <x:c r="H51" s="21" t="str">
        <x:v>Yes</x:v>
      </x:c>
      <x:c r="I51" s="21" t="str">
        <x:v>No</x:v>
      </x:c>
      <x:c r="J51" s="21" t="str">
        <x:v>No</x:v>
      </x:c>
      <x:c r="K51" s="21" t="str">
        <x:v>Included</x:v>
      </x:c>
      <x:c r="L51" s="21" t="str">
        <x:v>Peserta</x:v>
      </x:c>
    </x:row>
    <x:row r="52">
      <x:c r="A52" s="21" t="str">
        <x:v>whatsapp_group_numbers cohort 3 B2.csv</x:v>
      </x:c>
      <x:c r="B52" s="21" t="str">
        <x:v>cohort 3 B2</x:v>
      </x:c>
      <x:c r="C52" s="21" t="n">
        <x:v>22</x:v>
      </x:c>
      <x:c r="D52" s="46" t="str">
        <x:f>"+60182255542"</x:f>
        <x:v>+60182255542</x:v>
      </x:c>
      <x:c r="E52" s="21" t="str">
        <x:v>+60182255542</x:v>
      </x:c>
      <x:c r="F52" s="21" t="str">
        <x:v>Member</x:v>
      </x:c>
      <x:c r="G52" s="46" t="str">
        <x:f>"60182255542"</x:f>
        <x:v>60182255542</x:v>
      </x:c>
      <x:c r="H52" s="21" t="str">
        <x:v>Yes</x:v>
      </x:c>
      <x:c r="I52" s="21" t="str">
        <x:v>No</x:v>
      </x:c>
      <x:c r="J52" s="21" t="str">
        <x:v>No</x:v>
      </x:c>
      <x:c r="K52" s="21" t="str">
        <x:v>Included</x:v>
      </x:c>
      <x:c r="L52" s="21" t="str">
        <x:v>Peserta</x:v>
      </x:c>
    </x:row>
    <x:row r="53">
      <x:c r="A53" s="21" t="str">
        <x:v>whatsapp_group_numbers cohort 3 B2.csv</x:v>
      </x:c>
      <x:c r="B53" s="21" t="str">
        <x:v>cohort 3 B2</x:v>
      </x:c>
      <x:c r="C53" s="21" t="n">
        <x:v>23</x:v>
      </x:c>
      <x:c r="D53" s="46" t="str">
        <x:f>"+601128513842"</x:f>
        <x:v>+601128513842</x:v>
      </x:c>
      <x:c r="E53" s="21" t="str">
        <x:v>+601128513842</x:v>
      </x:c>
      <x:c r="F53" s="21" t="str">
        <x:v>Member</x:v>
      </x:c>
      <x:c r="G53" s="46" t="str">
        <x:f>"601128513842"</x:f>
        <x:v>601128513842</x:v>
      </x:c>
      <x:c r="H53" s="21" t="str">
        <x:v>Yes</x:v>
      </x:c>
      <x:c r="I53" s="21" t="str">
        <x:v>No</x:v>
      </x:c>
      <x:c r="J53" s="21" t="str">
        <x:v>No</x:v>
      </x:c>
      <x:c r="K53" s="21" t="str">
        <x:v>Included</x:v>
      </x:c>
      <x:c r="L53" s="21" t="str">
        <x:v>Peserta</x:v>
      </x:c>
    </x:row>
    <x:row r="54">
      <x:c r="A54" s="21" t="str">
        <x:v>whatsapp_group_numbers cohort 3 B2.csv</x:v>
      </x:c>
      <x:c r="B54" s="21" t="str">
        <x:v>cohort 3 B2</x:v>
      </x:c>
      <x:c r="C54" s="21" t="n">
        <x:v>24</x:v>
      </x:c>
      <x:c r="D54" s="46" t="str">
        <x:f>"+60192070310"</x:f>
        <x:v>+60192070310</x:v>
      </x:c>
      <x:c r="E54" s="21" t="str">
        <x:v>+60192070310</x:v>
      </x:c>
      <x:c r="F54" s="21" t="str">
        <x:v>Member</x:v>
      </x:c>
      <x:c r="G54" s="46" t="str">
        <x:f>"60192070310"</x:f>
        <x:v>60192070310</x:v>
      </x:c>
      <x:c r="H54" s="21" t="str">
        <x:v>Yes</x:v>
      </x:c>
      <x:c r="I54" s="21" t="str">
        <x:v>No</x:v>
      </x:c>
      <x:c r="J54" s="21" t="str">
        <x:v>No</x:v>
      </x:c>
      <x:c r="K54" s="21" t="str">
        <x:v>Included</x:v>
      </x:c>
      <x:c r="L54" s="21" t="str">
        <x:v>Peserta</x:v>
      </x:c>
    </x:row>
    <x:row r="55">
      <x:c r="A55" s="21" t="str">
        <x:v>whatsapp_group_numbers cohort 3 B2.csv</x:v>
      </x:c>
      <x:c r="B55" s="21" t="str">
        <x:v>cohort 3 B2</x:v>
      </x:c>
      <x:c r="C55" s="21" t="n">
        <x:v>25</x:v>
      </x:c>
      <x:c r="D55" s="46" t="str">
        <x:f>"+60196361936"</x:f>
        <x:v>+60196361936</x:v>
      </x:c>
      <x:c r="E55" s="21" t="str">
        <x:v>+60196361936</x:v>
      </x:c>
      <x:c r="F55" s="21" t="str">
        <x:v>Member</x:v>
      </x:c>
      <x:c r="G55" s="46" t="str">
        <x:f>"60196361936"</x:f>
        <x:v>60196361936</x:v>
      </x:c>
      <x:c r="H55" s="21" t="str">
        <x:v>Yes</x:v>
      </x:c>
      <x:c r="I55" s="21" t="str">
        <x:v>No</x:v>
      </x:c>
      <x:c r="J55" s="21" t="str">
        <x:v>No</x:v>
      </x:c>
      <x:c r="K55" s="21" t="str">
        <x:v>Included</x:v>
      </x:c>
      <x:c r="L55" s="21" t="str">
        <x:v>Peserta</x:v>
      </x:c>
    </x:row>
    <x:row r="56">
      <x:c r="A56" s="21" t="str">
        <x:v>whatsapp_group_numbers cohort 3 B2.csv</x:v>
      </x:c>
      <x:c r="B56" s="21" t="str">
        <x:v>cohort 3 B2</x:v>
      </x:c>
      <x:c r="C56" s="21" t="n">
        <x:v>26</x:v>
      </x:c>
      <x:c r="D56" s="46" t="str">
        <x:f>"+60129112033"</x:f>
        <x:v>+60129112033</x:v>
      </x:c>
      <x:c r="E56" s="21" t="str">
        <x:v>+60129112033</x:v>
      </x:c>
      <x:c r="F56" s="21" t="str">
        <x:v>Member</x:v>
      </x:c>
      <x:c r="G56" s="46" t="str">
        <x:f>"60129112033"</x:f>
        <x:v>60129112033</x:v>
      </x:c>
      <x:c r="H56" s="21" t="str">
        <x:v>Yes</x:v>
      </x:c>
      <x:c r="I56" s="21" t="str">
        <x:v>No</x:v>
      </x:c>
      <x:c r="J56" s="21" t="str">
        <x:v>No</x:v>
      </x:c>
      <x:c r="K56" s="21" t="str">
        <x:v>Included</x:v>
      </x:c>
      <x:c r="L56" s="21" t="str">
        <x:v>Peserta</x:v>
      </x:c>
    </x:row>
    <x:row r="57">
      <x:c r="A57" s="21" t="str">
        <x:v>whatsapp_group_numbers cohort 3 B2.csv</x:v>
      </x:c>
      <x:c r="B57" s="21" t="str">
        <x:v>cohort 3 B2</x:v>
      </x:c>
      <x:c r="C57" s="21" t="n">
        <x:v>27</x:v>
      </x:c>
      <x:c r="D57" s="46" t="str">
        <x:f>"+60146188916"</x:f>
        <x:v>+60146188916</x:v>
      </x:c>
      <x:c r="E57" s="21" t="str">
        <x:v>+60146188916</x:v>
      </x:c>
      <x:c r="F57" s="21" t="str">
        <x:v>Member</x:v>
      </x:c>
      <x:c r="G57" s="46" t="str">
        <x:f>"60146188916"</x:f>
        <x:v>60146188916</x:v>
      </x:c>
      <x:c r="H57" s="21" t="str">
        <x:v>Yes</x:v>
      </x:c>
      <x:c r="I57" s="21" t="str">
        <x:v>No</x:v>
      </x:c>
      <x:c r="J57" s="21" t="str">
        <x:v>No</x:v>
      </x:c>
      <x:c r="K57" s="21" t="str">
        <x:v>Included</x:v>
      </x:c>
      <x:c r="L57" s="21" t="str">
        <x:v>Peserta</x:v>
      </x:c>
    </x:row>
    <x:row r="58">
      <x:c r="A58" s="21" t="str">
        <x:v>whatsapp_group_numbers cohort 3 B2.csv</x:v>
      </x:c>
      <x:c r="B58" s="21" t="str">
        <x:v>cohort 3 B2</x:v>
      </x:c>
      <x:c r="C58" s="21" t="n">
        <x:v>28</x:v>
      </x:c>
      <x:c r="D58" s="46" t="str">
        <x:f>"+60104676353"</x:f>
        <x:v>+60104676353</x:v>
      </x:c>
      <x:c r="E58" s="21" t="str">
        <x:v>+60104676353</x:v>
      </x:c>
      <x:c r="F58" s="21" t="str">
        <x:v>Member</x:v>
      </x:c>
      <x:c r="G58" s="46" t="str">
        <x:f>"60104676353"</x:f>
        <x:v>60104676353</x:v>
      </x:c>
      <x:c r="H58" s="21" t="str">
        <x:v>Yes</x:v>
      </x:c>
      <x:c r="I58" s="21" t="str">
        <x:v>No</x:v>
      </x:c>
      <x:c r="J58" s="21" t="str">
        <x:v>No</x:v>
      </x:c>
      <x:c r="K58" s="21" t="str">
        <x:v>Included</x:v>
      </x:c>
      <x:c r="L58" s="21" t="str">
        <x:v>Peserta</x:v>
      </x:c>
    </x:row>
    <x:row r="59">
      <x:c r="A59" s="21" t="str">
        <x:v>whatsapp_group_numbers cohort 3 B2.csv</x:v>
      </x:c>
      <x:c r="B59" s="21" t="str">
        <x:v>cohort 3 B2</x:v>
      </x:c>
      <x:c r="C59" s="21" t="n">
        <x:v>29</x:v>
      </x:c>
      <x:c r="D59" s="46" t="str">
        <x:f>"+60137002878"</x:f>
        <x:v>+60137002878</x:v>
      </x:c>
      <x:c r="E59" s="21" t="str">
        <x:v>+60137002878</x:v>
      </x:c>
      <x:c r="F59" s="21" t="str">
        <x:v>Member</x:v>
      </x:c>
      <x:c r="G59" s="46" t="str">
        <x:f>"60137002878"</x:f>
        <x:v>60137002878</x:v>
      </x:c>
      <x:c r="H59" s="21" t="str">
        <x:v>Yes</x:v>
      </x:c>
      <x:c r="I59" s="21" t="str">
        <x:v>No</x:v>
      </x:c>
      <x:c r="J59" s="21" t="str">
        <x:v>No</x:v>
      </x:c>
      <x:c r="K59" s="21" t="str">
        <x:v>Included</x:v>
      </x:c>
      <x:c r="L59" s="21" t="str">
        <x:v>Peserta</x:v>
      </x:c>
    </x:row>
    <x:row r="60">
      <x:c r="A60" s="21" t="str">
        <x:v>whatsapp_group_numbers cohort 3 B2.csv</x:v>
      </x:c>
      <x:c r="B60" s="21" t="str">
        <x:v>cohort 3 B2</x:v>
      </x:c>
      <x:c r="C60" s="21" t="n">
        <x:v>30</x:v>
      </x:c>
      <x:c r="D60" s="46" t="str">
        <x:f>"+60138260554"</x:f>
        <x:v>+60138260554</x:v>
      </x:c>
      <x:c r="E60" s="21" t="str">
        <x:v>+60138260554</x:v>
      </x:c>
      <x:c r="F60" s="21" t="str">
        <x:v>Member</x:v>
      </x:c>
      <x:c r="G60" s="46" t="str">
        <x:f>"60138260554"</x:f>
        <x:v>60138260554</x:v>
      </x:c>
      <x:c r="H60" s="21" t="str">
        <x:v>Yes</x:v>
      </x:c>
      <x:c r="I60" s="21" t="str">
        <x:v>No</x:v>
      </x:c>
      <x:c r="J60" s="21" t="str">
        <x:v>No</x:v>
      </x:c>
      <x:c r="K60" s="21" t="str">
        <x:v>Included</x:v>
      </x:c>
      <x:c r="L60" s="21" t="str">
        <x:v>Peserta</x:v>
      </x:c>
    </x:row>
    <x:row r="61">
      <x:c r="A61" s="21" t="str">
        <x:v>whatsapp_group_numbers cohort 3 B2.csv</x:v>
      </x:c>
      <x:c r="B61" s="21" t="str">
        <x:v>cohort 3 B2</x:v>
      </x:c>
      <x:c r="C61" s="21" t="n">
        <x:v>31</x:v>
      </x:c>
      <x:c r="D61" s="46" t="str">
        <x:f>"+60133417484"</x:f>
        <x:v>+60133417484</x:v>
      </x:c>
      <x:c r="E61" s="21" t="str">
        <x:v>+60133417484</x:v>
      </x:c>
      <x:c r="F61" s="21" t="str">
        <x:v>Member</x:v>
      </x:c>
      <x:c r="G61" s="46" t="str">
        <x:f>"60133417484"</x:f>
        <x:v>60133417484</x:v>
      </x:c>
      <x:c r="H61" s="21" t="str">
        <x:v>Yes</x:v>
      </x:c>
      <x:c r="I61" s="21" t="str">
        <x:v>No</x:v>
      </x:c>
      <x:c r="J61" s="21" t="str">
        <x:v>No</x:v>
      </x:c>
      <x:c r="K61" s="21" t="str">
        <x:v>Included</x:v>
      </x:c>
      <x:c r="L61" s="21" t="str">
        <x:v>Peserta</x:v>
      </x:c>
    </x:row>
    <x:row r="62">
      <x:c r="A62" s="21" t="str">
        <x:v>whatsapp_group_numbers cohort 3 B2.csv</x:v>
      </x:c>
      <x:c r="B62" s="21" t="str">
        <x:v>cohort 3 B2</x:v>
      </x:c>
      <x:c r="C62" s="21" t="n">
        <x:v>32</x:v>
      </x:c>
      <x:c r="D62" s="46" t="str">
        <x:f>"+60122095948"</x:f>
        <x:v>+60122095948</x:v>
      </x:c>
      <x:c r="E62" s="21" t="str">
        <x:v>+60122095948</x:v>
      </x:c>
      <x:c r="F62" s="21" t="str">
        <x:v>Member</x:v>
      </x:c>
      <x:c r="G62" s="46" t="str">
        <x:f>"60122095948"</x:f>
        <x:v>60122095948</x:v>
      </x:c>
      <x:c r="H62" s="21" t="str">
        <x:v>Yes</x:v>
      </x:c>
      <x:c r="I62" s="21" t="str">
        <x:v>No</x:v>
      </x:c>
      <x:c r="J62" s="21" t="str">
        <x:v>No</x:v>
      </x:c>
      <x:c r="K62" s="21" t="str">
        <x:v>Included</x:v>
      </x:c>
      <x:c r="L62" s="21" t="str">
        <x:v>Peserta</x:v>
      </x:c>
    </x:row>
    <x:row r="63">
      <x:c r="A63" s="21" t="str">
        <x:v>whatsapp_group_numbers cohort 3 B2.csv</x:v>
      </x:c>
      <x:c r="B63" s="21" t="str">
        <x:v>cohort 3 B2</x:v>
      </x:c>
      <x:c r="C63" s="21" t="n">
        <x:v>33</x:v>
      </x:c>
      <x:c r="D63" s="46" t="str">
        <x:f>"+60163246243"</x:f>
        <x:v>+60163246243</x:v>
      </x:c>
      <x:c r="E63" s="21" t="str">
        <x:v>+60163246243</x:v>
      </x:c>
      <x:c r="F63" s="21" t="str">
        <x:v>Member</x:v>
      </x:c>
      <x:c r="G63" s="46" t="str">
        <x:f>"60163246243"</x:f>
        <x:v>60163246243</x:v>
      </x:c>
      <x:c r="H63" s="21" t="str">
        <x:v>Yes</x:v>
      </x:c>
      <x:c r="I63" s="21" t="str">
        <x:v>No</x:v>
      </x:c>
      <x:c r="J63" s="21" t="str">
        <x:v>No</x:v>
      </x:c>
      <x:c r="K63" s="21" t="str">
        <x:v>Included</x:v>
      </x:c>
      <x:c r="L63" s="21" t="str">
        <x:v>Peserta</x:v>
      </x:c>
    </x:row>
    <x:row r="64">
      <x:c r="A64" s="21" t="str">
        <x:v>whatsapp_group_numbers cohort3TT.csv</x:v>
      </x:c>
      <x:c r="B64" s="21" t="str">
        <x:v>cohort3TT</x:v>
      </x:c>
      <x:c r="C64" s="21" t="n">
        <x:v>1</x:v>
      </x:c>
      <x:c r="D64" s="46" t="str">
        <x:f>"+60177110169"</x:f>
        <x:v>+60177110169</x:v>
      </x:c>
      <x:c r="E64" s="21" t="str">
        <x:v>Veeramani Subramanian</x:v>
      </x:c>
      <x:c r="F64" s="21" t="str">
        <x:v>Member</x:v>
      </x:c>
      <x:c r="G64" s="46" t="str">
        <x:f>"60177110169"</x:f>
        <x:v>60177110169</x:v>
      </x:c>
      <x:c r="H64" s="21" t="str">
        <x:v>Yes</x:v>
      </x:c>
      <x:c r="I64" s="21" t="str">
        <x:v>No</x:v>
      </x:c>
      <x:c r="J64" s="21" t="str">
        <x:v>No</x:v>
      </x:c>
      <x:c r="K64" s="21" t="str">
        <x:v>Included</x:v>
      </x:c>
      <x:c r="L64" s="21" t="str">
        <x:v>Peserta</x:v>
      </x:c>
    </x:row>
    <x:row r="65">
      <x:c r="A65" s="21" t="str">
        <x:v>whatsapp_group_numbers cohort3TT.csv</x:v>
      </x:c>
      <x:c r="B65" s="21" t="str">
        <x:v>cohort3TT</x:v>
      </x:c>
      <x:c r="C65" s="21" t="n">
        <x:v>2</x:v>
      </x:c>
      <x:c r="D65" s="46" t="str">
        <x:f>"+60123232144"</x:f>
        <x:v>+60123232144</x:v>
      </x:c>
      <x:c r="E65" s="21" t="str">
        <x:v>Nanie Rahayu</x:v>
      </x:c>
      <x:c r="F65" s="21" t="str">
        <x:v>Member</x:v>
      </x:c>
      <x:c r="G65" s="46" t="str">
        <x:f>"60123232144"</x:f>
        <x:v>60123232144</x:v>
      </x:c>
      <x:c r="H65" s="21" t="str">
        <x:v>Yes</x:v>
      </x:c>
      <x:c r="I65" s="21" t="str">
        <x:v>No</x:v>
      </x:c>
      <x:c r="J65" s="21" t="str">
        <x:v>No</x:v>
      </x:c>
      <x:c r="K65" s="21" t="str">
        <x:v>Included</x:v>
      </x:c>
      <x:c r="L65" s="21" t="str">
        <x:v>Peserta</x:v>
      </x:c>
    </x:row>
    <x:row r="66">
      <x:c r="A66" s="21" t="str">
        <x:v>whatsapp_group_numbers cohort3TT.csv</x:v>
      </x:c>
      <x:c r="B66" s="21" t="str">
        <x:v>cohort3TT</x:v>
      </x:c>
      <x:c r="C66" s="21" t="n">
        <x:v>3</x:v>
      </x:c>
      <x:c r="D66" s="46" t="str">
        <x:f>"+60196581622"</x:f>
        <x:v>+60196581622</x:v>
      </x:c>
      <x:c r="E66" s="21" t="str">
        <x:v>Pusat Servis Kereta Shukri</x:v>
      </x:c>
      <x:c r="F66" s="21" t="str">
        <x:v>Member</x:v>
      </x:c>
      <x:c r="G66" s="46" t="str">
        <x:f>"60196581622"</x:f>
        <x:v>60196581622</x:v>
      </x:c>
      <x:c r="H66" s="21" t="str">
        <x:v>Yes</x:v>
      </x:c>
      <x:c r="I66" s="21" t="str">
        <x:v>No</x:v>
      </x:c>
      <x:c r="J66" s="21" t="str">
        <x:v>No</x:v>
      </x:c>
      <x:c r="K66" s="21" t="str">
        <x:v>Included</x:v>
      </x:c>
      <x:c r="L66" s="21" t="str">
        <x:v>Peserta</x:v>
      </x:c>
    </x:row>
    <x:row r="67">
      <x:c r="A67" s="21" t="str">
        <x:v>whatsapp_group_numbers cohort3TT.csv</x:v>
      </x:c>
      <x:c r="B67" s="21" t="str">
        <x:v>cohort3TT</x:v>
      </x:c>
      <x:c r="C67" s="21" t="n">
        <x:v>4</x:v>
      </x:c>
      <x:c r="D67" s="46" t="str">
        <x:f>"+60193750538"</x:f>
        <x:v>+60193750538</x:v>
      </x:c>
      <x:c r="E67" s="21" t="str">
        <x:v>ROSNAH</x:v>
      </x:c>
      <x:c r="F67" s="21" t="str">
        <x:v>Member</x:v>
      </x:c>
      <x:c r="G67" s="46" t="str">
        <x:f>"60193750538"</x:f>
        <x:v>60193750538</x:v>
      </x:c>
      <x:c r="H67" s="21" t="str">
        <x:v>Yes</x:v>
      </x:c>
      <x:c r="I67" s="21" t="str">
        <x:v>No</x:v>
      </x:c>
      <x:c r="J67" s="21" t="str">
        <x:v>No</x:v>
      </x:c>
      <x:c r="K67" s="21" t="str">
        <x:v>Included</x:v>
      </x:c>
      <x:c r="L67" s="21" t="str">
        <x:v>Peserta</x:v>
      </x:c>
    </x:row>
    <x:row r="68">
      <x:c r="A68" s="21" t="str">
        <x:v>whatsapp_group_numbers cohort3TT.csv</x:v>
      </x:c>
      <x:c r="B68" s="21" t="str">
        <x:v>cohort3TT</x:v>
      </x:c>
      <x:c r="C68" s="21" t="n">
        <x:v>5</x:v>
      </x:c>
      <x:c r="D68" s="46" t="str">
        <x:f>"+60176928538"</x:f>
        <x:v>+60176928538</x:v>
      </x:c>
      <x:c r="E68" s="21" t="str">
        <x:v>+60176928538</x:v>
      </x:c>
      <x:c r="F68" s="21" t="str">
        <x:v>Member</x:v>
      </x:c>
      <x:c r="G68" s="46" t="str">
        <x:f>"60176928538"</x:f>
        <x:v>60176928538</x:v>
      </x:c>
      <x:c r="H68" s="21" t="str">
        <x:v>Yes</x:v>
      </x:c>
      <x:c r="I68" s="21" t="str">
        <x:v>No</x:v>
      </x:c>
      <x:c r="J68" s="21" t="str">
        <x:v>No</x:v>
      </x:c>
      <x:c r="K68" s="21" t="str">
        <x:v>Included</x:v>
      </x:c>
      <x:c r="L68" s="21" t="str">
        <x:v>Peserta</x:v>
      </x:c>
    </x:row>
    <x:row r="69">
      <x:c r="A69" s="21" t="str">
        <x:v>whatsapp_group_numbers cohort3TT.csv</x:v>
      </x:c>
      <x:c r="B69" s="21" t="str">
        <x:v>cohort3TT</x:v>
      </x:c>
      <x:c r="C69" s="21" t="n">
        <x:v>6</x:v>
      </x:c>
      <x:c r="D69" s="46" t="str">
        <x:f>"+60179040047"</x:f>
        <x:v>+60179040047</x:v>
      </x:c>
      <x:c r="E69" s="21" t="str">
        <x:v>+60179040047</x:v>
      </x:c>
      <x:c r="F69" s="21" t="str">
        <x:v>Member</x:v>
      </x:c>
      <x:c r="G69" s="46" t="str">
        <x:f>"60179040047"</x:f>
        <x:v>60179040047</x:v>
      </x:c>
      <x:c r="H69" s="21" t="str">
        <x:v>Yes</x:v>
      </x:c>
      <x:c r="I69" s="21" t="str">
        <x:v>No</x:v>
      </x:c>
      <x:c r="J69" s="21" t="str">
        <x:v>No</x:v>
      </x:c>
      <x:c r="K69" s="21" t="str">
        <x:v>Included</x:v>
      </x:c>
      <x:c r="L69" s="21" t="str">
        <x:v>Peserta</x:v>
      </x:c>
    </x:row>
    <x:row r="70">
      <x:c r="A70" s="21" t="str">
        <x:v>whatsapp_group_numbers cohort3TT.csv</x:v>
      </x:c>
      <x:c r="B70" s="21" t="str">
        <x:v>cohort3TT</x:v>
      </x:c>
      <x:c r="C70" s="21" t="n">
        <x:v>7</x:v>
      </x:c>
      <x:c r="D70" s="46" t="str">
        <x:f>"+60178785657"</x:f>
        <x:v>+60178785657</x:v>
      </x:c>
      <x:c r="E70" s="21" t="str">
        <x:v>+60178785657</x:v>
      </x:c>
      <x:c r="F70" s="21" t="str">
        <x:v>Member</x:v>
      </x:c>
      <x:c r="G70" s="46" t="str">
        <x:f>"60178785657"</x:f>
        <x:v>60178785657</x:v>
      </x:c>
      <x:c r="H70" s="21" t="str">
        <x:v>Yes</x:v>
      </x:c>
      <x:c r="I70" s="21" t="str">
        <x:v>No</x:v>
      </x:c>
      <x:c r="J70" s="21" t="str">
        <x:v>No</x:v>
      </x:c>
      <x:c r="K70" s="21" t="str">
        <x:v>Included</x:v>
      </x:c>
      <x:c r="L70" s="21" t="str">
        <x:v>Peserta</x:v>
      </x:c>
    </x:row>
    <x:row r="71">
      <x:c r="A71" s="21" t="str">
        <x:v>whatsapp_group_numbers cohort3TT.csv</x:v>
      </x:c>
      <x:c r="B71" s="21" t="str">
        <x:v>cohort3TT</x:v>
      </x:c>
      <x:c r="C71" s="21" t="n">
        <x:v>8</x:v>
      </x:c>
      <x:c r="D71" s="46" t="str">
        <x:f>"+601128704548"</x:f>
        <x:v>+601128704548</x:v>
      </x:c>
      <x:c r="E71" s="21" t="str">
        <x:v>+601128704548</x:v>
      </x:c>
      <x:c r="F71" s="21" t="str">
        <x:v>Member</x:v>
      </x:c>
      <x:c r="G71" s="46" t="str">
        <x:f>"601128704548"</x:f>
        <x:v>601128704548</x:v>
      </x:c>
      <x:c r="H71" s="21" t="str">
        <x:v>Yes</x:v>
      </x:c>
      <x:c r="I71" s="21" t="str">
        <x:v>No</x:v>
      </x:c>
      <x:c r="J71" s="21" t="str">
        <x:v>No</x:v>
      </x:c>
      <x:c r="K71" s="21" t="str">
        <x:v>Included</x:v>
      </x:c>
      <x:c r="L71" s="21" t="str">
        <x:v>Peserta</x:v>
      </x:c>
    </x:row>
    <x:row r="72">
      <x:c r="A72" s="21" t="str">
        <x:v>whatsapp_group_numbers cohort3TT.csv</x:v>
      </x:c>
      <x:c r="B72" s="21" t="str">
        <x:v>cohort3TT</x:v>
      </x:c>
      <x:c r="C72" s="21" t="n">
        <x:v>9</x:v>
      </x:c>
      <x:c r="D72" s="46" t="str">
        <x:f>"+60138260554"</x:f>
        <x:v>+60138260554</x:v>
      </x:c>
      <x:c r="E72" s="21" t="str">
        <x:v>+60138260554</x:v>
      </x:c>
      <x:c r="F72" s="21" t="str">
        <x:v>Member</x:v>
      </x:c>
      <x:c r="G72" s="46" t="str">
        <x:f>"60138260554"</x:f>
        <x:v>60138260554</x:v>
      </x:c>
      <x:c r="H72" s="21" t="str">
        <x:v>Yes</x:v>
      </x:c>
      <x:c r="I72" s="21" t="str">
        <x:v>No</x:v>
      </x:c>
      <x:c r="J72" s="21" t="str">
        <x:v>No</x:v>
      </x:c>
      <x:c r="K72" s="21" t="str">
        <x:v>Included</x:v>
      </x:c>
      <x:c r="L72" s="21" t="str">
        <x:v>Peserta</x:v>
      </x:c>
    </x:row>
    <x:row r="73">
      <x:c r="A73" s="21" t="str">
        <x:v>whatsapp_group_numbers cohort3TT.csv</x:v>
      </x:c>
      <x:c r="B73" s="21" t="str">
        <x:v>cohort3TT</x:v>
      </x:c>
      <x:c r="C73" s="21" t="n">
        <x:v>10</x:v>
      </x:c>
      <x:c r="D73" s="46" t="str">
        <x:f>"+60133417484"</x:f>
        <x:v>+60133417484</x:v>
      </x:c>
      <x:c r="E73" s="21" t="str">
        <x:v>+60133417484</x:v>
      </x:c>
      <x:c r="F73" s="21" t="str">
        <x:v>Member</x:v>
      </x:c>
      <x:c r="G73" s="46" t="str">
        <x:f>"60133417484"</x:f>
        <x:v>60133417484</x:v>
      </x:c>
      <x:c r="H73" s="21" t="str">
        <x:v>Yes</x:v>
      </x:c>
      <x:c r="I73" s="21" t="str">
        <x:v>No</x:v>
      </x:c>
      <x:c r="J73" s="21" t="str">
        <x:v>No</x:v>
      </x:c>
      <x:c r="K73" s="21" t="str">
        <x:v>Included</x:v>
      </x:c>
      <x:c r="L73" s="21" t="str">
        <x:v>Peserta</x:v>
      </x:c>
    </x:row>
    <x:row r="74">
      <x:c r="A74" s="21" t="str">
        <x:v>whatsapp_group_numbers DIGITAL PRODUCT MASTERY.csv</x:v>
      </x:c>
      <x:c r="B74" s="21" t="str">
        <x:v>DIGITAL PRODUCT MASTERY</x:v>
      </x:c>
      <x:c r="C74" s="21" t="n">
        <x:v>1</x:v>
      </x:c>
      <x:c r="D74" s="46" t="str">
        <x:f>"+601156433115"</x:f>
        <x:v>+601156433115</x:v>
      </x:c>
      <x:c r="E74" s="21" t="str">
        <x:v>Adrian Webstar</x:v>
      </x:c>
      <x:c r="F74" s="21" t="str">
        <x:v>Member</x:v>
      </x:c>
      <x:c r="G74" s="46" t="str">
        <x:f>"601156433115"</x:f>
        <x:v>601156433115</x:v>
      </x:c>
      <x:c r="H74" s="21" t="str">
        <x:v>Yes</x:v>
      </x:c>
      <x:c r="I74" s="21" t="str">
        <x:v>No</x:v>
      </x:c>
      <x:c r="J74" s="21" t="str">
        <x:v>No</x:v>
      </x:c>
      <x:c r="K74" s="21" t="str">
        <x:v>Excluded</x:v>
      </x:c>
      <x:c r="L74" s="21" t="str">
        <x:v>Senarai pengecualian manual pengguna</x:v>
      </x:c>
    </x:row>
    <x:row r="75">
      <x:c r="A75" s="21" t="str">
        <x:v>whatsapp_group_numbers DIGITAL PRODUCT MASTERY.csv</x:v>
      </x:c>
      <x:c r="B75" s="21" t="str">
        <x:v>DIGITAL PRODUCT MASTERY</x:v>
      </x:c>
      <x:c r="C75" s="21" t="n">
        <x:v>2</x:v>
      </x:c>
      <x:c r="D75" s="46" t="str">
        <x:f>"+60123390943"</x:f>
        <x:v>+60123390943</x:v>
      </x:c>
      <x:c r="E75" s="21" t="str">
        <x:v>Ahmad Fairuz Mdec</x:v>
      </x:c>
      <x:c r="F75" s="21" t="str">
        <x:v>Member</x:v>
      </x:c>
      <x:c r="G75" s="46" t="str">
        <x:f>"60123390943"</x:f>
        <x:v>60123390943</x:v>
      </x:c>
      <x:c r="H75" s="21" t="str">
        <x:v>Yes</x:v>
      </x:c>
      <x:c r="I75" s="21" t="str">
        <x:v>No</x:v>
      </x:c>
      <x:c r="J75" s="21" t="str">
        <x:v>No</x:v>
      </x:c>
      <x:c r="K75" s="21" t="str">
        <x:v>Excluded</x:v>
      </x:c>
      <x:c r="L75" s="21" t="str">
        <x:v>Senarai pengecualian manual pengguna</x:v>
      </x:c>
    </x:row>
    <x:row r="76">
      <x:c r="A76" s="21" t="str">
        <x:v>whatsapp_group_numbers DIGITAL PRODUCT MASTERY.csv</x:v>
      </x:c>
      <x:c r="B76" s="21" t="str">
        <x:v>DIGITAL PRODUCT MASTERY</x:v>
      </x:c>
      <x:c r="C76" s="21" t="n">
        <x:v>3</x:v>
      </x:c>
      <x:c r="D76" s="46" t="str">
        <x:f>"+601156666400"</x:f>
        <x:v>+601156666400</x:v>
      </x:c>
      <x:c r="E76" s="21" t="str">
        <x:v>Ayongzul Smart Solution</x:v>
      </x:c>
      <x:c r="F76" s="21" t="str">
        <x:v>Member</x:v>
      </x:c>
      <x:c r="G76" s="46" t="str">
        <x:f>"601156666400"</x:f>
        <x:v>601156666400</x:v>
      </x:c>
      <x:c r="H76" s="21" t="str">
        <x:v>Yes</x:v>
      </x:c>
      <x:c r="I76" s="21" t="str">
        <x:v>No</x:v>
      </x:c>
      <x:c r="J76" s="21" t="str">
        <x:v>No</x:v>
      </x:c>
      <x:c r="K76" s="21" t="str">
        <x:v>Excluded</x:v>
      </x:c>
      <x:c r="L76" s="21" t="str">
        <x:v>Senarai pengecualian manual pengguna</x:v>
      </x:c>
    </x:row>
    <x:row r="77">
      <x:c r="A77" s="21" t="str">
        <x:v>whatsapp_group_numbers DIGITAL PRODUCT MASTERY.csv</x:v>
      </x:c>
      <x:c r="B77" s="21" t="str">
        <x:v>DIGITAL PRODUCT MASTERY</x:v>
      </x:c>
      <x:c r="C77" s="21" t="n">
        <x:v>4</x:v>
      </x:c>
      <x:c r="D77" s="46" t="str">
        <x:f>"+60133815817"</x:f>
        <x:v>+60133815817</x:v>
      </x:c>
      <x:c r="E77" s="21" t="str">
        <x:v>Kamarul Bahareen Kamarudin</x:v>
      </x:c>
      <x:c r="F77" s="21" t="str">
        <x:v>Member</x:v>
      </x:c>
      <x:c r="G77" s="46" t="str">
        <x:f>"60133815817"</x:f>
        <x:v>60133815817</x:v>
      </x:c>
      <x:c r="H77" s="21" t="str">
        <x:v>Yes</x:v>
      </x:c>
      <x:c r="I77" s="21" t="str">
        <x:v>No</x:v>
      </x:c>
      <x:c r="J77" s="21" t="str">
        <x:v>No</x:v>
      </x:c>
      <x:c r="K77" s="21" t="str">
        <x:v>Excluded</x:v>
      </x:c>
      <x:c r="L77" s="21" t="str">
        <x:v>Pemilik/trainer</x:v>
      </x:c>
    </x:row>
    <x:row r="78">
      <x:c r="A78" s="21" t="str">
        <x:v>whatsapp_group_numbers DIGITAL PRODUCT MASTERY.csv</x:v>
      </x:c>
      <x:c r="B78" s="21" t="str">
        <x:v>DIGITAL PRODUCT MASTERY</x:v>
      </x:c>
      <x:c r="C78" s="21" t="n">
        <x:v>5</x:v>
      </x:c>
      <x:c r="D78" s="46" t="str">
        <x:f>"+60145080519"</x:f>
        <x:v>+60145080519</x:v>
      </x:c>
      <x:c r="E78" s="21" t="str">
        <x:v>+60145080519</x:v>
      </x:c>
      <x:c r="F78" s="21" t="str">
        <x:v>Member</x:v>
      </x:c>
      <x:c r="G78" s="46" t="str">
        <x:f>"60145080519"</x:f>
        <x:v>60145080519</x:v>
      </x:c>
      <x:c r="H78" s="21" t="str">
        <x:v>Yes</x:v>
      </x:c>
      <x:c r="I78" s="21" t="str">
        <x:v>No</x:v>
      </x:c>
      <x:c r="J78" s="21" t="str">
        <x:v>No</x:v>
      </x:c>
      <x:c r="K78" s="21" t="str">
        <x:v>Included</x:v>
      </x:c>
      <x:c r="L78" s="21" t="str">
        <x:v>Peserta</x:v>
      </x:c>
    </x:row>
    <x:row r="79">
      <x:c r="A79" s="21" t="str">
        <x:v>whatsapp_group_numbers DIGITAL PRODUCT MASTERY.csv</x:v>
      </x:c>
      <x:c r="B79" s="21" t="str">
        <x:v>DIGITAL PRODUCT MASTERY</x:v>
      </x:c>
      <x:c r="C79" s="21" t="n">
        <x:v>6</x:v>
      </x:c>
      <x:c r="D79" s="46" t="str">
        <x:f>"+60164325438"</x:f>
        <x:v>+60164325438</x:v>
      </x:c>
      <x:c r="E79" s="21" t="str">
        <x:v>+60164325438</x:v>
      </x:c>
      <x:c r="F79" s="21" t="str">
        <x:v>Member</x:v>
      </x:c>
      <x:c r="G79" s="46" t="str">
        <x:f>"60164325438"</x:f>
        <x:v>60164325438</x:v>
      </x:c>
      <x:c r="H79" s="21" t="str">
        <x:v>Yes</x:v>
      </x:c>
      <x:c r="I79" s="21" t="str">
        <x:v>No</x:v>
      </x:c>
      <x:c r="J79" s="21" t="str">
        <x:v>No</x:v>
      </x:c>
      <x:c r="K79" s="21" t="str">
        <x:v>Included</x:v>
      </x:c>
      <x:c r="L79" s="21" t="str">
        <x:v>Peserta</x:v>
      </x:c>
    </x:row>
    <x:row r="80">
      <x:c r="A80" s="21" t="str">
        <x:v>whatsapp_group_numbers DIGITAL PRODUCT MASTERY.csv</x:v>
      </x:c>
      <x:c r="B80" s="21" t="str">
        <x:v>DIGITAL PRODUCT MASTERY</x:v>
      </x:c>
      <x:c r="C80" s="21" t="n">
        <x:v>7</x:v>
      </x:c>
      <x:c r="D80" s="46" t="str">
        <x:f>"+60103222523"</x:f>
        <x:v>+60103222523</x:v>
      </x:c>
      <x:c r="E80" s="21" t="str">
        <x:v>+60103222523</x:v>
      </x:c>
      <x:c r="F80" s="21" t="str">
        <x:v>Member</x:v>
      </x:c>
      <x:c r="G80" s="46" t="str">
        <x:f>"60103222523"</x:f>
        <x:v>60103222523</x:v>
      </x:c>
      <x:c r="H80" s="21" t="str">
        <x:v>Yes</x:v>
      </x:c>
      <x:c r="I80" s="21" t="str">
        <x:v>No</x:v>
      </x:c>
      <x:c r="J80" s="21" t="str">
        <x:v>No</x:v>
      </x:c>
      <x:c r="K80" s="21" t="str">
        <x:v>Included</x:v>
      </x:c>
      <x:c r="L80" s="21" t="str">
        <x:v>Peserta</x:v>
      </x:c>
    </x:row>
    <x:row r="81">
      <x:c r="A81" s="21" t="str">
        <x:v>whatsapp_group_numbers DIGITAL PRODUCT MASTERY.csv</x:v>
      </x:c>
      <x:c r="B81" s="21" t="str">
        <x:v>DIGITAL PRODUCT MASTERY</x:v>
      </x:c>
      <x:c r="C81" s="21" t="n">
        <x:v>8</x:v>
      </x:c>
      <x:c r="D81" s="46" t="str">
        <x:f>"+60174809266"</x:f>
        <x:v>+60174809266</x:v>
      </x:c>
      <x:c r="E81" s="21" t="str">
        <x:v>+60174809266</x:v>
      </x:c>
      <x:c r="F81" s="21" t="str">
        <x:v>Member</x:v>
      </x:c>
      <x:c r="G81" s="46" t="str">
        <x:f>"60174809266"</x:f>
        <x:v>60174809266</x:v>
      </x:c>
      <x:c r="H81" s="21" t="str">
        <x:v>Yes</x:v>
      </x:c>
      <x:c r="I81" s="21" t="str">
        <x:v>No</x:v>
      </x:c>
      <x:c r="J81" s="21" t="str">
        <x:v>No</x:v>
      </x:c>
      <x:c r="K81" s="21" t="str">
        <x:v>Included</x:v>
      </x:c>
      <x:c r="L81" s="21" t="str">
        <x:v>Peserta</x:v>
      </x:c>
    </x:row>
    <x:row r="82">
      <x:c r="A82" s="21" t="str">
        <x:v>whatsapp_group_numbers DIGITAL PRODUCT MASTERY.csv</x:v>
      </x:c>
      <x:c r="B82" s="21" t="str">
        <x:v>DIGITAL PRODUCT MASTERY</x:v>
      </x:c>
      <x:c r="C82" s="21" t="n">
        <x:v>9</x:v>
      </x:c>
      <x:c r="D82" s="46" t="str">
        <x:f>"+60127472363"</x:f>
        <x:v>+60127472363</x:v>
      </x:c>
      <x:c r="E82" s="21" t="str">
        <x:v>+60127472363</x:v>
      </x:c>
      <x:c r="F82" s="21" t="str">
        <x:v>Member</x:v>
      </x:c>
      <x:c r="G82" s="46" t="str">
        <x:f>"60127472363"</x:f>
        <x:v>60127472363</x:v>
      </x:c>
      <x:c r="H82" s="21" t="str">
        <x:v>Yes</x:v>
      </x:c>
      <x:c r="I82" s="21" t="str">
        <x:v>No</x:v>
      </x:c>
      <x:c r="J82" s="21" t="str">
        <x:v>No</x:v>
      </x:c>
      <x:c r="K82" s="21" t="str">
        <x:v>Included</x:v>
      </x:c>
      <x:c r="L82" s="21" t="str">
        <x:v>Peserta</x:v>
      </x:c>
    </x:row>
    <x:row r="83">
      <x:c r="A83" s="21" t="str">
        <x:v>whatsapp_group_numbers DIGITAL PRODUCT MASTERY.csv</x:v>
      </x:c>
      <x:c r="B83" s="21" t="str">
        <x:v>DIGITAL PRODUCT MASTERY</x:v>
      </x:c>
      <x:c r="C83" s="21" t="n">
        <x:v>10</x:v>
      </x:c>
      <x:c r="D83" s="46" t="str">
        <x:f>"+60122988786"</x:f>
        <x:v>+60122988786</x:v>
      </x:c>
      <x:c r="E83" s="21" t="str">
        <x:v>+60122988786</x:v>
      </x:c>
      <x:c r="F83" s="21" t="str">
        <x:v>Member</x:v>
      </x:c>
      <x:c r="G83" s="46" t="str">
        <x:f>"60122988786"</x:f>
        <x:v>60122988786</x:v>
      </x:c>
      <x:c r="H83" s="21" t="str">
        <x:v>Yes</x:v>
      </x:c>
      <x:c r="I83" s="21" t="str">
        <x:v>No</x:v>
      </x:c>
      <x:c r="J83" s="21" t="str">
        <x:v>No</x:v>
      </x:c>
      <x:c r="K83" s="21" t="str">
        <x:v>Included</x:v>
      </x:c>
      <x:c r="L83" s="21" t="str">
        <x:v>Peserta</x:v>
      </x:c>
    </x:row>
    <x:row r="84">
      <x:c r="A84" s="21" t="str">
        <x:v>whatsapp_group_numbers DIGITAL PRODUCT MASTERY.csv</x:v>
      </x:c>
      <x:c r="B84" s="21" t="str">
        <x:v>DIGITAL PRODUCT MASTERY</x:v>
      </x:c>
      <x:c r="C84" s="21" t="n">
        <x:v>11</x:v>
      </x:c>
      <x:c r="D84" s="46" t="str">
        <x:f>"+601136733855"</x:f>
        <x:v>+601136733855</x:v>
      </x:c>
      <x:c r="E84" s="21" t="str">
        <x:v>+601136733855</x:v>
      </x:c>
      <x:c r="F84" s="21" t="str">
        <x:v>Member</x:v>
      </x:c>
      <x:c r="G84" s="46" t="str">
        <x:f>"601136733855"</x:f>
        <x:v>601136733855</x:v>
      </x:c>
      <x:c r="H84" s="21" t="str">
        <x:v>Yes</x:v>
      </x:c>
      <x:c r="I84" s="21" t="str">
        <x:v>No</x:v>
      </x:c>
      <x:c r="J84" s="21" t="str">
        <x:v>No</x:v>
      </x:c>
      <x:c r="K84" s="21" t="str">
        <x:v>Included</x:v>
      </x:c>
      <x:c r="L84" s="21" t="str">
        <x:v>Peserta</x:v>
      </x:c>
    </x:row>
    <x:row r="85">
      <x:c r="A85" s="21" t="str">
        <x:v>whatsapp_group_numbers EBOARD C8 SP.csv</x:v>
      </x:c>
      <x:c r="B85" s="21" t="str">
        <x:v>EBOARD C8 SP</x:v>
      </x:c>
      <x:c r="C85" s="21" t="n">
        <x:v>1</x:v>
      </x:c>
      <x:c r="D85" s="46" t="str">
        <x:f>"+60133815817"</x:f>
        <x:v>+60133815817</x:v>
      </x:c>
      <x:c r="E85" s="21" t="str">
        <x:v>Kamarul Bahareen Kamarudin</x:v>
      </x:c>
      <x:c r="F85" s="21" t="str">
        <x:v>Member</x:v>
      </x:c>
      <x:c r="G85" s="46" t="str">
        <x:f>"60133815817"</x:f>
        <x:v>60133815817</x:v>
      </x:c>
      <x:c r="H85" s="21" t="str">
        <x:v>Yes</x:v>
      </x:c>
      <x:c r="I85" s="21" t="str">
        <x:v>No</x:v>
      </x:c>
      <x:c r="J85" s="21" t="str">
        <x:v>No</x:v>
      </x:c>
      <x:c r="K85" s="21" t="str">
        <x:v>Excluded</x:v>
      </x:c>
      <x:c r="L85" s="21" t="str">
        <x:v>Pemilik/trainer</x:v>
      </x:c>
    </x:row>
    <x:row r="86">
      <x:c r="A86" s="21" t="str">
        <x:v>whatsapp_group_numbers EBOARD C8 SP.csv</x:v>
      </x:c>
      <x:c r="B86" s="21" t="str">
        <x:v>EBOARD C8 SP</x:v>
      </x:c>
      <x:c r="C86" s="21" t="n">
        <x:v>2</x:v>
      </x:c>
      <x:c r="D86" s="46" t="str">
        <x:f>"+60103004557"</x:f>
        <x:v>+60103004557</x:v>
      </x:c>
      <x:c r="E86" s="21" t="str">
        <x:v>Mohd Hafiz Bin Nordin</x:v>
      </x:c>
      <x:c r="F86" s="21" t="str">
        <x:v>Member</x:v>
      </x:c>
      <x:c r="G86" s="46" t="str">
        <x:f>"60103004557"</x:f>
        <x:v>60103004557</x:v>
      </x:c>
      <x:c r="H86" s="21" t="str">
        <x:v>Yes</x:v>
      </x:c>
      <x:c r="I86" s="21" t="str">
        <x:v>No</x:v>
      </x:c>
      <x:c r="J86" s="21" t="str">
        <x:v>No</x:v>
      </x:c>
      <x:c r="K86" s="21" t="str">
        <x:v>Included</x:v>
      </x:c>
      <x:c r="L86" s="21" t="str">
        <x:v>Peserta</x:v>
      </x:c>
    </x:row>
    <x:row r="87">
      <x:c r="A87" s="21" t="str">
        <x:v>whatsapp_group_numbers EBOARD C8 SP.csv</x:v>
      </x:c>
      <x:c r="B87" s="21" t="str">
        <x:v>EBOARD C8 SP</x:v>
      </x:c>
      <x:c r="C87" s="21" t="n">
        <x:v>3</x:v>
      </x:c>
      <x:c r="D87" s="46" t="str">
        <x:f>"+601118751678"</x:f>
        <x:v>+601118751678</x:v>
      </x:c>
      <x:c r="E87" s="21" t="str">
        <x:v>ANEES Cosmetics Spa</x:v>
      </x:c>
      <x:c r="F87" s="21" t="str">
        <x:v>Member</x:v>
      </x:c>
      <x:c r="G87" s="46" t="str">
        <x:f>"601118751678"</x:f>
        <x:v>601118751678</x:v>
      </x:c>
      <x:c r="H87" s="21" t="str">
        <x:v>Yes</x:v>
      </x:c>
      <x:c r="I87" s="21" t="str">
        <x:v>No</x:v>
      </x:c>
      <x:c r="J87" s="21" t="str">
        <x:v>No</x:v>
      </x:c>
      <x:c r="K87" s="21" t="str">
        <x:v>Included</x:v>
      </x:c>
      <x:c r="L87" s="21" t="str">
        <x:v>Peserta</x:v>
      </x:c>
    </x:row>
    <x:row r="88">
      <x:c r="A88" s="21" t="str">
        <x:v>whatsapp_group_numbers EBOARD C8 SP.csv</x:v>
      </x:c>
      <x:c r="B88" s="21" t="str">
        <x:v>EBOARD C8 SP</x:v>
      </x:c>
      <x:c r="C88" s="21" t="n">
        <x:v>4</x:v>
      </x:c>
      <x:c r="D88" s="46" t="str">
        <x:f>"+60124229784"</x:f>
        <x:v>+60124229784</x:v>
      </x:c>
      <x:c r="E88" s="21" t="str">
        <x:v>Azlina Bα𝗄er</x:v>
      </x:c>
      <x:c r="F88" s="21" t="str">
        <x:v>Member</x:v>
      </x:c>
      <x:c r="G88" s="46" t="str">
        <x:f>"60124229784"</x:f>
        <x:v>60124229784</x:v>
      </x:c>
      <x:c r="H88" s="21" t="str">
        <x:v>Yes</x:v>
      </x:c>
      <x:c r="I88" s="21" t="str">
        <x:v>No</x:v>
      </x:c>
      <x:c r="J88" s="21" t="str">
        <x:v>No</x:v>
      </x:c>
      <x:c r="K88" s="21" t="str">
        <x:v>Included</x:v>
      </x:c>
      <x:c r="L88" s="21" t="str">
        <x:v>Peserta</x:v>
      </x:c>
    </x:row>
    <x:row r="89">
      <x:c r="A89" s="21" t="str">
        <x:v>whatsapp_group_numbers EBOARD C8 SP.csv</x:v>
      </x:c>
      <x:c r="B89" s="21" t="str">
        <x:v>EBOARD C8 SP</x:v>
      </x:c>
      <x:c r="C89" s="21" t="n">
        <x:v>5</x:v>
      </x:c>
      <x:c r="D89" s="46" t="str">
        <x:f>"+60183534473"</x:f>
        <x:v>+60183534473</x:v>
      </x:c>
      <x:c r="E89" s="21" t="str">
        <x:v>Bittersweet</x:v>
      </x:c>
      <x:c r="F89" s="21" t="str">
        <x:v>Member</x:v>
      </x:c>
      <x:c r="G89" s="46" t="str">
        <x:f>"60183534473"</x:f>
        <x:v>60183534473</x:v>
      </x:c>
      <x:c r="H89" s="21" t="str">
        <x:v>Yes</x:v>
      </x:c>
      <x:c r="I89" s="21" t="str">
        <x:v>No</x:v>
      </x:c>
      <x:c r="J89" s="21" t="str">
        <x:v>No</x:v>
      </x:c>
      <x:c r="K89" s="21" t="str">
        <x:v>Included</x:v>
      </x:c>
      <x:c r="L89" s="21" t="str">
        <x:v>Peserta</x:v>
      </x:c>
    </x:row>
    <x:row r="90">
      <x:c r="A90" s="21" t="str">
        <x:v>whatsapp_group_numbers EBOARD C8 SP.csv</x:v>
      </x:c>
      <x:c r="B90" s="21" t="str">
        <x:v>EBOARD C8 SP</x:v>
      </x:c>
      <x:c r="C90" s="21" t="n">
        <x:v>6</x:v>
      </x:c>
      <x:c r="D90" s="46" t="str">
        <x:f>"+60139709450"</x:f>
        <x:v>+60139709450</x:v>
      </x:c>
      <x:c r="E90" s="21" t="str">
        <x:v>E_N_Amalina</x:v>
      </x:c>
      <x:c r="F90" s="21" t="str">
        <x:v>Member</x:v>
      </x:c>
      <x:c r="G90" s="46" t="str">
        <x:f>"60139709450"</x:f>
        <x:v>60139709450</x:v>
      </x:c>
      <x:c r="H90" s="21" t="str">
        <x:v>Yes</x:v>
      </x:c>
      <x:c r="I90" s="21" t="str">
        <x:v>No</x:v>
      </x:c>
      <x:c r="J90" s="21" t="str">
        <x:v>No</x:v>
      </x:c>
      <x:c r="K90" s="21" t="str">
        <x:v>Included</x:v>
      </x:c>
      <x:c r="L90" s="21" t="str">
        <x:v>Peserta</x:v>
      </x:c>
    </x:row>
    <x:row r="91">
      <x:c r="A91" s="21" t="str">
        <x:v>whatsapp_group_numbers EBOARD C8 SP.csv</x:v>
      </x:c>
      <x:c r="B91" s="21" t="str">
        <x:v>EBOARD C8 SP</x:v>
      </x:c>
      <x:c r="C91" s="21" t="n">
        <x:v>7</x:v>
      </x:c>
      <x:c r="D91" s="46" t="str">
        <x:f>"+60194792511"</x:f>
        <x:v>+60194792511</x:v>
      </x:c>
      <x:c r="E91" s="21" t="str">
        <x:v>Fahmi</x:v>
      </x:c>
      <x:c r="F91" s="21" t="str">
        <x:v>Member</x:v>
      </x:c>
      <x:c r="G91" s="46" t="str">
        <x:f>"60194792511"</x:f>
        <x:v>60194792511</x:v>
      </x:c>
      <x:c r="H91" s="21" t="str">
        <x:v>Yes</x:v>
      </x:c>
      <x:c r="I91" s="21" t="str">
        <x:v>No</x:v>
      </x:c>
      <x:c r="J91" s="21" t="str">
        <x:v>No</x:v>
      </x:c>
      <x:c r="K91" s="21" t="str">
        <x:v>Included</x:v>
      </x:c>
      <x:c r="L91" s="21" t="str">
        <x:v>Peserta</x:v>
      </x:c>
    </x:row>
    <x:row r="92">
      <x:c r="A92" s="21" t="str">
        <x:v>whatsapp_group_numbers EBOARD C8 SP.csv</x:v>
      </x:c>
      <x:c r="B92" s="21" t="str">
        <x:v>EBOARD C8 SP</x:v>
      </x:c>
      <x:c r="C92" s="21" t="n">
        <x:v>8</x:v>
      </x:c>
      <x:c r="D92" s="46" t="str">
        <x:f>"+60149462426"</x:f>
        <x:v>+60149462426</x:v>
      </x:c>
      <x:c r="E92" s="21" t="str">
        <x:v>HAFIZ</x:v>
      </x:c>
      <x:c r="F92" s="21" t="str">
        <x:v>Member</x:v>
      </x:c>
      <x:c r="G92" s="46" t="str">
        <x:f>"60149462426"</x:f>
        <x:v>60149462426</x:v>
      </x:c>
      <x:c r="H92" s="21" t="str">
        <x:v>Yes</x:v>
      </x:c>
      <x:c r="I92" s="21" t="str">
        <x:v>No</x:v>
      </x:c>
      <x:c r="J92" s="21" t="str">
        <x:v>No</x:v>
      </x:c>
      <x:c r="K92" s="21" t="str">
        <x:v>Included</x:v>
      </x:c>
      <x:c r="L92" s="21" t="str">
        <x:v>Peserta</x:v>
      </x:c>
    </x:row>
    <x:row r="93">
      <x:c r="A93" s="21" t="str">
        <x:v>whatsapp_group_numbers EBOARD C8 SP.csv</x:v>
      </x:c>
      <x:c r="B93" s="21" t="str">
        <x:v>EBOARD C8 SP</x:v>
      </x:c>
      <x:c r="C93" s="21" t="n">
        <x:v>9</x:v>
      </x:c>
      <x:c r="D93" s="46" t="str">
        <x:f>"+60189584566"</x:f>
        <x:v>+60189584566</x:v>
      </x:c>
      <x:c r="E93" s="21" t="str">
        <x:v>Lot 8 kitchen</x:v>
      </x:c>
      <x:c r="F93" s="21" t="str">
        <x:v>Member</x:v>
      </x:c>
      <x:c r="G93" s="46" t="str">
        <x:f>"60189584566"</x:f>
        <x:v>60189584566</x:v>
      </x:c>
      <x:c r="H93" s="21" t="str">
        <x:v>Yes</x:v>
      </x:c>
      <x:c r="I93" s="21" t="str">
        <x:v>No</x:v>
      </x:c>
      <x:c r="J93" s="21" t="str">
        <x:v>No</x:v>
      </x:c>
      <x:c r="K93" s="21" t="str">
        <x:v>Included</x:v>
      </x:c>
      <x:c r="L93" s="21" t="str">
        <x:v>Peserta</x:v>
      </x:c>
    </x:row>
    <x:row r="94">
      <x:c r="A94" s="21" t="str">
        <x:v>whatsapp_group_numbers EBOARD C8 SP.csv</x:v>
      </x:c>
      <x:c r="B94" s="21" t="str">
        <x:v>EBOARD C8 SP</x:v>
      </x:c>
      <x:c r="C94" s="21" t="n">
        <x:v>10</x:v>
      </x:c>
      <x:c r="D94" s="46" t="str">
        <x:f>"+60184626786"</x:f>
        <x:v>+60184626786</x:v>
      </x:c>
      <x:c r="E94" s="21" t="str">
        <x:v>Northern Property Best Solution</x:v>
      </x:c>
      <x:c r="F94" s="21" t="str">
        <x:v>Member</x:v>
      </x:c>
      <x:c r="G94" s="46" t="str">
        <x:f>"60184626786"</x:f>
        <x:v>60184626786</x:v>
      </x:c>
      <x:c r="H94" s="21" t="str">
        <x:v>Yes</x:v>
      </x:c>
      <x:c r="I94" s="21" t="str">
        <x:v>No</x:v>
      </x:c>
      <x:c r="J94" s="21" t="str">
        <x:v>No</x:v>
      </x:c>
      <x:c r="K94" s="21" t="str">
        <x:v>Included</x:v>
      </x:c>
      <x:c r="L94" s="21" t="str">
        <x:v>Peserta</x:v>
      </x:c>
    </x:row>
    <x:row r="95">
      <x:c r="A95" s="21" t="str">
        <x:v>whatsapp_group_numbers EBOARD C8 SP.csv</x:v>
      </x:c>
      <x:c r="B95" s="21" t="str">
        <x:v>EBOARD C8 SP</x:v>
      </x:c>
      <x:c r="C95" s="21" t="n">
        <x:v>11</x:v>
      </x:c>
      <x:c r="D95" s="46" t="str">
        <x:f>"+601136617882"</x:f>
        <x:v>+601136617882</x:v>
      </x:c>
      <x:c r="E95" s="21" t="str">
        <x:v>Omma Ohsem</x:v>
      </x:c>
      <x:c r="F95" s="21" t="str">
        <x:v>Member</x:v>
      </x:c>
      <x:c r="G95" s="46" t="str">
        <x:f>"601136617882"</x:f>
        <x:v>601136617882</x:v>
      </x:c>
      <x:c r="H95" s="21" t="str">
        <x:v>Yes</x:v>
      </x:c>
      <x:c r="I95" s="21" t="str">
        <x:v>No</x:v>
      </x:c>
      <x:c r="J95" s="21" t="str">
        <x:v>No</x:v>
      </x:c>
      <x:c r="K95" s="21" t="str">
        <x:v>Included</x:v>
      </x:c>
      <x:c r="L95" s="21" t="str">
        <x:v>Peserta</x:v>
      </x:c>
    </x:row>
    <x:row r="96">
      <x:c r="A96" s="21" t="str">
        <x:v>whatsapp_group_numbers EBOARD C8 SP.csv</x:v>
      </x:c>
      <x:c r="B96" s="21" t="str">
        <x:v>EBOARD C8 SP</x:v>
      </x:c>
      <x:c r="C96" s="21" t="n">
        <x:v>12</x:v>
      </x:c>
      <x:c r="D96" s="46" t="str">
        <x:f>"+60142598652"</x:f>
        <x:v>+60142598652</x:v>
      </x:c>
      <x:c r="E96" s="21" t="str">
        <x:v>‎Qanas florist</x:v>
      </x:c>
      <x:c r="F96" s="21" t="str">
        <x:v>Member</x:v>
      </x:c>
      <x:c r="G96" s="46" t="str">
        <x:f>"60142598652"</x:f>
        <x:v>60142598652</x:v>
      </x:c>
      <x:c r="H96" s="21" t="str">
        <x:v>Yes</x:v>
      </x:c>
      <x:c r="I96" s="21" t="str">
        <x:v>No</x:v>
      </x:c>
      <x:c r="J96" s="21" t="str">
        <x:v>No</x:v>
      </x:c>
      <x:c r="K96" s="21" t="str">
        <x:v>Included</x:v>
      </x:c>
      <x:c r="L96" s="21" t="str">
        <x:v>Peserta</x:v>
      </x:c>
    </x:row>
    <x:row r="97">
      <x:c r="A97" s="21" t="str">
        <x:v>whatsapp_group_numbers EBOARD C8 SP.csv</x:v>
      </x:c>
      <x:c r="B97" s="21" t="str">
        <x:v>EBOARD C8 SP</x:v>
      </x:c>
      <x:c r="C97" s="21" t="n">
        <x:v>13</x:v>
      </x:c>
      <x:c r="D97" s="46" t="str">
        <x:f>"+60139333770"</x:f>
        <x:v>+60139333770</x:v>
      </x:c>
      <x:c r="E97" s="21" t="str">
        <x:v>+60139333770</x:v>
      </x:c>
      <x:c r="F97" s="21" t="str">
        <x:v>Member</x:v>
      </x:c>
      <x:c r="G97" s="46" t="str">
        <x:f>"60139333770"</x:f>
        <x:v>60139333770</x:v>
      </x:c>
      <x:c r="H97" s="21" t="str">
        <x:v>Yes</x:v>
      </x:c>
      <x:c r="I97" s="21" t="str">
        <x:v>No</x:v>
      </x:c>
      <x:c r="J97" s="21" t="str">
        <x:v>No</x:v>
      </x:c>
      <x:c r="K97" s="21" t="str">
        <x:v>Included</x:v>
      </x:c>
      <x:c r="L97" s="21" t="str">
        <x:v>Peserta</x:v>
      </x:c>
    </x:row>
    <x:row r="98">
      <x:c r="A98" s="21" t="str">
        <x:v>whatsapp_group_numbers EBOARD C8 SP.csv</x:v>
      </x:c>
      <x:c r="B98" s="21" t="str">
        <x:v>EBOARD C8 SP</x:v>
      </x:c>
      <x:c r="C98" s="21" t="n">
        <x:v>14</x:v>
      </x:c>
      <x:c r="D98" s="46" t="str">
        <x:f>"+60176013641"</x:f>
        <x:v>+60176013641</x:v>
      </x:c>
      <x:c r="E98" s="21" t="str">
        <x:v>+60176013641</x:v>
      </x:c>
      <x:c r="F98" s="21" t="str">
        <x:v>Member</x:v>
      </x:c>
      <x:c r="G98" s="46" t="str">
        <x:f>"60176013641"</x:f>
        <x:v>60176013641</x:v>
      </x:c>
      <x:c r="H98" s="21" t="str">
        <x:v>Yes</x:v>
      </x:c>
      <x:c r="I98" s="21" t="str">
        <x:v>No</x:v>
      </x:c>
      <x:c r="J98" s="21" t="str">
        <x:v>No</x:v>
      </x:c>
      <x:c r="K98" s="21" t="str">
        <x:v>Included</x:v>
      </x:c>
      <x:c r="L98" s="21" t="str">
        <x:v>Peserta</x:v>
      </x:c>
    </x:row>
    <x:row r="99">
      <x:c r="A99" s="21" t="str">
        <x:v>whatsapp_group_numbers EBOARD C8 SP.csv</x:v>
      </x:c>
      <x:c r="B99" s="21" t="str">
        <x:v>EBOARD C8 SP</x:v>
      </x:c>
      <x:c r="C99" s="21" t="n">
        <x:v>15</x:v>
      </x:c>
      <x:c r="D99" s="46" t="str">
        <x:f>"+60133361440"</x:f>
        <x:v>+60133361440</x:v>
      </x:c>
      <x:c r="E99" s="21" t="str">
        <x:v>+60133361440</x:v>
      </x:c>
      <x:c r="F99" s="21" t="str">
        <x:v>Member</x:v>
      </x:c>
      <x:c r="G99" s="46" t="str">
        <x:f>"60133361440"</x:f>
        <x:v>60133361440</x:v>
      </x:c>
      <x:c r="H99" s="21" t="str">
        <x:v>Yes</x:v>
      </x:c>
      <x:c r="I99" s="21" t="str">
        <x:v>No</x:v>
      </x:c>
      <x:c r="J99" s="21" t="str">
        <x:v>No</x:v>
      </x:c>
      <x:c r="K99" s="21" t="str">
        <x:v>Included</x:v>
      </x:c>
      <x:c r="L99" s="21" t="str">
        <x:v>Peserta</x:v>
      </x:c>
    </x:row>
    <x:row r="100">
      <x:c r="A100" s="21" t="str">
        <x:v>whatsapp_group_numbers EBOARD C8 SP.csv</x:v>
      </x:c>
      <x:c r="B100" s="21" t="str">
        <x:v>EBOARD C8 SP</x:v>
      </x:c>
      <x:c r="C100" s="21" t="n">
        <x:v>16</x:v>
      </x:c>
      <x:c r="D100" s="46" t="str">
        <x:f>"+60124138886"</x:f>
        <x:v>+60124138886</x:v>
      </x:c>
      <x:c r="E100" s="21" t="str">
        <x:v>+60124138886</x:v>
      </x:c>
      <x:c r="F100" s="21" t="str">
        <x:v>Member</x:v>
      </x:c>
      <x:c r="G100" s="46" t="str">
        <x:f>"60124138886"</x:f>
        <x:v>60124138886</x:v>
      </x:c>
      <x:c r="H100" s="21" t="str">
        <x:v>Yes</x:v>
      </x:c>
      <x:c r="I100" s="21" t="str">
        <x:v>No</x:v>
      </x:c>
      <x:c r="J100" s="21" t="str">
        <x:v>No</x:v>
      </x:c>
      <x:c r="K100" s="21" t="str">
        <x:v>Included</x:v>
      </x:c>
      <x:c r="L100" s="21" t="str">
        <x:v>Peserta</x:v>
      </x:c>
    </x:row>
    <x:row r="101">
      <x:c r="A101" s="21" t="str">
        <x:v>whatsapp_group_numbers EBOARD C8 SP.csv</x:v>
      </x:c>
      <x:c r="B101" s="21" t="str">
        <x:v>EBOARD C8 SP</x:v>
      </x:c>
      <x:c r="C101" s="21" t="n">
        <x:v>17</x:v>
      </x:c>
      <x:c r="D101" s="46" t="str">
        <x:f>"+60122727607"</x:f>
        <x:v>+60122727607</x:v>
      </x:c>
      <x:c r="E101" s="21" t="str">
        <x:v>+60122727607</x:v>
      </x:c>
      <x:c r="F101" s="21" t="str">
        <x:v>Member</x:v>
      </x:c>
      <x:c r="G101" s="46" t="str">
        <x:f>"60122727607"</x:f>
        <x:v>60122727607</x:v>
      </x:c>
      <x:c r="H101" s="21" t="str">
        <x:v>Yes</x:v>
      </x:c>
      <x:c r="I101" s="21" t="str">
        <x:v>No</x:v>
      </x:c>
      <x:c r="J101" s="21" t="str">
        <x:v>No</x:v>
      </x:c>
      <x:c r="K101" s="21" t="str">
        <x:v>Included</x:v>
      </x:c>
      <x:c r="L101" s="21" t="str">
        <x:v>Peserta</x:v>
      </x:c>
    </x:row>
    <x:row r="102">
      <x:c r="A102" s="21" t="str">
        <x:v>whatsapp_group_numbers EBOARD C8 SP.csv</x:v>
      </x:c>
      <x:c r="B102" s="21" t="str">
        <x:v>EBOARD C8 SP</x:v>
      </x:c>
      <x:c r="C102" s="21" t="n">
        <x:v>18</x:v>
      </x:c>
      <x:c r="D102" s="46" t="str">
        <x:f>"+60126587523"</x:f>
        <x:v>+60126587523</x:v>
      </x:c>
      <x:c r="E102" s="21" t="str">
        <x:v>+60126587523</x:v>
      </x:c>
      <x:c r="F102" s="21" t="str">
        <x:v>Member</x:v>
      </x:c>
      <x:c r="G102" s="46" t="str">
        <x:f>"60126587523"</x:f>
        <x:v>60126587523</x:v>
      </x:c>
      <x:c r="H102" s="21" t="str">
        <x:v>Yes</x:v>
      </x:c>
      <x:c r="I102" s="21" t="str">
        <x:v>No</x:v>
      </x:c>
      <x:c r="J102" s="21" t="str">
        <x:v>No</x:v>
      </x:c>
      <x:c r="K102" s="21" t="str">
        <x:v>Included</x:v>
      </x:c>
      <x:c r="L102" s="21" t="str">
        <x:v>Peserta</x:v>
      </x:c>
    </x:row>
    <x:row r="103">
      <x:c r="A103" s="21" t="str">
        <x:v>whatsapp_group_numbers EBOARD C8 SP.csv</x:v>
      </x:c>
      <x:c r="B103" s="21" t="str">
        <x:v>EBOARD C8 SP</x:v>
      </x:c>
      <x:c r="C103" s="21" t="n">
        <x:v>19</x:v>
      </x:c>
      <x:c r="D103" s="46" t="str">
        <x:f>"+60129497152"</x:f>
        <x:v>+60129497152</x:v>
      </x:c>
      <x:c r="E103" s="21" t="str">
        <x:v>+60129497152</x:v>
      </x:c>
      <x:c r="F103" s="21" t="str">
        <x:v>Member</x:v>
      </x:c>
      <x:c r="G103" s="46" t="str">
        <x:f>"60129497152"</x:f>
        <x:v>60129497152</x:v>
      </x:c>
      <x:c r="H103" s="21" t="str">
        <x:v>Yes</x:v>
      </x:c>
      <x:c r="I103" s="21" t="str">
        <x:v>No</x:v>
      </x:c>
      <x:c r="J103" s="21" t="str">
        <x:v>No</x:v>
      </x:c>
      <x:c r="K103" s="21" t="str">
        <x:v>Included</x:v>
      </x:c>
      <x:c r="L103" s="21" t="str">
        <x:v>Peserta</x:v>
      </x:c>
    </x:row>
    <x:row r="104">
      <x:c r="A104" s="21" t="str">
        <x:v>whatsapp_group_numbers EBOARD C8 SP.csv</x:v>
      </x:c>
      <x:c r="B104" s="21" t="str">
        <x:v>EBOARD C8 SP</x:v>
      </x:c>
      <x:c r="C104" s="21" t="n">
        <x:v>20</x:v>
      </x:c>
      <x:c r="D104" s="46" t="str">
        <x:f>"+60126598567"</x:f>
        <x:v>+60126598567</x:v>
      </x:c>
      <x:c r="E104" s="21" t="str">
        <x:v>+60126598567</x:v>
      </x:c>
      <x:c r="F104" s="21" t="str">
        <x:v>Member</x:v>
      </x:c>
      <x:c r="G104" s="46" t="str">
        <x:f>"60126598567"</x:f>
        <x:v>60126598567</x:v>
      </x:c>
      <x:c r="H104" s="21" t="str">
        <x:v>Yes</x:v>
      </x:c>
      <x:c r="I104" s="21" t="str">
        <x:v>No</x:v>
      </x:c>
      <x:c r="J104" s="21" t="str">
        <x:v>No</x:v>
      </x:c>
      <x:c r="K104" s="21" t="str">
        <x:v>Included</x:v>
      </x:c>
      <x:c r="L104" s="21" t="str">
        <x:v>Peserta</x:v>
      </x:c>
    </x:row>
    <x:row r="105">
      <x:c r="A105" s="21" t="str">
        <x:v>whatsapp_group_numbers EBOARD C8 SP.csv</x:v>
      </x:c>
      <x:c r="B105" s="21" t="str">
        <x:v>EBOARD C8 SP</x:v>
      </x:c>
      <x:c r="C105" s="21" t="n">
        <x:v>21</x:v>
      </x:c>
      <x:c r="D105" s="46" t="str">
        <x:f>"+601111489036"</x:f>
        <x:v>+601111489036</x:v>
      </x:c>
      <x:c r="E105" s="21" t="str">
        <x:v>+601111489036</x:v>
      </x:c>
      <x:c r="F105" s="21" t="str">
        <x:v>Member</x:v>
      </x:c>
      <x:c r="G105" s="46" t="str">
        <x:f>"601111489036"</x:f>
        <x:v>601111489036</x:v>
      </x:c>
      <x:c r="H105" s="21" t="str">
        <x:v>Yes</x:v>
      </x:c>
      <x:c r="I105" s="21" t="str">
        <x:v>No</x:v>
      </x:c>
      <x:c r="J105" s="21" t="str">
        <x:v>No</x:v>
      </x:c>
      <x:c r="K105" s="21" t="str">
        <x:v>Included</x:v>
      </x:c>
      <x:c r="L105" s="21" t="str">
        <x:v>Peserta</x:v>
      </x:c>
    </x:row>
    <x:row r="106">
      <x:c r="A106" s="21" t="str">
        <x:v>whatsapp_group_numbers EBOARD C8 SP.csv</x:v>
      </x:c>
      <x:c r="B106" s="21" t="str">
        <x:v>EBOARD C8 SP</x:v>
      </x:c>
      <x:c r="C106" s="21" t="n">
        <x:v>22</x:v>
      </x:c>
      <x:c r="D106" s="46" t="str">
        <x:f>"+60178544421"</x:f>
        <x:v>+60178544421</x:v>
      </x:c>
      <x:c r="E106" s="21" t="str">
        <x:v>+60178544421</x:v>
      </x:c>
      <x:c r="F106" s="21" t="str">
        <x:v>Member</x:v>
      </x:c>
      <x:c r="G106" s="46" t="str">
        <x:f>"60178544421"</x:f>
        <x:v>60178544421</x:v>
      </x:c>
      <x:c r="H106" s="21" t="str">
        <x:v>Yes</x:v>
      </x:c>
      <x:c r="I106" s="21" t="str">
        <x:v>No</x:v>
      </x:c>
      <x:c r="J106" s="21" t="str">
        <x:v>No</x:v>
      </x:c>
      <x:c r="K106" s="21" t="str">
        <x:v>Included</x:v>
      </x:c>
      <x:c r="L106" s="21" t="str">
        <x:v>Peserta</x:v>
      </x:c>
    </x:row>
    <x:row r="107">
      <x:c r="A107" s="21" t="str">
        <x:v>whatsapp_group_numbers EBOARD C8 SP.csv</x:v>
      </x:c>
      <x:c r="B107" s="21" t="str">
        <x:v>EBOARD C8 SP</x:v>
      </x:c>
      <x:c r="C107" s="21" t="n">
        <x:v>23</x:v>
      </x:c>
      <x:c r="D107" s="46" t="str">
        <x:f>"+60195258092"</x:f>
        <x:v>+60195258092</x:v>
      </x:c>
      <x:c r="E107" s="21" t="str">
        <x:v>+60195258092</x:v>
      </x:c>
      <x:c r="F107" s="21" t="str">
        <x:v>Member</x:v>
      </x:c>
      <x:c r="G107" s="46" t="str">
        <x:f>"60195258092"</x:f>
        <x:v>60195258092</x:v>
      </x:c>
      <x:c r="H107" s="21" t="str">
        <x:v>Yes</x:v>
      </x:c>
      <x:c r="I107" s="21" t="str">
        <x:v>No</x:v>
      </x:c>
      <x:c r="J107" s="21" t="str">
        <x:v>No</x:v>
      </x:c>
      <x:c r="K107" s="21" t="str">
        <x:v>Included</x:v>
      </x:c>
      <x:c r="L107" s="21" t="str">
        <x:v>Peserta</x:v>
      </x:c>
    </x:row>
    <x:row r="108">
      <x:c r="A108" s="21" t="str">
        <x:v>whatsapp_group_numbers emarket11-12.csv</x:v>
      </x:c>
      <x:c r="B108" s="21" t="str">
        <x:v>emarket11-12</x:v>
      </x:c>
      <x:c r="C108" s="21" t="n">
        <x:v>1</x:v>
      </x:c>
      <x:c r="D108" s="46" t="str">
        <x:f>"+60193595900"</x:f>
        <x:v>+60193595900</x:v>
      </x:c>
      <x:c r="E108" s="21" t="str">
        <x:v>Insken - Pn Nora</x:v>
      </x:c>
      <x:c r="F108" s="21" t="str">
        <x:v>Member</x:v>
      </x:c>
      <x:c r="G108" s="46" t="str">
        <x:f>"60193595900"</x:f>
        <x:v>60193595900</x:v>
      </x:c>
      <x:c r="H108" s="21" t="str">
        <x:v>Yes</x:v>
      </x:c>
      <x:c r="I108" s="21" t="str">
        <x:v>No</x:v>
      </x:c>
      <x:c r="J108" s="21" t="str">
        <x:v>Yes</x:v>
      </x:c>
      <x:c r="K108" s="21" t="str">
        <x:v>Excluded</x:v>
      </x:c>
      <x:c r="L108" s="21" t="str">
        <x:v>Nama/nombor dikenal pasti sebagai INSKEN</x:v>
      </x:c>
    </x:row>
    <x:row r="109">
      <x:c r="A109" s="21" t="str">
        <x:v>whatsapp_group_numbers emarket11-12.csv</x:v>
      </x:c>
      <x:c r="B109" s="21" t="str">
        <x:v>emarket11-12</x:v>
      </x:c>
      <x:c r="C109" s="21" t="n">
        <x:v>2</x:v>
      </x:c>
      <x:c r="D109" s="46" t="str">
        <x:f>"+60174102530"</x:f>
        <x:v>+60174102530</x:v>
      </x:c>
      <x:c r="E109" s="21" t="str">
        <x:v>shaeza INSKEN</x:v>
      </x:c>
      <x:c r="F109" s="21" t="str">
        <x:v>Member</x:v>
      </x:c>
      <x:c r="G109" s="46" t="str">
        <x:f>"60174102530"</x:f>
        <x:v>60174102530</x:v>
      </x:c>
      <x:c r="H109" s="21" t="str">
        <x:v>Yes</x:v>
      </x:c>
      <x:c r="I109" s="21" t="str">
        <x:v>No</x:v>
      </x:c>
      <x:c r="J109" s="21" t="str">
        <x:v>Yes</x:v>
      </x:c>
      <x:c r="K109" s="21" t="str">
        <x:v>Excluded</x:v>
      </x:c>
      <x:c r="L109" s="21" t="str">
        <x:v>Nama/nombor dikenal pasti sebagai INSKEN</x:v>
      </x:c>
    </x:row>
    <x:row r="110">
      <x:c r="A110" s="21" t="str">
        <x:v>whatsapp_group_numbers emarket11-12.csv</x:v>
      </x:c>
      <x:c r="B110" s="21" t="str">
        <x:v>emarket11-12</x:v>
      </x:c>
      <x:c r="C110" s="21" t="n">
        <x:v>3</x:v>
      </x:c>
      <x:c r="D110" s="46" t="str">
        <x:f>"+60179731307"</x:f>
        <x:v>+60179731307</x:v>
      </x:c>
      <x:c r="E110" s="21" t="str">
        <x:v>Suhaimi Uwais Al Qarni</x:v>
      </x:c>
      <x:c r="F110" s="21" t="str">
        <x:v>Member</x:v>
      </x:c>
      <x:c r="G110" s="46" t="str">
        <x:f>"60179731307"</x:f>
        <x:v>60179731307</x:v>
      </x:c>
      <x:c r="H110" s="21" t="str">
        <x:v>Yes</x:v>
      </x:c>
      <x:c r="I110" s="21" t="str">
        <x:v>No</x:v>
      </x:c>
      <x:c r="J110" s="21" t="str">
        <x:v>No</x:v>
      </x:c>
      <x:c r="K110" s="21" t="str">
        <x:v>Included</x:v>
      </x:c>
      <x:c r="L110" s="21" t="str">
        <x:v>Peserta</x:v>
      </x:c>
    </x:row>
    <x:row r="111">
      <x:c r="A111" s="21" t="str">
        <x:v>whatsapp_group_numbers emarket11-12.csv</x:v>
      </x:c>
      <x:c r="B111" s="21" t="str">
        <x:v>emarket11-12</x:v>
      </x:c>
      <x:c r="C111" s="21" t="n">
        <x:v>4</x:v>
      </x:c>
      <x:c r="D111" s="46" t="str">
        <x:f>"+60193356700"</x:f>
        <x:v>+60193356700</x:v>
      </x:c>
      <x:c r="E111" s="21" t="str">
        <x:v>Syahmun</x:v>
      </x:c>
      <x:c r="F111" s="21" t="str">
        <x:v>Member</x:v>
      </x:c>
      <x:c r="G111" s="46" t="str">
        <x:f>"60193356700"</x:f>
        <x:v>60193356700</x:v>
      </x:c>
      <x:c r="H111" s="21" t="str">
        <x:v>Yes</x:v>
      </x:c>
      <x:c r="I111" s="21" t="str">
        <x:v>No</x:v>
      </x:c>
      <x:c r="J111" s="21" t="str">
        <x:v>No</x:v>
      </x:c>
      <x:c r="K111" s="21" t="str">
        <x:v>Included</x:v>
      </x:c>
      <x:c r="L111" s="21" t="str">
        <x:v>Peserta</x:v>
      </x:c>
    </x:row>
    <x:row r="112">
      <x:c r="A112" s="21" t="str">
        <x:v>whatsapp_group_numbers emarket11-12.csv</x:v>
      </x:c>
      <x:c r="B112" s="21" t="str">
        <x:v>emarket11-12</x:v>
      </x:c>
      <x:c r="C112" s="21" t="n">
        <x:v>5</x:v>
      </x:c>
      <x:c r="D112" s="46" t="str">
        <x:f>"+60175993573"</x:f>
        <x:v>+60175993573</x:v>
      </x:c>
      <x:c r="E112" s="21" t="str">
        <x:v>+60175993573</x:v>
      </x:c>
      <x:c r="F112" s="21" t="str">
        <x:v>Member</x:v>
      </x:c>
      <x:c r="G112" s="46" t="str">
        <x:f>"60175993573"</x:f>
        <x:v>60175993573</x:v>
      </x:c>
      <x:c r="H112" s="21" t="str">
        <x:v>Yes</x:v>
      </x:c>
      <x:c r="I112" s="21" t="str">
        <x:v>No</x:v>
      </x:c>
      <x:c r="J112" s="21" t="str">
        <x:v>No</x:v>
      </x:c>
      <x:c r="K112" s="21" t="str">
        <x:v>Included</x:v>
      </x:c>
      <x:c r="L112" s="21" t="str">
        <x:v>Peserta</x:v>
      </x:c>
    </x:row>
    <x:row r="113">
      <x:c r="A113" s="21" t="str">
        <x:v>whatsapp_group_numbers emarket11-12.csv</x:v>
      </x:c>
      <x:c r="B113" s="21" t="str">
        <x:v>emarket11-12</x:v>
      </x:c>
      <x:c r="C113" s="21" t="n">
        <x:v>6</x:v>
      </x:c>
      <x:c r="D113" s="46" t="str">
        <x:f>"+60122764117"</x:f>
        <x:v>+60122764117</x:v>
      </x:c>
      <x:c r="E113" s="21" t="str">
        <x:v>+60122764117</x:v>
      </x:c>
      <x:c r="F113" s="21" t="str">
        <x:v>Member</x:v>
      </x:c>
      <x:c r="G113" s="46" t="str">
        <x:f>"60122764117"</x:f>
        <x:v>60122764117</x:v>
      </x:c>
      <x:c r="H113" s="21" t="str">
        <x:v>Yes</x:v>
      </x:c>
      <x:c r="I113" s="21" t="str">
        <x:v>No</x:v>
      </x:c>
      <x:c r="J113" s="21" t="str">
        <x:v>No</x:v>
      </x:c>
      <x:c r="K113" s="21" t="str">
        <x:v>Included</x:v>
      </x:c>
      <x:c r="L113" s="21" t="str">
        <x:v>Peserta</x:v>
      </x:c>
    </x:row>
    <x:row r="114">
      <x:c r="A114" s="21" t="str">
        <x:v>whatsapp_group_numbers emarket11-12.csv</x:v>
      </x:c>
      <x:c r="B114" s="21" t="str">
        <x:v>emarket11-12</x:v>
      </x:c>
      <x:c r="C114" s="21" t="n">
        <x:v>7</x:v>
      </x:c>
      <x:c r="D114" s="46" t="str">
        <x:f>"+60192486076"</x:f>
        <x:v>+60192486076</x:v>
      </x:c>
      <x:c r="E114" s="21" t="str">
        <x:v>+60192486076</x:v>
      </x:c>
      <x:c r="F114" s="21" t="str">
        <x:v>Member</x:v>
      </x:c>
      <x:c r="G114" s="46" t="str">
        <x:f>"60192486076"</x:f>
        <x:v>60192486076</x:v>
      </x:c>
      <x:c r="H114" s="21" t="str">
        <x:v>Yes</x:v>
      </x:c>
      <x:c r="I114" s="21" t="str">
        <x:v>No</x:v>
      </x:c>
      <x:c r="J114" s="21" t="str">
        <x:v>No</x:v>
      </x:c>
      <x:c r="K114" s="21" t="str">
        <x:v>Included</x:v>
      </x:c>
      <x:c r="L114" s="21" t="str">
        <x:v>Peserta</x:v>
      </x:c>
    </x:row>
    <x:row r="115">
      <x:c r="A115" s="21" t="str">
        <x:v>whatsapp_group_numbers emarket11-12.csv</x:v>
      </x:c>
      <x:c r="B115" s="21" t="str">
        <x:v>emarket11-12</x:v>
      </x:c>
      <x:c r="C115" s="21" t="n">
        <x:v>8</x:v>
      </x:c>
      <x:c r="D115" s="46" t="str">
        <x:f>"+60137750664"</x:f>
        <x:v>+60137750664</x:v>
      </x:c>
      <x:c r="E115" s="21" t="str">
        <x:v>+60137750664</x:v>
      </x:c>
      <x:c r="F115" s="21" t="str">
        <x:v>Member</x:v>
      </x:c>
      <x:c r="G115" s="46" t="str">
        <x:f>"60137750664"</x:f>
        <x:v>60137750664</x:v>
      </x:c>
      <x:c r="H115" s="21" t="str">
        <x:v>Yes</x:v>
      </x:c>
      <x:c r="I115" s="21" t="str">
        <x:v>No</x:v>
      </x:c>
      <x:c r="J115" s="21" t="str">
        <x:v>No</x:v>
      </x:c>
      <x:c r="K115" s="21" t="str">
        <x:v>Included</x:v>
      </x:c>
      <x:c r="L115" s="21" t="str">
        <x:v>Peserta</x:v>
      </x:c>
    </x:row>
    <x:row r="116">
      <x:c r="A116" s="21" t="str">
        <x:v>whatsapp_group_numbers emarket11-12.csv</x:v>
      </x:c>
      <x:c r="B116" s="21" t="str">
        <x:v>emarket11-12</x:v>
      </x:c>
      <x:c r="C116" s="21" t="n">
        <x:v>9</x:v>
      </x:c>
      <x:c r="D116" s="46" t="str">
        <x:f>"+60194570560"</x:f>
        <x:v>+60194570560</x:v>
      </x:c>
      <x:c r="E116" s="21" t="str">
        <x:v>+60194570560</x:v>
      </x:c>
      <x:c r="F116" s="21" t="str">
        <x:v>Member</x:v>
      </x:c>
      <x:c r="G116" s="46" t="str">
        <x:f>"60194570560"</x:f>
        <x:v>60194570560</x:v>
      </x:c>
      <x:c r="H116" s="21" t="str">
        <x:v>Yes</x:v>
      </x:c>
      <x:c r="I116" s="21" t="str">
        <x:v>No</x:v>
      </x:c>
      <x:c r="J116" s="21" t="str">
        <x:v>No</x:v>
      </x:c>
      <x:c r="K116" s="21" t="str">
        <x:v>Included</x:v>
      </x:c>
      <x:c r="L116" s="21" t="str">
        <x:v>Peserta</x:v>
      </x:c>
    </x:row>
    <x:row r="117">
      <x:c r="A117" s="21" t="str">
        <x:v>whatsapp_group_numbers emarket11-12.csv</x:v>
      </x:c>
      <x:c r="B117" s="21" t="str">
        <x:v>emarket11-12</x:v>
      </x:c>
      <x:c r="C117" s="21" t="n">
        <x:v>10</x:v>
      </x:c>
      <x:c r="D117" s="46" t="str">
        <x:f>"+60126534569"</x:f>
        <x:v>+60126534569</x:v>
      </x:c>
      <x:c r="E117" s="21" t="str">
        <x:v>+60126534569</x:v>
      </x:c>
      <x:c r="F117" s="21" t="str">
        <x:v>Member</x:v>
      </x:c>
      <x:c r="G117" s="46" t="str">
        <x:f>"60126534569"</x:f>
        <x:v>60126534569</x:v>
      </x:c>
      <x:c r="H117" s="21" t="str">
        <x:v>Yes</x:v>
      </x:c>
      <x:c r="I117" s="21" t="str">
        <x:v>No</x:v>
      </x:c>
      <x:c r="J117" s="21" t="str">
        <x:v>No</x:v>
      </x:c>
      <x:c r="K117" s="21" t="str">
        <x:v>Included</x:v>
      </x:c>
      <x:c r="L117" s="21" t="str">
        <x:v>Peserta</x:v>
      </x:c>
    </x:row>
    <x:row r="118">
      <x:c r="A118" s="21" t="str">
        <x:v>whatsapp_group_numbers emarket11-12.csv</x:v>
      </x:c>
      <x:c r="B118" s="21" t="str">
        <x:v>emarket11-12</x:v>
      </x:c>
      <x:c r="C118" s="21" t="n">
        <x:v>11</x:v>
      </x:c>
      <x:c r="D118" s="46" t="str">
        <x:f>"+60129194574"</x:f>
        <x:v>+60129194574</x:v>
      </x:c>
      <x:c r="E118" s="21" t="str">
        <x:v>+60129194574</x:v>
      </x:c>
      <x:c r="F118" s="21" t="str">
        <x:v>Member</x:v>
      </x:c>
      <x:c r="G118" s="46" t="str">
        <x:f>"60129194574"</x:f>
        <x:v>60129194574</x:v>
      </x:c>
      <x:c r="H118" s="21" t="str">
        <x:v>Yes</x:v>
      </x:c>
      <x:c r="I118" s="21" t="str">
        <x:v>No</x:v>
      </x:c>
      <x:c r="J118" s="21" t="str">
        <x:v>No</x:v>
      </x:c>
      <x:c r="K118" s="21" t="str">
        <x:v>Included</x:v>
      </x:c>
      <x:c r="L118" s="21" t="str">
        <x:v>Peserta</x:v>
      </x:c>
    </x:row>
    <x:row r="119">
      <x:c r="A119" s="21" t="str">
        <x:v>whatsapp_group_numbers emarket11-12.csv</x:v>
      </x:c>
      <x:c r="B119" s="21" t="str">
        <x:v>emarket11-12</x:v>
      </x:c>
      <x:c r="C119" s="21" t="n">
        <x:v>12</x:v>
      </x:c>
      <x:c r="D119" s="46" t="str">
        <x:f>"+60145409450"</x:f>
        <x:v>+60145409450</x:v>
      </x:c>
      <x:c r="E119" s="21" t="str">
        <x:v>+60145409450</x:v>
      </x:c>
      <x:c r="F119" s="21" t="str">
        <x:v>Member</x:v>
      </x:c>
      <x:c r="G119" s="46" t="str">
        <x:f>"60145409450"</x:f>
        <x:v>60145409450</x:v>
      </x:c>
      <x:c r="H119" s="21" t="str">
        <x:v>Yes</x:v>
      </x:c>
      <x:c r="I119" s="21" t="str">
        <x:v>No</x:v>
      </x:c>
      <x:c r="J119" s="21" t="str">
        <x:v>No</x:v>
      </x:c>
      <x:c r="K119" s="21" t="str">
        <x:v>Included</x:v>
      </x:c>
      <x:c r="L119" s="21" t="str">
        <x:v>Peserta</x:v>
      </x:c>
    </x:row>
    <x:row r="120">
      <x:c r="A120" s="21" t="str">
        <x:v>whatsapp_group_numbers emarket11-12.csv</x:v>
      </x:c>
      <x:c r="B120" s="21" t="str">
        <x:v>emarket11-12</x:v>
      </x:c>
      <x:c r="C120" s="21" t="n">
        <x:v>13</x:v>
      </x:c>
      <x:c r="D120" s="46" t="str">
        <x:f>"+60199886864"</x:f>
        <x:v>+60199886864</x:v>
      </x:c>
      <x:c r="E120" s="21" t="str">
        <x:v>+60199886864</x:v>
      </x:c>
      <x:c r="F120" s="21" t="str">
        <x:v>Member</x:v>
      </x:c>
      <x:c r="G120" s="46" t="str">
        <x:f>"60199886864"</x:f>
        <x:v>60199886864</x:v>
      </x:c>
      <x:c r="H120" s="21" t="str">
        <x:v>Yes</x:v>
      </x:c>
      <x:c r="I120" s="21" t="str">
        <x:v>No</x:v>
      </x:c>
      <x:c r="J120" s="21" t="str">
        <x:v>No</x:v>
      </x:c>
      <x:c r="K120" s="21" t="str">
        <x:v>Included</x:v>
      </x:c>
      <x:c r="L120" s="21" t="str">
        <x:v>Peserta</x:v>
      </x:c>
    </x:row>
    <x:row r="121">
      <x:c r="A121" s="21" t="str">
        <x:v>whatsapp_group_numbers emarket11-12.csv</x:v>
      </x:c>
      <x:c r="B121" s="21" t="str">
        <x:v>emarket11-12</x:v>
      </x:c>
      <x:c r="C121" s="21" t="n">
        <x:v>14</x:v>
      </x:c>
      <x:c r="D121" s="46" t="str">
        <x:f>"+60134087810"</x:f>
        <x:v>+60134087810</x:v>
      </x:c>
      <x:c r="E121" s="21" t="str">
        <x:v>+60134087810</x:v>
      </x:c>
      <x:c r="F121" s="21" t="str">
        <x:v>Member</x:v>
      </x:c>
      <x:c r="G121" s="46" t="str">
        <x:f>"60134087810"</x:f>
        <x:v>60134087810</x:v>
      </x:c>
      <x:c r="H121" s="21" t="str">
        <x:v>Yes</x:v>
      </x:c>
      <x:c r="I121" s="21" t="str">
        <x:v>No</x:v>
      </x:c>
      <x:c r="J121" s="21" t="str">
        <x:v>No</x:v>
      </x:c>
      <x:c r="K121" s="21" t="str">
        <x:v>Included</x:v>
      </x:c>
      <x:c r="L121" s="21" t="str">
        <x:v>Peserta</x:v>
      </x:c>
    </x:row>
    <x:row r="122">
      <x:c r="A122" s="21" t="str">
        <x:v>whatsapp_group_numbers emarket11-12.csv</x:v>
      </x:c>
      <x:c r="B122" s="21" t="str">
        <x:v>emarket11-12</x:v>
      </x:c>
      <x:c r="C122" s="21" t="n">
        <x:v>15</x:v>
      </x:c>
      <x:c r="D122" s="46" t="str">
        <x:f>"+60109333543"</x:f>
        <x:v>+60109333543</x:v>
      </x:c>
      <x:c r="E122" s="21" t="str">
        <x:v>+60109333543</x:v>
      </x:c>
      <x:c r="F122" s="21" t="str">
        <x:v>Member</x:v>
      </x:c>
      <x:c r="G122" s="46" t="str">
        <x:f>"60109333543"</x:f>
        <x:v>60109333543</x:v>
      </x:c>
      <x:c r="H122" s="21" t="str">
        <x:v>Yes</x:v>
      </x:c>
      <x:c r="I122" s="21" t="str">
        <x:v>No</x:v>
      </x:c>
      <x:c r="J122" s="21" t="str">
        <x:v>No</x:v>
      </x:c>
      <x:c r="K122" s="21" t="str">
        <x:v>Included</x:v>
      </x:c>
      <x:c r="L122" s="21" t="str">
        <x:v>Peserta</x:v>
      </x:c>
    </x:row>
    <x:row r="123">
      <x:c r="A123" s="21" t="str">
        <x:v>whatsapp_group_numbers emarket11-12.csv</x:v>
      </x:c>
      <x:c r="B123" s="21" t="str">
        <x:v>emarket11-12</x:v>
      </x:c>
      <x:c r="C123" s="21" t="n">
        <x:v>16</x:v>
      </x:c>
      <x:c r="D123" s="46" t="str">
        <x:f>"+60192231657"</x:f>
        <x:v>+60192231657</x:v>
      </x:c>
      <x:c r="E123" s="21" t="str">
        <x:v>+60192231657</x:v>
      </x:c>
      <x:c r="F123" s="21" t="str">
        <x:v>Member</x:v>
      </x:c>
      <x:c r="G123" s="46" t="str">
        <x:f>"60192231657"</x:f>
        <x:v>60192231657</x:v>
      </x:c>
      <x:c r="H123" s="21" t="str">
        <x:v>Yes</x:v>
      </x:c>
      <x:c r="I123" s="21" t="str">
        <x:v>No</x:v>
      </x:c>
      <x:c r="J123" s="21" t="str">
        <x:v>No</x:v>
      </x:c>
      <x:c r="K123" s="21" t="str">
        <x:v>Included</x:v>
      </x:c>
      <x:c r="L123" s="21" t="str">
        <x:v>Peserta</x:v>
      </x:c>
    </x:row>
    <x:row r="124">
      <x:c r="A124" s="21" t="str">
        <x:v>whatsapp_group_numbers emarket11-12.csv</x:v>
      </x:c>
      <x:c r="B124" s="21" t="str">
        <x:v>emarket11-12</x:v>
      </x:c>
      <x:c r="C124" s="21" t="n">
        <x:v>17</x:v>
      </x:c>
      <x:c r="D124" s="46" t="str">
        <x:f>"+60126120779"</x:f>
        <x:v>+60126120779</x:v>
      </x:c>
      <x:c r="E124" s="21" t="str">
        <x:v>+60126120779</x:v>
      </x:c>
      <x:c r="F124" s="21" t="str">
        <x:v>Member</x:v>
      </x:c>
      <x:c r="G124" s="46" t="str">
        <x:f>"60126120779"</x:f>
        <x:v>60126120779</x:v>
      </x:c>
      <x:c r="H124" s="21" t="str">
        <x:v>Yes</x:v>
      </x:c>
      <x:c r="I124" s="21" t="str">
        <x:v>No</x:v>
      </x:c>
      <x:c r="J124" s="21" t="str">
        <x:v>No</x:v>
      </x:c>
      <x:c r="K124" s="21" t="str">
        <x:v>Included</x:v>
      </x:c>
      <x:c r="L124" s="21" t="str">
        <x:v>Peserta</x:v>
      </x:c>
    </x:row>
    <x:row r="125">
      <x:c r="A125" s="21" t="str">
        <x:v>whatsapp_group_numbers eusahawan28 April.csv</x:v>
      </x:c>
      <x:c r="B125" s="21" t="str">
        <x:v>eusahawan28 April</x:v>
      </x:c>
      <x:c r="C125" s="21" t="n">
        <x:v>1</x:v>
      </x:c>
      <x:c r="D125" s="46" t="str">
        <x:f>"+60198754379"</x:f>
        <x:v>+60198754379</x:v>
      </x:c>
      <x:c r="E125" s="21" t="str">
        <x:v>eu rahmat z 060823</x:v>
      </x:c>
      <x:c r="F125" s="21" t="str">
        <x:v>Member</x:v>
      </x:c>
      <x:c r="G125" s="46" t="str">
        <x:f>"60198754379"</x:f>
        <x:v>60198754379</x:v>
      </x:c>
      <x:c r="H125" s="21" t="str">
        <x:v>Yes</x:v>
      </x:c>
      <x:c r="I125" s="21" t="str">
        <x:v>No</x:v>
      </x:c>
      <x:c r="J125" s="21" t="str">
        <x:v>No</x:v>
      </x:c>
      <x:c r="K125" s="21" t="str">
        <x:v>Included</x:v>
      </x:c>
      <x:c r="L125" s="21" t="str">
        <x:v>Peserta</x:v>
      </x:c>
    </x:row>
    <x:row r="126">
      <x:c r="A126" s="21" t="str">
        <x:v>whatsapp_group_numbers eusahawan28 April.csv</x:v>
      </x:c>
      <x:c r="B126" s="21" t="str">
        <x:v>eusahawan28 April</x:v>
      </x:c>
      <x:c r="C126" s="21" t="n">
        <x:v>2</x:v>
      </x:c>
      <x:c r="D126" s="46" t="str">
        <x:f>"+601111929605"</x:f>
        <x:v>+601111929605</x:v>
      </x:c>
      <x:c r="E126" s="21" t="str">
        <x:v>~ROY~</x:v>
      </x:c>
      <x:c r="F126" s="21" t="str">
        <x:v>Member</x:v>
      </x:c>
      <x:c r="G126" s="46" t="str">
        <x:f>"601111929605"</x:f>
        <x:v>601111929605</x:v>
      </x:c>
      <x:c r="H126" s="21" t="str">
        <x:v>Yes</x:v>
      </x:c>
      <x:c r="I126" s="21" t="str">
        <x:v>No</x:v>
      </x:c>
      <x:c r="J126" s="21" t="str">
        <x:v>No</x:v>
      </x:c>
      <x:c r="K126" s="21" t="str">
        <x:v>Included</x:v>
      </x:c>
      <x:c r="L126" s="21" t="str">
        <x:v>Peserta</x:v>
      </x:c>
    </x:row>
    <x:row r="127">
      <x:c r="A127" s="21" t="str">
        <x:v>whatsapp_group_numbers eusahawan28 April.csv</x:v>
      </x:c>
      <x:c r="B127" s="21" t="str">
        <x:v>eusahawan28 April</x:v>
      </x:c>
      <x:c r="C127" s="21" t="n">
        <x:v>3</x:v>
      </x:c>
      <x:c r="D127" s="46" t="str">
        <x:f>"+60135671120"</x:f>
        <x:v>+60135671120</x:v>
      </x:c>
      <x:c r="E127" s="21" t="str">
        <x:v>Afza Shalqimie</x:v>
      </x:c>
      <x:c r="F127" s="21" t="str">
        <x:v>Member</x:v>
      </x:c>
      <x:c r="G127" s="46" t="str">
        <x:f>"60135671120"</x:f>
        <x:v>60135671120</x:v>
      </x:c>
      <x:c r="H127" s="21" t="str">
        <x:v>Yes</x:v>
      </x:c>
      <x:c r="I127" s="21" t="str">
        <x:v>No</x:v>
      </x:c>
      <x:c r="J127" s="21" t="str">
        <x:v>No</x:v>
      </x:c>
      <x:c r="K127" s="21" t="str">
        <x:v>Included</x:v>
      </x:c>
      <x:c r="L127" s="21" t="str">
        <x:v>Peserta</x:v>
      </x:c>
    </x:row>
    <x:row r="128">
      <x:c r="A128" s="21" t="str">
        <x:v>whatsapp_group_numbers eusahawan28 April.csv</x:v>
      </x:c>
      <x:c r="B128" s="21" t="str">
        <x:v>eusahawan28 April</x:v>
      </x:c>
      <x:c r="C128" s="21" t="n">
        <x:v>4</x:v>
      </x:c>
      <x:c r="D128" s="46" t="str">
        <x:f>"+60172341766"</x:f>
        <x:v>+60172341766</x:v>
      </x:c>
      <x:c r="E128" s="21" t="str">
        <x:v>BDI CLAIM ADVISOR</x:v>
      </x:c>
      <x:c r="F128" s="21" t="str">
        <x:v>Member</x:v>
      </x:c>
      <x:c r="G128" s="46" t="str">
        <x:f>"60172341766"</x:f>
        <x:v>60172341766</x:v>
      </x:c>
      <x:c r="H128" s="21" t="str">
        <x:v>Yes</x:v>
      </x:c>
      <x:c r="I128" s="21" t="str">
        <x:v>No</x:v>
      </x:c>
      <x:c r="J128" s="21" t="str">
        <x:v>No</x:v>
      </x:c>
      <x:c r="K128" s="21" t="str">
        <x:v>Included</x:v>
      </x:c>
      <x:c r="L128" s="21" t="str">
        <x:v>Peserta</x:v>
      </x:c>
    </x:row>
    <x:row r="129">
      <x:c r="A129" s="21" t="str">
        <x:v>whatsapp_group_numbers eusahawan28 April.csv</x:v>
      </x:c>
      <x:c r="B129" s="21" t="str">
        <x:v>eusahawan28 April</x:v>
      </x:c>
      <x:c r="C129" s="21" t="n">
        <x:v>5</x:v>
      </x:c>
      <x:c r="D129" s="46" t="str">
        <x:f>"+60137777035"</x:f>
        <x:v>+60137777035</x:v>
      </x:c>
      <x:c r="E129" s="21" t="str">
        <x:v>GUTS EMPIRE</x:v>
      </x:c>
      <x:c r="F129" s="21" t="str">
        <x:v>Member</x:v>
      </x:c>
      <x:c r="G129" s="46" t="str">
        <x:f>"60137777035"</x:f>
        <x:v>60137777035</x:v>
      </x:c>
      <x:c r="H129" s="21" t="str">
        <x:v>Yes</x:v>
      </x:c>
      <x:c r="I129" s="21" t="str">
        <x:v>No</x:v>
      </x:c>
      <x:c r="J129" s="21" t="str">
        <x:v>No</x:v>
      </x:c>
      <x:c r="K129" s="21" t="str">
        <x:v>Included</x:v>
      </x:c>
      <x:c r="L129" s="21" t="str">
        <x:v>Peserta</x:v>
      </x:c>
    </x:row>
    <x:row r="130">
      <x:c r="A130" s="21" t="str">
        <x:v>whatsapp_group_numbers eusahawan28 April.csv</x:v>
      </x:c>
      <x:c r="B130" s="21" t="str">
        <x:v>eusahawan28 April</x:v>
      </x:c>
      <x:c r="C130" s="21" t="n">
        <x:v>6</x:v>
      </x:c>
      <x:c r="D130" s="46" t="str">
        <x:f>"+60102609457"</x:f>
        <x:v>+60102609457</x:v>
      </x:c>
      <x:c r="E130" s="21" t="str">
        <x:v>Najiah Enterprise</x:v>
      </x:c>
      <x:c r="F130" s="21" t="str">
        <x:v>Member</x:v>
      </x:c>
      <x:c r="G130" s="46" t="str">
        <x:f>"60102609457"</x:f>
        <x:v>60102609457</x:v>
      </x:c>
      <x:c r="H130" s="21" t="str">
        <x:v>Yes</x:v>
      </x:c>
      <x:c r="I130" s="21" t="str">
        <x:v>No</x:v>
      </x:c>
      <x:c r="J130" s="21" t="str">
        <x:v>No</x:v>
      </x:c>
      <x:c r="K130" s="21" t="str">
        <x:v>Included</x:v>
      </x:c>
      <x:c r="L130" s="21" t="str">
        <x:v>Peserta</x:v>
      </x:c>
    </x:row>
    <x:row r="131">
      <x:c r="A131" s="21" t="str">
        <x:v>whatsapp_group_numbers eusahawan28 April.csv</x:v>
      </x:c>
      <x:c r="B131" s="21" t="str">
        <x:v>eusahawan28 April</x:v>
      </x:c>
      <x:c r="C131" s="21" t="n">
        <x:v>7</x:v>
      </x:c>
      <x:c r="D131" s="46" t="str">
        <x:f>"+601126852836"</x:f>
        <x:v>+601126852836</x:v>
      </x:c>
      <x:c r="E131" s="21" t="str">
        <x:v>Scoops N Smiles Catering</x:v>
      </x:c>
      <x:c r="F131" s="21" t="str">
        <x:v>Member</x:v>
      </x:c>
      <x:c r="G131" s="46" t="str">
        <x:f>"601126852836"</x:f>
        <x:v>601126852836</x:v>
      </x:c>
      <x:c r="H131" s="21" t="str">
        <x:v>Yes</x:v>
      </x:c>
      <x:c r="I131" s="21" t="str">
        <x:v>No</x:v>
      </x:c>
      <x:c r="J131" s="21" t="str">
        <x:v>No</x:v>
      </x:c>
      <x:c r="K131" s="21" t="str">
        <x:v>Included</x:v>
      </x:c>
      <x:c r="L131" s="21" t="str">
        <x:v>Peserta</x:v>
      </x:c>
    </x:row>
    <x:row r="132">
      <x:c r="A132" s="21" t="str">
        <x:v>whatsapp_group_numbers eusahawan28 April.csv</x:v>
      </x:c>
      <x:c r="B132" s="21" t="str">
        <x:v>eusahawan28 April</x:v>
      </x:c>
      <x:c r="C132" s="21" t="n">
        <x:v>8</x:v>
      </x:c>
      <x:c r="D132" s="46" t="str">
        <x:f>"+60149383028"</x:f>
        <x:v>+60149383028</x:v>
      </x:c>
      <x:c r="E132" s="21" t="str">
        <x:v>+60149383028</x:v>
      </x:c>
      <x:c r="F132" s="21" t="str">
        <x:v>Member</x:v>
      </x:c>
      <x:c r="G132" s="46" t="str">
        <x:f>"60149383028"</x:f>
        <x:v>60149383028</x:v>
      </x:c>
      <x:c r="H132" s="21" t="str">
        <x:v>Yes</x:v>
      </x:c>
      <x:c r="I132" s="21" t="str">
        <x:v>No</x:v>
      </x:c>
      <x:c r="J132" s="21" t="str">
        <x:v>No</x:v>
      </x:c>
      <x:c r="K132" s="21" t="str">
        <x:v>Included</x:v>
      </x:c>
      <x:c r="L132" s="21" t="str">
        <x:v>Peserta</x:v>
      </x:c>
    </x:row>
    <x:row r="133">
      <x:c r="A133" s="21" t="str">
        <x:v>whatsapp_group_numbers eusahawan28 April.csv</x:v>
      </x:c>
      <x:c r="B133" s="21" t="str">
        <x:v>eusahawan28 April</x:v>
      </x:c>
      <x:c r="C133" s="21" t="n">
        <x:v>9</x:v>
      </x:c>
      <x:c r="D133" s="46" t="str">
        <x:f>"+601129828342"</x:f>
        <x:v>+601129828342</x:v>
      </x:c>
      <x:c r="E133" s="21" t="str">
        <x:v>+601129828342</x:v>
      </x:c>
      <x:c r="F133" s="21" t="str">
        <x:v>Member</x:v>
      </x:c>
      <x:c r="G133" s="46" t="str">
        <x:f>"601129828342"</x:f>
        <x:v>601129828342</x:v>
      </x:c>
      <x:c r="H133" s="21" t="str">
        <x:v>Yes</x:v>
      </x:c>
      <x:c r="I133" s="21" t="str">
        <x:v>No</x:v>
      </x:c>
      <x:c r="J133" s="21" t="str">
        <x:v>No</x:v>
      </x:c>
      <x:c r="K133" s="21" t="str">
        <x:v>Included</x:v>
      </x:c>
      <x:c r="L133" s="21" t="str">
        <x:v>Peserta</x:v>
      </x:c>
    </x:row>
    <x:row r="134">
      <x:c r="A134" s="21" t="str">
        <x:v>whatsapp_group_numbers eusahawan28 April.csv</x:v>
      </x:c>
      <x:c r="B134" s="21" t="str">
        <x:v>eusahawan28 April</x:v>
      </x:c>
      <x:c r="C134" s="21" t="n">
        <x:v>10</x:v>
      </x:c>
      <x:c r="D134" s="46" t="str">
        <x:f>"+60137178414"</x:f>
        <x:v>+60137178414</x:v>
      </x:c>
      <x:c r="E134" s="21" t="str">
        <x:v>+60137178414</x:v>
      </x:c>
      <x:c r="F134" s="21" t="str">
        <x:v>Member</x:v>
      </x:c>
      <x:c r="G134" s="46" t="str">
        <x:f>"60137178414"</x:f>
        <x:v>60137178414</x:v>
      </x:c>
      <x:c r="H134" s="21" t="str">
        <x:v>Yes</x:v>
      </x:c>
      <x:c r="I134" s="21" t="str">
        <x:v>No</x:v>
      </x:c>
      <x:c r="J134" s="21" t="str">
        <x:v>No</x:v>
      </x:c>
      <x:c r="K134" s="21" t="str">
        <x:v>Included</x:v>
      </x:c>
      <x:c r="L134" s="21" t="str">
        <x:v>Peserta</x:v>
      </x:c>
    </x:row>
    <x:row r="135">
      <x:c r="A135" s="21" t="str">
        <x:v>whatsapp_group_numbers eusahawan28 April.csv</x:v>
      </x:c>
      <x:c r="B135" s="21" t="str">
        <x:v>eusahawan28 April</x:v>
      </x:c>
      <x:c r="C135" s="21" t="n">
        <x:v>11</x:v>
      </x:c>
      <x:c r="D135" s="46" t="str">
        <x:f>"+60163945363"</x:f>
        <x:v>+60163945363</x:v>
      </x:c>
      <x:c r="E135" s="21" t="str">
        <x:v>+60163945363</x:v>
      </x:c>
      <x:c r="F135" s="21" t="str">
        <x:v>Member</x:v>
      </x:c>
      <x:c r="G135" s="46" t="str">
        <x:f>"60163945363"</x:f>
        <x:v>60163945363</x:v>
      </x:c>
      <x:c r="H135" s="21" t="str">
        <x:v>Yes</x:v>
      </x:c>
      <x:c r="I135" s="21" t="str">
        <x:v>No</x:v>
      </x:c>
      <x:c r="J135" s="21" t="str">
        <x:v>No</x:v>
      </x:c>
      <x:c r="K135" s="21" t="str">
        <x:v>Included</x:v>
      </x:c>
      <x:c r="L135" s="21" t="str">
        <x:v>Peserta</x:v>
      </x:c>
    </x:row>
    <x:row r="136">
      <x:c r="A136" s="21" t="str">
        <x:v>whatsapp_group_numbers eusahawan28 April.csv</x:v>
      </x:c>
      <x:c r="B136" s="21" t="str">
        <x:v>eusahawan28 April</x:v>
      </x:c>
      <x:c r="C136" s="21" t="n">
        <x:v>12</x:v>
      </x:c>
      <x:c r="D136" s="46" t="str">
        <x:f>"+60138813774"</x:f>
        <x:v>+60138813774</x:v>
      </x:c>
      <x:c r="E136" s="21" t="str">
        <x:v>+60138813774</x:v>
      </x:c>
      <x:c r="F136" s="21" t="str">
        <x:v>Member</x:v>
      </x:c>
      <x:c r="G136" s="46" t="str">
        <x:f>"60138813774"</x:f>
        <x:v>60138813774</x:v>
      </x:c>
      <x:c r="H136" s="21" t="str">
        <x:v>Yes</x:v>
      </x:c>
      <x:c r="I136" s="21" t="str">
        <x:v>No</x:v>
      </x:c>
      <x:c r="J136" s="21" t="str">
        <x:v>No</x:v>
      </x:c>
      <x:c r="K136" s="21" t="str">
        <x:v>Included</x:v>
      </x:c>
      <x:c r="L136" s="21" t="str">
        <x:v>Peserta</x:v>
      </x:c>
    </x:row>
    <x:row r="137">
      <x:c r="A137" s="21" t="str">
        <x:v>whatsapp_group_numbers eusahawan28 April.csv</x:v>
      </x:c>
      <x:c r="B137" s="21" t="str">
        <x:v>eusahawan28 April</x:v>
      </x:c>
      <x:c r="C137" s="21" t="n">
        <x:v>13</x:v>
      </x:c>
      <x:c r="D137" s="46" t="str">
        <x:f>"+60103642771"</x:f>
        <x:v>+60103642771</x:v>
      </x:c>
      <x:c r="E137" s="21" t="str">
        <x:v>+60103642771</x:v>
      </x:c>
      <x:c r="F137" s="21" t="str">
        <x:v>Member</x:v>
      </x:c>
      <x:c r="G137" s="46" t="str">
        <x:f>"60103642771"</x:f>
        <x:v>60103642771</x:v>
      </x:c>
      <x:c r="H137" s="21" t="str">
        <x:v>Yes</x:v>
      </x:c>
      <x:c r="I137" s="21" t="str">
        <x:v>No</x:v>
      </x:c>
      <x:c r="J137" s="21" t="str">
        <x:v>No</x:v>
      </x:c>
      <x:c r="K137" s="21" t="str">
        <x:v>Included</x:v>
      </x:c>
      <x:c r="L137" s="21" t="str">
        <x:v>Peserta</x:v>
      </x:c>
    </x:row>
    <x:row r="138">
      <x:c r="A138" s="21" t="str">
        <x:v>whatsapp_group_numbers eusahawan28 April.csv</x:v>
      </x:c>
      <x:c r="B138" s="21" t="str">
        <x:v>eusahawan28 April</x:v>
      </x:c>
      <x:c r="C138" s="21" t="n">
        <x:v>14</x:v>
      </x:c>
      <x:c r="D138" s="46" t="str">
        <x:f>"+60168000823"</x:f>
        <x:v>+60168000823</x:v>
      </x:c>
      <x:c r="E138" s="21" t="str">
        <x:v>+60168000823</x:v>
      </x:c>
      <x:c r="F138" s="21" t="str">
        <x:v>Member</x:v>
      </x:c>
      <x:c r="G138" s="46" t="str">
        <x:f>"60168000823"</x:f>
        <x:v>60168000823</x:v>
      </x:c>
      <x:c r="H138" s="21" t="str">
        <x:v>Yes</x:v>
      </x:c>
      <x:c r="I138" s="21" t="str">
        <x:v>No</x:v>
      </x:c>
      <x:c r="J138" s="21" t="str">
        <x:v>No</x:v>
      </x:c>
      <x:c r="K138" s="21" t="str">
        <x:v>Included</x:v>
      </x:c>
      <x:c r="L138" s="21" t="str">
        <x:v>Peserta</x:v>
      </x:c>
    </x:row>
    <x:row r="139">
      <x:c r="A139" s="21" t="str">
        <x:v>whatsapp_group_numbers eusahawan28 April.csv</x:v>
      </x:c>
      <x:c r="B139" s="21" t="str">
        <x:v>eusahawan28 April</x:v>
      </x:c>
      <x:c r="C139" s="21" t="n">
        <x:v>15</x:v>
      </x:c>
      <x:c r="D139" s="46" t="str">
        <x:f>"+60177806027"</x:f>
        <x:v>+60177806027</x:v>
      </x:c>
      <x:c r="E139" s="21" t="str">
        <x:v>+60177806027</x:v>
      </x:c>
      <x:c r="F139" s="21" t="str">
        <x:v>Member</x:v>
      </x:c>
      <x:c r="G139" s="46" t="str">
        <x:f>"60177806027"</x:f>
        <x:v>60177806027</x:v>
      </x:c>
      <x:c r="H139" s="21" t="str">
        <x:v>Yes</x:v>
      </x:c>
      <x:c r="I139" s="21" t="str">
        <x:v>No</x:v>
      </x:c>
      <x:c r="J139" s="21" t="str">
        <x:v>No</x:v>
      </x:c>
      <x:c r="K139" s="21" t="str">
        <x:v>Included</x:v>
      </x:c>
      <x:c r="L139" s="21" t="str">
        <x:v>Peserta</x:v>
      </x:c>
    </x:row>
    <x:row r="140">
      <x:c r="A140" s="21" t="str">
        <x:v>whatsapp_group_numbers GARAJ WANG.csv</x:v>
      </x:c>
      <x:c r="B140" s="21" t="str">
        <x:v>GARAJ WANG</x:v>
      </x:c>
      <x:c r="C140" s="21" t="n">
        <x:v>1</x:v>
      </x:c>
      <x:c r="D140" s="46" t="str">
        <x:f>"+60133815817"</x:f>
        <x:v>+60133815817</x:v>
      </x:c>
      <x:c r="E140" s="21" t="str">
        <x:v>Kamarul Bahareen Kamarudin</x:v>
      </x:c>
      <x:c r="F140" s="21" t="str">
        <x:v>Member</x:v>
      </x:c>
      <x:c r="G140" s="46" t="str">
        <x:f>"60133815817"</x:f>
        <x:v>60133815817</x:v>
      </x:c>
      <x:c r="H140" s="21" t="str">
        <x:v>Yes</x:v>
      </x:c>
      <x:c r="I140" s="21" t="str">
        <x:v>No</x:v>
      </x:c>
      <x:c r="J140" s="21" t="str">
        <x:v>No</x:v>
      </x:c>
      <x:c r="K140" s="21" t="str">
        <x:v>Excluded</x:v>
      </x:c>
      <x:c r="L140" s="21" t="str">
        <x:v>Pemilik/trainer</x:v>
      </x:c>
    </x:row>
    <x:row r="141">
      <x:c r="A141" s="21" t="str">
        <x:v>whatsapp_group_numbers GARAJ WANG.csv</x:v>
      </x:c>
      <x:c r="B141" s="21" t="str">
        <x:v>GARAJ WANG</x:v>
      </x:c>
      <x:c r="C141" s="21" t="n">
        <x:v>2</x:v>
      </x:c>
      <x:c r="D141" s="46" t="str">
        <x:f>"+60123114040"</x:f>
        <x:v>+60123114040</x:v>
      </x:c>
      <x:c r="E141" s="21" t="str">
        <x:v>Nina Salleh</x:v>
      </x:c>
      <x:c r="F141" s="21" t="str">
        <x:v>Member</x:v>
      </x:c>
      <x:c r="G141" s="46" t="str">
        <x:f>"60123114040"</x:f>
        <x:v>60123114040</x:v>
      </x:c>
      <x:c r="H141" s="21" t="str">
        <x:v>Yes</x:v>
      </x:c>
      <x:c r="I141" s="21" t="str">
        <x:v>No</x:v>
      </x:c>
      <x:c r="J141" s="21" t="str">
        <x:v>No</x:v>
      </x:c>
      <x:c r="K141" s="21" t="str">
        <x:v>Included</x:v>
      </x:c>
      <x:c r="L141" s="21" t="str">
        <x:v>Peserta</x:v>
      </x:c>
    </x:row>
    <x:row r="142">
      <x:c r="A142" s="21" t="str">
        <x:v>whatsapp_group_numbers GARAJ WANG.csv</x:v>
      </x:c>
      <x:c r="B142" s="21" t="str">
        <x:v>GARAJ WANG</x:v>
      </x:c>
      <x:c r="C142" s="21" t="n">
        <x:v>3</x:v>
      </x:c>
      <x:c r="D142" s="46" t="str">
        <x:f>"+60198807810"</x:f>
        <x:v>+60198807810</x:v>
      </x:c>
      <x:c r="E142" s="21" t="str">
        <x:v>+60198807810</x:v>
      </x:c>
      <x:c r="F142" s="21" t="str">
        <x:v>Member</x:v>
      </x:c>
      <x:c r="G142" s="46" t="str">
        <x:f>"60198807810"</x:f>
        <x:v>60198807810</x:v>
      </x:c>
      <x:c r="H142" s="21" t="str">
        <x:v>Yes</x:v>
      </x:c>
      <x:c r="I142" s="21" t="str">
        <x:v>No</x:v>
      </x:c>
      <x:c r="J142" s="21" t="str">
        <x:v>No</x:v>
      </x:c>
      <x:c r="K142" s="21" t="str">
        <x:v>Included</x:v>
      </x:c>
      <x:c r="L142" s="21" t="str">
        <x:v>Peserta</x:v>
      </x:c>
    </x:row>
    <x:row r="143">
      <x:c r="A143" s="21" t="str">
        <x:v>whatsapp_group_numbers GARAJ WANG.csv</x:v>
      </x:c>
      <x:c r="B143" s="21" t="str">
        <x:v>GARAJ WANG</x:v>
      </x:c>
      <x:c r="C143" s="21" t="n">
        <x:v>4</x:v>
      </x:c>
      <x:c r="D143" s="46" t="str">
        <x:f>"+60192323711"</x:f>
        <x:v>+60192323711</x:v>
      </x:c>
      <x:c r="E143" s="21" t="str">
        <x:v>+60192323711</x:v>
      </x:c>
      <x:c r="F143" s="21" t="str">
        <x:v>Member</x:v>
      </x:c>
      <x:c r="G143" s="46" t="str">
        <x:f>"60192323711"</x:f>
        <x:v>60192323711</x:v>
      </x:c>
      <x:c r="H143" s="21" t="str">
        <x:v>Yes</x:v>
      </x:c>
      <x:c r="I143" s="21" t="str">
        <x:v>No</x:v>
      </x:c>
      <x:c r="J143" s="21" t="str">
        <x:v>No</x:v>
      </x:c>
      <x:c r="K143" s="21" t="str">
        <x:v>Included</x:v>
      </x:c>
      <x:c r="L143" s="21" t="str">
        <x:v>Peserta</x:v>
      </x:c>
    </x:row>
    <x:row r="144">
      <x:c r="A144" s="21" t="str">
        <x:v>whatsapp_group_numbers group digital products.csv</x:v>
      </x:c>
      <x:c r="B144" s="21" t="str">
        <x:v>group digital products</x:v>
      </x:c>
      <x:c r="C144" s="21" t="n">
        <x:v>1</x:v>
      </x:c>
      <x:c r="D144" s="46" t="str">
        <x:f>"+60196634527"</x:f>
        <x:v>+60196634527</x:v>
      </x:c>
      <x:c r="E144" s="21" t="str">
        <x:v>Dato Hifdzi Hamzah Al Qadiry</x:v>
      </x:c>
      <x:c r="F144" s="21" t="str">
        <x:v>Member</x:v>
      </x:c>
      <x:c r="G144" s="46" t="str">
        <x:f>"60196634527"</x:f>
        <x:v>60196634527</x:v>
      </x:c>
      <x:c r="H144" s="21" t="str">
        <x:v>Yes</x:v>
      </x:c>
      <x:c r="I144" s="21" t="str">
        <x:v>No</x:v>
      </x:c>
      <x:c r="J144" s="21" t="str">
        <x:v>No</x:v>
      </x:c>
      <x:c r="K144" s="21" t="str">
        <x:v>Excluded</x:v>
      </x:c>
      <x:c r="L144" s="21" t="str">
        <x:v>Senarai pengecualian manual pengguna</x:v>
      </x:c>
    </x:row>
    <x:row r="145">
      <x:c r="A145" s="21" t="str">
        <x:v>whatsapp_group_numbers group digital products.csv</x:v>
      </x:c>
      <x:c r="B145" s="21" t="str">
        <x:v>group digital products</x:v>
      </x:c>
      <x:c r="C145" s="21" t="n">
        <x:v>2</x:v>
      </x:c>
      <x:c r="D145" s="46" t="str">
        <x:f>"+60126207906"</x:f>
        <x:v>+60126207906</x:v>
      </x:c>
      <x:c r="E145" s="21" t="str">
        <x:v>Farly Burhan Sifu Website</x:v>
      </x:c>
      <x:c r="F145" s="21" t="str">
        <x:v>Member</x:v>
      </x:c>
      <x:c r="G145" s="46" t="str">
        <x:f>"60126207906"</x:f>
        <x:v>60126207906</x:v>
      </x:c>
      <x:c r="H145" s="21" t="str">
        <x:v>Yes</x:v>
      </x:c>
      <x:c r="I145" s="21" t="str">
        <x:v>No</x:v>
      </x:c>
      <x:c r="J145" s="21" t="str">
        <x:v>No</x:v>
      </x:c>
      <x:c r="K145" s="21" t="str">
        <x:v>Included</x:v>
      </x:c>
      <x:c r="L145" s="21" t="str">
        <x:v>Peserta</x:v>
      </x:c>
    </x:row>
    <x:row r="146">
      <x:c r="A146" s="21" t="str">
        <x:v>whatsapp_group_numbers group digital products.csv</x:v>
      </x:c>
      <x:c r="B146" s="21" t="str">
        <x:v>group digital products</x:v>
      </x:c>
      <x:c r="C146" s="21" t="n">
        <x:v>3</x:v>
      </x:c>
      <x:c r="D146" s="46" t="str">
        <x:f>"+60133815817"</x:f>
        <x:v>+60133815817</x:v>
      </x:c>
      <x:c r="E146" s="21" t="str">
        <x:v>Kamarul Bahareen Kamarudin</x:v>
      </x:c>
      <x:c r="F146" s="21" t="str">
        <x:v>Member</x:v>
      </x:c>
      <x:c r="G146" s="46" t="str">
        <x:f>"60133815817"</x:f>
        <x:v>60133815817</x:v>
      </x:c>
      <x:c r="H146" s="21" t="str">
        <x:v>Yes</x:v>
      </x:c>
      <x:c r="I146" s="21" t="str">
        <x:v>No</x:v>
      </x:c>
      <x:c r="J146" s="21" t="str">
        <x:v>No</x:v>
      </x:c>
      <x:c r="K146" s="21" t="str">
        <x:v>Excluded</x:v>
      </x:c>
      <x:c r="L146" s="21" t="str">
        <x:v>Pemilik/trainer</x:v>
      </x:c>
    </x:row>
    <x:row r="147">
      <x:c r="A147" s="21" t="str">
        <x:v>whatsapp_group_numbers group digital products.csv</x:v>
      </x:c>
      <x:c r="B147" s="21" t="str">
        <x:v>group digital products</x:v>
      </x:c>
      <x:c r="C147" s="21" t="n">
        <x:v>4</x:v>
      </x:c>
      <x:c r="D147" s="46" t="str">
        <x:f>"+60193434856"</x:f>
        <x:v>+60193434856</x:v>
      </x:c>
      <x:c r="E147" s="21" t="str">
        <x:v>Nik Azim</x:v>
      </x:c>
      <x:c r="F147" s="21" t="str">
        <x:v>Member</x:v>
      </x:c>
      <x:c r="G147" s="46" t="str">
        <x:f>"60193434856"</x:f>
        <x:v>60193434856</x:v>
      </x:c>
      <x:c r="H147" s="21" t="str">
        <x:v>Yes</x:v>
      </x:c>
      <x:c r="I147" s="21" t="str">
        <x:v>No</x:v>
      </x:c>
      <x:c r="J147" s="21" t="str">
        <x:v>No</x:v>
      </x:c>
      <x:c r="K147" s="21" t="str">
        <x:v>Included</x:v>
      </x:c>
      <x:c r="L147" s="21" t="str">
        <x:v>Peserta</x:v>
      </x:c>
    </x:row>
    <x:row r="148">
      <x:c r="A148" s="21" t="str">
        <x:v>whatsapp_group_numbers group digital products.csv</x:v>
      </x:c>
      <x:c r="B148" s="21" t="str">
        <x:v>group digital products</x:v>
      </x:c>
      <x:c r="C148" s="21" t="n">
        <x:v>5</x:v>
      </x:c>
      <x:c r="D148" s="46" t="str">
        <x:f>"+60173822117"</x:f>
        <x:v>+60173822117</x:v>
      </x:c>
      <x:c r="E148" s="21" t="str">
        <x:v>azah sugar planet</x:v>
      </x:c>
      <x:c r="F148" s="21" t="str">
        <x:v>Member</x:v>
      </x:c>
      <x:c r="G148" s="46" t="str">
        <x:f>"60173822117"</x:f>
        <x:v>60173822117</x:v>
      </x:c>
      <x:c r="H148" s="21" t="str">
        <x:v>Yes</x:v>
      </x:c>
      <x:c r="I148" s="21" t="str">
        <x:v>No</x:v>
      </x:c>
      <x:c r="J148" s="21" t="str">
        <x:v>No</x:v>
      </x:c>
      <x:c r="K148" s="21" t="str">
        <x:v>Included</x:v>
      </x:c>
      <x:c r="L148" s="21" t="str">
        <x:v>Peserta</x:v>
      </x:c>
    </x:row>
    <x:row r="149">
      <x:c r="A149" s="21" t="str">
        <x:v>whatsapp_group_numbers group digital products.csv</x:v>
      </x:c>
      <x:c r="B149" s="21" t="str">
        <x:v>group digital products</x:v>
      </x:c>
      <x:c r="C149" s="21" t="n">
        <x:v>6</x:v>
      </x:c>
      <x:c r="D149" s="46" t="str">
        <x:f>"+60193757542"</x:f>
        <x:v>+60193757542</x:v>
      </x:c>
      <x:c r="E149" s="21" t="str">
        <x:v>Norafni A Shani</x:v>
      </x:c>
      <x:c r="F149" s="21" t="str">
        <x:v>Member</x:v>
      </x:c>
      <x:c r="G149" s="46" t="str">
        <x:f>"60193757542"</x:f>
        <x:v>60193757542</x:v>
      </x:c>
      <x:c r="H149" s="21" t="str">
        <x:v>Yes</x:v>
      </x:c>
      <x:c r="I149" s="21" t="str">
        <x:v>No</x:v>
      </x:c>
      <x:c r="J149" s="21" t="str">
        <x:v>No</x:v>
      </x:c>
      <x:c r="K149" s="21" t="str">
        <x:v>Included</x:v>
      </x:c>
      <x:c r="L149" s="21" t="str">
        <x:v>Peserta</x:v>
      </x:c>
    </x:row>
    <x:row r="150">
      <x:c r="A150" s="21" t="str">
        <x:v>whatsapp_group_numbers group digital products.csv</x:v>
      </x:c>
      <x:c r="B150" s="21" t="str">
        <x:v>group digital products</x:v>
      </x:c>
      <x:c r="C150" s="21" t="n">
        <x:v>7</x:v>
      </x:c>
      <x:c r="D150" s="46" t="str">
        <x:f>"+60124913454"</x:f>
        <x:v>+60124913454</x:v>
      </x:c>
      <x:c r="E150" s="21" t="str">
        <x:v>+60124913454</x:v>
      </x:c>
      <x:c r="F150" s="21" t="str">
        <x:v>Member</x:v>
      </x:c>
      <x:c r="G150" s="46" t="str">
        <x:f>"60124913454"</x:f>
        <x:v>60124913454</x:v>
      </x:c>
      <x:c r="H150" s="21" t="str">
        <x:v>Yes</x:v>
      </x:c>
      <x:c r="I150" s="21" t="str">
        <x:v>No</x:v>
      </x:c>
      <x:c r="J150" s="21" t="str">
        <x:v>No</x:v>
      </x:c>
      <x:c r="K150" s="21" t="str">
        <x:v>Included</x:v>
      </x:c>
      <x:c r="L150" s="21" t="str">
        <x:v>Peserta</x:v>
      </x:c>
    </x:row>
    <x:row r="151">
      <x:c r="A151" s="21" t="str">
        <x:v>whatsapp_group_numbers group digital products.csv</x:v>
      </x:c>
      <x:c r="B151" s="21" t="str">
        <x:v>group digital products</x:v>
      </x:c>
      <x:c r="C151" s="21" t="n">
        <x:v>8</x:v>
      </x:c>
      <x:c r="D151" s="46" t="str">
        <x:f>"+60199255515"</x:f>
        <x:v>+60199255515</x:v>
      </x:c>
      <x:c r="E151" s="21" t="str">
        <x:v>+60199255515</x:v>
      </x:c>
      <x:c r="F151" s="21" t="str">
        <x:v>Member</x:v>
      </x:c>
      <x:c r="G151" s="46" t="str">
        <x:f>"60199255515"</x:f>
        <x:v>60199255515</x:v>
      </x:c>
      <x:c r="H151" s="21" t="str">
        <x:v>Yes</x:v>
      </x:c>
      <x:c r="I151" s="21" t="str">
        <x:v>No</x:v>
      </x:c>
      <x:c r="J151" s="21" t="str">
        <x:v>No</x:v>
      </x:c>
      <x:c r="K151" s="21" t="str">
        <x:v>Included</x:v>
      </x:c>
      <x:c r="L151" s="21" t="str">
        <x:v>Peserta</x:v>
      </x:c>
    </x:row>
    <x:row r="152">
      <x:c r="A152" s="21" t="str">
        <x:v>whatsapp_group_numbers group digital products.csv</x:v>
      </x:c>
      <x:c r="B152" s="21" t="str">
        <x:v>group digital products</x:v>
      </x:c>
      <x:c r="C152" s="21" t="n">
        <x:v>9</x:v>
      </x:c>
      <x:c r="D152" s="46" t="str">
        <x:f>"+60124315349"</x:f>
        <x:v>+60124315349</x:v>
      </x:c>
      <x:c r="E152" s="21" t="str">
        <x:v>+60124315349</x:v>
      </x:c>
      <x:c r="F152" s="21" t="str">
        <x:v>Member</x:v>
      </x:c>
      <x:c r="G152" s="46" t="str">
        <x:f>"60124315349"</x:f>
        <x:v>60124315349</x:v>
      </x:c>
      <x:c r="H152" s="21" t="str">
        <x:v>Yes</x:v>
      </x:c>
      <x:c r="I152" s="21" t="str">
        <x:v>No</x:v>
      </x:c>
      <x:c r="J152" s="21" t="str">
        <x:v>No</x:v>
      </x:c>
      <x:c r="K152" s="21" t="str">
        <x:v>Included</x:v>
      </x:c>
      <x:c r="L152" s="21" t="str">
        <x:v>Peserta</x:v>
      </x:c>
    </x:row>
    <x:row r="153">
      <x:c r="A153" s="21" t="str">
        <x:v>whatsapp_group_numbers group digital products.csv</x:v>
      </x:c>
      <x:c r="B153" s="21" t="str">
        <x:v>group digital products</x:v>
      </x:c>
      <x:c r="C153" s="21" t="n">
        <x:v>10</x:v>
      </x:c>
      <x:c r="D153" s="46" t="str">
        <x:f>"+60122689608"</x:f>
        <x:v>+60122689608</x:v>
      </x:c>
      <x:c r="E153" s="21" t="str">
        <x:v>+60122689608</x:v>
      </x:c>
      <x:c r="F153" s="21" t="str">
        <x:v>Member</x:v>
      </x:c>
      <x:c r="G153" s="46" t="str">
        <x:f>"60122689608"</x:f>
        <x:v>60122689608</x:v>
      </x:c>
      <x:c r="H153" s="21" t="str">
        <x:v>Yes</x:v>
      </x:c>
      <x:c r="I153" s="21" t="str">
        <x:v>No</x:v>
      </x:c>
      <x:c r="J153" s="21" t="str">
        <x:v>No</x:v>
      </x:c>
      <x:c r="K153" s="21" t="str">
        <x:v>Included</x:v>
      </x:c>
      <x:c r="L153" s="21" t="str">
        <x:v>Peserta</x:v>
      </x:c>
    </x:row>
    <x:row r="154">
      <x:c r="A154" s="21" t="str">
        <x:v>whatsapp_group_numbers group digital products.csv</x:v>
      </x:c>
      <x:c r="B154" s="21" t="str">
        <x:v>group digital products</x:v>
      </x:c>
      <x:c r="C154" s="21" t="n">
        <x:v>11</x:v>
      </x:c>
      <x:c r="D154" s="46" t="str">
        <x:f>"+60192350814"</x:f>
        <x:v>+60192350814</x:v>
      </x:c>
      <x:c r="E154" s="21" t="str">
        <x:v>+60192350814</x:v>
      </x:c>
      <x:c r="F154" s="21" t="str">
        <x:v>Member</x:v>
      </x:c>
      <x:c r="G154" s="46" t="str">
        <x:f>"60192350814"</x:f>
        <x:v>60192350814</x:v>
      </x:c>
      <x:c r="H154" s="21" t="str">
        <x:v>Yes</x:v>
      </x:c>
      <x:c r="I154" s="21" t="str">
        <x:v>No</x:v>
      </x:c>
      <x:c r="J154" s="21" t="str">
        <x:v>No</x:v>
      </x:c>
      <x:c r="K154" s="21" t="str">
        <x:v>Included</x:v>
      </x:c>
      <x:c r="L154" s="21" t="str">
        <x:v>Peserta</x:v>
      </x:c>
    </x:row>
    <x:row r="155">
      <x:c r="A155" s="21" t="str">
        <x:v>whatsapp_group_numbers group digital products.csv</x:v>
      </x:c>
      <x:c r="B155" s="21" t="str">
        <x:v>group digital products</x:v>
      </x:c>
      <x:c r="C155" s="21" t="n">
        <x:v>12</x:v>
      </x:c>
      <x:c r="D155" s="46" t="str">
        <x:f>"+60196265918"</x:f>
        <x:v>+60196265918</x:v>
      </x:c>
      <x:c r="E155" s="21" t="str">
        <x:v>+60196265918</x:v>
      </x:c>
      <x:c r="F155" s="21" t="str">
        <x:v>Member</x:v>
      </x:c>
      <x:c r="G155" s="46" t="str">
        <x:f>"60196265918"</x:f>
        <x:v>60196265918</x:v>
      </x:c>
      <x:c r="H155" s="21" t="str">
        <x:v>Yes</x:v>
      </x:c>
      <x:c r="I155" s="21" t="str">
        <x:v>No</x:v>
      </x:c>
      <x:c r="J155" s="21" t="str">
        <x:v>No</x:v>
      </x:c>
      <x:c r="K155" s="21" t="str">
        <x:v>Included</x:v>
      </x:c>
      <x:c r="L155" s="21" t="str">
        <x:v>Peserta</x:v>
      </x:c>
    </x:row>
    <x:row r="156">
      <x:c r="A156" s="21" t="str">
        <x:v>whatsapp_group_numbers group digital products.csv</x:v>
      </x:c>
      <x:c r="B156" s="21" t="str">
        <x:v>group digital products</x:v>
      </x:c>
      <x:c r="C156" s="21" t="n">
        <x:v>13</x:v>
      </x:c>
      <x:c r="D156" s="46" t="str">
        <x:f>"+6598315891"</x:f>
        <x:v>+6598315891</x:v>
      </x:c>
      <x:c r="E156" s="21" t="str">
        <x:v>+6598315891</x:v>
      </x:c>
      <x:c r="F156" s="21" t="str">
        <x:v>Member</x:v>
      </x:c>
      <x:c r="G156" s="46" t="str">
        <x:f>"6598315891"</x:f>
        <x:v>6598315891</x:v>
      </x:c>
      <x:c r="H156" s="21" t="str">
        <x:v>No</x:v>
      </x:c>
      <x:c r="I156" s="21" t="str">
        <x:v>No</x:v>
      </x:c>
      <x:c r="J156" s="21" t="str">
        <x:v>No</x:v>
      </x:c>
      <x:c r="K156" s="21" t="str">
        <x:v>Excluded</x:v>
      </x:c>
      <x:c r="L156" s="21" t="str">
        <x:v>Nombor tidak sah</x:v>
      </x:c>
    </x:row>
    <x:row r="157">
      <x:c r="A157" s="21" t="str">
        <x:v>whatsapp_group_numbers group digital products.csv</x:v>
      </x:c>
      <x:c r="B157" s="21" t="str">
        <x:v>group digital products</x:v>
      </x:c>
      <x:c r="C157" s="21" t="n">
        <x:v>14</x:v>
      </x:c>
      <x:c r="D157" s="46" t="str">
        <x:f>"+60193154251"</x:f>
        <x:v>+60193154251</x:v>
      </x:c>
      <x:c r="E157" s="21" t="str">
        <x:v>+60193154251</x:v>
      </x:c>
      <x:c r="F157" s="21" t="str">
        <x:v>Member</x:v>
      </x:c>
      <x:c r="G157" s="46" t="str">
        <x:f>"60193154251"</x:f>
        <x:v>60193154251</x:v>
      </x:c>
      <x:c r="H157" s="21" t="str">
        <x:v>Yes</x:v>
      </x:c>
      <x:c r="I157" s="21" t="str">
        <x:v>No</x:v>
      </x:c>
      <x:c r="J157" s="21" t="str">
        <x:v>No</x:v>
      </x:c>
      <x:c r="K157" s="21" t="str">
        <x:v>Included</x:v>
      </x:c>
      <x:c r="L157" s="21" t="str">
        <x:v>Peserta</x:v>
      </x:c>
    </x:row>
    <x:row r="158">
      <x:c r="A158" s="21" t="str">
        <x:v>whatsapp_group_numbers GROUP SEMBANG MALAM.csv</x:v>
      </x:c>
      <x:c r="B158" s="21" t="str">
        <x:v>GROUP SEMBANG MALAM</x:v>
      </x:c>
      <x:c r="C158" s="21" t="n">
        <x:v>1</x:v>
      </x:c>
      <x:c r="D158" s="46" t="str">
        <x:f>"+60133934121"</x:f>
        <x:v>+60133934121</x:v>
      </x:c>
      <x:c r="E158" s="21" t="str">
        <x:v>eu hanee harun z 060823</x:v>
      </x:c>
      <x:c r="F158" s="21" t="str">
        <x:v>Member</x:v>
      </x:c>
      <x:c r="G158" s="46" t="str">
        <x:f>"60133934121"</x:f>
        <x:v>60133934121</x:v>
      </x:c>
      <x:c r="H158" s="21" t="str">
        <x:v>Yes</x:v>
      </x:c>
      <x:c r="I158" s="21" t="str">
        <x:v>No</x:v>
      </x:c>
      <x:c r="J158" s="21" t="str">
        <x:v>No</x:v>
      </x:c>
      <x:c r="K158" s="21" t="str">
        <x:v>Included</x:v>
      </x:c>
      <x:c r="L158" s="21" t="str">
        <x:v>Peserta</x:v>
      </x:c>
    </x:row>
    <x:row r="159">
      <x:c r="A159" s="21" t="str">
        <x:v>whatsapp_group_numbers GROUP SEMBANG MALAM.csv</x:v>
      </x:c>
      <x:c r="B159" s="21" t="str">
        <x:v>GROUP SEMBANG MALAM</x:v>
      </x:c>
      <x:c r="C159" s="21" t="n">
        <x:v>2</x:v>
      </x:c>
      <x:c r="D159" s="46" t="str">
        <x:f>"+60133815817"</x:f>
        <x:v>+60133815817</x:v>
      </x:c>
      <x:c r="E159" s="21" t="str">
        <x:v>Kamarul Bahareen Kamarudin</x:v>
      </x:c>
      <x:c r="F159" s="21" t="str">
        <x:v>Member</x:v>
      </x:c>
      <x:c r="G159" s="46" t="str">
        <x:f>"60133815817"</x:f>
        <x:v>60133815817</x:v>
      </x:c>
      <x:c r="H159" s="21" t="str">
        <x:v>Yes</x:v>
      </x:c>
      <x:c r="I159" s="21" t="str">
        <x:v>No</x:v>
      </x:c>
      <x:c r="J159" s="21" t="str">
        <x:v>No</x:v>
      </x:c>
      <x:c r="K159" s="21" t="str">
        <x:v>Excluded</x:v>
      </x:c>
      <x:c r="L159" s="21" t="str">
        <x:v>Pemilik/trainer</x:v>
      </x:c>
    </x:row>
    <x:row r="160">
      <x:c r="A160" s="21" t="str">
        <x:v>whatsapp_group_numbers GROUP SEMBANG MALAM.csv</x:v>
      </x:c>
      <x:c r="B160" s="21" t="str">
        <x:v>GROUP SEMBANG MALAM</x:v>
      </x:c>
      <x:c r="C160" s="21" t="n">
        <x:v>3</x:v>
      </x:c>
      <x:c r="D160" s="46" t="str">
        <x:f>"+60193434856"</x:f>
        <x:v>+60193434856</x:v>
      </x:c>
      <x:c r="E160" s="21" t="str">
        <x:v>Nik Azim</x:v>
      </x:c>
      <x:c r="F160" s="21" t="str">
        <x:v>Member</x:v>
      </x:c>
      <x:c r="G160" s="46" t="str">
        <x:f>"60193434856"</x:f>
        <x:v>60193434856</x:v>
      </x:c>
      <x:c r="H160" s="21" t="str">
        <x:v>Yes</x:v>
      </x:c>
      <x:c r="I160" s="21" t="str">
        <x:v>No</x:v>
      </x:c>
      <x:c r="J160" s="21" t="str">
        <x:v>No</x:v>
      </x:c>
      <x:c r="K160" s="21" t="str">
        <x:v>Included</x:v>
      </x:c>
      <x:c r="L160" s="21" t="str">
        <x:v>Peserta</x:v>
      </x:c>
    </x:row>
    <x:row r="161">
      <x:c r="A161" s="21" t="str">
        <x:v>whatsapp_group_numbers GROUP SEMBANG MALAM.csv</x:v>
      </x:c>
      <x:c r="B161" s="21" t="str">
        <x:v>GROUP SEMBANG MALAM</x:v>
      </x:c>
      <x:c r="C161" s="21" t="n">
        <x:v>4</x:v>
      </x:c>
      <x:c r="D161" s="46" t="str">
        <x:f>"+60173822117"</x:f>
        <x:v>+60173822117</x:v>
      </x:c>
      <x:c r="E161" s="21" t="str">
        <x:v>azah sugar planet</x:v>
      </x:c>
      <x:c r="F161" s="21" t="str">
        <x:v>Member</x:v>
      </x:c>
      <x:c r="G161" s="46" t="str">
        <x:f>"60173822117"</x:f>
        <x:v>60173822117</x:v>
      </x:c>
      <x:c r="H161" s="21" t="str">
        <x:v>Yes</x:v>
      </x:c>
      <x:c r="I161" s="21" t="str">
        <x:v>No</x:v>
      </x:c>
      <x:c r="J161" s="21" t="str">
        <x:v>No</x:v>
      </x:c>
      <x:c r="K161" s="21" t="str">
        <x:v>Included</x:v>
      </x:c>
      <x:c r="L161" s="21" t="str">
        <x:v>Peserta</x:v>
      </x:c>
    </x:row>
    <x:row r="162">
      <x:c r="A162" s="21" t="str">
        <x:v>whatsapp_group_numbers GROUP SEMBANG MALAM.csv</x:v>
      </x:c>
      <x:c r="B162" s="21" t="str">
        <x:v>GROUP SEMBANG MALAM</x:v>
      </x:c>
      <x:c r="C162" s="21" t="n">
        <x:v>5</x:v>
      </x:c>
      <x:c r="D162" s="46" t="str">
        <x:f>"+60125577732"</x:f>
        <x:v>+60125577732</x:v>
      </x:c>
      <x:c r="E162" s="21" t="str">
        <x:v>+60125577732</x:v>
      </x:c>
      <x:c r="F162" s="21" t="str">
        <x:v>Member</x:v>
      </x:c>
      <x:c r="G162" s="46" t="str">
        <x:f>"60125577732"</x:f>
        <x:v>60125577732</x:v>
      </x:c>
      <x:c r="H162" s="21" t="str">
        <x:v>Yes</x:v>
      </x:c>
      <x:c r="I162" s="21" t="str">
        <x:v>No</x:v>
      </x:c>
      <x:c r="J162" s="21" t="str">
        <x:v>No</x:v>
      </x:c>
      <x:c r="K162" s="21" t="str">
        <x:v>Included</x:v>
      </x:c>
      <x:c r="L162" s="21" t="str">
        <x:v>Peserta</x:v>
      </x:c>
    </x:row>
    <x:row r="163">
      <x:c r="A163" s="21" t="str">
        <x:v>whatsapp_group_numbers GROUP SEMBANG MALAM.csv</x:v>
      </x:c>
      <x:c r="B163" s="21" t="str">
        <x:v>GROUP SEMBANG MALAM</x:v>
      </x:c>
      <x:c r="C163" s="21" t="n">
        <x:v>6</x:v>
      </x:c>
      <x:c r="D163" s="46" t="str">
        <x:f>"+60172020271"</x:f>
        <x:v>+60172020271</x:v>
      </x:c>
      <x:c r="E163" s="21" t="str">
        <x:v>+60172020271</x:v>
      </x:c>
      <x:c r="F163" s="21" t="str">
        <x:v>Member</x:v>
      </x:c>
      <x:c r="G163" s="46" t="str">
        <x:f>"60172020271"</x:f>
        <x:v>60172020271</x:v>
      </x:c>
      <x:c r="H163" s="21" t="str">
        <x:v>Yes</x:v>
      </x:c>
      <x:c r="I163" s="21" t="str">
        <x:v>No</x:v>
      </x:c>
      <x:c r="J163" s="21" t="str">
        <x:v>No</x:v>
      </x:c>
      <x:c r="K163" s="21" t="str">
        <x:v>Included</x:v>
      </x:c>
      <x:c r="L163" s="21" t="str">
        <x:v>Peserta</x:v>
      </x:c>
    </x:row>
    <x:row r="164">
      <x:c r="A164" s="21" t="str">
        <x:v>whatsapp_group_numbers GROUP SEMBANG MALAM.csv</x:v>
      </x:c>
      <x:c r="B164" s="21" t="str">
        <x:v>GROUP SEMBANG MALAM</x:v>
      </x:c>
      <x:c r="C164" s="21" t="n">
        <x:v>7</x:v>
      </x:c>
      <x:c r="D164" s="46" t="str">
        <x:f>"+60124913454"</x:f>
        <x:v>+60124913454</x:v>
      </x:c>
      <x:c r="E164" s="21" t="str">
        <x:v>+60124913454</x:v>
      </x:c>
      <x:c r="F164" s="21" t="str">
        <x:v>Member</x:v>
      </x:c>
      <x:c r="G164" s="46" t="str">
        <x:f>"60124913454"</x:f>
        <x:v>60124913454</x:v>
      </x:c>
      <x:c r="H164" s="21" t="str">
        <x:v>Yes</x:v>
      </x:c>
      <x:c r="I164" s="21" t="str">
        <x:v>No</x:v>
      </x:c>
      <x:c r="J164" s="21" t="str">
        <x:v>No</x:v>
      </x:c>
      <x:c r="K164" s="21" t="str">
        <x:v>Included</x:v>
      </x:c>
      <x:c r="L164" s="21" t="str">
        <x:v>Peserta</x:v>
      </x:c>
    </x:row>
    <x:row r="165">
      <x:c r="A165" s="21" t="str">
        <x:v>whatsapp_group_numbers GROUP SEMBANG MALAM.csv</x:v>
      </x:c>
      <x:c r="B165" s="21" t="str">
        <x:v>GROUP SEMBANG MALAM</x:v>
      </x:c>
      <x:c r="C165" s="21" t="n">
        <x:v>8</x:v>
      </x:c>
      <x:c r="D165" s="46" t="str">
        <x:f>"+60135111713"</x:f>
        <x:v>+60135111713</x:v>
      </x:c>
      <x:c r="E165" s="21" t="str">
        <x:v>+60135111713</x:v>
      </x:c>
      <x:c r="F165" s="21" t="str">
        <x:v>Member</x:v>
      </x:c>
      <x:c r="G165" s="46" t="str">
        <x:f>"60135111713"</x:f>
        <x:v>60135111713</x:v>
      </x:c>
      <x:c r="H165" s="21" t="str">
        <x:v>Yes</x:v>
      </x:c>
      <x:c r="I165" s="21" t="str">
        <x:v>No</x:v>
      </x:c>
      <x:c r="J165" s="21" t="str">
        <x:v>No</x:v>
      </x:c>
      <x:c r="K165" s="21" t="str">
        <x:v>Included</x:v>
      </x:c>
      <x:c r="L165" s="21" t="str">
        <x:v>Peserta</x:v>
      </x:c>
    </x:row>
    <x:row r="166">
      <x:c r="A166" s="21" t="str">
        <x:v>whatsapp_group_numbers GROUP SEMBANG MALAM.csv</x:v>
      </x:c>
      <x:c r="B166" s="21" t="str">
        <x:v>GROUP SEMBANG MALAM</x:v>
      </x:c>
      <x:c r="C166" s="21" t="n">
        <x:v>9</x:v>
      </x:c>
      <x:c r="D166" s="46" t="str">
        <x:f>"+601137437308"</x:f>
        <x:v>+601137437308</x:v>
      </x:c>
      <x:c r="E166" s="21" t="str">
        <x:v>+601137437308</x:v>
      </x:c>
      <x:c r="F166" s="21" t="str">
        <x:v>Member</x:v>
      </x:c>
      <x:c r="G166" s="46" t="str">
        <x:f>"601137437308"</x:f>
        <x:v>601137437308</x:v>
      </x:c>
      <x:c r="H166" s="21" t="str">
        <x:v>Yes</x:v>
      </x:c>
      <x:c r="I166" s="21" t="str">
        <x:v>No</x:v>
      </x:c>
      <x:c r="J166" s="21" t="str">
        <x:v>No</x:v>
      </x:c>
      <x:c r="K166" s="21" t="str">
        <x:v>Included</x:v>
      </x:c>
      <x:c r="L166" s="21" t="str">
        <x:v>Peserta</x:v>
      </x:c>
    </x:row>
    <x:row r="167">
      <x:c r="A167" s="21" t="str">
        <x:v>whatsapp_group_numbers Julai 17.csv</x:v>
      </x:c>
      <x:c r="B167" s="21" t="str">
        <x:v>Julai 17</x:v>
      </x:c>
      <x:c r="C167" s="21" t="n">
        <x:v>1</x:v>
      </x:c>
      <x:c r="D167" s="46" t="str">
        <x:f>"+601121235593"</x:f>
        <x:v>+601121235593</x:v>
      </x:c>
      <x:c r="E167" s="21" t="str">
        <x:v>Irfan pa coach zul</x:v>
      </x:c>
      <x:c r="F167" s="21" t="str">
        <x:v>Member</x:v>
      </x:c>
      <x:c r="G167" s="46" t="str">
        <x:f>"601121235593"</x:f>
        <x:v>601121235593</x:v>
      </x:c>
      <x:c r="H167" s="21" t="str">
        <x:v>Yes</x:v>
      </x:c>
      <x:c r="I167" s="21" t="str">
        <x:v>No</x:v>
      </x:c>
      <x:c r="J167" s="21" t="str">
        <x:v>No</x:v>
      </x:c>
      <x:c r="K167" s="21" t="str">
        <x:v>Excluded</x:v>
      </x:c>
      <x:c r="L167" s="21" t="str">
        <x:v>Senarai pengecualian manual pengguna</x:v>
      </x:c>
    </x:row>
    <x:row r="168">
      <x:c r="A168" s="21" t="str">
        <x:v>whatsapp_group_numbers Julai 17.csv</x:v>
      </x:c>
      <x:c r="B168" s="21" t="str">
        <x:v>Julai 17</x:v>
      </x:c>
      <x:c r="C168" s="21" t="n">
        <x:v>2</x:v>
      </x:c>
      <x:c r="D168" s="46" t="str">
        <x:f>"+60133815817"</x:f>
        <x:v>+60133815817</x:v>
      </x:c>
      <x:c r="E168" s="21" t="str">
        <x:v>Kamarul Bahareen Kamarudin</x:v>
      </x:c>
      <x:c r="F168" s="21" t="str">
        <x:v>Member</x:v>
      </x:c>
      <x:c r="G168" s="46" t="str">
        <x:f>"60133815817"</x:f>
        <x:v>60133815817</x:v>
      </x:c>
      <x:c r="H168" s="21" t="str">
        <x:v>Yes</x:v>
      </x:c>
      <x:c r="I168" s="21" t="str">
        <x:v>No</x:v>
      </x:c>
      <x:c r="J168" s="21" t="str">
        <x:v>No</x:v>
      </x:c>
      <x:c r="K168" s="21" t="str">
        <x:v>Excluded</x:v>
      </x:c>
      <x:c r="L168" s="21" t="str">
        <x:v>Pemilik/trainer</x:v>
      </x:c>
    </x:row>
    <x:row r="169">
      <x:c r="A169" s="21" t="str">
        <x:v>whatsapp_group_numbers Julai 17.csv</x:v>
      </x:c>
      <x:c r="B169" s="21" t="str">
        <x:v>Julai 17</x:v>
      </x:c>
      <x:c r="C169" s="21" t="n">
        <x:v>3</x:v>
      </x:c>
      <x:c r="D169" s="46" t="str">
        <x:f>"+60136024189"</x:f>
        <x:v>+60136024189</x:v>
      </x:c>
      <x:c r="E169" s="21" t="str">
        <x:v>+60136024189</x:v>
      </x:c>
      <x:c r="F169" s="21" t="str">
        <x:v>Member</x:v>
      </x:c>
      <x:c r="G169" s="46" t="str">
        <x:f>"60136024189"</x:f>
        <x:v>60136024189</x:v>
      </x:c>
      <x:c r="H169" s="21" t="str">
        <x:v>Yes</x:v>
      </x:c>
      <x:c r="I169" s="21" t="str">
        <x:v>No</x:v>
      </x:c>
      <x:c r="J169" s="21" t="str">
        <x:v>No</x:v>
      </x:c>
      <x:c r="K169" s="21" t="str">
        <x:v>Included</x:v>
      </x:c>
      <x:c r="L169" s="21" t="str">
        <x:v>Peserta</x:v>
      </x:c>
    </x:row>
    <x:row r="170">
      <x:c r="A170" s="21" t="str">
        <x:v>whatsapp_group_numbers Julai 17.csv</x:v>
      </x:c>
      <x:c r="B170" s="21" t="str">
        <x:v>Julai 17</x:v>
      </x:c>
      <x:c r="C170" s="21" t="n">
        <x:v>4</x:v>
      </x:c>
      <x:c r="D170" s="46" t="str">
        <x:f>"+60122611099"</x:f>
        <x:v>+60122611099</x:v>
      </x:c>
      <x:c r="E170" s="21" t="str">
        <x:v>+60122611099</x:v>
      </x:c>
      <x:c r="F170" s="21" t="str">
        <x:v>Member</x:v>
      </x:c>
      <x:c r="G170" s="46" t="str">
        <x:f>"60122611099"</x:f>
        <x:v>60122611099</x:v>
      </x:c>
      <x:c r="H170" s="21" t="str">
        <x:v>Yes</x:v>
      </x:c>
      <x:c r="I170" s="21" t="str">
        <x:v>No</x:v>
      </x:c>
      <x:c r="J170" s="21" t="str">
        <x:v>No</x:v>
      </x:c>
      <x:c r="K170" s="21" t="str">
        <x:v>Included</x:v>
      </x:c>
      <x:c r="L170" s="21" t="str">
        <x:v>Peserta</x:v>
      </x:c>
    </x:row>
    <x:row r="171">
      <x:c r="A171" s="21" t="str">
        <x:v>whatsapp_group_numbers Julai 17.csv</x:v>
      </x:c>
      <x:c r="B171" s="21" t="str">
        <x:v>Julai 17</x:v>
      </x:c>
      <x:c r="C171" s="21" t="n">
        <x:v>5</x:v>
      </x:c>
      <x:c r="D171" s="46" t="str">
        <x:f>"+60195001218"</x:f>
        <x:v>+60195001218</x:v>
      </x:c>
      <x:c r="E171" s="21" t="str">
        <x:v>+60195001218</x:v>
      </x:c>
      <x:c r="F171" s="21" t="str">
        <x:v>Member</x:v>
      </x:c>
      <x:c r="G171" s="46" t="str">
        <x:f>"60195001218"</x:f>
        <x:v>60195001218</x:v>
      </x:c>
      <x:c r="H171" s="21" t="str">
        <x:v>Yes</x:v>
      </x:c>
      <x:c r="I171" s="21" t="str">
        <x:v>No</x:v>
      </x:c>
      <x:c r="J171" s="21" t="str">
        <x:v>No</x:v>
      </x:c>
      <x:c r="K171" s="21" t="str">
        <x:v>Included</x:v>
      </x:c>
      <x:c r="L171" s="21" t="str">
        <x:v>Peserta</x:v>
      </x:c>
    </x:row>
    <x:row r="172">
      <x:c r="A172" s="21" t="str">
        <x:v>whatsapp_group_numbers Julai 17.csv</x:v>
      </x:c>
      <x:c r="B172" s="21" t="str">
        <x:v>Julai 17</x:v>
      </x:c>
      <x:c r="C172" s="21" t="n">
        <x:v>6</x:v>
      </x:c>
      <x:c r="D172" s="46" t="str">
        <x:f>"+60133776773"</x:f>
        <x:v>+60133776773</x:v>
      </x:c>
      <x:c r="E172" s="21" t="str">
        <x:v>+60133776773</x:v>
      </x:c>
      <x:c r="F172" s="21" t="str">
        <x:v>Member</x:v>
      </x:c>
      <x:c r="G172" s="46" t="str">
        <x:f>"60133776773"</x:f>
        <x:v>60133776773</x:v>
      </x:c>
      <x:c r="H172" s="21" t="str">
        <x:v>Yes</x:v>
      </x:c>
      <x:c r="I172" s="21" t="str">
        <x:v>No</x:v>
      </x:c>
      <x:c r="J172" s="21" t="str">
        <x:v>No</x:v>
      </x:c>
      <x:c r="K172" s="21" t="str">
        <x:v>Included</x:v>
      </x:c>
      <x:c r="L172" s="21" t="str">
        <x:v>Peserta</x:v>
      </x:c>
    </x:row>
    <x:row r="173">
      <x:c r="A173" s="21" t="str">
        <x:v>whatsapp_group_numbers Julai 17.csv</x:v>
      </x:c>
      <x:c r="B173" s="21" t="str">
        <x:v>Julai 17</x:v>
      </x:c>
      <x:c r="C173" s="21" t="n">
        <x:v>7</x:v>
      </x:c>
      <x:c r="D173" s="46" t="str">
        <x:f>"+60107920072"</x:f>
        <x:v>+60107920072</x:v>
      </x:c>
      <x:c r="E173" s="21" t="str">
        <x:v>+60107920072</x:v>
      </x:c>
      <x:c r="F173" s="21" t="str">
        <x:v>Member</x:v>
      </x:c>
      <x:c r="G173" s="46" t="str">
        <x:f>"60107920072"</x:f>
        <x:v>60107920072</x:v>
      </x:c>
      <x:c r="H173" s="21" t="str">
        <x:v>Yes</x:v>
      </x:c>
      <x:c r="I173" s="21" t="str">
        <x:v>No</x:v>
      </x:c>
      <x:c r="J173" s="21" t="str">
        <x:v>No</x:v>
      </x:c>
      <x:c r="K173" s="21" t="str">
        <x:v>Included</x:v>
      </x:c>
      <x:c r="L173" s="21" t="str">
        <x:v>Peserta</x:v>
      </x:c>
    </x:row>
    <x:row r="174">
      <x:c r="A174" s="21" t="str">
        <x:v>whatsapp_group_numbers Julai 17.csv</x:v>
      </x:c>
      <x:c r="B174" s="21" t="str">
        <x:v>Julai 17</x:v>
      </x:c>
      <x:c r="C174" s="21" t="n">
        <x:v>8</x:v>
      </x:c>
      <x:c r="D174" s="46" t="str">
        <x:f>"+60196596519"</x:f>
        <x:v>+60196596519</x:v>
      </x:c>
      <x:c r="E174" s="21" t="str">
        <x:v>+60196596519</x:v>
      </x:c>
      <x:c r="F174" s="21" t="str">
        <x:v>Member</x:v>
      </x:c>
      <x:c r="G174" s="46" t="str">
        <x:f>"60196596519"</x:f>
        <x:v>60196596519</x:v>
      </x:c>
      <x:c r="H174" s="21" t="str">
        <x:v>Yes</x:v>
      </x:c>
      <x:c r="I174" s="21" t="str">
        <x:v>No</x:v>
      </x:c>
      <x:c r="J174" s="21" t="str">
        <x:v>No</x:v>
      </x:c>
      <x:c r="K174" s="21" t="str">
        <x:v>Included</x:v>
      </x:c>
      <x:c r="L174" s="21" t="str">
        <x:v>Peserta</x:v>
      </x:c>
    </x:row>
    <x:row r="175">
      <x:c r="A175" s="21" t="str">
        <x:v>whatsapp_group_numbers Julai 17.csv</x:v>
      </x:c>
      <x:c r="B175" s="21" t="str">
        <x:v>Julai 17</x:v>
      </x:c>
      <x:c r="C175" s="21" t="n">
        <x:v>9</x:v>
      </x:c>
      <x:c r="D175" s="46" t="str">
        <x:f>"+60199893360"</x:f>
        <x:v>+60199893360</x:v>
      </x:c>
      <x:c r="E175" s="21" t="str">
        <x:v>+60199893360</x:v>
      </x:c>
      <x:c r="F175" s="21" t="str">
        <x:v>Member</x:v>
      </x:c>
      <x:c r="G175" s="46" t="str">
        <x:f>"60199893360"</x:f>
        <x:v>60199893360</x:v>
      </x:c>
      <x:c r="H175" s="21" t="str">
        <x:v>Yes</x:v>
      </x:c>
      <x:c r="I175" s="21" t="str">
        <x:v>No</x:v>
      </x:c>
      <x:c r="J175" s="21" t="str">
        <x:v>No</x:v>
      </x:c>
      <x:c r="K175" s="21" t="str">
        <x:v>Included</x:v>
      </x:c>
      <x:c r="L175" s="21" t="str">
        <x:v>Peserta</x:v>
      </x:c>
    </x:row>
    <x:row r="176">
      <x:c r="A176" s="21" t="str">
        <x:v>whatsapp_group_numbers laz 25-26.csv</x:v>
      </x:c>
      <x:c r="B176" s="21" t="str">
        <x:v>laz 25-26</x:v>
      </x:c>
      <x:c r="C176" s="21" t="n">
        <x:v>1</x:v>
      </x:c>
      <x:c r="D176" s="46" t="str">
        <x:f>"+60174311215"</x:f>
        <x:v>+60174311215</x:v>
      </x:c>
      <x:c r="E176" s="21" t="str">
        <x:v>Dr hariz Mdec Trainer</x:v>
      </x:c>
      <x:c r="F176" s="21" t="str">
        <x:v>Member</x:v>
      </x:c>
      <x:c r="G176" s="46" t="str">
        <x:f>"60174311215"</x:f>
        <x:v>60174311215</x:v>
      </x:c>
      <x:c r="H176" s="21" t="str">
        <x:v>Yes</x:v>
      </x:c>
      <x:c r="I176" s="21" t="str">
        <x:v>No</x:v>
      </x:c>
      <x:c r="J176" s="21" t="str">
        <x:v>No</x:v>
      </x:c>
      <x:c r="K176" s="21" t="str">
        <x:v>Excluded</x:v>
      </x:c>
      <x:c r="L176" s="21" t="str">
        <x:v>Senarai pengecualian manual pengguna</x:v>
      </x:c>
    </x:row>
    <x:row r="177">
      <x:c r="A177" s="21" t="str">
        <x:v>whatsapp_group_numbers laz 25-26.csv</x:v>
      </x:c>
      <x:c r="B177" s="21" t="str">
        <x:v>laz 25-26</x:v>
      </x:c>
      <x:c r="C177" s="21" t="n">
        <x:v>2</x:v>
      </x:c>
      <x:c r="D177" s="46" t="str">
        <x:f>"+60122874471"</x:f>
        <x:v>+60122874471</x:v>
      </x:c>
      <x:c r="E177" s="21" t="str">
        <x:v>Pn Alya INKSEN</x:v>
      </x:c>
      <x:c r="F177" s="21" t="str">
        <x:v>Member</x:v>
      </x:c>
      <x:c r="G177" s="46" t="str">
        <x:f>"60122874471"</x:f>
        <x:v>60122874471</x:v>
      </x:c>
      <x:c r="H177" s="21" t="str">
        <x:v>Yes</x:v>
      </x:c>
      <x:c r="I177" s="21" t="str">
        <x:v>No</x:v>
      </x:c>
      <x:c r="J177" s="21" t="str">
        <x:v>Yes</x:v>
      </x:c>
      <x:c r="K177" s="21" t="str">
        <x:v>Excluded</x:v>
      </x:c>
      <x:c r="L177" s="21" t="str">
        <x:v>Nama/nombor dikenal pasti sebagai INSKEN</x:v>
      </x:c>
    </x:row>
    <x:row r="178">
      <x:c r="A178" s="21" t="str">
        <x:v>whatsapp_group_numbers laz 25-26.csv</x:v>
      </x:c>
      <x:c r="B178" s="21" t="str">
        <x:v>laz 25-26</x:v>
      </x:c>
      <x:c r="C178" s="21" t="n">
        <x:v>3</x:v>
      </x:c>
      <x:c r="D178" s="46" t="str">
        <x:f>"+60123081906"</x:f>
        <x:v>+60123081906</x:v>
      </x:c>
      <x:c r="E178" s="21" t="str">
        <x:v>Sufiyan Insken</x:v>
      </x:c>
      <x:c r="F178" s="21" t="str">
        <x:v>Member</x:v>
      </x:c>
      <x:c r="G178" s="46" t="str">
        <x:f>"60123081906"</x:f>
        <x:v>60123081906</x:v>
      </x:c>
      <x:c r="H178" s="21" t="str">
        <x:v>Yes</x:v>
      </x:c>
      <x:c r="I178" s="21" t="str">
        <x:v>No</x:v>
      </x:c>
      <x:c r="J178" s="21" t="str">
        <x:v>Yes</x:v>
      </x:c>
      <x:c r="K178" s="21" t="str">
        <x:v>Excluded</x:v>
      </x:c>
      <x:c r="L178" s="21" t="str">
        <x:v>Nama/nombor dikenal pasti sebagai INSKEN</x:v>
      </x:c>
    </x:row>
    <x:row r="179">
      <x:c r="A179" s="21" t="str">
        <x:v>whatsapp_group_numbers laz 25-26.csv</x:v>
      </x:c>
      <x:c r="B179" s="21" t="str">
        <x:v>laz 25-26</x:v>
      </x:c>
      <x:c r="C179" s="21" t="n">
        <x:v>4</x:v>
      </x:c>
      <x:c r="D179" s="46" t="str">
        <x:f>"+60163379678"</x:f>
        <x:v>+60163379678</x:v>
      </x:c>
      <x:c r="E179" s="21" t="str">
        <x:v>Aini Shop</x:v>
      </x:c>
      <x:c r="F179" s="21" t="str">
        <x:v>Member</x:v>
      </x:c>
      <x:c r="G179" s="46" t="str">
        <x:f>"60163379678"</x:f>
        <x:v>60163379678</x:v>
      </x:c>
      <x:c r="H179" s="21" t="str">
        <x:v>Yes</x:v>
      </x:c>
      <x:c r="I179" s="21" t="str">
        <x:v>No</x:v>
      </x:c>
      <x:c r="J179" s="21" t="str">
        <x:v>No</x:v>
      </x:c>
      <x:c r="K179" s="21" t="str">
        <x:v>Included</x:v>
      </x:c>
      <x:c r="L179" s="21" t="str">
        <x:v>Peserta</x:v>
      </x:c>
    </x:row>
    <x:row r="180">
      <x:c r="A180" s="21" t="str">
        <x:v>whatsapp_group_numbers laz 25-26.csv</x:v>
      </x:c>
      <x:c r="B180" s="21" t="str">
        <x:v>laz 25-26</x:v>
      </x:c>
      <x:c r="C180" s="21" t="n">
        <x:v>5</x:v>
      </x:c>
      <x:c r="D180" s="46" t="str">
        <x:f>"+60198320212"</x:f>
        <x:v>+60198320212</x:v>
      </x:c>
      <x:c r="E180" s="21" t="str">
        <x:v>Anak Orang</x:v>
      </x:c>
      <x:c r="F180" s="21" t="str">
        <x:v>Member</x:v>
      </x:c>
      <x:c r="G180" s="46" t="str">
        <x:f>"60198320212"</x:f>
        <x:v>60198320212</x:v>
      </x:c>
      <x:c r="H180" s="21" t="str">
        <x:v>Yes</x:v>
      </x:c>
      <x:c r="I180" s="21" t="str">
        <x:v>No</x:v>
      </x:c>
      <x:c r="J180" s="21" t="str">
        <x:v>No</x:v>
      </x:c>
      <x:c r="K180" s="21" t="str">
        <x:v>Included</x:v>
      </x:c>
      <x:c r="L180" s="21" t="str">
        <x:v>Peserta</x:v>
      </x:c>
    </x:row>
    <x:row r="181">
      <x:c r="A181" s="21" t="str">
        <x:v>whatsapp_group_numbers laz 25-26.csv</x:v>
      </x:c>
      <x:c r="B181" s="21" t="str">
        <x:v>laz 25-26</x:v>
      </x:c>
      <x:c r="C181" s="21" t="n">
        <x:v>6</x:v>
      </x:c>
      <x:c r="D181" s="46" t="str">
        <x:f>"+60132066200"</x:f>
        <x:v>+60132066200</x:v>
      </x:c>
      <x:c r="E181" s="21" t="str">
        <x:v>Mukhlis Ghazi</x:v>
      </x:c>
      <x:c r="F181" s="21" t="str">
        <x:v>Member</x:v>
      </x:c>
      <x:c r="G181" s="46" t="str">
        <x:f>"60132066200"</x:f>
        <x:v>60132066200</x:v>
      </x:c>
      <x:c r="H181" s="21" t="str">
        <x:v>Yes</x:v>
      </x:c>
      <x:c r="I181" s="21" t="str">
        <x:v>No</x:v>
      </x:c>
      <x:c r="J181" s="21" t="str">
        <x:v>No</x:v>
      </x:c>
      <x:c r="K181" s="21" t="str">
        <x:v>Included</x:v>
      </x:c>
      <x:c r="L181" s="21" t="str">
        <x:v>Peserta</x:v>
      </x:c>
    </x:row>
    <x:row r="182">
      <x:c r="A182" s="21" t="str">
        <x:v>whatsapp_group_numbers laz 25-26.csv</x:v>
      </x:c>
      <x:c r="B182" s="21" t="str">
        <x:v>laz 25-26</x:v>
      </x:c>
      <x:c r="C182" s="21" t="n">
        <x:v>7</x:v>
      </x:c>
      <x:c r="D182" s="46" t="str">
        <x:f>"+60162036654"</x:f>
        <x:v>+60162036654</x:v>
      </x:c>
      <x:c r="E182" s="21" t="str">
        <x:v>+60162036654</x:v>
      </x:c>
      <x:c r="F182" s="21" t="str">
        <x:v>Member</x:v>
      </x:c>
      <x:c r="G182" s="46" t="str">
        <x:f>"60162036654"</x:f>
        <x:v>60162036654</x:v>
      </x:c>
      <x:c r="H182" s="21" t="str">
        <x:v>Yes</x:v>
      </x:c>
      <x:c r="I182" s="21" t="str">
        <x:v>No</x:v>
      </x:c>
      <x:c r="J182" s="21" t="str">
        <x:v>No</x:v>
      </x:c>
      <x:c r="K182" s="21" t="str">
        <x:v>Included</x:v>
      </x:c>
      <x:c r="L182" s="21" t="str">
        <x:v>Peserta</x:v>
      </x:c>
    </x:row>
    <x:row r="183">
      <x:c r="A183" s="21" t="str">
        <x:v>whatsapp_group_numbers laz 25-26.csv</x:v>
      </x:c>
      <x:c r="B183" s="21" t="str">
        <x:v>laz 25-26</x:v>
      </x:c>
      <x:c r="C183" s="21" t="n">
        <x:v>8</x:v>
      </x:c>
      <x:c r="D183" s="46" t="str">
        <x:f>"+60182711939"</x:f>
        <x:v>+60182711939</x:v>
      </x:c>
      <x:c r="E183" s="21" t="str">
        <x:v>+60182711939</x:v>
      </x:c>
      <x:c r="F183" s="21" t="str">
        <x:v>Member</x:v>
      </x:c>
      <x:c r="G183" s="46" t="str">
        <x:f>"60182711939"</x:f>
        <x:v>60182711939</x:v>
      </x:c>
      <x:c r="H183" s="21" t="str">
        <x:v>Yes</x:v>
      </x:c>
      <x:c r="I183" s="21" t="str">
        <x:v>No</x:v>
      </x:c>
      <x:c r="J183" s="21" t="str">
        <x:v>No</x:v>
      </x:c>
      <x:c r="K183" s="21" t="str">
        <x:v>Included</x:v>
      </x:c>
      <x:c r="L183" s="21" t="str">
        <x:v>Peserta</x:v>
      </x:c>
    </x:row>
    <x:row r="184">
      <x:c r="A184" s="21" t="str">
        <x:v>whatsapp_group_numbers laz 25-26.csv</x:v>
      </x:c>
      <x:c r="B184" s="21" t="str">
        <x:v>laz 25-26</x:v>
      </x:c>
      <x:c r="C184" s="21" t="n">
        <x:v>9</x:v>
      </x:c>
      <x:c r="D184" s="46" t="str">
        <x:f>"+601114919589"</x:f>
        <x:v>+601114919589</x:v>
      </x:c>
      <x:c r="E184" s="21" t="str">
        <x:v>+601114919589</x:v>
      </x:c>
      <x:c r="F184" s="21" t="str">
        <x:v>Member</x:v>
      </x:c>
      <x:c r="G184" s="46" t="str">
        <x:f>"601114919589"</x:f>
        <x:v>601114919589</x:v>
      </x:c>
      <x:c r="H184" s="21" t="str">
        <x:v>Yes</x:v>
      </x:c>
      <x:c r="I184" s="21" t="str">
        <x:v>No</x:v>
      </x:c>
      <x:c r="J184" s="21" t="str">
        <x:v>No</x:v>
      </x:c>
      <x:c r="K184" s="21" t="str">
        <x:v>Included</x:v>
      </x:c>
      <x:c r="L184" s="21" t="str">
        <x:v>Peserta</x:v>
      </x:c>
    </x:row>
    <x:row r="185">
      <x:c r="A185" s="21" t="str">
        <x:v>whatsapp_group_numbers laz 25-26.csv</x:v>
      </x:c>
      <x:c r="B185" s="21" t="str">
        <x:v>laz 25-26</x:v>
      </x:c>
      <x:c r="C185" s="21" t="n">
        <x:v>10</x:v>
      </x:c>
      <x:c r="D185" s="46" t="str">
        <x:f>"+60172605577"</x:f>
        <x:v>+60172605577</x:v>
      </x:c>
      <x:c r="E185" s="21" t="str">
        <x:v>+60172605577</x:v>
      </x:c>
      <x:c r="F185" s="21" t="str">
        <x:v>Member</x:v>
      </x:c>
      <x:c r="G185" s="46" t="str">
        <x:f>"60172605577"</x:f>
        <x:v>60172605577</x:v>
      </x:c>
      <x:c r="H185" s="21" t="str">
        <x:v>Yes</x:v>
      </x:c>
      <x:c r="I185" s="21" t="str">
        <x:v>No</x:v>
      </x:c>
      <x:c r="J185" s="21" t="str">
        <x:v>No</x:v>
      </x:c>
      <x:c r="K185" s="21" t="str">
        <x:v>Included</x:v>
      </x:c>
      <x:c r="L185" s="21" t="str">
        <x:v>Peserta</x:v>
      </x:c>
    </x:row>
    <x:row r="186">
      <x:c r="A186" s="21" t="str">
        <x:v>whatsapp_group_numbers laz 25-26.csv</x:v>
      </x:c>
      <x:c r="B186" s="21" t="str">
        <x:v>laz 25-26</x:v>
      </x:c>
      <x:c r="C186" s="21" t="n">
        <x:v>11</x:v>
      </x:c>
      <x:c r="D186" s="46" t="str">
        <x:f>"+60122032124"</x:f>
        <x:v>+60122032124</x:v>
      </x:c>
      <x:c r="E186" s="21" t="str">
        <x:v>+60122032124</x:v>
      </x:c>
      <x:c r="F186" s="21" t="str">
        <x:v>Member</x:v>
      </x:c>
      <x:c r="G186" s="46" t="str">
        <x:f>"60122032124"</x:f>
        <x:v>60122032124</x:v>
      </x:c>
      <x:c r="H186" s="21" t="str">
        <x:v>Yes</x:v>
      </x:c>
      <x:c r="I186" s="21" t="str">
        <x:v>No</x:v>
      </x:c>
      <x:c r="J186" s="21" t="str">
        <x:v>No</x:v>
      </x:c>
      <x:c r="K186" s="21" t="str">
        <x:v>Included</x:v>
      </x:c>
      <x:c r="L186" s="21" t="str">
        <x:v>Peserta</x:v>
      </x:c>
    </x:row>
    <x:row r="187">
      <x:c r="A187" s="21" t="str">
        <x:v>whatsapp_group_numbers laz 25-26.csv</x:v>
      </x:c>
      <x:c r="B187" s="21" t="str">
        <x:v>laz 25-26</x:v>
      </x:c>
      <x:c r="C187" s="21" t="n">
        <x:v>12</x:v>
      </x:c>
      <x:c r="D187" s="46" t="str">
        <x:f>"+601119944582"</x:f>
        <x:v>+601119944582</x:v>
      </x:c>
      <x:c r="E187" s="21" t="str">
        <x:v>+601119944582</x:v>
      </x:c>
      <x:c r="F187" s="21" t="str">
        <x:v>Member</x:v>
      </x:c>
      <x:c r="G187" s="46" t="str">
        <x:f>"601119944582"</x:f>
        <x:v>601119944582</x:v>
      </x:c>
      <x:c r="H187" s="21" t="str">
        <x:v>Yes</x:v>
      </x:c>
      <x:c r="I187" s="21" t="str">
        <x:v>No</x:v>
      </x:c>
      <x:c r="J187" s="21" t="str">
        <x:v>No</x:v>
      </x:c>
      <x:c r="K187" s="21" t="str">
        <x:v>Included</x:v>
      </x:c>
      <x:c r="L187" s="21" t="str">
        <x:v>Peserta</x:v>
      </x:c>
    </x:row>
    <x:row r="188">
      <x:c r="A188" s="21" t="str">
        <x:v>whatsapp_group_numbers laz 25-26.csv</x:v>
      </x:c>
      <x:c r="B188" s="21" t="str">
        <x:v>laz 25-26</x:v>
      </x:c>
      <x:c r="C188" s="21" t="n">
        <x:v>13</x:v>
      </x:c>
      <x:c r="D188" s="46" t="str">
        <x:f>"+60172800394"</x:f>
        <x:v>+60172800394</x:v>
      </x:c>
      <x:c r="E188" s="21" t="str">
        <x:v>+60172800394</x:v>
      </x:c>
      <x:c r="F188" s="21" t="str">
        <x:v>Member</x:v>
      </x:c>
      <x:c r="G188" s="46" t="str">
        <x:f>"60172800394"</x:f>
        <x:v>60172800394</x:v>
      </x:c>
      <x:c r="H188" s="21" t="str">
        <x:v>Yes</x:v>
      </x:c>
      <x:c r="I188" s="21" t="str">
        <x:v>No</x:v>
      </x:c>
      <x:c r="J188" s="21" t="str">
        <x:v>No</x:v>
      </x:c>
      <x:c r="K188" s="21" t="str">
        <x:v>Included</x:v>
      </x:c>
      <x:c r="L188" s="21" t="str">
        <x:v>Peserta</x:v>
      </x:c>
    </x:row>
    <x:row r="189">
      <x:c r="A189" s="21" t="str">
        <x:v>whatsapp_group_numbers laz 25-26.csv</x:v>
      </x:c>
      <x:c r="B189" s="21" t="str">
        <x:v>laz 25-26</x:v>
      </x:c>
      <x:c r="C189" s="21" t="n">
        <x:v>14</x:v>
      </x:c>
      <x:c r="D189" s="46" t="str">
        <x:f>"+601111444562"</x:f>
        <x:v>+601111444562</x:v>
      </x:c>
      <x:c r="E189" s="21" t="str">
        <x:v>+601111444562</x:v>
      </x:c>
      <x:c r="F189" s="21" t="str">
        <x:v>Member</x:v>
      </x:c>
      <x:c r="G189" s="46" t="str">
        <x:f>"601111444562"</x:f>
        <x:v>601111444562</x:v>
      </x:c>
      <x:c r="H189" s="21" t="str">
        <x:v>Yes</x:v>
      </x:c>
      <x:c r="I189" s="21" t="str">
        <x:v>No</x:v>
      </x:c>
      <x:c r="J189" s="21" t="str">
        <x:v>No</x:v>
      </x:c>
      <x:c r="K189" s="21" t="str">
        <x:v>Included</x:v>
      </x:c>
      <x:c r="L189" s="21" t="str">
        <x:v>Peserta</x:v>
      </x:c>
    </x:row>
    <x:row r="190">
      <x:c r="A190" s="21" t="str">
        <x:v>whatsapp_group_numbers laz 25-26.csv</x:v>
      </x:c>
      <x:c r="B190" s="21" t="str">
        <x:v>laz 25-26</x:v>
      </x:c>
      <x:c r="C190" s="21" t="n">
        <x:v>15</x:v>
      </x:c>
      <x:c r="D190" s="46" t="str">
        <x:f>"+601119808620"</x:f>
        <x:v>+601119808620</x:v>
      </x:c>
      <x:c r="E190" s="21" t="str">
        <x:v>+601119808620</x:v>
      </x:c>
      <x:c r="F190" s="21" t="str">
        <x:v>Member</x:v>
      </x:c>
      <x:c r="G190" s="46" t="str">
        <x:f>"601119808620"</x:f>
        <x:v>601119808620</x:v>
      </x:c>
      <x:c r="H190" s="21" t="str">
        <x:v>Yes</x:v>
      </x:c>
      <x:c r="I190" s="21" t="str">
        <x:v>No</x:v>
      </x:c>
      <x:c r="J190" s="21" t="str">
        <x:v>No</x:v>
      </x:c>
      <x:c r="K190" s="21" t="str">
        <x:v>Included</x:v>
      </x:c>
      <x:c r="L190" s="21" t="str">
        <x:v>Peserta</x:v>
      </x:c>
    </x:row>
    <x:row r="191">
      <x:c r="A191" s="21" t="str">
        <x:v>whatsapp_group_numbers laz 25-26.csv</x:v>
      </x:c>
      <x:c r="B191" s="21" t="str">
        <x:v>laz 25-26</x:v>
      </x:c>
      <x:c r="C191" s="21" t="n">
        <x:v>16</x:v>
      </x:c>
      <x:c r="D191" s="46" t="str">
        <x:f>"+60139800993"</x:f>
        <x:v>+60139800993</x:v>
      </x:c>
      <x:c r="E191" s="21" t="str">
        <x:v>+60139800993</x:v>
      </x:c>
      <x:c r="F191" s="21" t="str">
        <x:v>Member</x:v>
      </x:c>
      <x:c r="G191" s="46" t="str">
        <x:f>"60139800993"</x:f>
        <x:v>60139800993</x:v>
      </x:c>
      <x:c r="H191" s="21" t="str">
        <x:v>Yes</x:v>
      </x:c>
      <x:c r="I191" s="21" t="str">
        <x:v>No</x:v>
      </x:c>
      <x:c r="J191" s="21" t="str">
        <x:v>No</x:v>
      </x:c>
      <x:c r="K191" s="21" t="str">
        <x:v>Included</x:v>
      </x:c>
      <x:c r="L191" s="21" t="str">
        <x:v>Peserta</x:v>
      </x:c>
    </x:row>
    <x:row r="192">
      <x:c r="A192" s="21" t="str">
        <x:v>whatsapp_group_numbers laz 25-26.csv</x:v>
      </x:c>
      <x:c r="B192" s="21" t="str">
        <x:v>laz 25-26</x:v>
      </x:c>
      <x:c r="C192" s="21" t="n">
        <x:v>17</x:v>
      </x:c>
      <x:c r="D192" s="46" t="str">
        <x:f>"+60199773250"</x:f>
        <x:v>+60199773250</x:v>
      </x:c>
      <x:c r="E192" s="21" t="str">
        <x:v>+60199773250</x:v>
      </x:c>
      <x:c r="F192" s="21" t="str">
        <x:v>Member</x:v>
      </x:c>
      <x:c r="G192" s="46" t="str">
        <x:f>"60199773250"</x:f>
        <x:v>60199773250</x:v>
      </x:c>
      <x:c r="H192" s="21" t="str">
        <x:v>Yes</x:v>
      </x:c>
      <x:c r="I192" s="21" t="str">
        <x:v>No</x:v>
      </x:c>
      <x:c r="J192" s="21" t="str">
        <x:v>No</x:v>
      </x:c>
      <x:c r="K192" s="21" t="str">
        <x:v>Included</x:v>
      </x:c>
      <x:c r="L192" s="21" t="str">
        <x:v>Peserta</x:v>
      </x:c>
    </x:row>
    <x:row r="193">
      <x:c r="A193" s="21" t="str">
        <x:v>whatsapp_group_numbers laz 25-26.csv</x:v>
      </x:c>
      <x:c r="B193" s="21" t="str">
        <x:v>laz 25-26</x:v>
      </x:c>
      <x:c r="C193" s="21" t="n">
        <x:v>18</x:v>
      </x:c>
      <x:c r="D193" s="46" t="str">
        <x:f>"+60127949799"</x:f>
        <x:v>+60127949799</x:v>
      </x:c>
      <x:c r="E193" s="21" t="str">
        <x:v>+60127949799</x:v>
      </x:c>
      <x:c r="F193" s="21" t="str">
        <x:v>Member</x:v>
      </x:c>
      <x:c r="G193" s="46" t="str">
        <x:f>"60127949799"</x:f>
        <x:v>60127949799</x:v>
      </x:c>
      <x:c r="H193" s="21" t="str">
        <x:v>Yes</x:v>
      </x:c>
      <x:c r="I193" s="21" t="str">
        <x:v>No</x:v>
      </x:c>
      <x:c r="J193" s="21" t="str">
        <x:v>No</x:v>
      </x:c>
      <x:c r="K193" s="21" t="str">
        <x:v>Included</x:v>
      </x:c>
      <x:c r="L193" s="21" t="str">
        <x:v>Peserta</x:v>
      </x:c>
    </x:row>
    <x:row r="194">
      <x:c r="A194" s="21" t="str">
        <x:v>whatsapp_group_numbers laz 25-26.csv</x:v>
      </x:c>
      <x:c r="B194" s="21" t="str">
        <x:v>laz 25-26</x:v>
      </x:c>
      <x:c r="C194" s="21" t="n">
        <x:v>19</x:v>
      </x:c>
      <x:c r="D194" s="46" t="str">
        <x:f>"+60135065825"</x:f>
        <x:v>+60135065825</x:v>
      </x:c>
      <x:c r="E194" s="21" t="str">
        <x:v>+60135065825</x:v>
      </x:c>
      <x:c r="F194" s="21" t="str">
        <x:v>Member</x:v>
      </x:c>
      <x:c r="G194" s="46" t="str">
        <x:f>"60135065825"</x:f>
        <x:v>60135065825</x:v>
      </x:c>
      <x:c r="H194" s="21" t="str">
        <x:v>Yes</x:v>
      </x:c>
      <x:c r="I194" s="21" t="str">
        <x:v>No</x:v>
      </x:c>
      <x:c r="J194" s="21" t="str">
        <x:v>No</x:v>
      </x:c>
      <x:c r="K194" s="21" t="str">
        <x:v>Included</x:v>
      </x:c>
      <x:c r="L194" s="21" t="str">
        <x:v>Peserta</x:v>
      </x:c>
    </x:row>
    <x:row r="195">
      <x:c r="A195" s="21" t="str">
        <x:v>whatsapp_group_numbers laz 25-26.csv</x:v>
      </x:c>
      <x:c r="B195" s="21" t="str">
        <x:v>laz 25-26</x:v>
      </x:c>
      <x:c r="C195" s="21" t="n">
        <x:v>20</x:v>
      </x:c>
      <x:c r="D195" s="46" t="str">
        <x:f>"+60134895052"</x:f>
        <x:v>+60134895052</x:v>
      </x:c>
      <x:c r="E195" s="21" t="str">
        <x:v>+60134895052</x:v>
      </x:c>
      <x:c r="F195" s="21" t="str">
        <x:v>Member</x:v>
      </x:c>
      <x:c r="G195" s="46" t="str">
        <x:f>"60134895052"</x:f>
        <x:v>60134895052</x:v>
      </x:c>
      <x:c r="H195" s="21" t="str">
        <x:v>Yes</x:v>
      </x:c>
      <x:c r="I195" s="21" t="str">
        <x:v>No</x:v>
      </x:c>
      <x:c r="J195" s="21" t="str">
        <x:v>No</x:v>
      </x:c>
      <x:c r="K195" s="21" t="str">
        <x:v>Included</x:v>
      </x:c>
      <x:c r="L195" s="21" t="str">
        <x:v>Peserta</x:v>
      </x:c>
    </x:row>
    <x:row r="196">
      <x:c r="A196" s="21" t="str">
        <x:v>whatsapp_group_numbers laz 25-26.csv</x:v>
      </x:c>
      <x:c r="B196" s="21" t="str">
        <x:v>laz 25-26</x:v>
      </x:c>
      <x:c r="C196" s="21" t="n">
        <x:v>21</x:v>
      </x:c>
      <x:c r="D196" s="46" t="str">
        <x:f>"+60122845978"</x:f>
        <x:v>+60122845978</x:v>
      </x:c>
      <x:c r="E196" s="21" t="str">
        <x:v>+60122845978</x:v>
      </x:c>
      <x:c r="F196" s="21" t="str">
        <x:v>Member</x:v>
      </x:c>
      <x:c r="G196" s="46" t="str">
        <x:f>"60122845978"</x:f>
        <x:v>60122845978</x:v>
      </x:c>
      <x:c r="H196" s="21" t="str">
        <x:v>Yes</x:v>
      </x:c>
      <x:c r="I196" s="21" t="str">
        <x:v>No</x:v>
      </x:c>
      <x:c r="J196" s="21" t="str">
        <x:v>No</x:v>
      </x:c>
      <x:c r="K196" s="21" t="str">
        <x:v>Included</x:v>
      </x:c>
      <x:c r="L196" s="21" t="str">
        <x:v>Peserta</x:v>
      </x:c>
    </x:row>
    <x:row r="197">
      <x:c r="A197" s="21" t="str">
        <x:v>whatsapp_group_numbers lazada 5-6.csv</x:v>
      </x:c>
      <x:c r="B197" s="21" t="str">
        <x:v>lazada 5-6</x:v>
      </x:c>
      <x:c r="C197" s="21" t="n">
        <x:v>1</x:v>
      </x:c>
      <x:c r="D197" s="46" t="str">
        <x:f>"+601126032061"</x:f>
        <x:v>+601126032061</x:v>
      </x:c>
      <x:c r="E197" s="21" t="str">
        <x:v>Abang Muhammad MDEC</x:v>
      </x:c>
      <x:c r="F197" s="21" t="str">
        <x:v>Member</x:v>
      </x:c>
      <x:c r="G197" s="46" t="str">
        <x:f>"601126032061"</x:f>
        <x:v>601126032061</x:v>
      </x:c>
      <x:c r="H197" s="21" t="str">
        <x:v>Yes</x:v>
      </x:c>
      <x:c r="I197" s="21" t="str">
        <x:v>No</x:v>
      </x:c>
      <x:c r="J197" s="21" t="str">
        <x:v>No</x:v>
      </x:c>
      <x:c r="K197" s="21" t="str">
        <x:v>Excluded</x:v>
      </x:c>
      <x:c r="L197" s="21" t="str">
        <x:v>Senarai pengecualian manual pengguna</x:v>
      </x:c>
    </x:row>
    <x:row r="198">
      <x:c r="A198" s="21" t="str">
        <x:v>whatsapp_group_numbers lazada 5-6.csv</x:v>
      </x:c>
      <x:c r="B198" s="21" t="str">
        <x:v>lazada 5-6</x:v>
      </x:c>
      <x:c r="C198" s="21" t="n">
        <x:v>2</x:v>
      </x:c>
      <x:c r="D198" s="46" t="str">
        <x:f>"+601160614689"</x:f>
        <x:v>+601160614689</x:v>
      </x:c>
      <x:c r="E198" s="21" t="str">
        <x:v>Amira Omar</x:v>
      </x:c>
      <x:c r="F198" s="21" t="str">
        <x:v>Member</x:v>
      </x:c>
      <x:c r="G198" s="46" t="str">
        <x:f>"601160614689"</x:f>
        <x:v>601160614689</x:v>
      </x:c>
      <x:c r="H198" s="21" t="str">
        <x:v>Yes</x:v>
      </x:c>
      <x:c r="I198" s="21" t="str">
        <x:v>No</x:v>
      </x:c>
      <x:c r="J198" s="21" t="str">
        <x:v>No</x:v>
      </x:c>
      <x:c r="K198" s="21" t="str">
        <x:v>Included</x:v>
      </x:c>
      <x:c r="L198" s="21" t="str">
        <x:v>Peserta</x:v>
      </x:c>
    </x:row>
    <x:row r="199">
      <x:c r="A199" s="21" t="str">
        <x:v>whatsapp_group_numbers lazada 5-6.csv</x:v>
      </x:c>
      <x:c r="B199" s="21" t="str">
        <x:v>lazada 5-6</x:v>
      </x:c>
      <x:c r="C199" s="21" t="n">
        <x:v>3</x:v>
      </x:c>
      <x:c r="D199" s="46" t="str">
        <x:f>"+60193595900"</x:f>
        <x:v>+60193595900</x:v>
      </x:c>
      <x:c r="E199" s="21" t="str">
        <x:v>Insken - Pn Nora</x:v>
      </x:c>
      <x:c r="F199" s="21" t="str">
        <x:v>Member</x:v>
      </x:c>
      <x:c r="G199" s="46" t="str">
        <x:f>"60193595900"</x:f>
        <x:v>60193595900</x:v>
      </x:c>
      <x:c r="H199" s="21" t="str">
        <x:v>Yes</x:v>
      </x:c>
      <x:c r="I199" s="21" t="str">
        <x:v>No</x:v>
      </x:c>
      <x:c r="J199" s="21" t="str">
        <x:v>Yes</x:v>
      </x:c>
      <x:c r="K199" s="21" t="str">
        <x:v>Excluded</x:v>
      </x:c>
      <x:c r="L199" s="21" t="str">
        <x:v>Nama/nombor dikenal pasti sebagai INSKEN</x:v>
      </x:c>
    </x:row>
    <x:row r="200">
      <x:c r="A200" s="21" t="str">
        <x:v>whatsapp_group_numbers lazada 5-6.csv</x:v>
      </x:c>
      <x:c r="B200" s="21" t="str">
        <x:v>lazada 5-6</x:v>
      </x:c>
      <x:c r="C200" s="21" t="n">
        <x:v>4</x:v>
      </x:c>
      <x:c r="D200" s="46" t="str">
        <x:f>"+60176600326"</x:f>
        <x:v>+60176600326</x:v>
      </x:c>
      <x:c r="E200" s="21" t="str">
        <x:v>insken shopee tan chor keng</x:v>
      </x:c>
      <x:c r="F200" s="21" t="str">
        <x:v>Member</x:v>
      </x:c>
      <x:c r="G200" s="46" t="str">
        <x:f>"60176600326"</x:f>
        <x:v>60176600326</x:v>
      </x:c>
      <x:c r="H200" s="21" t="str">
        <x:v>Yes</x:v>
      </x:c>
      <x:c r="I200" s="21" t="str">
        <x:v>No</x:v>
      </x:c>
      <x:c r="J200" s="21" t="str">
        <x:v>Yes</x:v>
      </x:c>
      <x:c r="K200" s="21" t="str">
        <x:v>Excluded</x:v>
      </x:c>
      <x:c r="L200" s="21" t="str">
        <x:v>Nama/nombor dikenal pasti sebagai INSKEN</x:v>
      </x:c>
    </x:row>
    <x:row r="201">
      <x:c r="A201" s="21" t="str">
        <x:v>whatsapp_group_numbers lazada 5-6.csv</x:v>
      </x:c>
      <x:c r="B201" s="21" t="str">
        <x:v>lazada 5-6</x:v>
      </x:c>
      <x:c r="C201" s="21" t="n">
        <x:v>5</x:v>
      </x:c>
      <x:c r="D201" s="46" t="str">
        <x:f>"+60103004557"</x:f>
        <x:v>+60103004557</x:v>
      </x:c>
      <x:c r="E201" s="21" t="str">
        <x:v>Mohd Hafiz Bin Nordin</x:v>
      </x:c>
      <x:c r="F201" s="21" t="str">
        <x:v>Member</x:v>
      </x:c>
      <x:c r="G201" s="46" t="str">
        <x:f>"60103004557"</x:f>
        <x:v>60103004557</x:v>
      </x:c>
      <x:c r="H201" s="21" t="str">
        <x:v>Yes</x:v>
      </x:c>
      <x:c r="I201" s="21" t="str">
        <x:v>No</x:v>
      </x:c>
      <x:c r="J201" s="21" t="str">
        <x:v>No</x:v>
      </x:c>
      <x:c r="K201" s="21" t="str">
        <x:v>Included</x:v>
      </x:c>
      <x:c r="L201" s="21" t="str">
        <x:v>Peserta</x:v>
      </x:c>
    </x:row>
    <x:row r="202">
      <x:c r="A202" s="21" t="str">
        <x:v>whatsapp_group_numbers lazada 5-6.csv</x:v>
      </x:c>
      <x:c r="B202" s="21" t="str">
        <x:v>lazada 5-6</x:v>
      </x:c>
      <x:c r="C202" s="21" t="n">
        <x:v>6</x:v>
      </x:c>
      <x:c r="D202" s="46" t="str">
        <x:f>"+60174102530"</x:f>
        <x:v>+60174102530</x:v>
      </x:c>
      <x:c r="E202" s="21" t="str">
        <x:v>shaeza INSKEN</x:v>
      </x:c>
      <x:c r="F202" s="21" t="str">
        <x:v>Member</x:v>
      </x:c>
      <x:c r="G202" s="46" t="str">
        <x:f>"60174102530"</x:f>
        <x:v>60174102530</x:v>
      </x:c>
      <x:c r="H202" s="21" t="str">
        <x:v>Yes</x:v>
      </x:c>
      <x:c r="I202" s="21" t="str">
        <x:v>No</x:v>
      </x:c>
      <x:c r="J202" s="21" t="str">
        <x:v>Yes</x:v>
      </x:c>
      <x:c r="K202" s="21" t="str">
        <x:v>Excluded</x:v>
      </x:c>
      <x:c r="L202" s="21" t="str">
        <x:v>Nama/nombor dikenal pasti sebagai INSKEN</x:v>
      </x:c>
    </x:row>
    <x:row r="203">
      <x:c r="A203" s="21" t="str">
        <x:v>whatsapp_group_numbers lazada 5-6.csv</x:v>
      </x:c>
      <x:c r="B203" s="21" t="str">
        <x:v>lazada 5-6</x:v>
      </x:c>
      <x:c r="C203" s="21" t="n">
        <x:v>7</x:v>
      </x:c>
      <x:c r="D203" s="46" t="str">
        <x:f>"+60192724225"</x:f>
        <x:v>+60192724225</x:v>
      </x:c>
      <x:c r="E203" s="21" t="str">
        <x:v>Exile</x:v>
      </x:c>
      <x:c r="F203" s="21" t="str">
        <x:v>Member</x:v>
      </x:c>
      <x:c r="G203" s="46" t="str">
        <x:f>"60192724225"</x:f>
        <x:v>60192724225</x:v>
      </x:c>
      <x:c r="H203" s="21" t="str">
        <x:v>Yes</x:v>
      </x:c>
      <x:c r="I203" s="21" t="str">
        <x:v>No</x:v>
      </x:c>
      <x:c r="J203" s="21" t="str">
        <x:v>No</x:v>
      </x:c>
      <x:c r="K203" s="21" t="str">
        <x:v>Included</x:v>
      </x:c>
      <x:c r="L203" s="21" t="str">
        <x:v>Peserta</x:v>
      </x:c>
    </x:row>
    <x:row r="204">
      <x:c r="A204" s="21" t="str">
        <x:v>whatsapp_group_numbers lazada 5-6.csv</x:v>
      </x:c>
      <x:c r="B204" s="21" t="str">
        <x:v>lazada 5-6</x:v>
      </x:c>
      <x:c r="C204" s="21" t="n">
        <x:v>8</x:v>
      </x:c>
      <x:c r="D204" s="46" t="str">
        <x:f>"+60137033719"</x:f>
        <x:v>+60137033719</x:v>
      </x:c>
      <x:c r="E204" s="21" t="str">
        <x:v>Fahmi Survey</x:v>
      </x:c>
      <x:c r="F204" s="21" t="str">
        <x:v>Member</x:v>
      </x:c>
      <x:c r="G204" s="46" t="str">
        <x:f>"60137033719"</x:f>
        <x:v>60137033719</x:v>
      </x:c>
      <x:c r="H204" s="21" t="str">
        <x:v>Yes</x:v>
      </x:c>
      <x:c r="I204" s="21" t="str">
        <x:v>No</x:v>
      </x:c>
      <x:c r="J204" s="21" t="str">
        <x:v>No</x:v>
      </x:c>
      <x:c r="K204" s="21" t="str">
        <x:v>Included</x:v>
      </x:c>
      <x:c r="L204" s="21" t="str">
        <x:v>Peserta</x:v>
      </x:c>
    </x:row>
    <x:row r="205">
      <x:c r="A205" s="21" t="str">
        <x:v>whatsapp_group_numbers lazada 5-6.csv</x:v>
      </x:c>
      <x:c r="B205" s="21" t="str">
        <x:v>lazada 5-6</x:v>
      </x:c>
      <x:c r="C205" s="21" t="n">
        <x:v>9</x:v>
      </x:c>
      <x:c r="D205" s="46" t="str">
        <x:f>"+60172327007"</x:f>
        <x:v>+60172327007</x:v>
      </x:c>
      <x:c r="E205" s="21" t="str">
        <x:v>Fyda Aznan</x:v>
      </x:c>
      <x:c r="F205" s="21" t="str">
        <x:v>Member</x:v>
      </x:c>
      <x:c r="G205" s="46" t="str">
        <x:f>"60172327007"</x:f>
        <x:v>60172327007</x:v>
      </x:c>
      <x:c r="H205" s="21" t="str">
        <x:v>Yes</x:v>
      </x:c>
      <x:c r="I205" s="21" t="str">
        <x:v>No</x:v>
      </x:c>
      <x:c r="J205" s="21" t="str">
        <x:v>No</x:v>
      </x:c>
      <x:c r="K205" s="21" t="str">
        <x:v>Included</x:v>
      </x:c>
      <x:c r="L205" s="21" t="str">
        <x:v>Peserta</x:v>
      </x:c>
    </x:row>
    <x:row r="206">
      <x:c r="A206" s="21" t="str">
        <x:v>whatsapp_group_numbers lazada 5-6.csv</x:v>
      </x:c>
      <x:c r="B206" s="21" t="str">
        <x:v>lazada 5-6</x:v>
      </x:c>
      <x:c r="C206" s="21" t="n">
        <x:v>10</x:v>
      </x:c>
      <x:c r="D206" s="46" t="str">
        <x:f>"+60194340880"</x:f>
        <x:v>+60194340880</x:v>
      </x:c>
      <x:c r="E206" s="21" t="str">
        <x:v>Ida Azhar</x:v>
      </x:c>
      <x:c r="F206" s="21" t="str">
        <x:v>Member</x:v>
      </x:c>
      <x:c r="G206" s="46" t="str">
        <x:f>"60194340880"</x:f>
        <x:v>60194340880</x:v>
      </x:c>
      <x:c r="H206" s="21" t="str">
        <x:v>Yes</x:v>
      </x:c>
      <x:c r="I206" s="21" t="str">
        <x:v>No</x:v>
      </x:c>
      <x:c r="J206" s="21" t="str">
        <x:v>No</x:v>
      </x:c>
      <x:c r="K206" s="21" t="str">
        <x:v>Included</x:v>
      </x:c>
      <x:c r="L206" s="21" t="str">
        <x:v>Peserta</x:v>
      </x:c>
    </x:row>
    <x:row r="207">
      <x:c r="A207" s="21" t="str">
        <x:v>whatsapp_group_numbers lazada 5-6.csv</x:v>
      </x:c>
      <x:c r="B207" s="21" t="str">
        <x:v>lazada 5-6</x:v>
      </x:c>
      <x:c r="C207" s="21" t="n">
        <x:v>11</x:v>
      </x:c>
      <x:c r="D207" s="46" t="str">
        <x:f>"+60166667241"</x:f>
        <x:v>+60166667241</x:v>
      </x:c>
      <x:c r="E207" s="21" t="str">
        <x:v>Khalid Steak Lid and Footy Collector</x:v>
      </x:c>
      <x:c r="F207" s="21" t="str">
        <x:v>Member</x:v>
      </x:c>
      <x:c r="G207" s="46" t="str">
        <x:f>"60166667241"</x:f>
        <x:v>60166667241</x:v>
      </x:c>
      <x:c r="H207" s="21" t="str">
        <x:v>Yes</x:v>
      </x:c>
      <x:c r="I207" s="21" t="str">
        <x:v>No</x:v>
      </x:c>
      <x:c r="J207" s="21" t="str">
        <x:v>No</x:v>
      </x:c>
      <x:c r="K207" s="21" t="str">
        <x:v>Included</x:v>
      </x:c>
      <x:c r="L207" s="21" t="str">
        <x:v>Peserta</x:v>
      </x:c>
    </x:row>
    <x:row r="208">
      <x:c r="A208" s="21" t="str">
        <x:v>whatsapp_group_numbers lazada 5-6.csv</x:v>
      </x:c>
      <x:c r="B208" s="21" t="str">
        <x:v>lazada 5-6</x:v>
      </x:c>
      <x:c r="C208" s="21" t="n">
        <x:v>12</x:v>
      </x:c>
      <x:c r="D208" s="46" t="str">
        <x:f>"+60163310272"</x:f>
        <x:v>+60163310272</x:v>
      </x:c>
      <x:c r="E208" s="21" t="str">
        <x:v>Ryzal Hatta Your Trusted Partners</x:v>
      </x:c>
      <x:c r="F208" s="21" t="str">
        <x:v>Member</x:v>
      </x:c>
      <x:c r="G208" s="46" t="str">
        <x:f>"60163310272"</x:f>
        <x:v>60163310272</x:v>
      </x:c>
      <x:c r="H208" s="21" t="str">
        <x:v>Yes</x:v>
      </x:c>
      <x:c r="I208" s="21" t="str">
        <x:v>No</x:v>
      </x:c>
      <x:c r="J208" s="21" t="str">
        <x:v>No</x:v>
      </x:c>
      <x:c r="K208" s="21" t="str">
        <x:v>Included</x:v>
      </x:c>
      <x:c r="L208" s="21" t="str">
        <x:v>Peserta</x:v>
      </x:c>
    </x:row>
    <x:row r="209">
      <x:c r="A209" s="21" t="str">
        <x:v>whatsapp_group_numbers lazada 5-6.csv</x:v>
      </x:c>
      <x:c r="B209" s="21" t="str">
        <x:v>lazada 5-6</x:v>
      </x:c>
      <x:c r="C209" s="21" t="n">
        <x:v>13</x:v>
      </x:c>
      <x:c r="D209" s="46" t="str">
        <x:f>"+60192765752"</x:f>
        <x:v>+60192765752</x:v>
      </x:c>
      <x:c r="E209" s="21" t="str">
        <x:v>+60192765752</x:v>
      </x:c>
      <x:c r="F209" s="21" t="str">
        <x:v>Member</x:v>
      </x:c>
      <x:c r="G209" s="46" t="str">
        <x:f>"60192765752"</x:f>
        <x:v>60192765752</x:v>
      </x:c>
      <x:c r="H209" s="21" t="str">
        <x:v>Yes</x:v>
      </x:c>
      <x:c r="I209" s="21" t="str">
        <x:v>No</x:v>
      </x:c>
      <x:c r="J209" s="21" t="str">
        <x:v>No</x:v>
      </x:c>
      <x:c r="K209" s="21" t="str">
        <x:v>Included</x:v>
      </x:c>
      <x:c r="L209" s="21" t="str">
        <x:v>Peserta</x:v>
      </x:c>
    </x:row>
    <x:row r="210">
      <x:c r="A210" s="21" t="str">
        <x:v>whatsapp_group_numbers lazada 5-6.csv</x:v>
      </x:c>
      <x:c r="B210" s="21" t="str">
        <x:v>lazada 5-6</x:v>
      </x:c>
      <x:c r="C210" s="21" t="n">
        <x:v>14</x:v>
      </x:c>
      <x:c r="D210" s="46" t="str">
        <x:f>"+60124182455"</x:f>
        <x:v>+60124182455</x:v>
      </x:c>
      <x:c r="E210" s="21" t="str">
        <x:v>+60124182455</x:v>
      </x:c>
      <x:c r="F210" s="21" t="str">
        <x:v>Member</x:v>
      </x:c>
      <x:c r="G210" s="46" t="str">
        <x:f>"60124182455"</x:f>
        <x:v>60124182455</x:v>
      </x:c>
      <x:c r="H210" s="21" t="str">
        <x:v>Yes</x:v>
      </x:c>
      <x:c r="I210" s="21" t="str">
        <x:v>No</x:v>
      </x:c>
      <x:c r="J210" s="21" t="str">
        <x:v>No</x:v>
      </x:c>
      <x:c r="K210" s="21" t="str">
        <x:v>Included</x:v>
      </x:c>
      <x:c r="L210" s="21" t="str">
        <x:v>Peserta</x:v>
      </x:c>
    </x:row>
    <x:row r="211">
      <x:c r="A211" s="21" t="str">
        <x:v>whatsapp_group_numbers lazada 5-6.csv</x:v>
      </x:c>
      <x:c r="B211" s="21" t="str">
        <x:v>lazada 5-6</x:v>
      </x:c>
      <x:c r="C211" s="21" t="n">
        <x:v>15</x:v>
      </x:c>
      <x:c r="D211" s="46" t="str">
        <x:f>"+60133519870"</x:f>
        <x:v>+60133519870</x:v>
      </x:c>
      <x:c r="E211" s="21" t="str">
        <x:v>+60133519870</x:v>
      </x:c>
      <x:c r="F211" s="21" t="str">
        <x:v>Member</x:v>
      </x:c>
      <x:c r="G211" s="46" t="str">
        <x:f>"60133519870"</x:f>
        <x:v>60133519870</x:v>
      </x:c>
      <x:c r="H211" s="21" t="str">
        <x:v>Yes</x:v>
      </x:c>
      <x:c r="I211" s="21" t="str">
        <x:v>No</x:v>
      </x:c>
      <x:c r="J211" s="21" t="str">
        <x:v>No</x:v>
      </x:c>
      <x:c r="K211" s="21" t="str">
        <x:v>Included</x:v>
      </x:c>
      <x:c r="L211" s="21" t="str">
        <x:v>Peserta</x:v>
      </x:c>
    </x:row>
    <x:row r="212">
      <x:c r="A212" s="21" t="str">
        <x:v>whatsapp_group_numbers lazada 5-6.csv</x:v>
      </x:c>
      <x:c r="B212" s="21" t="str">
        <x:v>lazada 5-6</x:v>
      </x:c>
      <x:c r="C212" s="21" t="n">
        <x:v>16</x:v>
      </x:c>
      <x:c r="D212" s="46" t="str">
        <x:f>"+60146098585"</x:f>
        <x:v>+60146098585</x:v>
      </x:c>
      <x:c r="E212" s="21" t="str">
        <x:v>+60146098585</x:v>
      </x:c>
      <x:c r="F212" s="21" t="str">
        <x:v>Member</x:v>
      </x:c>
      <x:c r="G212" s="46" t="str">
        <x:f>"60146098585"</x:f>
        <x:v>60146098585</x:v>
      </x:c>
      <x:c r="H212" s="21" t="str">
        <x:v>Yes</x:v>
      </x:c>
      <x:c r="I212" s="21" t="str">
        <x:v>No</x:v>
      </x:c>
      <x:c r="J212" s="21" t="str">
        <x:v>No</x:v>
      </x:c>
      <x:c r="K212" s="21" t="str">
        <x:v>Included</x:v>
      </x:c>
      <x:c r="L212" s="21" t="str">
        <x:v>Peserta</x:v>
      </x:c>
    </x:row>
    <x:row r="213">
      <x:c r="A213" s="21" t="str">
        <x:v>whatsapp_group_numbers lazada 5-6.csv</x:v>
      </x:c>
      <x:c r="B213" s="21" t="str">
        <x:v>lazada 5-6</x:v>
      </x:c>
      <x:c r="C213" s="21" t="n">
        <x:v>17</x:v>
      </x:c>
      <x:c r="D213" s="46" t="str">
        <x:f>"+60197312359"</x:f>
        <x:v>+60197312359</x:v>
      </x:c>
      <x:c r="E213" s="21" t="str">
        <x:v>+60197312359</x:v>
      </x:c>
      <x:c r="F213" s="21" t="str">
        <x:v>Member</x:v>
      </x:c>
      <x:c r="G213" s="46" t="str">
        <x:f>"60197312359"</x:f>
        <x:v>60197312359</x:v>
      </x:c>
      <x:c r="H213" s="21" t="str">
        <x:v>Yes</x:v>
      </x:c>
      <x:c r="I213" s="21" t="str">
        <x:v>No</x:v>
      </x:c>
      <x:c r="J213" s="21" t="str">
        <x:v>No</x:v>
      </x:c>
      <x:c r="K213" s="21" t="str">
        <x:v>Included</x:v>
      </x:c>
      <x:c r="L213" s="21" t="str">
        <x:v>Peserta</x:v>
      </x:c>
    </x:row>
    <x:row r="214">
      <x:c r="A214" s="21" t="str">
        <x:v>whatsapp_group_numbers lazada 5-6.csv</x:v>
      </x:c>
      <x:c r="B214" s="21" t="str">
        <x:v>lazada 5-6</x:v>
      </x:c>
      <x:c r="C214" s="21" t="n">
        <x:v>18</x:v>
      </x:c>
      <x:c r="D214" s="46" t="str">
        <x:f>"+601126255742"</x:f>
        <x:v>+601126255742</x:v>
      </x:c>
      <x:c r="E214" s="21" t="str">
        <x:v>+601126255742</x:v>
      </x:c>
      <x:c r="F214" s="21" t="str">
        <x:v>Member</x:v>
      </x:c>
      <x:c r="G214" s="46" t="str">
        <x:f>"601126255742"</x:f>
        <x:v>601126255742</x:v>
      </x:c>
      <x:c r="H214" s="21" t="str">
        <x:v>Yes</x:v>
      </x:c>
      <x:c r="I214" s="21" t="str">
        <x:v>No</x:v>
      </x:c>
      <x:c r="J214" s="21" t="str">
        <x:v>No</x:v>
      </x:c>
      <x:c r="K214" s="21" t="str">
        <x:v>Included</x:v>
      </x:c>
      <x:c r="L214" s="21" t="str">
        <x:v>Peserta</x:v>
      </x:c>
    </x:row>
    <x:row r="215">
      <x:c r="A215" s="21" t="str">
        <x:v>whatsapp_group_numbers lazada 5-6.csv</x:v>
      </x:c>
      <x:c r="B215" s="21" t="str">
        <x:v>lazada 5-6</x:v>
      </x:c>
      <x:c r="C215" s="21" t="n">
        <x:v>19</x:v>
      </x:c>
      <x:c r="D215" s="46" t="str">
        <x:f>"+60122683455"</x:f>
        <x:v>+60122683455</x:v>
      </x:c>
      <x:c r="E215" s="21" t="str">
        <x:v>+60122683455</x:v>
      </x:c>
      <x:c r="F215" s="21" t="str">
        <x:v>Member</x:v>
      </x:c>
      <x:c r="G215" s="46" t="str">
        <x:f>"60122683455"</x:f>
        <x:v>60122683455</x:v>
      </x:c>
      <x:c r="H215" s="21" t="str">
        <x:v>Yes</x:v>
      </x:c>
      <x:c r="I215" s="21" t="str">
        <x:v>No</x:v>
      </x:c>
      <x:c r="J215" s="21" t="str">
        <x:v>No</x:v>
      </x:c>
      <x:c r="K215" s="21" t="str">
        <x:v>Included</x:v>
      </x:c>
      <x:c r="L215" s="21" t="str">
        <x:v>Peserta</x:v>
      </x:c>
    </x:row>
    <x:row r="216">
      <x:c r="A216" s="21" t="str">
        <x:v>whatsapp_group_numbers lazada 5-6.csv</x:v>
      </x:c>
      <x:c r="B216" s="21" t="str">
        <x:v>lazada 5-6</x:v>
      </x:c>
      <x:c r="C216" s="21" t="n">
        <x:v>20</x:v>
      </x:c>
      <x:c r="D216" s="46" t="str">
        <x:f>"+60123105158"</x:f>
        <x:v>+60123105158</x:v>
      </x:c>
      <x:c r="E216" s="21" t="str">
        <x:v>+60123105158</x:v>
      </x:c>
      <x:c r="F216" s="21" t="str">
        <x:v>Member</x:v>
      </x:c>
      <x:c r="G216" s="46" t="str">
        <x:f>"60123105158"</x:f>
        <x:v>60123105158</x:v>
      </x:c>
      <x:c r="H216" s="21" t="str">
        <x:v>Yes</x:v>
      </x:c>
      <x:c r="I216" s="21" t="str">
        <x:v>No</x:v>
      </x:c>
      <x:c r="J216" s="21" t="str">
        <x:v>No</x:v>
      </x:c>
      <x:c r="K216" s="21" t="str">
        <x:v>Included</x:v>
      </x:c>
      <x:c r="L216" s="21" t="str">
        <x:v>Peserta</x:v>
      </x:c>
    </x:row>
    <x:row r="217">
      <x:c r="A217" s="21" t="str">
        <x:v>whatsapp_group_numbers lazada 5-6.csv</x:v>
      </x:c>
      <x:c r="B217" s="21" t="str">
        <x:v>lazada 5-6</x:v>
      </x:c>
      <x:c r="C217" s="21" t="n">
        <x:v>21</x:v>
      </x:c>
      <x:c r="D217" s="46" t="str">
        <x:f>"+60174243743"</x:f>
        <x:v>+60174243743</x:v>
      </x:c>
      <x:c r="E217" s="21" t="str">
        <x:v>+60174243743</x:v>
      </x:c>
      <x:c r="F217" s="21" t="str">
        <x:v>Member</x:v>
      </x:c>
      <x:c r="G217" s="46" t="str">
        <x:f>"60174243743"</x:f>
        <x:v>60174243743</x:v>
      </x:c>
      <x:c r="H217" s="21" t="str">
        <x:v>Yes</x:v>
      </x:c>
      <x:c r="I217" s="21" t="str">
        <x:v>No</x:v>
      </x:c>
      <x:c r="J217" s="21" t="str">
        <x:v>No</x:v>
      </x:c>
      <x:c r="K217" s="21" t="str">
        <x:v>Included</x:v>
      </x:c>
      <x:c r="L217" s="21" t="str">
        <x:v>Peserta</x:v>
      </x:c>
    </x:row>
    <x:row r="218">
      <x:c r="A218" s="21" t="str">
        <x:v>whatsapp_group_numbers lazada 5-6.csv</x:v>
      </x:c>
      <x:c r="B218" s="21" t="str">
        <x:v>lazada 5-6</x:v>
      </x:c>
      <x:c r="C218" s="21" t="n">
        <x:v>22</x:v>
      </x:c>
      <x:c r="D218" s="46" t="str">
        <x:f>"+60139448360"</x:f>
        <x:v>+60139448360</x:v>
      </x:c>
      <x:c r="E218" s="21" t="str">
        <x:v>+60139448360</x:v>
      </x:c>
      <x:c r="F218" s="21" t="str">
        <x:v>Member</x:v>
      </x:c>
      <x:c r="G218" s="46" t="str">
        <x:f>"60139448360"</x:f>
        <x:v>60139448360</x:v>
      </x:c>
      <x:c r="H218" s="21" t="str">
        <x:v>Yes</x:v>
      </x:c>
      <x:c r="I218" s="21" t="str">
        <x:v>No</x:v>
      </x:c>
      <x:c r="J218" s="21" t="str">
        <x:v>No</x:v>
      </x:c>
      <x:c r="K218" s="21" t="str">
        <x:v>Included</x:v>
      </x:c>
      <x:c r="L218" s="21" t="str">
        <x:v>Peserta</x:v>
      </x:c>
    </x:row>
    <x:row r="219">
      <x:c r="A219" s="21" t="str">
        <x:v>whatsapp_group_numbers lazada 5-6.csv</x:v>
      </x:c>
      <x:c r="B219" s="21" t="str">
        <x:v>lazada 5-6</x:v>
      </x:c>
      <x:c r="C219" s="21" t="n">
        <x:v>23</x:v>
      </x:c>
      <x:c r="D219" s="46" t="str">
        <x:f>"+60126077335"</x:f>
        <x:v>+60126077335</x:v>
      </x:c>
      <x:c r="E219" s="21" t="str">
        <x:v>+60126077335</x:v>
      </x:c>
      <x:c r="F219" s="21" t="str">
        <x:v>Member</x:v>
      </x:c>
      <x:c r="G219" s="46" t="str">
        <x:f>"60126077335"</x:f>
        <x:v>60126077335</x:v>
      </x:c>
      <x:c r="H219" s="21" t="str">
        <x:v>Yes</x:v>
      </x:c>
      <x:c r="I219" s="21" t="str">
        <x:v>No</x:v>
      </x:c>
      <x:c r="J219" s="21" t="str">
        <x:v>No</x:v>
      </x:c>
      <x:c r="K219" s="21" t="str">
        <x:v>Included</x:v>
      </x:c>
      <x:c r="L219" s="21" t="str">
        <x:v>Peserta</x:v>
      </x:c>
    </x:row>
    <x:row r="220">
      <x:c r="A220" s="21" t="str">
        <x:v>whatsapp_group_numbers mcbr02.csv</x:v>
      </x:c>
      <x:c r="B220" s="21" t="str">
        <x:v>mcbr02</x:v>
      </x:c>
      <x:c r="C220" s="21" t="n">
        <x:v>1</x:v>
      </x:c>
      <x:c r="D220" s="46" t="str">
        <x:f>"+601126032061"</x:f>
        <x:v>+601126032061</x:v>
      </x:c>
      <x:c r="E220" s="21" t="str">
        <x:v>Abang Muhammad MDEC</x:v>
      </x:c>
      <x:c r="F220" s="21" t="str">
        <x:v>Member</x:v>
      </x:c>
      <x:c r="G220" s="46" t="str">
        <x:f>"601126032061"</x:f>
        <x:v>601126032061</x:v>
      </x:c>
      <x:c r="H220" s="21" t="str">
        <x:v>Yes</x:v>
      </x:c>
      <x:c r="I220" s="21" t="str">
        <x:v>No</x:v>
      </x:c>
      <x:c r="J220" s="21" t="str">
        <x:v>No</x:v>
      </x:c>
      <x:c r="K220" s="21" t="str">
        <x:v>Excluded</x:v>
      </x:c>
      <x:c r="L220" s="21" t="str">
        <x:v>Senarai pengecualian manual pengguna</x:v>
      </x:c>
    </x:row>
    <x:row r="221">
      <x:c r="A221" s="21" t="str">
        <x:v>whatsapp_group_numbers mcbr02.csv</x:v>
      </x:c>
      <x:c r="B221" s="21" t="str">
        <x:v>mcbr02</x:v>
      </x:c>
      <x:c r="C221" s="21" t="n">
        <x:v>2</x:v>
      </x:c>
      <x:c r="D221" s="46" t="str">
        <x:f>"+60125542121"</x:f>
        <x:v>+60125542121</x:v>
      </x:c>
      <x:c r="E221" s="21" t="str">
        <x:v>Ashary</x:v>
      </x:c>
      <x:c r="F221" s="21" t="str">
        <x:v>Member</x:v>
      </x:c>
      <x:c r="G221" s="46" t="str">
        <x:f>"60125542121"</x:f>
        <x:v>60125542121</x:v>
      </x:c>
      <x:c r="H221" s="21" t="str">
        <x:v>Yes</x:v>
      </x:c>
      <x:c r="I221" s="21" t="str">
        <x:v>No</x:v>
      </x:c>
      <x:c r="J221" s="21" t="str">
        <x:v>No</x:v>
      </x:c>
      <x:c r="K221" s="21" t="str">
        <x:v>Included</x:v>
      </x:c>
      <x:c r="L221" s="21" t="str">
        <x:v>Peserta</x:v>
      </x:c>
    </x:row>
    <x:row r="222">
      <x:c r="A222" s="21" t="str">
        <x:v>whatsapp_group_numbers mcbr02.csv</x:v>
      </x:c>
      <x:c r="B222" s="21" t="str">
        <x:v>mcbr02</x:v>
      </x:c>
      <x:c r="C222" s="21" t="n">
        <x:v>3</x:v>
      </x:c>
      <x:c r="D222" s="46" t="str">
        <x:f>"+60174152078"</x:f>
        <x:v>+60174152078</x:v>
      </x:c>
      <x:c r="E222" s="21" t="str">
        <x:v>azriehusainy Trainer</x:v>
      </x:c>
      <x:c r="F222" s="21" t="str">
        <x:v>Member</x:v>
      </x:c>
      <x:c r="G222" s="46" t="str">
        <x:f>"60174152078"</x:f>
        <x:v>60174152078</x:v>
      </x:c>
      <x:c r="H222" s="21" t="str">
        <x:v>Yes</x:v>
      </x:c>
      <x:c r="I222" s="21" t="str">
        <x:v>No</x:v>
      </x:c>
      <x:c r="J222" s="21" t="str">
        <x:v>No</x:v>
      </x:c>
      <x:c r="K222" s="21" t="str">
        <x:v>Included</x:v>
      </x:c>
      <x:c r="L222" s="21" t="str">
        <x:v>Peserta</x:v>
      </x:c>
    </x:row>
    <x:row r="223">
      <x:c r="A223" s="21" t="str">
        <x:v>whatsapp_group_numbers mcbr02.csv</x:v>
      </x:c>
      <x:c r="B223" s="21" t="str">
        <x:v>mcbr02</x:v>
      </x:c>
      <x:c r="C223" s="21" t="n">
        <x:v>4</x:v>
      </x:c>
      <x:c r="D223" s="46" t="str">
        <x:f>"+60193177658"</x:f>
        <x:v>+60193177658</x:v>
      </x:c>
      <x:c r="E223" s="21" t="str">
        <x:v>Badrul Kulitas Pilot Taiwan</x:v>
      </x:c>
      <x:c r="F223" s="21" t="str">
        <x:v>Member</x:v>
      </x:c>
      <x:c r="G223" s="46" t="str">
        <x:f>"60193177658"</x:f>
        <x:v>60193177658</x:v>
      </x:c>
      <x:c r="H223" s="21" t="str">
        <x:v>Yes</x:v>
      </x:c>
      <x:c r="I223" s="21" t="str">
        <x:v>No</x:v>
      </x:c>
      <x:c r="J223" s="21" t="str">
        <x:v>No</x:v>
      </x:c>
      <x:c r="K223" s="21" t="str">
        <x:v>Included</x:v>
      </x:c>
      <x:c r="L223" s="21" t="str">
        <x:v>Peserta</x:v>
      </x:c>
    </x:row>
    <x:row r="224">
      <x:c r="A224" s="21" t="str">
        <x:v>whatsapp_group_numbers mcbr02.csv</x:v>
      </x:c>
      <x:c r="B224" s="21" t="str">
        <x:v>mcbr02</x:v>
      </x:c>
      <x:c r="C224" s="21" t="n">
        <x:v>5</x:v>
      </x:c>
      <x:c r="D224" s="46" t="str">
        <x:f>"+60199888085"</x:f>
        <x:v>+60199888085</x:v>
      </x:c>
      <x:c r="E224" s="21" t="str">
        <x:v>Coach Along Fadzil</x:v>
      </x:c>
      <x:c r="F224" s="21" t="str">
        <x:v>Member</x:v>
      </x:c>
      <x:c r="G224" s="46" t="str">
        <x:f>"60199888085"</x:f>
        <x:v>60199888085</x:v>
      </x:c>
      <x:c r="H224" s="21" t="str">
        <x:v>Yes</x:v>
      </x:c>
      <x:c r="I224" s="21" t="str">
        <x:v>No</x:v>
      </x:c>
      <x:c r="J224" s="21" t="str">
        <x:v>No</x:v>
      </x:c>
      <x:c r="K224" s="21" t="str">
        <x:v>Excluded</x:v>
      </x:c>
      <x:c r="L224" s="21" t="str">
        <x:v>Senarai pengecualian manual pengguna</x:v>
      </x:c>
    </x:row>
    <x:row r="225">
      <x:c r="A225" s="21" t="str">
        <x:v>whatsapp_group_numbers mcbr02.csv</x:v>
      </x:c>
      <x:c r="B225" s="21" t="str">
        <x:v>mcbr02</x:v>
      </x:c>
      <x:c r="C225" s="21" t="n">
        <x:v>6</x:v>
      </x:c>
      <x:c r="D225" s="46" t="str">
        <x:f>"+60162335702"</x:f>
        <x:v>+60162335702</x:v>
      </x:c>
      <x:c r="E225" s="21" t="str">
        <x:v>Elis Dpim Putrajaya</x:v>
      </x:c>
      <x:c r="F225" s="21" t="str">
        <x:v>Member</x:v>
      </x:c>
      <x:c r="G225" s="46" t="str">
        <x:f>"60162335702"</x:f>
        <x:v>60162335702</x:v>
      </x:c>
      <x:c r="H225" s="21" t="str">
        <x:v>Yes</x:v>
      </x:c>
      <x:c r="I225" s="21" t="str">
        <x:v>No</x:v>
      </x:c>
      <x:c r="J225" s="21" t="str">
        <x:v>No</x:v>
      </x:c>
      <x:c r="K225" s="21" t="str">
        <x:v>Excluded</x:v>
      </x:c>
      <x:c r="L225" s="21" t="str">
        <x:v>Senarai pengecualian manual pengguna</x:v>
      </x:c>
    </x:row>
    <x:row r="226">
      <x:c r="A226" s="21" t="str">
        <x:v>whatsapp_group_numbers mcbr02.csv</x:v>
      </x:c>
      <x:c r="B226" s="21" t="str">
        <x:v>mcbr02</x:v>
      </x:c>
      <x:c r="C226" s="21" t="n">
        <x:v>7</x:v>
      </x:c>
      <x:c r="D226" s="46" t="str">
        <x:f>"+60133815817"</x:f>
        <x:v>+60133815817</x:v>
      </x:c>
      <x:c r="E226" s="21" t="str">
        <x:v>Kamarul Bahareen Kamarudin</x:v>
      </x:c>
      <x:c r="F226" s="21" t="str">
        <x:v>Member</x:v>
      </x:c>
      <x:c r="G226" s="46" t="str">
        <x:f>"60133815817"</x:f>
        <x:v>60133815817</x:v>
      </x:c>
      <x:c r="H226" s="21" t="str">
        <x:v>Yes</x:v>
      </x:c>
      <x:c r="I226" s="21" t="str">
        <x:v>No</x:v>
      </x:c>
      <x:c r="J226" s="21" t="str">
        <x:v>No</x:v>
      </x:c>
      <x:c r="K226" s="21" t="str">
        <x:v>Excluded</x:v>
      </x:c>
      <x:c r="L226" s="21" t="str">
        <x:v>Pemilik/trainer</x:v>
      </x:c>
    </x:row>
    <x:row r="227">
      <x:c r="A227" s="21" t="str">
        <x:v>whatsapp_group_numbers mcbr02.csv</x:v>
      </x:c>
      <x:c r="B227" s="21" t="str">
        <x:v>mcbr02</x:v>
      </x:c>
      <x:c r="C227" s="21" t="n">
        <x:v>8</x:v>
      </x:c>
      <x:c r="D227" s="46" t="str">
        <x:f>"+60127907477"</x:f>
        <x:v>+60127907477</x:v>
      </x:c>
      <x:c r="E227" s="21" t="str">
        <x:v>Syawal Evoing</x:v>
      </x:c>
      <x:c r="F227" s="21" t="str">
        <x:v>Member</x:v>
      </x:c>
      <x:c r="G227" s="46" t="str">
        <x:f>"60127907477"</x:f>
        <x:v>60127907477</x:v>
      </x:c>
      <x:c r="H227" s="21" t="str">
        <x:v>Yes</x:v>
      </x:c>
      <x:c r="I227" s="21" t="str">
        <x:v>No</x:v>
      </x:c>
      <x:c r="J227" s="21" t="str">
        <x:v>No</x:v>
      </x:c>
      <x:c r="K227" s="21" t="str">
        <x:v>Excluded</x:v>
      </x:c>
      <x:c r="L227" s="21" t="str">
        <x:v>Senarai pengecualian manual pengguna</x:v>
      </x:c>
    </x:row>
    <x:row r="228">
      <x:c r="A228" s="21" t="str">
        <x:v>whatsapp_group_numbers mcbr02.csv</x:v>
      </x:c>
      <x:c r="B228" s="21" t="str">
        <x:v>mcbr02</x:v>
      </x:c>
      <x:c r="C228" s="21" t="n">
        <x:v>9</x:v>
      </x:c>
      <x:c r="D228" s="46" t="str">
        <x:f>"+60178661675"</x:f>
        <x:v>+60178661675</x:v>
      </x:c>
      <x:c r="E228" s="21" t="str">
        <x:v>A.Z.A.M.</x:v>
      </x:c>
      <x:c r="F228" s="21" t="str">
        <x:v>Member</x:v>
      </x:c>
      <x:c r="G228" s="46" t="str">
        <x:f>"60178661675"</x:f>
        <x:v>60178661675</x:v>
      </x:c>
      <x:c r="H228" s="21" t="str">
        <x:v>Yes</x:v>
      </x:c>
      <x:c r="I228" s="21" t="str">
        <x:v>No</x:v>
      </x:c>
      <x:c r="J228" s="21" t="str">
        <x:v>No</x:v>
      </x:c>
      <x:c r="K228" s="21" t="str">
        <x:v>Included</x:v>
      </x:c>
      <x:c r="L228" s="21" t="str">
        <x:v>Peserta</x:v>
      </x:c>
    </x:row>
    <x:row r="229">
      <x:c r="A229" s="21" t="str">
        <x:v>whatsapp_group_numbers mcbr02.csv</x:v>
      </x:c>
      <x:c r="B229" s="21" t="str">
        <x:v>mcbr02</x:v>
      </x:c>
      <x:c r="C229" s="21" t="n">
        <x:v>10</x:v>
      </x:c>
      <x:c r="D229" s="46" t="str">
        <x:f>"+60127082728"</x:f>
        <x:v>+60127082728</x:v>
      </x:c>
      <x:c r="E229" s="21" t="str">
        <x:v>Abdul Rahman</x:v>
      </x:c>
      <x:c r="F229" s="21" t="str">
        <x:v>Member</x:v>
      </x:c>
      <x:c r="G229" s="46" t="str">
        <x:f>"60127082728"</x:f>
        <x:v>60127082728</x:v>
      </x:c>
      <x:c r="H229" s="21" t="str">
        <x:v>Yes</x:v>
      </x:c>
      <x:c r="I229" s="21" t="str">
        <x:v>No</x:v>
      </x:c>
      <x:c r="J229" s="21" t="str">
        <x:v>No</x:v>
      </x:c>
      <x:c r="K229" s="21" t="str">
        <x:v>Included</x:v>
      </x:c>
      <x:c r="L229" s="21" t="str">
        <x:v>Peserta</x:v>
      </x:c>
    </x:row>
    <x:row r="230">
      <x:c r="A230" s="21" t="str">
        <x:v>whatsapp_group_numbers mcbr02.csv</x:v>
      </x:c>
      <x:c r="B230" s="21" t="str">
        <x:v>mcbr02</x:v>
      </x:c>
      <x:c r="C230" s="21" t="n">
        <x:v>11</x:v>
      </x:c>
      <x:c r="D230" s="46" t="str">
        <x:f>"+60183534473"</x:f>
        <x:v>+60183534473</x:v>
      </x:c>
      <x:c r="E230" s="21" t="str">
        <x:v>Bittersweet</x:v>
      </x:c>
      <x:c r="F230" s="21" t="str">
        <x:v>Member</x:v>
      </x:c>
      <x:c r="G230" s="46" t="str">
        <x:f>"60183534473"</x:f>
        <x:v>60183534473</x:v>
      </x:c>
      <x:c r="H230" s="21" t="str">
        <x:v>Yes</x:v>
      </x:c>
      <x:c r="I230" s="21" t="str">
        <x:v>No</x:v>
      </x:c>
      <x:c r="J230" s="21" t="str">
        <x:v>No</x:v>
      </x:c>
      <x:c r="K230" s="21" t="str">
        <x:v>Included</x:v>
      </x:c>
      <x:c r="L230" s="21" t="str">
        <x:v>Peserta</x:v>
      </x:c>
    </x:row>
    <x:row r="231">
      <x:c r="A231" s="21" t="str">
        <x:v>whatsapp_group_numbers mcbr02.csv</x:v>
      </x:c>
      <x:c r="B231" s="21" t="str">
        <x:v>mcbr02</x:v>
      </x:c>
      <x:c r="C231" s="21" t="n">
        <x:v>12</x:v>
      </x:c>
      <x:c r="D231" s="46" t="str">
        <x:f>"+60165994872"</x:f>
        <x:v>+60165994872</x:v>
      </x:c>
      <x:c r="E231" s="21" t="str">
        <x:v>Cikgu Zabidi</x:v>
      </x:c>
      <x:c r="F231" s="21" t="str">
        <x:v>Member</x:v>
      </x:c>
      <x:c r="G231" s="46" t="str">
        <x:f>"60165994872"</x:f>
        <x:v>60165994872</x:v>
      </x:c>
      <x:c r="H231" s="21" t="str">
        <x:v>Yes</x:v>
      </x:c>
      <x:c r="I231" s="21" t="str">
        <x:v>No</x:v>
      </x:c>
      <x:c r="J231" s="21" t="str">
        <x:v>No</x:v>
      </x:c>
      <x:c r="K231" s="21" t="str">
        <x:v>Included</x:v>
      </x:c>
      <x:c r="L231" s="21" t="str">
        <x:v>Peserta</x:v>
      </x:c>
    </x:row>
    <x:row r="232">
      <x:c r="A232" s="21" t="str">
        <x:v>whatsapp_group_numbers mcbr02.csv</x:v>
      </x:c>
      <x:c r="B232" s="21" t="str">
        <x:v>mcbr02</x:v>
      </x:c>
      <x:c r="C232" s="21" t="n">
        <x:v>13</x:v>
      </x:c>
      <x:c r="D232" s="46" t="str">
        <x:f>"+60197890801"</x:f>
        <x:v>+60197890801</x:v>
      </x:c>
      <x:c r="E232" s="21" t="str">
        <x:v>Ecotrac Adventure &amp; Ecotree Camp</x:v>
      </x:c>
      <x:c r="F232" s="21" t="str">
        <x:v>Member</x:v>
      </x:c>
      <x:c r="G232" s="46" t="str">
        <x:f>"60197890801"</x:f>
        <x:v>60197890801</x:v>
      </x:c>
      <x:c r="H232" s="21" t="str">
        <x:v>Yes</x:v>
      </x:c>
      <x:c r="I232" s="21" t="str">
        <x:v>No</x:v>
      </x:c>
      <x:c r="J232" s="21" t="str">
        <x:v>No</x:v>
      </x:c>
      <x:c r="K232" s="21" t="str">
        <x:v>Included</x:v>
      </x:c>
      <x:c r="L232" s="21" t="str">
        <x:v>Peserta</x:v>
      </x:c>
    </x:row>
    <x:row r="233">
      <x:c r="A233" s="21" t="str">
        <x:v>whatsapp_group_numbers mcbr02.csv</x:v>
      </x:c>
      <x:c r="B233" s="21" t="str">
        <x:v>mcbr02</x:v>
      </x:c>
      <x:c r="C233" s="21" t="n">
        <x:v>14</x:v>
      </x:c>
      <x:c r="D233" s="46" t="str">
        <x:f>"+60138891426"</x:f>
        <x:v>+60138891426</x:v>
      </x:c>
      <x:c r="E233" s="21" t="str">
        <x:v>El-Ofya</x:v>
      </x:c>
      <x:c r="F233" s="21" t="str">
        <x:v>Member</x:v>
      </x:c>
      <x:c r="G233" s="46" t="str">
        <x:f>"60138891426"</x:f>
        <x:v>60138891426</x:v>
      </x:c>
      <x:c r="H233" s="21" t="str">
        <x:v>Yes</x:v>
      </x:c>
      <x:c r="I233" s="21" t="str">
        <x:v>No</x:v>
      </x:c>
      <x:c r="J233" s="21" t="str">
        <x:v>No</x:v>
      </x:c>
      <x:c r="K233" s="21" t="str">
        <x:v>Included</x:v>
      </x:c>
      <x:c r="L233" s="21" t="str">
        <x:v>Peserta</x:v>
      </x:c>
    </x:row>
    <x:row r="234">
      <x:c r="A234" s="21" t="str">
        <x:v>whatsapp_group_numbers mcbr02.csv</x:v>
      </x:c>
      <x:c r="B234" s="21" t="str">
        <x:v>mcbr02</x:v>
      </x:c>
      <x:c r="C234" s="21" t="n">
        <x:v>15</x:v>
      </x:c>
      <x:c r="D234" s="46" t="str">
        <x:f>"+60172041231"</x:f>
        <x:v>+60172041231</x:v>
      </x:c>
      <x:c r="E234" s="21" t="str">
        <x:v>Faizal Aziz</x:v>
      </x:c>
      <x:c r="F234" s="21" t="str">
        <x:v>Member</x:v>
      </x:c>
      <x:c r="G234" s="46" t="str">
        <x:f>"60172041231"</x:f>
        <x:v>60172041231</x:v>
      </x:c>
      <x:c r="H234" s="21" t="str">
        <x:v>Yes</x:v>
      </x:c>
      <x:c r="I234" s="21" t="str">
        <x:v>No</x:v>
      </x:c>
      <x:c r="J234" s="21" t="str">
        <x:v>No</x:v>
      </x:c>
      <x:c r="K234" s="21" t="str">
        <x:v>Included</x:v>
      </x:c>
      <x:c r="L234" s="21" t="str">
        <x:v>Peserta</x:v>
      </x:c>
    </x:row>
    <x:row r="235">
      <x:c r="A235" s="21" t="str">
        <x:v>whatsapp_group_numbers mcbr02.csv</x:v>
      </x:c>
      <x:c r="B235" s="21" t="str">
        <x:v>mcbr02</x:v>
      </x:c>
      <x:c r="C235" s="21" t="n">
        <x:v>16</x:v>
      </x:c>
      <x:c r="D235" s="46" t="str">
        <x:f>"+60108488498"</x:f>
        <x:v>+60108488498</x:v>
      </x:c>
      <x:c r="E235" s="21" t="str">
        <x:v>fnz print</x:v>
      </x:c>
      <x:c r="F235" s="21" t="str">
        <x:v>Member</x:v>
      </x:c>
      <x:c r="G235" s="46" t="str">
        <x:f>"60108488498"</x:f>
        <x:v>60108488498</x:v>
      </x:c>
      <x:c r="H235" s="21" t="str">
        <x:v>Yes</x:v>
      </x:c>
      <x:c r="I235" s="21" t="str">
        <x:v>No</x:v>
      </x:c>
      <x:c r="J235" s="21" t="str">
        <x:v>No</x:v>
      </x:c>
      <x:c r="K235" s="21" t="str">
        <x:v>Included</x:v>
      </x:c>
      <x:c r="L235" s="21" t="str">
        <x:v>Peserta</x:v>
      </x:c>
    </x:row>
    <x:row r="236">
      <x:c r="A236" s="21" t="str">
        <x:v>whatsapp_group_numbers mcbr02.csv</x:v>
      </x:c>
      <x:c r="B236" s="21" t="str">
        <x:v>mcbr02</x:v>
      </x:c>
      <x:c r="C236" s="21" t="n">
        <x:v>17</x:v>
      </x:c>
      <x:c r="D236" s="46" t="str">
        <x:f>"+60126274743"</x:f>
        <x:v>+60126274743</x:v>
      </x:c>
      <x:c r="E236" s="21" t="str">
        <x:v>Hazian Ghazali</x:v>
      </x:c>
      <x:c r="F236" s="21" t="str">
        <x:v>Member</x:v>
      </x:c>
      <x:c r="G236" s="46" t="str">
        <x:f>"60126274743"</x:f>
        <x:v>60126274743</x:v>
      </x:c>
      <x:c r="H236" s="21" t="str">
        <x:v>Yes</x:v>
      </x:c>
      <x:c r="I236" s="21" t="str">
        <x:v>No</x:v>
      </x:c>
      <x:c r="J236" s="21" t="str">
        <x:v>No</x:v>
      </x:c>
      <x:c r="K236" s="21" t="str">
        <x:v>Included</x:v>
      </x:c>
      <x:c r="L236" s="21" t="str">
        <x:v>Peserta</x:v>
      </x:c>
    </x:row>
    <x:row r="237">
      <x:c r="A237" s="21" t="str">
        <x:v>whatsapp_group_numbers mcbr02.csv</x:v>
      </x:c>
      <x:c r="B237" s="21" t="str">
        <x:v>mcbr02</x:v>
      </x:c>
      <x:c r="C237" s="21" t="n">
        <x:v>18</x:v>
      </x:c>
      <x:c r="D237" s="46" t="str">
        <x:f>"+60197311458"</x:f>
        <x:v>+60197311458</x:v>
      </x:c>
      <x:c r="E237" s="21" t="str">
        <x:v>NurFazzLen1705</x:v>
      </x:c>
      <x:c r="F237" s="21" t="str">
        <x:v>Member</x:v>
      </x:c>
      <x:c r="G237" s="46" t="str">
        <x:f>"60197311458"</x:f>
        <x:v>60197311458</x:v>
      </x:c>
      <x:c r="H237" s="21" t="str">
        <x:v>Yes</x:v>
      </x:c>
      <x:c r="I237" s="21" t="str">
        <x:v>No</x:v>
      </x:c>
      <x:c r="J237" s="21" t="str">
        <x:v>No</x:v>
      </x:c>
      <x:c r="K237" s="21" t="str">
        <x:v>Included</x:v>
      </x:c>
      <x:c r="L237" s="21" t="str">
        <x:v>Peserta</x:v>
      </x:c>
    </x:row>
    <x:row r="238">
      <x:c r="A238" s="21" t="str">
        <x:v>whatsapp_group_numbers mcbr02.csv</x:v>
      </x:c>
      <x:c r="B238" s="21" t="str">
        <x:v>mcbr02</x:v>
      </x:c>
      <x:c r="C238" s="21" t="n">
        <x:v>19</x:v>
      </x:c>
      <x:c r="D238" s="46" t="str">
        <x:f>"+60183638964"</x:f>
        <x:v>+60183638964</x:v>
      </x:c>
      <x:c r="E238" s="21" t="str">
        <x:v>RCI X HEDIYE</x:v>
      </x:c>
      <x:c r="F238" s="21" t="str">
        <x:v>Member</x:v>
      </x:c>
      <x:c r="G238" s="46" t="str">
        <x:f>"60183638964"</x:f>
        <x:v>60183638964</x:v>
      </x:c>
      <x:c r="H238" s="21" t="str">
        <x:v>Yes</x:v>
      </x:c>
      <x:c r="I238" s="21" t="str">
        <x:v>No</x:v>
      </x:c>
      <x:c r="J238" s="21" t="str">
        <x:v>No</x:v>
      </x:c>
      <x:c r="K238" s="21" t="str">
        <x:v>Included</x:v>
      </x:c>
      <x:c r="L238" s="21" t="str">
        <x:v>Peserta</x:v>
      </x:c>
    </x:row>
    <x:row r="239">
      <x:c r="A239" s="21" t="str">
        <x:v>whatsapp_group_numbers mcbr02.csv</x:v>
      </x:c>
      <x:c r="B239" s="21" t="str">
        <x:v>mcbr02</x:v>
      </x:c>
      <x:c r="C239" s="21" t="n">
        <x:v>20</x:v>
      </x:c>
      <x:c r="D239" s="46" t="str">
        <x:f>"+60104347093"</x:f>
        <x:v>+60104347093</x:v>
      </x:c>
      <x:c r="E239" s="21" t="str">
        <x:v>Tarmizi Nirmat</x:v>
      </x:c>
      <x:c r="F239" s="21" t="str">
        <x:v>Member</x:v>
      </x:c>
      <x:c r="G239" s="46" t="str">
        <x:f>"60104347093"</x:f>
        <x:v>60104347093</x:v>
      </x:c>
      <x:c r="H239" s="21" t="str">
        <x:v>Yes</x:v>
      </x:c>
      <x:c r="I239" s="21" t="str">
        <x:v>No</x:v>
      </x:c>
      <x:c r="J239" s="21" t="str">
        <x:v>No</x:v>
      </x:c>
      <x:c r="K239" s="21" t="str">
        <x:v>Included</x:v>
      </x:c>
      <x:c r="L239" s="21" t="str">
        <x:v>Peserta</x:v>
      </x:c>
    </x:row>
    <x:row r="240">
      <x:c r="A240" s="21" t="str">
        <x:v>whatsapp_group_numbers mcbr02.csv</x:v>
      </x:c>
      <x:c r="B240" s="21" t="str">
        <x:v>mcbr02</x:v>
      </x:c>
      <x:c r="C240" s="21" t="n">
        <x:v>21</x:v>
      </x:c>
      <x:c r="D240" s="46" t="str">
        <x:f>"+60164093239"</x:f>
        <x:v>+60164093239</x:v>
      </x:c>
      <x:c r="E240" s="21" t="str">
        <x:v>إيما برهان</x:v>
      </x:c>
      <x:c r="F240" s="21" t="str">
        <x:v>Member</x:v>
      </x:c>
      <x:c r="G240" s="46" t="str">
        <x:f>"60164093239"</x:f>
        <x:v>60164093239</x:v>
      </x:c>
      <x:c r="H240" s="21" t="str">
        <x:v>Yes</x:v>
      </x:c>
      <x:c r="I240" s="21" t="str">
        <x:v>No</x:v>
      </x:c>
      <x:c r="J240" s="21" t="str">
        <x:v>No</x:v>
      </x:c>
      <x:c r="K240" s="21" t="str">
        <x:v>Included</x:v>
      </x:c>
      <x:c r="L240" s="21" t="str">
        <x:v>Peserta</x:v>
      </x:c>
    </x:row>
    <x:row r="241">
      <x:c r="A241" s="21" t="str">
        <x:v>whatsapp_group_numbers mcbr02.csv</x:v>
      </x:c>
      <x:c r="B241" s="21" t="str">
        <x:v>mcbr02</x:v>
      </x:c>
      <x:c r="C241" s="21" t="n">
        <x:v>22</x:v>
      </x:c>
      <x:c r="D241" s="46" t="str">
        <x:f>"+60136177679"</x:f>
        <x:v>+60136177679</x:v>
      </x:c>
      <x:c r="E241" s="21" t="str">
        <x:v>+60136177679</x:v>
      </x:c>
      <x:c r="F241" s="21" t="str">
        <x:v>Member</x:v>
      </x:c>
      <x:c r="G241" s="46" t="str">
        <x:f>"60136177679"</x:f>
        <x:v>60136177679</x:v>
      </x:c>
      <x:c r="H241" s="21" t="str">
        <x:v>Yes</x:v>
      </x:c>
      <x:c r="I241" s="21" t="str">
        <x:v>No</x:v>
      </x:c>
      <x:c r="J241" s="21" t="str">
        <x:v>No</x:v>
      </x:c>
      <x:c r="K241" s="21" t="str">
        <x:v>Included</x:v>
      </x:c>
      <x:c r="L241" s="21" t="str">
        <x:v>Peserta</x:v>
      </x:c>
    </x:row>
    <x:row r="242">
      <x:c r="A242" s="21" t="str">
        <x:v>whatsapp_group_numbers mcbr02.csv</x:v>
      </x:c>
      <x:c r="B242" s="21" t="str">
        <x:v>mcbr02</x:v>
      </x:c>
      <x:c r="C242" s="21" t="n">
        <x:v>23</x:v>
      </x:c>
      <x:c r="D242" s="46" t="str">
        <x:f>"+60163174356"</x:f>
        <x:v>+60163174356</x:v>
      </x:c>
      <x:c r="E242" s="21" t="str">
        <x:v>+60163174356</x:v>
      </x:c>
      <x:c r="F242" s="21" t="str">
        <x:v>Member</x:v>
      </x:c>
      <x:c r="G242" s="46" t="str">
        <x:f>"60163174356"</x:f>
        <x:v>60163174356</x:v>
      </x:c>
      <x:c r="H242" s="21" t="str">
        <x:v>Yes</x:v>
      </x:c>
      <x:c r="I242" s="21" t="str">
        <x:v>No</x:v>
      </x:c>
      <x:c r="J242" s="21" t="str">
        <x:v>No</x:v>
      </x:c>
      <x:c r="K242" s="21" t="str">
        <x:v>Included</x:v>
      </x:c>
      <x:c r="L242" s="21" t="str">
        <x:v>Peserta</x:v>
      </x:c>
    </x:row>
    <x:row r="243">
      <x:c r="A243" s="21" t="str">
        <x:v>whatsapp_group_numbers mcbr02.csv</x:v>
      </x:c>
      <x:c r="B243" s="21" t="str">
        <x:v>mcbr02</x:v>
      </x:c>
      <x:c r="C243" s="21" t="n">
        <x:v>24</x:v>
      </x:c>
      <x:c r="D243" s="46" t="str">
        <x:f>"+60178888459"</x:f>
        <x:v>+60178888459</x:v>
      </x:c>
      <x:c r="E243" s="21" t="str">
        <x:v>+60178888459</x:v>
      </x:c>
      <x:c r="F243" s="21" t="str">
        <x:v>Member</x:v>
      </x:c>
      <x:c r="G243" s="46" t="str">
        <x:f>"60178888459"</x:f>
        <x:v>60178888459</x:v>
      </x:c>
      <x:c r="H243" s="21" t="str">
        <x:v>Yes</x:v>
      </x:c>
      <x:c r="I243" s="21" t="str">
        <x:v>No</x:v>
      </x:c>
      <x:c r="J243" s="21" t="str">
        <x:v>No</x:v>
      </x:c>
      <x:c r="K243" s="21" t="str">
        <x:v>Included</x:v>
      </x:c>
      <x:c r="L243" s="21" t="str">
        <x:v>Peserta</x:v>
      </x:c>
    </x:row>
    <x:row r="244">
      <x:c r="A244" s="21" t="str">
        <x:v>whatsapp_group_numbers mcbr02.csv</x:v>
      </x:c>
      <x:c r="B244" s="21" t="str">
        <x:v>mcbr02</x:v>
      </x:c>
      <x:c r="C244" s="21" t="n">
        <x:v>25</x:v>
      </x:c>
      <x:c r="D244" s="46" t="str">
        <x:f>"+60104061774"</x:f>
        <x:v>+60104061774</x:v>
      </x:c>
      <x:c r="E244" s="21" t="str">
        <x:v>+60104061774</x:v>
      </x:c>
      <x:c r="F244" s="21" t="str">
        <x:v>Member</x:v>
      </x:c>
      <x:c r="G244" s="46" t="str">
        <x:f>"60104061774"</x:f>
        <x:v>60104061774</x:v>
      </x:c>
      <x:c r="H244" s="21" t="str">
        <x:v>Yes</x:v>
      </x:c>
      <x:c r="I244" s="21" t="str">
        <x:v>No</x:v>
      </x:c>
      <x:c r="J244" s="21" t="str">
        <x:v>No</x:v>
      </x:c>
      <x:c r="K244" s="21" t="str">
        <x:v>Included</x:v>
      </x:c>
      <x:c r="L244" s="21" t="str">
        <x:v>Peserta</x:v>
      </x:c>
    </x:row>
    <x:row r="245">
      <x:c r="A245" s="21" t="str">
        <x:v>whatsapp_group_numbers mcbr02.csv</x:v>
      </x:c>
      <x:c r="B245" s="21" t="str">
        <x:v>mcbr02</x:v>
      </x:c>
      <x:c r="C245" s="21" t="n">
        <x:v>26</x:v>
      </x:c>
      <x:c r="D245" s="46" t="str">
        <x:f>"+60124138886"</x:f>
        <x:v>+60124138886</x:v>
      </x:c>
      <x:c r="E245" s="21" t="str">
        <x:v>+60124138886</x:v>
      </x:c>
      <x:c r="F245" s="21" t="str">
        <x:v>Member</x:v>
      </x:c>
      <x:c r="G245" s="46" t="str">
        <x:f>"60124138886"</x:f>
        <x:v>60124138886</x:v>
      </x:c>
      <x:c r="H245" s="21" t="str">
        <x:v>Yes</x:v>
      </x:c>
      <x:c r="I245" s="21" t="str">
        <x:v>No</x:v>
      </x:c>
      <x:c r="J245" s="21" t="str">
        <x:v>No</x:v>
      </x:c>
      <x:c r="K245" s="21" t="str">
        <x:v>Included</x:v>
      </x:c>
      <x:c r="L245" s="21" t="str">
        <x:v>Peserta</x:v>
      </x:c>
    </x:row>
    <x:row r="246">
      <x:c r="A246" s="21" t="str">
        <x:v>whatsapp_group_numbers mcbr02.csv</x:v>
      </x:c>
      <x:c r="B246" s="21" t="str">
        <x:v>mcbr02</x:v>
      </x:c>
      <x:c r="C246" s="21" t="n">
        <x:v>27</x:v>
      </x:c>
      <x:c r="D246" s="46" t="str">
        <x:f>"+60192044140"</x:f>
        <x:v>+60192044140</x:v>
      </x:c>
      <x:c r="E246" s="21" t="str">
        <x:v>+60192044140</x:v>
      </x:c>
      <x:c r="F246" s="21" t="str">
        <x:v>Member</x:v>
      </x:c>
      <x:c r="G246" s="46" t="str">
        <x:f>"60192044140"</x:f>
        <x:v>60192044140</x:v>
      </x:c>
      <x:c r="H246" s="21" t="str">
        <x:v>Yes</x:v>
      </x:c>
      <x:c r="I246" s="21" t="str">
        <x:v>No</x:v>
      </x:c>
      <x:c r="J246" s="21" t="str">
        <x:v>No</x:v>
      </x:c>
      <x:c r="K246" s="21" t="str">
        <x:v>Included</x:v>
      </x:c>
      <x:c r="L246" s="21" t="str">
        <x:v>Peserta</x:v>
      </x:c>
    </x:row>
    <x:row r="247">
      <x:c r="A247" s="21" t="str">
        <x:v>whatsapp_group_numbers mcbr02.csv</x:v>
      </x:c>
      <x:c r="B247" s="21" t="str">
        <x:v>mcbr02</x:v>
      </x:c>
      <x:c r="C247" s="21" t="n">
        <x:v>28</x:v>
      </x:c>
      <x:c r="D247" s="46" t="str">
        <x:f>"+60164836717"</x:f>
        <x:v>+60164836717</x:v>
      </x:c>
      <x:c r="E247" s="21" t="str">
        <x:v>+60164836717</x:v>
      </x:c>
      <x:c r="F247" s="21" t="str">
        <x:v>Member</x:v>
      </x:c>
      <x:c r="G247" s="46" t="str">
        <x:f>"60164836717"</x:f>
        <x:v>60164836717</x:v>
      </x:c>
      <x:c r="H247" s="21" t="str">
        <x:v>Yes</x:v>
      </x:c>
      <x:c r="I247" s="21" t="str">
        <x:v>No</x:v>
      </x:c>
      <x:c r="J247" s="21" t="str">
        <x:v>No</x:v>
      </x:c>
      <x:c r="K247" s="21" t="str">
        <x:v>Included</x:v>
      </x:c>
      <x:c r="L247" s="21" t="str">
        <x:v>Peserta</x:v>
      </x:c>
    </x:row>
    <x:row r="248">
      <x:c r="A248" s="21" t="str">
        <x:v>whatsapp_group_numbers mcbr02.csv</x:v>
      </x:c>
      <x:c r="B248" s="21" t="str">
        <x:v>mcbr02</x:v>
      </x:c>
      <x:c r="C248" s="21" t="n">
        <x:v>29</x:v>
      </x:c>
      <x:c r="D248" s="46" t="str">
        <x:f>"+60199880430"</x:f>
        <x:v>+60199880430</x:v>
      </x:c>
      <x:c r="E248" s="21" t="str">
        <x:v>+60199880430</x:v>
      </x:c>
      <x:c r="F248" s="21" t="str">
        <x:v>Member</x:v>
      </x:c>
      <x:c r="G248" s="46" t="str">
        <x:f>"60199880430"</x:f>
        <x:v>60199880430</x:v>
      </x:c>
      <x:c r="H248" s="21" t="str">
        <x:v>Yes</x:v>
      </x:c>
      <x:c r="I248" s="21" t="str">
        <x:v>No</x:v>
      </x:c>
      <x:c r="J248" s="21" t="str">
        <x:v>No</x:v>
      </x:c>
      <x:c r="K248" s="21" t="str">
        <x:v>Included</x:v>
      </x:c>
      <x:c r="L248" s="21" t="str">
        <x:v>Peserta</x:v>
      </x:c>
    </x:row>
    <x:row r="249">
      <x:c r="A249" s="21" t="str">
        <x:v>whatsapp_group_numbers mcbr02.csv</x:v>
      </x:c>
      <x:c r="B249" s="21" t="str">
        <x:v>mcbr02</x:v>
      </x:c>
      <x:c r="C249" s="21" t="n">
        <x:v>30</x:v>
      </x:c>
      <x:c r="D249" s="46" t="str">
        <x:f>"+60193503566"</x:f>
        <x:v>+60193503566</x:v>
      </x:c>
      <x:c r="E249" s="21" t="str">
        <x:v>+60193503566</x:v>
      </x:c>
      <x:c r="F249" s="21" t="str">
        <x:v>Member</x:v>
      </x:c>
      <x:c r="G249" s="46" t="str">
        <x:f>"60193503566"</x:f>
        <x:v>60193503566</x:v>
      </x:c>
      <x:c r="H249" s="21" t="str">
        <x:v>Yes</x:v>
      </x:c>
      <x:c r="I249" s="21" t="str">
        <x:v>No</x:v>
      </x:c>
      <x:c r="J249" s="21" t="str">
        <x:v>No</x:v>
      </x:c>
      <x:c r="K249" s="21" t="str">
        <x:v>Included</x:v>
      </x:c>
      <x:c r="L249" s="21" t="str">
        <x:v>Peserta</x:v>
      </x:c>
    </x:row>
    <x:row r="250">
      <x:c r="A250" s="21" t="str">
        <x:v>whatsapp_group_numbers mcbr02.csv</x:v>
      </x:c>
      <x:c r="B250" s="21" t="str">
        <x:v>mcbr02</x:v>
      </x:c>
      <x:c r="C250" s="21" t="n">
        <x:v>31</x:v>
      </x:c>
      <x:c r="D250" s="46" t="str">
        <x:f>"+60199929115"</x:f>
        <x:v>+60199929115</x:v>
      </x:c>
      <x:c r="E250" s="21" t="str">
        <x:v>+60199929115</x:v>
      </x:c>
      <x:c r="F250" s="21" t="str">
        <x:v>Member</x:v>
      </x:c>
      <x:c r="G250" s="46" t="str">
        <x:f>"60199929115"</x:f>
        <x:v>60199929115</x:v>
      </x:c>
      <x:c r="H250" s="21" t="str">
        <x:v>Yes</x:v>
      </x:c>
      <x:c r="I250" s="21" t="str">
        <x:v>No</x:v>
      </x:c>
      <x:c r="J250" s="21" t="str">
        <x:v>No</x:v>
      </x:c>
      <x:c r="K250" s="21" t="str">
        <x:v>Included</x:v>
      </x:c>
      <x:c r="L250" s="21" t="str">
        <x:v>Peserta</x:v>
      </x:c>
    </x:row>
    <x:row r="251">
      <x:c r="A251" s="21" t="str">
        <x:v>whatsapp_group_numbers mcbr02.csv</x:v>
      </x:c>
      <x:c r="B251" s="21" t="str">
        <x:v>mcbr02</x:v>
      </x:c>
      <x:c r="C251" s="21" t="n">
        <x:v>32</x:v>
      </x:c>
      <x:c r="D251" s="46" t="str">
        <x:f>"+60124212403"</x:f>
        <x:v>+60124212403</x:v>
      </x:c>
      <x:c r="E251" s="21" t="str">
        <x:v>+60124212403</x:v>
      </x:c>
      <x:c r="F251" s="21" t="str">
        <x:v>Member</x:v>
      </x:c>
      <x:c r="G251" s="46" t="str">
        <x:f>"60124212403"</x:f>
        <x:v>60124212403</x:v>
      </x:c>
      <x:c r="H251" s="21" t="str">
        <x:v>Yes</x:v>
      </x:c>
      <x:c r="I251" s="21" t="str">
        <x:v>No</x:v>
      </x:c>
      <x:c r="J251" s="21" t="str">
        <x:v>No</x:v>
      </x:c>
      <x:c r="K251" s="21" t="str">
        <x:v>Included</x:v>
      </x:c>
      <x:c r="L251" s="21" t="str">
        <x:v>Peserta</x:v>
      </x:c>
    </x:row>
    <x:row r="252">
      <x:c r="A252" s="21" t="str">
        <x:v>whatsapp_group_numbers mcbr02.csv</x:v>
      </x:c>
      <x:c r="B252" s="21" t="str">
        <x:v>mcbr02</x:v>
      </x:c>
      <x:c r="C252" s="21" t="n">
        <x:v>33</x:v>
      </x:c>
      <x:c r="D252" s="46" t="str">
        <x:f>"+601165568118"</x:f>
        <x:v>+601165568118</x:v>
      </x:c>
      <x:c r="E252" s="21" t="str">
        <x:v>+601165568118</x:v>
      </x:c>
      <x:c r="F252" s="21" t="str">
        <x:v>Member</x:v>
      </x:c>
      <x:c r="G252" s="46" t="str">
        <x:f>"601165568118"</x:f>
        <x:v>601165568118</x:v>
      </x:c>
      <x:c r="H252" s="21" t="str">
        <x:v>Yes</x:v>
      </x:c>
      <x:c r="I252" s="21" t="str">
        <x:v>No</x:v>
      </x:c>
      <x:c r="J252" s="21" t="str">
        <x:v>No</x:v>
      </x:c>
      <x:c r="K252" s="21" t="str">
        <x:v>Included</x:v>
      </x:c>
      <x:c r="L252" s="21" t="str">
        <x:v>Peserta</x:v>
      </x:c>
    </x:row>
    <x:row r="253">
      <x:c r="A253" s="21" t="str">
        <x:v>whatsapp_group_numbers mcbr02.csv</x:v>
      </x:c>
      <x:c r="B253" s="21" t="str">
        <x:v>mcbr02</x:v>
      </x:c>
      <x:c r="C253" s="21" t="n">
        <x:v>34</x:v>
      </x:c>
      <x:c r="D253" s="46" t="str">
        <x:f>"+60137202171"</x:f>
        <x:v>+60137202171</x:v>
      </x:c>
      <x:c r="E253" s="21" t="str">
        <x:v>+60137202171</x:v>
      </x:c>
      <x:c r="F253" s="21" t="str">
        <x:v>Member</x:v>
      </x:c>
      <x:c r="G253" s="46" t="str">
        <x:f>"60137202171"</x:f>
        <x:v>60137202171</x:v>
      </x:c>
      <x:c r="H253" s="21" t="str">
        <x:v>Yes</x:v>
      </x:c>
      <x:c r="I253" s="21" t="str">
        <x:v>No</x:v>
      </x:c>
      <x:c r="J253" s="21" t="str">
        <x:v>No</x:v>
      </x:c>
      <x:c r="K253" s="21" t="str">
        <x:v>Included</x:v>
      </x:c>
      <x:c r="L253" s="21" t="str">
        <x:v>Peserta</x:v>
      </x:c>
    </x:row>
    <x:row r="254">
      <x:c r="A254" s="21" t="str">
        <x:v>whatsapp_group_numbers mcbr02.csv</x:v>
      </x:c>
      <x:c r="B254" s="21" t="str">
        <x:v>mcbr02</x:v>
      </x:c>
      <x:c r="C254" s="21" t="n">
        <x:v>35</x:v>
      </x:c>
      <x:c r="D254" s="46" t="str">
        <x:f>"+60124220215"</x:f>
        <x:v>+60124220215</x:v>
      </x:c>
      <x:c r="E254" s="21" t="str">
        <x:v>+60124220215</x:v>
      </x:c>
      <x:c r="F254" s="21" t="str">
        <x:v>Member</x:v>
      </x:c>
      <x:c r="G254" s="46" t="str">
        <x:f>"60124220215"</x:f>
        <x:v>60124220215</x:v>
      </x:c>
      <x:c r="H254" s="21" t="str">
        <x:v>Yes</x:v>
      </x:c>
      <x:c r="I254" s="21" t="str">
        <x:v>No</x:v>
      </x:c>
      <x:c r="J254" s="21" t="str">
        <x:v>No</x:v>
      </x:c>
      <x:c r="K254" s="21" t="str">
        <x:v>Included</x:v>
      </x:c>
      <x:c r="L254" s="21" t="str">
        <x:v>Peserta</x:v>
      </x:c>
    </x:row>
    <x:row r="255">
      <x:c r="A255" s="21" t="str">
        <x:v>whatsapp_group_numbers mcbr02.csv</x:v>
      </x:c>
      <x:c r="B255" s="21" t="str">
        <x:v>mcbr02</x:v>
      </x:c>
      <x:c r="C255" s="21" t="n">
        <x:v>36</x:v>
      </x:c>
      <x:c r="D255" s="46" t="str">
        <x:f>"+601157771994"</x:f>
        <x:v>+601157771994</x:v>
      </x:c>
      <x:c r="E255" s="21" t="str">
        <x:v>+601157771994</x:v>
      </x:c>
      <x:c r="F255" s="21" t="str">
        <x:v>Member</x:v>
      </x:c>
      <x:c r="G255" s="46" t="str">
        <x:f>"601157771994"</x:f>
        <x:v>601157771994</x:v>
      </x:c>
      <x:c r="H255" s="21" t="str">
        <x:v>Yes</x:v>
      </x:c>
      <x:c r="I255" s="21" t="str">
        <x:v>No</x:v>
      </x:c>
      <x:c r="J255" s="21" t="str">
        <x:v>No</x:v>
      </x:c>
      <x:c r="K255" s="21" t="str">
        <x:v>Included</x:v>
      </x:c>
      <x:c r="L255" s="21" t="str">
        <x:v>Peserta</x:v>
      </x:c>
    </x:row>
    <x:row r="256">
      <x:c r="A256" s="21" t="str">
        <x:v>whatsapp_group_numbers mcbr02.csv</x:v>
      </x:c>
      <x:c r="B256" s="21" t="str">
        <x:v>mcbr02</x:v>
      </x:c>
      <x:c r="C256" s="21" t="n">
        <x:v>37</x:v>
      </x:c>
      <x:c r="D256" s="46" t="str">
        <x:f>"+601169370867"</x:f>
        <x:v>+601169370867</x:v>
      </x:c>
      <x:c r="E256" s="21" t="str">
        <x:v>+601169370867</x:v>
      </x:c>
      <x:c r="F256" s="21" t="str">
        <x:v>Member</x:v>
      </x:c>
      <x:c r="G256" s="46" t="str">
        <x:f>"601169370867"</x:f>
        <x:v>601169370867</x:v>
      </x:c>
      <x:c r="H256" s="21" t="str">
        <x:v>Yes</x:v>
      </x:c>
      <x:c r="I256" s="21" t="str">
        <x:v>No</x:v>
      </x:c>
      <x:c r="J256" s="21" t="str">
        <x:v>No</x:v>
      </x:c>
      <x:c r="K256" s="21" t="str">
        <x:v>Included</x:v>
      </x:c>
      <x:c r="L256" s="21" t="str">
        <x:v>Peserta</x:v>
      </x:c>
    </x:row>
    <x:row r="257">
      <x:c r="A257" s="21" t="str">
        <x:v>whatsapp_group_numbers mcbr02.csv</x:v>
      </x:c>
      <x:c r="B257" s="21" t="str">
        <x:v>mcbr02</x:v>
      </x:c>
      <x:c r="C257" s="21" t="n">
        <x:v>38</x:v>
      </x:c>
      <x:c r="D257" s="46" t="str">
        <x:f>"+60105249765"</x:f>
        <x:v>+60105249765</x:v>
      </x:c>
      <x:c r="E257" s="21" t="str">
        <x:v>+60105249765</x:v>
      </x:c>
      <x:c r="F257" s="21" t="str">
        <x:v>Member</x:v>
      </x:c>
      <x:c r="G257" s="46" t="str">
        <x:f>"60105249765"</x:f>
        <x:v>60105249765</x:v>
      </x:c>
      <x:c r="H257" s="21" t="str">
        <x:v>Yes</x:v>
      </x:c>
      <x:c r="I257" s="21" t="str">
        <x:v>No</x:v>
      </x:c>
      <x:c r="J257" s="21" t="str">
        <x:v>No</x:v>
      </x:c>
      <x:c r="K257" s="21" t="str">
        <x:v>Included</x:v>
      </x:c>
      <x:c r="L257" s="21" t="str">
        <x:v>Peserta</x:v>
      </x:c>
    </x:row>
    <x:row r="258">
      <x:c r="A258" s="21" t="str">
        <x:v>whatsapp_group_numbers mcbr02.csv</x:v>
      </x:c>
      <x:c r="B258" s="21" t="str">
        <x:v>mcbr02</x:v>
      </x:c>
      <x:c r="C258" s="21" t="n">
        <x:v>39</x:v>
      </x:c>
      <x:c r="D258" s="46" t="str">
        <x:f>"+60133112079"</x:f>
        <x:v>+60133112079</x:v>
      </x:c>
      <x:c r="E258" s="21" t="str">
        <x:v>+60133112079</x:v>
      </x:c>
      <x:c r="F258" s="21" t="str">
        <x:v>Member</x:v>
      </x:c>
      <x:c r="G258" s="46" t="str">
        <x:f>"60133112079"</x:f>
        <x:v>60133112079</x:v>
      </x:c>
      <x:c r="H258" s="21" t="str">
        <x:v>Yes</x:v>
      </x:c>
      <x:c r="I258" s="21" t="str">
        <x:v>No</x:v>
      </x:c>
      <x:c r="J258" s="21" t="str">
        <x:v>No</x:v>
      </x:c>
      <x:c r="K258" s="21" t="str">
        <x:v>Included</x:v>
      </x:c>
      <x:c r="L258" s="21" t="str">
        <x:v>Peserta</x:v>
      </x:c>
    </x:row>
    <x:row r="259">
      <x:c r="A259" s="21" t="str">
        <x:v>whatsapp_group_numbers mcbr02.csv</x:v>
      </x:c>
      <x:c r="B259" s="21" t="str">
        <x:v>mcbr02</x:v>
      </x:c>
      <x:c r="C259" s="21" t="n">
        <x:v>40</x:v>
      </x:c>
      <x:c r="D259" s="46" t="str">
        <x:f>"+60178544421"</x:f>
        <x:v>+60178544421</x:v>
      </x:c>
      <x:c r="E259" s="21" t="str">
        <x:v>+60178544421</x:v>
      </x:c>
      <x:c r="F259" s="21" t="str">
        <x:v>Member</x:v>
      </x:c>
      <x:c r="G259" s="46" t="str">
        <x:f>"60178544421"</x:f>
        <x:v>60178544421</x:v>
      </x:c>
      <x:c r="H259" s="21" t="str">
        <x:v>Yes</x:v>
      </x:c>
      <x:c r="I259" s="21" t="str">
        <x:v>No</x:v>
      </x:c>
      <x:c r="J259" s="21" t="str">
        <x:v>No</x:v>
      </x:c>
      <x:c r="K259" s="21" t="str">
        <x:v>Included</x:v>
      </x:c>
      <x:c r="L259" s="21" t="str">
        <x:v>Peserta</x:v>
      </x:c>
    </x:row>
    <x:row r="260">
      <x:c r="A260" s="21" t="str">
        <x:v>whatsapp_group_numbers mcbr02.csv</x:v>
      </x:c>
      <x:c r="B260" s="21" t="str">
        <x:v>mcbr02</x:v>
      </x:c>
      <x:c r="C260" s="21" t="n">
        <x:v>41</x:v>
      </x:c>
      <x:c r="D260" s="46" t="str">
        <x:f>"+60192252570"</x:f>
        <x:v>+60192252570</x:v>
      </x:c>
      <x:c r="E260" s="21" t="str">
        <x:v>+60192252570</x:v>
      </x:c>
      <x:c r="F260" s="21" t="str">
        <x:v>Member</x:v>
      </x:c>
      <x:c r="G260" s="46" t="str">
        <x:f>"60192252570"</x:f>
        <x:v>60192252570</x:v>
      </x:c>
      <x:c r="H260" s="21" t="str">
        <x:v>Yes</x:v>
      </x:c>
      <x:c r="I260" s="21" t="str">
        <x:v>No</x:v>
      </x:c>
      <x:c r="J260" s="21" t="str">
        <x:v>No</x:v>
      </x:c>
      <x:c r="K260" s="21" t="str">
        <x:v>Included</x:v>
      </x:c>
      <x:c r="L260" s="21" t="str">
        <x:v>Peserta</x:v>
      </x:c>
    </x:row>
    <x:row r="261">
      <x:c r="A261" s="21" t="str">
        <x:v>whatsapp_group_numbers mcbr02.csv</x:v>
      </x:c>
      <x:c r="B261" s="21" t="str">
        <x:v>mcbr02</x:v>
      </x:c>
      <x:c r="C261" s="21" t="n">
        <x:v>42</x:v>
      </x:c>
      <x:c r="D261" s="46" t="str">
        <x:f>"+60126077335"</x:f>
        <x:v>+60126077335</x:v>
      </x:c>
      <x:c r="E261" s="21" t="str">
        <x:v>+60126077335</x:v>
      </x:c>
      <x:c r="F261" s="21" t="str">
        <x:v>Member</x:v>
      </x:c>
      <x:c r="G261" s="46" t="str">
        <x:f>"60126077335"</x:f>
        <x:v>60126077335</x:v>
      </x:c>
      <x:c r="H261" s="21" t="str">
        <x:v>Yes</x:v>
      </x:c>
      <x:c r="I261" s="21" t="str">
        <x:v>No</x:v>
      </x:c>
      <x:c r="J261" s="21" t="str">
        <x:v>No</x:v>
      </x:c>
      <x:c r="K261" s="21" t="str">
        <x:v>Included</x:v>
      </x:c>
      <x:c r="L261" s="21" t="str">
        <x:v>Peserta</x:v>
      </x:c>
    </x:row>
    <x:row r="262">
      <x:c r="A262" s="21" t="str">
        <x:v>whatsapp_group_numbers shopee laz 25-26 Ogos.csv</x:v>
      </x:c>
      <x:c r="B262" s="21" t="str">
        <x:v>shopee laz 25-26 Ogos</x:v>
      </x:c>
      <x:c r="C262" s="21" t="n">
        <x:v>1</x:v>
      </x:c>
      <x:c r="D262" s="46" t="str">
        <x:f>"+60183829686"</x:f>
        <x:v>+60183829686</x:v>
      </x:c>
      <x:c r="E262" s="21" t="str">
        <x:v>Aida Hassan</x:v>
      </x:c>
      <x:c r="F262" s="21" t="str">
        <x:v>Member</x:v>
      </x:c>
      <x:c r="G262" s="46" t="str">
        <x:f>"60183829686"</x:f>
        <x:v>60183829686</x:v>
      </x:c>
      <x:c r="H262" s="21" t="str">
        <x:v>Yes</x:v>
      </x:c>
      <x:c r="I262" s="21" t="str">
        <x:v>No</x:v>
      </x:c>
      <x:c r="J262" s="21" t="str">
        <x:v>No</x:v>
      </x:c>
      <x:c r="K262" s="21" t="str">
        <x:v>Included</x:v>
      </x:c>
      <x:c r="L262" s="21" t="str">
        <x:v>Peserta</x:v>
      </x:c>
    </x:row>
    <x:row r="263">
      <x:c r="A263" s="21" t="str">
        <x:v>whatsapp_group_numbers shopee laz 25-26 Ogos.csv</x:v>
      </x:c>
      <x:c r="B263" s="21" t="str">
        <x:v>shopee laz 25-26 Ogos</x:v>
      </x:c>
      <x:c r="C263" s="21" t="n">
        <x:v>2</x:v>
      </x:c>
      <x:c r="D263" s="46" t="str">
        <x:f>"+60172693966"</x:f>
        <x:v>+60172693966</x:v>
      </x:c>
      <x:c r="E263" s="21" t="str">
        <x:v>AIDALICIOUS</x:v>
      </x:c>
      <x:c r="F263" s="21" t="str">
        <x:v>Member</x:v>
      </x:c>
      <x:c r="G263" s="46" t="str">
        <x:f>"60172693966"</x:f>
        <x:v>60172693966</x:v>
      </x:c>
      <x:c r="H263" s="21" t="str">
        <x:v>Yes</x:v>
      </x:c>
      <x:c r="I263" s="21" t="str">
        <x:v>No</x:v>
      </x:c>
      <x:c r="J263" s="21" t="str">
        <x:v>No</x:v>
      </x:c>
      <x:c r="K263" s="21" t="str">
        <x:v>Included</x:v>
      </x:c>
      <x:c r="L263" s="21" t="str">
        <x:v>Peserta</x:v>
      </x:c>
    </x:row>
    <x:row r="264">
      <x:c r="A264" s="21" t="str">
        <x:v>whatsapp_group_numbers shopee laz 25-26 Ogos.csv</x:v>
      </x:c>
      <x:c r="B264" s="21" t="str">
        <x:v>shopee laz 25-26 Ogos</x:v>
      </x:c>
      <x:c r="C264" s="21" t="n">
        <x:v>3</x:v>
      </x:c>
      <x:c r="D264" s="46" t="str">
        <x:f>"+60136641204"</x:f>
        <x:v>+60136641204</x:v>
      </x:c>
      <x:c r="E264" s="21" t="str">
        <x:v>Exclusive Muslimah Spa&amp;salon</x:v>
      </x:c>
      <x:c r="F264" s="21" t="str">
        <x:v>Member</x:v>
      </x:c>
      <x:c r="G264" s="46" t="str">
        <x:f>"60136641204"</x:f>
        <x:v>60136641204</x:v>
      </x:c>
      <x:c r="H264" s="21" t="str">
        <x:v>Yes</x:v>
      </x:c>
      <x:c r="I264" s="21" t="str">
        <x:v>No</x:v>
      </x:c>
      <x:c r="J264" s="21" t="str">
        <x:v>No</x:v>
      </x:c>
      <x:c r="K264" s="21" t="str">
        <x:v>Included</x:v>
      </x:c>
      <x:c r="L264" s="21" t="str">
        <x:v>Peserta</x:v>
      </x:c>
    </x:row>
    <x:row r="265">
      <x:c r="A265" s="21" t="str">
        <x:v>whatsapp_group_numbers shopee laz 25-26 Ogos.csv</x:v>
      </x:c>
      <x:c r="B265" s="21" t="str">
        <x:v>shopee laz 25-26 Ogos</x:v>
      </x:c>
      <x:c r="C265" s="21" t="n">
        <x:v>4</x:v>
      </x:c>
      <x:c r="D265" s="46" t="str">
        <x:f>"+60196526160"</x:f>
        <x:v>+60196526160</x:v>
      </x:c>
      <x:c r="E265" s="21" t="str">
        <x:v>Nik Mahani</x:v>
      </x:c>
      <x:c r="F265" s="21" t="str">
        <x:v>Member</x:v>
      </x:c>
      <x:c r="G265" s="46" t="str">
        <x:f>"60196526160"</x:f>
        <x:v>60196526160</x:v>
      </x:c>
      <x:c r="H265" s="21" t="str">
        <x:v>Yes</x:v>
      </x:c>
      <x:c r="I265" s="21" t="str">
        <x:v>No</x:v>
      </x:c>
      <x:c r="J265" s="21" t="str">
        <x:v>No</x:v>
      </x:c>
      <x:c r="K265" s="21" t="str">
        <x:v>Included</x:v>
      </x:c>
      <x:c r="L265" s="21" t="str">
        <x:v>Peserta</x:v>
      </x:c>
    </x:row>
    <x:row r="266">
      <x:c r="A266" s="21" t="str">
        <x:v>whatsapp_group_numbers shopee laz 25-26 Ogos.csv</x:v>
      </x:c>
      <x:c r="B266" s="21" t="str">
        <x:v>shopee laz 25-26 Ogos</x:v>
      </x:c>
      <x:c r="C266" s="21" t="n">
        <x:v>5</x:v>
      </x:c>
      <x:c r="D266" s="46" t="str">
        <x:f>"+60162814595"</x:f>
        <x:v>+60162814595</x:v>
      </x:c>
      <x:c r="E266" s="21" t="str">
        <x:v>sue</x:v>
      </x:c>
      <x:c r="F266" s="21" t="str">
        <x:v>Member</x:v>
      </x:c>
      <x:c r="G266" s="46" t="str">
        <x:f>"60162814595"</x:f>
        <x:v>60162814595</x:v>
      </x:c>
      <x:c r="H266" s="21" t="str">
        <x:v>Yes</x:v>
      </x:c>
      <x:c r="I266" s="21" t="str">
        <x:v>No</x:v>
      </x:c>
      <x:c r="J266" s="21" t="str">
        <x:v>No</x:v>
      </x:c>
      <x:c r="K266" s="21" t="str">
        <x:v>Included</x:v>
      </x:c>
      <x:c r="L266" s="21" t="str">
        <x:v>Peserta</x:v>
      </x:c>
    </x:row>
    <x:row r="267">
      <x:c r="A267" s="21" t="str">
        <x:v>whatsapp_group_numbers shopee laz 25-26 Ogos.csv</x:v>
      </x:c>
      <x:c r="B267" s="21" t="str">
        <x:v>shopee laz 25-26 Ogos</x:v>
      </x:c>
      <x:c r="C267" s="21" t="n">
        <x:v>6</x:v>
      </x:c>
      <x:c r="D267" s="46" t="str">
        <x:f>"+60166499041"</x:f>
        <x:v>+60166499041</x:v>
      </x:c>
      <x:c r="E267" s="21" t="str">
        <x:v>Umieaisy Resources</x:v>
      </x:c>
      <x:c r="F267" s="21" t="str">
        <x:v>Member</x:v>
      </x:c>
      <x:c r="G267" s="46" t="str">
        <x:f>"60166499041"</x:f>
        <x:v>60166499041</x:v>
      </x:c>
      <x:c r="H267" s="21" t="str">
        <x:v>Yes</x:v>
      </x:c>
      <x:c r="I267" s="21" t="str">
        <x:v>No</x:v>
      </x:c>
      <x:c r="J267" s="21" t="str">
        <x:v>No</x:v>
      </x:c>
      <x:c r="K267" s="21" t="str">
        <x:v>Included</x:v>
      </x:c>
      <x:c r="L267" s="21" t="str">
        <x:v>Peserta</x:v>
      </x:c>
    </x:row>
    <x:row r="268">
      <x:c r="A268" s="21" t="str">
        <x:v>whatsapp_group_numbers shopee laz 25-26 Ogos.csv</x:v>
      </x:c>
      <x:c r="B268" s="21" t="str">
        <x:v>shopee laz 25-26 Ogos</x:v>
      </x:c>
      <x:c r="C268" s="21" t="n">
        <x:v>7</x:v>
      </x:c>
      <x:c r="D268" s="46" t="str">
        <x:f>"+60132906105"</x:f>
        <x:v>+60132906105</x:v>
      </x:c>
      <x:c r="E268" s="21" t="str">
        <x:v>+60132906105</x:v>
      </x:c>
      <x:c r="F268" s="21" t="str">
        <x:v>Member</x:v>
      </x:c>
      <x:c r="G268" s="46" t="str">
        <x:f>"60132906105"</x:f>
        <x:v>60132906105</x:v>
      </x:c>
      <x:c r="H268" s="21" t="str">
        <x:v>Yes</x:v>
      </x:c>
      <x:c r="I268" s="21" t="str">
        <x:v>No</x:v>
      </x:c>
      <x:c r="J268" s="21" t="str">
        <x:v>No</x:v>
      </x:c>
      <x:c r="K268" s="21" t="str">
        <x:v>Included</x:v>
      </x:c>
      <x:c r="L268" s="21" t="str">
        <x:v>Peserta</x:v>
      </x:c>
    </x:row>
    <x:row r="269">
      <x:c r="A269" s="21" t="str">
        <x:v>whatsapp_group_numbers shopee laz 25-26 Ogos.csv</x:v>
      </x:c>
      <x:c r="B269" s="21" t="str">
        <x:v>shopee laz 25-26 Ogos</x:v>
      </x:c>
      <x:c r="C269" s="21" t="n">
        <x:v>8</x:v>
      </x:c>
      <x:c r="D269" s="46" t="str">
        <x:f>"+601137520992"</x:f>
        <x:v>+601137520992</x:v>
      </x:c>
      <x:c r="E269" s="21" t="str">
        <x:v>+601137520992</x:v>
      </x:c>
      <x:c r="F269" s="21" t="str">
        <x:v>Member</x:v>
      </x:c>
      <x:c r="G269" s="46" t="str">
        <x:f>"601137520992"</x:f>
        <x:v>601137520992</x:v>
      </x:c>
      <x:c r="H269" s="21" t="str">
        <x:v>Yes</x:v>
      </x:c>
      <x:c r="I269" s="21" t="str">
        <x:v>No</x:v>
      </x:c>
      <x:c r="J269" s="21" t="str">
        <x:v>No</x:v>
      </x:c>
      <x:c r="K269" s="21" t="str">
        <x:v>Included</x:v>
      </x:c>
      <x:c r="L269" s="21" t="str">
        <x:v>Peserta</x:v>
      </x:c>
    </x:row>
    <x:row r="270">
      <x:c r="A270" s="21" t="str">
        <x:v>whatsapp_group_numbers shopee laz 25-26 Ogos.csv</x:v>
      </x:c>
      <x:c r="B270" s="21" t="str">
        <x:v>shopee laz 25-26 Ogos</x:v>
      </x:c>
      <x:c r="C270" s="21" t="n">
        <x:v>9</x:v>
      </x:c>
      <x:c r="D270" s="46" t="str">
        <x:f>"+60173861429"</x:f>
        <x:v>+60173861429</x:v>
      </x:c>
      <x:c r="E270" s="21" t="str">
        <x:v>+60173861429</x:v>
      </x:c>
      <x:c r="F270" s="21" t="str">
        <x:v>Member</x:v>
      </x:c>
      <x:c r="G270" s="46" t="str">
        <x:f>"60173861429"</x:f>
        <x:v>60173861429</x:v>
      </x:c>
      <x:c r="H270" s="21" t="str">
        <x:v>Yes</x:v>
      </x:c>
      <x:c r="I270" s="21" t="str">
        <x:v>No</x:v>
      </x:c>
      <x:c r="J270" s="21" t="str">
        <x:v>No</x:v>
      </x:c>
      <x:c r="K270" s="21" t="str">
        <x:v>Included</x:v>
      </x:c>
      <x:c r="L270" s="21" t="str">
        <x:v>Peserta</x:v>
      </x:c>
    </x:row>
    <x:row r="271">
      <x:c r="A271" s="21" t="str">
        <x:v>whatsapp_group_numbers shopee laz 25-26 Ogos.csv</x:v>
      </x:c>
      <x:c r="B271" s="21" t="str">
        <x:v>shopee laz 25-26 Ogos</x:v>
      </x:c>
      <x:c r="C271" s="21" t="n">
        <x:v>10</x:v>
      </x:c>
      <x:c r="D271" s="46" t="str">
        <x:f>"+601136647246"</x:f>
        <x:v>+601136647246</x:v>
      </x:c>
      <x:c r="E271" s="21" t="str">
        <x:v>+601136647246</x:v>
      </x:c>
      <x:c r="F271" s="21" t="str">
        <x:v>Member</x:v>
      </x:c>
      <x:c r="G271" s="46" t="str">
        <x:f>"601136647246"</x:f>
        <x:v>601136647246</x:v>
      </x:c>
      <x:c r="H271" s="21" t="str">
        <x:v>Yes</x:v>
      </x:c>
      <x:c r="I271" s="21" t="str">
        <x:v>No</x:v>
      </x:c>
      <x:c r="J271" s="21" t="str">
        <x:v>No</x:v>
      </x:c>
      <x:c r="K271" s="21" t="str">
        <x:v>Included</x:v>
      </x:c>
      <x:c r="L271" s="21" t="str">
        <x:v>Peserta</x:v>
      </x:c>
    </x:row>
    <x:row r="272">
      <x:c r="A272" s="21" t="str">
        <x:v>whatsapp_group_numbers shopee laz 25-26 Ogos.csv</x:v>
      </x:c>
      <x:c r="B272" s="21" t="str">
        <x:v>shopee laz 25-26 Ogos</x:v>
      </x:c>
      <x:c r="C272" s="21" t="n">
        <x:v>11</x:v>
      </x:c>
      <x:c r="D272" s="46" t="str">
        <x:f>"+60128737738"</x:f>
        <x:v>+60128737738</x:v>
      </x:c>
      <x:c r="E272" s="21" t="str">
        <x:v>+60128737738</x:v>
      </x:c>
      <x:c r="F272" s="21" t="str">
        <x:v>Member</x:v>
      </x:c>
      <x:c r="G272" s="46" t="str">
        <x:f>"60128737738"</x:f>
        <x:v>60128737738</x:v>
      </x:c>
      <x:c r="H272" s="21" t="str">
        <x:v>Yes</x:v>
      </x:c>
      <x:c r="I272" s="21" t="str">
        <x:v>No</x:v>
      </x:c>
      <x:c r="J272" s="21" t="str">
        <x:v>No</x:v>
      </x:c>
      <x:c r="K272" s="21" t="str">
        <x:v>Included</x:v>
      </x:c>
      <x:c r="L272" s="21" t="str">
        <x:v>Peserta</x:v>
      </x:c>
    </x:row>
    <x:row r="273">
      <x:c r="A273" s="21" t="str">
        <x:v>whatsapp_group_numbers shopee laz 25-26 Ogos.csv</x:v>
      </x:c>
      <x:c r="B273" s="21" t="str">
        <x:v>shopee laz 25-26 Ogos</x:v>
      </x:c>
      <x:c r="C273" s="21" t="n">
        <x:v>12</x:v>
      </x:c>
      <x:c r="D273" s="46" t="str">
        <x:f>"+60193788333"</x:f>
        <x:v>+60193788333</x:v>
      </x:c>
      <x:c r="E273" s="21" t="str">
        <x:v>+60193788333</x:v>
      </x:c>
      <x:c r="F273" s="21" t="str">
        <x:v>Member</x:v>
      </x:c>
      <x:c r="G273" s="46" t="str">
        <x:f>"60193788333"</x:f>
        <x:v>60193788333</x:v>
      </x:c>
      <x:c r="H273" s="21" t="str">
        <x:v>Yes</x:v>
      </x:c>
      <x:c r="I273" s="21" t="str">
        <x:v>No</x:v>
      </x:c>
      <x:c r="J273" s="21" t="str">
        <x:v>No</x:v>
      </x:c>
      <x:c r="K273" s="21" t="str">
        <x:v>Included</x:v>
      </x:c>
      <x:c r="L273" s="21" t="str">
        <x:v>Peserta</x:v>
      </x:c>
    </x:row>
    <x:row r="274">
      <x:c r="A274" s="21" t="str">
        <x:v>whatsapp_group_numbers shopee laz 25-26 Ogos.csv</x:v>
      </x:c>
      <x:c r="B274" s="21" t="str">
        <x:v>shopee laz 25-26 Ogos</x:v>
      </x:c>
      <x:c r="C274" s="21" t="n">
        <x:v>13</x:v>
      </x:c>
      <x:c r="D274" s="46" t="str">
        <x:f>"+60192501715"</x:f>
        <x:v>+60192501715</x:v>
      </x:c>
      <x:c r="E274" s="21" t="str">
        <x:v>+60192501715</x:v>
      </x:c>
      <x:c r="F274" s="21" t="str">
        <x:v>Member</x:v>
      </x:c>
      <x:c r="G274" s="46" t="str">
        <x:f>"60192501715"</x:f>
        <x:v>60192501715</x:v>
      </x:c>
      <x:c r="H274" s="21" t="str">
        <x:v>Yes</x:v>
      </x:c>
      <x:c r="I274" s="21" t="str">
        <x:v>No</x:v>
      </x:c>
      <x:c r="J274" s="21" t="str">
        <x:v>No</x:v>
      </x:c>
      <x:c r="K274" s="21" t="str">
        <x:v>Included</x:v>
      </x:c>
      <x:c r="L274" s="21" t="str">
        <x:v>Peserta</x:v>
      </x:c>
    </x:row>
    <x:row r="275">
      <x:c r="A275" s="21" t="str">
        <x:v>whatsapp_group_numbers shopee laz 25-26 Ogos.csv</x:v>
      </x:c>
      <x:c r="B275" s="21" t="str">
        <x:v>shopee laz 25-26 Ogos</x:v>
      </x:c>
      <x:c r="C275" s="21" t="n">
        <x:v>14</x:v>
      </x:c>
      <x:c r="D275" s="46" t="str">
        <x:f>"+60192421911"</x:f>
        <x:v>+60192421911</x:v>
      </x:c>
      <x:c r="E275" s="21" t="str">
        <x:v>+60192421911</x:v>
      </x:c>
      <x:c r="F275" s="21" t="str">
        <x:v>Member</x:v>
      </x:c>
      <x:c r="G275" s="46" t="str">
        <x:f>"60192421911"</x:f>
        <x:v>60192421911</x:v>
      </x:c>
      <x:c r="H275" s="21" t="str">
        <x:v>Yes</x:v>
      </x:c>
      <x:c r="I275" s="21" t="str">
        <x:v>No</x:v>
      </x:c>
      <x:c r="J275" s="21" t="str">
        <x:v>No</x:v>
      </x:c>
      <x:c r="K275" s="21" t="str">
        <x:v>Included</x:v>
      </x:c>
      <x:c r="L275" s="21" t="str">
        <x:v>Peserta</x:v>
      </x:c>
    </x:row>
    <x:row r="276">
      <x:c r="A276" s="21" t="str">
        <x:v>whatsapp_group_numbers shopee laz 25-26 Ogos.csv</x:v>
      </x:c>
      <x:c r="B276" s="21" t="str">
        <x:v>shopee laz 25-26 Ogos</x:v>
      </x:c>
      <x:c r="C276" s="21" t="n">
        <x:v>15</x:v>
      </x:c>
      <x:c r="D276" s="46" t="str">
        <x:f>"+60192025485"</x:f>
        <x:v>+60192025485</x:v>
      </x:c>
      <x:c r="E276" s="21" t="str">
        <x:v>+60192025485</x:v>
      </x:c>
      <x:c r="F276" s="21" t="str">
        <x:v>Member</x:v>
      </x:c>
      <x:c r="G276" s="46" t="str">
        <x:f>"60192025485"</x:f>
        <x:v>60192025485</x:v>
      </x:c>
      <x:c r="H276" s="21" t="str">
        <x:v>Yes</x:v>
      </x:c>
      <x:c r="I276" s="21" t="str">
        <x:v>No</x:v>
      </x:c>
      <x:c r="J276" s="21" t="str">
        <x:v>No</x:v>
      </x:c>
      <x:c r="K276" s="21" t="str">
        <x:v>Included</x:v>
      </x:c>
      <x:c r="L276" s="21" t="str">
        <x:v>Peserta</x:v>
      </x:c>
    </x:row>
    <x:row r="277">
      <x:c r="A277" s="21" t="str">
        <x:v>whatsapp_group_numbers shopee laz 25-26 Ogos.csv</x:v>
      </x:c>
      <x:c r="B277" s="21" t="str">
        <x:v>shopee laz 25-26 Ogos</x:v>
      </x:c>
      <x:c r="C277" s="21" t="n">
        <x:v>16</x:v>
      </x:c>
      <x:c r="D277" s="46" t="str">
        <x:f>"+60104548410"</x:f>
        <x:v>+60104548410</x:v>
      </x:c>
      <x:c r="E277" s="21" t="str">
        <x:v>+60104548410</x:v>
      </x:c>
      <x:c r="F277" s="21" t="str">
        <x:v>Member</x:v>
      </x:c>
      <x:c r="G277" s="46" t="str">
        <x:f>"60104548410"</x:f>
        <x:v>60104548410</x:v>
      </x:c>
      <x:c r="H277" s="21" t="str">
        <x:v>Yes</x:v>
      </x:c>
      <x:c r="I277" s="21" t="str">
        <x:v>No</x:v>
      </x:c>
      <x:c r="J277" s="21" t="str">
        <x:v>No</x:v>
      </x:c>
      <x:c r="K277" s="21" t="str">
        <x:v>Included</x:v>
      </x:c>
      <x:c r="L277" s="21" t="str">
        <x:v>Peserta</x:v>
      </x:c>
    </x:row>
    <x:row r="278">
      <x:c r="A278" s="21" t="str">
        <x:v>whatsapp_group_numbers TD1 eMkt.csv</x:v>
      </x:c>
      <x:c r="B278" s="21" t="str">
        <x:v>TD1 eMkt</x:v>
      </x:c>
      <x:c r="C278" s="21" t="n">
        <x:v>1</x:v>
      </x:c>
      <x:c r="D278" s="46" t="str">
        <x:f>"+60195710054"</x:f>
        <x:v>+60195710054</x:v>
      </x:c>
      <x:c r="E278" s="21" t="str">
        <x:v>Abg Razak DPIM</x:v>
      </x:c>
      <x:c r="F278" s="21" t="str">
        <x:v>Member</x:v>
      </x:c>
      <x:c r="G278" s="46" t="str">
        <x:f>"60195710054"</x:f>
        <x:v>60195710054</x:v>
      </x:c>
      <x:c r="H278" s="21" t="str">
        <x:v>Yes</x:v>
      </x:c>
      <x:c r="I278" s="21" t="str">
        <x:v>No</x:v>
      </x:c>
      <x:c r="J278" s="21" t="str">
        <x:v>No</x:v>
      </x:c>
      <x:c r="K278" s="21" t="str">
        <x:v>Excluded</x:v>
      </x:c>
      <x:c r="L278" s="21" t="str">
        <x:v>Senarai pengecualian manual pengguna</x:v>
      </x:c>
    </x:row>
    <x:row r="279">
      <x:c r="A279" s="21" t="str">
        <x:v>whatsapp_group_numbers TD1 eMkt.csv</x:v>
      </x:c>
      <x:c r="B279" s="21" t="str">
        <x:v>TD1 eMkt</x:v>
      </x:c>
      <x:c r="C279" s="21" t="n">
        <x:v>2</x:v>
      </x:c>
      <x:c r="D279" s="46" t="str">
        <x:f>"+60103376956"</x:f>
        <x:v>+60103376956</x:v>
      </x:c>
      <x:c r="E279" s="21" t="str">
        <x:v>coach rozek phone no 2</x:v>
      </x:c>
      <x:c r="F279" s="21" t="str">
        <x:v>Member</x:v>
      </x:c>
      <x:c r="G279" s="46" t="str">
        <x:f>"60103376956"</x:f>
        <x:v>60103376956</x:v>
      </x:c>
      <x:c r="H279" s="21" t="str">
        <x:v>Yes</x:v>
      </x:c>
      <x:c r="I279" s="21" t="str">
        <x:v>No</x:v>
      </x:c>
      <x:c r="J279" s="21" t="str">
        <x:v>No</x:v>
      </x:c>
      <x:c r="K279" s="21" t="str">
        <x:v>Excluded</x:v>
      </x:c>
      <x:c r="L279" s="21" t="str">
        <x:v>Senarai pengecualian manual pengguna</x:v>
      </x:c>
    </x:row>
    <x:row r="280">
      <x:c r="A280" s="21" t="str">
        <x:v>whatsapp_group_numbers TD1 eMkt.csv</x:v>
      </x:c>
      <x:c r="B280" s="21" t="str">
        <x:v>TD1 eMkt</x:v>
      </x:c>
      <x:c r="C280" s="21" t="n">
        <x:v>3</x:v>
      </x:c>
      <x:c r="D280" s="46" t="str">
        <x:f>"+60194723622"</x:f>
        <x:v>+60194723622</x:v>
      </x:c>
      <x:c r="E280" s="21" t="str">
        <x:v>Dr Azhar</x:v>
      </x:c>
      <x:c r="F280" s="21" t="str">
        <x:v>Member</x:v>
      </x:c>
      <x:c r="G280" s="46" t="str">
        <x:f>"60194723622"</x:f>
        <x:v>60194723622</x:v>
      </x:c>
      <x:c r="H280" s="21" t="str">
        <x:v>Yes</x:v>
      </x:c>
      <x:c r="I280" s="21" t="str">
        <x:v>No</x:v>
      </x:c>
      <x:c r="J280" s="21" t="str">
        <x:v>No</x:v>
      </x:c>
      <x:c r="K280" s="21" t="str">
        <x:v>Included</x:v>
      </x:c>
      <x:c r="L280" s="21" t="str">
        <x:v>Peserta</x:v>
      </x:c>
    </x:row>
    <x:row r="281">
      <x:c r="A281" s="21" t="str">
        <x:v>whatsapp_group_numbers TD1 eMkt.csv</x:v>
      </x:c>
      <x:c r="B281" s="21" t="str">
        <x:v>TD1 eMkt</x:v>
      </x:c>
      <x:c r="C281" s="21" t="n">
        <x:v>4</x:v>
      </x:c>
      <x:c r="D281" s="46" t="str">
        <x:f>"+60196996150"</x:f>
        <x:v>+60196996150</x:v>
      </x:c>
      <x:c r="E281" s="21" t="str">
        <x:v>Muhammad Ghalik Yahaya</x:v>
      </x:c>
      <x:c r="F281" s="21" t="str">
        <x:v>Member</x:v>
      </x:c>
      <x:c r="G281" s="46" t="str">
        <x:f>"60196996150"</x:f>
        <x:v>60196996150</x:v>
      </x:c>
      <x:c r="H281" s="21" t="str">
        <x:v>Yes</x:v>
      </x:c>
      <x:c r="I281" s="21" t="str">
        <x:v>No</x:v>
      </x:c>
      <x:c r="J281" s="21" t="str">
        <x:v>No</x:v>
      </x:c>
      <x:c r="K281" s="21" t="str">
        <x:v>Included</x:v>
      </x:c>
      <x:c r="L281" s="21" t="str">
        <x:v>Peserta</x:v>
      </x:c>
    </x:row>
    <x:row r="282">
      <x:c r="A282" s="21" t="str">
        <x:v>whatsapp_group_numbers TD1 eMkt.csv</x:v>
      </x:c>
      <x:c r="B282" s="21" t="str">
        <x:v>TD1 eMkt</x:v>
      </x:c>
      <x:c r="C282" s="21" t="n">
        <x:v>5</x:v>
      </x:c>
      <x:c r="D282" s="46" t="str">
        <x:f>"+60174102530"</x:f>
        <x:v>+60174102530</x:v>
      </x:c>
      <x:c r="E282" s="21" t="str">
        <x:v>shaeza INSKEN</x:v>
      </x:c>
      <x:c r="F282" s="21" t="str">
        <x:v>Member</x:v>
      </x:c>
      <x:c r="G282" s="46" t="str">
        <x:f>"60174102530"</x:f>
        <x:v>60174102530</x:v>
      </x:c>
      <x:c r="H282" s="21" t="str">
        <x:v>Yes</x:v>
      </x:c>
      <x:c r="I282" s="21" t="str">
        <x:v>No</x:v>
      </x:c>
      <x:c r="J282" s="21" t="str">
        <x:v>Yes</x:v>
      </x:c>
      <x:c r="K282" s="21" t="str">
        <x:v>Excluded</x:v>
      </x:c>
      <x:c r="L282" s="21" t="str">
        <x:v>Nama/nombor dikenal pasti sebagai INSKEN</x:v>
      </x:c>
    </x:row>
    <x:row r="283">
      <x:c r="A283" s="21" t="str">
        <x:v>whatsapp_group_numbers TD1 eMkt.csv</x:v>
      </x:c>
      <x:c r="B283" s="21" t="str">
        <x:v>TD1 eMkt</x:v>
      </x:c>
      <x:c r="C283" s="21" t="n">
        <x:v>6</x:v>
      </x:c>
      <x:c r="D283" s="46" t="str">
        <x:f>"+60123081906"</x:f>
        <x:v>+60123081906</x:v>
      </x:c>
      <x:c r="E283" s="21" t="str">
        <x:v>Sufiyan Insken</x:v>
      </x:c>
      <x:c r="F283" s="21" t="str">
        <x:v>Member</x:v>
      </x:c>
      <x:c r="G283" s="46" t="str">
        <x:f>"60123081906"</x:f>
        <x:v>60123081906</x:v>
      </x:c>
      <x:c r="H283" s="21" t="str">
        <x:v>Yes</x:v>
      </x:c>
      <x:c r="I283" s="21" t="str">
        <x:v>No</x:v>
      </x:c>
      <x:c r="J283" s="21" t="str">
        <x:v>Yes</x:v>
      </x:c>
      <x:c r="K283" s="21" t="str">
        <x:v>Excluded</x:v>
      </x:c>
      <x:c r="L283" s="21" t="str">
        <x:v>Nama/nombor dikenal pasti sebagai INSKEN</x:v>
      </x:c>
    </x:row>
    <x:row r="284">
      <x:c r="A284" s="21" t="str">
        <x:v>whatsapp_group_numbers TD1 eMkt.csv</x:v>
      </x:c>
      <x:c r="B284" s="21" t="str">
        <x:v>TD1 eMkt</x:v>
      </x:c>
      <x:c r="C284" s="21" t="n">
        <x:v>7</x:v>
      </x:c>
      <x:c r="D284" s="46" t="str">
        <x:f>"+60133308552"</x:f>
        <x:v>+60133308552</x:v>
      </x:c>
      <x:c r="E284" s="21" t="str">
        <x:v>Tn Haji Wan Abdullah Student Insken Tauke Serunding</x:v>
      </x:c>
      <x:c r="F284" s="21" t="str">
        <x:v>Member</x:v>
      </x:c>
      <x:c r="G284" s="46" t="str">
        <x:f>"60133308552"</x:f>
        <x:v>60133308552</x:v>
      </x:c>
      <x:c r="H284" s="21" t="str">
        <x:v>Yes</x:v>
      </x:c>
      <x:c r="I284" s="21" t="str">
        <x:v>No</x:v>
      </x:c>
      <x:c r="J284" s="21" t="str">
        <x:v>Yes</x:v>
      </x:c>
      <x:c r="K284" s="21" t="str">
        <x:v>Excluded</x:v>
      </x:c>
      <x:c r="L284" s="21" t="str">
        <x:v>Senarai pengecualian manual pengguna</x:v>
      </x:c>
    </x:row>
    <x:row r="285">
      <x:c r="A285" s="21" t="str">
        <x:v>whatsapp_group_numbers TD1 eMkt.csv</x:v>
      </x:c>
      <x:c r="B285" s="21" t="str">
        <x:v>TD1 eMkt</x:v>
      </x:c>
      <x:c r="C285" s="21" t="n">
        <x:v>8</x:v>
      </x:c>
      <x:c r="D285" s="46" t="str">
        <x:f>"+60199635036"</x:f>
        <x:v>+60199635036</x:v>
      </x:c>
      <x:c r="E285" s="21" t="str">
        <x:v>Tuan Faris INSKEN</x:v>
      </x:c>
      <x:c r="F285" s="21" t="str">
        <x:v>Member</x:v>
      </x:c>
      <x:c r="G285" s="46" t="str">
        <x:f>"60199635036"</x:f>
        <x:v>60199635036</x:v>
      </x:c>
      <x:c r="H285" s="21" t="str">
        <x:v>Yes</x:v>
      </x:c>
      <x:c r="I285" s="21" t="str">
        <x:v>No</x:v>
      </x:c>
      <x:c r="J285" s="21" t="str">
        <x:v>Yes</x:v>
      </x:c>
      <x:c r="K285" s="21" t="str">
        <x:v>Excluded</x:v>
      </x:c>
      <x:c r="L285" s="21" t="str">
        <x:v>Nama/nombor dikenal pasti sebagai INSKEN</x:v>
      </x:c>
    </x:row>
    <x:row r="286">
      <x:c r="A286" s="21" t="str">
        <x:v>whatsapp_group_numbers TD1 eMkt.csv</x:v>
      </x:c>
      <x:c r="B286" s="21" t="str">
        <x:v>TD1 eMkt</x:v>
      </x:c>
      <x:c r="C286" s="21" t="n">
        <x:v>9</x:v>
      </x:c>
      <x:c r="D286" s="46" t="str">
        <x:f>"+60176895341"</x:f>
        <x:v>+60176895341</x:v>
      </x:c>
      <x:c r="E286" s="21" t="str">
        <x:v>Nur Insani</x:v>
      </x:c>
      <x:c r="F286" s="21" t="str">
        <x:v>Member</x:v>
      </x:c>
      <x:c r="G286" s="46" t="str">
        <x:f>"60176895341"</x:f>
        <x:v>60176895341</x:v>
      </x:c>
      <x:c r="H286" s="21" t="str">
        <x:v>Yes</x:v>
      </x:c>
      <x:c r="I286" s="21" t="str">
        <x:v>No</x:v>
      </x:c>
      <x:c r="J286" s="21" t="str">
        <x:v>No</x:v>
      </x:c>
      <x:c r="K286" s="21" t="str">
        <x:v>Included</x:v>
      </x:c>
      <x:c r="L286" s="21" t="str">
        <x:v>Peserta</x:v>
      </x:c>
    </x:row>
    <x:row r="287">
      <x:c r="A287" s="21" t="str">
        <x:v>whatsapp_group_numbers TD1 eMkt.csv</x:v>
      </x:c>
      <x:c r="B287" s="21" t="str">
        <x:v>TD1 eMkt</x:v>
      </x:c>
      <x:c r="C287" s="21" t="n">
        <x:v>10</x:v>
      </x:c>
      <x:c r="D287" s="46" t="str">
        <x:f>"+60172572309"</x:f>
        <x:v>+60172572309</x:v>
      </x:c>
      <x:c r="E287" s="21" t="str">
        <x:v>Qamia</x:v>
      </x:c>
      <x:c r="F287" s="21" t="str">
        <x:v>Member</x:v>
      </x:c>
      <x:c r="G287" s="46" t="str">
        <x:f>"60172572309"</x:f>
        <x:v>60172572309</x:v>
      </x:c>
      <x:c r="H287" s="21" t="str">
        <x:v>Yes</x:v>
      </x:c>
      <x:c r="I287" s="21" t="str">
        <x:v>No</x:v>
      </x:c>
      <x:c r="J287" s="21" t="str">
        <x:v>No</x:v>
      </x:c>
      <x:c r="K287" s="21" t="str">
        <x:v>Included</x:v>
      </x:c>
      <x:c r="L287" s="21" t="str">
        <x:v>Peserta</x:v>
      </x:c>
    </x:row>
    <x:row r="288">
      <x:c r="A288" s="21" t="str">
        <x:v>whatsapp_group_numbers TD1 eMkt.csv</x:v>
      </x:c>
      <x:c r="B288" s="21" t="str">
        <x:v>TD1 eMkt</x:v>
      </x:c>
      <x:c r="C288" s="21" t="n">
        <x:v>11</x:v>
      </x:c>
      <x:c r="D288" s="46" t="str">
        <x:f>"+60169475420"</x:f>
        <x:v>+60169475420</x:v>
      </x:c>
      <x:c r="E288" s="21" t="str">
        <x:v>realtees enterprise</x:v>
      </x:c>
      <x:c r="F288" s="21" t="str">
        <x:v>Member</x:v>
      </x:c>
      <x:c r="G288" s="46" t="str">
        <x:f>"60169475420"</x:f>
        <x:v>60169475420</x:v>
      </x:c>
      <x:c r="H288" s="21" t="str">
        <x:v>Yes</x:v>
      </x:c>
      <x:c r="I288" s="21" t="str">
        <x:v>No</x:v>
      </x:c>
      <x:c r="J288" s="21" t="str">
        <x:v>No</x:v>
      </x:c>
      <x:c r="K288" s="21" t="str">
        <x:v>Included</x:v>
      </x:c>
      <x:c r="L288" s="21" t="str">
        <x:v>Peserta</x:v>
      </x:c>
    </x:row>
    <x:row r="289">
      <x:c r="A289" s="21" t="str">
        <x:v>whatsapp_group_numbers TD1 eMkt.csv</x:v>
      </x:c>
      <x:c r="B289" s="21" t="str">
        <x:v>TD1 eMkt</x:v>
      </x:c>
      <x:c r="C289" s="21" t="n">
        <x:v>12</x:v>
      </x:c>
      <x:c r="D289" s="46" t="str">
        <x:f>"+60178839176"</x:f>
        <x:v>+60178839176</x:v>
      </x:c>
      <x:c r="E289" s="21" t="str">
        <x:v>Since 2014: Abdul Rahman Sunnah Enterprise Merangkap UsahawanBaitumalMaiwp</x:v>
      </x:c>
      <x:c r="F289" s="21" t="str">
        <x:v>Member</x:v>
      </x:c>
      <x:c r="G289" s="46" t="str">
        <x:f>"60178839176"</x:f>
        <x:v>60178839176</x:v>
      </x:c>
      <x:c r="H289" s="21" t="str">
        <x:v>Yes</x:v>
      </x:c>
      <x:c r="I289" s="21" t="str">
        <x:v>No</x:v>
      </x:c>
      <x:c r="J289" s="21" t="str">
        <x:v>No</x:v>
      </x:c>
      <x:c r="K289" s="21" t="str">
        <x:v>Included</x:v>
      </x:c>
      <x:c r="L289" s="21" t="str">
        <x:v>Peserta</x:v>
      </x:c>
    </x:row>
    <x:row r="290">
      <x:c r="A290" s="21" t="str">
        <x:v>whatsapp_group_numbers TD1 eMkt.csv</x:v>
      </x:c>
      <x:c r="B290" s="21" t="str">
        <x:v>TD1 eMkt</x:v>
      </x:c>
      <x:c r="C290" s="21" t="n">
        <x:v>13</x:v>
      </x:c>
      <x:c r="D290" s="46" t="str">
        <x:f>"+60163811185"</x:f>
        <x:v>+60163811185</x:v>
      </x:c>
      <x:c r="E290" s="21" t="str">
        <x:v>Teacher May</x:v>
      </x:c>
      <x:c r="F290" s="21" t="str">
        <x:v>Member</x:v>
      </x:c>
      <x:c r="G290" s="46" t="str">
        <x:f>"60163811185"</x:f>
        <x:v>60163811185</x:v>
      </x:c>
      <x:c r="H290" s="21" t="str">
        <x:v>Yes</x:v>
      </x:c>
      <x:c r="I290" s="21" t="str">
        <x:v>No</x:v>
      </x:c>
      <x:c r="J290" s="21" t="str">
        <x:v>No</x:v>
      </x:c>
      <x:c r="K290" s="21" t="str">
        <x:v>Included</x:v>
      </x:c>
      <x:c r="L290" s="21" t="str">
        <x:v>Peserta</x:v>
      </x:c>
    </x:row>
    <x:row r="291">
      <x:c r="A291" s="21" t="str">
        <x:v>whatsapp_group_numbers TD1 eMkt.csv</x:v>
      </x:c>
      <x:c r="B291" s="21" t="str">
        <x:v>TD1 eMkt</x:v>
      </x:c>
      <x:c r="C291" s="21" t="n">
        <x:v>14</x:v>
      </x:c>
      <x:c r="D291" s="46" t="str">
        <x:f>"+60179005284"</x:f>
        <x:v>+60179005284</x:v>
      </x:c>
      <x:c r="E291" s="21" t="str">
        <x:v>+60179005284</x:v>
      </x:c>
      <x:c r="F291" s="21" t="str">
        <x:v>Member</x:v>
      </x:c>
      <x:c r="G291" s="46" t="str">
        <x:f>"60179005284"</x:f>
        <x:v>60179005284</x:v>
      </x:c>
      <x:c r="H291" s="21" t="str">
        <x:v>Yes</x:v>
      </x:c>
      <x:c r="I291" s="21" t="str">
        <x:v>No</x:v>
      </x:c>
      <x:c r="J291" s="21" t="str">
        <x:v>No</x:v>
      </x:c>
      <x:c r="K291" s="21" t="str">
        <x:v>Included</x:v>
      </x:c>
      <x:c r="L291" s="21" t="str">
        <x:v>Peserta</x:v>
      </x:c>
    </x:row>
    <x:row r="292">
      <x:c r="A292" s="21" t="str">
        <x:v>whatsapp_group_numbers TD1 eMkt.csv</x:v>
      </x:c>
      <x:c r="B292" s="21" t="str">
        <x:v>TD1 eMkt</x:v>
      </x:c>
      <x:c r="C292" s="21" t="n">
        <x:v>15</x:v>
      </x:c>
      <x:c r="D292" s="46" t="str">
        <x:f>"+60132425788"</x:f>
        <x:v>+60132425788</x:v>
      </x:c>
      <x:c r="E292" s="21" t="str">
        <x:v>+60132425788</x:v>
      </x:c>
      <x:c r="F292" s="21" t="str">
        <x:v>Member</x:v>
      </x:c>
      <x:c r="G292" s="46" t="str">
        <x:f>"60132425788"</x:f>
        <x:v>60132425788</x:v>
      </x:c>
      <x:c r="H292" s="21" t="str">
        <x:v>Yes</x:v>
      </x:c>
      <x:c r="I292" s="21" t="str">
        <x:v>No</x:v>
      </x:c>
      <x:c r="J292" s="21" t="str">
        <x:v>No</x:v>
      </x:c>
      <x:c r="K292" s="21" t="str">
        <x:v>Included</x:v>
      </x:c>
      <x:c r="L292" s="21" t="str">
        <x:v>Peserta</x:v>
      </x:c>
    </x:row>
    <x:row r="293">
      <x:c r="A293" s="21" t="str">
        <x:v>whatsapp_group_numbers TD1 eMkt.csv</x:v>
      </x:c>
      <x:c r="B293" s="21" t="str">
        <x:v>TD1 eMkt</x:v>
      </x:c>
      <x:c r="C293" s="21" t="n">
        <x:v>16</x:v>
      </x:c>
      <x:c r="D293" s="46" t="str">
        <x:f>"+60193905598"</x:f>
        <x:v>+60193905598</x:v>
      </x:c>
      <x:c r="E293" s="21" t="str">
        <x:v>+60193905598</x:v>
      </x:c>
      <x:c r="F293" s="21" t="str">
        <x:v>Member</x:v>
      </x:c>
      <x:c r="G293" s="46" t="str">
        <x:f>"60193905598"</x:f>
        <x:v>60193905598</x:v>
      </x:c>
      <x:c r="H293" s="21" t="str">
        <x:v>Yes</x:v>
      </x:c>
      <x:c r="I293" s="21" t="str">
        <x:v>No</x:v>
      </x:c>
      <x:c r="J293" s="21" t="str">
        <x:v>No</x:v>
      </x:c>
      <x:c r="K293" s="21" t="str">
        <x:v>Included</x:v>
      </x:c>
      <x:c r="L293" s="21" t="str">
        <x:v>Peserta</x:v>
      </x:c>
    </x:row>
    <x:row r="294">
      <x:c r="A294" s="21" t="str">
        <x:v>whatsapp_group_numbers TD1 eMkt.csv</x:v>
      </x:c>
      <x:c r="B294" s="21" t="str">
        <x:v>TD1 eMkt</x:v>
      </x:c>
      <x:c r="C294" s="21" t="n">
        <x:v>17</x:v>
      </x:c>
      <x:c r="D294" s="46" t="str">
        <x:f>"+60173626555"</x:f>
        <x:v>+60173626555</x:v>
      </x:c>
      <x:c r="E294" s="21" t="str">
        <x:v>+60173626555</x:v>
      </x:c>
      <x:c r="F294" s="21" t="str">
        <x:v>Member</x:v>
      </x:c>
      <x:c r="G294" s="46" t="str">
        <x:f>"60173626555"</x:f>
        <x:v>60173626555</x:v>
      </x:c>
      <x:c r="H294" s="21" t="str">
        <x:v>Yes</x:v>
      </x:c>
      <x:c r="I294" s="21" t="str">
        <x:v>No</x:v>
      </x:c>
      <x:c r="J294" s="21" t="str">
        <x:v>No</x:v>
      </x:c>
      <x:c r="K294" s="21" t="str">
        <x:v>Included</x:v>
      </x:c>
      <x:c r="L294" s="21" t="str">
        <x:v>Peserta</x:v>
      </x:c>
    </x:row>
    <x:row r="295">
      <x:c r="A295" s="21" t="str">
        <x:v>whatsapp_group_numbers TD1 eMkt.csv</x:v>
      </x:c>
      <x:c r="B295" s="21" t="str">
        <x:v>TD1 eMkt</x:v>
      </x:c>
      <x:c r="C295" s="21" t="n">
        <x:v>18</x:v>
      </x:c>
      <x:c r="D295" s="46" t="str">
        <x:f>"+60193532341"</x:f>
        <x:v>+60193532341</x:v>
      </x:c>
      <x:c r="E295" s="21" t="str">
        <x:v>+60193532341</x:v>
      </x:c>
      <x:c r="F295" s="21" t="str">
        <x:v>Member</x:v>
      </x:c>
      <x:c r="G295" s="46" t="str">
        <x:f>"60193532341"</x:f>
        <x:v>60193532341</x:v>
      </x:c>
      <x:c r="H295" s="21" t="str">
        <x:v>Yes</x:v>
      </x:c>
      <x:c r="I295" s="21" t="str">
        <x:v>No</x:v>
      </x:c>
      <x:c r="J295" s="21" t="str">
        <x:v>No</x:v>
      </x:c>
      <x:c r="K295" s="21" t="str">
        <x:v>Included</x:v>
      </x:c>
      <x:c r="L295" s="21" t="str">
        <x:v>Peserta</x:v>
      </x:c>
    </x:row>
    <x:row r="296">
      <x:c r="A296" s="21" t="str">
        <x:v>whatsapp_group_numbers TD1 eMkt.csv</x:v>
      </x:c>
      <x:c r="B296" s="21" t="str">
        <x:v>TD1 eMkt</x:v>
      </x:c>
      <x:c r="C296" s="21" t="n">
        <x:v>19</x:v>
      </x:c>
      <x:c r="D296" s="46" t="str">
        <x:f>"+60177997396"</x:f>
        <x:v>+60177997396</x:v>
      </x:c>
      <x:c r="E296" s="21" t="str">
        <x:v>+60177997396</x:v>
      </x:c>
      <x:c r="F296" s="21" t="str">
        <x:v>Member</x:v>
      </x:c>
      <x:c r="G296" s="46" t="str">
        <x:f>"60177997396"</x:f>
        <x:v>60177997396</x:v>
      </x:c>
      <x:c r="H296" s="21" t="str">
        <x:v>Yes</x:v>
      </x:c>
      <x:c r="I296" s="21" t="str">
        <x:v>No</x:v>
      </x:c>
      <x:c r="J296" s="21" t="str">
        <x:v>No</x:v>
      </x:c>
      <x:c r="K296" s="21" t="str">
        <x:v>Included</x:v>
      </x:c>
      <x:c r="L296" s="21" t="str">
        <x:v>Peserta</x:v>
      </x:c>
    </x:row>
    <x:row r="297">
      <x:c r="A297" s="21" t="str">
        <x:v>whatsapp_group_numbers TD1 eMkt.csv</x:v>
      </x:c>
      <x:c r="B297" s="21" t="str">
        <x:v>TD1 eMkt</x:v>
      </x:c>
      <x:c r="C297" s="21" t="n">
        <x:v>20</x:v>
      </x:c>
      <x:c r="D297" s="46" t="str">
        <x:f>"+601120849918"</x:f>
        <x:v>+601120849918</x:v>
      </x:c>
      <x:c r="E297" s="21" t="str">
        <x:v>+601120849918</x:v>
      </x:c>
      <x:c r="F297" s="21" t="str">
        <x:v>Member</x:v>
      </x:c>
      <x:c r="G297" s="46" t="str">
        <x:f>"601120849918"</x:f>
        <x:v>601120849918</x:v>
      </x:c>
      <x:c r="H297" s="21" t="str">
        <x:v>Yes</x:v>
      </x:c>
      <x:c r="I297" s="21" t="str">
        <x:v>No</x:v>
      </x:c>
      <x:c r="J297" s="21" t="str">
        <x:v>No</x:v>
      </x:c>
      <x:c r="K297" s="21" t="str">
        <x:v>Included</x:v>
      </x:c>
      <x:c r="L297" s="21" t="str">
        <x:v>Peserta</x:v>
      </x:c>
    </x:row>
    <x:row r="298">
      <x:c r="A298" s="21" t="str">
        <x:v>whatsapp_group_numbers TD119 Zero CM.csv</x:v>
      </x:c>
      <x:c r="B298" s="21" t="str">
        <x:v>TD119 Zero CM</x:v>
      </x:c>
      <x:c r="C298" s="21" t="n">
        <x:v>1</x:v>
      </x:c>
      <x:c r="D298" s="46" t="str">
        <x:f>"+60142576155"</x:f>
        <x:v>+60142576155</x:v>
      </x:c>
      <x:c r="E298" s="21" t="str">
        <x:v>Akmal Pegawai Insken</x:v>
      </x:c>
      <x:c r="F298" s="21" t="str">
        <x:v>Member</x:v>
      </x:c>
      <x:c r="G298" s="46" t="str">
        <x:f>"60142576155"</x:f>
        <x:v>60142576155</x:v>
      </x:c>
      <x:c r="H298" s="21" t="str">
        <x:v>Yes</x:v>
      </x:c>
      <x:c r="I298" s="21" t="str">
        <x:v>No</x:v>
      </x:c>
      <x:c r="J298" s="21" t="str">
        <x:v>Yes</x:v>
      </x:c>
      <x:c r="K298" s="21" t="str">
        <x:v>Excluded</x:v>
      </x:c>
      <x:c r="L298" s="21" t="str">
        <x:v>Nama/nombor dikenal pasti sebagai INSKEN</x:v>
      </x:c>
    </x:row>
    <x:row r="299">
      <x:c r="A299" s="21" t="str">
        <x:v>whatsapp_group_numbers TD119 Zero CM.csv</x:v>
      </x:c>
      <x:c r="B299" s="21" t="str">
        <x:v>TD119 Zero CM</x:v>
      </x:c>
      <x:c r="C299" s="21" t="n">
        <x:v>2</x:v>
      </x:c>
      <x:c r="D299" s="46" t="str">
        <x:f>"+60193595900"</x:f>
        <x:v>+60193595900</x:v>
      </x:c>
      <x:c r="E299" s="21" t="str">
        <x:v>Insken - Pn Nora</x:v>
      </x:c>
      <x:c r="F299" s="21" t="str">
        <x:v>Member</x:v>
      </x:c>
      <x:c r="G299" s="46" t="str">
        <x:f>"60193595900"</x:f>
        <x:v>60193595900</x:v>
      </x:c>
      <x:c r="H299" s="21" t="str">
        <x:v>Yes</x:v>
      </x:c>
      <x:c r="I299" s="21" t="str">
        <x:v>No</x:v>
      </x:c>
      <x:c r="J299" s="21" t="str">
        <x:v>Yes</x:v>
      </x:c>
      <x:c r="K299" s="21" t="str">
        <x:v>Excluded</x:v>
      </x:c>
      <x:c r="L299" s="21" t="str">
        <x:v>Nama/nombor dikenal pasti sebagai INSKEN</x:v>
      </x:c>
    </x:row>
    <x:row r="300">
      <x:c r="A300" s="21" t="str">
        <x:v>whatsapp_group_numbers TD119 Zero CM.csv</x:v>
      </x:c>
      <x:c r="B300" s="21" t="str">
        <x:v>TD119 Zero CM</x:v>
      </x:c>
      <x:c r="C300" s="21" t="n">
        <x:v>3</x:v>
      </x:c>
      <x:c r="D300" s="46" t="str">
        <x:f>"+60143251107"</x:f>
        <x:v>+60143251107</x:v>
      </x:c>
      <x:c r="E300" s="21" t="str">
        <x:v>Natasha Hazlin INSKEN</x:v>
      </x:c>
      <x:c r="F300" s="21" t="str">
        <x:v>Member</x:v>
      </x:c>
      <x:c r="G300" s="46" t="str">
        <x:f>"60143251107"</x:f>
        <x:v>60143251107</x:v>
      </x:c>
      <x:c r="H300" s="21" t="str">
        <x:v>Yes</x:v>
      </x:c>
      <x:c r="I300" s="21" t="str">
        <x:v>No</x:v>
      </x:c>
      <x:c r="J300" s="21" t="str">
        <x:v>Yes</x:v>
      </x:c>
      <x:c r="K300" s="21" t="str">
        <x:v>Excluded</x:v>
      </x:c>
      <x:c r="L300" s="21" t="str">
        <x:v>Nama/nombor dikenal pasti sebagai INSKEN</x:v>
      </x:c>
    </x:row>
    <x:row r="301">
      <x:c r="A301" s="21" t="str">
        <x:v>whatsapp_group_numbers TD119 Zero CM.csv</x:v>
      </x:c>
      <x:c r="B301" s="21" t="str">
        <x:v>TD119 Zero CM</x:v>
      </x:c>
      <x:c r="C301" s="21" t="n">
        <x:v>4</x:v>
      </x:c>
      <x:c r="D301" s="46" t="str">
        <x:f>"+60177670627"</x:f>
        <x:v>+60177670627</x:v>
      </x:c>
      <x:c r="E301" s="21" t="str">
        <x:v>Nur Aqeela INSKEN</x:v>
      </x:c>
      <x:c r="F301" s="21" t="str">
        <x:v>Member</x:v>
      </x:c>
      <x:c r="G301" s="46" t="str">
        <x:f>"60177670627"</x:f>
        <x:v>60177670627</x:v>
      </x:c>
      <x:c r="H301" s="21" t="str">
        <x:v>Yes</x:v>
      </x:c>
      <x:c r="I301" s="21" t="str">
        <x:v>No</x:v>
      </x:c>
      <x:c r="J301" s="21" t="str">
        <x:v>Yes</x:v>
      </x:c>
      <x:c r="K301" s="21" t="str">
        <x:v>Excluded</x:v>
      </x:c>
      <x:c r="L301" s="21" t="str">
        <x:v>Nama/nombor dikenal pasti sebagai INSKEN</x:v>
      </x:c>
    </x:row>
    <x:row r="302">
      <x:c r="A302" s="21" t="str">
        <x:v>whatsapp_group_numbers TD119 Zero CM.csv</x:v>
      </x:c>
      <x:c r="B302" s="21" t="str">
        <x:v>TD119 Zero CM</x:v>
      </x:c>
      <x:c r="C302" s="21" t="n">
        <x:v>5</x:v>
      </x:c>
      <x:c r="D302" s="46" t="str">
        <x:f>"+60175545144"</x:f>
        <x:v>+60175545144</x:v>
      </x:c>
      <x:c r="E302" s="21" t="str">
        <x:v>Pn Aishah INSKEN</x:v>
      </x:c>
      <x:c r="F302" s="21" t="str">
        <x:v>Member</x:v>
      </x:c>
      <x:c r="G302" s="46" t="str">
        <x:f>"60175545144"</x:f>
        <x:v>60175545144</x:v>
      </x:c>
      <x:c r="H302" s="21" t="str">
        <x:v>Yes</x:v>
      </x:c>
      <x:c r="I302" s="21" t="str">
        <x:v>No</x:v>
      </x:c>
      <x:c r="J302" s="21" t="str">
        <x:v>Yes</x:v>
      </x:c>
      <x:c r="K302" s="21" t="str">
        <x:v>Excluded</x:v>
      </x:c>
      <x:c r="L302" s="21" t="str">
        <x:v>Nama/nombor dikenal pasti sebagai INSKEN</x:v>
      </x:c>
    </x:row>
    <x:row r="303">
      <x:c r="A303" s="21" t="str">
        <x:v>whatsapp_group_numbers TD119 Zero CM.csv</x:v>
      </x:c>
      <x:c r="B303" s="21" t="str">
        <x:v>TD119 Zero CM</x:v>
      </x:c>
      <x:c r="C303" s="21" t="n">
        <x:v>6</x:v>
      </x:c>
      <x:c r="D303" s="46" t="str">
        <x:f>"+60174102530"</x:f>
        <x:v>+60174102530</x:v>
      </x:c>
      <x:c r="E303" s="21" t="str">
        <x:v>shaeza INSKEN</x:v>
      </x:c>
      <x:c r="F303" s="21" t="str">
        <x:v>Member</x:v>
      </x:c>
      <x:c r="G303" s="46" t="str">
        <x:f>"60174102530"</x:f>
        <x:v>60174102530</x:v>
      </x:c>
      <x:c r="H303" s="21" t="str">
        <x:v>Yes</x:v>
      </x:c>
      <x:c r="I303" s="21" t="str">
        <x:v>No</x:v>
      </x:c>
      <x:c r="J303" s="21" t="str">
        <x:v>Yes</x:v>
      </x:c>
      <x:c r="K303" s="21" t="str">
        <x:v>Excluded</x:v>
      </x:c>
      <x:c r="L303" s="21" t="str">
        <x:v>Nama/nombor dikenal pasti sebagai INSKEN</x:v>
      </x:c>
    </x:row>
    <x:row r="304">
      <x:c r="A304" s="21" t="str">
        <x:v>whatsapp_group_numbers TD119 Zero CM.csv</x:v>
      </x:c>
      <x:c r="B304" s="21" t="str">
        <x:v>TD119 Zero CM</x:v>
      </x:c>
      <x:c r="C304" s="21" t="n">
        <x:v>7</x:v>
      </x:c>
      <x:c r="D304" s="46" t="str">
        <x:f>"+60123081906"</x:f>
        <x:v>+60123081906</x:v>
      </x:c>
      <x:c r="E304" s="21" t="str">
        <x:v>Sufiyan Insken</x:v>
      </x:c>
      <x:c r="F304" s="21" t="str">
        <x:v>Member</x:v>
      </x:c>
      <x:c r="G304" s="46" t="str">
        <x:f>"60123081906"</x:f>
        <x:v>60123081906</x:v>
      </x:c>
      <x:c r="H304" s="21" t="str">
        <x:v>Yes</x:v>
      </x:c>
      <x:c r="I304" s="21" t="str">
        <x:v>No</x:v>
      </x:c>
      <x:c r="J304" s="21" t="str">
        <x:v>Yes</x:v>
      </x:c>
      <x:c r="K304" s="21" t="str">
        <x:v>Excluded</x:v>
      </x:c>
      <x:c r="L304" s="21" t="str">
        <x:v>Nama/nombor dikenal pasti sebagai INSKEN</x:v>
      </x:c>
    </x:row>
    <x:row r="305">
      <x:c r="A305" s="21" t="str">
        <x:v>whatsapp_group_numbers TD119 Zero CM.csv</x:v>
      </x:c>
      <x:c r="B305" s="21" t="str">
        <x:v>TD119 Zero CM</x:v>
      </x:c>
      <x:c r="C305" s="21" t="n">
        <x:v>8</x:v>
      </x:c>
      <x:c r="D305" s="46" t="str">
        <x:f>"+60192507031"</x:f>
        <x:v>+60192507031</x:v>
      </x:c>
      <x:c r="E305" s="21" t="str">
        <x:v>Baju Renang Muslimah</x:v>
      </x:c>
      <x:c r="F305" s="21" t="str">
        <x:v>Member</x:v>
      </x:c>
      <x:c r="G305" s="46" t="str">
        <x:f>"60192507031"</x:f>
        <x:v>60192507031</x:v>
      </x:c>
      <x:c r="H305" s="21" t="str">
        <x:v>Yes</x:v>
      </x:c>
      <x:c r="I305" s="21" t="str">
        <x:v>No</x:v>
      </x:c>
      <x:c r="J305" s="21" t="str">
        <x:v>No</x:v>
      </x:c>
      <x:c r="K305" s="21" t="str">
        <x:v>Included</x:v>
      </x:c>
      <x:c r="L305" s="21" t="str">
        <x:v>Peserta</x:v>
      </x:c>
    </x:row>
    <x:row r="306">
      <x:c r="A306" s="21" t="str">
        <x:v>whatsapp_group_numbers TD119 Zero CM.csv</x:v>
      </x:c>
      <x:c r="B306" s="21" t="str">
        <x:v>TD119 Zero CM</x:v>
      </x:c>
      <x:c r="C306" s="21" t="n">
        <x:v>9</x:v>
      </x:c>
      <x:c r="D306" s="46" t="str">
        <x:f>"+60149900753"</x:f>
        <x:v>+60149900753</x:v>
      </x:c>
      <x:c r="E306" s="21" t="str">
        <x:v>Christina Blone</x:v>
      </x:c>
      <x:c r="F306" s="21" t="str">
        <x:v>Member</x:v>
      </x:c>
      <x:c r="G306" s="46" t="str">
        <x:f>"60149900753"</x:f>
        <x:v>60149900753</x:v>
      </x:c>
      <x:c r="H306" s="21" t="str">
        <x:v>Yes</x:v>
      </x:c>
      <x:c r="I306" s="21" t="str">
        <x:v>No</x:v>
      </x:c>
      <x:c r="J306" s="21" t="str">
        <x:v>No</x:v>
      </x:c>
      <x:c r="K306" s="21" t="str">
        <x:v>Included</x:v>
      </x:c>
      <x:c r="L306" s="21" t="str">
        <x:v>Peserta</x:v>
      </x:c>
    </x:row>
    <x:row r="307">
      <x:c r="A307" s="21" t="str">
        <x:v>whatsapp_group_numbers TD119 Zero CM.csv</x:v>
      </x:c>
      <x:c r="B307" s="21" t="str">
        <x:v>TD119 Zero CM</x:v>
      </x:c>
      <x:c r="C307" s="21" t="n">
        <x:v>10</x:v>
      </x:c>
      <x:c r="D307" s="46" t="str">
        <x:f>"+601128537598"</x:f>
        <x:v>+601128537598</x:v>
      </x:c>
      <x:c r="E307" s="21" t="str">
        <x:v>De Zara Creation</x:v>
      </x:c>
      <x:c r="F307" s="21" t="str">
        <x:v>Member</x:v>
      </x:c>
      <x:c r="G307" s="46" t="str">
        <x:f>"601128537598"</x:f>
        <x:v>601128537598</x:v>
      </x:c>
      <x:c r="H307" s="21" t="str">
        <x:v>Yes</x:v>
      </x:c>
      <x:c r="I307" s="21" t="str">
        <x:v>No</x:v>
      </x:c>
      <x:c r="J307" s="21" t="str">
        <x:v>No</x:v>
      </x:c>
      <x:c r="K307" s="21" t="str">
        <x:v>Included</x:v>
      </x:c>
      <x:c r="L307" s="21" t="str">
        <x:v>Peserta</x:v>
      </x:c>
    </x:row>
    <x:row r="308">
      <x:c r="A308" s="21" t="str">
        <x:v>whatsapp_group_numbers TD119 Zero CM.csv</x:v>
      </x:c>
      <x:c r="B308" s="21" t="str">
        <x:v>TD119 Zero CM</x:v>
      </x:c>
      <x:c r="C308" s="21" t="n">
        <x:v>11</x:v>
      </x:c>
      <x:c r="D308" s="46" t="str">
        <x:f>"+60193197976"</x:f>
        <x:v>+60193197976</x:v>
      </x:c>
      <x:c r="E308" s="21" t="str">
        <x:v>Hazura Mek Hartanah</x:v>
      </x:c>
      <x:c r="F308" s="21" t="str">
        <x:v>Member</x:v>
      </x:c>
      <x:c r="G308" s="46" t="str">
        <x:f>"60193197976"</x:f>
        <x:v>60193197976</x:v>
      </x:c>
      <x:c r="H308" s="21" t="str">
        <x:v>Yes</x:v>
      </x:c>
      <x:c r="I308" s="21" t="str">
        <x:v>No</x:v>
      </x:c>
      <x:c r="J308" s="21" t="str">
        <x:v>No</x:v>
      </x:c>
      <x:c r="K308" s="21" t="str">
        <x:v>Included</x:v>
      </x:c>
      <x:c r="L308" s="21" t="str">
        <x:v>Peserta</x:v>
      </x:c>
    </x:row>
    <x:row r="309">
      <x:c r="A309" s="21" t="str">
        <x:v>whatsapp_group_numbers TD119 Zero CM.csv</x:v>
      </x:c>
      <x:c r="B309" s="21" t="str">
        <x:v>TD119 Zero CM</x:v>
      </x:c>
      <x:c r="C309" s="21" t="n">
        <x:v>12</x:v>
      </x:c>
      <x:c r="D309" s="46" t="str">
        <x:f>"+60129180574"</x:f>
        <x:v>+60129180574</x:v>
      </x:c>
      <x:c r="E309" s="21" t="str">
        <x:v>Khairunnisa Liyana (Dealer Public Gold &amp;Zanns Catering)</x:v>
      </x:c>
      <x:c r="F309" s="21" t="str">
        <x:v>Member</x:v>
      </x:c>
      <x:c r="G309" s="46" t="str">
        <x:f>"60129180574"</x:f>
        <x:v>60129180574</x:v>
      </x:c>
      <x:c r="H309" s="21" t="str">
        <x:v>Yes</x:v>
      </x:c>
      <x:c r="I309" s="21" t="str">
        <x:v>No</x:v>
      </x:c>
      <x:c r="J309" s="21" t="str">
        <x:v>No</x:v>
      </x:c>
      <x:c r="K309" s="21" t="str">
        <x:v>Included</x:v>
      </x:c>
      <x:c r="L309" s="21" t="str">
        <x:v>Peserta</x:v>
      </x:c>
    </x:row>
    <x:row r="310">
      <x:c r="A310" s="21" t="str">
        <x:v>whatsapp_group_numbers TD119 Zero CM.csv</x:v>
      </x:c>
      <x:c r="B310" s="21" t="str">
        <x:v>TD119 Zero CM</x:v>
      </x:c>
      <x:c r="C310" s="21" t="n">
        <x:v>13</x:v>
      </x:c>
      <x:c r="D310" s="46" t="str">
        <x:f>"+60124350540"</x:f>
        <x:v>+60124350540</x:v>
      </x:c>
      <x:c r="E310" s="21" t="str">
        <x:v>Marina Hamzah</x:v>
      </x:c>
      <x:c r="F310" s="21" t="str">
        <x:v>Member</x:v>
      </x:c>
      <x:c r="G310" s="46" t="str">
        <x:f>"60124350540"</x:f>
        <x:v>60124350540</x:v>
      </x:c>
      <x:c r="H310" s="21" t="str">
        <x:v>Yes</x:v>
      </x:c>
      <x:c r="I310" s="21" t="str">
        <x:v>No</x:v>
      </x:c>
      <x:c r="J310" s="21" t="str">
        <x:v>No</x:v>
      </x:c>
      <x:c r="K310" s="21" t="str">
        <x:v>Included</x:v>
      </x:c>
      <x:c r="L310" s="21" t="str">
        <x:v>Peserta</x:v>
      </x:c>
    </x:row>
    <x:row r="311">
      <x:c r="A311" s="21" t="str">
        <x:v>whatsapp_group_numbers TD119 Zero CM.csv</x:v>
      </x:c>
      <x:c r="B311" s="21" t="str">
        <x:v>TD119 Zero CM</x:v>
      </x:c>
      <x:c r="C311" s="21" t="n">
        <x:v>14</x:v>
      </x:c>
      <x:c r="D311" s="46" t="str">
        <x:f>"+60194763611"</x:f>
        <x:v>+60194763611</x:v>
      </x:c>
      <x:c r="E311" s="21" t="str">
        <x:v>Marzuki Fadeeb Property</x:v>
      </x:c>
      <x:c r="F311" s="21" t="str">
        <x:v>Member</x:v>
      </x:c>
      <x:c r="G311" s="46" t="str">
        <x:f>"60194763611"</x:f>
        <x:v>60194763611</x:v>
      </x:c>
      <x:c r="H311" s="21" t="str">
        <x:v>Yes</x:v>
      </x:c>
      <x:c r="I311" s="21" t="str">
        <x:v>No</x:v>
      </x:c>
      <x:c r="J311" s="21" t="str">
        <x:v>No</x:v>
      </x:c>
      <x:c r="K311" s="21" t="str">
        <x:v>Included</x:v>
      </x:c>
      <x:c r="L311" s="21" t="str">
        <x:v>Peserta</x:v>
      </x:c>
    </x:row>
    <x:row r="312">
      <x:c r="A312" s="21" t="str">
        <x:v>whatsapp_group_numbers TD119 Zero CM.csv</x:v>
      </x:c>
      <x:c r="B312" s="21" t="str">
        <x:v>TD119 Zero CM</x:v>
      </x:c>
      <x:c r="C312" s="21" t="n">
        <x:v>15</x:v>
      </x:c>
      <x:c r="D312" s="46" t="str">
        <x:f>"+60133029375"</x:f>
        <x:v>+60133029375</x:v>
      </x:c>
      <x:c r="E312" s="21" t="str">
        <x:v>Norell</x:v>
      </x:c>
      <x:c r="F312" s="21" t="str">
        <x:v>Member</x:v>
      </x:c>
      <x:c r="G312" s="46" t="str">
        <x:f>"60133029375"</x:f>
        <x:v>60133029375</x:v>
      </x:c>
      <x:c r="H312" s="21" t="str">
        <x:v>Yes</x:v>
      </x:c>
      <x:c r="I312" s="21" t="str">
        <x:v>No</x:v>
      </x:c>
      <x:c r="J312" s="21" t="str">
        <x:v>No</x:v>
      </x:c>
      <x:c r="K312" s="21" t="str">
        <x:v>Included</x:v>
      </x:c>
      <x:c r="L312" s="21" t="str">
        <x:v>Peserta</x:v>
      </x:c>
    </x:row>
    <x:row r="313">
      <x:c r="A313" s="21" t="str">
        <x:v>whatsapp_group_numbers TD119 Zero CM.csv</x:v>
      </x:c>
      <x:c r="B313" s="21" t="str">
        <x:v>TD119 Zero CM</x:v>
      </x:c>
      <x:c r="C313" s="21" t="n">
        <x:v>16</x:v>
      </x:c>
      <x:c r="D313" s="46" t="str">
        <x:f>"+60192402024"</x:f>
        <x:v>+60192402024</x:v>
      </x:c>
      <x:c r="E313" s="21" t="str">
        <x:v>Syed Hussien Syed Mustafa</x:v>
      </x:c>
      <x:c r="F313" s="21" t="str">
        <x:v>Member</x:v>
      </x:c>
      <x:c r="G313" s="46" t="str">
        <x:f>"60192402024"</x:f>
        <x:v>60192402024</x:v>
      </x:c>
      <x:c r="H313" s="21" t="str">
        <x:v>Yes</x:v>
      </x:c>
      <x:c r="I313" s="21" t="str">
        <x:v>No</x:v>
      </x:c>
      <x:c r="J313" s="21" t="str">
        <x:v>No</x:v>
      </x:c>
      <x:c r="K313" s="21" t="str">
        <x:v>Included</x:v>
      </x:c>
      <x:c r="L313" s="21" t="str">
        <x:v>Peserta</x:v>
      </x:c>
    </x:row>
    <x:row r="314">
      <x:c r="A314" s="21" t="str">
        <x:v>whatsapp_group_numbers TD119 Zero CM.csv</x:v>
      </x:c>
      <x:c r="B314" s="21" t="str">
        <x:v>TD119 Zero CM</x:v>
      </x:c>
      <x:c r="C314" s="21" t="n">
        <x:v>17</x:v>
      </x:c>
      <x:c r="D314" s="46" t="str">
        <x:f>"+60193456758"</x:f>
        <x:v>+60193456758</x:v>
      </x:c>
      <x:c r="E314" s="21" t="str">
        <x:v>Tadika Cahaya Raudhah</x:v>
      </x:c>
      <x:c r="F314" s="21" t="str">
        <x:v>Member</x:v>
      </x:c>
      <x:c r="G314" s="46" t="str">
        <x:f>"60193456758"</x:f>
        <x:v>60193456758</x:v>
      </x:c>
      <x:c r="H314" s="21" t="str">
        <x:v>Yes</x:v>
      </x:c>
      <x:c r="I314" s="21" t="str">
        <x:v>No</x:v>
      </x:c>
      <x:c r="J314" s="21" t="str">
        <x:v>No</x:v>
      </x:c>
      <x:c r="K314" s="21" t="str">
        <x:v>Included</x:v>
      </x:c>
      <x:c r="L314" s="21" t="str">
        <x:v>Peserta</x:v>
      </x:c>
    </x:row>
    <x:row r="315">
      <x:c r="A315" s="21" t="str">
        <x:v>whatsapp_group_numbers TD119 Zero CM.csv</x:v>
      </x:c>
      <x:c r="B315" s="21" t="str">
        <x:v>TD119 Zero CM</x:v>
      </x:c>
      <x:c r="C315" s="21" t="n">
        <x:v>18</x:v>
      </x:c>
      <x:c r="D315" s="46" t="str">
        <x:f>"+601110018816"</x:f>
        <x:v>+601110018816</x:v>
      </x:c>
      <x:c r="E315" s="21" t="str">
        <x:v>+601110018816</x:v>
      </x:c>
      <x:c r="F315" s="21" t="str">
        <x:v>Member</x:v>
      </x:c>
      <x:c r="G315" s="46" t="str">
        <x:f>"601110018816"</x:f>
        <x:v>601110018816</x:v>
      </x:c>
      <x:c r="H315" s="21" t="str">
        <x:v>Yes</x:v>
      </x:c>
      <x:c r="I315" s="21" t="str">
        <x:v>No</x:v>
      </x:c>
      <x:c r="J315" s="21" t="str">
        <x:v>No</x:v>
      </x:c>
      <x:c r="K315" s="21" t="str">
        <x:v>Included</x:v>
      </x:c>
      <x:c r="L315" s="21" t="str">
        <x:v>Peserta</x:v>
      </x:c>
    </x:row>
    <x:row r="316">
      <x:c r="A316" s="21" t="str">
        <x:v>whatsapp_group_numbers TD119 Zero CM.csv</x:v>
      </x:c>
      <x:c r="B316" s="21" t="str">
        <x:v>TD119 Zero CM</x:v>
      </x:c>
      <x:c r="C316" s="21" t="n">
        <x:v>19</x:v>
      </x:c>
      <x:c r="D316" s="46" t="str">
        <x:f>"+60197723075"</x:f>
        <x:v>+60197723075</x:v>
      </x:c>
      <x:c r="E316" s="21" t="str">
        <x:v>+60197723075</x:v>
      </x:c>
      <x:c r="F316" s="21" t="str">
        <x:v>Member</x:v>
      </x:c>
      <x:c r="G316" s="46" t="str">
        <x:f>"60197723075"</x:f>
        <x:v>60197723075</x:v>
      </x:c>
      <x:c r="H316" s="21" t="str">
        <x:v>Yes</x:v>
      </x:c>
      <x:c r="I316" s="21" t="str">
        <x:v>No</x:v>
      </x:c>
      <x:c r="J316" s="21" t="str">
        <x:v>No</x:v>
      </x:c>
      <x:c r="K316" s="21" t="str">
        <x:v>Included</x:v>
      </x:c>
      <x:c r="L316" s="21" t="str">
        <x:v>Peserta</x:v>
      </x:c>
    </x:row>
    <x:row r="317">
      <x:c r="A317" s="21" t="str">
        <x:v>whatsapp_group_numbers TD119 Zero CM.csv</x:v>
      </x:c>
      <x:c r="B317" s="21" t="str">
        <x:v>TD119 Zero CM</x:v>
      </x:c>
      <x:c r="C317" s="21" t="n">
        <x:v>20</x:v>
      </x:c>
      <x:c r="D317" s="46" t="str">
        <x:f>"+60124496609"</x:f>
        <x:v>+60124496609</x:v>
      </x:c>
      <x:c r="E317" s="21" t="str">
        <x:v>+60124496609</x:v>
      </x:c>
      <x:c r="F317" s="21" t="str">
        <x:v>Member</x:v>
      </x:c>
      <x:c r="G317" s="46" t="str">
        <x:f>"60124496609"</x:f>
        <x:v>60124496609</x:v>
      </x:c>
      <x:c r="H317" s="21" t="str">
        <x:v>Yes</x:v>
      </x:c>
      <x:c r="I317" s="21" t="str">
        <x:v>No</x:v>
      </x:c>
      <x:c r="J317" s="21" t="str">
        <x:v>No</x:v>
      </x:c>
      <x:c r="K317" s="21" t="str">
        <x:v>Included</x:v>
      </x:c>
      <x:c r="L317" s="21" t="str">
        <x:v>Peserta</x:v>
      </x:c>
    </x:row>
    <x:row r="318">
      <x:c r="A318" s="21" t="str">
        <x:v>whatsapp_group_numbers TD119 Zero CM.csv</x:v>
      </x:c>
      <x:c r="B318" s="21" t="str">
        <x:v>TD119 Zero CM</x:v>
      </x:c>
      <x:c r="C318" s="21" t="n">
        <x:v>21</x:v>
      </x:c>
      <x:c r="D318" s="46" t="str">
        <x:f>"+60199347013"</x:f>
        <x:v>+60199347013</x:v>
      </x:c>
      <x:c r="E318" s="21" t="str">
        <x:v>+60199347013</x:v>
      </x:c>
      <x:c r="F318" s="21" t="str">
        <x:v>Member</x:v>
      </x:c>
      <x:c r="G318" s="46" t="str">
        <x:f>"60199347013"</x:f>
        <x:v>60199347013</x:v>
      </x:c>
      <x:c r="H318" s="21" t="str">
        <x:v>Yes</x:v>
      </x:c>
      <x:c r="I318" s="21" t="str">
        <x:v>No</x:v>
      </x:c>
      <x:c r="J318" s="21" t="str">
        <x:v>No</x:v>
      </x:c>
      <x:c r="K318" s="21" t="str">
        <x:v>Included</x:v>
      </x:c>
      <x:c r="L318" s="21" t="str">
        <x:v>Peserta</x:v>
      </x:c>
    </x:row>
    <x:row r="319">
      <x:c r="A319" s="21" t="str">
        <x:v>whatsapp_group_numbers TD119 Zero CM.csv</x:v>
      </x:c>
      <x:c r="B319" s="21" t="str">
        <x:v>TD119 Zero CM</x:v>
      </x:c>
      <x:c r="C319" s="21" t="n">
        <x:v>22</x:v>
      </x:c>
      <x:c r="D319" s="46" t="str">
        <x:f>"+60175265614"</x:f>
        <x:v>+60175265614</x:v>
      </x:c>
      <x:c r="E319" s="21" t="str">
        <x:v>+60175265614</x:v>
      </x:c>
      <x:c r="F319" s="21" t="str">
        <x:v>Member</x:v>
      </x:c>
      <x:c r="G319" s="46" t="str">
        <x:f>"60175265614"</x:f>
        <x:v>60175265614</x:v>
      </x:c>
      <x:c r="H319" s="21" t="str">
        <x:v>Yes</x:v>
      </x:c>
      <x:c r="I319" s="21" t="str">
        <x:v>No</x:v>
      </x:c>
      <x:c r="J319" s="21" t="str">
        <x:v>No</x:v>
      </x:c>
      <x:c r="K319" s="21" t="str">
        <x:v>Included</x:v>
      </x:c>
      <x:c r="L319" s="21" t="str">
        <x:v>Peserta</x:v>
      </x:c>
    </x:row>
    <x:row r="320">
      <x:c r="A320" s="21" t="str">
        <x:v>whatsapp_group_numbers TD119 Zero CM.csv</x:v>
      </x:c>
      <x:c r="B320" s="21" t="str">
        <x:v>TD119 Zero CM</x:v>
      </x:c>
      <x:c r="C320" s="21" t="n">
        <x:v>23</x:v>
      </x:c>
      <x:c r="D320" s="46" t="str">
        <x:f>"+601112221343"</x:f>
        <x:v>+601112221343</x:v>
      </x:c>
      <x:c r="E320" s="21" t="str">
        <x:v>+601112221343</x:v>
      </x:c>
      <x:c r="F320" s="21" t="str">
        <x:v>Member</x:v>
      </x:c>
      <x:c r="G320" s="46" t="str">
        <x:f>"601112221343"</x:f>
        <x:v>601112221343</x:v>
      </x:c>
      <x:c r="H320" s="21" t="str">
        <x:v>Yes</x:v>
      </x:c>
      <x:c r="I320" s="21" t="str">
        <x:v>No</x:v>
      </x:c>
      <x:c r="J320" s="21" t="str">
        <x:v>No</x:v>
      </x:c>
      <x:c r="K320" s="21" t="str">
        <x:v>Included</x:v>
      </x:c>
      <x:c r="L320" s="21" t="str">
        <x:v>Peserta</x:v>
      </x:c>
    </x:row>
    <x:row r="321">
      <x:c r="A321" s="21" t="str">
        <x:v>whatsapp_group_numbers TD119 Zero CM.csv</x:v>
      </x:c>
      <x:c r="B321" s="21" t="str">
        <x:v>TD119 Zero CM</x:v>
      </x:c>
      <x:c r="C321" s="21" t="n">
        <x:v>24</x:v>
      </x:c>
      <x:c r="D321" s="46" t="str">
        <x:f>"+60176200788"</x:f>
        <x:v>+60176200788</x:v>
      </x:c>
      <x:c r="E321" s="21" t="str">
        <x:v>+60176200788</x:v>
      </x:c>
      <x:c r="F321" s="21" t="str">
        <x:v>Member</x:v>
      </x:c>
      <x:c r="G321" s="46" t="str">
        <x:f>"60176200788"</x:f>
        <x:v>60176200788</x:v>
      </x:c>
      <x:c r="H321" s="21" t="str">
        <x:v>Yes</x:v>
      </x:c>
      <x:c r="I321" s="21" t="str">
        <x:v>No</x:v>
      </x:c>
      <x:c r="J321" s="21" t="str">
        <x:v>No</x:v>
      </x:c>
      <x:c r="K321" s="21" t="str">
        <x:v>Included</x:v>
      </x:c>
      <x:c r="L321" s="21" t="str">
        <x:v>Peserta</x:v>
      </x:c>
    </x:row>
    <x:row r="322">
      <x:c r="A322" s="21" t="str">
        <x:v>whatsapp_group_numbers TD119 Zero CM.csv</x:v>
      </x:c>
      <x:c r="B322" s="21" t="str">
        <x:v>TD119 Zero CM</x:v>
      </x:c>
      <x:c r="C322" s="21" t="n">
        <x:v>25</x:v>
      </x:c>
      <x:c r="D322" s="46" t="str">
        <x:f>"+60173289572"</x:f>
        <x:v>+60173289572</x:v>
      </x:c>
      <x:c r="E322" s="21" t="str">
        <x:v>+60173289572</x:v>
      </x:c>
      <x:c r="F322" s="21" t="str">
        <x:v>Member</x:v>
      </x:c>
      <x:c r="G322" s="46" t="str">
        <x:f>"60173289572"</x:f>
        <x:v>60173289572</x:v>
      </x:c>
      <x:c r="H322" s="21" t="str">
        <x:v>Yes</x:v>
      </x:c>
      <x:c r="I322" s="21" t="str">
        <x:v>No</x:v>
      </x:c>
      <x:c r="J322" s="21" t="str">
        <x:v>No</x:v>
      </x:c>
      <x:c r="K322" s="21" t="str">
        <x:v>Included</x:v>
      </x:c>
      <x:c r="L322" s="21" t="str">
        <x:v>Peserta</x:v>
      </x:c>
    </x:row>
    <x:row r="323">
      <x:c r="A323" s="21" t="str">
        <x:v>whatsapp_group_numbers TD119 Zero CM.csv</x:v>
      </x:c>
      <x:c r="B323" s="21" t="str">
        <x:v>TD119 Zero CM</x:v>
      </x:c>
      <x:c r="C323" s="21" t="n">
        <x:v>26</x:v>
      </x:c>
      <x:c r="D323" s="46" t="str">
        <x:f>"+60132331859"</x:f>
        <x:v>+60132331859</x:v>
      </x:c>
      <x:c r="E323" s="21" t="str">
        <x:v>+60132331859</x:v>
      </x:c>
      <x:c r="F323" s="21" t="str">
        <x:v>Member</x:v>
      </x:c>
      <x:c r="G323" s="46" t="str">
        <x:f>"60132331859"</x:f>
        <x:v>60132331859</x:v>
      </x:c>
      <x:c r="H323" s="21" t="str">
        <x:v>Yes</x:v>
      </x:c>
      <x:c r="I323" s="21" t="str">
        <x:v>No</x:v>
      </x:c>
      <x:c r="J323" s="21" t="str">
        <x:v>No</x:v>
      </x:c>
      <x:c r="K323" s="21" t="str">
        <x:v>Included</x:v>
      </x:c>
      <x:c r="L323" s="21" t="str">
        <x:v>Peserta</x:v>
      </x:c>
    </x:row>
    <x:row r="324">
      <x:c r="A324" s="21" t="str">
        <x:v>whatsapp_group_numbers TD119 Zero CM.csv</x:v>
      </x:c>
      <x:c r="B324" s="21" t="str">
        <x:v>TD119 Zero CM</x:v>
      </x:c>
      <x:c r="C324" s="21" t="n">
        <x:v>27</x:v>
      </x:c>
      <x:c r="D324" s="46" t="str">
        <x:f>"+60105447245"</x:f>
        <x:v>+60105447245</x:v>
      </x:c>
      <x:c r="E324" s="21" t="str">
        <x:v>+60105447245</x:v>
      </x:c>
      <x:c r="F324" s="21" t="str">
        <x:v>Member</x:v>
      </x:c>
      <x:c r="G324" s="46" t="str">
        <x:f>"60105447245"</x:f>
        <x:v>60105447245</x:v>
      </x:c>
      <x:c r="H324" s="21" t="str">
        <x:v>Yes</x:v>
      </x:c>
      <x:c r="I324" s="21" t="str">
        <x:v>No</x:v>
      </x:c>
      <x:c r="J324" s="21" t="str">
        <x:v>No</x:v>
      </x:c>
      <x:c r="K324" s="21" t="str">
        <x:v>Included</x:v>
      </x:c>
      <x:c r="L324" s="21" t="str">
        <x:v>Peserta</x:v>
      </x:c>
    </x:row>
    <x:row r="325">
      <x:c r="A325" s="21" t="str">
        <x:v>whatsapp_group_numbers TD137.csv</x:v>
      </x:c>
      <x:c r="B325" s="21" t="str">
        <x:v>TD137</x:v>
      </x:c>
      <x:c r="C325" s="21" t="n">
        <x:v>1</x:v>
      </x:c>
      <x:c r="D325" s="46" t="str">
        <x:f>"+60142576155"</x:f>
        <x:v>+60142576155</x:v>
      </x:c>
      <x:c r="E325" s="21" t="str">
        <x:v>Akmal Pegawai Insken</x:v>
      </x:c>
      <x:c r="F325" s="21" t="str">
        <x:v>Member</x:v>
      </x:c>
      <x:c r="G325" s="46" t="str">
        <x:f>"60142576155"</x:f>
        <x:v>60142576155</x:v>
      </x:c>
      <x:c r="H325" s="21" t="str">
        <x:v>Yes</x:v>
      </x:c>
      <x:c r="I325" s="21" t="str">
        <x:v>No</x:v>
      </x:c>
      <x:c r="J325" s="21" t="str">
        <x:v>Yes</x:v>
      </x:c>
      <x:c r="K325" s="21" t="str">
        <x:v>Excluded</x:v>
      </x:c>
      <x:c r="L325" s="21" t="str">
        <x:v>Nama/nombor dikenal pasti sebagai INSKEN</x:v>
      </x:c>
    </x:row>
    <x:row r="326">
      <x:c r="A326" s="21" t="str">
        <x:v>whatsapp_group_numbers TD137.csv</x:v>
      </x:c>
      <x:c r="B326" s="21" t="str">
        <x:v>TD137</x:v>
      </x:c>
      <x:c r="C326" s="21" t="n">
        <x:v>2</x:v>
      </x:c>
      <x:c r="D326" s="46" t="str">
        <x:f>"+60193595900"</x:f>
        <x:v>+60193595900</x:v>
      </x:c>
      <x:c r="E326" s="21" t="str">
        <x:v>Insken - Pn Nora</x:v>
      </x:c>
      <x:c r="F326" s="21" t="str">
        <x:v>Member</x:v>
      </x:c>
      <x:c r="G326" s="46" t="str">
        <x:f>"60193595900"</x:f>
        <x:v>60193595900</x:v>
      </x:c>
      <x:c r="H326" s="21" t="str">
        <x:v>Yes</x:v>
      </x:c>
      <x:c r="I326" s="21" t="str">
        <x:v>No</x:v>
      </x:c>
      <x:c r="J326" s="21" t="str">
        <x:v>Yes</x:v>
      </x:c>
      <x:c r="K326" s="21" t="str">
        <x:v>Excluded</x:v>
      </x:c>
      <x:c r="L326" s="21" t="str">
        <x:v>Nama/nombor dikenal pasti sebagai INSKEN</x:v>
      </x:c>
    </x:row>
    <x:row r="327">
      <x:c r="A327" s="21" t="str">
        <x:v>whatsapp_group_numbers TD137.csv</x:v>
      </x:c>
      <x:c r="B327" s="21" t="str">
        <x:v>TD137</x:v>
      </x:c>
      <x:c r="C327" s="21" t="n">
        <x:v>3</x:v>
      </x:c>
      <x:c r="D327" s="46" t="str">
        <x:f>"+60143251107"</x:f>
        <x:v>+60143251107</x:v>
      </x:c>
      <x:c r="E327" s="21" t="str">
        <x:v>Natasha Hazlin INSKEN</x:v>
      </x:c>
      <x:c r="F327" s="21" t="str">
        <x:v>Member</x:v>
      </x:c>
      <x:c r="G327" s="46" t="str">
        <x:f>"60143251107"</x:f>
        <x:v>60143251107</x:v>
      </x:c>
      <x:c r="H327" s="21" t="str">
        <x:v>Yes</x:v>
      </x:c>
      <x:c r="I327" s="21" t="str">
        <x:v>No</x:v>
      </x:c>
      <x:c r="J327" s="21" t="str">
        <x:v>Yes</x:v>
      </x:c>
      <x:c r="K327" s="21" t="str">
        <x:v>Excluded</x:v>
      </x:c>
      <x:c r="L327" s="21" t="str">
        <x:v>Nama/nombor dikenal pasti sebagai INSKEN</x:v>
      </x:c>
    </x:row>
    <x:row r="328">
      <x:c r="A328" s="21" t="str">
        <x:v>whatsapp_group_numbers TD137.csv</x:v>
      </x:c>
      <x:c r="B328" s="21" t="str">
        <x:v>TD137</x:v>
      </x:c>
      <x:c r="C328" s="21" t="n">
        <x:v>4</x:v>
      </x:c>
      <x:c r="D328" s="46" t="str">
        <x:f>"+60177670627"</x:f>
        <x:v>+60177670627</x:v>
      </x:c>
      <x:c r="E328" s="21" t="str">
        <x:v>Nur Aqeela INSKEN</x:v>
      </x:c>
      <x:c r="F328" s="21" t="str">
        <x:v>Member</x:v>
      </x:c>
      <x:c r="G328" s="46" t="str">
        <x:f>"60177670627"</x:f>
        <x:v>60177670627</x:v>
      </x:c>
      <x:c r="H328" s="21" t="str">
        <x:v>Yes</x:v>
      </x:c>
      <x:c r="I328" s="21" t="str">
        <x:v>No</x:v>
      </x:c>
      <x:c r="J328" s="21" t="str">
        <x:v>Yes</x:v>
      </x:c>
      <x:c r="K328" s="21" t="str">
        <x:v>Excluded</x:v>
      </x:c>
      <x:c r="L328" s="21" t="str">
        <x:v>Nama/nombor dikenal pasti sebagai INSKEN</x:v>
      </x:c>
    </x:row>
    <x:row r="329">
      <x:c r="A329" s="21" t="str">
        <x:v>whatsapp_group_numbers TD137.csv</x:v>
      </x:c>
      <x:c r="B329" s="21" t="str">
        <x:v>TD137</x:v>
      </x:c>
      <x:c r="C329" s="21" t="n">
        <x:v>5</x:v>
      </x:c>
      <x:c r="D329" s="46" t="str">
        <x:f>"+60175545144"</x:f>
        <x:v>+60175545144</x:v>
      </x:c>
      <x:c r="E329" s="21" t="str">
        <x:v>Pn Aishah INSKEN</x:v>
      </x:c>
      <x:c r="F329" s="21" t="str">
        <x:v>Member</x:v>
      </x:c>
      <x:c r="G329" s="46" t="str">
        <x:f>"60175545144"</x:f>
        <x:v>60175545144</x:v>
      </x:c>
      <x:c r="H329" s="21" t="str">
        <x:v>Yes</x:v>
      </x:c>
      <x:c r="I329" s="21" t="str">
        <x:v>No</x:v>
      </x:c>
      <x:c r="J329" s="21" t="str">
        <x:v>Yes</x:v>
      </x:c>
      <x:c r="K329" s="21" t="str">
        <x:v>Excluded</x:v>
      </x:c>
      <x:c r="L329" s="21" t="str">
        <x:v>Nama/nombor dikenal pasti sebagai INSKEN</x:v>
      </x:c>
    </x:row>
    <x:row r="330">
      <x:c r="A330" s="21" t="str">
        <x:v>whatsapp_group_numbers TD137.csv</x:v>
      </x:c>
      <x:c r="B330" s="21" t="str">
        <x:v>TD137</x:v>
      </x:c>
      <x:c r="C330" s="21" t="n">
        <x:v>6</x:v>
      </x:c>
      <x:c r="D330" s="46" t="str">
        <x:f>"+60174102530"</x:f>
        <x:v>+60174102530</x:v>
      </x:c>
      <x:c r="E330" s="21" t="str">
        <x:v>shaeza INSKEN</x:v>
      </x:c>
      <x:c r="F330" s="21" t="str">
        <x:v>Member</x:v>
      </x:c>
      <x:c r="G330" s="46" t="str">
        <x:f>"60174102530"</x:f>
        <x:v>60174102530</x:v>
      </x:c>
      <x:c r="H330" s="21" t="str">
        <x:v>Yes</x:v>
      </x:c>
      <x:c r="I330" s="21" t="str">
        <x:v>No</x:v>
      </x:c>
      <x:c r="J330" s="21" t="str">
        <x:v>Yes</x:v>
      </x:c>
      <x:c r="K330" s="21" t="str">
        <x:v>Excluded</x:v>
      </x:c>
      <x:c r="L330" s="21" t="str">
        <x:v>Nama/nombor dikenal pasti sebagai INSKEN</x:v>
      </x:c>
    </x:row>
    <x:row r="331">
      <x:c r="A331" s="21" t="str">
        <x:v>whatsapp_group_numbers TD137.csv</x:v>
      </x:c>
      <x:c r="B331" s="21" t="str">
        <x:v>TD137</x:v>
      </x:c>
      <x:c r="C331" s="21" t="n">
        <x:v>7</x:v>
      </x:c>
      <x:c r="D331" s="46" t="str">
        <x:f>"+60123081906"</x:f>
        <x:v>+60123081906</x:v>
      </x:c>
      <x:c r="E331" s="21" t="str">
        <x:v>Sufiyan Insken</x:v>
      </x:c>
      <x:c r="F331" s="21" t="str">
        <x:v>Member</x:v>
      </x:c>
      <x:c r="G331" s="46" t="str">
        <x:f>"60123081906"</x:f>
        <x:v>60123081906</x:v>
      </x:c>
      <x:c r="H331" s="21" t="str">
        <x:v>Yes</x:v>
      </x:c>
      <x:c r="I331" s="21" t="str">
        <x:v>No</x:v>
      </x:c>
      <x:c r="J331" s="21" t="str">
        <x:v>Yes</x:v>
      </x:c>
      <x:c r="K331" s="21" t="str">
        <x:v>Excluded</x:v>
      </x:c>
      <x:c r="L331" s="21" t="str">
        <x:v>Nama/nombor dikenal pasti sebagai INSKEN</x:v>
      </x:c>
    </x:row>
    <x:row r="332">
      <x:c r="A332" s="21" t="str">
        <x:v>whatsapp_group_numbers TD137.csv</x:v>
      </x:c>
      <x:c r="B332" s="21" t="str">
        <x:v>TD137</x:v>
      </x:c>
      <x:c r="C332" s="21" t="n">
        <x:v>8</x:v>
      </x:c>
      <x:c r="D332" s="46" t="str">
        <x:f>"+60179149882"</x:f>
        <x:v>+60179149882</x:v>
      </x:c>
      <x:c r="E332" s="21" t="str">
        <x:v>ahmad hazwan</x:v>
      </x:c>
      <x:c r="F332" s="21" t="str">
        <x:v>Member</x:v>
      </x:c>
      <x:c r="G332" s="46" t="str">
        <x:f>"60179149882"</x:f>
        <x:v>60179149882</x:v>
      </x:c>
      <x:c r="H332" s="21" t="str">
        <x:v>Yes</x:v>
      </x:c>
      <x:c r="I332" s="21" t="str">
        <x:v>No</x:v>
      </x:c>
      <x:c r="J332" s="21" t="str">
        <x:v>No</x:v>
      </x:c>
      <x:c r="K332" s="21" t="str">
        <x:v>Included</x:v>
      </x:c>
      <x:c r="L332" s="21" t="str">
        <x:v>Peserta</x:v>
      </x:c>
    </x:row>
    <x:row r="333">
      <x:c r="A333" s="21" t="str">
        <x:v>whatsapp_group_numbers TD137.csv</x:v>
      </x:c>
      <x:c r="B333" s="21" t="str">
        <x:v>TD137</x:v>
      </x:c>
      <x:c r="C333" s="21" t="n">
        <x:v>9</x:v>
      </x:c>
      <x:c r="D333" s="46" t="str">
        <x:f>"+60125271704"</x:f>
        <x:v>+60125271704</x:v>
      </x:c>
      <x:c r="E333" s="21" t="str">
        <x:v>+60125271704</x:v>
      </x:c>
      <x:c r="F333" s="21" t="str">
        <x:v>Member</x:v>
      </x:c>
      <x:c r="G333" s="46" t="str">
        <x:f>"60125271704"</x:f>
        <x:v>60125271704</x:v>
      </x:c>
      <x:c r="H333" s="21" t="str">
        <x:v>Yes</x:v>
      </x:c>
      <x:c r="I333" s="21" t="str">
        <x:v>No</x:v>
      </x:c>
      <x:c r="J333" s="21" t="str">
        <x:v>No</x:v>
      </x:c>
      <x:c r="K333" s="21" t="str">
        <x:v>Included</x:v>
      </x:c>
      <x:c r="L333" s="21" t="str">
        <x:v>Peserta</x:v>
      </x:c>
    </x:row>
    <x:row r="334">
      <x:c r="A334" s="21" t="str">
        <x:v>whatsapp_group_numbers TD137.csv</x:v>
      </x:c>
      <x:c r="B334" s="21" t="str">
        <x:v>TD137</x:v>
      </x:c>
      <x:c r="C334" s="21" t="n">
        <x:v>10</x:v>
      </x:c>
      <x:c r="D334" s="46" t="str">
        <x:f>"+60137483699"</x:f>
        <x:v>+60137483699</x:v>
      </x:c>
      <x:c r="E334" s="21" t="str">
        <x:v>+60137483699</x:v>
      </x:c>
      <x:c r="F334" s="21" t="str">
        <x:v>Member</x:v>
      </x:c>
      <x:c r="G334" s="46" t="str">
        <x:f>"60137483699"</x:f>
        <x:v>60137483699</x:v>
      </x:c>
      <x:c r="H334" s="21" t="str">
        <x:v>Yes</x:v>
      </x:c>
      <x:c r="I334" s="21" t="str">
        <x:v>No</x:v>
      </x:c>
      <x:c r="J334" s="21" t="str">
        <x:v>No</x:v>
      </x:c>
      <x:c r="K334" s="21" t="str">
        <x:v>Included</x:v>
      </x:c>
      <x:c r="L334" s="21" t="str">
        <x:v>Peserta</x:v>
      </x:c>
    </x:row>
    <x:row r="335">
      <x:c r="A335" s="21" t="str">
        <x:v>whatsapp_group_numbers TD137.csv</x:v>
      </x:c>
      <x:c r="B335" s="21" t="str">
        <x:v>TD137</x:v>
      </x:c>
      <x:c r="C335" s="21" t="n">
        <x:v>11</x:v>
      </x:c>
      <x:c r="D335" s="46" t="str">
        <x:f>"+601119424294"</x:f>
        <x:v>+601119424294</x:v>
      </x:c>
      <x:c r="E335" s="21" t="str">
        <x:v>+601119424294</x:v>
      </x:c>
      <x:c r="F335" s="21" t="str">
        <x:v>Member</x:v>
      </x:c>
      <x:c r="G335" s="46" t="str">
        <x:f>"601119424294"</x:f>
        <x:v>601119424294</x:v>
      </x:c>
      <x:c r="H335" s="21" t="str">
        <x:v>Yes</x:v>
      </x:c>
      <x:c r="I335" s="21" t="str">
        <x:v>No</x:v>
      </x:c>
      <x:c r="J335" s="21" t="str">
        <x:v>No</x:v>
      </x:c>
      <x:c r="K335" s="21" t="str">
        <x:v>Included</x:v>
      </x:c>
      <x:c r="L335" s="21" t="str">
        <x:v>Peserta</x:v>
      </x:c>
    </x:row>
    <x:row r="336">
      <x:c r="A336" s="21" t="str">
        <x:v>whatsapp_group_numbers TD137.csv</x:v>
      </x:c>
      <x:c r="B336" s="21" t="str">
        <x:v>TD137</x:v>
      </x:c>
      <x:c r="C336" s="21" t="n">
        <x:v>12</x:v>
      </x:c>
      <x:c r="D336" s="46" t="str">
        <x:f>"+60105447245"</x:f>
        <x:v>+60105447245</x:v>
      </x:c>
      <x:c r="E336" s="21" t="str">
        <x:v>+60105447245</x:v>
      </x:c>
      <x:c r="F336" s="21" t="str">
        <x:v>Member</x:v>
      </x:c>
      <x:c r="G336" s="46" t="str">
        <x:f>"60105447245"</x:f>
        <x:v>60105447245</x:v>
      </x:c>
      <x:c r="H336" s="21" t="str">
        <x:v>Yes</x:v>
      </x:c>
      <x:c r="I336" s="21" t="str">
        <x:v>No</x:v>
      </x:c>
      <x:c r="J336" s="21" t="str">
        <x:v>No</x:v>
      </x:c>
      <x:c r="K336" s="21" t="str">
        <x:v>Included</x:v>
      </x:c>
      <x:c r="L336" s="21" t="str">
        <x:v>Peserta</x:v>
      </x:c>
    </x:row>
    <x:row r="337">
      <x:c r="A337" s="21" t="str">
        <x:v>whatsapp_group_numbers TD137.csv</x:v>
      </x:c>
      <x:c r="B337" s="21" t="str">
        <x:v>TD137</x:v>
      </x:c>
      <x:c r="C337" s="21" t="n">
        <x:v>13</x:v>
      </x:c>
      <x:c r="D337" s="46" t="str">
        <x:f>"+60179178524"</x:f>
        <x:v>+60179178524</x:v>
      </x:c>
      <x:c r="E337" s="21" t="str">
        <x:v>+60179178524</x:v>
      </x:c>
      <x:c r="F337" s="21" t="str">
        <x:v>Member</x:v>
      </x:c>
      <x:c r="G337" s="46" t="str">
        <x:f>"60179178524"</x:f>
        <x:v>60179178524</x:v>
      </x:c>
      <x:c r="H337" s="21" t="str">
        <x:v>Yes</x:v>
      </x:c>
      <x:c r="I337" s="21" t="str">
        <x:v>No</x:v>
      </x:c>
      <x:c r="J337" s="21" t="str">
        <x:v>No</x:v>
      </x:c>
      <x:c r="K337" s="21" t="str">
        <x:v>Included</x:v>
      </x:c>
      <x:c r="L337" s="21" t="str">
        <x:v>Peserta</x:v>
      </x:c>
    </x:row>
    <x:row r="338">
      <x:c r="A338" s="21" t="str">
        <x:v>whatsapp_group_numbers TD137.csv</x:v>
      </x:c>
      <x:c r="B338" s="21" t="str">
        <x:v>TD137</x:v>
      </x:c>
      <x:c r="C338" s="21" t="n">
        <x:v>14</x:v>
      </x:c>
      <x:c r="D338" s="46" t="str">
        <x:f>"+60139102630"</x:f>
        <x:v>+60139102630</x:v>
      </x:c>
      <x:c r="E338" s="21" t="str">
        <x:v>+60139102630</x:v>
      </x:c>
      <x:c r="F338" s="21" t="str">
        <x:v>Member</x:v>
      </x:c>
      <x:c r="G338" s="46" t="str">
        <x:f>"60139102630"</x:f>
        <x:v>60139102630</x:v>
      </x:c>
      <x:c r="H338" s="21" t="str">
        <x:v>Yes</x:v>
      </x:c>
      <x:c r="I338" s="21" t="str">
        <x:v>No</x:v>
      </x:c>
      <x:c r="J338" s="21" t="str">
        <x:v>No</x:v>
      </x:c>
      <x:c r="K338" s="21" t="str">
        <x:v>Included</x:v>
      </x:c>
      <x:c r="L338" s="21" t="str">
        <x:v>Peserta</x:v>
      </x:c>
    </x:row>
    <x:row r="339">
      <x:c r="A339" s="21" t="str">
        <x:v>whatsapp_group_numbers TD160.csv</x:v>
      </x:c>
      <x:c r="B339" s="21" t="str">
        <x:v>TD160</x:v>
      </x:c>
      <x:c r="C339" s="21" t="n">
        <x:v>1</x:v>
      </x:c>
      <x:c r="D339" s="46" t="str">
        <x:f>"+60142576155"</x:f>
        <x:v>+60142576155</x:v>
      </x:c>
      <x:c r="E339" s="21" t="str">
        <x:v>Akmal Pegawai Insken</x:v>
      </x:c>
      <x:c r="F339" s="21" t="str">
        <x:v>Member</x:v>
      </x:c>
      <x:c r="G339" s="46" t="str">
        <x:f>"60142576155"</x:f>
        <x:v>60142576155</x:v>
      </x:c>
      <x:c r="H339" s="21" t="str">
        <x:v>Yes</x:v>
      </x:c>
      <x:c r="I339" s="21" t="str">
        <x:v>No</x:v>
      </x:c>
      <x:c r="J339" s="21" t="str">
        <x:v>Yes</x:v>
      </x:c>
      <x:c r="K339" s="21" t="str">
        <x:v>Excluded</x:v>
      </x:c>
      <x:c r="L339" s="21" t="str">
        <x:v>Nama/nombor dikenal pasti sebagai INSKEN</x:v>
      </x:c>
    </x:row>
    <x:row r="340">
      <x:c r="A340" s="21" t="str">
        <x:v>whatsapp_group_numbers TD160.csv</x:v>
      </x:c>
      <x:c r="B340" s="21" t="str">
        <x:v>TD160</x:v>
      </x:c>
      <x:c r="C340" s="21" t="n">
        <x:v>2</x:v>
      </x:c>
      <x:c r="D340" s="46" t="str">
        <x:f>"+60193177658"</x:f>
        <x:v>+60193177658</x:v>
      </x:c>
      <x:c r="E340" s="21" t="str">
        <x:v>Badrul Kulitas Pilot Taiwan</x:v>
      </x:c>
      <x:c r="F340" s="21" t="str">
        <x:v>Member</x:v>
      </x:c>
      <x:c r="G340" s="46" t="str">
        <x:f>"60193177658"</x:f>
        <x:v>60193177658</x:v>
      </x:c>
      <x:c r="H340" s="21" t="str">
        <x:v>Yes</x:v>
      </x:c>
      <x:c r="I340" s="21" t="str">
        <x:v>No</x:v>
      </x:c>
      <x:c r="J340" s="21" t="str">
        <x:v>No</x:v>
      </x:c>
      <x:c r="K340" s="21" t="str">
        <x:v>Included</x:v>
      </x:c>
      <x:c r="L340" s="21" t="str">
        <x:v>Peserta</x:v>
      </x:c>
    </x:row>
    <x:row r="341">
      <x:c r="A341" s="21" t="str">
        <x:v>whatsapp_group_numbers TD160.csv</x:v>
      </x:c>
      <x:c r="B341" s="21" t="str">
        <x:v>TD160</x:v>
      </x:c>
      <x:c r="C341" s="21" t="n">
        <x:v>3</x:v>
      </x:c>
      <x:c r="D341" s="46" t="str">
        <x:f>"+60193595900"</x:f>
        <x:v>+60193595900</x:v>
      </x:c>
      <x:c r="E341" s="21" t="str">
        <x:v>Insken - Pn Nora</x:v>
      </x:c>
      <x:c r="F341" s="21" t="str">
        <x:v>Member</x:v>
      </x:c>
      <x:c r="G341" s="46" t="str">
        <x:f>"60193595900"</x:f>
        <x:v>60193595900</x:v>
      </x:c>
      <x:c r="H341" s="21" t="str">
        <x:v>Yes</x:v>
      </x:c>
      <x:c r="I341" s="21" t="str">
        <x:v>No</x:v>
      </x:c>
      <x:c r="J341" s="21" t="str">
        <x:v>Yes</x:v>
      </x:c>
      <x:c r="K341" s="21" t="str">
        <x:v>Excluded</x:v>
      </x:c>
      <x:c r="L341" s="21" t="str">
        <x:v>Nama/nombor dikenal pasti sebagai INSKEN</x:v>
      </x:c>
    </x:row>
    <x:row r="342">
      <x:c r="A342" s="21" t="str">
        <x:v>whatsapp_group_numbers TD160.csv</x:v>
      </x:c>
      <x:c r="B342" s="21" t="str">
        <x:v>TD160</x:v>
      </x:c>
      <x:c r="C342" s="21" t="n">
        <x:v>4</x:v>
      </x:c>
      <x:c r="D342" s="46" t="str">
        <x:f>"+60143251107"</x:f>
        <x:v>+60143251107</x:v>
      </x:c>
      <x:c r="E342" s="21" t="str">
        <x:v>Natasha Hazlin INSKEN</x:v>
      </x:c>
      <x:c r="F342" s="21" t="str">
        <x:v>Member</x:v>
      </x:c>
      <x:c r="G342" s="46" t="str">
        <x:f>"60143251107"</x:f>
        <x:v>60143251107</x:v>
      </x:c>
      <x:c r="H342" s="21" t="str">
        <x:v>Yes</x:v>
      </x:c>
      <x:c r="I342" s="21" t="str">
        <x:v>No</x:v>
      </x:c>
      <x:c r="J342" s="21" t="str">
        <x:v>Yes</x:v>
      </x:c>
      <x:c r="K342" s="21" t="str">
        <x:v>Excluded</x:v>
      </x:c>
      <x:c r="L342" s="21" t="str">
        <x:v>Nama/nombor dikenal pasti sebagai INSKEN</x:v>
      </x:c>
    </x:row>
    <x:row r="343">
      <x:c r="A343" s="21" t="str">
        <x:v>whatsapp_group_numbers TD160.csv</x:v>
      </x:c>
      <x:c r="B343" s="21" t="str">
        <x:v>TD160</x:v>
      </x:c>
      <x:c r="C343" s="21" t="n">
        <x:v>5</x:v>
      </x:c>
      <x:c r="D343" s="46" t="str">
        <x:f>"+60177670627"</x:f>
        <x:v>+60177670627</x:v>
      </x:c>
      <x:c r="E343" s="21" t="str">
        <x:v>Nur Aqeela INSKEN</x:v>
      </x:c>
      <x:c r="F343" s="21" t="str">
        <x:v>Member</x:v>
      </x:c>
      <x:c r="G343" s="46" t="str">
        <x:f>"60177670627"</x:f>
        <x:v>60177670627</x:v>
      </x:c>
      <x:c r="H343" s="21" t="str">
        <x:v>Yes</x:v>
      </x:c>
      <x:c r="I343" s="21" t="str">
        <x:v>No</x:v>
      </x:c>
      <x:c r="J343" s="21" t="str">
        <x:v>Yes</x:v>
      </x:c>
      <x:c r="K343" s="21" t="str">
        <x:v>Excluded</x:v>
      </x:c>
      <x:c r="L343" s="21" t="str">
        <x:v>Nama/nombor dikenal pasti sebagai INSKEN</x:v>
      </x:c>
    </x:row>
    <x:row r="344">
      <x:c r="A344" s="21" t="str">
        <x:v>whatsapp_group_numbers TD160.csv</x:v>
      </x:c>
      <x:c r="B344" s="21" t="str">
        <x:v>TD160</x:v>
      </x:c>
      <x:c r="C344" s="21" t="n">
        <x:v>6</x:v>
      </x:c>
      <x:c r="D344" s="46" t="str">
        <x:f>"+60175545144"</x:f>
        <x:v>+60175545144</x:v>
      </x:c>
      <x:c r="E344" s="21" t="str">
        <x:v>Pn Aishah INSKEN</x:v>
      </x:c>
      <x:c r="F344" s="21" t="str">
        <x:v>Member</x:v>
      </x:c>
      <x:c r="G344" s="46" t="str">
        <x:f>"60175545144"</x:f>
        <x:v>60175545144</x:v>
      </x:c>
      <x:c r="H344" s="21" t="str">
        <x:v>Yes</x:v>
      </x:c>
      <x:c r="I344" s="21" t="str">
        <x:v>No</x:v>
      </x:c>
      <x:c r="J344" s="21" t="str">
        <x:v>Yes</x:v>
      </x:c>
      <x:c r="K344" s="21" t="str">
        <x:v>Excluded</x:v>
      </x:c>
      <x:c r="L344" s="21" t="str">
        <x:v>Nama/nombor dikenal pasti sebagai INSKEN</x:v>
      </x:c>
    </x:row>
    <x:row r="345">
      <x:c r="A345" s="21" t="str">
        <x:v>whatsapp_group_numbers TD160.csv</x:v>
      </x:c>
      <x:c r="B345" s="21" t="str">
        <x:v>TD160</x:v>
      </x:c>
      <x:c r="C345" s="21" t="n">
        <x:v>7</x:v>
      </x:c>
      <x:c r="D345" s="46" t="str">
        <x:f>"+60174102530"</x:f>
        <x:v>+60174102530</x:v>
      </x:c>
      <x:c r="E345" s="21" t="str">
        <x:v>shaeza INSKEN</x:v>
      </x:c>
      <x:c r="F345" s="21" t="str">
        <x:v>Member</x:v>
      </x:c>
      <x:c r="G345" s="46" t="str">
        <x:f>"60174102530"</x:f>
        <x:v>60174102530</x:v>
      </x:c>
      <x:c r="H345" s="21" t="str">
        <x:v>Yes</x:v>
      </x:c>
      <x:c r="I345" s="21" t="str">
        <x:v>No</x:v>
      </x:c>
      <x:c r="J345" s="21" t="str">
        <x:v>Yes</x:v>
      </x:c>
      <x:c r="K345" s="21" t="str">
        <x:v>Excluded</x:v>
      </x:c>
      <x:c r="L345" s="21" t="str">
        <x:v>Nama/nombor dikenal pasti sebagai INSKEN</x:v>
      </x:c>
    </x:row>
    <x:row r="346">
      <x:c r="A346" s="21" t="str">
        <x:v>whatsapp_group_numbers TD160.csv</x:v>
      </x:c>
      <x:c r="B346" s="21" t="str">
        <x:v>TD160</x:v>
      </x:c>
      <x:c r="C346" s="21" t="n">
        <x:v>8</x:v>
      </x:c>
      <x:c r="D346" s="46" t="str">
        <x:f>"+60123081906"</x:f>
        <x:v>+60123081906</x:v>
      </x:c>
      <x:c r="E346" s="21" t="str">
        <x:v>Sufiyan Insken</x:v>
      </x:c>
      <x:c r="F346" s="21" t="str">
        <x:v>Member</x:v>
      </x:c>
      <x:c r="G346" s="46" t="str">
        <x:f>"60123081906"</x:f>
        <x:v>60123081906</x:v>
      </x:c>
      <x:c r="H346" s="21" t="str">
        <x:v>Yes</x:v>
      </x:c>
      <x:c r="I346" s="21" t="str">
        <x:v>No</x:v>
      </x:c>
      <x:c r="J346" s="21" t="str">
        <x:v>Yes</x:v>
      </x:c>
      <x:c r="K346" s="21" t="str">
        <x:v>Excluded</x:v>
      </x:c>
      <x:c r="L346" s="21" t="str">
        <x:v>Nama/nombor dikenal pasti sebagai INSKEN</x:v>
      </x:c>
    </x:row>
    <x:row r="347">
      <x:c r="A347" s="21" t="str">
        <x:v>whatsapp_group_numbers TD160.csv</x:v>
      </x:c>
      <x:c r="B347" s="21" t="str">
        <x:v>TD160</x:v>
      </x:c>
      <x:c r="C347" s="21" t="n">
        <x:v>9</x:v>
      </x:c>
      <x:c r="D347" s="46" t="str">
        <x:f>"+60199635036"</x:f>
        <x:v>+60199635036</x:v>
      </x:c>
      <x:c r="E347" s="21" t="str">
        <x:v>Tuan Faris INSKEN</x:v>
      </x:c>
      <x:c r="F347" s="21" t="str">
        <x:v>Member</x:v>
      </x:c>
      <x:c r="G347" s="46" t="str">
        <x:f>"60199635036"</x:f>
        <x:v>60199635036</x:v>
      </x:c>
      <x:c r="H347" s="21" t="str">
        <x:v>Yes</x:v>
      </x:c>
      <x:c r="I347" s="21" t="str">
        <x:v>No</x:v>
      </x:c>
      <x:c r="J347" s="21" t="str">
        <x:v>Yes</x:v>
      </x:c>
      <x:c r="K347" s="21" t="str">
        <x:v>Excluded</x:v>
      </x:c>
      <x:c r="L347" s="21" t="str">
        <x:v>Nama/nombor dikenal pasti sebagai INSKEN</x:v>
      </x:c>
    </x:row>
    <x:row r="348">
      <x:c r="A348" s="21" t="str">
        <x:v>whatsapp_group_numbers TD160.csv</x:v>
      </x:c>
      <x:c r="B348" s="21" t="str">
        <x:v>TD160</x:v>
      </x:c>
      <x:c r="C348" s="21" t="n">
        <x:v>10</x:v>
      </x:c>
      <x:c r="D348" s="46" t="str">
        <x:f>"+60199164266"</x:f>
        <x:v>+60199164266</x:v>
      </x:c>
      <x:c r="E348" s="21" t="str">
        <x:v>hakkim</x:v>
      </x:c>
      <x:c r="F348" s="21" t="str">
        <x:v>Member</x:v>
      </x:c>
      <x:c r="G348" s="46" t="str">
        <x:f>"60199164266"</x:f>
        <x:v>60199164266</x:v>
      </x:c>
      <x:c r="H348" s="21" t="str">
        <x:v>Yes</x:v>
      </x:c>
      <x:c r="I348" s="21" t="str">
        <x:v>No</x:v>
      </x:c>
      <x:c r="J348" s="21" t="str">
        <x:v>No</x:v>
      </x:c>
      <x:c r="K348" s="21" t="str">
        <x:v>Included</x:v>
      </x:c>
      <x:c r="L348" s="21" t="str">
        <x:v>Peserta</x:v>
      </x:c>
    </x:row>
    <x:row r="349">
      <x:c r="A349" s="21" t="str">
        <x:v>whatsapp_group_numbers TD160.csv</x:v>
      </x:c>
      <x:c r="B349" s="21" t="str">
        <x:v>TD160</x:v>
      </x:c>
      <x:c r="C349" s="21" t="n">
        <x:v>11</x:v>
      </x:c>
      <x:c r="D349" s="46" t="str">
        <x:f>"+60129758160"</x:f>
        <x:v>+60129758160</x:v>
      </x:c>
      <x:c r="E349" s="21" t="str">
        <x:v>+60129758160</x:v>
      </x:c>
      <x:c r="F349" s="21" t="str">
        <x:v>Member</x:v>
      </x:c>
      <x:c r="G349" s="46" t="str">
        <x:f>"60129758160"</x:f>
        <x:v>60129758160</x:v>
      </x:c>
      <x:c r="H349" s="21" t="str">
        <x:v>Yes</x:v>
      </x:c>
      <x:c r="I349" s="21" t="str">
        <x:v>No</x:v>
      </x:c>
      <x:c r="J349" s="21" t="str">
        <x:v>No</x:v>
      </x:c>
      <x:c r="K349" s="21" t="str">
        <x:v>Included</x:v>
      </x:c>
      <x:c r="L349" s="21" t="str">
        <x:v>Peserta</x:v>
      </x:c>
    </x:row>
    <x:row r="350">
      <x:c r="A350" s="21" t="str">
        <x:v>whatsapp_group_numbers TD160.csv</x:v>
      </x:c>
      <x:c r="B350" s="21" t="str">
        <x:v>TD160</x:v>
      </x:c>
      <x:c r="C350" s="21" t="n">
        <x:v>12</x:v>
      </x:c>
      <x:c r="D350" s="46" t="str">
        <x:f>"+60194304430"</x:f>
        <x:v>+60194304430</x:v>
      </x:c>
      <x:c r="E350" s="21" t="str">
        <x:v>+60194304430</x:v>
      </x:c>
      <x:c r="F350" s="21" t="str">
        <x:v>Member</x:v>
      </x:c>
      <x:c r="G350" s="46" t="str">
        <x:f>"60194304430"</x:f>
        <x:v>60194304430</x:v>
      </x:c>
      <x:c r="H350" s="21" t="str">
        <x:v>Yes</x:v>
      </x:c>
      <x:c r="I350" s="21" t="str">
        <x:v>No</x:v>
      </x:c>
      <x:c r="J350" s="21" t="str">
        <x:v>No</x:v>
      </x:c>
      <x:c r="K350" s="21" t="str">
        <x:v>Included</x:v>
      </x:c>
      <x:c r="L350" s="21" t="str">
        <x:v>Peserta</x:v>
      </x:c>
    </x:row>
    <x:row r="351">
      <x:c r="A351" s="21" t="str">
        <x:v>whatsapp_group_numbers TD160.csv</x:v>
      </x:c>
      <x:c r="B351" s="21" t="str">
        <x:v>TD160</x:v>
      </x:c>
      <x:c r="C351" s="21" t="n">
        <x:v>13</x:v>
      </x:c>
      <x:c r="D351" s="46" t="str">
        <x:f>"+60123305896"</x:f>
        <x:v>+60123305896</x:v>
      </x:c>
      <x:c r="E351" s="21" t="str">
        <x:v>+60123305896</x:v>
      </x:c>
      <x:c r="F351" s="21" t="str">
        <x:v>Member</x:v>
      </x:c>
      <x:c r="G351" s="46" t="str">
        <x:f>"60123305896"</x:f>
        <x:v>60123305896</x:v>
      </x:c>
      <x:c r="H351" s="21" t="str">
        <x:v>Yes</x:v>
      </x:c>
      <x:c r="I351" s="21" t="str">
        <x:v>No</x:v>
      </x:c>
      <x:c r="J351" s="21" t="str">
        <x:v>No</x:v>
      </x:c>
      <x:c r="K351" s="21" t="str">
        <x:v>Included</x:v>
      </x:c>
      <x:c r="L351" s="21" t="str">
        <x:v>Peserta</x:v>
      </x:c>
    </x:row>
    <x:row r="352">
      <x:c r="A352" s="21" t="str">
        <x:v>whatsapp_group_numbers TD160.csv</x:v>
      </x:c>
      <x:c r="B352" s="21" t="str">
        <x:v>TD160</x:v>
      </x:c>
      <x:c r="C352" s="21" t="n">
        <x:v>14</x:v>
      </x:c>
      <x:c r="D352" s="46" t="str">
        <x:f>"+60126991842"</x:f>
        <x:v>+60126991842</x:v>
      </x:c>
      <x:c r="E352" s="21" t="str">
        <x:v>+60126991842</x:v>
      </x:c>
      <x:c r="F352" s="21" t="str">
        <x:v>Member</x:v>
      </x:c>
      <x:c r="G352" s="46" t="str">
        <x:f>"60126991842"</x:f>
        <x:v>60126991842</x:v>
      </x:c>
      <x:c r="H352" s="21" t="str">
        <x:v>Yes</x:v>
      </x:c>
      <x:c r="I352" s="21" t="str">
        <x:v>No</x:v>
      </x:c>
      <x:c r="J352" s="21" t="str">
        <x:v>No</x:v>
      </x:c>
      <x:c r="K352" s="21" t="str">
        <x:v>Included</x:v>
      </x:c>
      <x:c r="L352" s="21" t="str">
        <x:v>Peserta</x:v>
      </x:c>
    </x:row>
    <x:row r="353">
      <x:c r="A353" s="21" t="str">
        <x:v>whatsapp_group_numbers TD160.csv</x:v>
      </x:c>
      <x:c r="B353" s="21" t="str">
        <x:v>TD160</x:v>
      </x:c>
      <x:c r="C353" s="21" t="n">
        <x:v>15</x:v>
      </x:c>
      <x:c r="D353" s="46" t="str">
        <x:f>"+60172007543"</x:f>
        <x:v>+60172007543</x:v>
      </x:c>
      <x:c r="E353" s="21" t="str">
        <x:v>+60172007543</x:v>
      </x:c>
      <x:c r="F353" s="21" t="str">
        <x:v>Member</x:v>
      </x:c>
      <x:c r="G353" s="46" t="str">
        <x:f>"60172007543"</x:f>
        <x:v>60172007543</x:v>
      </x:c>
      <x:c r="H353" s="21" t="str">
        <x:v>Yes</x:v>
      </x:c>
      <x:c r="I353" s="21" t="str">
        <x:v>No</x:v>
      </x:c>
      <x:c r="J353" s="21" t="str">
        <x:v>No</x:v>
      </x:c>
      <x:c r="K353" s="21" t="str">
        <x:v>Included</x:v>
      </x:c>
      <x:c r="L353" s="21" t="str">
        <x:v>Peserta</x:v>
      </x:c>
    </x:row>
    <x:row r="354">
      <x:c r="A354" s="21" t="str">
        <x:v>whatsapp_group_numbers TD160.csv</x:v>
      </x:c>
      <x:c r="B354" s="21" t="str">
        <x:v>TD160</x:v>
      </x:c>
      <x:c r="C354" s="21" t="n">
        <x:v>16</x:v>
      </x:c>
      <x:c r="D354" s="46" t="str">
        <x:f>"+60198405461"</x:f>
        <x:v>+60198405461</x:v>
      </x:c>
      <x:c r="E354" s="21" t="str">
        <x:v>+60198405461</x:v>
      </x:c>
      <x:c r="F354" s="21" t="str">
        <x:v>Member</x:v>
      </x:c>
      <x:c r="G354" s="46" t="str">
        <x:f>"60198405461"</x:f>
        <x:v>60198405461</x:v>
      </x:c>
      <x:c r="H354" s="21" t="str">
        <x:v>Yes</x:v>
      </x:c>
      <x:c r="I354" s="21" t="str">
        <x:v>No</x:v>
      </x:c>
      <x:c r="J354" s="21" t="str">
        <x:v>No</x:v>
      </x:c>
      <x:c r="K354" s="21" t="str">
        <x:v>Included</x:v>
      </x:c>
      <x:c r="L354" s="21" t="str">
        <x:v>Peserta</x:v>
      </x:c>
    </x:row>
    <x:row r="355">
      <x:c r="A355" s="21" t="str">
        <x:v>whatsapp_group_numbers TD160.csv</x:v>
      </x:c>
      <x:c r="B355" s="21" t="str">
        <x:v>TD160</x:v>
      </x:c>
      <x:c r="C355" s="21" t="n">
        <x:v>17</x:v>
      </x:c>
      <x:c r="D355" s="46" t="str">
        <x:f>"+60168366207"</x:f>
        <x:v>+60168366207</x:v>
      </x:c>
      <x:c r="E355" s="21" t="str">
        <x:v>+60168366207</x:v>
      </x:c>
      <x:c r="F355" s="21" t="str">
        <x:v>Member</x:v>
      </x:c>
      <x:c r="G355" s="46" t="str">
        <x:f>"60168366207"</x:f>
        <x:v>60168366207</x:v>
      </x:c>
      <x:c r="H355" s="21" t="str">
        <x:v>Yes</x:v>
      </x:c>
      <x:c r="I355" s="21" t="str">
        <x:v>No</x:v>
      </x:c>
      <x:c r="J355" s="21" t="str">
        <x:v>No</x:v>
      </x:c>
      <x:c r="K355" s="21" t="str">
        <x:v>Included</x:v>
      </x:c>
      <x:c r="L355" s="21" t="str">
        <x:v>Peserta</x:v>
      </x:c>
    </x:row>
    <x:row r="356">
      <x:c r="A356" s="21" t="str">
        <x:v>whatsapp_group_numbers TD160.csv</x:v>
      </x:c>
      <x:c r="B356" s="21" t="str">
        <x:v>TD160</x:v>
      </x:c>
      <x:c r="C356" s="21" t="n">
        <x:v>18</x:v>
      </x:c>
      <x:c r="D356" s="46" t="str">
        <x:f>"+60192451236"</x:f>
        <x:v>+60192451236</x:v>
      </x:c>
      <x:c r="E356" s="21" t="str">
        <x:v>+60192451236</x:v>
      </x:c>
      <x:c r="F356" s="21" t="str">
        <x:v>Member</x:v>
      </x:c>
      <x:c r="G356" s="46" t="str">
        <x:f>"60192451236"</x:f>
        <x:v>60192451236</x:v>
      </x:c>
      <x:c r="H356" s="21" t="str">
        <x:v>Yes</x:v>
      </x:c>
      <x:c r="I356" s="21" t="str">
        <x:v>No</x:v>
      </x:c>
      <x:c r="J356" s="21" t="str">
        <x:v>No</x:v>
      </x:c>
      <x:c r="K356" s="21" t="str">
        <x:v>Included</x:v>
      </x:c>
      <x:c r="L356" s="21" t="str">
        <x:v>Peserta</x:v>
      </x:c>
    </x:row>
    <x:row r="357">
      <x:c r="A357" s="21" t="str">
        <x:v>whatsapp_group_numbers TD160.csv</x:v>
      </x:c>
      <x:c r="B357" s="21" t="str">
        <x:v>TD160</x:v>
      </x:c>
      <x:c r="C357" s="21" t="n">
        <x:v>19</x:v>
      </x:c>
      <x:c r="D357" s="46" t="str">
        <x:f>"+60125653379"</x:f>
        <x:v>+60125653379</x:v>
      </x:c>
      <x:c r="E357" s="21" t="str">
        <x:v>+60125653379</x:v>
      </x:c>
      <x:c r="F357" s="21" t="str">
        <x:v>Member</x:v>
      </x:c>
      <x:c r="G357" s="46" t="str">
        <x:f>"60125653379"</x:f>
        <x:v>60125653379</x:v>
      </x:c>
      <x:c r="H357" s="21" t="str">
        <x:v>Yes</x:v>
      </x:c>
      <x:c r="I357" s="21" t="str">
        <x:v>No</x:v>
      </x:c>
      <x:c r="J357" s="21" t="str">
        <x:v>No</x:v>
      </x:c>
      <x:c r="K357" s="21" t="str">
        <x:v>Included</x:v>
      </x:c>
      <x:c r="L357" s="21" t="str">
        <x:v>Peserta</x:v>
      </x:c>
    </x:row>
    <x:row r="358">
      <x:c r="A358" s="21" t="str">
        <x:v>whatsapp_group_numbers TD160.csv</x:v>
      </x:c>
      <x:c r="B358" s="21" t="str">
        <x:v>TD160</x:v>
      </x:c>
      <x:c r="C358" s="21" t="n">
        <x:v>20</x:v>
      </x:c>
      <x:c r="D358" s="46" t="str">
        <x:f>"+60105447245"</x:f>
        <x:v>+60105447245</x:v>
      </x:c>
      <x:c r="E358" s="21" t="str">
        <x:v>+60105447245</x:v>
      </x:c>
      <x:c r="F358" s="21" t="str">
        <x:v>Member</x:v>
      </x:c>
      <x:c r="G358" s="46" t="str">
        <x:f>"60105447245"</x:f>
        <x:v>60105447245</x:v>
      </x:c>
      <x:c r="H358" s="21" t="str">
        <x:v>Yes</x:v>
      </x:c>
      <x:c r="I358" s="21" t="str">
        <x:v>No</x:v>
      </x:c>
      <x:c r="J358" s="21" t="str">
        <x:v>No</x:v>
      </x:c>
      <x:c r="K358" s="21" t="str">
        <x:v>Included</x:v>
      </x:c>
      <x:c r="L358" s="21" t="str">
        <x:v>Peserta</x:v>
      </x:c>
    </x:row>
    <x:row r="359">
      <x:c r="A359" s="21" t="str">
        <x:v>whatsapp_group_numbers TD160.csv</x:v>
      </x:c>
      <x:c r="B359" s="21" t="str">
        <x:v>TD160</x:v>
      </x:c>
      <x:c r="C359" s="21" t="n">
        <x:v>21</x:v>
      </x:c>
      <x:c r="D359" s="46" t="str">
        <x:f>"+60194089799"</x:f>
        <x:v>+60194089799</x:v>
      </x:c>
      <x:c r="E359" s="21" t="str">
        <x:v>+60194089799</x:v>
      </x:c>
      <x:c r="F359" s="21" t="str">
        <x:v>Member</x:v>
      </x:c>
      <x:c r="G359" s="46" t="str">
        <x:f>"60194089799"</x:f>
        <x:v>60194089799</x:v>
      </x:c>
      <x:c r="H359" s="21" t="str">
        <x:v>Yes</x:v>
      </x:c>
      <x:c r="I359" s="21" t="str">
        <x:v>No</x:v>
      </x:c>
      <x:c r="J359" s="21" t="str">
        <x:v>No</x:v>
      </x:c>
      <x:c r="K359" s="21" t="str">
        <x:v>Included</x:v>
      </x:c>
      <x:c r="L359" s="21" t="str">
        <x:v>Peserta</x:v>
      </x:c>
    </x:row>
    <x:row r="360">
      <x:c r="A360" s="21" t="str">
        <x:v>whatsapp_group_numbers TD160.csv</x:v>
      </x:c>
      <x:c r="B360" s="21" t="str">
        <x:v>TD160</x:v>
      </x:c>
      <x:c r="C360" s="21" t="n">
        <x:v>22</x:v>
      </x:c>
      <x:c r="D360" s="46" t="str">
        <x:f>"+60124051236"</x:f>
        <x:v>+60124051236</x:v>
      </x:c>
      <x:c r="E360" s="21" t="str">
        <x:v>+60124051236</x:v>
      </x:c>
      <x:c r="F360" s="21" t="str">
        <x:v>Member</x:v>
      </x:c>
      <x:c r="G360" s="46" t="str">
        <x:f>"60124051236"</x:f>
        <x:v>60124051236</x:v>
      </x:c>
      <x:c r="H360" s="21" t="str">
        <x:v>Yes</x:v>
      </x:c>
      <x:c r="I360" s="21" t="str">
        <x:v>No</x:v>
      </x:c>
      <x:c r="J360" s="21" t="str">
        <x:v>No</x:v>
      </x:c>
      <x:c r="K360" s="21" t="str">
        <x:v>Included</x:v>
      </x:c>
      <x:c r="L360" s="21" t="str">
        <x:v>Peserta</x:v>
      </x:c>
    </x:row>
    <x:row r="361">
      <x:c r="A361" s="21" t="str">
        <x:v>whatsapp_group_numbers TD160.csv</x:v>
      </x:c>
      <x:c r="B361" s="21" t="str">
        <x:v>TD160</x:v>
      </x:c>
      <x:c r="C361" s="21" t="n">
        <x:v>23</x:v>
      </x:c>
      <x:c r="D361" s="46" t="str">
        <x:f>"+60133361417"</x:f>
        <x:v>+60133361417</x:v>
      </x:c>
      <x:c r="E361" s="21" t="str">
        <x:v>+60133361417</x:v>
      </x:c>
      <x:c r="F361" s="21" t="str">
        <x:v>Member</x:v>
      </x:c>
      <x:c r="G361" s="46" t="str">
        <x:f>"60133361417"</x:f>
        <x:v>60133361417</x:v>
      </x:c>
      <x:c r="H361" s="21" t="str">
        <x:v>Yes</x:v>
      </x:c>
      <x:c r="I361" s="21" t="str">
        <x:v>No</x:v>
      </x:c>
      <x:c r="J361" s="21" t="str">
        <x:v>No</x:v>
      </x:c>
      <x:c r="K361" s="21" t="str">
        <x:v>Included</x:v>
      </x:c>
      <x:c r="L361" s="21" t="str">
        <x:v>Peserta</x:v>
      </x:c>
    </x:row>
    <x:row r="362">
      <x:c r="A362" s="21" t="str">
        <x:v>whatsapp_group_numbers TD160.csv</x:v>
      </x:c>
      <x:c r="B362" s="21" t="str">
        <x:v>TD160</x:v>
      </x:c>
      <x:c r="C362" s="21" t="n">
        <x:v>24</x:v>
      </x:c>
      <x:c r="D362" s="46" t="str">
        <x:f>"+60194458455"</x:f>
        <x:v>+60194458455</x:v>
      </x:c>
      <x:c r="E362" s="21" t="str">
        <x:v>+60194458455</x:v>
      </x:c>
      <x:c r="F362" s="21" t="str">
        <x:v>Member</x:v>
      </x:c>
      <x:c r="G362" s="46" t="str">
        <x:f>"60194458455"</x:f>
        <x:v>60194458455</x:v>
      </x:c>
      <x:c r="H362" s="21" t="str">
        <x:v>Yes</x:v>
      </x:c>
      <x:c r="I362" s="21" t="str">
        <x:v>No</x:v>
      </x:c>
      <x:c r="J362" s="21" t="str">
        <x:v>No</x:v>
      </x:c>
      <x:c r="K362" s="21" t="str">
        <x:v>Included</x:v>
      </x:c>
      <x:c r="L362" s="21" t="str">
        <x:v>Peserta</x:v>
      </x:c>
    </x:row>
    <x:row r="363">
      <x:c r="A363" s="21" t="str">
        <x:v>whatsapp_group_numbers Td21 emkrt.csv</x:v>
      </x:c>
      <x:c r="B363" s="21" t="str">
        <x:v>Td21 emkrt</x:v>
      </x:c>
      <x:c r="C363" s="21" t="n">
        <x:v>1</x:v>
      </x:c>
      <x:c r="D363" s="46" t="str">
        <x:f>"+601112994813"</x:f>
        <x:v>+601112994813</x:v>
      </x:c>
      <x:c r="E363" s="21" t="str">
        <x:v>eu adibah z 060823</x:v>
      </x:c>
      <x:c r="F363" s="21" t="str">
        <x:v>Member</x:v>
      </x:c>
      <x:c r="G363" s="46" t="str">
        <x:f>"601112994813"</x:f>
        <x:v>601112994813</x:v>
      </x:c>
      <x:c r="H363" s="21" t="str">
        <x:v>Yes</x:v>
      </x:c>
      <x:c r="I363" s="21" t="str">
        <x:v>No</x:v>
      </x:c>
      <x:c r="J363" s="21" t="str">
        <x:v>No</x:v>
      </x:c>
      <x:c r="K363" s="21" t="str">
        <x:v>Included</x:v>
      </x:c>
      <x:c r="L363" s="21" t="str">
        <x:v>Peserta</x:v>
      </x:c>
    </x:row>
    <x:row r="364">
      <x:c r="A364" s="21" t="str">
        <x:v>whatsapp_group_numbers Td21 emkrt.csv</x:v>
      </x:c>
      <x:c r="B364" s="21" t="str">
        <x:v>Td21 emkrt</x:v>
      </x:c>
      <x:c r="C364" s="21" t="n">
        <x:v>2</x:v>
      </x:c>
      <x:c r="D364" s="46" t="str">
        <x:f>"+60177670627"</x:f>
        <x:v>+60177670627</x:v>
      </x:c>
      <x:c r="E364" s="21" t="str">
        <x:v>Nur Aqeela INSKEN</x:v>
      </x:c>
      <x:c r="F364" s="21" t="str">
        <x:v>Member</x:v>
      </x:c>
      <x:c r="G364" s="46" t="str">
        <x:f>"60177670627"</x:f>
        <x:v>60177670627</x:v>
      </x:c>
      <x:c r="H364" s="21" t="str">
        <x:v>Yes</x:v>
      </x:c>
      <x:c r="I364" s="21" t="str">
        <x:v>No</x:v>
      </x:c>
      <x:c r="J364" s="21" t="str">
        <x:v>Yes</x:v>
      </x:c>
      <x:c r="K364" s="21" t="str">
        <x:v>Excluded</x:v>
      </x:c>
      <x:c r="L364" s="21" t="str">
        <x:v>Nama/nombor dikenal pasti sebagai INSKEN</x:v>
      </x:c>
    </x:row>
    <x:row r="365">
      <x:c r="A365" s="21" t="str">
        <x:v>whatsapp_group_numbers Td21 emkrt.csv</x:v>
      </x:c>
      <x:c r="B365" s="21" t="str">
        <x:v>Td21 emkrt</x:v>
      </x:c>
      <x:c r="C365" s="21" t="n">
        <x:v>3</x:v>
      </x:c>
      <x:c r="D365" s="46" t="str">
        <x:f>"+60175545144"</x:f>
        <x:v>+60175545144</x:v>
      </x:c>
      <x:c r="E365" s="21" t="str">
        <x:v>Pn Aishah INSKEN</x:v>
      </x:c>
      <x:c r="F365" s="21" t="str">
        <x:v>Member</x:v>
      </x:c>
      <x:c r="G365" s="46" t="str">
        <x:f>"60175545144"</x:f>
        <x:v>60175545144</x:v>
      </x:c>
      <x:c r="H365" s="21" t="str">
        <x:v>Yes</x:v>
      </x:c>
      <x:c r="I365" s="21" t="str">
        <x:v>No</x:v>
      </x:c>
      <x:c r="J365" s="21" t="str">
        <x:v>Yes</x:v>
      </x:c>
      <x:c r="K365" s="21" t="str">
        <x:v>Excluded</x:v>
      </x:c>
      <x:c r="L365" s="21" t="str">
        <x:v>Nama/nombor dikenal pasti sebagai INSKEN</x:v>
      </x:c>
    </x:row>
    <x:row r="366">
      <x:c r="A366" s="21" t="str">
        <x:v>whatsapp_group_numbers Td21 emkrt.csv</x:v>
      </x:c>
      <x:c r="B366" s="21" t="str">
        <x:v>Td21 emkrt</x:v>
      </x:c>
      <x:c r="C366" s="21" t="n">
        <x:v>4</x:v>
      </x:c>
      <x:c r="D366" s="46" t="str">
        <x:f>"+60123081906"</x:f>
        <x:v>+60123081906</x:v>
      </x:c>
      <x:c r="E366" s="21" t="str">
        <x:v>Sufiyan Insken</x:v>
      </x:c>
      <x:c r="F366" s="21" t="str">
        <x:v>Member</x:v>
      </x:c>
      <x:c r="G366" s="46" t="str">
        <x:f>"60123081906"</x:f>
        <x:v>60123081906</x:v>
      </x:c>
      <x:c r="H366" s="21" t="str">
        <x:v>Yes</x:v>
      </x:c>
      <x:c r="I366" s="21" t="str">
        <x:v>No</x:v>
      </x:c>
      <x:c r="J366" s="21" t="str">
        <x:v>Yes</x:v>
      </x:c>
      <x:c r="K366" s="21" t="str">
        <x:v>Excluded</x:v>
      </x:c>
      <x:c r="L366" s="21" t="str">
        <x:v>Nama/nombor dikenal pasti sebagai INSKEN</x:v>
      </x:c>
    </x:row>
    <x:row r="367">
      <x:c r="A367" s="21" t="str">
        <x:v>whatsapp_group_numbers Td21 emkrt.csv</x:v>
      </x:c>
      <x:c r="B367" s="21" t="str">
        <x:v>Td21 emkrt</x:v>
      </x:c>
      <x:c r="C367" s="21" t="n">
        <x:v>5</x:v>
      </x:c>
      <x:c r="D367" s="46" t="str">
        <x:f>"+60175098908"</x:f>
        <x:v>+60175098908</x:v>
      </x:c>
      <x:c r="E367" s="21" t="str">
        <x:v>fakharulnizam</x:v>
      </x:c>
      <x:c r="F367" s="21" t="str">
        <x:v>Member</x:v>
      </x:c>
      <x:c r="G367" s="46" t="str">
        <x:f>"60175098908"</x:f>
        <x:v>60175098908</x:v>
      </x:c>
      <x:c r="H367" s="21" t="str">
        <x:v>Yes</x:v>
      </x:c>
      <x:c r="I367" s="21" t="str">
        <x:v>No</x:v>
      </x:c>
      <x:c r="J367" s="21" t="str">
        <x:v>No</x:v>
      </x:c>
      <x:c r="K367" s="21" t="str">
        <x:v>Included</x:v>
      </x:c>
      <x:c r="L367" s="21" t="str">
        <x:v>Peserta</x:v>
      </x:c>
    </x:row>
    <x:row r="368">
      <x:c r="A368" s="21" t="str">
        <x:v>whatsapp_group_numbers Td21 emkrt.csv</x:v>
      </x:c>
      <x:c r="B368" s="21" t="str">
        <x:v>Td21 emkrt</x:v>
      </x:c>
      <x:c r="C368" s="21" t="n">
        <x:v>6</x:v>
      </x:c>
      <x:c r="D368" s="46" t="str">
        <x:f>"+60143142796"</x:f>
        <x:v>+60143142796</x:v>
      </x:c>
      <x:c r="E368" s="21" t="str">
        <x:v>Hidayah Mat Isrin</x:v>
      </x:c>
      <x:c r="F368" s="21" t="str">
        <x:v>Member</x:v>
      </x:c>
      <x:c r="G368" s="46" t="str">
        <x:f>"60143142796"</x:f>
        <x:v>60143142796</x:v>
      </x:c>
      <x:c r="H368" s="21" t="str">
        <x:v>Yes</x:v>
      </x:c>
      <x:c r="I368" s="21" t="str">
        <x:v>No</x:v>
      </x:c>
      <x:c r="J368" s="21" t="str">
        <x:v>No</x:v>
      </x:c>
      <x:c r="K368" s="21" t="str">
        <x:v>Included</x:v>
      </x:c>
      <x:c r="L368" s="21" t="str">
        <x:v>Peserta</x:v>
      </x:c>
    </x:row>
    <x:row r="369">
      <x:c r="A369" s="21" t="str">
        <x:v>whatsapp_group_numbers Td21 emkrt.csv</x:v>
      </x:c>
      <x:c r="B369" s="21" t="str">
        <x:v>Td21 emkrt</x:v>
      </x:c>
      <x:c r="C369" s="21" t="n">
        <x:v>7</x:v>
      </x:c>
      <x:c r="D369" s="46" t="str">
        <x:f>"+60164460044"</x:f>
        <x:v>+60164460044</x:v>
      </x:c>
      <x:c r="E369" s="21" t="str">
        <x:v>Seberang Utama Enterprise</x:v>
      </x:c>
      <x:c r="F369" s="21" t="str">
        <x:v>Member</x:v>
      </x:c>
      <x:c r="G369" s="46" t="str">
        <x:f>"60164460044"</x:f>
        <x:v>60164460044</x:v>
      </x:c>
      <x:c r="H369" s="21" t="str">
        <x:v>Yes</x:v>
      </x:c>
      <x:c r="I369" s="21" t="str">
        <x:v>No</x:v>
      </x:c>
      <x:c r="J369" s="21" t="str">
        <x:v>No</x:v>
      </x:c>
      <x:c r="K369" s="21" t="str">
        <x:v>Included</x:v>
      </x:c>
      <x:c r="L369" s="21" t="str">
        <x:v>Peserta</x:v>
      </x:c>
    </x:row>
    <x:row r="370">
      <x:c r="A370" s="21" t="str">
        <x:v>whatsapp_group_numbers Td21 emkrt.csv</x:v>
      </x:c>
      <x:c r="B370" s="21" t="str">
        <x:v>Td21 emkrt</x:v>
      </x:c>
      <x:c r="C370" s="21" t="n">
        <x:v>8</x:v>
      </x:c>
      <x:c r="D370" s="46" t="str">
        <x:f>"+60166180510"</x:f>
        <x:v>+60166180510</x:v>
      </x:c>
      <x:c r="E370" s="21" t="str">
        <x:v>Shamsoul Fahimy Hassan</x:v>
      </x:c>
      <x:c r="F370" s="21" t="str">
        <x:v>Member</x:v>
      </x:c>
      <x:c r="G370" s="46" t="str">
        <x:f>"60166180510"</x:f>
        <x:v>60166180510</x:v>
      </x:c>
      <x:c r="H370" s="21" t="str">
        <x:v>Yes</x:v>
      </x:c>
      <x:c r="I370" s="21" t="str">
        <x:v>No</x:v>
      </x:c>
      <x:c r="J370" s="21" t="str">
        <x:v>No</x:v>
      </x:c>
      <x:c r="K370" s="21" t="str">
        <x:v>Included</x:v>
      </x:c>
      <x:c r="L370" s="21" t="str">
        <x:v>Peserta</x:v>
      </x:c>
    </x:row>
    <x:row r="371">
      <x:c r="A371" s="21" t="str">
        <x:v>whatsapp_group_numbers Td21 emkrt.csv</x:v>
      </x:c>
      <x:c r="B371" s="21" t="str">
        <x:v>Td21 emkrt</x:v>
      </x:c>
      <x:c r="C371" s="21" t="n">
        <x:v>9</x:v>
      </x:c>
      <x:c r="D371" s="46" t="str">
        <x:f>"+60199773474"</x:f>
        <x:v>+60199773474</x:v>
      </x:c>
      <x:c r="E371" s="21" t="str">
        <x:v>Syfa Aseri</x:v>
      </x:c>
      <x:c r="F371" s="21" t="str">
        <x:v>Member</x:v>
      </x:c>
      <x:c r="G371" s="46" t="str">
        <x:f>"60199773474"</x:f>
        <x:v>60199773474</x:v>
      </x:c>
      <x:c r="H371" s="21" t="str">
        <x:v>Yes</x:v>
      </x:c>
      <x:c r="I371" s="21" t="str">
        <x:v>No</x:v>
      </x:c>
      <x:c r="J371" s="21" t="str">
        <x:v>No</x:v>
      </x:c>
      <x:c r="K371" s="21" t="str">
        <x:v>Included</x:v>
      </x:c>
      <x:c r="L371" s="21" t="str">
        <x:v>Peserta</x:v>
      </x:c>
    </x:row>
    <x:row r="372">
      <x:c r="A372" s="21" t="str">
        <x:v>whatsapp_group_numbers Td21 emkrt.csv</x:v>
      </x:c>
      <x:c r="B372" s="21" t="str">
        <x:v>Td21 emkrt</x:v>
      </x:c>
      <x:c r="C372" s="21" t="n">
        <x:v>10</x:v>
      </x:c>
      <x:c r="D372" s="46" t="str">
        <x:f>"+60198439093"</x:f>
        <x:v>+60198439093</x:v>
      </x:c>
      <x:c r="E372" s="21" t="str">
        <x:v>+60198439093</x:v>
      </x:c>
      <x:c r="F372" s="21" t="str">
        <x:v>Member</x:v>
      </x:c>
      <x:c r="G372" s="46" t="str">
        <x:f>"60198439093"</x:f>
        <x:v>60198439093</x:v>
      </x:c>
      <x:c r="H372" s="21" t="str">
        <x:v>Yes</x:v>
      </x:c>
      <x:c r="I372" s="21" t="str">
        <x:v>No</x:v>
      </x:c>
      <x:c r="J372" s="21" t="str">
        <x:v>No</x:v>
      </x:c>
      <x:c r="K372" s="21" t="str">
        <x:v>Included</x:v>
      </x:c>
      <x:c r="L372" s="21" t="str">
        <x:v>Peserta</x:v>
      </x:c>
    </x:row>
    <x:row r="373">
      <x:c r="A373" s="21" t="str">
        <x:v>whatsapp_group_numbers Td21 emkrt.csv</x:v>
      </x:c>
      <x:c r="B373" s="21" t="str">
        <x:v>Td21 emkrt</x:v>
      </x:c>
      <x:c r="C373" s="21" t="n">
        <x:v>11</x:v>
      </x:c>
      <x:c r="D373" s="46" t="str">
        <x:f>"+60137696827"</x:f>
        <x:v>+60137696827</x:v>
      </x:c>
      <x:c r="E373" s="21" t="str">
        <x:v>+60137696827</x:v>
      </x:c>
      <x:c r="F373" s="21" t="str">
        <x:v>Member</x:v>
      </x:c>
      <x:c r="G373" s="46" t="str">
        <x:f>"60137696827"</x:f>
        <x:v>60137696827</x:v>
      </x:c>
      <x:c r="H373" s="21" t="str">
        <x:v>Yes</x:v>
      </x:c>
      <x:c r="I373" s="21" t="str">
        <x:v>No</x:v>
      </x:c>
      <x:c r="J373" s="21" t="str">
        <x:v>No</x:v>
      </x:c>
      <x:c r="K373" s="21" t="str">
        <x:v>Included</x:v>
      </x:c>
      <x:c r="L373" s="21" t="str">
        <x:v>Peserta</x:v>
      </x:c>
    </x:row>
    <x:row r="374">
      <x:c r="A374" s="21" t="str">
        <x:v>whatsapp_group_numbers Td21 emkrt.csv</x:v>
      </x:c>
      <x:c r="B374" s="21" t="str">
        <x:v>Td21 emkrt</x:v>
      </x:c>
      <x:c r="C374" s="21" t="n">
        <x:v>12</x:v>
      </x:c>
      <x:c r="D374" s="46" t="str">
        <x:f>"+60186654805"</x:f>
        <x:v>+60186654805</x:v>
      </x:c>
      <x:c r="E374" s="21" t="str">
        <x:v>+60186654805</x:v>
      </x:c>
      <x:c r="F374" s="21" t="str">
        <x:v>Member</x:v>
      </x:c>
      <x:c r="G374" s="46" t="str">
        <x:f>"60186654805"</x:f>
        <x:v>60186654805</x:v>
      </x:c>
      <x:c r="H374" s="21" t="str">
        <x:v>Yes</x:v>
      </x:c>
      <x:c r="I374" s="21" t="str">
        <x:v>No</x:v>
      </x:c>
      <x:c r="J374" s="21" t="str">
        <x:v>No</x:v>
      </x:c>
      <x:c r="K374" s="21" t="str">
        <x:v>Included</x:v>
      </x:c>
      <x:c r="L374" s="21" t="str">
        <x:v>Peserta</x:v>
      </x:c>
    </x:row>
    <x:row r="375">
      <x:c r="A375" s="21" t="str">
        <x:v>whatsapp_group_numbers Td21 emkrt.csv</x:v>
      </x:c>
      <x:c r="B375" s="21" t="str">
        <x:v>Td21 emkrt</x:v>
      </x:c>
      <x:c r="C375" s="21" t="n">
        <x:v>13</x:v>
      </x:c>
      <x:c r="D375" s="46" t="str">
        <x:f>"+60164836717"</x:f>
        <x:v>+60164836717</x:v>
      </x:c>
      <x:c r="E375" s="21" t="str">
        <x:v>+60164836717</x:v>
      </x:c>
      <x:c r="F375" s="21" t="str">
        <x:v>Member</x:v>
      </x:c>
      <x:c r="G375" s="46" t="str">
        <x:f>"60164836717"</x:f>
        <x:v>60164836717</x:v>
      </x:c>
      <x:c r="H375" s="21" t="str">
        <x:v>Yes</x:v>
      </x:c>
      <x:c r="I375" s="21" t="str">
        <x:v>No</x:v>
      </x:c>
      <x:c r="J375" s="21" t="str">
        <x:v>No</x:v>
      </x:c>
      <x:c r="K375" s="21" t="str">
        <x:v>Included</x:v>
      </x:c>
      <x:c r="L375" s="21" t="str">
        <x:v>Peserta</x:v>
      </x:c>
    </x:row>
    <x:row r="376">
      <x:c r="A376" s="21" t="str">
        <x:v>whatsapp_group_numbers Td21 emkrt.csv</x:v>
      </x:c>
      <x:c r="B376" s="21" t="str">
        <x:v>Td21 emkrt</x:v>
      </x:c>
      <x:c r="C376" s="21" t="n">
        <x:v>14</x:v>
      </x:c>
      <x:c r="D376" s="46" t="str">
        <x:f>"+601133024529"</x:f>
        <x:v>+601133024529</x:v>
      </x:c>
      <x:c r="E376" s="21" t="str">
        <x:v>+601133024529</x:v>
      </x:c>
      <x:c r="F376" s="21" t="str">
        <x:v>Member</x:v>
      </x:c>
      <x:c r="G376" s="46" t="str">
        <x:f>"601133024529"</x:f>
        <x:v>601133024529</x:v>
      </x:c>
      <x:c r="H376" s="21" t="str">
        <x:v>Yes</x:v>
      </x:c>
      <x:c r="I376" s="21" t="str">
        <x:v>No</x:v>
      </x:c>
      <x:c r="J376" s="21" t="str">
        <x:v>No</x:v>
      </x:c>
      <x:c r="K376" s="21" t="str">
        <x:v>Included</x:v>
      </x:c>
      <x:c r="L376" s="21" t="str">
        <x:v>Peserta</x:v>
      </x:c>
    </x:row>
    <x:row r="377">
      <x:c r="A377" s="21" t="str">
        <x:v>whatsapp_group_numbers Td21 emkrt.csv</x:v>
      </x:c>
      <x:c r="B377" s="21" t="str">
        <x:v>Td21 emkrt</x:v>
      </x:c>
      <x:c r="C377" s="21" t="n">
        <x:v>15</x:v>
      </x:c>
      <x:c r="D377" s="46" t="str">
        <x:f>"+60104404313"</x:f>
        <x:v>+60104404313</x:v>
      </x:c>
      <x:c r="E377" s="21" t="str">
        <x:v>+60104404313</x:v>
      </x:c>
      <x:c r="F377" s="21" t="str">
        <x:v>Member</x:v>
      </x:c>
      <x:c r="G377" s="46" t="str">
        <x:f>"60104404313"</x:f>
        <x:v>60104404313</x:v>
      </x:c>
      <x:c r="H377" s="21" t="str">
        <x:v>Yes</x:v>
      </x:c>
      <x:c r="I377" s="21" t="str">
        <x:v>No</x:v>
      </x:c>
      <x:c r="J377" s="21" t="str">
        <x:v>No</x:v>
      </x:c>
      <x:c r="K377" s="21" t="str">
        <x:v>Included</x:v>
      </x:c>
      <x:c r="L377" s="21" t="str">
        <x:v>Peserta</x:v>
      </x:c>
    </x:row>
    <x:row r="378">
      <x:c r="A378" s="21" t="str">
        <x:v>whatsapp_group_numbers Td21 emkrt.csv</x:v>
      </x:c>
      <x:c r="B378" s="21" t="str">
        <x:v>Td21 emkrt</x:v>
      </x:c>
      <x:c r="C378" s="21" t="n">
        <x:v>16</x:v>
      </x:c>
      <x:c r="D378" s="46" t="str">
        <x:f>"+601124376242"</x:f>
        <x:v>+601124376242</x:v>
      </x:c>
      <x:c r="E378" s="21" t="str">
        <x:v>+601124376242</x:v>
      </x:c>
      <x:c r="F378" s="21" t="str">
        <x:v>Member</x:v>
      </x:c>
      <x:c r="G378" s="46" t="str">
        <x:f>"601124376242"</x:f>
        <x:v>601124376242</x:v>
      </x:c>
      <x:c r="H378" s="21" t="str">
        <x:v>Yes</x:v>
      </x:c>
      <x:c r="I378" s="21" t="str">
        <x:v>No</x:v>
      </x:c>
      <x:c r="J378" s="21" t="str">
        <x:v>No</x:v>
      </x:c>
      <x:c r="K378" s="21" t="str">
        <x:v>Included</x:v>
      </x:c>
      <x:c r="L378" s="21" t="str">
        <x:v>Peserta</x:v>
      </x:c>
    </x:row>
    <x:row r="379">
      <x:c r="A379" s="21" t="str">
        <x:v>whatsapp_group_numbers Td21 emkrt.csv</x:v>
      </x:c>
      <x:c r="B379" s="21" t="str">
        <x:v>Td21 emkrt</x:v>
      </x:c>
      <x:c r="C379" s="21" t="n">
        <x:v>17</x:v>
      </x:c>
      <x:c r="D379" s="46" t="str">
        <x:f>"+60126961018"</x:f>
        <x:v>+60126961018</x:v>
      </x:c>
      <x:c r="E379" s="21" t="str">
        <x:v>+60126961018</x:v>
      </x:c>
      <x:c r="F379" s="21" t="str">
        <x:v>Member</x:v>
      </x:c>
      <x:c r="G379" s="46" t="str">
        <x:f>"60126961018"</x:f>
        <x:v>60126961018</x:v>
      </x:c>
      <x:c r="H379" s="21" t="str">
        <x:v>Yes</x:v>
      </x:c>
      <x:c r="I379" s="21" t="str">
        <x:v>No</x:v>
      </x:c>
      <x:c r="J379" s="21" t="str">
        <x:v>No</x:v>
      </x:c>
      <x:c r="K379" s="21" t="str">
        <x:v>Included</x:v>
      </x:c>
      <x:c r="L379" s="21" t="str">
        <x:v>Peserta</x:v>
      </x:c>
    </x:row>
    <x:row r="380">
      <x:c r="A380" s="21" t="str">
        <x:v>whatsapp_group_numbers Td21 emkrt.csv</x:v>
      </x:c>
      <x:c r="B380" s="21" t="str">
        <x:v>Td21 emkrt</x:v>
      </x:c>
      <x:c r="C380" s="21" t="n">
        <x:v>18</x:v>
      </x:c>
      <x:c r="D380" s="46" t="str">
        <x:f>"+601114033722"</x:f>
        <x:v>+601114033722</x:v>
      </x:c>
      <x:c r="E380" s="21" t="str">
        <x:v>+601114033722</x:v>
      </x:c>
      <x:c r="F380" s="21" t="str">
        <x:v>Member</x:v>
      </x:c>
      <x:c r="G380" s="46" t="str">
        <x:f>"601114033722"</x:f>
        <x:v>601114033722</x:v>
      </x:c>
      <x:c r="H380" s="21" t="str">
        <x:v>Yes</x:v>
      </x:c>
      <x:c r="I380" s="21" t="str">
        <x:v>No</x:v>
      </x:c>
      <x:c r="J380" s="21" t="str">
        <x:v>No</x:v>
      </x:c>
      <x:c r="K380" s="21" t="str">
        <x:v>Included</x:v>
      </x:c>
      <x:c r="L380" s="21" t="str">
        <x:v>Peserta</x:v>
      </x:c>
    </x:row>
    <x:row r="381">
      <x:c r="A381" s="21" t="str">
        <x:v>whatsapp_group_numbers Td21 emkrt.csv</x:v>
      </x:c>
      <x:c r="B381" s="21" t="str">
        <x:v>Td21 emkrt</x:v>
      </x:c>
      <x:c r="C381" s="21" t="n">
        <x:v>19</x:v>
      </x:c>
      <x:c r="D381" s="46" t="str">
        <x:f>"+60183736964"</x:f>
        <x:v>+60183736964</x:v>
      </x:c>
      <x:c r="E381" s="21" t="str">
        <x:v>+60183736964</x:v>
      </x:c>
      <x:c r="F381" s="21" t="str">
        <x:v>Member</x:v>
      </x:c>
      <x:c r="G381" s="46" t="str">
        <x:f>"60183736964"</x:f>
        <x:v>60183736964</x:v>
      </x:c>
      <x:c r="H381" s="21" t="str">
        <x:v>Yes</x:v>
      </x:c>
      <x:c r="I381" s="21" t="str">
        <x:v>No</x:v>
      </x:c>
      <x:c r="J381" s="21" t="str">
        <x:v>No</x:v>
      </x:c>
      <x:c r="K381" s="21" t="str">
        <x:v>Included</x:v>
      </x:c>
      <x:c r="L381" s="21" t="str">
        <x:v>Peserta</x:v>
      </x:c>
    </x:row>
    <x:row r="382">
      <x:c r="A382" s="21" t="str">
        <x:v>whatsapp_group_numbers Td21 emkrt.csv</x:v>
      </x:c>
      <x:c r="B382" s="21" t="str">
        <x:v>Td21 emkrt</x:v>
      </x:c>
      <x:c r="C382" s="21" t="n">
        <x:v>20</x:v>
      </x:c>
      <x:c r="D382" s="46" t="str">
        <x:f>"+60105447245"</x:f>
        <x:v>+60105447245</x:v>
      </x:c>
      <x:c r="E382" s="21" t="str">
        <x:v>+60105447245</x:v>
      </x:c>
      <x:c r="F382" s="21" t="str">
        <x:v>Member</x:v>
      </x:c>
      <x:c r="G382" s="46" t="str">
        <x:f>"60105447245"</x:f>
        <x:v>60105447245</x:v>
      </x:c>
      <x:c r="H382" s="21" t="str">
        <x:v>Yes</x:v>
      </x:c>
      <x:c r="I382" s="21" t="str">
        <x:v>No</x:v>
      </x:c>
      <x:c r="J382" s="21" t="str">
        <x:v>No</x:v>
      </x:c>
      <x:c r="K382" s="21" t="str">
        <x:v>Included</x:v>
      </x:c>
      <x:c r="L382" s="21" t="str">
        <x:v>Peserta</x:v>
      </x:c>
    </x:row>
    <x:row r="383">
      <x:c r="A383" s="21" t="str">
        <x:v>whatsapp_group_numbers Td21 emkrt.csv</x:v>
      </x:c>
      <x:c r="B383" s="21" t="str">
        <x:v>Td21 emkrt</x:v>
      </x:c>
      <x:c r="C383" s="21" t="n">
        <x:v>21</x:v>
      </x:c>
      <x:c r="D383" s="46" t="str">
        <x:f>"+601110917798"</x:f>
        <x:v>+601110917798</x:v>
      </x:c>
      <x:c r="E383" s="21" t="str">
        <x:v>+601110917798</x:v>
      </x:c>
      <x:c r="F383" s="21" t="str">
        <x:v>Member</x:v>
      </x:c>
      <x:c r="G383" s="46" t="str">
        <x:f>"601110917798"</x:f>
        <x:v>601110917798</x:v>
      </x:c>
      <x:c r="H383" s="21" t="str">
        <x:v>Yes</x:v>
      </x:c>
      <x:c r="I383" s="21" t="str">
        <x:v>No</x:v>
      </x:c>
      <x:c r="J383" s="21" t="str">
        <x:v>No</x:v>
      </x:c>
      <x:c r="K383" s="21" t="str">
        <x:v>Included</x:v>
      </x:c>
      <x:c r="L383" s="21" t="str">
        <x:v>Peserta</x:v>
      </x:c>
    </x:row>
    <x:row r="384">
      <x:c r="A384" s="21" t="str">
        <x:v>whatsapp_group_numbers td32.csv</x:v>
      </x:c>
      <x:c r="B384" s="21" t="str">
        <x:v>td32</x:v>
      </x:c>
      <x:c r="C384" s="21" t="n">
        <x:v>1</x:v>
      </x:c>
      <x:c r="D384" s="46" t="str">
        <x:f>"+60192112178"</x:f>
        <x:v>+60192112178</x:v>
      </x:c>
      <x:c r="E384" s="21" t="str">
        <x:v>Dekma Mdec IM</x:v>
      </x:c>
      <x:c r="F384" s="21" t="str">
        <x:v>Member</x:v>
      </x:c>
      <x:c r="G384" s="46" t="str">
        <x:f>"60192112178"</x:f>
        <x:v>60192112178</x:v>
      </x:c>
      <x:c r="H384" s="21" t="str">
        <x:v>Yes</x:v>
      </x:c>
      <x:c r="I384" s="21" t="str">
        <x:v>No</x:v>
      </x:c>
      <x:c r="J384" s="21" t="str">
        <x:v>No</x:v>
      </x:c>
      <x:c r="K384" s="21" t="str">
        <x:v>Excluded</x:v>
      </x:c>
      <x:c r="L384" s="21" t="str">
        <x:v>Senarai pengecualian manual pengguna</x:v>
      </x:c>
    </x:row>
    <x:row r="385">
      <x:c r="A385" s="21" t="str">
        <x:v>whatsapp_group_numbers td32.csv</x:v>
      </x:c>
      <x:c r="B385" s="21" t="str">
        <x:v>td32</x:v>
      </x:c>
      <x:c r="C385" s="21" t="n">
        <x:v>2</x:v>
      </x:c>
      <x:c r="D385" s="46" t="str">
        <x:f>"+60164236116"</x:f>
        <x:v>+60164236116</x:v>
      </x:c>
      <x:c r="E385" s="21" t="str">
        <x:v>Fazlu Trainer</x:v>
      </x:c>
      <x:c r="F385" s="21" t="str">
        <x:v>Member</x:v>
      </x:c>
      <x:c r="G385" s="46" t="str">
        <x:f>"60164236116"</x:f>
        <x:v>60164236116</x:v>
      </x:c>
      <x:c r="H385" s="21" t="str">
        <x:v>Yes</x:v>
      </x:c>
      <x:c r="I385" s="21" t="str">
        <x:v>No</x:v>
      </x:c>
      <x:c r="J385" s="21" t="str">
        <x:v>No</x:v>
      </x:c>
      <x:c r="K385" s="21" t="str">
        <x:v>Excluded</x:v>
      </x:c>
      <x:c r="L385" s="21" t="str">
        <x:v>Senarai pengecualian manual pengguna</x:v>
      </x:c>
    </x:row>
    <x:row r="386">
      <x:c r="A386" s="21" t="str">
        <x:v>whatsapp_group_numbers td32.csv</x:v>
      </x:c>
      <x:c r="B386" s="21" t="str">
        <x:v>td32</x:v>
      </x:c>
      <x:c r="C386" s="21" t="n">
        <x:v>3</x:v>
      </x:c>
      <x:c r="D386" s="46" t="str">
        <x:f>"+60103194319"</x:f>
        <x:v>+60103194319</x:v>
      </x:c>
      <x:c r="E386" s="21" t="str">
        <x:v>MZ Travel Malaysia - Thailand Tours</x:v>
      </x:c>
      <x:c r="F386" s="21" t="str">
        <x:v>Member</x:v>
      </x:c>
      <x:c r="G386" s="46" t="str">
        <x:f>"60103194319"</x:f>
        <x:v>60103194319</x:v>
      </x:c>
      <x:c r="H386" s="21" t="str">
        <x:v>Yes</x:v>
      </x:c>
      <x:c r="I386" s="21" t="str">
        <x:v>No</x:v>
      </x:c>
      <x:c r="J386" s="21" t="str">
        <x:v>No</x:v>
      </x:c>
      <x:c r="K386" s="21" t="str">
        <x:v>Included</x:v>
      </x:c>
      <x:c r="L386" s="21" t="str">
        <x:v>Peserta</x:v>
      </x:c>
    </x:row>
    <x:row r="387">
      <x:c r="A387" s="21" t="str">
        <x:v>whatsapp_group_numbers td32.csv</x:v>
      </x:c>
      <x:c r="B387" s="21" t="str">
        <x:v>td32</x:v>
      </x:c>
      <x:c r="C387" s="21" t="n">
        <x:v>4</x:v>
      </x:c>
      <x:c r="D387" s="46" t="str">
        <x:f>"+60133406549"</x:f>
        <x:v>+60133406549</x:v>
      </x:c>
      <x:c r="E387" s="21" t="str">
        <x:v>NORA RICHEST</x:v>
      </x:c>
      <x:c r="F387" s="21" t="str">
        <x:v>Member</x:v>
      </x:c>
      <x:c r="G387" s="46" t="str">
        <x:f>"60133406549"</x:f>
        <x:v>60133406549</x:v>
      </x:c>
      <x:c r="H387" s="21" t="str">
        <x:v>Yes</x:v>
      </x:c>
      <x:c r="I387" s="21" t="str">
        <x:v>No</x:v>
      </x:c>
      <x:c r="J387" s="21" t="str">
        <x:v>No</x:v>
      </x:c>
      <x:c r="K387" s="21" t="str">
        <x:v>Included</x:v>
      </x:c>
      <x:c r="L387" s="21" t="str">
        <x:v>Peserta</x:v>
      </x:c>
    </x:row>
    <x:row r="388">
      <x:c r="A388" s="21" t="str">
        <x:v>whatsapp_group_numbers td32.csv</x:v>
      </x:c>
      <x:c r="B388" s="21" t="str">
        <x:v>td32</x:v>
      </x:c>
      <x:c r="C388" s="21" t="n">
        <x:v>5</x:v>
      </x:c>
      <x:c r="D388" s="46" t="str">
        <x:f>"+60162232477"</x:f>
        <x:v>+60162232477</x:v>
      </x:c>
      <x:c r="E388" s="21" t="str">
        <x:v>Rain</x:v>
      </x:c>
      <x:c r="F388" s="21" t="str">
        <x:v>Member</x:v>
      </x:c>
      <x:c r="G388" s="46" t="str">
        <x:f>"60162232477"</x:f>
        <x:v>60162232477</x:v>
      </x:c>
      <x:c r="H388" s="21" t="str">
        <x:v>Yes</x:v>
      </x:c>
      <x:c r="I388" s="21" t="str">
        <x:v>No</x:v>
      </x:c>
      <x:c r="J388" s="21" t="str">
        <x:v>No</x:v>
      </x:c>
      <x:c r="K388" s="21" t="str">
        <x:v>Included</x:v>
      </x:c>
      <x:c r="L388" s="21" t="str">
        <x:v>Peserta</x:v>
      </x:c>
    </x:row>
    <x:row r="389">
      <x:c r="A389" s="21" t="str">
        <x:v>whatsapp_group_numbers td32.csv</x:v>
      </x:c>
      <x:c r="B389" s="21" t="str">
        <x:v>td32</x:v>
      </x:c>
      <x:c r="C389" s="21" t="n">
        <x:v>6</x:v>
      </x:c>
      <x:c r="D389" s="46" t="str">
        <x:f>"+60133023316"</x:f>
        <x:v>+60133023316</x:v>
      </x:c>
      <x:c r="E389" s="21" t="str">
        <x:v>Syihabudin Ahmad</x:v>
      </x:c>
      <x:c r="F389" s="21" t="str">
        <x:v>Member</x:v>
      </x:c>
      <x:c r="G389" s="46" t="str">
        <x:f>"60133023316"</x:f>
        <x:v>60133023316</x:v>
      </x:c>
      <x:c r="H389" s="21" t="str">
        <x:v>Yes</x:v>
      </x:c>
      <x:c r="I389" s="21" t="str">
        <x:v>No</x:v>
      </x:c>
      <x:c r="J389" s="21" t="str">
        <x:v>No</x:v>
      </x:c>
      <x:c r="K389" s="21" t="str">
        <x:v>Included</x:v>
      </x:c>
      <x:c r="L389" s="21" t="str">
        <x:v>Peserta</x:v>
      </x:c>
    </x:row>
    <x:row r="390">
      <x:c r="A390" s="21" t="str">
        <x:v>whatsapp_group_numbers td32.csv</x:v>
      </x:c>
      <x:c r="B390" s="21" t="str">
        <x:v>td32</x:v>
      </x:c>
      <x:c r="C390" s="21" t="n">
        <x:v>7</x:v>
      </x:c>
      <x:c r="D390" s="46" t="str">
        <x:f>"+60143219146"</x:f>
        <x:v>+60143219146</x:v>
      </x:c>
      <x:c r="E390" s="21" t="str">
        <x:v>Taqyuddin Al Jundiy</x:v>
      </x:c>
      <x:c r="F390" s="21" t="str">
        <x:v>Member</x:v>
      </x:c>
      <x:c r="G390" s="46" t="str">
        <x:f>"60143219146"</x:f>
        <x:v>60143219146</x:v>
      </x:c>
      <x:c r="H390" s="21" t="str">
        <x:v>Yes</x:v>
      </x:c>
      <x:c r="I390" s="21" t="str">
        <x:v>No</x:v>
      </x:c>
      <x:c r="J390" s="21" t="str">
        <x:v>No</x:v>
      </x:c>
      <x:c r="K390" s="21" t="str">
        <x:v>Included</x:v>
      </x:c>
      <x:c r="L390" s="21" t="str">
        <x:v>Peserta</x:v>
      </x:c>
    </x:row>
    <x:row r="391">
      <x:c r="A391" s="21" t="str">
        <x:v>whatsapp_group_numbers td32.csv</x:v>
      </x:c>
      <x:c r="B391" s="21" t="str">
        <x:v>td32</x:v>
      </x:c>
      <x:c r="C391" s="21" t="n">
        <x:v>8</x:v>
      </x:c>
      <x:c r="D391" s="46" t="str">
        <x:f>"+60145086017"</x:f>
        <x:v>+60145086017</x:v>
      </x:c>
      <x:c r="E391" s="21" t="str">
        <x:v>zms consultant and services</x:v>
      </x:c>
      <x:c r="F391" s="21" t="str">
        <x:v>Member</x:v>
      </x:c>
      <x:c r="G391" s="46" t="str">
        <x:f>"60145086017"</x:f>
        <x:v>60145086017</x:v>
      </x:c>
      <x:c r="H391" s="21" t="str">
        <x:v>Yes</x:v>
      </x:c>
      <x:c r="I391" s="21" t="str">
        <x:v>No</x:v>
      </x:c>
      <x:c r="J391" s="21" t="str">
        <x:v>No</x:v>
      </x:c>
      <x:c r="K391" s="21" t="str">
        <x:v>Excluded</x:v>
      </x:c>
      <x:c r="L391" s="21" t="str">
        <x:v>Senarai pengecualian manual pengguna</x:v>
      </x:c>
    </x:row>
    <x:row r="392">
      <x:c r="A392" s="21" t="str">
        <x:v>whatsapp_group_numbers td32.csv</x:v>
      </x:c>
      <x:c r="B392" s="21" t="str">
        <x:v>td32</x:v>
      </x:c>
      <x:c r="C392" s="21" t="n">
        <x:v>9</x:v>
      </x:c>
      <x:c r="D392" s="46" t="str">
        <x:f>"+60194893324"</x:f>
        <x:v>+60194893324</x:v>
      </x:c>
      <x:c r="E392" s="21" t="str">
        <x:v>+60194893324</x:v>
      </x:c>
      <x:c r="F392" s="21" t="str">
        <x:v>Member</x:v>
      </x:c>
      <x:c r="G392" s="46" t="str">
        <x:f>"60194893324"</x:f>
        <x:v>60194893324</x:v>
      </x:c>
      <x:c r="H392" s="21" t="str">
        <x:v>Yes</x:v>
      </x:c>
      <x:c r="I392" s="21" t="str">
        <x:v>No</x:v>
      </x:c>
      <x:c r="J392" s="21" t="str">
        <x:v>No</x:v>
      </x:c>
      <x:c r="K392" s="21" t="str">
        <x:v>Included</x:v>
      </x:c>
      <x:c r="L392" s="21" t="str">
        <x:v>Peserta</x:v>
      </x:c>
    </x:row>
    <x:row r="393">
      <x:c r="A393" s="21" t="str">
        <x:v>whatsapp_group_numbers td32.csv</x:v>
      </x:c>
      <x:c r="B393" s="21" t="str">
        <x:v>td32</x:v>
      </x:c>
      <x:c r="C393" s="21" t="n">
        <x:v>10</x:v>
      </x:c>
      <x:c r="D393" s="46" t="str">
        <x:f>"+60193449232"</x:f>
        <x:v>+60193449232</x:v>
      </x:c>
      <x:c r="E393" s="21" t="str">
        <x:v>+60193449232</x:v>
      </x:c>
      <x:c r="F393" s="21" t="str">
        <x:v>Member</x:v>
      </x:c>
      <x:c r="G393" s="46" t="str">
        <x:f>"60193449232"</x:f>
        <x:v>60193449232</x:v>
      </x:c>
      <x:c r="H393" s="21" t="str">
        <x:v>Yes</x:v>
      </x:c>
      <x:c r="I393" s="21" t="str">
        <x:v>No</x:v>
      </x:c>
      <x:c r="J393" s="21" t="str">
        <x:v>No</x:v>
      </x:c>
      <x:c r="K393" s="21" t="str">
        <x:v>Included</x:v>
      </x:c>
      <x:c r="L393" s="21" t="str">
        <x:v>Peserta</x:v>
      </x:c>
    </x:row>
    <x:row r="394">
      <x:c r="A394" s="21" t="str">
        <x:v>whatsapp_group_numbers td32.csv</x:v>
      </x:c>
      <x:c r="B394" s="21" t="str">
        <x:v>td32</x:v>
      </x:c>
      <x:c r="C394" s="21" t="n">
        <x:v>11</x:v>
      </x:c>
      <x:c r="D394" s="46" t="str">
        <x:f>"+60142688704"</x:f>
        <x:v>+60142688704</x:v>
      </x:c>
      <x:c r="E394" s="21" t="str">
        <x:v>+60142688704</x:v>
      </x:c>
      <x:c r="F394" s="21" t="str">
        <x:v>Member</x:v>
      </x:c>
      <x:c r="G394" s="46" t="str">
        <x:f>"60142688704"</x:f>
        <x:v>60142688704</x:v>
      </x:c>
      <x:c r="H394" s="21" t="str">
        <x:v>Yes</x:v>
      </x:c>
      <x:c r="I394" s="21" t="str">
        <x:v>No</x:v>
      </x:c>
      <x:c r="J394" s="21" t="str">
        <x:v>No</x:v>
      </x:c>
      <x:c r="K394" s="21" t="str">
        <x:v>Included</x:v>
      </x:c>
      <x:c r="L394" s="21" t="str">
        <x:v>Peserta</x:v>
      </x:c>
    </x:row>
    <x:row r="395">
      <x:c r="A395" s="21" t="str">
        <x:v>whatsapp_group_numbers td32.csv</x:v>
      </x:c>
      <x:c r="B395" s="21" t="str">
        <x:v>td32</x:v>
      </x:c>
      <x:c r="C395" s="21" t="n">
        <x:v>12</x:v>
      </x:c>
      <x:c r="D395" s="46" t="str">
        <x:f>"+60197724259"</x:f>
        <x:v>+60197724259</x:v>
      </x:c>
      <x:c r="E395" s="21" t="str">
        <x:v>+60197724259</x:v>
      </x:c>
      <x:c r="F395" s="21" t="str">
        <x:v>Member</x:v>
      </x:c>
      <x:c r="G395" s="46" t="str">
        <x:f>"60197724259"</x:f>
        <x:v>60197724259</x:v>
      </x:c>
      <x:c r="H395" s="21" t="str">
        <x:v>Yes</x:v>
      </x:c>
      <x:c r="I395" s="21" t="str">
        <x:v>No</x:v>
      </x:c>
      <x:c r="J395" s="21" t="str">
        <x:v>No</x:v>
      </x:c>
      <x:c r="K395" s="21" t="str">
        <x:v>Included</x:v>
      </x:c>
      <x:c r="L395" s="21" t="str">
        <x:v>Peserta</x:v>
      </x:c>
    </x:row>
    <x:row r="396">
      <x:c r="A396" s="21" t="str">
        <x:v>whatsapp_group_numbers td32.csv</x:v>
      </x:c>
      <x:c r="B396" s="21" t="str">
        <x:v>td32</x:v>
      </x:c>
      <x:c r="C396" s="21" t="n">
        <x:v>13</x:v>
      </x:c>
      <x:c r="D396" s="46" t="str">
        <x:f>"+60186654805"</x:f>
        <x:v>+60186654805</x:v>
      </x:c>
      <x:c r="E396" s="21" t="str">
        <x:v>+60186654805</x:v>
      </x:c>
      <x:c r="F396" s="21" t="str">
        <x:v>Member</x:v>
      </x:c>
      <x:c r="G396" s="46" t="str">
        <x:f>"60186654805"</x:f>
        <x:v>60186654805</x:v>
      </x:c>
      <x:c r="H396" s="21" t="str">
        <x:v>Yes</x:v>
      </x:c>
      <x:c r="I396" s="21" t="str">
        <x:v>No</x:v>
      </x:c>
      <x:c r="J396" s="21" t="str">
        <x:v>No</x:v>
      </x:c>
      <x:c r="K396" s="21" t="str">
        <x:v>Included</x:v>
      </x:c>
      <x:c r="L396" s="21" t="str">
        <x:v>Peserta</x:v>
      </x:c>
    </x:row>
    <x:row r="397">
      <x:c r="A397" s="21" t="str">
        <x:v>whatsapp_group_numbers td32.csv</x:v>
      </x:c>
      <x:c r="B397" s="21" t="str">
        <x:v>td32</x:v>
      </x:c>
      <x:c r="C397" s="21" t="n">
        <x:v>14</x:v>
      </x:c>
      <x:c r="D397" s="46" t="str">
        <x:f>"+60149016760"</x:f>
        <x:v>+60149016760</x:v>
      </x:c>
      <x:c r="E397" s="21" t="str">
        <x:v>+60149016760</x:v>
      </x:c>
      <x:c r="F397" s="21" t="str">
        <x:v>Member</x:v>
      </x:c>
      <x:c r="G397" s="46" t="str">
        <x:f>"60149016760"</x:f>
        <x:v>60149016760</x:v>
      </x:c>
      <x:c r="H397" s="21" t="str">
        <x:v>Yes</x:v>
      </x:c>
      <x:c r="I397" s="21" t="str">
        <x:v>No</x:v>
      </x:c>
      <x:c r="J397" s="21" t="str">
        <x:v>No</x:v>
      </x:c>
      <x:c r="K397" s="21" t="str">
        <x:v>Included</x:v>
      </x:c>
      <x:c r="L397" s="21" t="str">
        <x:v>Peserta</x:v>
      </x:c>
    </x:row>
    <x:row r="398">
      <x:c r="A398" s="21" t="str">
        <x:v>whatsapp_group_numbers td32.csv</x:v>
      </x:c>
      <x:c r="B398" s="21" t="str">
        <x:v>td32</x:v>
      </x:c>
      <x:c r="C398" s="21" t="n">
        <x:v>15</x:v>
      </x:c>
      <x:c r="D398" s="46" t="str">
        <x:f>"+60174819262"</x:f>
        <x:v>+60174819262</x:v>
      </x:c>
      <x:c r="E398" s="21" t="str">
        <x:v>+60174819262</x:v>
      </x:c>
      <x:c r="F398" s="21" t="str">
        <x:v>Member</x:v>
      </x:c>
      <x:c r="G398" s="46" t="str">
        <x:f>"60174819262"</x:f>
        <x:v>60174819262</x:v>
      </x:c>
      <x:c r="H398" s="21" t="str">
        <x:v>Yes</x:v>
      </x:c>
      <x:c r="I398" s="21" t="str">
        <x:v>No</x:v>
      </x:c>
      <x:c r="J398" s="21" t="str">
        <x:v>No</x:v>
      </x:c>
      <x:c r="K398" s="21" t="str">
        <x:v>Included</x:v>
      </x:c>
      <x:c r="L398" s="21" t="str">
        <x:v>Peserta</x:v>
      </x:c>
    </x:row>
    <x:row r="399">
      <x:c r="A399" s="21" t="str">
        <x:v>whatsapp_group_numbers td32.csv</x:v>
      </x:c>
      <x:c r="B399" s="21" t="str">
        <x:v>td32</x:v>
      </x:c>
      <x:c r="C399" s="21" t="n">
        <x:v>16</x:v>
      </x:c>
      <x:c r="D399" s="46" t="str">
        <x:f>"+60133112079"</x:f>
        <x:v>+60133112079</x:v>
      </x:c>
      <x:c r="E399" s="21" t="str">
        <x:v>+60133112079</x:v>
      </x:c>
      <x:c r="F399" s="21" t="str">
        <x:v>Member</x:v>
      </x:c>
      <x:c r="G399" s="46" t="str">
        <x:f>"60133112079"</x:f>
        <x:v>60133112079</x:v>
      </x:c>
      <x:c r="H399" s="21" t="str">
        <x:v>Yes</x:v>
      </x:c>
      <x:c r="I399" s="21" t="str">
        <x:v>No</x:v>
      </x:c>
      <x:c r="J399" s="21" t="str">
        <x:v>No</x:v>
      </x:c>
      <x:c r="K399" s="21" t="str">
        <x:v>Included</x:v>
      </x:c>
      <x:c r="L399" s="21" t="str">
        <x:v>Peserta</x:v>
      </x:c>
    </x:row>
    <x:row r="400">
      <x:c r="A400" s="21" t="str">
        <x:v>whatsapp_group_numbers td32.csv</x:v>
      </x:c>
      <x:c r="B400" s="21" t="str">
        <x:v>td32</x:v>
      </x:c>
      <x:c r="C400" s="21" t="n">
        <x:v>17</x:v>
      </x:c>
      <x:c r="D400" s="46" t="str">
        <x:f>"+60122041655"</x:f>
        <x:v>+60122041655</x:v>
      </x:c>
      <x:c r="E400" s="21" t="str">
        <x:v>+60122041655</x:v>
      </x:c>
      <x:c r="F400" s="21" t="str">
        <x:v>Member</x:v>
      </x:c>
      <x:c r="G400" s="46" t="str">
        <x:f>"60122041655"</x:f>
        <x:v>60122041655</x:v>
      </x:c>
      <x:c r="H400" s="21" t="str">
        <x:v>Yes</x:v>
      </x:c>
      <x:c r="I400" s="21" t="str">
        <x:v>No</x:v>
      </x:c>
      <x:c r="J400" s="21" t="str">
        <x:v>No</x:v>
      </x:c>
      <x:c r="K400" s="21" t="str">
        <x:v>Included</x:v>
      </x:c>
      <x:c r="L400" s="21" t="str">
        <x:v>Peserta</x:v>
      </x:c>
    </x:row>
    <x:row r="401">
      <x:c r="A401" s="21" t="str">
        <x:v>whatsapp_group_numbers td32.csv</x:v>
      </x:c>
      <x:c r="B401" s="21" t="str">
        <x:v>td32</x:v>
      </x:c>
      <x:c r="C401" s="21" t="n">
        <x:v>18</x:v>
      </x:c>
      <x:c r="D401" s="46" t="str">
        <x:f>"+60125200026"</x:f>
        <x:v>+60125200026</x:v>
      </x:c>
      <x:c r="E401" s="21" t="str">
        <x:v>+60125200026</x:v>
      </x:c>
      <x:c r="F401" s="21" t="str">
        <x:v>Member</x:v>
      </x:c>
      <x:c r="G401" s="46" t="str">
        <x:f>"60125200026"</x:f>
        <x:v>60125200026</x:v>
      </x:c>
      <x:c r="H401" s="21" t="str">
        <x:v>Yes</x:v>
      </x:c>
      <x:c r="I401" s="21" t="str">
        <x:v>No</x:v>
      </x:c>
      <x:c r="J401" s="21" t="str">
        <x:v>No</x:v>
      </x:c>
      <x:c r="K401" s="21" t="str">
        <x:v>Included</x:v>
      </x:c>
      <x:c r="L401" s="21" t="str">
        <x:v>Peserta</x:v>
      </x:c>
    </x:row>
    <x:row r="402">
      <x:c r="A402" s="21" t="str">
        <x:v>whatsapp_group_numbers TD35 Eposter.csv</x:v>
      </x:c>
      <x:c r="B402" s="21" t="str">
        <x:v>TD35 Eposter</x:v>
      </x:c>
      <x:c r="C402" s="21" t="n">
        <x:v>1</x:v>
      </x:c>
      <x:c r="D402" s="46" t="str">
        <x:f>"+60142576155"</x:f>
        <x:v>+60142576155</x:v>
      </x:c>
      <x:c r="E402" s="21" t="str">
        <x:v>Akmal Pegawai Insken</x:v>
      </x:c>
      <x:c r="F402" s="21" t="str">
        <x:v>Member</x:v>
      </x:c>
      <x:c r="G402" s="46" t="str">
        <x:f>"60142576155"</x:f>
        <x:v>60142576155</x:v>
      </x:c>
      <x:c r="H402" s="21" t="str">
        <x:v>Yes</x:v>
      </x:c>
      <x:c r="I402" s="21" t="str">
        <x:v>No</x:v>
      </x:c>
      <x:c r="J402" s="21" t="str">
        <x:v>Yes</x:v>
      </x:c>
      <x:c r="K402" s="21" t="str">
        <x:v>Excluded</x:v>
      </x:c>
      <x:c r="L402" s="21" t="str">
        <x:v>Nama/nombor dikenal pasti sebagai INSKEN</x:v>
      </x:c>
    </x:row>
    <x:row r="403">
      <x:c r="A403" s="21" t="str">
        <x:v>whatsapp_group_numbers TD35 Eposter.csv</x:v>
      </x:c>
      <x:c r="B403" s="21" t="str">
        <x:v>TD35 Eposter</x:v>
      </x:c>
      <x:c r="C403" s="21" t="n">
        <x:v>2</x:v>
      </x:c>
      <x:c r="D403" s="46" t="str">
        <x:f>"+60193595900"</x:f>
        <x:v>+60193595900</x:v>
      </x:c>
      <x:c r="E403" s="21" t="str">
        <x:v>Insken - Pn Nora</x:v>
      </x:c>
      <x:c r="F403" s="21" t="str">
        <x:v>Member</x:v>
      </x:c>
      <x:c r="G403" s="46" t="str">
        <x:f>"60193595900"</x:f>
        <x:v>60193595900</x:v>
      </x:c>
      <x:c r="H403" s="21" t="str">
        <x:v>Yes</x:v>
      </x:c>
      <x:c r="I403" s="21" t="str">
        <x:v>No</x:v>
      </x:c>
      <x:c r="J403" s="21" t="str">
        <x:v>Yes</x:v>
      </x:c>
      <x:c r="K403" s="21" t="str">
        <x:v>Excluded</x:v>
      </x:c>
      <x:c r="L403" s="21" t="str">
        <x:v>Nama/nombor dikenal pasti sebagai INSKEN</x:v>
      </x:c>
    </x:row>
    <x:row r="404">
      <x:c r="A404" s="21" t="str">
        <x:v>whatsapp_group_numbers TD35 Eposter.csv</x:v>
      </x:c>
      <x:c r="B404" s="21" t="str">
        <x:v>TD35 Eposter</x:v>
      </x:c>
      <x:c r="C404" s="21" t="n">
        <x:v>3</x:v>
      </x:c>
      <x:c r="D404" s="46" t="str">
        <x:f>"+60143251107"</x:f>
        <x:v>+60143251107</x:v>
      </x:c>
      <x:c r="E404" s="21" t="str">
        <x:v>Natasha Hazlin INSKEN</x:v>
      </x:c>
      <x:c r="F404" s="21" t="str">
        <x:v>Member</x:v>
      </x:c>
      <x:c r="G404" s="46" t="str">
        <x:f>"60143251107"</x:f>
        <x:v>60143251107</x:v>
      </x:c>
      <x:c r="H404" s="21" t="str">
        <x:v>Yes</x:v>
      </x:c>
      <x:c r="I404" s="21" t="str">
        <x:v>No</x:v>
      </x:c>
      <x:c r="J404" s="21" t="str">
        <x:v>Yes</x:v>
      </x:c>
      <x:c r="K404" s="21" t="str">
        <x:v>Excluded</x:v>
      </x:c>
      <x:c r="L404" s="21" t="str">
        <x:v>Nama/nombor dikenal pasti sebagai INSKEN</x:v>
      </x:c>
    </x:row>
    <x:row r="405">
      <x:c r="A405" s="21" t="str">
        <x:v>whatsapp_group_numbers TD35 Eposter.csv</x:v>
      </x:c>
      <x:c r="B405" s="21" t="str">
        <x:v>TD35 Eposter</x:v>
      </x:c>
      <x:c r="C405" s="21" t="n">
        <x:v>4</x:v>
      </x:c>
      <x:c r="D405" s="46" t="str">
        <x:f>"+60177670627"</x:f>
        <x:v>+60177670627</x:v>
      </x:c>
      <x:c r="E405" s="21" t="str">
        <x:v>Nur Aqeela INSKEN</x:v>
      </x:c>
      <x:c r="F405" s="21" t="str">
        <x:v>Member</x:v>
      </x:c>
      <x:c r="G405" s="46" t="str">
        <x:f>"60177670627"</x:f>
        <x:v>60177670627</x:v>
      </x:c>
      <x:c r="H405" s="21" t="str">
        <x:v>Yes</x:v>
      </x:c>
      <x:c r="I405" s="21" t="str">
        <x:v>No</x:v>
      </x:c>
      <x:c r="J405" s="21" t="str">
        <x:v>Yes</x:v>
      </x:c>
      <x:c r="K405" s="21" t="str">
        <x:v>Excluded</x:v>
      </x:c>
      <x:c r="L405" s="21" t="str">
        <x:v>Nama/nombor dikenal pasti sebagai INSKEN</x:v>
      </x:c>
    </x:row>
    <x:row r="406">
      <x:c r="A406" s="21" t="str">
        <x:v>whatsapp_group_numbers TD35 Eposter.csv</x:v>
      </x:c>
      <x:c r="B406" s="21" t="str">
        <x:v>TD35 Eposter</x:v>
      </x:c>
      <x:c r="C406" s="21" t="n">
        <x:v>5</x:v>
      </x:c>
      <x:c r="D406" s="46" t="str">
        <x:f>"+60175545144"</x:f>
        <x:v>+60175545144</x:v>
      </x:c>
      <x:c r="E406" s="21" t="str">
        <x:v>Pn Aishah INSKEN</x:v>
      </x:c>
      <x:c r="F406" s="21" t="str">
        <x:v>Member</x:v>
      </x:c>
      <x:c r="G406" s="46" t="str">
        <x:f>"60175545144"</x:f>
        <x:v>60175545144</x:v>
      </x:c>
      <x:c r="H406" s="21" t="str">
        <x:v>Yes</x:v>
      </x:c>
      <x:c r="I406" s="21" t="str">
        <x:v>No</x:v>
      </x:c>
      <x:c r="J406" s="21" t="str">
        <x:v>Yes</x:v>
      </x:c>
      <x:c r="K406" s="21" t="str">
        <x:v>Excluded</x:v>
      </x:c>
      <x:c r="L406" s="21" t="str">
        <x:v>Nama/nombor dikenal pasti sebagai INSKEN</x:v>
      </x:c>
    </x:row>
    <x:row r="407">
      <x:c r="A407" s="21" t="str">
        <x:v>whatsapp_group_numbers TD35 Eposter.csv</x:v>
      </x:c>
      <x:c r="B407" s="21" t="str">
        <x:v>TD35 Eposter</x:v>
      </x:c>
      <x:c r="C407" s="21" t="n">
        <x:v>6</x:v>
      </x:c>
      <x:c r="D407" s="46" t="str">
        <x:f>"+60174102530"</x:f>
        <x:v>+60174102530</x:v>
      </x:c>
      <x:c r="E407" s="21" t="str">
        <x:v>shaeza INSKEN</x:v>
      </x:c>
      <x:c r="F407" s="21" t="str">
        <x:v>Member</x:v>
      </x:c>
      <x:c r="G407" s="46" t="str">
        <x:f>"60174102530"</x:f>
        <x:v>60174102530</x:v>
      </x:c>
      <x:c r="H407" s="21" t="str">
        <x:v>Yes</x:v>
      </x:c>
      <x:c r="I407" s="21" t="str">
        <x:v>No</x:v>
      </x:c>
      <x:c r="J407" s="21" t="str">
        <x:v>Yes</x:v>
      </x:c>
      <x:c r="K407" s="21" t="str">
        <x:v>Excluded</x:v>
      </x:c>
      <x:c r="L407" s="21" t="str">
        <x:v>Nama/nombor dikenal pasti sebagai INSKEN</x:v>
      </x:c>
    </x:row>
    <x:row r="408">
      <x:c r="A408" s="21" t="str">
        <x:v>whatsapp_group_numbers TD35 Eposter.csv</x:v>
      </x:c>
      <x:c r="B408" s="21" t="str">
        <x:v>TD35 Eposter</x:v>
      </x:c>
      <x:c r="C408" s="21" t="n">
        <x:v>7</x:v>
      </x:c>
      <x:c r="D408" s="46" t="str">
        <x:f>"+60123081906"</x:f>
        <x:v>+60123081906</x:v>
      </x:c>
      <x:c r="E408" s="21" t="str">
        <x:v>Sufiyan Insken</x:v>
      </x:c>
      <x:c r="F408" s="21" t="str">
        <x:v>Member</x:v>
      </x:c>
      <x:c r="G408" s="46" t="str">
        <x:f>"60123081906"</x:f>
        <x:v>60123081906</x:v>
      </x:c>
      <x:c r="H408" s="21" t="str">
        <x:v>Yes</x:v>
      </x:c>
      <x:c r="I408" s="21" t="str">
        <x:v>No</x:v>
      </x:c>
      <x:c r="J408" s="21" t="str">
        <x:v>Yes</x:v>
      </x:c>
      <x:c r="K408" s="21" t="str">
        <x:v>Excluded</x:v>
      </x:c>
      <x:c r="L408" s="21" t="str">
        <x:v>Nama/nombor dikenal pasti sebagai INSKEN</x:v>
      </x:c>
    </x:row>
    <x:row r="409">
      <x:c r="A409" s="21" t="str">
        <x:v>whatsapp_group_numbers TD35 Eposter.csv</x:v>
      </x:c>
      <x:c r="B409" s="21" t="str">
        <x:v>TD35 Eposter</x:v>
      </x:c>
      <x:c r="C409" s="21" t="n">
        <x:v>8</x:v>
      </x:c>
      <x:c r="D409" s="46" t="str">
        <x:f>"+60199635036"</x:f>
        <x:v>+60199635036</x:v>
      </x:c>
      <x:c r="E409" s="21" t="str">
        <x:v>Tuan Faris INSKEN</x:v>
      </x:c>
      <x:c r="F409" s="21" t="str">
        <x:v>Member</x:v>
      </x:c>
      <x:c r="G409" s="46" t="str">
        <x:f>"60199635036"</x:f>
        <x:v>60199635036</x:v>
      </x:c>
      <x:c r="H409" s="21" t="str">
        <x:v>Yes</x:v>
      </x:c>
      <x:c r="I409" s="21" t="str">
        <x:v>No</x:v>
      </x:c>
      <x:c r="J409" s="21" t="str">
        <x:v>Yes</x:v>
      </x:c>
      <x:c r="K409" s="21" t="str">
        <x:v>Excluded</x:v>
      </x:c>
      <x:c r="L409" s="21" t="str">
        <x:v>Nama/nombor dikenal pasti sebagai INSKEN</x:v>
      </x:c>
    </x:row>
    <x:row r="410">
      <x:c r="A410" s="21" t="str">
        <x:v>whatsapp_group_numbers TD35 Eposter.csv</x:v>
      </x:c>
      <x:c r="B410" s="21" t="str">
        <x:v>TD35 Eposter</x:v>
      </x:c>
      <x:c r="C410" s="21" t="n">
        <x:v>9</x:v>
      </x:c>
      <x:c r="D410" s="46" t="str">
        <x:f>"+60192327212"</x:f>
        <x:v>+60192327212</x:v>
      </x:c>
      <x:c r="E410" s="21" t="str">
        <x:v>Azfarhan</x:v>
      </x:c>
      <x:c r="F410" s="21" t="str">
        <x:v>Member</x:v>
      </x:c>
      <x:c r="G410" s="46" t="str">
        <x:f>"60192327212"</x:f>
        <x:v>60192327212</x:v>
      </x:c>
      <x:c r="H410" s="21" t="str">
        <x:v>Yes</x:v>
      </x:c>
      <x:c r="I410" s="21" t="str">
        <x:v>No</x:v>
      </x:c>
      <x:c r="J410" s="21" t="str">
        <x:v>No</x:v>
      </x:c>
      <x:c r="K410" s="21" t="str">
        <x:v>Included</x:v>
      </x:c>
      <x:c r="L410" s="21" t="str">
        <x:v>Peserta</x:v>
      </x:c>
    </x:row>
    <x:row r="411">
      <x:c r="A411" s="21" t="str">
        <x:v>whatsapp_group_numbers TD35 Eposter.csv</x:v>
      </x:c>
      <x:c r="B411" s="21" t="str">
        <x:v>TD35 Eposter</x:v>
      </x:c>
      <x:c r="C411" s="21" t="n">
        <x:v>10</x:v>
      </x:c>
      <x:c r="D411" s="46" t="str">
        <x:f>"+60162061321"</x:f>
        <x:v>+60162061321</x:v>
      </x:c>
      <x:c r="E411" s="21" t="str">
        <x:v>azie3210</x:v>
      </x:c>
      <x:c r="F411" s="21" t="str">
        <x:v>Member</x:v>
      </x:c>
      <x:c r="G411" s="46" t="str">
        <x:f>"60162061321"</x:f>
        <x:v>60162061321</x:v>
      </x:c>
      <x:c r="H411" s="21" t="str">
        <x:v>Yes</x:v>
      </x:c>
      <x:c r="I411" s="21" t="str">
        <x:v>No</x:v>
      </x:c>
      <x:c r="J411" s="21" t="str">
        <x:v>No</x:v>
      </x:c>
      <x:c r="K411" s="21" t="str">
        <x:v>Included</x:v>
      </x:c>
      <x:c r="L411" s="21" t="str">
        <x:v>Peserta</x:v>
      </x:c>
    </x:row>
    <x:row r="412">
      <x:c r="A412" s="21" t="str">
        <x:v>whatsapp_group_numbers TD35 Eposter.csv</x:v>
      </x:c>
      <x:c r="B412" s="21" t="str">
        <x:v>TD35 Eposter</x:v>
      </x:c>
      <x:c r="C412" s="21" t="n">
        <x:v>11</x:v>
      </x:c>
      <x:c r="D412" s="46" t="str">
        <x:f>"+60134687429"</x:f>
        <x:v>+60134687429</x:v>
      </x:c>
      <x:c r="E412" s="21" t="str">
        <x:v>Haikal Zulkifli</x:v>
      </x:c>
      <x:c r="F412" s="21" t="str">
        <x:v>Member</x:v>
      </x:c>
      <x:c r="G412" s="46" t="str">
        <x:f>"60134687429"</x:f>
        <x:v>60134687429</x:v>
      </x:c>
      <x:c r="H412" s="21" t="str">
        <x:v>Yes</x:v>
      </x:c>
      <x:c r="I412" s="21" t="str">
        <x:v>No</x:v>
      </x:c>
      <x:c r="J412" s="21" t="str">
        <x:v>No</x:v>
      </x:c>
      <x:c r="K412" s="21" t="str">
        <x:v>Included</x:v>
      </x:c>
      <x:c r="L412" s="21" t="str">
        <x:v>Peserta</x:v>
      </x:c>
    </x:row>
    <x:row r="413">
      <x:c r="A413" s="21" t="str">
        <x:v>whatsapp_group_numbers TD35 Eposter.csv</x:v>
      </x:c>
      <x:c r="B413" s="21" t="str">
        <x:v>TD35 Eposter</x:v>
      </x:c>
      <x:c r="C413" s="21" t="n">
        <x:v>12</x:v>
      </x:c>
      <x:c r="D413" s="46" t="str">
        <x:f>"+60107833032"</x:f>
        <x:v>+60107833032</x:v>
      </x:c>
      <x:c r="E413" s="21" t="str">
        <x:v>Hasbullah Yunus</x:v>
      </x:c>
      <x:c r="F413" s="21" t="str">
        <x:v>Member</x:v>
      </x:c>
      <x:c r="G413" s="46" t="str">
        <x:f>"60107833032"</x:f>
        <x:v>60107833032</x:v>
      </x:c>
      <x:c r="H413" s="21" t="str">
        <x:v>Yes</x:v>
      </x:c>
      <x:c r="I413" s="21" t="str">
        <x:v>No</x:v>
      </x:c>
      <x:c r="J413" s="21" t="str">
        <x:v>No</x:v>
      </x:c>
      <x:c r="K413" s="21" t="str">
        <x:v>Included</x:v>
      </x:c>
      <x:c r="L413" s="21" t="str">
        <x:v>Peserta</x:v>
      </x:c>
    </x:row>
    <x:row r="414">
      <x:c r="A414" s="21" t="str">
        <x:v>whatsapp_group_numbers TD35 Eposter.csv</x:v>
      </x:c>
      <x:c r="B414" s="21" t="str">
        <x:v>TD35 Eposter</x:v>
      </x:c>
      <x:c r="C414" s="21" t="n">
        <x:v>13</x:v>
      </x:c>
      <x:c r="D414" s="46" t="str">
        <x:f>"+60126165227"</x:f>
        <x:v>+60126165227</x:v>
      </x:c>
      <x:c r="E414" s="21" t="str">
        <x:v>Maria Hastuti Bachtiar</x:v>
      </x:c>
      <x:c r="F414" s="21" t="str">
        <x:v>Member</x:v>
      </x:c>
      <x:c r="G414" s="46" t="str">
        <x:f>"60126165227"</x:f>
        <x:v>60126165227</x:v>
      </x:c>
      <x:c r="H414" s="21" t="str">
        <x:v>Yes</x:v>
      </x:c>
      <x:c r="I414" s="21" t="str">
        <x:v>No</x:v>
      </x:c>
      <x:c r="J414" s="21" t="str">
        <x:v>No</x:v>
      </x:c>
      <x:c r="K414" s="21" t="str">
        <x:v>Included</x:v>
      </x:c>
      <x:c r="L414" s="21" t="str">
        <x:v>Peserta</x:v>
      </x:c>
    </x:row>
    <x:row r="415">
      <x:c r="A415" s="21" t="str">
        <x:v>whatsapp_group_numbers TD35 Eposter.csv</x:v>
      </x:c>
      <x:c r="B415" s="21" t="str">
        <x:v>TD35 Eposter</x:v>
      </x:c>
      <x:c r="C415" s="21" t="n">
        <x:v>14</x:v>
      </x:c>
      <x:c r="D415" s="46" t="str">
        <x:f>"+60126543790"</x:f>
        <x:v>+60126543790</x:v>
      </x:c>
      <x:c r="E415" s="21" t="str">
        <x:v>marini</x:v>
      </x:c>
      <x:c r="F415" s="21" t="str">
        <x:v>Member</x:v>
      </x:c>
      <x:c r="G415" s="46" t="str">
        <x:f>"60126543790"</x:f>
        <x:v>60126543790</x:v>
      </x:c>
      <x:c r="H415" s="21" t="str">
        <x:v>Yes</x:v>
      </x:c>
      <x:c r="I415" s="21" t="str">
        <x:v>No</x:v>
      </x:c>
      <x:c r="J415" s="21" t="str">
        <x:v>No</x:v>
      </x:c>
      <x:c r="K415" s="21" t="str">
        <x:v>Included</x:v>
      </x:c>
      <x:c r="L415" s="21" t="str">
        <x:v>Peserta</x:v>
      </x:c>
    </x:row>
    <x:row r="416">
      <x:c r="A416" s="21" t="str">
        <x:v>whatsapp_group_numbers TD35 Eposter.csv</x:v>
      </x:c>
      <x:c r="B416" s="21" t="str">
        <x:v>TD35 Eposter</x:v>
      </x:c>
      <x:c r="C416" s="21" t="n">
        <x:v>15</x:v>
      </x:c>
      <x:c r="D416" s="46" t="str">
        <x:f>"+60173355733"</x:f>
        <x:v>+60173355733</x:v>
      </x:c>
      <x:c r="E416" s="21" t="str">
        <x:v>Mohd Basir Ahmad</x:v>
      </x:c>
      <x:c r="F416" s="21" t="str">
        <x:v>Member</x:v>
      </x:c>
      <x:c r="G416" s="46" t="str">
        <x:f>"60173355733"</x:f>
        <x:v>60173355733</x:v>
      </x:c>
      <x:c r="H416" s="21" t="str">
        <x:v>Yes</x:v>
      </x:c>
      <x:c r="I416" s="21" t="str">
        <x:v>No</x:v>
      </x:c>
      <x:c r="J416" s="21" t="str">
        <x:v>No</x:v>
      </x:c>
      <x:c r="K416" s="21" t="str">
        <x:v>Included</x:v>
      </x:c>
      <x:c r="L416" s="21" t="str">
        <x:v>Peserta</x:v>
      </x:c>
    </x:row>
    <x:row r="417">
      <x:c r="A417" s="21" t="str">
        <x:v>whatsapp_group_numbers TD35 Eposter.csv</x:v>
      </x:c>
      <x:c r="B417" s="21" t="str">
        <x:v>TD35 Eposter</x:v>
      </x:c>
      <x:c r="C417" s="21" t="n">
        <x:v>16</x:v>
      </x:c>
      <x:c r="D417" s="46" t="str">
        <x:f>"+60133246742"</x:f>
        <x:v>+60133246742</x:v>
      </x:c>
      <x:c r="E417" s="21" t="str">
        <x:v>MukminMajuTrading</x:v>
      </x:c>
      <x:c r="F417" s="21" t="str">
        <x:v>Member</x:v>
      </x:c>
      <x:c r="G417" s="46" t="str">
        <x:f>"60133246742"</x:f>
        <x:v>60133246742</x:v>
      </x:c>
      <x:c r="H417" s="21" t="str">
        <x:v>Yes</x:v>
      </x:c>
      <x:c r="I417" s="21" t="str">
        <x:v>No</x:v>
      </x:c>
      <x:c r="J417" s="21" t="str">
        <x:v>No</x:v>
      </x:c>
      <x:c r="K417" s="21" t="str">
        <x:v>Included</x:v>
      </x:c>
      <x:c r="L417" s="21" t="str">
        <x:v>Peserta</x:v>
      </x:c>
    </x:row>
    <x:row r="418">
      <x:c r="A418" s="21" t="str">
        <x:v>whatsapp_group_numbers TD35 Eposter.csv</x:v>
      </x:c>
      <x:c r="B418" s="21" t="str">
        <x:v>TD35 Eposter</x:v>
      </x:c>
      <x:c r="C418" s="21" t="n">
        <x:v>17</x:v>
      </x:c>
      <x:c r="D418" s="46" t="str">
        <x:f>"+60123282834"</x:f>
        <x:v>+60123282834</x:v>
      </x:c>
      <x:c r="E418" s="21" t="str">
        <x:v>Munirah Md Saleh</x:v>
      </x:c>
      <x:c r="F418" s="21" t="str">
        <x:v>Member</x:v>
      </x:c>
      <x:c r="G418" s="46" t="str">
        <x:f>"60123282834"</x:f>
        <x:v>60123282834</x:v>
      </x:c>
      <x:c r="H418" s="21" t="str">
        <x:v>Yes</x:v>
      </x:c>
      <x:c r="I418" s="21" t="str">
        <x:v>No</x:v>
      </x:c>
      <x:c r="J418" s="21" t="str">
        <x:v>No</x:v>
      </x:c>
      <x:c r="K418" s="21" t="str">
        <x:v>Included</x:v>
      </x:c>
      <x:c r="L418" s="21" t="str">
        <x:v>Peserta</x:v>
      </x:c>
    </x:row>
    <x:row r="419">
      <x:c r="A419" s="21" t="str">
        <x:v>whatsapp_group_numbers TD35 Eposter.csv</x:v>
      </x:c>
      <x:c r="B419" s="21" t="str">
        <x:v>TD35 Eposter</x:v>
      </x:c>
      <x:c r="C419" s="21" t="n">
        <x:v>18</x:v>
      </x:c>
      <x:c r="D419" s="46" t="str">
        <x:f>"+601116252721"</x:f>
        <x:v>+601116252721</x:v>
      </x:c>
      <x:c r="E419" s="21" t="str">
        <x:v>Nizamiyyah Publications</x:v>
      </x:c>
      <x:c r="F419" s="21" t="str">
        <x:v>Member</x:v>
      </x:c>
      <x:c r="G419" s="46" t="str">
        <x:f>"601116252721"</x:f>
        <x:v>601116252721</x:v>
      </x:c>
      <x:c r="H419" s="21" t="str">
        <x:v>Yes</x:v>
      </x:c>
      <x:c r="I419" s="21" t="str">
        <x:v>No</x:v>
      </x:c>
      <x:c r="J419" s="21" t="str">
        <x:v>No</x:v>
      </x:c>
      <x:c r="K419" s="21" t="str">
        <x:v>Included</x:v>
      </x:c>
      <x:c r="L419" s="21" t="str">
        <x:v>Peserta</x:v>
      </x:c>
    </x:row>
    <x:row r="420">
      <x:c r="A420" s="21" t="str">
        <x:v>whatsapp_group_numbers TD35 Eposter.csv</x:v>
      </x:c>
      <x:c r="B420" s="21" t="str">
        <x:v>TD35 Eposter</x:v>
      </x:c>
      <x:c r="C420" s="21" t="n">
        <x:v>19</x:v>
      </x:c>
      <x:c r="D420" s="46" t="str">
        <x:f>"+60127082500"</x:f>
        <x:v>+60127082500</x:v>
      </x:c>
      <x:c r="E420" s="21" t="str">
        <x:v>Nizamuddin AR</x:v>
      </x:c>
      <x:c r="F420" s="21" t="str">
        <x:v>Member</x:v>
      </x:c>
      <x:c r="G420" s="46" t="str">
        <x:f>"60127082500"</x:f>
        <x:v>60127082500</x:v>
      </x:c>
      <x:c r="H420" s="21" t="str">
        <x:v>Yes</x:v>
      </x:c>
      <x:c r="I420" s="21" t="str">
        <x:v>No</x:v>
      </x:c>
      <x:c r="J420" s="21" t="str">
        <x:v>No</x:v>
      </x:c>
      <x:c r="K420" s="21" t="str">
        <x:v>Included</x:v>
      </x:c>
      <x:c r="L420" s="21" t="str">
        <x:v>Peserta</x:v>
      </x:c>
    </x:row>
    <x:row r="421">
      <x:c r="A421" s="21" t="str">
        <x:v>whatsapp_group_numbers TD35 Eposter.csv</x:v>
      </x:c>
      <x:c r="B421" s="21" t="str">
        <x:v>TD35 Eposter</x:v>
      </x:c>
      <x:c r="C421" s="21" t="n">
        <x:v>20</x:v>
      </x:c>
      <x:c r="D421" s="46" t="str">
        <x:f>"+60196368200"</x:f>
        <x:v>+60196368200</x:v>
      </x:c>
      <x:c r="E421" s="21" t="str">
        <x:v>Rasyiqah Noh</x:v>
      </x:c>
      <x:c r="F421" s="21" t="str">
        <x:v>Member</x:v>
      </x:c>
      <x:c r="G421" s="46" t="str">
        <x:f>"60196368200"</x:f>
        <x:v>60196368200</x:v>
      </x:c>
      <x:c r="H421" s="21" t="str">
        <x:v>Yes</x:v>
      </x:c>
      <x:c r="I421" s="21" t="str">
        <x:v>No</x:v>
      </x:c>
      <x:c r="J421" s="21" t="str">
        <x:v>No</x:v>
      </x:c>
      <x:c r="K421" s="21" t="str">
        <x:v>Included</x:v>
      </x:c>
      <x:c r="L421" s="21" t="str">
        <x:v>Peserta</x:v>
      </x:c>
    </x:row>
    <x:row r="422">
      <x:c r="A422" s="21" t="str">
        <x:v>whatsapp_group_numbers TD35 Eposter.csv</x:v>
      </x:c>
      <x:c r="B422" s="21" t="str">
        <x:v>TD35 Eposter</x:v>
      </x:c>
      <x:c r="C422" s="21" t="n">
        <x:v>21</x:v>
      </x:c>
      <x:c r="D422" s="46" t="str">
        <x:f>"+60196998698"</x:f>
        <x:v>+60196998698</x:v>
      </x:c>
      <x:c r="E422" s="21" t="str">
        <x:v>saiful</x:v>
      </x:c>
      <x:c r="F422" s="21" t="str">
        <x:v>Member</x:v>
      </x:c>
      <x:c r="G422" s="46" t="str">
        <x:f>"60196998698"</x:f>
        <x:v>60196998698</x:v>
      </x:c>
      <x:c r="H422" s="21" t="str">
        <x:v>Yes</x:v>
      </x:c>
      <x:c r="I422" s="21" t="str">
        <x:v>No</x:v>
      </x:c>
      <x:c r="J422" s="21" t="str">
        <x:v>No</x:v>
      </x:c>
      <x:c r="K422" s="21" t="str">
        <x:v>Included</x:v>
      </x:c>
      <x:c r="L422" s="21" t="str">
        <x:v>Peserta</x:v>
      </x:c>
    </x:row>
    <x:row r="423">
      <x:c r="A423" s="21" t="str">
        <x:v>whatsapp_group_numbers TD35 Eposter.csv</x:v>
      </x:c>
      <x:c r="B423" s="21" t="str">
        <x:v>TD35 Eposter</x:v>
      </x:c>
      <x:c r="C423" s="21" t="n">
        <x:v>22</x:v>
      </x:c>
      <x:c r="D423" s="46" t="str">
        <x:f>"+60129378833"</x:f>
        <x:v>+60129378833</x:v>
      </x:c>
      <x:c r="E423" s="21" t="str">
        <x:v>Top Supplier Home Surveillance and Security</x:v>
      </x:c>
      <x:c r="F423" s="21" t="str">
        <x:v>Member</x:v>
      </x:c>
      <x:c r="G423" s="46" t="str">
        <x:f>"60129378833"</x:f>
        <x:v>60129378833</x:v>
      </x:c>
      <x:c r="H423" s="21" t="str">
        <x:v>Yes</x:v>
      </x:c>
      <x:c r="I423" s="21" t="str">
        <x:v>No</x:v>
      </x:c>
      <x:c r="J423" s="21" t="str">
        <x:v>No</x:v>
      </x:c>
      <x:c r="K423" s="21" t="str">
        <x:v>Included</x:v>
      </x:c>
      <x:c r="L423" s="21" t="str">
        <x:v>Peserta</x:v>
      </x:c>
    </x:row>
    <x:row r="424">
      <x:c r="A424" s="21" t="str">
        <x:v>whatsapp_group_numbers TD35 Eposter.csv</x:v>
      </x:c>
      <x:c r="B424" s="21" t="str">
        <x:v>TD35 Eposter</x:v>
      </x:c>
      <x:c r="C424" s="21" t="n">
        <x:v>23</x:v>
      </x:c>
      <x:c r="D424" s="46" t="str">
        <x:f>"+60172847909"</x:f>
        <x:v>+60172847909</x:v>
      </x:c>
      <x:c r="E424" s="21" t="str">
        <x:v>+60172847909</x:v>
      </x:c>
      <x:c r="F424" s="21" t="str">
        <x:v>Member</x:v>
      </x:c>
      <x:c r="G424" s="46" t="str">
        <x:f>"60172847909"</x:f>
        <x:v>60172847909</x:v>
      </x:c>
      <x:c r="H424" s="21" t="str">
        <x:v>Yes</x:v>
      </x:c>
      <x:c r="I424" s="21" t="str">
        <x:v>No</x:v>
      </x:c>
      <x:c r="J424" s="21" t="str">
        <x:v>No</x:v>
      </x:c>
      <x:c r="K424" s="21" t="str">
        <x:v>Included</x:v>
      </x:c>
      <x:c r="L424" s="21" t="str">
        <x:v>Peserta</x:v>
      </x:c>
    </x:row>
    <x:row r="425">
      <x:c r="A425" s="21" t="str">
        <x:v>whatsapp_group_numbers TD35 Eposter.csv</x:v>
      </x:c>
      <x:c r="B425" s="21" t="str">
        <x:v>TD35 Eposter</x:v>
      </x:c>
      <x:c r="C425" s="21" t="n">
        <x:v>24</x:v>
      </x:c>
      <x:c r="D425" s="46" t="str">
        <x:f>"+60168756088"</x:f>
        <x:v>+60168756088</x:v>
      </x:c>
      <x:c r="E425" s="21" t="str">
        <x:v>+60168756088</x:v>
      </x:c>
      <x:c r="F425" s="21" t="str">
        <x:v>Member</x:v>
      </x:c>
      <x:c r="G425" s="46" t="str">
        <x:f>"60168756088"</x:f>
        <x:v>60168756088</x:v>
      </x:c>
      <x:c r="H425" s="21" t="str">
        <x:v>Yes</x:v>
      </x:c>
      <x:c r="I425" s="21" t="str">
        <x:v>No</x:v>
      </x:c>
      <x:c r="J425" s="21" t="str">
        <x:v>No</x:v>
      </x:c>
      <x:c r="K425" s="21" t="str">
        <x:v>Included</x:v>
      </x:c>
      <x:c r="L425" s="21" t="str">
        <x:v>Peserta</x:v>
      </x:c>
    </x:row>
    <x:row r="426">
      <x:c r="A426" s="21" t="str">
        <x:v>whatsapp_group_numbers TD35 Eposter.csv</x:v>
      </x:c>
      <x:c r="B426" s="21" t="str">
        <x:v>TD35 Eposter</x:v>
      </x:c>
      <x:c r="C426" s="21" t="n">
        <x:v>25</x:v>
      </x:c>
      <x:c r="D426" s="46" t="str">
        <x:f>"+60139695279"</x:f>
        <x:v>+60139695279</x:v>
      </x:c>
      <x:c r="E426" s="21" t="str">
        <x:v>+60139695279</x:v>
      </x:c>
      <x:c r="F426" s="21" t="str">
        <x:v>Member</x:v>
      </x:c>
      <x:c r="G426" s="46" t="str">
        <x:f>"60139695279"</x:f>
        <x:v>60139695279</x:v>
      </x:c>
      <x:c r="H426" s="21" t="str">
        <x:v>Yes</x:v>
      </x:c>
      <x:c r="I426" s="21" t="str">
        <x:v>No</x:v>
      </x:c>
      <x:c r="J426" s="21" t="str">
        <x:v>No</x:v>
      </x:c>
      <x:c r="K426" s="21" t="str">
        <x:v>Included</x:v>
      </x:c>
      <x:c r="L426" s="21" t="str">
        <x:v>Peserta</x:v>
      </x:c>
    </x:row>
    <x:row r="427">
      <x:c r="A427" s="21" t="str">
        <x:v>whatsapp_group_numbers TD35 Eposter.csv</x:v>
      </x:c>
      <x:c r="B427" s="21" t="str">
        <x:v>TD35 Eposter</x:v>
      </x:c>
      <x:c r="C427" s="21" t="n">
        <x:v>26</x:v>
      </x:c>
      <x:c r="D427" s="46" t="str">
        <x:f>"+60104411708"</x:f>
        <x:v>+60104411708</x:v>
      </x:c>
      <x:c r="E427" s="21" t="str">
        <x:v>+60104411708</x:v>
      </x:c>
      <x:c r="F427" s="21" t="str">
        <x:v>Member</x:v>
      </x:c>
      <x:c r="G427" s="46" t="str">
        <x:f>"60104411708"</x:f>
        <x:v>60104411708</x:v>
      </x:c>
      <x:c r="H427" s="21" t="str">
        <x:v>Yes</x:v>
      </x:c>
      <x:c r="I427" s="21" t="str">
        <x:v>No</x:v>
      </x:c>
      <x:c r="J427" s="21" t="str">
        <x:v>No</x:v>
      </x:c>
      <x:c r="K427" s="21" t="str">
        <x:v>Included</x:v>
      </x:c>
      <x:c r="L427" s="21" t="str">
        <x:v>Peserta</x:v>
      </x:c>
    </x:row>
    <x:row r="428">
      <x:c r="A428" s="21" t="str">
        <x:v>whatsapp_group_numbers TD35 Eposter.csv</x:v>
      </x:c>
      <x:c r="B428" s="21" t="str">
        <x:v>TD35 Eposter</x:v>
      </x:c>
      <x:c r="C428" s="21" t="n">
        <x:v>27</x:v>
      </x:c>
      <x:c r="D428" s="46" t="str">
        <x:f>"+60133390972"</x:f>
        <x:v>+60133390972</x:v>
      </x:c>
      <x:c r="E428" s="21" t="str">
        <x:v>+60133390972</x:v>
      </x:c>
      <x:c r="F428" s="21" t="str">
        <x:v>Member</x:v>
      </x:c>
      <x:c r="G428" s="46" t="str">
        <x:f>"60133390972"</x:f>
        <x:v>60133390972</x:v>
      </x:c>
      <x:c r="H428" s="21" t="str">
        <x:v>Yes</x:v>
      </x:c>
      <x:c r="I428" s="21" t="str">
        <x:v>No</x:v>
      </x:c>
      <x:c r="J428" s="21" t="str">
        <x:v>No</x:v>
      </x:c>
      <x:c r="K428" s="21" t="str">
        <x:v>Included</x:v>
      </x:c>
      <x:c r="L428" s="21" t="str">
        <x:v>Peserta</x:v>
      </x:c>
    </x:row>
    <x:row r="429">
      <x:c r="A429" s="21" t="str">
        <x:v>whatsapp_group_numbers TD35 Eposter.csv</x:v>
      </x:c>
      <x:c r="B429" s="21" t="str">
        <x:v>TD35 Eposter</x:v>
      </x:c>
      <x:c r="C429" s="21" t="n">
        <x:v>28</x:v>
      </x:c>
      <x:c r="D429" s="46" t="str">
        <x:f>"+60127885358"</x:f>
        <x:v>+60127885358</x:v>
      </x:c>
      <x:c r="E429" s="21" t="str">
        <x:v>+60127885358</x:v>
      </x:c>
      <x:c r="F429" s="21" t="str">
        <x:v>Member</x:v>
      </x:c>
      <x:c r="G429" s="46" t="str">
        <x:f>"60127885358"</x:f>
        <x:v>60127885358</x:v>
      </x:c>
      <x:c r="H429" s="21" t="str">
        <x:v>Yes</x:v>
      </x:c>
      <x:c r="I429" s="21" t="str">
        <x:v>No</x:v>
      </x:c>
      <x:c r="J429" s="21" t="str">
        <x:v>No</x:v>
      </x:c>
      <x:c r="K429" s="21" t="str">
        <x:v>Included</x:v>
      </x:c>
      <x:c r="L429" s="21" t="str">
        <x:v>Peserta</x:v>
      </x:c>
    </x:row>
    <x:row r="430">
      <x:c r="A430" s="21" t="str">
        <x:v>whatsapp_group_numbers TD35 Eposter.csv</x:v>
      </x:c>
      <x:c r="B430" s="21" t="str">
        <x:v>TD35 Eposter</x:v>
      </x:c>
      <x:c r="C430" s="21" t="n">
        <x:v>29</x:v>
      </x:c>
      <x:c r="D430" s="46" t="str">
        <x:f>"+60123896039"</x:f>
        <x:v>+60123896039</x:v>
      </x:c>
      <x:c r="E430" s="21" t="str">
        <x:v>+60123896039</x:v>
      </x:c>
      <x:c r="F430" s="21" t="str">
        <x:v>Member</x:v>
      </x:c>
      <x:c r="G430" s="46" t="str">
        <x:f>"60123896039"</x:f>
        <x:v>60123896039</x:v>
      </x:c>
      <x:c r="H430" s="21" t="str">
        <x:v>Yes</x:v>
      </x:c>
      <x:c r="I430" s="21" t="str">
        <x:v>No</x:v>
      </x:c>
      <x:c r="J430" s="21" t="str">
        <x:v>No</x:v>
      </x:c>
      <x:c r="K430" s="21" t="str">
        <x:v>Included</x:v>
      </x:c>
      <x:c r="L430" s="21" t="str">
        <x:v>Peserta</x:v>
      </x:c>
    </x:row>
    <x:row r="431">
      <x:c r="A431" s="21" t="str">
        <x:v>whatsapp_group_numbers TD35 Eposter.csv</x:v>
      </x:c>
      <x:c r="B431" s="21" t="str">
        <x:v>TD35 Eposter</x:v>
      </x:c>
      <x:c r="C431" s="21" t="n">
        <x:v>30</x:v>
      </x:c>
      <x:c r="D431" s="46" t="str">
        <x:f>"+60162609252"</x:f>
        <x:v>+60162609252</x:v>
      </x:c>
      <x:c r="E431" s="21" t="str">
        <x:v>+60162609252</x:v>
      </x:c>
      <x:c r="F431" s="21" t="str">
        <x:v>Member</x:v>
      </x:c>
      <x:c r="G431" s="46" t="str">
        <x:f>"60162609252"</x:f>
        <x:v>60162609252</x:v>
      </x:c>
      <x:c r="H431" s="21" t="str">
        <x:v>Yes</x:v>
      </x:c>
      <x:c r="I431" s="21" t="str">
        <x:v>No</x:v>
      </x:c>
      <x:c r="J431" s="21" t="str">
        <x:v>No</x:v>
      </x:c>
      <x:c r="K431" s="21" t="str">
        <x:v>Included</x:v>
      </x:c>
      <x:c r="L431" s="21" t="str">
        <x:v>Peserta</x:v>
      </x:c>
    </x:row>
    <x:row r="432">
      <x:c r="A432" s="21" t="str">
        <x:v>whatsapp_group_numbers TD35 Eposter.csv</x:v>
      </x:c>
      <x:c r="B432" s="21" t="str">
        <x:v>TD35 Eposter</x:v>
      </x:c>
      <x:c r="C432" s="21" t="n">
        <x:v>31</x:v>
      </x:c>
      <x:c r="D432" s="46" t="str">
        <x:f>"+60137202171"</x:f>
        <x:v>+60137202171</x:v>
      </x:c>
      <x:c r="E432" s="21" t="str">
        <x:v>+60137202171</x:v>
      </x:c>
      <x:c r="F432" s="21" t="str">
        <x:v>Member</x:v>
      </x:c>
      <x:c r="G432" s="46" t="str">
        <x:f>"60137202171"</x:f>
        <x:v>60137202171</x:v>
      </x:c>
      <x:c r="H432" s="21" t="str">
        <x:v>Yes</x:v>
      </x:c>
      <x:c r="I432" s="21" t="str">
        <x:v>No</x:v>
      </x:c>
      <x:c r="J432" s="21" t="str">
        <x:v>No</x:v>
      </x:c>
      <x:c r="K432" s="21" t="str">
        <x:v>Included</x:v>
      </x:c>
      <x:c r="L432" s="21" t="str">
        <x:v>Peserta</x:v>
      </x:c>
    </x:row>
    <x:row r="433">
      <x:c r="A433" s="21" t="str">
        <x:v>whatsapp_group_numbers TD35 Eposter.csv</x:v>
      </x:c>
      <x:c r="B433" s="21" t="str">
        <x:v>TD35 Eposter</x:v>
      </x:c>
      <x:c r="C433" s="21" t="n">
        <x:v>32</x:v>
      </x:c>
      <x:c r="D433" s="46" t="str">
        <x:f>"+60136825205"</x:f>
        <x:v>+60136825205</x:v>
      </x:c>
      <x:c r="E433" s="21" t="str">
        <x:v>+60136825205</x:v>
      </x:c>
      <x:c r="F433" s="21" t="str">
        <x:v>Member</x:v>
      </x:c>
      <x:c r="G433" s="46" t="str">
        <x:f>"60136825205"</x:f>
        <x:v>60136825205</x:v>
      </x:c>
      <x:c r="H433" s="21" t="str">
        <x:v>Yes</x:v>
      </x:c>
      <x:c r="I433" s="21" t="str">
        <x:v>No</x:v>
      </x:c>
      <x:c r="J433" s="21" t="str">
        <x:v>No</x:v>
      </x:c>
      <x:c r="K433" s="21" t="str">
        <x:v>Included</x:v>
      </x:c>
      <x:c r="L433" s="21" t="str">
        <x:v>Peserta</x:v>
      </x:c>
    </x:row>
    <x:row r="434">
      <x:c r="A434" s="21" t="str">
        <x:v>whatsapp_group_numbers TD35 Eposter.csv</x:v>
      </x:c>
      <x:c r="B434" s="21" t="str">
        <x:v>TD35 Eposter</x:v>
      </x:c>
      <x:c r="C434" s="21" t="n">
        <x:v>33</x:v>
      </x:c>
      <x:c r="D434" s="46" t="str">
        <x:f>"+60123310349"</x:f>
        <x:v>+60123310349</x:v>
      </x:c>
      <x:c r="E434" s="21" t="str">
        <x:v>+60123310349</x:v>
      </x:c>
      <x:c r="F434" s="21" t="str">
        <x:v>Member</x:v>
      </x:c>
      <x:c r="G434" s="46" t="str">
        <x:f>"60123310349"</x:f>
        <x:v>60123310349</x:v>
      </x:c>
      <x:c r="H434" s="21" t="str">
        <x:v>Yes</x:v>
      </x:c>
      <x:c r="I434" s="21" t="str">
        <x:v>No</x:v>
      </x:c>
      <x:c r="J434" s="21" t="str">
        <x:v>No</x:v>
      </x:c>
      <x:c r="K434" s="21" t="str">
        <x:v>Included</x:v>
      </x:c>
      <x:c r="L434" s="21" t="str">
        <x:v>Peserta</x:v>
      </x:c>
    </x:row>
    <x:row r="435">
      <x:c r="A435" s="21" t="str">
        <x:v>whatsapp_group_numbers TD35 Eposter.csv</x:v>
      </x:c>
      <x:c r="B435" s="21" t="str">
        <x:v>TD35 Eposter</x:v>
      </x:c>
      <x:c r="C435" s="21" t="n">
        <x:v>34</x:v>
      </x:c>
      <x:c r="D435" s="46" t="str">
        <x:f>"+60148294351"</x:f>
        <x:v>+60148294351</x:v>
      </x:c>
      <x:c r="E435" s="21" t="str">
        <x:v>+60148294351</x:v>
      </x:c>
      <x:c r="F435" s="21" t="str">
        <x:v>Member</x:v>
      </x:c>
      <x:c r="G435" s="46" t="str">
        <x:f>"60148294351"</x:f>
        <x:v>60148294351</x:v>
      </x:c>
      <x:c r="H435" s="21" t="str">
        <x:v>Yes</x:v>
      </x:c>
      <x:c r="I435" s="21" t="str">
        <x:v>No</x:v>
      </x:c>
      <x:c r="J435" s="21" t="str">
        <x:v>No</x:v>
      </x:c>
      <x:c r="K435" s="21" t="str">
        <x:v>Included</x:v>
      </x:c>
      <x:c r="L435" s="21" t="str">
        <x:v>Peserta</x:v>
      </x:c>
    </x:row>
    <x:row r="436">
      <x:c r="A436" s="21" t="str">
        <x:v>whatsapp_group_numbers TD35 Eposter.csv</x:v>
      </x:c>
      <x:c r="B436" s="21" t="str">
        <x:v>TD35 Eposter</x:v>
      </x:c>
      <x:c r="C436" s="21" t="n">
        <x:v>35</x:v>
      </x:c>
      <x:c r="D436" s="46" t="str">
        <x:f>"+60139355197"</x:f>
        <x:v>+60139355197</x:v>
      </x:c>
      <x:c r="E436" s="21" t="str">
        <x:v>+60139355197</x:v>
      </x:c>
      <x:c r="F436" s="21" t="str">
        <x:v>Member</x:v>
      </x:c>
      <x:c r="G436" s="46" t="str">
        <x:f>"60139355197"</x:f>
        <x:v>60139355197</x:v>
      </x:c>
      <x:c r="H436" s="21" t="str">
        <x:v>Yes</x:v>
      </x:c>
      <x:c r="I436" s="21" t="str">
        <x:v>No</x:v>
      </x:c>
      <x:c r="J436" s="21" t="str">
        <x:v>No</x:v>
      </x:c>
      <x:c r="K436" s="21" t="str">
        <x:v>Included</x:v>
      </x:c>
      <x:c r="L436" s="21" t="str">
        <x:v>Peserta</x:v>
      </x:c>
    </x:row>
    <x:row r="437">
      <x:c r="A437" s="21" t="str">
        <x:v>whatsapp_group_numbers TD35 Eposter.csv</x:v>
      </x:c>
      <x:c r="B437" s="21" t="str">
        <x:v>TD35 Eposter</x:v>
      </x:c>
      <x:c r="C437" s="21" t="n">
        <x:v>36</x:v>
      </x:c>
      <x:c r="D437" s="46" t="str">
        <x:f>"+60125366534"</x:f>
        <x:v>+60125366534</x:v>
      </x:c>
      <x:c r="E437" s="21" t="str">
        <x:v>+60125366534</x:v>
      </x:c>
      <x:c r="F437" s="21" t="str">
        <x:v>Member</x:v>
      </x:c>
      <x:c r="G437" s="46" t="str">
        <x:f>"60125366534"</x:f>
        <x:v>60125366534</x:v>
      </x:c>
      <x:c r="H437" s="21" t="str">
        <x:v>Yes</x:v>
      </x:c>
      <x:c r="I437" s="21" t="str">
        <x:v>No</x:v>
      </x:c>
      <x:c r="J437" s="21" t="str">
        <x:v>No</x:v>
      </x:c>
      <x:c r="K437" s="21" t="str">
        <x:v>Included</x:v>
      </x:c>
      <x:c r="L437" s="21" t="str">
        <x:v>Peserta</x:v>
      </x:c>
    </x:row>
    <x:row r="438">
      <x:c r="A438" s="21" t="str">
        <x:v>whatsapp_group_numbers TD35 Eposter.csv</x:v>
      </x:c>
      <x:c r="B438" s="21" t="str">
        <x:v>TD35 Eposter</x:v>
      </x:c>
      <x:c r="C438" s="21" t="n">
        <x:v>37</x:v>
      </x:c>
      <x:c r="D438" s="46" t="str">
        <x:f>"+601114033722"</x:f>
        <x:v>+601114033722</x:v>
      </x:c>
      <x:c r="E438" s="21" t="str">
        <x:v>+601114033722</x:v>
      </x:c>
      <x:c r="F438" s="21" t="str">
        <x:v>Member</x:v>
      </x:c>
      <x:c r="G438" s="46" t="str">
        <x:f>"601114033722"</x:f>
        <x:v>601114033722</x:v>
      </x:c>
      <x:c r="H438" s="21" t="str">
        <x:v>Yes</x:v>
      </x:c>
      <x:c r="I438" s="21" t="str">
        <x:v>No</x:v>
      </x:c>
      <x:c r="J438" s="21" t="str">
        <x:v>No</x:v>
      </x:c>
      <x:c r="K438" s="21" t="str">
        <x:v>Included</x:v>
      </x:c>
      <x:c r="L438" s="21" t="str">
        <x:v>Peserta</x:v>
      </x:c>
    </x:row>
    <x:row r="439">
      <x:c r="A439" s="21" t="str">
        <x:v>whatsapp_group_numbers TD35 Eposter.csv</x:v>
      </x:c>
      <x:c r="B439" s="21" t="str">
        <x:v>TD35 Eposter</x:v>
      </x:c>
      <x:c r="C439" s="21" t="n">
        <x:v>38</x:v>
      </x:c>
      <x:c r="D439" s="46" t="str">
        <x:f>"+601139284525"</x:f>
        <x:v>+601139284525</x:v>
      </x:c>
      <x:c r="E439" s="21" t="str">
        <x:v>+601139284525</x:v>
      </x:c>
      <x:c r="F439" s="21" t="str">
        <x:v>Member</x:v>
      </x:c>
      <x:c r="G439" s="46" t="str">
        <x:f>"601139284525"</x:f>
        <x:v>601139284525</x:v>
      </x:c>
      <x:c r="H439" s="21" t="str">
        <x:v>Yes</x:v>
      </x:c>
      <x:c r="I439" s="21" t="str">
        <x:v>No</x:v>
      </x:c>
      <x:c r="J439" s="21" t="str">
        <x:v>No</x:v>
      </x:c>
      <x:c r="K439" s="21" t="str">
        <x:v>Included</x:v>
      </x:c>
      <x:c r="L439" s="21" t="str">
        <x:v>Peserta</x:v>
      </x:c>
    </x:row>
    <x:row r="440">
      <x:c r="A440" s="21" t="str">
        <x:v>whatsapp_group_numbers TD35 Eposter.csv</x:v>
      </x:c>
      <x:c r="B440" s="21" t="str">
        <x:v>TD35 Eposter</x:v>
      </x:c>
      <x:c r="C440" s="21" t="n">
        <x:v>39</x:v>
      </x:c>
      <x:c r="D440" s="46" t="str">
        <x:f>"+60195479660"</x:f>
        <x:v>+60195479660</x:v>
      </x:c>
      <x:c r="E440" s="21" t="str">
        <x:v>+60195479660</x:v>
      </x:c>
      <x:c r="F440" s="21" t="str">
        <x:v>Member</x:v>
      </x:c>
      <x:c r="G440" s="46" t="str">
        <x:f>"60195479660"</x:f>
        <x:v>60195479660</x:v>
      </x:c>
      <x:c r="H440" s="21" t="str">
        <x:v>Yes</x:v>
      </x:c>
      <x:c r="I440" s="21" t="str">
        <x:v>No</x:v>
      </x:c>
      <x:c r="J440" s="21" t="str">
        <x:v>No</x:v>
      </x:c>
      <x:c r="K440" s="21" t="str">
        <x:v>Included</x:v>
      </x:c>
      <x:c r="L440" s="21" t="str">
        <x:v>Peserta</x:v>
      </x:c>
    </x:row>
    <x:row r="441">
      <x:c r="A441" s="21" t="str">
        <x:v>whatsapp_group_numbers TD35 Eposter.csv</x:v>
      </x:c>
      <x:c r="B441" s="21" t="str">
        <x:v>TD35 Eposter</x:v>
      </x:c>
      <x:c r="C441" s="21" t="n">
        <x:v>40</x:v>
      </x:c>
      <x:c r="D441" s="46" t="str">
        <x:f>"+60105447245"</x:f>
        <x:v>+60105447245</x:v>
      </x:c>
      <x:c r="E441" s="21" t="str">
        <x:v>+60105447245</x:v>
      </x:c>
      <x:c r="F441" s="21" t="str">
        <x:v>Member</x:v>
      </x:c>
      <x:c r="G441" s="46" t="str">
        <x:f>"60105447245"</x:f>
        <x:v>60105447245</x:v>
      </x:c>
      <x:c r="H441" s="21" t="str">
        <x:v>Yes</x:v>
      </x:c>
      <x:c r="I441" s="21" t="str">
        <x:v>No</x:v>
      </x:c>
      <x:c r="J441" s="21" t="str">
        <x:v>No</x:v>
      </x:c>
      <x:c r="K441" s="21" t="str">
        <x:v>Included</x:v>
      </x:c>
      <x:c r="L441" s="21" t="str">
        <x:v>Peserta</x:v>
      </x:c>
    </x:row>
    <x:row r="442">
      <x:c r="A442" s="21" t="str">
        <x:v>whatsapp_group_numbers TD7 emkt.csv</x:v>
      </x:c>
      <x:c r="B442" s="21" t="str">
        <x:v>TD7 emkt</x:v>
      </x:c>
      <x:c r="C442" s="21" t="n">
        <x:v>1</x:v>
      </x:c>
      <x:c r="D442" s="46" t="str">
        <x:f>"+60123809494"</x:f>
        <x:v>+60123809494</x:v>
      </x:c>
      <x:c r="E442" s="21" t="str">
        <x:v>Abg Jepp Sifu Branding Training</x:v>
      </x:c>
      <x:c r="F442" s="21" t="str">
        <x:v>Member</x:v>
      </x:c>
      <x:c r="G442" s="46" t="str">
        <x:f>"60123809494"</x:f>
        <x:v>60123809494</x:v>
      </x:c>
      <x:c r="H442" s="21" t="str">
        <x:v>Yes</x:v>
      </x:c>
      <x:c r="I442" s="21" t="str">
        <x:v>No</x:v>
      </x:c>
      <x:c r="J442" s="21" t="str">
        <x:v>No</x:v>
      </x:c>
      <x:c r="K442" s="21" t="str">
        <x:v>Excluded</x:v>
      </x:c>
      <x:c r="L442" s="21" t="str">
        <x:v>Senarai pengecualian manual pengguna</x:v>
      </x:c>
    </x:row>
    <x:row r="443">
      <x:c r="A443" s="21" t="str">
        <x:v>whatsapp_group_numbers TD7 emkt.csv</x:v>
      </x:c>
      <x:c r="B443" s="21" t="str">
        <x:v>TD7 emkt</x:v>
      </x:c>
      <x:c r="C443" s="21" t="n">
        <x:v>2</x:v>
      </x:c>
      <x:c r="D443" s="46" t="str">
        <x:f>"+601112400806"</x:f>
        <x:v>+601112400806</x:v>
      </x:c>
      <x:c r="E443" s="21" t="str">
        <x:v>Coach Husaini INSKEN</x:v>
      </x:c>
      <x:c r="F443" s="21" t="str">
        <x:v>Member</x:v>
      </x:c>
      <x:c r="G443" s="46" t="str">
        <x:f>"601112400806"</x:f>
        <x:v>601112400806</x:v>
      </x:c>
      <x:c r="H443" s="21" t="str">
        <x:v>Yes</x:v>
      </x:c>
      <x:c r="I443" s="21" t="str">
        <x:v>No</x:v>
      </x:c>
      <x:c r="J443" s="21" t="str">
        <x:v>Yes</x:v>
      </x:c>
      <x:c r="K443" s="21" t="str">
        <x:v>Excluded</x:v>
      </x:c>
      <x:c r="L443" s="21" t="str">
        <x:v>Nama/nombor dikenal pasti sebagai INSKEN</x:v>
      </x:c>
    </x:row>
    <x:row r="444">
      <x:c r="A444" s="21" t="str">
        <x:v>whatsapp_group_numbers TD7 emkt.csv</x:v>
      </x:c>
      <x:c r="B444" s="21" t="str">
        <x:v>TD7 emkt</x:v>
      </x:c>
      <x:c r="C444" s="21" t="n">
        <x:v>3</x:v>
      </x:c>
      <x:c r="D444" s="46" t="str">
        <x:f>"+60194456456"</x:f>
        <x:v>+60194456456</x:v>
      </x:c>
      <x:c r="E444" s="21" t="str">
        <x:v>Suhairi Emarketplace Penang</x:v>
      </x:c>
      <x:c r="F444" s="21" t="str">
        <x:v>Member</x:v>
      </x:c>
      <x:c r="G444" s="46" t="str">
        <x:f>"60194456456"</x:f>
        <x:v>60194456456</x:v>
      </x:c>
      <x:c r="H444" s="21" t="str">
        <x:v>Yes</x:v>
      </x:c>
      <x:c r="I444" s="21" t="str">
        <x:v>No</x:v>
      </x:c>
      <x:c r="J444" s="21" t="str">
        <x:v>No</x:v>
      </x:c>
      <x:c r="K444" s="21" t="str">
        <x:v>Included</x:v>
      </x:c>
      <x:c r="L444" s="21" t="str">
        <x:v>Peserta</x:v>
      </x:c>
    </x:row>
    <x:row r="445">
      <x:c r="A445" s="21" t="str">
        <x:v>whatsapp_group_numbers TD7 emkt.csv</x:v>
      </x:c>
      <x:c r="B445" s="21" t="str">
        <x:v>TD7 emkt</x:v>
      </x:c>
      <x:c r="C445" s="21" t="n">
        <x:v>4</x:v>
      </x:c>
      <x:c r="D445" s="46" t="str">
        <x:f>"+60125080969"</x:f>
        <x:v>+60125080969</x:v>
      </x:c>
      <x:c r="E445" s="21" t="str">
        <x:v>Careline Internal Communication</x:v>
      </x:c>
      <x:c r="F445" s="21" t="str">
        <x:v>Member</x:v>
      </x:c>
      <x:c r="G445" s="46" t="str">
        <x:f>"60125080969"</x:f>
        <x:v>60125080969</x:v>
      </x:c>
      <x:c r="H445" s="21" t="str">
        <x:v>Yes</x:v>
      </x:c>
      <x:c r="I445" s="21" t="str">
        <x:v>No</x:v>
      </x:c>
      <x:c r="J445" s="21" t="str">
        <x:v>No</x:v>
      </x:c>
      <x:c r="K445" s="21" t="str">
        <x:v>Included</x:v>
      </x:c>
      <x:c r="L445" s="21" t="str">
        <x:v>Peserta</x:v>
      </x:c>
    </x:row>
    <x:row r="446">
      <x:c r="A446" s="21" t="str">
        <x:v>whatsapp_group_numbers TD7 emkt.csv</x:v>
      </x:c>
      <x:c r="B446" s="21" t="str">
        <x:v>TD7 emkt</x:v>
      </x:c>
      <x:c r="C446" s="21" t="n">
        <x:v>5</x:v>
      </x:c>
      <x:c r="D446" s="46" t="str">
        <x:f>"+60185779949"</x:f>
        <x:v>+60185779949</x:v>
      </x:c>
      <x:c r="E446" s="21" t="str">
        <x:v>Farahinur</x:v>
      </x:c>
      <x:c r="F446" s="21" t="str">
        <x:v>Member</x:v>
      </x:c>
      <x:c r="G446" s="46" t="str">
        <x:f>"60185779949"</x:f>
        <x:v>60185779949</x:v>
      </x:c>
      <x:c r="H446" s="21" t="str">
        <x:v>Yes</x:v>
      </x:c>
      <x:c r="I446" s="21" t="str">
        <x:v>No</x:v>
      </x:c>
      <x:c r="J446" s="21" t="str">
        <x:v>No</x:v>
      </x:c>
      <x:c r="K446" s="21" t="str">
        <x:v>Included</x:v>
      </x:c>
      <x:c r="L446" s="21" t="str">
        <x:v>Peserta</x:v>
      </x:c>
    </x:row>
    <x:row r="447">
      <x:c r="A447" s="21" t="str">
        <x:v>whatsapp_group_numbers TD7 emkt.csv</x:v>
      </x:c>
      <x:c r="B447" s="21" t="str">
        <x:v>TD7 emkt</x:v>
      </x:c>
      <x:c r="C447" s="21" t="n">
        <x:v>6</x:v>
      </x:c>
      <x:c r="D447" s="46" t="str">
        <x:f>"+601118981901"</x:f>
        <x:v>+601118981901</x:v>
      </x:c>
      <x:c r="E447" s="21" t="str">
        <x:v>Tastech Sdn Bhd</x:v>
      </x:c>
      <x:c r="F447" s="21" t="str">
        <x:v>Member</x:v>
      </x:c>
      <x:c r="G447" s="46" t="str">
        <x:f>"601118981901"</x:f>
        <x:v>601118981901</x:v>
      </x:c>
      <x:c r="H447" s="21" t="str">
        <x:v>Yes</x:v>
      </x:c>
      <x:c r="I447" s="21" t="str">
        <x:v>No</x:v>
      </x:c>
      <x:c r="J447" s="21" t="str">
        <x:v>No</x:v>
      </x:c>
      <x:c r="K447" s="21" t="str">
        <x:v>Included</x:v>
      </x:c>
      <x:c r="L447" s="21" t="str">
        <x:v>Peserta</x:v>
      </x:c>
    </x:row>
    <x:row r="448">
      <x:c r="A448" s="21" t="str">
        <x:v>whatsapp_group_numbers TD7 emkt.csv</x:v>
      </x:c>
      <x:c r="B448" s="21" t="str">
        <x:v>TD7 emkt</x:v>
      </x:c>
      <x:c r="C448" s="21" t="n">
        <x:v>7</x:v>
      </x:c>
      <x:c r="D448" s="46" t="str">
        <x:f>"+60129841711"</x:f>
        <x:v>+60129841711</x:v>
      </x:c>
      <x:c r="E448" s="21" t="str">
        <x:v>Z U H R A H</x:v>
      </x:c>
      <x:c r="F448" s="21" t="str">
        <x:v>Member</x:v>
      </x:c>
      <x:c r="G448" s="46" t="str">
        <x:f>"60129841711"</x:f>
        <x:v>60129841711</x:v>
      </x:c>
      <x:c r="H448" s="21" t="str">
        <x:v>Yes</x:v>
      </x:c>
      <x:c r="I448" s="21" t="str">
        <x:v>No</x:v>
      </x:c>
      <x:c r="J448" s="21" t="str">
        <x:v>No</x:v>
      </x:c>
      <x:c r="K448" s="21" t="str">
        <x:v>Included</x:v>
      </x:c>
      <x:c r="L448" s="21" t="str">
        <x:v>Peserta</x:v>
      </x:c>
    </x:row>
    <x:row r="449">
      <x:c r="A449" s="21" t="str">
        <x:v>whatsapp_group_numbers TD7 emkt.csv</x:v>
      </x:c>
      <x:c r="B449" s="21" t="str">
        <x:v>TD7 emkt</x:v>
      </x:c>
      <x:c r="C449" s="21" t="n">
        <x:v>8</x:v>
      </x:c>
      <x:c r="D449" s="46" t="str">
        <x:f>"+60174655674"</x:f>
        <x:v>+60174655674</x:v>
      </x:c>
      <x:c r="E449" s="21" t="str">
        <x:v>+60174655674</x:v>
      </x:c>
      <x:c r="F449" s="21" t="str">
        <x:v>Member</x:v>
      </x:c>
      <x:c r="G449" s="46" t="str">
        <x:f>"60174655674"</x:f>
        <x:v>60174655674</x:v>
      </x:c>
      <x:c r="H449" s="21" t="str">
        <x:v>Yes</x:v>
      </x:c>
      <x:c r="I449" s="21" t="str">
        <x:v>No</x:v>
      </x:c>
      <x:c r="J449" s="21" t="str">
        <x:v>No</x:v>
      </x:c>
      <x:c r="K449" s="21" t="str">
        <x:v>Included</x:v>
      </x:c>
      <x:c r="L449" s="21" t="str">
        <x:v>Peserta</x:v>
      </x:c>
    </x:row>
    <x:row r="450">
      <x:c r="A450" s="21" t="str">
        <x:v>whatsapp_group_numbers TD7 emkt.csv</x:v>
      </x:c>
      <x:c r="B450" s="21" t="str">
        <x:v>TD7 emkt</x:v>
      </x:c>
      <x:c r="C450" s="21" t="n">
        <x:v>9</x:v>
      </x:c>
      <x:c r="D450" s="46" t="str">
        <x:f>"+60172594327"</x:f>
        <x:v>+60172594327</x:v>
      </x:c>
      <x:c r="E450" s="21" t="str">
        <x:v>+60172594327</x:v>
      </x:c>
      <x:c r="F450" s="21" t="str">
        <x:v>Member</x:v>
      </x:c>
      <x:c r="G450" s="46" t="str">
        <x:f>"60172594327"</x:f>
        <x:v>60172594327</x:v>
      </x:c>
      <x:c r="H450" s="21" t="str">
        <x:v>Yes</x:v>
      </x:c>
      <x:c r="I450" s="21" t="str">
        <x:v>No</x:v>
      </x:c>
      <x:c r="J450" s="21" t="str">
        <x:v>No</x:v>
      </x:c>
      <x:c r="K450" s="21" t="str">
        <x:v>Included</x:v>
      </x:c>
      <x:c r="L450" s="21" t="str">
        <x:v>Peserta</x:v>
      </x:c>
    </x:row>
    <x:row r="451">
      <x:c r="A451" s="21" t="str">
        <x:v>whatsapp_group_numbers TD7 emkt.csv</x:v>
      </x:c>
      <x:c r="B451" s="21" t="str">
        <x:v>TD7 emkt</x:v>
      </x:c>
      <x:c r="C451" s="21" t="n">
        <x:v>10</x:v>
      </x:c>
      <x:c r="D451" s="46" t="str">
        <x:f>"+60164106940"</x:f>
        <x:v>+60164106940</x:v>
      </x:c>
      <x:c r="E451" s="21" t="str">
        <x:v>+60164106940</x:v>
      </x:c>
      <x:c r="F451" s="21" t="str">
        <x:v>Member</x:v>
      </x:c>
      <x:c r="G451" s="46" t="str">
        <x:f>"60164106940"</x:f>
        <x:v>60164106940</x:v>
      </x:c>
      <x:c r="H451" s="21" t="str">
        <x:v>Yes</x:v>
      </x:c>
      <x:c r="I451" s="21" t="str">
        <x:v>No</x:v>
      </x:c>
      <x:c r="J451" s="21" t="str">
        <x:v>No</x:v>
      </x:c>
      <x:c r="K451" s="21" t="str">
        <x:v>Included</x:v>
      </x:c>
      <x:c r="L451" s="21" t="str">
        <x:v>Peserta</x:v>
      </x:c>
    </x:row>
    <x:row r="452">
      <x:c r="A452" s="21" t="str">
        <x:v>whatsapp_group_numbers TD7 emkt.csv</x:v>
      </x:c>
      <x:c r="B452" s="21" t="str">
        <x:v>TD7 emkt</x:v>
      </x:c>
      <x:c r="C452" s="21" t="n">
        <x:v>11</x:v>
      </x:c>
      <x:c r="D452" s="46" t="str">
        <x:f>"+60184641511"</x:f>
        <x:v>+60184641511</x:v>
      </x:c>
      <x:c r="E452" s="21" t="str">
        <x:v>+60184641511</x:v>
      </x:c>
      <x:c r="F452" s="21" t="str">
        <x:v>Member</x:v>
      </x:c>
      <x:c r="G452" s="46" t="str">
        <x:f>"60184641511"</x:f>
        <x:v>60184641511</x:v>
      </x:c>
      <x:c r="H452" s="21" t="str">
        <x:v>Yes</x:v>
      </x:c>
      <x:c r="I452" s="21" t="str">
        <x:v>No</x:v>
      </x:c>
      <x:c r="J452" s="21" t="str">
        <x:v>No</x:v>
      </x:c>
      <x:c r="K452" s="21" t="str">
        <x:v>Included</x:v>
      </x:c>
      <x:c r="L452" s="21" t="str">
        <x:v>Peserta</x:v>
      </x:c>
    </x:row>
    <x:row r="453">
      <x:c r="A453" s="21" t="str">
        <x:v>whatsapp_group_numbers TD7 emkt.csv</x:v>
      </x:c>
      <x:c r="B453" s="21" t="str">
        <x:v>TD7 emkt</x:v>
      </x:c>
      <x:c r="C453" s="21" t="n">
        <x:v>12</x:v>
      </x:c>
      <x:c r="D453" s="46" t="str">
        <x:f>"+601111489036"</x:f>
        <x:v>+601111489036</x:v>
      </x:c>
      <x:c r="E453" s="21" t="str">
        <x:v>+601111489036</x:v>
      </x:c>
      <x:c r="F453" s="21" t="str">
        <x:v>Member</x:v>
      </x:c>
      <x:c r="G453" s="46" t="str">
        <x:f>"601111489036"</x:f>
        <x:v>601111489036</x:v>
      </x:c>
      <x:c r="H453" s="21" t="str">
        <x:v>Yes</x:v>
      </x:c>
      <x:c r="I453" s="21" t="str">
        <x:v>No</x:v>
      </x:c>
      <x:c r="J453" s="21" t="str">
        <x:v>No</x:v>
      </x:c>
      <x:c r="K453" s="21" t="str">
        <x:v>Included</x:v>
      </x:c>
      <x:c r="L453" s="21" t="str">
        <x:v>Peserta</x:v>
      </x:c>
    </x:row>
    <x:row r="454">
      <x:c r="A454" s="21" t="str">
        <x:v>whatsapp_group_numbers TD7 emkt.csv</x:v>
      </x:c>
      <x:c r="B454" s="21" t="str">
        <x:v>TD7 emkt</x:v>
      </x:c>
      <x:c r="C454" s="21" t="n">
        <x:v>13</x:v>
      </x:c>
      <x:c r="D454" s="46" t="str">
        <x:f>"+60125603900"</x:f>
        <x:v>+60125603900</x:v>
      </x:c>
      <x:c r="E454" s="21" t="str">
        <x:v>+60125603900</x:v>
      </x:c>
      <x:c r="F454" s="21" t="str">
        <x:v>Member</x:v>
      </x:c>
      <x:c r="G454" s="46" t="str">
        <x:f>"60125603900"</x:f>
        <x:v>60125603900</x:v>
      </x:c>
      <x:c r="H454" s="21" t="str">
        <x:v>Yes</x:v>
      </x:c>
      <x:c r="I454" s="21" t="str">
        <x:v>No</x:v>
      </x:c>
      <x:c r="J454" s="21" t="str">
        <x:v>No</x:v>
      </x:c>
      <x:c r="K454" s="21" t="str">
        <x:v>Included</x:v>
      </x:c>
      <x:c r="L454" s="21" t="str">
        <x:v>Peserta</x:v>
      </x:c>
    </x:row>
    <x:row r="455">
      <x:c r="A455" s="21" t="str">
        <x:v>whatsapp_group_numbers TD7 emkt.csv</x:v>
      </x:c>
      <x:c r="B455" s="21" t="str">
        <x:v>TD7 emkt</x:v>
      </x:c>
      <x:c r="C455" s="21" t="n">
        <x:v>14</x:v>
      </x:c>
      <x:c r="D455" s="46" t="str">
        <x:f>"+60177714409"</x:f>
        <x:v>+60177714409</x:v>
      </x:c>
      <x:c r="E455" s="21" t="str">
        <x:v>+60177714409</x:v>
      </x:c>
      <x:c r="F455" s="21" t="str">
        <x:v>Member</x:v>
      </x:c>
      <x:c r="G455" s="46" t="str">
        <x:f>"60177714409"</x:f>
        <x:v>60177714409</x:v>
      </x:c>
      <x:c r="H455" s="21" t="str">
        <x:v>Yes</x:v>
      </x:c>
      <x:c r="I455" s="21" t="str">
        <x:v>No</x:v>
      </x:c>
      <x:c r="J455" s="21" t="str">
        <x:v>No</x:v>
      </x:c>
      <x:c r="K455" s="21" t="str">
        <x:v>Included</x:v>
      </x:c>
      <x:c r="L455" s="21" t="str">
        <x:v>Peserta</x:v>
      </x:c>
    </x:row>
    <x:row r="456">
      <x:c r="A456" s="21" t="str">
        <x:v>whatsapp_group_numbers TD7 emkt.csv</x:v>
      </x:c>
      <x:c r="B456" s="21" t="str">
        <x:v>TD7 emkt</x:v>
      </x:c>
      <x:c r="C456" s="21" t="n">
        <x:v>15</x:v>
      </x:c>
      <x:c r="D456" s="46" t="str">
        <x:f>"+60177714490"</x:f>
        <x:v>+60177714490</x:v>
      </x:c>
      <x:c r="E456" s="21" t="str">
        <x:v>+60177714490</x:v>
      </x:c>
      <x:c r="F456" s="21" t="str">
        <x:v>Member</x:v>
      </x:c>
      <x:c r="G456" s="46" t="str">
        <x:f>"60177714490"</x:f>
        <x:v>60177714490</x:v>
      </x:c>
      <x:c r="H456" s="21" t="str">
        <x:v>Yes</x:v>
      </x:c>
      <x:c r="I456" s="21" t="str">
        <x:v>No</x:v>
      </x:c>
      <x:c r="J456" s="21" t="str">
        <x:v>No</x:v>
      </x:c>
      <x:c r="K456" s="21" t="str">
        <x:v>Included</x:v>
      </x:c>
      <x:c r="L456" s="21" t="str">
        <x:v>Peserta</x:v>
      </x:c>
    </x:row>
    <x:row r="457">
      <x:c r="A457" s="21" t="str">
        <x:v>whatsapp_group_numbers TDAG12.csv</x:v>
      </x:c>
      <x:c r="B457" s="21" t="str">
        <x:v>TDAG12</x:v>
      </x:c>
      <x:c r="C457" s="21" t="n">
        <x:v>1</x:v>
      </x:c>
      <x:c r="D457" s="46" t="str">
        <x:f>"+60193595900"</x:f>
        <x:v>+60193595900</x:v>
      </x:c>
      <x:c r="E457" s="21" t="str">
        <x:v>Insken - Pn Nora</x:v>
      </x:c>
      <x:c r="F457" s="21" t="str">
        <x:v>Member</x:v>
      </x:c>
      <x:c r="G457" s="46" t="str">
        <x:f>"60193595900"</x:f>
        <x:v>60193595900</x:v>
      </x:c>
      <x:c r="H457" s="21" t="str">
        <x:v>Yes</x:v>
      </x:c>
      <x:c r="I457" s="21" t="str">
        <x:v>No</x:v>
      </x:c>
      <x:c r="J457" s="21" t="str">
        <x:v>Yes</x:v>
      </x:c>
      <x:c r="K457" s="21" t="str">
        <x:v>Excluded</x:v>
      </x:c>
      <x:c r="L457" s="21" t="str">
        <x:v>Nama/nombor dikenal pasti sebagai INSKEN</x:v>
      </x:c>
    </x:row>
    <x:row r="458">
      <x:c r="A458" s="21" t="str">
        <x:v>whatsapp_group_numbers TDAG12.csv</x:v>
      </x:c>
      <x:c r="B458" s="21" t="str">
        <x:v>TDAG12</x:v>
      </x:c>
      <x:c r="C458" s="21" t="n">
        <x:v>2</x:v>
      </x:c>
      <x:c r="D458" s="46" t="str">
        <x:f>"+60175545144"</x:f>
        <x:v>+60175545144</x:v>
      </x:c>
      <x:c r="E458" s="21" t="str">
        <x:v>Pn Aishah INSKEN</x:v>
      </x:c>
      <x:c r="F458" s="21" t="str">
        <x:v>Member</x:v>
      </x:c>
      <x:c r="G458" s="46" t="str">
        <x:f>"60175545144"</x:f>
        <x:v>60175545144</x:v>
      </x:c>
      <x:c r="H458" s="21" t="str">
        <x:v>Yes</x:v>
      </x:c>
      <x:c r="I458" s="21" t="str">
        <x:v>No</x:v>
      </x:c>
      <x:c r="J458" s="21" t="str">
        <x:v>Yes</x:v>
      </x:c>
      <x:c r="K458" s="21" t="str">
        <x:v>Excluded</x:v>
      </x:c>
      <x:c r="L458" s="21" t="str">
        <x:v>Nama/nombor dikenal pasti sebagai INSKEN</x:v>
      </x:c>
    </x:row>
    <x:row r="459">
      <x:c r="A459" s="21" t="str">
        <x:v>whatsapp_group_numbers TDAG12.csv</x:v>
      </x:c>
      <x:c r="B459" s="21" t="str">
        <x:v>TDAG12</x:v>
      </x:c>
      <x:c r="C459" s="21" t="n">
        <x:v>3</x:v>
      </x:c>
      <x:c r="D459" s="46" t="str">
        <x:f>"+60174102530"</x:f>
        <x:v>+60174102530</x:v>
      </x:c>
      <x:c r="E459" s="21" t="str">
        <x:v>shaeza INSKEN</x:v>
      </x:c>
      <x:c r="F459" s="21" t="str">
        <x:v>Member</x:v>
      </x:c>
      <x:c r="G459" s="46" t="str">
        <x:f>"60174102530"</x:f>
        <x:v>60174102530</x:v>
      </x:c>
      <x:c r="H459" s="21" t="str">
        <x:v>Yes</x:v>
      </x:c>
      <x:c r="I459" s="21" t="str">
        <x:v>No</x:v>
      </x:c>
      <x:c r="J459" s="21" t="str">
        <x:v>Yes</x:v>
      </x:c>
      <x:c r="K459" s="21" t="str">
        <x:v>Excluded</x:v>
      </x:c>
      <x:c r="L459" s="21" t="str">
        <x:v>Nama/nombor dikenal pasti sebagai INSKEN</x:v>
      </x:c>
    </x:row>
    <x:row r="460">
      <x:c r="A460" s="21" t="str">
        <x:v>whatsapp_group_numbers TDAG12.csv</x:v>
      </x:c>
      <x:c r="B460" s="21" t="str">
        <x:v>TDAG12</x:v>
      </x:c>
      <x:c r="C460" s="21" t="n">
        <x:v>4</x:v>
      </x:c>
      <x:c r="D460" s="46" t="str">
        <x:f>"+601110887267"</x:f>
        <x:v>+601110887267</x:v>
      </x:c>
      <x:c r="E460" s="21" t="str">
        <x:v>Ku nawra</x:v>
      </x:c>
      <x:c r="F460" s="21" t="str">
        <x:v>Member</x:v>
      </x:c>
      <x:c r="G460" s="46" t="str">
        <x:f>"601110887267"</x:f>
        <x:v>601110887267</x:v>
      </x:c>
      <x:c r="H460" s="21" t="str">
        <x:v>Yes</x:v>
      </x:c>
      <x:c r="I460" s="21" t="str">
        <x:v>No</x:v>
      </x:c>
      <x:c r="J460" s="21" t="str">
        <x:v>No</x:v>
      </x:c>
      <x:c r="K460" s="21" t="str">
        <x:v>Included</x:v>
      </x:c>
      <x:c r="L460" s="21" t="str">
        <x:v>Peserta</x:v>
      </x:c>
    </x:row>
    <x:row r="461">
      <x:c r="A461" s="21" t="str">
        <x:v>whatsapp_group_numbers TDAG12.csv</x:v>
      </x:c>
      <x:c r="B461" s="21" t="str">
        <x:v>TDAG12</x:v>
      </x:c>
      <x:c r="C461" s="21" t="n">
        <x:v>5</x:v>
      </x:c>
      <x:c r="D461" s="46" t="str">
        <x:f>"+60136603455"</x:f>
        <x:v>+60136603455</x:v>
      </x:c>
      <x:c r="E461" s="21" t="str">
        <x:v>+60136603455</x:v>
      </x:c>
      <x:c r="F461" s="21" t="str">
        <x:v>Member</x:v>
      </x:c>
      <x:c r="G461" s="46" t="str">
        <x:f>"60136603455"</x:f>
        <x:v>60136603455</x:v>
      </x:c>
      <x:c r="H461" s="21" t="str">
        <x:v>Yes</x:v>
      </x:c>
      <x:c r="I461" s="21" t="str">
        <x:v>No</x:v>
      </x:c>
      <x:c r="J461" s="21" t="str">
        <x:v>No</x:v>
      </x:c>
      <x:c r="K461" s="21" t="str">
        <x:v>Included</x:v>
      </x:c>
      <x:c r="L461" s="21" t="str">
        <x:v>Peserta</x:v>
      </x:c>
    </x:row>
    <x:row r="462">
      <x:c r="A462" s="21" t="str">
        <x:v>whatsapp_group_numbers TDAG12.csv</x:v>
      </x:c>
      <x:c r="B462" s="21" t="str">
        <x:v>TDAG12</x:v>
      </x:c>
      <x:c r="C462" s="21" t="n">
        <x:v>6</x:v>
      </x:c>
      <x:c r="D462" s="46" t="str">
        <x:f>"+60122504977"</x:f>
        <x:v>+60122504977</x:v>
      </x:c>
      <x:c r="E462" s="21" t="str">
        <x:v>+60122504977</x:v>
      </x:c>
      <x:c r="F462" s="21" t="str">
        <x:v>Member</x:v>
      </x:c>
      <x:c r="G462" s="46" t="str">
        <x:f>"60122504977"</x:f>
        <x:v>60122504977</x:v>
      </x:c>
      <x:c r="H462" s="21" t="str">
        <x:v>Yes</x:v>
      </x:c>
      <x:c r="I462" s="21" t="str">
        <x:v>No</x:v>
      </x:c>
      <x:c r="J462" s="21" t="str">
        <x:v>No</x:v>
      </x:c>
      <x:c r="K462" s="21" t="str">
        <x:v>Included</x:v>
      </x:c>
      <x:c r="L462" s="21" t="str">
        <x:v>Peserta</x:v>
      </x:c>
    </x:row>
    <x:row r="463">
      <x:c r="A463" s="21" t="str">
        <x:v>whatsapp_group_numbers TDAG12.csv</x:v>
      </x:c>
      <x:c r="B463" s="21" t="str">
        <x:v>TDAG12</x:v>
      </x:c>
      <x:c r="C463" s="21" t="n">
        <x:v>7</x:v>
      </x:c>
      <x:c r="D463" s="46" t="str">
        <x:f>"+60177810146"</x:f>
        <x:v>+60177810146</x:v>
      </x:c>
      <x:c r="E463" s="21" t="str">
        <x:v>+60177810146</x:v>
      </x:c>
      <x:c r="F463" s="21" t="str">
        <x:v>Member</x:v>
      </x:c>
      <x:c r="G463" s="46" t="str">
        <x:f>"60177810146"</x:f>
        <x:v>60177810146</x:v>
      </x:c>
      <x:c r="H463" s="21" t="str">
        <x:v>Yes</x:v>
      </x:c>
      <x:c r="I463" s="21" t="str">
        <x:v>No</x:v>
      </x:c>
      <x:c r="J463" s="21" t="str">
        <x:v>No</x:v>
      </x:c>
      <x:c r="K463" s="21" t="str">
        <x:v>Included</x:v>
      </x:c>
      <x:c r="L463" s="21" t="str">
        <x:v>Peserta</x:v>
      </x:c>
    </x:row>
    <x:row r="464">
      <x:c r="A464" s="21" t="str">
        <x:v>whatsapp_group_numbers TDAG12.csv</x:v>
      </x:c>
      <x:c r="B464" s="21" t="str">
        <x:v>TDAG12</x:v>
      </x:c>
      <x:c r="C464" s="21" t="n">
        <x:v>8</x:v>
      </x:c>
      <x:c r="D464" s="46" t="str">
        <x:f>"+60177027348"</x:f>
        <x:v>+60177027348</x:v>
      </x:c>
      <x:c r="E464" s="21" t="str">
        <x:v>+60177027348</x:v>
      </x:c>
      <x:c r="F464" s="21" t="str">
        <x:v>Member</x:v>
      </x:c>
      <x:c r="G464" s="46" t="str">
        <x:f>"60177027348"</x:f>
        <x:v>60177027348</x:v>
      </x:c>
      <x:c r="H464" s="21" t="str">
        <x:v>Yes</x:v>
      </x:c>
      <x:c r="I464" s="21" t="str">
        <x:v>No</x:v>
      </x:c>
      <x:c r="J464" s="21" t="str">
        <x:v>No</x:v>
      </x:c>
      <x:c r="K464" s="21" t="str">
        <x:v>Included</x:v>
      </x:c>
      <x:c r="L464" s="21" t="str">
        <x:v>Peserta</x:v>
      </x:c>
    </x:row>
    <x:row r="465">
      <x:c r="A465" s="21" t="str">
        <x:v>whatsapp_group_numbers TDAG12.csv</x:v>
      </x:c>
      <x:c r="B465" s="21" t="str">
        <x:v>TDAG12</x:v>
      </x:c>
      <x:c r="C465" s="21" t="n">
        <x:v>9</x:v>
      </x:c>
      <x:c r="D465" s="46" t="str">
        <x:f>"+60102711661"</x:f>
        <x:v>+60102711661</x:v>
      </x:c>
      <x:c r="E465" s="21" t="str">
        <x:v>+60102711661</x:v>
      </x:c>
      <x:c r="F465" s="21" t="str">
        <x:v>Member</x:v>
      </x:c>
      <x:c r="G465" s="46" t="str">
        <x:f>"60102711661"</x:f>
        <x:v>60102711661</x:v>
      </x:c>
      <x:c r="H465" s="21" t="str">
        <x:v>Yes</x:v>
      </x:c>
      <x:c r="I465" s="21" t="str">
        <x:v>No</x:v>
      </x:c>
      <x:c r="J465" s="21" t="str">
        <x:v>No</x:v>
      </x:c>
      <x:c r="K465" s="21" t="str">
        <x:v>Included</x:v>
      </x:c>
      <x:c r="L465" s="21" t="str">
        <x:v>Peserta</x:v>
      </x:c>
    </x:row>
    <x:row r="466">
      <x:c r="A466" s="21" t="str">
        <x:v>whatsapp_group_numbers TDAG12.csv</x:v>
      </x:c>
      <x:c r="B466" s="21" t="str">
        <x:v>TDAG12</x:v>
      </x:c>
      <x:c r="C466" s="21" t="n">
        <x:v>10</x:v>
      </x:c>
      <x:c r="D466" s="46" t="str">
        <x:f>"+60139574534"</x:f>
        <x:v>+60139574534</x:v>
      </x:c>
      <x:c r="E466" s="21" t="str">
        <x:v>+60139574534</x:v>
      </x:c>
      <x:c r="F466" s="21" t="str">
        <x:v>Member</x:v>
      </x:c>
      <x:c r="G466" s="46" t="str">
        <x:f>"60139574534"</x:f>
        <x:v>60139574534</x:v>
      </x:c>
      <x:c r="H466" s="21" t="str">
        <x:v>Yes</x:v>
      </x:c>
      <x:c r="I466" s="21" t="str">
        <x:v>No</x:v>
      </x:c>
      <x:c r="J466" s="21" t="str">
        <x:v>No</x:v>
      </x:c>
      <x:c r="K466" s="21" t="str">
        <x:v>Included</x:v>
      </x:c>
      <x:c r="L466" s="21" t="str">
        <x:v>Peserta</x:v>
      </x:c>
    </x:row>
    <x:row r="467">
      <x:c r="A467" s="21" t="str">
        <x:v>whatsapp_group_numbers TDAG12.csv</x:v>
      </x:c>
      <x:c r="B467" s="21" t="str">
        <x:v>TDAG12</x:v>
      </x:c>
      <x:c r="C467" s="21" t="n">
        <x:v>11</x:v>
      </x:c>
      <x:c r="D467" s="46" t="str">
        <x:f>"+60163923932"</x:f>
        <x:v>+60163923932</x:v>
      </x:c>
      <x:c r="E467" s="21" t="str">
        <x:v>+60163923932</x:v>
      </x:c>
      <x:c r="F467" s="21" t="str">
        <x:v>Member</x:v>
      </x:c>
      <x:c r="G467" s="46" t="str">
        <x:f>"60163923932"</x:f>
        <x:v>60163923932</x:v>
      </x:c>
      <x:c r="H467" s="21" t="str">
        <x:v>Yes</x:v>
      </x:c>
      <x:c r="I467" s="21" t="str">
        <x:v>No</x:v>
      </x:c>
      <x:c r="J467" s="21" t="str">
        <x:v>No</x:v>
      </x:c>
      <x:c r="K467" s="21" t="str">
        <x:v>Included</x:v>
      </x:c>
      <x:c r="L467" s="21" t="str">
        <x:v>Peserta</x:v>
      </x:c>
    </x:row>
    <x:row r="468">
      <x:c r="A468" s="21" t="str">
        <x:v>whatsapp_group_numbers TDAG12.csv</x:v>
      </x:c>
      <x:c r="B468" s="21" t="str">
        <x:v>TDAG12</x:v>
      </x:c>
      <x:c r="C468" s="21" t="n">
        <x:v>12</x:v>
      </x:c>
      <x:c r="D468" s="46" t="str">
        <x:f>"+601110866750"</x:f>
        <x:v>+601110866750</x:v>
      </x:c>
      <x:c r="E468" s="21" t="str">
        <x:v>+601110866750</x:v>
      </x:c>
      <x:c r="F468" s="21" t="str">
        <x:v>Member</x:v>
      </x:c>
      <x:c r="G468" s="46" t="str">
        <x:f>"601110866750"</x:f>
        <x:v>601110866750</x:v>
      </x:c>
      <x:c r="H468" s="21" t="str">
        <x:v>Yes</x:v>
      </x:c>
      <x:c r="I468" s="21" t="str">
        <x:v>No</x:v>
      </x:c>
      <x:c r="J468" s="21" t="str">
        <x:v>No</x:v>
      </x:c>
      <x:c r="K468" s="21" t="str">
        <x:v>Included</x:v>
      </x:c>
      <x:c r="L468" s="21" t="str">
        <x:v>Peserta</x:v>
      </x:c>
    </x:row>
    <x:row r="469">
      <x:c r="A469" s="21" t="str">
        <x:v>whatsapp_group_numbers TDAG12.csv</x:v>
      </x:c>
      <x:c r="B469" s="21" t="str">
        <x:v>TDAG12</x:v>
      </x:c>
      <x:c r="C469" s="21" t="n">
        <x:v>13</x:v>
      </x:c>
      <x:c r="D469" s="46" t="str">
        <x:f>"+60126582016"</x:f>
        <x:v>+60126582016</x:v>
      </x:c>
      <x:c r="E469" s="21" t="str">
        <x:v>+60126582016</x:v>
      </x:c>
      <x:c r="F469" s="21" t="str">
        <x:v>Member</x:v>
      </x:c>
      <x:c r="G469" s="46" t="str">
        <x:f>"60126582016"</x:f>
        <x:v>60126582016</x:v>
      </x:c>
      <x:c r="H469" s="21" t="str">
        <x:v>Yes</x:v>
      </x:c>
      <x:c r="I469" s="21" t="str">
        <x:v>No</x:v>
      </x:c>
      <x:c r="J469" s="21" t="str">
        <x:v>No</x:v>
      </x:c>
      <x:c r="K469" s="21" t="str">
        <x:v>Included</x:v>
      </x:c>
      <x:c r="L469" s="21" t="str">
        <x:v>Peserta</x:v>
      </x:c>
    </x:row>
    <x:row r="470">
      <x:c r="A470" s="21" t="str">
        <x:v>whatsapp_group_numbers TDAG12.csv</x:v>
      </x:c>
      <x:c r="B470" s="21" t="str">
        <x:v>TDAG12</x:v>
      </x:c>
      <x:c r="C470" s="21" t="n">
        <x:v>14</x:v>
      </x:c>
      <x:c r="D470" s="46" t="str">
        <x:f>"+60192580152"</x:f>
        <x:v>+60192580152</x:v>
      </x:c>
      <x:c r="E470" s="21" t="str">
        <x:v>+60192580152</x:v>
      </x:c>
      <x:c r="F470" s="21" t="str">
        <x:v>Member</x:v>
      </x:c>
      <x:c r="G470" s="46" t="str">
        <x:f>"60192580152"</x:f>
        <x:v>60192580152</x:v>
      </x:c>
      <x:c r="H470" s="21" t="str">
        <x:v>Yes</x:v>
      </x:c>
      <x:c r="I470" s="21" t="str">
        <x:v>No</x:v>
      </x:c>
      <x:c r="J470" s="21" t="str">
        <x:v>No</x:v>
      </x:c>
      <x:c r="K470" s="21" t="str">
        <x:v>Included</x:v>
      </x:c>
      <x:c r="L470" s="21" t="str">
        <x:v>Peserta</x:v>
      </x:c>
    </x:row>
    <x:row r="471">
      <x:c r="A471" s="21" t="str">
        <x:v>whatsapp_group_numbers TDAG12.csv</x:v>
      </x:c>
      <x:c r="B471" s="21" t="str">
        <x:v>TDAG12</x:v>
      </x:c>
      <x:c r="C471" s="21" t="n">
        <x:v>15</x:v>
      </x:c>
      <x:c r="D471" s="46" t="str">
        <x:f>"+601154030866"</x:f>
        <x:v>+601154030866</x:v>
      </x:c>
      <x:c r="E471" s="21" t="str">
        <x:v>+601154030866</x:v>
      </x:c>
      <x:c r="F471" s="21" t="str">
        <x:v>Member</x:v>
      </x:c>
      <x:c r="G471" s="46" t="str">
        <x:f>"601154030866"</x:f>
        <x:v>601154030866</x:v>
      </x:c>
      <x:c r="H471" s="21" t="str">
        <x:v>Yes</x:v>
      </x:c>
      <x:c r="I471" s="21" t="str">
        <x:v>No</x:v>
      </x:c>
      <x:c r="J471" s="21" t="str">
        <x:v>No</x:v>
      </x:c>
      <x:c r="K471" s="21" t="str">
        <x:v>Included</x:v>
      </x:c>
      <x:c r="L471" s="21" t="str">
        <x:v>Peserta</x:v>
      </x:c>
    </x:row>
    <x:row r="472">
      <x:c r="A472" s="21" t="str">
        <x:v>whatsapp_group_numbers TDAG12.csv</x:v>
      </x:c>
      <x:c r="B472" s="21" t="str">
        <x:v>TDAG12</x:v>
      </x:c>
      <x:c r="C472" s="21" t="n">
        <x:v>16</x:v>
      </x:c>
      <x:c r="D472" s="46" t="str">
        <x:f>"+60133349966"</x:f>
        <x:v>+60133349966</x:v>
      </x:c>
      <x:c r="E472" s="21" t="str">
        <x:v>+60133349966</x:v>
      </x:c>
      <x:c r="F472" s="21" t="str">
        <x:v>Member</x:v>
      </x:c>
      <x:c r="G472" s="46" t="str">
        <x:f>"60133349966"</x:f>
        <x:v>60133349966</x:v>
      </x:c>
      <x:c r="H472" s="21" t="str">
        <x:v>Yes</x:v>
      </x:c>
      <x:c r="I472" s="21" t="str">
        <x:v>No</x:v>
      </x:c>
      <x:c r="J472" s="21" t="str">
        <x:v>No</x:v>
      </x:c>
      <x:c r="K472" s="21" t="str">
        <x:v>Included</x:v>
      </x:c>
      <x:c r="L472" s="21" t="str">
        <x:v>Peserta</x:v>
      </x:c>
    </x:row>
    <x:row r="473">
      <x:c r="A473" s="21" t="str">
        <x:v>whatsapp_group_numbers TDAG12.csv</x:v>
      </x:c>
      <x:c r="B473" s="21" t="str">
        <x:v>TDAG12</x:v>
      </x:c>
      <x:c r="C473" s="21" t="n">
        <x:v>17</x:v>
      </x:c>
      <x:c r="D473" s="46" t="str">
        <x:f>"+60136060733"</x:f>
        <x:v>+60136060733</x:v>
      </x:c>
      <x:c r="E473" s="21" t="str">
        <x:v>+60136060733</x:v>
      </x:c>
      <x:c r="F473" s="21" t="str">
        <x:v>Member</x:v>
      </x:c>
      <x:c r="G473" s="46" t="str">
        <x:f>"60136060733"</x:f>
        <x:v>60136060733</x:v>
      </x:c>
      <x:c r="H473" s="21" t="str">
        <x:v>Yes</x:v>
      </x:c>
      <x:c r="I473" s="21" t="str">
        <x:v>No</x:v>
      </x:c>
      <x:c r="J473" s="21" t="str">
        <x:v>No</x:v>
      </x:c>
      <x:c r="K473" s="21" t="str">
        <x:v>Included</x:v>
      </x:c>
      <x:c r="L473" s="21" t="str">
        <x:v>Peserta</x:v>
      </x:c>
    </x:row>
    <x:row r="474">
      <x:c r="A474" s="21" t="str">
        <x:v>whatsapp_group_numbers tdag79.csv</x:v>
      </x:c>
      <x:c r="B474" s="21" t="str">
        <x:v>tdag79</x:v>
      </x:c>
      <x:c r="C474" s="21" t="n">
        <x:v>1</x:v>
      </x:c>
      <x:c r="D474" s="46" t="str">
        <x:f>"+60192112178"</x:f>
        <x:v>+60192112178</x:v>
      </x:c>
      <x:c r="E474" s="21" t="str">
        <x:v>Dekma Mdec IM</x:v>
      </x:c>
      <x:c r="F474" s="21" t="str">
        <x:v>Member</x:v>
      </x:c>
      <x:c r="G474" s="46" t="str">
        <x:f>"60192112178"</x:f>
        <x:v>60192112178</x:v>
      </x:c>
      <x:c r="H474" s="21" t="str">
        <x:v>Yes</x:v>
      </x:c>
      <x:c r="I474" s="21" t="str">
        <x:v>No</x:v>
      </x:c>
      <x:c r="J474" s="21" t="str">
        <x:v>No</x:v>
      </x:c>
      <x:c r="K474" s="21" t="str">
        <x:v>Excluded</x:v>
      </x:c>
      <x:c r="L474" s="21" t="str">
        <x:v>Senarai pengecualian manual pengguna</x:v>
      </x:c>
    </x:row>
    <x:row r="475">
      <x:c r="A475" s="21" t="str">
        <x:v>whatsapp_group_numbers tdag79.csv</x:v>
      </x:c>
      <x:c r="B475" s="21" t="str">
        <x:v>tdag79</x:v>
      </x:c>
      <x:c r="C475" s="21" t="n">
        <x:v>2</x:v>
      </x:c>
      <x:c r="D475" s="46" t="str">
        <x:f>"+60174311215"</x:f>
        <x:v>+60174311215</x:v>
      </x:c>
      <x:c r="E475" s="21" t="str">
        <x:v>Dr hariz Mdec Trainer</x:v>
      </x:c>
      <x:c r="F475" s="21" t="str">
        <x:v>Member</x:v>
      </x:c>
      <x:c r="G475" s="46" t="str">
        <x:f>"60174311215"</x:f>
        <x:v>60174311215</x:v>
      </x:c>
      <x:c r="H475" s="21" t="str">
        <x:v>Yes</x:v>
      </x:c>
      <x:c r="I475" s="21" t="str">
        <x:v>No</x:v>
      </x:c>
      <x:c r="J475" s="21" t="str">
        <x:v>No</x:v>
      </x:c>
      <x:c r="K475" s="21" t="str">
        <x:v>Excluded</x:v>
      </x:c>
      <x:c r="L475" s="21" t="str">
        <x:v>Senarai pengecualian manual pengguna</x:v>
      </x:c>
    </x:row>
    <x:row r="476">
      <x:c r="A476" s="21" t="str">
        <x:v>whatsapp_group_numbers tdag79.csv</x:v>
      </x:c>
      <x:c r="B476" s="21" t="str">
        <x:v>tdag79</x:v>
      </x:c>
      <x:c r="C476" s="21" t="n">
        <x:v>3</x:v>
      </x:c>
      <x:c r="D476" s="46" t="str">
        <x:f>"+60133815817"</x:f>
        <x:v>+60133815817</x:v>
      </x:c>
      <x:c r="E476" s="21" t="str">
        <x:v>Kamarul Bahareen Kamarudin</x:v>
      </x:c>
      <x:c r="F476" s="21" t="str">
        <x:v>Member</x:v>
      </x:c>
      <x:c r="G476" s="46" t="str">
        <x:f>"60133815817"</x:f>
        <x:v>60133815817</x:v>
      </x:c>
      <x:c r="H476" s="21" t="str">
        <x:v>Yes</x:v>
      </x:c>
      <x:c r="I476" s="21" t="str">
        <x:v>No</x:v>
      </x:c>
      <x:c r="J476" s="21" t="str">
        <x:v>No</x:v>
      </x:c>
      <x:c r="K476" s="21" t="str">
        <x:v>Excluded</x:v>
      </x:c>
      <x:c r="L476" s="21" t="str">
        <x:v>Pemilik/trainer</x:v>
      </x:c>
    </x:row>
    <x:row r="477">
      <x:c r="A477" s="21" t="str">
        <x:v>whatsapp_group_numbers tdag79.csv</x:v>
      </x:c>
      <x:c r="B477" s="21" t="str">
        <x:v>tdag79</x:v>
      </x:c>
      <x:c r="C477" s="21" t="n">
        <x:v>4</x:v>
      </x:c>
      <x:c r="D477" s="46" t="str">
        <x:f>"+60199635036"</x:f>
        <x:v>+60199635036</x:v>
      </x:c>
      <x:c r="E477" s="21" t="str">
        <x:v>Tuan Faris INSKEN</x:v>
      </x:c>
      <x:c r="F477" s="21" t="str">
        <x:v>Member</x:v>
      </x:c>
      <x:c r="G477" s="46" t="str">
        <x:f>"60199635036"</x:f>
        <x:v>60199635036</x:v>
      </x:c>
      <x:c r="H477" s="21" t="str">
        <x:v>Yes</x:v>
      </x:c>
      <x:c r="I477" s="21" t="str">
        <x:v>No</x:v>
      </x:c>
      <x:c r="J477" s="21" t="str">
        <x:v>Yes</x:v>
      </x:c>
      <x:c r="K477" s="21" t="str">
        <x:v>Excluded</x:v>
      </x:c>
      <x:c r="L477" s="21" t="str">
        <x:v>Nama/nombor dikenal pasti sebagai INSKEN</x:v>
      </x:c>
    </x:row>
    <x:row r="478">
      <x:c r="A478" s="21" t="str">
        <x:v>whatsapp_group_numbers tdag79.csv</x:v>
      </x:c>
      <x:c r="B478" s="21" t="str">
        <x:v>tdag79</x:v>
      </x:c>
      <x:c r="C478" s="21" t="n">
        <x:v>5</x:v>
      </x:c>
      <x:c r="D478" s="46" t="str">
        <x:f>"+60172210214"</x:f>
        <x:v>+60172210214</x:v>
      </x:c>
      <x:c r="E478" s="21" t="str">
        <x:v>Aiman</x:v>
      </x:c>
      <x:c r="F478" s="21" t="str">
        <x:v>Member</x:v>
      </x:c>
      <x:c r="G478" s="46" t="str">
        <x:f>"60172210214"</x:f>
        <x:v>60172210214</x:v>
      </x:c>
      <x:c r="H478" s="21" t="str">
        <x:v>Yes</x:v>
      </x:c>
      <x:c r="I478" s="21" t="str">
        <x:v>No</x:v>
      </x:c>
      <x:c r="J478" s="21" t="str">
        <x:v>No</x:v>
      </x:c>
      <x:c r="K478" s="21" t="str">
        <x:v>Included</x:v>
      </x:c>
      <x:c r="L478" s="21" t="str">
        <x:v>Peserta</x:v>
      </x:c>
    </x:row>
    <x:row r="479">
      <x:c r="A479" s="21" t="str">
        <x:v>whatsapp_group_numbers tdag79.csv</x:v>
      </x:c>
      <x:c r="B479" s="21" t="str">
        <x:v>tdag79</x:v>
      </x:c>
      <x:c r="C479" s="21" t="n">
        <x:v>6</x:v>
      </x:c>
      <x:c r="D479" s="46" t="str">
        <x:f>"+60178434610"</x:f>
        <x:v>+60178434610</x:v>
      </x:c>
      <x:c r="E479" s="21" t="str">
        <x:v>+60178434610</x:v>
      </x:c>
      <x:c r="F479" s="21" t="str">
        <x:v>Member</x:v>
      </x:c>
      <x:c r="G479" s="46" t="str">
        <x:f>"60178434610"</x:f>
        <x:v>60178434610</x:v>
      </x:c>
      <x:c r="H479" s="21" t="str">
        <x:v>Yes</x:v>
      </x:c>
      <x:c r="I479" s="21" t="str">
        <x:v>No</x:v>
      </x:c>
      <x:c r="J479" s="21" t="str">
        <x:v>No</x:v>
      </x:c>
      <x:c r="K479" s="21" t="str">
        <x:v>Included</x:v>
      </x:c>
      <x:c r="L479" s="21" t="str">
        <x:v>Peserta</x:v>
      </x:c>
    </x:row>
    <x:row r="480">
      <x:c r="A480" s="21" t="str">
        <x:v>whatsapp_group_numbers tdag79.csv</x:v>
      </x:c>
      <x:c r="B480" s="21" t="str">
        <x:v>tdag79</x:v>
      </x:c>
      <x:c r="C480" s="21" t="n">
        <x:v>7</x:v>
      </x:c>
      <x:c r="D480" s="46" t="str">
        <x:f>"+601110703110"</x:f>
        <x:v>+601110703110</x:v>
      </x:c>
      <x:c r="E480" s="21" t="str">
        <x:v>+601110703110</x:v>
      </x:c>
      <x:c r="F480" s="21" t="str">
        <x:v>Member</x:v>
      </x:c>
      <x:c r="G480" s="46" t="str">
        <x:f>"601110703110"</x:f>
        <x:v>601110703110</x:v>
      </x:c>
      <x:c r="H480" s="21" t="str">
        <x:v>Yes</x:v>
      </x:c>
      <x:c r="I480" s="21" t="str">
        <x:v>No</x:v>
      </x:c>
      <x:c r="J480" s="21" t="str">
        <x:v>No</x:v>
      </x:c>
      <x:c r="K480" s="21" t="str">
        <x:v>Included</x:v>
      </x:c>
      <x:c r="L480" s="21" t="str">
        <x:v>Peserta</x:v>
      </x:c>
    </x:row>
    <x:row r="481">
      <x:c r="A481" s="21" t="str">
        <x:v>whatsapp_group_numbers tdag79.csv</x:v>
      </x:c>
      <x:c r="B481" s="21" t="str">
        <x:v>tdag79</x:v>
      </x:c>
      <x:c r="C481" s="21" t="n">
        <x:v>8</x:v>
      </x:c>
      <x:c r="D481" s="46" t="str">
        <x:f>"+601162271213"</x:f>
        <x:v>+601162271213</x:v>
      </x:c>
      <x:c r="E481" s="21" t="str">
        <x:v>+601162271213</x:v>
      </x:c>
      <x:c r="F481" s="21" t="str">
        <x:v>Member</x:v>
      </x:c>
      <x:c r="G481" s="46" t="str">
        <x:f>"601162271213"</x:f>
        <x:v>601162271213</x:v>
      </x:c>
      <x:c r="H481" s="21" t="str">
        <x:v>Yes</x:v>
      </x:c>
      <x:c r="I481" s="21" t="str">
        <x:v>No</x:v>
      </x:c>
      <x:c r="J481" s="21" t="str">
        <x:v>No</x:v>
      </x:c>
      <x:c r="K481" s="21" t="str">
        <x:v>Included</x:v>
      </x:c>
      <x:c r="L481" s="21" t="str">
        <x:v>Peserta</x:v>
      </x:c>
    </x:row>
    <x:row r="482">
      <x:c r="A482" s="21" t="str">
        <x:v>whatsapp_group_numbers tdag79.csv</x:v>
      </x:c>
      <x:c r="B482" s="21" t="str">
        <x:v>tdag79</x:v>
      </x:c>
      <x:c r="C482" s="21" t="n">
        <x:v>9</x:v>
      </x:c>
      <x:c r="D482" s="46" t="str">
        <x:f>"+601162136265"</x:f>
        <x:v>+601162136265</x:v>
      </x:c>
      <x:c r="E482" s="21" t="str">
        <x:v>+601162136265</x:v>
      </x:c>
      <x:c r="F482" s="21" t="str">
        <x:v>Member</x:v>
      </x:c>
      <x:c r="G482" s="46" t="str">
        <x:f>"601162136265"</x:f>
        <x:v>601162136265</x:v>
      </x:c>
      <x:c r="H482" s="21" t="str">
        <x:v>Yes</x:v>
      </x:c>
      <x:c r="I482" s="21" t="str">
        <x:v>No</x:v>
      </x:c>
      <x:c r="J482" s="21" t="str">
        <x:v>No</x:v>
      </x:c>
      <x:c r="K482" s="21" t="str">
        <x:v>Included</x:v>
      </x:c>
      <x:c r="L482" s="21" t="str">
        <x:v>Peserta</x:v>
      </x:c>
    </x:row>
    <x:row r="483">
      <x:c r="A483" s="21" t="str">
        <x:v>whatsapp_group_numbers tdag79.csv</x:v>
      </x:c>
      <x:c r="B483" s="21" t="str">
        <x:v>tdag79</x:v>
      </x:c>
      <x:c r="C483" s="21" t="n">
        <x:v>10</x:v>
      </x:c>
      <x:c r="D483" s="46" t="str">
        <x:f>"+60137970783"</x:f>
        <x:v>+60137970783</x:v>
      </x:c>
      <x:c r="E483" s="21" t="str">
        <x:v>+60137970783</x:v>
      </x:c>
      <x:c r="F483" s="21" t="str">
        <x:v>Member</x:v>
      </x:c>
      <x:c r="G483" s="46" t="str">
        <x:f>"60137970783"</x:f>
        <x:v>60137970783</x:v>
      </x:c>
      <x:c r="H483" s="21" t="str">
        <x:v>Yes</x:v>
      </x:c>
      <x:c r="I483" s="21" t="str">
        <x:v>No</x:v>
      </x:c>
      <x:c r="J483" s="21" t="str">
        <x:v>No</x:v>
      </x:c>
      <x:c r="K483" s="21" t="str">
        <x:v>Included</x:v>
      </x:c>
      <x:c r="L483" s="21" t="str">
        <x:v>Peserta</x:v>
      </x:c>
    </x:row>
    <x:row r="484">
      <x:c r="A484" s="21" t="str">
        <x:v>whatsapp_group_numbers tdag79.csv</x:v>
      </x:c>
      <x:c r="B484" s="21" t="str">
        <x:v>tdag79</x:v>
      </x:c>
      <x:c r="C484" s="21" t="n">
        <x:v>11</x:v>
      </x:c>
      <x:c r="D484" s="46" t="str">
        <x:f>"+60175733421"</x:f>
        <x:v>+60175733421</x:v>
      </x:c>
      <x:c r="E484" s="21" t="str">
        <x:v>+60175733421</x:v>
      </x:c>
      <x:c r="F484" s="21" t="str">
        <x:v>Member</x:v>
      </x:c>
      <x:c r="G484" s="46" t="str">
        <x:f>"60175733421"</x:f>
        <x:v>60175733421</x:v>
      </x:c>
      <x:c r="H484" s="21" t="str">
        <x:v>Yes</x:v>
      </x:c>
      <x:c r="I484" s="21" t="str">
        <x:v>No</x:v>
      </x:c>
      <x:c r="J484" s="21" t="str">
        <x:v>No</x:v>
      </x:c>
      <x:c r="K484" s="21" t="str">
        <x:v>Included</x:v>
      </x:c>
      <x:c r="L484" s="21" t="str">
        <x:v>Peserta</x:v>
      </x:c>
    </x:row>
    <x:row r="485">
      <x:c r="A485" s="21" t="str">
        <x:v>whatsapp_group_numbers tdag79.csv</x:v>
      </x:c>
      <x:c r="B485" s="21" t="str">
        <x:v>tdag79</x:v>
      </x:c>
      <x:c r="C485" s="21" t="n">
        <x:v>12</x:v>
      </x:c>
      <x:c r="D485" s="46" t="str">
        <x:f>"+60179401769"</x:f>
        <x:v>+60179401769</x:v>
      </x:c>
      <x:c r="E485" s="21" t="str">
        <x:v>+60179401769</x:v>
      </x:c>
      <x:c r="F485" s="21" t="str">
        <x:v>Member</x:v>
      </x:c>
      <x:c r="G485" s="46" t="str">
        <x:f>"60179401769"</x:f>
        <x:v>60179401769</x:v>
      </x:c>
      <x:c r="H485" s="21" t="str">
        <x:v>Yes</x:v>
      </x:c>
      <x:c r="I485" s="21" t="str">
        <x:v>No</x:v>
      </x:c>
      <x:c r="J485" s="21" t="str">
        <x:v>No</x:v>
      </x:c>
      <x:c r="K485" s="21" t="str">
        <x:v>Included</x:v>
      </x:c>
      <x:c r="L485" s="21" t="str">
        <x:v>Peserta</x:v>
      </x:c>
    </x:row>
    <x:row r="486">
      <x:c r="A486" s="21" t="str">
        <x:v>whatsapp_group_numbers tdag79.csv</x:v>
      </x:c>
      <x:c r="B486" s="21" t="str">
        <x:v>tdag79</x:v>
      </x:c>
      <x:c r="C486" s="21" t="n">
        <x:v>13</x:v>
      </x:c>
      <x:c r="D486" s="46" t="str">
        <x:f>"+60122715250"</x:f>
        <x:v>+60122715250</x:v>
      </x:c>
      <x:c r="E486" s="21" t="str">
        <x:v>+60122715250</x:v>
      </x:c>
      <x:c r="F486" s="21" t="str">
        <x:v>Member</x:v>
      </x:c>
      <x:c r="G486" s="46" t="str">
        <x:f>"60122715250"</x:f>
        <x:v>60122715250</x:v>
      </x:c>
      <x:c r="H486" s="21" t="str">
        <x:v>Yes</x:v>
      </x:c>
      <x:c r="I486" s="21" t="str">
        <x:v>No</x:v>
      </x:c>
      <x:c r="J486" s="21" t="str">
        <x:v>No</x:v>
      </x:c>
      <x:c r="K486" s="21" t="str">
        <x:v>Included</x:v>
      </x:c>
      <x:c r="L486" s="21" t="str">
        <x:v>Peserta</x:v>
      </x:c>
    </x:row>
    <x:row r="487">
      <x:c r="A487" s="21" t="str">
        <x:v>whatsapp_group_numbers ti9596.csv</x:v>
      </x:c>
      <x:c r="B487" s="21" t="str">
        <x:v>ti9596</x:v>
      </x:c>
      <x:c r="C487" s="21" t="n">
        <x:v>1</x:v>
      </x:c>
      <x:c r="D487" s="46" t="str">
        <x:f>"+60133815817"</x:f>
        <x:v>+60133815817</x:v>
      </x:c>
      <x:c r="E487" s="21" t="str">
        <x:v>Kamarul Bahareen Kamarudin</x:v>
      </x:c>
      <x:c r="F487" s="21" t="str">
        <x:v>Member</x:v>
      </x:c>
      <x:c r="G487" s="46" t="str">
        <x:f>"60133815817"</x:f>
        <x:v>60133815817</x:v>
      </x:c>
      <x:c r="H487" s="21" t="str">
        <x:v>Yes</x:v>
      </x:c>
      <x:c r="I487" s="21" t="str">
        <x:v>No</x:v>
      </x:c>
      <x:c r="J487" s="21" t="str">
        <x:v>No</x:v>
      </x:c>
      <x:c r="K487" s="21" t="str">
        <x:v>Excluded</x:v>
      </x:c>
      <x:c r="L487" s="21" t="str">
        <x:v>Pemilik/trainer</x:v>
      </x:c>
    </x:row>
    <x:row r="488">
      <x:c r="A488" s="21" t="str">
        <x:v>whatsapp_group_numbers ti9596.csv</x:v>
      </x:c>
      <x:c r="B488" s="21" t="str">
        <x:v>ti9596</x:v>
      </x:c>
      <x:c r="C488" s="21" t="n">
        <x:v>2</x:v>
      </x:c>
      <x:c r="D488" s="46" t="str">
        <x:f>"+60133972610"</x:f>
        <x:v>+60133972610</x:v>
      </x:c>
      <x:c r="E488" s="21" t="str">
        <x:v>Ustaz Nazir</x:v>
      </x:c>
      <x:c r="F488" s="21" t="str">
        <x:v>Member</x:v>
      </x:c>
      <x:c r="G488" s="46" t="str">
        <x:f>"60133972610"</x:f>
        <x:v>60133972610</x:v>
      </x:c>
      <x:c r="H488" s="21" t="str">
        <x:v>Yes</x:v>
      </x:c>
      <x:c r="I488" s="21" t="str">
        <x:v>No</x:v>
      </x:c>
      <x:c r="J488" s="21" t="str">
        <x:v>No</x:v>
      </x:c>
      <x:c r="K488" s="21" t="str">
        <x:v>Included</x:v>
      </x:c>
      <x:c r="L488" s="21" t="str">
        <x:v>Peserta</x:v>
      </x:c>
    </x:row>
    <x:row r="489">
      <x:c r="A489" s="21" t="str">
        <x:v>whatsapp_group_numbers ti9596.csv</x:v>
      </x:c>
      <x:c r="B489" s="21" t="str">
        <x:v>ti9596</x:v>
      </x:c>
      <x:c r="C489" s="21" t="n">
        <x:v>3</x:v>
      </x:c>
      <x:c r="D489" s="46" t="str">
        <x:f>"+60127229634"</x:f>
        <x:v>+60127229634</x:v>
      </x:c>
      <x:c r="E489" s="21" t="str">
        <x:v>@SfynHady</x:v>
      </x:c>
      <x:c r="F489" s="21" t="str">
        <x:v>Member</x:v>
      </x:c>
      <x:c r="G489" s="46" t="str">
        <x:f>"60127229634"</x:f>
        <x:v>60127229634</x:v>
      </x:c>
      <x:c r="H489" s="21" t="str">
        <x:v>Yes</x:v>
      </x:c>
      <x:c r="I489" s="21" t="str">
        <x:v>No</x:v>
      </x:c>
      <x:c r="J489" s="21" t="str">
        <x:v>No</x:v>
      </x:c>
      <x:c r="K489" s="21" t="str">
        <x:v>Included</x:v>
      </x:c>
      <x:c r="L489" s="21" t="str">
        <x:v>Peserta</x:v>
      </x:c>
    </x:row>
    <x:row r="490">
      <x:c r="A490" s="21" t="str">
        <x:v>whatsapp_group_numbers ti9596.csv</x:v>
      </x:c>
      <x:c r="B490" s="21" t="str">
        <x:v>ti9596</x:v>
      </x:c>
      <x:c r="C490" s="21" t="n">
        <x:v>4</x:v>
      </x:c>
      <x:c r="D490" s="46" t="str">
        <x:f>"+60126173491"</x:f>
        <x:v>+60126173491</x:v>
      </x:c>
      <x:c r="E490" s="21" t="str">
        <x:v>+60126173491</x:v>
      </x:c>
      <x:c r="F490" s="21" t="str">
        <x:v>Member</x:v>
      </x:c>
      <x:c r="G490" s="46" t="str">
        <x:f>"60126173491"</x:f>
        <x:v>60126173491</x:v>
      </x:c>
      <x:c r="H490" s="21" t="str">
        <x:v>Yes</x:v>
      </x:c>
      <x:c r="I490" s="21" t="str">
        <x:v>No</x:v>
      </x:c>
      <x:c r="J490" s="21" t="str">
        <x:v>No</x:v>
      </x:c>
      <x:c r="K490" s="21" t="str">
        <x:v>Included</x:v>
      </x:c>
      <x:c r="L490" s="21" t="str">
        <x:v>Peserta</x:v>
      </x:c>
    </x:row>
    <x:row r="491">
      <x:c r="A491" s="21" t="str">
        <x:v>whatsapp_group_numbers ti9596.csv</x:v>
      </x:c>
      <x:c r="B491" s="21" t="str">
        <x:v>ti9596</x:v>
      </x:c>
      <x:c r="C491" s="21" t="n">
        <x:v>5</x:v>
      </x:c>
      <x:c r="D491" s="46" t="str">
        <x:f>"+60125556854"</x:f>
        <x:v>+60125556854</x:v>
      </x:c>
      <x:c r="E491" s="21" t="str">
        <x:v>+60125556854</x:v>
      </x:c>
      <x:c r="F491" s="21" t="str">
        <x:v>Member</x:v>
      </x:c>
      <x:c r="G491" s="46" t="str">
        <x:f>"60125556854"</x:f>
        <x:v>60125556854</x:v>
      </x:c>
      <x:c r="H491" s="21" t="str">
        <x:v>Yes</x:v>
      </x:c>
      <x:c r="I491" s="21" t="str">
        <x:v>No</x:v>
      </x:c>
      <x:c r="J491" s="21" t="str">
        <x:v>No</x:v>
      </x:c>
      <x:c r="K491" s="21" t="str">
        <x:v>Included</x:v>
      </x:c>
      <x:c r="L491" s="21" t="str">
        <x:v>Peserta</x:v>
      </x:c>
    </x:row>
    <x:row r="492">
      <x:c r="A492" s="21" t="str">
        <x:v>whatsapp_group_numbers ti9596.csv</x:v>
      </x:c>
      <x:c r="B492" s="21" t="str">
        <x:v>ti9596</x:v>
      </x:c>
      <x:c r="C492" s="21" t="n">
        <x:v>6</x:v>
      </x:c>
      <x:c r="D492" s="46" t="str">
        <x:f>"+60148761982"</x:f>
        <x:v>+60148761982</x:v>
      </x:c>
      <x:c r="E492" s="21" t="str">
        <x:v>+60148761982</x:v>
      </x:c>
      <x:c r="F492" s="21" t="str">
        <x:v>Member</x:v>
      </x:c>
      <x:c r="G492" s="46" t="str">
        <x:f>"60148761982"</x:f>
        <x:v>60148761982</x:v>
      </x:c>
      <x:c r="H492" s="21" t="str">
        <x:v>Yes</x:v>
      </x:c>
      <x:c r="I492" s="21" t="str">
        <x:v>No</x:v>
      </x:c>
      <x:c r="J492" s="21" t="str">
        <x:v>No</x:v>
      </x:c>
      <x:c r="K492" s="21" t="str">
        <x:v>Included</x:v>
      </x:c>
      <x:c r="L492" s="21" t="str">
        <x:v>Peserta</x:v>
      </x:c>
    </x:row>
    <x:row r="493">
      <x:c r="A493" s="21" t="str">
        <x:v>whatsapp_group_numbers ti9596.csv</x:v>
      </x:c>
      <x:c r="B493" s="21" t="str">
        <x:v>ti9596</x:v>
      </x:c>
      <x:c r="C493" s="21" t="n">
        <x:v>7</x:v>
      </x:c>
      <x:c r="D493" s="46" t="str">
        <x:f>"+60194880706"</x:f>
        <x:v>+60194880706</x:v>
      </x:c>
      <x:c r="E493" s="21" t="str">
        <x:v>+60194880706</x:v>
      </x:c>
      <x:c r="F493" s="21" t="str">
        <x:v>Member</x:v>
      </x:c>
      <x:c r="G493" s="46" t="str">
        <x:f>"60194880706"</x:f>
        <x:v>60194880706</x:v>
      </x:c>
      <x:c r="H493" s="21" t="str">
        <x:v>Yes</x:v>
      </x:c>
      <x:c r="I493" s="21" t="str">
        <x:v>No</x:v>
      </x:c>
      <x:c r="J493" s="21" t="str">
        <x:v>No</x:v>
      </x:c>
      <x:c r="K493" s="21" t="str">
        <x:v>Included</x:v>
      </x:c>
      <x:c r="L493" s="21" t="str">
        <x:v>Peserta</x:v>
      </x:c>
    </x:row>
    <x:row r="494">
      <x:c r="A494" s="21" t="str">
        <x:v>whatsapp_group_numbers ti9596.csv</x:v>
      </x:c>
      <x:c r="B494" s="21" t="str">
        <x:v>ti9596</x:v>
      </x:c>
      <x:c r="C494" s="21" t="n">
        <x:v>8</x:v>
      </x:c>
      <x:c r="D494" s="46" t="str">
        <x:f>"+60122475799"</x:f>
        <x:v>+60122475799</x:v>
      </x:c>
      <x:c r="E494" s="21" t="str">
        <x:v>+60122475799</x:v>
      </x:c>
      <x:c r="F494" s="21" t="str">
        <x:v>Member</x:v>
      </x:c>
      <x:c r="G494" s="46" t="str">
        <x:f>"60122475799"</x:f>
        <x:v>60122475799</x:v>
      </x:c>
      <x:c r="H494" s="21" t="str">
        <x:v>Yes</x:v>
      </x:c>
      <x:c r="I494" s="21" t="str">
        <x:v>No</x:v>
      </x:c>
      <x:c r="J494" s="21" t="str">
        <x:v>No</x:v>
      </x:c>
      <x:c r="K494" s="21" t="str">
        <x:v>Included</x:v>
      </x:c>
      <x:c r="L494" s="21" t="str">
        <x:v>Peserta</x:v>
      </x:c>
    </x:row>
    <x:row r="495">
      <x:c r="A495" s="21" t="str">
        <x:v>whatsapp_group_numbers ti9596.csv</x:v>
      </x:c>
      <x:c r="B495" s="21" t="str">
        <x:v>ti9596</x:v>
      </x:c>
      <x:c r="C495" s="21" t="n">
        <x:v>9</x:v>
      </x:c>
      <x:c r="D495" s="46" t="str">
        <x:f>"+60124747040"</x:f>
        <x:v>+60124747040</x:v>
      </x:c>
      <x:c r="E495" s="21" t="str">
        <x:v>+60124747040</x:v>
      </x:c>
      <x:c r="F495" s="21" t="str">
        <x:v>Member</x:v>
      </x:c>
      <x:c r="G495" s="46" t="str">
        <x:f>"60124747040"</x:f>
        <x:v>60124747040</x:v>
      </x:c>
      <x:c r="H495" s="21" t="str">
        <x:v>Yes</x:v>
      </x:c>
      <x:c r="I495" s="21" t="str">
        <x:v>No</x:v>
      </x:c>
      <x:c r="J495" s="21" t="str">
        <x:v>No</x:v>
      </x:c>
      <x:c r="K495" s="21" t="str">
        <x:v>Included</x:v>
      </x:c>
      <x:c r="L495" s="21" t="str">
        <x:v>Peserta</x:v>
      </x:c>
    </x:row>
    <x:row r="496">
      <x:c r="A496" s="21" t="str">
        <x:v>whatsapp_group_numbers ti9596.csv</x:v>
      </x:c>
      <x:c r="B496" s="21" t="str">
        <x:v>ti9596</x:v>
      </x:c>
      <x:c r="C496" s="21" t="n">
        <x:v>10</x:v>
      </x:c>
      <x:c r="D496" s="46" t="str">
        <x:f>"+60125238531"</x:f>
        <x:v>+60125238531</x:v>
      </x:c>
      <x:c r="E496" s="21" t="str">
        <x:v>+60125238531</x:v>
      </x:c>
      <x:c r="F496" s="21" t="str">
        <x:v>Member</x:v>
      </x:c>
      <x:c r="G496" s="46" t="str">
        <x:f>"60125238531"</x:f>
        <x:v>60125238531</x:v>
      </x:c>
      <x:c r="H496" s="21" t="str">
        <x:v>Yes</x:v>
      </x:c>
      <x:c r="I496" s="21" t="str">
        <x:v>No</x:v>
      </x:c>
      <x:c r="J496" s="21" t="str">
        <x:v>No</x:v>
      </x:c>
      <x:c r="K496" s="21" t="str">
        <x:v>Included</x:v>
      </x:c>
      <x:c r="L496" s="21" t="str">
        <x:v>Peserta</x:v>
      </x:c>
    </x:row>
    <x:row r="497">
      <x:c r="A497" s="21" t="str">
        <x:v>whatsapp_group_numbers ti9596.csv</x:v>
      </x:c>
      <x:c r="B497" s="21" t="str">
        <x:v>ti9596</x:v>
      </x:c>
      <x:c r="C497" s="21" t="n">
        <x:v>11</x:v>
      </x:c>
      <x:c r="D497" s="46" t="str">
        <x:f>"+60163113384"</x:f>
        <x:v>+60163113384</x:v>
      </x:c>
      <x:c r="E497" s="21" t="str">
        <x:v>+60163113384</x:v>
      </x:c>
      <x:c r="F497" s="21" t="str">
        <x:v>Member</x:v>
      </x:c>
      <x:c r="G497" s="46" t="str">
        <x:f>"60163113384"</x:f>
        <x:v>60163113384</x:v>
      </x:c>
      <x:c r="H497" s="21" t="str">
        <x:v>Yes</x:v>
      </x:c>
      <x:c r="I497" s="21" t="str">
        <x:v>No</x:v>
      </x:c>
      <x:c r="J497" s="21" t="str">
        <x:v>No</x:v>
      </x:c>
      <x:c r="K497" s="21" t="str">
        <x:v>Included</x:v>
      </x:c>
      <x:c r="L497" s="21" t="str">
        <x:v>Peserta</x:v>
      </x:c>
    </x:row>
    <x:row r="498">
      <x:c r="A498" s="21" t="str">
        <x:v>whatsapp_group_numbers ti9596.csv</x:v>
      </x:c>
      <x:c r="B498" s="21" t="str">
        <x:v>ti9596</x:v>
      </x:c>
      <x:c r="C498" s="21" t="n">
        <x:v>12</x:v>
      </x:c>
      <x:c r="D498" s="46" t="str">
        <x:f>"+60124135634"</x:f>
        <x:v>+60124135634</x:v>
      </x:c>
      <x:c r="E498" s="21" t="str">
        <x:v>+60124135634</x:v>
      </x:c>
      <x:c r="F498" s="21" t="str">
        <x:v>Member</x:v>
      </x:c>
      <x:c r="G498" s="46" t="str">
        <x:f>"60124135634"</x:f>
        <x:v>60124135634</x:v>
      </x:c>
      <x:c r="H498" s="21" t="str">
        <x:v>Yes</x:v>
      </x:c>
      <x:c r="I498" s="21" t="str">
        <x:v>No</x:v>
      </x:c>
      <x:c r="J498" s="21" t="str">
        <x:v>No</x:v>
      </x:c>
      <x:c r="K498" s="21" t="str">
        <x:v>Included</x:v>
      </x:c>
      <x:c r="L498" s="21" t="str">
        <x:v>Peserta</x:v>
      </x:c>
    </x:row>
    <x:row r="499">
      <x:c r="A499" s="21" t="str">
        <x:v>whatsapp_group_numbers ti9596.csv</x:v>
      </x:c>
      <x:c r="B499" s="21" t="str">
        <x:v>ti9596</x:v>
      </x:c>
      <x:c r="C499" s="21" t="n">
        <x:v>13</x:v>
      </x:c>
      <x:c r="D499" s="46" t="str">
        <x:f>"+60166267784"</x:f>
        <x:v>+60166267784</x:v>
      </x:c>
      <x:c r="E499" s="21" t="str">
        <x:v>+60166267784</x:v>
      </x:c>
      <x:c r="F499" s="21" t="str">
        <x:v>Member</x:v>
      </x:c>
      <x:c r="G499" s="46" t="str">
        <x:f>"60166267784"</x:f>
        <x:v>60166267784</x:v>
      </x:c>
      <x:c r="H499" s="21" t="str">
        <x:v>Yes</x:v>
      </x:c>
      <x:c r="I499" s="21" t="str">
        <x:v>No</x:v>
      </x:c>
      <x:c r="J499" s="21" t="str">
        <x:v>No</x:v>
      </x:c>
      <x:c r="K499" s="21" t="str">
        <x:v>Included</x:v>
      </x:c>
      <x:c r="L499" s="21" t="str">
        <x:v>Peserta</x:v>
      </x:c>
    </x:row>
    <x:row r="500">
      <x:c r="A500" s="21" t="str">
        <x:v>whatsapp_group_numbers ti9596.csv</x:v>
      </x:c>
      <x:c r="B500" s="21" t="str">
        <x:v>ti9596</x:v>
      </x:c>
      <x:c r="C500" s="21" t="n">
        <x:v>14</x:v>
      </x:c>
      <x:c r="D500" s="46" t="str">
        <x:f>"+60199596579"</x:f>
        <x:v>+60199596579</x:v>
      </x:c>
      <x:c r="E500" s="21" t="str">
        <x:v>+60199596579</x:v>
      </x:c>
      <x:c r="F500" s="21" t="str">
        <x:v>Member</x:v>
      </x:c>
      <x:c r="G500" s="46" t="str">
        <x:f>"60199596579"</x:f>
        <x:v>60199596579</x:v>
      </x:c>
      <x:c r="H500" s="21" t="str">
        <x:v>Yes</x:v>
      </x:c>
      <x:c r="I500" s="21" t="str">
        <x:v>No</x:v>
      </x:c>
      <x:c r="J500" s="21" t="str">
        <x:v>No</x:v>
      </x:c>
      <x:c r="K500" s="21" t="str">
        <x:v>Included</x:v>
      </x:c>
      <x:c r="L500" s="21" t="str">
        <x:v>Peserta</x:v>
      </x:c>
    </x:row>
    <x:row r="501">
      <x:c r="A501" s="21" t="str">
        <x:v>whatsapp_group_numbers ti9596.csv</x:v>
      </x:c>
      <x:c r="B501" s="21" t="str">
        <x:v>ti9596</x:v>
      </x:c>
      <x:c r="C501" s="21" t="n">
        <x:v>15</x:v>
      </x:c>
      <x:c r="D501" s="46" t="str">
        <x:f>"+601114411064"</x:f>
        <x:v>+601114411064</x:v>
      </x:c>
      <x:c r="E501" s="21" t="str">
        <x:v>+601114411064</x:v>
      </x:c>
      <x:c r="F501" s="21" t="str">
        <x:v>Member</x:v>
      </x:c>
      <x:c r="G501" s="46" t="str">
        <x:f>"601114411064"</x:f>
        <x:v>601114411064</x:v>
      </x:c>
      <x:c r="H501" s="21" t="str">
        <x:v>Yes</x:v>
      </x:c>
      <x:c r="I501" s="21" t="str">
        <x:v>No</x:v>
      </x:c>
      <x:c r="J501" s="21" t="str">
        <x:v>No</x:v>
      </x:c>
      <x:c r="K501" s="21" t="str">
        <x:v>Included</x:v>
      </x:c>
      <x:c r="L501" s="21" t="str">
        <x:v>Peserta</x:v>
      </x:c>
    </x:row>
    <x:row r="502">
      <x:c r="A502" s="21" t="str">
        <x:v>whatsapp_group_numbers ti9596.csv</x:v>
      </x:c>
      <x:c r="B502" s="21" t="str">
        <x:v>ti9596</x:v>
      </x:c>
      <x:c r="C502" s="21" t="n">
        <x:v>16</x:v>
      </x:c>
      <x:c r="D502" s="46" t="str">
        <x:f>"+60125758964"</x:f>
        <x:v>+60125758964</x:v>
      </x:c>
      <x:c r="E502" s="21" t="str">
        <x:v>+60125758964</x:v>
      </x:c>
      <x:c r="F502" s="21" t="str">
        <x:v>Member</x:v>
      </x:c>
      <x:c r="G502" s="46" t="str">
        <x:f>"60125758964"</x:f>
        <x:v>60125758964</x:v>
      </x:c>
      <x:c r="H502" s="21" t="str">
        <x:v>Yes</x:v>
      </x:c>
      <x:c r="I502" s="21" t="str">
        <x:v>No</x:v>
      </x:c>
      <x:c r="J502" s="21" t="str">
        <x:v>No</x:v>
      </x:c>
      <x:c r="K502" s="21" t="str">
        <x:v>Included</x:v>
      </x:c>
      <x:c r="L502" s="21" t="str">
        <x:v>Peserta</x:v>
      </x:c>
    </x:row>
    <x:row r="503">
      <x:c r="A503" s="21" t="str">
        <x:v>whatsapp_group_numbers ti9596.csv</x:v>
      </x:c>
      <x:c r="B503" s="21" t="str">
        <x:v>ti9596</x:v>
      </x:c>
      <x:c r="C503" s="21" t="n">
        <x:v>17</x:v>
      </x:c>
      <x:c r="D503" s="46" t="str">
        <x:f>"+60177881990"</x:f>
        <x:v>+60177881990</x:v>
      </x:c>
      <x:c r="E503" s="21" t="str">
        <x:v>+60177881990</x:v>
      </x:c>
      <x:c r="F503" s="21" t="str">
        <x:v>Member</x:v>
      </x:c>
      <x:c r="G503" s="46" t="str">
        <x:f>"60177881990"</x:f>
        <x:v>60177881990</x:v>
      </x:c>
      <x:c r="H503" s="21" t="str">
        <x:v>Yes</x:v>
      </x:c>
      <x:c r="I503" s="21" t="str">
        <x:v>No</x:v>
      </x:c>
      <x:c r="J503" s="21" t="str">
        <x:v>No</x:v>
      </x:c>
      <x:c r="K503" s="21" t="str">
        <x:v>Included</x:v>
      </x:c>
      <x:c r="L503" s="21" t="str">
        <x:v>Peserta</x:v>
      </x:c>
    </x:row>
    <x:row r="504">
      <x:c r="A504" s="21" t="str">
        <x:v>whatsapp_group_numbers ti9596.csv</x:v>
      </x:c>
      <x:c r="B504" s="21" t="str">
        <x:v>ti9596</x:v>
      </x:c>
      <x:c r="C504" s="21" t="n">
        <x:v>18</x:v>
      </x:c>
      <x:c r="D504" s="46" t="str">
        <x:f>"+60124905350"</x:f>
        <x:v>+60124905350</x:v>
      </x:c>
      <x:c r="E504" s="21" t="str">
        <x:v>+60124905350</x:v>
      </x:c>
      <x:c r="F504" s="21" t="str">
        <x:v>Member</x:v>
      </x:c>
      <x:c r="G504" s="46" t="str">
        <x:f>"60124905350"</x:f>
        <x:v>60124905350</x:v>
      </x:c>
      <x:c r="H504" s="21" t="str">
        <x:v>Yes</x:v>
      </x:c>
      <x:c r="I504" s="21" t="str">
        <x:v>No</x:v>
      </x:c>
      <x:c r="J504" s="21" t="str">
        <x:v>No</x:v>
      </x:c>
      <x:c r="K504" s="21" t="str">
        <x:v>Included</x:v>
      </x:c>
      <x:c r="L504" s="21" t="str">
        <x:v>Peserta</x:v>
      </x:c>
    </x:row>
    <x:row r="505">
      <x:c r="A505" s="21" t="str">
        <x:v>whatsapp_group_numbers ti9596.csv</x:v>
      </x:c>
      <x:c r="B505" s="21" t="str">
        <x:v>ti9596</x:v>
      </x:c>
      <x:c r="C505" s="21" t="n">
        <x:v>19</x:v>
      </x:c>
      <x:c r="D505" s="46" t="str">
        <x:f>"+60124357753"</x:f>
        <x:v>+60124357753</x:v>
      </x:c>
      <x:c r="E505" s="21" t="str">
        <x:v>+60124357753</x:v>
      </x:c>
      <x:c r="F505" s="21" t="str">
        <x:v>Member</x:v>
      </x:c>
      <x:c r="G505" s="46" t="str">
        <x:f>"60124357753"</x:f>
        <x:v>60124357753</x:v>
      </x:c>
      <x:c r="H505" s="21" t="str">
        <x:v>Yes</x:v>
      </x:c>
      <x:c r="I505" s="21" t="str">
        <x:v>No</x:v>
      </x:c>
      <x:c r="J505" s="21" t="str">
        <x:v>No</x:v>
      </x:c>
      <x:c r="K505" s="21" t="str">
        <x:v>Included</x:v>
      </x:c>
      <x:c r="L505" s="21" t="str">
        <x:v>Peserta</x:v>
      </x:c>
    </x:row>
    <x:row r="506">
      <x:c r="A506" s="21" t="str">
        <x:v>whatsapp_group_numbers ti9596.csv</x:v>
      </x:c>
      <x:c r="B506" s="21" t="str">
        <x:v>ti9596</x:v>
      </x:c>
      <x:c r="C506" s="21" t="n">
        <x:v>20</x:v>
      </x:c>
      <x:c r="D506" s="46" t="str">
        <x:f>"+60193870755"</x:f>
        <x:v>+60193870755</x:v>
      </x:c>
      <x:c r="E506" s="21" t="str">
        <x:v>+60193870755</x:v>
      </x:c>
      <x:c r="F506" s="21" t="str">
        <x:v>Member</x:v>
      </x:c>
      <x:c r="G506" s="46" t="str">
        <x:f>"60193870755"</x:f>
        <x:v>60193870755</x:v>
      </x:c>
      <x:c r="H506" s="21" t="str">
        <x:v>Yes</x:v>
      </x:c>
      <x:c r="I506" s="21" t="str">
        <x:v>No</x:v>
      </x:c>
      <x:c r="J506" s="21" t="str">
        <x:v>No</x:v>
      </x:c>
      <x:c r="K506" s="21" t="str">
        <x:v>Included</x:v>
      </x:c>
      <x:c r="L506" s="21" t="str">
        <x:v>Peserta</x:v>
      </x:c>
    </x:row>
    <x:row r="507">
      <x:c r="A507" s="21" t="str">
        <x:v>whatsapp_group_numbers ti9596.csv</x:v>
      </x:c>
      <x:c r="B507" s="21" t="str">
        <x:v>ti9596</x:v>
      </x:c>
      <x:c r="C507" s="21" t="n">
        <x:v>21</x:v>
      </x:c>
      <x:c r="D507" s="46" t="str">
        <x:f>"+60162117692"</x:f>
        <x:v>+60162117692</x:v>
      </x:c>
      <x:c r="E507" s="21" t="str">
        <x:v>+60162117692</x:v>
      </x:c>
      <x:c r="F507" s="21" t="str">
        <x:v>Member</x:v>
      </x:c>
      <x:c r="G507" s="46" t="str">
        <x:f>"60162117692"</x:f>
        <x:v>60162117692</x:v>
      </x:c>
      <x:c r="H507" s="21" t="str">
        <x:v>Yes</x:v>
      </x:c>
      <x:c r="I507" s="21" t="str">
        <x:v>No</x:v>
      </x:c>
      <x:c r="J507" s="21" t="str">
        <x:v>No</x:v>
      </x:c>
      <x:c r="K507" s="21" t="str">
        <x:v>Included</x:v>
      </x:c>
      <x:c r="L507" s="21" t="str">
        <x:v>Peserta</x:v>
      </x:c>
    </x:row>
    <x:row r="508">
      <x:c r="A508" s="21" t="str">
        <x:v>whatsapp_group_numbers ti9596.csv</x:v>
      </x:c>
      <x:c r="B508" s="21" t="str">
        <x:v>ti9596</x:v>
      </x:c>
      <x:c r="C508" s="21" t="n">
        <x:v>22</x:v>
      </x:c>
      <x:c r="D508" s="46" t="str">
        <x:f>"+60137777245"</x:f>
        <x:v>+60137777245</x:v>
      </x:c>
      <x:c r="E508" s="21" t="str">
        <x:v>+60137777245</x:v>
      </x:c>
      <x:c r="F508" s="21" t="str">
        <x:v>Member</x:v>
      </x:c>
      <x:c r="G508" s="46" t="str">
        <x:f>"60137777245"</x:f>
        <x:v>60137777245</x:v>
      </x:c>
      <x:c r="H508" s="21" t="str">
        <x:v>Yes</x:v>
      </x:c>
      <x:c r="I508" s="21" t="str">
        <x:v>No</x:v>
      </x:c>
      <x:c r="J508" s="21" t="str">
        <x:v>No</x:v>
      </x:c>
      <x:c r="K508" s="21" t="str">
        <x:v>Included</x:v>
      </x:c>
      <x:c r="L508" s="21" t="str">
        <x:v>Peserta</x:v>
      </x:c>
    </x:row>
    <x:row r="509">
      <x:c r="A509" s="21" t="str">
        <x:v>whatsapp_group_numbers tiktok 12-13 Jan 2026.csv</x:v>
      </x:c>
      <x:c r="B509" s="21" t="str">
        <x:v>tiktok 12-13 Jan 2026</x:v>
      </x:c>
      <x:c r="C509" s="21" t="n">
        <x:v>1</x:v>
      </x:c>
      <x:c r="D509" s="46" t="str">
        <x:f>"+60142576155"</x:f>
        <x:v>+60142576155</x:v>
      </x:c>
      <x:c r="E509" s="21" t="str">
        <x:v>Akmal Pegawai Insken</x:v>
      </x:c>
      <x:c r="F509" s="21" t="str">
        <x:v>Member</x:v>
      </x:c>
      <x:c r="G509" s="46" t="str">
        <x:f>"60142576155"</x:f>
        <x:v>60142576155</x:v>
      </x:c>
      <x:c r="H509" s="21" t="str">
        <x:v>Yes</x:v>
      </x:c>
      <x:c r="I509" s="21" t="str">
        <x:v>No</x:v>
      </x:c>
      <x:c r="J509" s="21" t="str">
        <x:v>Yes</x:v>
      </x:c>
      <x:c r="K509" s="21" t="str">
        <x:v>Excluded</x:v>
      </x:c>
      <x:c r="L509" s="21" t="str">
        <x:v>Nama/nombor dikenal pasti sebagai INSKEN</x:v>
      </x:c>
    </x:row>
    <x:row r="510">
      <x:c r="A510" s="21" t="str">
        <x:v>whatsapp_group_numbers tiktok 12-13 Jan 2026.csv</x:v>
      </x:c>
      <x:c r="B510" s="21" t="str">
        <x:v>tiktok 12-13 Jan 2026</x:v>
      </x:c>
      <x:c r="C510" s="21" t="n">
        <x:v>2</x:v>
      </x:c>
      <x:c r="D510" s="46" t="str">
        <x:f>"+60133332963"</x:f>
        <x:v>+60133332963</x:v>
      </x:c>
      <x:c r="E510" s="21" t="str">
        <x:v>Coach Sam Suresh</x:v>
      </x:c>
      <x:c r="F510" s="21" t="str">
        <x:v>Member</x:v>
      </x:c>
      <x:c r="G510" s="46" t="str">
        <x:f>"60133332963"</x:f>
        <x:v>60133332963</x:v>
      </x:c>
      <x:c r="H510" s="21" t="str">
        <x:v>Yes</x:v>
      </x:c>
      <x:c r="I510" s="21" t="str">
        <x:v>No</x:v>
      </x:c>
      <x:c r="J510" s="21" t="str">
        <x:v>No</x:v>
      </x:c>
      <x:c r="K510" s="21" t="str">
        <x:v>Excluded</x:v>
      </x:c>
      <x:c r="L510" s="21" t="str">
        <x:v>Senarai pengecualian manual pengguna</x:v>
      </x:c>
    </x:row>
    <x:row r="511">
      <x:c r="A511" s="21" t="str">
        <x:v>whatsapp_group_numbers tiktok 12-13 Jan 2026.csv</x:v>
      </x:c>
      <x:c r="B511" s="21" t="str">
        <x:v>tiktok 12-13 Jan 2026</x:v>
      </x:c>
      <x:c r="C511" s="21" t="n">
        <x:v>3</x:v>
      </x:c>
      <x:c r="D511" s="46" t="str">
        <x:f>"+60164236116"</x:f>
        <x:v>+60164236116</x:v>
      </x:c>
      <x:c r="E511" s="21" t="str">
        <x:v>Fazlu Trainer</x:v>
      </x:c>
      <x:c r="F511" s="21" t="str">
        <x:v>Member</x:v>
      </x:c>
      <x:c r="G511" s="46" t="str">
        <x:f>"60164236116"</x:f>
        <x:v>60164236116</x:v>
      </x:c>
      <x:c r="H511" s="21" t="str">
        <x:v>Yes</x:v>
      </x:c>
      <x:c r="I511" s="21" t="str">
        <x:v>No</x:v>
      </x:c>
      <x:c r="J511" s="21" t="str">
        <x:v>No</x:v>
      </x:c>
      <x:c r="K511" s="21" t="str">
        <x:v>Excluded</x:v>
      </x:c>
      <x:c r="L511" s="21" t="str">
        <x:v>Senarai pengecualian manual pengguna</x:v>
      </x:c>
    </x:row>
    <x:row r="512">
      <x:c r="A512" s="21" t="str">
        <x:v>whatsapp_group_numbers tiktok 12-13 Jan 2026.csv</x:v>
      </x:c>
      <x:c r="B512" s="21" t="str">
        <x:v>tiktok 12-13 Jan 2026</x:v>
      </x:c>
      <x:c r="C512" s="21" t="n">
        <x:v>4</x:v>
      </x:c>
      <x:c r="D512" s="46" t="str">
        <x:f>"+60133815817"</x:f>
        <x:v>+60133815817</x:v>
      </x:c>
      <x:c r="E512" s="21" t="str">
        <x:v>Kamarul Bahareen Kamarudin</x:v>
      </x:c>
      <x:c r="F512" s="21" t="str">
        <x:v>Member</x:v>
      </x:c>
      <x:c r="G512" s="46" t="str">
        <x:f>"60133815817"</x:f>
        <x:v>60133815817</x:v>
      </x:c>
      <x:c r="H512" s="21" t="str">
        <x:v>Yes</x:v>
      </x:c>
      <x:c r="I512" s="21" t="str">
        <x:v>No</x:v>
      </x:c>
      <x:c r="J512" s="21" t="str">
        <x:v>No</x:v>
      </x:c>
      <x:c r="K512" s="21" t="str">
        <x:v>Excluded</x:v>
      </x:c>
      <x:c r="L512" s="21" t="str">
        <x:v>Pemilik/trainer</x:v>
      </x:c>
    </x:row>
    <x:row r="513">
      <x:c r="A513" s="21" t="str">
        <x:v>whatsapp_group_numbers tiktok 12-13 Jan 2026.csv</x:v>
      </x:c>
      <x:c r="B513" s="21" t="str">
        <x:v>tiktok 12-13 Jan 2026</x:v>
      </x:c>
      <x:c r="C513" s="21" t="n">
        <x:v>5</x:v>
      </x:c>
      <x:c r="D513" s="46" t="str">
        <x:f>"+60143251107"</x:f>
        <x:v>+60143251107</x:v>
      </x:c>
      <x:c r="E513" s="21" t="str">
        <x:v>Natasha Hazlin INSKEN</x:v>
      </x:c>
      <x:c r="F513" s="21" t="str">
        <x:v>Member</x:v>
      </x:c>
      <x:c r="G513" s="46" t="str">
        <x:f>"60143251107"</x:f>
        <x:v>60143251107</x:v>
      </x:c>
      <x:c r="H513" s="21" t="str">
        <x:v>Yes</x:v>
      </x:c>
      <x:c r="I513" s="21" t="str">
        <x:v>No</x:v>
      </x:c>
      <x:c r="J513" s="21" t="str">
        <x:v>Yes</x:v>
      </x:c>
      <x:c r="K513" s="21" t="str">
        <x:v>Excluded</x:v>
      </x:c>
      <x:c r="L513" s="21" t="str">
        <x:v>Nama/nombor dikenal pasti sebagai INSKEN</x:v>
      </x:c>
    </x:row>
    <x:row r="514">
      <x:c r="A514" s="21" t="str">
        <x:v>whatsapp_group_numbers tiktok 12-13 Jan 2026.csv</x:v>
      </x:c>
      <x:c r="B514" s="21" t="str">
        <x:v>tiktok 12-13 Jan 2026</x:v>
      </x:c>
      <x:c r="C514" s="21" t="n">
        <x:v>6</x:v>
      </x:c>
      <x:c r="D514" s="46" t="str">
        <x:f>"+60177670627"</x:f>
        <x:v>+60177670627</x:v>
      </x:c>
      <x:c r="E514" s="21" t="str">
        <x:v>Nur Aqeela INSKEN</x:v>
      </x:c>
      <x:c r="F514" s="21" t="str">
        <x:v>Member</x:v>
      </x:c>
      <x:c r="G514" s="46" t="str">
        <x:f>"60177670627"</x:f>
        <x:v>60177670627</x:v>
      </x:c>
      <x:c r="H514" s="21" t="str">
        <x:v>Yes</x:v>
      </x:c>
      <x:c r="I514" s="21" t="str">
        <x:v>No</x:v>
      </x:c>
      <x:c r="J514" s="21" t="str">
        <x:v>Yes</x:v>
      </x:c>
      <x:c r="K514" s="21" t="str">
        <x:v>Excluded</x:v>
      </x:c>
      <x:c r="L514" s="21" t="str">
        <x:v>Nama/nombor dikenal pasti sebagai INSKEN</x:v>
      </x:c>
    </x:row>
    <x:row r="515">
      <x:c r="A515" s="21" t="str">
        <x:v>whatsapp_group_numbers tiktok 12-13 Jan 2026.csv</x:v>
      </x:c>
      <x:c r="B515" s="21" t="str">
        <x:v>tiktok 12-13 Jan 2026</x:v>
      </x:c>
      <x:c r="C515" s="21" t="n">
        <x:v>7</x:v>
      </x:c>
      <x:c r="D515" s="46" t="str">
        <x:f>"+60175545144"</x:f>
        <x:v>+60175545144</x:v>
      </x:c>
      <x:c r="E515" s="21" t="str">
        <x:v>Pn Aishah INSKEN</x:v>
      </x:c>
      <x:c r="F515" s="21" t="str">
        <x:v>Member</x:v>
      </x:c>
      <x:c r="G515" s="46" t="str">
        <x:f>"60175545144"</x:f>
        <x:v>60175545144</x:v>
      </x:c>
      <x:c r="H515" s="21" t="str">
        <x:v>Yes</x:v>
      </x:c>
      <x:c r="I515" s="21" t="str">
        <x:v>No</x:v>
      </x:c>
      <x:c r="J515" s="21" t="str">
        <x:v>Yes</x:v>
      </x:c>
      <x:c r="K515" s="21" t="str">
        <x:v>Excluded</x:v>
      </x:c>
      <x:c r="L515" s="21" t="str">
        <x:v>Nama/nombor dikenal pasti sebagai INSKEN</x:v>
      </x:c>
    </x:row>
    <x:row r="516">
      <x:c r="A516" s="21" t="str">
        <x:v>whatsapp_group_numbers tiktok 12-13 Jan 2026.csv</x:v>
      </x:c>
      <x:c r="B516" s="21" t="str">
        <x:v>tiktok 12-13 Jan 2026</x:v>
      </x:c>
      <x:c r="C516" s="21" t="n">
        <x:v>8</x:v>
      </x:c>
      <x:c r="D516" s="46" t="str">
        <x:f>"+60174102530"</x:f>
        <x:v>+60174102530</x:v>
      </x:c>
      <x:c r="E516" s="21" t="str">
        <x:v>shaeza INSKEN</x:v>
      </x:c>
      <x:c r="F516" s="21" t="str">
        <x:v>Member</x:v>
      </x:c>
      <x:c r="G516" s="46" t="str">
        <x:f>"60174102530"</x:f>
        <x:v>60174102530</x:v>
      </x:c>
      <x:c r="H516" s="21" t="str">
        <x:v>Yes</x:v>
      </x:c>
      <x:c r="I516" s="21" t="str">
        <x:v>No</x:v>
      </x:c>
      <x:c r="J516" s="21" t="str">
        <x:v>Yes</x:v>
      </x:c>
      <x:c r="K516" s="21" t="str">
        <x:v>Excluded</x:v>
      </x:c>
      <x:c r="L516" s="21" t="str">
        <x:v>Nama/nombor dikenal pasti sebagai INSKEN</x:v>
      </x:c>
    </x:row>
    <x:row r="517">
      <x:c r="A517" s="21" t="str">
        <x:v>whatsapp_group_numbers tiktok 12-13 Jan 2026.csv</x:v>
      </x:c>
      <x:c r="B517" s="21" t="str">
        <x:v>tiktok 12-13 Jan 2026</x:v>
      </x:c>
      <x:c r="C517" s="21" t="n">
        <x:v>9</x:v>
      </x:c>
      <x:c r="D517" s="46" t="str">
        <x:f>"+60123081906"</x:f>
        <x:v>+60123081906</x:v>
      </x:c>
      <x:c r="E517" s="21" t="str">
        <x:v>Sufiyan Insken</x:v>
      </x:c>
      <x:c r="F517" s="21" t="str">
        <x:v>Member</x:v>
      </x:c>
      <x:c r="G517" s="46" t="str">
        <x:f>"60123081906"</x:f>
        <x:v>60123081906</x:v>
      </x:c>
      <x:c r="H517" s="21" t="str">
        <x:v>Yes</x:v>
      </x:c>
      <x:c r="I517" s="21" t="str">
        <x:v>No</x:v>
      </x:c>
      <x:c r="J517" s="21" t="str">
        <x:v>Yes</x:v>
      </x:c>
      <x:c r="K517" s="21" t="str">
        <x:v>Excluded</x:v>
      </x:c>
      <x:c r="L517" s="21" t="str">
        <x:v>Nama/nombor dikenal pasti sebagai INSKEN</x:v>
      </x:c>
    </x:row>
    <x:row r="518">
      <x:c r="A518" s="21" t="str">
        <x:v>whatsapp_group_numbers tiktok 12-13 Jan 2026.csv</x:v>
      </x:c>
      <x:c r="B518" s="21" t="str">
        <x:v>tiktok 12-13 Jan 2026</x:v>
      </x:c>
      <x:c r="C518" s="21" t="n">
        <x:v>10</x:v>
      </x:c>
      <x:c r="D518" s="46" t="str">
        <x:f>"+60199635036"</x:f>
        <x:v>+60199635036</x:v>
      </x:c>
      <x:c r="E518" s="21" t="str">
        <x:v>Tuan Faris INSKEN</x:v>
      </x:c>
      <x:c r="F518" s="21" t="str">
        <x:v>Member</x:v>
      </x:c>
      <x:c r="G518" s="46" t="str">
        <x:f>"60199635036"</x:f>
        <x:v>60199635036</x:v>
      </x:c>
      <x:c r="H518" s="21" t="str">
        <x:v>Yes</x:v>
      </x:c>
      <x:c r="I518" s="21" t="str">
        <x:v>No</x:v>
      </x:c>
      <x:c r="J518" s="21" t="str">
        <x:v>Yes</x:v>
      </x:c>
      <x:c r="K518" s="21" t="str">
        <x:v>Excluded</x:v>
      </x:c>
      <x:c r="L518" s="21" t="str">
        <x:v>Nama/nombor dikenal pasti sebagai INSKEN</x:v>
      </x:c>
    </x:row>
    <x:row r="519">
      <x:c r="A519" s="21" t="str">
        <x:v>whatsapp_group_numbers tiktok 12-13 Jan 2026.csv</x:v>
      </x:c>
      <x:c r="B519" s="21" t="str">
        <x:v>tiktok 12-13 Jan 2026</x:v>
      </x:c>
      <x:c r="C519" s="21" t="n">
        <x:v>11</x:v>
      </x:c>
      <x:c r="D519" s="46" t="str">
        <x:f>"+60129363780"</x:f>
        <x:v>+60129363780</x:v>
      </x:c>
      <x:c r="E519" s="21" t="str">
        <x:v>DALAM Event and Catering, Seremban 2</x:v>
      </x:c>
      <x:c r="F519" s="21" t="str">
        <x:v>Member</x:v>
      </x:c>
      <x:c r="G519" s="46" t="str">
        <x:f>"60129363780"</x:f>
        <x:v>60129363780</x:v>
      </x:c>
      <x:c r="H519" s="21" t="str">
        <x:v>Yes</x:v>
      </x:c>
      <x:c r="I519" s="21" t="str">
        <x:v>No</x:v>
      </x:c>
      <x:c r="J519" s="21" t="str">
        <x:v>No</x:v>
      </x:c>
      <x:c r="K519" s="21" t="str">
        <x:v>Included</x:v>
      </x:c>
      <x:c r="L519" s="21" t="str">
        <x:v>Peserta</x:v>
      </x:c>
    </x:row>
    <x:row r="520">
      <x:c r="A520" s="21" t="str">
        <x:v>whatsapp_group_numbers tiktok 12-13 Jan 2026.csv</x:v>
      </x:c>
      <x:c r="B520" s="21" t="str">
        <x:v>tiktok 12-13 Jan 2026</x:v>
      </x:c>
      <x:c r="C520" s="21" t="n">
        <x:v>12</x:v>
      </x:c>
      <x:c r="D520" s="46" t="str">
        <x:f>"+60193909336"</x:f>
        <x:v>+60193909336</x:v>
      </x:c>
      <x:c r="E520" s="21" t="str">
        <x:v>Eza Aziz</x:v>
      </x:c>
      <x:c r="F520" s="21" t="str">
        <x:v>Member</x:v>
      </x:c>
      <x:c r="G520" s="46" t="str">
        <x:f>"60193909336"</x:f>
        <x:v>60193909336</x:v>
      </x:c>
      <x:c r="H520" s="21" t="str">
        <x:v>Yes</x:v>
      </x:c>
      <x:c r="I520" s="21" t="str">
        <x:v>No</x:v>
      </x:c>
      <x:c r="J520" s="21" t="str">
        <x:v>No</x:v>
      </x:c>
      <x:c r="K520" s="21" t="str">
        <x:v>Included</x:v>
      </x:c>
      <x:c r="L520" s="21" t="str">
        <x:v>Peserta</x:v>
      </x:c>
    </x:row>
    <x:row r="521">
      <x:c r="A521" s="21" t="str">
        <x:v>whatsapp_group_numbers tiktok 12-13 Jan 2026.csv</x:v>
      </x:c>
      <x:c r="B521" s="21" t="str">
        <x:v>tiktok 12-13 Jan 2026</x:v>
      </x:c>
      <x:c r="C521" s="21" t="n">
        <x:v>13</x:v>
      </x:c>
      <x:c r="D521" s="46" t="str">
        <x:f>"+60132252542"</x:f>
        <x:v>+60132252542</x:v>
      </x:c>
      <x:c r="E521" s="21" t="str">
        <x:v>Faz</x:v>
      </x:c>
      <x:c r="F521" s="21" t="str">
        <x:v>Member</x:v>
      </x:c>
      <x:c r="G521" s="46" t="str">
        <x:f>"60132252542"</x:f>
        <x:v>60132252542</x:v>
      </x:c>
      <x:c r="H521" s="21" t="str">
        <x:v>Yes</x:v>
      </x:c>
      <x:c r="I521" s="21" t="str">
        <x:v>No</x:v>
      </x:c>
      <x:c r="J521" s="21" t="str">
        <x:v>No</x:v>
      </x:c>
      <x:c r="K521" s="21" t="str">
        <x:v>Included</x:v>
      </x:c>
      <x:c r="L521" s="21" t="str">
        <x:v>Peserta</x:v>
      </x:c>
    </x:row>
    <x:row r="522">
      <x:c r="A522" s="21" t="str">
        <x:v>whatsapp_group_numbers tiktok 12-13 Jan 2026.csv</x:v>
      </x:c>
      <x:c r="B522" s="21" t="str">
        <x:v>tiktok 12-13 Jan 2026</x:v>
      </x:c>
      <x:c r="C522" s="21" t="n">
        <x:v>14</x:v>
      </x:c>
      <x:c r="D522" s="46" t="str">
        <x:f>"+60175665630"</x:f>
        <x:v>+60175665630</x:v>
      </x:c>
      <x:c r="E522" s="21" t="str">
        <x:v>Hanani’s kitchen</x:v>
      </x:c>
      <x:c r="F522" s="21" t="str">
        <x:v>Member</x:v>
      </x:c>
      <x:c r="G522" s="46" t="str">
        <x:f>"60175665630"</x:f>
        <x:v>60175665630</x:v>
      </x:c>
      <x:c r="H522" s="21" t="str">
        <x:v>Yes</x:v>
      </x:c>
      <x:c r="I522" s="21" t="str">
        <x:v>No</x:v>
      </x:c>
      <x:c r="J522" s="21" t="str">
        <x:v>No</x:v>
      </x:c>
      <x:c r="K522" s="21" t="str">
        <x:v>Included</x:v>
      </x:c>
      <x:c r="L522" s="21" t="str">
        <x:v>Peserta</x:v>
      </x:c>
    </x:row>
    <x:row r="523">
      <x:c r="A523" s="21" t="str">
        <x:v>whatsapp_group_numbers tiktok 12-13 Jan 2026.csv</x:v>
      </x:c>
      <x:c r="B523" s="21" t="str">
        <x:v>tiktok 12-13 Jan 2026</x:v>
      </x:c>
      <x:c r="C523" s="21" t="n">
        <x:v>15</x:v>
      </x:c>
      <x:c r="D523" s="46" t="str">
        <x:f>"+60136282624"</x:f>
        <x:v>+60136282624</x:v>
      </x:c>
      <x:c r="E523" s="21" t="str">
        <x:v>mohza</x:v>
      </x:c>
      <x:c r="F523" s="21" t="str">
        <x:v>Member</x:v>
      </x:c>
      <x:c r="G523" s="46" t="str">
        <x:f>"60136282624"</x:f>
        <x:v>60136282624</x:v>
      </x:c>
      <x:c r="H523" s="21" t="str">
        <x:v>Yes</x:v>
      </x:c>
      <x:c r="I523" s="21" t="str">
        <x:v>No</x:v>
      </x:c>
      <x:c r="J523" s="21" t="str">
        <x:v>No</x:v>
      </x:c>
      <x:c r="K523" s="21" t="str">
        <x:v>Included</x:v>
      </x:c>
      <x:c r="L523" s="21" t="str">
        <x:v>Peserta</x:v>
      </x:c>
    </x:row>
    <x:row r="524">
      <x:c r="A524" s="21" t="str">
        <x:v>whatsapp_group_numbers tiktok 12-13 Jan 2026.csv</x:v>
      </x:c>
      <x:c r="B524" s="21" t="str">
        <x:v>tiktok 12-13 Jan 2026</x:v>
      </x:c>
      <x:c r="C524" s="21" t="n">
        <x:v>16</x:v>
      </x:c>
      <x:c r="D524" s="46" t="str">
        <x:f>"+60189144121"</x:f>
        <x:v>+60189144121</x:v>
      </x:c>
      <x:c r="E524" s="21" t="str">
        <x:v>Nadia Mahadi</x:v>
      </x:c>
      <x:c r="F524" s="21" t="str">
        <x:v>Member</x:v>
      </x:c>
      <x:c r="G524" s="46" t="str">
        <x:f>"60189144121"</x:f>
        <x:v>60189144121</x:v>
      </x:c>
      <x:c r="H524" s="21" t="str">
        <x:v>Yes</x:v>
      </x:c>
      <x:c r="I524" s="21" t="str">
        <x:v>No</x:v>
      </x:c>
      <x:c r="J524" s="21" t="str">
        <x:v>No</x:v>
      </x:c>
      <x:c r="K524" s="21" t="str">
        <x:v>Included</x:v>
      </x:c>
      <x:c r="L524" s="21" t="str">
        <x:v>Peserta</x:v>
      </x:c>
    </x:row>
    <x:row r="525">
      <x:c r="A525" s="21" t="str">
        <x:v>whatsapp_group_numbers tiktok 12-13 Jan 2026.csv</x:v>
      </x:c>
      <x:c r="B525" s="21" t="str">
        <x:v>tiktok 12-13 Jan 2026</x:v>
      </x:c>
      <x:c r="C525" s="21" t="n">
        <x:v>17</x:v>
      </x:c>
      <x:c r="D525" s="46" t="str">
        <x:f>"+60163905181"</x:f>
        <x:v>+60163905181</x:v>
      </x:c>
      <x:c r="E525" s="21" t="str">
        <x:v>Putri Sha Financial Therapist</x:v>
      </x:c>
      <x:c r="F525" s="21" t="str">
        <x:v>Member</x:v>
      </x:c>
      <x:c r="G525" s="46" t="str">
        <x:f>"60163905181"</x:f>
        <x:v>60163905181</x:v>
      </x:c>
      <x:c r="H525" s="21" t="str">
        <x:v>Yes</x:v>
      </x:c>
      <x:c r="I525" s="21" t="str">
        <x:v>No</x:v>
      </x:c>
      <x:c r="J525" s="21" t="str">
        <x:v>No</x:v>
      </x:c>
      <x:c r="K525" s="21" t="str">
        <x:v>Included</x:v>
      </x:c>
      <x:c r="L525" s="21" t="str">
        <x:v>Peserta</x:v>
      </x:c>
    </x:row>
    <x:row r="526">
      <x:c r="A526" s="21" t="str">
        <x:v>whatsapp_group_numbers tiktok 12-13 Jan 2026.csv</x:v>
      </x:c>
      <x:c r="B526" s="21" t="str">
        <x:v>tiktok 12-13 Jan 2026</x:v>
      </x:c>
      <x:c r="C526" s="21" t="n">
        <x:v>18</x:v>
      </x:c>
      <x:c r="D526" s="46" t="str">
        <x:f>"+60176477837"</x:f>
        <x:v>+60176477837</x:v>
      </x:c>
      <x:c r="E526" s="21" t="str">
        <x:v>Siti Aisah Mohd Ibrahim</x:v>
      </x:c>
      <x:c r="F526" s="21" t="str">
        <x:v>Member</x:v>
      </x:c>
      <x:c r="G526" s="46" t="str">
        <x:f>"60176477837"</x:f>
        <x:v>60176477837</x:v>
      </x:c>
      <x:c r="H526" s="21" t="str">
        <x:v>Yes</x:v>
      </x:c>
      <x:c r="I526" s="21" t="str">
        <x:v>No</x:v>
      </x:c>
      <x:c r="J526" s="21" t="str">
        <x:v>No</x:v>
      </x:c>
      <x:c r="K526" s="21" t="str">
        <x:v>Included</x:v>
      </x:c>
      <x:c r="L526" s="21" t="str">
        <x:v>Peserta</x:v>
      </x:c>
    </x:row>
    <x:row r="527">
      <x:c r="A527" s="21" t="str">
        <x:v>whatsapp_group_numbers tiktok 12-13 Jan 2026.csv</x:v>
      </x:c>
      <x:c r="B527" s="21" t="str">
        <x:v>tiktok 12-13 Jan 2026</x:v>
      </x:c>
      <x:c r="C527" s="21" t="n">
        <x:v>19</x:v>
      </x:c>
      <x:c r="D527" s="46" t="str">
        <x:f>"+60176528522"</x:f>
        <x:v>+60176528522</x:v>
      </x:c>
      <x:c r="E527" s="21" t="str">
        <x:v>syafiqtaib</x:v>
      </x:c>
      <x:c r="F527" s="21" t="str">
        <x:v>Member</x:v>
      </x:c>
      <x:c r="G527" s="46" t="str">
        <x:f>"60176528522"</x:f>
        <x:v>60176528522</x:v>
      </x:c>
      <x:c r="H527" s="21" t="str">
        <x:v>Yes</x:v>
      </x:c>
      <x:c r="I527" s="21" t="str">
        <x:v>No</x:v>
      </x:c>
      <x:c r="J527" s="21" t="str">
        <x:v>No</x:v>
      </x:c>
      <x:c r="K527" s="21" t="str">
        <x:v>Included</x:v>
      </x:c>
      <x:c r="L527" s="21" t="str">
        <x:v>Peserta</x:v>
      </x:c>
    </x:row>
    <x:row r="528">
      <x:c r="A528" s="21" t="str">
        <x:v>whatsapp_group_numbers tiktok 12-13 Jan 2026.csv</x:v>
      </x:c>
      <x:c r="B528" s="21" t="str">
        <x:v>tiktok 12-13 Jan 2026</x:v>
      </x:c>
      <x:c r="C528" s="21" t="n">
        <x:v>20</x:v>
      </x:c>
      <x:c r="D528" s="46" t="str">
        <x:f>"+60139068259"</x:f>
        <x:v>+60139068259</x:v>
      </x:c>
      <x:c r="E528" s="21" t="str">
        <x:v>Tengku Helmieza Raihan</x:v>
      </x:c>
      <x:c r="F528" s="21" t="str">
        <x:v>Member</x:v>
      </x:c>
      <x:c r="G528" s="46" t="str">
        <x:f>"60139068259"</x:f>
        <x:v>60139068259</x:v>
      </x:c>
      <x:c r="H528" s="21" t="str">
        <x:v>Yes</x:v>
      </x:c>
      <x:c r="I528" s="21" t="str">
        <x:v>No</x:v>
      </x:c>
      <x:c r="J528" s="21" t="str">
        <x:v>No</x:v>
      </x:c>
      <x:c r="K528" s="21" t="str">
        <x:v>Included</x:v>
      </x:c>
      <x:c r="L528" s="21" t="str">
        <x:v>Peserta</x:v>
      </x:c>
    </x:row>
    <x:row r="529">
      <x:c r="A529" s="21" t="str">
        <x:v>whatsapp_group_numbers tiktok 12-13 Jan 2026.csv</x:v>
      </x:c>
      <x:c r="B529" s="21" t="str">
        <x:v>tiktok 12-13 Jan 2026</x:v>
      </x:c>
      <x:c r="C529" s="21" t="n">
        <x:v>21</x:v>
      </x:c>
      <x:c r="D529" s="46" t="str">
        <x:f>"+60183236769"</x:f>
        <x:v>+60183236769</x:v>
      </x:c>
      <x:c r="E529" s="21" t="str">
        <x:v>zati d hati</x:v>
      </x:c>
      <x:c r="F529" s="21" t="str">
        <x:v>Member</x:v>
      </x:c>
      <x:c r="G529" s="46" t="str">
        <x:f>"60183236769"</x:f>
        <x:v>60183236769</x:v>
      </x:c>
      <x:c r="H529" s="21" t="str">
        <x:v>Yes</x:v>
      </x:c>
      <x:c r="I529" s="21" t="str">
        <x:v>No</x:v>
      </x:c>
      <x:c r="J529" s="21" t="str">
        <x:v>No</x:v>
      </x:c>
      <x:c r="K529" s="21" t="str">
        <x:v>Included</x:v>
      </x:c>
      <x:c r="L529" s="21" t="str">
        <x:v>Peserta</x:v>
      </x:c>
    </x:row>
    <x:row r="530">
      <x:c r="A530" s="21" t="str">
        <x:v>whatsapp_group_numbers tiktok 12-13 Jan 2026.csv</x:v>
      </x:c>
      <x:c r="B530" s="21" t="str">
        <x:v>tiktok 12-13 Jan 2026</x:v>
      </x:c>
      <x:c r="C530" s="21" t="n">
        <x:v>22</x:v>
      </x:c>
      <x:c r="D530" s="46" t="str">
        <x:f>"+60129608843"</x:f>
        <x:v>+60129608843</x:v>
      </x:c>
      <x:c r="E530" s="21" t="str">
        <x:v>+60129608843</x:v>
      </x:c>
      <x:c r="F530" s="21" t="str">
        <x:v>Member</x:v>
      </x:c>
      <x:c r="G530" s="46" t="str">
        <x:f>"60129608843"</x:f>
        <x:v>60129608843</x:v>
      </x:c>
      <x:c r="H530" s="21" t="str">
        <x:v>Yes</x:v>
      </x:c>
      <x:c r="I530" s="21" t="str">
        <x:v>No</x:v>
      </x:c>
      <x:c r="J530" s="21" t="str">
        <x:v>No</x:v>
      </x:c>
      <x:c r="K530" s="21" t="str">
        <x:v>Included</x:v>
      </x:c>
      <x:c r="L530" s="21" t="str">
        <x:v>Peserta</x:v>
      </x:c>
    </x:row>
    <x:row r="531">
      <x:c r="A531" s="21" t="str">
        <x:v>whatsapp_group_numbers tiktok 12-13 Jan 2026.csv</x:v>
      </x:c>
      <x:c r="B531" s="21" t="str">
        <x:v>tiktok 12-13 Jan 2026</x:v>
      </x:c>
      <x:c r="C531" s="21" t="n">
        <x:v>23</x:v>
      </x:c>
      <x:c r="D531" s="46" t="str">
        <x:f>"+60136278446"</x:f>
        <x:v>+60136278446</x:v>
      </x:c>
      <x:c r="E531" s="21" t="str">
        <x:v>+60136278446</x:v>
      </x:c>
      <x:c r="F531" s="21" t="str">
        <x:v>Member</x:v>
      </x:c>
      <x:c r="G531" s="46" t="str">
        <x:f>"60136278446"</x:f>
        <x:v>60136278446</x:v>
      </x:c>
      <x:c r="H531" s="21" t="str">
        <x:v>Yes</x:v>
      </x:c>
      <x:c r="I531" s="21" t="str">
        <x:v>No</x:v>
      </x:c>
      <x:c r="J531" s="21" t="str">
        <x:v>No</x:v>
      </x:c>
      <x:c r="K531" s="21" t="str">
        <x:v>Included</x:v>
      </x:c>
      <x:c r="L531" s="21" t="str">
        <x:v>Peserta</x:v>
      </x:c>
    </x:row>
    <x:row r="532">
      <x:c r="A532" s="21" t="str">
        <x:v>whatsapp_group_numbers tiktok 12-13 Jan 2026.csv</x:v>
      </x:c>
      <x:c r="B532" s="21" t="str">
        <x:v>tiktok 12-13 Jan 2026</x:v>
      </x:c>
      <x:c r="C532" s="21" t="n">
        <x:v>24</x:v>
      </x:c>
      <x:c r="D532" s="46" t="str">
        <x:f>"+60164002550"</x:f>
        <x:v>+60164002550</x:v>
      </x:c>
      <x:c r="E532" s="21" t="str">
        <x:v>+60164002550</x:v>
      </x:c>
      <x:c r="F532" s="21" t="str">
        <x:v>Member</x:v>
      </x:c>
      <x:c r="G532" s="46" t="str">
        <x:f>"60164002550"</x:f>
        <x:v>60164002550</x:v>
      </x:c>
      <x:c r="H532" s="21" t="str">
        <x:v>Yes</x:v>
      </x:c>
      <x:c r="I532" s="21" t="str">
        <x:v>No</x:v>
      </x:c>
      <x:c r="J532" s="21" t="str">
        <x:v>No</x:v>
      </x:c>
      <x:c r="K532" s="21" t="str">
        <x:v>Included</x:v>
      </x:c>
      <x:c r="L532" s="21" t="str">
        <x:v>Peserta</x:v>
      </x:c>
    </x:row>
    <x:row r="533">
      <x:c r="A533" s="21" t="str">
        <x:v>whatsapp_group_numbers tiktok 12-13 Jan 2026.csv</x:v>
      </x:c>
      <x:c r="B533" s="21" t="str">
        <x:v>tiktok 12-13 Jan 2026</x:v>
      </x:c>
      <x:c r="C533" s="21" t="n">
        <x:v>25</x:v>
      </x:c>
      <x:c r="D533" s="46" t="str">
        <x:f>"+60148451484"</x:f>
        <x:v>+60148451484</x:v>
      </x:c>
      <x:c r="E533" s="21" t="str">
        <x:v>+60148451484</x:v>
      </x:c>
      <x:c r="F533" s="21" t="str">
        <x:v>Member</x:v>
      </x:c>
      <x:c r="G533" s="46" t="str">
        <x:f>"60148451484"</x:f>
        <x:v>60148451484</x:v>
      </x:c>
      <x:c r="H533" s="21" t="str">
        <x:v>Yes</x:v>
      </x:c>
      <x:c r="I533" s="21" t="str">
        <x:v>No</x:v>
      </x:c>
      <x:c r="J533" s="21" t="str">
        <x:v>No</x:v>
      </x:c>
      <x:c r="K533" s="21" t="str">
        <x:v>Included</x:v>
      </x:c>
      <x:c r="L533" s="21" t="str">
        <x:v>Peserta</x:v>
      </x:c>
    </x:row>
    <x:row r="534">
      <x:c r="A534" s="21" t="str">
        <x:v>whatsapp_group_numbers tiktok 12-13 Jan 2026.csv</x:v>
      </x:c>
      <x:c r="B534" s="21" t="str">
        <x:v>tiktok 12-13 Jan 2026</x:v>
      </x:c>
      <x:c r="C534" s="21" t="n">
        <x:v>26</x:v>
      </x:c>
      <x:c r="D534" s="46" t="str">
        <x:f>"+60168859638"</x:f>
        <x:v>+60168859638</x:v>
      </x:c>
      <x:c r="E534" s="21" t="str">
        <x:v>+60168859638</x:v>
      </x:c>
      <x:c r="F534" s="21" t="str">
        <x:v>Member</x:v>
      </x:c>
      <x:c r="G534" s="46" t="str">
        <x:f>"60168859638"</x:f>
        <x:v>60168859638</x:v>
      </x:c>
      <x:c r="H534" s="21" t="str">
        <x:v>Yes</x:v>
      </x:c>
      <x:c r="I534" s="21" t="str">
        <x:v>No</x:v>
      </x:c>
      <x:c r="J534" s="21" t="str">
        <x:v>No</x:v>
      </x:c>
      <x:c r="K534" s="21" t="str">
        <x:v>Included</x:v>
      </x:c>
      <x:c r="L534" s="21" t="str">
        <x:v>Peserta</x:v>
      </x:c>
    </x:row>
    <x:row r="535">
      <x:c r="A535" s="21" t="str">
        <x:v>whatsapp_group_numbers tiktok 12-13 Jan 2026.csv</x:v>
      </x:c>
      <x:c r="B535" s="21" t="str">
        <x:v>tiktok 12-13 Jan 2026</x:v>
      </x:c>
      <x:c r="C535" s="21" t="n">
        <x:v>27</x:v>
      </x:c>
      <x:c r="D535" s="46" t="str">
        <x:f>"+60165181644"</x:f>
        <x:v>+60165181644</x:v>
      </x:c>
      <x:c r="E535" s="21" t="str">
        <x:v>+60165181644</x:v>
      </x:c>
      <x:c r="F535" s="21" t="str">
        <x:v>Member</x:v>
      </x:c>
      <x:c r="G535" s="46" t="str">
        <x:f>"60165181644"</x:f>
        <x:v>60165181644</x:v>
      </x:c>
      <x:c r="H535" s="21" t="str">
        <x:v>Yes</x:v>
      </x:c>
      <x:c r="I535" s="21" t="str">
        <x:v>No</x:v>
      </x:c>
      <x:c r="J535" s="21" t="str">
        <x:v>No</x:v>
      </x:c>
      <x:c r="K535" s="21" t="str">
        <x:v>Included</x:v>
      </x:c>
      <x:c r="L535" s="21" t="str">
        <x:v>Peserta</x:v>
      </x:c>
    </x:row>
    <x:row r="536">
      <x:c r="A536" s="21" t="str">
        <x:v>whatsapp_group_numbers tiktok 12-13 Jan 2026.csv</x:v>
      </x:c>
      <x:c r="B536" s="21" t="str">
        <x:v>tiktok 12-13 Jan 2026</x:v>
      </x:c>
      <x:c r="C536" s="21" t="n">
        <x:v>28</x:v>
      </x:c>
      <x:c r="D536" s="46" t="str">
        <x:f>"+60164926394"</x:f>
        <x:v>+60164926394</x:v>
      </x:c>
      <x:c r="E536" s="21" t="str">
        <x:v>+60164926394</x:v>
      </x:c>
      <x:c r="F536" s="21" t="str">
        <x:v>Member</x:v>
      </x:c>
      <x:c r="G536" s="46" t="str">
        <x:f>"60164926394"</x:f>
        <x:v>60164926394</x:v>
      </x:c>
      <x:c r="H536" s="21" t="str">
        <x:v>Yes</x:v>
      </x:c>
      <x:c r="I536" s="21" t="str">
        <x:v>No</x:v>
      </x:c>
      <x:c r="J536" s="21" t="str">
        <x:v>No</x:v>
      </x:c>
      <x:c r="K536" s="21" t="str">
        <x:v>Included</x:v>
      </x:c>
      <x:c r="L536" s="21" t="str">
        <x:v>Peserta</x:v>
      </x:c>
    </x:row>
    <x:row r="537">
      <x:c r="A537" s="21" t="str">
        <x:v>whatsapp_group_numbers tiktok 12-13 Jan 2026.csv</x:v>
      </x:c>
      <x:c r="B537" s="21" t="str">
        <x:v>tiktok 12-13 Jan 2026</x:v>
      </x:c>
      <x:c r="C537" s="21" t="n">
        <x:v>29</x:v>
      </x:c>
      <x:c r="D537" s="46" t="str">
        <x:f>"+601165608188"</x:f>
        <x:v>+601165608188</x:v>
      </x:c>
      <x:c r="E537" s="21" t="str">
        <x:v>+601165608188</x:v>
      </x:c>
      <x:c r="F537" s="21" t="str">
        <x:v>Member</x:v>
      </x:c>
      <x:c r="G537" s="46" t="str">
        <x:f>"601165608188"</x:f>
        <x:v>601165608188</x:v>
      </x:c>
      <x:c r="H537" s="21" t="str">
        <x:v>Yes</x:v>
      </x:c>
      <x:c r="I537" s="21" t="str">
        <x:v>No</x:v>
      </x:c>
      <x:c r="J537" s="21" t="str">
        <x:v>No</x:v>
      </x:c>
      <x:c r="K537" s="21" t="str">
        <x:v>Included</x:v>
      </x:c>
      <x:c r="L537" s="21" t="str">
        <x:v>Peserta</x:v>
      </x:c>
    </x:row>
    <x:row r="538">
      <x:c r="A538" s="21" t="str">
        <x:v>whatsapp_group_numbers tiktok 12-13 Jan 2026.csv</x:v>
      </x:c>
      <x:c r="B538" s="21" t="str">
        <x:v>tiktok 12-13 Jan 2026</x:v>
      </x:c>
      <x:c r="C538" s="21" t="n">
        <x:v>30</x:v>
      </x:c>
      <x:c r="D538" s="46" t="str">
        <x:f>"+601123647601"</x:f>
        <x:v>+601123647601</x:v>
      </x:c>
      <x:c r="E538" s="21" t="str">
        <x:v>+601123647601</x:v>
      </x:c>
      <x:c r="F538" s="21" t="str">
        <x:v>Member</x:v>
      </x:c>
      <x:c r="G538" s="46" t="str">
        <x:f>"601123647601"</x:f>
        <x:v>601123647601</x:v>
      </x:c>
      <x:c r="H538" s="21" t="str">
        <x:v>Yes</x:v>
      </x:c>
      <x:c r="I538" s="21" t="str">
        <x:v>No</x:v>
      </x:c>
      <x:c r="J538" s="21" t="str">
        <x:v>No</x:v>
      </x:c>
      <x:c r="K538" s="21" t="str">
        <x:v>Included</x:v>
      </x:c>
      <x:c r="L538" s="21" t="str">
        <x:v>Peserta</x:v>
      </x:c>
    </x:row>
    <x:row r="539">
      <x:c r="A539" s="21" t="str">
        <x:v>whatsapp_group_numbers tiktok 12-13 Jan 2026.csv</x:v>
      </x:c>
      <x:c r="B539" s="21" t="str">
        <x:v>tiktok 12-13 Jan 2026</x:v>
      </x:c>
      <x:c r="C539" s="21" t="n">
        <x:v>31</x:v>
      </x:c>
      <x:c r="D539" s="46" t="str">
        <x:f>"+60139751653"</x:f>
        <x:v>+60139751653</x:v>
      </x:c>
      <x:c r="E539" s="21" t="str">
        <x:v>+60139751653</x:v>
      </x:c>
      <x:c r="F539" s="21" t="str">
        <x:v>Member</x:v>
      </x:c>
      <x:c r="G539" s="46" t="str">
        <x:f>"60139751653"</x:f>
        <x:v>60139751653</x:v>
      </x:c>
      <x:c r="H539" s="21" t="str">
        <x:v>Yes</x:v>
      </x:c>
      <x:c r="I539" s="21" t="str">
        <x:v>No</x:v>
      </x:c>
      <x:c r="J539" s="21" t="str">
        <x:v>No</x:v>
      </x:c>
      <x:c r="K539" s="21" t="str">
        <x:v>Included</x:v>
      </x:c>
      <x:c r="L539" s="21" t="str">
        <x:v>Peserta</x:v>
      </x:c>
    </x:row>
    <x:row r="540">
      <x:c r="A540" s="21" t="str">
        <x:v>whatsapp_group_numbers tiktok 12-13 Jan 2026.csv</x:v>
      </x:c>
      <x:c r="B540" s="21" t="str">
        <x:v>tiktok 12-13 Jan 2026</x:v>
      </x:c>
      <x:c r="C540" s="21" t="n">
        <x:v>32</x:v>
      </x:c>
      <x:c r="D540" s="46" t="str">
        <x:f>"+60132779551"</x:f>
        <x:v>+60132779551</x:v>
      </x:c>
      <x:c r="E540" s="21" t="str">
        <x:v>+60132779551</x:v>
      </x:c>
      <x:c r="F540" s="21" t="str">
        <x:v>Member</x:v>
      </x:c>
      <x:c r="G540" s="46" t="str">
        <x:f>"60132779551"</x:f>
        <x:v>60132779551</x:v>
      </x:c>
      <x:c r="H540" s="21" t="str">
        <x:v>Yes</x:v>
      </x:c>
      <x:c r="I540" s="21" t="str">
        <x:v>No</x:v>
      </x:c>
      <x:c r="J540" s="21" t="str">
        <x:v>No</x:v>
      </x:c>
      <x:c r="K540" s="21" t="str">
        <x:v>Included</x:v>
      </x:c>
      <x:c r="L540" s="21" t="str">
        <x:v>Peserta</x:v>
      </x:c>
    </x:row>
    <x:row r="541">
      <x:c r="A541" s="21" t="str">
        <x:v>whatsapp_group_numbers tiktok 12-13 Jan 2026.csv</x:v>
      </x:c>
      <x:c r="B541" s="21" t="str">
        <x:v>tiktok 12-13 Jan 2026</x:v>
      </x:c>
      <x:c r="C541" s="21" t="n">
        <x:v>33</x:v>
      </x:c>
      <x:c r="D541" s="46" t="str">
        <x:f>"+60192774227"</x:f>
        <x:v>+60192774227</x:v>
      </x:c>
      <x:c r="E541" s="21" t="str">
        <x:v>+60192774227</x:v>
      </x:c>
      <x:c r="F541" s="21" t="str">
        <x:v>Member</x:v>
      </x:c>
      <x:c r="G541" s="46" t="str">
        <x:f>"60192774227"</x:f>
        <x:v>60192774227</x:v>
      </x:c>
      <x:c r="H541" s="21" t="str">
        <x:v>Yes</x:v>
      </x:c>
      <x:c r="I541" s="21" t="str">
        <x:v>No</x:v>
      </x:c>
      <x:c r="J541" s="21" t="str">
        <x:v>No</x:v>
      </x:c>
      <x:c r="K541" s="21" t="str">
        <x:v>Included</x:v>
      </x:c>
      <x:c r="L541" s="21" t="str">
        <x:v>Peserta</x:v>
      </x:c>
    </x:row>
    <x:row r="542">
      <x:c r="A542" s="21" t="str">
        <x:v>whatsapp_group_numbers tiktok 12-13 Jan 2026.csv</x:v>
      </x:c>
      <x:c r="B542" s="21" t="str">
        <x:v>tiktok 12-13 Jan 2026</x:v>
      </x:c>
      <x:c r="C542" s="21" t="n">
        <x:v>34</x:v>
      </x:c>
      <x:c r="D542" s="46" t="str">
        <x:f>"+60197316585"</x:f>
        <x:v>+60197316585</x:v>
      </x:c>
      <x:c r="E542" s="21" t="str">
        <x:v>+60197316585</x:v>
      </x:c>
      <x:c r="F542" s="21" t="str">
        <x:v>Member</x:v>
      </x:c>
      <x:c r="G542" s="46" t="str">
        <x:f>"60197316585"</x:f>
        <x:v>60197316585</x:v>
      </x:c>
      <x:c r="H542" s="21" t="str">
        <x:v>Yes</x:v>
      </x:c>
      <x:c r="I542" s="21" t="str">
        <x:v>No</x:v>
      </x:c>
      <x:c r="J542" s="21" t="str">
        <x:v>No</x:v>
      </x:c>
      <x:c r="K542" s="21" t="str">
        <x:v>Included</x:v>
      </x:c>
      <x:c r="L542" s="21" t="str">
        <x:v>Peserta</x:v>
      </x:c>
    </x:row>
    <x:row r="543">
      <x:c r="A543" s="21" t="str">
        <x:v>whatsapp_group_numbers tiktok 12-13 Jan 2026.csv</x:v>
      </x:c>
      <x:c r="B543" s="21" t="str">
        <x:v>tiktok 12-13 Jan 2026</x:v>
      </x:c>
      <x:c r="C543" s="21" t="n">
        <x:v>35</x:v>
      </x:c>
      <x:c r="D543" s="46" t="str">
        <x:f>"+60105447245"</x:f>
        <x:v>+60105447245</x:v>
      </x:c>
      <x:c r="E543" s="21" t="str">
        <x:v>+60105447245</x:v>
      </x:c>
      <x:c r="F543" s="21" t="str">
        <x:v>Member</x:v>
      </x:c>
      <x:c r="G543" s="46" t="str">
        <x:f>"60105447245"</x:f>
        <x:v>60105447245</x:v>
      </x:c>
      <x:c r="H543" s="21" t="str">
        <x:v>Yes</x:v>
      </x:c>
      <x:c r="I543" s="21" t="str">
        <x:v>No</x:v>
      </x:c>
      <x:c r="J543" s="21" t="str">
        <x:v>No</x:v>
      </x:c>
      <x:c r="K543" s="21" t="str">
        <x:v>Included</x:v>
      </x:c>
      <x:c r="L543" s="21" t="str">
        <x:v>Peserta</x:v>
      </x:c>
    </x:row>
    <x:row r="544">
      <x:c r="A544" s="21" t="str">
        <x:v>whatsapp_group_numbers tiktok 12-13 Jan 2026.csv</x:v>
      </x:c>
      <x:c r="B544" s="21" t="str">
        <x:v>tiktok 12-13 Jan 2026</x:v>
      </x:c>
      <x:c r="C544" s="21" t="n">
        <x:v>36</x:v>
      </x:c>
      <x:c r="D544" s="46" t="str">
        <x:f>"+60129393668"</x:f>
        <x:v>+60129393668</x:v>
      </x:c>
      <x:c r="E544" s="21" t="str">
        <x:v>+60129393668</x:v>
      </x:c>
      <x:c r="F544" s="21" t="str">
        <x:v>Member</x:v>
      </x:c>
      <x:c r="G544" s="46" t="str">
        <x:f>"60129393668"</x:f>
        <x:v>60129393668</x:v>
      </x:c>
      <x:c r="H544" s="21" t="str">
        <x:v>Yes</x:v>
      </x:c>
      <x:c r="I544" s="21" t="str">
        <x:v>No</x:v>
      </x:c>
      <x:c r="J544" s="21" t="str">
        <x:v>No</x:v>
      </x:c>
      <x:c r="K544" s="21" t="str">
        <x:v>Included</x:v>
      </x:c>
      <x:c r="L544" s="21" t="str">
        <x:v>Peserta</x:v>
      </x:c>
    </x:row>
    <x:row r="545">
      <x:c r="A545" s="21" t="str">
        <x:v>whatsapp_group_numbers tiktok 12-13 Jan 2026.csv</x:v>
      </x:c>
      <x:c r="B545" s="21" t="str">
        <x:v>tiktok 12-13 Jan 2026</x:v>
      </x:c>
      <x:c r="C545" s="21" t="n">
        <x:v>37</x:v>
      </x:c>
      <x:c r="D545" s="46" t="str">
        <x:f>"+60194458455"</x:f>
        <x:v>+60194458455</x:v>
      </x:c>
      <x:c r="E545" s="21" t="str">
        <x:v>+60194458455</x:v>
      </x:c>
      <x:c r="F545" s="21" t="str">
        <x:v>Member</x:v>
      </x:c>
      <x:c r="G545" s="46" t="str">
        <x:f>"60194458455"</x:f>
        <x:v>60194458455</x:v>
      </x:c>
      <x:c r="H545" s="21" t="str">
        <x:v>Yes</x:v>
      </x:c>
      <x:c r="I545" s="21" t="str">
        <x:v>No</x:v>
      </x:c>
      <x:c r="J545" s="21" t="str">
        <x:v>No</x:v>
      </x:c>
      <x:c r="K545" s="21" t="str">
        <x:v>Included</x:v>
      </x:c>
      <x:c r="L545" s="21" t="str">
        <x:v>Peserta</x:v>
      </x:c>
    </x:row>
    <x:row r="546">
      <x:c r="A546" s="21" t="str">
        <x:v>whatsapp_group_numbers tiktok cz.csv</x:v>
      </x:c>
      <x:c r="B546" s="21" t="str">
        <x:v>tiktok cz</x:v>
      </x:c>
      <x:c r="C546" s="21" t="n">
        <x:v>1</x:v>
      </x:c>
      <x:c r="D546" s="46" t="str">
        <x:f>"+601158626216"</x:f>
        <x:v>+601158626216</x:v>
      </x:c>
      <x:c r="E546" s="21" t="str">
        <x:v>Coaching Training Consultant</x:v>
      </x:c>
      <x:c r="F546" s="21" t="str">
        <x:v>Member</x:v>
      </x:c>
      <x:c r="G546" s="46" t="str">
        <x:f>"601158626216"</x:f>
        <x:v>601158626216</x:v>
      </x:c>
      <x:c r="H546" s="21" t="str">
        <x:v>Yes</x:v>
      </x:c>
      <x:c r="I546" s="21" t="str">
        <x:v>No</x:v>
      </x:c>
      <x:c r="J546" s="21" t="str">
        <x:v>No</x:v>
      </x:c>
      <x:c r="K546" s="21" t="str">
        <x:v>Excluded</x:v>
      </x:c>
      <x:c r="L546" s="21" t="str">
        <x:v>Senarai pengecualian manual pengguna</x:v>
      </x:c>
    </x:row>
    <x:row r="547">
      <x:c r="A547" s="21" t="str">
        <x:v>whatsapp_group_numbers tiktok cz.csv</x:v>
      </x:c>
      <x:c r="B547" s="21" t="str">
        <x:v>tiktok cz</x:v>
      </x:c>
      <x:c r="C547" s="21" t="n">
        <x:v>2</x:v>
      </x:c>
      <x:c r="D547" s="46" t="str">
        <x:f>"+60133815817"</x:f>
        <x:v>+60133815817</x:v>
      </x:c>
      <x:c r="E547" s="21" t="str">
        <x:v>Kamarul Bahareen Kamarudin</x:v>
      </x:c>
      <x:c r="F547" s="21" t="str">
        <x:v>Member</x:v>
      </x:c>
      <x:c r="G547" s="46" t="str">
        <x:f>"60133815817"</x:f>
        <x:v>60133815817</x:v>
      </x:c>
      <x:c r="H547" s="21" t="str">
        <x:v>Yes</x:v>
      </x:c>
      <x:c r="I547" s="21" t="str">
        <x:v>No</x:v>
      </x:c>
      <x:c r="J547" s="21" t="str">
        <x:v>No</x:v>
      </x:c>
      <x:c r="K547" s="21" t="str">
        <x:v>Excluded</x:v>
      </x:c>
      <x:c r="L547" s="21" t="str">
        <x:v>Pemilik/trainer</x:v>
      </x:c>
    </x:row>
    <x:row r="548">
      <x:c r="A548" s="21" t="str">
        <x:v>whatsapp_group_numbers tiktok cz.csv</x:v>
      </x:c>
      <x:c r="B548" s="21" t="str">
        <x:v>tiktok cz</x:v>
      </x:c>
      <x:c r="C548" s="21" t="n">
        <x:v>3</x:v>
      </x:c>
      <x:c r="D548" s="46" t="str">
        <x:f>"+60199197114"</x:f>
        <x:v>+60199197114</x:v>
      </x:c>
      <x:c r="E548" s="21" t="str">
        <x:v>2à2á</x:v>
      </x:c>
      <x:c r="F548" s="21" t="str">
        <x:v>Member</x:v>
      </x:c>
      <x:c r="G548" s="46" t="str">
        <x:f>"60199197114"</x:f>
        <x:v>60199197114</x:v>
      </x:c>
      <x:c r="H548" s="21" t="str">
        <x:v>Yes</x:v>
      </x:c>
      <x:c r="I548" s="21" t="str">
        <x:v>No</x:v>
      </x:c>
      <x:c r="J548" s="21" t="str">
        <x:v>No</x:v>
      </x:c>
      <x:c r="K548" s="21" t="str">
        <x:v>Included</x:v>
      </x:c>
      <x:c r="L548" s="21" t="str">
        <x:v>Peserta</x:v>
      </x:c>
    </x:row>
    <x:row r="549">
      <x:c r="A549" s="21" t="str">
        <x:v>whatsapp_group_numbers tiktok cz.csv</x:v>
      </x:c>
      <x:c r="B549" s="21" t="str">
        <x:v>tiktok cz</x:v>
      </x:c>
      <x:c r="C549" s="21" t="n">
        <x:v>4</x:v>
      </x:c>
      <x:c r="D549" s="46" t="str">
        <x:f>"+601135142769"</x:f>
        <x:v>+601135142769</x:v>
      </x:c>
      <x:c r="E549" s="21" t="str">
        <x:v>Auradaa769</x:v>
      </x:c>
      <x:c r="F549" s="21" t="str">
        <x:v>Member</x:v>
      </x:c>
      <x:c r="G549" s="46" t="str">
        <x:f>"601135142769"</x:f>
        <x:v>601135142769</x:v>
      </x:c>
      <x:c r="H549" s="21" t="str">
        <x:v>Yes</x:v>
      </x:c>
      <x:c r="I549" s="21" t="str">
        <x:v>No</x:v>
      </x:c>
      <x:c r="J549" s="21" t="str">
        <x:v>No</x:v>
      </x:c>
      <x:c r="K549" s="21" t="str">
        <x:v>Included</x:v>
      </x:c>
      <x:c r="L549" s="21" t="str">
        <x:v>Peserta</x:v>
      </x:c>
    </x:row>
    <x:row r="550">
      <x:c r="A550" s="21" t="str">
        <x:v>whatsapp_group_numbers tiktok cz.csv</x:v>
      </x:c>
      <x:c r="B550" s="21" t="str">
        <x:v>tiktok cz</x:v>
      </x:c>
      <x:c r="C550" s="21" t="n">
        <x:v>5</x:v>
      </x:c>
      <x:c r="D550" s="46" t="str">
        <x:f>"+60199749769"</x:f>
        <x:v>+60199749769</x:v>
      </x:c>
      <x:c r="E550" s="21" t="str">
        <x:v>m adlu769</x:v>
      </x:c>
      <x:c r="F550" s="21" t="str">
        <x:v>Member</x:v>
      </x:c>
      <x:c r="G550" s="46" t="str">
        <x:f>"60199749769"</x:f>
        <x:v>60199749769</x:v>
      </x:c>
      <x:c r="H550" s="21" t="str">
        <x:v>Yes</x:v>
      </x:c>
      <x:c r="I550" s="21" t="str">
        <x:v>No</x:v>
      </x:c>
      <x:c r="J550" s="21" t="str">
        <x:v>No</x:v>
      </x:c>
      <x:c r="K550" s="21" t="str">
        <x:v>Included</x:v>
      </x:c>
      <x:c r="L550" s="21" t="str">
        <x:v>Peserta</x:v>
      </x:c>
    </x:row>
    <x:row r="551">
      <x:c r="A551" s="21" t="str">
        <x:v>whatsapp_group_numbers tiktok cz.csv</x:v>
      </x:c>
      <x:c r="B551" s="21" t="str">
        <x:v>tiktok cz</x:v>
      </x:c>
      <x:c r="C551" s="21" t="n">
        <x:v>6</x:v>
      </x:c>
      <x:c r="D551" s="46" t="str">
        <x:f>"+60129141359"</x:f>
        <x:v>+60129141359</x:v>
      </x:c>
      <x:c r="E551" s="21" t="str">
        <x:v>Mdm Nurul | Car &amp; Home Advisor</x:v>
      </x:c>
      <x:c r="F551" s="21" t="str">
        <x:v>Member</x:v>
      </x:c>
      <x:c r="G551" s="46" t="str">
        <x:f>"60129141359"</x:f>
        <x:v>60129141359</x:v>
      </x:c>
      <x:c r="H551" s="21" t="str">
        <x:v>Yes</x:v>
      </x:c>
      <x:c r="I551" s="21" t="str">
        <x:v>No</x:v>
      </x:c>
      <x:c r="J551" s="21" t="str">
        <x:v>No</x:v>
      </x:c>
      <x:c r="K551" s="21" t="str">
        <x:v>Included</x:v>
      </x:c>
      <x:c r="L551" s="21" t="str">
        <x:v>Peserta</x:v>
      </x:c>
    </x:row>
    <x:row r="552">
      <x:c r="A552" s="21" t="str">
        <x:v>whatsapp_group_numbers tiktok cz.csv</x:v>
      </x:c>
      <x:c r="B552" s="21" t="str">
        <x:v>tiktok cz</x:v>
      </x:c>
      <x:c r="C552" s="21" t="n">
        <x:v>7</x:v>
      </x:c>
      <x:c r="D552" s="46" t="str">
        <x:f>"+60125043809"</x:f>
        <x:v>+60125043809</x:v>
      </x:c>
      <x:c r="E552" s="21" t="str">
        <x:v>Saada @Kak Aura</x:v>
      </x:c>
      <x:c r="F552" s="21" t="str">
        <x:v>Member</x:v>
      </x:c>
      <x:c r="G552" s="46" t="str">
        <x:f>"60125043809"</x:f>
        <x:v>60125043809</x:v>
      </x:c>
      <x:c r="H552" s="21" t="str">
        <x:v>Yes</x:v>
      </x:c>
      <x:c r="I552" s="21" t="str">
        <x:v>No</x:v>
      </x:c>
      <x:c r="J552" s="21" t="str">
        <x:v>No</x:v>
      </x:c>
      <x:c r="K552" s="21" t="str">
        <x:v>Included</x:v>
      </x:c>
      <x:c r="L552" s="21" t="str">
        <x:v>Peserta</x:v>
      </x:c>
    </x:row>
    <x:row r="553">
      <x:c r="A553" s="21" t="str">
        <x:v>whatsapp_group_numbers tiktok cz.csv</x:v>
      </x:c>
      <x:c r="B553" s="21" t="str">
        <x:v>tiktok cz</x:v>
      </x:c>
      <x:c r="C553" s="21" t="n">
        <x:v>8</x:v>
      </x:c>
      <x:c r="D553" s="46" t="str">
        <x:f>"+60194187514"</x:f>
        <x:v>+60194187514</x:v>
      </x:c>
      <x:c r="E553" s="21" t="str">
        <x:v>Shuhaimi MZ</x:v>
      </x:c>
      <x:c r="F553" s="21" t="str">
        <x:v>Member</x:v>
      </x:c>
      <x:c r="G553" s="46" t="str">
        <x:f>"60194187514"</x:f>
        <x:v>60194187514</x:v>
      </x:c>
      <x:c r="H553" s="21" t="str">
        <x:v>Yes</x:v>
      </x:c>
      <x:c r="I553" s="21" t="str">
        <x:v>No</x:v>
      </x:c>
      <x:c r="J553" s="21" t="str">
        <x:v>No</x:v>
      </x:c>
      <x:c r="K553" s="21" t="str">
        <x:v>Included</x:v>
      </x:c>
      <x:c r="L553" s="21" t="str">
        <x:v>Peserta</x:v>
      </x:c>
    </x:row>
    <x:row r="554">
      <x:c r="A554" s="21" t="str">
        <x:v>whatsapp_group_numbers tiktok cz.csv</x:v>
      </x:c>
      <x:c r="B554" s="21" t="str">
        <x:v>tiktok cz</x:v>
      </x:c>
      <x:c r="C554" s="21" t="n">
        <x:v>9</x:v>
      </x:c>
      <x:c r="D554" s="46" t="str">
        <x:f>"+60126306457"</x:f>
        <x:v>+60126306457</x:v>
      </x:c>
      <x:c r="E554" s="21" t="str">
        <x:v>Syamsul N K J</x:v>
      </x:c>
      <x:c r="F554" s="21" t="str">
        <x:v>Member</x:v>
      </x:c>
      <x:c r="G554" s="46" t="str">
        <x:f>"60126306457"</x:f>
        <x:v>60126306457</x:v>
      </x:c>
      <x:c r="H554" s="21" t="str">
        <x:v>Yes</x:v>
      </x:c>
      <x:c r="I554" s="21" t="str">
        <x:v>No</x:v>
      </x:c>
      <x:c r="J554" s="21" t="str">
        <x:v>No</x:v>
      </x:c>
      <x:c r="K554" s="21" t="str">
        <x:v>Included</x:v>
      </x:c>
      <x:c r="L554" s="21" t="str">
        <x:v>Peserta</x:v>
      </x:c>
    </x:row>
    <x:row r="555">
      <x:c r="A555" s="21" t="str">
        <x:v>whatsapp_group_numbers tiktok cz.csv</x:v>
      </x:c>
      <x:c r="B555" s="21" t="str">
        <x:v>tiktok cz</x:v>
      </x:c>
      <x:c r="C555" s="21" t="n">
        <x:v>10</x:v>
      </x:c>
      <x:c r="D555" s="46" t="str">
        <x:f>"+60195309665"</x:f>
        <x:v>+60195309665</x:v>
      </x:c>
      <x:c r="E555" s="21" t="str">
        <x:v>+60195309665</x:v>
      </x:c>
      <x:c r="F555" s="21" t="str">
        <x:v>Member</x:v>
      </x:c>
      <x:c r="G555" s="46" t="str">
        <x:f>"60195309665"</x:f>
        <x:v>60195309665</x:v>
      </x:c>
      <x:c r="H555" s="21" t="str">
        <x:v>Yes</x:v>
      </x:c>
      <x:c r="I555" s="21" t="str">
        <x:v>No</x:v>
      </x:c>
      <x:c r="J555" s="21" t="str">
        <x:v>No</x:v>
      </x:c>
      <x:c r="K555" s="21" t="str">
        <x:v>Included</x:v>
      </x:c>
      <x:c r="L555" s="21" t="str">
        <x:v>Peserta</x:v>
      </x:c>
    </x:row>
    <x:row r="556">
      <x:c r="A556" s="21" t="str">
        <x:v>whatsapp_group_numbers tiktok cz.csv</x:v>
      </x:c>
      <x:c r="B556" s="21" t="str">
        <x:v>tiktok cz</x:v>
      </x:c>
      <x:c r="C556" s="21" t="n">
        <x:v>11</x:v>
      </x:c>
      <x:c r="D556" s="46" t="str">
        <x:f>"+60104012756"</x:f>
        <x:v>+60104012756</x:v>
      </x:c>
      <x:c r="E556" s="21" t="str">
        <x:v>+60104012756</x:v>
      </x:c>
      <x:c r="F556" s="21" t="str">
        <x:v>Member</x:v>
      </x:c>
      <x:c r="G556" s="46" t="str">
        <x:f>"60104012756"</x:f>
        <x:v>60104012756</x:v>
      </x:c>
      <x:c r="H556" s="21" t="str">
        <x:v>Yes</x:v>
      </x:c>
      <x:c r="I556" s="21" t="str">
        <x:v>No</x:v>
      </x:c>
      <x:c r="J556" s="21" t="str">
        <x:v>No</x:v>
      </x:c>
      <x:c r="K556" s="21" t="str">
        <x:v>Included</x:v>
      </x:c>
      <x:c r="L556" s="21" t="str">
        <x:v>Peserta</x:v>
      </x:c>
    </x:row>
    <x:row r="557">
      <x:c r="A557" s="21" t="str">
        <x:v>whatsapp_group_numbers tiktok cz.csv</x:v>
      </x:c>
      <x:c r="B557" s="21" t="str">
        <x:v>tiktok cz</x:v>
      </x:c>
      <x:c r="C557" s="21" t="n">
        <x:v>12</x:v>
      </x:c>
      <x:c r="D557" s="46" t="str">
        <x:f>"+60122234992"</x:f>
        <x:v>+60122234992</x:v>
      </x:c>
      <x:c r="E557" s="21" t="str">
        <x:v>+60122234992</x:v>
      </x:c>
      <x:c r="F557" s="21" t="str">
        <x:v>Member</x:v>
      </x:c>
      <x:c r="G557" s="46" t="str">
        <x:f>"60122234992"</x:f>
        <x:v>60122234992</x:v>
      </x:c>
      <x:c r="H557" s="21" t="str">
        <x:v>Yes</x:v>
      </x:c>
      <x:c r="I557" s="21" t="str">
        <x:v>No</x:v>
      </x:c>
      <x:c r="J557" s="21" t="str">
        <x:v>No</x:v>
      </x:c>
      <x:c r="K557" s="21" t="str">
        <x:v>Included</x:v>
      </x:c>
      <x:c r="L557" s="21" t="str">
        <x:v>Peserta</x:v>
      </x:c>
    </x:row>
    <x:row r="558">
      <x:c r="A558" s="21" t="str">
        <x:v>whatsapp_group_numbers tiktok cz.csv</x:v>
      </x:c>
      <x:c r="B558" s="21" t="str">
        <x:v>tiktok cz</x:v>
      </x:c>
      <x:c r="C558" s="21" t="n">
        <x:v>13</x:v>
      </x:c>
      <x:c r="D558" s="46" t="str">
        <x:f>"+60194457345"</x:f>
        <x:v>+60194457345</x:v>
      </x:c>
      <x:c r="E558" s="21" t="str">
        <x:v>+60194457345</x:v>
      </x:c>
      <x:c r="F558" s="21" t="str">
        <x:v>Member</x:v>
      </x:c>
      <x:c r="G558" s="46" t="str">
        <x:f>"60194457345"</x:f>
        <x:v>60194457345</x:v>
      </x:c>
      <x:c r="H558" s="21" t="str">
        <x:v>Yes</x:v>
      </x:c>
      <x:c r="I558" s="21" t="str">
        <x:v>No</x:v>
      </x:c>
      <x:c r="J558" s="21" t="str">
        <x:v>No</x:v>
      </x:c>
      <x:c r="K558" s="21" t="str">
        <x:v>Included</x:v>
      </x:c>
      <x:c r="L558" s="21" t="str">
        <x:v>Peserta</x:v>
      </x:c>
    </x:row>
    <x:row r="559">
      <x:c r="A559" s="21" t="str">
        <x:v>whatsapp_group_numbers tiktok cz.csv</x:v>
      </x:c>
      <x:c r="B559" s="21" t="str">
        <x:v>tiktok cz</x:v>
      </x:c>
      <x:c r="C559" s="21" t="n">
        <x:v>14</x:v>
      </x:c>
      <x:c r="D559" s="46" t="str">
        <x:f>"+60126343473"</x:f>
        <x:v>+60126343473</x:v>
      </x:c>
      <x:c r="E559" s="21" t="str">
        <x:v>+60126343473</x:v>
      </x:c>
      <x:c r="F559" s="21" t="str">
        <x:v>Member</x:v>
      </x:c>
      <x:c r="G559" s="46" t="str">
        <x:f>"60126343473"</x:f>
        <x:v>60126343473</x:v>
      </x:c>
      <x:c r="H559" s="21" t="str">
        <x:v>Yes</x:v>
      </x:c>
      <x:c r="I559" s="21" t="str">
        <x:v>No</x:v>
      </x:c>
      <x:c r="J559" s="21" t="str">
        <x:v>No</x:v>
      </x:c>
      <x:c r="K559" s="21" t="str">
        <x:v>Included</x:v>
      </x:c>
      <x:c r="L559" s="21" t="str">
        <x:v>Peserta</x:v>
      </x:c>
    </x:row>
    <x:row r="560">
      <x:c r="A560" s="21" t="str">
        <x:v>whatsapp_group_numbers tiktok cz.csv</x:v>
      </x:c>
      <x:c r="B560" s="21" t="str">
        <x:v>tiktok cz</x:v>
      </x:c>
      <x:c r="C560" s="21" t="n">
        <x:v>15</x:v>
      </x:c>
      <x:c r="D560" s="46" t="str">
        <x:f>"+60196861063"</x:f>
        <x:v>+60196861063</x:v>
      </x:c>
      <x:c r="E560" s="21" t="str">
        <x:v>+60196861063</x:v>
      </x:c>
      <x:c r="F560" s="21" t="str">
        <x:v>Member</x:v>
      </x:c>
      <x:c r="G560" s="46" t="str">
        <x:f>"60196861063"</x:f>
        <x:v>60196861063</x:v>
      </x:c>
      <x:c r="H560" s="21" t="str">
        <x:v>Yes</x:v>
      </x:c>
      <x:c r="I560" s="21" t="str">
        <x:v>No</x:v>
      </x:c>
      <x:c r="J560" s="21" t="str">
        <x:v>No</x:v>
      </x:c>
      <x:c r="K560" s="21" t="str">
        <x:v>Included</x:v>
      </x:c>
      <x:c r="L560" s="21" t="str">
        <x:v>Peserta</x:v>
      </x:c>
    </x:row>
    <x:row r="561">
      <x:c r="A561" s="21" t="str">
        <x:v>whatsapp_group_numbers tiktok cz.csv</x:v>
      </x:c>
      <x:c r="B561" s="21" t="str">
        <x:v>tiktok cz</x:v>
      </x:c>
      <x:c r="C561" s="21" t="n">
        <x:v>16</x:v>
      </x:c>
      <x:c r="D561" s="46" t="str">
        <x:f>"+60183158957"</x:f>
        <x:v>+60183158957</x:v>
      </x:c>
      <x:c r="E561" s="21" t="str">
        <x:v>+60183158957</x:v>
      </x:c>
      <x:c r="F561" s="21" t="str">
        <x:v>Member</x:v>
      </x:c>
      <x:c r="G561" s="46" t="str">
        <x:f>"60183158957"</x:f>
        <x:v>60183158957</x:v>
      </x:c>
      <x:c r="H561" s="21" t="str">
        <x:v>Yes</x:v>
      </x:c>
      <x:c r="I561" s="21" t="str">
        <x:v>No</x:v>
      </x:c>
      <x:c r="J561" s="21" t="str">
        <x:v>No</x:v>
      </x:c>
      <x:c r="K561" s="21" t="str">
        <x:v>Included</x:v>
      </x:c>
      <x:c r="L561" s="21" t="str">
        <x:v>Peserta</x:v>
      </x:c>
    </x:row>
    <x:row r="562">
      <x:c r="A562" s="21" t="str">
        <x:v>whatsapp_group_numbers tiktok cz.csv</x:v>
      </x:c>
      <x:c r="B562" s="21" t="str">
        <x:v>tiktok cz</x:v>
      </x:c>
      <x:c r="C562" s="21" t="n">
        <x:v>17</x:v>
      </x:c>
      <x:c r="D562" s="46" t="str">
        <x:f>"+60173732743"</x:f>
        <x:v>+60173732743</x:v>
      </x:c>
      <x:c r="E562" s="21" t="str">
        <x:v>+60173732743</x:v>
      </x:c>
      <x:c r="F562" s="21" t="str">
        <x:v>Member</x:v>
      </x:c>
      <x:c r="G562" s="46" t="str">
        <x:f>"60173732743"</x:f>
        <x:v>60173732743</x:v>
      </x:c>
      <x:c r="H562" s="21" t="str">
        <x:v>Yes</x:v>
      </x:c>
      <x:c r="I562" s="21" t="str">
        <x:v>No</x:v>
      </x:c>
      <x:c r="J562" s="21" t="str">
        <x:v>No</x:v>
      </x:c>
      <x:c r="K562" s="21" t="str">
        <x:v>Included</x:v>
      </x:c>
      <x:c r="L562" s="21" t="str">
        <x:v>Peserta</x:v>
      </x:c>
    </x:row>
    <x:row r="563">
      <x:c r="A563" s="21" t="str">
        <x:v>whatsapp_group_numbers tiktok cz.csv</x:v>
      </x:c>
      <x:c r="B563" s="21" t="str">
        <x:v>tiktok cz</x:v>
      </x:c>
      <x:c r="C563" s="21" t="n">
        <x:v>18</x:v>
      </x:c>
      <x:c r="D563" s="46" t="str">
        <x:f>"+60166267784"</x:f>
        <x:v>+60166267784</x:v>
      </x:c>
      <x:c r="E563" s="21" t="str">
        <x:v>+60166267784</x:v>
      </x:c>
      <x:c r="F563" s="21" t="str">
        <x:v>Member</x:v>
      </x:c>
      <x:c r="G563" s="46" t="str">
        <x:f>"60166267784"</x:f>
        <x:v>60166267784</x:v>
      </x:c>
      <x:c r="H563" s="21" t="str">
        <x:v>Yes</x:v>
      </x:c>
      <x:c r="I563" s="21" t="str">
        <x:v>No</x:v>
      </x:c>
      <x:c r="J563" s="21" t="str">
        <x:v>No</x:v>
      </x:c>
      <x:c r="K563" s="21" t="str">
        <x:v>Included</x:v>
      </x:c>
      <x:c r="L563" s="21" t="str">
        <x:v>Peserta</x:v>
      </x:c>
    </x:row>
    <x:row r="564">
      <x:c r="A564" s="21" t="str">
        <x:v>whatsapp_group_numbers tiktok cz.csv</x:v>
      </x:c>
      <x:c r="B564" s="21" t="str">
        <x:v>tiktok cz</x:v>
      </x:c>
      <x:c r="C564" s="21" t="n">
        <x:v>19</x:v>
      </x:c>
      <x:c r="D564" s="46" t="str">
        <x:f>"+60194027572"</x:f>
        <x:v>+60194027572</x:v>
      </x:c>
      <x:c r="E564" s="21" t="str">
        <x:v>+60194027572</x:v>
      </x:c>
      <x:c r="F564" s="21" t="str">
        <x:v>Member</x:v>
      </x:c>
      <x:c r="G564" s="46" t="str">
        <x:f>"60194027572"</x:f>
        <x:v>60194027572</x:v>
      </x:c>
      <x:c r="H564" s="21" t="str">
        <x:v>Yes</x:v>
      </x:c>
      <x:c r="I564" s="21" t="str">
        <x:v>No</x:v>
      </x:c>
      <x:c r="J564" s="21" t="str">
        <x:v>No</x:v>
      </x:c>
      <x:c r="K564" s="21" t="str">
        <x:v>Included</x:v>
      </x:c>
      <x:c r="L564" s="21" t="str">
        <x:v>Peserta</x:v>
      </x:c>
    </x:row>
    <x:row r="565">
      <x:c r="A565" s="21" t="str">
        <x:v>whatsapp_group_numbers tiktok cz.csv</x:v>
      </x:c>
      <x:c r="B565" s="21" t="str">
        <x:v>tiktok cz</x:v>
      </x:c>
      <x:c r="C565" s="21" t="n">
        <x:v>20</x:v>
      </x:c>
      <x:c r="D565" s="46" t="str">
        <x:f>"+60139489283"</x:f>
        <x:v>+60139489283</x:v>
      </x:c>
      <x:c r="E565" s="21" t="str">
        <x:v>+60139489283</x:v>
      </x:c>
      <x:c r="F565" s="21" t="str">
        <x:v>Member</x:v>
      </x:c>
      <x:c r="G565" s="46" t="str">
        <x:f>"60139489283"</x:f>
        <x:v>60139489283</x:v>
      </x:c>
      <x:c r="H565" s="21" t="str">
        <x:v>Yes</x:v>
      </x:c>
      <x:c r="I565" s="21" t="str">
        <x:v>No</x:v>
      </x:c>
      <x:c r="J565" s="21" t="str">
        <x:v>No</x:v>
      </x:c>
      <x:c r="K565" s="21" t="str">
        <x:v>Included</x:v>
      </x:c>
      <x:c r="L565" s="21" t="str">
        <x:v>Peserta</x:v>
      </x:c>
    </x:row>
    <x:row r="566">
      <x:c r="A566" s="21" t="str">
        <x:v>whatsapp_group_numbers tiktok cz.csv</x:v>
      </x:c>
      <x:c r="B566" s="21" t="str">
        <x:v>tiktok cz</x:v>
      </x:c>
      <x:c r="C566" s="21" t="n">
        <x:v>21</x:v>
      </x:c>
      <x:c r="D566" s="46" t="str">
        <x:f>"+601136867314"</x:f>
        <x:v>+601136867314</x:v>
      </x:c>
      <x:c r="E566" s="21" t="str">
        <x:v>+601136867314</x:v>
      </x:c>
      <x:c r="F566" s="21" t="str">
        <x:v>Member</x:v>
      </x:c>
      <x:c r="G566" s="46" t="str">
        <x:f>"601136867314"</x:f>
        <x:v>601136867314</x:v>
      </x:c>
      <x:c r="H566" s="21" t="str">
        <x:v>Yes</x:v>
      </x:c>
      <x:c r="I566" s="21" t="str">
        <x:v>No</x:v>
      </x:c>
      <x:c r="J566" s="21" t="str">
        <x:v>No</x:v>
      </x:c>
      <x:c r="K566" s="21" t="str">
        <x:v>Included</x:v>
      </x:c>
      <x:c r="L566" s="21" t="str">
        <x:v>Peserta</x:v>
      </x:c>
    </x:row>
    <x:row r="567">
      <x:c r="A567" s="21" t="str">
        <x:v>whatsapp_group_numbers tiktok cz.csv</x:v>
      </x:c>
      <x:c r="B567" s="21" t="str">
        <x:v>tiktok cz</x:v>
      </x:c>
      <x:c r="C567" s="21" t="n">
        <x:v>22</x:v>
      </x:c>
      <x:c r="D567" s="46" t="str">
        <x:f>"+601126390538"</x:f>
        <x:v>+601126390538</x:v>
      </x:c>
      <x:c r="E567" s="21" t="str">
        <x:v>+601126390538</x:v>
      </x:c>
      <x:c r="F567" s="21" t="str">
        <x:v>Member</x:v>
      </x:c>
      <x:c r="G567" s="46" t="str">
        <x:f>"601126390538"</x:f>
        <x:v>601126390538</x:v>
      </x:c>
      <x:c r="H567" s="21" t="str">
        <x:v>Yes</x:v>
      </x:c>
      <x:c r="I567" s="21" t="str">
        <x:v>No</x:v>
      </x:c>
      <x:c r="J567" s="21" t="str">
        <x:v>No</x:v>
      </x:c>
      <x:c r="K567" s="21" t="str">
        <x:v>Included</x:v>
      </x:c>
      <x:c r="L567" s="21" t="str">
        <x:v>Peserta</x:v>
      </x:c>
    </x:row>
    <x:row r="568">
      <x:c r="A568" s="21" t="str">
        <x:v>whatsapp_group_numbers tiktok cz.csv</x:v>
      </x:c>
      <x:c r="B568" s="21" t="str">
        <x:v>tiktok cz</x:v>
      </x:c>
      <x:c r="C568" s="21" t="n">
        <x:v>23</x:v>
      </x:c>
      <x:c r="D568" s="46" t="str">
        <x:f>"+60192206780"</x:f>
        <x:v>+60192206780</x:v>
      </x:c>
      <x:c r="E568" s="21" t="str">
        <x:v>+60192206780</x:v>
      </x:c>
      <x:c r="F568" s="21" t="str">
        <x:v>Member</x:v>
      </x:c>
      <x:c r="G568" s="46" t="str">
        <x:f>"60192206780"</x:f>
        <x:v>60192206780</x:v>
      </x:c>
      <x:c r="H568" s="21" t="str">
        <x:v>Yes</x:v>
      </x:c>
      <x:c r="I568" s="21" t="str">
        <x:v>No</x:v>
      </x:c>
      <x:c r="J568" s="21" t="str">
        <x:v>No</x:v>
      </x:c>
      <x:c r="K568" s="21" t="str">
        <x:v>Included</x:v>
      </x:c>
      <x:c r="L568" s="21" t="str">
        <x:v>Peserta</x:v>
      </x:c>
    </x:row>
    <x:row r="569">
      <x:c r="A569" s="21" t="str">
        <x:v>whatsapp_group_numbers tiktok cz.csv</x:v>
      </x:c>
      <x:c r="B569" s="21" t="str">
        <x:v>tiktok cz</x:v>
      </x:c>
      <x:c r="C569" s="21" t="n">
        <x:v>24</x:v>
      </x:c>
      <x:c r="D569" s="46" t="str">
        <x:f>"+60196341774"</x:f>
        <x:v>+60196341774</x:v>
      </x:c>
      <x:c r="E569" s="21" t="str">
        <x:v>+60196341774</x:v>
      </x:c>
      <x:c r="F569" s="21" t="str">
        <x:v>Member</x:v>
      </x:c>
      <x:c r="G569" s="46" t="str">
        <x:f>"60196341774"</x:f>
        <x:v>60196341774</x:v>
      </x:c>
      <x:c r="H569" s="21" t="str">
        <x:v>Yes</x:v>
      </x:c>
      <x:c r="I569" s="21" t="str">
        <x:v>No</x:v>
      </x:c>
      <x:c r="J569" s="21" t="str">
        <x:v>No</x:v>
      </x:c>
      <x:c r="K569" s="21" t="str">
        <x:v>Included</x:v>
      </x:c>
      <x:c r="L569" s="21" t="str">
        <x:v>Peserta</x:v>
      </x:c>
    </x:row>
    <x:row r="570">
      <x:c r="A570" s="21" t="str">
        <x:v>whatsapp_group_numbers tiktok cz.csv</x:v>
      </x:c>
      <x:c r="B570" s="21" t="str">
        <x:v>tiktok cz</x:v>
      </x:c>
      <x:c r="C570" s="21" t="n">
        <x:v>25</x:v>
      </x:c>
      <x:c r="D570" s="46" t="str">
        <x:f>"+601112197298"</x:f>
        <x:v>+601112197298</x:v>
      </x:c>
      <x:c r="E570" s="21" t="str">
        <x:v>+601112197298</x:v>
      </x:c>
      <x:c r="F570" s="21" t="str">
        <x:v>Member</x:v>
      </x:c>
      <x:c r="G570" s="46" t="str">
        <x:f>"601112197298"</x:f>
        <x:v>601112197298</x:v>
      </x:c>
      <x:c r="H570" s="21" t="str">
        <x:v>Yes</x:v>
      </x:c>
      <x:c r="I570" s="21" t="str">
        <x:v>No</x:v>
      </x:c>
      <x:c r="J570" s="21" t="str">
        <x:v>No</x:v>
      </x:c>
      <x:c r="K570" s="21" t="str">
        <x:v>Included</x:v>
      </x:c>
      <x:c r="L570" s="21" t="str">
        <x:v>Peserta</x:v>
      </x:c>
    </x:row>
    <x:row r="571">
      <x:c r="A571" s="21" t="str">
        <x:v>whatsapp_group_numbers tiktok cz.csv</x:v>
      </x:c>
      <x:c r="B571" s="21" t="str">
        <x:v>tiktok cz</x:v>
      </x:c>
      <x:c r="C571" s="21" t="n">
        <x:v>26</x:v>
      </x:c>
      <x:c r="D571" s="46" t="str">
        <x:f>"+60122522602"</x:f>
        <x:v>+60122522602</x:v>
      </x:c>
      <x:c r="E571" s="21" t="str">
        <x:v>+60122522602</x:v>
      </x:c>
      <x:c r="F571" s="21" t="str">
        <x:v>Member</x:v>
      </x:c>
      <x:c r="G571" s="46" t="str">
        <x:f>"60122522602"</x:f>
        <x:v>60122522602</x:v>
      </x:c>
      <x:c r="H571" s="21" t="str">
        <x:v>Yes</x:v>
      </x:c>
      <x:c r="I571" s="21" t="str">
        <x:v>No</x:v>
      </x:c>
      <x:c r="J571" s="21" t="str">
        <x:v>No</x:v>
      </x:c>
      <x:c r="K571" s="21" t="str">
        <x:v>Included</x:v>
      </x:c>
      <x:c r="L571" s="21" t="str">
        <x:v>Peserta</x:v>
      </x:c>
    </x:row>
    <x:row r="572">
      <x:c r="A572" s="21" t="str">
        <x:v>whatsapp_group_numbers tiktok cz.csv</x:v>
      </x:c>
      <x:c r="B572" s="21" t="str">
        <x:v>tiktok cz</x:v>
      </x:c>
      <x:c r="C572" s="21" t="n">
        <x:v>27</x:v>
      </x:c>
      <x:c r="D572" s="46" t="str">
        <x:f>"+60199914285"</x:f>
        <x:v>+60199914285</x:v>
      </x:c>
      <x:c r="E572" s="21" t="str">
        <x:v>+60199914285</x:v>
      </x:c>
      <x:c r="F572" s="21" t="str">
        <x:v>Member</x:v>
      </x:c>
      <x:c r="G572" s="46" t="str">
        <x:f>"60199914285"</x:f>
        <x:v>60199914285</x:v>
      </x:c>
      <x:c r="H572" s="21" t="str">
        <x:v>Yes</x:v>
      </x:c>
      <x:c r="I572" s="21" t="str">
        <x:v>No</x:v>
      </x:c>
      <x:c r="J572" s="21" t="str">
        <x:v>No</x:v>
      </x:c>
      <x:c r="K572" s="21" t="str">
        <x:v>Included</x:v>
      </x:c>
      <x:c r="L572" s="21" t="str">
        <x:v>Peserta</x:v>
      </x:c>
    </x:row>
    <x:row r="573">
      <x:c r="A573" s="21" t="str">
        <x:v>whatsapp_group_numbers tiktok cz.csv</x:v>
      </x:c>
      <x:c r="B573" s="21" t="str">
        <x:v>tiktok cz</x:v>
      </x:c>
      <x:c r="C573" s="21" t="n">
        <x:v>28</x:v>
      </x:c>
      <x:c r="D573" s="46" t="str">
        <x:f>"+60192680607"</x:f>
        <x:v>+60192680607</x:v>
      </x:c>
      <x:c r="E573" s="21" t="str">
        <x:v>+60192680607</x:v>
      </x:c>
      <x:c r="F573" s="21" t="str">
        <x:v>Member</x:v>
      </x:c>
      <x:c r="G573" s="46" t="str">
        <x:f>"60192680607"</x:f>
        <x:v>60192680607</x:v>
      </x:c>
      <x:c r="H573" s="21" t="str">
        <x:v>Yes</x:v>
      </x:c>
      <x:c r="I573" s="21" t="str">
        <x:v>No</x:v>
      </x:c>
      <x:c r="J573" s="21" t="str">
        <x:v>No</x:v>
      </x:c>
      <x:c r="K573" s="21" t="str">
        <x:v>Included</x:v>
      </x:c>
      <x:c r="L573" s="21" t="str">
        <x:v>Peserta</x:v>
      </x:c>
    </x:row>
    <x:row r="574">
      <x:c r="A574" s="21" t="str">
        <x:v>whatsapp_group_numbers tiktok mana ns.csv</x:v>
      </x:c>
      <x:c r="B574" s="21" t="str">
        <x:v>tiktok mana ns</x:v>
      </x:c>
      <x:c r="C574" s="21" t="n">
        <x:v>1</x:v>
      </x:c>
      <x:c r="D574" s="46" t="str">
        <x:f>"+60176346448"</x:f>
        <x:v>+60176346448</x:v>
      </x:c>
      <x:c r="E574" s="21" t="str">
        <x:v>Din Staff IQPS</x:v>
      </x:c>
      <x:c r="F574" s="21" t="str">
        <x:v>Member</x:v>
      </x:c>
      <x:c r="G574" s="46" t="str">
        <x:f>"60176346448"</x:f>
        <x:v>60176346448</x:v>
      </x:c>
      <x:c r="H574" s="21" t="str">
        <x:v>Yes</x:v>
      </x:c>
      <x:c r="I574" s="21" t="str">
        <x:v>No</x:v>
      </x:c>
      <x:c r="J574" s="21" t="str">
        <x:v>No</x:v>
      </x:c>
      <x:c r="K574" s="21" t="str">
        <x:v>Excluded</x:v>
      </x:c>
      <x:c r="L574" s="21" t="str">
        <x:v>Senarai pengecualian manual pengguna</x:v>
      </x:c>
    </x:row>
    <x:row r="575">
      <x:c r="A575" s="21" t="str">
        <x:v>whatsapp_group_numbers tiktok mana ns.csv</x:v>
      </x:c>
      <x:c r="B575" s="21" t="str">
        <x:v>tiktok mana ns</x:v>
      </x:c>
      <x:c r="C575" s="21" t="n">
        <x:v>2</x:v>
      </x:c>
      <x:c r="D575" s="46" t="str">
        <x:f>"+60133815817"</x:f>
        <x:v>+60133815817</x:v>
      </x:c>
      <x:c r="E575" s="21" t="str">
        <x:v>Kamarul Bahareen Kamarudin</x:v>
      </x:c>
      <x:c r="F575" s="21" t="str">
        <x:v>Member</x:v>
      </x:c>
      <x:c r="G575" s="46" t="str">
        <x:f>"60133815817"</x:f>
        <x:v>60133815817</x:v>
      </x:c>
      <x:c r="H575" s="21" t="str">
        <x:v>Yes</x:v>
      </x:c>
      <x:c r="I575" s="21" t="str">
        <x:v>No</x:v>
      </x:c>
      <x:c r="J575" s="21" t="str">
        <x:v>No</x:v>
      </x:c>
      <x:c r="K575" s="21" t="str">
        <x:v>Excluded</x:v>
      </x:c>
      <x:c r="L575" s="21" t="str">
        <x:v>Pemilik/trainer</x:v>
      </x:c>
    </x:row>
    <x:row r="576">
      <x:c r="A576" s="21" t="str">
        <x:v>whatsapp_group_numbers tiktok mana ns.csv</x:v>
      </x:c>
      <x:c r="B576" s="21" t="str">
        <x:v>tiktok mana ns</x:v>
      </x:c>
      <x:c r="C576" s="21" t="n">
        <x:v>3</x:v>
      </x:c>
      <x:c r="D576" s="46" t="str">
        <x:f>"+60139903323"</x:f>
        <x:v>+60139903323</x:v>
      </x:c>
      <x:c r="E576" s="21" t="str">
        <x:v>Zul Mdec IM</x:v>
      </x:c>
      <x:c r="F576" s="21" t="str">
        <x:v>Member</x:v>
      </x:c>
      <x:c r="G576" s="46" t="str">
        <x:f>"60139903323"</x:f>
        <x:v>60139903323</x:v>
      </x:c>
      <x:c r="H576" s="21" t="str">
        <x:v>Yes</x:v>
      </x:c>
      <x:c r="I576" s="21" t="str">
        <x:v>No</x:v>
      </x:c>
      <x:c r="J576" s="21" t="str">
        <x:v>No</x:v>
      </x:c>
      <x:c r="K576" s="21" t="str">
        <x:v>Excluded</x:v>
      </x:c>
      <x:c r="L576" s="21" t="str">
        <x:v>Senarai pengecualian manual pengguna</x:v>
      </x:c>
    </x:row>
    <x:row r="577">
      <x:c r="A577" s="21" t="str">
        <x:v>whatsapp_group_numbers tiktok mana ns.csv</x:v>
      </x:c>
      <x:c r="B577" s="21" t="str">
        <x:v>tiktok mana ns</x:v>
      </x:c>
      <x:c r="C577" s="21" t="n">
        <x:v>4</x:v>
      </x:c>
      <x:c r="D577" s="46" t="str">
        <x:f>"+60174402485"</x:f>
        <x:v>+60174402485</x:v>
      </x:c>
      <x:c r="E577" s="21" t="str">
        <x:v>Adilla Mansor</x:v>
      </x:c>
      <x:c r="F577" s="21" t="str">
        <x:v>Member</x:v>
      </x:c>
      <x:c r="G577" s="46" t="str">
        <x:f>"60174402485"</x:f>
        <x:v>60174402485</x:v>
      </x:c>
      <x:c r="H577" s="21" t="str">
        <x:v>Yes</x:v>
      </x:c>
      <x:c r="I577" s="21" t="str">
        <x:v>No</x:v>
      </x:c>
      <x:c r="J577" s="21" t="str">
        <x:v>No</x:v>
      </x:c>
      <x:c r="K577" s="21" t="str">
        <x:v>Included</x:v>
      </x:c>
      <x:c r="L577" s="21" t="str">
        <x:v>Peserta</x:v>
      </x:c>
    </x:row>
    <x:row r="578">
      <x:c r="A578" s="21" t="str">
        <x:v>whatsapp_group_numbers tiktok mana ns.csv</x:v>
      </x:c>
      <x:c r="B578" s="21" t="str">
        <x:v>tiktok mana ns</x:v>
      </x:c>
      <x:c r="C578" s="21" t="n">
        <x:v>5</x:v>
      </x:c>
      <x:c r="D578" s="46" t="str">
        <x:f>"+60192732509"</x:f>
        <x:v>+60192732509</x:v>
      </x:c>
      <x:c r="E578" s="21" t="str">
        <x:v>Ameen Shahrudin</x:v>
      </x:c>
      <x:c r="F578" s="21" t="str">
        <x:v>Member</x:v>
      </x:c>
      <x:c r="G578" s="46" t="str">
        <x:f>"60192732509"</x:f>
        <x:v>60192732509</x:v>
      </x:c>
      <x:c r="H578" s="21" t="str">
        <x:v>Yes</x:v>
      </x:c>
      <x:c r="I578" s="21" t="str">
        <x:v>No</x:v>
      </x:c>
      <x:c r="J578" s="21" t="str">
        <x:v>No</x:v>
      </x:c>
      <x:c r="K578" s="21" t="str">
        <x:v>Included</x:v>
      </x:c>
      <x:c r="L578" s="21" t="str">
        <x:v>Peserta</x:v>
      </x:c>
    </x:row>
    <x:row r="579">
      <x:c r="A579" s="21" t="str">
        <x:v>whatsapp_group_numbers tiktok mana ns.csv</x:v>
      </x:c>
      <x:c r="B579" s="21" t="str">
        <x:v>tiktok mana ns</x:v>
      </x:c>
      <x:c r="C579" s="21" t="n">
        <x:v>6</x:v>
      </x:c>
      <x:c r="D579" s="46" t="str">
        <x:f>"+60125589684"</x:f>
        <x:v>+60125589684</x:v>
      </x:c>
      <x:c r="E579" s="21" t="str">
        <x:v>Azlina Lynn</x:v>
      </x:c>
      <x:c r="F579" s="21" t="str">
        <x:v>Member</x:v>
      </x:c>
      <x:c r="G579" s="46" t="str">
        <x:f>"60125589684"</x:f>
        <x:v>60125589684</x:v>
      </x:c>
      <x:c r="H579" s="21" t="str">
        <x:v>Yes</x:v>
      </x:c>
      <x:c r="I579" s="21" t="str">
        <x:v>No</x:v>
      </x:c>
      <x:c r="J579" s="21" t="str">
        <x:v>No</x:v>
      </x:c>
      <x:c r="K579" s="21" t="str">
        <x:v>Included</x:v>
      </x:c>
      <x:c r="L579" s="21" t="str">
        <x:v>Peserta</x:v>
      </x:c>
    </x:row>
    <x:row r="580">
      <x:c r="A580" s="21" t="str">
        <x:v>whatsapp_group_numbers tiktok mana ns.csv</x:v>
      </x:c>
      <x:c r="B580" s="21" t="str">
        <x:v>tiktok mana ns</x:v>
      </x:c>
      <x:c r="C580" s="21" t="n">
        <x:v>7</x:v>
      </x:c>
      <x:c r="D580" s="46" t="str">
        <x:f>"+601120625178"</x:f>
        <x:v>+601120625178</x:v>
      </x:c>
      <x:c r="E580" s="21" t="str">
        <x:v>Coach Anis Digital marketing Academy</x:v>
      </x:c>
      <x:c r="F580" s="21" t="str">
        <x:v>Member</x:v>
      </x:c>
      <x:c r="G580" s="46" t="str">
        <x:f>"601120625178"</x:f>
        <x:v>601120625178</x:v>
      </x:c>
      <x:c r="H580" s="21" t="str">
        <x:v>Yes</x:v>
      </x:c>
      <x:c r="I580" s="21" t="str">
        <x:v>No</x:v>
      </x:c>
      <x:c r="J580" s="21" t="str">
        <x:v>No</x:v>
      </x:c>
      <x:c r="K580" s="21" t="str">
        <x:v>Included</x:v>
      </x:c>
      <x:c r="L580" s="21" t="str">
        <x:v>Peserta</x:v>
      </x:c>
    </x:row>
    <x:row r="581">
      <x:c r="A581" s="21" t="str">
        <x:v>whatsapp_group_numbers tiktok mana ns.csv</x:v>
      </x:c>
      <x:c r="B581" s="21" t="str">
        <x:v>tiktok mana ns</x:v>
      </x:c>
      <x:c r="C581" s="21" t="n">
        <x:v>8</x:v>
      </x:c>
      <x:c r="D581" s="46" t="str">
        <x:f>"+601110122034"</x:f>
        <x:v>+601110122034</x:v>
      </x:c>
      <x:c r="E581" s="21" t="str">
        <x:v>diamitulebihbaik</x:v>
      </x:c>
      <x:c r="F581" s="21" t="str">
        <x:v>Member</x:v>
      </x:c>
      <x:c r="G581" s="46" t="str">
        <x:f>"601110122034"</x:f>
        <x:v>601110122034</x:v>
      </x:c>
      <x:c r="H581" s="21" t="str">
        <x:v>Yes</x:v>
      </x:c>
      <x:c r="I581" s="21" t="str">
        <x:v>No</x:v>
      </x:c>
      <x:c r="J581" s="21" t="str">
        <x:v>No</x:v>
      </x:c>
      <x:c r="K581" s="21" t="str">
        <x:v>Included</x:v>
      </x:c>
      <x:c r="L581" s="21" t="str">
        <x:v>Peserta</x:v>
      </x:c>
    </x:row>
    <x:row r="582">
      <x:c r="A582" s="21" t="str">
        <x:v>whatsapp_group_numbers tiktok mana ns.csv</x:v>
      </x:c>
      <x:c r="B582" s="21" t="str">
        <x:v>tiktok mana ns</x:v>
      </x:c>
      <x:c r="C582" s="21" t="n">
        <x:v>9</x:v>
      </x:c>
      <x:c r="D582" s="46" t="str">
        <x:f>"+60133377947"</x:f>
        <x:v>+60133377947</x:v>
      </x:c>
      <x:c r="E582" s="21" t="str">
        <x:v>Hartini Garden Spa</x:v>
      </x:c>
      <x:c r="F582" s="21" t="str">
        <x:v>Member</x:v>
      </x:c>
      <x:c r="G582" s="46" t="str">
        <x:f>"60133377947"</x:f>
        <x:v>60133377947</x:v>
      </x:c>
      <x:c r="H582" s="21" t="str">
        <x:v>Yes</x:v>
      </x:c>
      <x:c r="I582" s="21" t="str">
        <x:v>No</x:v>
      </x:c>
      <x:c r="J582" s="21" t="str">
        <x:v>No</x:v>
      </x:c>
      <x:c r="K582" s="21" t="str">
        <x:v>Included</x:v>
      </x:c>
      <x:c r="L582" s="21" t="str">
        <x:v>Peserta</x:v>
      </x:c>
    </x:row>
    <x:row r="583">
      <x:c r="A583" s="21" t="str">
        <x:v>whatsapp_group_numbers tiktok mana ns.csv</x:v>
      </x:c>
      <x:c r="B583" s="21" t="str">
        <x:v>tiktok mana ns</x:v>
      </x:c>
      <x:c r="C583" s="21" t="n">
        <x:v>10</x:v>
      </x:c>
      <x:c r="D583" s="46" t="str">
        <x:f>"+601159691234"</x:f>
        <x:v>+601159691234</x:v>
      </x:c>
      <x:c r="E583" s="21" t="str">
        <x:v>Hood Madinah</x:v>
      </x:c>
      <x:c r="F583" s="21" t="str">
        <x:v>Member</x:v>
      </x:c>
      <x:c r="G583" s="46" t="str">
        <x:f>"601159691234"</x:f>
        <x:v>601159691234</x:v>
      </x:c>
      <x:c r="H583" s="21" t="str">
        <x:v>Yes</x:v>
      </x:c>
      <x:c r="I583" s="21" t="str">
        <x:v>No</x:v>
      </x:c>
      <x:c r="J583" s="21" t="str">
        <x:v>No</x:v>
      </x:c>
      <x:c r="K583" s="21" t="str">
        <x:v>Included</x:v>
      </x:c>
      <x:c r="L583" s="21" t="str">
        <x:v>Peserta</x:v>
      </x:c>
    </x:row>
    <x:row r="584">
      <x:c r="A584" s="21" t="str">
        <x:v>whatsapp_group_numbers tiktok mana ns.csv</x:v>
      </x:c>
      <x:c r="B584" s="21" t="str">
        <x:v>tiktok mana ns</x:v>
      </x:c>
      <x:c r="C584" s="21" t="n">
        <x:v>11</x:v>
      </x:c>
      <x:c r="D584" s="46" t="str">
        <x:f>"+60133997317"</x:f>
        <x:v>+60133997317</x:v>
      </x:c>
      <x:c r="E584" s="21" t="str">
        <x:v>Ina</x:v>
      </x:c>
      <x:c r="F584" s="21" t="str">
        <x:v>Member</x:v>
      </x:c>
      <x:c r="G584" s="46" t="str">
        <x:f>"60133997317"</x:f>
        <x:v>60133997317</x:v>
      </x:c>
      <x:c r="H584" s="21" t="str">
        <x:v>Yes</x:v>
      </x:c>
      <x:c r="I584" s="21" t="str">
        <x:v>No</x:v>
      </x:c>
      <x:c r="J584" s="21" t="str">
        <x:v>No</x:v>
      </x:c>
      <x:c r="K584" s="21" t="str">
        <x:v>Included</x:v>
      </x:c>
      <x:c r="L584" s="21" t="str">
        <x:v>Peserta</x:v>
      </x:c>
    </x:row>
    <x:row r="585">
      <x:c r="A585" s="21" t="str">
        <x:v>whatsapp_group_numbers tiktok mana ns.csv</x:v>
      </x:c>
      <x:c r="B585" s="21" t="str">
        <x:v>tiktok mana ns</x:v>
      </x:c>
      <x:c r="C585" s="21" t="n">
        <x:v>12</x:v>
      </x:c>
      <x:c r="D585" s="46" t="str">
        <x:f>"+60138813582"</x:f>
        <x:v>+60138813582</x:v>
      </x:c>
      <x:c r="E585" s="21" t="str">
        <x:v>iza Othman</x:v>
      </x:c>
      <x:c r="F585" s="21" t="str">
        <x:v>Member</x:v>
      </x:c>
      <x:c r="G585" s="46" t="str">
        <x:f>"60138813582"</x:f>
        <x:v>60138813582</x:v>
      </x:c>
      <x:c r="H585" s="21" t="str">
        <x:v>Yes</x:v>
      </x:c>
      <x:c r="I585" s="21" t="str">
        <x:v>No</x:v>
      </x:c>
      <x:c r="J585" s="21" t="str">
        <x:v>No</x:v>
      </x:c>
      <x:c r="K585" s="21" t="str">
        <x:v>Included</x:v>
      </x:c>
      <x:c r="L585" s="21" t="str">
        <x:v>Peserta</x:v>
      </x:c>
    </x:row>
    <x:row r="586">
      <x:c r="A586" s="21" t="str">
        <x:v>whatsapp_group_numbers tiktok mana ns.csv</x:v>
      </x:c>
      <x:c r="B586" s="21" t="str">
        <x:v>tiktok mana ns</x:v>
      </x:c>
      <x:c r="C586" s="21" t="n">
        <x:v>13</x:v>
      </x:c>
      <x:c r="D586" s="46" t="str">
        <x:f>"+60197279486"</x:f>
        <x:v>+60197279486</x:v>
      </x:c>
      <x:c r="E586" s="21" t="str">
        <x:v>Lin Florist Tunas Surprise</x:v>
      </x:c>
      <x:c r="F586" s="21" t="str">
        <x:v>Member</x:v>
      </x:c>
      <x:c r="G586" s="46" t="str">
        <x:f>"60197279486"</x:f>
        <x:v>60197279486</x:v>
      </x:c>
      <x:c r="H586" s="21" t="str">
        <x:v>Yes</x:v>
      </x:c>
      <x:c r="I586" s="21" t="str">
        <x:v>No</x:v>
      </x:c>
      <x:c r="J586" s="21" t="str">
        <x:v>No</x:v>
      </x:c>
      <x:c r="K586" s="21" t="str">
        <x:v>Included</x:v>
      </x:c>
      <x:c r="L586" s="21" t="str">
        <x:v>Peserta</x:v>
      </x:c>
    </x:row>
    <x:row r="587">
      <x:c r="A587" s="21" t="str">
        <x:v>whatsapp_group_numbers tiktok mana ns.csv</x:v>
      </x:c>
      <x:c r="B587" s="21" t="str">
        <x:v>tiktok mana ns</x:v>
      </x:c>
      <x:c r="C587" s="21" t="n">
        <x:v>14</x:v>
      </x:c>
      <x:c r="D587" s="46" t="str">
        <x:f>"+60176476558"</x:f>
        <x:v>+60176476558</x:v>
      </x:c>
      <x:c r="E587" s="21" t="str">
        <x:v>Pak Teh Oley2</x:v>
      </x:c>
      <x:c r="F587" s="21" t="str">
        <x:v>Member</x:v>
      </x:c>
      <x:c r="G587" s="46" t="str">
        <x:f>"60176476558"</x:f>
        <x:v>60176476558</x:v>
      </x:c>
      <x:c r="H587" s="21" t="str">
        <x:v>Yes</x:v>
      </x:c>
      <x:c r="I587" s="21" t="str">
        <x:v>No</x:v>
      </x:c>
      <x:c r="J587" s="21" t="str">
        <x:v>No</x:v>
      </x:c>
      <x:c r="K587" s="21" t="str">
        <x:v>Included</x:v>
      </x:c>
      <x:c r="L587" s="21" t="str">
        <x:v>Peserta</x:v>
      </x:c>
    </x:row>
    <x:row r="588">
      <x:c r="A588" s="21" t="str">
        <x:v>whatsapp_group_numbers tiktok mana ns.csv</x:v>
      </x:c>
      <x:c r="B588" s="21" t="str">
        <x:v>tiktok mana ns</x:v>
      </x:c>
      <x:c r="C588" s="21" t="n">
        <x:v>15</x:v>
      </x:c>
      <x:c r="D588" s="46" t="str">
        <x:f>"+60164222900"</x:f>
        <x:v>+60164222900</x:v>
      </x:c>
      <x:c r="E588" s="21" t="str">
        <x:v>Renzo Ventures Sdn Bhd</x:v>
      </x:c>
      <x:c r="F588" s="21" t="str">
        <x:v>Member</x:v>
      </x:c>
      <x:c r="G588" s="46" t="str">
        <x:f>"60164222900"</x:f>
        <x:v>60164222900</x:v>
      </x:c>
      <x:c r="H588" s="21" t="str">
        <x:v>Yes</x:v>
      </x:c>
      <x:c r="I588" s="21" t="str">
        <x:v>No</x:v>
      </x:c>
      <x:c r="J588" s="21" t="str">
        <x:v>No</x:v>
      </x:c>
      <x:c r="K588" s="21" t="str">
        <x:v>Included</x:v>
      </x:c>
      <x:c r="L588" s="21" t="str">
        <x:v>Peserta</x:v>
      </x:c>
    </x:row>
    <x:row r="589">
      <x:c r="A589" s="21" t="str">
        <x:v>whatsapp_group_numbers tiktok mana ns.csv</x:v>
      </x:c>
      <x:c r="B589" s="21" t="str">
        <x:v>tiktok mana ns</x:v>
      </x:c>
      <x:c r="C589" s="21" t="n">
        <x:v>16</x:v>
      </x:c>
      <x:c r="D589" s="46" t="str">
        <x:f>"+601118981934"</x:f>
        <x:v>+601118981934</x:v>
      </x:c>
      <x:c r="E589" s="21" t="str">
        <x:v>Sa'adiah binti Khalid</x:v>
      </x:c>
      <x:c r="F589" s="21" t="str">
        <x:v>Member</x:v>
      </x:c>
      <x:c r="G589" s="46" t="str">
        <x:f>"601118981934"</x:f>
        <x:v>601118981934</x:v>
      </x:c>
      <x:c r="H589" s="21" t="str">
        <x:v>Yes</x:v>
      </x:c>
      <x:c r="I589" s="21" t="str">
        <x:v>No</x:v>
      </x:c>
      <x:c r="J589" s="21" t="str">
        <x:v>No</x:v>
      </x:c>
      <x:c r="K589" s="21" t="str">
        <x:v>Included</x:v>
      </x:c>
      <x:c r="L589" s="21" t="str">
        <x:v>Peserta</x:v>
      </x:c>
    </x:row>
    <x:row r="590">
      <x:c r="A590" s="21" t="str">
        <x:v>whatsapp_group_numbers tiktok mana ns.csv</x:v>
      </x:c>
      <x:c r="B590" s="21" t="str">
        <x:v>tiktok mana ns</x:v>
      </x:c>
      <x:c r="C590" s="21" t="n">
        <x:v>17</x:v>
      </x:c>
      <x:c r="D590" s="46" t="str">
        <x:f>"+60132806462"</x:f>
        <x:v>+60132806462</x:v>
      </x:c>
      <x:c r="E590" s="21" t="str">
        <x:v>Zureen Hasan</x:v>
      </x:c>
      <x:c r="F590" s="21" t="str">
        <x:v>Member</x:v>
      </x:c>
      <x:c r="G590" s="46" t="str">
        <x:f>"60132806462"</x:f>
        <x:v>60132806462</x:v>
      </x:c>
      <x:c r="H590" s="21" t="str">
        <x:v>Yes</x:v>
      </x:c>
      <x:c r="I590" s="21" t="str">
        <x:v>No</x:v>
      </x:c>
      <x:c r="J590" s="21" t="str">
        <x:v>No</x:v>
      </x:c>
      <x:c r="K590" s="21" t="str">
        <x:v>Included</x:v>
      </x:c>
      <x:c r="L590" s="21" t="str">
        <x:v>Peserta</x:v>
      </x:c>
    </x:row>
    <x:row r="591">
      <x:c r="A591" s="21" t="str">
        <x:v>whatsapp_group_numbers tiktok mana ns.csv</x:v>
      </x:c>
      <x:c r="B591" s="21" t="str">
        <x:v>tiktok mana ns</x:v>
      </x:c>
      <x:c r="C591" s="21" t="n">
        <x:v>18</x:v>
      </x:c>
      <x:c r="D591" s="46" t="str">
        <x:f>"+601116199791"</x:f>
        <x:v>+601116199791</x:v>
      </x:c>
      <x:c r="E591" s="21" t="str">
        <x:v>Мoʜᴀммᴀᴅ ᴍᴀʟɪᴋ</x:v>
      </x:c>
      <x:c r="F591" s="21" t="str">
        <x:v>Member</x:v>
      </x:c>
      <x:c r="G591" s="46" t="str">
        <x:f>"601116199791"</x:f>
        <x:v>601116199791</x:v>
      </x:c>
      <x:c r="H591" s="21" t="str">
        <x:v>Yes</x:v>
      </x:c>
      <x:c r="I591" s="21" t="str">
        <x:v>No</x:v>
      </x:c>
      <x:c r="J591" s="21" t="str">
        <x:v>No</x:v>
      </x:c>
      <x:c r="K591" s="21" t="str">
        <x:v>Included</x:v>
      </x:c>
      <x:c r="L591" s="21" t="str">
        <x:v>Peserta</x:v>
      </x:c>
    </x:row>
    <x:row r="592">
      <x:c r="A592" s="21" t="str">
        <x:v>whatsapp_group_numbers tiktok mana ns.csv</x:v>
      </x:c>
      <x:c r="B592" s="21" t="str">
        <x:v>tiktok mana ns</x:v>
      </x:c>
      <x:c r="C592" s="21" t="n">
        <x:v>19</x:v>
      </x:c>
      <x:c r="D592" s="46" t="str">
        <x:f>"+60163954791"</x:f>
        <x:v>+60163954791</x:v>
      </x:c>
      <x:c r="E592" s="21" t="str">
        <x:v>+60163954791</x:v>
      </x:c>
      <x:c r="F592" s="21" t="str">
        <x:v>Member</x:v>
      </x:c>
      <x:c r="G592" s="46" t="str">
        <x:f>"60163954791"</x:f>
        <x:v>60163954791</x:v>
      </x:c>
      <x:c r="H592" s="21" t="str">
        <x:v>Yes</x:v>
      </x:c>
      <x:c r="I592" s="21" t="str">
        <x:v>No</x:v>
      </x:c>
      <x:c r="J592" s="21" t="str">
        <x:v>No</x:v>
      </x:c>
      <x:c r="K592" s="21" t="str">
        <x:v>Included</x:v>
      </x:c>
      <x:c r="L592" s="21" t="str">
        <x:v>Peserta</x:v>
      </x:c>
    </x:row>
    <x:row r="593">
      <x:c r="A593" s="21" t="str">
        <x:v>whatsapp_group_numbers tiktok mana ns.csv</x:v>
      </x:c>
      <x:c r="B593" s="21" t="str">
        <x:v>tiktok mana ns</x:v>
      </x:c>
      <x:c r="C593" s="21" t="n">
        <x:v>20</x:v>
      </x:c>
      <x:c r="D593" s="46" t="str">
        <x:f>"+60124803159"</x:f>
        <x:v>+60124803159</x:v>
      </x:c>
      <x:c r="E593" s="21" t="str">
        <x:v>+60124803159</x:v>
      </x:c>
      <x:c r="F593" s="21" t="str">
        <x:v>Member</x:v>
      </x:c>
      <x:c r="G593" s="46" t="str">
        <x:f>"60124803159"</x:f>
        <x:v>60124803159</x:v>
      </x:c>
      <x:c r="H593" s="21" t="str">
        <x:v>Yes</x:v>
      </x:c>
      <x:c r="I593" s="21" t="str">
        <x:v>No</x:v>
      </x:c>
      <x:c r="J593" s="21" t="str">
        <x:v>No</x:v>
      </x:c>
      <x:c r="K593" s="21" t="str">
        <x:v>Included</x:v>
      </x:c>
      <x:c r="L593" s="21" t="str">
        <x:v>Peserta</x:v>
      </x:c>
    </x:row>
    <x:row r="594">
      <x:c r="A594" s="21" t="str">
        <x:v>whatsapp_group_numbers tiktok mana ns.csv</x:v>
      </x:c>
      <x:c r="B594" s="21" t="str">
        <x:v>tiktok mana ns</x:v>
      </x:c>
      <x:c r="C594" s="21" t="n">
        <x:v>21</x:v>
      </x:c>
      <x:c r="D594" s="46" t="str">
        <x:f>"+60197909097"</x:f>
        <x:v>+60197909097</x:v>
      </x:c>
      <x:c r="E594" s="21" t="str">
        <x:v>+60197909097</x:v>
      </x:c>
      <x:c r="F594" s="21" t="str">
        <x:v>Member</x:v>
      </x:c>
      <x:c r="G594" s="46" t="str">
        <x:f>"60197909097"</x:f>
        <x:v>60197909097</x:v>
      </x:c>
      <x:c r="H594" s="21" t="str">
        <x:v>Yes</x:v>
      </x:c>
      <x:c r="I594" s="21" t="str">
        <x:v>No</x:v>
      </x:c>
      <x:c r="J594" s="21" t="str">
        <x:v>No</x:v>
      </x:c>
      <x:c r="K594" s="21" t="str">
        <x:v>Included</x:v>
      </x:c>
      <x:c r="L594" s="21" t="str">
        <x:v>Peserta</x:v>
      </x:c>
    </x:row>
    <x:row r="595">
      <x:c r="A595" s="21" t="str">
        <x:v>whatsapp_group_numbers tiktok mana ns.csv</x:v>
      </x:c>
      <x:c r="B595" s="21" t="str">
        <x:v>tiktok mana ns</x:v>
      </x:c>
      <x:c r="C595" s="21" t="n">
        <x:v>22</x:v>
      </x:c>
      <x:c r="D595" s="46" t="str">
        <x:f>"+60177978939"</x:f>
        <x:v>+60177978939</x:v>
      </x:c>
      <x:c r="E595" s="21" t="str">
        <x:v>+60177978939</x:v>
      </x:c>
      <x:c r="F595" s="21" t="str">
        <x:v>Member</x:v>
      </x:c>
      <x:c r="G595" s="46" t="str">
        <x:f>"60177978939"</x:f>
        <x:v>60177978939</x:v>
      </x:c>
      <x:c r="H595" s="21" t="str">
        <x:v>Yes</x:v>
      </x:c>
      <x:c r="I595" s="21" t="str">
        <x:v>No</x:v>
      </x:c>
      <x:c r="J595" s="21" t="str">
        <x:v>No</x:v>
      </x:c>
      <x:c r="K595" s="21" t="str">
        <x:v>Included</x:v>
      </x:c>
      <x:c r="L595" s="21" t="str">
        <x:v>Peserta</x:v>
      </x:c>
    </x:row>
    <x:row r="596">
      <x:c r="A596" s="21" t="str">
        <x:v>whatsapp_group_numbers tiktok mana ns.csv</x:v>
      </x:c>
      <x:c r="B596" s="21" t="str">
        <x:v>tiktok mana ns</x:v>
      </x:c>
      <x:c r="C596" s="21" t="n">
        <x:v>23</x:v>
      </x:c>
      <x:c r="D596" s="46" t="str">
        <x:f>"+60193838119"</x:f>
        <x:v>+60193838119</x:v>
      </x:c>
      <x:c r="E596" s="21" t="str">
        <x:v>+60193838119</x:v>
      </x:c>
      <x:c r="F596" s="21" t="str">
        <x:v>Member</x:v>
      </x:c>
      <x:c r="G596" s="46" t="str">
        <x:f>"60193838119"</x:f>
        <x:v>60193838119</x:v>
      </x:c>
      <x:c r="H596" s="21" t="str">
        <x:v>Yes</x:v>
      </x:c>
      <x:c r="I596" s="21" t="str">
        <x:v>No</x:v>
      </x:c>
      <x:c r="J596" s="21" t="str">
        <x:v>No</x:v>
      </x:c>
      <x:c r="K596" s="21" t="str">
        <x:v>Included</x:v>
      </x:c>
      <x:c r="L596" s="21" t="str">
        <x:v>Peserta</x:v>
      </x:c>
    </x:row>
    <x:row r="597">
      <x:c r="A597" s="21" t="str">
        <x:v>whatsapp_group_numbers tiktok mana ns.csv</x:v>
      </x:c>
      <x:c r="B597" s="21" t="str">
        <x:v>tiktok mana ns</x:v>
      </x:c>
      <x:c r="C597" s="21" t="n">
        <x:v>24</x:v>
      </x:c>
      <x:c r="D597" s="46" t="str">
        <x:f>"+60133333461"</x:f>
        <x:v>+60133333461</x:v>
      </x:c>
      <x:c r="E597" s="21" t="str">
        <x:v>+60133333461</x:v>
      </x:c>
      <x:c r="F597" s="21" t="str">
        <x:v>Member</x:v>
      </x:c>
      <x:c r="G597" s="46" t="str">
        <x:f>"60133333461"</x:f>
        <x:v>60133333461</x:v>
      </x:c>
      <x:c r="H597" s="21" t="str">
        <x:v>Yes</x:v>
      </x:c>
      <x:c r="I597" s="21" t="str">
        <x:v>No</x:v>
      </x:c>
      <x:c r="J597" s="21" t="str">
        <x:v>No</x:v>
      </x:c>
      <x:c r="K597" s="21" t="str">
        <x:v>Included</x:v>
      </x:c>
      <x:c r="L597" s="21" t="str">
        <x:v>Peserta</x:v>
      </x:c>
    </x:row>
    <x:row r="598">
      <x:c r="A598" s="21" t="str">
        <x:v>whatsapp_group_numbers tiktok mana ns.csv</x:v>
      </x:c>
      <x:c r="B598" s="21" t="str">
        <x:v>tiktok mana ns</x:v>
      </x:c>
      <x:c r="C598" s="21" t="n">
        <x:v>25</x:v>
      </x:c>
      <x:c r="D598" s="46" t="str">
        <x:f>"+60179854190"</x:f>
        <x:v>+60179854190</x:v>
      </x:c>
      <x:c r="E598" s="21" t="str">
        <x:v>+60179854190</x:v>
      </x:c>
      <x:c r="F598" s="21" t="str">
        <x:v>Member</x:v>
      </x:c>
      <x:c r="G598" s="46" t="str">
        <x:f>"60179854190"</x:f>
        <x:v>60179854190</x:v>
      </x:c>
      <x:c r="H598" s="21" t="str">
        <x:v>Yes</x:v>
      </x:c>
      <x:c r="I598" s="21" t="str">
        <x:v>No</x:v>
      </x:c>
      <x:c r="J598" s="21" t="str">
        <x:v>No</x:v>
      </x:c>
      <x:c r="K598" s="21" t="str">
        <x:v>Included</x:v>
      </x:c>
      <x:c r="L598" s="21" t="str">
        <x:v>Peserta</x:v>
      </x:c>
    </x:row>
    <x:row r="599">
      <x:c r="A599" s="21" t="str">
        <x:v>whatsapp_group_numbers tiktok mana ns.csv</x:v>
      </x:c>
      <x:c r="B599" s="21" t="str">
        <x:v>tiktok mana ns</x:v>
      </x:c>
      <x:c r="C599" s="21" t="n">
        <x:v>26</x:v>
      </x:c>
      <x:c r="D599" s="46" t="str">
        <x:f>"+60125292210"</x:f>
        <x:v>+60125292210</x:v>
      </x:c>
      <x:c r="E599" s="21" t="str">
        <x:v>+60125292210</x:v>
      </x:c>
      <x:c r="F599" s="21" t="str">
        <x:v>Member</x:v>
      </x:c>
      <x:c r="G599" s="46" t="str">
        <x:f>"60125292210"</x:f>
        <x:v>60125292210</x:v>
      </x:c>
      <x:c r="H599" s="21" t="str">
        <x:v>Yes</x:v>
      </x:c>
      <x:c r="I599" s="21" t="str">
        <x:v>No</x:v>
      </x:c>
      <x:c r="J599" s="21" t="str">
        <x:v>No</x:v>
      </x:c>
      <x:c r="K599" s="21" t="str">
        <x:v>Included</x:v>
      </x:c>
      <x:c r="L599" s="21" t="str">
        <x:v>Peserta</x:v>
      </x:c>
    </x:row>
    <x:row r="600">
      <x:c r="A600" s="21" t="str">
        <x:v>whatsapp_group_numbers tiktok mana ns.csv</x:v>
      </x:c>
      <x:c r="B600" s="21" t="str">
        <x:v>tiktok mana ns</x:v>
      </x:c>
      <x:c r="C600" s="21" t="n">
        <x:v>27</x:v>
      </x:c>
      <x:c r="D600" s="46" t="str">
        <x:f>"+60199108510"</x:f>
        <x:v>+60199108510</x:v>
      </x:c>
      <x:c r="E600" s="21" t="str">
        <x:v>+60199108510</x:v>
      </x:c>
      <x:c r="F600" s="21" t="str">
        <x:v>Member</x:v>
      </x:c>
      <x:c r="G600" s="46" t="str">
        <x:f>"60199108510"</x:f>
        <x:v>60199108510</x:v>
      </x:c>
      <x:c r="H600" s="21" t="str">
        <x:v>Yes</x:v>
      </x:c>
      <x:c r="I600" s="21" t="str">
        <x:v>No</x:v>
      </x:c>
      <x:c r="J600" s="21" t="str">
        <x:v>No</x:v>
      </x:c>
      <x:c r="K600" s="21" t="str">
        <x:v>Included</x:v>
      </x:c>
      <x:c r="L600" s="21" t="str">
        <x:v>Peserta</x:v>
      </x:c>
    </x:row>
    <x:row r="601">
      <x:c r="A601" s="21" t="str">
        <x:v>whatsapp_group_numbers tiktok mana ns.csv</x:v>
      </x:c>
      <x:c r="B601" s="21" t="str">
        <x:v>tiktok mana ns</x:v>
      </x:c>
      <x:c r="C601" s="21" t="n">
        <x:v>28</x:v>
      </x:c>
      <x:c r="D601" s="46" t="str">
        <x:f>"+601126380151"</x:f>
        <x:v>+601126380151</x:v>
      </x:c>
      <x:c r="E601" s="21" t="str">
        <x:v>+601126380151</x:v>
      </x:c>
      <x:c r="F601" s="21" t="str">
        <x:v>Member</x:v>
      </x:c>
      <x:c r="G601" s="46" t="str">
        <x:f>"601126380151"</x:f>
        <x:v>601126380151</x:v>
      </x:c>
      <x:c r="H601" s="21" t="str">
        <x:v>Yes</x:v>
      </x:c>
      <x:c r="I601" s="21" t="str">
        <x:v>No</x:v>
      </x:c>
      <x:c r="J601" s="21" t="str">
        <x:v>No</x:v>
      </x:c>
      <x:c r="K601" s="21" t="str">
        <x:v>Included</x:v>
      </x:c>
      <x:c r="L601" s="21" t="str">
        <x:v>Peserta</x:v>
      </x:c>
    </x:row>
    <x:row r="602">
      <x:c r="A602" s="21" t="str">
        <x:v>whatsapp_group_numbers tiktok mana ns.csv</x:v>
      </x:c>
      <x:c r="B602" s="21" t="str">
        <x:v>tiktok mana ns</x:v>
      </x:c>
      <x:c r="C602" s="21" t="n">
        <x:v>29</x:v>
      </x:c>
      <x:c r="D602" s="46" t="str">
        <x:f>"+60172893391"</x:f>
        <x:v>+60172893391</x:v>
      </x:c>
      <x:c r="E602" s="21" t="str">
        <x:v>+60172893391</x:v>
      </x:c>
      <x:c r="F602" s="21" t="str">
        <x:v>Member</x:v>
      </x:c>
      <x:c r="G602" s="46" t="str">
        <x:f>"60172893391"</x:f>
        <x:v>60172893391</x:v>
      </x:c>
      <x:c r="H602" s="21" t="str">
        <x:v>Yes</x:v>
      </x:c>
      <x:c r="I602" s="21" t="str">
        <x:v>No</x:v>
      </x:c>
      <x:c r="J602" s="21" t="str">
        <x:v>No</x:v>
      </x:c>
      <x:c r="K602" s="21" t="str">
        <x:v>Included</x:v>
      </x:c>
      <x:c r="L602" s="21" t="str">
        <x:v>Peserta</x:v>
      </x:c>
    </x:row>
    <x:row r="603">
      <x:c r="A603" s="21" t="str">
        <x:v>whatsapp_group_numbers tiktok mana ns.csv</x:v>
      </x:c>
      <x:c r="B603" s="21" t="str">
        <x:v>tiktok mana ns</x:v>
      </x:c>
      <x:c r="C603" s="21" t="n">
        <x:v>30</x:v>
      </x:c>
      <x:c r="D603" s="46" t="str">
        <x:f>"+60123583998"</x:f>
        <x:v>+60123583998</x:v>
      </x:c>
      <x:c r="E603" s="21" t="str">
        <x:v>+60123583998</x:v>
      </x:c>
      <x:c r="F603" s="21" t="str">
        <x:v>Member</x:v>
      </x:c>
      <x:c r="G603" s="46" t="str">
        <x:f>"60123583998"</x:f>
        <x:v>60123583998</x:v>
      </x:c>
      <x:c r="H603" s="21" t="str">
        <x:v>Yes</x:v>
      </x:c>
      <x:c r="I603" s="21" t="str">
        <x:v>No</x:v>
      </x:c>
      <x:c r="J603" s="21" t="str">
        <x:v>No</x:v>
      </x:c>
      <x:c r="K603" s="21" t="str">
        <x:v>Included</x:v>
      </x:c>
      <x:c r="L603" s="21" t="str">
        <x:v>Peserta</x:v>
      </x:c>
    </x:row>
    <x:row r="604">
      <x:c r="A604" s="21" t="str">
        <x:v>whatsapp_group_numbers tiktok mana ns.csv</x:v>
      </x:c>
      <x:c r="B604" s="21" t="str">
        <x:v>tiktok mana ns</x:v>
      </x:c>
      <x:c r="C604" s="21" t="n">
        <x:v>31</x:v>
      </x:c>
      <x:c r="D604" s="46" t="str">
        <x:f>"+60193849916"</x:f>
        <x:v>+60193849916</x:v>
      </x:c>
      <x:c r="E604" s="21" t="str">
        <x:v>+60193849916</x:v>
      </x:c>
      <x:c r="F604" s="21" t="str">
        <x:v>Member</x:v>
      </x:c>
      <x:c r="G604" s="46" t="str">
        <x:f>"60193849916"</x:f>
        <x:v>60193849916</x:v>
      </x:c>
      <x:c r="H604" s="21" t="str">
        <x:v>Yes</x:v>
      </x:c>
      <x:c r="I604" s="21" t="str">
        <x:v>No</x:v>
      </x:c>
      <x:c r="J604" s="21" t="str">
        <x:v>No</x:v>
      </x:c>
      <x:c r="K604" s="21" t="str">
        <x:v>Included</x:v>
      </x:c>
      <x:c r="L604" s="21" t="str">
        <x:v>Peserta</x:v>
      </x:c>
    </x:row>
    <x:row r="605">
      <x:c r="A605" s="21" t="str">
        <x:v>whatsapp_group_numbers tiktok mana ns.csv</x:v>
      </x:c>
      <x:c r="B605" s="21" t="str">
        <x:v>tiktok mana ns</x:v>
      </x:c>
      <x:c r="C605" s="21" t="n">
        <x:v>32</x:v>
      </x:c>
      <x:c r="D605" s="46" t="str">
        <x:f>"+60165172797"</x:f>
        <x:v>+60165172797</x:v>
      </x:c>
      <x:c r="E605" s="21" t="str">
        <x:v>+60165172797</x:v>
      </x:c>
      <x:c r="F605" s="21" t="str">
        <x:v>Member</x:v>
      </x:c>
      <x:c r="G605" s="46" t="str">
        <x:f>"60165172797"</x:f>
        <x:v>60165172797</x:v>
      </x:c>
      <x:c r="H605" s="21" t="str">
        <x:v>Yes</x:v>
      </x:c>
      <x:c r="I605" s="21" t="str">
        <x:v>No</x:v>
      </x:c>
      <x:c r="J605" s="21" t="str">
        <x:v>No</x:v>
      </x:c>
      <x:c r="K605" s="21" t="str">
        <x:v>Included</x:v>
      </x:c>
      <x:c r="L605" s="21" t="str">
        <x:v>Peserta</x:v>
      </x:c>
    </x:row>
    <x:row r="606">
      <x:c r="A606" s="21" t="str">
        <x:v>whatsapp_group_numbers tiktok sahanita.csv</x:v>
      </x:c>
      <x:c r="B606" s="21" t="str">
        <x:v>tiktok sahanita</x:v>
      </x:c>
      <x:c r="C606" s="21" t="n">
        <x:v>1</x:v>
      </x:c>
      <x:c r="D606" s="46" t="str">
        <x:f>"+60133815817"</x:f>
        <x:v>+60133815817</x:v>
      </x:c>
      <x:c r="E606" s="21" t="str">
        <x:v>Kamarul Bahareen Kamarudin</x:v>
      </x:c>
      <x:c r="F606" s="21" t="str">
        <x:v>Member</x:v>
      </x:c>
      <x:c r="G606" s="46" t="str">
        <x:f>"60133815817"</x:f>
        <x:v>60133815817</x:v>
      </x:c>
      <x:c r="H606" s="21" t="str">
        <x:v>Yes</x:v>
      </x:c>
      <x:c r="I606" s="21" t="str">
        <x:v>No</x:v>
      </x:c>
      <x:c r="J606" s="21" t="str">
        <x:v>No</x:v>
      </x:c>
      <x:c r="K606" s="21" t="str">
        <x:v>Excluded</x:v>
      </x:c>
      <x:c r="L606" s="21" t="str">
        <x:v>Pemilik/trainer</x:v>
      </x:c>
    </x:row>
    <x:row r="607">
      <x:c r="A607" s="21" t="str">
        <x:v>whatsapp_group_numbers tiktok sahanita.csv</x:v>
      </x:c>
      <x:c r="B607" s="21" t="str">
        <x:v>tiktok sahanita</x:v>
      </x:c>
      <x:c r="C607" s="21" t="n">
        <x:v>2</x:v>
      </x:c>
      <x:c r="D607" s="46" t="str">
        <x:f>"+60145076278"</x:f>
        <x:v>+60145076278</x:v>
      </x:c>
      <x:c r="E607" s="21" t="str">
        <x:v>Asma Wahap Kangen Water</x:v>
      </x:c>
      <x:c r="F607" s="21" t="str">
        <x:v>Member</x:v>
      </x:c>
      <x:c r="G607" s="46" t="str">
        <x:f>"60145076278"</x:f>
        <x:v>60145076278</x:v>
      </x:c>
      <x:c r="H607" s="21" t="str">
        <x:v>Yes</x:v>
      </x:c>
      <x:c r="I607" s="21" t="str">
        <x:v>No</x:v>
      </x:c>
      <x:c r="J607" s="21" t="str">
        <x:v>No</x:v>
      </x:c>
      <x:c r="K607" s="21" t="str">
        <x:v>Included</x:v>
      </x:c>
      <x:c r="L607" s="21" t="str">
        <x:v>Peserta</x:v>
      </x:c>
    </x:row>
    <x:row r="608">
      <x:c r="A608" s="21" t="str">
        <x:v>whatsapp_group_numbers tiktok sahanita.csv</x:v>
      </x:c>
      <x:c r="B608" s="21" t="str">
        <x:v>tiktok sahanita</x:v>
      </x:c>
      <x:c r="C608" s="21" t="n">
        <x:v>3</x:v>
      </x:c>
      <x:c r="D608" s="46" t="str">
        <x:f>"+60107756278"</x:f>
        <x:v>+60107756278</x:v>
      </x:c>
      <x:c r="E608" s="21" t="str">
        <x:v>B Bella Food</x:v>
      </x:c>
      <x:c r="F608" s="21" t="str">
        <x:v>Member</x:v>
      </x:c>
      <x:c r="G608" s="46" t="str">
        <x:f>"60107756278"</x:f>
        <x:v>60107756278</x:v>
      </x:c>
      <x:c r="H608" s="21" t="str">
        <x:v>Yes</x:v>
      </x:c>
      <x:c r="I608" s="21" t="str">
        <x:v>No</x:v>
      </x:c>
      <x:c r="J608" s="21" t="str">
        <x:v>No</x:v>
      </x:c>
      <x:c r="K608" s="21" t="str">
        <x:v>Included</x:v>
      </x:c>
      <x:c r="L608" s="21" t="str">
        <x:v>Peserta</x:v>
      </x:c>
    </x:row>
    <x:row r="609">
      <x:c r="A609" s="21" t="str">
        <x:v>whatsapp_group_numbers tiktok sahanita.csv</x:v>
      </x:c>
      <x:c r="B609" s="21" t="str">
        <x:v>tiktok sahanita</x:v>
      </x:c>
      <x:c r="C609" s="21" t="n">
        <x:v>4</x:v>
      </x:c>
      <x:c r="D609" s="46" t="str">
        <x:f>"+60172628013"</x:f>
        <x:v>+60172628013</x:v>
      </x:c>
      <x:c r="E609" s="21" t="str">
        <x:v>Freelancer~Teacher Ra@RaHamid</x:v>
      </x:c>
      <x:c r="F609" s="21" t="str">
        <x:v>Member</x:v>
      </x:c>
      <x:c r="G609" s="46" t="str">
        <x:f>"60172628013"</x:f>
        <x:v>60172628013</x:v>
      </x:c>
      <x:c r="H609" s="21" t="str">
        <x:v>Yes</x:v>
      </x:c>
      <x:c r="I609" s="21" t="str">
        <x:v>No</x:v>
      </x:c>
      <x:c r="J609" s="21" t="str">
        <x:v>No</x:v>
      </x:c>
      <x:c r="K609" s="21" t="str">
        <x:v>Included</x:v>
      </x:c>
      <x:c r="L609" s="21" t="str">
        <x:v>Peserta</x:v>
      </x:c>
    </x:row>
    <x:row r="610">
      <x:c r="A610" s="21" t="str">
        <x:v>whatsapp_group_numbers tiktok sahanita.csv</x:v>
      </x:c>
      <x:c r="B610" s="21" t="str">
        <x:v>tiktok sahanita</x:v>
      </x:c>
      <x:c r="C610" s="21" t="n">
        <x:v>5</x:v>
      </x:c>
      <x:c r="D610" s="46" t="str">
        <x:f>"+601119511599"</x:f>
        <x:v>+601119511599</x:v>
      </x:c>
      <x:c r="E610" s="21" t="str">
        <x:v>Mohd Isham Razali</x:v>
      </x:c>
      <x:c r="F610" s="21" t="str">
        <x:v>Member</x:v>
      </x:c>
      <x:c r="G610" s="46" t="str">
        <x:f>"601119511599"</x:f>
        <x:v>601119511599</x:v>
      </x:c>
      <x:c r="H610" s="21" t="str">
        <x:v>Yes</x:v>
      </x:c>
      <x:c r="I610" s="21" t="str">
        <x:v>No</x:v>
      </x:c>
      <x:c r="J610" s="21" t="str">
        <x:v>No</x:v>
      </x:c>
      <x:c r="K610" s="21" t="str">
        <x:v>Included</x:v>
      </x:c>
      <x:c r="L610" s="21" t="str">
        <x:v>Peserta</x:v>
      </x:c>
    </x:row>
    <x:row r="611">
      <x:c r="A611" s="21" t="str">
        <x:v>whatsapp_group_numbers tiktok sahanita.csv</x:v>
      </x:c>
      <x:c r="B611" s="21" t="str">
        <x:v>tiktok sahanita</x:v>
      </x:c>
      <x:c r="C611" s="21" t="n">
        <x:v>6</x:v>
      </x:c>
      <x:c r="D611" s="46" t="str">
        <x:f>"+60199852375"</x:f>
        <x:v>+60199852375</x:v>
      </x:c>
      <x:c r="E611" s="21" t="str">
        <x:v>Nurul Fathia Ayuni Fauzi</x:v>
      </x:c>
      <x:c r="F611" s="21" t="str">
        <x:v>Member</x:v>
      </x:c>
      <x:c r="G611" s="46" t="str">
        <x:f>"60199852375"</x:f>
        <x:v>60199852375</x:v>
      </x:c>
      <x:c r="H611" s="21" t="str">
        <x:v>Yes</x:v>
      </x:c>
      <x:c r="I611" s="21" t="str">
        <x:v>No</x:v>
      </x:c>
      <x:c r="J611" s="21" t="str">
        <x:v>No</x:v>
      </x:c>
      <x:c r="K611" s="21" t="str">
        <x:v>Included</x:v>
      </x:c>
      <x:c r="L611" s="21" t="str">
        <x:v>Peserta</x:v>
      </x:c>
    </x:row>
    <x:row r="612">
      <x:c r="A612" s="21" t="str">
        <x:v>whatsapp_group_numbers tiktok sahanita.csv</x:v>
      </x:c>
      <x:c r="B612" s="21" t="str">
        <x:v>tiktok sahanita</x:v>
      </x:c>
      <x:c r="C612" s="21" t="n">
        <x:v>7</x:v>
      </x:c>
      <x:c r="D612" s="46" t="str">
        <x:f>"+60199478559"</x:f>
        <x:v>+60199478559</x:v>
      </x:c>
      <x:c r="E612" s="21" t="str">
        <x:v>Pop MaleeAsla LEGACY TOYOTA</x:v>
      </x:c>
      <x:c r="F612" s="21" t="str">
        <x:v>Member</x:v>
      </x:c>
      <x:c r="G612" s="46" t="str">
        <x:f>"60199478559"</x:f>
        <x:v>60199478559</x:v>
      </x:c>
      <x:c r="H612" s="21" t="str">
        <x:v>Yes</x:v>
      </x:c>
      <x:c r="I612" s="21" t="str">
        <x:v>No</x:v>
      </x:c>
      <x:c r="J612" s="21" t="str">
        <x:v>No</x:v>
      </x:c>
      <x:c r="K612" s="21" t="str">
        <x:v>Included</x:v>
      </x:c>
      <x:c r="L612" s="21" t="str">
        <x:v>Peserta</x:v>
      </x:c>
    </x:row>
    <x:row r="613">
      <x:c r="A613" s="21" t="str">
        <x:v>whatsapp_group_numbers tiktok sahanita.csv</x:v>
      </x:c>
      <x:c r="B613" s="21" t="str">
        <x:v>tiktok sahanita</x:v>
      </x:c>
      <x:c r="C613" s="21" t="n">
        <x:v>8</x:v>
      </x:c>
      <x:c r="D613" s="46" t="str">
        <x:f>"+60139654382"</x:f>
        <x:v>+60139654382</x:v>
      </x:c>
      <x:c r="E613" s="21" t="str">
        <x:v>Sufaz Collection by SujaihahLiey</x:v>
      </x:c>
      <x:c r="F613" s="21" t="str">
        <x:v>Member</x:v>
      </x:c>
      <x:c r="G613" s="46" t="str">
        <x:f>"60139654382"</x:f>
        <x:v>60139654382</x:v>
      </x:c>
      <x:c r="H613" s="21" t="str">
        <x:v>Yes</x:v>
      </x:c>
      <x:c r="I613" s="21" t="str">
        <x:v>No</x:v>
      </x:c>
      <x:c r="J613" s="21" t="str">
        <x:v>No</x:v>
      </x:c>
      <x:c r="K613" s="21" t="str">
        <x:v>Included</x:v>
      </x:c>
      <x:c r="L613" s="21" t="str">
        <x:v>Peserta</x:v>
      </x:c>
    </x:row>
    <x:row r="614">
      <x:c r="A614" s="21" t="str">
        <x:v>whatsapp_group_numbers tiktok sahanita.csv</x:v>
      </x:c>
      <x:c r="B614" s="21" t="str">
        <x:v>tiktok sahanita</x:v>
      </x:c>
      <x:c r="C614" s="21" t="n">
        <x:v>9</x:v>
      </x:c>
      <x:c r="D614" s="46" t="str">
        <x:f>"+60199412990"</x:f>
        <x:v>+60199412990</x:v>
      </x:c>
      <x:c r="E614" s="21" t="str">
        <x:v>Wan Shah</x:v>
      </x:c>
      <x:c r="F614" s="21" t="str">
        <x:v>Member</x:v>
      </x:c>
      <x:c r="G614" s="46" t="str">
        <x:f>"60199412990"</x:f>
        <x:v>60199412990</x:v>
      </x:c>
      <x:c r="H614" s="21" t="str">
        <x:v>Yes</x:v>
      </x:c>
      <x:c r="I614" s="21" t="str">
        <x:v>No</x:v>
      </x:c>
      <x:c r="J614" s="21" t="str">
        <x:v>No</x:v>
      </x:c>
      <x:c r="K614" s="21" t="str">
        <x:v>Included</x:v>
      </x:c>
      <x:c r="L614" s="21" t="str">
        <x:v>Peserta</x:v>
      </x:c>
    </x:row>
    <x:row r="615">
      <x:c r="A615" s="21" t="str">
        <x:v>whatsapp_group_numbers tiktok sahanita.csv</x:v>
      </x:c>
      <x:c r="B615" s="21" t="str">
        <x:v>tiktok sahanita</x:v>
      </x:c>
      <x:c r="C615" s="21" t="n">
        <x:v>10</x:v>
      </x:c>
      <x:c r="D615" s="46" t="str">
        <x:f>"+60103819272"</x:f>
        <x:v>+60103819272</x:v>
      </x:c>
      <x:c r="E615" s="21" t="str">
        <x:v>+60103819272</x:v>
      </x:c>
      <x:c r="F615" s="21" t="str">
        <x:v>Member</x:v>
      </x:c>
      <x:c r="G615" s="46" t="str">
        <x:f>"60103819272"</x:f>
        <x:v>60103819272</x:v>
      </x:c>
      <x:c r="H615" s="21" t="str">
        <x:v>Yes</x:v>
      </x:c>
      <x:c r="I615" s="21" t="str">
        <x:v>No</x:v>
      </x:c>
      <x:c r="J615" s="21" t="str">
        <x:v>No</x:v>
      </x:c>
      <x:c r="K615" s="21" t="str">
        <x:v>Included</x:v>
      </x:c>
      <x:c r="L615" s="21" t="str">
        <x:v>Peserta</x:v>
      </x:c>
    </x:row>
    <x:row r="616">
      <x:c r="A616" s="21" t="str">
        <x:v>whatsapp_group_numbers tiktok sahanita.csv</x:v>
      </x:c>
      <x:c r="B616" s="21" t="str">
        <x:v>tiktok sahanita</x:v>
      </x:c>
      <x:c r="C616" s="21" t="n">
        <x:v>11</x:v>
      </x:c>
      <x:c r="D616" s="46" t="str">
        <x:f>"+601137633906"</x:f>
        <x:v>+601137633906</x:v>
      </x:c>
      <x:c r="E616" s="21" t="str">
        <x:v>+601137633906</x:v>
      </x:c>
      <x:c r="F616" s="21" t="str">
        <x:v>Member</x:v>
      </x:c>
      <x:c r="G616" s="46" t="str">
        <x:f>"601137633906"</x:f>
        <x:v>601137633906</x:v>
      </x:c>
      <x:c r="H616" s="21" t="str">
        <x:v>Yes</x:v>
      </x:c>
      <x:c r="I616" s="21" t="str">
        <x:v>No</x:v>
      </x:c>
      <x:c r="J616" s="21" t="str">
        <x:v>No</x:v>
      </x:c>
      <x:c r="K616" s="21" t="str">
        <x:v>Included</x:v>
      </x:c>
      <x:c r="L616" s="21" t="str">
        <x:v>Peserta</x:v>
      </x:c>
    </x:row>
    <x:row r="617">
      <x:c r="A617" s="21" t="str">
        <x:v>whatsapp_group_numbers tiktok sahanita.csv</x:v>
      </x:c>
      <x:c r="B617" s="21" t="str">
        <x:v>tiktok sahanita</x:v>
      </x:c>
      <x:c r="C617" s="21" t="n">
        <x:v>12</x:v>
      </x:c>
      <x:c r="D617" s="46" t="str">
        <x:f>"+60199752885"</x:f>
        <x:v>+60199752885</x:v>
      </x:c>
      <x:c r="E617" s="21" t="str">
        <x:v>+60199752885</x:v>
      </x:c>
      <x:c r="F617" s="21" t="str">
        <x:v>Member</x:v>
      </x:c>
      <x:c r="G617" s="46" t="str">
        <x:f>"60199752885"</x:f>
        <x:v>60199752885</x:v>
      </x:c>
      <x:c r="H617" s="21" t="str">
        <x:v>Yes</x:v>
      </x:c>
      <x:c r="I617" s="21" t="str">
        <x:v>No</x:v>
      </x:c>
      <x:c r="J617" s="21" t="str">
        <x:v>No</x:v>
      </x:c>
      <x:c r="K617" s="21" t="str">
        <x:v>Included</x:v>
      </x:c>
      <x:c r="L617" s="21" t="str">
        <x:v>Peserta</x:v>
      </x:c>
    </x:row>
    <x:row r="618">
      <x:c r="A618" s="21" t="str">
        <x:v>whatsapp_group_numbers tiktok sahanita.csv</x:v>
      </x:c>
      <x:c r="B618" s="21" t="str">
        <x:v>tiktok sahanita</x:v>
      </x:c>
      <x:c r="C618" s="21" t="n">
        <x:v>13</x:v>
      </x:c>
      <x:c r="D618" s="46" t="str">
        <x:f>"+60148475593"</x:f>
        <x:v>+60148475593</x:v>
      </x:c>
      <x:c r="E618" s="21" t="str">
        <x:v>+60148475593</x:v>
      </x:c>
      <x:c r="F618" s="21" t="str">
        <x:v>Member</x:v>
      </x:c>
      <x:c r="G618" s="46" t="str">
        <x:f>"60148475593"</x:f>
        <x:v>60148475593</x:v>
      </x:c>
      <x:c r="H618" s="21" t="str">
        <x:v>Yes</x:v>
      </x:c>
      <x:c r="I618" s="21" t="str">
        <x:v>No</x:v>
      </x:c>
      <x:c r="J618" s="21" t="str">
        <x:v>No</x:v>
      </x:c>
      <x:c r="K618" s="21" t="str">
        <x:v>Included</x:v>
      </x:c>
      <x:c r="L618" s="21" t="str">
        <x:v>Peserta</x:v>
      </x:c>
    </x:row>
    <x:row r="619">
      <x:c r="A619" s="21" t="str">
        <x:v>whatsapp_group_numbers tiktok sahanita.csv</x:v>
      </x:c>
      <x:c r="B619" s="21" t="str">
        <x:v>tiktok sahanita</x:v>
      </x:c>
      <x:c r="C619" s="21" t="n">
        <x:v>14</x:v>
      </x:c>
      <x:c r="D619" s="46" t="str">
        <x:f>"+60129676648"</x:f>
        <x:v>+60129676648</x:v>
      </x:c>
      <x:c r="E619" s="21" t="str">
        <x:v>+60129676648</x:v>
      </x:c>
      <x:c r="F619" s="21" t="str">
        <x:v>Member</x:v>
      </x:c>
      <x:c r="G619" s="46" t="str">
        <x:f>"60129676648"</x:f>
        <x:v>60129676648</x:v>
      </x:c>
      <x:c r="H619" s="21" t="str">
        <x:v>Yes</x:v>
      </x:c>
      <x:c r="I619" s="21" t="str">
        <x:v>No</x:v>
      </x:c>
      <x:c r="J619" s="21" t="str">
        <x:v>No</x:v>
      </x:c>
      <x:c r="K619" s="21" t="str">
        <x:v>Included</x:v>
      </x:c>
      <x:c r="L619" s="21" t="str">
        <x:v>Peserta</x:v>
      </x:c>
    </x:row>
    <x:row r="620">
      <x:c r="A620" s="21" t="str">
        <x:v>whatsapp_group_numbers tiktok sahanita.csv</x:v>
      </x:c>
      <x:c r="B620" s="21" t="str">
        <x:v>tiktok sahanita</x:v>
      </x:c>
      <x:c r="C620" s="21" t="n">
        <x:v>15</x:v>
      </x:c>
      <x:c r="D620" s="46" t="str">
        <x:f>"+601125442584"</x:f>
        <x:v>+601125442584</x:v>
      </x:c>
      <x:c r="E620" s="21" t="str">
        <x:v>+601125442584</x:v>
      </x:c>
      <x:c r="F620" s="21" t="str">
        <x:v>Member</x:v>
      </x:c>
      <x:c r="G620" s="46" t="str">
        <x:f>"601125442584"</x:f>
        <x:v>601125442584</x:v>
      </x:c>
      <x:c r="H620" s="21" t="str">
        <x:v>Yes</x:v>
      </x:c>
      <x:c r="I620" s="21" t="str">
        <x:v>No</x:v>
      </x:c>
      <x:c r="J620" s="21" t="str">
        <x:v>No</x:v>
      </x:c>
      <x:c r="K620" s="21" t="str">
        <x:v>Included</x:v>
      </x:c>
      <x:c r="L620" s="21" t="str">
        <x:v>Peserta</x:v>
      </x:c>
    </x:row>
    <x:row r="621">
      <x:c r="A621" s="21" t="str">
        <x:v>whatsapp_group_numbers tiktok sahanita.csv</x:v>
      </x:c>
      <x:c r="B621" s="21" t="str">
        <x:v>tiktok sahanita</x:v>
      </x:c>
      <x:c r="C621" s="21" t="n">
        <x:v>16</x:v>
      </x:c>
      <x:c r="D621" s="46" t="str">
        <x:f>"+601169341808"</x:f>
        <x:v>+601169341808</x:v>
      </x:c>
      <x:c r="E621" s="21" t="str">
        <x:v>+601169341808</x:v>
      </x:c>
      <x:c r="F621" s="21" t="str">
        <x:v>Member</x:v>
      </x:c>
      <x:c r="G621" s="46" t="str">
        <x:f>"601169341808"</x:f>
        <x:v>601169341808</x:v>
      </x:c>
      <x:c r="H621" s="21" t="str">
        <x:v>Yes</x:v>
      </x:c>
      <x:c r="I621" s="21" t="str">
        <x:v>No</x:v>
      </x:c>
      <x:c r="J621" s="21" t="str">
        <x:v>No</x:v>
      </x:c>
      <x:c r="K621" s="21" t="str">
        <x:v>Included</x:v>
      </x:c>
      <x:c r="L621" s="21" t="str">
        <x:v>Peserta</x:v>
      </x:c>
    </x:row>
    <x:row r="622">
      <x:c r="A622" s="21" t="str">
        <x:v>whatsapp_group_numbers tiktok sahanita.csv</x:v>
      </x:c>
      <x:c r="B622" s="21" t="str">
        <x:v>tiktok sahanita</x:v>
      </x:c>
      <x:c r="C622" s="21" t="n">
        <x:v>17</x:v>
      </x:c>
      <x:c r="D622" s="46" t="str">
        <x:f>"+60148076368"</x:f>
        <x:v>+60148076368</x:v>
      </x:c>
      <x:c r="E622" s="21" t="str">
        <x:v>+60148076368</x:v>
      </x:c>
      <x:c r="F622" s="21" t="str">
        <x:v>Member</x:v>
      </x:c>
      <x:c r="G622" s="46" t="str">
        <x:f>"60148076368"</x:f>
        <x:v>60148076368</x:v>
      </x:c>
      <x:c r="H622" s="21" t="str">
        <x:v>Yes</x:v>
      </x:c>
      <x:c r="I622" s="21" t="str">
        <x:v>No</x:v>
      </x:c>
      <x:c r="J622" s="21" t="str">
        <x:v>No</x:v>
      </x:c>
      <x:c r="K622" s="21" t="str">
        <x:v>Included</x:v>
      </x:c>
      <x:c r="L622" s="21" t="str">
        <x:v>Peserta</x:v>
      </x:c>
    </x:row>
    <x:row r="623">
      <x:c r="A623" s="21" t="str">
        <x:v>whatsapp_group_numbers tiktok sahanita.csv</x:v>
      </x:c>
      <x:c r="B623" s="21" t="str">
        <x:v>tiktok sahanita</x:v>
      </x:c>
      <x:c r="C623" s="21" t="n">
        <x:v>18</x:v>
      </x:c>
      <x:c r="D623" s="46" t="str">
        <x:f>"+60139337971"</x:f>
        <x:v>+60139337971</x:v>
      </x:c>
      <x:c r="E623" s="21" t="str">
        <x:v>+60139337971</x:v>
      </x:c>
      <x:c r="F623" s="21" t="str">
        <x:v>Member</x:v>
      </x:c>
      <x:c r="G623" s="46" t="str">
        <x:f>"60139337971"</x:f>
        <x:v>60139337971</x:v>
      </x:c>
      <x:c r="H623" s="21" t="str">
        <x:v>Yes</x:v>
      </x:c>
      <x:c r="I623" s="21" t="str">
        <x:v>No</x:v>
      </x:c>
      <x:c r="J623" s="21" t="str">
        <x:v>No</x:v>
      </x:c>
      <x:c r="K623" s="21" t="str">
        <x:v>Included</x:v>
      </x:c>
      <x:c r="L623" s="21" t="str">
        <x:v>Peserta</x:v>
      </x:c>
    </x:row>
    <x:row r="624">
      <x:c r="A624" s="21" t="str">
        <x:v>whatsapp_group_numbers tiktok sahanita.csv</x:v>
      </x:c>
      <x:c r="B624" s="21" t="str">
        <x:v>tiktok sahanita</x:v>
      </x:c>
      <x:c r="C624" s="21" t="n">
        <x:v>19</x:v>
      </x:c>
      <x:c r="D624" s="46" t="str">
        <x:f>"+60169861215"</x:f>
        <x:v>+60169861215</x:v>
      </x:c>
      <x:c r="E624" s="21" t="str">
        <x:v>+60169861215</x:v>
      </x:c>
      <x:c r="F624" s="21" t="str">
        <x:v>Member</x:v>
      </x:c>
      <x:c r="G624" s="46" t="str">
        <x:f>"60169861215"</x:f>
        <x:v>60169861215</x:v>
      </x:c>
      <x:c r="H624" s="21" t="str">
        <x:v>Yes</x:v>
      </x:c>
      <x:c r="I624" s="21" t="str">
        <x:v>No</x:v>
      </x:c>
      <x:c r="J624" s="21" t="str">
        <x:v>No</x:v>
      </x:c>
      <x:c r="K624" s="21" t="str">
        <x:v>Included</x:v>
      </x:c>
      <x:c r="L624" s="21" t="str">
        <x:v>Peserta</x:v>
      </x:c>
    </x:row>
    <x:row r="625">
      <x:c r="A625" s="21" t="str">
        <x:v>whatsapp_group_numbers tiktok sahanita.csv</x:v>
      </x:c>
      <x:c r="B625" s="21" t="str">
        <x:v>tiktok sahanita</x:v>
      </x:c>
      <x:c r="C625" s="21" t="n">
        <x:v>20</x:v>
      </x:c>
      <x:c r="D625" s="46" t="str">
        <x:f>"+60182629202"</x:f>
        <x:v>+60182629202</x:v>
      </x:c>
      <x:c r="E625" s="21" t="str">
        <x:v>+60182629202</x:v>
      </x:c>
      <x:c r="F625" s="21" t="str">
        <x:v>Member</x:v>
      </x:c>
      <x:c r="G625" s="46" t="str">
        <x:f>"60182629202"</x:f>
        <x:v>60182629202</x:v>
      </x:c>
      <x:c r="H625" s="21" t="str">
        <x:v>Yes</x:v>
      </x:c>
      <x:c r="I625" s="21" t="str">
        <x:v>No</x:v>
      </x:c>
      <x:c r="J625" s="21" t="str">
        <x:v>No</x:v>
      </x:c>
      <x:c r="K625" s="21" t="str">
        <x:v>Included</x:v>
      </x:c>
      <x:c r="L625" s="21" t="str">
        <x:v>Peserta</x:v>
      </x:c>
    </x:row>
    <x:row r="626">
      <x:c r="A626" s="21" t="str">
        <x:v>whatsapp_group_numbers tiktok sahanita.csv</x:v>
      </x:c>
      <x:c r="B626" s="21" t="str">
        <x:v>tiktok sahanita</x:v>
      </x:c>
      <x:c r="C626" s="21" t="n">
        <x:v>21</x:v>
      </x:c>
      <x:c r="D626" s="46" t="str">
        <x:f>"+601115737599"</x:f>
        <x:v>+601115737599</x:v>
      </x:c>
      <x:c r="E626" s="21" t="str">
        <x:v>+601115737599</x:v>
      </x:c>
      <x:c r="F626" s="21" t="str">
        <x:v>Member</x:v>
      </x:c>
      <x:c r="G626" s="46" t="str">
        <x:f>"601115737599"</x:f>
        <x:v>601115737599</x:v>
      </x:c>
      <x:c r="H626" s="21" t="str">
        <x:v>Yes</x:v>
      </x:c>
      <x:c r="I626" s="21" t="str">
        <x:v>No</x:v>
      </x:c>
      <x:c r="J626" s="21" t="str">
        <x:v>No</x:v>
      </x:c>
      <x:c r="K626" s="21" t="str">
        <x:v>Included</x:v>
      </x:c>
      <x:c r="L626" s="21" t="str">
        <x:v>Peserta</x:v>
      </x:c>
    </x:row>
    <x:row r="627">
      <x:c r="A627" s="21" t="str">
        <x:v>whatsapp_group_numbers tiktok sahanita.csv</x:v>
      </x:c>
      <x:c r="B627" s="21" t="str">
        <x:v>tiktok sahanita</x:v>
      </x:c>
      <x:c r="C627" s="21" t="n">
        <x:v>22</x:v>
      </x:c>
      <x:c r="D627" s="46" t="str">
        <x:f>"+60139304197"</x:f>
        <x:v>+60139304197</x:v>
      </x:c>
      <x:c r="E627" s="21" t="str">
        <x:v>+60139304197</x:v>
      </x:c>
      <x:c r="F627" s="21" t="str">
        <x:v>Member</x:v>
      </x:c>
      <x:c r="G627" s="46" t="str">
        <x:f>"60139304197"</x:f>
        <x:v>60139304197</x:v>
      </x:c>
      <x:c r="H627" s="21" t="str">
        <x:v>Yes</x:v>
      </x:c>
      <x:c r="I627" s="21" t="str">
        <x:v>No</x:v>
      </x:c>
      <x:c r="J627" s="21" t="str">
        <x:v>No</x:v>
      </x:c>
      <x:c r="K627" s="21" t="str">
        <x:v>Included</x:v>
      </x:c>
      <x:c r="L627" s="21" t="str">
        <x:v>Peserta</x:v>
      </x:c>
    </x:row>
    <x:row r="628">
      <x:c r="A628" s="21" t="str">
        <x:v>whatsapp_group_numbers tiktok sahanita.csv</x:v>
      </x:c>
      <x:c r="B628" s="21" t="str">
        <x:v>tiktok sahanita</x:v>
      </x:c>
      <x:c r="C628" s="21" t="n">
        <x:v>23</x:v>
      </x:c>
      <x:c r="D628" s="46" t="str">
        <x:f>"+60199268470"</x:f>
        <x:v>+60199268470</x:v>
      </x:c>
      <x:c r="E628" s="21" t="str">
        <x:v>+60199268470</x:v>
      </x:c>
      <x:c r="F628" s="21" t="str">
        <x:v>Member</x:v>
      </x:c>
      <x:c r="G628" s="46" t="str">
        <x:f>"60199268470"</x:f>
        <x:v>60199268470</x:v>
      </x:c>
      <x:c r="H628" s="21" t="str">
        <x:v>Yes</x:v>
      </x:c>
      <x:c r="I628" s="21" t="str">
        <x:v>No</x:v>
      </x:c>
      <x:c r="J628" s="21" t="str">
        <x:v>No</x:v>
      </x:c>
      <x:c r="K628" s="21" t="str">
        <x:v>Included</x:v>
      </x:c>
      <x:c r="L628" s="21" t="str">
        <x:v>Peserta</x:v>
      </x:c>
    </x:row>
    <x:row r="629">
      <x:c r="A629" s="21" t="str">
        <x:v>whatsapp_group_numbers tiktok sahanita.csv</x:v>
      </x:c>
      <x:c r="B629" s="21" t="str">
        <x:v>tiktok sahanita</x:v>
      </x:c>
      <x:c r="C629" s="21" t="n">
        <x:v>24</x:v>
      </x:c>
      <x:c r="D629" s="46" t="str">
        <x:f>"+60199053113"</x:f>
        <x:v>+60199053113</x:v>
      </x:c>
      <x:c r="E629" s="21" t="str">
        <x:v>+60199053113</x:v>
      </x:c>
      <x:c r="F629" s="21" t="str">
        <x:v>Member</x:v>
      </x:c>
      <x:c r="G629" s="46" t="str">
        <x:f>"60199053113"</x:f>
        <x:v>60199053113</x:v>
      </x:c>
      <x:c r="H629" s="21" t="str">
        <x:v>Yes</x:v>
      </x:c>
      <x:c r="I629" s="21" t="str">
        <x:v>No</x:v>
      </x:c>
      <x:c r="J629" s="21" t="str">
        <x:v>No</x:v>
      </x:c>
      <x:c r="K629" s="21" t="str">
        <x:v>Included</x:v>
      </x:c>
      <x:c r="L629" s="21" t="str">
        <x:v>Peserta</x:v>
      </x:c>
    </x:row>
    <x:row r="630">
      <x:c r="A630" s="21" t="str">
        <x:v>whatsapp_group_numbers tiktok sahanita.csv</x:v>
      </x:c>
      <x:c r="B630" s="21" t="str">
        <x:v>tiktok sahanita</x:v>
      </x:c>
      <x:c r="C630" s="21" t="n">
        <x:v>25</x:v>
      </x:c>
      <x:c r="D630" s="46" t="str">
        <x:f>"+60199312964"</x:f>
        <x:v>+60199312964</x:v>
      </x:c>
      <x:c r="E630" s="21" t="str">
        <x:v>+60199312964</x:v>
      </x:c>
      <x:c r="F630" s="21" t="str">
        <x:v>Member</x:v>
      </x:c>
      <x:c r="G630" s="46" t="str">
        <x:f>"60199312964"</x:f>
        <x:v>60199312964</x:v>
      </x:c>
      <x:c r="H630" s="21" t="str">
        <x:v>Yes</x:v>
      </x:c>
      <x:c r="I630" s="21" t="str">
        <x:v>No</x:v>
      </x:c>
      <x:c r="J630" s="21" t="str">
        <x:v>No</x:v>
      </x:c>
      <x:c r="K630" s="21" t="str">
        <x:v>Included</x:v>
      </x:c>
      <x:c r="L630" s="21" t="str">
        <x:v>Peserta</x:v>
      </x:c>
    </x:row>
    <x:row r="631">
      <x:c r="A631" s="21" t="str">
        <x:v>whatsapp_group_numbers tiktok sahanita.csv</x:v>
      </x:c>
      <x:c r="B631" s="21" t="str">
        <x:v>tiktok sahanita</x:v>
      </x:c>
      <x:c r="C631" s="21" t="n">
        <x:v>26</x:v>
      </x:c>
      <x:c r="D631" s="46" t="str">
        <x:f>"+60175178621"</x:f>
        <x:v>+60175178621</x:v>
      </x:c>
      <x:c r="E631" s="21" t="str">
        <x:v>+60175178621</x:v>
      </x:c>
      <x:c r="F631" s="21" t="str">
        <x:v>Member</x:v>
      </x:c>
      <x:c r="G631" s="46" t="str">
        <x:f>"60175178621"</x:f>
        <x:v>60175178621</x:v>
      </x:c>
      <x:c r="H631" s="21" t="str">
        <x:v>Yes</x:v>
      </x:c>
      <x:c r="I631" s="21" t="str">
        <x:v>No</x:v>
      </x:c>
      <x:c r="J631" s="21" t="str">
        <x:v>No</x:v>
      </x:c>
      <x:c r="K631" s="21" t="str">
        <x:v>Included</x:v>
      </x:c>
      <x:c r="L631" s="21" t="str">
        <x:v>Peserta</x:v>
      </x:c>
    </x:row>
    <x:row r="632">
      <x:c r="A632" s="21" t="str">
        <x:v>whatsapp_group_numbers tiktok sahanita.csv</x:v>
      </x:c>
      <x:c r="B632" s="21" t="str">
        <x:v>tiktok sahanita</x:v>
      </x:c>
      <x:c r="C632" s="21" t="n">
        <x:v>27</x:v>
      </x:c>
      <x:c r="D632" s="46" t="str">
        <x:f>"+60169342646"</x:f>
        <x:v>+60169342646</x:v>
      </x:c>
      <x:c r="E632" s="21" t="str">
        <x:v>+60169342646</x:v>
      </x:c>
      <x:c r="F632" s="21" t="str">
        <x:v>Member</x:v>
      </x:c>
      <x:c r="G632" s="46" t="str">
        <x:f>"60169342646"</x:f>
        <x:v>60169342646</x:v>
      </x:c>
      <x:c r="H632" s="21" t="str">
        <x:v>Yes</x:v>
      </x:c>
      <x:c r="I632" s="21" t="str">
        <x:v>No</x:v>
      </x:c>
      <x:c r="J632" s="21" t="str">
        <x:v>No</x:v>
      </x:c>
      <x:c r="K632" s="21" t="str">
        <x:v>Included</x:v>
      </x:c>
      <x:c r="L632" s="21" t="str">
        <x:v>Peserta</x:v>
      </x:c>
    </x:row>
    <x:row r="633">
      <x:c r="A633" s="21" t="str">
        <x:v>whatsapp_group_numbers tiktok sahanita.csv</x:v>
      </x:c>
      <x:c r="B633" s="21" t="str">
        <x:v>tiktok sahanita</x:v>
      </x:c>
      <x:c r="C633" s="21" t="n">
        <x:v>28</x:v>
      </x:c>
      <x:c r="D633" s="46" t="str">
        <x:f>"+601116549667"</x:f>
        <x:v>+601116549667</x:v>
      </x:c>
      <x:c r="E633" s="21" t="str">
        <x:v>+601116549667</x:v>
      </x:c>
      <x:c r="F633" s="21" t="str">
        <x:v>Member</x:v>
      </x:c>
      <x:c r="G633" s="46" t="str">
        <x:f>"601116549667"</x:f>
        <x:v>601116549667</x:v>
      </x:c>
      <x:c r="H633" s="21" t="str">
        <x:v>Yes</x:v>
      </x:c>
      <x:c r="I633" s="21" t="str">
        <x:v>No</x:v>
      </x:c>
      <x:c r="J633" s="21" t="str">
        <x:v>No</x:v>
      </x:c>
      <x:c r="K633" s="21" t="str">
        <x:v>Included</x:v>
      </x:c>
      <x:c r="L633" s="21" t="str">
        <x:v>Peserta</x:v>
      </x:c>
    </x:row>
    <x:row r="634">
      <x:c r="A634" s="21" t="str">
        <x:v>whatsapp_group_numbers UPM.csv</x:v>
      </x:c>
      <x:c r="B634" s="21" t="str">
        <x:v>UPM</x:v>
      </x:c>
      <x:c r="C634" s="21" t="n">
        <x:v>1</x:v>
      </x:c>
      <x:c r="D634" s="46" t="str">
        <x:f>"+601121235593"</x:f>
        <x:v>+601121235593</x:v>
      </x:c>
      <x:c r="E634" s="21" t="str">
        <x:v>Irfan pa coach zul</x:v>
      </x:c>
      <x:c r="F634" s="21" t="str">
        <x:v>Member</x:v>
      </x:c>
      <x:c r="G634" s="46" t="str">
        <x:f>"601121235593"</x:f>
        <x:v>601121235593</x:v>
      </x:c>
      <x:c r="H634" s="21" t="str">
        <x:v>Yes</x:v>
      </x:c>
      <x:c r="I634" s="21" t="str">
        <x:v>No</x:v>
      </x:c>
      <x:c r="J634" s="21" t="str">
        <x:v>No</x:v>
      </x:c>
      <x:c r="K634" s="21" t="str">
        <x:v>Excluded</x:v>
      </x:c>
      <x:c r="L634" s="21" t="str">
        <x:v>Senarai pengecualian manual pengguna</x:v>
      </x:c>
    </x:row>
    <x:row r="635">
      <x:c r="A635" s="21" t="str">
        <x:v>whatsapp_group_numbers UPM.csv</x:v>
      </x:c>
      <x:c r="B635" s="21" t="str">
        <x:v>UPM</x:v>
      </x:c>
      <x:c r="C635" s="21" t="n">
        <x:v>2</x:v>
      </x:c>
      <x:c r="D635" s="46" t="str">
        <x:f>"+60133815817"</x:f>
        <x:v>+60133815817</x:v>
      </x:c>
      <x:c r="E635" s="21" t="str">
        <x:v>Kamarul Bahareen Kamarudin</x:v>
      </x:c>
      <x:c r="F635" s="21" t="str">
        <x:v>Member</x:v>
      </x:c>
      <x:c r="G635" s="46" t="str">
        <x:f>"60133815817"</x:f>
        <x:v>60133815817</x:v>
      </x:c>
      <x:c r="H635" s="21" t="str">
        <x:v>Yes</x:v>
      </x:c>
      <x:c r="I635" s="21" t="str">
        <x:v>No</x:v>
      </x:c>
      <x:c r="J635" s="21" t="str">
        <x:v>No</x:v>
      </x:c>
      <x:c r="K635" s="21" t="str">
        <x:v>Excluded</x:v>
      </x:c>
      <x:c r="L635" s="21" t="str">
        <x:v>Pemilik/trainer</x:v>
      </x:c>
    </x:row>
    <x:row r="636">
      <x:c r="A636" s="21" t="str">
        <x:v>whatsapp_group_numbers UPM.csv</x:v>
      </x:c>
      <x:c r="B636" s="21" t="str">
        <x:v>UPM</x:v>
      </x:c>
      <x:c r="C636" s="21" t="n">
        <x:v>3</x:v>
      </x:c>
      <x:c r="D636" s="46" t="str">
        <x:f>"+60128874955"</x:f>
        <x:v>+60128874955</x:v>
      </x:c>
      <x:c r="E636" s="21" t="str">
        <x:v>ebahkota1961</x:v>
      </x:c>
      <x:c r="F636" s="21" t="str">
        <x:v>Member</x:v>
      </x:c>
      <x:c r="G636" s="46" t="str">
        <x:f>"60128874955"</x:f>
        <x:v>60128874955</x:v>
      </x:c>
      <x:c r="H636" s="21" t="str">
        <x:v>Yes</x:v>
      </x:c>
      <x:c r="I636" s="21" t="str">
        <x:v>No</x:v>
      </x:c>
      <x:c r="J636" s="21" t="str">
        <x:v>No</x:v>
      </x:c>
      <x:c r="K636" s="21" t="str">
        <x:v>Included</x:v>
      </x:c>
      <x:c r="L636" s="21" t="str">
        <x:v>Peserta</x:v>
      </x:c>
    </x:row>
    <x:row r="637">
      <x:c r="A637" s="21" t="str">
        <x:v>whatsapp_group_numbers UPM.csv</x:v>
      </x:c>
      <x:c r="B637" s="21" t="str">
        <x:v>UPM</x:v>
      </x:c>
      <x:c r="C637" s="21" t="n">
        <x:v>4</x:v>
      </x:c>
      <x:c r="D637" s="46" t="str">
        <x:f>"+60135768691"</x:f>
        <x:v>+60135768691</x:v>
      </x:c>
      <x:c r="E637" s="21" t="str">
        <x:v>+60135768691</x:v>
      </x:c>
      <x:c r="F637" s="21" t="str">
        <x:v>Member</x:v>
      </x:c>
      <x:c r="G637" s="46" t="str">
        <x:f>"60135768691"</x:f>
        <x:v>60135768691</x:v>
      </x:c>
      <x:c r="H637" s="21" t="str">
        <x:v>Yes</x:v>
      </x:c>
      <x:c r="I637" s="21" t="str">
        <x:v>No</x:v>
      </x:c>
      <x:c r="J637" s="21" t="str">
        <x:v>No</x:v>
      </x:c>
      <x:c r="K637" s="21" t="str">
        <x:v>Included</x:v>
      </x:c>
      <x:c r="L637" s="21" t="str">
        <x:v>Peserta</x:v>
      </x:c>
    </x:row>
    <x:row r="638">
      <x:c r="A638" s="21" t="str">
        <x:v>whatsapp_group_numbers UPM.csv</x:v>
      </x:c>
      <x:c r="B638" s="21" t="str">
        <x:v>UPM</x:v>
      </x:c>
      <x:c r="C638" s="21" t="n">
        <x:v>5</x:v>
      </x:c>
      <x:c r="D638" s="46" t="str">
        <x:f>"+60107899672"</x:f>
        <x:v>+60107899672</x:v>
      </x:c>
      <x:c r="E638" s="21" t="str">
        <x:v>+60107899672</x:v>
      </x:c>
      <x:c r="F638" s="21" t="str">
        <x:v>Member</x:v>
      </x:c>
      <x:c r="G638" s="46" t="str">
        <x:f>"60107899672"</x:f>
        <x:v>60107899672</x:v>
      </x:c>
      <x:c r="H638" s="21" t="str">
        <x:v>Yes</x:v>
      </x:c>
      <x:c r="I638" s="21" t="str">
        <x:v>No</x:v>
      </x:c>
      <x:c r="J638" s="21" t="str">
        <x:v>No</x:v>
      </x:c>
      <x:c r="K638" s="21" t="str">
        <x:v>Included</x:v>
      </x:c>
      <x:c r="L638" s="21" t="str">
        <x:v>Peserta</x:v>
      </x:c>
    </x:row>
    <x:row r="639">
      <x:c r="A639" s="21" t="str">
        <x:v>whatsapp_group_numbers UPM.csv</x:v>
      </x:c>
      <x:c r="B639" s="21" t="str">
        <x:v>UPM</x:v>
      </x:c>
      <x:c r="C639" s="21" t="n">
        <x:v>6</x:v>
      </x:c>
      <x:c r="D639" s="46" t="str">
        <x:f>"+60198486307"</x:f>
        <x:v>+60198486307</x:v>
      </x:c>
      <x:c r="E639" s="21" t="str">
        <x:v>+60198486307</x:v>
      </x:c>
      <x:c r="F639" s="21" t="str">
        <x:v>Member</x:v>
      </x:c>
      <x:c r="G639" s="46" t="str">
        <x:f>"60198486307"</x:f>
        <x:v>60198486307</x:v>
      </x:c>
      <x:c r="H639" s="21" t="str">
        <x:v>Yes</x:v>
      </x:c>
      <x:c r="I639" s="21" t="str">
        <x:v>No</x:v>
      </x:c>
      <x:c r="J639" s="21" t="str">
        <x:v>No</x:v>
      </x:c>
      <x:c r="K639" s="21" t="str">
        <x:v>Included</x:v>
      </x:c>
      <x:c r="L639" s="21" t="str">
        <x:v>Peserta</x:v>
      </x:c>
    </x:row>
    <x:row r="640">
      <x:c r="A640" s="21" t="str">
        <x:v>whatsapp_group_numbers UPM.csv</x:v>
      </x:c>
      <x:c r="B640" s="21" t="str">
        <x:v>UPM</x:v>
      </x:c>
      <x:c r="C640" s="21" t="n">
        <x:v>7</x:v>
      </x:c>
      <x:c r="D640" s="46" t="str">
        <x:f>"+601125065986"</x:f>
        <x:v>+601125065986</x:v>
      </x:c>
      <x:c r="E640" s="21" t="str">
        <x:v>+601125065986</x:v>
      </x:c>
      <x:c r="F640" s="21" t="str">
        <x:v>Member</x:v>
      </x:c>
      <x:c r="G640" s="46" t="str">
        <x:f>"601125065986"</x:f>
        <x:v>601125065986</x:v>
      </x:c>
      <x:c r="H640" s="21" t="str">
        <x:v>Yes</x:v>
      </x:c>
      <x:c r="I640" s="21" t="str">
        <x:v>No</x:v>
      </x:c>
      <x:c r="J640" s="21" t="str">
        <x:v>No</x:v>
      </x:c>
      <x:c r="K640" s="21" t="str">
        <x:v>Included</x:v>
      </x:c>
      <x:c r="L640" s="21" t="str">
        <x:v>Peserta</x:v>
      </x:c>
    </x:row>
    <x:row r="641">
      <x:c r="A641" s="21" t="str">
        <x:v>whatsapp_group_numbers UPM.csv</x:v>
      </x:c>
      <x:c r="B641" s="21" t="str">
        <x:v>UPM</x:v>
      </x:c>
      <x:c r="C641" s="21" t="n">
        <x:v>8</x:v>
      </x:c>
      <x:c r="D641" s="46" t="str">
        <x:f>"+60128415536"</x:f>
        <x:v>+60128415536</x:v>
      </x:c>
      <x:c r="E641" s="21" t="str">
        <x:v>+60128415536</x:v>
      </x:c>
      <x:c r="F641" s="21" t="str">
        <x:v>Member</x:v>
      </x:c>
      <x:c r="G641" s="46" t="str">
        <x:f>"60128415536"</x:f>
        <x:v>60128415536</x:v>
      </x:c>
      <x:c r="H641" s="21" t="str">
        <x:v>Yes</x:v>
      </x:c>
      <x:c r="I641" s="21" t="str">
        <x:v>No</x:v>
      </x:c>
      <x:c r="J641" s="21" t="str">
        <x:v>No</x:v>
      </x:c>
      <x:c r="K641" s="21" t="str">
        <x:v>Included</x:v>
      </x:c>
      <x:c r="L641" s="21" t="str">
        <x:v>Peserta</x:v>
      </x:c>
    </x:row>
    <x:row r="642">
      <x:c r="A642" s="21" t="str">
        <x:v>whatsapp_group_numbers UPM.csv</x:v>
      </x:c>
      <x:c r="B642" s="21" t="str">
        <x:v>UPM</x:v>
      </x:c>
      <x:c r="C642" s="21" t="n">
        <x:v>9</x:v>
      </x:c>
      <x:c r="D642" s="46" t="str">
        <x:f>"+60138401513"</x:f>
        <x:v>+60138401513</x:v>
      </x:c>
      <x:c r="E642" s="21" t="str">
        <x:v>+60138401513</x:v>
      </x:c>
      <x:c r="F642" s="21" t="str">
        <x:v>Member</x:v>
      </x:c>
      <x:c r="G642" s="46" t="str">
        <x:f>"60138401513"</x:f>
        <x:v>60138401513</x:v>
      </x:c>
      <x:c r="H642" s="21" t="str">
        <x:v>Yes</x:v>
      </x:c>
      <x:c r="I642" s="21" t="str">
        <x:v>No</x:v>
      </x:c>
      <x:c r="J642" s="21" t="str">
        <x:v>No</x:v>
      </x:c>
      <x:c r="K642" s="21" t="str">
        <x:v>Included</x:v>
      </x:c>
      <x:c r="L642" s="21" t="str">
        <x:v>Peserta</x:v>
      </x:c>
    </x:row>
    <x:row r="643">
      <x:c r="A643" s="21" t="str">
        <x:v>whatsapp_group_numbers UPM.csv</x:v>
      </x:c>
      <x:c r="B643" s="21" t="str">
        <x:v>UPM</x:v>
      </x:c>
      <x:c r="C643" s="21" t="n">
        <x:v>10</x:v>
      </x:c>
      <x:c r="D643" s="46" t="str">
        <x:f>"+60149660887"</x:f>
        <x:v>+60149660887</x:v>
      </x:c>
      <x:c r="E643" s="21" t="str">
        <x:v>+60149660887</x:v>
      </x:c>
      <x:c r="F643" s="21" t="str">
        <x:v>Member</x:v>
      </x:c>
      <x:c r="G643" s="46" t="str">
        <x:f>"60149660887"</x:f>
        <x:v>60149660887</x:v>
      </x:c>
      <x:c r="H643" s="21" t="str">
        <x:v>Yes</x:v>
      </x:c>
      <x:c r="I643" s="21" t="str">
        <x:v>No</x:v>
      </x:c>
      <x:c r="J643" s="21" t="str">
        <x:v>No</x:v>
      </x:c>
      <x:c r="K643" s="21" t="str">
        <x:v>Included</x:v>
      </x:c>
      <x:c r="L643" s="21" t="str">
        <x:v>Peserta</x:v>
      </x:c>
    </x:row>
    <x:row r="644">
      <x:c r="A644" s="21" t="str">
        <x:v>whatsapp_group_numbers UPM.csv</x:v>
      </x:c>
      <x:c r="B644" s="21" t="str">
        <x:v>UPM</x:v>
      </x:c>
      <x:c r="C644" s="21" t="n">
        <x:v>11</x:v>
      </x:c>
      <x:c r="D644" s="46" t="str">
        <x:f>"+60198159090"</x:f>
        <x:v>+60198159090</x:v>
      </x:c>
      <x:c r="E644" s="21" t="str">
        <x:v>+60198159090</x:v>
      </x:c>
      <x:c r="F644" s="21" t="str">
        <x:v>Member</x:v>
      </x:c>
      <x:c r="G644" s="46" t="str">
        <x:f>"60198159090"</x:f>
        <x:v>60198159090</x:v>
      </x:c>
      <x:c r="H644" s="21" t="str">
        <x:v>Yes</x:v>
      </x:c>
      <x:c r="I644" s="21" t="str">
        <x:v>No</x:v>
      </x:c>
      <x:c r="J644" s="21" t="str">
        <x:v>No</x:v>
      </x:c>
      <x:c r="K644" s="21" t="str">
        <x:v>Included</x:v>
      </x:c>
      <x:c r="L644" s="21" t="str">
        <x:v>Peserta</x:v>
      </x:c>
    </x:row>
    <x:row r="645">
      <x:c r="A645" s="21" t="str">
        <x:v>whatsapp_group_numbers UPM.csv</x:v>
      </x:c>
      <x:c r="B645" s="21" t="str">
        <x:v>UPM</x:v>
      </x:c>
      <x:c r="C645" s="21" t="n">
        <x:v>12</x:v>
      </x:c>
      <x:c r="D645" s="46" t="str">
        <x:f>"+60146856086"</x:f>
        <x:v>+60146856086</x:v>
      </x:c>
      <x:c r="E645" s="21" t="str">
        <x:v>+60146856086</x:v>
      </x:c>
      <x:c r="F645" s="21" t="str">
        <x:v>Member</x:v>
      </x:c>
      <x:c r="G645" s="46" t="str">
        <x:f>"60146856086"</x:f>
        <x:v>60146856086</x:v>
      </x:c>
      <x:c r="H645" s="21" t="str">
        <x:v>Yes</x:v>
      </x:c>
      <x:c r="I645" s="21" t="str">
        <x:v>No</x:v>
      </x:c>
      <x:c r="J645" s="21" t="str">
        <x:v>No</x:v>
      </x:c>
      <x:c r="K645" s="21" t="str">
        <x:v>Included</x:v>
      </x:c>
      <x:c r="L645" s="21" t="str">
        <x:v>Peserta</x:v>
      </x:c>
    </x:row>
    <x:row r="646">
      <x:c r="A646" s="21" t="str">
        <x:v>whatsapp_group_numbers UPM.csv</x:v>
      </x:c>
      <x:c r="B646" s="21" t="str">
        <x:v>UPM</x:v>
      </x:c>
      <x:c r="C646" s="21" t="n">
        <x:v>13</x:v>
      </x:c>
      <x:c r="D646" s="46" t="str">
        <x:f>"+60168074275"</x:f>
        <x:v>+60168074275</x:v>
      </x:c>
      <x:c r="E646" s="21" t="str">
        <x:v>+60168074275</x:v>
      </x:c>
      <x:c r="F646" s="21" t="str">
        <x:v>Member</x:v>
      </x:c>
      <x:c r="G646" s="46" t="str">
        <x:f>"60168074275"</x:f>
        <x:v>60168074275</x:v>
      </x:c>
      <x:c r="H646" s="21" t="str">
        <x:v>Yes</x:v>
      </x:c>
      <x:c r="I646" s="21" t="str">
        <x:v>No</x:v>
      </x:c>
      <x:c r="J646" s="21" t="str">
        <x:v>No</x:v>
      </x:c>
      <x:c r="K646" s="21" t="str">
        <x:v>Included</x:v>
      </x:c>
      <x:c r="L646" s="21" t="str">
        <x:v>Peserta</x:v>
      </x:c>
    </x:row>
    <x:row r="647">
      <x:c r="A647" s="21" t="str">
        <x:v>whatsapp_group_numbers ZKM 7-8 Sept.csv</x:v>
      </x:c>
      <x:c r="B647" s="21" t="str">
        <x:v>ZKM 7-8 Sept</x:v>
      </x:c>
      <x:c r="C647" s="21" t="n">
        <x:v>1</x:v>
      </x:c>
      <x:c r="D647" s="46" t="str">
        <x:f>"+60193595900"</x:f>
        <x:v>+60193595900</x:v>
      </x:c>
      <x:c r="E647" s="21" t="str">
        <x:v>Insken - Pn Nora</x:v>
      </x:c>
      <x:c r="F647" s="21" t="str">
        <x:v>Member</x:v>
      </x:c>
      <x:c r="G647" s="46" t="str">
        <x:f>"60193595900"</x:f>
        <x:v>60193595900</x:v>
      </x:c>
      <x:c r="H647" s="21" t="str">
        <x:v>Yes</x:v>
      </x:c>
      <x:c r="I647" s="21" t="str">
        <x:v>No</x:v>
      </x:c>
      <x:c r="J647" s="21" t="str">
        <x:v>Yes</x:v>
      </x:c>
      <x:c r="K647" s="21" t="str">
        <x:v>Excluded</x:v>
      </x:c>
      <x:c r="L647" s="21" t="str">
        <x:v>Nama/nombor dikenal pasti sebagai INSKEN</x:v>
      </x:c>
    </x:row>
    <x:row r="648">
      <x:c r="A648" s="21" t="str">
        <x:v>whatsapp_group_numbers ZKM 7-8 Sept.csv</x:v>
      </x:c>
      <x:c r="B648" s="21" t="str">
        <x:v>ZKM 7-8 Sept</x:v>
      </x:c>
      <x:c r="C648" s="21" t="n">
        <x:v>2</x:v>
      </x:c>
      <x:c r="D648" s="46" t="str">
        <x:f>"+60174102530"</x:f>
        <x:v>+60174102530</x:v>
      </x:c>
      <x:c r="E648" s="21" t="str">
        <x:v>shaeza INSKEN</x:v>
      </x:c>
      <x:c r="F648" s="21" t="str">
        <x:v>Member</x:v>
      </x:c>
      <x:c r="G648" s="46" t="str">
        <x:f>"60174102530"</x:f>
        <x:v>60174102530</x:v>
      </x:c>
      <x:c r="H648" s="21" t="str">
        <x:v>Yes</x:v>
      </x:c>
      <x:c r="I648" s="21" t="str">
        <x:v>No</x:v>
      </x:c>
      <x:c r="J648" s="21" t="str">
        <x:v>Yes</x:v>
      </x:c>
      <x:c r="K648" s="21" t="str">
        <x:v>Excluded</x:v>
      </x:c>
      <x:c r="L648" s="21" t="str">
        <x:v>Nama/nombor dikenal pasti sebagai INSKEN</x:v>
      </x:c>
    </x:row>
    <x:row r="649">
      <x:c r="A649" s="21" t="str">
        <x:v>whatsapp_group_numbers ZKM 7-8 Sept.csv</x:v>
      </x:c>
      <x:c r="B649" s="21" t="str">
        <x:v>ZKM 7-8 Sept</x:v>
      </x:c>
      <x:c r="C649" s="21" t="n">
        <x:v>3</x:v>
      </x:c>
      <x:c r="D649" s="46" t="str">
        <x:f>"+60177522196"</x:f>
        <x:v>+60177522196</x:v>
      </x:c>
      <x:c r="E649" s="21" t="str">
        <x:v>+60177522196</x:v>
      </x:c>
      <x:c r="F649" s="21" t="str">
        <x:v>Member</x:v>
      </x:c>
      <x:c r="G649" s="46" t="str">
        <x:f>"60177522196"</x:f>
        <x:v>60177522196</x:v>
      </x:c>
      <x:c r="H649" s="21" t="str">
        <x:v>Yes</x:v>
      </x:c>
      <x:c r="I649" s="21" t="str">
        <x:v>No</x:v>
      </x:c>
      <x:c r="J649" s="21" t="str">
        <x:v>No</x:v>
      </x:c>
      <x:c r="K649" s="21" t="str">
        <x:v>Included</x:v>
      </x:c>
      <x:c r="L649" s="21" t="str">
        <x:v>Peserta</x:v>
      </x:c>
    </x:row>
    <x:row r="650">
      <x:c r="A650" s="21" t="str">
        <x:v>whatsapp_group_numbers ZKM 7-8 Sept.csv</x:v>
      </x:c>
      <x:c r="B650" s="21" t="str">
        <x:v>ZKM 7-8 Sept</x:v>
      </x:c>
      <x:c r="C650" s="21" t="n">
        <x:v>4</x:v>
      </x:c>
      <x:c r="D650" s="46" t="str">
        <x:f>"+60176319259"</x:f>
        <x:v>+60176319259</x:v>
      </x:c>
      <x:c r="E650" s="21" t="str">
        <x:v>+60176319259</x:v>
      </x:c>
      <x:c r="F650" s="21" t="str">
        <x:v>Member</x:v>
      </x:c>
      <x:c r="G650" s="46" t="str">
        <x:f>"60176319259"</x:f>
        <x:v>60176319259</x:v>
      </x:c>
      <x:c r="H650" s="21" t="str">
        <x:v>Yes</x:v>
      </x:c>
      <x:c r="I650" s="21" t="str">
        <x:v>No</x:v>
      </x:c>
      <x:c r="J650" s="21" t="str">
        <x:v>No</x:v>
      </x:c>
      <x:c r="K650" s="21" t="str">
        <x:v>Included</x:v>
      </x:c>
      <x:c r="L650" s="21" t="str">
        <x:v>Peserta</x:v>
      </x:c>
    </x:row>
    <x:row r="651">
      <x:c r="A651" s="21" t="str">
        <x:v>whatsapp_group_numbers ZKM 7-8 Sept.csv</x:v>
      </x:c>
      <x:c r="B651" s="21" t="str">
        <x:v>ZKM 7-8 Sept</x:v>
      </x:c>
      <x:c r="C651" s="21" t="n">
        <x:v>5</x:v>
      </x:c>
      <x:c r="D651" s="46" t="str">
        <x:f>"+60176864075"</x:f>
        <x:v>+60176864075</x:v>
      </x:c>
      <x:c r="E651" s="21" t="str">
        <x:v>+60176864075</x:v>
      </x:c>
      <x:c r="F651" s="21" t="str">
        <x:v>Member</x:v>
      </x:c>
      <x:c r="G651" s="46" t="str">
        <x:f>"60176864075"</x:f>
        <x:v>60176864075</x:v>
      </x:c>
      <x:c r="H651" s="21" t="str">
        <x:v>Yes</x:v>
      </x:c>
      <x:c r="I651" s="21" t="str">
        <x:v>No</x:v>
      </x:c>
      <x:c r="J651" s="21" t="str">
        <x:v>No</x:v>
      </x:c>
      <x:c r="K651" s="21" t="str">
        <x:v>Included</x:v>
      </x:c>
      <x:c r="L651" s="21" t="str">
        <x:v>Peserta</x:v>
      </x:c>
    </x:row>
    <x:row r="652">
      <x:c r="A652" s="21" t="str">
        <x:v>whatsapp_group_numbers ZKM 7-8 Sept.csv</x:v>
      </x:c>
      <x:c r="B652" s="21" t="str">
        <x:v>ZKM 7-8 Sept</x:v>
      </x:c>
      <x:c r="C652" s="21" t="n">
        <x:v>6</x:v>
      </x:c>
      <x:c r="D652" s="46" t="str">
        <x:f>"+60189813965"</x:f>
        <x:v>+60189813965</x:v>
      </x:c>
      <x:c r="E652" s="21" t="str">
        <x:v>+60189813965</x:v>
      </x:c>
      <x:c r="F652" s="21" t="str">
        <x:v>Member</x:v>
      </x:c>
      <x:c r="G652" s="46" t="str">
        <x:f>"60189813965"</x:f>
        <x:v>60189813965</x:v>
      </x:c>
      <x:c r="H652" s="21" t="str">
        <x:v>Yes</x:v>
      </x:c>
      <x:c r="I652" s="21" t="str">
        <x:v>No</x:v>
      </x:c>
      <x:c r="J652" s="21" t="str">
        <x:v>No</x:v>
      </x:c>
      <x:c r="K652" s="21" t="str">
        <x:v>Included</x:v>
      </x:c>
      <x:c r="L652" s="21" t="str">
        <x:v>Peserta</x:v>
      </x:c>
    </x:row>
    <x:row r="653">
      <x:c r="A653" s="21" t="str">
        <x:v>whatsapp_group_numbers ZKM 7-8 Sept.csv</x:v>
      </x:c>
      <x:c r="B653" s="21" t="str">
        <x:v>ZKM 7-8 Sept</x:v>
      </x:c>
      <x:c r="C653" s="21" t="n">
        <x:v>7</x:v>
      </x:c>
      <x:c r="D653" s="46" t="str">
        <x:f>"+60176022960"</x:f>
        <x:v>+60176022960</x:v>
      </x:c>
      <x:c r="E653" s="21" t="str">
        <x:v>+60176022960</x:v>
      </x:c>
      <x:c r="F653" s="21" t="str">
        <x:v>Member</x:v>
      </x:c>
      <x:c r="G653" s="46" t="str">
        <x:f>"60176022960"</x:f>
        <x:v>60176022960</x:v>
      </x:c>
      <x:c r="H653" s="21" t="str">
        <x:v>Yes</x:v>
      </x:c>
      <x:c r="I653" s="21" t="str">
        <x:v>No</x:v>
      </x:c>
      <x:c r="J653" s="21" t="str">
        <x:v>No</x:v>
      </x:c>
      <x:c r="K653" s="21" t="str">
        <x:v>Included</x:v>
      </x:c>
      <x:c r="L653" s="21" t="str">
        <x:v>Peserta</x:v>
      </x:c>
    </x:row>
    <x:row r="654">
      <x:c r="A654" s="21" t="str">
        <x:v>whatsapp_group_numbers ZKM 7-8 Sept.csv</x:v>
      </x:c>
      <x:c r="B654" s="21" t="str">
        <x:v>ZKM 7-8 Sept</x:v>
      </x:c>
      <x:c r="C654" s="21" t="n">
        <x:v>8</x:v>
      </x:c>
      <x:c r="D654" s="46" t="str">
        <x:f>"+60134951662"</x:f>
        <x:v>+60134951662</x:v>
      </x:c>
      <x:c r="E654" s="21" t="str">
        <x:v>+60134951662</x:v>
      </x:c>
      <x:c r="F654" s="21" t="str">
        <x:v>Member</x:v>
      </x:c>
      <x:c r="G654" s="46" t="str">
        <x:f>"60134951662"</x:f>
        <x:v>60134951662</x:v>
      </x:c>
      <x:c r="H654" s="21" t="str">
        <x:v>Yes</x:v>
      </x:c>
      <x:c r="I654" s="21" t="str">
        <x:v>No</x:v>
      </x:c>
      <x:c r="J654" s="21" t="str">
        <x:v>No</x:v>
      </x:c>
      <x:c r="K654" s="21" t="str">
        <x:v>Included</x:v>
      </x:c>
      <x:c r="L654" s="21" t="str">
        <x:v>Peserta</x:v>
      </x:c>
    </x:row>
    <x:row r="655">
      <x:c r="A655" s="21" t="str">
        <x:v>whatsapp_group_numbers ZKM 7-8 Sept.csv</x:v>
      </x:c>
      <x:c r="B655" s="21" t="str">
        <x:v>ZKM 7-8 Sept</x:v>
      </x:c>
      <x:c r="C655" s="21" t="n">
        <x:v>9</x:v>
      </x:c>
      <x:c r="D655" s="46" t="str">
        <x:f>"+60163338609"</x:f>
        <x:v>+60163338609</x:v>
      </x:c>
      <x:c r="E655" s="21" t="str">
        <x:v>+60163338609</x:v>
      </x:c>
      <x:c r="F655" s="21" t="str">
        <x:v>Member</x:v>
      </x:c>
      <x:c r="G655" s="46" t="str">
        <x:f>"60163338609"</x:f>
        <x:v>60163338609</x:v>
      </x:c>
      <x:c r="H655" s="21" t="str">
        <x:v>Yes</x:v>
      </x:c>
      <x:c r="I655" s="21" t="str">
        <x:v>No</x:v>
      </x:c>
      <x:c r="J655" s="21" t="str">
        <x:v>No</x:v>
      </x:c>
      <x:c r="K655" s="21" t="str">
        <x:v>Included</x:v>
      </x:c>
      <x:c r="L655" s="21" t="str">
        <x:v>Peserta</x:v>
      </x:c>
    </x:row>
    <x:row r="656">
      <x:c r="A656" s="21" t="str">
        <x:v>whatsapp_group_numbers ZKM 7-8 Sept.csv</x:v>
      </x:c>
      <x:c r="B656" s="21" t="str">
        <x:v>ZKM 7-8 Sept</x:v>
      </x:c>
      <x:c r="C656" s="21" t="n">
        <x:v>10</x:v>
      </x:c>
      <x:c r="D656" s="46" t="str">
        <x:f>"+60149073494"</x:f>
        <x:v>+60149073494</x:v>
      </x:c>
      <x:c r="E656" s="21" t="str">
        <x:v>+60149073494</x:v>
      </x:c>
      <x:c r="F656" s="21" t="str">
        <x:v>Member</x:v>
      </x:c>
      <x:c r="G656" s="46" t="str">
        <x:f>"60149073494"</x:f>
        <x:v>60149073494</x:v>
      </x:c>
      <x:c r="H656" s="21" t="str">
        <x:v>Yes</x:v>
      </x:c>
      <x:c r="I656" s="21" t="str">
        <x:v>No</x:v>
      </x:c>
      <x:c r="J656" s="21" t="str">
        <x:v>No</x:v>
      </x:c>
      <x:c r="K656" s="21" t="str">
        <x:v>Included</x:v>
      </x:c>
      <x:c r="L656" s="21" t="str">
        <x:v>Peserta</x:v>
      </x:c>
    </x:row>
    <x:row r="657">
      <x:c r="A657" s="21" t="str">
        <x:v>whatsapp_group_numbers ZKM 7-8 Sept.csv</x:v>
      </x:c>
      <x:c r="B657" s="21" t="str">
        <x:v>ZKM 7-8 Sept</x:v>
      </x:c>
      <x:c r="C657" s="21" t="n">
        <x:v>11</x:v>
      </x:c>
      <x:c r="D657" s="46" t="str">
        <x:f>"+60146932171"</x:f>
        <x:v>+60146932171</x:v>
      </x:c>
      <x:c r="E657" s="21" t="str">
        <x:v>+60146932171</x:v>
      </x:c>
      <x:c r="F657" s="21" t="str">
        <x:v>Member</x:v>
      </x:c>
      <x:c r="G657" s="46" t="str">
        <x:f>"60146932171"</x:f>
        <x:v>60146932171</x:v>
      </x:c>
      <x:c r="H657" s="21" t="str">
        <x:v>Yes</x:v>
      </x:c>
      <x:c r="I657" s="21" t="str">
        <x:v>No</x:v>
      </x:c>
      <x:c r="J657" s="21" t="str">
        <x:v>No</x:v>
      </x:c>
      <x:c r="K657" s="21" t="str">
        <x:v>Included</x:v>
      </x:c>
      <x:c r="L657" s="21" t="str">
        <x:v>Peserta</x:v>
      </x:c>
    </x:row>
    <x:row r="658">
      <x:c r="A658" s="21" t="str">
        <x:v>whatsapp_group_numbers ZKM 7-8 Sept.csv</x:v>
      </x:c>
      <x:c r="B658" s="21" t="str">
        <x:v>ZKM 7-8 Sept</x:v>
      </x:c>
      <x:c r="C658" s="21" t="n">
        <x:v>12</x:v>
      </x:c>
      <x:c r="D658" s="46" t="str">
        <x:f>"+60172308241"</x:f>
        <x:v>+60172308241</x:v>
      </x:c>
      <x:c r="E658" s="21" t="str">
        <x:v>+60172308241</x:v>
      </x:c>
      <x:c r="F658" s="21" t="str">
        <x:v>Member</x:v>
      </x:c>
      <x:c r="G658" s="46" t="str">
        <x:f>"60172308241"</x:f>
        <x:v>60172308241</x:v>
      </x:c>
      <x:c r="H658" s="21" t="str">
        <x:v>Yes</x:v>
      </x:c>
      <x:c r="I658" s="21" t="str">
        <x:v>No</x:v>
      </x:c>
      <x:c r="J658" s="21" t="str">
        <x:v>No</x:v>
      </x:c>
      <x:c r="K658" s="21" t="str">
        <x:v>Included</x:v>
      </x:c>
      <x:c r="L658" s="21" t="str">
        <x:v>Peserta</x:v>
      </x:c>
    </x:row>
    <x:row r="659">
      <x:c r="A659" s="21" t="str">
        <x:v>whatsapp_group_numbers ZKM 7-8 Sept.csv</x:v>
      </x:c>
      <x:c r="B659" s="21" t="str">
        <x:v>ZKM 7-8 Sept</x:v>
      </x:c>
      <x:c r="C659" s="21" t="n">
        <x:v>13</x:v>
      </x:c>
      <x:c r="D659" s="46" t="str">
        <x:f>"+60138049710"</x:f>
        <x:v>+60138049710</x:v>
      </x:c>
      <x:c r="E659" s="21" t="str">
        <x:v>+60138049710</x:v>
      </x:c>
      <x:c r="F659" s="21" t="str">
        <x:v>Member</x:v>
      </x:c>
      <x:c r="G659" s="46" t="str">
        <x:f>"60138049710"</x:f>
        <x:v>60138049710</x:v>
      </x:c>
      <x:c r="H659" s="21" t="str">
        <x:v>Yes</x:v>
      </x:c>
      <x:c r="I659" s="21" t="str">
        <x:v>No</x:v>
      </x:c>
      <x:c r="J659" s="21" t="str">
        <x:v>No</x:v>
      </x:c>
      <x:c r="K659" s="21" t="str">
        <x:v>Included</x:v>
      </x:c>
      <x:c r="L659" s="21" t="str">
        <x:v>Peserta</x:v>
      </x:c>
    </x:row>
    <x:row r="660">
      <x:c r="A660" s="21" t="str">
        <x:v>whatsapp_group_numbers.csv</x:v>
      </x:c>
      <x:c r="B660" s="21" t="str">
        <x:v>Tidak Dinamakan</x:v>
      </x:c>
      <x:c r="C660" s="21" t="n">
        <x:v>1</x:v>
      </x:c>
      <x:c r="D660" s="46" t="str">
        <x:f>"+60142576155"</x:f>
        <x:v>+60142576155</x:v>
      </x:c>
      <x:c r="E660" s="21" t="str">
        <x:v>Akmal Pegawai Insken</x:v>
      </x:c>
      <x:c r="F660" s="21" t="str">
        <x:v>Member</x:v>
      </x:c>
      <x:c r="G660" s="46" t="str">
        <x:f>"60142576155"</x:f>
        <x:v>60142576155</x:v>
      </x:c>
      <x:c r="H660" s="21" t="str">
        <x:v>Yes</x:v>
      </x:c>
      <x:c r="I660" s="21" t="str">
        <x:v>No</x:v>
      </x:c>
      <x:c r="J660" s="21" t="str">
        <x:v>Yes</x:v>
      </x:c>
      <x:c r="K660" s="21" t="str">
        <x:v>Excluded</x:v>
      </x:c>
      <x:c r="L660" s="21" t="str">
        <x:v>Nama/nombor dikenal pasti sebagai INSKEN</x:v>
      </x:c>
    </x:row>
    <x:row r="661">
      <x:c r="A661" s="21" t="str">
        <x:v>whatsapp_group_numbers.csv</x:v>
      </x:c>
      <x:c r="B661" s="21" t="str">
        <x:v>Tidak Dinamakan</x:v>
      </x:c>
      <x:c r="C661" s="21" t="n">
        <x:v>2</x:v>
      </x:c>
      <x:c r="D661" s="46" t="str">
        <x:f>"+60133815817"</x:f>
        <x:v>+60133815817</x:v>
      </x:c>
      <x:c r="E661" s="21" t="str">
        <x:v>Kamarul Bahareen Kamarudin</x:v>
      </x:c>
      <x:c r="F661" s="21" t="str">
        <x:v>Member</x:v>
      </x:c>
      <x:c r="G661" s="46" t="str">
        <x:f>"60133815817"</x:f>
        <x:v>60133815817</x:v>
      </x:c>
      <x:c r="H661" s="21" t="str">
        <x:v>Yes</x:v>
      </x:c>
      <x:c r="I661" s="21" t="str">
        <x:v>No</x:v>
      </x:c>
      <x:c r="J661" s="21" t="str">
        <x:v>No</x:v>
      </x:c>
      <x:c r="K661" s="21" t="str">
        <x:v>Excluded</x:v>
      </x:c>
      <x:c r="L661" s="21" t="str">
        <x:v>Pemilik/trainer</x:v>
      </x:c>
    </x:row>
    <x:row r="662">
      <x:c r="A662" s="21" t="str">
        <x:v>whatsapp_group_numbers.csv</x:v>
      </x:c>
      <x:c r="B662" s="21" t="str">
        <x:v>Tidak Dinamakan</x:v>
      </x:c>
      <x:c r="C662" s="21" t="n">
        <x:v>3</x:v>
      </x:c>
      <x:c r="D662" s="46" t="str">
        <x:f>"+601119577342"</x:f>
        <x:v>+601119577342</x:v>
      </x:c>
      <x:c r="E662" s="21" t="str">
        <x:v>lukman C6 Shopee</x:v>
      </x:c>
      <x:c r="F662" s="21" t="str">
        <x:v>Member</x:v>
      </x:c>
      <x:c r="G662" s="46" t="str">
        <x:f>"601119577342"</x:f>
        <x:v>601119577342</x:v>
      </x:c>
      <x:c r="H662" s="21" t="str">
        <x:v>Yes</x:v>
      </x:c>
      <x:c r="I662" s="21" t="str">
        <x:v>No</x:v>
      </x:c>
      <x:c r="J662" s="21" t="str">
        <x:v>No</x:v>
      </x:c>
      <x:c r="K662" s="21" t="str">
        <x:v>Included</x:v>
      </x:c>
      <x:c r="L662" s="21" t="str">
        <x:v>Peserta</x:v>
      </x:c>
    </x:row>
    <x:row r="663">
      <x:c r="A663" s="21" t="str">
        <x:v>whatsapp_group_numbers.csv</x:v>
      </x:c>
      <x:c r="B663" s="21" t="str">
        <x:v>Tidak Dinamakan</x:v>
      </x:c>
      <x:c r="C663" s="21" t="n">
        <x:v>4</x:v>
      </x:c>
      <x:c r="D663" s="46" t="str">
        <x:f>"+60143251107"</x:f>
        <x:v>+60143251107</x:v>
      </x:c>
      <x:c r="E663" s="21" t="str">
        <x:v>Natasha Hazlin INSKEN</x:v>
      </x:c>
      <x:c r="F663" s="21" t="str">
        <x:v>Member</x:v>
      </x:c>
      <x:c r="G663" s="46" t="str">
        <x:f>"60143251107"</x:f>
        <x:v>60143251107</x:v>
      </x:c>
      <x:c r="H663" s="21" t="str">
        <x:v>Yes</x:v>
      </x:c>
      <x:c r="I663" s="21" t="str">
        <x:v>No</x:v>
      </x:c>
      <x:c r="J663" s="21" t="str">
        <x:v>Yes</x:v>
      </x:c>
      <x:c r="K663" s="21" t="str">
        <x:v>Excluded</x:v>
      </x:c>
      <x:c r="L663" s="21" t="str">
        <x:v>Nama/nombor dikenal pasti sebagai INSKEN</x:v>
      </x:c>
    </x:row>
    <x:row r="664">
      <x:c r="A664" s="21" t="str">
        <x:v>whatsapp_group_numbers.csv</x:v>
      </x:c>
      <x:c r="B664" s="21" t="str">
        <x:v>Tidak Dinamakan</x:v>
      </x:c>
      <x:c r="C664" s="21" t="n">
        <x:v>5</x:v>
      </x:c>
      <x:c r="D664" s="46" t="str">
        <x:f>"+60177670627"</x:f>
        <x:v>+60177670627</x:v>
      </x:c>
      <x:c r="E664" s="21" t="str">
        <x:v>Nur Aqeela INSKEN</x:v>
      </x:c>
      <x:c r="F664" s="21" t="str">
        <x:v>Member</x:v>
      </x:c>
      <x:c r="G664" s="46" t="str">
        <x:f>"60177670627"</x:f>
        <x:v>60177670627</x:v>
      </x:c>
      <x:c r="H664" s="21" t="str">
        <x:v>Yes</x:v>
      </x:c>
      <x:c r="I664" s="21" t="str">
        <x:v>No</x:v>
      </x:c>
      <x:c r="J664" s="21" t="str">
        <x:v>Yes</x:v>
      </x:c>
      <x:c r="K664" s="21" t="str">
        <x:v>Excluded</x:v>
      </x:c>
      <x:c r="L664" s="21" t="str">
        <x:v>Nama/nombor dikenal pasti sebagai INSKEN</x:v>
      </x:c>
    </x:row>
    <x:row r="665">
      <x:c r="A665" s="21" t="str">
        <x:v>whatsapp_group_numbers.csv</x:v>
      </x:c>
      <x:c r="B665" s="21" t="str">
        <x:v>Tidak Dinamakan</x:v>
      </x:c>
      <x:c r="C665" s="21" t="n">
        <x:v>6</x:v>
      </x:c>
      <x:c r="D665" s="46" t="str">
        <x:f>"+60175545144"</x:f>
        <x:v>+60175545144</x:v>
      </x:c>
      <x:c r="E665" s="21" t="str">
        <x:v>Pn Aishah INSKEN</x:v>
      </x:c>
      <x:c r="F665" s="21" t="str">
        <x:v>Member</x:v>
      </x:c>
      <x:c r="G665" s="46" t="str">
        <x:f>"60175545144"</x:f>
        <x:v>60175545144</x:v>
      </x:c>
      <x:c r="H665" s="21" t="str">
        <x:v>Yes</x:v>
      </x:c>
      <x:c r="I665" s="21" t="str">
        <x:v>No</x:v>
      </x:c>
      <x:c r="J665" s="21" t="str">
        <x:v>Yes</x:v>
      </x:c>
      <x:c r="K665" s="21" t="str">
        <x:v>Excluded</x:v>
      </x:c>
      <x:c r="L665" s="21" t="str">
        <x:v>Nama/nombor dikenal pasti sebagai INSKEN</x:v>
      </x:c>
    </x:row>
    <x:row r="666">
      <x:c r="A666" s="21" t="str">
        <x:v>whatsapp_group_numbers.csv</x:v>
      </x:c>
      <x:c r="B666" s="21" t="str">
        <x:v>Tidak Dinamakan</x:v>
      </x:c>
      <x:c r="C666" s="21" t="n">
        <x:v>7</x:v>
      </x:c>
      <x:c r="D666" s="46" t="str">
        <x:f>"+60199635036"</x:f>
        <x:v>+60199635036</x:v>
      </x:c>
      <x:c r="E666" s="21" t="str">
        <x:v>Tuan Faris INSKEN</x:v>
      </x:c>
      <x:c r="F666" s="21" t="str">
        <x:v>Member</x:v>
      </x:c>
      <x:c r="G666" s="46" t="str">
        <x:f>"60199635036"</x:f>
        <x:v>60199635036</x:v>
      </x:c>
      <x:c r="H666" s="21" t="str">
        <x:v>Yes</x:v>
      </x:c>
      <x:c r="I666" s="21" t="str">
        <x:v>No</x:v>
      </x:c>
      <x:c r="J666" s="21" t="str">
        <x:v>Yes</x:v>
      </x:c>
      <x:c r="K666" s="21" t="str">
        <x:v>Excluded</x:v>
      </x:c>
      <x:c r="L666" s="21" t="str">
        <x:v>Nama/nombor dikenal pasti sebagai INSKEN</x:v>
      </x:c>
    </x:row>
    <x:row r="667">
      <x:c r="A667" s="21" t="str">
        <x:v>whatsapp_group_numbers.csv</x:v>
      </x:c>
      <x:c r="B667" s="21" t="str">
        <x:v>Tidak Dinamakan</x:v>
      </x:c>
      <x:c r="C667" s="21" t="n">
        <x:v>8</x:v>
      </x:c>
      <x:c r="D667" s="46" t="str">
        <x:f>"+60174480501"</x:f>
        <x:v>+60174480501</x:v>
      </x:c>
      <x:c r="E667" s="21" t="str">
        <x:v>Ahmad Zakariya</x:v>
      </x:c>
      <x:c r="F667" s="21" t="str">
        <x:v>Member</x:v>
      </x:c>
      <x:c r="G667" s="46" t="str">
        <x:f>"60174480501"</x:f>
        <x:v>60174480501</x:v>
      </x:c>
      <x:c r="H667" s="21" t="str">
        <x:v>Yes</x:v>
      </x:c>
      <x:c r="I667" s="21" t="str">
        <x:v>No</x:v>
      </x:c>
      <x:c r="J667" s="21" t="str">
        <x:v>No</x:v>
      </x:c>
      <x:c r="K667" s="21" t="str">
        <x:v>Included</x:v>
      </x:c>
      <x:c r="L667" s="21" t="str">
        <x:v>Peserta</x:v>
      </x:c>
    </x:row>
    <x:row r="668">
      <x:c r="A668" s="21" t="str">
        <x:v>whatsapp_group_numbers.csv</x:v>
      </x:c>
      <x:c r="B668" s="21" t="str">
        <x:v>Tidak Dinamakan</x:v>
      </x:c>
      <x:c r="C668" s="21" t="n">
        <x:v>9</x:v>
      </x:c>
      <x:c r="D668" s="46" t="str">
        <x:f>"+601158778601"</x:f>
        <x:v>+601158778601</x:v>
      </x:c>
      <x:c r="E668" s="21" t="str">
        <x:v>akademiprosilat</x:v>
      </x:c>
      <x:c r="F668" s="21" t="str">
        <x:v>Member</x:v>
      </x:c>
      <x:c r="G668" s="46" t="str">
        <x:f>"601158778601"</x:f>
        <x:v>601158778601</x:v>
      </x:c>
      <x:c r="H668" s="21" t="str">
        <x:v>Yes</x:v>
      </x:c>
      <x:c r="I668" s="21" t="str">
        <x:v>No</x:v>
      </x:c>
      <x:c r="J668" s="21" t="str">
        <x:v>No</x:v>
      </x:c>
      <x:c r="K668" s="21" t="str">
        <x:v>Included</x:v>
      </x:c>
      <x:c r="L668" s="21" t="str">
        <x:v>Peserta</x:v>
      </x:c>
    </x:row>
    <x:row r="669">
      <x:c r="A669" s="21" t="str">
        <x:v>whatsapp_group_numbers.csv</x:v>
      </x:c>
      <x:c r="B669" s="21" t="str">
        <x:v>Tidak Dinamakan</x:v>
      </x:c>
      <x:c r="C669" s="21" t="n">
        <x:v>10</x:v>
      </x:c>
      <x:c r="D669" s="46" t="str">
        <x:f>"+60127999908"</x:f>
        <x:v>+60127999908</x:v>
      </x:c>
      <x:c r="E669" s="21" t="str">
        <x:v>Angah Property</x:v>
      </x:c>
      <x:c r="F669" s="21" t="str">
        <x:v>Member</x:v>
      </x:c>
      <x:c r="G669" s="46" t="str">
        <x:f>"60127999908"</x:f>
        <x:v>60127999908</x:v>
      </x:c>
      <x:c r="H669" s="21" t="str">
        <x:v>Yes</x:v>
      </x:c>
      <x:c r="I669" s="21" t="str">
        <x:v>No</x:v>
      </x:c>
      <x:c r="J669" s="21" t="str">
        <x:v>No</x:v>
      </x:c>
      <x:c r="K669" s="21" t="str">
        <x:v>Included</x:v>
      </x:c>
      <x:c r="L669" s="21" t="str">
        <x:v>Peserta</x:v>
      </x:c>
    </x:row>
    <x:row r="670">
      <x:c r="A670" s="21" t="str">
        <x:v>whatsapp_group_numbers.csv</x:v>
      </x:c>
      <x:c r="B670" s="21" t="str">
        <x:v>Tidak Dinamakan</x:v>
      </x:c>
      <x:c r="C670" s="21" t="n">
        <x:v>11</x:v>
      </x:c>
      <x:c r="D670" s="46" t="str">
        <x:f>"+60174977811"</x:f>
        <x:v>+60174977811</x:v>
      </x:c>
      <x:c r="E670" s="21" t="str">
        <x:v>Azalea Cameron Muslim Homestay</x:v>
      </x:c>
      <x:c r="F670" s="21" t="str">
        <x:v>Member</x:v>
      </x:c>
      <x:c r="G670" s="46" t="str">
        <x:f>"60174977811"</x:f>
        <x:v>60174977811</x:v>
      </x:c>
      <x:c r="H670" s="21" t="str">
        <x:v>Yes</x:v>
      </x:c>
      <x:c r="I670" s="21" t="str">
        <x:v>No</x:v>
      </x:c>
      <x:c r="J670" s="21" t="str">
        <x:v>No</x:v>
      </x:c>
      <x:c r="K670" s="21" t="str">
        <x:v>Included</x:v>
      </x:c>
      <x:c r="L670" s="21" t="str">
        <x:v>Peserta</x:v>
      </x:c>
    </x:row>
    <x:row r="671">
      <x:c r="A671" s="21" t="str">
        <x:v>whatsapp_group_numbers.csv</x:v>
      </x:c>
      <x:c r="B671" s="21" t="str">
        <x:v>Tidak Dinamakan</x:v>
      </x:c>
      <x:c r="C671" s="21" t="n">
        <x:v>12</x:v>
      </x:c>
      <x:c r="D671" s="46" t="str">
        <x:f>"+60132898995"</x:f>
        <x:v>+60132898995</x:v>
      </x:c>
      <x:c r="E671" s="21" t="str">
        <x:v>Beriani dan Salai</x:v>
      </x:c>
      <x:c r="F671" s="21" t="str">
        <x:v>Member</x:v>
      </x:c>
      <x:c r="G671" s="46" t="str">
        <x:f>"60132898995"</x:f>
        <x:v>60132898995</x:v>
      </x:c>
      <x:c r="H671" s="21" t="str">
        <x:v>Yes</x:v>
      </x:c>
      <x:c r="I671" s="21" t="str">
        <x:v>No</x:v>
      </x:c>
      <x:c r="J671" s="21" t="str">
        <x:v>No</x:v>
      </x:c>
      <x:c r="K671" s="21" t="str">
        <x:v>Included</x:v>
      </x:c>
      <x:c r="L671" s="21" t="str">
        <x:v>Peserta</x:v>
      </x:c>
    </x:row>
    <x:row r="672">
      <x:c r="A672" s="21" t="str">
        <x:v>whatsapp_group_numbers.csv</x:v>
      </x:c>
      <x:c r="B672" s="21" t="str">
        <x:v>Tidak Dinamakan</x:v>
      </x:c>
      <x:c r="C672" s="21" t="n">
        <x:v>13</x:v>
      </x:c>
      <x:c r="D672" s="46" t="str">
        <x:f>"+60125058200"</x:f>
        <x:v>+60125058200</x:v>
      </x:c>
      <x:c r="E672" s="21" t="str">
        <x:v>Eatzy Bites</x:v>
      </x:c>
      <x:c r="F672" s="21" t="str">
        <x:v>Member</x:v>
      </x:c>
      <x:c r="G672" s="46" t="str">
        <x:f>"60125058200"</x:f>
        <x:v>60125058200</x:v>
      </x:c>
      <x:c r="H672" s="21" t="str">
        <x:v>Yes</x:v>
      </x:c>
      <x:c r="I672" s="21" t="str">
        <x:v>No</x:v>
      </x:c>
      <x:c r="J672" s="21" t="str">
        <x:v>No</x:v>
      </x:c>
      <x:c r="K672" s="21" t="str">
        <x:v>Included</x:v>
      </x:c>
      <x:c r="L672" s="21" t="str">
        <x:v>Peserta</x:v>
      </x:c>
    </x:row>
    <x:row r="673">
      <x:c r="A673" s="21" t="str">
        <x:v>whatsapp_group_numbers.csv</x:v>
      </x:c>
      <x:c r="B673" s="21" t="str">
        <x:v>Tidak Dinamakan</x:v>
      </x:c>
      <x:c r="C673" s="21" t="n">
        <x:v>14</x:v>
      </x:c>
      <x:c r="D673" s="46" t="str">
        <x:f>"+60195909585"</x:f>
        <x:v>+60195909585</x:v>
      </x:c>
      <x:c r="E673" s="21" t="str">
        <x:v>Fariz Abd Rani</x:v>
      </x:c>
      <x:c r="F673" s="21" t="str">
        <x:v>Member</x:v>
      </x:c>
      <x:c r="G673" s="46" t="str">
        <x:f>"60195909585"</x:f>
        <x:v>60195909585</x:v>
      </x:c>
      <x:c r="H673" s="21" t="str">
        <x:v>Yes</x:v>
      </x:c>
      <x:c r="I673" s="21" t="str">
        <x:v>No</x:v>
      </x:c>
      <x:c r="J673" s="21" t="str">
        <x:v>No</x:v>
      </x:c>
      <x:c r="K673" s="21" t="str">
        <x:v>Included</x:v>
      </x:c>
      <x:c r="L673" s="21" t="str">
        <x:v>Peserta</x:v>
      </x:c>
    </x:row>
    <x:row r="674">
      <x:c r="A674" s="21" t="str">
        <x:v>whatsapp_group_numbers.csv</x:v>
      </x:c>
      <x:c r="B674" s="21" t="str">
        <x:v>Tidak Dinamakan</x:v>
      </x:c>
      <x:c r="C674" s="21" t="n">
        <x:v>15</x:v>
      </x:c>
      <x:c r="D674" s="46" t="str">
        <x:f>"+601127109906"</x:f>
        <x:v>+601127109906</x:v>
      </x:c>
      <x:c r="E674" s="21" t="str">
        <x:v>Faronefoodgalore</x:v>
      </x:c>
      <x:c r="F674" s="21" t="str">
        <x:v>Member</x:v>
      </x:c>
      <x:c r="G674" s="46" t="str">
        <x:f>"601127109906"</x:f>
        <x:v>601127109906</x:v>
      </x:c>
      <x:c r="H674" s="21" t="str">
        <x:v>Yes</x:v>
      </x:c>
      <x:c r="I674" s="21" t="str">
        <x:v>No</x:v>
      </x:c>
      <x:c r="J674" s="21" t="str">
        <x:v>No</x:v>
      </x:c>
      <x:c r="K674" s="21" t="str">
        <x:v>Included</x:v>
      </x:c>
      <x:c r="L674" s="21" t="str">
        <x:v>Peserta</x:v>
      </x:c>
    </x:row>
    <x:row r="675">
      <x:c r="A675" s="21" t="str">
        <x:v>whatsapp_group_numbers.csv</x:v>
      </x:c>
      <x:c r="B675" s="21" t="str">
        <x:v>Tidak Dinamakan</x:v>
      </x:c>
      <x:c r="C675" s="21" t="n">
        <x:v>16</x:v>
      </x:c>
      <x:c r="D675" s="46" t="str">
        <x:f>"+60143511009"</x:f>
        <x:v>+60143511009</x:v>
      </x:c>
      <x:c r="E675" s="21" t="str">
        <x:v>Hahahahabib</x:v>
      </x:c>
      <x:c r="F675" s="21" t="str">
        <x:v>Member</x:v>
      </x:c>
      <x:c r="G675" s="46" t="str">
        <x:f>"60143511009"</x:f>
        <x:v>60143511009</x:v>
      </x:c>
      <x:c r="H675" s="21" t="str">
        <x:v>Yes</x:v>
      </x:c>
      <x:c r="I675" s="21" t="str">
        <x:v>No</x:v>
      </x:c>
      <x:c r="J675" s="21" t="str">
        <x:v>No</x:v>
      </x:c>
      <x:c r="K675" s="21" t="str">
        <x:v>Included</x:v>
      </x:c>
      <x:c r="L675" s="21" t="str">
        <x:v>Peserta</x:v>
      </x:c>
    </x:row>
    <x:row r="676">
      <x:c r="A676" s="21" t="str">
        <x:v>whatsapp_group_numbers.csv</x:v>
      </x:c>
      <x:c r="B676" s="21" t="str">
        <x:v>Tidak Dinamakan</x:v>
      </x:c>
      <x:c r="C676" s="21" t="n">
        <x:v>17</x:v>
      </x:c>
      <x:c r="D676" s="46" t="str">
        <x:f>"+60107833032"</x:f>
        <x:v>+60107833032</x:v>
      </x:c>
      <x:c r="E676" s="21" t="str">
        <x:v>Hasbullah Yunus</x:v>
      </x:c>
      <x:c r="F676" s="21" t="str">
        <x:v>Member</x:v>
      </x:c>
      <x:c r="G676" s="46" t="str">
        <x:f>"60107833032"</x:f>
        <x:v>60107833032</x:v>
      </x:c>
      <x:c r="H676" s="21" t="str">
        <x:v>Yes</x:v>
      </x:c>
      <x:c r="I676" s="21" t="str">
        <x:v>No</x:v>
      </x:c>
      <x:c r="J676" s="21" t="str">
        <x:v>No</x:v>
      </x:c>
      <x:c r="K676" s="21" t="str">
        <x:v>Included</x:v>
      </x:c>
      <x:c r="L676" s="21" t="str">
        <x:v>Peserta</x:v>
      </x:c>
    </x:row>
    <x:row r="677">
      <x:c r="A677" s="21" t="str">
        <x:v>whatsapp_group_numbers.csv</x:v>
      </x:c>
      <x:c r="B677" s="21" t="str">
        <x:v>Tidak Dinamakan</x:v>
      </x:c>
      <x:c r="C677" s="21" t="n">
        <x:v>18</x:v>
      </x:c>
      <x:c r="D677" s="46" t="str">
        <x:f>"+60126543790"</x:f>
        <x:v>+60126543790</x:v>
      </x:c>
      <x:c r="E677" s="21" t="str">
        <x:v>marini</x:v>
      </x:c>
      <x:c r="F677" s="21" t="str">
        <x:v>Member</x:v>
      </x:c>
      <x:c r="G677" s="46" t="str">
        <x:f>"60126543790"</x:f>
        <x:v>60126543790</x:v>
      </x:c>
      <x:c r="H677" s="21" t="str">
        <x:v>Yes</x:v>
      </x:c>
      <x:c r="I677" s="21" t="str">
        <x:v>No</x:v>
      </x:c>
      <x:c r="J677" s="21" t="str">
        <x:v>No</x:v>
      </x:c>
      <x:c r="K677" s="21" t="str">
        <x:v>Included</x:v>
      </x:c>
      <x:c r="L677" s="21" t="str">
        <x:v>Peserta</x:v>
      </x:c>
    </x:row>
    <x:row r="678">
      <x:c r="A678" s="21" t="str">
        <x:v>whatsapp_group_numbers.csv</x:v>
      </x:c>
      <x:c r="B678" s="21" t="str">
        <x:v>Tidak Dinamakan</x:v>
      </x:c>
      <x:c r="C678" s="21" t="n">
        <x:v>19</x:v>
      </x:c>
      <x:c r="D678" s="46" t="str">
        <x:f>"+60144009206"</x:f>
        <x:v>+60144009206</x:v>
      </x:c>
      <x:c r="E678" s="21" t="str">
        <x:v>Noor Atikah</x:v>
      </x:c>
      <x:c r="F678" s="21" t="str">
        <x:v>Member</x:v>
      </x:c>
      <x:c r="G678" s="46" t="str">
        <x:f>"60144009206"</x:f>
        <x:v>60144009206</x:v>
      </x:c>
      <x:c r="H678" s="21" t="str">
        <x:v>Yes</x:v>
      </x:c>
      <x:c r="I678" s="21" t="str">
        <x:v>No</x:v>
      </x:c>
      <x:c r="J678" s="21" t="str">
        <x:v>No</x:v>
      </x:c>
      <x:c r="K678" s="21" t="str">
        <x:v>Included</x:v>
      </x:c>
      <x:c r="L678" s="21" t="str">
        <x:v>Peserta</x:v>
      </x:c>
    </x:row>
    <x:row r="679">
      <x:c r="A679" s="21" t="str">
        <x:v>whatsapp_group_numbers.csv</x:v>
      </x:c>
      <x:c r="B679" s="21" t="str">
        <x:v>Tidak Dinamakan</x:v>
      </x:c>
      <x:c r="C679" s="21" t="n">
        <x:v>20</x:v>
      </x:c>
      <x:c r="D679" s="46" t="str">
        <x:f>"+60162157374"</x:f>
        <x:v>+60162157374</x:v>
      </x:c>
      <x:c r="E679" s="21" t="str">
        <x:v>Puan Umi Khlsom dari Kausar Group untuk Perancangan Harta Islam</x:v>
      </x:c>
      <x:c r="F679" s="21" t="str">
        <x:v>Member</x:v>
      </x:c>
      <x:c r="G679" s="46" t="str">
        <x:f>"60162157374"</x:f>
        <x:v>60162157374</x:v>
      </x:c>
      <x:c r="H679" s="21" t="str">
        <x:v>Yes</x:v>
      </x:c>
      <x:c r="I679" s="21" t="str">
        <x:v>No</x:v>
      </x:c>
      <x:c r="J679" s="21" t="str">
        <x:v>No</x:v>
      </x:c>
      <x:c r="K679" s="21" t="str">
        <x:v>Included</x:v>
      </x:c>
      <x:c r="L679" s="21" t="str">
        <x:v>Peserta</x:v>
      </x:c>
    </x:row>
    <x:row r="680">
      <x:c r="A680" s="21" t="str">
        <x:v>whatsapp_group_numbers.csv</x:v>
      </x:c>
      <x:c r="B680" s="21" t="str">
        <x:v>Tidak Dinamakan</x:v>
      </x:c>
      <x:c r="C680" s="21" t="n">
        <x:v>21</x:v>
      </x:c>
      <x:c r="D680" s="46" t="str">
        <x:f>"+60162232477"</x:f>
        <x:v>+60162232477</x:v>
      </x:c>
      <x:c r="E680" s="21" t="str">
        <x:v>Rain</x:v>
      </x:c>
      <x:c r="F680" s="21" t="str">
        <x:v>Member</x:v>
      </x:c>
      <x:c r="G680" s="46" t="str">
        <x:f>"60162232477"</x:f>
        <x:v>60162232477</x:v>
      </x:c>
      <x:c r="H680" s="21" t="str">
        <x:v>Yes</x:v>
      </x:c>
      <x:c r="I680" s="21" t="str">
        <x:v>No</x:v>
      </x:c>
      <x:c r="J680" s="21" t="str">
        <x:v>No</x:v>
      </x:c>
      <x:c r="K680" s="21" t="str">
        <x:v>Included</x:v>
      </x:c>
      <x:c r="L680" s="21" t="str">
        <x:v>Peserta</x:v>
      </x:c>
    </x:row>
    <x:row r="681">
      <x:c r="A681" s="21" t="str">
        <x:v>whatsapp_group_numbers.csv</x:v>
      </x:c>
      <x:c r="B681" s="21" t="str">
        <x:v>Tidak Dinamakan</x:v>
      </x:c>
      <x:c r="C681" s="21" t="n">
        <x:v>22</x:v>
      </x:c>
      <x:c r="D681" s="46" t="str">
        <x:f>"+60193838336"</x:f>
        <x:v>+60193838336</x:v>
      </x:c>
      <x:c r="E681" s="21" t="str">
        <x:v>shakirahamzah</x:v>
      </x:c>
      <x:c r="F681" s="21" t="str">
        <x:v>Member</x:v>
      </x:c>
      <x:c r="G681" s="46" t="str">
        <x:f>"60193838336"</x:f>
        <x:v>60193838336</x:v>
      </x:c>
      <x:c r="H681" s="21" t="str">
        <x:v>Yes</x:v>
      </x:c>
      <x:c r="I681" s="21" t="str">
        <x:v>No</x:v>
      </x:c>
      <x:c r="J681" s="21" t="str">
        <x:v>No</x:v>
      </x:c>
      <x:c r="K681" s="21" t="str">
        <x:v>Included</x:v>
      </x:c>
      <x:c r="L681" s="21" t="str">
        <x:v>Peserta</x:v>
      </x:c>
    </x:row>
    <x:row r="682">
      <x:c r="A682" s="21" t="str">
        <x:v>whatsapp_group_numbers.csv</x:v>
      </x:c>
      <x:c r="B682" s="21" t="str">
        <x:v>Tidak Dinamakan</x:v>
      </x:c>
      <x:c r="C682" s="21" t="n">
        <x:v>23</x:v>
      </x:c>
      <x:c r="D682" s="46" t="str">
        <x:f>"+60192120926"</x:f>
        <x:v>+60192120926</x:v>
      </x:c>
      <x:c r="E682" s="21" t="str">
        <x:v>Syafinas Roslan</x:v>
      </x:c>
      <x:c r="F682" s="21" t="str">
        <x:v>Member</x:v>
      </x:c>
      <x:c r="G682" s="46" t="str">
        <x:f>"60192120926"</x:f>
        <x:v>60192120926</x:v>
      </x:c>
      <x:c r="H682" s="21" t="str">
        <x:v>Yes</x:v>
      </x:c>
      <x:c r="I682" s="21" t="str">
        <x:v>No</x:v>
      </x:c>
      <x:c r="J682" s="21" t="str">
        <x:v>No</x:v>
      </x:c>
      <x:c r="K682" s="21" t="str">
        <x:v>Included</x:v>
      </x:c>
      <x:c r="L682" s="21" t="str">
        <x:v>Peserta</x:v>
      </x:c>
    </x:row>
    <x:row r="683">
      <x:c r="A683" s="21" t="str">
        <x:v>whatsapp_group_numbers.csv</x:v>
      </x:c>
      <x:c r="B683" s="21" t="str">
        <x:v>Tidak Dinamakan</x:v>
      </x:c>
      <x:c r="C683" s="21" t="n">
        <x:v>24</x:v>
      </x:c>
      <x:c r="D683" s="46" t="str">
        <x:f>"+60178187711"</x:f>
        <x:v>+60178187711</x:v>
      </x:c>
      <x:c r="E683" s="21" t="str">
        <x:v>Tn.Irwin M D Ker</x:v>
      </x:c>
      <x:c r="F683" s="21" t="str">
        <x:v>Member</x:v>
      </x:c>
      <x:c r="G683" s="46" t="str">
        <x:f>"60178187711"</x:f>
        <x:v>60178187711</x:v>
      </x:c>
      <x:c r="H683" s="21" t="str">
        <x:v>Yes</x:v>
      </x:c>
      <x:c r="I683" s="21" t="str">
        <x:v>No</x:v>
      </x:c>
      <x:c r="J683" s="21" t="str">
        <x:v>No</x:v>
      </x:c>
      <x:c r="K683" s="21" t="str">
        <x:v>Included</x:v>
      </x:c>
      <x:c r="L683" s="21" t="str">
        <x:v>Peserta</x:v>
      </x:c>
    </x:row>
    <x:row r="684">
      <x:c r="A684" s="21" t="str">
        <x:v>whatsapp_group_numbers.csv</x:v>
      </x:c>
      <x:c r="B684" s="21" t="str">
        <x:v>Tidak Dinamakan</x:v>
      </x:c>
      <x:c r="C684" s="21" t="n">
        <x:v>25</x:v>
      </x:c>
      <x:c r="D684" s="46" t="str">
        <x:f>"+60123820014"</x:f>
        <x:v>+60123820014</x:v>
      </x:c>
      <x:c r="E684" s="21" t="str">
        <x:v>‎Unknown</x:v>
      </x:c>
      <x:c r="F684" s="21" t="str">
        <x:v>Member</x:v>
      </x:c>
      <x:c r="G684" s="46" t="str">
        <x:f>"60123820014"</x:f>
        <x:v>60123820014</x:v>
      </x:c>
      <x:c r="H684" s="21" t="str">
        <x:v>Yes</x:v>
      </x:c>
      <x:c r="I684" s="21" t="str">
        <x:v>No</x:v>
      </x:c>
      <x:c r="J684" s="21" t="str">
        <x:v>No</x:v>
      </x:c>
      <x:c r="K684" s="21" t="str">
        <x:v>Included</x:v>
      </x:c>
      <x:c r="L684" s="21" t="str">
        <x:v>Peserta</x:v>
      </x:c>
    </x:row>
    <x:row r="685">
      <x:c r="A685" s="21" t="str">
        <x:v>whatsapp_group_numbers.csv</x:v>
      </x:c>
      <x:c r="B685" s="21" t="str">
        <x:v>Tidak Dinamakan</x:v>
      </x:c>
      <x:c r="C685" s="21" t="n">
        <x:v>26</x:v>
      </x:c>
      <x:c r="D685" s="46" t="str">
        <x:f>"+60133977710"</x:f>
        <x:v>+60133977710</x:v>
      </x:c>
      <x:c r="E685" s="21" t="str">
        <x:v>Wan Haslim (Hibah Wasiat Faraid)</x:v>
      </x:c>
      <x:c r="F685" s="21" t="str">
        <x:v>Member</x:v>
      </x:c>
      <x:c r="G685" s="46" t="str">
        <x:f>"60133977710"</x:f>
        <x:v>60133977710</x:v>
      </x:c>
      <x:c r="H685" s="21" t="str">
        <x:v>Yes</x:v>
      </x:c>
      <x:c r="I685" s="21" t="str">
        <x:v>No</x:v>
      </x:c>
      <x:c r="J685" s="21" t="str">
        <x:v>No</x:v>
      </x:c>
      <x:c r="K685" s="21" t="str">
        <x:v>Included</x:v>
      </x:c>
      <x:c r="L685" s="21" t="str">
        <x:v>Peserta</x:v>
      </x:c>
    </x:row>
    <x:row r="686">
      <x:c r="A686" s="21" t="str">
        <x:v>whatsapp_group_numbers.csv</x:v>
      </x:c>
      <x:c r="B686" s="21" t="str">
        <x:v>Tidak Dinamakan</x:v>
      </x:c>
      <x:c r="C686" s="21" t="n">
        <x:v>27</x:v>
      </x:c>
      <x:c r="D686" s="46" t="str">
        <x:f>"+601136187714"</x:f>
        <x:v>+601136187714</x:v>
      </x:c>
      <x:c r="E686" s="21" t="str">
        <x:v>XYZ</x:v>
      </x:c>
      <x:c r="F686" s="21" t="str">
        <x:v>Member</x:v>
      </x:c>
      <x:c r="G686" s="46" t="str">
        <x:f>"601136187714"</x:f>
        <x:v>601136187714</x:v>
      </x:c>
      <x:c r="H686" s="21" t="str">
        <x:v>Yes</x:v>
      </x:c>
      <x:c r="I686" s="21" t="str">
        <x:v>No</x:v>
      </x:c>
      <x:c r="J686" s="21" t="str">
        <x:v>No</x:v>
      </x:c>
      <x:c r="K686" s="21" t="str">
        <x:v>Included</x:v>
      </x:c>
      <x:c r="L686" s="21" t="str">
        <x:v>Peserta</x:v>
      </x:c>
    </x:row>
    <x:row r="687">
      <x:c r="A687" s="21" t="str">
        <x:v>whatsapp_group_numbers.csv</x:v>
      </x:c>
      <x:c r="B687" s="21" t="str">
        <x:v>Tidak Dinamakan</x:v>
      </x:c>
      <x:c r="C687" s="21" t="n">
        <x:v>28</x:v>
      </x:c>
      <x:c r="D687" s="46" t="str">
        <x:f>"+60139487228"</x:f>
        <x:v>+60139487228</x:v>
      </x:c>
      <x:c r="E687" s="21" t="str">
        <x:v>+60139487228</x:v>
      </x:c>
      <x:c r="F687" s="21" t="str">
        <x:v>Member</x:v>
      </x:c>
      <x:c r="G687" s="46" t="str">
        <x:f>"60139487228"</x:f>
        <x:v>60139487228</x:v>
      </x:c>
      <x:c r="H687" s="21" t="str">
        <x:v>Yes</x:v>
      </x:c>
      <x:c r="I687" s="21" t="str">
        <x:v>No</x:v>
      </x:c>
      <x:c r="J687" s="21" t="str">
        <x:v>No</x:v>
      </x:c>
      <x:c r="K687" s="21" t="str">
        <x:v>Included</x:v>
      </x:c>
      <x:c r="L687" s="21" t="str">
        <x:v>Peserta</x:v>
      </x:c>
    </x:row>
    <x:row r="688">
      <x:c r="A688" s="21" t="str">
        <x:v>whatsapp_group_numbers.csv</x:v>
      </x:c>
      <x:c r="B688" s="21" t="str">
        <x:v>Tidak Dinamakan</x:v>
      </x:c>
      <x:c r="C688" s="21" t="n">
        <x:v>29</x:v>
      </x:c>
      <x:c r="D688" s="46" t="str">
        <x:f>"+60176097960"</x:f>
        <x:v>+60176097960</x:v>
      </x:c>
      <x:c r="E688" s="21" t="str">
        <x:v>+60176097960</x:v>
      </x:c>
      <x:c r="F688" s="21" t="str">
        <x:v>Member</x:v>
      </x:c>
      <x:c r="G688" s="46" t="str">
        <x:f>"60176097960"</x:f>
        <x:v>60176097960</x:v>
      </x:c>
      <x:c r="H688" s="21" t="str">
        <x:v>Yes</x:v>
      </x:c>
      <x:c r="I688" s="21" t="str">
        <x:v>No</x:v>
      </x:c>
      <x:c r="J688" s="21" t="str">
        <x:v>No</x:v>
      </x:c>
      <x:c r="K688" s="21" t="str">
        <x:v>Included</x:v>
      </x:c>
      <x:c r="L688" s="21" t="str">
        <x:v>Peserta</x:v>
      </x:c>
    </x:row>
    <x:row r="689">
      <x:c r="A689" s="21" t="str">
        <x:v>whatsapp_group_numbers.csv</x:v>
      </x:c>
      <x:c r="B689" s="21" t="str">
        <x:v>Tidak Dinamakan</x:v>
      </x:c>
      <x:c r="C689" s="21" t="n">
        <x:v>30</x:v>
      </x:c>
      <x:c r="D689" s="46" t="str">
        <x:f>"+60129700100"</x:f>
        <x:v>+60129700100</x:v>
      </x:c>
      <x:c r="E689" s="21" t="str">
        <x:v>+60129700100</x:v>
      </x:c>
      <x:c r="F689" s="21" t="str">
        <x:v>Member</x:v>
      </x:c>
      <x:c r="G689" s="46" t="str">
        <x:f>"60129700100"</x:f>
        <x:v>60129700100</x:v>
      </x:c>
      <x:c r="H689" s="21" t="str">
        <x:v>Yes</x:v>
      </x:c>
      <x:c r="I689" s="21" t="str">
        <x:v>No</x:v>
      </x:c>
      <x:c r="J689" s="21" t="str">
        <x:v>No</x:v>
      </x:c>
      <x:c r="K689" s="21" t="str">
        <x:v>Included</x:v>
      </x:c>
      <x:c r="L689" s="21" t="str">
        <x:v>Peserta</x:v>
      </x:c>
    </x:row>
    <x:row r="690">
      <x:c r="A690" s="21" t="str">
        <x:v>whatsapp_group_numbers.csv</x:v>
      </x:c>
      <x:c r="B690" s="21" t="str">
        <x:v>Tidak Dinamakan</x:v>
      </x:c>
      <x:c r="C690" s="21" t="n">
        <x:v>31</x:v>
      </x:c>
      <x:c r="D690" s="46" t="str">
        <x:f>"+60124999579"</x:f>
        <x:v>+60124999579</x:v>
      </x:c>
      <x:c r="E690" s="21" t="str">
        <x:v>+60124999579</x:v>
      </x:c>
      <x:c r="F690" s="21" t="str">
        <x:v>Member</x:v>
      </x:c>
      <x:c r="G690" s="46" t="str">
        <x:f>"60124999579"</x:f>
        <x:v>60124999579</x:v>
      </x:c>
      <x:c r="H690" s="21" t="str">
        <x:v>Yes</x:v>
      </x:c>
      <x:c r="I690" s="21" t="str">
        <x:v>No</x:v>
      </x:c>
      <x:c r="J690" s="21" t="str">
        <x:v>No</x:v>
      </x:c>
      <x:c r="K690" s="21" t="str">
        <x:v>Included</x:v>
      </x:c>
      <x:c r="L690" s="21" t="str">
        <x:v>Peserta</x:v>
      </x:c>
    </x:row>
    <x:row r="691">
      <x:c r="A691" s="21" t="str">
        <x:v>whatsapp_group_numbers.csv</x:v>
      </x:c>
      <x:c r="B691" s="21" t="str">
        <x:v>Tidak Dinamakan</x:v>
      </x:c>
      <x:c r="C691" s="21" t="n">
        <x:v>32</x:v>
      </x:c>
      <x:c r="D691" s="46" t="str">
        <x:f>"+60165181644"</x:f>
        <x:v>+60165181644</x:v>
      </x:c>
      <x:c r="E691" s="21" t="str">
        <x:v>+60165181644</x:v>
      </x:c>
      <x:c r="F691" s="21" t="str">
        <x:v>Member</x:v>
      </x:c>
      <x:c r="G691" s="46" t="str">
        <x:f>"60165181644"</x:f>
        <x:v>60165181644</x:v>
      </x:c>
      <x:c r="H691" s="21" t="str">
        <x:v>Yes</x:v>
      </x:c>
      <x:c r="I691" s="21" t="str">
        <x:v>No</x:v>
      </x:c>
      <x:c r="J691" s="21" t="str">
        <x:v>No</x:v>
      </x:c>
      <x:c r="K691" s="21" t="str">
        <x:v>Included</x:v>
      </x:c>
      <x:c r="L691" s="21" t="str">
        <x:v>Peserta</x:v>
      </x:c>
    </x:row>
    <x:row r="692">
      <x:c r="A692" s="21" t="str">
        <x:v>whatsapp_group_numbers.csv</x:v>
      </x:c>
      <x:c r="B692" s="21" t="str">
        <x:v>Tidak Dinamakan</x:v>
      </x:c>
      <x:c r="C692" s="21" t="n">
        <x:v>33</x:v>
      </x:c>
      <x:c r="D692" s="46" t="str">
        <x:f>"+60128301622"</x:f>
        <x:v>+60128301622</x:v>
      </x:c>
      <x:c r="E692" s="21" t="str">
        <x:v>+60128301622</x:v>
      </x:c>
      <x:c r="F692" s="21" t="str">
        <x:v>Member</x:v>
      </x:c>
      <x:c r="G692" s="46" t="str">
        <x:f>"60128301622"</x:f>
        <x:v>60128301622</x:v>
      </x:c>
      <x:c r="H692" s="21" t="str">
        <x:v>Yes</x:v>
      </x:c>
      <x:c r="I692" s="21" t="str">
        <x:v>No</x:v>
      </x:c>
      <x:c r="J692" s="21" t="str">
        <x:v>No</x:v>
      </x:c>
      <x:c r="K692" s="21" t="str">
        <x:v>Included</x:v>
      </x:c>
      <x:c r="L692" s="21" t="str">
        <x:v>Peserta</x:v>
      </x:c>
    </x:row>
    <x:row r="693">
      <x:c r="A693" s="21" t="str">
        <x:v>whatsapp_group_numbers.csv</x:v>
      </x:c>
      <x:c r="B693" s="21" t="str">
        <x:v>Tidak Dinamakan</x:v>
      </x:c>
      <x:c r="C693" s="21" t="n">
        <x:v>34</x:v>
      </x:c>
      <x:c r="D693" s="46" t="str">
        <x:f>"+60165443024"</x:f>
        <x:v>+60165443024</x:v>
      </x:c>
      <x:c r="E693" s="21" t="str">
        <x:v>+60165443024</x:v>
      </x:c>
      <x:c r="F693" s="21" t="str">
        <x:v>Member</x:v>
      </x:c>
      <x:c r="G693" s="46" t="str">
        <x:f>"60165443024"</x:f>
        <x:v>60165443024</x:v>
      </x:c>
      <x:c r="H693" s="21" t="str">
        <x:v>Yes</x:v>
      </x:c>
      <x:c r="I693" s="21" t="str">
        <x:v>No</x:v>
      </x:c>
      <x:c r="J693" s="21" t="str">
        <x:v>No</x:v>
      </x:c>
      <x:c r="K693" s="21" t="str">
        <x:v>Included</x:v>
      </x:c>
      <x:c r="L693" s="21" t="str">
        <x:v>Peserta</x:v>
      </x:c>
    </x:row>
    <x:row r="694">
      <x:c r="A694" s="21" t="str">
        <x:v>whatsapp_group_numbers.csv</x:v>
      </x:c>
      <x:c r="B694" s="21" t="str">
        <x:v>Tidak Dinamakan</x:v>
      </x:c>
      <x:c r="C694" s="21" t="n">
        <x:v>35</x:v>
      </x:c>
      <x:c r="D694" s="46" t="str">
        <x:f>"+60192883332"</x:f>
        <x:v>+60192883332</x:v>
      </x:c>
      <x:c r="E694" s="21" t="str">
        <x:v>+60192883332</x:v>
      </x:c>
      <x:c r="F694" s="21" t="str">
        <x:v>Member</x:v>
      </x:c>
      <x:c r="G694" s="46" t="str">
        <x:f>"60192883332"</x:f>
        <x:v>60192883332</x:v>
      </x:c>
      <x:c r="H694" s="21" t="str">
        <x:v>Yes</x:v>
      </x:c>
      <x:c r="I694" s="21" t="str">
        <x:v>No</x:v>
      </x:c>
      <x:c r="J694" s="21" t="str">
        <x:v>No</x:v>
      </x:c>
      <x:c r="K694" s="21" t="str">
        <x:v>Included</x:v>
      </x:c>
      <x:c r="L694" s="21" t="str">
        <x:v>Peserta</x:v>
      </x:c>
    </x:row>
    <x:row r="695">
      <x:c r="A695" s="21" t="str">
        <x:v>whatsapp_group_numbers.csv</x:v>
      </x:c>
      <x:c r="B695" s="21" t="str">
        <x:v>Tidak Dinamakan</x:v>
      </x:c>
      <x:c r="C695" s="21" t="n">
        <x:v>36</x:v>
      </x:c>
      <x:c r="D695" s="46" t="str">
        <x:f>"+60174809266"</x:f>
        <x:v>+60174809266</x:v>
      </x:c>
      <x:c r="E695" s="21" t="str">
        <x:v>+60174809266</x:v>
      </x:c>
      <x:c r="F695" s="21" t="str">
        <x:v>Member</x:v>
      </x:c>
      <x:c r="G695" s="46" t="str">
        <x:f>"60174809266"</x:f>
        <x:v>60174809266</x:v>
      </x:c>
      <x:c r="H695" s="21" t="str">
        <x:v>Yes</x:v>
      </x:c>
      <x:c r="I695" s="21" t="str">
        <x:v>No</x:v>
      </x:c>
      <x:c r="J695" s="21" t="str">
        <x:v>No</x:v>
      </x:c>
      <x:c r="K695" s="21" t="str">
        <x:v>Included</x:v>
      </x:c>
      <x:c r="L695" s="21" t="str">
        <x:v>Peserta</x:v>
      </x:c>
    </x:row>
    <x:row r="696">
      <x:c r="A696" s="21" t="str">
        <x:v>whatsapp_group_numbers.csv</x:v>
      </x:c>
      <x:c r="B696" s="21" t="str">
        <x:v>Tidak Dinamakan</x:v>
      </x:c>
      <x:c r="C696" s="21" t="n">
        <x:v>37</x:v>
      </x:c>
      <x:c r="D696" s="46" t="str">
        <x:f>"+60108230234"</x:f>
        <x:v>+60108230234</x:v>
      </x:c>
      <x:c r="E696" s="21" t="str">
        <x:v>+60108230234</x:v>
      </x:c>
      <x:c r="F696" s="21" t="str">
        <x:v>Member</x:v>
      </x:c>
      <x:c r="G696" s="46" t="str">
        <x:f>"60108230234"</x:f>
        <x:v>60108230234</x:v>
      </x:c>
      <x:c r="H696" s="21" t="str">
        <x:v>Yes</x:v>
      </x:c>
      <x:c r="I696" s="21" t="str">
        <x:v>No</x:v>
      </x:c>
      <x:c r="J696" s="21" t="str">
        <x:v>No</x:v>
      </x:c>
      <x:c r="K696" s="21" t="str">
        <x:v>Included</x:v>
      </x:c>
      <x:c r="L696" s="21" t="str">
        <x:v>Peserta</x:v>
      </x:c>
    </x:row>
    <x:row r="697">
      <x:c r="A697" s="21" t="str">
        <x:v>whatsapp_group_numbers.csv</x:v>
      </x:c>
      <x:c r="B697" s="21" t="str">
        <x:v>Tidak Dinamakan</x:v>
      </x:c>
      <x:c r="C697" s="21" t="n">
        <x:v>38</x:v>
      </x:c>
      <x:c r="D697" s="46" t="str">
        <x:f>"+60174868779"</x:f>
        <x:v>+60174868779</x:v>
      </x:c>
      <x:c r="E697" s="21" t="str">
        <x:v>+60174868779</x:v>
      </x:c>
      <x:c r="F697" s="21" t="str">
        <x:v>Member</x:v>
      </x:c>
      <x:c r="G697" s="46" t="str">
        <x:f>"60174868779"</x:f>
        <x:v>60174868779</x:v>
      </x:c>
      <x:c r="H697" s="21" t="str">
        <x:v>Yes</x:v>
      </x:c>
      <x:c r="I697" s="21" t="str">
        <x:v>No</x:v>
      </x:c>
      <x:c r="J697" s="21" t="str">
        <x:v>No</x:v>
      </x:c>
      <x:c r="K697" s="21" t="str">
        <x:v>Included</x:v>
      </x:c>
      <x:c r="L697" s="21" t="str">
        <x:v>Peserta</x:v>
      </x:c>
    </x:row>
    <x:row r="698">
      <x:c r="A698" s="21" t="str">
        <x:v>whatsapp_group_numbers.csv</x:v>
      </x:c>
      <x:c r="B698" s="21" t="str">
        <x:v>Tidak Dinamakan</x:v>
      </x:c>
      <x:c r="C698" s="21" t="n">
        <x:v>39</x:v>
      </x:c>
      <x:c r="D698" s="46" t="str">
        <x:f>"+601110196067"</x:f>
        <x:v>+601110196067</x:v>
      </x:c>
      <x:c r="E698" s="21" t="str">
        <x:v>+601110196067</x:v>
      </x:c>
      <x:c r="F698" s="21" t="str">
        <x:v>Member</x:v>
      </x:c>
      <x:c r="G698" s="46" t="str">
        <x:f>"601110196067"</x:f>
        <x:v>601110196067</x:v>
      </x:c>
      <x:c r="H698" s="21" t="str">
        <x:v>Yes</x:v>
      </x:c>
      <x:c r="I698" s="21" t="str">
        <x:v>No</x:v>
      </x:c>
      <x:c r="J698" s="21" t="str">
        <x:v>No</x:v>
      </x:c>
      <x:c r="K698" s="21" t="str">
        <x:v>Included</x:v>
      </x:c>
      <x:c r="L698" s="21" t="str">
        <x:v>Peserta</x:v>
      </x:c>
    </x:row>
    <x:row r="699">
      <x:c r="A699" s="21" t="str">
        <x:v>whatsapp_group_numbers2TT.csv</x:v>
      </x:c>
      <x:c r="B699" s="21" t="str">
        <x:v>2TT</x:v>
      </x:c>
      <x:c r="C699" s="21" t="n">
        <x:v>1</x:v>
      </x:c>
      <x:c r="D699" s="46" t="str">
        <x:f>"+60147766375"</x:f>
        <x:v>+60147766375</x:v>
      </x:c>
      <x:c r="E699" s="21" t="str">
        <x:v>Abg Cherry | ACW GARAGE</x:v>
      </x:c>
      <x:c r="F699" s="21" t="str">
        <x:v>Member</x:v>
      </x:c>
      <x:c r="G699" s="46" t="str">
        <x:f>"60147766375"</x:f>
        <x:v>60147766375</x:v>
      </x:c>
      <x:c r="H699" s="21" t="str">
        <x:v>Yes</x:v>
      </x:c>
      <x:c r="I699" s="21" t="str">
        <x:v>No</x:v>
      </x:c>
      <x:c r="J699" s="21" t="str">
        <x:v>No</x:v>
      </x:c>
      <x:c r="K699" s="21" t="str">
        <x:v>Included</x:v>
      </x:c>
      <x:c r="L699" s="21" t="str">
        <x:v>Peserta</x:v>
      </x:c>
    </x:row>
    <x:row r="700">
      <x:c r="A700" s="21" t="str">
        <x:v>whatsapp_group_numbers2TT.csv</x:v>
      </x:c>
      <x:c r="B700" s="21" t="str">
        <x:v>2TT</x:v>
      </x:c>
      <x:c r="C700" s="21" t="n">
        <x:v>2</x:v>
      </x:c>
      <x:c r="D700" s="46" t="str">
        <x:f>"+601163367170"</x:f>
        <x:v>+601163367170</x:v>
      </x:c>
      <x:c r="E700" s="21" t="str">
        <x:v>FBO@Laziaframo</x:v>
      </x:c>
      <x:c r="F700" s="21" t="str">
        <x:v>Member</x:v>
      </x:c>
      <x:c r="G700" s="46" t="str">
        <x:f>"601163367170"</x:f>
        <x:v>601163367170</x:v>
      </x:c>
      <x:c r="H700" s="21" t="str">
        <x:v>Yes</x:v>
      </x:c>
      <x:c r="I700" s="21" t="str">
        <x:v>No</x:v>
      </x:c>
      <x:c r="J700" s="21" t="str">
        <x:v>No</x:v>
      </x:c>
      <x:c r="K700" s="21" t="str">
        <x:v>Included</x:v>
      </x:c>
      <x:c r="L700" s="21" t="str">
        <x:v>Peserta</x:v>
      </x:c>
    </x:row>
    <x:row r="701">
      <x:c r="A701" s="21" t="str">
        <x:v>whatsapp_group_numbers2TT.csv</x:v>
      </x:c>
      <x:c r="B701" s="21" t="str">
        <x:v>2TT</x:v>
      </x:c>
      <x:c r="C701" s="21" t="n">
        <x:v>3</x:v>
      </x:c>
      <x:c r="D701" s="46" t="str">
        <x:f>"+60137179282"</x:f>
        <x:v>+60137179282</x:v>
      </x:c>
      <x:c r="E701" s="21" t="str">
        <x:v>Khalish Barbershop</x:v>
      </x:c>
      <x:c r="F701" s="21" t="str">
        <x:v>Member</x:v>
      </x:c>
      <x:c r="G701" s="46" t="str">
        <x:f>"60137179282"</x:f>
        <x:v>60137179282</x:v>
      </x:c>
      <x:c r="H701" s="21" t="str">
        <x:v>Yes</x:v>
      </x:c>
      <x:c r="I701" s="21" t="str">
        <x:v>No</x:v>
      </x:c>
      <x:c r="J701" s="21" t="str">
        <x:v>No</x:v>
      </x:c>
      <x:c r="K701" s="21" t="str">
        <x:v>Included</x:v>
      </x:c>
      <x:c r="L701" s="21" t="str">
        <x:v>Peserta</x:v>
      </x:c>
    </x:row>
    <x:row r="702">
      <x:c r="A702" s="21" t="str">
        <x:v>whatsapp_group_numbers2TT.csv</x:v>
      </x:c>
      <x:c r="B702" s="21" t="str">
        <x:v>2TT</x:v>
      </x:c>
      <x:c r="C702" s="21" t="n">
        <x:v>4</x:v>
      </x:c>
      <x:c r="D702" s="46" t="str">
        <x:f>"+60182596562"</x:f>
        <x:v>+60182596562</x:v>
      </x:c>
      <x:c r="E702" s="21" t="str">
        <x:v>RESTORAN AND ACCOMMODATION ASAM PEDAS</x:v>
      </x:c>
      <x:c r="F702" s="21" t="str">
        <x:v>Member</x:v>
      </x:c>
      <x:c r="G702" s="46" t="str">
        <x:f>"60182596562"</x:f>
        <x:v>60182596562</x:v>
      </x:c>
      <x:c r="H702" s="21" t="str">
        <x:v>Yes</x:v>
      </x:c>
      <x:c r="I702" s="21" t="str">
        <x:v>No</x:v>
      </x:c>
      <x:c r="J702" s="21" t="str">
        <x:v>No</x:v>
      </x:c>
      <x:c r="K702" s="21" t="str">
        <x:v>Included</x:v>
      </x:c>
      <x:c r="L702" s="21" t="str">
        <x:v>Peserta</x:v>
      </x:c>
    </x:row>
    <x:row r="703">
      <x:c r="A703" s="21" t="str">
        <x:v>whatsapp_group_numbers2TT.csv</x:v>
      </x:c>
      <x:c r="B703" s="21" t="str">
        <x:v>2TT</x:v>
      </x:c>
      <x:c r="C703" s="21" t="n">
        <x:v>5</x:v>
      </x:c>
      <x:c r="D703" s="46" t="str">
        <x:f>"+60128227103"</x:f>
        <x:v>+60128227103</x:v>
      </x:c>
      <x:c r="E703" s="21" t="str">
        <x:v>Syarifah</x:v>
      </x:c>
      <x:c r="F703" s="21" t="str">
        <x:v>Member</x:v>
      </x:c>
      <x:c r="G703" s="46" t="str">
        <x:f>"60128227103"</x:f>
        <x:v>60128227103</x:v>
      </x:c>
      <x:c r="H703" s="21" t="str">
        <x:v>Yes</x:v>
      </x:c>
      <x:c r="I703" s="21" t="str">
        <x:v>No</x:v>
      </x:c>
      <x:c r="J703" s="21" t="str">
        <x:v>No</x:v>
      </x:c>
      <x:c r="K703" s="21" t="str">
        <x:v>Included</x:v>
      </x:c>
      <x:c r="L703" s="21" t="str">
        <x:v>Peserta</x:v>
      </x:c>
    </x:row>
    <x:row r="704">
      <x:c r="A704" s="21" t="str">
        <x:v>whatsapp_group_numbers2TT.csv</x:v>
      </x:c>
      <x:c r="B704" s="21" t="str">
        <x:v>2TT</x:v>
      </x:c>
      <x:c r="C704" s="21" t="n">
        <x:v>6</x:v>
      </x:c>
      <x:c r="D704" s="46" t="str">
        <x:f>"+601132564403"</x:f>
        <x:v>+601132564403</x:v>
      </x:c>
      <x:c r="E704" s="21" t="str">
        <x:v>tempatanmakan</x:v>
      </x:c>
      <x:c r="F704" s="21" t="str">
        <x:v>Member</x:v>
      </x:c>
      <x:c r="G704" s="46" t="str">
        <x:f>"601132564403"</x:f>
        <x:v>601132564403</x:v>
      </x:c>
      <x:c r="H704" s="21" t="str">
        <x:v>Yes</x:v>
      </x:c>
      <x:c r="I704" s="21" t="str">
        <x:v>No</x:v>
      </x:c>
      <x:c r="J704" s="21" t="str">
        <x:v>No</x:v>
      </x:c>
      <x:c r="K704" s="21" t="str">
        <x:v>Included</x:v>
      </x:c>
      <x:c r="L704" s="21" t="str">
        <x:v>Peserta</x:v>
      </x:c>
    </x:row>
    <x:row r="705">
      <x:c r="A705" s="21" t="str">
        <x:v>whatsapp_group_numbers2TT.csv</x:v>
      </x:c>
      <x:c r="B705" s="21" t="str">
        <x:v>2TT</x:v>
      </x:c>
      <x:c r="C705" s="21" t="n">
        <x:v>7</x:v>
      </x:c>
      <x:c r="D705" s="46" t="str">
        <x:f>"+601133868849"</x:f>
        <x:v>+601133868849</x:v>
      </x:c>
      <x:c r="E705" s="21" t="str">
        <x:v>Vee Bj Catering Vee Bj Car Rental</x:v>
      </x:c>
      <x:c r="F705" s="21" t="str">
        <x:v>Member</x:v>
      </x:c>
      <x:c r="G705" s="46" t="str">
        <x:f>"601133868849"</x:f>
        <x:v>601133868849</x:v>
      </x:c>
      <x:c r="H705" s="21" t="str">
        <x:v>Yes</x:v>
      </x:c>
      <x:c r="I705" s="21" t="str">
        <x:v>No</x:v>
      </x:c>
      <x:c r="J705" s="21" t="str">
        <x:v>No</x:v>
      </x:c>
      <x:c r="K705" s="21" t="str">
        <x:v>Included</x:v>
      </x:c>
      <x:c r="L705" s="21" t="str">
        <x:v>Peserta</x:v>
      </x:c>
    </x:row>
    <x:row r="706">
      <x:c r="A706" s="21" t="str">
        <x:v>whatsapp_group_numbers2TT.csv</x:v>
      </x:c>
      <x:c r="B706" s="21" t="str">
        <x:v>2TT</x:v>
      </x:c>
      <x:c r="C706" s="21" t="n">
        <x:v>8</x:v>
      </x:c>
      <x:c r="D706" s="46" t="str">
        <x:f>"+60196940001"</x:f>
        <x:v>+60196940001</x:v>
      </x:c>
      <x:c r="E706" s="21" t="str">
        <x:v>+60196940001</x:v>
      </x:c>
      <x:c r="F706" s="21" t="str">
        <x:v>Member</x:v>
      </x:c>
      <x:c r="G706" s="46" t="str">
        <x:f>"60196940001"</x:f>
        <x:v>60196940001</x:v>
      </x:c>
      <x:c r="H706" s="21" t="str">
        <x:v>Yes</x:v>
      </x:c>
      <x:c r="I706" s="21" t="str">
        <x:v>No</x:v>
      </x:c>
      <x:c r="J706" s="21" t="str">
        <x:v>No</x:v>
      </x:c>
      <x:c r="K706" s="21" t="str">
        <x:v>Included</x:v>
      </x:c>
      <x:c r="L706" s="21" t="str">
        <x:v>Peserta</x:v>
      </x:c>
    </x:row>
    <x:row r="707">
      <x:c r="A707" s="21" t="str">
        <x:v>whatsapp_group_numbers2TT.csv</x:v>
      </x:c>
      <x:c r="B707" s="21" t="str">
        <x:v>2TT</x:v>
      </x:c>
      <x:c r="C707" s="21" t="n">
        <x:v>9</x:v>
      </x:c>
      <x:c r="D707" s="46" t="str">
        <x:f>"+60177737904"</x:f>
        <x:v>+60177737904</x:v>
      </x:c>
      <x:c r="E707" s="21" t="str">
        <x:v>+60177737904</x:v>
      </x:c>
      <x:c r="F707" s="21" t="str">
        <x:v>Member</x:v>
      </x:c>
      <x:c r="G707" s="46" t="str">
        <x:f>"60177737904"</x:f>
        <x:v>60177737904</x:v>
      </x:c>
      <x:c r="H707" s="21" t="str">
        <x:v>Yes</x:v>
      </x:c>
      <x:c r="I707" s="21" t="str">
        <x:v>No</x:v>
      </x:c>
      <x:c r="J707" s="21" t="str">
        <x:v>No</x:v>
      </x:c>
      <x:c r="K707" s="21" t="str">
        <x:v>Included</x:v>
      </x:c>
      <x:c r="L707" s="21" t="str">
        <x:v>Peserta</x:v>
      </x:c>
    </x:row>
    <x:row r="708">
      <x:c r="A708" s="21" t="str">
        <x:v>whatsapp_group_numbers2TT.csv</x:v>
      </x:c>
      <x:c r="B708" s="21" t="str">
        <x:v>2TT</x:v>
      </x:c>
      <x:c r="C708" s="21" t="n">
        <x:v>10</x:v>
      </x:c>
      <x:c r="D708" s="46" t="str">
        <x:f>"+60136923997"</x:f>
        <x:v>+60136923997</x:v>
      </x:c>
      <x:c r="E708" s="21" t="str">
        <x:v>+60136923997</x:v>
      </x:c>
      <x:c r="F708" s="21" t="str">
        <x:v>Member</x:v>
      </x:c>
      <x:c r="G708" s="46" t="str">
        <x:f>"60136923997"</x:f>
        <x:v>60136923997</x:v>
      </x:c>
      <x:c r="H708" s="21" t="str">
        <x:v>Yes</x:v>
      </x:c>
      <x:c r="I708" s="21" t="str">
        <x:v>No</x:v>
      </x:c>
      <x:c r="J708" s="21" t="str">
        <x:v>No</x:v>
      </x:c>
      <x:c r="K708" s="21" t="str">
        <x:v>Included</x:v>
      </x:c>
      <x:c r="L708" s="21" t="str">
        <x:v>Peserta</x:v>
      </x:c>
    </x:row>
    <x:row r="709">
      <x:c r="A709" s="21" t="str">
        <x:v>whatsapp_group_numbers2TT.csv</x:v>
      </x:c>
      <x:c r="B709" s="21" t="str">
        <x:v>2TT</x:v>
      </x:c>
      <x:c r="C709" s="21" t="n">
        <x:v>11</x:v>
      </x:c>
      <x:c r="D709" s="46" t="str">
        <x:f>"+60174369495"</x:f>
        <x:v>+60174369495</x:v>
      </x:c>
      <x:c r="E709" s="21" t="str">
        <x:v>+60174369495</x:v>
      </x:c>
      <x:c r="F709" s="21" t="str">
        <x:v>Member</x:v>
      </x:c>
      <x:c r="G709" s="46" t="str">
        <x:f>"60174369495"</x:f>
        <x:v>60174369495</x:v>
      </x:c>
      <x:c r="H709" s="21" t="str">
        <x:v>Yes</x:v>
      </x:c>
      <x:c r="I709" s="21" t="str">
        <x:v>No</x:v>
      </x:c>
      <x:c r="J709" s="21" t="str">
        <x:v>No</x:v>
      </x:c>
      <x:c r="K709" s="21" t="str">
        <x:v>Included</x:v>
      </x:c>
      <x:c r="L709" s="21" t="str">
        <x:v>Peserta</x:v>
      </x:c>
    </x:row>
    <x:row r="710">
      <x:c r="A710" s="21" t="str">
        <x:v>whatsapp_group_numbers2TT.csv</x:v>
      </x:c>
      <x:c r="B710" s="21" t="str">
        <x:v>2TT</x:v>
      </x:c>
      <x:c r="C710" s="21" t="n">
        <x:v>12</x:v>
      </x:c>
      <x:c r="D710" s="46" t="str">
        <x:f>"+60123290967"</x:f>
        <x:v>+60123290967</x:v>
      </x:c>
      <x:c r="E710" s="21" t="str">
        <x:v>+60123290967</x:v>
      </x:c>
      <x:c r="F710" s="21" t="str">
        <x:v>Member</x:v>
      </x:c>
      <x:c r="G710" s="46" t="str">
        <x:f>"60123290967"</x:f>
        <x:v>60123290967</x:v>
      </x:c>
      <x:c r="H710" s="21" t="str">
        <x:v>Yes</x:v>
      </x:c>
      <x:c r="I710" s="21" t="str">
        <x:v>No</x:v>
      </x:c>
      <x:c r="J710" s="21" t="str">
        <x:v>No</x:v>
      </x:c>
      <x:c r="K710" s="21" t="str">
        <x:v>Included</x:v>
      </x:c>
      <x:c r="L710" s="21" t="str">
        <x:v>Peserta</x:v>
      </x:c>
    </x:row>
    <x:row r="711">
      <x:c r="A711" s="21" t="str">
        <x:v>whatsapp_group_numbers2TT.csv</x:v>
      </x:c>
      <x:c r="B711" s="21" t="str">
        <x:v>2TT</x:v>
      </x:c>
      <x:c r="C711" s="21" t="n">
        <x:v>13</x:v>
      </x:c>
      <x:c r="D711" s="46" t="str">
        <x:f>"+60166330803"</x:f>
        <x:v>+60166330803</x:v>
      </x:c>
      <x:c r="E711" s="21" t="str">
        <x:v>+60166330803</x:v>
      </x:c>
      <x:c r="F711" s="21" t="str">
        <x:v>Member</x:v>
      </x:c>
      <x:c r="G711" s="46" t="str">
        <x:f>"60166330803"</x:f>
        <x:v>60166330803</x:v>
      </x:c>
      <x:c r="H711" s="21" t="str">
        <x:v>Yes</x:v>
      </x:c>
      <x:c r="I711" s="21" t="str">
        <x:v>No</x:v>
      </x:c>
      <x:c r="J711" s="21" t="str">
        <x:v>No</x:v>
      </x:c>
      <x:c r="K711" s="21" t="str">
        <x:v>Included</x:v>
      </x:c>
      <x:c r="L711" s="21" t="str">
        <x:v>Peserta</x:v>
      </x:c>
    </x:row>
    <x:row r="712">
      <x:c r="A712" s="21" t="str">
        <x:v>whatsapp_group_numbersTD47 Shopee.csv</x:v>
      </x:c>
      <x:c r="B712" s="21" t="str">
        <x:v>TD47 Shopee</x:v>
      </x:c>
      <x:c r="C712" s="21" t="n">
        <x:v>1</x:v>
      </x:c>
      <x:c r="D712" s="46" t="str">
        <x:f>"+60142576155"</x:f>
        <x:v>+60142576155</x:v>
      </x:c>
      <x:c r="E712" s="21" t="str">
        <x:v>Akmal Pegawai Insken</x:v>
      </x:c>
      <x:c r="F712" s="21" t="str">
        <x:v>Member</x:v>
      </x:c>
      <x:c r="G712" s="46" t="str">
        <x:f>"60142576155"</x:f>
        <x:v>60142576155</x:v>
      </x:c>
      <x:c r="H712" s="21" t="str">
        <x:v>Yes</x:v>
      </x:c>
      <x:c r="I712" s="21" t="str">
        <x:v>No</x:v>
      </x:c>
      <x:c r="J712" s="21" t="str">
        <x:v>Yes</x:v>
      </x:c>
      <x:c r="K712" s="21" t="str">
        <x:v>Excluded</x:v>
      </x:c>
      <x:c r="L712" s="21" t="str">
        <x:v>Nama/nombor dikenal pasti sebagai INSKEN</x:v>
      </x:c>
    </x:row>
    <x:row r="713">
      <x:c r="A713" s="21" t="str">
        <x:v>whatsapp_group_numbersTD47 Shopee.csv</x:v>
      </x:c>
      <x:c r="B713" s="21" t="str">
        <x:v>TD47 Shopee</x:v>
      </x:c>
      <x:c r="C713" s="21" t="n">
        <x:v>2</x:v>
      </x:c>
      <x:c r="D713" s="46" t="str">
        <x:f>"+60193595900"</x:f>
        <x:v>+60193595900</x:v>
      </x:c>
      <x:c r="E713" s="21" t="str">
        <x:v>Insken - Pn Nora</x:v>
      </x:c>
      <x:c r="F713" s="21" t="str">
        <x:v>Member</x:v>
      </x:c>
      <x:c r="G713" s="46" t="str">
        <x:f>"60193595900"</x:f>
        <x:v>60193595900</x:v>
      </x:c>
      <x:c r="H713" s="21" t="str">
        <x:v>Yes</x:v>
      </x:c>
      <x:c r="I713" s="21" t="str">
        <x:v>No</x:v>
      </x:c>
      <x:c r="J713" s="21" t="str">
        <x:v>Yes</x:v>
      </x:c>
      <x:c r="K713" s="21" t="str">
        <x:v>Excluded</x:v>
      </x:c>
      <x:c r="L713" s="21" t="str">
        <x:v>Nama/nombor dikenal pasti sebagai INSKEN</x:v>
      </x:c>
    </x:row>
    <x:row r="714">
      <x:c r="A714" s="21" t="str">
        <x:v>whatsapp_group_numbersTD47 Shopee.csv</x:v>
      </x:c>
      <x:c r="B714" s="21" t="str">
        <x:v>TD47 Shopee</x:v>
      </x:c>
      <x:c r="C714" s="21" t="n">
        <x:v>3</x:v>
      </x:c>
      <x:c r="D714" s="46" t="str">
        <x:f>"+60143251107"</x:f>
        <x:v>+60143251107</x:v>
      </x:c>
      <x:c r="E714" s="21" t="str">
        <x:v>Natasha Hazlin INSKEN</x:v>
      </x:c>
      <x:c r="F714" s="21" t="str">
        <x:v>Member</x:v>
      </x:c>
      <x:c r="G714" s="46" t="str">
        <x:f>"60143251107"</x:f>
        <x:v>60143251107</x:v>
      </x:c>
      <x:c r="H714" s="21" t="str">
        <x:v>Yes</x:v>
      </x:c>
      <x:c r="I714" s="21" t="str">
        <x:v>No</x:v>
      </x:c>
      <x:c r="J714" s="21" t="str">
        <x:v>Yes</x:v>
      </x:c>
      <x:c r="K714" s="21" t="str">
        <x:v>Excluded</x:v>
      </x:c>
      <x:c r="L714" s="21" t="str">
        <x:v>Nama/nombor dikenal pasti sebagai INSKEN</x:v>
      </x:c>
    </x:row>
    <x:row r="715">
      <x:c r="A715" s="21" t="str">
        <x:v>whatsapp_group_numbersTD47 Shopee.csv</x:v>
      </x:c>
      <x:c r="B715" s="21" t="str">
        <x:v>TD47 Shopee</x:v>
      </x:c>
      <x:c r="C715" s="21" t="n">
        <x:v>4</x:v>
      </x:c>
      <x:c r="D715" s="46" t="str">
        <x:f>"+60177670627"</x:f>
        <x:v>+60177670627</x:v>
      </x:c>
      <x:c r="E715" s="21" t="str">
        <x:v>Nur Aqeela INSKEN</x:v>
      </x:c>
      <x:c r="F715" s="21" t="str">
        <x:v>Member</x:v>
      </x:c>
      <x:c r="G715" s="46" t="str">
        <x:f>"60177670627"</x:f>
        <x:v>60177670627</x:v>
      </x:c>
      <x:c r="H715" s="21" t="str">
        <x:v>Yes</x:v>
      </x:c>
      <x:c r="I715" s="21" t="str">
        <x:v>No</x:v>
      </x:c>
      <x:c r="J715" s="21" t="str">
        <x:v>Yes</x:v>
      </x:c>
      <x:c r="K715" s="21" t="str">
        <x:v>Excluded</x:v>
      </x:c>
      <x:c r="L715" s="21" t="str">
        <x:v>Nama/nombor dikenal pasti sebagai INSKEN</x:v>
      </x:c>
    </x:row>
    <x:row r="716">
      <x:c r="A716" s="21" t="str">
        <x:v>whatsapp_group_numbersTD47 Shopee.csv</x:v>
      </x:c>
      <x:c r="B716" s="21" t="str">
        <x:v>TD47 Shopee</x:v>
      </x:c>
      <x:c r="C716" s="21" t="n">
        <x:v>5</x:v>
      </x:c>
      <x:c r="D716" s="46" t="str">
        <x:f>"+60175545144"</x:f>
        <x:v>+60175545144</x:v>
      </x:c>
      <x:c r="E716" s="21" t="str">
        <x:v>Pn Aishah INSKEN</x:v>
      </x:c>
      <x:c r="F716" s="21" t="str">
        <x:v>Member</x:v>
      </x:c>
      <x:c r="G716" s="46" t="str">
        <x:f>"60175545144"</x:f>
        <x:v>60175545144</x:v>
      </x:c>
      <x:c r="H716" s="21" t="str">
        <x:v>Yes</x:v>
      </x:c>
      <x:c r="I716" s="21" t="str">
        <x:v>No</x:v>
      </x:c>
      <x:c r="J716" s="21" t="str">
        <x:v>Yes</x:v>
      </x:c>
      <x:c r="K716" s="21" t="str">
        <x:v>Excluded</x:v>
      </x:c>
      <x:c r="L716" s="21" t="str">
        <x:v>Nama/nombor dikenal pasti sebagai INSKEN</x:v>
      </x:c>
    </x:row>
    <x:row r="717">
      <x:c r="A717" s="21" t="str">
        <x:v>whatsapp_group_numbersTD47 Shopee.csv</x:v>
      </x:c>
      <x:c r="B717" s="21" t="str">
        <x:v>TD47 Shopee</x:v>
      </x:c>
      <x:c r="C717" s="21" t="n">
        <x:v>6</x:v>
      </x:c>
      <x:c r="D717" s="46" t="str">
        <x:f>"+60174102530"</x:f>
        <x:v>+60174102530</x:v>
      </x:c>
      <x:c r="E717" s="21" t="str">
        <x:v>shaeza INSKEN</x:v>
      </x:c>
      <x:c r="F717" s="21" t="str">
        <x:v>Member</x:v>
      </x:c>
      <x:c r="G717" s="46" t="str">
        <x:f>"60174102530"</x:f>
        <x:v>60174102530</x:v>
      </x:c>
      <x:c r="H717" s="21" t="str">
        <x:v>Yes</x:v>
      </x:c>
      <x:c r="I717" s="21" t="str">
        <x:v>No</x:v>
      </x:c>
      <x:c r="J717" s="21" t="str">
        <x:v>Yes</x:v>
      </x:c>
      <x:c r="K717" s="21" t="str">
        <x:v>Excluded</x:v>
      </x:c>
      <x:c r="L717" s="21" t="str">
        <x:v>Nama/nombor dikenal pasti sebagai INSKEN</x:v>
      </x:c>
    </x:row>
    <x:row r="718">
      <x:c r="A718" s="21" t="str">
        <x:v>whatsapp_group_numbersTD47 Shopee.csv</x:v>
      </x:c>
      <x:c r="B718" s="21" t="str">
        <x:v>TD47 Shopee</x:v>
      </x:c>
      <x:c r="C718" s="21" t="n">
        <x:v>7</x:v>
      </x:c>
      <x:c r="D718" s="46" t="str">
        <x:f>"+60123081906"</x:f>
        <x:v>+60123081906</x:v>
      </x:c>
      <x:c r="E718" s="21" t="str">
        <x:v>Sufiyan Insken</x:v>
      </x:c>
      <x:c r="F718" s="21" t="str">
        <x:v>Member</x:v>
      </x:c>
      <x:c r="G718" s="46" t="str">
        <x:f>"60123081906"</x:f>
        <x:v>60123081906</x:v>
      </x:c>
      <x:c r="H718" s="21" t="str">
        <x:v>Yes</x:v>
      </x:c>
      <x:c r="I718" s="21" t="str">
        <x:v>No</x:v>
      </x:c>
      <x:c r="J718" s="21" t="str">
        <x:v>Yes</x:v>
      </x:c>
      <x:c r="K718" s="21" t="str">
        <x:v>Excluded</x:v>
      </x:c>
      <x:c r="L718" s="21" t="str">
        <x:v>Nama/nombor dikenal pasti sebagai INSKEN</x:v>
      </x:c>
    </x:row>
    <x:row r="719">
      <x:c r="A719" s="21" t="str">
        <x:v>whatsapp_group_numbersTD47 Shopee.csv</x:v>
      </x:c>
      <x:c r="B719" s="21" t="str">
        <x:v>TD47 Shopee</x:v>
      </x:c>
      <x:c r="C719" s="21" t="n">
        <x:v>8</x:v>
      </x:c>
      <x:c r="D719" s="46" t="str">
        <x:f>"+60199635036"</x:f>
        <x:v>+60199635036</x:v>
      </x:c>
      <x:c r="E719" s="21" t="str">
        <x:v>Tuan Faris INSKEN</x:v>
      </x:c>
      <x:c r="F719" s="21" t="str">
        <x:v>Member</x:v>
      </x:c>
      <x:c r="G719" s="46" t="str">
        <x:f>"60199635036"</x:f>
        <x:v>60199635036</x:v>
      </x:c>
      <x:c r="H719" s="21" t="str">
        <x:v>Yes</x:v>
      </x:c>
      <x:c r="I719" s="21" t="str">
        <x:v>No</x:v>
      </x:c>
      <x:c r="J719" s="21" t="str">
        <x:v>Yes</x:v>
      </x:c>
      <x:c r="K719" s="21" t="str">
        <x:v>Excluded</x:v>
      </x:c>
      <x:c r="L719" s="21" t="str">
        <x:v>Nama/nombor dikenal pasti sebagai INSKEN</x:v>
      </x:c>
    </x:row>
    <x:row r="720">
      <x:c r="A720" s="21" t="str">
        <x:v>whatsapp_group_numbersTD47 Shopee.csv</x:v>
      </x:c>
      <x:c r="B720" s="21" t="str">
        <x:v>TD47 Shopee</x:v>
      </x:c>
      <x:c r="C720" s="21" t="n">
        <x:v>9</x:v>
      </x:c>
      <x:c r="D720" s="46" t="str">
        <x:f>"+60176324921"</x:f>
        <x:v>+60176324921</x:v>
      </x:c>
      <x:c r="E720" s="21" t="str">
        <x:v>Adlee</x:v>
      </x:c>
      <x:c r="F720" s="21" t="str">
        <x:v>Member</x:v>
      </x:c>
      <x:c r="G720" s="46" t="str">
        <x:f>"60176324921"</x:f>
        <x:v>60176324921</x:v>
      </x:c>
      <x:c r="H720" s="21" t="str">
        <x:v>Yes</x:v>
      </x:c>
      <x:c r="I720" s="21" t="str">
        <x:v>No</x:v>
      </x:c>
      <x:c r="J720" s="21" t="str">
        <x:v>No</x:v>
      </x:c>
      <x:c r="K720" s="21" t="str">
        <x:v>Included</x:v>
      </x:c>
      <x:c r="L720" s="21" t="str">
        <x:v>Peserta</x:v>
      </x:c>
    </x:row>
    <x:row r="721">
      <x:c r="A721" s="21" t="str">
        <x:v>whatsapp_group_numbersTD47 Shopee.csv</x:v>
      </x:c>
      <x:c r="B721" s="21" t="str">
        <x:v>TD47 Shopee</x:v>
      </x:c>
      <x:c r="C721" s="21" t="n">
        <x:v>10</x:v>
      </x:c>
      <x:c r="D721" s="46" t="str">
        <x:f>"+60126787574"</x:f>
        <x:v>+60126787574</x:v>
      </x:c>
      <x:c r="E721" s="21" t="str">
        <x:v>Ashley</x:v>
      </x:c>
      <x:c r="F721" s="21" t="str">
        <x:v>Member</x:v>
      </x:c>
      <x:c r="G721" s="46" t="str">
        <x:f>"60126787574"</x:f>
        <x:v>60126787574</x:v>
      </x:c>
      <x:c r="H721" s="21" t="str">
        <x:v>Yes</x:v>
      </x:c>
      <x:c r="I721" s="21" t="str">
        <x:v>No</x:v>
      </x:c>
      <x:c r="J721" s="21" t="str">
        <x:v>No</x:v>
      </x:c>
      <x:c r="K721" s="21" t="str">
        <x:v>Included</x:v>
      </x:c>
      <x:c r="L721" s="21" t="str">
        <x:v>Peserta</x:v>
      </x:c>
    </x:row>
    <x:row r="722">
      <x:c r="A722" s="21" t="str">
        <x:v>whatsapp_group_numbersTD47 Shopee.csv</x:v>
      </x:c>
      <x:c r="B722" s="21" t="str">
        <x:v>TD47 Shopee</x:v>
      </x:c>
      <x:c r="C722" s="21" t="n">
        <x:v>11</x:v>
      </x:c>
      <x:c r="D722" s="46" t="str">
        <x:f>"+60136116286"</x:f>
        <x:v>+60136116286</x:v>
      </x:c>
      <x:c r="E722" s="21" t="str">
        <x:v>Che Khairuleffendi</x:v>
      </x:c>
      <x:c r="F722" s="21" t="str">
        <x:v>Member</x:v>
      </x:c>
      <x:c r="G722" s="46" t="str">
        <x:f>"60136116286"</x:f>
        <x:v>60136116286</x:v>
      </x:c>
      <x:c r="H722" s="21" t="str">
        <x:v>Yes</x:v>
      </x:c>
      <x:c r="I722" s="21" t="str">
        <x:v>No</x:v>
      </x:c>
      <x:c r="J722" s="21" t="str">
        <x:v>No</x:v>
      </x:c>
      <x:c r="K722" s="21" t="str">
        <x:v>Included</x:v>
      </x:c>
      <x:c r="L722" s="21" t="str">
        <x:v>Peserta</x:v>
      </x:c>
    </x:row>
    <x:row r="723">
      <x:c r="A723" s="21" t="str">
        <x:v>whatsapp_group_numbersTD47 Shopee.csv</x:v>
      </x:c>
      <x:c r="B723" s="21" t="str">
        <x:v>TD47 Shopee</x:v>
      </x:c>
      <x:c r="C723" s="21" t="n">
        <x:v>12</x:v>
      </x:c>
      <x:c r="D723" s="46" t="str">
        <x:f>"+60174556898"</x:f>
        <x:v>+60174556898</x:v>
      </x:c>
      <x:c r="E723" s="21" t="str">
        <x:v>Effihafizza Tafar</x:v>
      </x:c>
      <x:c r="F723" s="21" t="str">
        <x:v>Member</x:v>
      </x:c>
      <x:c r="G723" s="46" t="str">
        <x:f>"60174556898"</x:f>
        <x:v>60174556898</x:v>
      </x:c>
      <x:c r="H723" s="21" t="str">
        <x:v>Yes</x:v>
      </x:c>
      <x:c r="I723" s="21" t="str">
        <x:v>No</x:v>
      </x:c>
      <x:c r="J723" s="21" t="str">
        <x:v>No</x:v>
      </x:c>
      <x:c r="K723" s="21" t="str">
        <x:v>Included</x:v>
      </x:c>
      <x:c r="L723" s="21" t="str">
        <x:v>Peserta</x:v>
      </x:c>
    </x:row>
    <x:row r="724">
      <x:c r="A724" s="21" t="str">
        <x:v>whatsapp_group_numbersTD47 Shopee.csv</x:v>
      </x:c>
      <x:c r="B724" s="21" t="str">
        <x:v>TD47 Shopee</x:v>
      </x:c>
      <x:c r="C724" s="21" t="n">
        <x:v>13</x:v>
      </x:c>
      <x:c r="D724" s="46" t="str">
        <x:f>"+601110782097"</x:f>
        <x:v>+601110782097</x:v>
      </x:c>
      <x:c r="E724" s="21" t="str">
        <x:v>madamfss</x:v>
      </x:c>
      <x:c r="F724" s="21" t="str">
        <x:v>Member</x:v>
      </x:c>
      <x:c r="G724" s="46" t="str">
        <x:f>"601110782097"</x:f>
        <x:v>601110782097</x:v>
      </x:c>
      <x:c r="H724" s="21" t="str">
        <x:v>Yes</x:v>
      </x:c>
      <x:c r="I724" s="21" t="str">
        <x:v>No</x:v>
      </x:c>
      <x:c r="J724" s="21" t="str">
        <x:v>No</x:v>
      </x:c>
      <x:c r="K724" s="21" t="str">
        <x:v>Included</x:v>
      </x:c>
      <x:c r="L724" s="21" t="str">
        <x:v>Peserta</x:v>
      </x:c>
    </x:row>
    <x:row r="725">
      <x:c r="A725" s="21" t="str">
        <x:v>whatsapp_group_numbersTD47 Shopee.csv</x:v>
      </x:c>
      <x:c r="B725" s="21" t="str">
        <x:v>TD47 Shopee</x:v>
      </x:c>
      <x:c r="C725" s="21" t="n">
        <x:v>14</x:v>
      </x:c>
      <x:c r="D725" s="46" t="str">
        <x:f>"+60122919620"</x:f>
        <x:v>+60122919620</x:v>
      </x:c>
      <x:c r="E725" s="21" t="str">
        <x:v>Rushda Hadzira</x:v>
      </x:c>
      <x:c r="F725" s="21" t="str">
        <x:v>Member</x:v>
      </x:c>
      <x:c r="G725" s="46" t="str">
        <x:f>"60122919620"</x:f>
        <x:v>60122919620</x:v>
      </x:c>
      <x:c r="H725" s="21" t="str">
        <x:v>Yes</x:v>
      </x:c>
      <x:c r="I725" s="21" t="str">
        <x:v>No</x:v>
      </x:c>
      <x:c r="J725" s="21" t="str">
        <x:v>No</x:v>
      </x:c>
      <x:c r="K725" s="21" t="str">
        <x:v>Included</x:v>
      </x:c>
      <x:c r="L725" s="21" t="str">
        <x:v>Peserta</x:v>
      </x:c>
    </x:row>
    <x:row r="726">
      <x:c r="A726" s="21" t="str">
        <x:v>whatsapp_group_numbersTD47 Shopee.csv</x:v>
      </x:c>
      <x:c r="B726" s="21" t="str">
        <x:v>TD47 Shopee</x:v>
      </x:c>
      <x:c r="C726" s="21" t="n">
        <x:v>15</x:v>
      </x:c>
      <x:c r="D726" s="46" t="str">
        <x:f>"+60164307976"</x:f>
        <x:v>+60164307976</x:v>
      </x:c>
      <x:c r="E726" s="21" t="str">
        <x:v>S</x:v>
      </x:c>
      <x:c r="F726" s="21" t="str">
        <x:v>Member</x:v>
      </x:c>
      <x:c r="G726" s="46" t="str">
        <x:f>"60164307976"</x:f>
        <x:v>60164307976</x:v>
      </x:c>
      <x:c r="H726" s="21" t="str">
        <x:v>Yes</x:v>
      </x:c>
      <x:c r="I726" s="21" t="str">
        <x:v>No</x:v>
      </x:c>
      <x:c r="J726" s="21" t="str">
        <x:v>No</x:v>
      </x:c>
      <x:c r="K726" s="21" t="str">
        <x:v>Included</x:v>
      </x:c>
      <x:c r="L726" s="21" t="str">
        <x:v>Peserta</x:v>
      </x:c>
    </x:row>
    <x:row r="727">
      <x:c r="A727" s="21" t="str">
        <x:v>whatsapp_group_numbersTD47 Shopee.csv</x:v>
      </x:c>
      <x:c r="B727" s="21" t="str">
        <x:v>TD47 Shopee</x:v>
      </x:c>
      <x:c r="C727" s="21" t="n">
        <x:v>16</x:v>
      </x:c>
      <x:c r="D727" s="46" t="str">
        <x:f>"+601112186846"</x:f>
        <x:v>+601112186846</x:v>
      </x:c>
      <x:c r="E727" s="21" t="str">
        <x:v>Syafiq Mansor</x:v>
      </x:c>
      <x:c r="F727" s="21" t="str">
        <x:v>Member</x:v>
      </x:c>
      <x:c r="G727" s="46" t="str">
        <x:f>"601112186846"</x:f>
        <x:v>601112186846</x:v>
      </x:c>
      <x:c r="H727" s="21" t="str">
        <x:v>Yes</x:v>
      </x:c>
      <x:c r="I727" s="21" t="str">
        <x:v>No</x:v>
      </x:c>
      <x:c r="J727" s="21" t="str">
        <x:v>No</x:v>
      </x:c>
      <x:c r="K727" s="21" t="str">
        <x:v>Included</x:v>
      </x:c>
      <x:c r="L727" s="21" t="str">
        <x:v>Peserta</x:v>
      </x:c>
    </x:row>
    <x:row r="728">
      <x:c r="A728" s="21" t="str">
        <x:v>whatsapp_group_numbersTD47 Shopee.csv</x:v>
      </x:c>
      <x:c r="B728" s="21" t="str">
        <x:v>TD47 Shopee</x:v>
      </x:c>
      <x:c r="C728" s="21" t="n">
        <x:v>17</x:v>
      </x:c>
      <x:c r="D728" s="46" t="str">
        <x:f>"+60178652769"</x:f>
        <x:v>+60178652769</x:v>
      </x:c>
      <x:c r="E728" s="21" t="str">
        <x:v>+60178652769</x:v>
      </x:c>
      <x:c r="F728" s="21" t="str">
        <x:v>Member</x:v>
      </x:c>
      <x:c r="G728" s="46" t="str">
        <x:f>"60178652769"</x:f>
        <x:v>60178652769</x:v>
      </x:c>
      <x:c r="H728" s="21" t="str">
        <x:v>Yes</x:v>
      </x:c>
      <x:c r="I728" s="21" t="str">
        <x:v>No</x:v>
      </x:c>
      <x:c r="J728" s="21" t="str">
        <x:v>No</x:v>
      </x:c>
      <x:c r="K728" s="21" t="str">
        <x:v>Included</x:v>
      </x:c>
      <x:c r="L728" s="21" t="str">
        <x:v>Peserta</x:v>
      </x:c>
    </x:row>
    <x:row r="729">
      <x:c r="A729" s="21" t="str">
        <x:v>whatsapp_group_numbersTD47 Shopee.csv</x:v>
      </x:c>
      <x:c r="B729" s="21" t="str">
        <x:v>TD47 Shopee</x:v>
      </x:c>
      <x:c r="C729" s="21" t="n">
        <x:v>18</x:v>
      </x:c>
      <x:c r="D729" s="46" t="str">
        <x:f>"+60168299822"</x:f>
        <x:v>+60168299822</x:v>
      </x:c>
      <x:c r="E729" s="21" t="str">
        <x:v>+60168299822</x:v>
      </x:c>
      <x:c r="F729" s="21" t="str">
        <x:v>Member</x:v>
      </x:c>
      <x:c r="G729" s="46" t="str">
        <x:f>"60168299822"</x:f>
        <x:v>60168299822</x:v>
      </x:c>
      <x:c r="H729" s="21" t="str">
        <x:v>Yes</x:v>
      </x:c>
      <x:c r="I729" s="21" t="str">
        <x:v>No</x:v>
      </x:c>
      <x:c r="J729" s="21" t="str">
        <x:v>No</x:v>
      </x:c>
      <x:c r="K729" s="21" t="str">
        <x:v>Included</x:v>
      </x:c>
      <x:c r="L729" s="21" t="str">
        <x:v>Peserta</x:v>
      </x:c>
    </x:row>
    <x:row r="730">
      <x:c r="A730" s="21" t="str">
        <x:v>whatsapp_group_numbersTD47 Shopee.csv</x:v>
      </x:c>
      <x:c r="B730" s="21" t="str">
        <x:v>TD47 Shopee</x:v>
      </x:c>
      <x:c r="C730" s="21" t="n">
        <x:v>19</x:v>
      </x:c>
      <x:c r="D730" s="46" t="str">
        <x:f>"+60124080722"</x:f>
        <x:v>+60124080722</x:v>
      </x:c>
      <x:c r="E730" s="21" t="str">
        <x:v>+60124080722</x:v>
      </x:c>
      <x:c r="F730" s="21" t="str">
        <x:v>Member</x:v>
      </x:c>
      <x:c r="G730" s="46" t="str">
        <x:f>"60124080722"</x:f>
        <x:v>60124080722</x:v>
      </x:c>
      <x:c r="H730" s="21" t="str">
        <x:v>Yes</x:v>
      </x:c>
      <x:c r="I730" s="21" t="str">
        <x:v>No</x:v>
      </x:c>
      <x:c r="J730" s="21" t="str">
        <x:v>No</x:v>
      </x:c>
      <x:c r="K730" s="21" t="str">
        <x:v>Included</x:v>
      </x:c>
      <x:c r="L730" s="21" t="str">
        <x:v>Peserta</x:v>
      </x:c>
    </x:row>
    <x:row r="731">
      <x:c r="A731" s="21" t="str">
        <x:v>whatsapp_group_numbersTD47 Shopee.csv</x:v>
      </x:c>
      <x:c r="B731" s="21" t="str">
        <x:v>TD47 Shopee</x:v>
      </x:c>
      <x:c r="C731" s="21" t="n">
        <x:v>20</x:v>
      </x:c>
      <x:c r="D731" s="46" t="str">
        <x:f>"+60167031314"</x:f>
        <x:v>+60167031314</x:v>
      </x:c>
      <x:c r="E731" s="21" t="str">
        <x:v>+60167031314</x:v>
      </x:c>
      <x:c r="F731" s="21" t="str">
        <x:v>Member</x:v>
      </x:c>
      <x:c r="G731" s="46" t="str">
        <x:f>"60167031314"</x:f>
        <x:v>60167031314</x:v>
      </x:c>
      <x:c r="H731" s="21" t="str">
        <x:v>Yes</x:v>
      </x:c>
      <x:c r="I731" s="21" t="str">
        <x:v>No</x:v>
      </x:c>
      <x:c r="J731" s="21" t="str">
        <x:v>No</x:v>
      </x:c>
      <x:c r="K731" s="21" t="str">
        <x:v>Included</x:v>
      </x:c>
      <x:c r="L731" s="21" t="str">
        <x:v>Peserta</x:v>
      </x:c>
    </x:row>
    <x:row r="732">
      <x:c r="A732" s="21" t="str">
        <x:v>whatsapp_group_numbersTD47 Shopee.csv</x:v>
      </x:c>
      <x:c r="B732" s="21" t="str">
        <x:v>TD47 Shopee</x:v>
      </x:c>
      <x:c r="C732" s="21" t="n">
        <x:v>21</x:v>
      </x:c>
      <x:c r="D732" s="46" t="str">
        <x:f>"+601155041394"</x:f>
        <x:v>+601155041394</x:v>
      </x:c>
      <x:c r="E732" s="21" t="str">
        <x:v>+601155041394</x:v>
      </x:c>
      <x:c r="F732" s="21" t="str">
        <x:v>Member</x:v>
      </x:c>
      <x:c r="G732" s="46" t="str">
        <x:f>"601155041394"</x:f>
        <x:v>601155041394</x:v>
      </x:c>
      <x:c r="H732" s="21" t="str">
        <x:v>Yes</x:v>
      </x:c>
      <x:c r="I732" s="21" t="str">
        <x:v>No</x:v>
      </x:c>
      <x:c r="J732" s="21" t="str">
        <x:v>No</x:v>
      </x:c>
      <x:c r="K732" s="21" t="str">
        <x:v>Included</x:v>
      </x:c>
      <x:c r="L732" s="21" t="str">
        <x:v>Peserta</x:v>
      </x:c>
    </x:row>
    <x:row r="733">
      <x:c r="A733" s="21" t="str">
        <x:v>whatsapp_group_numbersTD47 Shopee.csv</x:v>
      </x:c>
      <x:c r="B733" s="21" t="str">
        <x:v>TD47 Shopee</x:v>
      </x:c>
      <x:c r="C733" s="21" t="n">
        <x:v>22</x:v>
      </x:c>
      <x:c r="D733" s="46" t="str">
        <x:f>"+60199848123"</x:f>
        <x:v>+60199848123</x:v>
      </x:c>
      <x:c r="E733" s="21" t="str">
        <x:v>+60199848123</x:v>
      </x:c>
      <x:c r="F733" s="21" t="str">
        <x:v>Member</x:v>
      </x:c>
      <x:c r="G733" s="46" t="str">
        <x:f>"60199848123"</x:f>
        <x:v>60199848123</x:v>
      </x:c>
      <x:c r="H733" s="21" t="str">
        <x:v>Yes</x:v>
      </x:c>
      <x:c r="I733" s="21" t="str">
        <x:v>No</x:v>
      </x:c>
      <x:c r="J733" s="21" t="str">
        <x:v>No</x:v>
      </x:c>
      <x:c r="K733" s="21" t="str">
        <x:v>Included</x:v>
      </x:c>
      <x:c r="L733" s="21" t="str">
        <x:v>Peserta</x:v>
      </x:c>
    </x:row>
    <x:row r="734">
      <x:c r="A734" s="21" t="str">
        <x:v>whatsapp_group_numbersTD47 Shopee.csv</x:v>
      </x:c>
      <x:c r="B734" s="21" t="str">
        <x:v>TD47 Shopee</x:v>
      </x:c>
      <x:c r="C734" s="21" t="n">
        <x:v>23</x:v>
      </x:c>
      <x:c r="D734" s="46" t="str">
        <x:f>"+60132887800"</x:f>
        <x:v>+60132887800</x:v>
      </x:c>
      <x:c r="E734" s="21" t="str">
        <x:v>+60132887800</x:v>
      </x:c>
      <x:c r="F734" s="21" t="str">
        <x:v>Member</x:v>
      </x:c>
      <x:c r="G734" s="46" t="str">
        <x:f>"60132887800"</x:f>
        <x:v>60132887800</x:v>
      </x:c>
      <x:c r="H734" s="21" t="str">
        <x:v>Yes</x:v>
      </x:c>
      <x:c r="I734" s="21" t="str">
        <x:v>No</x:v>
      </x:c>
      <x:c r="J734" s="21" t="str">
        <x:v>No</x:v>
      </x:c>
      <x:c r="K734" s="21" t="str">
        <x:v>Included</x:v>
      </x:c>
      <x:c r="L734" s="21" t="str">
        <x:v>Peserta</x:v>
      </x:c>
    </x:row>
    <x:row r="735">
      <x:c r="A735" s="21" t="str">
        <x:v>whatsapp_group_numbersTD47 Shopee.csv</x:v>
      </x:c>
      <x:c r="B735" s="21" t="str">
        <x:v>TD47 Shopee</x:v>
      </x:c>
      <x:c r="C735" s="21" t="n">
        <x:v>24</x:v>
      </x:c>
      <x:c r="D735" s="46" t="str">
        <x:f>"+601129576914"</x:f>
        <x:v>+601129576914</x:v>
      </x:c>
      <x:c r="E735" s="21" t="str">
        <x:v>+601129576914</x:v>
      </x:c>
      <x:c r="F735" s="21" t="str">
        <x:v>Member</x:v>
      </x:c>
      <x:c r="G735" s="46" t="str">
        <x:f>"601129576914"</x:f>
        <x:v>601129576914</x:v>
      </x:c>
      <x:c r="H735" s="21" t="str">
        <x:v>Yes</x:v>
      </x:c>
      <x:c r="I735" s="21" t="str">
        <x:v>No</x:v>
      </x:c>
      <x:c r="J735" s="21" t="str">
        <x:v>No</x:v>
      </x:c>
      <x:c r="K735" s="21" t="str">
        <x:v>Included</x:v>
      </x:c>
      <x:c r="L735" s="21" t="str">
        <x:v>Peserta</x:v>
      </x:c>
    </x:row>
    <x:row r="736">
      <x:c r="A736" s="21" t="str">
        <x:v>whatsapp_group_numbersTD47 Shopee.csv</x:v>
      </x:c>
      <x:c r="B736" s="21" t="str">
        <x:v>TD47 Shopee</x:v>
      </x:c>
      <x:c r="C736" s="21" t="n">
        <x:v>25</x:v>
      </x:c>
      <x:c r="D736" s="46" t="str">
        <x:f>"+60173071803"</x:f>
        <x:v>+60173071803</x:v>
      </x:c>
      <x:c r="E736" s="21" t="str">
        <x:v>+60173071803</x:v>
      </x:c>
      <x:c r="F736" s="21" t="str">
        <x:v>Member</x:v>
      </x:c>
      <x:c r="G736" s="46" t="str">
        <x:f>"60173071803"</x:f>
        <x:v>60173071803</x:v>
      </x:c>
      <x:c r="H736" s="21" t="str">
        <x:v>Yes</x:v>
      </x:c>
      <x:c r="I736" s="21" t="str">
        <x:v>No</x:v>
      </x:c>
      <x:c r="J736" s="21" t="str">
        <x:v>No</x:v>
      </x:c>
      <x:c r="K736" s="21" t="str">
        <x:v>Included</x:v>
      </x:c>
      <x:c r="L736" s="21" t="str">
        <x:v>Peserta</x:v>
      </x:c>
    </x:row>
    <x:row r="737">
      <x:c r="A737" s="21" t="str">
        <x:v>whatsapp_group_numbersTD47 Shopee.csv</x:v>
      </x:c>
      <x:c r="B737" s="21" t="str">
        <x:v>TD47 Shopee</x:v>
      </x:c>
      <x:c r="C737" s="21" t="n">
        <x:v>26</x:v>
      </x:c>
      <x:c r="D737" s="46" t="str">
        <x:f>"+60133337883"</x:f>
        <x:v>+60133337883</x:v>
      </x:c>
      <x:c r="E737" s="21" t="str">
        <x:v>+60133337883</x:v>
      </x:c>
      <x:c r="F737" s="21" t="str">
        <x:v>Member</x:v>
      </x:c>
      <x:c r="G737" s="46" t="str">
        <x:f>"60133337883"</x:f>
        <x:v>60133337883</x:v>
      </x:c>
      <x:c r="H737" s="21" t="str">
        <x:v>Yes</x:v>
      </x:c>
      <x:c r="I737" s="21" t="str">
        <x:v>No</x:v>
      </x:c>
      <x:c r="J737" s="21" t="str">
        <x:v>No</x:v>
      </x:c>
      <x:c r="K737" s="21" t="str">
        <x:v>Included</x:v>
      </x:c>
      <x:c r="L737" s="21" t="str">
        <x:v>Peserta</x:v>
      </x:c>
    </x:row>
    <x:row r="738">
      <x:c r="A738" s="21" t="str">
        <x:v>whatsapp_group_numbersTD47 Shopee.csv</x:v>
      </x:c>
      <x:c r="B738" s="21" t="str">
        <x:v>TD47 Shopee</x:v>
      </x:c>
      <x:c r="C738" s="21" t="n">
        <x:v>27</x:v>
      </x:c>
      <x:c r="D738" s="46" t="str">
        <x:f>"+60172329269"</x:f>
        <x:v>+60172329269</x:v>
      </x:c>
      <x:c r="E738" s="21" t="str">
        <x:v>+60172329269</x:v>
      </x:c>
      <x:c r="F738" s="21" t="str">
        <x:v>Member</x:v>
      </x:c>
      <x:c r="G738" s="46" t="str">
        <x:f>"60172329269"</x:f>
        <x:v>60172329269</x:v>
      </x:c>
      <x:c r="H738" s="21" t="str">
        <x:v>Yes</x:v>
      </x:c>
      <x:c r="I738" s="21" t="str">
        <x:v>No</x:v>
      </x:c>
      <x:c r="J738" s="21" t="str">
        <x:v>No</x:v>
      </x:c>
      <x:c r="K738" s="21" t="str">
        <x:v>Included</x:v>
      </x:c>
      <x:c r="L738" s="21" t="str">
        <x:v>Peserta</x:v>
      </x:c>
    </x:row>
    <x:row r="739">
      <x:c r="A739" s="21" t="str">
        <x:v>whatsapp_group_numbersTD47 Shopee.csv</x:v>
      </x:c>
      <x:c r="B739" s="21" t="str">
        <x:v>TD47 Shopee</x:v>
      </x:c>
      <x:c r="C739" s="21" t="n">
        <x:v>28</x:v>
      </x:c>
      <x:c r="D739" s="46" t="str">
        <x:f>"+60105447245"</x:f>
        <x:v>+60105447245</x:v>
      </x:c>
      <x:c r="E739" s="21" t="str">
        <x:v>+60105447245</x:v>
      </x:c>
      <x:c r="F739" s="21" t="str">
        <x:v>Member</x:v>
      </x:c>
      <x:c r="G739" s="46" t="str">
        <x:f>"60105447245"</x:f>
        <x:v>60105447245</x:v>
      </x:c>
      <x:c r="H739" s="21" t="str">
        <x:v>Yes</x:v>
      </x:c>
      <x:c r="I739" s="21" t="str">
        <x:v>No</x:v>
      </x:c>
      <x:c r="J739" s="21" t="str">
        <x:v>No</x:v>
      </x:c>
      <x:c r="K739" s="21" t="str">
        <x:v>Included</x:v>
      </x:c>
      <x:c r="L739" s="21" t="str">
        <x:v>Peserta</x:v>
      </x:c>
    </x:row>
    <x:row r="740">
      <x:c r="A740" s="21" t="str">
        <x:v>whatsapp_group_numbersTD47 Shopee.csv</x:v>
      </x:c>
      <x:c r="B740" s="21" t="str">
        <x:v>TD47 Shopee</x:v>
      </x:c>
      <x:c r="C740" s="21" t="n">
        <x:v>29</x:v>
      </x:c>
      <x:c r="D740" s="46" t="str">
        <x:f>"+60124493443"</x:f>
        <x:v>+60124493443</x:v>
      </x:c>
      <x:c r="E740" s="21" t="str">
        <x:v>+60124493443</x:v>
      </x:c>
      <x:c r="F740" s="21" t="str">
        <x:v>Member</x:v>
      </x:c>
      <x:c r="G740" s="46" t="str">
        <x:f>"60124493443"</x:f>
        <x:v>60124493443</x:v>
      </x:c>
      <x:c r="H740" s="21" t="str">
        <x:v>Yes</x:v>
      </x:c>
      <x:c r="I740" s="21" t="str">
        <x:v>No</x:v>
      </x:c>
      <x:c r="J740" s="21" t="str">
        <x:v>No</x:v>
      </x:c>
      <x:c r="K740" s="21" t="str">
        <x:v>Included</x:v>
      </x:c>
      <x:c r="L740" s="21" t="str">
        <x:v>Peserta</x:v>
      </x:c>
    </x:row>
    <x:row r="741">
      <x:c r="A741" s="21" t="str">
        <x:v>whatsapp_group_numbersTD47 Shopee.csv</x:v>
      </x:c>
      <x:c r="B741" s="21" t="str">
        <x:v>TD47 Shopee</x:v>
      </x:c>
      <x:c r="C741" s="21" t="n">
        <x:v>30</x:v>
      </x:c>
      <x:c r="D741" s="46" t="str">
        <x:f>"+60122377993"</x:f>
        <x:v>+60122377993</x:v>
      </x:c>
      <x:c r="E741" s="21" t="str">
        <x:v>+60122377993</x:v>
      </x:c>
      <x:c r="F741" s="21" t="str">
        <x:v>Member</x:v>
      </x:c>
      <x:c r="G741" s="46" t="str">
        <x:f>"60122377993"</x:f>
        <x:v>60122377993</x:v>
      </x:c>
      <x:c r="H741" s="21" t="str">
        <x:v>Yes</x:v>
      </x:c>
      <x:c r="I741" s="21" t="str">
        <x:v>No</x:v>
      </x:c>
      <x:c r="J741" s="21" t="str">
        <x:v>No</x:v>
      </x:c>
      <x:c r="K741" s="21" t="str">
        <x:v>Included</x:v>
      </x:c>
      <x:c r="L741" s="21" t="str">
        <x:v>Peserta</x:v>
      </x:c>
    </x:row>
    <x:row r="742">
      <x:c r="A742" s="22" t="str">
        <x:v>whatsapp_group_numbersTD47 Shopee.csv</x:v>
      </x:c>
      <x:c r="B742" s="22" t="str">
        <x:v>TD47 Shopee</x:v>
      </x:c>
      <x:c r="C742" s="22" t="n">
        <x:v>31</x:v>
      </x:c>
      <x:c r="D742" s="47" t="str">
        <x:f>"+60126077335"</x:f>
        <x:v>+60126077335</x:v>
      </x:c>
      <x:c r="E742" s="22" t="str">
        <x:v>+60126077335</x:v>
      </x:c>
      <x:c r="F742" s="22" t="str">
        <x:v>Member</x:v>
      </x:c>
      <x:c r="G742" s="47" t="str">
        <x:f>"60126077335"</x:f>
        <x:v>60126077335</x:v>
      </x:c>
      <x:c r="H742" s="22" t="str">
        <x:v>Yes</x:v>
      </x:c>
      <x:c r="I742" s="22" t="str">
        <x:v>No</x:v>
      </x:c>
      <x:c r="J742" s="22" t="str">
        <x:v>No</x:v>
      </x:c>
      <x:c r="K742" s="22" t="str">
        <x:v>Included</x:v>
      </x:c>
      <x:c r="L742" s="22" t="str">
        <x:v>Peserta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1b7a03a002274ea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52" hidden="0" customWidth="1"/>
    <x:col min="3" max="3" width="34" hidden="0" customWidth="1"/>
  </x:cols>
  <x:sheetData>
    <x:row r="1" ht="30" customHeight="1">
      <x:c r="A1" s="3" t="str">
        <x:v>Rules &amp; Exclusion List</x:v>
      </x:c>
      <x:c r="B1" s="3"/>
      <x:c r="C1" s="3"/>
      <x:c r="D1" s="3"/>
      <x:c r="E1" s="3"/>
      <x:c r="F1" s="3"/>
    </x:row>
    <x:row r="2" ht="28" customHeight="1">
      <x:c r="A2" s="7" t="str">
        <x:v>Aturan yang digunakan dalam binaan ini. Semak helaian Excluded dan Review sebelum kempen besar.</x:v>
      </x:c>
      <x:c r="B2" s="7"/>
      <x:c r="C2" s="7"/>
      <x:c r="D2" s="7"/>
      <x:c r="E2" s="7"/>
      <x:c r="F2" s="7"/>
    </x:row>
    <x:row r="4">
      <x:c r="A4" s="9" t="str">
        <x:v>rule_order</x:v>
      </x:c>
      <x:c r="B4" s="9" t="str">
        <x:v>rule</x:v>
      </x:c>
      <x:c r="C4" s="9" t="str">
        <x:v>result</x:v>
      </x:c>
    </x:row>
    <x:row r="5" ht="28" customHeight="1">
      <x:c r="A5" s="69" t="n">
        <x:v>1</x:v>
      </x:c>
      <x:c r="B5" s="69" t="str">
        <x:v>Nombor gagal format Malaysia 60xxxxxxxx</x:v>
      </x:c>
      <x:c r="C5" s="69" t="str">
        <x:v>Excluded</x:v>
      </x:c>
    </x:row>
    <x:row r="6" ht="28" customHeight="1">
      <x:c r="A6" s="70" t="n">
        <x:v>2</x:v>
      </x:c>
      <x:c r="B6" s="70" t="str">
        <x:v>Status mengandungi admin/superadmin</x:v>
      </x:c>
      <x:c r="C6" s="70" t="str">
        <x:v>Excluded</x:v>
      </x:c>
    </x:row>
    <x:row r="7" ht="28" customHeight="1">
      <x:c r="A7" s="70" t="n">
        <x:v>3</x:v>
      </x:c>
      <x:c r="B7" s="70" t="str">
        <x:v>Nombor pemilik/trainer 60133815817</x:v>
      </x:c>
      <x:c r="C7" s="70" t="str">
        <x:v>Excluded</x:v>
      </x:c>
    </x:row>
    <x:row r="8" ht="28" customHeight="1">
      <x:c r="A8" s="70" t="n">
        <x:v>4</x:v>
      </x:c>
      <x:c r="B8" s="70" t="str">
        <x:v>Nama mengandungi INSKEN atau INKSEN</x:v>
      </x:c>
      <x:c r="C8" s="70" t="str">
        <x:v>Excluded; nombor menjadi exclusion list</x:v>
      </x:c>
    </x:row>
    <x:row r="9" ht="28" customHeight="1">
      <x:c r="A9" s="70" t="n">
        <x:v>5</x:v>
      </x:c>
      <x:c r="B9" s="70" t="str">
        <x:v>21 nama dalam senarai manual pengguna</x:v>
      </x:c>
      <x:c r="C9" s="70" t="str">
        <x:v>Excluded; nombor menjadi exclusion list</x:v>
      </x:c>
    </x:row>
    <x:row r="10" ht="28" customHeight="1">
      <x:c r="A10" s="71" t="n">
        <x:v>6</x:v>
      </x:c>
      <x:c r="B10" s="71" t="str">
        <x:v>Pendua nombor</x:v>
      </x:c>
      <x:c r="C10" s="71" t="str">
        <x:v>Gabung dan simpan semua sumber grup</x:v>
      </x:c>
    </x:row>
    <x:row r="12">
      <x:c r="A12" s="9" t="str">
        <x:v>phone</x:v>
      </x:c>
      <x:c r="B12" s="9" t="str">
        <x:v>names_seen</x:v>
      </x:c>
      <x:c r="C12" s="9" t="str">
        <x:v>basis</x:v>
      </x:c>
    </x:row>
    <x:row r="13">
      <x:c r="A13" s="80" t="str">
        <x:f>"60103376956"</x:f>
        <x:v>60103376956</x:v>
      </x:c>
      <x:c r="B13" s="81" t="str">
        <x:v>coach rozek phone no 2</x:v>
      </x:c>
      <x:c r="C13" s="81" t="str">
        <x:v>Senarai manual pengguna</x:v>
      </x:c>
    </x:row>
    <x:row r="14">
      <x:c r="A14" s="82" t="str">
        <x:f>"601112400806"</x:f>
        <x:v>601112400806</x:v>
      </x:c>
      <x:c r="B14" s="83" t="str">
        <x:v>Coach Husaini INSKEN</x:v>
      </x:c>
      <x:c r="C14" s="83" t="str">
        <x:v>Nama INSKEN/INKSEN</x:v>
      </x:c>
    </x:row>
    <x:row r="15">
      <x:c r="A15" s="82" t="str">
        <x:f>"601121235593"</x:f>
        <x:v>601121235593</x:v>
      </x:c>
      <x:c r="B15" s="83" t="str">
        <x:v>Irfan pa coach zul</x:v>
      </x:c>
      <x:c r="C15" s="83" t="str">
        <x:v>Senarai manual pengguna</x:v>
      </x:c>
    </x:row>
    <x:row r="16">
      <x:c r="A16" s="82" t="str">
        <x:f>"601126032061"</x:f>
        <x:v>601126032061</x:v>
      </x:c>
      <x:c r="B16" s="83" t="str">
        <x:v>Abang Muhammad MDEC</x:v>
      </x:c>
      <x:c r="C16" s="83" t="str">
        <x:v>Senarai manual pengguna</x:v>
      </x:c>
    </x:row>
    <x:row r="17">
      <x:c r="A17" s="82" t="str">
        <x:f>"601132960272"</x:f>
        <x:v>601132960272</x:v>
      </x:c>
      <x:c r="B17" s="83" t="str">
        <x:v>M Fattah Insken</x:v>
      </x:c>
      <x:c r="C17" s="83" t="str">
        <x:v>Nama INSKEN/INKSEN</x:v>
      </x:c>
    </x:row>
    <x:row r="18">
      <x:c r="A18" s="82" t="str">
        <x:f>"601156433115"</x:f>
        <x:v>601156433115</x:v>
      </x:c>
      <x:c r="B18" s="83" t="str">
        <x:v>Adrian Webstar</x:v>
      </x:c>
      <x:c r="C18" s="83" t="str">
        <x:v>Senarai manual pengguna</x:v>
      </x:c>
    </x:row>
    <x:row r="19">
      <x:c r="A19" s="82" t="str">
        <x:f>"601156666400"</x:f>
        <x:v>601156666400</x:v>
      </x:c>
      <x:c r="B19" s="83" t="str">
        <x:v>Ayongzul Smart Solution</x:v>
      </x:c>
      <x:c r="C19" s="83" t="str">
        <x:v>Senarai manual pengguna</x:v>
      </x:c>
    </x:row>
    <x:row r="20">
      <x:c r="A20" s="82" t="str">
        <x:f>"601158626216"</x:f>
        <x:v>601158626216</x:v>
      </x:c>
      <x:c r="B20" s="83" t="str">
        <x:v>Coaching Training Consultant</x:v>
      </x:c>
      <x:c r="C20" s="83" t="str">
        <x:v>Senarai manual pengguna</x:v>
      </x:c>
    </x:row>
    <x:row r="21">
      <x:c r="A21" s="82" t="str">
        <x:f>"60122874471"</x:f>
        <x:v>60122874471</x:v>
      </x:c>
      <x:c r="B21" s="83" t="str">
        <x:v>Pn Alya INKSEN</x:v>
      </x:c>
      <x:c r="C21" s="83" t="str">
        <x:v>Nama INSKEN/INKSEN</x:v>
      </x:c>
    </x:row>
    <x:row r="22">
      <x:c r="A22" s="82" t="str">
        <x:f>"60123081906"</x:f>
        <x:v>60123081906</x:v>
      </x:c>
      <x:c r="B22" s="83" t="str">
        <x:v>Sufiyan Insken</x:v>
      </x:c>
      <x:c r="C22" s="83" t="str">
        <x:v>Nama INSKEN/INKSEN</x:v>
      </x:c>
    </x:row>
    <x:row r="23">
      <x:c r="A23" s="82" t="str">
        <x:f>"60123390943"</x:f>
        <x:v>60123390943</x:v>
      </x:c>
      <x:c r="B23" s="83" t="str">
        <x:v>Ahmad Fairuz Mdec</x:v>
      </x:c>
      <x:c r="C23" s="83" t="str">
        <x:v>Senarai manual pengguna</x:v>
      </x:c>
    </x:row>
    <x:row r="24">
      <x:c r="A24" s="82" t="str">
        <x:f>"60123678953"</x:f>
        <x:v>60123678953</x:v>
      </x:c>
      <x:c r="B24" s="83" t="str">
        <x:v>Allan Insken</x:v>
      </x:c>
      <x:c r="C24" s="83" t="str">
        <x:v>Nama INSKEN/INKSEN</x:v>
      </x:c>
    </x:row>
    <x:row r="25">
      <x:c r="A25" s="82" t="str">
        <x:f>"60123809494"</x:f>
        <x:v>60123809494</x:v>
      </x:c>
      <x:c r="B25" s="83" t="str">
        <x:v>Abg Jepp Sifu Branding Training</x:v>
      </x:c>
      <x:c r="C25" s="83" t="str">
        <x:v>Senarai manual pengguna</x:v>
      </x:c>
    </x:row>
    <x:row r="26">
      <x:c r="A26" s="82" t="str">
        <x:f>"60127907477"</x:f>
        <x:v>60127907477</x:v>
      </x:c>
      <x:c r="B26" s="83" t="str">
        <x:v>Syawal Evoing</x:v>
      </x:c>
      <x:c r="C26" s="83" t="str">
        <x:v>Senarai manual pengguna</x:v>
      </x:c>
    </x:row>
    <x:row r="27">
      <x:c r="A27" s="82" t="str">
        <x:f>"60133308552"</x:f>
        <x:v>60133308552</x:v>
      </x:c>
      <x:c r="B27" s="83" t="str">
        <x:v>Tn Haji Wan Abdullah Student Insken Tauke Serunding</x:v>
      </x:c>
      <x:c r="C27" s="83" t="str">
        <x:v>Senarai manual pengguna</x:v>
      </x:c>
    </x:row>
    <x:row r="28">
      <x:c r="A28" s="82" t="str">
        <x:f>"60133332963"</x:f>
        <x:v>60133332963</x:v>
      </x:c>
      <x:c r="B28" s="83" t="str">
        <x:v>Coach Sam Suresh</x:v>
      </x:c>
      <x:c r="C28" s="83" t="str">
        <x:v>Senarai manual pengguna</x:v>
      </x:c>
    </x:row>
    <x:row r="29">
      <x:c r="A29" s="82" t="str">
        <x:f>"60133815817"</x:f>
        <x:v>60133815817</x:v>
      </x:c>
      <x:c r="B29" s="83" t="str">
        <x:v>Kamarul Bahareen Kamarudin</x:v>
      </x:c>
      <x:c r="C29" s="83" t="str">
        <x:v>Pemilik/trainer</x:v>
      </x:c>
    </x:row>
    <x:row r="30">
      <x:c r="A30" s="82" t="str">
        <x:f>"60139903323"</x:f>
        <x:v>60139903323</x:v>
      </x:c>
      <x:c r="B30" s="83" t="str">
        <x:v>Zul Mdec IM</x:v>
      </x:c>
      <x:c r="C30" s="83" t="str">
        <x:v>Senarai manual pengguna</x:v>
      </x:c>
    </x:row>
    <x:row r="31">
      <x:c r="A31" s="82" t="str">
        <x:f>"60142576155"</x:f>
        <x:v>60142576155</x:v>
      </x:c>
      <x:c r="B31" s="83" t="str">
        <x:v>Akmal Pegawai Insken</x:v>
      </x:c>
      <x:c r="C31" s="83" t="str">
        <x:v>Nama INSKEN/INKSEN</x:v>
      </x:c>
    </x:row>
    <x:row r="32">
      <x:c r="A32" s="82" t="str">
        <x:f>"60143251107"</x:f>
        <x:v>60143251107</x:v>
      </x:c>
      <x:c r="B32" s="83" t="str">
        <x:v>Natasha Hazlin INSKEN</x:v>
      </x:c>
      <x:c r="C32" s="83" t="str">
        <x:v>Nama INSKEN/INKSEN</x:v>
      </x:c>
    </x:row>
    <x:row r="33">
      <x:c r="A33" s="82" t="str">
        <x:f>"60145086017"</x:f>
        <x:v>60145086017</x:v>
      </x:c>
      <x:c r="B33" s="83" t="str">
        <x:v>zms consultant and services</x:v>
      </x:c>
      <x:c r="C33" s="83" t="str">
        <x:v>Senarai manual pengguna</x:v>
      </x:c>
    </x:row>
    <x:row r="34">
      <x:c r="A34" s="82" t="str">
        <x:f>"60162335702"</x:f>
        <x:v>60162335702</x:v>
      </x:c>
      <x:c r="B34" s="83" t="str">
        <x:v>Elis Dpim Putrajaya</x:v>
      </x:c>
      <x:c r="C34" s="83" t="str">
        <x:v>Senarai manual pengguna</x:v>
      </x:c>
    </x:row>
    <x:row r="35">
      <x:c r="A35" s="82" t="str">
        <x:f>"60164236116"</x:f>
        <x:v>60164236116</x:v>
      </x:c>
      <x:c r="B35" s="83" t="str">
        <x:v>Fazlu Trainer</x:v>
      </x:c>
      <x:c r="C35" s="83" t="str">
        <x:v>Senarai manual pengguna</x:v>
      </x:c>
    </x:row>
    <x:row r="36">
      <x:c r="A36" s="82" t="str">
        <x:f>"60174102530"</x:f>
        <x:v>60174102530</x:v>
      </x:c>
      <x:c r="B36" s="83" t="str">
        <x:v>shaeza INSKEN</x:v>
      </x:c>
      <x:c r="C36" s="83" t="str">
        <x:v>Nama INSKEN/INKSEN</x:v>
      </x:c>
    </x:row>
    <x:row r="37">
      <x:c r="A37" s="82" t="str">
        <x:f>"60174311215"</x:f>
        <x:v>60174311215</x:v>
      </x:c>
      <x:c r="B37" s="83" t="str">
        <x:v>Dr hariz Mdec Trainer</x:v>
      </x:c>
      <x:c r="C37" s="83" t="str">
        <x:v>Senarai manual pengguna</x:v>
      </x:c>
    </x:row>
    <x:row r="38">
      <x:c r="A38" s="82" t="str">
        <x:f>"60175545144"</x:f>
        <x:v>60175545144</x:v>
      </x:c>
      <x:c r="B38" s="83" t="str">
        <x:v>Pn Aishah INSKEN</x:v>
      </x:c>
      <x:c r="C38" s="83" t="str">
        <x:v>Nama INSKEN/INKSEN</x:v>
      </x:c>
    </x:row>
    <x:row r="39">
      <x:c r="A39" s="82" t="str">
        <x:f>"60176346448"</x:f>
        <x:v>60176346448</x:v>
      </x:c>
      <x:c r="B39" s="83" t="str">
        <x:v>Din Staff IQPS</x:v>
      </x:c>
      <x:c r="C39" s="83" t="str">
        <x:v>Senarai manual pengguna</x:v>
      </x:c>
    </x:row>
    <x:row r="40">
      <x:c r="A40" s="82" t="str">
        <x:f>"60176600326"</x:f>
        <x:v>60176600326</x:v>
      </x:c>
      <x:c r="B40" s="83" t="str">
        <x:v>insken shopee tan chor keng</x:v>
      </x:c>
      <x:c r="C40" s="83" t="str">
        <x:v>Nama INSKEN/INKSEN</x:v>
      </x:c>
    </x:row>
    <x:row r="41">
      <x:c r="A41" s="82" t="str">
        <x:f>"60177670627"</x:f>
        <x:v>60177670627</x:v>
      </x:c>
      <x:c r="B41" s="83" t="str">
        <x:v>Nur Aqeela INSKEN</x:v>
      </x:c>
      <x:c r="C41" s="83" t="str">
        <x:v>Nama INSKEN/INKSEN</x:v>
      </x:c>
    </x:row>
    <x:row r="42">
      <x:c r="A42" s="82" t="str">
        <x:f>"60192112178"</x:f>
        <x:v>60192112178</x:v>
      </x:c>
      <x:c r="B42" s="83" t="str">
        <x:v>Dekma Mdec IM</x:v>
      </x:c>
      <x:c r="C42" s="83" t="str">
        <x:v>Senarai manual pengguna</x:v>
      </x:c>
    </x:row>
    <x:row r="43">
      <x:c r="A43" s="82" t="str">
        <x:f>"60192211209"</x:f>
        <x:v>60192211209</x:v>
      </x:c>
      <x:c r="B43" s="83" t="str">
        <x:v>Fais Insken Coach Coordinator</x:v>
      </x:c>
      <x:c r="C43" s="83" t="str">
        <x:v>Nama INSKEN/INKSEN</x:v>
      </x:c>
    </x:row>
    <x:row r="44">
      <x:c r="A44" s="82" t="str">
        <x:f>"60193595900"</x:f>
        <x:v>60193595900</x:v>
      </x:c>
      <x:c r="B44" s="83" t="str">
        <x:v>Insken - Pn Nora</x:v>
      </x:c>
      <x:c r="C44" s="83" t="str">
        <x:v>Nama INSKEN/INKSEN</x:v>
      </x:c>
    </x:row>
    <x:row r="45">
      <x:c r="A45" s="82" t="str">
        <x:f>"60195710054"</x:f>
        <x:v>60195710054</x:v>
      </x:c>
      <x:c r="B45" s="83" t="str">
        <x:v>Abg Razak DPIM</x:v>
      </x:c>
      <x:c r="C45" s="83" t="str">
        <x:v>Senarai manual pengguna</x:v>
      </x:c>
    </x:row>
    <x:row r="46">
      <x:c r="A46" s="82" t="str">
        <x:f>"60196634527"</x:f>
        <x:v>60196634527</x:v>
      </x:c>
      <x:c r="B46" s="83" t="str">
        <x:v>Dato Hifdzi Hamzah Al Qadiry</x:v>
      </x:c>
      <x:c r="C46" s="83" t="str">
        <x:v>Senarai manual pengguna</x:v>
      </x:c>
    </x:row>
    <x:row r="47">
      <x:c r="A47" s="82" t="str">
        <x:f>"60199635036"</x:f>
        <x:v>60199635036</x:v>
      </x:c>
      <x:c r="B47" s="83" t="str">
        <x:v>Tuan Faris INSKEN</x:v>
      </x:c>
      <x:c r="C47" s="83" t="str">
        <x:v>Nama INSKEN/INKSEN</x:v>
      </x:c>
    </x:row>
    <x:row r="48">
      <x:c r="A48" s="82" t="str">
        <x:f>"60199805233"</x:f>
        <x:v>60199805233</x:v>
      </x:c>
      <x:c r="B48" s="83" t="str">
        <x:v>Pn Anisah INSKEN</x:v>
      </x:c>
      <x:c r="C48" s="83" t="str">
        <x:v>Nama INSKEN/INKSEN</x:v>
      </x:c>
    </x:row>
    <x:row r="49">
      <x:c r="A49" s="84" t="str">
        <x:f>"60199888085"</x:f>
        <x:v>60199888085</x:v>
      </x:c>
      <x:c r="B49" s="85" t="str">
        <x:v>Coach Along Fadzil</x:v>
      </x:c>
      <x:c r="C49" s="85" t="str">
        <x:v>Senarai manual pengguna</x:v>
      </x:c>
    </x:row>
  </x:sheetData>
  <x:mergeCells>
    <x:mergeCell ref="A1:F1"/>
    <x:mergeCell ref="A2:F2"/>
  </x:mergeCells>
  <x:pageMargins left="0.7" right="0.7" top="0.75" bottom="0.75" header="0.3" footer="0.3"/>
</x:worksheet>
</file>